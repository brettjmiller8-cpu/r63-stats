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ett\Downloads\excel-filter-site\"/>
    </mc:Choice>
  </mc:AlternateContent>
  <xr:revisionPtr revIDLastSave="0" documentId="13_ncr:1_{BDC1B3AC-2D93-4D5F-9412-F7FD9B6DAE95}" xr6:coauthVersionLast="47" xr6:coauthVersionMax="47" xr10:uidLastSave="{00000000-0000-0000-0000-000000000000}"/>
  <bookViews>
    <workbookView xWindow="-28920" yWindow="-120" windowWidth="29040" windowHeight="15720" firstSheet="1" activeTab="3" xr2:uid="{B81E1BB1-8459-4D85-A2AA-65951E65A37B}"/>
  </bookViews>
  <sheets>
    <sheet name="Old Bow v2" sheetId="11" r:id="rId1"/>
    <sheet name="OB History" sheetId="10" r:id="rId2"/>
    <sheet name="OB Season 2" sheetId="13" r:id="rId3"/>
    <sheet name="OB History S2" sheetId="15" r:id="rId4"/>
    <sheet name="Old Bow" sheetId="1" state="hidden" r:id="rId5"/>
    <sheet name="Old Bow comments" sheetId="7" state="hidden" r:id="rId6"/>
    <sheet name="Match Analyzer Old Bow" sheetId="4" state="hidden" r:id="rId7"/>
    <sheet name="BA v2" sheetId="12" r:id="rId8"/>
    <sheet name="BA" sheetId="3" state="hidden" r:id="rId9"/>
    <sheet name="BA History" sheetId="9" r:id="rId10"/>
    <sheet name="BA S2" sheetId="16" r:id="rId11"/>
    <sheet name="BA History S2" sheetId="17" r:id="rId12"/>
    <sheet name="Tourney History" sheetId="18" r:id="rId13"/>
    <sheet name="Tourney Stats" sheetId="19" r:id="rId14"/>
    <sheet name="Events" sheetId="20" r:id="rId15"/>
    <sheet name="TG OB" sheetId="22" r:id="rId16"/>
    <sheet name="BA comments" sheetId="6" state="hidden" r:id="rId17"/>
    <sheet name="Match Analyzer BA" sheetId="8" state="hidden" r:id="rId18"/>
  </sheets>
  <definedNames>
    <definedName name="_xlnm._FilterDatabase" localSheetId="8" hidden="1">BA!$A$1:$AH$47</definedName>
    <definedName name="_xlnm._FilterDatabase" localSheetId="9" hidden="1">'BA History'!$A$1:$AK$901</definedName>
    <definedName name="_xlnm._FilterDatabase" localSheetId="11" hidden="1">'BA History S2'!$A$1:$AK$339</definedName>
    <definedName name="_xlnm._FilterDatabase" localSheetId="10" hidden="1">'BA S2'!$A$1:$AN$45</definedName>
    <definedName name="_xlnm._FilterDatabase" localSheetId="7" hidden="1">'BA v2'!$A$1:$AO$62</definedName>
    <definedName name="_xlnm._FilterDatabase" localSheetId="1" hidden="1">'OB History'!$A$1:$AD$958</definedName>
    <definedName name="_xlnm._FilterDatabase" localSheetId="3" hidden="1">'OB History S2'!$A$1:$AD$554</definedName>
    <definedName name="_xlnm._FilterDatabase" localSheetId="2" hidden="1">'OB Season 2'!$A$1:$AI$52</definedName>
    <definedName name="_xlnm._FilterDatabase" localSheetId="4" hidden="1">'Old Bow'!$A$1:$AD$37</definedName>
    <definedName name="_xlnm._FilterDatabase" localSheetId="0" hidden="1">'Old Bow v2'!$A$1:$AJ$57</definedName>
    <definedName name="_xlnm._FilterDatabase" localSheetId="15" hidden="1">'TG OB'!$A$1:$E$1</definedName>
    <definedName name="_xlnm._FilterDatabase" localSheetId="12" hidden="1">'Tourney History'!$A$1:$AD$159</definedName>
    <definedName name="_xlnm._FilterDatabase" localSheetId="13" hidden="1">'Tourney Stats'!$A$1:$AE$44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H563" i="17" l="1"/>
  <c r="AI563" i="17"/>
  <c r="AJ563" i="17"/>
  <c r="AK563" i="17"/>
  <c r="AH564" i="17"/>
  <c r="AI564" i="17"/>
  <c r="AJ564" i="17"/>
  <c r="AK564" i="17"/>
  <c r="AH565" i="17"/>
  <c r="AI565" i="17"/>
  <c r="AJ565" i="17"/>
  <c r="AK565" i="17"/>
  <c r="AH566" i="17"/>
  <c r="AI566" i="17"/>
  <c r="AJ566" i="17"/>
  <c r="AK566" i="17"/>
  <c r="AH567" i="17"/>
  <c r="AI567" i="17"/>
  <c r="AJ567" i="17"/>
  <c r="AK567" i="17"/>
  <c r="AH568" i="17"/>
  <c r="AI568" i="17"/>
  <c r="AJ568" i="17"/>
  <c r="AK568" i="17"/>
  <c r="AH569" i="17"/>
  <c r="AI569" i="17"/>
  <c r="AJ569" i="17"/>
  <c r="AK569" i="17"/>
  <c r="AH570" i="17"/>
  <c r="AI570" i="17"/>
  <c r="AJ570" i="17"/>
  <c r="AK570" i="17"/>
  <c r="AH571" i="17"/>
  <c r="AI571" i="17"/>
  <c r="AJ571" i="17"/>
  <c r="AK571" i="17"/>
  <c r="AH572" i="17"/>
  <c r="AI572" i="17"/>
  <c r="AJ572" i="17"/>
  <c r="AK572" i="17"/>
  <c r="AH573" i="17"/>
  <c r="AI573" i="17"/>
  <c r="AJ573" i="17"/>
  <c r="AK573" i="17"/>
  <c r="AH574" i="17"/>
  <c r="AI574" i="17"/>
  <c r="AJ574" i="17"/>
  <c r="AK574" i="17"/>
  <c r="AH575" i="17"/>
  <c r="AI575" i="17"/>
  <c r="AJ575" i="17"/>
  <c r="AK575" i="17"/>
  <c r="AH576" i="17"/>
  <c r="AI576" i="17"/>
  <c r="AJ576" i="17"/>
  <c r="AK576" i="17"/>
  <c r="AH577" i="17"/>
  <c r="AI577" i="17"/>
  <c r="AJ577" i="17"/>
  <c r="AK577" i="17"/>
  <c r="AH578" i="17"/>
  <c r="AI578" i="17"/>
  <c r="AJ578" i="17"/>
  <c r="AK578" i="17"/>
  <c r="AH579" i="17"/>
  <c r="AI579" i="17"/>
  <c r="AJ579" i="17"/>
  <c r="AK579" i="17"/>
  <c r="AH580" i="17"/>
  <c r="AI580" i="17"/>
  <c r="AJ580" i="17"/>
  <c r="AK580" i="17"/>
  <c r="AH581" i="17"/>
  <c r="AI581" i="17"/>
  <c r="AJ581" i="17"/>
  <c r="AK581" i="17"/>
  <c r="AH582" i="17"/>
  <c r="AI582" i="17"/>
  <c r="AJ582" i="17"/>
  <c r="AK582" i="17"/>
  <c r="AH583" i="17"/>
  <c r="AI583" i="17"/>
  <c r="AJ583" i="17"/>
  <c r="AK583" i="17"/>
  <c r="AH584" i="17"/>
  <c r="AI584" i="17"/>
  <c r="AJ584" i="17"/>
  <c r="AK584" i="17"/>
  <c r="AH585" i="17"/>
  <c r="AI585" i="17"/>
  <c r="AJ585" i="17"/>
  <c r="AK585" i="17"/>
  <c r="AH586" i="17"/>
  <c r="AI586" i="17"/>
  <c r="AJ586" i="17"/>
  <c r="AK586" i="17"/>
  <c r="AN26" i="16"/>
  <c r="AN23" i="16"/>
  <c r="S25" i="16"/>
  <c r="T25" i="16"/>
  <c r="U25" i="16"/>
  <c r="V25" i="16"/>
  <c r="W25" i="16"/>
  <c r="X25" i="16"/>
  <c r="Y25" i="16"/>
  <c r="Z25" i="16"/>
  <c r="AA25" i="16"/>
  <c r="AB25" i="16"/>
  <c r="AC25" i="16"/>
  <c r="AD25" i="16"/>
  <c r="AE25" i="16"/>
  <c r="AF25" i="16"/>
  <c r="AG25" i="16"/>
  <c r="AH25" i="16"/>
  <c r="AI25" i="16"/>
  <c r="AJ25" i="16"/>
  <c r="AK25" i="16"/>
  <c r="AL25" i="16"/>
  <c r="AM25" i="16"/>
  <c r="AN25" i="16"/>
  <c r="R25" i="16"/>
  <c r="F25" i="16"/>
  <c r="G25" i="16"/>
  <c r="H25" i="16" a="1"/>
  <c r="H25" i="16" s="1"/>
  <c r="I25" i="16"/>
  <c r="J25" i="16"/>
  <c r="K25" i="16"/>
  <c r="L25" i="16"/>
  <c r="M25" i="16" s="1"/>
  <c r="N25" i="16"/>
  <c r="O25" i="16"/>
  <c r="P25" i="16" s="1"/>
  <c r="Q25" i="16"/>
  <c r="AH1279" i="9"/>
  <c r="AI1279" i="9"/>
  <c r="AJ1279" i="9"/>
  <c r="AK1279" i="9"/>
  <c r="AH1280" i="9"/>
  <c r="AI1280" i="9"/>
  <c r="AJ1280" i="9"/>
  <c r="AK1280" i="9"/>
  <c r="AH1281" i="9"/>
  <c r="AI1281" i="9"/>
  <c r="AJ1281" i="9"/>
  <c r="AK1281" i="9"/>
  <c r="AH1282" i="9"/>
  <c r="AI1282" i="9"/>
  <c r="AJ1282" i="9"/>
  <c r="AK1282" i="9"/>
  <c r="AH1283" i="9"/>
  <c r="AI1283" i="9"/>
  <c r="AJ1283" i="9"/>
  <c r="AK1283" i="9"/>
  <c r="AH1284" i="9"/>
  <c r="AI1284" i="9"/>
  <c r="AJ1284" i="9"/>
  <c r="AK1284" i="9"/>
  <c r="AH1285" i="9"/>
  <c r="AI1285" i="9"/>
  <c r="AJ1285" i="9"/>
  <c r="AK1285" i="9"/>
  <c r="AH1286" i="9"/>
  <c r="AI1286" i="9"/>
  <c r="AJ1286" i="9"/>
  <c r="AK1286" i="9"/>
  <c r="AH1287" i="9"/>
  <c r="AI1287" i="9"/>
  <c r="AJ1287" i="9"/>
  <c r="AK1287" i="9"/>
  <c r="AH1288" i="9"/>
  <c r="AI1288" i="9"/>
  <c r="AJ1288" i="9"/>
  <c r="AK1288" i="9"/>
  <c r="AH1289" i="9"/>
  <c r="AI1289" i="9"/>
  <c r="AJ1289" i="9"/>
  <c r="AK1289" i="9"/>
  <c r="AH1290" i="9"/>
  <c r="AI1290" i="9"/>
  <c r="AJ1290" i="9"/>
  <c r="AK1290" i="9"/>
  <c r="AH1267" i="9"/>
  <c r="AI1267" i="9"/>
  <c r="AJ1267" i="9"/>
  <c r="AK1267" i="9"/>
  <c r="AH1268" i="9"/>
  <c r="AI1268" i="9"/>
  <c r="AJ1268" i="9"/>
  <c r="AK1268" i="9"/>
  <c r="AH1269" i="9"/>
  <c r="AI1269" i="9"/>
  <c r="AJ1269" i="9"/>
  <c r="AK1269" i="9"/>
  <c r="AH1270" i="9"/>
  <c r="AI1270" i="9"/>
  <c r="AJ1270" i="9"/>
  <c r="AK1270" i="9"/>
  <c r="AH1271" i="9"/>
  <c r="AI1271" i="9"/>
  <c r="AJ1271" i="9"/>
  <c r="AK1271" i="9"/>
  <c r="AH1272" i="9"/>
  <c r="AI1272" i="9"/>
  <c r="AJ1272" i="9"/>
  <c r="AK1272" i="9"/>
  <c r="AH1273" i="9"/>
  <c r="AI1273" i="9"/>
  <c r="AJ1273" i="9"/>
  <c r="AK1273" i="9"/>
  <c r="AH1274" i="9"/>
  <c r="AI1274" i="9"/>
  <c r="AJ1274" i="9"/>
  <c r="AK1274" i="9"/>
  <c r="AH1275" i="9"/>
  <c r="AI1275" i="9"/>
  <c r="AJ1275" i="9"/>
  <c r="AK1275" i="9"/>
  <c r="AH1276" i="9"/>
  <c r="AI1276" i="9"/>
  <c r="AJ1276" i="9"/>
  <c r="AK1276" i="9"/>
  <c r="AH1277" i="9"/>
  <c r="AI1277" i="9"/>
  <c r="AJ1277" i="9"/>
  <c r="AK1277" i="9"/>
  <c r="AH1278" i="9"/>
  <c r="AI1278" i="9"/>
  <c r="AJ1278" i="9"/>
  <c r="AK1278" i="9"/>
  <c r="AH1241" i="9"/>
  <c r="AI1241" i="9"/>
  <c r="AJ1241" i="9"/>
  <c r="AK1241" i="9"/>
  <c r="AH1242" i="9"/>
  <c r="AI1242" i="9"/>
  <c r="AJ1242" i="9"/>
  <c r="AK1242" i="9"/>
  <c r="AH1243" i="9"/>
  <c r="AI1243" i="9"/>
  <c r="AJ1243" i="9"/>
  <c r="AK1243" i="9"/>
  <c r="AH1244" i="9"/>
  <c r="AI1244" i="9"/>
  <c r="AJ1244" i="9"/>
  <c r="AK1244" i="9"/>
  <c r="AH1245" i="9"/>
  <c r="AI1245" i="9"/>
  <c r="AJ1245" i="9"/>
  <c r="AK1245" i="9"/>
  <c r="AH1246" i="9"/>
  <c r="AI1246" i="9"/>
  <c r="AJ1246" i="9"/>
  <c r="AK1246" i="9"/>
  <c r="AH1247" i="9"/>
  <c r="AI1247" i="9"/>
  <c r="AJ1247" i="9"/>
  <c r="AK1247" i="9"/>
  <c r="AH1248" i="9"/>
  <c r="AI1248" i="9"/>
  <c r="AJ1248" i="9"/>
  <c r="AK1248" i="9"/>
  <c r="AH1249" i="9"/>
  <c r="AI1249" i="9"/>
  <c r="AJ1249" i="9"/>
  <c r="AK1249" i="9"/>
  <c r="AH1250" i="9"/>
  <c r="AI1250" i="9"/>
  <c r="AJ1250" i="9"/>
  <c r="AK1250" i="9"/>
  <c r="AH1251" i="9"/>
  <c r="AI1251" i="9"/>
  <c r="AJ1251" i="9"/>
  <c r="AK1251" i="9"/>
  <c r="AH1252" i="9"/>
  <c r="AI1252" i="9"/>
  <c r="AJ1252" i="9"/>
  <c r="AK1252" i="9"/>
  <c r="AH1253" i="9"/>
  <c r="AI1253" i="9"/>
  <c r="AJ1253" i="9"/>
  <c r="AK1253" i="9"/>
  <c r="AH1254" i="9"/>
  <c r="AI1254" i="9"/>
  <c r="AJ1254" i="9"/>
  <c r="AK1254" i="9"/>
  <c r="AH1255" i="9"/>
  <c r="AI1255" i="9"/>
  <c r="AJ1255" i="9"/>
  <c r="AK1255" i="9"/>
  <c r="AH1256" i="9"/>
  <c r="AI1256" i="9"/>
  <c r="AJ1256" i="9"/>
  <c r="AK1256" i="9"/>
  <c r="AH1257" i="9"/>
  <c r="AI1257" i="9"/>
  <c r="AJ1257" i="9"/>
  <c r="AK1257" i="9"/>
  <c r="AH1258" i="9"/>
  <c r="AI1258" i="9"/>
  <c r="AJ1258" i="9"/>
  <c r="AK1258" i="9"/>
  <c r="AH1259" i="9"/>
  <c r="AI1259" i="9"/>
  <c r="AJ1259" i="9"/>
  <c r="AK1259" i="9"/>
  <c r="AH1260" i="9"/>
  <c r="AI1260" i="9"/>
  <c r="AJ1260" i="9"/>
  <c r="AK1260" i="9"/>
  <c r="AH1261" i="9"/>
  <c r="AI1261" i="9"/>
  <c r="AJ1261" i="9"/>
  <c r="AK1261" i="9"/>
  <c r="AH1262" i="9"/>
  <c r="AI1262" i="9"/>
  <c r="AJ1262" i="9"/>
  <c r="AK1262" i="9"/>
  <c r="AH1263" i="9"/>
  <c r="AI1263" i="9"/>
  <c r="AJ1263" i="9"/>
  <c r="AK1263" i="9"/>
  <c r="AH1264" i="9"/>
  <c r="AI1264" i="9"/>
  <c r="AJ1264" i="9"/>
  <c r="AK1264" i="9"/>
  <c r="AH1265" i="9"/>
  <c r="AI1265" i="9"/>
  <c r="AJ1265" i="9"/>
  <c r="AK1265" i="9"/>
  <c r="AH1266" i="9"/>
  <c r="AI1266" i="9"/>
  <c r="AJ1266" i="9"/>
  <c r="AK1266" i="9"/>
  <c r="AH537" i="17"/>
  <c r="AI537" i="17"/>
  <c r="AJ537" i="17"/>
  <c r="AK537" i="17"/>
  <c r="AH538" i="17"/>
  <c r="AI538" i="17"/>
  <c r="AJ538" i="17"/>
  <c r="AK538" i="17"/>
  <c r="AH539" i="17"/>
  <c r="AI539" i="17"/>
  <c r="AJ539" i="17"/>
  <c r="AK539" i="17"/>
  <c r="AH540" i="17"/>
  <c r="AI540" i="17"/>
  <c r="AJ540" i="17"/>
  <c r="AK540" i="17"/>
  <c r="AH541" i="17"/>
  <c r="AI541" i="17"/>
  <c r="AJ541" i="17"/>
  <c r="AK541" i="17"/>
  <c r="AH542" i="17"/>
  <c r="AI542" i="17"/>
  <c r="AJ542" i="17"/>
  <c r="AK542" i="17"/>
  <c r="AH543" i="17"/>
  <c r="AI543" i="17"/>
  <c r="AJ543" i="17"/>
  <c r="AK543" i="17"/>
  <c r="AH544" i="17"/>
  <c r="AI544" i="17"/>
  <c r="AJ544" i="17"/>
  <c r="AK544" i="17"/>
  <c r="AH545" i="17"/>
  <c r="AI545" i="17"/>
  <c r="AJ545" i="17"/>
  <c r="AK545" i="17"/>
  <c r="AH546" i="17"/>
  <c r="AI546" i="17"/>
  <c r="AJ546" i="17"/>
  <c r="AK546" i="17"/>
  <c r="AH547" i="17"/>
  <c r="AI547" i="17"/>
  <c r="AJ547" i="17"/>
  <c r="AK547" i="17"/>
  <c r="AH548" i="17"/>
  <c r="AI548" i="17"/>
  <c r="AJ548" i="17"/>
  <c r="AK548" i="17"/>
  <c r="AH549" i="17"/>
  <c r="AI549" i="17"/>
  <c r="AJ549" i="17"/>
  <c r="AK549" i="17"/>
  <c r="AH550" i="17"/>
  <c r="AI550" i="17"/>
  <c r="AJ550" i="17"/>
  <c r="AK550" i="17"/>
  <c r="AH551" i="17"/>
  <c r="AI551" i="17"/>
  <c r="AJ551" i="17"/>
  <c r="AK551" i="17"/>
  <c r="AH552" i="17"/>
  <c r="AI552" i="17"/>
  <c r="AJ552" i="17"/>
  <c r="AK552" i="17"/>
  <c r="AH553" i="17"/>
  <c r="AI553" i="17"/>
  <c r="AJ553" i="17"/>
  <c r="AK553" i="17"/>
  <c r="AH554" i="17"/>
  <c r="AI554" i="17"/>
  <c r="AJ554" i="17"/>
  <c r="AK554" i="17"/>
  <c r="AH555" i="17"/>
  <c r="AI555" i="17"/>
  <c r="AJ555" i="17"/>
  <c r="AK555" i="17"/>
  <c r="AH556" i="17"/>
  <c r="AI556" i="17"/>
  <c r="AJ556" i="17"/>
  <c r="AK556" i="17"/>
  <c r="AH557" i="17"/>
  <c r="AI557" i="17"/>
  <c r="AJ557" i="17"/>
  <c r="AK557" i="17"/>
  <c r="AH558" i="17"/>
  <c r="AI558" i="17"/>
  <c r="AJ558" i="17"/>
  <c r="AK558" i="17"/>
  <c r="AH559" i="17"/>
  <c r="AI559" i="17"/>
  <c r="AJ559" i="17"/>
  <c r="AK559" i="17"/>
  <c r="AH560" i="17"/>
  <c r="AI560" i="17"/>
  <c r="AJ560" i="17"/>
  <c r="AK560" i="17"/>
  <c r="AH561" i="17"/>
  <c r="AI561" i="17"/>
  <c r="AJ561" i="17"/>
  <c r="AK561" i="17"/>
  <c r="AH562" i="17"/>
  <c r="AI562" i="17"/>
  <c r="AJ562" i="17"/>
  <c r="AK562" i="17"/>
  <c r="AA623" i="15"/>
  <c r="AB623" i="15"/>
  <c r="AC623" i="15"/>
  <c r="AD623" i="15"/>
  <c r="AA624" i="15"/>
  <c r="AB624" i="15"/>
  <c r="AC624" i="15"/>
  <c r="AD624" i="15"/>
  <c r="AA625" i="15"/>
  <c r="AB625" i="15"/>
  <c r="AC625" i="15"/>
  <c r="AD625" i="15"/>
  <c r="AA626" i="15"/>
  <c r="AB626" i="15"/>
  <c r="AC626" i="15"/>
  <c r="AD626" i="15"/>
  <c r="AA627" i="15"/>
  <c r="AB627" i="15"/>
  <c r="AC627" i="15"/>
  <c r="AD627" i="15"/>
  <c r="AA628" i="15"/>
  <c r="AB628" i="15"/>
  <c r="AC628" i="15"/>
  <c r="AD628" i="15"/>
  <c r="AA629" i="15"/>
  <c r="AB629" i="15"/>
  <c r="AC629" i="15"/>
  <c r="AD629" i="15"/>
  <c r="AA630" i="15"/>
  <c r="AB630" i="15"/>
  <c r="AC630" i="15"/>
  <c r="AD630" i="15"/>
  <c r="AA631" i="15"/>
  <c r="AB631" i="15"/>
  <c r="AC631" i="15"/>
  <c r="AD631" i="15"/>
  <c r="AA632" i="15"/>
  <c r="AB632" i="15"/>
  <c r="AC632" i="15"/>
  <c r="AD632" i="15"/>
  <c r="AA633" i="15"/>
  <c r="AB633" i="15"/>
  <c r="AC633" i="15"/>
  <c r="AD633" i="15"/>
  <c r="AA634" i="15"/>
  <c r="AB634" i="15"/>
  <c r="AC634" i="15"/>
  <c r="AD634" i="15"/>
  <c r="AA635" i="15"/>
  <c r="AB635" i="15"/>
  <c r="AC635" i="15"/>
  <c r="AD635" i="15"/>
  <c r="AA1111" i="10"/>
  <c r="AB1111" i="10"/>
  <c r="AC1111" i="10"/>
  <c r="AD1111" i="10"/>
  <c r="AA1112" i="10"/>
  <c r="AB1112" i="10"/>
  <c r="AC1112" i="10"/>
  <c r="AD1112" i="10"/>
  <c r="AA1113" i="10"/>
  <c r="AB1113" i="10"/>
  <c r="AC1113" i="10"/>
  <c r="AD1113" i="10"/>
  <c r="AA1114" i="10"/>
  <c r="AB1114" i="10"/>
  <c r="AC1114" i="10"/>
  <c r="AD1114" i="10"/>
  <c r="AA1115" i="10"/>
  <c r="AB1115" i="10"/>
  <c r="AC1115" i="10"/>
  <c r="AD1115" i="10"/>
  <c r="AA1116" i="10"/>
  <c r="AB1116" i="10"/>
  <c r="AC1116" i="10"/>
  <c r="AD1116" i="10"/>
  <c r="AA1117" i="10"/>
  <c r="AB1117" i="10"/>
  <c r="AC1117" i="10"/>
  <c r="AD1117" i="10"/>
  <c r="AA1118" i="10"/>
  <c r="AB1118" i="10"/>
  <c r="AC1118" i="10"/>
  <c r="AD1118" i="10"/>
  <c r="AA1119" i="10"/>
  <c r="AB1119" i="10"/>
  <c r="AC1119" i="10"/>
  <c r="AD1119" i="10"/>
  <c r="AA1120" i="10"/>
  <c r="AB1120" i="10"/>
  <c r="AC1120" i="10"/>
  <c r="AD1120" i="10"/>
  <c r="AA1121" i="10"/>
  <c r="AB1121" i="10"/>
  <c r="AC1121" i="10"/>
  <c r="AD1121" i="10"/>
  <c r="AA1122" i="10"/>
  <c r="AB1122" i="10"/>
  <c r="AC1122" i="10"/>
  <c r="AD1122" i="10"/>
  <c r="AA1123" i="10"/>
  <c r="AB1123" i="10"/>
  <c r="AC1123" i="10"/>
  <c r="AD1123" i="10"/>
  <c r="S26" i="16"/>
  <c r="T26" i="16"/>
  <c r="U26" i="16"/>
  <c r="V26" i="16"/>
  <c r="W26" i="16"/>
  <c r="X26" i="16"/>
  <c r="Y26" i="16"/>
  <c r="Z26" i="16"/>
  <c r="AA26" i="16"/>
  <c r="AB26" i="16"/>
  <c r="AC26" i="16"/>
  <c r="AD26" i="16"/>
  <c r="AE26" i="16"/>
  <c r="AF26" i="16"/>
  <c r="AG26" i="16"/>
  <c r="AH26" i="16"/>
  <c r="AI26" i="16"/>
  <c r="AJ26" i="16"/>
  <c r="AK26" i="16"/>
  <c r="AL26" i="16"/>
  <c r="AM26" i="16"/>
  <c r="R26" i="16"/>
  <c r="F26" i="16"/>
  <c r="G26" i="16"/>
  <c r="H26" i="16" a="1"/>
  <c r="H26" i="16" s="1"/>
  <c r="I26" i="16"/>
  <c r="J26" i="16"/>
  <c r="K26" i="16"/>
  <c r="L26" i="16"/>
  <c r="M26" i="16" s="1"/>
  <c r="N26" i="16"/>
  <c r="O26" i="16"/>
  <c r="P26" i="16" s="1"/>
  <c r="Q26" i="16"/>
  <c r="AH523" i="17"/>
  <c r="AI523" i="17"/>
  <c r="AJ523" i="17"/>
  <c r="AK523" i="17"/>
  <c r="AH524" i="17"/>
  <c r="AI524" i="17"/>
  <c r="AJ524" i="17"/>
  <c r="AK524" i="17"/>
  <c r="AH525" i="17"/>
  <c r="AI525" i="17"/>
  <c r="AJ525" i="17"/>
  <c r="AK525" i="17"/>
  <c r="AH526" i="17"/>
  <c r="AI526" i="17"/>
  <c r="AJ526" i="17"/>
  <c r="AK526" i="17"/>
  <c r="AH527" i="17"/>
  <c r="AI527" i="17"/>
  <c r="AJ527" i="17"/>
  <c r="AK527" i="17"/>
  <c r="AH528" i="17"/>
  <c r="AI528" i="17"/>
  <c r="AJ528" i="17"/>
  <c r="AK528" i="17"/>
  <c r="AH529" i="17"/>
  <c r="AI529" i="17"/>
  <c r="AJ529" i="17"/>
  <c r="AK529" i="17"/>
  <c r="AH530" i="17"/>
  <c r="AI530" i="17"/>
  <c r="AJ530" i="17"/>
  <c r="AK530" i="17"/>
  <c r="AH531" i="17"/>
  <c r="AI531" i="17"/>
  <c r="AJ531" i="17"/>
  <c r="AK531" i="17"/>
  <c r="AH532" i="17"/>
  <c r="AI532" i="17"/>
  <c r="AJ532" i="17"/>
  <c r="AK532" i="17"/>
  <c r="AH533" i="17"/>
  <c r="AI533" i="17"/>
  <c r="AJ533" i="17"/>
  <c r="AK533" i="17"/>
  <c r="AH534" i="17"/>
  <c r="AI534" i="17"/>
  <c r="AJ534" i="17"/>
  <c r="AK534" i="17"/>
  <c r="AH535" i="17"/>
  <c r="AI535" i="17"/>
  <c r="AJ535" i="17"/>
  <c r="AK535" i="17"/>
  <c r="AH536" i="17"/>
  <c r="AI536" i="17"/>
  <c r="AJ536" i="17"/>
  <c r="AK536" i="17"/>
  <c r="AH1227" i="9"/>
  <c r="AI1227" i="9"/>
  <c r="AJ1227" i="9"/>
  <c r="AK1227" i="9"/>
  <c r="AH1228" i="9"/>
  <c r="AI1228" i="9"/>
  <c r="AJ1228" i="9"/>
  <c r="AK1228" i="9"/>
  <c r="AH1229" i="9"/>
  <c r="AI1229" i="9"/>
  <c r="AJ1229" i="9"/>
  <c r="AK1229" i="9"/>
  <c r="AH1230" i="9"/>
  <c r="AI1230" i="9"/>
  <c r="AJ1230" i="9"/>
  <c r="AK1230" i="9"/>
  <c r="AH1231" i="9"/>
  <c r="AI1231" i="9"/>
  <c r="AJ1231" i="9"/>
  <c r="AK1231" i="9"/>
  <c r="AH1232" i="9"/>
  <c r="AI1232" i="9"/>
  <c r="AJ1232" i="9"/>
  <c r="AK1232" i="9"/>
  <c r="AH1233" i="9"/>
  <c r="AI1233" i="9"/>
  <c r="AJ1233" i="9"/>
  <c r="AK1233" i="9"/>
  <c r="AH1234" i="9"/>
  <c r="AI1234" i="9"/>
  <c r="AJ1234" i="9"/>
  <c r="AK1234" i="9"/>
  <c r="AH1235" i="9"/>
  <c r="AI1235" i="9"/>
  <c r="AJ1235" i="9"/>
  <c r="AK1235" i="9"/>
  <c r="AH1236" i="9"/>
  <c r="AI1236" i="9"/>
  <c r="AJ1236" i="9"/>
  <c r="AK1236" i="9"/>
  <c r="AH1237" i="9"/>
  <c r="AI1237" i="9"/>
  <c r="AJ1237" i="9"/>
  <c r="AK1237" i="9"/>
  <c r="AH1238" i="9"/>
  <c r="AI1238" i="9"/>
  <c r="AJ1238" i="9"/>
  <c r="AK1238" i="9"/>
  <c r="AH1239" i="9"/>
  <c r="AI1239" i="9"/>
  <c r="AJ1239" i="9"/>
  <c r="AK1239" i="9"/>
  <c r="AH1240" i="9"/>
  <c r="AI1240" i="9"/>
  <c r="AJ1240" i="9"/>
  <c r="AK1240" i="9"/>
  <c r="S9" i="16"/>
  <c r="T9" i="16"/>
  <c r="U9" i="16"/>
  <c r="V9" i="16"/>
  <c r="W9" i="16"/>
  <c r="X9" i="16"/>
  <c r="Y9" i="16"/>
  <c r="Z9" i="16"/>
  <c r="AA9" i="16"/>
  <c r="AB9" i="16"/>
  <c r="AC9" i="16"/>
  <c r="AD9" i="16"/>
  <c r="AE9" i="16"/>
  <c r="AF9" i="16"/>
  <c r="AG9" i="16"/>
  <c r="AH9" i="16"/>
  <c r="AI9" i="16"/>
  <c r="AJ9" i="16"/>
  <c r="AK9" i="16"/>
  <c r="AL9" i="16"/>
  <c r="AM9" i="16"/>
  <c r="AN9" i="16"/>
  <c r="R9" i="16"/>
  <c r="F9" i="16"/>
  <c r="G9" i="16"/>
  <c r="H9" i="16" a="1"/>
  <c r="H9" i="16" s="1"/>
  <c r="I9" i="16"/>
  <c r="J9" i="16"/>
  <c r="L9" i="16"/>
  <c r="M9" i="16" s="1"/>
  <c r="O9" i="16"/>
  <c r="P9" i="16" s="1"/>
  <c r="S23" i="16"/>
  <c r="T23" i="16"/>
  <c r="U23" i="16"/>
  <c r="V23" i="16"/>
  <c r="W23" i="16"/>
  <c r="X23" i="16"/>
  <c r="Y23" i="16"/>
  <c r="Z23" i="16"/>
  <c r="AA23" i="16"/>
  <c r="AB23" i="16"/>
  <c r="AC23" i="16"/>
  <c r="AD23" i="16"/>
  <c r="AE23" i="16"/>
  <c r="AF23" i="16"/>
  <c r="AG23" i="16"/>
  <c r="AH23" i="16"/>
  <c r="AI23" i="16"/>
  <c r="AJ23" i="16"/>
  <c r="AK23" i="16"/>
  <c r="AL23" i="16"/>
  <c r="AM23" i="16"/>
  <c r="R23" i="16"/>
  <c r="F23" i="16"/>
  <c r="G23" i="16"/>
  <c r="H23" i="16" a="1"/>
  <c r="H23" i="16" s="1"/>
  <c r="I23" i="16"/>
  <c r="J23" i="16"/>
  <c r="L23" i="16"/>
  <c r="M23" i="16" s="1"/>
  <c r="O23" i="16"/>
  <c r="P23" i="16" s="1"/>
  <c r="AH511" i="17"/>
  <c r="AI511" i="17"/>
  <c r="AJ511" i="17"/>
  <c r="AK511" i="17"/>
  <c r="AH512" i="17"/>
  <c r="AI512" i="17"/>
  <c r="AJ512" i="17"/>
  <c r="AK512" i="17"/>
  <c r="AH513" i="17"/>
  <c r="AI513" i="17"/>
  <c r="AJ513" i="17"/>
  <c r="AK513" i="17"/>
  <c r="AH514" i="17"/>
  <c r="AI514" i="17"/>
  <c r="AJ514" i="17"/>
  <c r="AK514" i="17"/>
  <c r="AH515" i="17"/>
  <c r="AI515" i="17"/>
  <c r="AJ515" i="17"/>
  <c r="AK515" i="17"/>
  <c r="AH516" i="17"/>
  <c r="AI516" i="17"/>
  <c r="AJ516" i="17"/>
  <c r="AK516" i="17"/>
  <c r="AH517" i="17"/>
  <c r="AI517" i="17"/>
  <c r="AJ517" i="17"/>
  <c r="AK517" i="17"/>
  <c r="AH518" i="17"/>
  <c r="AI518" i="17"/>
  <c r="AJ518" i="17"/>
  <c r="AK518" i="17"/>
  <c r="AH519" i="17"/>
  <c r="AI519" i="17"/>
  <c r="AJ519" i="17"/>
  <c r="AK519" i="17"/>
  <c r="AH520" i="17"/>
  <c r="AI520" i="17"/>
  <c r="AJ520" i="17"/>
  <c r="AK520" i="17"/>
  <c r="AH521" i="17"/>
  <c r="AI521" i="17"/>
  <c r="AJ521" i="17"/>
  <c r="AK521" i="17"/>
  <c r="AH522" i="17"/>
  <c r="AI522" i="17"/>
  <c r="AJ522" i="17"/>
  <c r="AK522" i="17"/>
  <c r="AH1215" i="9"/>
  <c r="AI1215" i="9"/>
  <c r="AJ1215" i="9"/>
  <c r="AK1215" i="9"/>
  <c r="AH1216" i="9"/>
  <c r="AI1216" i="9"/>
  <c r="AJ1216" i="9"/>
  <c r="AK1216" i="9"/>
  <c r="AH1217" i="9"/>
  <c r="AI1217" i="9"/>
  <c r="AJ1217" i="9"/>
  <c r="AK1217" i="9"/>
  <c r="AH1218" i="9"/>
  <c r="AI1218" i="9"/>
  <c r="AJ1218" i="9"/>
  <c r="AK1218" i="9"/>
  <c r="AH1219" i="9"/>
  <c r="AI1219" i="9"/>
  <c r="AJ1219" i="9"/>
  <c r="AK1219" i="9"/>
  <c r="AH1220" i="9"/>
  <c r="AI1220" i="9"/>
  <c r="AJ1220" i="9"/>
  <c r="AK1220" i="9"/>
  <c r="AH1221" i="9"/>
  <c r="AI1221" i="9"/>
  <c r="AJ1221" i="9"/>
  <c r="AK1221" i="9"/>
  <c r="AH1222" i="9"/>
  <c r="AI1222" i="9"/>
  <c r="AJ1222" i="9"/>
  <c r="AK1222" i="9"/>
  <c r="AH1223" i="9"/>
  <c r="AI1223" i="9"/>
  <c r="AJ1223" i="9"/>
  <c r="AK1223" i="9"/>
  <c r="AH1224" i="9"/>
  <c r="AI1224" i="9"/>
  <c r="AJ1224" i="9"/>
  <c r="AK1224" i="9"/>
  <c r="AH1225" i="9"/>
  <c r="AI1225" i="9"/>
  <c r="AJ1225" i="9"/>
  <c r="AK1225" i="9"/>
  <c r="AH1226" i="9"/>
  <c r="AI1226" i="9"/>
  <c r="AJ1226" i="9"/>
  <c r="AK1226" i="9"/>
  <c r="AA232" i="18"/>
  <c r="AB232" i="18"/>
  <c r="AC232" i="18"/>
  <c r="AD232" i="18"/>
  <c r="AA233" i="18"/>
  <c r="AB233" i="18"/>
  <c r="AC233" i="18"/>
  <c r="AD233" i="18"/>
  <c r="AA234" i="18"/>
  <c r="AB234" i="18"/>
  <c r="AC234" i="18"/>
  <c r="AD234" i="18"/>
  <c r="AA235" i="18"/>
  <c r="AB235" i="18"/>
  <c r="AC235" i="18"/>
  <c r="AD235" i="18"/>
  <c r="AA236" i="18"/>
  <c r="AB236" i="18"/>
  <c r="AC236" i="18"/>
  <c r="AD236" i="18"/>
  <c r="AA237" i="18"/>
  <c r="AB237" i="18"/>
  <c r="AC237" i="18"/>
  <c r="AD237" i="18"/>
  <c r="AA238" i="18"/>
  <c r="AB238" i="18"/>
  <c r="AC238" i="18"/>
  <c r="AD238" i="18"/>
  <c r="AA239" i="18"/>
  <c r="AB239" i="18"/>
  <c r="AC239" i="18"/>
  <c r="AD239" i="18"/>
  <c r="AA240" i="18"/>
  <c r="AB240" i="18"/>
  <c r="AC240" i="18"/>
  <c r="AD240" i="18"/>
  <c r="AA241" i="18"/>
  <c r="AB241" i="18"/>
  <c r="AC241" i="18"/>
  <c r="AD241" i="18"/>
  <c r="AA242" i="18"/>
  <c r="AB242" i="18"/>
  <c r="AC242" i="18"/>
  <c r="AD242" i="18"/>
  <c r="AA243" i="18"/>
  <c r="AB243" i="18"/>
  <c r="AC243" i="18"/>
  <c r="AD243" i="18"/>
  <c r="AA611" i="15"/>
  <c r="AB611" i="15"/>
  <c r="AC611" i="15"/>
  <c r="AD611" i="15"/>
  <c r="AA612" i="15"/>
  <c r="AB612" i="15"/>
  <c r="AC612" i="15"/>
  <c r="AD612" i="15"/>
  <c r="AA613" i="15"/>
  <c r="AB613" i="15"/>
  <c r="AC613" i="15"/>
  <c r="AD613" i="15"/>
  <c r="AA614" i="15"/>
  <c r="AB614" i="15"/>
  <c r="AC614" i="15"/>
  <c r="AD614" i="15"/>
  <c r="AA615" i="15"/>
  <c r="AB615" i="15"/>
  <c r="AC615" i="15"/>
  <c r="AD615" i="15"/>
  <c r="AA616" i="15"/>
  <c r="AB616" i="15"/>
  <c r="AC616" i="15"/>
  <c r="AD616" i="15"/>
  <c r="AA617" i="15"/>
  <c r="AB617" i="15"/>
  <c r="AC617" i="15"/>
  <c r="AD617" i="15"/>
  <c r="AA618" i="15"/>
  <c r="AB618" i="15"/>
  <c r="AC618" i="15"/>
  <c r="AD618" i="15"/>
  <c r="AA619" i="15"/>
  <c r="AB619" i="15"/>
  <c r="AC619" i="15"/>
  <c r="AD619" i="15"/>
  <c r="AA620" i="15"/>
  <c r="AB620" i="15"/>
  <c r="AC620" i="15"/>
  <c r="AD620" i="15"/>
  <c r="AA621" i="15"/>
  <c r="AB621" i="15"/>
  <c r="AC621" i="15"/>
  <c r="AD621" i="15"/>
  <c r="AA622" i="15"/>
  <c r="AB622" i="15"/>
  <c r="AC622" i="15"/>
  <c r="AD622" i="15"/>
  <c r="AA1099" i="10"/>
  <c r="AB1099" i="10"/>
  <c r="AC1099" i="10"/>
  <c r="AD1099" i="10"/>
  <c r="AA1100" i="10"/>
  <c r="AB1100" i="10"/>
  <c r="AC1100" i="10"/>
  <c r="AD1100" i="10"/>
  <c r="AA1101" i="10"/>
  <c r="AB1101" i="10"/>
  <c r="AC1101" i="10"/>
  <c r="AD1101" i="10"/>
  <c r="AA1102" i="10"/>
  <c r="AB1102" i="10"/>
  <c r="AC1102" i="10"/>
  <c r="AD1102" i="10"/>
  <c r="AA1103" i="10"/>
  <c r="AB1103" i="10"/>
  <c r="AC1103" i="10"/>
  <c r="AD1103" i="10"/>
  <c r="AA1104" i="10"/>
  <c r="AB1104" i="10"/>
  <c r="AC1104" i="10"/>
  <c r="AD1104" i="10"/>
  <c r="AA1105" i="10"/>
  <c r="AB1105" i="10"/>
  <c r="AC1105" i="10"/>
  <c r="AD1105" i="10"/>
  <c r="AA1106" i="10"/>
  <c r="AB1106" i="10"/>
  <c r="AC1106" i="10"/>
  <c r="AD1106" i="10"/>
  <c r="AA1107" i="10"/>
  <c r="AB1107" i="10"/>
  <c r="AC1107" i="10"/>
  <c r="AD1107" i="10"/>
  <c r="AA1108" i="10"/>
  <c r="AB1108" i="10"/>
  <c r="AC1108" i="10"/>
  <c r="AD1108" i="10"/>
  <c r="AA1109" i="10"/>
  <c r="AB1109" i="10"/>
  <c r="AC1109" i="10"/>
  <c r="AD1109" i="10"/>
  <c r="AA1110" i="10"/>
  <c r="AB1110" i="10"/>
  <c r="AC1110" i="10"/>
  <c r="AD1110" i="10"/>
  <c r="AA599" i="15"/>
  <c r="AB599" i="15"/>
  <c r="AC599" i="15"/>
  <c r="AD599" i="15"/>
  <c r="AA600" i="15"/>
  <c r="AB600" i="15"/>
  <c r="AC600" i="15"/>
  <c r="AD600" i="15"/>
  <c r="AA601" i="15"/>
  <c r="AB601" i="15"/>
  <c r="AC601" i="15"/>
  <c r="AD601" i="15"/>
  <c r="AA602" i="15"/>
  <c r="AB602" i="15"/>
  <c r="AC602" i="15"/>
  <c r="AD602" i="15"/>
  <c r="AA603" i="15"/>
  <c r="AB603" i="15"/>
  <c r="AC603" i="15"/>
  <c r="AD603" i="15"/>
  <c r="AA604" i="15"/>
  <c r="AB604" i="15"/>
  <c r="AC604" i="15"/>
  <c r="AD604" i="15"/>
  <c r="AA605" i="15"/>
  <c r="AB605" i="15"/>
  <c r="AC605" i="15"/>
  <c r="AD605" i="15"/>
  <c r="AA606" i="15"/>
  <c r="AB606" i="15"/>
  <c r="AC606" i="15"/>
  <c r="AD606" i="15"/>
  <c r="AA607" i="15"/>
  <c r="AB607" i="15"/>
  <c r="AC607" i="15"/>
  <c r="AD607" i="15"/>
  <c r="AA608" i="15"/>
  <c r="AB608" i="15"/>
  <c r="AC608" i="15"/>
  <c r="AD608" i="15"/>
  <c r="AA609" i="15"/>
  <c r="AB609" i="15"/>
  <c r="AC609" i="15"/>
  <c r="AD609" i="15"/>
  <c r="AA610" i="15"/>
  <c r="AB610" i="15"/>
  <c r="AC610" i="15"/>
  <c r="AD610" i="15"/>
  <c r="AA1087" i="10"/>
  <c r="AB1087" i="10"/>
  <c r="AC1087" i="10"/>
  <c r="AD1087" i="10"/>
  <c r="AA1088" i="10"/>
  <c r="AB1088" i="10"/>
  <c r="AC1088" i="10"/>
  <c r="AD1088" i="10"/>
  <c r="AA1089" i="10"/>
  <c r="AB1089" i="10"/>
  <c r="AC1089" i="10"/>
  <c r="AD1089" i="10"/>
  <c r="AA1090" i="10"/>
  <c r="AB1090" i="10"/>
  <c r="AC1090" i="10"/>
  <c r="AD1090" i="10"/>
  <c r="AA1091" i="10"/>
  <c r="AB1091" i="10"/>
  <c r="AC1091" i="10"/>
  <c r="AD1091" i="10"/>
  <c r="AA1092" i="10"/>
  <c r="AB1092" i="10"/>
  <c r="AC1092" i="10"/>
  <c r="AD1092" i="10"/>
  <c r="AA1093" i="10"/>
  <c r="AB1093" i="10"/>
  <c r="AC1093" i="10"/>
  <c r="AD1093" i="10"/>
  <c r="AA1094" i="10"/>
  <c r="AB1094" i="10"/>
  <c r="AC1094" i="10"/>
  <c r="AD1094" i="10"/>
  <c r="AA1095" i="10"/>
  <c r="AB1095" i="10"/>
  <c r="AC1095" i="10"/>
  <c r="AD1095" i="10"/>
  <c r="AA1096" i="10"/>
  <c r="AB1096" i="10"/>
  <c r="AC1096" i="10"/>
  <c r="AD1096" i="10"/>
  <c r="AA1097" i="10"/>
  <c r="AB1097" i="10"/>
  <c r="AC1097" i="10"/>
  <c r="AD1097" i="10"/>
  <c r="AA1098" i="10"/>
  <c r="AB1098" i="10"/>
  <c r="AC1098" i="10"/>
  <c r="AD1098" i="10"/>
  <c r="H3" i="12" a="1"/>
  <c r="H3" i="12" s="1"/>
  <c r="H4" i="12" a="1"/>
  <c r="H4" i="12" s="1"/>
  <c r="H5" i="12" a="1"/>
  <c r="H5" i="12" s="1"/>
  <c r="H6" i="12" a="1"/>
  <c r="H6" i="12" s="1"/>
  <c r="H7" i="12" a="1"/>
  <c r="H7" i="12" s="1"/>
  <c r="H8" i="12" a="1"/>
  <c r="H8" i="12" s="1"/>
  <c r="H9" i="12" a="1"/>
  <c r="H9" i="12" s="1"/>
  <c r="H10" i="12" a="1"/>
  <c r="H10" i="12" s="1"/>
  <c r="H11" i="12" a="1"/>
  <c r="H11" i="12" s="1"/>
  <c r="H12" i="12" a="1"/>
  <c r="H12" i="12" s="1"/>
  <c r="H13" i="12" a="1"/>
  <c r="H13" i="12" s="1"/>
  <c r="H14" i="12" a="1"/>
  <c r="H14" i="12" s="1"/>
  <c r="H15" i="12" a="1"/>
  <c r="H15" i="12" s="1"/>
  <c r="H16" i="12" a="1"/>
  <c r="H16" i="12" s="1"/>
  <c r="H17" i="12" a="1"/>
  <c r="H17" i="12" s="1"/>
  <c r="H18" i="12" a="1"/>
  <c r="H18" i="12" s="1"/>
  <c r="H19" i="12" a="1"/>
  <c r="H19" i="12" s="1"/>
  <c r="H20" i="12" a="1"/>
  <c r="H20" i="12" s="1"/>
  <c r="H21" i="12" a="1"/>
  <c r="H21" i="12" s="1"/>
  <c r="H22" i="12" a="1"/>
  <c r="H22" i="12" s="1"/>
  <c r="H23" i="12" a="1"/>
  <c r="H23" i="12" s="1"/>
  <c r="H24" i="12" a="1"/>
  <c r="H24" i="12" s="1"/>
  <c r="H25" i="12" a="1"/>
  <c r="H25" i="12" s="1"/>
  <c r="H26" i="12" a="1"/>
  <c r="H26" i="12" s="1"/>
  <c r="H27" i="12" a="1"/>
  <c r="H27" i="12" s="1"/>
  <c r="H28" i="12" a="1"/>
  <c r="H28" i="12" s="1"/>
  <c r="H29" i="12" a="1"/>
  <c r="H29" i="12" s="1"/>
  <c r="H30" i="12" a="1"/>
  <c r="H30" i="12" s="1"/>
  <c r="H31" i="12" a="1"/>
  <c r="H31" i="12" s="1"/>
  <c r="H32" i="12" a="1"/>
  <c r="H32" i="12" s="1"/>
  <c r="H33" i="12" a="1"/>
  <c r="H33" i="12" s="1"/>
  <c r="H34" i="12" a="1"/>
  <c r="H34" i="12" s="1"/>
  <c r="H35" i="12" a="1"/>
  <c r="H35" i="12" s="1"/>
  <c r="H36" i="12" a="1"/>
  <c r="H36" i="12" s="1"/>
  <c r="H37" i="12" a="1"/>
  <c r="H37" i="12" s="1"/>
  <c r="H38" i="12" a="1"/>
  <c r="H38" i="12" s="1"/>
  <c r="H39" i="12" a="1"/>
  <c r="H39" i="12" s="1"/>
  <c r="H40" i="12" a="1"/>
  <c r="H40" i="12" s="1"/>
  <c r="H41" i="12" a="1"/>
  <c r="H41" i="12" s="1"/>
  <c r="H42" i="12" a="1"/>
  <c r="H42" i="12" s="1"/>
  <c r="H43" i="12" a="1"/>
  <c r="H43" i="12" s="1"/>
  <c r="H44" i="12" a="1"/>
  <c r="H44" i="12" s="1"/>
  <c r="H45" i="12" a="1"/>
  <c r="H45" i="12" s="1"/>
  <c r="H46" i="12" a="1"/>
  <c r="H46" i="12" s="1"/>
  <c r="H47" i="12" a="1"/>
  <c r="H47" i="12" s="1"/>
  <c r="H48" i="12" a="1"/>
  <c r="H48" i="12" s="1"/>
  <c r="H49" i="12" a="1"/>
  <c r="H49" i="12" s="1"/>
  <c r="H50" i="12" a="1"/>
  <c r="H50" i="12" s="1"/>
  <c r="H51" i="12" a="1"/>
  <c r="H51" i="12" s="1"/>
  <c r="H52" i="12" a="1"/>
  <c r="H52" i="12" s="1"/>
  <c r="H53" i="12" a="1"/>
  <c r="H53" i="12" s="1"/>
  <c r="H54" i="12" a="1"/>
  <c r="H54" i="12" s="1"/>
  <c r="H55" i="12" a="1"/>
  <c r="H55" i="12" s="1"/>
  <c r="H56" i="12" a="1"/>
  <c r="H56" i="12" s="1"/>
  <c r="H57" i="12" a="1"/>
  <c r="H57" i="12" s="1"/>
  <c r="H58" i="12" a="1"/>
  <c r="H58" i="12" s="1"/>
  <c r="H59" i="12" a="1"/>
  <c r="H59" i="12" s="1"/>
  <c r="H60" i="12" a="1"/>
  <c r="H60" i="12" s="1"/>
  <c r="H61" i="12" a="1"/>
  <c r="H61" i="12" s="1"/>
  <c r="H62" i="12" a="1"/>
  <c r="H62" i="12" s="1"/>
  <c r="H2" i="12" a="1"/>
  <c r="H2" i="12" s="1"/>
  <c r="D46" i="22"/>
  <c r="D50" i="22"/>
  <c r="D8" i="22"/>
  <c r="D51" i="22"/>
  <c r="D47" i="22"/>
  <c r="D36" i="22"/>
  <c r="D34" i="22"/>
  <c r="D48" i="22"/>
  <c r="D20" i="22"/>
  <c r="D52" i="22"/>
  <c r="D12" i="22"/>
  <c r="D37" i="22"/>
  <c r="D35" i="22"/>
  <c r="D38" i="22"/>
  <c r="D43" i="22"/>
  <c r="D14" i="22"/>
  <c r="D57" i="22"/>
  <c r="D31" i="22"/>
  <c r="D32" i="22"/>
  <c r="D6" i="22"/>
  <c r="D26" i="22"/>
  <c r="D9" i="22"/>
  <c r="D22" i="22"/>
  <c r="D41" i="22"/>
  <c r="D10" i="22"/>
  <c r="D42" i="22"/>
  <c r="D23" i="22"/>
  <c r="D39" i="22"/>
  <c r="D21" i="22"/>
  <c r="D33" i="22"/>
  <c r="D45" i="22"/>
  <c r="D16" i="22"/>
  <c r="D40" i="22"/>
  <c r="D13" i="22"/>
  <c r="D30" i="22"/>
  <c r="D53" i="22"/>
  <c r="D19" i="22"/>
  <c r="D2" i="22"/>
  <c r="D11" i="22"/>
  <c r="D24" i="22"/>
  <c r="D49" i="22"/>
  <c r="D15" i="22"/>
  <c r="D54" i="22"/>
  <c r="D25" i="22"/>
  <c r="D17" i="22"/>
  <c r="D4" i="22"/>
  <c r="D27" i="22"/>
  <c r="D29" i="22"/>
  <c r="D3" i="22"/>
  <c r="D28" i="22"/>
  <c r="D56" i="22"/>
  <c r="D18" i="22"/>
  <c r="D5" i="22"/>
  <c r="D7" i="22"/>
  <c r="D44" i="22"/>
  <c r="D55" i="22"/>
  <c r="J3" i="11" a="1"/>
  <c r="J3" i="11" s="1"/>
  <c r="B46" i="22" s="1"/>
  <c r="E46" i="22" s="1"/>
  <c r="J4" i="11" a="1"/>
  <c r="J4" i="11" s="1"/>
  <c r="B50" i="22" s="1"/>
  <c r="E50" i="22" s="1"/>
  <c r="J5" i="11" a="1"/>
  <c r="J5" i="11" s="1"/>
  <c r="B8" i="22" s="1"/>
  <c r="E8" i="22" s="1"/>
  <c r="J6" i="11" a="1"/>
  <c r="J6" i="11" s="1"/>
  <c r="B51" i="22" s="1"/>
  <c r="E51" i="22" s="1"/>
  <c r="J7" i="11" a="1"/>
  <c r="J7" i="11" s="1"/>
  <c r="B47" i="22" s="1"/>
  <c r="E47" i="22" s="1"/>
  <c r="J8" i="11" a="1"/>
  <c r="J8" i="11" s="1"/>
  <c r="B36" i="22" s="1"/>
  <c r="E36" i="22" s="1"/>
  <c r="J9" i="11" a="1"/>
  <c r="J9" i="11" s="1"/>
  <c r="B34" i="22" s="1"/>
  <c r="E34" i="22" s="1"/>
  <c r="J10" i="11" a="1"/>
  <c r="J10" i="11" s="1"/>
  <c r="B48" i="22" s="1"/>
  <c r="E48" i="22" s="1"/>
  <c r="J11" i="11" a="1"/>
  <c r="J11" i="11" s="1"/>
  <c r="B20" i="22" s="1"/>
  <c r="E20" i="22" s="1"/>
  <c r="J12" i="11" a="1"/>
  <c r="J12" i="11" s="1"/>
  <c r="B52" i="22" s="1"/>
  <c r="E52" i="22" s="1"/>
  <c r="J13" i="11" a="1"/>
  <c r="J13" i="11" s="1"/>
  <c r="B12" i="22" s="1"/>
  <c r="E12" i="22" s="1"/>
  <c r="J14" i="11" a="1"/>
  <c r="J14" i="11" s="1"/>
  <c r="B37" i="22" s="1"/>
  <c r="E37" i="22" s="1"/>
  <c r="J15" i="11" a="1"/>
  <c r="J15" i="11" s="1"/>
  <c r="B35" i="22" s="1"/>
  <c r="E35" i="22" s="1"/>
  <c r="J16" i="11" a="1"/>
  <c r="J16" i="11" s="1"/>
  <c r="B38" i="22" s="1"/>
  <c r="E38" i="22" s="1"/>
  <c r="J17" i="11" a="1"/>
  <c r="J17" i="11" s="1"/>
  <c r="B43" i="22" s="1"/>
  <c r="E43" i="22" s="1"/>
  <c r="J18" i="11" a="1"/>
  <c r="J18" i="11" s="1"/>
  <c r="B14" i="22" s="1"/>
  <c r="E14" i="22" s="1"/>
  <c r="J19" i="11" a="1"/>
  <c r="J19" i="11" s="1"/>
  <c r="B57" i="22" s="1"/>
  <c r="E57" i="22" s="1"/>
  <c r="J20" i="11" a="1"/>
  <c r="J20" i="11" s="1"/>
  <c r="B31" i="22" s="1"/>
  <c r="E31" i="22" s="1"/>
  <c r="J21" i="11" a="1"/>
  <c r="J21" i="11" s="1"/>
  <c r="B32" i="22" s="1"/>
  <c r="E32" i="22" s="1"/>
  <c r="J22" i="11" a="1"/>
  <c r="J22" i="11" s="1"/>
  <c r="B6" i="22" s="1"/>
  <c r="E6" i="22" s="1"/>
  <c r="J23" i="11" a="1"/>
  <c r="J23" i="11" s="1"/>
  <c r="B26" i="22" s="1"/>
  <c r="E26" i="22" s="1"/>
  <c r="J24" i="11" a="1"/>
  <c r="J24" i="11" s="1"/>
  <c r="B9" i="22" s="1"/>
  <c r="E9" i="22" s="1"/>
  <c r="J25" i="11" a="1"/>
  <c r="J25" i="11" s="1"/>
  <c r="B22" i="22" s="1"/>
  <c r="E22" i="22" s="1"/>
  <c r="J26" i="11" a="1"/>
  <c r="J26" i="11" s="1"/>
  <c r="B41" i="22" s="1"/>
  <c r="E41" i="22" s="1"/>
  <c r="J27" i="11" a="1"/>
  <c r="J27" i="11" s="1"/>
  <c r="B10" i="22" s="1"/>
  <c r="E10" i="22" s="1"/>
  <c r="J28" i="11" a="1"/>
  <c r="J28" i="11" s="1"/>
  <c r="B42" i="22" s="1"/>
  <c r="E42" i="22" s="1"/>
  <c r="J29" i="11" a="1"/>
  <c r="J29" i="11" s="1"/>
  <c r="B23" i="22" s="1"/>
  <c r="E23" i="22" s="1"/>
  <c r="J30" i="11" a="1"/>
  <c r="J30" i="11" s="1"/>
  <c r="B39" i="22" s="1"/>
  <c r="E39" i="22" s="1"/>
  <c r="J31" i="11" a="1"/>
  <c r="J31" i="11" s="1"/>
  <c r="B21" i="22" s="1"/>
  <c r="E21" i="22" s="1"/>
  <c r="J32" i="11" a="1"/>
  <c r="J32" i="11" s="1"/>
  <c r="B33" i="22" s="1"/>
  <c r="E33" i="22" s="1"/>
  <c r="J33" i="11" a="1"/>
  <c r="J33" i="11" s="1"/>
  <c r="B45" i="22" s="1"/>
  <c r="E45" i="22" s="1"/>
  <c r="J34" i="11" a="1"/>
  <c r="J34" i="11" s="1"/>
  <c r="B16" i="22" s="1"/>
  <c r="E16" i="22" s="1"/>
  <c r="J35" i="11" a="1"/>
  <c r="J35" i="11" s="1"/>
  <c r="B40" i="22" s="1"/>
  <c r="E40" i="22" s="1"/>
  <c r="J36" i="11" a="1"/>
  <c r="J36" i="11" s="1"/>
  <c r="B13" i="22" s="1"/>
  <c r="E13" i="22" s="1"/>
  <c r="J37" i="11" a="1"/>
  <c r="J37" i="11" s="1"/>
  <c r="B30" i="22" s="1"/>
  <c r="E30" i="22" s="1"/>
  <c r="J38" i="11" a="1"/>
  <c r="J38" i="11" s="1"/>
  <c r="B53" i="22" s="1"/>
  <c r="E53" i="22" s="1"/>
  <c r="J39" i="11" a="1"/>
  <c r="J39" i="11" s="1"/>
  <c r="B19" i="22" s="1"/>
  <c r="E19" i="22" s="1"/>
  <c r="J40" i="11" a="1"/>
  <c r="J40" i="11" s="1"/>
  <c r="B2" i="22" s="1"/>
  <c r="E2" i="22" s="1"/>
  <c r="J41" i="11" a="1"/>
  <c r="J41" i="11" s="1"/>
  <c r="B11" i="22" s="1"/>
  <c r="E11" i="22" s="1"/>
  <c r="J42" i="11" a="1"/>
  <c r="J42" i="11" s="1"/>
  <c r="B24" i="22" s="1"/>
  <c r="E24" i="22" s="1"/>
  <c r="J43" i="11" a="1"/>
  <c r="J43" i="11" s="1"/>
  <c r="B49" i="22" s="1"/>
  <c r="E49" i="22" s="1"/>
  <c r="J44" i="11" a="1"/>
  <c r="J44" i="11" s="1"/>
  <c r="B15" i="22" s="1"/>
  <c r="E15" i="22" s="1"/>
  <c r="J45" i="11" a="1"/>
  <c r="J45" i="11" s="1"/>
  <c r="B54" i="22" s="1"/>
  <c r="E54" i="22" s="1"/>
  <c r="J46" i="11" a="1"/>
  <c r="J46" i="11" s="1"/>
  <c r="B25" i="22" s="1"/>
  <c r="E25" i="22" s="1"/>
  <c r="J47" i="11" a="1"/>
  <c r="J47" i="11" s="1"/>
  <c r="B17" i="22" s="1"/>
  <c r="E17" i="22" s="1"/>
  <c r="J48" i="11" a="1"/>
  <c r="J48" i="11" s="1"/>
  <c r="B4" i="22" s="1"/>
  <c r="E4" i="22" s="1"/>
  <c r="J49" i="11" a="1"/>
  <c r="J49" i="11" s="1"/>
  <c r="B27" i="22" s="1"/>
  <c r="E27" i="22" s="1"/>
  <c r="J50" i="11" a="1"/>
  <c r="J50" i="11" s="1"/>
  <c r="B29" i="22" s="1"/>
  <c r="E29" i="22" s="1"/>
  <c r="J51" i="11" a="1"/>
  <c r="J51" i="11" s="1"/>
  <c r="B3" i="22" s="1"/>
  <c r="E3" i="22" s="1"/>
  <c r="J52" i="11" a="1"/>
  <c r="J52" i="11" s="1"/>
  <c r="B28" i="22" s="1"/>
  <c r="E28" i="22" s="1"/>
  <c r="J53" i="11" a="1"/>
  <c r="J53" i="11" s="1"/>
  <c r="B56" i="22" s="1"/>
  <c r="E56" i="22" s="1"/>
  <c r="J54" i="11" a="1"/>
  <c r="J54" i="11" s="1"/>
  <c r="B18" i="22" s="1"/>
  <c r="E18" i="22" s="1"/>
  <c r="J55" i="11" a="1"/>
  <c r="J55" i="11" s="1"/>
  <c r="B5" i="22" s="1"/>
  <c r="E5" i="22" s="1"/>
  <c r="J56" i="11" a="1"/>
  <c r="J56" i="11" s="1"/>
  <c r="B7" i="22" s="1"/>
  <c r="E7" i="22" s="1"/>
  <c r="J57" i="11" a="1"/>
  <c r="J57" i="11" s="1"/>
  <c r="B44" i="22" s="1"/>
  <c r="E44" i="22" s="1"/>
  <c r="J2" i="11" a="1"/>
  <c r="J2" i="11" s="1"/>
  <c r="B55" i="22" s="1"/>
  <c r="E55" i="22" s="1"/>
  <c r="AH1203" i="9" l="1"/>
  <c r="AI1203" i="9"/>
  <c r="AJ1203" i="9"/>
  <c r="AK1203" i="9"/>
  <c r="AH1204" i="9"/>
  <c r="AI1204" i="9"/>
  <c r="AJ1204" i="9"/>
  <c r="AK1204" i="9"/>
  <c r="AH1205" i="9"/>
  <c r="AI1205" i="9"/>
  <c r="AJ1205" i="9"/>
  <c r="AK1205" i="9"/>
  <c r="AH1206" i="9"/>
  <c r="AI1206" i="9"/>
  <c r="AJ1206" i="9"/>
  <c r="AK1206" i="9"/>
  <c r="AH1207" i="9"/>
  <c r="AI1207" i="9"/>
  <c r="AJ1207" i="9"/>
  <c r="AK1207" i="9"/>
  <c r="AH1208" i="9"/>
  <c r="AI1208" i="9"/>
  <c r="AJ1208" i="9"/>
  <c r="AK1208" i="9"/>
  <c r="AH1209" i="9"/>
  <c r="AI1209" i="9"/>
  <c r="AJ1209" i="9"/>
  <c r="AK1209" i="9"/>
  <c r="AH1210" i="9"/>
  <c r="AI1210" i="9"/>
  <c r="AJ1210" i="9"/>
  <c r="AK1210" i="9"/>
  <c r="AH1211" i="9"/>
  <c r="AI1211" i="9"/>
  <c r="AJ1211" i="9"/>
  <c r="AK1211" i="9"/>
  <c r="AH1212" i="9"/>
  <c r="AI1212" i="9"/>
  <c r="AJ1212" i="9"/>
  <c r="AK1212" i="9"/>
  <c r="AH1213" i="9"/>
  <c r="AI1213" i="9"/>
  <c r="AJ1213" i="9"/>
  <c r="AK1213" i="9"/>
  <c r="AH1214" i="9"/>
  <c r="AI1214" i="9"/>
  <c r="AJ1214" i="9"/>
  <c r="AK1214" i="9"/>
  <c r="AH499" i="17"/>
  <c r="AI499" i="17"/>
  <c r="AJ499" i="17"/>
  <c r="AK499" i="17"/>
  <c r="AH500" i="17"/>
  <c r="AI500" i="17"/>
  <c r="AJ500" i="17"/>
  <c r="AK500" i="17"/>
  <c r="AH501" i="17"/>
  <c r="AI501" i="17"/>
  <c r="AJ501" i="17"/>
  <c r="AK501" i="17"/>
  <c r="AH502" i="17"/>
  <c r="AI502" i="17"/>
  <c r="AJ502" i="17"/>
  <c r="AK502" i="17"/>
  <c r="AH503" i="17"/>
  <c r="AI503" i="17"/>
  <c r="AJ503" i="17"/>
  <c r="AK503" i="17"/>
  <c r="AH504" i="17"/>
  <c r="AI504" i="17"/>
  <c r="AJ504" i="17"/>
  <c r="AK504" i="17"/>
  <c r="AH505" i="17"/>
  <c r="AI505" i="17"/>
  <c r="AJ505" i="17"/>
  <c r="AK505" i="17"/>
  <c r="AH506" i="17"/>
  <c r="AI506" i="17"/>
  <c r="AJ506" i="17"/>
  <c r="AK506" i="17"/>
  <c r="AH507" i="17"/>
  <c r="AI507" i="17"/>
  <c r="AJ507" i="17"/>
  <c r="AK507" i="17"/>
  <c r="AH508" i="17"/>
  <c r="AI508" i="17"/>
  <c r="AJ508" i="17"/>
  <c r="AK508" i="17"/>
  <c r="AH509" i="17"/>
  <c r="AI509" i="17"/>
  <c r="AJ509" i="17"/>
  <c r="AK509" i="17"/>
  <c r="AH510" i="17"/>
  <c r="AI510" i="17"/>
  <c r="AJ510" i="17"/>
  <c r="AK510" i="17"/>
  <c r="AH489" i="17"/>
  <c r="AI489" i="17"/>
  <c r="AJ489" i="17"/>
  <c r="AK489" i="17"/>
  <c r="AH490" i="17"/>
  <c r="AI490" i="17"/>
  <c r="AJ490" i="17"/>
  <c r="AK490" i="17"/>
  <c r="AH491" i="17"/>
  <c r="AI491" i="17"/>
  <c r="AJ491" i="17"/>
  <c r="AK491" i="17"/>
  <c r="AH492" i="17"/>
  <c r="AI492" i="17"/>
  <c r="N23" i="16" s="1"/>
  <c r="AJ492" i="17"/>
  <c r="Q23" i="16" s="1"/>
  <c r="AK492" i="17"/>
  <c r="K23" i="16" s="1"/>
  <c r="AH493" i="17"/>
  <c r="AI493" i="17"/>
  <c r="AJ493" i="17"/>
  <c r="AK493" i="17"/>
  <c r="AH494" i="17"/>
  <c r="AI494" i="17"/>
  <c r="AJ494" i="17"/>
  <c r="AK494" i="17"/>
  <c r="AH495" i="17"/>
  <c r="AI495" i="17"/>
  <c r="AJ495" i="17"/>
  <c r="AK495" i="17"/>
  <c r="AH496" i="17"/>
  <c r="AI496" i="17"/>
  <c r="AJ496" i="17"/>
  <c r="AK496" i="17"/>
  <c r="AH497" i="17"/>
  <c r="AI497" i="17"/>
  <c r="AJ497" i="17"/>
  <c r="AK497" i="17"/>
  <c r="AH498" i="17"/>
  <c r="AI498" i="17"/>
  <c r="AJ498" i="17"/>
  <c r="AK498" i="17"/>
  <c r="AH1193" i="9"/>
  <c r="AI1193" i="9"/>
  <c r="AJ1193" i="9"/>
  <c r="AK1193" i="9"/>
  <c r="AH1194" i="9"/>
  <c r="AI1194" i="9"/>
  <c r="AJ1194" i="9"/>
  <c r="AK1194" i="9"/>
  <c r="AH1195" i="9"/>
  <c r="AI1195" i="9"/>
  <c r="AJ1195" i="9"/>
  <c r="AK1195" i="9"/>
  <c r="AH1196" i="9"/>
  <c r="AI1196" i="9"/>
  <c r="AJ1196" i="9"/>
  <c r="AK1196" i="9"/>
  <c r="AH1197" i="9"/>
  <c r="AI1197" i="9"/>
  <c r="AJ1197" i="9"/>
  <c r="AK1197" i="9"/>
  <c r="AH1198" i="9"/>
  <c r="AI1198" i="9"/>
  <c r="AJ1198" i="9"/>
  <c r="AK1198" i="9"/>
  <c r="AH1199" i="9"/>
  <c r="AI1199" i="9"/>
  <c r="AJ1199" i="9"/>
  <c r="AK1199" i="9"/>
  <c r="AH1200" i="9"/>
  <c r="AI1200" i="9"/>
  <c r="AJ1200" i="9"/>
  <c r="AK1200" i="9"/>
  <c r="AH1201" i="9"/>
  <c r="AI1201" i="9"/>
  <c r="AJ1201" i="9"/>
  <c r="AK1201" i="9"/>
  <c r="AH1202" i="9"/>
  <c r="AI1202" i="9"/>
  <c r="AJ1202" i="9"/>
  <c r="AK1202" i="9"/>
  <c r="AH1181" i="9"/>
  <c r="AI1181" i="9"/>
  <c r="AJ1181" i="9"/>
  <c r="AK1181" i="9"/>
  <c r="AH1182" i="9"/>
  <c r="AI1182" i="9"/>
  <c r="AJ1182" i="9"/>
  <c r="AK1182" i="9"/>
  <c r="AH1183" i="9"/>
  <c r="AI1183" i="9"/>
  <c r="AJ1183" i="9"/>
  <c r="AK1183" i="9"/>
  <c r="AH1184" i="9"/>
  <c r="AI1184" i="9"/>
  <c r="AJ1184" i="9"/>
  <c r="AK1184" i="9"/>
  <c r="AH1185" i="9"/>
  <c r="AI1185" i="9"/>
  <c r="AJ1185" i="9"/>
  <c r="AK1185" i="9"/>
  <c r="AH1186" i="9"/>
  <c r="AI1186" i="9"/>
  <c r="AJ1186" i="9"/>
  <c r="AK1186" i="9"/>
  <c r="AH1187" i="9"/>
  <c r="AI1187" i="9"/>
  <c r="AJ1187" i="9"/>
  <c r="AK1187" i="9"/>
  <c r="AH1188" i="9"/>
  <c r="AI1188" i="9"/>
  <c r="AJ1188" i="9"/>
  <c r="AK1188" i="9"/>
  <c r="AH1189" i="9"/>
  <c r="AI1189" i="9"/>
  <c r="AJ1189" i="9"/>
  <c r="AK1189" i="9"/>
  <c r="AH1190" i="9"/>
  <c r="AI1190" i="9"/>
  <c r="AJ1190" i="9"/>
  <c r="AK1190" i="9"/>
  <c r="AH1191" i="9"/>
  <c r="AI1191" i="9"/>
  <c r="AJ1191" i="9"/>
  <c r="AK1191" i="9"/>
  <c r="AH1192" i="9"/>
  <c r="AI1192" i="9"/>
  <c r="AJ1192" i="9"/>
  <c r="AK1192" i="9"/>
  <c r="AH477" i="17"/>
  <c r="AI477" i="17"/>
  <c r="AJ477" i="17"/>
  <c r="AK477" i="17"/>
  <c r="AH478" i="17"/>
  <c r="AI478" i="17"/>
  <c r="AJ478" i="17"/>
  <c r="AK478" i="17"/>
  <c r="AH479" i="17"/>
  <c r="AI479" i="17"/>
  <c r="AJ479" i="17"/>
  <c r="AK479" i="17"/>
  <c r="AH480" i="17"/>
  <c r="AI480" i="17"/>
  <c r="AJ480" i="17"/>
  <c r="AK480" i="17"/>
  <c r="AH481" i="17"/>
  <c r="AI481" i="17"/>
  <c r="N9" i="16" s="1"/>
  <c r="AJ481" i="17"/>
  <c r="Q9" i="16" s="1"/>
  <c r="AK481" i="17"/>
  <c r="K9" i="16" s="1"/>
  <c r="AH482" i="17"/>
  <c r="AI482" i="17"/>
  <c r="AJ482" i="17"/>
  <c r="AK482" i="17"/>
  <c r="AH483" i="17"/>
  <c r="AI483" i="17"/>
  <c r="AJ483" i="17"/>
  <c r="AK483" i="17"/>
  <c r="AH484" i="17"/>
  <c r="AI484" i="17"/>
  <c r="AJ484" i="17"/>
  <c r="AK484" i="17"/>
  <c r="AH485" i="17"/>
  <c r="AI485" i="17"/>
  <c r="AJ485" i="17"/>
  <c r="AK485" i="17"/>
  <c r="AH486" i="17"/>
  <c r="AI486" i="17"/>
  <c r="AJ486" i="17"/>
  <c r="AK486" i="17"/>
  <c r="AH487" i="17"/>
  <c r="AI487" i="17"/>
  <c r="AJ487" i="17"/>
  <c r="AK487" i="17"/>
  <c r="AH488" i="17"/>
  <c r="AI488" i="17"/>
  <c r="AJ488" i="17"/>
  <c r="AK488" i="17"/>
  <c r="AH461" i="17"/>
  <c r="AI461" i="17"/>
  <c r="AJ461" i="17"/>
  <c r="AK461" i="17"/>
  <c r="AH462" i="17"/>
  <c r="AI462" i="17"/>
  <c r="AJ462" i="17"/>
  <c r="AK462" i="17"/>
  <c r="AH463" i="17"/>
  <c r="AI463" i="17"/>
  <c r="AJ463" i="17"/>
  <c r="AK463" i="17"/>
  <c r="AH464" i="17"/>
  <c r="AI464" i="17"/>
  <c r="AJ464" i="17"/>
  <c r="AK464" i="17"/>
  <c r="AH465" i="17"/>
  <c r="AI465" i="17"/>
  <c r="AJ465" i="17"/>
  <c r="AK465" i="17"/>
  <c r="AH466" i="17"/>
  <c r="AI466" i="17"/>
  <c r="AJ466" i="17"/>
  <c r="AK466" i="17"/>
  <c r="AH467" i="17"/>
  <c r="AI467" i="17"/>
  <c r="AJ467" i="17"/>
  <c r="AK467" i="17"/>
  <c r="AH468" i="17"/>
  <c r="AI468" i="17"/>
  <c r="AJ468" i="17"/>
  <c r="AK468" i="17"/>
  <c r="AH469" i="17"/>
  <c r="AI469" i="17"/>
  <c r="AJ469" i="17"/>
  <c r="AK469" i="17"/>
  <c r="AH470" i="17"/>
  <c r="AI470" i="17"/>
  <c r="AJ470" i="17"/>
  <c r="AK470" i="17"/>
  <c r="AH471" i="17"/>
  <c r="AI471" i="17"/>
  <c r="AJ471" i="17"/>
  <c r="AK471" i="17"/>
  <c r="AH472" i="17"/>
  <c r="AI472" i="17"/>
  <c r="AJ472" i="17"/>
  <c r="AK472" i="17"/>
  <c r="AH473" i="17"/>
  <c r="AI473" i="17"/>
  <c r="AJ473" i="17"/>
  <c r="AK473" i="17"/>
  <c r="AH474" i="17"/>
  <c r="AI474" i="17"/>
  <c r="AJ474" i="17"/>
  <c r="AK474" i="17"/>
  <c r="AH475" i="17"/>
  <c r="AI475" i="17"/>
  <c r="AJ475" i="17"/>
  <c r="AK475" i="17"/>
  <c r="AH476" i="17"/>
  <c r="AI476" i="17"/>
  <c r="AJ476" i="17"/>
  <c r="AK476" i="17"/>
  <c r="AH1165" i="9"/>
  <c r="AI1165" i="9"/>
  <c r="AJ1165" i="9"/>
  <c r="AK1165" i="9"/>
  <c r="AH1166" i="9"/>
  <c r="AI1166" i="9"/>
  <c r="AJ1166" i="9"/>
  <c r="AK1166" i="9"/>
  <c r="AH1167" i="9"/>
  <c r="AI1167" i="9"/>
  <c r="AJ1167" i="9"/>
  <c r="AK1167" i="9"/>
  <c r="AH1168" i="9"/>
  <c r="AI1168" i="9"/>
  <c r="AJ1168" i="9"/>
  <c r="AK1168" i="9"/>
  <c r="AH1169" i="9"/>
  <c r="AI1169" i="9"/>
  <c r="AJ1169" i="9"/>
  <c r="AK1169" i="9"/>
  <c r="AH1170" i="9"/>
  <c r="AI1170" i="9"/>
  <c r="AJ1170" i="9"/>
  <c r="AK1170" i="9"/>
  <c r="AH1171" i="9"/>
  <c r="AI1171" i="9"/>
  <c r="AJ1171" i="9"/>
  <c r="AK1171" i="9"/>
  <c r="AH1172" i="9"/>
  <c r="AI1172" i="9"/>
  <c r="AJ1172" i="9"/>
  <c r="AK1172" i="9"/>
  <c r="AH1173" i="9"/>
  <c r="AI1173" i="9"/>
  <c r="AJ1173" i="9"/>
  <c r="AK1173" i="9"/>
  <c r="AH1174" i="9"/>
  <c r="AI1174" i="9"/>
  <c r="AJ1174" i="9"/>
  <c r="AK1174" i="9"/>
  <c r="AH1175" i="9"/>
  <c r="AI1175" i="9"/>
  <c r="AJ1175" i="9"/>
  <c r="AK1175" i="9"/>
  <c r="AH1176" i="9"/>
  <c r="AI1176" i="9"/>
  <c r="AJ1176" i="9"/>
  <c r="AK1176" i="9"/>
  <c r="AH1177" i="9"/>
  <c r="AI1177" i="9"/>
  <c r="AJ1177" i="9"/>
  <c r="AK1177" i="9"/>
  <c r="AH1178" i="9"/>
  <c r="AI1178" i="9"/>
  <c r="AJ1178" i="9"/>
  <c r="AK1178" i="9"/>
  <c r="AH1179" i="9"/>
  <c r="AI1179" i="9"/>
  <c r="AJ1179" i="9"/>
  <c r="AK1179" i="9"/>
  <c r="AH1180" i="9"/>
  <c r="AI1180" i="9"/>
  <c r="AJ1180" i="9"/>
  <c r="AK1180" i="9"/>
  <c r="Q33" i="19"/>
  <c r="R33" i="19"/>
  <c r="S33" i="19"/>
  <c r="T33" i="19"/>
  <c r="U33" i="19"/>
  <c r="V33" i="19"/>
  <c r="W33" i="19"/>
  <c r="X33" i="19"/>
  <c r="Y33" i="19"/>
  <c r="Z33" i="19"/>
  <c r="AA33" i="19"/>
  <c r="AB33" i="19"/>
  <c r="AC33" i="19"/>
  <c r="AD33" i="19"/>
  <c r="AE33" i="19"/>
  <c r="P33" i="19"/>
  <c r="D33" i="19"/>
  <c r="E33" i="19"/>
  <c r="F33" i="19" a="1"/>
  <c r="F33" i="19" s="1"/>
  <c r="G33" i="19"/>
  <c r="H33" i="19"/>
  <c r="I33" i="19"/>
  <c r="J33" i="19"/>
  <c r="K33" i="19" s="1"/>
  <c r="L33" i="19"/>
  <c r="M33" i="19"/>
  <c r="N33" i="19"/>
  <c r="O33" i="19"/>
  <c r="Q26" i="19"/>
  <c r="R26" i="19"/>
  <c r="S26" i="19"/>
  <c r="T26" i="19"/>
  <c r="U26" i="19"/>
  <c r="V26" i="19"/>
  <c r="W26" i="19"/>
  <c r="X26" i="19"/>
  <c r="Y26" i="19"/>
  <c r="Z26" i="19"/>
  <c r="AA26" i="19"/>
  <c r="AB26" i="19"/>
  <c r="AC26" i="19"/>
  <c r="AD26" i="19"/>
  <c r="AE26" i="19"/>
  <c r="P26" i="19"/>
  <c r="D26" i="19"/>
  <c r="E26" i="19"/>
  <c r="F26" i="19" a="1"/>
  <c r="F26" i="19" s="1"/>
  <c r="G26" i="19"/>
  <c r="H26" i="19"/>
  <c r="I26" i="19"/>
  <c r="J26" i="19"/>
  <c r="K26" i="19" s="1"/>
  <c r="L26" i="19"/>
  <c r="M26" i="19"/>
  <c r="N26" i="19" s="1"/>
  <c r="O26" i="19"/>
  <c r="Q19" i="19"/>
  <c r="R19" i="19"/>
  <c r="S19" i="19"/>
  <c r="T19" i="19"/>
  <c r="U19" i="19"/>
  <c r="V19" i="19"/>
  <c r="W19" i="19"/>
  <c r="X19" i="19"/>
  <c r="Y19" i="19"/>
  <c r="Z19" i="19"/>
  <c r="AA19" i="19"/>
  <c r="AB19" i="19"/>
  <c r="AC19" i="19"/>
  <c r="AD19" i="19"/>
  <c r="AE19" i="19"/>
  <c r="P19" i="19"/>
  <c r="D19" i="19"/>
  <c r="E19" i="19"/>
  <c r="F19" i="19" a="1"/>
  <c r="F19" i="19" s="1"/>
  <c r="G19" i="19"/>
  <c r="H19" i="19"/>
  <c r="I19" i="19"/>
  <c r="J19" i="19"/>
  <c r="K19" i="19" s="1"/>
  <c r="L19" i="19"/>
  <c r="M19" i="19"/>
  <c r="N19" i="19" s="1"/>
  <c r="O19" i="19"/>
  <c r="AA220" i="18"/>
  <c r="AB220" i="18"/>
  <c r="AC220" i="18"/>
  <c r="AD220" i="18"/>
  <c r="AA221" i="18"/>
  <c r="AB221" i="18"/>
  <c r="AC221" i="18"/>
  <c r="AD221" i="18"/>
  <c r="AA222" i="18"/>
  <c r="AB222" i="18"/>
  <c r="AC222" i="18"/>
  <c r="AD222" i="18"/>
  <c r="AA223" i="18"/>
  <c r="AB223" i="18"/>
  <c r="AC223" i="18"/>
  <c r="AD223" i="18"/>
  <c r="AA224" i="18"/>
  <c r="AB224" i="18"/>
  <c r="AC224" i="18"/>
  <c r="AD224" i="18"/>
  <c r="AA225" i="18"/>
  <c r="AB225" i="18"/>
  <c r="AC225" i="18"/>
  <c r="AD225" i="18"/>
  <c r="AA226" i="18"/>
  <c r="AB226" i="18"/>
  <c r="AC226" i="18"/>
  <c r="AD226" i="18"/>
  <c r="AA227" i="18"/>
  <c r="AB227" i="18"/>
  <c r="AC227" i="18"/>
  <c r="AD227" i="18"/>
  <c r="AA228" i="18"/>
  <c r="AB228" i="18"/>
  <c r="AC228" i="18"/>
  <c r="AD228" i="18"/>
  <c r="AA229" i="18"/>
  <c r="AB229" i="18"/>
  <c r="AC229" i="18"/>
  <c r="AD229" i="18"/>
  <c r="AA230" i="18"/>
  <c r="AB230" i="18"/>
  <c r="AC230" i="18"/>
  <c r="AD230" i="18"/>
  <c r="AA231" i="18"/>
  <c r="AB231" i="18"/>
  <c r="AC231" i="18"/>
  <c r="AD231" i="18"/>
  <c r="U32" i="13"/>
  <c r="V32" i="13"/>
  <c r="W32" i="13"/>
  <c r="X32" i="13"/>
  <c r="Y32" i="13"/>
  <c r="Z32" i="13"/>
  <c r="AA32" i="13"/>
  <c r="AB32" i="13"/>
  <c r="AC32" i="13"/>
  <c r="AD32" i="13"/>
  <c r="AE32" i="13"/>
  <c r="AF32" i="13"/>
  <c r="AG32" i="13"/>
  <c r="AH32" i="13"/>
  <c r="AI32" i="13"/>
  <c r="T32" i="13"/>
  <c r="H32" i="13"/>
  <c r="I32" i="13"/>
  <c r="J32" i="13" a="1"/>
  <c r="J32" i="13" s="1"/>
  <c r="K32" i="13"/>
  <c r="L32" i="13"/>
  <c r="M32" i="13"/>
  <c r="N32" i="13"/>
  <c r="O32" i="13" s="1"/>
  <c r="P32" i="13"/>
  <c r="Q32" i="13"/>
  <c r="R32" i="13" s="1"/>
  <c r="S32" i="13"/>
  <c r="AD598" i="15"/>
  <c r="AC598" i="15"/>
  <c r="AB598" i="15"/>
  <c r="AA598" i="15"/>
  <c r="AD597" i="15"/>
  <c r="AC597" i="15"/>
  <c r="AB597" i="15"/>
  <c r="AA597" i="15"/>
  <c r="AD596" i="15"/>
  <c r="AC596" i="15"/>
  <c r="AB596" i="15"/>
  <c r="AA596" i="15"/>
  <c r="AD595" i="15"/>
  <c r="AC595" i="15"/>
  <c r="AB595" i="15"/>
  <c r="AA595" i="15"/>
  <c r="AD594" i="15"/>
  <c r="AC594" i="15"/>
  <c r="AB594" i="15"/>
  <c r="AA594" i="15"/>
  <c r="AD593" i="15"/>
  <c r="AC593" i="15"/>
  <c r="AB593" i="15"/>
  <c r="AA593" i="15"/>
  <c r="AD592" i="15"/>
  <c r="AC592" i="15"/>
  <c r="AB592" i="15"/>
  <c r="AA592" i="15"/>
  <c r="AD591" i="15"/>
  <c r="AC591" i="15"/>
  <c r="AB591" i="15"/>
  <c r="AA591" i="15"/>
  <c r="AD590" i="15"/>
  <c r="AC590" i="15"/>
  <c r="AB590" i="15"/>
  <c r="AA590" i="15"/>
  <c r="AD589" i="15"/>
  <c r="AC589" i="15"/>
  <c r="AB589" i="15"/>
  <c r="AA589" i="15"/>
  <c r="AD588" i="15"/>
  <c r="AC588" i="15"/>
  <c r="AB588" i="15"/>
  <c r="AA588" i="15"/>
  <c r="AD587" i="15"/>
  <c r="AC587" i="15"/>
  <c r="AB587" i="15"/>
  <c r="AA587" i="15"/>
  <c r="AA1075" i="10"/>
  <c r="AB1075" i="10"/>
  <c r="AC1075" i="10"/>
  <c r="AD1075" i="10"/>
  <c r="AA1076" i="10"/>
  <c r="AB1076" i="10"/>
  <c r="AC1076" i="10"/>
  <c r="AD1076" i="10"/>
  <c r="AA1077" i="10"/>
  <c r="AB1077" i="10"/>
  <c r="AC1077" i="10"/>
  <c r="AD1077" i="10"/>
  <c r="AA1078" i="10"/>
  <c r="AB1078" i="10"/>
  <c r="AC1078" i="10"/>
  <c r="AD1078" i="10"/>
  <c r="AA1079" i="10"/>
  <c r="AB1079" i="10"/>
  <c r="AC1079" i="10"/>
  <c r="AD1079" i="10"/>
  <c r="AA1080" i="10"/>
  <c r="AB1080" i="10"/>
  <c r="AC1080" i="10"/>
  <c r="AD1080" i="10"/>
  <c r="AA1081" i="10"/>
  <c r="AB1081" i="10"/>
  <c r="AC1081" i="10"/>
  <c r="AD1081" i="10"/>
  <c r="AA1082" i="10"/>
  <c r="AB1082" i="10"/>
  <c r="AC1082" i="10"/>
  <c r="AD1082" i="10"/>
  <c r="AA1083" i="10"/>
  <c r="AB1083" i="10"/>
  <c r="AC1083" i="10"/>
  <c r="AD1083" i="10"/>
  <c r="AA1084" i="10"/>
  <c r="AB1084" i="10"/>
  <c r="AC1084" i="10"/>
  <c r="AD1084" i="10"/>
  <c r="AA1085" i="10"/>
  <c r="AB1085" i="10"/>
  <c r="AC1085" i="10"/>
  <c r="AD1085" i="10"/>
  <c r="AA1086" i="10"/>
  <c r="AB1086" i="10"/>
  <c r="AC1086" i="10"/>
  <c r="AD1086" i="10"/>
  <c r="AH449" i="17"/>
  <c r="AI449" i="17"/>
  <c r="AJ449" i="17"/>
  <c r="AK449" i="17"/>
  <c r="AH450" i="17"/>
  <c r="AI450" i="17"/>
  <c r="AJ450" i="17"/>
  <c r="AK450" i="17"/>
  <c r="AH451" i="17"/>
  <c r="AI451" i="17"/>
  <c r="AJ451" i="17"/>
  <c r="AK451" i="17"/>
  <c r="AH452" i="17"/>
  <c r="AI452" i="17"/>
  <c r="AJ452" i="17"/>
  <c r="AK452" i="17"/>
  <c r="AH453" i="17"/>
  <c r="AI453" i="17"/>
  <c r="AJ453" i="17"/>
  <c r="AK453" i="17"/>
  <c r="AH454" i="17"/>
  <c r="AI454" i="17"/>
  <c r="AJ454" i="17"/>
  <c r="AK454" i="17"/>
  <c r="AH455" i="17"/>
  <c r="AI455" i="17"/>
  <c r="AJ455" i="17"/>
  <c r="AK455" i="17"/>
  <c r="AH456" i="17"/>
  <c r="AI456" i="17"/>
  <c r="AJ456" i="17"/>
  <c r="AK456" i="17"/>
  <c r="AH457" i="17"/>
  <c r="AI457" i="17"/>
  <c r="AJ457" i="17"/>
  <c r="AK457" i="17"/>
  <c r="AH458" i="17"/>
  <c r="AI458" i="17"/>
  <c r="AJ458" i="17"/>
  <c r="AK458" i="17"/>
  <c r="AH459" i="17"/>
  <c r="AI459" i="17"/>
  <c r="AJ459" i="17"/>
  <c r="AK459" i="17"/>
  <c r="AH460" i="17"/>
  <c r="AI460" i="17"/>
  <c r="AJ460" i="17"/>
  <c r="AK460" i="17"/>
  <c r="AH1153" i="9"/>
  <c r="AI1153" i="9"/>
  <c r="AJ1153" i="9"/>
  <c r="AK1153" i="9"/>
  <c r="AH1154" i="9"/>
  <c r="AI1154" i="9"/>
  <c r="AJ1154" i="9"/>
  <c r="AK1154" i="9"/>
  <c r="AH1155" i="9"/>
  <c r="AI1155" i="9"/>
  <c r="AJ1155" i="9"/>
  <c r="AK1155" i="9"/>
  <c r="AH1156" i="9"/>
  <c r="AI1156" i="9"/>
  <c r="AJ1156" i="9"/>
  <c r="AK1156" i="9"/>
  <c r="AH1157" i="9"/>
  <c r="AI1157" i="9"/>
  <c r="AJ1157" i="9"/>
  <c r="AK1157" i="9"/>
  <c r="AH1158" i="9"/>
  <c r="AI1158" i="9"/>
  <c r="AJ1158" i="9"/>
  <c r="AK1158" i="9"/>
  <c r="AH1159" i="9"/>
  <c r="AI1159" i="9"/>
  <c r="AJ1159" i="9"/>
  <c r="AK1159" i="9"/>
  <c r="AH1160" i="9"/>
  <c r="AI1160" i="9"/>
  <c r="AJ1160" i="9"/>
  <c r="AK1160" i="9"/>
  <c r="AH1161" i="9"/>
  <c r="AI1161" i="9"/>
  <c r="AJ1161" i="9"/>
  <c r="AK1161" i="9"/>
  <c r="AH1162" i="9"/>
  <c r="AI1162" i="9"/>
  <c r="AJ1162" i="9"/>
  <c r="AK1162" i="9"/>
  <c r="AH1163" i="9"/>
  <c r="AI1163" i="9"/>
  <c r="AJ1163" i="9"/>
  <c r="AK1163" i="9"/>
  <c r="AH1164" i="9"/>
  <c r="AI1164" i="9"/>
  <c r="AJ1164" i="9"/>
  <c r="AK1164" i="9"/>
  <c r="U38" i="13"/>
  <c r="V38" i="13"/>
  <c r="W38" i="13"/>
  <c r="X38" i="13"/>
  <c r="Y38" i="13"/>
  <c r="Z38" i="13"/>
  <c r="AA38" i="13"/>
  <c r="AB38" i="13"/>
  <c r="AC38" i="13"/>
  <c r="AD38" i="13"/>
  <c r="AE38" i="13"/>
  <c r="AF38" i="13"/>
  <c r="AG38" i="13"/>
  <c r="AH38" i="13"/>
  <c r="AI38" i="13"/>
  <c r="T38" i="13"/>
  <c r="H38" i="13"/>
  <c r="I38" i="13"/>
  <c r="J38" i="13" a="1"/>
  <c r="J38" i="13" s="1"/>
  <c r="K38" i="13"/>
  <c r="L38" i="13"/>
  <c r="M38" i="13"/>
  <c r="N38" i="13"/>
  <c r="O38" i="13" s="1"/>
  <c r="P38" i="13"/>
  <c r="Q38" i="13"/>
  <c r="R38" i="13" s="1"/>
  <c r="S38" i="13"/>
  <c r="T6" i="13"/>
  <c r="H6" i="13"/>
  <c r="I6" i="13"/>
  <c r="J6" i="13" a="1"/>
  <c r="J6" i="13" s="1"/>
  <c r="K6" i="13"/>
  <c r="L6" i="13"/>
  <c r="M6" i="13"/>
  <c r="N6" i="13"/>
  <c r="O6" i="13" s="1"/>
  <c r="P6" i="13"/>
  <c r="Q6" i="13"/>
  <c r="R6" i="13" s="1"/>
  <c r="S6" i="13"/>
  <c r="AA571" i="15"/>
  <c r="AB571" i="15"/>
  <c r="AC571" i="15"/>
  <c r="AD571" i="15"/>
  <c r="AA572" i="15"/>
  <c r="AB572" i="15"/>
  <c r="AC572" i="15"/>
  <c r="AD572" i="15"/>
  <c r="AA573" i="15"/>
  <c r="AB573" i="15"/>
  <c r="AC573" i="15"/>
  <c r="AD573" i="15"/>
  <c r="AA574" i="15"/>
  <c r="AB574" i="15"/>
  <c r="AC574" i="15"/>
  <c r="AD574" i="15"/>
  <c r="AA575" i="15"/>
  <c r="AB575" i="15"/>
  <c r="AC575" i="15"/>
  <c r="AD575" i="15"/>
  <c r="AA576" i="15"/>
  <c r="AB576" i="15"/>
  <c r="AC576" i="15"/>
  <c r="AD576" i="15"/>
  <c r="AA577" i="15"/>
  <c r="AB577" i="15"/>
  <c r="AC577" i="15"/>
  <c r="AD577" i="15"/>
  <c r="AA578" i="15"/>
  <c r="AB578" i="15"/>
  <c r="AC578" i="15"/>
  <c r="AD578" i="15"/>
  <c r="AA579" i="15"/>
  <c r="AB579" i="15"/>
  <c r="AC579" i="15"/>
  <c r="AD579" i="15"/>
  <c r="AA580" i="15"/>
  <c r="AB580" i="15"/>
  <c r="AC580" i="15"/>
  <c r="AD580" i="15"/>
  <c r="AA581" i="15"/>
  <c r="AB581" i="15"/>
  <c r="AC581" i="15"/>
  <c r="AD581" i="15"/>
  <c r="AA582" i="15"/>
  <c r="AB582" i="15"/>
  <c r="AC582" i="15"/>
  <c r="AD582" i="15"/>
  <c r="AA583" i="15"/>
  <c r="AB583" i="15"/>
  <c r="AC583" i="15"/>
  <c r="AD583" i="15"/>
  <c r="AA584" i="15"/>
  <c r="AB584" i="15"/>
  <c r="AC584" i="15"/>
  <c r="AD584" i="15"/>
  <c r="AA585" i="15"/>
  <c r="AB585" i="15"/>
  <c r="AC585" i="15"/>
  <c r="AD585" i="15"/>
  <c r="AA586" i="15"/>
  <c r="AB586" i="15"/>
  <c r="AC586" i="15"/>
  <c r="AD586" i="15"/>
  <c r="V6" i="11"/>
  <c r="W6" i="11"/>
  <c r="X6" i="11"/>
  <c r="Y6" i="11"/>
  <c r="Z6" i="11"/>
  <c r="AA6" i="11"/>
  <c r="AB6" i="11"/>
  <c r="AC6" i="11"/>
  <c r="AD6" i="11"/>
  <c r="AE6" i="11"/>
  <c r="AF6" i="11"/>
  <c r="AG6" i="11"/>
  <c r="AH6" i="11"/>
  <c r="AI6" i="11"/>
  <c r="AJ6" i="11"/>
  <c r="U6" i="11"/>
  <c r="H6" i="11"/>
  <c r="I6" i="11"/>
  <c r="K6" i="11" a="1"/>
  <c r="K6" i="11" s="1"/>
  <c r="L6" i="11"/>
  <c r="M6" i="11"/>
  <c r="N6" i="11"/>
  <c r="O6" i="11"/>
  <c r="P6" i="11" s="1"/>
  <c r="Q6" i="11"/>
  <c r="R6" i="11"/>
  <c r="S6" i="11" s="1"/>
  <c r="T6" i="11"/>
  <c r="AA1059" i="10"/>
  <c r="AB1059" i="10"/>
  <c r="AC1059" i="10"/>
  <c r="AD1059" i="10"/>
  <c r="AA1060" i="10"/>
  <c r="AB1060" i="10"/>
  <c r="AC1060" i="10"/>
  <c r="AD1060" i="10"/>
  <c r="AA1061" i="10"/>
  <c r="AB1061" i="10"/>
  <c r="AC1061" i="10"/>
  <c r="AD1061" i="10"/>
  <c r="AA1062" i="10"/>
  <c r="AB1062" i="10"/>
  <c r="AC1062" i="10"/>
  <c r="AD1062" i="10"/>
  <c r="AA1063" i="10"/>
  <c r="AB1063" i="10"/>
  <c r="AC1063" i="10"/>
  <c r="AD1063" i="10"/>
  <c r="AA1064" i="10"/>
  <c r="AB1064" i="10"/>
  <c r="AC1064" i="10"/>
  <c r="AD1064" i="10"/>
  <c r="AA1065" i="10"/>
  <c r="AB1065" i="10"/>
  <c r="AC1065" i="10"/>
  <c r="AD1065" i="10"/>
  <c r="AA1066" i="10"/>
  <c r="AB1066" i="10"/>
  <c r="AC1066" i="10"/>
  <c r="AD1066" i="10"/>
  <c r="AA1067" i="10"/>
  <c r="AB1067" i="10"/>
  <c r="AC1067" i="10"/>
  <c r="AD1067" i="10"/>
  <c r="AA1068" i="10"/>
  <c r="AB1068" i="10"/>
  <c r="AC1068" i="10"/>
  <c r="AD1068" i="10"/>
  <c r="AA1069" i="10"/>
  <c r="AB1069" i="10"/>
  <c r="AC1069" i="10"/>
  <c r="AD1069" i="10"/>
  <c r="AA1070" i="10"/>
  <c r="AB1070" i="10"/>
  <c r="AC1070" i="10"/>
  <c r="AD1070" i="10"/>
  <c r="AA1071" i="10"/>
  <c r="AB1071" i="10"/>
  <c r="AC1071" i="10"/>
  <c r="AD1071" i="10"/>
  <c r="AA1072" i="10"/>
  <c r="AB1072" i="10"/>
  <c r="AC1072" i="10"/>
  <c r="AD1072" i="10"/>
  <c r="AA1073" i="10"/>
  <c r="AB1073" i="10"/>
  <c r="AC1073" i="10"/>
  <c r="AD1073" i="10"/>
  <c r="AA1074" i="10"/>
  <c r="AB1074" i="10"/>
  <c r="AC1074" i="10"/>
  <c r="AD1074" i="10"/>
  <c r="AA555" i="15"/>
  <c r="AB555" i="15"/>
  <c r="AC555" i="15"/>
  <c r="AD555" i="15"/>
  <c r="AA556" i="15"/>
  <c r="AB556" i="15"/>
  <c r="AC556" i="15"/>
  <c r="AD556" i="15"/>
  <c r="AA557" i="15"/>
  <c r="AB557" i="15"/>
  <c r="AC557" i="15"/>
  <c r="AD557" i="15"/>
  <c r="AA558" i="15"/>
  <c r="AB558" i="15"/>
  <c r="AC558" i="15"/>
  <c r="AD558" i="15"/>
  <c r="AA559" i="15"/>
  <c r="AB559" i="15"/>
  <c r="AC559" i="15"/>
  <c r="AD559" i="15"/>
  <c r="AA560" i="15"/>
  <c r="AB560" i="15"/>
  <c r="AC560" i="15"/>
  <c r="AD560" i="15"/>
  <c r="AA561" i="15"/>
  <c r="AB561" i="15"/>
  <c r="AC561" i="15"/>
  <c r="AD561" i="15"/>
  <c r="AA562" i="15"/>
  <c r="AB562" i="15"/>
  <c r="AC562" i="15"/>
  <c r="AD562" i="15"/>
  <c r="AA563" i="15"/>
  <c r="AB563" i="15"/>
  <c r="AC563" i="15"/>
  <c r="AD563" i="15"/>
  <c r="AA564" i="15"/>
  <c r="AB564" i="15"/>
  <c r="AC564" i="15"/>
  <c r="AD564" i="15"/>
  <c r="AA565" i="15"/>
  <c r="AB565" i="15"/>
  <c r="AC565" i="15"/>
  <c r="AD565" i="15"/>
  <c r="AA566" i="15"/>
  <c r="AB566" i="15"/>
  <c r="AC566" i="15"/>
  <c r="AD566" i="15"/>
  <c r="AA567" i="15"/>
  <c r="AB567" i="15"/>
  <c r="AC567" i="15"/>
  <c r="AD567" i="15"/>
  <c r="AA568" i="15"/>
  <c r="AB568" i="15"/>
  <c r="AC568" i="15"/>
  <c r="AD568" i="15"/>
  <c r="AA569" i="15"/>
  <c r="AB569" i="15"/>
  <c r="AC569" i="15"/>
  <c r="AD569" i="15"/>
  <c r="AA570" i="15"/>
  <c r="AB570" i="15"/>
  <c r="AC570" i="15"/>
  <c r="AD570" i="15"/>
  <c r="AA1043" i="10"/>
  <c r="AB1043" i="10"/>
  <c r="AC1043" i="10"/>
  <c r="AD1043" i="10"/>
  <c r="AA1044" i="10"/>
  <c r="AB1044" i="10"/>
  <c r="AC1044" i="10"/>
  <c r="AD1044" i="10"/>
  <c r="AA1045" i="10"/>
  <c r="AB1045" i="10"/>
  <c r="AC1045" i="10"/>
  <c r="AD1045" i="10"/>
  <c r="AA1046" i="10"/>
  <c r="AB1046" i="10"/>
  <c r="AC1046" i="10"/>
  <c r="AD1046" i="10"/>
  <c r="AA1047" i="10"/>
  <c r="AB1047" i="10"/>
  <c r="AC1047" i="10"/>
  <c r="AD1047" i="10"/>
  <c r="AA1048" i="10"/>
  <c r="AB1048" i="10"/>
  <c r="AC1048" i="10"/>
  <c r="AD1048" i="10"/>
  <c r="AA1049" i="10"/>
  <c r="AB1049" i="10"/>
  <c r="AC1049" i="10"/>
  <c r="AD1049" i="10"/>
  <c r="AA1050" i="10"/>
  <c r="AB1050" i="10"/>
  <c r="AC1050" i="10"/>
  <c r="AD1050" i="10"/>
  <c r="AA1051" i="10"/>
  <c r="AB1051" i="10"/>
  <c r="AC1051" i="10"/>
  <c r="AD1051" i="10"/>
  <c r="AA1052" i="10"/>
  <c r="AB1052" i="10"/>
  <c r="AC1052" i="10"/>
  <c r="AD1052" i="10"/>
  <c r="AA1053" i="10"/>
  <c r="AB1053" i="10"/>
  <c r="AC1053" i="10"/>
  <c r="AD1053" i="10"/>
  <c r="AA1054" i="10"/>
  <c r="AB1054" i="10"/>
  <c r="AC1054" i="10"/>
  <c r="AD1054" i="10"/>
  <c r="AA1055" i="10"/>
  <c r="AB1055" i="10"/>
  <c r="AC1055" i="10"/>
  <c r="AD1055" i="10"/>
  <c r="AA1056" i="10"/>
  <c r="AB1056" i="10"/>
  <c r="AC1056" i="10"/>
  <c r="AD1056" i="10"/>
  <c r="AA1057" i="10"/>
  <c r="AB1057" i="10"/>
  <c r="AC1057" i="10"/>
  <c r="AD1057" i="10"/>
  <c r="AA1058" i="10"/>
  <c r="AB1058" i="10"/>
  <c r="AC1058" i="10"/>
  <c r="AD1058" i="10"/>
  <c r="AH433" i="17"/>
  <c r="AI433" i="17"/>
  <c r="AJ433" i="17"/>
  <c r="AK433" i="17"/>
  <c r="AH434" i="17"/>
  <c r="AI434" i="17"/>
  <c r="AJ434" i="17"/>
  <c r="AK434" i="17"/>
  <c r="AH435" i="17"/>
  <c r="AI435" i="17"/>
  <c r="AJ435" i="17"/>
  <c r="AK435" i="17"/>
  <c r="AH436" i="17"/>
  <c r="AI436" i="17"/>
  <c r="AJ436" i="17"/>
  <c r="AK436" i="17"/>
  <c r="AH437" i="17"/>
  <c r="AI437" i="17"/>
  <c r="AJ437" i="17"/>
  <c r="AK437" i="17"/>
  <c r="AH438" i="17"/>
  <c r="AI438" i="17"/>
  <c r="AJ438" i="17"/>
  <c r="AK438" i="17"/>
  <c r="AH439" i="17"/>
  <c r="AI439" i="17"/>
  <c r="AJ439" i="17"/>
  <c r="AK439" i="17"/>
  <c r="AH440" i="17"/>
  <c r="AI440" i="17"/>
  <c r="AJ440" i="17"/>
  <c r="AK440" i="17"/>
  <c r="AH441" i="17"/>
  <c r="AI441" i="17"/>
  <c r="AJ441" i="17"/>
  <c r="AK441" i="17"/>
  <c r="AH442" i="17"/>
  <c r="AI442" i="17"/>
  <c r="AJ442" i="17"/>
  <c r="AK442" i="17"/>
  <c r="AH443" i="17"/>
  <c r="AI443" i="17"/>
  <c r="AJ443" i="17"/>
  <c r="AK443" i="17"/>
  <c r="AH444" i="17"/>
  <c r="AI444" i="17"/>
  <c r="AJ444" i="17"/>
  <c r="AK444" i="17"/>
  <c r="AH445" i="17"/>
  <c r="AI445" i="17"/>
  <c r="AJ445" i="17"/>
  <c r="AK445" i="17"/>
  <c r="AH446" i="17"/>
  <c r="AI446" i="17"/>
  <c r="AJ446" i="17"/>
  <c r="AK446" i="17"/>
  <c r="AH447" i="17"/>
  <c r="AI447" i="17"/>
  <c r="AJ447" i="17"/>
  <c r="AK447" i="17"/>
  <c r="AH448" i="17"/>
  <c r="AI448" i="17"/>
  <c r="AJ448" i="17"/>
  <c r="AK448" i="17"/>
  <c r="AH1137" i="9"/>
  <c r="AI1137" i="9"/>
  <c r="AJ1137" i="9"/>
  <c r="AK1137" i="9"/>
  <c r="AH1138" i="9"/>
  <c r="AI1138" i="9"/>
  <c r="AJ1138" i="9"/>
  <c r="AK1138" i="9"/>
  <c r="AH1139" i="9"/>
  <c r="AI1139" i="9"/>
  <c r="AJ1139" i="9"/>
  <c r="AK1139" i="9"/>
  <c r="AH1140" i="9"/>
  <c r="AI1140" i="9"/>
  <c r="AJ1140" i="9"/>
  <c r="AK1140" i="9"/>
  <c r="AH1141" i="9"/>
  <c r="AI1141" i="9"/>
  <c r="AJ1141" i="9"/>
  <c r="AK1141" i="9"/>
  <c r="AH1142" i="9"/>
  <c r="AI1142" i="9"/>
  <c r="AJ1142" i="9"/>
  <c r="AK1142" i="9"/>
  <c r="AH1143" i="9"/>
  <c r="AI1143" i="9"/>
  <c r="AJ1143" i="9"/>
  <c r="AK1143" i="9"/>
  <c r="AH1144" i="9"/>
  <c r="AI1144" i="9"/>
  <c r="AJ1144" i="9"/>
  <c r="AK1144" i="9"/>
  <c r="AH1145" i="9"/>
  <c r="AI1145" i="9"/>
  <c r="AJ1145" i="9"/>
  <c r="AK1145" i="9"/>
  <c r="AH1146" i="9"/>
  <c r="AI1146" i="9"/>
  <c r="AJ1146" i="9"/>
  <c r="AK1146" i="9"/>
  <c r="AH1147" i="9"/>
  <c r="AI1147" i="9"/>
  <c r="AJ1147" i="9"/>
  <c r="AK1147" i="9"/>
  <c r="AH1148" i="9"/>
  <c r="AI1148" i="9"/>
  <c r="AJ1148" i="9"/>
  <c r="AK1148" i="9"/>
  <c r="AH1149" i="9"/>
  <c r="AI1149" i="9"/>
  <c r="AJ1149" i="9"/>
  <c r="AK1149" i="9"/>
  <c r="AH1150" i="9"/>
  <c r="AI1150" i="9"/>
  <c r="AJ1150" i="9"/>
  <c r="AK1150" i="9"/>
  <c r="AH1151" i="9"/>
  <c r="AI1151" i="9"/>
  <c r="AJ1151" i="9"/>
  <c r="AK1151" i="9"/>
  <c r="AH1152" i="9"/>
  <c r="AI1152" i="9"/>
  <c r="AJ1152" i="9"/>
  <c r="AK1152" i="9"/>
  <c r="AH1124" i="9"/>
  <c r="AI1124" i="9"/>
  <c r="AJ1124" i="9"/>
  <c r="AK1124" i="9"/>
  <c r="AH1125" i="9"/>
  <c r="AI1125" i="9"/>
  <c r="AJ1125" i="9"/>
  <c r="AK1125" i="9"/>
  <c r="AH1126" i="9"/>
  <c r="AI1126" i="9"/>
  <c r="AJ1126" i="9"/>
  <c r="AK1126" i="9"/>
  <c r="AH1127" i="9"/>
  <c r="AI1127" i="9"/>
  <c r="AJ1127" i="9"/>
  <c r="AK1127" i="9"/>
  <c r="AH1128" i="9"/>
  <c r="AI1128" i="9"/>
  <c r="AJ1128" i="9"/>
  <c r="AK1128" i="9"/>
  <c r="AH1129" i="9"/>
  <c r="AI1129" i="9"/>
  <c r="AJ1129" i="9"/>
  <c r="AK1129" i="9"/>
  <c r="AH1130" i="9"/>
  <c r="AI1130" i="9"/>
  <c r="AJ1130" i="9"/>
  <c r="AK1130" i="9"/>
  <c r="AH1131" i="9"/>
  <c r="AI1131" i="9"/>
  <c r="AJ1131" i="9"/>
  <c r="AK1131" i="9"/>
  <c r="AH1132" i="9"/>
  <c r="AI1132" i="9"/>
  <c r="AJ1132" i="9"/>
  <c r="AK1132" i="9"/>
  <c r="AH1133" i="9"/>
  <c r="AI1133" i="9"/>
  <c r="AJ1133" i="9"/>
  <c r="AK1133" i="9"/>
  <c r="AH1134" i="9"/>
  <c r="AI1134" i="9"/>
  <c r="AJ1134" i="9"/>
  <c r="AK1134" i="9"/>
  <c r="AH1135" i="9"/>
  <c r="AI1135" i="9"/>
  <c r="AJ1135" i="9"/>
  <c r="AK1135" i="9"/>
  <c r="AH1136" i="9"/>
  <c r="AI1136" i="9"/>
  <c r="AJ1136" i="9"/>
  <c r="AK1136" i="9"/>
  <c r="AH420" i="17"/>
  <c r="AI420" i="17"/>
  <c r="AJ420" i="17"/>
  <c r="AK420" i="17"/>
  <c r="AH421" i="17"/>
  <c r="AI421" i="17"/>
  <c r="AJ421" i="17"/>
  <c r="AK421" i="17"/>
  <c r="AH422" i="17"/>
  <c r="AI422" i="17"/>
  <c r="AJ422" i="17"/>
  <c r="AK422" i="17"/>
  <c r="AH423" i="17"/>
  <c r="AI423" i="17"/>
  <c r="AJ423" i="17"/>
  <c r="AK423" i="17"/>
  <c r="AH424" i="17"/>
  <c r="AI424" i="17"/>
  <c r="AJ424" i="17"/>
  <c r="AK424" i="17"/>
  <c r="AH425" i="17"/>
  <c r="AI425" i="17"/>
  <c r="AJ425" i="17"/>
  <c r="AK425" i="17"/>
  <c r="AH426" i="17"/>
  <c r="AI426" i="17"/>
  <c r="AJ426" i="17"/>
  <c r="AK426" i="17"/>
  <c r="AH427" i="17"/>
  <c r="AI427" i="17"/>
  <c r="AJ427" i="17"/>
  <c r="AK427" i="17"/>
  <c r="AH428" i="17"/>
  <c r="AI428" i="17"/>
  <c r="AJ428" i="17"/>
  <c r="AK428" i="17"/>
  <c r="AH429" i="17"/>
  <c r="AI429" i="17"/>
  <c r="AJ429" i="17"/>
  <c r="AK429" i="17"/>
  <c r="AH430" i="17"/>
  <c r="AI430" i="17"/>
  <c r="AJ430" i="17"/>
  <c r="AK430" i="17"/>
  <c r="AH431" i="17"/>
  <c r="AI431" i="17"/>
  <c r="AJ431" i="17"/>
  <c r="AK431" i="17"/>
  <c r="AH432" i="17"/>
  <c r="AI432" i="17"/>
  <c r="AJ432" i="17"/>
  <c r="AK432" i="17"/>
  <c r="S32" i="16"/>
  <c r="T32" i="16"/>
  <c r="U32" i="16"/>
  <c r="V32" i="16"/>
  <c r="W32" i="16"/>
  <c r="X32" i="16"/>
  <c r="Y32" i="16"/>
  <c r="Z32" i="16"/>
  <c r="AA32" i="16"/>
  <c r="AB32" i="16"/>
  <c r="AC32" i="16"/>
  <c r="AD32" i="16"/>
  <c r="AE32" i="16"/>
  <c r="AF32" i="16"/>
  <c r="AG32" i="16"/>
  <c r="AH32" i="16"/>
  <c r="AI32" i="16"/>
  <c r="AJ32" i="16"/>
  <c r="AK32" i="16"/>
  <c r="AL32" i="16"/>
  <c r="AM32" i="16"/>
  <c r="AN32" i="16"/>
  <c r="R32" i="16"/>
  <c r="F32" i="16"/>
  <c r="G32" i="16"/>
  <c r="H32" i="16" a="1"/>
  <c r="H32" i="16" s="1"/>
  <c r="I32" i="16"/>
  <c r="J32" i="16"/>
  <c r="K32" i="16"/>
  <c r="L32" i="16"/>
  <c r="M32" i="16" s="1"/>
  <c r="N32" i="16"/>
  <c r="O32" i="16"/>
  <c r="P32" i="16" s="1"/>
  <c r="Q32" i="16"/>
  <c r="AO43" i="12"/>
  <c r="T43" i="12"/>
  <c r="U43" i="12"/>
  <c r="V43" i="12"/>
  <c r="W43" i="12"/>
  <c r="X43" i="12"/>
  <c r="Y43" i="12"/>
  <c r="Z43" i="12"/>
  <c r="AA43" i="12"/>
  <c r="AB43" i="12"/>
  <c r="AC43" i="12"/>
  <c r="AD43" i="12"/>
  <c r="AE43" i="12"/>
  <c r="AF43" i="12"/>
  <c r="AG43" i="12"/>
  <c r="AH43" i="12"/>
  <c r="AI43" i="12"/>
  <c r="AJ43" i="12"/>
  <c r="AK43" i="12"/>
  <c r="AL43" i="12"/>
  <c r="AM43" i="12"/>
  <c r="AN43" i="12"/>
  <c r="S43" i="12"/>
  <c r="F43" i="12"/>
  <c r="G43" i="12"/>
  <c r="I43" i="12" a="1"/>
  <c r="I43" i="12" s="1"/>
  <c r="J43" i="12"/>
  <c r="K43" i="12"/>
  <c r="L43" i="12"/>
  <c r="M43" i="12"/>
  <c r="N43" i="12" s="1"/>
  <c r="O43" i="12"/>
  <c r="P43" i="12"/>
  <c r="Q43" i="12" s="1"/>
  <c r="R43" i="12"/>
  <c r="AH1112" i="9"/>
  <c r="AI1112" i="9"/>
  <c r="AJ1112" i="9"/>
  <c r="AK1112" i="9"/>
  <c r="AH1113" i="9"/>
  <c r="AI1113" i="9"/>
  <c r="AJ1113" i="9"/>
  <c r="AK1113" i="9"/>
  <c r="AH1114" i="9"/>
  <c r="AI1114" i="9"/>
  <c r="AJ1114" i="9"/>
  <c r="AK1114" i="9"/>
  <c r="AH1115" i="9"/>
  <c r="AI1115" i="9"/>
  <c r="AJ1115" i="9"/>
  <c r="AK1115" i="9"/>
  <c r="AH1116" i="9"/>
  <c r="AI1116" i="9"/>
  <c r="AJ1116" i="9"/>
  <c r="AK1116" i="9"/>
  <c r="AH1117" i="9"/>
  <c r="AI1117" i="9"/>
  <c r="AJ1117" i="9"/>
  <c r="AK1117" i="9"/>
  <c r="AH1118" i="9"/>
  <c r="AI1118" i="9"/>
  <c r="AJ1118" i="9"/>
  <c r="AK1118" i="9"/>
  <c r="AH1119" i="9"/>
  <c r="AI1119" i="9"/>
  <c r="AJ1119" i="9"/>
  <c r="AK1119" i="9"/>
  <c r="AH1120" i="9"/>
  <c r="AI1120" i="9"/>
  <c r="AJ1120" i="9"/>
  <c r="AK1120" i="9"/>
  <c r="AH1121" i="9"/>
  <c r="AI1121" i="9"/>
  <c r="AJ1121" i="9"/>
  <c r="AK1121" i="9"/>
  <c r="AH1122" i="9"/>
  <c r="AI1122" i="9"/>
  <c r="AJ1122" i="9"/>
  <c r="AK1122" i="9"/>
  <c r="AH1123" i="9"/>
  <c r="AI1123" i="9"/>
  <c r="AJ1123" i="9"/>
  <c r="AK1123" i="9"/>
  <c r="AH408" i="17"/>
  <c r="AI408" i="17"/>
  <c r="AJ408" i="17"/>
  <c r="AK408" i="17"/>
  <c r="AH409" i="17"/>
  <c r="AI409" i="17"/>
  <c r="AJ409" i="17"/>
  <c r="AK409" i="17"/>
  <c r="AH410" i="17"/>
  <c r="AI410" i="17"/>
  <c r="AJ410" i="17"/>
  <c r="AK410" i="17"/>
  <c r="AH411" i="17"/>
  <c r="AI411" i="17"/>
  <c r="AJ411" i="17"/>
  <c r="AK411" i="17"/>
  <c r="AH412" i="17"/>
  <c r="AI412" i="17"/>
  <c r="AJ412" i="17"/>
  <c r="AK412" i="17"/>
  <c r="AH413" i="17"/>
  <c r="AI413" i="17"/>
  <c r="AJ413" i="17"/>
  <c r="AK413" i="17"/>
  <c r="AH414" i="17"/>
  <c r="AI414" i="17"/>
  <c r="AJ414" i="17"/>
  <c r="AK414" i="17"/>
  <c r="AH415" i="17"/>
  <c r="AI415" i="17"/>
  <c r="AJ415" i="17"/>
  <c r="AK415" i="17"/>
  <c r="AH416" i="17"/>
  <c r="AI416" i="17"/>
  <c r="AJ416" i="17"/>
  <c r="AK416" i="17"/>
  <c r="AH417" i="17"/>
  <c r="AI417" i="17"/>
  <c r="AJ417" i="17"/>
  <c r="AK417" i="17"/>
  <c r="AH418" i="17"/>
  <c r="AI418" i="17"/>
  <c r="AJ418" i="17"/>
  <c r="AK418" i="17"/>
  <c r="AH419" i="17"/>
  <c r="AI419" i="17"/>
  <c r="AJ419" i="17"/>
  <c r="AK419" i="17"/>
  <c r="S10" i="16"/>
  <c r="T10" i="16"/>
  <c r="U10" i="16"/>
  <c r="V10" i="16"/>
  <c r="W10" i="16"/>
  <c r="X10" i="16"/>
  <c r="Y10" i="16"/>
  <c r="Z10" i="16"/>
  <c r="AA10" i="16"/>
  <c r="AB10" i="16"/>
  <c r="AC10" i="16"/>
  <c r="AD10" i="16"/>
  <c r="AE10" i="16"/>
  <c r="AF10" i="16"/>
  <c r="AG10" i="16"/>
  <c r="AH10" i="16"/>
  <c r="AI10" i="16"/>
  <c r="AJ10" i="16"/>
  <c r="AK10" i="16"/>
  <c r="AL10" i="16"/>
  <c r="AM10" i="16"/>
  <c r="AN10" i="16"/>
  <c r="R10" i="16"/>
  <c r="R8" i="16"/>
  <c r="F10" i="16"/>
  <c r="G10" i="16"/>
  <c r="H10" i="16" a="1"/>
  <c r="H10" i="16" s="1"/>
  <c r="I10" i="16"/>
  <c r="J10" i="16"/>
  <c r="K10" i="16"/>
  <c r="L10" i="16"/>
  <c r="M10" i="16" s="1"/>
  <c r="N10" i="16"/>
  <c r="O10" i="16"/>
  <c r="P10" i="16" s="1"/>
  <c r="Q10" i="16"/>
  <c r="AH396" i="17"/>
  <c r="AI396" i="17"/>
  <c r="AJ396" i="17"/>
  <c r="AK396" i="17"/>
  <c r="AH397" i="17"/>
  <c r="AI397" i="17"/>
  <c r="AJ397" i="17"/>
  <c r="AK397" i="17"/>
  <c r="AH398" i="17"/>
  <c r="AI398" i="17"/>
  <c r="AJ398" i="17"/>
  <c r="AK398" i="17"/>
  <c r="AH399" i="17"/>
  <c r="AI399" i="17"/>
  <c r="AJ399" i="17"/>
  <c r="AK399" i="17"/>
  <c r="AH400" i="17"/>
  <c r="AI400" i="17"/>
  <c r="AJ400" i="17"/>
  <c r="AK400" i="17"/>
  <c r="AH401" i="17"/>
  <c r="AI401" i="17"/>
  <c r="AJ401" i="17"/>
  <c r="AK401" i="17"/>
  <c r="AH402" i="17"/>
  <c r="AI402" i="17"/>
  <c r="AJ402" i="17"/>
  <c r="AK402" i="17"/>
  <c r="AH403" i="17"/>
  <c r="AI403" i="17"/>
  <c r="AJ403" i="17"/>
  <c r="AK403" i="17"/>
  <c r="AH404" i="17"/>
  <c r="AI404" i="17"/>
  <c r="AJ404" i="17"/>
  <c r="AK404" i="17"/>
  <c r="AH405" i="17"/>
  <c r="AI405" i="17"/>
  <c r="AJ405" i="17"/>
  <c r="AK405" i="17"/>
  <c r="AH406" i="17"/>
  <c r="AI406" i="17"/>
  <c r="AJ406" i="17"/>
  <c r="AK406" i="17"/>
  <c r="AH407" i="17"/>
  <c r="AI407" i="17"/>
  <c r="AJ407" i="17"/>
  <c r="AK407" i="17"/>
  <c r="AH1100" i="9"/>
  <c r="AI1100" i="9"/>
  <c r="AJ1100" i="9"/>
  <c r="AK1100" i="9"/>
  <c r="AH1101" i="9"/>
  <c r="AI1101" i="9"/>
  <c r="AJ1101" i="9"/>
  <c r="AK1101" i="9"/>
  <c r="AH1102" i="9"/>
  <c r="AI1102" i="9"/>
  <c r="AJ1102" i="9"/>
  <c r="AK1102" i="9"/>
  <c r="AH1103" i="9"/>
  <c r="AI1103" i="9"/>
  <c r="AJ1103" i="9"/>
  <c r="AK1103" i="9"/>
  <c r="AH1104" i="9"/>
  <c r="AI1104" i="9"/>
  <c r="AJ1104" i="9"/>
  <c r="AK1104" i="9"/>
  <c r="AH1105" i="9"/>
  <c r="AI1105" i="9"/>
  <c r="AJ1105" i="9"/>
  <c r="AK1105" i="9"/>
  <c r="AH1106" i="9"/>
  <c r="AI1106" i="9"/>
  <c r="AJ1106" i="9"/>
  <c r="AK1106" i="9"/>
  <c r="AH1107" i="9"/>
  <c r="AI1107" i="9"/>
  <c r="AJ1107" i="9"/>
  <c r="AK1107" i="9"/>
  <c r="AH1108" i="9"/>
  <c r="AI1108" i="9"/>
  <c r="AJ1108" i="9"/>
  <c r="AK1108" i="9"/>
  <c r="AH1109" i="9"/>
  <c r="AI1109" i="9"/>
  <c r="AJ1109" i="9"/>
  <c r="AK1109" i="9"/>
  <c r="AH1110" i="9"/>
  <c r="AI1110" i="9"/>
  <c r="AJ1110" i="9"/>
  <c r="AK1110" i="9"/>
  <c r="AH1111" i="9"/>
  <c r="AI1111" i="9"/>
  <c r="AJ1111" i="9"/>
  <c r="AK1111" i="9"/>
  <c r="AH381" i="17"/>
  <c r="AI381" i="17"/>
  <c r="AJ381" i="17"/>
  <c r="AK381" i="17"/>
  <c r="AH382" i="17"/>
  <c r="AI382" i="17"/>
  <c r="AJ382" i="17"/>
  <c r="AK382" i="17"/>
  <c r="AH383" i="17"/>
  <c r="AI383" i="17"/>
  <c r="AJ383" i="17"/>
  <c r="AK383" i="17"/>
  <c r="AH384" i="17"/>
  <c r="AI384" i="17"/>
  <c r="AJ384" i="17"/>
  <c r="AK384" i="17"/>
  <c r="AH385" i="17"/>
  <c r="AI385" i="17"/>
  <c r="AJ385" i="17"/>
  <c r="AK385" i="17"/>
  <c r="AH386" i="17"/>
  <c r="AI386" i="17"/>
  <c r="AJ386" i="17"/>
  <c r="AK386" i="17"/>
  <c r="AH387" i="17"/>
  <c r="AI387" i="17"/>
  <c r="AJ387" i="17"/>
  <c r="AK387" i="17"/>
  <c r="AH388" i="17"/>
  <c r="AI388" i="17"/>
  <c r="AJ388" i="17"/>
  <c r="AK388" i="17"/>
  <c r="AH389" i="17"/>
  <c r="AI389" i="17"/>
  <c r="AJ389" i="17"/>
  <c r="AK389" i="17"/>
  <c r="AH390" i="17"/>
  <c r="AI390" i="17"/>
  <c r="AJ390" i="17"/>
  <c r="AK390" i="17"/>
  <c r="AH391" i="17"/>
  <c r="AI391" i="17"/>
  <c r="AJ391" i="17"/>
  <c r="AK391" i="17"/>
  <c r="AH392" i="17"/>
  <c r="AI392" i="17"/>
  <c r="AJ392" i="17"/>
  <c r="AK392" i="17"/>
  <c r="AH393" i="17"/>
  <c r="AI393" i="17"/>
  <c r="AJ393" i="17"/>
  <c r="AK393" i="17"/>
  <c r="AH394" i="17"/>
  <c r="AI394" i="17"/>
  <c r="AJ394" i="17"/>
  <c r="AK394" i="17"/>
  <c r="AH395" i="17"/>
  <c r="AI395" i="17"/>
  <c r="AJ395" i="17"/>
  <c r="AK395" i="17"/>
  <c r="AH1085" i="9"/>
  <c r="AI1085" i="9"/>
  <c r="AJ1085" i="9"/>
  <c r="AK1085" i="9"/>
  <c r="AH1086" i="9"/>
  <c r="AI1086" i="9"/>
  <c r="AJ1086" i="9"/>
  <c r="AK1086" i="9"/>
  <c r="AH1087" i="9"/>
  <c r="AI1087" i="9"/>
  <c r="AJ1087" i="9"/>
  <c r="AK1087" i="9"/>
  <c r="AH1088" i="9"/>
  <c r="AI1088" i="9"/>
  <c r="AJ1088" i="9"/>
  <c r="AK1088" i="9"/>
  <c r="AH1089" i="9"/>
  <c r="AI1089" i="9"/>
  <c r="AJ1089" i="9"/>
  <c r="AK1089" i="9"/>
  <c r="AH1090" i="9"/>
  <c r="AI1090" i="9"/>
  <c r="AJ1090" i="9"/>
  <c r="AK1090" i="9"/>
  <c r="AH1091" i="9"/>
  <c r="AI1091" i="9"/>
  <c r="AJ1091" i="9"/>
  <c r="AK1091" i="9"/>
  <c r="AH1092" i="9"/>
  <c r="AI1092" i="9"/>
  <c r="AJ1092" i="9"/>
  <c r="AK1092" i="9"/>
  <c r="AH1093" i="9"/>
  <c r="AI1093" i="9"/>
  <c r="AJ1093" i="9"/>
  <c r="AK1093" i="9"/>
  <c r="AH1094" i="9"/>
  <c r="AI1094" i="9"/>
  <c r="AJ1094" i="9"/>
  <c r="AK1094" i="9"/>
  <c r="AH1095" i="9"/>
  <c r="AI1095" i="9"/>
  <c r="AJ1095" i="9"/>
  <c r="AK1095" i="9"/>
  <c r="AH1096" i="9"/>
  <c r="AI1096" i="9"/>
  <c r="AJ1096" i="9"/>
  <c r="AK1096" i="9"/>
  <c r="AH1097" i="9"/>
  <c r="AI1097" i="9"/>
  <c r="AJ1097" i="9"/>
  <c r="AK1097" i="9"/>
  <c r="AH1098" i="9"/>
  <c r="AI1098" i="9"/>
  <c r="AJ1098" i="9"/>
  <c r="AK1098" i="9"/>
  <c r="AH1099" i="9"/>
  <c r="AI1099" i="9"/>
  <c r="AJ1099" i="9"/>
  <c r="AK1099" i="9"/>
  <c r="AH365" i="17"/>
  <c r="AI365" i="17"/>
  <c r="AJ365" i="17"/>
  <c r="AK365" i="17"/>
  <c r="AH366" i="17"/>
  <c r="AI366" i="17"/>
  <c r="AJ366" i="17"/>
  <c r="AK366" i="17"/>
  <c r="AH367" i="17"/>
  <c r="AI367" i="17"/>
  <c r="AJ367" i="17"/>
  <c r="AK367" i="17"/>
  <c r="AH368" i="17"/>
  <c r="AI368" i="17"/>
  <c r="AJ368" i="17"/>
  <c r="AK368" i="17"/>
  <c r="AH369" i="17"/>
  <c r="AI369" i="17"/>
  <c r="AJ369" i="17"/>
  <c r="AK369" i="17"/>
  <c r="AH370" i="17"/>
  <c r="AI370" i="17"/>
  <c r="AJ370" i="17"/>
  <c r="AK370" i="17"/>
  <c r="AH371" i="17"/>
  <c r="AI371" i="17"/>
  <c r="AJ371" i="17"/>
  <c r="AK371" i="17"/>
  <c r="AH372" i="17"/>
  <c r="AI372" i="17"/>
  <c r="AJ372" i="17"/>
  <c r="AK372" i="17"/>
  <c r="AH373" i="17"/>
  <c r="AI373" i="17"/>
  <c r="AJ373" i="17"/>
  <c r="AK373" i="17"/>
  <c r="AH374" i="17"/>
  <c r="AI374" i="17"/>
  <c r="AJ374" i="17"/>
  <c r="AK374" i="17"/>
  <c r="AH375" i="17"/>
  <c r="AI375" i="17"/>
  <c r="AJ375" i="17"/>
  <c r="AK375" i="17"/>
  <c r="AH376" i="17"/>
  <c r="AI376" i="17"/>
  <c r="AJ376" i="17"/>
  <c r="AK376" i="17"/>
  <c r="AH377" i="17"/>
  <c r="AI377" i="17"/>
  <c r="AJ377" i="17"/>
  <c r="AK377" i="17"/>
  <c r="AH378" i="17"/>
  <c r="AI378" i="17"/>
  <c r="AJ378" i="17"/>
  <c r="AK378" i="17"/>
  <c r="AH379" i="17"/>
  <c r="AI379" i="17"/>
  <c r="AJ379" i="17"/>
  <c r="AK379" i="17"/>
  <c r="AH380" i="17"/>
  <c r="AI380" i="17"/>
  <c r="AJ380" i="17"/>
  <c r="AK380" i="17"/>
  <c r="AH1069" i="9"/>
  <c r="AI1069" i="9"/>
  <c r="AJ1069" i="9"/>
  <c r="AK1069" i="9"/>
  <c r="AH1070" i="9"/>
  <c r="AI1070" i="9"/>
  <c r="AJ1070" i="9"/>
  <c r="AK1070" i="9"/>
  <c r="AH1071" i="9"/>
  <c r="AI1071" i="9"/>
  <c r="AJ1071" i="9"/>
  <c r="AK1071" i="9"/>
  <c r="AH1072" i="9"/>
  <c r="AI1072" i="9"/>
  <c r="AJ1072" i="9"/>
  <c r="AK1072" i="9"/>
  <c r="AH1073" i="9"/>
  <c r="AI1073" i="9"/>
  <c r="AJ1073" i="9"/>
  <c r="AK1073" i="9"/>
  <c r="AH1074" i="9"/>
  <c r="AI1074" i="9"/>
  <c r="AJ1074" i="9"/>
  <c r="AK1074" i="9"/>
  <c r="AH1075" i="9"/>
  <c r="AI1075" i="9"/>
  <c r="AJ1075" i="9"/>
  <c r="AK1075" i="9"/>
  <c r="AH1076" i="9"/>
  <c r="AI1076" i="9"/>
  <c r="AJ1076" i="9"/>
  <c r="AK1076" i="9"/>
  <c r="AH1077" i="9"/>
  <c r="AI1077" i="9"/>
  <c r="AJ1077" i="9"/>
  <c r="AK1077" i="9"/>
  <c r="AH1078" i="9"/>
  <c r="AI1078" i="9"/>
  <c r="AJ1078" i="9"/>
  <c r="AK1078" i="9"/>
  <c r="AH1079" i="9"/>
  <c r="AI1079" i="9"/>
  <c r="AJ1079" i="9"/>
  <c r="AK1079" i="9"/>
  <c r="AH1080" i="9"/>
  <c r="AI1080" i="9"/>
  <c r="AJ1080" i="9"/>
  <c r="AK1080" i="9"/>
  <c r="AH1081" i="9"/>
  <c r="AI1081" i="9"/>
  <c r="AJ1081" i="9"/>
  <c r="AK1081" i="9"/>
  <c r="AH1082" i="9"/>
  <c r="AI1082" i="9"/>
  <c r="AJ1082" i="9"/>
  <c r="AK1082" i="9"/>
  <c r="AH1083" i="9"/>
  <c r="AI1083" i="9"/>
  <c r="AJ1083" i="9"/>
  <c r="AK1083" i="9"/>
  <c r="AH1084" i="9"/>
  <c r="AI1084" i="9"/>
  <c r="AJ1084" i="9"/>
  <c r="AK1084" i="9"/>
  <c r="AA208" i="18"/>
  <c r="AB208" i="18"/>
  <c r="AC208" i="18"/>
  <c r="AD208" i="18"/>
  <c r="AA209" i="18"/>
  <c r="AB209" i="18"/>
  <c r="AC209" i="18"/>
  <c r="AD209" i="18"/>
  <c r="AA210" i="18"/>
  <c r="AB210" i="18"/>
  <c r="AC210" i="18"/>
  <c r="AD210" i="18"/>
  <c r="AA211" i="18"/>
  <c r="AB211" i="18"/>
  <c r="AC211" i="18"/>
  <c r="AD211" i="18"/>
  <c r="AA212" i="18"/>
  <c r="AB212" i="18"/>
  <c r="AC212" i="18"/>
  <c r="AD212" i="18"/>
  <c r="AA213" i="18"/>
  <c r="AB213" i="18"/>
  <c r="AC213" i="18"/>
  <c r="AD213" i="18"/>
  <c r="AA214" i="18"/>
  <c r="AB214" i="18"/>
  <c r="AC214" i="18"/>
  <c r="AD214" i="18"/>
  <c r="AA215" i="18"/>
  <c r="AB215" i="18"/>
  <c r="AC215" i="18"/>
  <c r="AD215" i="18"/>
  <c r="AA216" i="18"/>
  <c r="AB216" i="18"/>
  <c r="AC216" i="18"/>
  <c r="AD216" i="18"/>
  <c r="AA217" i="18"/>
  <c r="AB217" i="18"/>
  <c r="AC217" i="18"/>
  <c r="AD217" i="18"/>
  <c r="AA218" i="18"/>
  <c r="AB218" i="18"/>
  <c r="AC218" i="18"/>
  <c r="AD218" i="18"/>
  <c r="AA219" i="18"/>
  <c r="AB219" i="18"/>
  <c r="AC219" i="18"/>
  <c r="AD219" i="18"/>
  <c r="U29" i="13"/>
  <c r="V29" i="13"/>
  <c r="W29" i="13"/>
  <c r="X29" i="13"/>
  <c r="Y29" i="13"/>
  <c r="Z29" i="13"/>
  <c r="AA29" i="13"/>
  <c r="AB29" i="13"/>
  <c r="AC29" i="13"/>
  <c r="AD29" i="13"/>
  <c r="AE29" i="13"/>
  <c r="AF29" i="13"/>
  <c r="AG29" i="13"/>
  <c r="AH29" i="13"/>
  <c r="AI29" i="13"/>
  <c r="T29" i="13"/>
  <c r="H29" i="13"/>
  <c r="I29" i="13"/>
  <c r="J29" i="13" a="1"/>
  <c r="J29" i="13" s="1"/>
  <c r="K29" i="13"/>
  <c r="L29" i="13"/>
  <c r="M29" i="13"/>
  <c r="N29" i="13"/>
  <c r="O29" i="13" s="1"/>
  <c r="P29" i="13"/>
  <c r="Q29" i="13"/>
  <c r="R29" i="13" s="1"/>
  <c r="S29" i="13"/>
  <c r="AA543" i="15"/>
  <c r="AB543" i="15"/>
  <c r="AC543" i="15"/>
  <c r="AD543" i="15"/>
  <c r="AA544" i="15"/>
  <c r="AB544" i="15"/>
  <c r="AC544" i="15"/>
  <c r="AD544" i="15"/>
  <c r="AA545" i="15"/>
  <c r="AB545" i="15"/>
  <c r="AC545" i="15"/>
  <c r="AD545" i="15"/>
  <c r="AA546" i="15"/>
  <c r="AB546" i="15"/>
  <c r="AC546" i="15"/>
  <c r="AD546" i="15"/>
  <c r="AA547" i="15"/>
  <c r="AB547" i="15"/>
  <c r="AC547" i="15"/>
  <c r="AD547" i="15"/>
  <c r="AA548" i="15"/>
  <c r="AB548" i="15"/>
  <c r="AC548" i="15"/>
  <c r="AD548" i="15"/>
  <c r="AA549" i="15"/>
  <c r="AB549" i="15"/>
  <c r="AC549" i="15"/>
  <c r="AD549" i="15"/>
  <c r="AA550" i="15"/>
  <c r="AB550" i="15"/>
  <c r="AC550" i="15"/>
  <c r="AD550" i="15"/>
  <c r="AA551" i="15"/>
  <c r="AB551" i="15"/>
  <c r="AC551" i="15"/>
  <c r="AD551" i="15"/>
  <c r="AA552" i="15"/>
  <c r="AB552" i="15"/>
  <c r="AC552" i="15"/>
  <c r="AD552" i="15"/>
  <c r="AA553" i="15"/>
  <c r="AB553" i="15"/>
  <c r="AC553" i="15"/>
  <c r="AD553" i="15"/>
  <c r="AA554" i="15"/>
  <c r="AB554" i="15"/>
  <c r="AC554" i="15"/>
  <c r="AD554" i="15"/>
  <c r="AA1031" i="10"/>
  <c r="AB1031" i="10"/>
  <c r="AC1031" i="10"/>
  <c r="AD1031" i="10"/>
  <c r="AA1032" i="10"/>
  <c r="AB1032" i="10"/>
  <c r="AC1032" i="10"/>
  <c r="AD1032" i="10"/>
  <c r="AA1033" i="10"/>
  <c r="AB1033" i="10"/>
  <c r="AC1033" i="10"/>
  <c r="AD1033" i="10"/>
  <c r="AA1034" i="10"/>
  <c r="AB1034" i="10"/>
  <c r="AC1034" i="10"/>
  <c r="AD1034" i="10"/>
  <c r="AA1035" i="10"/>
  <c r="AB1035" i="10"/>
  <c r="AC1035" i="10"/>
  <c r="AD1035" i="10"/>
  <c r="AA1036" i="10"/>
  <c r="AB1036" i="10"/>
  <c r="AC1036" i="10"/>
  <c r="AD1036" i="10"/>
  <c r="AA1037" i="10"/>
  <c r="AB1037" i="10"/>
  <c r="AC1037" i="10"/>
  <c r="AD1037" i="10"/>
  <c r="AA1038" i="10"/>
  <c r="AB1038" i="10"/>
  <c r="AC1038" i="10"/>
  <c r="AD1038" i="10"/>
  <c r="AA1039" i="10"/>
  <c r="AB1039" i="10"/>
  <c r="AC1039" i="10"/>
  <c r="AD1039" i="10"/>
  <c r="AA1040" i="10"/>
  <c r="AB1040" i="10"/>
  <c r="AC1040" i="10"/>
  <c r="AD1040" i="10"/>
  <c r="AA1041" i="10"/>
  <c r="AB1041" i="10"/>
  <c r="AC1041" i="10"/>
  <c r="AD1041" i="10"/>
  <c r="AA1042" i="10"/>
  <c r="AB1042" i="10"/>
  <c r="AC1042" i="10"/>
  <c r="AD1042" i="10"/>
  <c r="AI11" i="12"/>
  <c r="AJ11" i="12"/>
  <c r="AK11" i="12"/>
  <c r="AL11" i="12"/>
  <c r="AM11" i="12"/>
  <c r="AN11" i="12"/>
  <c r="AO11" i="12"/>
  <c r="AA1017" i="10"/>
  <c r="AB1017" i="10"/>
  <c r="AC1017" i="10"/>
  <c r="AD1017" i="10"/>
  <c r="AA1018" i="10"/>
  <c r="AB1018" i="10"/>
  <c r="AC1018" i="10"/>
  <c r="AD1018" i="10"/>
  <c r="AA1019" i="10"/>
  <c r="AB1019" i="10"/>
  <c r="AC1019" i="10"/>
  <c r="AD1019" i="10"/>
  <c r="AA1020" i="10"/>
  <c r="AB1020" i="10"/>
  <c r="AC1020" i="10"/>
  <c r="AD1020" i="10"/>
  <c r="AA1021" i="10"/>
  <c r="AB1021" i="10"/>
  <c r="AC1021" i="10"/>
  <c r="AD1021" i="10"/>
  <c r="AA1022" i="10"/>
  <c r="AB1022" i="10"/>
  <c r="AC1022" i="10"/>
  <c r="AD1022" i="10"/>
  <c r="AA1023" i="10"/>
  <c r="AB1023" i="10"/>
  <c r="AC1023" i="10"/>
  <c r="AD1023" i="10"/>
  <c r="AA1024" i="10"/>
  <c r="AB1024" i="10"/>
  <c r="AC1024" i="10"/>
  <c r="AD1024" i="10"/>
  <c r="AA1025" i="10"/>
  <c r="AB1025" i="10"/>
  <c r="AC1025" i="10"/>
  <c r="AD1025" i="10"/>
  <c r="AA1026" i="10"/>
  <c r="AB1026" i="10"/>
  <c r="AC1026" i="10"/>
  <c r="AD1026" i="10"/>
  <c r="AA1027" i="10"/>
  <c r="AB1027" i="10"/>
  <c r="AC1027" i="10"/>
  <c r="AD1027" i="10"/>
  <c r="AA1028" i="10"/>
  <c r="AB1028" i="10"/>
  <c r="AC1028" i="10"/>
  <c r="AD1028" i="10"/>
  <c r="AA1029" i="10"/>
  <c r="AB1029" i="10"/>
  <c r="AC1029" i="10"/>
  <c r="AD1029" i="10"/>
  <c r="AA1030" i="10"/>
  <c r="AB1030" i="10"/>
  <c r="AC1030" i="10"/>
  <c r="AD1030" i="10"/>
  <c r="U26" i="13"/>
  <c r="V26" i="13"/>
  <c r="W26" i="13"/>
  <c r="X26" i="13"/>
  <c r="Y26" i="13"/>
  <c r="Z26" i="13"/>
  <c r="AA26" i="13"/>
  <c r="AB26" i="13"/>
  <c r="AC26" i="13"/>
  <c r="AD26" i="13"/>
  <c r="AE26" i="13"/>
  <c r="AF26" i="13"/>
  <c r="AG26" i="13"/>
  <c r="AH26" i="13"/>
  <c r="AI26" i="13"/>
  <c r="T26" i="13"/>
  <c r="H26" i="13"/>
  <c r="I26" i="13"/>
  <c r="J26" i="13" a="1"/>
  <c r="J26" i="13" s="1"/>
  <c r="K26" i="13"/>
  <c r="L26" i="13"/>
  <c r="M26" i="13"/>
  <c r="N26" i="13"/>
  <c r="O26" i="13" s="1"/>
  <c r="P26" i="13"/>
  <c r="Q26" i="13"/>
  <c r="R26" i="13" s="1"/>
  <c r="S26" i="13"/>
  <c r="AA529" i="15"/>
  <c r="AB529" i="15"/>
  <c r="AC529" i="15"/>
  <c r="AD529" i="15"/>
  <c r="AA530" i="15"/>
  <c r="AB530" i="15"/>
  <c r="AC530" i="15"/>
  <c r="AD530" i="15"/>
  <c r="AA531" i="15"/>
  <c r="AB531" i="15"/>
  <c r="AC531" i="15"/>
  <c r="AD531" i="15"/>
  <c r="AA532" i="15"/>
  <c r="AB532" i="15"/>
  <c r="AC532" i="15"/>
  <c r="AD532" i="15"/>
  <c r="AA533" i="15"/>
  <c r="AB533" i="15"/>
  <c r="AC533" i="15"/>
  <c r="AD533" i="15"/>
  <c r="AA534" i="15"/>
  <c r="AB534" i="15"/>
  <c r="AC534" i="15"/>
  <c r="AD534" i="15"/>
  <c r="AA535" i="15"/>
  <c r="AB535" i="15"/>
  <c r="AC535" i="15"/>
  <c r="AD535" i="15"/>
  <c r="AA536" i="15"/>
  <c r="AB536" i="15"/>
  <c r="AC536" i="15"/>
  <c r="AD536" i="15"/>
  <c r="AA537" i="15"/>
  <c r="AB537" i="15"/>
  <c r="AC537" i="15"/>
  <c r="AD537" i="15"/>
  <c r="AA538" i="15"/>
  <c r="AB538" i="15"/>
  <c r="AC538" i="15"/>
  <c r="AD538" i="15"/>
  <c r="AA539" i="15"/>
  <c r="AB539" i="15"/>
  <c r="AC539" i="15"/>
  <c r="AD539" i="15"/>
  <c r="AA540" i="15"/>
  <c r="AB540" i="15"/>
  <c r="AC540" i="15"/>
  <c r="AD540" i="15"/>
  <c r="AA541" i="15"/>
  <c r="AB541" i="15"/>
  <c r="AC541" i="15"/>
  <c r="AD541" i="15"/>
  <c r="AA542" i="15"/>
  <c r="AB542" i="15"/>
  <c r="AC542" i="15"/>
  <c r="AD542" i="15"/>
  <c r="AA515" i="15"/>
  <c r="AB515" i="15"/>
  <c r="AC515" i="15"/>
  <c r="AD515" i="15"/>
  <c r="AA516" i="15"/>
  <c r="AB516" i="15"/>
  <c r="AC516" i="15"/>
  <c r="AD516" i="15"/>
  <c r="AA517" i="15"/>
  <c r="AB517" i="15"/>
  <c r="AC517" i="15"/>
  <c r="AD517" i="15"/>
  <c r="AA518" i="15"/>
  <c r="AB518" i="15"/>
  <c r="AC518" i="15"/>
  <c r="AD518" i="15"/>
  <c r="AA519" i="15"/>
  <c r="AB519" i="15"/>
  <c r="AC519" i="15"/>
  <c r="AD519" i="15"/>
  <c r="AA520" i="15"/>
  <c r="AB520" i="15"/>
  <c r="AC520" i="15"/>
  <c r="AD520" i="15"/>
  <c r="AA521" i="15"/>
  <c r="AB521" i="15"/>
  <c r="AC521" i="15"/>
  <c r="AD521" i="15"/>
  <c r="AA522" i="15"/>
  <c r="AB522" i="15"/>
  <c r="AC522" i="15"/>
  <c r="AD522" i="15"/>
  <c r="AA523" i="15"/>
  <c r="AB523" i="15"/>
  <c r="AC523" i="15"/>
  <c r="AD523" i="15"/>
  <c r="AA524" i="15"/>
  <c r="AB524" i="15"/>
  <c r="AC524" i="15"/>
  <c r="AD524" i="15"/>
  <c r="AA525" i="15"/>
  <c r="AB525" i="15"/>
  <c r="AC525" i="15"/>
  <c r="AD525" i="15"/>
  <c r="AA526" i="15"/>
  <c r="AB526" i="15"/>
  <c r="AC526" i="15"/>
  <c r="AD526" i="15"/>
  <c r="AA527" i="15"/>
  <c r="AB527" i="15"/>
  <c r="AC527" i="15"/>
  <c r="AD527" i="15"/>
  <c r="AA528" i="15"/>
  <c r="AB528" i="15"/>
  <c r="AC528" i="15"/>
  <c r="AD528" i="15"/>
  <c r="AA1003" i="10"/>
  <c r="AB1003" i="10"/>
  <c r="AC1003" i="10"/>
  <c r="AD1003" i="10"/>
  <c r="AA1004" i="10"/>
  <c r="AB1004" i="10"/>
  <c r="AC1004" i="10"/>
  <c r="AD1004" i="10"/>
  <c r="AA1005" i="10"/>
  <c r="AB1005" i="10"/>
  <c r="AC1005" i="10"/>
  <c r="AD1005" i="10"/>
  <c r="AA1006" i="10"/>
  <c r="AB1006" i="10"/>
  <c r="AC1006" i="10"/>
  <c r="AD1006" i="10"/>
  <c r="AA1007" i="10"/>
  <c r="AB1007" i="10"/>
  <c r="AC1007" i="10"/>
  <c r="AD1007" i="10"/>
  <c r="AA1008" i="10"/>
  <c r="AB1008" i="10"/>
  <c r="AC1008" i="10"/>
  <c r="AD1008" i="10"/>
  <c r="AA1009" i="10"/>
  <c r="AB1009" i="10"/>
  <c r="AC1009" i="10"/>
  <c r="AD1009" i="10"/>
  <c r="AA1010" i="10"/>
  <c r="AB1010" i="10"/>
  <c r="AC1010" i="10"/>
  <c r="AD1010" i="10"/>
  <c r="AA1011" i="10"/>
  <c r="AB1011" i="10"/>
  <c r="AC1011" i="10"/>
  <c r="AD1011" i="10"/>
  <c r="AA1012" i="10"/>
  <c r="AB1012" i="10"/>
  <c r="AC1012" i="10"/>
  <c r="AD1012" i="10"/>
  <c r="AA1013" i="10"/>
  <c r="AB1013" i="10"/>
  <c r="AC1013" i="10"/>
  <c r="AD1013" i="10"/>
  <c r="AA1014" i="10"/>
  <c r="AB1014" i="10"/>
  <c r="AC1014" i="10"/>
  <c r="AD1014" i="10"/>
  <c r="AA1015" i="10"/>
  <c r="AB1015" i="10"/>
  <c r="AC1015" i="10"/>
  <c r="AD1015" i="10"/>
  <c r="AA1016" i="10"/>
  <c r="AB1016" i="10"/>
  <c r="AC1016" i="10"/>
  <c r="AD1016" i="10"/>
  <c r="AA499" i="15"/>
  <c r="AB499" i="15"/>
  <c r="AC499" i="15"/>
  <c r="AD499" i="15"/>
  <c r="AA500" i="15"/>
  <c r="AB500" i="15"/>
  <c r="AC500" i="15"/>
  <c r="AD500" i="15"/>
  <c r="AA501" i="15"/>
  <c r="AB501" i="15"/>
  <c r="AC501" i="15"/>
  <c r="AD501" i="15"/>
  <c r="AA502" i="15"/>
  <c r="AB502" i="15"/>
  <c r="AC502" i="15"/>
  <c r="AD502" i="15"/>
  <c r="AA503" i="15"/>
  <c r="AB503" i="15"/>
  <c r="AC503" i="15"/>
  <c r="AD503" i="15"/>
  <c r="AA504" i="15"/>
  <c r="AB504" i="15"/>
  <c r="AC504" i="15"/>
  <c r="AD504" i="15"/>
  <c r="AA505" i="15"/>
  <c r="AB505" i="15"/>
  <c r="AC505" i="15"/>
  <c r="AD505" i="15"/>
  <c r="AA506" i="15"/>
  <c r="AB506" i="15"/>
  <c r="AC506" i="15"/>
  <c r="AD506" i="15"/>
  <c r="AA507" i="15"/>
  <c r="AB507" i="15"/>
  <c r="AC507" i="15"/>
  <c r="AD507" i="15"/>
  <c r="AA508" i="15"/>
  <c r="AB508" i="15"/>
  <c r="AC508" i="15"/>
  <c r="AD508" i="15"/>
  <c r="AA509" i="15"/>
  <c r="AB509" i="15"/>
  <c r="AC509" i="15"/>
  <c r="AD509" i="15"/>
  <c r="AA510" i="15"/>
  <c r="AB510" i="15"/>
  <c r="AC510" i="15"/>
  <c r="AD510" i="15"/>
  <c r="AA511" i="15"/>
  <c r="AB511" i="15"/>
  <c r="AC511" i="15"/>
  <c r="AD511" i="15"/>
  <c r="AA512" i="15"/>
  <c r="AB512" i="15"/>
  <c r="AC512" i="15"/>
  <c r="AD512" i="15"/>
  <c r="AA513" i="15"/>
  <c r="AB513" i="15"/>
  <c r="AC513" i="15"/>
  <c r="AD513" i="15"/>
  <c r="AA514" i="15"/>
  <c r="AB514" i="15"/>
  <c r="AC514" i="15"/>
  <c r="AD514" i="15"/>
  <c r="AA987" i="10"/>
  <c r="AB987" i="10"/>
  <c r="AC987" i="10"/>
  <c r="AD987" i="10"/>
  <c r="AA988" i="10"/>
  <c r="AB988" i="10"/>
  <c r="AC988" i="10"/>
  <c r="AD988" i="10"/>
  <c r="AA989" i="10"/>
  <c r="AB989" i="10"/>
  <c r="AC989" i="10"/>
  <c r="AD989" i="10"/>
  <c r="AA990" i="10"/>
  <c r="AB990" i="10"/>
  <c r="AC990" i="10"/>
  <c r="AD990" i="10"/>
  <c r="AA991" i="10"/>
  <c r="AB991" i="10"/>
  <c r="AC991" i="10"/>
  <c r="AD991" i="10"/>
  <c r="AA992" i="10"/>
  <c r="AB992" i="10"/>
  <c r="AC992" i="10"/>
  <c r="AD992" i="10"/>
  <c r="AA993" i="10"/>
  <c r="AB993" i="10"/>
  <c r="AC993" i="10"/>
  <c r="AD993" i="10"/>
  <c r="AA994" i="10"/>
  <c r="AB994" i="10"/>
  <c r="AC994" i="10"/>
  <c r="AD994" i="10"/>
  <c r="AA995" i="10"/>
  <c r="AB995" i="10"/>
  <c r="AC995" i="10"/>
  <c r="AD995" i="10"/>
  <c r="AA996" i="10"/>
  <c r="AB996" i="10"/>
  <c r="AC996" i="10"/>
  <c r="AD996" i="10"/>
  <c r="AA997" i="10"/>
  <c r="AB997" i="10"/>
  <c r="AC997" i="10"/>
  <c r="AD997" i="10"/>
  <c r="AA998" i="10"/>
  <c r="AB998" i="10"/>
  <c r="AC998" i="10"/>
  <c r="AD998" i="10"/>
  <c r="AA999" i="10"/>
  <c r="AB999" i="10"/>
  <c r="AC999" i="10"/>
  <c r="AD999" i="10"/>
  <c r="AA1000" i="10"/>
  <c r="AB1000" i="10"/>
  <c r="AC1000" i="10"/>
  <c r="AD1000" i="10"/>
  <c r="AA1001" i="10"/>
  <c r="AB1001" i="10"/>
  <c r="AC1001" i="10"/>
  <c r="AD1001" i="10"/>
  <c r="AA1002" i="10"/>
  <c r="AB1002" i="10"/>
  <c r="AC1002" i="10"/>
  <c r="AD1002" i="10"/>
  <c r="AA483" i="15"/>
  <c r="AB483" i="15"/>
  <c r="AC483" i="15"/>
  <c r="AD483" i="15"/>
  <c r="AA484" i="15"/>
  <c r="AB484" i="15"/>
  <c r="AC484" i="15"/>
  <c r="AD484" i="15"/>
  <c r="AA485" i="15"/>
  <c r="AB485" i="15"/>
  <c r="AC485" i="15"/>
  <c r="AD485" i="15"/>
  <c r="AA486" i="15"/>
  <c r="AB486" i="15"/>
  <c r="AC486" i="15"/>
  <c r="AD486" i="15"/>
  <c r="AA487" i="15"/>
  <c r="AB487" i="15"/>
  <c r="AC487" i="15"/>
  <c r="AD487" i="15"/>
  <c r="AA488" i="15"/>
  <c r="AB488" i="15"/>
  <c r="AC488" i="15"/>
  <c r="AD488" i="15"/>
  <c r="AA489" i="15"/>
  <c r="AB489" i="15"/>
  <c r="AC489" i="15"/>
  <c r="AD489" i="15"/>
  <c r="AA490" i="15"/>
  <c r="AB490" i="15"/>
  <c r="AC490" i="15"/>
  <c r="AD490" i="15"/>
  <c r="AA491" i="15"/>
  <c r="AB491" i="15"/>
  <c r="AC491" i="15"/>
  <c r="AD491" i="15"/>
  <c r="AA492" i="15"/>
  <c r="AB492" i="15"/>
  <c r="AC492" i="15"/>
  <c r="AD492" i="15"/>
  <c r="AA493" i="15"/>
  <c r="AB493" i="15"/>
  <c r="AC493" i="15"/>
  <c r="AD493" i="15"/>
  <c r="AA494" i="15"/>
  <c r="AB494" i="15"/>
  <c r="AC494" i="15"/>
  <c r="AD494" i="15"/>
  <c r="AA495" i="15"/>
  <c r="AB495" i="15"/>
  <c r="AC495" i="15"/>
  <c r="AD495" i="15"/>
  <c r="AA496" i="15"/>
  <c r="AB496" i="15"/>
  <c r="AC496" i="15"/>
  <c r="AD496" i="15"/>
  <c r="AA497" i="15"/>
  <c r="AB497" i="15"/>
  <c r="AC497" i="15"/>
  <c r="AD497" i="15"/>
  <c r="AA498" i="15"/>
  <c r="AB498" i="15"/>
  <c r="AC498" i="15"/>
  <c r="AD498" i="15"/>
  <c r="AA971" i="10"/>
  <c r="AB971" i="10"/>
  <c r="AC971" i="10"/>
  <c r="AD971" i="10"/>
  <c r="AA972" i="10"/>
  <c r="AB972" i="10"/>
  <c r="AC972" i="10"/>
  <c r="AD972" i="10"/>
  <c r="AA973" i="10"/>
  <c r="AB973" i="10"/>
  <c r="AC973" i="10"/>
  <c r="AD973" i="10"/>
  <c r="AA974" i="10"/>
  <c r="AB974" i="10"/>
  <c r="AC974" i="10"/>
  <c r="AD974" i="10"/>
  <c r="AA975" i="10"/>
  <c r="AB975" i="10"/>
  <c r="AC975" i="10"/>
  <c r="AD975" i="10"/>
  <c r="AA976" i="10"/>
  <c r="AB976" i="10"/>
  <c r="AC976" i="10"/>
  <c r="AD976" i="10"/>
  <c r="AA977" i="10"/>
  <c r="AB977" i="10"/>
  <c r="AC977" i="10"/>
  <c r="AD977" i="10"/>
  <c r="AA978" i="10"/>
  <c r="AB978" i="10"/>
  <c r="AC978" i="10"/>
  <c r="AD978" i="10"/>
  <c r="AA979" i="10"/>
  <c r="AB979" i="10"/>
  <c r="AC979" i="10"/>
  <c r="AD979" i="10"/>
  <c r="AA980" i="10"/>
  <c r="AB980" i="10"/>
  <c r="AC980" i="10"/>
  <c r="AD980" i="10"/>
  <c r="AA981" i="10"/>
  <c r="AB981" i="10"/>
  <c r="AC981" i="10"/>
  <c r="AD981" i="10"/>
  <c r="AA982" i="10"/>
  <c r="AB982" i="10"/>
  <c r="AC982" i="10"/>
  <c r="AD982" i="10"/>
  <c r="AA983" i="10"/>
  <c r="AB983" i="10"/>
  <c r="AC983" i="10"/>
  <c r="AD983" i="10"/>
  <c r="AA984" i="10"/>
  <c r="AB984" i="10"/>
  <c r="AC984" i="10"/>
  <c r="AD984" i="10"/>
  <c r="AA985" i="10"/>
  <c r="AB985" i="10"/>
  <c r="AC985" i="10"/>
  <c r="AD985" i="10"/>
  <c r="AA986" i="10"/>
  <c r="AB986" i="10"/>
  <c r="AC986" i="10"/>
  <c r="AD986" i="10"/>
  <c r="S8" i="16"/>
  <c r="T8" i="16"/>
  <c r="U8" i="16"/>
  <c r="V8" i="16"/>
  <c r="W8" i="16"/>
  <c r="X8" i="16"/>
  <c r="Y8" i="16"/>
  <c r="Z8" i="16"/>
  <c r="AA8" i="16"/>
  <c r="AB8" i="16"/>
  <c r="AC8" i="16"/>
  <c r="AD8" i="16"/>
  <c r="AE8" i="16"/>
  <c r="AF8" i="16"/>
  <c r="AG8" i="16"/>
  <c r="AH8" i="16"/>
  <c r="AI8" i="16"/>
  <c r="AJ8" i="16"/>
  <c r="AK8" i="16"/>
  <c r="AL8" i="16"/>
  <c r="AM8" i="16"/>
  <c r="AN8" i="16"/>
  <c r="F8" i="16"/>
  <c r="G8" i="16"/>
  <c r="H8" i="16" a="1"/>
  <c r="H8" i="16" s="1"/>
  <c r="I8" i="16"/>
  <c r="J8" i="16"/>
  <c r="L8" i="16"/>
  <c r="M8" i="16" s="1"/>
  <c r="N8" i="16"/>
  <c r="O8" i="16"/>
  <c r="P8" i="16" s="1"/>
  <c r="Q8" i="16"/>
  <c r="T11" i="12"/>
  <c r="U11" i="12"/>
  <c r="V11" i="12"/>
  <c r="W11" i="12"/>
  <c r="X11" i="12"/>
  <c r="Y11" i="12"/>
  <c r="Z11" i="12"/>
  <c r="AA11" i="12"/>
  <c r="AB11" i="12"/>
  <c r="AC11" i="12"/>
  <c r="AD11" i="12"/>
  <c r="AE11" i="12"/>
  <c r="AF11" i="12"/>
  <c r="AG11" i="12"/>
  <c r="AH11" i="12"/>
  <c r="S11" i="12"/>
  <c r="F11" i="12"/>
  <c r="G11" i="12"/>
  <c r="I11" i="12" a="1"/>
  <c r="I11" i="12" s="1"/>
  <c r="J11" i="12"/>
  <c r="K11" i="12"/>
  <c r="L11" i="12"/>
  <c r="M11" i="12"/>
  <c r="N11" i="12" s="1"/>
  <c r="O11" i="12"/>
  <c r="P11" i="12"/>
  <c r="Q11" i="12" s="1"/>
  <c r="R11" i="12"/>
  <c r="AH353" i="17"/>
  <c r="AI353" i="17"/>
  <c r="AJ353" i="17"/>
  <c r="AK353" i="17"/>
  <c r="AH354" i="17"/>
  <c r="AI354" i="17"/>
  <c r="AJ354" i="17"/>
  <c r="AK354" i="17"/>
  <c r="AH355" i="17"/>
  <c r="AI355" i="17"/>
  <c r="AJ355" i="17"/>
  <c r="AK355" i="17"/>
  <c r="AH356" i="17"/>
  <c r="AI356" i="17"/>
  <c r="AJ356" i="17"/>
  <c r="AK356" i="17"/>
  <c r="AH357" i="17"/>
  <c r="AI357" i="17"/>
  <c r="AJ357" i="17"/>
  <c r="AK357" i="17"/>
  <c r="K8" i="16" s="1"/>
  <c r="AH358" i="17"/>
  <c r="AI358" i="17"/>
  <c r="AJ358" i="17"/>
  <c r="AK358" i="17"/>
  <c r="AH359" i="17"/>
  <c r="AI359" i="17"/>
  <c r="AJ359" i="17"/>
  <c r="AK359" i="17"/>
  <c r="AH360" i="17"/>
  <c r="AI360" i="17"/>
  <c r="AJ360" i="17"/>
  <c r="AK360" i="17"/>
  <c r="AH361" i="17"/>
  <c r="AI361" i="17"/>
  <c r="AJ361" i="17"/>
  <c r="AK361" i="17"/>
  <c r="AH362" i="17"/>
  <c r="AI362" i="17"/>
  <c r="AJ362" i="17"/>
  <c r="AK362" i="17"/>
  <c r="AH363" i="17"/>
  <c r="AI363" i="17"/>
  <c r="AJ363" i="17"/>
  <c r="AK363" i="17"/>
  <c r="AH364" i="17"/>
  <c r="AI364" i="17"/>
  <c r="AJ364" i="17"/>
  <c r="AK364" i="17"/>
  <c r="AH1057" i="9"/>
  <c r="AI1057" i="9"/>
  <c r="AJ1057" i="9"/>
  <c r="AK1057" i="9"/>
  <c r="AH1058" i="9"/>
  <c r="AI1058" i="9"/>
  <c r="AJ1058" i="9"/>
  <c r="AK1058" i="9"/>
  <c r="AH1059" i="9"/>
  <c r="AI1059" i="9"/>
  <c r="AJ1059" i="9"/>
  <c r="AK1059" i="9"/>
  <c r="AH1060" i="9"/>
  <c r="AI1060" i="9"/>
  <c r="AJ1060" i="9"/>
  <c r="AK1060" i="9"/>
  <c r="AH1061" i="9"/>
  <c r="AI1061" i="9"/>
  <c r="AJ1061" i="9"/>
  <c r="AK1061" i="9"/>
  <c r="AH1062" i="9"/>
  <c r="AI1062" i="9"/>
  <c r="AJ1062" i="9"/>
  <c r="AK1062" i="9"/>
  <c r="AH1063" i="9"/>
  <c r="AI1063" i="9"/>
  <c r="AJ1063" i="9"/>
  <c r="AK1063" i="9"/>
  <c r="AH1064" i="9"/>
  <c r="AI1064" i="9"/>
  <c r="AJ1064" i="9"/>
  <c r="AK1064" i="9"/>
  <c r="AH1065" i="9"/>
  <c r="AI1065" i="9"/>
  <c r="AJ1065" i="9"/>
  <c r="AK1065" i="9"/>
  <c r="AH1066" i="9"/>
  <c r="AI1066" i="9"/>
  <c r="AJ1066" i="9"/>
  <c r="AK1066" i="9"/>
  <c r="AH1067" i="9"/>
  <c r="AI1067" i="9"/>
  <c r="AJ1067" i="9"/>
  <c r="AK1067" i="9"/>
  <c r="AH1068" i="9"/>
  <c r="AI1068" i="9"/>
  <c r="AJ1068" i="9"/>
  <c r="AK1068" i="9"/>
  <c r="AH340" i="17"/>
  <c r="AI340" i="17"/>
  <c r="AJ340" i="17"/>
  <c r="AK340" i="17"/>
  <c r="AH341" i="17"/>
  <c r="AI341" i="17"/>
  <c r="AJ341" i="17"/>
  <c r="AK341" i="17"/>
  <c r="AH342" i="17"/>
  <c r="AI342" i="17"/>
  <c r="AJ342" i="17"/>
  <c r="AK342" i="17"/>
  <c r="AH343" i="17"/>
  <c r="AI343" i="17"/>
  <c r="AJ343" i="17"/>
  <c r="AK343" i="17"/>
  <c r="AH344" i="17"/>
  <c r="AI344" i="17"/>
  <c r="AJ344" i="17"/>
  <c r="AK344" i="17"/>
  <c r="AH345" i="17"/>
  <c r="AI345" i="17"/>
  <c r="AJ345" i="17"/>
  <c r="AK345" i="17"/>
  <c r="AH346" i="17"/>
  <c r="AI346" i="17"/>
  <c r="AJ346" i="17"/>
  <c r="AK346" i="17"/>
  <c r="AH347" i="17"/>
  <c r="AI347" i="17"/>
  <c r="AJ347" i="17"/>
  <c r="AK347" i="17"/>
  <c r="AH348" i="17"/>
  <c r="AI348" i="17"/>
  <c r="AJ348" i="17"/>
  <c r="AK348" i="17"/>
  <c r="AH349" i="17"/>
  <c r="AI349" i="17"/>
  <c r="AJ349" i="17"/>
  <c r="AK349" i="17"/>
  <c r="AH350" i="17"/>
  <c r="AI350" i="17"/>
  <c r="AJ350" i="17"/>
  <c r="AK350" i="17"/>
  <c r="AH351" i="17"/>
  <c r="AI351" i="17"/>
  <c r="AJ351" i="17"/>
  <c r="AK351" i="17"/>
  <c r="AH352" i="17"/>
  <c r="AI352" i="17"/>
  <c r="AJ352" i="17"/>
  <c r="AK352" i="17"/>
  <c r="AH3" i="16"/>
  <c r="AH4" i="16"/>
  <c r="AH5" i="16"/>
  <c r="AH6" i="16"/>
  <c r="AH7" i="16"/>
  <c r="AH11" i="16"/>
  <c r="AH12" i="16"/>
  <c r="AH13" i="16"/>
  <c r="AH14" i="16"/>
  <c r="AH15" i="16"/>
  <c r="AH16" i="16"/>
  <c r="AH17" i="16"/>
  <c r="AH18" i="16"/>
  <c r="AH19" i="16"/>
  <c r="AH20" i="16"/>
  <c r="AH21" i="16"/>
  <c r="AH22" i="16"/>
  <c r="AH24" i="16"/>
  <c r="AH27" i="16"/>
  <c r="AH28" i="16"/>
  <c r="AH29" i="16"/>
  <c r="AH30" i="16"/>
  <c r="AH31" i="16"/>
  <c r="AH33" i="16"/>
  <c r="AH34" i="16"/>
  <c r="AH35" i="16"/>
  <c r="AH36" i="16"/>
  <c r="AH37" i="16"/>
  <c r="AH38" i="16"/>
  <c r="AH39" i="16"/>
  <c r="AH40" i="16"/>
  <c r="AH41" i="16"/>
  <c r="AH42" i="16"/>
  <c r="AH43" i="16"/>
  <c r="AH44" i="16"/>
  <c r="AH45" i="16"/>
  <c r="AH2" i="16"/>
  <c r="AI3" i="12"/>
  <c r="AI4" i="12"/>
  <c r="AI5" i="12"/>
  <c r="AI6" i="12"/>
  <c r="AI7" i="12"/>
  <c r="AI8" i="12"/>
  <c r="AI9" i="12"/>
  <c r="AI10" i="12"/>
  <c r="AI12" i="12"/>
  <c r="AI13" i="12"/>
  <c r="AI14" i="12"/>
  <c r="AI15" i="12"/>
  <c r="AI16" i="12"/>
  <c r="AI17" i="12"/>
  <c r="AI18" i="12"/>
  <c r="AI19" i="12"/>
  <c r="AI20" i="12"/>
  <c r="AI21" i="12"/>
  <c r="AI22" i="12"/>
  <c r="AI23" i="12"/>
  <c r="AI24" i="12"/>
  <c r="AI25" i="12"/>
  <c r="AI26" i="12"/>
  <c r="AI27" i="12"/>
  <c r="AI28" i="12"/>
  <c r="AI29" i="12"/>
  <c r="AI30" i="12"/>
  <c r="AI31" i="12"/>
  <c r="AI32" i="12"/>
  <c r="AI33" i="12"/>
  <c r="AI34" i="12"/>
  <c r="AI35" i="12"/>
  <c r="AI36" i="12"/>
  <c r="AI37" i="12"/>
  <c r="AI38" i="12"/>
  <c r="AI39" i="12"/>
  <c r="AI40" i="12"/>
  <c r="AI41" i="12"/>
  <c r="AI42" i="12"/>
  <c r="AI44" i="12"/>
  <c r="AI45" i="12"/>
  <c r="AI46" i="12"/>
  <c r="AI47" i="12"/>
  <c r="AI48" i="12"/>
  <c r="AI49" i="12"/>
  <c r="AI50" i="12"/>
  <c r="AI51" i="12"/>
  <c r="AI52" i="12"/>
  <c r="AI53" i="12"/>
  <c r="AI54" i="12"/>
  <c r="AI55" i="12"/>
  <c r="AI56" i="12"/>
  <c r="AI57" i="12"/>
  <c r="AI58" i="12"/>
  <c r="AI59" i="12"/>
  <c r="AI60" i="12"/>
  <c r="AI61" i="12"/>
  <c r="AI62" i="12"/>
  <c r="AI2" i="12"/>
  <c r="AH1044" i="9"/>
  <c r="AI1044" i="9"/>
  <c r="AJ1044" i="9"/>
  <c r="AK1044" i="9"/>
  <c r="AH1045" i="9"/>
  <c r="AI1045" i="9"/>
  <c r="AJ1045" i="9"/>
  <c r="AK1045" i="9"/>
  <c r="AH1046" i="9"/>
  <c r="AI1046" i="9"/>
  <c r="AJ1046" i="9"/>
  <c r="AK1046" i="9"/>
  <c r="AH1047" i="9"/>
  <c r="AI1047" i="9"/>
  <c r="AJ1047" i="9"/>
  <c r="AK1047" i="9"/>
  <c r="AH1048" i="9"/>
  <c r="AI1048" i="9"/>
  <c r="AJ1048" i="9"/>
  <c r="AK1048" i="9"/>
  <c r="AH1049" i="9"/>
  <c r="AI1049" i="9"/>
  <c r="AJ1049" i="9"/>
  <c r="AK1049" i="9"/>
  <c r="AH1050" i="9"/>
  <c r="AI1050" i="9"/>
  <c r="AJ1050" i="9"/>
  <c r="AK1050" i="9"/>
  <c r="AH1051" i="9"/>
  <c r="AI1051" i="9"/>
  <c r="AJ1051" i="9"/>
  <c r="AK1051" i="9"/>
  <c r="AH1052" i="9"/>
  <c r="AI1052" i="9"/>
  <c r="AJ1052" i="9"/>
  <c r="AK1052" i="9"/>
  <c r="AH1053" i="9"/>
  <c r="AI1053" i="9"/>
  <c r="AJ1053" i="9"/>
  <c r="AK1053" i="9"/>
  <c r="AH1054" i="9"/>
  <c r="AI1054" i="9"/>
  <c r="AJ1054" i="9"/>
  <c r="AK1054" i="9"/>
  <c r="AH1055" i="9"/>
  <c r="AI1055" i="9"/>
  <c r="AJ1055" i="9"/>
  <c r="AK1055" i="9"/>
  <c r="AH1056" i="9"/>
  <c r="AI1056" i="9"/>
  <c r="AJ1056" i="9"/>
  <c r="AK1056" i="9"/>
  <c r="U12" i="13"/>
  <c r="V12" i="13"/>
  <c r="W12" i="13"/>
  <c r="X12" i="13"/>
  <c r="Y12" i="13"/>
  <c r="Z12" i="13"/>
  <c r="AA12" i="13"/>
  <c r="AB12" i="13"/>
  <c r="AC12" i="13"/>
  <c r="AD12" i="13"/>
  <c r="AE12" i="13"/>
  <c r="AF12" i="13"/>
  <c r="AG12" i="13"/>
  <c r="AH12" i="13"/>
  <c r="AI12" i="13"/>
  <c r="T12" i="13"/>
  <c r="H12" i="13"/>
  <c r="I12" i="13"/>
  <c r="J12" i="13" a="1"/>
  <c r="J12" i="13" s="1"/>
  <c r="K12" i="13"/>
  <c r="L12" i="13"/>
  <c r="M12" i="13"/>
  <c r="N12" i="13"/>
  <c r="O12" i="13" s="1"/>
  <c r="P12" i="13"/>
  <c r="Q12" i="13"/>
  <c r="R12" i="13" s="1"/>
  <c r="S12" i="13"/>
  <c r="V12" i="11"/>
  <c r="W12" i="11"/>
  <c r="X12" i="11"/>
  <c r="Y12" i="11"/>
  <c r="Z12" i="11"/>
  <c r="AA12" i="11"/>
  <c r="AB12" i="11"/>
  <c r="AC12" i="11"/>
  <c r="AD12" i="11"/>
  <c r="AE12" i="11"/>
  <c r="AF12" i="11"/>
  <c r="AG12" i="11"/>
  <c r="AH12" i="11"/>
  <c r="AI12" i="11"/>
  <c r="AJ12" i="11"/>
  <c r="U12" i="11"/>
  <c r="H12" i="11"/>
  <c r="I12" i="11"/>
  <c r="K12" i="11" a="1"/>
  <c r="K12" i="11" s="1"/>
  <c r="L12" i="11"/>
  <c r="M12" i="11"/>
  <c r="O12" i="11"/>
  <c r="P12" i="11" s="1"/>
  <c r="Q12" i="11"/>
  <c r="R12" i="11"/>
  <c r="S12" i="11" s="1"/>
  <c r="T12" i="11"/>
  <c r="AA474" i="15"/>
  <c r="AB474" i="15"/>
  <c r="AC474" i="15"/>
  <c r="AD474" i="15"/>
  <c r="AA475" i="15"/>
  <c r="AB475" i="15"/>
  <c r="AC475" i="15"/>
  <c r="AD475" i="15"/>
  <c r="AA476" i="15"/>
  <c r="AB476" i="15"/>
  <c r="AC476" i="15"/>
  <c r="AD476" i="15"/>
  <c r="AA477" i="15"/>
  <c r="AB477" i="15"/>
  <c r="AC477" i="15"/>
  <c r="AD477" i="15"/>
  <c r="AA478" i="15"/>
  <c r="AB478" i="15"/>
  <c r="AC478" i="15"/>
  <c r="AD478" i="15"/>
  <c r="AA479" i="15"/>
  <c r="AB479" i="15"/>
  <c r="AC479" i="15"/>
  <c r="AD479" i="15"/>
  <c r="AA480" i="15"/>
  <c r="AB480" i="15"/>
  <c r="AC480" i="15"/>
  <c r="AD480" i="15"/>
  <c r="AA481" i="15"/>
  <c r="AB481" i="15"/>
  <c r="AC481" i="15"/>
  <c r="AD481" i="15"/>
  <c r="AA482" i="15"/>
  <c r="AB482" i="15"/>
  <c r="AC482" i="15"/>
  <c r="AD482" i="15"/>
  <c r="AA959" i="10"/>
  <c r="AB959" i="10"/>
  <c r="AC959" i="10"/>
  <c r="AD959" i="10"/>
  <c r="AA960" i="10"/>
  <c r="AB960" i="10"/>
  <c r="AC960" i="10"/>
  <c r="AD960" i="10"/>
  <c r="AA961" i="10"/>
  <c r="AB961" i="10"/>
  <c r="AC961" i="10"/>
  <c r="AD961" i="10"/>
  <c r="N12" i="11" s="1"/>
  <c r="AA962" i="10"/>
  <c r="AB962" i="10"/>
  <c r="AC962" i="10"/>
  <c r="AD962" i="10"/>
  <c r="AA963" i="10"/>
  <c r="AB963" i="10"/>
  <c r="AC963" i="10"/>
  <c r="AD963" i="10"/>
  <c r="AA964" i="10"/>
  <c r="AB964" i="10"/>
  <c r="AC964" i="10"/>
  <c r="AD964" i="10"/>
  <c r="AA965" i="10"/>
  <c r="AB965" i="10"/>
  <c r="AC965" i="10"/>
  <c r="AD965" i="10"/>
  <c r="AA966" i="10"/>
  <c r="AB966" i="10"/>
  <c r="AC966" i="10"/>
  <c r="AD966" i="10"/>
  <c r="AA967" i="10"/>
  <c r="AB967" i="10"/>
  <c r="AC967" i="10"/>
  <c r="AD967" i="10"/>
  <c r="AA968" i="10"/>
  <c r="AB968" i="10"/>
  <c r="AC968" i="10"/>
  <c r="AD968" i="10"/>
  <c r="AA969" i="10"/>
  <c r="AB969" i="10"/>
  <c r="AC969" i="10"/>
  <c r="AD969" i="10"/>
  <c r="AA970" i="10"/>
  <c r="AB970" i="10"/>
  <c r="AC970" i="10"/>
  <c r="AD970" i="10"/>
  <c r="Q15" i="19"/>
  <c r="R15" i="19"/>
  <c r="S15" i="19"/>
  <c r="T15" i="19"/>
  <c r="U15" i="19"/>
  <c r="V15" i="19"/>
  <c r="W15" i="19"/>
  <c r="X15" i="19"/>
  <c r="Y15" i="19"/>
  <c r="Z15" i="19"/>
  <c r="AA15" i="19"/>
  <c r="AB15" i="19"/>
  <c r="AC15" i="19"/>
  <c r="AD15" i="19"/>
  <c r="AE15" i="19"/>
  <c r="P15" i="19"/>
  <c r="D15" i="19"/>
  <c r="E15" i="19"/>
  <c r="F15" i="19" a="1"/>
  <c r="F15" i="19" s="1"/>
  <c r="G15" i="19"/>
  <c r="H15" i="19"/>
  <c r="I15" i="19"/>
  <c r="J15" i="19"/>
  <c r="K15" i="19" s="1"/>
  <c r="L15" i="19"/>
  <c r="M15" i="19"/>
  <c r="N15" i="19" s="1"/>
  <c r="O15" i="19"/>
  <c r="Q3" i="19"/>
  <c r="R3" i="19"/>
  <c r="S3" i="19"/>
  <c r="T3" i="19"/>
  <c r="U3" i="19"/>
  <c r="V3" i="19"/>
  <c r="W3" i="19"/>
  <c r="X3" i="19"/>
  <c r="Y3" i="19"/>
  <c r="Z3" i="19"/>
  <c r="AA3" i="19"/>
  <c r="AB3" i="19"/>
  <c r="AC3" i="19"/>
  <c r="AD3" i="19"/>
  <c r="AE3" i="19"/>
  <c r="P3" i="19"/>
  <c r="D3" i="19"/>
  <c r="E3" i="19"/>
  <c r="F3" i="19" a="1"/>
  <c r="F3" i="19" s="1"/>
  <c r="G3" i="19"/>
  <c r="H3" i="19"/>
  <c r="I3" i="19"/>
  <c r="J3" i="19"/>
  <c r="K3" i="19" s="1"/>
  <c r="L3" i="19"/>
  <c r="M3" i="19"/>
  <c r="N3" i="19" s="1"/>
  <c r="O3" i="19"/>
  <c r="V19" i="11"/>
  <c r="W19" i="11"/>
  <c r="X19" i="11"/>
  <c r="Y19" i="11"/>
  <c r="Z19" i="11"/>
  <c r="AA19" i="11"/>
  <c r="AB19" i="11"/>
  <c r="AC19" i="11"/>
  <c r="AD19" i="11"/>
  <c r="AE19" i="11"/>
  <c r="AF19" i="11"/>
  <c r="AG19" i="11"/>
  <c r="AH19" i="11"/>
  <c r="AI19" i="11"/>
  <c r="AJ19" i="11"/>
  <c r="U19" i="11"/>
  <c r="H19" i="11"/>
  <c r="I19" i="11"/>
  <c r="K19" i="11" a="1"/>
  <c r="K19" i="11" s="1"/>
  <c r="L19" i="11"/>
  <c r="M19" i="11"/>
  <c r="N19" i="11"/>
  <c r="O19" i="11"/>
  <c r="P19" i="11" s="1"/>
  <c r="Q19" i="11"/>
  <c r="R19" i="11"/>
  <c r="S19" i="11" s="1"/>
  <c r="T19" i="11"/>
  <c r="U19" i="13"/>
  <c r="V19" i="13"/>
  <c r="W19" i="13"/>
  <c r="X19" i="13"/>
  <c r="Y19" i="13"/>
  <c r="Z19" i="13"/>
  <c r="AA19" i="13"/>
  <c r="AB19" i="13"/>
  <c r="AC19" i="13"/>
  <c r="AD19" i="13"/>
  <c r="AE19" i="13"/>
  <c r="AF19" i="13"/>
  <c r="AG19" i="13"/>
  <c r="AH19" i="13"/>
  <c r="AI19" i="13"/>
  <c r="T19" i="13"/>
  <c r="H19" i="13"/>
  <c r="I19" i="13"/>
  <c r="J19" i="13" a="1"/>
  <c r="J19" i="13" s="1"/>
  <c r="K19" i="13"/>
  <c r="L19" i="13"/>
  <c r="N19" i="13"/>
  <c r="O19" i="13" s="1"/>
  <c r="Q19" i="13"/>
  <c r="R19" i="13" s="1"/>
  <c r="S19" i="13"/>
  <c r="AA458" i="15"/>
  <c r="AB458" i="15"/>
  <c r="AC458" i="15"/>
  <c r="AD458" i="15"/>
  <c r="AA459" i="15"/>
  <c r="AB459" i="15"/>
  <c r="AC459" i="15"/>
  <c r="AD459" i="15"/>
  <c r="AA460" i="15"/>
  <c r="AB460" i="15"/>
  <c r="AC460" i="15"/>
  <c r="AD460" i="15"/>
  <c r="AA461" i="15"/>
  <c r="AB461" i="15"/>
  <c r="AC461" i="15"/>
  <c r="AD461" i="15"/>
  <c r="AA462" i="15"/>
  <c r="AB462" i="15"/>
  <c r="AC462" i="15"/>
  <c r="AD462" i="15"/>
  <c r="AA463" i="15"/>
  <c r="AB463" i="15"/>
  <c r="AC463" i="15"/>
  <c r="AD463" i="15"/>
  <c r="AA464" i="15"/>
  <c r="AB464" i="15"/>
  <c r="AC464" i="15"/>
  <c r="AD464" i="15"/>
  <c r="AA465" i="15"/>
  <c r="AB465" i="15"/>
  <c r="AC465" i="15"/>
  <c r="AD465" i="15"/>
  <c r="AA466" i="15"/>
  <c r="AB466" i="15"/>
  <c r="AC466" i="15"/>
  <c r="AD466" i="15"/>
  <c r="AA467" i="15"/>
  <c r="AB467" i="15"/>
  <c r="AC467" i="15"/>
  <c r="AD467" i="15"/>
  <c r="AA468" i="15"/>
  <c r="AB468" i="15"/>
  <c r="AC468" i="15"/>
  <c r="AD468" i="15"/>
  <c r="AA469" i="15"/>
  <c r="AB469" i="15"/>
  <c r="AC469" i="15"/>
  <c r="AD469" i="15"/>
  <c r="AA470" i="15"/>
  <c r="AB470" i="15"/>
  <c r="AC470" i="15"/>
  <c r="AD470" i="15"/>
  <c r="AA471" i="15"/>
  <c r="AB471" i="15"/>
  <c r="AC471" i="15"/>
  <c r="AD471" i="15"/>
  <c r="AA472" i="15"/>
  <c r="AB472" i="15"/>
  <c r="AC472" i="15"/>
  <c r="AD472" i="15"/>
  <c r="AA473" i="15"/>
  <c r="AB473" i="15"/>
  <c r="P19" i="13" s="1"/>
  <c r="AC473" i="15"/>
  <c r="AD473" i="15"/>
  <c r="M19" i="13" s="1"/>
  <c r="AA943" i="10"/>
  <c r="AB943" i="10"/>
  <c r="AC943" i="10"/>
  <c r="AD943" i="10"/>
  <c r="AA944" i="10"/>
  <c r="AB944" i="10"/>
  <c r="AC944" i="10"/>
  <c r="AD944" i="10"/>
  <c r="AA945" i="10"/>
  <c r="AB945" i="10"/>
  <c r="AC945" i="10"/>
  <c r="AD945" i="10"/>
  <c r="AA946" i="10"/>
  <c r="AB946" i="10"/>
  <c r="AC946" i="10"/>
  <c r="AD946" i="10"/>
  <c r="AA947" i="10"/>
  <c r="AB947" i="10"/>
  <c r="AC947" i="10"/>
  <c r="AD947" i="10"/>
  <c r="AA948" i="10"/>
  <c r="AB948" i="10"/>
  <c r="AC948" i="10"/>
  <c r="AD948" i="10"/>
  <c r="AA949" i="10"/>
  <c r="AB949" i="10"/>
  <c r="AC949" i="10"/>
  <c r="AD949" i="10"/>
  <c r="AA950" i="10"/>
  <c r="AB950" i="10"/>
  <c r="AC950" i="10"/>
  <c r="AD950" i="10"/>
  <c r="AA951" i="10"/>
  <c r="AB951" i="10"/>
  <c r="AC951" i="10"/>
  <c r="AD951" i="10"/>
  <c r="AA952" i="10"/>
  <c r="AB952" i="10"/>
  <c r="AC952" i="10"/>
  <c r="AD952" i="10"/>
  <c r="AA953" i="10"/>
  <c r="AB953" i="10"/>
  <c r="AC953" i="10"/>
  <c r="AD953" i="10"/>
  <c r="AA954" i="10"/>
  <c r="AB954" i="10"/>
  <c r="AC954" i="10"/>
  <c r="AD954" i="10"/>
  <c r="AA955" i="10"/>
  <c r="AB955" i="10"/>
  <c r="AC955" i="10"/>
  <c r="AD955" i="10"/>
  <c r="AA956" i="10"/>
  <c r="AB956" i="10"/>
  <c r="AC956" i="10"/>
  <c r="AD956" i="10"/>
  <c r="AA957" i="10"/>
  <c r="AB957" i="10"/>
  <c r="AC957" i="10"/>
  <c r="AD957" i="10"/>
  <c r="AA958" i="10"/>
  <c r="AB958" i="10"/>
  <c r="AC958" i="10"/>
  <c r="AD958" i="10"/>
  <c r="AA446" i="15"/>
  <c r="AB446" i="15"/>
  <c r="AC446" i="15"/>
  <c r="AD446" i="15"/>
  <c r="AA447" i="15"/>
  <c r="AB447" i="15"/>
  <c r="AC447" i="15"/>
  <c r="AD447" i="15"/>
  <c r="AA448" i="15"/>
  <c r="AB448" i="15"/>
  <c r="AC448" i="15"/>
  <c r="AD448" i="15"/>
  <c r="AA449" i="15"/>
  <c r="AB449" i="15"/>
  <c r="AC449" i="15"/>
  <c r="AD449" i="15"/>
  <c r="AA450" i="15"/>
  <c r="AB450" i="15"/>
  <c r="AC450" i="15"/>
  <c r="AD450" i="15"/>
  <c r="AA451" i="15"/>
  <c r="AB451" i="15"/>
  <c r="AC451" i="15"/>
  <c r="AD451" i="15"/>
  <c r="AA452" i="15"/>
  <c r="AB452" i="15"/>
  <c r="AC452" i="15"/>
  <c r="AD452" i="15"/>
  <c r="AA453" i="15"/>
  <c r="AB453" i="15"/>
  <c r="AC453" i="15"/>
  <c r="AD453" i="15"/>
  <c r="AA454" i="15"/>
  <c r="AB454" i="15"/>
  <c r="AC454" i="15"/>
  <c r="AD454" i="15"/>
  <c r="AA455" i="15"/>
  <c r="AB455" i="15"/>
  <c r="AC455" i="15"/>
  <c r="AD455" i="15"/>
  <c r="AA456" i="15"/>
  <c r="AB456" i="15"/>
  <c r="AC456" i="15"/>
  <c r="AD456" i="15"/>
  <c r="AA457" i="15"/>
  <c r="AB457" i="15"/>
  <c r="AC457" i="15"/>
  <c r="AD457" i="15"/>
  <c r="AA931" i="10"/>
  <c r="AB931" i="10"/>
  <c r="AC931" i="10"/>
  <c r="AD931" i="10"/>
  <c r="AA932" i="10"/>
  <c r="AB932" i="10"/>
  <c r="AC932" i="10"/>
  <c r="AD932" i="10"/>
  <c r="AA933" i="10"/>
  <c r="AB933" i="10"/>
  <c r="AC933" i="10"/>
  <c r="AD933" i="10"/>
  <c r="AA934" i="10"/>
  <c r="AB934" i="10"/>
  <c r="AC934" i="10"/>
  <c r="AD934" i="10"/>
  <c r="AA935" i="10"/>
  <c r="AB935" i="10"/>
  <c r="AC935" i="10"/>
  <c r="AD935" i="10"/>
  <c r="AA936" i="10"/>
  <c r="AB936" i="10"/>
  <c r="AC936" i="10"/>
  <c r="AD936" i="10"/>
  <c r="AA937" i="10"/>
  <c r="AB937" i="10"/>
  <c r="AC937" i="10"/>
  <c r="AD937" i="10"/>
  <c r="AA938" i="10"/>
  <c r="AB938" i="10"/>
  <c r="AC938" i="10"/>
  <c r="AD938" i="10"/>
  <c r="AA939" i="10"/>
  <c r="AB939" i="10"/>
  <c r="AC939" i="10"/>
  <c r="AD939" i="10"/>
  <c r="AA940" i="10"/>
  <c r="AB940" i="10"/>
  <c r="AC940" i="10"/>
  <c r="AD940" i="10"/>
  <c r="AA941" i="10"/>
  <c r="AB941" i="10"/>
  <c r="AC941" i="10"/>
  <c r="AD941" i="10"/>
  <c r="AA942" i="10"/>
  <c r="AB942" i="10"/>
  <c r="AC942" i="10"/>
  <c r="AD942" i="10"/>
  <c r="AA196" i="18"/>
  <c r="AB196" i="18"/>
  <c r="AC196" i="18"/>
  <c r="AD196" i="18"/>
  <c r="AA197" i="18"/>
  <c r="AB197" i="18"/>
  <c r="AC197" i="18"/>
  <c r="AD197" i="18"/>
  <c r="AA198" i="18"/>
  <c r="AB198" i="18"/>
  <c r="AC198" i="18"/>
  <c r="AD198" i="18"/>
  <c r="AA199" i="18"/>
  <c r="AB199" i="18"/>
  <c r="AC199" i="18"/>
  <c r="AD199" i="18"/>
  <c r="AA200" i="18"/>
  <c r="AB200" i="18"/>
  <c r="AC200" i="18"/>
  <c r="AD200" i="18"/>
  <c r="AA201" i="18"/>
  <c r="AB201" i="18"/>
  <c r="AC201" i="18"/>
  <c r="AD201" i="18"/>
  <c r="AA202" i="18"/>
  <c r="AB202" i="18"/>
  <c r="AC202" i="18"/>
  <c r="AD202" i="18"/>
  <c r="AA203" i="18"/>
  <c r="AB203" i="18"/>
  <c r="AC203" i="18"/>
  <c r="AD203" i="18"/>
  <c r="AA204" i="18"/>
  <c r="AB204" i="18"/>
  <c r="AC204" i="18"/>
  <c r="AD204" i="18"/>
  <c r="AA205" i="18"/>
  <c r="AB205" i="18"/>
  <c r="AC205" i="18"/>
  <c r="AD205" i="18"/>
  <c r="AA206" i="18"/>
  <c r="AB206" i="18"/>
  <c r="AC206" i="18"/>
  <c r="AD206" i="18"/>
  <c r="AA207" i="18"/>
  <c r="AB207" i="18"/>
  <c r="AC207" i="18"/>
  <c r="AD207" i="18"/>
  <c r="AA434" i="15"/>
  <c r="AB434" i="15"/>
  <c r="AC434" i="15"/>
  <c r="AD434" i="15"/>
  <c r="AA435" i="15"/>
  <c r="AB435" i="15"/>
  <c r="AC435" i="15"/>
  <c r="AD435" i="15"/>
  <c r="AA436" i="15"/>
  <c r="AB436" i="15"/>
  <c r="AC436" i="15"/>
  <c r="AD436" i="15"/>
  <c r="AA437" i="15"/>
  <c r="AB437" i="15"/>
  <c r="AC437" i="15"/>
  <c r="AD437" i="15"/>
  <c r="AA438" i="15"/>
  <c r="AB438" i="15"/>
  <c r="AC438" i="15"/>
  <c r="AD438" i="15"/>
  <c r="AA439" i="15"/>
  <c r="AB439" i="15"/>
  <c r="AC439" i="15"/>
  <c r="AD439" i="15"/>
  <c r="AA440" i="15"/>
  <c r="AB440" i="15"/>
  <c r="AC440" i="15"/>
  <c r="AD440" i="15"/>
  <c r="AA441" i="15"/>
  <c r="AB441" i="15"/>
  <c r="AC441" i="15"/>
  <c r="AD441" i="15"/>
  <c r="AA442" i="15"/>
  <c r="AB442" i="15"/>
  <c r="AC442" i="15"/>
  <c r="AD442" i="15"/>
  <c r="AA443" i="15"/>
  <c r="AB443" i="15"/>
  <c r="AC443" i="15"/>
  <c r="AD443" i="15"/>
  <c r="AA444" i="15"/>
  <c r="AB444" i="15"/>
  <c r="AC444" i="15"/>
  <c r="AD444" i="15"/>
  <c r="AA445" i="15"/>
  <c r="AB445" i="15"/>
  <c r="AC445" i="15"/>
  <c r="AD445" i="15"/>
  <c r="AA919" i="10"/>
  <c r="AB919" i="10"/>
  <c r="AC919" i="10"/>
  <c r="AD919" i="10"/>
  <c r="AA920" i="10"/>
  <c r="AB920" i="10"/>
  <c r="AC920" i="10"/>
  <c r="AD920" i="10"/>
  <c r="AA921" i="10"/>
  <c r="AB921" i="10"/>
  <c r="AC921" i="10"/>
  <c r="AD921" i="10"/>
  <c r="AA922" i="10"/>
  <c r="AB922" i="10"/>
  <c r="AC922" i="10"/>
  <c r="AD922" i="10"/>
  <c r="AA923" i="10"/>
  <c r="AB923" i="10"/>
  <c r="AC923" i="10"/>
  <c r="AD923" i="10"/>
  <c r="AA924" i="10"/>
  <c r="AB924" i="10"/>
  <c r="AC924" i="10"/>
  <c r="AD924" i="10"/>
  <c r="AA925" i="10"/>
  <c r="AB925" i="10"/>
  <c r="AC925" i="10"/>
  <c r="AD925" i="10"/>
  <c r="AA926" i="10"/>
  <c r="AB926" i="10"/>
  <c r="AC926" i="10"/>
  <c r="AD926" i="10"/>
  <c r="AA927" i="10"/>
  <c r="AB927" i="10"/>
  <c r="AC927" i="10"/>
  <c r="AD927" i="10"/>
  <c r="AA928" i="10"/>
  <c r="AB928" i="10"/>
  <c r="AC928" i="10"/>
  <c r="AD928" i="10"/>
  <c r="AA929" i="10"/>
  <c r="AB929" i="10"/>
  <c r="AC929" i="10"/>
  <c r="AD929" i="10"/>
  <c r="AA930" i="10"/>
  <c r="AB930" i="10"/>
  <c r="AC930" i="10"/>
  <c r="AD930" i="10"/>
  <c r="AA420" i="15"/>
  <c r="AB420" i="15"/>
  <c r="AC420" i="15"/>
  <c r="AD420" i="15"/>
  <c r="AA421" i="15"/>
  <c r="AB421" i="15"/>
  <c r="AC421" i="15"/>
  <c r="AD421" i="15"/>
  <c r="AA422" i="15"/>
  <c r="AB422" i="15"/>
  <c r="AC422" i="15"/>
  <c r="AD422" i="15"/>
  <c r="AA423" i="15"/>
  <c r="AB423" i="15"/>
  <c r="AC423" i="15"/>
  <c r="AD423" i="15"/>
  <c r="AA424" i="15"/>
  <c r="AB424" i="15"/>
  <c r="AC424" i="15"/>
  <c r="AD424" i="15"/>
  <c r="AA425" i="15"/>
  <c r="AB425" i="15"/>
  <c r="AC425" i="15"/>
  <c r="AD425" i="15"/>
  <c r="AA426" i="15"/>
  <c r="AB426" i="15"/>
  <c r="AC426" i="15"/>
  <c r="AD426" i="15"/>
  <c r="AA427" i="15"/>
  <c r="AB427" i="15"/>
  <c r="AC427" i="15"/>
  <c r="AD427" i="15"/>
  <c r="AA428" i="15"/>
  <c r="AB428" i="15"/>
  <c r="AC428" i="15"/>
  <c r="AD428" i="15"/>
  <c r="AA429" i="15"/>
  <c r="AB429" i="15"/>
  <c r="AC429" i="15"/>
  <c r="AD429" i="15"/>
  <c r="AA430" i="15"/>
  <c r="AB430" i="15"/>
  <c r="AC430" i="15"/>
  <c r="AD430" i="15"/>
  <c r="AA431" i="15"/>
  <c r="AB431" i="15"/>
  <c r="AC431" i="15"/>
  <c r="AD431" i="15"/>
  <c r="AA432" i="15"/>
  <c r="AB432" i="15"/>
  <c r="AC432" i="15"/>
  <c r="AD432" i="15"/>
  <c r="AA433" i="15"/>
  <c r="AB433" i="15"/>
  <c r="AC433" i="15"/>
  <c r="AD433" i="15"/>
  <c r="AA905" i="10"/>
  <c r="AB905" i="10"/>
  <c r="AC905" i="10"/>
  <c r="AD905" i="10"/>
  <c r="AA906" i="10"/>
  <c r="AB906" i="10"/>
  <c r="AC906" i="10"/>
  <c r="AD906" i="10"/>
  <c r="AA907" i="10"/>
  <c r="AB907" i="10"/>
  <c r="AC907" i="10"/>
  <c r="AD907" i="10"/>
  <c r="AA908" i="10"/>
  <c r="AB908" i="10"/>
  <c r="AC908" i="10"/>
  <c r="AD908" i="10"/>
  <c r="AA909" i="10"/>
  <c r="AB909" i="10"/>
  <c r="AC909" i="10"/>
  <c r="AD909" i="10"/>
  <c r="AA910" i="10"/>
  <c r="AB910" i="10"/>
  <c r="AC910" i="10"/>
  <c r="AD910" i="10"/>
  <c r="AA911" i="10"/>
  <c r="AB911" i="10"/>
  <c r="AC911" i="10"/>
  <c r="AD911" i="10"/>
  <c r="AA912" i="10"/>
  <c r="AB912" i="10"/>
  <c r="AC912" i="10"/>
  <c r="AD912" i="10"/>
  <c r="AA913" i="10"/>
  <c r="AB913" i="10"/>
  <c r="AC913" i="10"/>
  <c r="AD913" i="10"/>
  <c r="AA914" i="10"/>
  <c r="AB914" i="10"/>
  <c r="AC914" i="10"/>
  <c r="AD914" i="10"/>
  <c r="AA915" i="10"/>
  <c r="AB915" i="10"/>
  <c r="AC915" i="10"/>
  <c r="AD915" i="10"/>
  <c r="AA916" i="10"/>
  <c r="AB916" i="10"/>
  <c r="AC916" i="10"/>
  <c r="AD916" i="10"/>
  <c r="AA917" i="10"/>
  <c r="AB917" i="10"/>
  <c r="AC917" i="10"/>
  <c r="AD917" i="10"/>
  <c r="AA918" i="10"/>
  <c r="AB918" i="10"/>
  <c r="AC918" i="10"/>
  <c r="AD918" i="10"/>
  <c r="AA404" i="15"/>
  <c r="AB404" i="15"/>
  <c r="AC404" i="15"/>
  <c r="AD404" i="15"/>
  <c r="AA405" i="15"/>
  <c r="AB405" i="15"/>
  <c r="AC405" i="15"/>
  <c r="AD405" i="15"/>
  <c r="AA406" i="15"/>
  <c r="AB406" i="15"/>
  <c r="AC406" i="15"/>
  <c r="AD406" i="15"/>
  <c r="AA407" i="15"/>
  <c r="AB407" i="15"/>
  <c r="AC407" i="15"/>
  <c r="AD407" i="15"/>
  <c r="AA408" i="15"/>
  <c r="AB408" i="15"/>
  <c r="AC408" i="15"/>
  <c r="AD408" i="15"/>
  <c r="AA409" i="15"/>
  <c r="AB409" i="15"/>
  <c r="AC409" i="15"/>
  <c r="AD409" i="15"/>
  <c r="AA410" i="15"/>
  <c r="AB410" i="15"/>
  <c r="AC410" i="15"/>
  <c r="AD410" i="15"/>
  <c r="AA411" i="15"/>
  <c r="AB411" i="15"/>
  <c r="AC411" i="15"/>
  <c r="AD411" i="15"/>
  <c r="AA412" i="15"/>
  <c r="AB412" i="15"/>
  <c r="AC412" i="15"/>
  <c r="AD412" i="15"/>
  <c r="AA413" i="15"/>
  <c r="AB413" i="15"/>
  <c r="AC413" i="15"/>
  <c r="AD413" i="15"/>
  <c r="AA414" i="15"/>
  <c r="AB414" i="15"/>
  <c r="AC414" i="15"/>
  <c r="AD414" i="15"/>
  <c r="AA415" i="15"/>
  <c r="AB415" i="15"/>
  <c r="AC415" i="15"/>
  <c r="AD415" i="15"/>
  <c r="AA416" i="15"/>
  <c r="AB416" i="15"/>
  <c r="AC416" i="15"/>
  <c r="AD416" i="15"/>
  <c r="AA417" i="15"/>
  <c r="AB417" i="15"/>
  <c r="AC417" i="15"/>
  <c r="AD417" i="15"/>
  <c r="AA418" i="15"/>
  <c r="AB418" i="15"/>
  <c r="AC418" i="15"/>
  <c r="AD418" i="15"/>
  <c r="AA419" i="15"/>
  <c r="AB419" i="15"/>
  <c r="AC419" i="15"/>
  <c r="AD419" i="15"/>
  <c r="AA889" i="10"/>
  <c r="AB889" i="10"/>
  <c r="AC889" i="10"/>
  <c r="AD889" i="10"/>
  <c r="AA890" i="10"/>
  <c r="AB890" i="10"/>
  <c r="AC890" i="10"/>
  <c r="AD890" i="10"/>
  <c r="AA891" i="10"/>
  <c r="AB891" i="10"/>
  <c r="AC891" i="10"/>
  <c r="AD891" i="10"/>
  <c r="AA892" i="10"/>
  <c r="AB892" i="10"/>
  <c r="AC892" i="10"/>
  <c r="AD892" i="10"/>
  <c r="AA893" i="10"/>
  <c r="AB893" i="10"/>
  <c r="AC893" i="10"/>
  <c r="AD893" i="10"/>
  <c r="AA894" i="10"/>
  <c r="AB894" i="10"/>
  <c r="AC894" i="10"/>
  <c r="AD894" i="10"/>
  <c r="AA895" i="10"/>
  <c r="AB895" i="10"/>
  <c r="AC895" i="10"/>
  <c r="AD895" i="10"/>
  <c r="AA896" i="10"/>
  <c r="AB896" i="10"/>
  <c r="AC896" i="10"/>
  <c r="AD896" i="10"/>
  <c r="AA897" i="10"/>
  <c r="AB897" i="10"/>
  <c r="AC897" i="10"/>
  <c r="AD897" i="10"/>
  <c r="AA898" i="10"/>
  <c r="AB898" i="10"/>
  <c r="AC898" i="10"/>
  <c r="AD898" i="10"/>
  <c r="AA899" i="10"/>
  <c r="AB899" i="10"/>
  <c r="AC899" i="10"/>
  <c r="AD899" i="10"/>
  <c r="AA900" i="10"/>
  <c r="AB900" i="10"/>
  <c r="AC900" i="10"/>
  <c r="AD900" i="10"/>
  <c r="AA901" i="10"/>
  <c r="AB901" i="10"/>
  <c r="AC901" i="10"/>
  <c r="AD901" i="10"/>
  <c r="AA902" i="10"/>
  <c r="AB902" i="10"/>
  <c r="AC902" i="10"/>
  <c r="AD902" i="10"/>
  <c r="AA903" i="10"/>
  <c r="AB903" i="10"/>
  <c r="AC903" i="10"/>
  <c r="AD903" i="10"/>
  <c r="AA904" i="10"/>
  <c r="AB904" i="10"/>
  <c r="AC904" i="10"/>
  <c r="AD904" i="10"/>
  <c r="S39" i="16"/>
  <c r="T39" i="16"/>
  <c r="U39" i="16"/>
  <c r="V39" i="16"/>
  <c r="W39" i="16"/>
  <c r="X39" i="16"/>
  <c r="Y39" i="16"/>
  <c r="Z39" i="16"/>
  <c r="AA39" i="16"/>
  <c r="AB39" i="16"/>
  <c r="AC39" i="16"/>
  <c r="AD39" i="16"/>
  <c r="AE39" i="16"/>
  <c r="AF39" i="16"/>
  <c r="AG39" i="16"/>
  <c r="AI39" i="16"/>
  <c r="AJ39" i="16"/>
  <c r="AK39" i="16"/>
  <c r="AL39" i="16"/>
  <c r="AM39" i="16"/>
  <c r="AN39" i="16"/>
  <c r="R39" i="16"/>
  <c r="F39" i="16"/>
  <c r="G39" i="16"/>
  <c r="H39" i="16" a="1"/>
  <c r="H39" i="16" s="1"/>
  <c r="I39" i="16"/>
  <c r="J39" i="16"/>
  <c r="K39" i="16"/>
  <c r="L39" i="16"/>
  <c r="M39" i="16" s="1"/>
  <c r="O39" i="16"/>
  <c r="P39" i="16" s="1"/>
  <c r="Q39" i="16"/>
  <c r="T10" i="12"/>
  <c r="U10" i="12"/>
  <c r="V10" i="12"/>
  <c r="W10" i="12"/>
  <c r="X10" i="12"/>
  <c r="Y10" i="12"/>
  <c r="Z10" i="12"/>
  <c r="AA10" i="12"/>
  <c r="AB10" i="12"/>
  <c r="AC10" i="12"/>
  <c r="AD10" i="12"/>
  <c r="AE10" i="12"/>
  <c r="AF10" i="12"/>
  <c r="AG10" i="12"/>
  <c r="AH10" i="12"/>
  <c r="AJ10" i="12"/>
  <c r="AK10" i="12"/>
  <c r="AL10" i="12"/>
  <c r="AM10" i="12"/>
  <c r="AN10" i="12"/>
  <c r="AO10" i="12"/>
  <c r="S10" i="12"/>
  <c r="F10" i="12"/>
  <c r="G10" i="12"/>
  <c r="I10" i="12" a="1"/>
  <c r="I10" i="12" s="1"/>
  <c r="J10" i="12"/>
  <c r="K10" i="12"/>
  <c r="L10" i="12"/>
  <c r="M10" i="12"/>
  <c r="N10" i="12" s="1"/>
  <c r="O10" i="12"/>
  <c r="P10" i="12"/>
  <c r="Q10" i="12" s="1"/>
  <c r="R10" i="12"/>
  <c r="S7" i="16"/>
  <c r="T7" i="16"/>
  <c r="U7" i="16"/>
  <c r="V7" i="16"/>
  <c r="W7" i="16"/>
  <c r="X7" i="16"/>
  <c r="Y7" i="16"/>
  <c r="Z7" i="16"/>
  <c r="AA7" i="16"/>
  <c r="AB7" i="16"/>
  <c r="AC7" i="16"/>
  <c r="AD7" i="16"/>
  <c r="AE7" i="16"/>
  <c r="AF7" i="16"/>
  <c r="AG7" i="16"/>
  <c r="AI7" i="16"/>
  <c r="AJ7" i="16"/>
  <c r="AK7" i="16"/>
  <c r="AL7" i="16"/>
  <c r="AM7" i="16"/>
  <c r="AN7" i="16"/>
  <c r="R7" i="16"/>
  <c r="F7" i="16"/>
  <c r="G7" i="16"/>
  <c r="H7" i="16" a="1"/>
  <c r="H7" i="16" s="1"/>
  <c r="I7" i="16"/>
  <c r="J7" i="16"/>
  <c r="L7" i="16"/>
  <c r="M7" i="16" s="1"/>
  <c r="N7" i="16"/>
  <c r="O7" i="16"/>
  <c r="P7" i="16" s="1"/>
  <c r="Q7" i="16"/>
  <c r="AH328" i="17"/>
  <c r="AI328" i="17"/>
  <c r="AJ328" i="17"/>
  <c r="AK328" i="17"/>
  <c r="AH329" i="17"/>
  <c r="AI329" i="17"/>
  <c r="AJ329" i="17"/>
  <c r="AK329" i="17"/>
  <c r="AH330" i="17"/>
  <c r="AI330" i="17"/>
  <c r="AJ330" i="17"/>
  <c r="AK330" i="17"/>
  <c r="AH331" i="17"/>
  <c r="AI331" i="17"/>
  <c r="N39" i="16" s="1"/>
  <c r="AJ331" i="17"/>
  <c r="AK331" i="17"/>
  <c r="AH332" i="17"/>
  <c r="AI332" i="17"/>
  <c r="AJ332" i="17"/>
  <c r="AK332" i="17"/>
  <c r="AH333" i="17"/>
  <c r="AI333" i="17"/>
  <c r="AJ333" i="17"/>
  <c r="AK333" i="17"/>
  <c r="AH334" i="17"/>
  <c r="AI334" i="17"/>
  <c r="AJ334" i="17"/>
  <c r="AK334" i="17"/>
  <c r="AH335" i="17"/>
  <c r="AI335" i="17"/>
  <c r="AJ335" i="17"/>
  <c r="AK335" i="17"/>
  <c r="AH336" i="17"/>
  <c r="AI336" i="17"/>
  <c r="AJ336" i="17"/>
  <c r="AK336" i="17"/>
  <c r="AH337" i="17"/>
  <c r="AI337" i="17"/>
  <c r="AJ337" i="17"/>
  <c r="AK337" i="17"/>
  <c r="AH338" i="17"/>
  <c r="AI338" i="17"/>
  <c r="AJ338" i="17"/>
  <c r="AK338" i="17"/>
  <c r="K7" i="16" s="1"/>
  <c r="AH339" i="17"/>
  <c r="AI339" i="17"/>
  <c r="AJ339" i="17"/>
  <c r="AK339" i="17"/>
  <c r="AH1032" i="9"/>
  <c r="AI1032" i="9"/>
  <c r="AJ1032" i="9"/>
  <c r="AK1032" i="9"/>
  <c r="AH1033" i="9"/>
  <c r="AI1033" i="9"/>
  <c r="AJ1033" i="9"/>
  <c r="AK1033" i="9"/>
  <c r="AH1034" i="9"/>
  <c r="AI1034" i="9"/>
  <c r="AJ1034" i="9"/>
  <c r="AK1034" i="9"/>
  <c r="AH1035" i="9"/>
  <c r="AI1035" i="9"/>
  <c r="AJ1035" i="9"/>
  <c r="AK1035" i="9"/>
  <c r="AH1036" i="9"/>
  <c r="AI1036" i="9"/>
  <c r="AJ1036" i="9"/>
  <c r="AK1036" i="9"/>
  <c r="AH1037" i="9"/>
  <c r="AI1037" i="9"/>
  <c r="AJ1037" i="9"/>
  <c r="AK1037" i="9"/>
  <c r="AH1038" i="9"/>
  <c r="AI1038" i="9"/>
  <c r="AJ1038" i="9"/>
  <c r="AK1038" i="9"/>
  <c r="AH1039" i="9"/>
  <c r="AI1039" i="9"/>
  <c r="AJ1039" i="9"/>
  <c r="AK1039" i="9"/>
  <c r="AH1040" i="9"/>
  <c r="AI1040" i="9"/>
  <c r="AJ1040" i="9"/>
  <c r="AK1040" i="9"/>
  <c r="AH1041" i="9"/>
  <c r="AI1041" i="9"/>
  <c r="AJ1041" i="9"/>
  <c r="AK1041" i="9"/>
  <c r="AH1042" i="9"/>
  <c r="AI1042" i="9"/>
  <c r="AJ1042" i="9"/>
  <c r="AK1042" i="9"/>
  <c r="AH1043" i="9"/>
  <c r="AI1043" i="9"/>
  <c r="AJ1043" i="9"/>
  <c r="AK1043" i="9"/>
  <c r="AH1016" i="9"/>
  <c r="AI1016" i="9"/>
  <c r="AJ1016" i="9"/>
  <c r="AK1016" i="9"/>
  <c r="AH1017" i="9"/>
  <c r="AI1017" i="9"/>
  <c r="AJ1017" i="9"/>
  <c r="AK1017" i="9"/>
  <c r="AH1018" i="9"/>
  <c r="AI1018" i="9"/>
  <c r="AJ1018" i="9"/>
  <c r="AK1018" i="9"/>
  <c r="AH1019" i="9"/>
  <c r="AI1019" i="9"/>
  <c r="AJ1019" i="9"/>
  <c r="AK1019" i="9"/>
  <c r="AH1020" i="9"/>
  <c r="AI1020" i="9"/>
  <c r="AJ1020" i="9"/>
  <c r="AK1020" i="9"/>
  <c r="AH1021" i="9"/>
  <c r="AI1021" i="9"/>
  <c r="AJ1021" i="9"/>
  <c r="AK1021" i="9"/>
  <c r="AH1022" i="9"/>
  <c r="AI1022" i="9"/>
  <c r="AJ1022" i="9"/>
  <c r="AK1022" i="9"/>
  <c r="AH1023" i="9"/>
  <c r="AI1023" i="9"/>
  <c r="AJ1023" i="9"/>
  <c r="AK1023" i="9"/>
  <c r="AH1024" i="9"/>
  <c r="AI1024" i="9"/>
  <c r="AJ1024" i="9"/>
  <c r="AK1024" i="9"/>
  <c r="AH1025" i="9"/>
  <c r="AI1025" i="9"/>
  <c r="AJ1025" i="9"/>
  <c r="AK1025" i="9"/>
  <c r="AH1026" i="9"/>
  <c r="AI1026" i="9"/>
  <c r="AJ1026" i="9"/>
  <c r="AK1026" i="9"/>
  <c r="AH1027" i="9"/>
  <c r="AI1027" i="9"/>
  <c r="AJ1027" i="9"/>
  <c r="AK1027" i="9"/>
  <c r="AH1028" i="9"/>
  <c r="AI1028" i="9"/>
  <c r="AJ1028" i="9"/>
  <c r="AK1028" i="9"/>
  <c r="AH1029" i="9"/>
  <c r="AI1029" i="9"/>
  <c r="AJ1029" i="9"/>
  <c r="AK1029" i="9"/>
  <c r="AH1030" i="9"/>
  <c r="AI1030" i="9"/>
  <c r="AJ1030" i="9"/>
  <c r="AK1030" i="9"/>
  <c r="AH1031" i="9"/>
  <c r="AI1031" i="9"/>
  <c r="AJ1031" i="9"/>
  <c r="AK1031" i="9"/>
  <c r="AH312" i="17"/>
  <c r="AI312" i="17"/>
  <c r="AJ312" i="17"/>
  <c r="AK312" i="17"/>
  <c r="AH313" i="17"/>
  <c r="AI313" i="17"/>
  <c r="AJ313" i="17"/>
  <c r="AK313" i="17"/>
  <c r="AH314" i="17"/>
  <c r="AI314" i="17"/>
  <c r="AJ314" i="17"/>
  <c r="AK314" i="17"/>
  <c r="AH315" i="17"/>
  <c r="AI315" i="17"/>
  <c r="AJ315" i="17"/>
  <c r="AK315" i="17"/>
  <c r="AH316" i="17"/>
  <c r="AI316" i="17"/>
  <c r="AJ316" i="17"/>
  <c r="AK316" i="17"/>
  <c r="AH317" i="17"/>
  <c r="AI317" i="17"/>
  <c r="AJ317" i="17"/>
  <c r="AK317" i="17"/>
  <c r="AH318" i="17"/>
  <c r="AI318" i="17"/>
  <c r="AJ318" i="17"/>
  <c r="AK318" i="17"/>
  <c r="AH319" i="17"/>
  <c r="AI319" i="17"/>
  <c r="AJ319" i="17"/>
  <c r="AK319" i="17"/>
  <c r="AH320" i="17"/>
  <c r="AI320" i="17"/>
  <c r="AJ320" i="17"/>
  <c r="AK320" i="17"/>
  <c r="AH321" i="17"/>
  <c r="AI321" i="17"/>
  <c r="AJ321" i="17"/>
  <c r="AK321" i="17"/>
  <c r="AH322" i="17"/>
  <c r="AI322" i="17"/>
  <c r="AJ322" i="17"/>
  <c r="AK322" i="17"/>
  <c r="AH323" i="17"/>
  <c r="AI323" i="17"/>
  <c r="AJ323" i="17"/>
  <c r="AK323" i="17"/>
  <c r="AH324" i="17"/>
  <c r="AI324" i="17"/>
  <c r="AJ324" i="17"/>
  <c r="AK324" i="17"/>
  <c r="AH325" i="17"/>
  <c r="AI325" i="17"/>
  <c r="AJ325" i="17"/>
  <c r="AK325" i="17"/>
  <c r="AH326" i="17"/>
  <c r="AI326" i="17"/>
  <c r="AJ326" i="17"/>
  <c r="AK326" i="17"/>
  <c r="AH327" i="17"/>
  <c r="AI327" i="17"/>
  <c r="AJ327" i="17"/>
  <c r="AK327" i="17"/>
  <c r="AH300" i="17"/>
  <c r="AI300" i="17"/>
  <c r="AJ300" i="17"/>
  <c r="AK300" i="17"/>
  <c r="AH301" i="17"/>
  <c r="AI301" i="17"/>
  <c r="AJ301" i="17"/>
  <c r="AK301" i="17"/>
  <c r="AH302" i="17"/>
  <c r="AI302" i="17"/>
  <c r="AJ302" i="17"/>
  <c r="AK302" i="17"/>
  <c r="AH303" i="17"/>
  <c r="AI303" i="17"/>
  <c r="AJ303" i="17"/>
  <c r="AK303" i="17"/>
  <c r="AH304" i="17"/>
  <c r="AI304" i="17"/>
  <c r="AJ304" i="17"/>
  <c r="AK304" i="17"/>
  <c r="AH305" i="17"/>
  <c r="AI305" i="17"/>
  <c r="AJ305" i="17"/>
  <c r="AK305" i="17"/>
  <c r="AH306" i="17"/>
  <c r="AI306" i="17"/>
  <c r="AJ306" i="17"/>
  <c r="AK306" i="17"/>
  <c r="AH307" i="17"/>
  <c r="AI307" i="17"/>
  <c r="AJ307" i="17"/>
  <c r="AK307" i="17"/>
  <c r="AH308" i="17"/>
  <c r="AI308" i="17"/>
  <c r="AJ308" i="17"/>
  <c r="AK308" i="17"/>
  <c r="AH309" i="17"/>
  <c r="AI309" i="17"/>
  <c r="AJ309" i="17"/>
  <c r="AK309" i="17"/>
  <c r="AH310" i="17"/>
  <c r="AI310" i="17"/>
  <c r="AJ310" i="17"/>
  <c r="AK310" i="17"/>
  <c r="AH311" i="17"/>
  <c r="AI311" i="17"/>
  <c r="AJ311" i="17"/>
  <c r="AK311" i="17"/>
  <c r="AH1004" i="9"/>
  <c r="AI1004" i="9"/>
  <c r="AJ1004" i="9"/>
  <c r="AK1004" i="9"/>
  <c r="AH1005" i="9"/>
  <c r="AI1005" i="9"/>
  <c r="AJ1005" i="9"/>
  <c r="AK1005" i="9"/>
  <c r="AH1006" i="9"/>
  <c r="AI1006" i="9"/>
  <c r="AJ1006" i="9"/>
  <c r="AK1006" i="9"/>
  <c r="AH1007" i="9"/>
  <c r="AI1007" i="9"/>
  <c r="AJ1007" i="9"/>
  <c r="AK1007" i="9"/>
  <c r="AH1008" i="9"/>
  <c r="AI1008" i="9"/>
  <c r="AJ1008" i="9"/>
  <c r="AK1008" i="9"/>
  <c r="AH1009" i="9"/>
  <c r="AI1009" i="9"/>
  <c r="AJ1009" i="9"/>
  <c r="AK1009" i="9"/>
  <c r="AH1010" i="9"/>
  <c r="AI1010" i="9"/>
  <c r="AJ1010" i="9"/>
  <c r="AK1010" i="9"/>
  <c r="AH1011" i="9"/>
  <c r="AI1011" i="9"/>
  <c r="AJ1011" i="9"/>
  <c r="AK1011" i="9"/>
  <c r="AH1012" i="9"/>
  <c r="AI1012" i="9"/>
  <c r="AJ1012" i="9"/>
  <c r="AK1012" i="9"/>
  <c r="AH1013" i="9"/>
  <c r="AI1013" i="9"/>
  <c r="AJ1013" i="9"/>
  <c r="AK1013" i="9"/>
  <c r="AH1014" i="9"/>
  <c r="AI1014" i="9"/>
  <c r="AJ1014" i="9"/>
  <c r="AK1014" i="9"/>
  <c r="AH1015" i="9"/>
  <c r="AI1015" i="9"/>
  <c r="AJ1015" i="9"/>
  <c r="AK1015" i="9"/>
  <c r="AA390" i="15"/>
  <c r="AB390" i="15"/>
  <c r="AC390" i="15"/>
  <c r="AD390" i="15"/>
  <c r="AA391" i="15"/>
  <c r="AB391" i="15"/>
  <c r="AC391" i="15"/>
  <c r="AD391" i="15"/>
  <c r="AA392" i="15"/>
  <c r="AB392" i="15"/>
  <c r="AC392" i="15"/>
  <c r="AD392" i="15"/>
  <c r="AA393" i="15"/>
  <c r="AB393" i="15"/>
  <c r="AC393" i="15"/>
  <c r="AD393" i="15"/>
  <c r="AA394" i="15"/>
  <c r="AB394" i="15"/>
  <c r="AC394" i="15"/>
  <c r="AD394" i="15"/>
  <c r="AA395" i="15"/>
  <c r="AB395" i="15"/>
  <c r="AC395" i="15"/>
  <c r="AD395" i="15"/>
  <c r="AA396" i="15"/>
  <c r="AB396" i="15"/>
  <c r="AC396" i="15"/>
  <c r="AD396" i="15"/>
  <c r="AA397" i="15"/>
  <c r="AB397" i="15"/>
  <c r="AC397" i="15"/>
  <c r="AD397" i="15"/>
  <c r="AA398" i="15"/>
  <c r="AB398" i="15"/>
  <c r="AC398" i="15"/>
  <c r="AD398" i="15"/>
  <c r="AA399" i="15"/>
  <c r="AB399" i="15"/>
  <c r="AC399" i="15"/>
  <c r="AD399" i="15"/>
  <c r="AA400" i="15"/>
  <c r="AB400" i="15"/>
  <c r="AC400" i="15"/>
  <c r="AD400" i="15"/>
  <c r="AA401" i="15"/>
  <c r="AB401" i="15"/>
  <c r="AC401" i="15"/>
  <c r="AD401" i="15"/>
  <c r="AA402" i="15"/>
  <c r="AB402" i="15"/>
  <c r="AC402" i="15"/>
  <c r="AD402" i="15"/>
  <c r="AA403" i="15"/>
  <c r="AB403" i="15"/>
  <c r="AC403" i="15"/>
  <c r="AD403" i="15"/>
  <c r="AA875" i="10"/>
  <c r="AB875" i="10"/>
  <c r="AC875" i="10"/>
  <c r="AD875" i="10"/>
  <c r="AA876" i="10"/>
  <c r="AB876" i="10"/>
  <c r="AC876" i="10"/>
  <c r="AD876" i="10"/>
  <c r="AA877" i="10"/>
  <c r="AB877" i="10"/>
  <c r="AC877" i="10"/>
  <c r="AD877" i="10"/>
  <c r="AA878" i="10"/>
  <c r="AB878" i="10"/>
  <c r="AC878" i="10"/>
  <c r="AD878" i="10"/>
  <c r="AA879" i="10"/>
  <c r="AB879" i="10"/>
  <c r="AC879" i="10"/>
  <c r="AD879" i="10"/>
  <c r="AA880" i="10"/>
  <c r="AB880" i="10"/>
  <c r="AC880" i="10"/>
  <c r="AD880" i="10"/>
  <c r="AA881" i="10"/>
  <c r="AB881" i="10"/>
  <c r="AC881" i="10"/>
  <c r="AD881" i="10"/>
  <c r="AA882" i="10"/>
  <c r="AB882" i="10"/>
  <c r="AC882" i="10"/>
  <c r="AD882" i="10"/>
  <c r="AA883" i="10"/>
  <c r="AB883" i="10"/>
  <c r="AC883" i="10"/>
  <c r="AD883" i="10"/>
  <c r="AA884" i="10"/>
  <c r="AB884" i="10"/>
  <c r="AC884" i="10"/>
  <c r="AD884" i="10"/>
  <c r="AA885" i="10"/>
  <c r="AB885" i="10"/>
  <c r="AC885" i="10"/>
  <c r="AD885" i="10"/>
  <c r="AA886" i="10"/>
  <c r="AB886" i="10"/>
  <c r="AC886" i="10"/>
  <c r="AD886" i="10"/>
  <c r="AA887" i="10"/>
  <c r="AB887" i="10"/>
  <c r="AC887" i="10"/>
  <c r="AD887" i="10"/>
  <c r="AA888" i="10"/>
  <c r="AB888" i="10"/>
  <c r="AC888" i="10"/>
  <c r="AD888" i="10"/>
  <c r="AA374" i="15"/>
  <c r="AB374" i="15"/>
  <c r="AC374" i="15"/>
  <c r="AD374" i="15"/>
  <c r="AA375" i="15"/>
  <c r="AB375" i="15"/>
  <c r="AC375" i="15"/>
  <c r="AD375" i="15"/>
  <c r="AA376" i="15"/>
  <c r="AB376" i="15"/>
  <c r="AC376" i="15"/>
  <c r="AD376" i="15"/>
  <c r="AA377" i="15"/>
  <c r="AB377" i="15"/>
  <c r="AC377" i="15"/>
  <c r="AD377" i="15"/>
  <c r="AA378" i="15"/>
  <c r="AB378" i="15"/>
  <c r="P35" i="13" s="1"/>
  <c r="AC378" i="15"/>
  <c r="S35" i="13" s="1"/>
  <c r="AD378" i="15"/>
  <c r="AA379" i="15"/>
  <c r="AB379" i="15"/>
  <c r="AC379" i="15"/>
  <c r="AD379" i="15"/>
  <c r="AA380" i="15"/>
  <c r="AB380" i="15"/>
  <c r="AC380" i="15"/>
  <c r="AD380" i="15"/>
  <c r="AA381" i="15"/>
  <c r="AB381" i="15"/>
  <c r="AC381" i="15"/>
  <c r="AD381" i="15"/>
  <c r="AA382" i="15"/>
  <c r="AB382" i="15"/>
  <c r="AC382" i="15"/>
  <c r="AD382" i="15"/>
  <c r="AA383" i="15"/>
  <c r="AB383" i="15"/>
  <c r="AC383" i="15"/>
  <c r="AD383" i="15"/>
  <c r="AA384" i="15"/>
  <c r="AB384" i="15"/>
  <c r="AC384" i="15"/>
  <c r="AD384" i="15"/>
  <c r="AA385" i="15"/>
  <c r="AB385" i="15"/>
  <c r="AC385" i="15"/>
  <c r="AD385" i="15"/>
  <c r="AA386" i="15"/>
  <c r="AB386" i="15"/>
  <c r="AC386" i="15"/>
  <c r="AD386" i="15"/>
  <c r="AA387" i="15"/>
  <c r="AB387" i="15"/>
  <c r="AC387" i="15"/>
  <c r="AD387" i="15"/>
  <c r="AA388" i="15"/>
  <c r="AB388" i="15"/>
  <c r="AC388" i="15"/>
  <c r="AD388" i="15"/>
  <c r="AA389" i="15"/>
  <c r="AB389" i="15"/>
  <c r="AC389" i="15"/>
  <c r="AD389" i="15"/>
  <c r="AA859" i="10"/>
  <c r="AB859" i="10"/>
  <c r="AC859" i="10"/>
  <c r="AD859" i="10"/>
  <c r="AA860" i="10"/>
  <c r="AB860" i="10"/>
  <c r="AC860" i="10"/>
  <c r="AD860" i="10"/>
  <c r="AA861" i="10"/>
  <c r="AB861" i="10"/>
  <c r="AC861" i="10"/>
  <c r="AD861" i="10"/>
  <c r="AA862" i="10"/>
  <c r="AB862" i="10"/>
  <c r="AC862" i="10"/>
  <c r="AD862" i="10"/>
  <c r="AA863" i="10"/>
  <c r="AB863" i="10"/>
  <c r="AC863" i="10"/>
  <c r="T37" i="11" s="1"/>
  <c r="AD863" i="10"/>
  <c r="AA864" i="10"/>
  <c r="AB864" i="10"/>
  <c r="AC864" i="10"/>
  <c r="AD864" i="10"/>
  <c r="AA865" i="10"/>
  <c r="AB865" i="10"/>
  <c r="AC865" i="10"/>
  <c r="AD865" i="10"/>
  <c r="AA866" i="10"/>
  <c r="AB866" i="10"/>
  <c r="AC866" i="10"/>
  <c r="AD866" i="10"/>
  <c r="AA867" i="10"/>
  <c r="AB867" i="10"/>
  <c r="AC867" i="10"/>
  <c r="AD867" i="10"/>
  <c r="AA868" i="10"/>
  <c r="AB868" i="10"/>
  <c r="AC868" i="10"/>
  <c r="AD868" i="10"/>
  <c r="AA869" i="10"/>
  <c r="AB869" i="10"/>
  <c r="AC869" i="10"/>
  <c r="AD869" i="10"/>
  <c r="AA870" i="10"/>
  <c r="AB870" i="10"/>
  <c r="AC870" i="10"/>
  <c r="AD870" i="10"/>
  <c r="AA871" i="10"/>
  <c r="AB871" i="10"/>
  <c r="AC871" i="10"/>
  <c r="AD871" i="10"/>
  <c r="AA872" i="10"/>
  <c r="AB872" i="10"/>
  <c r="AC872" i="10"/>
  <c r="AD872" i="10"/>
  <c r="AA873" i="10"/>
  <c r="AB873" i="10"/>
  <c r="AC873" i="10"/>
  <c r="AD873" i="10"/>
  <c r="AA874" i="10"/>
  <c r="AB874" i="10"/>
  <c r="AC874" i="10"/>
  <c r="AD874" i="10"/>
  <c r="AA843" i="10"/>
  <c r="AB843" i="10"/>
  <c r="AC843" i="10"/>
  <c r="AD843" i="10"/>
  <c r="AA844" i="10"/>
  <c r="AB844" i="10"/>
  <c r="AC844" i="10"/>
  <c r="AD844" i="10"/>
  <c r="AA845" i="10"/>
  <c r="AB845" i="10"/>
  <c r="AC845" i="10"/>
  <c r="AD845" i="10"/>
  <c r="AA846" i="10"/>
  <c r="AB846" i="10"/>
  <c r="AC846" i="10"/>
  <c r="AD846" i="10"/>
  <c r="AA847" i="10"/>
  <c r="AB847" i="10"/>
  <c r="AC847" i="10"/>
  <c r="AD847" i="10"/>
  <c r="AA848" i="10"/>
  <c r="AB848" i="10"/>
  <c r="AC848" i="10"/>
  <c r="AD848" i="10"/>
  <c r="AA849" i="10"/>
  <c r="AB849" i="10"/>
  <c r="AC849" i="10"/>
  <c r="AD849" i="10"/>
  <c r="AA850" i="10"/>
  <c r="AB850" i="10"/>
  <c r="AC850" i="10"/>
  <c r="AD850" i="10"/>
  <c r="AA851" i="10"/>
  <c r="AB851" i="10"/>
  <c r="AC851" i="10"/>
  <c r="AD851" i="10"/>
  <c r="AA852" i="10"/>
  <c r="AB852" i="10"/>
  <c r="AC852" i="10"/>
  <c r="AD852" i="10"/>
  <c r="AA853" i="10"/>
  <c r="AB853" i="10"/>
  <c r="AC853" i="10"/>
  <c r="AD853" i="10"/>
  <c r="AA854" i="10"/>
  <c r="AB854" i="10"/>
  <c r="AC854" i="10"/>
  <c r="AD854" i="10"/>
  <c r="AA855" i="10"/>
  <c r="AB855" i="10"/>
  <c r="AC855" i="10"/>
  <c r="AD855" i="10"/>
  <c r="AA856" i="10"/>
  <c r="AB856" i="10"/>
  <c r="AC856" i="10"/>
  <c r="AD856" i="10"/>
  <c r="AA857" i="10"/>
  <c r="AB857" i="10"/>
  <c r="AC857" i="10"/>
  <c r="AD857" i="10"/>
  <c r="AA858" i="10"/>
  <c r="AB858" i="10"/>
  <c r="AC858" i="10"/>
  <c r="AD858" i="10"/>
  <c r="AA358" i="15"/>
  <c r="AB358" i="15"/>
  <c r="AC358" i="15"/>
  <c r="AD358" i="15"/>
  <c r="AA359" i="15"/>
  <c r="AB359" i="15"/>
  <c r="AC359" i="15"/>
  <c r="AD359" i="15"/>
  <c r="AA360" i="15"/>
  <c r="AB360" i="15"/>
  <c r="AC360" i="15"/>
  <c r="AD360" i="15"/>
  <c r="AA361" i="15"/>
  <c r="AB361" i="15"/>
  <c r="AC361" i="15"/>
  <c r="AD361" i="15"/>
  <c r="AA362" i="15"/>
  <c r="AB362" i="15"/>
  <c r="AC362" i="15"/>
  <c r="AD362" i="15"/>
  <c r="AA363" i="15"/>
  <c r="AB363" i="15"/>
  <c r="AC363" i="15"/>
  <c r="AD363" i="15"/>
  <c r="AA364" i="15"/>
  <c r="AB364" i="15"/>
  <c r="AC364" i="15"/>
  <c r="AD364" i="15"/>
  <c r="AA365" i="15"/>
  <c r="AB365" i="15"/>
  <c r="AC365" i="15"/>
  <c r="AD365" i="15"/>
  <c r="AA366" i="15"/>
  <c r="AB366" i="15"/>
  <c r="AC366" i="15"/>
  <c r="AD366" i="15"/>
  <c r="AA367" i="15"/>
  <c r="AB367" i="15"/>
  <c r="AC367" i="15"/>
  <c r="AD367" i="15"/>
  <c r="AA368" i="15"/>
  <c r="AB368" i="15"/>
  <c r="AC368" i="15"/>
  <c r="AD368" i="15"/>
  <c r="AA369" i="15"/>
  <c r="AB369" i="15"/>
  <c r="AC369" i="15"/>
  <c r="AD369" i="15"/>
  <c r="AA370" i="15"/>
  <c r="AB370" i="15"/>
  <c r="AC370" i="15"/>
  <c r="AD370" i="15"/>
  <c r="AA371" i="15"/>
  <c r="AB371" i="15"/>
  <c r="AC371" i="15"/>
  <c r="AD371" i="15"/>
  <c r="AA372" i="15"/>
  <c r="AB372" i="15"/>
  <c r="AC372" i="15"/>
  <c r="AD372" i="15"/>
  <c r="AA373" i="15"/>
  <c r="AB373" i="15"/>
  <c r="AC373" i="15"/>
  <c r="AD373" i="15"/>
  <c r="U11" i="13"/>
  <c r="V11" i="13"/>
  <c r="W11" i="13"/>
  <c r="X11" i="13"/>
  <c r="Y11" i="13"/>
  <c r="Z11" i="13"/>
  <c r="AA11" i="13"/>
  <c r="AB11" i="13"/>
  <c r="AC11" i="13"/>
  <c r="AD11" i="13"/>
  <c r="AE11" i="13"/>
  <c r="AF11" i="13"/>
  <c r="AG11" i="13"/>
  <c r="AH11" i="13"/>
  <c r="AI11" i="13"/>
  <c r="T11" i="13"/>
  <c r="H11" i="13"/>
  <c r="I11" i="13"/>
  <c r="J11" i="13" a="1"/>
  <c r="J11" i="13" s="1"/>
  <c r="K11" i="13"/>
  <c r="L11" i="13"/>
  <c r="M11" i="13"/>
  <c r="N11" i="13"/>
  <c r="O11" i="13" s="1"/>
  <c r="P11" i="13"/>
  <c r="Q11" i="13"/>
  <c r="R11" i="13" s="1"/>
  <c r="S11" i="13"/>
  <c r="V11" i="11"/>
  <c r="W11" i="11"/>
  <c r="X11" i="11"/>
  <c r="Y11" i="11"/>
  <c r="Z11" i="11"/>
  <c r="AA11" i="11"/>
  <c r="AB11" i="11"/>
  <c r="AC11" i="11"/>
  <c r="AD11" i="11"/>
  <c r="AE11" i="11"/>
  <c r="AF11" i="11"/>
  <c r="AG11" i="11"/>
  <c r="AH11" i="11"/>
  <c r="AI11" i="11"/>
  <c r="AJ11" i="11"/>
  <c r="U11" i="11"/>
  <c r="H11" i="11"/>
  <c r="I11" i="11"/>
  <c r="K11" i="11" a="1"/>
  <c r="K11" i="11" s="1"/>
  <c r="L11" i="11"/>
  <c r="M11" i="11"/>
  <c r="O11" i="11"/>
  <c r="P11" i="11" s="1"/>
  <c r="R11" i="11"/>
  <c r="S11" i="11" s="1"/>
  <c r="T11" i="11"/>
  <c r="AA342" i="15"/>
  <c r="AB342" i="15"/>
  <c r="AC342" i="15"/>
  <c r="AD342" i="15"/>
  <c r="AA343" i="15"/>
  <c r="AB343" i="15"/>
  <c r="AC343" i="15"/>
  <c r="AD343" i="15"/>
  <c r="AA344" i="15"/>
  <c r="AB344" i="15"/>
  <c r="AC344" i="15"/>
  <c r="AD344" i="15"/>
  <c r="AA345" i="15"/>
  <c r="AB345" i="15"/>
  <c r="AC345" i="15"/>
  <c r="AD345" i="15"/>
  <c r="AA346" i="15"/>
  <c r="AB346" i="15"/>
  <c r="AC346" i="15"/>
  <c r="AD346" i="15"/>
  <c r="AA347" i="15"/>
  <c r="AB347" i="15"/>
  <c r="AC347" i="15"/>
  <c r="AD347" i="15"/>
  <c r="AA348" i="15"/>
  <c r="AB348" i="15"/>
  <c r="AC348" i="15"/>
  <c r="AD348" i="15"/>
  <c r="AA349" i="15"/>
  <c r="AB349" i="15"/>
  <c r="AC349" i="15"/>
  <c r="AD349" i="15"/>
  <c r="AA350" i="15"/>
  <c r="AB350" i="15"/>
  <c r="AC350" i="15"/>
  <c r="AD350" i="15"/>
  <c r="AA351" i="15"/>
  <c r="AB351" i="15"/>
  <c r="AC351" i="15"/>
  <c r="AD351" i="15"/>
  <c r="AA352" i="15"/>
  <c r="AB352" i="15"/>
  <c r="AC352" i="15"/>
  <c r="AD352" i="15"/>
  <c r="AA353" i="15"/>
  <c r="AB353" i="15"/>
  <c r="AC353" i="15"/>
  <c r="AD353" i="15"/>
  <c r="AA354" i="15"/>
  <c r="AB354" i="15"/>
  <c r="AC354" i="15"/>
  <c r="AD354" i="15"/>
  <c r="AA355" i="15"/>
  <c r="AB355" i="15"/>
  <c r="AC355" i="15"/>
  <c r="AD355" i="15"/>
  <c r="AA356" i="15"/>
  <c r="AB356" i="15"/>
  <c r="AC356" i="15"/>
  <c r="AD356" i="15"/>
  <c r="AA357" i="15"/>
  <c r="AB357" i="15"/>
  <c r="AC357" i="15"/>
  <c r="AD357" i="15"/>
  <c r="AA827" i="10"/>
  <c r="AB827" i="10"/>
  <c r="AC827" i="10"/>
  <c r="AD827" i="10"/>
  <c r="AA828" i="10"/>
  <c r="AB828" i="10"/>
  <c r="AC828" i="10"/>
  <c r="AD828" i="10"/>
  <c r="AA829" i="10"/>
  <c r="AB829" i="10"/>
  <c r="AC829" i="10"/>
  <c r="AD829" i="10"/>
  <c r="AA830" i="10"/>
  <c r="AB830" i="10"/>
  <c r="AC830" i="10"/>
  <c r="AD830" i="10"/>
  <c r="AA831" i="10"/>
  <c r="AB831" i="10"/>
  <c r="AC831" i="10"/>
  <c r="AD831" i="10"/>
  <c r="AA832" i="10"/>
  <c r="AB832" i="10"/>
  <c r="AC832" i="10"/>
  <c r="AD832" i="10"/>
  <c r="AA833" i="10"/>
  <c r="AB833" i="10"/>
  <c r="AC833" i="10"/>
  <c r="AD833" i="10"/>
  <c r="AA834" i="10"/>
  <c r="AB834" i="10"/>
  <c r="Q11" i="11" s="1"/>
  <c r="AC834" i="10"/>
  <c r="AD834" i="10"/>
  <c r="N11" i="11" s="1"/>
  <c r="AA835" i="10"/>
  <c r="AB835" i="10"/>
  <c r="AC835" i="10"/>
  <c r="AD835" i="10"/>
  <c r="AA836" i="10"/>
  <c r="AB836" i="10"/>
  <c r="AC836" i="10"/>
  <c r="AD836" i="10"/>
  <c r="AA837" i="10"/>
  <c r="AB837" i="10"/>
  <c r="AC837" i="10"/>
  <c r="AD837" i="10"/>
  <c r="AA838" i="10"/>
  <c r="AB838" i="10"/>
  <c r="AC838" i="10"/>
  <c r="AD838" i="10"/>
  <c r="AA839" i="10"/>
  <c r="AB839" i="10"/>
  <c r="AC839" i="10"/>
  <c r="AD839" i="10"/>
  <c r="AA840" i="10"/>
  <c r="AB840" i="10"/>
  <c r="AC840" i="10"/>
  <c r="AD840" i="10"/>
  <c r="AA841" i="10"/>
  <c r="AB841" i="10"/>
  <c r="AC841" i="10"/>
  <c r="AD841" i="10"/>
  <c r="AA842" i="10"/>
  <c r="AB842" i="10"/>
  <c r="AC842" i="10"/>
  <c r="AD842" i="10"/>
  <c r="AH990" i="9"/>
  <c r="AI990" i="9"/>
  <c r="AJ990" i="9"/>
  <c r="AK990" i="9"/>
  <c r="AH991" i="9"/>
  <c r="AI991" i="9"/>
  <c r="AJ991" i="9"/>
  <c r="AK991" i="9"/>
  <c r="AH992" i="9"/>
  <c r="AI992" i="9"/>
  <c r="AJ992" i="9"/>
  <c r="AK992" i="9"/>
  <c r="AH993" i="9"/>
  <c r="AI993" i="9"/>
  <c r="AJ993" i="9"/>
  <c r="AK993" i="9"/>
  <c r="AH994" i="9"/>
  <c r="AI994" i="9"/>
  <c r="AJ994" i="9"/>
  <c r="AK994" i="9"/>
  <c r="AH995" i="9"/>
  <c r="AI995" i="9"/>
  <c r="AJ995" i="9"/>
  <c r="AK995" i="9"/>
  <c r="AH996" i="9"/>
  <c r="AI996" i="9"/>
  <c r="AJ996" i="9"/>
  <c r="AK996" i="9"/>
  <c r="AH997" i="9"/>
  <c r="AI997" i="9"/>
  <c r="AJ997" i="9"/>
  <c r="AK997" i="9"/>
  <c r="AH998" i="9"/>
  <c r="AI998" i="9"/>
  <c r="AJ998" i="9"/>
  <c r="AK998" i="9"/>
  <c r="AH999" i="9"/>
  <c r="AI999" i="9"/>
  <c r="AJ999" i="9"/>
  <c r="AK999" i="9"/>
  <c r="AH1000" i="9"/>
  <c r="AI1000" i="9"/>
  <c r="AJ1000" i="9"/>
  <c r="AK1000" i="9"/>
  <c r="AH1001" i="9"/>
  <c r="AI1001" i="9"/>
  <c r="AJ1001" i="9"/>
  <c r="AK1001" i="9"/>
  <c r="AH1002" i="9"/>
  <c r="AI1002" i="9"/>
  <c r="AJ1002" i="9"/>
  <c r="AK1002" i="9"/>
  <c r="AH1003" i="9"/>
  <c r="AI1003" i="9"/>
  <c r="AJ1003" i="9"/>
  <c r="AK1003" i="9"/>
  <c r="AH286" i="17"/>
  <c r="AI286" i="17"/>
  <c r="AJ286" i="17"/>
  <c r="AK286" i="17"/>
  <c r="AH287" i="17"/>
  <c r="AI287" i="17"/>
  <c r="AJ287" i="17"/>
  <c r="AK287" i="17"/>
  <c r="AH288" i="17"/>
  <c r="AI288" i="17"/>
  <c r="AJ288" i="17"/>
  <c r="AK288" i="17"/>
  <c r="AH289" i="17"/>
  <c r="AI289" i="17"/>
  <c r="AJ289" i="17"/>
  <c r="AK289" i="17"/>
  <c r="AH290" i="17"/>
  <c r="AI290" i="17"/>
  <c r="AJ290" i="17"/>
  <c r="AK290" i="17"/>
  <c r="AH291" i="17"/>
  <c r="AI291" i="17"/>
  <c r="AJ291" i="17"/>
  <c r="AK291" i="17"/>
  <c r="AH292" i="17"/>
  <c r="AI292" i="17"/>
  <c r="AJ292" i="17"/>
  <c r="AK292" i="17"/>
  <c r="AH293" i="17"/>
  <c r="AI293" i="17"/>
  <c r="AJ293" i="17"/>
  <c r="AK293" i="17"/>
  <c r="AH294" i="17"/>
  <c r="AI294" i="17"/>
  <c r="AJ294" i="17"/>
  <c r="AK294" i="17"/>
  <c r="AH295" i="17"/>
  <c r="AI295" i="17"/>
  <c r="AJ295" i="17"/>
  <c r="AK295" i="17"/>
  <c r="AH296" i="17"/>
  <c r="AI296" i="17"/>
  <c r="AJ296" i="17"/>
  <c r="AK296" i="17"/>
  <c r="AH297" i="17"/>
  <c r="AI297" i="17"/>
  <c r="AJ297" i="17"/>
  <c r="AK297" i="17"/>
  <c r="AH298" i="17"/>
  <c r="AI298" i="17"/>
  <c r="AJ298" i="17"/>
  <c r="AK298" i="17"/>
  <c r="AH299" i="17"/>
  <c r="AI299" i="17"/>
  <c r="AJ299" i="17"/>
  <c r="AK299" i="17"/>
  <c r="AH274" i="17"/>
  <c r="AI274" i="17"/>
  <c r="AJ274" i="17"/>
  <c r="AK274" i="17"/>
  <c r="AH275" i="17"/>
  <c r="AI275" i="17"/>
  <c r="AJ275" i="17"/>
  <c r="AK275" i="17"/>
  <c r="AH276" i="17"/>
  <c r="AI276" i="17"/>
  <c r="AJ276" i="17"/>
  <c r="AK276" i="17"/>
  <c r="AH277" i="17"/>
  <c r="AI277" i="17"/>
  <c r="AJ277" i="17"/>
  <c r="AK277" i="17"/>
  <c r="AH278" i="17"/>
  <c r="AI278" i="17"/>
  <c r="AJ278" i="17"/>
  <c r="AK278" i="17"/>
  <c r="AH279" i="17"/>
  <c r="AI279" i="17"/>
  <c r="AJ279" i="17"/>
  <c r="AK279" i="17"/>
  <c r="AH280" i="17"/>
  <c r="AI280" i="17"/>
  <c r="AJ280" i="17"/>
  <c r="AK280" i="17"/>
  <c r="AH281" i="17"/>
  <c r="AI281" i="17"/>
  <c r="AJ281" i="17"/>
  <c r="AK281" i="17"/>
  <c r="AH282" i="17"/>
  <c r="AI282" i="17"/>
  <c r="AJ282" i="17"/>
  <c r="AK282" i="17"/>
  <c r="AH283" i="17"/>
  <c r="AI283" i="17"/>
  <c r="AJ283" i="17"/>
  <c r="AK283" i="17"/>
  <c r="AH284" i="17"/>
  <c r="AI284" i="17"/>
  <c r="AJ284" i="17"/>
  <c r="AK284" i="17"/>
  <c r="AH285" i="17"/>
  <c r="AI285" i="17"/>
  <c r="AJ285" i="17"/>
  <c r="AK285" i="17"/>
  <c r="AH978" i="9"/>
  <c r="AI978" i="9"/>
  <c r="AJ978" i="9"/>
  <c r="AK978" i="9"/>
  <c r="AH979" i="9"/>
  <c r="AI979" i="9"/>
  <c r="AJ979" i="9"/>
  <c r="AK979" i="9"/>
  <c r="AH980" i="9"/>
  <c r="AI980" i="9"/>
  <c r="AJ980" i="9"/>
  <c r="AK980" i="9"/>
  <c r="AH981" i="9"/>
  <c r="AI981" i="9"/>
  <c r="AJ981" i="9"/>
  <c r="AK981" i="9"/>
  <c r="AH982" i="9"/>
  <c r="AI982" i="9"/>
  <c r="AJ982" i="9"/>
  <c r="AK982" i="9"/>
  <c r="AH983" i="9"/>
  <c r="AI983" i="9"/>
  <c r="AJ983" i="9"/>
  <c r="AK983" i="9"/>
  <c r="AH984" i="9"/>
  <c r="AI984" i="9"/>
  <c r="AJ984" i="9"/>
  <c r="AK984" i="9"/>
  <c r="AH985" i="9"/>
  <c r="AI985" i="9"/>
  <c r="AJ985" i="9"/>
  <c r="AK985" i="9"/>
  <c r="AH986" i="9"/>
  <c r="AI986" i="9"/>
  <c r="AJ986" i="9"/>
  <c r="AK986" i="9"/>
  <c r="AH987" i="9"/>
  <c r="AI987" i="9"/>
  <c r="AJ987" i="9"/>
  <c r="AK987" i="9"/>
  <c r="AH988" i="9"/>
  <c r="AI988" i="9"/>
  <c r="AJ988" i="9"/>
  <c r="AK988" i="9"/>
  <c r="AH989" i="9"/>
  <c r="AI989" i="9"/>
  <c r="AJ989" i="9"/>
  <c r="AK989" i="9"/>
  <c r="AH966" i="9"/>
  <c r="AI966" i="9"/>
  <c r="AJ966" i="9"/>
  <c r="AK966" i="9"/>
  <c r="AH967" i="9"/>
  <c r="AI967" i="9"/>
  <c r="AJ967" i="9"/>
  <c r="AK967" i="9"/>
  <c r="AH968" i="9"/>
  <c r="AI968" i="9"/>
  <c r="AJ968" i="9"/>
  <c r="AK968" i="9"/>
  <c r="AH969" i="9"/>
  <c r="AI969" i="9"/>
  <c r="AJ969" i="9"/>
  <c r="AK969" i="9"/>
  <c r="AH970" i="9"/>
  <c r="AI970" i="9"/>
  <c r="AJ970" i="9"/>
  <c r="AK970" i="9"/>
  <c r="AH971" i="9"/>
  <c r="AI971" i="9"/>
  <c r="AJ971" i="9"/>
  <c r="AK971" i="9"/>
  <c r="AH972" i="9"/>
  <c r="AI972" i="9"/>
  <c r="AJ972" i="9"/>
  <c r="AK972" i="9"/>
  <c r="AH973" i="9"/>
  <c r="AI973" i="9"/>
  <c r="AJ973" i="9"/>
  <c r="AK973" i="9"/>
  <c r="AH974" i="9"/>
  <c r="AI974" i="9"/>
  <c r="AJ974" i="9"/>
  <c r="AK974" i="9"/>
  <c r="AH975" i="9"/>
  <c r="AI975" i="9"/>
  <c r="AJ975" i="9"/>
  <c r="AK975" i="9"/>
  <c r="AH976" i="9"/>
  <c r="AI976" i="9"/>
  <c r="AJ976" i="9"/>
  <c r="AK976" i="9"/>
  <c r="AH977" i="9"/>
  <c r="AI977" i="9"/>
  <c r="AJ977" i="9"/>
  <c r="AK977" i="9"/>
  <c r="AH262" i="17"/>
  <c r="AI262" i="17"/>
  <c r="AJ262" i="17"/>
  <c r="AK262" i="17"/>
  <c r="AH263" i="17"/>
  <c r="AI263" i="17"/>
  <c r="AJ263" i="17"/>
  <c r="AK263" i="17"/>
  <c r="AH264" i="17"/>
  <c r="AI264" i="17"/>
  <c r="AJ264" i="17"/>
  <c r="AK264" i="17"/>
  <c r="AH265" i="17"/>
  <c r="AI265" i="17"/>
  <c r="AJ265" i="17"/>
  <c r="Q12" i="16" s="1"/>
  <c r="AK265" i="17"/>
  <c r="AH266" i="17"/>
  <c r="AI266" i="17"/>
  <c r="AJ266" i="17"/>
  <c r="AK266" i="17"/>
  <c r="AH267" i="17"/>
  <c r="AI267" i="17"/>
  <c r="AJ267" i="17"/>
  <c r="AK267" i="17"/>
  <c r="AH268" i="17"/>
  <c r="AI268" i="17"/>
  <c r="AJ268" i="17"/>
  <c r="AK268" i="17"/>
  <c r="AH269" i="17"/>
  <c r="AI269" i="17"/>
  <c r="AJ269" i="17"/>
  <c r="AK269" i="17"/>
  <c r="AH270" i="17"/>
  <c r="AI270" i="17"/>
  <c r="AJ270" i="17"/>
  <c r="AK270" i="17"/>
  <c r="AH271" i="17"/>
  <c r="AI271" i="17"/>
  <c r="AJ271" i="17"/>
  <c r="AK271" i="17"/>
  <c r="AH272" i="17"/>
  <c r="AI272" i="17"/>
  <c r="AJ272" i="17"/>
  <c r="AK272" i="17"/>
  <c r="AH273" i="17"/>
  <c r="AI273" i="17"/>
  <c r="AJ273" i="17"/>
  <c r="AK273" i="17"/>
  <c r="S12" i="16"/>
  <c r="T12" i="16"/>
  <c r="U12" i="16"/>
  <c r="V12" i="16"/>
  <c r="W12" i="16"/>
  <c r="X12" i="16"/>
  <c r="Y12" i="16"/>
  <c r="Z12" i="16"/>
  <c r="AA12" i="16"/>
  <c r="AB12" i="16"/>
  <c r="AC12" i="16"/>
  <c r="AD12" i="16"/>
  <c r="AE12" i="16"/>
  <c r="AF12" i="16"/>
  <c r="AG12" i="16"/>
  <c r="AI12" i="16"/>
  <c r="AJ12" i="16"/>
  <c r="AK12" i="16"/>
  <c r="AL12" i="16"/>
  <c r="AM12" i="16"/>
  <c r="AN12" i="16"/>
  <c r="R12" i="16"/>
  <c r="F12" i="16"/>
  <c r="G12" i="16"/>
  <c r="H12" i="16" a="1"/>
  <c r="H12" i="16" s="1"/>
  <c r="I12" i="16"/>
  <c r="J12" i="16"/>
  <c r="K12" i="16"/>
  <c r="L12" i="16"/>
  <c r="M12" i="16" s="1"/>
  <c r="N12" i="16"/>
  <c r="O12" i="16"/>
  <c r="P12" i="16" s="1"/>
  <c r="AH250" i="17"/>
  <c r="AI250" i="17"/>
  <c r="AJ250" i="17"/>
  <c r="AK250" i="17"/>
  <c r="AH251" i="17"/>
  <c r="AI251" i="17"/>
  <c r="AJ251" i="17"/>
  <c r="AK251" i="17"/>
  <c r="AH252" i="17"/>
  <c r="AI252" i="17"/>
  <c r="AJ252" i="17"/>
  <c r="AK252" i="17"/>
  <c r="AH253" i="17"/>
  <c r="AI253" i="17"/>
  <c r="AJ253" i="17"/>
  <c r="AK253" i="17"/>
  <c r="AH254" i="17"/>
  <c r="AI254" i="17"/>
  <c r="AJ254" i="17"/>
  <c r="AK254" i="17"/>
  <c r="AH255" i="17"/>
  <c r="AI255" i="17"/>
  <c r="AJ255" i="17"/>
  <c r="AK255" i="17"/>
  <c r="AH256" i="17"/>
  <c r="AI256" i="17"/>
  <c r="AJ256" i="17"/>
  <c r="AK256" i="17"/>
  <c r="AH257" i="17"/>
  <c r="AI257" i="17"/>
  <c r="AJ257" i="17"/>
  <c r="AK257" i="17"/>
  <c r="AH258" i="17"/>
  <c r="AI258" i="17"/>
  <c r="AJ258" i="17"/>
  <c r="AK258" i="17"/>
  <c r="AH259" i="17"/>
  <c r="AI259" i="17"/>
  <c r="AJ259" i="17"/>
  <c r="AK259" i="17"/>
  <c r="AH260" i="17"/>
  <c r="AI260" i="17"/>
  <c r="AJ260" i="17"/>
  <c r="AK260" i="17"/>
  <c r="AH261" i="17"/>
  <c r="AI261" i="17"/>
  <c r="AJ261" i="17"/>
  <c r="AK261" i="17"/>
  <c r="AH954" i="9"/>
  <c r="AI954" i="9"/>
  <c r="AJ954" i="9"/>
  <c r="AK954" i="9"/>
  <c r="AH955" i="9"/>
  <c r="AI955" i="9"/>
  <c r="AJ955" i="9"/>
  <c r="AK955" i="9"/>
  <c r="AH956" i="9"/>
  <c r="AI956" i="9"/>
  <c r="AJ956" i="9"/>
  <c r="AK956" i="9"/>
  <c r="AH957" i="9"/>
  <c r="AI957" i="9"/>
  <c r="AJ957" i="9"/>
  <c r="AK957" i="9"/>
  <c r="AH958" i="9"/>
  <c r="AI958" i="9"/>
  <c r="AJ958" i="9"/>
  <c r="AK958" i="9"/>
  <c r="AH959" i="9"/>
  <c r="AI959" i="9"/>
  <c r="AJ959" i="9"/>
  <c r="AK959" i="9"/>
  <c r="AH960" i="9"/>
  <c r="AI960" i="9"/>
  <c r="AJ960" i="9"/>
  <c r="AK960" i="9"/>
  <c r="AH961" i="9"/>
  <c r="AI961" i="9"/>
  <c r="AJ961" i="9"/>
  <c r="AK961" i="9"/>
  <c r="AH962" i="9"/>
  <c r="AI962" i="9"/>
  <c r="AJ962" i="9"/>
  <c r="AK962" i="9"/>
  <c r="AH963" i="9"/>
  <c r="AI963" i="9"/>
  <c r="AJ963" i="9"/>
  <c r="AK963" i="9"/>
  <c r="AH964" i="9"/>
  <c r="AI964" i="9"/>
  <c r="AJ964" i="9"/>
  <c r="AK964" i="9"/>
  <c r="AH965" i="9"/>
  <c r="AI965" i="9"/>
  <c r="AJ965" i="9"/>
  <c r="AK965" i="9"/>
  <c r="AA332" i="15"/>
  <c r="AB332" i="15"/>
  <c r="AC332" i="15"/>
  <c r="AD332" i="15"/>
  <c r="AA333" i="15"/>
  <c r="AB333" i="15"/>
  <c r="AC333" i="15"/>
  <c r="AD333" i="15"/>
  <c r="AA334" i="15"/>
  <c r="AB334" i="15"/>
  <c r="AC334" i="15"/>
  <c r="AD334" i="15"/>
  <c r="AA335" i="15"/>
  <c r="AB335" i="15"/>
  <c r="AC335" i="15"/>
  <c r="AD335" i="15"/>
  <c r="AA336" i="15"/>
  <c r="AB336" i="15"/>
  <c r="AC336" i="15"/>
  <c r="AD336" i="15"/>
  <c r="AA337" i="15"/>
  <c r="AB337" i="15"/>
  <c r="AC337" i="15"/>
  <c r="AD337" i="15"/>
  <c r="AA338" i="15"/>
  <c r="AB338" i="15"/>
  <c r="AC338" i="15"/>
  <c r="AD338" i="15"/>
  <c r="AA339" i="15"/>
  <c r="AB339" i="15"/>
  <c r="AC339" i="15"/>
  <c r="AD339" i="15"/>
  <c r="AA340" i="15"/>
  <c r="AB340" i="15"/>
  <c r="AC340" i="15"/>
  <c r="AD340" i="15"/>
  <c r="AA341" i="15"/>
  <c r="AB341" i="15"/>
  <c r="AC341" i="15"/>
  <c r="AD341" i="15"/>
  <c r="AA817" i="10"/>
  <c r="AB817" i="10"/>
  <c r="AC817" i="10"/>
  <c r="AD817" i="10"/>
  <c r="AA818" i="10"/>
  <c r="AB818" i="10"/>
  <c r="AC818" i="10"/>
  <c r="AD818" i="10"/>
  <c r="AA819" i="10"/>
  <c r="AB819" i="10"/>
  <c r="AC819" i="10"/>
  <c r="AD819" i="10"/>
  <c r="AA820" i="10"/>
  <c r="AB820" i="10"/>
  <c r="AC820" i="10"/>
  <c r="AD820" i="10"/>
  <c r="AA821" i="10"/>
  <c r="AB821" i="10"/>
  <c r="AC821" i="10"/>
  <c r="AD821" i="10"/>
  <c r="AA822" i="10"/>
  <c r="AB822" i="10"/>
  <c r="AC822" i="10"/>
  <c r="AD822" i="10"/>
  <c r="AA823" i="10"/>
  <c r="AB823" i="10"/>
  <c r="AC823" i="10"/>
  <c r="AD823" i="10"/>
  <c r="AA824" i="10"/>
  <c r="AB824" i="10"/>
  <c r="AC824" i="10"/>
  <c r="AD824" i="10"/>
  <c r="AA825" i="10"/>
  <c r="AB825" i="10"/>
  <c r="AC825" i="10"/>
  <c r="AD825" i="10"/>
  <c r="AA826" i="10"/>
  <c r="AB826" i="10"/>
  <c r="AC826" i="10"/>
  <c r="AD826" i="10"/>
  <c r="S40" i="16"/>
  <c r="T40" i="16"/>
  <c r="U40" i="16"/>
  <c r="V40" i="16"/>
  <c r="W40" i="16"/>
  <c r="X40" i="16"/>
  <c r="Y40" i="16"/>
  <c r="Z40" i="16"/>
  <c r="AA40" i="16"/>
  <c r="AB40" i="16"/>
  <c r="AC40" i="16"/>
  <c r="AD40" i="16"/>
  <c r="AE40" i="16"/>
  <c r="AF40" i="16"/>
  <c r="AG40" i="16"/>
  <c r="AI40" i="16"/>
  <c r="AJ40" i="16"/>
  <c r="AK40" i="16"/>
  <c r="AL40" i="16"/>
  <c r="AM40" i="16"/>
  <c r="AN40" i="16"/>
  <c r="R40" i="16"/>
  <c r="F40" i="16"/>
  <c r="G40" i="16"/>
  <c r="H40" i="16" a="1"/>
  <c r="H40" i="16" s="1"/>
  <c r="I40" i="16"/>
  <c r="J40" i="16"/>
  <c r="K40" i="16"/>
  <c r="L40" i="16"/>
  <c r="M40" i="16" s="1"/>
  <c r="N40" i="16"/>
  <c r="O40" i="16"/>
  <c r="P40" i="16" s="1"/>
  <c r="Q40" i="16"/>
  <c r="T55" i="12"/>
  <c r="U55" i="12"/>
  <c r="V55" i="12"/>
  <c r="W55" i="12"/>
  <c r="X55" i="12"/>
  <c r="Y55" i="12"/>
  <c r="Z55" i="12"/>
  <c r="AA55" i="12"/>
  <c r="AB55" i="12"/>
  <c r="AC55" i="12"/>
  <c r="AD55" i="12"/>
  <c r="AE55" i="12"/>
  <c r="AF55" i="12"/>
  <c r="AG55" i="12"/>
  <c r="AH55" i="12"/>
  <c r="AJ55" i="12"/>
  <c r="AK55" i="12"/>
  <c r="AL55" i="12"/>
  <c r="AM55" i="12"/>
  <c r="AN55" i="12"/>
  <c r="AO55" i="12"/>
  <c r="S55" i="12"/>
  <c r="F55" i="12"/>
  <c r="G55" i="12"/>
  <c r="I55" i="12" a="1"/>
  <c r="I55" i="12" s="1"/>
  <c r="J55" i="12"/>
  <c r="K55" i="12"/>
  <c r="L55" i="12"/>
  <c r="M55" i="12"/>
  <c r="N55" i="12" s="1"/>
  <c r="O55" i="12"/>
  <c r="P55" i="12"/>
  <c r="Q55" i="12" s="1"/>
  <c r="R55" i="12"/>
  <c r="AH234" i="17"/>
  <c r="AI234" i="17"/>
  <c r="AJ234" i="17"/>
  <c r="AK234" i="17"/>
  <c r="AH235" i="17"/>
  <c r="AI235" i="17"/>
  <c r="AJ235" i="17"/>
  <c r="AK235" i="17"/>
  <c r="AH236" i="17"/>
  <c r="AI236" i="17"/>
  <c r="AJ236" i="17"/>
  <c r="AK236" i="17"/>
  <c r="AH237" i="17"/>
  <c r="AI237" i="17"/>
  <c r="AJ237" i="17"/>
  <c r="AK237" i="17"/>
  <c r="AH238" i="17"/>
  <c r="AI238" i="17"/>
  <c r="AJ238" i="17"/>
  <c r="AK238" i="17"/>
  <c r="AH239" i="17"/>
  <c r="AI239" i="17"/>
  <c r="AJ239" i="17"/>
  <c r="AK239" i="17"/>
  <c r="AH240" i="17"/>
  <c r="AI240" i="17"/>
  <c r="AJ240" i="17"/>
  <c r="AK240" i="17"/>
  <c r="AH241" i="17"/>
  <c r="AI241" i="17"/>
  <c r="N35" i="16" s="1"/>
  <c r="AJ241" i="17"/>
  <c r="AK241" i="17"/>
  <c r="K35" i="16" s="1"/>
  <c r="AH242" i="17"/>
  <c r="AI242" i="17"/>
  <c r="AJ242" i="17"/>
  <c r="AK242" i="17"/>
  <c r="AH243" i="17"/>
  <c r="AI243" i="17"/>
  <c r="AJ243" i="17"/>
  <c r="AK243" i="17"/>
  <c r="AH244" i="17"/>
  <c r="AI244" i="17"/>
  <c r="AJ244" i="17"/>
  <c r="AK244" i="17"/>
  <c r="AH245" i="17"/>
  <c r="AI245" i="17"/>
  <c r="AJ245" i="17"/>
  <c r="AK245" i="17"/>
  <c r="AH246" i="17"/>
  <c r="AI246" i="17"/>
  <c r="AJ246" i="17"/>
  <c r="AK246" i="17"/>
  <c r="AH247" i="17"/>
  <c r="AI247" i="17"/>
  <c r="AJ247" i="17"/>
  <c r="AK247" i="17"/>
  <c r="AH248" i="17"/>
  <c r="AI248" i="17"/>
  <c r="AJ248" i="17"/>
  <c r="AK248" i="17"/>
  <c r="AH249" i="17"/>
  <c r="AI249" i="17"/>
  <c r="AJ249" i="17"/>
  <c r="AK249" i="17"/>
  <c r="AH938" i="9"/>
  <c r="AI938" i="9"/>
  <c r="AJ938" i="9"/>
  <c r="AK938" i="9"/>
  <c r="AH939" i="9"/>
  <c r="AI939" i="9"/>
  <c r="AJ939" i="9"/>
  <c r="AK939" i="9"/>
  <c r="AH940" i="9"/>
  <c r="AI940" i="9"/>
  <c r="AJ940" i="9"/>
  <c r="AK940" i="9"/>
  <c r="AH941" i="9"/>
  <c r="AI941" i="9"/>
  <c r="AJ941" i="9"/>
  <c r="AK941" i="9"/>
  <c r="AH942" i="9"/>
  <c r="AI942" i="9"/>
  <c r="AJ942" i="9"/>
  <c r="AK942" i="9"/>
  <c r="AH943" i="9"/>
  <c r="AI943" i="9"/>
  <c r="AJ943" i="9"/>
  <c r="AK943" i="9"/>
  <c r="AH944" i="9"/>
  <c r="AI944" i="9"/>
  <c r="AJ944" i="9"/>
  <c r="AK944" i="9"/>
  <c r="AH945" i="9"/>
  <c r="AI945" i="9"/>
  <c r="AJ945" i="9"/>
  <c r="AK945" i="9"/>
  <c r="AH946" i="9"/>
  <c r="AI946" i="9"/>
  <c r="AJ946" i="9"/>
  <c r="AK946" i="9"/>
  <c r="AH947" i="9"/>
  <c r="AI947" i="9"/>
  <c r="AJ947" i="9"/>
  <c r="AK947" i="9"/>
  <c r="AH948" i="9"/>
  <c r="AI948" i="9"/>
  <c r="AJ948" i="9"/>
  <c r="AK948" i="9"/>
  <c r="AH949" i="9"/>
  <c r="AI949" i="9"/>
  <c r="AJ949" i="9"/>
  <c r="AK949" i="9"/>
  <c r="AH950" i="9"/>
  <c r="AI950" i="9"/>
  <c r="AJ950" i="9"/>
  <c r="AK950" i="9"/>
  <c r="AH951" i="9"/>
  <c r="AI951" i="9"/>
  <c r="AJ951" i="9"/>
  <c r="AK951" i="9"/>
  <c r="AH952" i="9"/>
  <c r="AI952" i="9"/>
  <c r="AJ952" i="9"/>
  <c r="AK952" i="9"/>
  <c r="AH953" i="9"/>
  <c r="AI953" i="9"/>
  <c r="AJ953" i="9"/>
  <c r="AK953" i="9"/>
  <c r="AA184" i="18"/>
  <c r="AB184" i="18"/>
  <c r="AC184" i="18"/>
  <c r="AD184" i="18"/>
  <c r="AA185" i="18"/>
  <c r="AB185" i="18"/>
  <c r="AC185" i="18"/>
  <c r="AD185" i="18"/>
  <c r="AA186" i="18"/>
  <c r="AB186" i="18"/>
  <c r="AC186" i="18"/>
  <c r="AD186" i="18"/>
  <c r="AA187" i="18"/>
  <c r="AB187" i="18"/>
  <c r="AC187" i="18"/>
  <c r="AD187" i="18"/>
  <c r="AA188" i="18"/>
  <c r="AB188" i="18"/>
  <c r="AC188" i="18"/>
  <c r="AD188" i="18"/>
  <c r="AA189" i="18"/>
  <c r="AB189" i="18"/>
  <c r="AC189" i="18"/>
  <c r="AD189" i="18"/>
  <c r="AA190" i="18"/>
  <c r="AB190" i="18"/>
  <c r="AC190" i="18"/>
  <c r="AD190" i="18"/>
  <c r="AA191" i="18"/>
  <c r="AB191" i="18"/>
  <c r="AC191" i="18"/>
  <c r="AD191" i="18"/>
  <c r="AA192" i="18"/>
  <c r="AB192" i="18"/>
  <c r="AC192" i="18"/>
  <c r="AD192" i="18"/>
  <c r="AA193" i="18"/>
  <c r="AB193" i="18"/>
  <c r="AC193" i="18"/>
  <c r="AD193" i="18"/>
  <c r="AA194" i="18"/>
  <c r="AB194" i="18"/>
  <c r="AC194" i="18"/>
  <c r="AD194" i="18"/>
  <c r="AA195" i="18"/>
  <c r="AB195" i="18"/>
  <c r="AC195" i="18"/>
  <c r="AD195" i="18"/>
  <c r="AA320" i="15"/>
  <c r="AB320" i="15"/>
  <c r="AC320" i="15"/>
  <c r="AD320" i="15"/>
  <c r="AA321" i="15"/>
  <c r="AB321" i="15"/>
  <c r="AC321" i="15"/>
  <c r="AD321" i="15"/>
  <c r="AA322" i="15"/>
  <c r="AB322" i="15"/>
  <c r="AC322" i="15"/>
  <c r="AD322" i="15"/>
  <c r="AA323" i="15"/>
  <c r="AB323" i="15"/>
  <c r="AC323" i="15"/>
  <c r="AD323" i="15"/>
  <c r="AA324" i="15"/>
  <c r="AB324" i="15"/>
  <c r="AC324" i="15"/>
  <c r="AD324" i="15"/>
  <c r="AA325" i="15"/>
  <c r="AB325" i="15"/>
  <c r="AC325" i="15"/>
  <c r="AD325" i="15"/>
  <c r="AA326" i="15"/>
  <c r="AB326" i="15"/>
  <c r="AC326" i="15"/>
  <c r="AD326" i="15"/>
  <c r="AA327" i="15"/>
  <c r="AB327" i="15"/>
  <c r="AC327" i="15"/>
  <c r="AD327" i="15"/>
  <c r="AA328" i="15"/>
  <c r="AB328" i="15"/>
  <c r="AC328" i="15"/>
  <c r="AD328" i="15"/>
  <c r="AA329" i="15"/>
  <c r="AB329" i="15"/>
  <c r="AC329" i="15"/>
  <c r="AD329" i="15"/>
  <c r="AA330" i="15"/>
  <c r="AB330" i="15"/>
  <c r="AC330" i="15"/>
  <c r="AD330" i="15"/>
  <c r="AA331" i="15"/>
  <c r="AB331" i="15"/>
  <c r="AC331" i="15"/>
  <c r="AD331" i="15"/>
  <c r="M51" i="13" s="1"/>
  <c r="AA805" i="10"/>
  <c r="AB805" i="10"/>
  <c r="AC805" i="10"/>
  <c r="AD805" i="10"/>
  <c r="AA806" i="10"/>
  <c r="AB806" i="10"/>
  <c r="AC806" i="10"/>
  <c r="AD806" i="10"/>
  <c r="AA807" i="10"/>
  <c r="AB807" i="10"/>
  <c r="AC807" i="10"/>
  <c r="AD807" i="10"/>
  <c r="AA808" i="10"/>
  <c r="AB808" i="10"/>
  <c r="AC808" i="10"/>
  <c r="AD808" i="10"/>
  <c r="AA809" i="10"/>
  <c r="AB809" i="10"/>
  <c r="AC809" i="10"/>
  <c r="AD809" i="10"/>
  <c r="AA810" i="10"/>
  <c r="AB810" i="10"/>
  <c r="AC810" i="10"/>
  <c r="AD810" i="10"/>
  <c r="AA811" i="10"/>
  <c r="AB811" i="10"/>
  <c r="AC811" i="10"/>
  <c r="AD811" i="10"/>
  <c r="AA812" i="10"/>
  <c r="AB812" i="10"/>
  <c r="AC812" i="10"/>
  <c r="AD812" i="10"/>
  <c r="AA813" i="10"/>
  <c r="AB813" i="10"/>
  <c r="AC813" i="10"/>
  <c r="AD813" i="10"/>
  <c r="AA814" i="10"/>
  <c r="AB814" i="10"/>
  <c r="AC814" i="10"/>
  <c r="AD814" i="10"/>
  <c r="AA815" i="10"/>
  <c r="AB815" i="10"/>
  <c r="AC815" i="10"/>
  <c r="AD815" i="10"/>
  <c r="AA816" i="10"/>
  <c r="AB816" i="10"/>
  <c r="AC816" i="10"/>
  <c r="AD816" i="10"/>
  <c r="U35" i="13"/>
  <c r="V35" i="13"/>
  <c r="W35" i="13"/>
  <c r="X35" i="13"/>
  <c r="Y35" i="13"/>
  <c r="Z35" i="13"/>
  <c r="AA35" i="13"/>
  <c r="AB35" i="13"/>
  <c r="AC35" i="13"/>
  <c r="AD35" i="13"/>
  <c r="AE35" i="13"/>
  <c r="AF35" i="13"/>
  <c r="AG35" i="13"/>
  <c r="AH35" i="13"/>
  <c r="AI35" i="13"/>
  <c r="T35" i="13"/>
  <c r="H35" i="13"/>
  <c r="I35" i="13"/>
  <c r="J35" i="13" a="1"/>
  <c r="J35" i="13" s="1"/>
  <c r="K35" i="13"/>
  <c r="L35" i="13"/>
  <c r="M35" i="13"/>
  <c r="N35" i="13"/>
  <c r="O35" i="13" s="1"/>
  <c r="Q35" i="13"/>
  <c r="R35" i="13" s="1"/>
  <c r="AA310" i="15"/>
  <c r="AB310" i="15"/>
  <c r="AC310" i="15"/>
  <c r="AD310" i="15"/>
  <c r="AA311" i="15"/>
  <c r="AB311" i="15"/>
  <c r="AC311" i="15"/>
  <c r="AD311" i="15"/>
  <c r="AA312" i="15"/>
  <c r="AB312" i="15"/>
  <c r="AC312" i="15"/>
  <c r="AD312" i="15"/>
  <c r="AA313" i="15"/>
  <c r="AB313" i="15"/>
  <c r="AC313" i="15"/>
  <c r="AD313" i="15"/>
  <c r="AA314" i="15"/>
  <c r="AB314" i="15"/>
  <c r="AC314" i="15"/>
  <c r="AD314" i="15"/>
  <c r="AA315" i="15"/>
  <c r="AB315" i="15"/>
  <c r="AC315" i="15"/>
  <c r="AD315" i="15"/>
  <c r="AA316" i="15"/>
  <c r="AB316" i="15"/>
  <c r="AC316" i="15"/>
  <c r="AD316" i="15"/>
  <c r="AA317" i="15"/>
  <c r="AB317" i="15"/>
  <c r="AC317" i="15"/>
  <c r="AD317" i="15"/>
  <c r="AA318" i="15"/>
  <c r="AB318" i="15"/>
  <c r="AC318" i="15"/>
  <c r="AD318" i="15"/>
  <c r="AA319" i="15"/>
  <c r="AB319" i="15"/>
  <c r="AC319" i="15"/>
  <c r="AD319" i="15"/>
  <c r="V37" i="11"/>
  <c r="W37" i="11"/>
  <c r="X37" i="11"/>
  <c r="Y37" i="11"/>
  <c r="Z37" i="11"/>
  <c r="AA37" i="11"/>
  <c r="AB37" i="11"/>
  <c r="AC37" i="11"/>
  <c r="AD37" i="11"/>
  <c r="AE37" i="11"/>
  <c r="AF37" i="11"/>
  <c r="AG37" i="11"/>
  <c r="AH37" i="11"/>
  <c r="AI37" i="11"/>
  <c r="AJ37" i="11"/>
  <c r="U37" i="11"/>
  <c r="H37" i="11"/>
  <c r="I37" i="11"/>
  <c r="K37" i="11" a="1"/>
  <c r="K37" i="11" s="1"/>
  <c r="L37" i="11"/>
  <c r="M37" i="11"/>
  <c r="N37" i="11"/>
  <c r="O37" i="11"/>
  <c r="P37" i="11" s="1"/>
  <c r="Q37" i="11"/>
  <c r="R37" i="11"/>
  <c r="S37" i="11" s="1"/>
  <c r="AA795" i="10"/>
  <c r="AB795" i="10"/>
  <c r="AC795" i="10"/>
  <c r="AD795" i="10"/>
  <c r="AA796" i="10"/>
  <c r="AB796" i="10"/>
  <c r="AC796" i="10"/>
  <c r="AD796" i="10"/>
  <c r="AA797" i="10"/>
  <c r="AB797" i="10"/>
  <c r="AC797" i="10"/>
  <c r="AD797" i="10"/>
  <c r="AA798" i="10"/>
  <c r="AB798" i="10"/>
  <c r="AC798" i="10"/>
  <c r="AD798" i="10"/>
  <c r="AA799" i="10"/>
  <c r="AB799" i="10"/>
  <c r="AC799" i="10"/>
  <c r="AD799" i="10"/>
  <c r="AA800" i="10"/>
  <c r="AB800" i="10"/>
  <c r="AC800" i="10"/>
  <c r="AD800" i="10"/>
  <c r="AA801" i="10"/>
  <c r="AB801" i="10"/>
  <c r="AC801" i="10"/>
  <c r="AD801" i="10"/>
  <c r="AA802" i="10"/>
  <c r="AB802" i="10"/>
  <c r="AC802" i="10"/>
  <c r="AD802" i="10"/>
  <c r="AA803" i="10"/>
  <c r="AB803" i="10"/>
  <c r="AC803" i="10"/>
  <c r="AD803" i="10"/>
  <c r="AA804" i="10"/>
  <c r="AB804" i="10"/>
  <c r="AC804" i="10"/>
  <c r="AD804" i="10"/>
  <c r="AH222" i="17"/>
  <c r="AI222" i="17"/>
  <c r="AJ222" i="17"/>
  <c r="AK222" i="17"/>
  <c r="AH223" i="17"/>
  <c r="AI223" i="17"/>
  <c r="AJ223" i="17"/>
  <c r="AK223" i="17"/>
  <c r="AH224" i="17"/>
  <c r="AI224" i="17"/>
  <c r="AJ224" i="17"/>
  <c r="AK224" i="17"/>
  <c r="AH225" i="17"/>
  <c r="AI225" i="17"/>
  <c r="AJ225" i="17"/>
  <c r="AK225" i="17"/>
  <c r="AH226" i="17"/>
  <c r="AI226" i="17"/>
  <c r="AJ226" i="17"/>
  <c r="AK226" i="17"/>
  <c r="AH227" i="17"/>
  <c r="AI227" i="17"/>
  <c r="AJ227" i="17"/>
  <c r="AK227" i="17"/>
  <c r="AH228" i="17"/>
  <c r="AI228" i="17"/>
  <c r="AJ228" i="17"/>
  <c r="AK228" i="17"/>
  <c r="AH229" i="17"/>
  <c r="AI229" i="17"/>
  <c r="AJ229" i="17"/>
  <c r="AK229" i="17"/>
  <c r="AH230" i="17"/>
  <c r="AI230" i="17"/>
  <c r="AJ230" i="17"/>
  <c r="AK230" i="17"/>
  <c r="AH231" i="17"/>
  <c r="AI231" i="17"/>
  <c r="AJ231" i="17"/>
  <c r="AK231" i="17"/>
  <c r="AH232" i="17"/>
  <c r="AI232" i="17"/>
  <c r="AJ232" i="17"/>
  <c r="AK232" i="17"/>
  <c r="AH233" i="17"/>
  <c r="AI233" i="17"/>
  <c r="AJ233" i="17"/>
  <c r="AK233" i="17"/>
  <c r="AH926" i="9"/>
  <c r="AI926" i="9"/>
  <c r="AJ926" i="9"/>
  <c r="AK926" i="9"/>
  <c r="AH927" i="9"/>
  <c r="AI927" i="9"/>
  <c r="AJ927" i="9"/>
  <c r="AK927" i="9"/>
  <c r="AH928" i="9"/>
  <c r="AI928" i="9"/>
  <c r="AJ928" i="9"/>
  <c r="AK928" i="9"/>
  <c r="AH929" i="9"/>
  <c r="AI929" i="9"/>
  <c r="AJ929" i="9"/>
  <c r="AK929" i="9"/>
  <c r="AH930" i="9"/>
  <c r="AI930" i="9"/>
  <c r="AJ930" i="9"/>
  <c r="AK930" i="9"/>
  <c r="AH931" i="9"/>
  <c r="AI931" i="9"/>
  <c r="AJ931" i="9"/>
  <c r="AK931" i="9"/>
  <c r="AH932" i="9"/>
  <c r="AI932" i="9"/>
  <c r="AJ932" i="9"/>
  <c r="AK932" i="9"/>
  <c r="AH933" i="9"/>
  <c r="AI933" i="9"/>
  <c r="AJ933" i="9"/>
  <c r="AK933" i="9"/>
  <c r="AH934" i="9"/>
  <c r="AI934" i="9"/>
  <c r="AJ934" i="9"/>
  <c r="AK934" i="9"/>
  <c r="AH935" i="9"/>
  <c r="AI935" i="9"/>
  <c r="AJ935" i="9"/>
  <c r="AK935" i="9"/>
  <c r="AH936" i="9"/>
  <c r="AI936" i="9"/>
  <c r="AJ936" i="9"/>
  <c r="AK936" i="9"/>
  <c r="AH937" i="9"/>
  <c r="AI937" i="9"/>
  <c r="AJ937" i="9"/>
  <c r="AK937" i="9"/>
  <c r="AH914" i="9"/>
  <c r="AI914" i="9"/>
  <c r="AJ914" i="9"/>
  <c r="AK914" i="9"/>
  <c r="AH915" i="9"/>
  <c r="AI915" i="9"/>
  <c r="AJ915" i="9"/>
  <c r="AK915" i="9"/>
  <c r="AH916" i="9"/>
  <c r="AI916" i="9"/>
  <c r="AJ916" i="9"/>
  <c r="AK916" i="9"/>
  <c r="AH917" i="9"/>
  <c r="AI917" i="9"/>
  <c r="AJ917" i="9"/>
  <c r="AK917" i="9"/>
  <c r="AH918" i="9"/>
  <c r="AI918" i="9"/>
  <c r="AJ918" i="9"/>
  <c r="AK918" i="9"/>
  <c r="AH919" i="9"/>
  <c r="AI919" i="9"/>
  <c r="AJ919" i="9"/>
  <c r="AK919" i="9"/>
  <c r="AH920" i="9"/>
  <c r="AI920" i="9"/>
  <c r="AJ920" i="9"/>
  <c r="AK920" i="9"/>
  <c r="AH921" i="9"/>
  <c r="AI921" i="9"/>
  <c r="AJ921" i="9"/>
  <c r="AK921" i="9"/>
  <c r="AH922" i="9"/>
  <c r="AI922" i="9"/>
  <c r="AJ922" i="9"/>
  <c r="AK922" i="9"/>
  <c r="AH923" i="9"/>
  <c r="AI923" i="9"/>
  <c r="AJ923" i="9"/>
  <c r="AK923" i="9"/>
  <c r="AH924" i="9"/>
  <c r="AI924" i="9"/>
  <c r="AJ924" i="9"/>
  <c r="AK924" i="9"/>
  <c r="AH925" i="9"/>
  <c r="AI925" i="9"/>
  <c r="AJ925" i="9"/>
  <c r="AK925" i="9"/>
  <c r="AH210" i="17"/>
  <c r="AI210" i="17"/>
  <c r="AJ210" i="17"/>
  <c r="AK210" i="17"/>
  <c r="AH211" i="17"/>
  <c r="AI211" i="17"/>
  <c r="AJ211" i="17"/>
  <c r="AK211" i="17"/>
  <c r="AH212" i="17"/>
  <c r="AI212" i="17"/>
  <c r="AJ212" i="17"/>
  <c r="AK212" i="17"/>
  <c r="AH213" i="17"/>
  <c r="AI213" i="17"/>
  <c r="AJ213" i="17"/>
  <c r="AK213" i="17"/>
  <c r="AH214" i="17"/>
  <c r="AI214" i="17"/>
  <c r="AJ214" i="17"/>
  <c r="AK214" i="17"/>
  <c r="AH215" i="17"/>
  <c r="AI215" i="17"/>
  <c r="AJ215" i="17"/>
  <c r="AK215" i="17"/>
  <c r="AH216" i="17"/>
  <c r="AI216" i="17"/>
  <c r="AJ216" i="17"/>
  <c r="AK216" i="17"/>
  <c r="AH217" i="17"/>
  <c r="AI217" i="17"/>
  <c r="AJ217" i="17"/>
  <c r="AK217" i="17"/>
  <c r="AH218" i="17"/>
  <c r="AI218" i="17"/>
  <c r="AJ218" i="17"/>
  <c r="AK218" i="17"/>
  <c r="AH219" i="17"/>
  <c r="AI219" i="17"/>
  <c r="AJ219" i="17"/>
  <c r="AK219" i="17"/>
  <c r="AH220" i="17"/>
  <c r="AI220" i="17"/>
  <c r="AJ220" i="17"/>
  <c r="AK220" i="17"/>
  <c r="AH221" i="17"/>
  <c r="AI221" i="17"/>
  <c r="AJ221" i="17"/>
  <c r="AK221" i="17"/>
  <c r="AH198" i="17"/>
  <c r="AI198" i="17"/>
  <c r="AJ198" i="17"/>
  <c r="AK198" i="17"/>
  <c r="AH199" i="17"/>
  <c r="AI199" i="17"/>
  <c r="AJ199" i="17"/>
  <c r="AK199" i="17"/>
  <c r="AH200" i="17"/>
  <c r="AI200" i="17"/>
  <c r="AJ200" i="17"/>
  <c r="AK200" i="17"/>
  <c r="AH201" i="17"/>
  <c r="AI201" i="17"/>
  <c r="AJ201" i="17"/>
  <c r="AK201" i="17"/>
  <c r="AH202" i="17"/>
  <c r="AI202" i="17"/>
  <c r="AJ202" i="17"/>
  <c r="AK202" i="17"/>
  <c r="AH203" i="17"/>
  <c r="AI203" i="17"/>
  <c r="AJ203" i="17"/>
  <c r="AK203" i="17"/>
  <c r="AH204" i="17"/>
  <c r="AI204" i="17"/>
  <c r="AJ204" i="17"/>
  <c r="AK204" i="17"/>
  <c r="AH205" i="17"/>
  <c r="AI205" i="17"/>
  <c r="AJ205" i="17"/>
  <c r="AK205" i="17"/>
  <c r="AH206" i="17"/>
  <c r="AI206" i="17"/>
  <c r="AJ206" i="17"/>
  <c r="AK206" i="17"/>
  <c r="AH207" i="17"/>
  <c r="AI207" i="17"/>
  <c r="AJ207" i="17"/>
  <c r="AK207" i="17"/>
  <c r="AH208" i="17"/>
  <c r="AI208" i="17"/>
  <c r="AJ208" i="17"/>
  <c r="AK208" i="17"/>
  <c r="AH209" i="17"/>
  <c r="AI209" i="17"/>
  <c r="AJ209" i="17"/>
  <c r="AK209" i="17"/>
  <c r="AH902" i="9"/>
  <c r="AI902" i="9"/>
  <c r="AJ902" i="9"/>
  <c r="AK902" i="9"/>
  <c r="AH903" i="9"/>
  <c r="AI903" i="9"/>
  <c r="AJ903" i="9"/>
  <c r="AK903" i="9"/>
  <c r="AH904" i="9"/>
  <c r="AI904" i="9"/>
  <c r="AJ904" i="9"/>
  <c r="AK904" i="9"/>
  <c r="AH905" i="9"/>
  <c r="AI905" i="9"/>
  <c r="AJ905" i="9"/>
  <c r="AK905" i="9"/>
  <c r="AH906" i="9"/>
  <c r="AI906" i="9"/>
  <c r="AJ906" i="9"/>
  <c r="AK906" i="9"/>
  <c r="AH907" i="9"/>
  <c r="AI907" i="9"/>
  <c r="AJ907" i="9"/>
  <c r="AK907" i="9"/>
  <c r="AH908" i="9"/>
  <c r="AI908" i="9"/>
  <c r="AJ908" i="9"/>
  <c r="AK908" i="9"/>
  <c r="AH909" i="9"/>
  <c r="AI909" i="9"/>
  <c r="AJ909" i="9"/>
  <c r="AK909" i="9"/>
  <c r="AH910" i="9"/>
  <c r="AI910" i="9"/>
  <c r="AJ910" i="9"/>
  <c r="AK910" i="9"/>
  <c r="AH911" i="9"/>
  <c r="AI911" i="9"/>
  <c r="AJ911" i="9"/>
  <c r="AK911" i="9"/>
  <c r="AH912" i="9"/>
  <c r="AI912" i="9"/>
  <c r="AJ912" i="9"/>
  <c r="AK912" i="9"/>
  <c r="AH913" i="9"/>
  <c r="AI913" i="9"/>
  <c r="AJ913" i="9"/>
  <c r="AK913" i="9"/>
  <c r="U49" i="13"/>
  <c r="V49" i="13"/>
  <c r="W49" i="13"/>
  <c r="X49" i="13"/>
  <c r="Y49" i="13"/>
  <c r="Z49" i="13"/>
  <c r="AA49" i="13"/>
  <c r="AB49" i="13"/>
  <c r="AC49" i="13"/>
  <c r="AD49" i="13"/>
  <c r="AE49" i="13"/>
  <c r="AF49" i="13"/>
  <c r="AG49" i="13"/>
  <c r="AH49" i="13"/>
  <c r="AI49" i="13"/>
  <c r="T49" i="13"/>
  <c r="H49" i="13"/>
  <c r="I49" i="13"/>
  <c r="J49" i="13" a="1"/>
  <c r="J49" i="13" s="1"/>
  <c r="K49" i="13"/>
  <c r="L49" i="13"/>
  <c r="N49" i="13"/>
  <c r="O49" i="13" s="1"/>
  <c r="Q49" i="13"/>
  <c r="R49" i="13" s="1"/>
  <c r="U17" i="13"/>
  <c r="V17" i="13"/>
  <c r="W17" i="13"/>
  <c r="X17" i="13"/>
  <c r="Y17" i="13"/>
  <c r="Z17" i="13"/>
  <c r="AA17" i="13"/>
  <c r="AB17" i="13"/>
  <c r="AC17" i="13"/>
  <c r="AD17" i="13"/>
  <c r="AE17" i="13"/>
  <c r="AF17" i="13"/>
  <c r="AG17" i="13"/>
  <c r="AH17" i="13"/>
  <c r="AI17" i="13"/>
  <c r="T17" i="13"/>
  <c r="H17" i="13"/>
  <c r="I17" i="13"/>
  <c r="J17" i="13" a="1"/>
  <c r="J17" i="13" s="1"/>
  <c r="K17" i="13"/>
  <c r="L17" i="13"/>
  <c r="N17" i="13"/>
  <c r="O17" i="13" s="1"/>
  <c r="Q17" i="13"/>
  <c r="R17" i="13" s="1"/>
  <c r="U2" i="13"/>
  <c r="V2" i="13"/>
  <c r="W2" i="13"/>
  <c r="X2" i="13"/>
  <c r="Y2" i="13"/>
  <c r="Z2" i="13"/>
  <c r="AA2" i="13"/>
  <c r="AB2" i="13"/>
  <c r="AC2" i="13"/>
  <c r="AD2" i="13"/>
  <c r="AE2" i="13"/>
  <c r="AF2" i="13"/>
  <c r="AG2" i="13"/>
  <c r="AH2" i="13"/>
  <c r="AI2" i="13"/>
  <c r="T2" i="13"/>
  <c r="H2" i="13"/>
  <c r="I2" i="13"/>
  <c r="J2" i="13" a="1"/>
  <c r="J2" i="13" s="1"/>
  <c r="K2" i="13"/>
  <c r="L2" i="13"/>
  <c r="N2" i="13"/>
  <c r="O2" i="13" s="1"/>
  <c r="Q2" i="13"/>
  <c r="R2" i="13" s="1"/>
  <c r="V53" i="11"/>
  <c r="W53" i="11"/>
  <c r="X53" i="11"/>
  <c r="Y53" i="11"/>
  <c r="Z53" i="11"/>
  <c r="AA53" i="11"/>
  <c r="AB53" i="11"/>
  <c r="AC53" i="11"/>
  <c r="AD53" i="11"/>
  <c r="AE53" i="11"/>
  <c r="AF53" i="11"/>
  <c r="AG53" i="11"/>
  <c r="AH53" i="11"/>
  <c r="AI53" i="11"/>
  <c r="AJ53" i="11"/>
  <c r="U53" i="11"/>
  <c r="H53" i="11"/>
  <c r="I53" i="11"/>
  <c r="K53" i="11" a="1"/>
  <c r="K53" i="11" s="1"/>
  <c r="L53" i="11"/>
  <c r="M53" i="11"/>
  <c r="O53" i="11"/>
  <c r="P53" i="11" s="1"/>
  <c r="R53" i="11"/>
  <c r="S53" i="11" s="1"/>
  <c r="V17" i="11"/>
  <c r="W17" i="11"/>
  <c r="X17" i="11"/>
  <c r="Y17" i="11"/>
  <c r="Z17" i="11"/>
  <c r="AA17" i="11"/>
  <c r="AB17" i="11"/>
  <c r="AC17" i="11"/>
  <c r="AD17" i="11"/>
  <c r="AE17" i="11"/>
  <c r="AF17" i="11"/>
  <c r="AG17" i="11"/>
  <c r="AH17" i="11"/>
  <c r="AI17" i="11"/>
  <c r="AJ17" i="11"/>
  <c r="U17" i="11"/>
  <c r="H17" i="11"/>
  <c r="I17" i="11"/>
  <c r="K17" i="11" a="1"/>
  <c r="K17" i="11" s="1"/>
  <c r="L17" i="11"/>
  <c r="M17" i="11"/>
  <c r="O17" i="11"/>
  <c r="P17" i="11" s="1"/>
  <c r="Q17" i="11"/>
  <c r="R17" i="11"/>
  <c r="S17" i="11" s="1"/>
  <c r="V2" i="11"/>
  <c r="W2" i="11"/>
  <c r="X2" i="11"/>
  <c r="Y2" i="11"/>
  <c r="Z2" i="11"/>
  <c r="AA2" i="11"/>
  <c r="AB2" i="11"/>
  <c r="AC2" i="11"/>
  <c r="AD2" i="11"/>
  <c r="AE2" i="11"/>
  <c r="AF2" i="11"/>
  <c r="AG2" i="11"/>
  <c r="AH2" i="11"/>
  <c r="AI2" i="11"/>
  <c r="AJ2" i="11"/>
  <c r="U2" i="11"/>
  <c r="H2" i="11"/>
  <c r="I2" i="11"/>
  <c r="K2" i="11" a="1"/>
  <c r="K2" i="11" s="1"/>
  <c r="L2" i="11"/>
  <c r="M2" i="11"/>
  <c r="O2" i="11"/>
  <c r="P2" i="11" s="1"/>
  <c r="R2" i="11"/>
  <c r="S2" i="11" s="1"/>
  <c r="T2" i="11"/>
  <c r="AA294" i="15"/>
  <c r="AB294" i="15"/>
  <c r="AC294" i="15"/>
  <c r="AD294" i="15"/>
  <c r="AA295" i="15"/>
  <c r="AB295" i="15"/>
  <c r="AC295" i="15"/>
  <c r="AD295" i="15"/>
  <c r="AA296" i="15"/>
  <c r="AB296" i="15"/>
  <c r="AC296" i="15"/>
  <c r="AD296" i="15"/>
  <c r="AA297" i="15"/>
  <c r="AB297" i="15"/>
  <c r="AC297" i="15"/>
  <c r="AD297" i="15"/>
  <c r="AA298" i="15"/>
  <c r="AB298" i="15"/>
  <c r="AC298" i="15"/>
  <c r="AD298" i="15"/>
  <c r="AA299" i="15"/>
  <c r="AB299" i="15"/>
  <c r="AC299" i="15"/>
  <c r="AD299" i="15"/>
  <c r="AA300" i="15"/>
  <c r="AB300" i="15"/>
  <c r="AC300" i="15"/>
  <c r="AD300" i="15"/>
  <c r="AA301" i="15"/>
  <c r="AB301" i="15"/>
  <c r="P2" i="13" s="1"/>
  <c r="AC301" i="15"/>
  <c r="S2" i="13" s="1"/>
  <c r="AD301" i="15"/>
  <c r="M2" i="13" s="1"/>
  <c r="AA302" i="15"/>
  <c r="AB302" i="15"/>
  <c r="AC302" i="15"/>
  <c r="AD302" i="15"/>
  <c r="AA303" i="15"/>
  <c r="AB303" i="15"/>
  <c r="AC303" i="15"/>
  <c r="AD303" i="15"/>
  <c r="AA304" i="15"/>
  <c r="AB304" i="15"/>
  <c r="AC304" i="15"/>
  <c r="AD304" i="15"/>
  <c r="AA305" i="15"/>
  <c r="AB305" i="15"/>
  <c r="AC305" i="15"/>
  <c r="AD305" i="15"/>
  <c r="AA306" i="15"/>
  <c r="AB306" i="15"/>
  <c r="P17" i="13" s="1"/>
  <c r="AC306" i="15"/>
  <c r="S17" i="13" s="1"/>
  <c r="AD306" i="15"/>
  <c r="M17" i="13" s="1"/>
  <c r="AA307" i="15"/>
  <c r="AB307" i="15"/>
  <c r="AC307" i="15"/>
  <c r="AD307" i="15"/>
  <c r="AA308" i="15"/>
  <c r="AB308" i="15"/>
  <c r="AC308" i="15"/>
  <c r="AD308" i="15"/>
  <c r="AA309" i="15"/>
  <c r="AB309" i="15"/>
  <c r="P49" i="13" s="1"/>
  <c r="AC309" i="15"/>
  <c r="S49" i="13" s="1"/>
  <c r="AD309" i="15"/>
  <c r="M49" i="13" s="1"/>
  <c r="AA779" i="10"/>
  <c r="AB779" i="10"/>
  <c r="AC779" i="10"/>
  <c r="AD779" i="10"/>
  <c r="AA780" i="10"/>
  <c r="AB780" i="10"/>
  <c r="AC780" i="10"/>
  <c r="AD780" i="10"/>
  <c r="AA781" i="10"/>
  <c r="AB781" i="10"/>
  <c r="AC781" i="10"/>
  <c r="AD781" i="10"/>
  <c r="AA782" i="10"/>
  <c r="AB782" i="10"/>
  <c r="AC782" i="10"/>
  <c r="AD782" i="10"/>
  <c r="AA783" i="10"/>
  <c r="AB783" i="10"/>
  <c r="AC783" i="10"/>
  <c r="AD783" i="10"/>
  <c r="AA784" i="10"/>
  <c r="AB784" i="10"/>
  <c r="AC784" i="10"/>
  <c r="AD784" i="10"/>
  <c r="AA785" i="10"/>
  <c r="AB785" i="10"/>
  <c r="AC785" i="10"/>
  <c r="AD785" i="10"/>
  <c r="AA786" i="10"/>
  <c r="AB786" i="10"/>
  <c r="Q2" i="11" s="1"/>
  <c r="AC786" i="10"/>
  <c r="AD786" i="10"/>
  <c r="N2" i="11" s="1"/>
  <c r="AA787" i="10"/>
  <c r="AB787" i="10"/>
  <c r="AC787" i="10"/>
  <c r="AD787" i="10"/>
  <c r="AA788" i="10"/>
  <c r="AB788" i="10"/>
  <c r="AC788" i="10"/>
  <c r="AD788" i="10"/>
  <c r="AA789" i="10"/>
  <c r="AB789" i="10"/>
  <c r="AC789" i="10"/>
  <c r="AD789" i="10"/>
  <c r="AA790" i="10"/>
  <c r="AB790" i="10"/>
  <c r="AC790" i="10"/>
  <c r="AD790" i="10"/>
  <c r="AA791" i="10"/>
  <c r="AB791" i="10"/>
  <c r="AC791" i="10"/>
  <c r="T17" i="11" s="1"/>
  <c r="AD791" i="10"/>
  <c r="N17" i="11" s="1"/>
  <c r="AA792" i="10"/>
  <c r="AB792" i="10"/>
  <c r="AC792" i="10"/>
  <c r="AD792" i="10"/>
  <c r="AA793" i="10"/>
  <c r="AB793" i="10"/>
  <c r="AC793" i="10"/>
  <c r="AD793" i="10"/>
  <c r="AA794" i="10"/>
  <c r="AB794" i="10"/>
  <c r="Q53" i="11" s="1"/>
  <c r="AC794" i="10"/>
  <c r="T53" i="11" s="1"/>
  <c r="AD794" i="10"/>
  <c r="N53" i="11" s="1"/>
  <c r="Q40" i="19"/>
  <c r="R40" i="19"/>
  <c r="S40" i="19"/>
  <c r="T40" i="19"/>
  <c r="U40" i="19"/>
  <c r="V40" i="19"/>
  <c r="W40" i="19"/>
  <c r="X40" i="19"/>
  <c r="Y40" i="19"/>
  <c r="Z40" i="19"/>
  <c r="AA40" i="19"/>
  <c r="AB40" i="19"/>
  <c r="AC40" i="19"/>
  <c r="AD40" i="19"/>
  <c r="AE40" i="19"/>
  <c r="P40" i="19"/>
  <c r="D40" i="19"/>
  <c r="E40" i="19"/>
  <c r="F40" i="19" a="1"/>
  <c r="F40" i="19" s="1"/>
  <c r="G40" i="19"/>
  <c r="H40" i="19"/>
  <c r="I40" i="19"/>
  <c r="J40" i="19"/>
  <c r="K40" i="19" s="1"/>
  <c r="L40" i="19"/>
  <c r="M40" i="19"/>
  <c r="N40" i="19" s="1"/>
  <c r="O40" i="19"/>
  <c r="Q37" i="19"/>
  <c r="R37" i="19"/>
  <c r="S37" i="19"/>
  <c r="T37" i="19"/>
  <c r="U37" i="19"/>
  <c r="V37" i="19"/>
  <c r="W37" i="19"/>
  <c r="X37" i="19"/>
  <c r="Y37" i="19"/>
  <c r="Z37" i="19"/>
  <c r="AA37" i="19"/>
  <c r="AB37" i="19"/>
  <c r="AC37" i="19"/>
  <c r="AD37" i="19"/>
  <c r="AE37" i="19"/>
  <c r="P37" i="19"/>
  <c r="D37" i="19"/>
  <c r="E37" i="19"/>
  <c r="F37" i="19" a="1"/>
  <c r="F37" i="19" s="1"/>
  <c r="G37" i="19"/>
  <c r="H37" i="19"/>
  <c r="I37" i="19"/>
  <c r="J37" i="19"/>
  <c r="K37" i="19" s="1"/>
  <c r="L37" i="19"/>
  <c r="M37" i="19"/>
  <c r="N37" i="19" s="1"/>
  <c r="O37" i="19"/>
  <c r="Q2" i="19"/>
  <c r="R2" i="19"/>
  <c r="S2" i="19"/>
  <c r="T2" i="19"/>
  <c r="U2" i="19"/>
  <c r="V2" i="19"/>
  <c r="W2" i="19"/>
  <c r="X2" i="19"/>
  <c r="Y2" i="19"/>
  <c r="Z2" i="19"/>
  <c r="AA2" i="19"/>
  <c r="AB2" i="19"/>
  <c r="AC2" i="19"/>
  <c r="AD2" i="19"/>
  <c r="AE2" i="19"/>
  <c r="P2" i="19"/>
  <c r="D2" i="19"/>
  <c r="E2" i="19"/>
  <c r="F2" i="19" a="1"/>
  <c r="F2" i="19" s="1"/>
  <c r="G2" i="19"/>
  <c r="H2" i="19"/>
  <c r="I2" i="19"/>
  <c r="J2" i="19"/>
  <c r="K2" i="19" s="1"/>
  <c r="L2" i="19"/>
  <c r="M2" i="19"/>
  <c r="N2" i="19" s="1"/>
  <c r="O2" i="19"/>
  <c r="AA160" i="18"/>
  <c r="AB160" i="18"/>
  <c r="AC160" i="18"/>
  <c r="AD160" i="18"/>
  <c r="AA161" i="18"/>
  <c r="AB161" i="18"/>
  <c r="AC161" i="18"/>
  <c r="AD161" i="18"/>
  <c r="AA162" i="18"/>
  <c r="AB162" i="18"/>
  <c r="AC162" i="18"/>
  <c r="AD162" i="18"/>
  <c r="AA163" i="18"/>
  <c r="AB163" i="18"/>
  <c r="AC163" i="18"/>
  <c r="AD163" i="18"/>
  <c r="AA164" i="18"/>
  <c r="AB164" i="18"/>
  <c r="AC164" i="18"/>
  <c r="AD164" i="18"/>
  <c r="AA165" i="18"/>
  <c r="AB165" i="18"/>
  <c r="AC165" i="18"/>
  <c r="AD165" i="18"/>
  <c r="AA166" i="18"/>
  <c r="AB166" i="18"/>
  <c r="AC166" i="18"/>
  <c r="AD166" i="18"/>
  <c r="AA167" i="18"/>
  <c r="AB167" i="18"/>
  <c r="AC167" i="18"/>
  <c r="AD167" i="18"/>
  <c r="AA168" i="18"/>
  <c r="AB168" i="18"/>
  <c r="AC168" i="18"/>
  <c r="AD168" i="18"/>
  <c r="AA169" i="18"/>
  <c r="AB169" i="18"/>
  <c r="AC169" i="18"/>
  <c r="AD169" i="18"/>
  <c r="AA170" i="18"/>
  <c r="AB170" i="18"/>
  <c r="AC170" i="18"/>
  <c r="AD170" i="18"/>
  <c r="AA171" i="18"/>
  <c r="AB171" i="18"/>
  <c r="AC171" i="18"/>
  <c r="AD171" i="18"/>
  <c r="AA172" i="18"/>
  <c r="AB172" i="18"/>
  <c r="AC172" i="18"/>
  <c r="AD172" i="18"/>
  <c r="AA173" i="18"/>
  <c r="AB173" i="18"/>
  <c r="AC173" i="18"/>
  <c r="AD173" i="18"/>
  <c r="AA174" i="18"/>
  <c r="AB174" i="18"/>
  <c r="AC174" i="18"/>
  <c r="AD174" i="18"/>
  <c r="AA175" i="18"/>
  <c r="AB175" i="18"/>
  <c r="AC175" i="18"/>
  <c r="AD175" i="18"/>
  <c r="AA176" i="18"/>
  <c r="AB176" i="18"/>
  <c r="AC176" i="18"/>
  <c r="AD176" i="18"/>
  <c r="AA177" i="18"/>
  <c r="AB177" i="18"/>
  <c r="AC177" i="18"/>
  <c r="AD177" i="18"/>
  <c r="AA178" i="18"/>
  <c r="AB178" i="18"/>
  <c r="AC178" i="18"/>
  <c r="AD178" i="18"/>
  <c r="AA179" i="18"/>
  <c r="AB179" i="18"/>
  <c r="AC179" i="18"/>
  <c r="AD179" i="18"/>
  <c r="AA180" i="18"/>
  <c r="AB180" i="18"/>
  <c r="AC180" i="18"/>
  <c r="AD180" i="18"/>
  <c r="AA181" i="18"/>
  <c r="AB181" i="18"/>
  <c r="AC181" i="18"/>
  <c r="AD181" i="18"/>
  <c r="AA182" i="18"/>
  <c r="AB182" i="18"/>
  <c r="AC182" i="18"/>
  <c r="AD182" i="18"/>
  <c r="AA183" i="18"/>
  <c r="AB183" i="18"/>
  <c r="AC183" i="18"/>
  <c r="AD183" i="18"/>
  <c r="AA767" i="10"/>
  <c r="AB767" i="10"/>
  <c r="AC767" i="10"/>
  <c r="AD767" i="10"/>
  <c r="AA768" i="10"/>
  <c r="AB768" i="10"/>
  <c r="AC768" i="10"/>
  <c r="AD768" i="10"/>
  <c r="AA769" i="10"/>
  <c r="AB769" i="10"/>
  <c r="AC769" i="10"/>
  <c r="AD769" i="10"/>
  <c r="AA770" i="10"/>
  <c r="AB770" i="10"/>
  <c r="AC770" i="10"/>
  <c r="AD770" i="10"/>
  <c r="AA771" i="10"/>
  <c r="AB771" i="10"/>
  <c r="AC771" i="10"/>
  <c r="AD771" i="10"/>
  <c r="AA772" i="10"/>
  <c r="AB772" i="10"/>
  <c r="AC772" i="10"/>
  <c r="AD772" i="10"/>
  <c r="AA773" i="10"/>
  <c r="AB773" i="10"/>
  <c r="AC773" i="10"/>
  <c r="AD773" i="10"/>
  <c r="AA774" i="10"/>
  <c r="AB774" i="10"/>
  <c r="AC774" i="10"/>
  <c r="AD774" i="10"/>
  <c r="AA775" i="10"/>
  <c r="AB775" i="10"/>
  <c r="AC775" i="10"/>
  <c r="AD775" i="10"/>
  <c r="AA776" i="10"/>
  <c r="AB776" i="10"/>
  <c r="AC776" i="10"/>
  <c r="AD776" i="10"/>
  <c r="AA777" i="10"/>
  <c r="AB777" i="10"/>
  <c r="AC777" i="10"/>
  <c r="AD777" i="10"/>
  <c r="AA778" i="10"/>
  <c r="AB778" i="10"/>
  <c r="AC778" i="10"/>
  <c r="AD778" i="10"/>
  <c r="AA282" i="15"/>
  <c r="AB282" i="15"/>
  <c r="AC282" i="15"/>
  <c r="AD282" i="15"/>
  <c r="AA283" i="15"/>
  <c r="AB283" i="15"/>
  <c r="AC283" i="15"/>
  <c r="AD283" i="15"/>
  <c r="AA284" i="15"/>
  <c r="AB284" i="15"/>
  <c r="AC284" i="15"/>
  <c r="AD284" i="15"/>
  <c r="AA285" i="15"/>
  <c r="AB285" i="15"/>
  <c r="AC285" i="15"/>
  <c r="AD285" i="15"/>
  <c r="AA286" i="15"/>
  <c r="AB286" i="15"/>
  <c r="AC286" i="15"/>
  <c r="AD286" i="15"/>
  <c r="AA287" i="15"/>
  <c r="AB287" i="15"/>
  <c r="AC287" i="15"/>
  <c r="AD287" i="15"/>
  <c r="AA288" i="15"/>
  <c r="AB288" i="15"/>
  <c r="AC288" i="15"/>
  <c r="AD288" i="15"/>
  <c r="AA289" i="15"/>
  <c r="AB289" i="15"/>
  <c r="AC289" i="15"/>
  <c r="AD289" i="15"/>
  <c r="AA290" i="15"/>
  <c r="AB290" i="15"/>
  <c r="AC290" i="15"/>
  <c r="AD290" i="15"/>
  <c r="AA291" i="15"/>
  <c r="AB291" i="15"/>
  <c r="AC291" i="15"/>
  <c r="AD291" i="15"/>
  <c r="AA292" i="15"/>
  <c r="AB292" i="15"/>
  <c r="AC292" i="15"/>
  <c r="AD292" i="15"/>
  <c r="AA293" i="15"/>
  <c r="AB293" i="15"/>
  <c r="AC293" i="15"/>
  <c r="AD293" i="15"/>
  <c r="AA270" i="15"/>
  <c r="AB270" i="15"/>
  <c r="AC270" i="15"/>
  <c r="AD270" i="15"/>
  <c r="AA271" i="15"/>
  <c r="AB271" i="15"/>
  <c r="AC271" i="15"/>
  <c r="AD271" i="15"/>
  <c r="AA272" i="15"/>
  <c r="AB272" i="15"/>
  <c r="AC272" i="15"/>
  <c r="AD272" i="15"/>
  <c r="AA273" i="15"/>
  <c r="AB273" i="15"/>
  <c r="AC273" i="15"/>
  <c r="AD273" i="15"/>
  <c r="AA274" i="15"/>
  <c r="AB274" i="15"/>
  <c r="AC274" i="15"/>
  <c r="AD274" i="15"/>
  <c r="AA275" i="15"/>
  <c r="AB275" i="15"/>
  <c r="AC275" i="15"/>
  <c r="AD275" i="15"/>
  <c r="AA276" i="15"/>
  <c r="AB276" i="15"/>
  <c r="AC276" i="15"/>
  <c r="AD276" i="15"/>
  <c r="AA277" i="15"/>
  <c r="AB277" i="15"/>
  <c r="AC277" i="15"/>
  <c r="AD277" i="15"/>
  <c r="AA278" i="15"/>
  <c r="AB278" i="15"/>
  <c r="AC278" i="15"/>
  <c r="AD278" i="15"/>
  <c r="AA279" i="15"/>
  <c r="AB279" i="15"/>
  <c r="AC279" i="15"/>
  <c r="AD279" i="15"/>
  <c r="AA280" i="15"/>
  <c r="AB280" i="15"/>
  <c r="AC280" i="15"/>
  <c r="AD280" i="15"/>
  <c r="AA281" i="15"/>
  <c r="AB281" i="15"/>
  <c r="AC281" i="15"/>
  <c r="AD281" i="15"/>
  <c r="AA755" i="10"/>
  <c r="AB755" i="10"/>
  <c r="AC755" i="10"/>
  <c r="AD755" i="10"/>
  <c r="AA756" i="10"/>
  <c r="AB756" i="10"/>
  <c r="AC756" i="10"/>
  <c r="AD756" i="10"/>
  <c r="AA757" i="10"/>
  <c r="AB757" i="10"/>
  <c r="AC757" i="10"/>
  <c r="AD757" i="10"/>
  <c r="AA758" i="10"/>
  <c r="AB758" i="10"/>
  <c r="AC758" i="10"/>
  <c r="AD758" i="10"/>
  <c r="AA759" i="10"/>
  <c r="AB759" i="10"/>
  <c r="AC759" i="10"/>
  <c r="AD759" i="10"/>
  <c r="AA760" i="10"/>
  <c r="AB760" i="10"/>
  <c r="AC760" i="10"/>
  <c r="AD760" i="10"/>
  <c r="AA761" i="10"/>
  <c r="AB761" i="10"/>
  <c r="AC761" i="10"/>
  <c r="AD761" i="10"/>
  <c r="AA762" i="10"/>
  <c r="AB762" i="10"/>
  <c r="AC762" i="10"/>
  <c r="AD762" i="10"/>
  <c r="AA763" i="10"/>
  <c r="AB763" i="10"/>
  <c r="AC763" i="10"/>
  <c r="AD763" i="10"/>
  <c r="AA764" i="10"/>
  <c r="AB764" i="10"/>
  <c r="AC764" i="10"/>
  <c r="AD764" i="10"/>
  <c r="AA765" i="10"/>
  <c r="AB765" i="10"/>
  <c r="AC765" i="10"/>
  <c r="AD765" i="10"/>
  <c r="AA766" i="10"/>
  <c r="AB766" i="10"/>
  <c r="AC766" i="10"/>
  <c r="AD766" i="10"/>
  <c r="AH186" i="17"/>
  <c r="AI186" i="17"/>
  <c r="AJ186" i="17"/>
  <c r="AK186" i="17"/>
  <c r="AH187" i="17"/>
  <c r="AI187" i="17"/>
  <c r="AJ187" i="17"/>
  <c r="AK187" i="17"/>
  <c r="AH188" i="17"/>
  <c r="AI188" i="17"/>
  <c r="AJ188" i="17"/>
  <c r="AK188" i="17"/>
  <c r="AH189" i="17"/>
  <c r="AI189" i="17"/>
  <c r="AJ189" i="17"/>
  <c r="AK189" i="17"/>
  <c r="AH190" i="17"/>
  <c r="AI190" i="17"/>
  <c r="AJ190" i="17"/>
  <c r="AK190" i="17"/>
  <c r="AH191" i="17"/>
  <c r="AI191" i="17"/>
  <c r="AJ191" i="17"/>
  <c r="AK191" i="17"/>
  <c r="AH192" i="17"/>
  <c r="AI192" i="17"/>
  <c r="AJ192" i="17"/>
  <c r="AK192" i="17"/>
  <c r="AH193" i="17"/>
  <c r="AI193" i="17"/>
  <c r="AJ193" i="17"/>
  <c r="AK193" i="17"/>
  <c r="AH194" i="17"/>
  <c r="AI194" i="17"/>
  <c r="AJ194" i="17"/>
  <c r="AK194" i="17"/>
  <c r="AH195" i="17"/>
  <c r="AI195" i="17"/>
  <c r="AJ195" i="17"/>
  <c r="AK195" i="17"/>
  <c r="AH196" i="17"/>
  <c r="AI196" i="17"/>
  <c r="AJ196" i="17"/>
  <c r="AK196" i="17"/>
  <c r="AH197" i="17"/>
  <c r="AI197" i="17"/>
  <c r="AJ197" i="17"/>
  <c r="AK197" i="17"/>
  <c r="AH890" i="9"/>
  <c r="AI890" i="9"/>
  <c r="AJ890" i="9"/>
  <c r="AK890" i="9"/>
  <c r="AH891" i="9"/>
  <c r="AI891" i="9"/>
  <c r="AJ891" i="9"/>
  <c r="AK891" i="9"/>
  <c r="AH892" i="9"/>
  <c r="AI892" i="9"/>
  <c r="AJ892" i="9"/>
  <c r="AK892" i="9"/>
  <c r="AH893" i="9"/>
  <c r="AI893" i="9"/>
  <c r="AJ893" i="9"/>
  <c r="AK893" i="9"/>
  <c r="AH894" i="9"/>
  <c r="AI894" i="9"/>
  <c r="AJ894" i="9"/>
  <c r="AK894" i="9"/>
  <c r="AH895" i="9"/>
  <c r="AI895" i="9"/>
  <c r="AJ895" i="9"/>
  <c r="AK895" i="9"/>
  <c r="AH896" i="9"/>
  <c r="AI896" i="9"/>
  <c r="AJ896" i="9"/>
  <c r="AK896" i="9"/>
  <c r="AH897" i="9"/>
  <c r="AI897" i="9"/>
  <c r="AJ897" i="9"/>
  <c r="AK897" i="9"/>
  <c r="AH898" i="9"/>
  <c r="AI898" i="9"/>
  <c r="AJ898" i="9"/>
  <c r="AK898" i="9"/>
  <c r="AH899" i="9"/>
  <c r="AI899" i="9"/>
  <c r="AJ899" i="9"/>
  <c r="AK899" i="9"/>
  <c r="AH900" i="9"/>
  <c r="AI900" i="9"/>
  <c r="AJ900" i="9"/>
  <c r="AK900" i="9"/>
  <c r="AH901" i="9"/>
  <c r="AI901" i="9"/>
  <c r="AJ901" i="9"/>
  <c r="AK901" i="9"/>
  <c r="AA258" i="15"/>
  <c r="AB258" i="15"/>
  <c r="AC258" i="15"/>
  <c r="AD258" i="15"/>
  <c r="AA259" i="15"/>
  <c r="AB259" i="15"/>
  <c r="AC259" i="15"/>
  <c r="AD259" i="15"/>
  <c r="AA260" i="15"/>
  <c r="AB260" i="15"/>
  <c r="AC260" i="15"/>
  <c r="AD260" i="15"/>
  <c r="AA261" i="15"/>
  <c r="AB261" i="15"/>
  <c r="AC261" i="15"/>
  <c r="AD261" i="15"/>
  <c r="AA262" i="15"/>
  <c r="AB262" i="15"/>
  <c r="AC262" i="15"/>
  <c r="AD262" i="15"/>
  <c r="AA263" i="15"/>
  <c r="AB263" i="15"/>
  <c r="AC263" i="15"/>
  <c r="AD263" i="15"/>
  <c r="AA264" i="15"/>
  <c r="AB264" i="15"/>
  <c r="AC264" i="15"/>
  <c r="AD264" i="15"/>
  <c r="AA265" i="15"/>
  <c r="AB265" i="15"/>
  <c r="AC265" i="15"/>
  <c r="AD265" i="15"/>
  <c r="AA266" i="15"/>
  <c r="AB266" i="15"/>
  <c r="AC266" i="15"/>
  <c r="AD266" i="15"/>
  <c r="AA267" i="15"/>
  <c r="AB267" i="15"/>
  <c r="AC267" i="15"/>
  <c r="AD267" i="15"/>
  <c r="AA268" i="15"/>
  <c r="AB268" i="15"/>
  <c r="AC268" i="15"/>
  <c r="AD268" i="15"/>
  <c r="AA269" i="15"/>
  <c r="AB269" i="15"/>
  <c r="AC269" i="15"/>
  <c r="AD269" i="15"/>
  <c r="AA743" i="10"/>
  <c r="AB743" i="10"/>
  <c r="AC743" i="10"/>
  <c r="AD743" i="10"/>
  <c r="AA744" i="10"/>
  <c r="AB744" i="10"/>
  <c r="AC744" i="10"/>
  <c r="AD744" i="10"/>
  <c r="AA745" i="10"/>
  <c r="AB745" i="10"/>
  <c r="AC745" i="10"/>
  <c r="AD745" i="10"/>
  <c r="AA746" i="10"/>
  <c r="AB746" i="10"/>
  <c r="AC746" i="10"/>
  <c r="AD746" i="10"/>
  <c r="AA747" i="10"/>
  <c r="AB747" i="10"/>
  <c r="AC747" i="10"/>
  <c r="AD747" i="10"/>
  <c r="AA748" i="10"/>
  <c r="AB748" i="10"/>
  <c r="AC748" i="10"/>
  <c r="AD748" i="10"/>
  <c r="AA749" i="10"/>
  <c r="AB749" i="10"/>
  <c r="AC749" i="10"/>
  <c r="AD749" i="10"/>
  <c r="AA750" i="10"/>
  <c r="AB750" i="10"/>
  <c r="AC750" i="10"/>
  <c r="AD750" i="10"/>
  <c r="AA751" i="10"/>
  <c r="AB751" i="10"/>
  <c r="AC751" i="10"/>
  <c r="AD751" i="10"/>
  <c r="AA752" i="10"/>
  <c r="AB752" i="10"/>
  <c r="AC752" i="10"/>
  <c r="AD752" i="10"/>
  <c r="AA753" i="10"/>
  <c r="AB753" i="10"/>
  <c r="AC753" i="10"/>
  <c r="AD753" i="10"/>
  <c r="AA754" i="10"/>
  <c r="AB754" i="10"/>
  <c r="AC754" i="10"/>
  <c r="AD754" i="10"/>
  <c r="U39" i="13"/>
  <c r="V39" i="13"/>
  <c r="W39" i="13"/>
  <c r="X39" i="13"/>
  <c r="Y39" i="13"/>
  <c r="Z39" i="13"/>
  <c r="AA39" i="13"/>
  <c r="AB39" i="13"/>
  <c r="AC39" i="13"/>
  <c r="AD39" i="13"/>
  <c r="AE39" i="13"/>
  <c r="AF39" i="13"/>
  <c r="AG39" i="13"/>
  <c r="AH39" i="13"/>
  <c r="AI39" i="13"/>
  <c r="T39" i="13"/>
  <c r="H39" i="13"/>
  <c r="I39" i="13"/>
  <c r="J39" i="13" a="1"/>
  <c r="J39" i="13" s="1"/>
  <c r="K39" i="13"/>
  <c r="L39" i="13"/>
  <c r="M39" i="13"/>
  <c r="N39" i="13"/>
  <c r="O39" i="13" s="1"/>
  <c r="P39" i="13"/>
  <c r="Q39" i="13"/>
  <c r="R39" i="13" s="1"/>
  <c r="S39" i="13"/>
  <c r="U37" i="13"/>
  <c r="V37" i="13"/>
  <c r="W37" i="13"/>
  <c r="X37" i="13"/>
  <c r="Y37" i="13"/>
  <c r="Z37" i="13"/>
  <c r="AA37" i="13"/>
  <c r="AB37" i="13"/>
  <c r="AC37" i="13"/>
  <c r="AD37" i="13"/>
  <c r="AE37" i="13"/>
  <c r="AF37" i="13"/>
  <c r="AG37" i="13"/>
  <c r="AH37" i="13"/>
  <c r="AI37" i="13"/>
  <c r="T37" i="13"/>
  <c r="T40" i="13"/>
  <c r="H37" i="13"/>
  <c r="I37" i="13"/>
  <c r="J37" i="13" a="1"/>
  <c r="J37" i="13" s="1"/>
  <c r="K37" i="13"/>
  <c r="L37" i="13"/>
  <c r="M37" i="13"/>
  <c r="N37" i="13"/>
  <c r="O37" i="13" s="1"/>
  <c r="P37" i="13"/>
  <c r="Q37" i="13"/>
  <c r="R37" i="13" s="1"/>
  <c r="S37" i="13"/>
  <c r="AA242" i="15"/>
  <c r="AB242" i="15"/>
  <c r="AC242" i="15"/>
  <c r="AD242" i="15"/>
  <c r="AA243" i="15"/>
  <c r="AB243" i="15"/>
  <c r="AC243" i="15"/>
  <c r="AD243" i="15"/>
  <c r="AA244" i="15"/>
  <c r="AB244" i="15"/>
  <c r="AC244" i="15"/>
  <c r="AD244" i="15"/>
  <c r="AA245" i="15"/>
  <c r="AB245" i="15"/>
  <c r="AC245" i="15"/>
  <c r="AD245" i="15"/>
  <c r="AA246" i="15"/>
  <c r="AB246" i="15"/>
  <c r="AC246" i="15"/>
  <c r="AD246" i="15"/>
  <c r="AA247" i="15"/>
  <c r="AB247" i="15"/>
  <c r="AC247" i="15"/>
  <c r="AD247" i="15"/>
  <c r="AA248" i="15"/>
  <c r="AB248" i="15"/>
  <c r="AC248" i="15"/>
  <c r="AD248" i="15"/>
  <c r="AA249" i="15"/>
  <c r="AB249" i="15"/>
  <c r="AC249" i="15"/>
  <c r="AD249" i="15"/>
  <c r="AA250" i="15"/>
  <c r="AB250" i="15"/>
  <c r="AC250" i="15"/>
  <c r="AD250" i="15"/>
  <c r="AA251" i="15"/>
  <c r="AB251" i="15"/>
  <c r="AC251" i="15"/>
  <c r="AD251" i="15"/>
  <c r="AA252" i="15"/>
  <c r="AB252" i="15"/>
  <c r="AC252" i="15"/>
  <c r="AD252" i="15"/>
  <c r="AA253" i="15"/>
  <c r="AB253" i="15"/>
  <c r="AC253" i="15"/>
  <c r="AD253" i="15"/>
  <c r="AA254" i="15"/>
  <c r="AB254" i="15"/>
  <c r="AC254" i="15"/>
  <c r="AD254" i="15"/>
  <c r="AA255" i="15"/>
  <c r="AB255" i="15"/>
  <c r="AC255" i="15"/>
  <c r="AD255" i="15"/>
  <c r="AA256" i="15"/>
  <c r="AB256" i="15"/>
  <c r="AC256" i="15"/>
  <c r="AD256" i="15"/>
  <c r="AA257" i="15"/>
  <c r="AB257" i="15"/>
  <c r="AC257" i="15"/>
  <c r="AD257" i="15"/>
  <c r="AA727" i="10"/>
  <c r="AB727" i="10"/>
  <c r="AC727" i="10"/>
  <c r="AD727" i="10"/>
  <c r="AA728" i="10"/>
  <c r="AB728" i="10"/>
  <c r="AC728" i="10"/>
  <c r="AD728" i="10"/>
  <c r="AA729" i="10"/>
  <c r="AB729" i="10"/>
  <c r="AC729" i="10"/>
  <c r="AD729" i="10"/>
  <c r="AA730" i="10"/>
  <c r="AB730" i="10"/>
  <c r="AC730" i="10"/>
  <c r="AD730" i="10"/>
  <c r="AA731" i="10"/>
  <c r="AB731" i="10"/>
  <c r="AC731" i="10"/>
  <c r="AD731" i="10"/>
  <c r="AA732" i="10"/>
  <c r="AB732" i="10"/>
  <c r="AC732" i="10"/>
  <c r="AD732" i="10"/>
  <c r="AA733" i="10"/>
  <c r="AB733" i="10"/>
  <c r="AC733" i="10"/>
  <c r="AD733" i="10"/>
  <c r="AA734" i="10"/>
  <c r="AB734" i="10"/>
  <c r="AC734" i="10"/>
  <c r="AD734" i="10"/>
  <c r="AA735" i="10"/>
  <c r="AB735" i="10"/>
  <c r="AC735" i="10"/>
  <c r="AD735" i="10"/>
  <c r="AA736" i="10"/>
  <c r="AB736" i="10"/>
  <c r="AC736" i="10"/>
  <c r="AD736" i="10"/>
  <c r="AA737" i="10"/>
  <c r="AB737" i="10"/>
  <c r="AC737" i="10"/>
  <c r="AD737" i="10"/>
  <c r="AA738" i="10"/>
  <c r="AB738" i="10"/>
  <c r="AC738" i="10"/>
  <c r="AD738" i="10"/>
  <c r="AA739" i="10"/>
  <c r="AB739" i="10"/>
  <c r="AC739" i="10"/>
  <c r="AD739" i="10"/>
  <c r="AA740" i="10"/>
  <c r="AB740" i="10"/>
  <c r="AC740" i="10"/>
  <c r="AD740" i="10"/>
  <c r="AA741" i="10"/>
  <c r="AB741" i="10"/>
  <c r="AC741" i="10"/>
  <c r="AD741" i="10"/>
  <c r="AA742" i="10"/>
  <c r="AB742" i="10"/>
  <c r="AC742" i="10"/>
  <c r="AD742" i="10"/>
  <c r="AH878" i="9"/>
  <c r="AI878" i="9"/>
  <c r="AJ878" i="9"/>
  <c r="AK878" i="9"/>
  <c r="AH879" i="9"/>
  <c r="AI879" i="9"/>
  <c r="AJ879" i="9"/>
  <c r="AK879" i="9"/>
  <c r="AH880" i="9"/>
  <c r="AI880" i="9"/>
  <c r="AJ880" i="9"/>
  <c r="AK880" i="9"/>
  <c r="AH881" i="9"/>
  <c r="AI881" i="9"/>
  <c r="AJ881" i="9"/>
  <c r="AK881" i="9"/>
  <c r="AH882" i="9"/>
  <c r="AI882" i="9"/>
  <c r="AJ882" i="9"/>
  <c r="AK882" i="9"/>
  <c r="AH883" i="9"/>
  <c r="AI883" i="9"/>
  <c r="AJ883" i="9"/>
  <c r="AK883" i="9"/>
  <c r="AH884" i="9"/>
  <c r="AI884" i="9"/>
  <c r="AJ884" i="9"/>
  <c r="AK884" i="9"/>
  <c r="AH885" i="9"/>
  <c r="AI885" i="9"/>
  <c r="AJ885" i="9"/>
  <c r="AK885" i="9"/>
  <c r="AH886" i="9"/>
  <c r="AI886" i="9"/>
  <c r="AJ886" i="9"/>
  <c r="AK886" i="9"/>
  <c r="AH887" i="9"/>
  <c r="AI887" i="9"/>
  <c r="AJ887" i="9"/>
  <c r="AK887" i="9"/>
  <c r="AH888" i="9"/>
  <c r="AI888" i="9"/>
  <c r="AJ888" i="9"/>
  <c r="AK888" i="9"/>
  <c r="AH889" i="9"/>
  <c r="AI889" i="9"/>
  <c r="AJ889" i="9"/>
  <c r="AK889" i="9"/>
  <c r="AH174" i="17"/>
  <c r="AI174" i="17"/>
  <c r="AJ174" i="17"/>
  <c r="AK174" i="17"/>
  <c r="AH175" i="17"/>
  <c r="AI175" i="17"/>
  <c r="AJ175" i="17"/>
  <c r="AK175" i="17"/>
  <c r="AH176" i="17"/>
  <c r="AI176" i="17"/>
  <c r="AJ176" i="17"/>
  <c r="AK176" i="17"/>
  <c r="AH177" i="17"/>
  <c r="AI177" i="17"/>
  <c r="AJ177" i="17"/>
  <c r="AK177" i="17"/>
  <c r="AH178" i="17"/>
  <c r="AI178" i="17"/>
  <c r="AJ178" i="17"/>
  <c r="AK178" i="17"/>
  <c r="AH179" i="17"/>
  <c r="AI179" i="17"/>
  <c r="AJ179" i="17"/>
  <c r="AK179" i="17"/>
  <c r="AH180" i="17"/>
  <c r="AI180" i="17"/>
  <c r="AJ180" i="17"/>
  <c r="AK180" i="17"/>
  <c r="AH181" i="17"/>
  <c r="AI181" i="17"/>
  <c r="AJ181" i="17"/>
  <c r="AK181" i="17"/>
  <c r="AH182" i="17"/>
  <c r="AI182" i="17"/>
  <c r="AJ182" i="17"/>
  <c r="AK182" i="17"/>
  <c r="AH183" i="17"/>
  <c r="AI183" i="17"/>
  <c r="AJ183" i="17"/>
  <c r="AK183" i="17"/>
  <c r="AH184" i="17"/>
  <c r="AI184" i="17"/>
  <c r="AJ184" i="17"/>
  <c r="AK184" i="17"/>
  <c r="AH185" i="17"/>
  <c r="AI185" i="17"/>
  <c r="AJ185" i="17"/>
  <c r="AK185" i="17"/>
  <c r="AH162" i="17"/>
  <c r="AI162" i="17"/>
  <c r="AJ162" i="17"/>
  <c r="AK162" i="17"/>
  <c r="AH163" i="17"/>
  <c r="AI163" i="17"/>
  <c r="AJ163" i="17"/>
  <c r="AK163" i="17"/>
  <c r="AH164" i="17"/>
  <c r="AI164" i="17"/>
  <c r="AJ164" i="17"/>
  <c r="AK164" i="17"/>
  <c r="AH165" i="17"/>
  <c r="AI165" i="17"/>
  <c r="AJ165" i="17"/>
  <c r="AK165" i="17"/>
  <c r="AH166" i="17"/>
  <c r="AI166" i="17"/>
  <c r="AJ166" i="17"/>
  <c r="AK166" i="17"/>
  <c r="AH167" i="17"/>
  <c r="AI167" i="17"/>
  <c r="AJ167" i="17"/>
  <c r="AK167" i="17"/>
  <c r="AH168" i="17"/>
  <c r="AI168" i="17"/>
  <c r="AJ168" i="17"/>
  <c r="AK168" i="17"/>
  <c r="AH169" i="17"/>
  <c r="AI169" i="17"/>
  <c r="AJ169" i="17"/>
  <c r="AK169" i="17"/>
  <c r="AH170" i="17"/>
  <c r="AI170" i="17"/>
  <c r="AJ170" i="17"/>
  <c r="AK170" i="17"/>
  <c r="AH171" i="17"/>
  <c r="AI171" i="17"/>
  <c r="AJ171" i="17"/>
  <c r="AK171" i="17"/>
  <c r="AH172" i="17"/>
  <c r="AI172" i="17"/>
  <c r="AJ172" i="17"/>
  <c r="AK172" i="17"/>
  <c r="AH173" i="17"/>
  <c r="AI173" i="17"/>
  <c r="AJ173" i="17"/>
  <c r="AK173" i="17"/>
  <c r="AH866" i="9"/>
  <c r="AI866" i="9"/>
  <c r="AJ866" i="9"/>
  <c r="AK866" i="9"/>
  <c r="AH867" i="9"/>
  <c r="AI867" i="9"/>
  <c r="AJ867" i="9"/>
  <c r="AK867" i="9"/>
  <c r="AH868" i="9"/>
  <c r="AI868" i="9"/>
  <c r="AJ868" i="9"/>
  <c r="AK868" i="9"/>
  <c r="AH869" i="9"/>
  <c r="AI869" i="9"/>
  <c r="AJ869" i="9"/>
  <c r="AK869" i="9"/>
  <c r="AH870" i="9"/>
  <c r="AI870" i="9"/>
  <c r="AJ870" i="9"/>
  <c r="AK870" i="9"/>
  <c r="AH871" i="9"/>
  <c r="AI871" i="9"/>
  <c r="AJ871" i="9"/>
  <c r="AK871" i="9"/>
  <c r="AH872" i="9"/>
  <c r="AI872" i="9"/>
  <c r="AJ872" i="9"/>
  <c r="AK872" i="9"/>
  <c r="AH873" i="9"/>
  <c r="AI873" i="9"/>
  <c r="AJ873" i="9"/>
  <c r="AK873" i="9"/>
  <c r="AH874" i="9"/>
  <c r="AI874" i="9"/>
  <c r="AJ874" i="9"/>
  <c r="AK874" i="9"/>
  <c r="AH875" i="9"/>
  <c r="AI875" i="9"/>
  <c r="AJ875" i="9"/>
  <c r="AK875" i="9"/>
  <c r="AH876" i="9"/>
  <c r="AI876" i="9"/>
  <c r="AJ876" i="9"/>
  <c r="AK876" i="9"/>
  <c r="AH877" i="9"/>
  <c r="AI877" i="9"/>
  <c r="AJ877" i="9"/>
  <c r="AK877" i="9"/>
  <c r="AA230" i="15"/>
  <c r="AB230" i="15"/>
  <c r="AC230" i="15"/>
  <c r="AD230" i="15"/>
  <c r="AA231" i="15"/>
  <c r="AB231" i="15"/>
  <c r="AC231" i="15"/>
  <c r="AD231" i="15"/>
  <c r="AA232" i="15"/>
  <c r="AB232" i="15"/>
  <c r="AC232" i="15"/>
  <c r="AD232" i="15"/>
  <c r="AA233" i="15"/>
  <c r="AB233" i="15"/>
  <c r="AC233" i="15"/>
  <c r="AD233" i="15"/>
  <c r="AA234" i="15"/>
  <c r="AB234" i="15"/>
  <c r="AC234" i="15"/>
  <c r="AD234" i="15"/>
  <c r="AA235" i="15"/>
  <c r="AB235" i="15"/>
  <c r="AC235" i="15"/>
  <c r="AD235" i="15"/>
  <c r="AA236" i="15"/>
  <c r="AB236" i="15"/>
  <c r="AC236" i="15"/>
  <c r="AD236" i="15"/>
  <c r="AA237" i="15"/>
  <c r="AB237" i="15"/>
  <c r="AC237" i="15"/>
  <c r="AD237" i="15"/>
  <c r="AA238" i="15"/>
  <c r="AB238" i="15"/>
  <c r="AC238" i="15"/>
  <c r="AD238" i="15"/>
  <c r="AA239" i="15"/>
  <c r="AB239" i="15"/>
  <c r="AC239" i="15"/>
  <c r="AD239" i="15"/>
  <c r="AA240" i="15"/>
  <c r="AB240" i="15"/>
  <c r="AC240" i="15"/>
  <c r="AD240" i="15"/>
  <c r="AA241" i="15"/>
  <c r="AB241" i="15"/>
  <c r="AC241" i="15"/>
  <c r="AD241" i="15"/>
  <c r="AA715" i="10"/>
  <c r="AB715" i="10"/>
  <c r="AC715" i="10"/>
  <c r="AD715" i="10"/>
  <c r="AA716" i="10"/>
  <c r="AB716" i="10"/>
  <c r="AC716" i="10"/>
  <c r="AD716" i="10"/>
  <c r="AA717" i="10"/>
  <c r="AB717" i="10"/>
  <c r="AC717" i="10"/>
  <c r="AD717" i="10"/>
  <c r="AA718" i="10"/>
  <c r="AB718" i="10"/>
  <c r="AC718" i="10"/>
  <c r="AD718" i="10"/>
  <c r="AA719" i="10"/>
  <c r="AB719" i="10"/>
  <c r="AC719" i="10"/>
  <c r="AD719" i="10"/>
  <c r="AA720" i="10"/>
  <c r="AB720" i="10"/>
  <c r="AC720" i="10"/>
  <c r="AD720" i="10"/>
  <c r="AA721" i="10"/>
  <c r="AB721" i="10"/>
  <c r="AC721" i="10"/>
  <c r="AD721" i="10"/>
  <c r="AA722" i="10"/>
  <c r="AB722" i="10"/>
  <c r="AC722" i="10"/>
  <c r="AD722" i="10"/>
  <c r="AA723" i="10"/>
  <c r="AB723" i="10"/>
  <c r="AC723" i="10"/>
  <c r="AD723" i="10"/>
  <c r="AA724" i="10"/>
  <c r="AB724" i="10"/>
  <c r="AC724" i="10"/>
  <c r="AD724" i="10"/>
  <c r="AA725" i="10"/>
  <c r="AB725" i="10"/>
  <c r="AC725" i="10"/>
  <c r="AD725" i="10"/>
  <c r="AA726" i="10"/>
  <c r="AB726" i="10"/>
  <c r="AC726" i="10"/>
  <c r="AD726" i="10"/>
  <c r="AH150" i="17"/>
  <c r="AI150" i="17"/>
  <c r="AJ150" i="17"/>
  <c r="AK150" i="17"/>
  <c r="AH151" i="17"/>
  <c r="AI151" i="17"/>
  <c r="AJ151" i="17"/>
  <c r="AK151" i="17"/>
  <c r="AH152" i="17"/>
  <c r="AI152" i="17"/>
  <c r="AJ152" i="17"/>
  <c r="AK152" i="17"/>
  <c r="AH153" i="17"/>
  <c r="AI153" i="17"/>
  <c r="AJ153" i="17"/>
  <c r="AK153" i="17"/>
  <c r="AH154" i="17"/>
  <c r="AI154" i="17"/>
  <c r="AJ154" i="17"/>
  <c r="AK154" i="17"/>
  <c r="AH155" i="17"/>
  <c r="AI155" i="17"/>
  <c r="AJ155" i="17"/>
  <c r="AK155" i="17"/>
  <c r="AH156" i="17"/>
  <c r="AI156" i="17"/>
  <c r="AJ156" i="17"/>
  <c r="AK156" i="17"/>
  <c r="AH157" i="17"/>
  <c r="AI157" i="17"/>
  <c r="AJ157" i="17"/>
  <c r="AK157" i="17"/>
  <c r="AH158" i="17"/>
  <c r="AI158" i="17"/>
  <c r="AJ158" i="17"/>
  <c r="AK158" i="17"/>
  <c r="AH159" i="17"/>
  <c r="AI159" i="17"/>
  <c r="AJ159" i="17"/>
  <c r="AK159" i="17"/>
  <c r="AH160" i="17"/>
  <c r="AI160" i="17"/>
  <c r="AJ160" i="17"/>
  <c r="AK160" i="17"/>
  <c r="AH161" i="17"/>
  <c r="AI161" i="17"/>
  <c r="AJ161" i="17"/>
  <c r="AK161" i="17"/>
  <c r="AH854" i="9"/>
  <c r="AI854" i="9"/>
  <c r="AJ854" i="9"/>
  <c r="AK854" i="9"/>
  <c r="AH855" i="9"/>
  <c r="AI855" i="9"/>
  <c r="AJ855" i="9"/>
  <c r="AK855" i="9"/>
  <c r="AH856" i="9"/>
  <c r="AI856" i="9"/>
  <c r="AJ856" i="9"/>
  <c r="AK856" i="9"/>
  <c r="AH857" i="9"/>
  <c r="AI857" i="9"/>
  <c r="AJ857" i="9"/>
  <c r="AK857" i="9"/>
  <c r="AH858" i="9"/>
  <c r="AI858" i="9"/>
  <c r="AJ858" i="9"/>
  <c r="AK858" i="9"/>
  <c r="AH859" i="9"/>
  <c r="AI859" i="9"/>
  <c r="AJ859" i="9"/>
  <c r="AK859" i="9"/>
  <c r="AH860" i="9"/>
  <c r="AI860" i="9"/>
  <c r="AJ860" i="9"/>
  <c r="AK860" i="9"/>
  <c r="AH861" i="9"/>
  <c r="AI861" i="9"/>
  <c r="AJ861" i="9"/>
  <c r="AK861" i="9"/>
  <c r="AH862" i="9"/>
  <c r="AI862" i="9"/>
  <c r="AJ862" i="9"/>
  <c r="AK862" i="9"/>
  <c r="AH863" i="9"/>
  <c r="AI863" i="9"/>
  <c r="AJ863" i="9"/>
  <c r="AK863" i="9"/>
  <c r="AH864" i="9"/>
  <c r="AI864" i="9"/>
  <c r="AJ864" i="9"/>
  <c r="AK864" i="9"/>
  <c r="AH865" i="9"/>
  <c r="AI865" i="9"/>
  <c r="AJ865" i="9"/>
  <c r="AK865" i="9"/>
  <c r="S35" i="16"/>
  <c r="T35" i="16"/>
  <c r="U35" i="16"/>
  <c r="V35" i="16"/>
  <c r="W35" i="16"/>
  <c r="X35" i="16"/>
  <c r="Y35" i="16"/>
  <c r="Z35" i="16"/>
  <c r="AA35" i="16"/>
  <c r="AB35" i="16"/>
  <c r="AC35" i="16"/>
  <c r="AD35" i="16"/>
  <c r="AE35" i="16"/>
  <c r="AF35" i="16"/>
  <c r="AG35" i="16"/>
  <c r="AI35" i="16"/>
  <c r="AJ35" i="16"/>
  <c r="AK35" i="16"/>
  <c r="AL35" i="16"/>
  <c r="AM35" i="16"/>
  <c r="AN35" i="16"/>
  <c r="R35" i="16"/>
  <c r="F35" i="16"/>
  <c r="G35" i="16"/>
  <c r="H35" i="16" a="1"/>
  <c r="H35" i="16" s="1"/>
  <c r="I35" i="16"/>
  <c r="J35" i="16"/>
  <c r="L35" i="16"/>
  <c r="M35" i="16" s="1"/>
  <c r="O35" i="16"/>
  <c r="P35" i="16" s="1"/>
  <c r="Q35" i="16"/>
  <c r="AH138" i="17"/>
  <c r="AI138" i="17"/>
  <c r="AJ138" i="17"/>
  <c r="AK138" i="17"/>
  <c r="AH139" i="17"/>
  <c r="AI139" i="17"/>
  <c r="AJ139" i="17"/>
  <c r="AK139" i="17"/>
  <c r="AH140" i="17"/>
  <c r="AI140" i="17"/>
  <c r="AJ140" i="17"/>
  <c r="AK140" i="17"/>
  <c r="AH141" i="17"/>
  <c r="AI141" i="17"/>
  <c r="AJ141" i="17"/>
  <c r="AK141" i="17"/>
  <c r="AH142" i="17"/>
  <c r="AI142" i="17"/>
  <c r="AJ142" i="17"/>
  <c r="AK142" i="17"/>
  <c r="AH143" i="17"/>
  <c r="AI143" i="17"/>
  <c r="AJ143" i="17"/>
  <c r="AK143" i="17"/>
  <c r="AH144" i="17"/>
  <c r="AI144" i="17"/>
  <c r="AJ144" i="17"/>
  <c r="AK144" i="17"/>
  <c r="AH145" i="17"/>
  <c r="AI145" i="17"/>
  <c r="AJ145" i="17"/>
  <c r="AK145" i="17"/>
  <c r="AH146" i="17"/>
  <c r="AI146" i="17"/>
  <c r="AJ146" i="17"/>
  <c r="AK146" i="17"/>
  <c r="AH147" i="17"/>
  <c r="AI147" i="17"/>
  <c r="AJ147" i="17"/>
  <c r="AK147" i="17"/>
  <c r="AH148" i="17"/>
  <c r="AI148" i="17"/>
  <c r="AJ148" i="17"/>
  <c r="AK148" i="17"/>
  <c r="AH149" i="17"/>
  <c r="AI149" i="17"/>
  <c r="AJ149" i="17"/>
  <c r="AK149" i="17"/>
  <c r="T47" i="12"/>
  <c r="U47" i="12"/>
  <c r="V47" i="12"/>
  <c r="W47" i="12"/>
  <c r="X47" i="12"/>
  <c r="Y47" i="12"/>
  <c r="Z47" i="12"/>
  <c r="AA47" i="12"/>
  <c r="AB47" i="12"/>
  <c r="AC47" i="12"/>
  <c r="AD47" i="12"/>
  <c r="AE47" i="12"/>
  <c r="AF47" i="12"/>
  <c r="AG47" i="12"/>
  <c r="AH47" i="12"/>
  <c r="AJ47" i="12"/>
  <c r="AK47" i="12"/>
  <c r="AL47" i="12"/>
  <c r="AM47" i="12"/>
  <c r="AN47" i="12"/>
  <c r="AO47" i="12"/>
  <c r="S47" i="12"/>
  <c r="F47" i="12"/>
  <c r="G47" i="12"/>
  <c r="I47" i="12" a="1"/>
  <c r="I47" i="12" s="1"/>
  <c r="J47" i="12"/>
  <c r="K47" i="12"/>
  <c r="L47" i="12"/>
  <c r="M47" i="12"/>
  <c r="N47" i="12" s="1"/>
  <c r="O47" i="12"/>
  <c r="P47" i="12"/>
  <c r="Q47" i="12" s="1"/>
  <c r="R47" i="12"/>
  <c r="AH842" i="9"/>
  <c r="AI842" i="9"/>
  <c r="AJ842" i="9"/>
  <c r="AK842" i="9"/>
  <c r="AH843" i="9"/>
  <c r="AI843" i="9"/>
  <c r="AJ843" i="9"/>
  <c r="AK843" i="9"/>
  <c r="AH844" i="9"/>
  <c r="AI844" i="9"/>
  <c r="AJ844" i="9"/>
  <c r="AK844" i="9"/>
  <c r="AH845" i="9"/>
  <c r="AI845" i="9"/>
  <c r="AJ845" i="9"/>
  <c r="AK845" i="9"/>
  <c r="AH846" i="9"/>
  <c r="AI846" i="9"/>
  <c r="AJ846" i="9"/>
  <c r="AK846" i="9"/>
  <c r="AH847" i="9"/>
  <c r="AI847" i="9"/>
  <c r="AJ847" i="9"/>
  <c r="AK847" i="9"/>
  <c r="AH848" i="9"/>
  <c r="AI848" i="9"/>
  <c r="AJ848" i="9"/>
  <c r="AK848" i="9"/>
  <c r="AH849" i="9"/>
  <c r="AI849" i="9"/>
  <c r="AJ849" i="9"/>
  <c r="AK849" i="9"/>
  <c r="AH850" i="9"/>
  <c r="AI850" i="9"/>
  <c r="AJ850" i="9"/>
  <c r="AK850" i="9"/>
  <c r="AH851" i="9"/>
  <c r="AI851" i="9"/>
  <c r="AJ851" i="9"/>
  <c r="AK851" i="9"/>
  <c r="AH852" i="9"/>
  <c r="AI852" i="9"/>
  <c r="AJ852" i="9"/>
  <c r="AK852" i="9"/>
  <c r="AH853" i="9"/>
  <c r="AI853" i="9"/>
  <c r="AJ853" i="9"/>
  <c r="AK853" i="9"/>
  <c r="AA216" i="15"/>
  <c r="AB216" i="15"/>
  <c r="AC216" i="15"/>
  <c r="AD216" i="15"/>
  <c r="AA217" i="15"/>
  <c r="AB217" i="15"/>
  <c r="AC217" i="15"/>
  <c r="AD217" i="15"/>
  <c r="AA218" i="15"/>
  <c r="AB218" i="15"/>
  <c r="AC218" i="15"/>
  <c r="AD218" i="15"/>
  <c r="AA219" i="15"/>
  <c r="AB219" i="15"/>
  <c r="AC219" i="15"/>
  <c r="AD219" i="15"/>
  <c r="AA220" i="15"/>
  <c r="AB220" i="15"/>
  <c r="AC220" i="15"/>
  <c r="AD220" i="15"/>
  <c r="AA221" i="15"/>
  <c r="AB221" i="15"/>
  <c r="AC221" i="15"/>
  <c r="AD221" i="15"/>
  <c r="AA222" i="15"/>
  <c r="AB222" i="15"/>
  <c r="AC222" i="15"/>
  <c r="AD222" i="15"/>
  <c r="AA223" i="15"/>
  <c r="AB223" i="15"/>
  <c r="AC223" i="15"/>
  <c r="AD223" i="15"/>
  <c r="AA224" i="15"/>
  <c r="AB224" i="15"/>
  <c r="AC224" i="15"/>
  <c r="AD224" i="15"/>
  <c r="AA225" i="15"/>
  <c r="AB225" i="15"/>
  <c r="AC225" i="15"/>
  <c r="AD225" i="15"/>
  <c r="AA226" i="15"/>
  <c r="AB226" i="15"/>
  <c r="AC226" i="15"/>
  <c r="AD226" i="15"/>
  <c r="AA227" i="15"/>
  <c r="AB227" i="15"/>
  <c r="AC227" i="15"/>
  <c r="AD227" i="15"/>
  <c r="AA228" i="15"/>
  <c r="AB228" i="15"/>
  <c r="AC228" i="15"/>
  <c r="AD228" i="15"/>
  <c r="AA229" i="15"/>
  <c r="AB229" i="15"/>
  <c r="AC229" i="15"/>
  <c r="AD229" i="15"/>
  <c r="AA701" i="10"/>
  <c r="AB701" i="10"/>
  <c r="AC701" i="10"/>
  <c r="AD701" i="10"/>
  <c r="AA702" i="10"/>
  <c r="AB702" i="10"/>
  <c r="AC702" i="10"/>
  <c r="AD702" i="10"/>
  <c r="AA703" i="10"/>
  <c r="AB703" i="10"/>
  <c r="AC703" i="10"/>
  <c r="AD703" i="10"/>
  <c r="AA704" i="10"/>
  <c r="AB704" i="10"/>
  <c r="AC704" i="10"/>
  <c r="AD704" i="10"/>
  <c r="AA705" i="10"/>
  <c r="AB705" i="10"/>
  <c r="AC705" i="10"/>
  <c r="AD705" i="10"/>
  <c r="AA706" i="10"/>
  <c r="AB706" i="10"/>
  <c r="AC706" i="10"/>
  <c r="AD706" i="10"/>
  <c r="AA707" i="10"/>
  <c r="AB707" i="10"/>
  <c r="AC707" i="10"/>
  <c r="AD707" i="10"/>
  <c r="AA708" i="10"/>
  <c r="AB708" i="10"/>
  <c r="AC708" i="10"/>
  <c r="AD708" i="10"/>
  <c r="AA709" i="10"/>
  <c r="AB709" i="10"/>
  <c r="AC709" i="10"/>
  <c r="AD709" i="10"/>
  <c r="AA710" i="10"/>
  <c r="AB710" i="10"/>
  <c r="AC710" i="10"/>
  <c r="AD710" i="10"/>
  <c r="AA711" i="10"/>
  <c r="AB711" i="10"/>
  <c r="AC711" i="10"/>
  <c r="AD711" i="10"/>
  <c r="AA712" i="10"/>
  <c r="AB712" i="10"/>
  <c r="AC712" i="10"/>
  <c r="AD712" i="10"/>
  <c r="AA713" i="10"/>
  <c r="AB713" i="10"/>
  <c r="AC713" i="10"/>
  <c r="AD713" i="10"/>
  <c r="AA714" i="10"/>
  <c r="AB714" i="10"/>
  <c r="AC714" i="10"/>
  <c r="AD714" i="10"/>
  <c r="U51" i="13"/>
  <c r="V51" i="13"/>
  <c r="W51" i="13"/>
  <c r="X51" i="13"/>
  <c r="Y51" i="13"/>
  <c r="Z51" i="13"/>
  <c r="AA51" i="13"/>
  <c r="AB51" i="13"/>
  <c r="AC51" i="13"/>
  <c r="AD51" i="13"/>
  <c r="AE51" i="13"/>
  <c r="AF51" i="13"/>
  <c r="AG51" i="13"/>
  <c r="AH51" i="13"/>
  <c r="AI51" i="13"/>
  <c r="T51" i="13"/>
  <c r="H51" i="13"/>
  <c r="I51" i="13"/>
  <c r="J51" i="13" a="1"/>
  <c r="J51" i="13" s="1"/>
  <c r="K51" i="13"/>
  <c r="L51" i="13"/>
  <c r="N51" i="13"/>
  <c r="O51" i="13" s="1"/>
  <c r="P51" i="13"/>
  <c r="Q51" i="13"/>
  <c r="R51" i="13" s="1"/>
  <c r="S51" i="13"/>
  <c r="AA202" i="15"/>
  <c r="AB202" i="15"/>
  <c r="AC202" i="15"/>
  <c r="AD202" i="15"/>
  <c r="AA203" i="15"/>
  <c r="AB203" i="15"/>
  <c r="AC203" i="15"/>
  <c r="AD203" i="15"/>
  <c r="AA204" i="15"/>
  <c r="AB204" i="15"/>
  <c r="AC204" i="15"/>
  <c r="AD204" i="15"/>
  <c r="AA205" i="15"/>
  <c r="AB205" i="15"/>
  <c r="AC205" i="15"/>
  <c r="AD205" i="15"/>
  <c r="AA206" i="15"/>
  <c r="AB206" i="15"/>
  <c r="AC206" i="15"/>
  <c r="AD206" i="15"/>
  <c r="AA207" i="15"/>
  <c r="AB207" i="15"/>
  <c r="AC207" i="15"/>
  <c r="AD207" i="15"/>
  <c r="AA208" i="15"/>
  <c r="AB208" i="15"/>
  <c r="AC208" i="15"/>
  <c r="AD208" i="15"/>
  <c r="AA209" i="15"/>
  <c r="AB209" i="15"/>
  <c r="AC209" i="15"/>
  <c r="AD209" i="15"/>
  <c r="AA210" i="15"/>
  <c r="AB210" i="15"/>
  <c r="AC210" i="15"/>
  <c r="AD210" i="15"/>
  <c r="AA211" i="15"/>
  <c r="AB211" i="15"/>
  <c r="AC211" i="15"/>
  <c r="AD211" i="15"/>
  <c r="AA212" i="15"/>
  <c r="AB212" i="15"/>
  <c r="AC212" i="15"/>
  <c r="AD212" i="15"/>
  <c r="AA213" i="15"/>
  <c r="AB213" i="15"/>
  <c r="AC213" i="15"/>
  <c r="AD213" i="15"/>
  <c r="AA214" i="15"/>
  <c r="AB214" i="15"/>
  <c r="AC214" i="15"/>
  <c r="AD214" i="15"/>
  <c r="AA215" i="15"/>
  <c r="AB215" i="15"/>
  <c r="AC215" i="15"/>
  <c r="AD215" i="15"/>
  <c r="AA687" i="10"/>
  <c r="AB687" i="10"/>
  <c r="AC687" i="10"/>
  <c r="AD687" i="10"/>
  <c r="AA688" i="10"/>
  <c r="AB688" i="10"/>
  <c r="AC688" i="10"/>
  <c r="AD688" i="10"/>
  <c r="AA689" i="10"/>
  <c r="AB689" i="10"/>
  <c r="AC689" i="10"/>
  <c r="AD689" i="10"/>
  <c r="AA690" i="10"/>
  <c r="AB690" i="10"/>
  <c r="AC690" i="10"/>
  <c r="AD690" i="10"/>
  <c r="AA691" i="10"/>
  <c r="AB691" i="10"/>
  <c r="AC691" i="10"/>
  <c r="AD691" i="10"/>
  <c r="AA692" i="10"/>
  <c r="AB692" i="10"/>
  <c r="AC692" i="10"/>
  <c r="AD692" i="10"/>
  <c r="AA693" i="10"/>
  <c r="AB693" i="10"/>
  <c r="AC693" i="10"/>
  <c r="AD693" i="10"/>
  <c r="AA694" i="10"/>
  <c r="AB694" i="10"/>
  <c r="AC694" i="10"/>
  <c r="AD694" i="10"/>
  <c r="AA695" i="10"/>
  <c r="AB695" i="10"/>
  <c r="AC695" i="10"/>
  <c r="AD695" i="10"/>
  <c r="AA696" i="10"/>
  <c r="AB696" i="10"/>
  <c r="AC696" i="10"/>
  <c r="AD696" i="10"/>
  <c r="AA697" i="10"/>
  <c r="AB697" i="10"/>
  <c r="AC697" i="10"/>
  <c r="AD697" i="10"/>
  <c r="AA698" i="10"/>
  <c r="AB698" i="10"/>
  <c r="AC698" i="10"/>
  <c r="AD698" i="10"/>
  <c r="AA699" i="10"/>
  <c r="AB699" i="10"/>
  <c r="AC699" i="10"/>
  <c r="AD699" i="10"/>
  <c r="AA700" i="10"/>
  <c r="AB700" i="10"/>
  <c r="AC700" i="10"/>
  <c r="AD700" i="10"/>
  <c r="AH3" i="17"/>
  <c r="AI3" i="17"/>
  <c r="AJ3" i="17"/>
  <c r="AK3" i="17"/>
  <c r="AH4" i="17"/>
  <c r="AI4" i="17"/>
  <c r="AJ4" i="17"/>
  <c r="AK4" i="17"/>
  <c r="AH5" i="17"/>
  <c r="AI5" i="17"/>
  <c r="AJ5" i="17"/>
  <c r="AK5" i="17"/>
  <c r="AH6" i="17"/>
  <c r="AI6" i="17"/>
  <c r="AJ6" i="17"/>
  <c r="AK6" i="17"/>
  <c r="AH7" i="17"/>
  <c r="AI7" i="17"/>
  <c r="AJ7" i="17"/>
  <c r="AK7" i="17"/>
  <c r="AH8" i="17"/>
  <c r="AI8" i="17"/>
  <c r="AJ8" i="17"/>
  <c r="AK8" i="17"/>
  <c r="AH9" i="17"/>
  <c r="AI9" i="17"/>
  <c r="AJ9" i="17"/>
  <c r="AK9" i="17"/>
  <c r="AH10" i="17"/>
  <c r="AI10" i="17"/>
  <c r="AJ10" i="17"/>
  <c r="AK10" i="17"/>
  <c r="AH11" i="17"/>
  <c r="AI11" i="17"/>
  <c r="AJ11" i="17"/>
  <c r="AK11" i="17"/>
  <c r="AH12" i="17"/>
  <c r="AI12" i="17"/>
  <c r="AJ12" i="17"/>
  <c r="AK12" i="17"/>
  <c r="AH13" i="17"/>
  <c r="AI13" i="17"/>
  <c r="AJ13" i="17"/>
  <c r="AK13" i="17"/>
  <c r="AH14" i="17"/>
  <c r="AI14" i="17"/>
  <c r="AJ14" i="17"/>
  <c r="AK14" i="17"/>
  <c r="AH15" i="17"/>
  <c r="AI15" i="17"/>
  <c r="AJ15" i="17"/>
  <c r="AK15" i="17"/>
  <c r="AH16" i="17"/>
  <c r="AI16" i="17"/>
  <c r="AJ16" i="17"/>
  <c r="AK16" i="17"/>
  <c r="AH17" i="17"/>
  <c r="AI17" i="17"/>
  <c r="AJ17" i="17"/>
  <c r="AK17" i="17"/>
  <c r="AH18" i="17"/>
  <c r="AI18" i="17"/>
  <c r="AJ18" i="17"/>
  <c r="AK18" i="17"/>
  <c r="AH19" i="17"/>
  <c r="AI19" i="17"/>
  <c r="AJ19" i="17"/>
  <c r="AK19" i="17"/>
  <c r="AH20" i="17"/>
  <c r="AI20" i="17"/>
  <c r="AJ20" i="17"/>
  <c r="AK20" i="17"/>
  <c r="AH21" i="17"/>
  <c r="AI21" i="17"/>
  <c r="AJ21" i="17"/>
  <c r="AK21" i="17"/>
  <c r="AH22" i="17"/>
  <c r="AI22" i="17"/>
  <c r="AJ22" i="17"/>
  <c r="AK22" i="17"/>
  <c r="AH23" i="17"/>
  <c r="AI23" i="17"/>
  <c r="AJ23" i="17"/>
  <c r="AK23" i="17"/>
  <c r="AH24" i="17"/>
  <c r="AI24" i="17"/>
  <c r="AJ24" i="17"/>
  <c r="AK24" i="17"/>
  <c r="AH25" i="17"/>
  <c r="AI25" i="17"/>
  <c r="AJ25" i="17"/>
  <c r="AK25" i="17"/>
  <c r="AH26" i="17"/>
  <c r="AI26" i="17"/>
  <c r="AJ26" i="17"/>
  <c r="AK26" i="17"/>
  <c r="AH27" i="17"/>
  <c r="AI27" i="17"/>
  <c r="AJ27" i="17"/>
  <c r="AK27" i="17"/>
  <c r="AH28" i="17"/>
  <c r="AI28" i="17"/>
  <c r="AJ28" i="17"/>
  <c r="AK28" i="17"/>
  <c r="AH29" i="17"/>
  <c r="AI29" i="17"/>
  <c r="AJ29" i="17"/>
  <c r="AK29" i="17"/>
  <c r="AH30" i="17"/>
  <c r="AI30" i="17"/>
  <c r="AJ30" i="17"/>
  <c r="AK30" i="17"/>
  <c r="AH31" i="17"/>
  <c r="AI31" i="17"/>
  <c r="AJ31" i="17"/>
  <c r="AK31" i="17"/>
  <c r="AH32" i="17"/>
  <c r="AI32" i="17"/>
  <c r="AJ32" i="17"/>
  <c r="AK32" i="17"/>
  <c r="AH33" i="17"/>
  <c r="AI33" i="17"/>
  <c r="AJ33" i="17"/>
  <c r="AK33" i="17"/>
  <c r="AH34" i="17"/>
  <c r="AI34" i="17"/>
  <c r="AJ34" i="17"/>
  <c r="AK34" i="17"/>
  <c r="AH35" i="17"/>
  <c r="AI35" i="17"/>
  <c r="AJ35" i="17"/>
  <c r="AK35" i="17"/>
  <c r="AH36" i="17"/>
  <c r="AI36" i="17"/>
  <c r="AJ36" i="17"/>
  <c r="AK36" i="17"/>
  <c r="AH37" i="17"/>
  <c r="AI37" i="17"/>
  <c r="AJ37" i="17"/>
  <c r="AK37" i="17"/>
  <c r="AH38" i="17"/>
  <c r="AI38" i="17"/>
  <c r="AJ38" i="17"/>
  <c r="AK38" i="17"/>
  <c r="AH39" i="17"/>
  <c r="AI39" i="17"/>
  <c r="AJ39" i="17"/>
  <c r="AK39" i="17"/>
  <c r="AH40" i="17"/>
  <c r="AI40" i="17"/>
  <c r="AJ40" i="17"/>
  <c r="AK40" i="17"/>
  <c r="AH41" i="17"/>
  <c r="AI41" i="17"/>
  <c r="AJ41" i="17"/>
  <c r="AK41" i="17"/>
  <c r="AH42" i="17"/>
  <c r="AI42" i="17"/>
  <c r="AJ42" i="17"/>
  <c r="AK42" i="17"/>
  <c r="AH43" i="17"/>
  <c r="AI43" i="17"/>
  <c r="AJ43" i="17"/>
  <c r="AK43" i="17"/>
  <c r="AH44" i="17"/>
  <c r="AI44" i="17"/>
  <c r="AJ44" i="17"/>
  <c r="AK44" i="17"/>
  <c r="AH45" i="17"/>
  <c r="AI45" i="17"/>
  <c r="AJ45" i="17"/>
  <c r="AK45" i="17"/>
  <c r="AH46" i="17"/>
  <c r="AI46" i="17"/>
  <c r="AJ46" i="17"/>
  <c r="AK46" i="17"/>
  <c r="AH47" i="17"/>
  <c r="AI47" i="17"/>
  <c r="AJ47" i="17"/>
  <c r="AK47" i="17"/>
  <c r="AH48" i="17"/>
  <c r="AI48" i="17"/>
  <c r="AJ48" i="17"/>
  <c r="AK48" i="17"/>
  <c r="AH49" i="17"/>
  <c r="AI49" i="17"/>
  <c r="AJ49" i="17"/>
  <c r="AK49" i="17"/>
  <c r="AH50" i="17"/>
  <c r="AI50" i="17"/>
  <c r="AJ50" i="17"/>
  <c r="AK50" i="17"/>
  <c r="AH51" i="17"/>
  <c r="AI51" i="17"/>
  <c r="AJ51" i="17"/>
  <c r="AK51" i="17"/>
  <c r="AH52" i="17"/>
  <c r="AI52" i="17"/>
  <c r="AJ52" i="17"/>
  <c r="AK52" i="17"/>
  <c r="AH53" i="17"/>
  <c r="AI53" i="17"/>
  <c r="AJ53" i="17"/>
  <c r="AK53" i="17"/>
  <c r="AH54" i="17"/>
  <c r="AI54" i="17"/>
  <c r="AJ54" i="17"/>
  <c r="AK54" i="17"/>
  <c r="AH55" i="17"/>
  <c r="AI55" i="17"/>
  <c r="AJ55" i="17"/>
  <c r="AK55" i="17"/>
  <c r="AH56" i="17"/>
  <c r="AI56" i="17"/>
  <c r="AJ56" i="17"/>
  <c r="AK56" i="17"/>
  <c r="AH57" i="17"/>
  <c r="AI57" i="17"/>
  <c r="AJ57" i="17"/>
  <c r="AK57" i="17"/>
  <c r="AH58" i="17"/>
  <c r="AI58" i="17"/>
  <c r="AJ58" i="17"/>
  <c r="AK58" i="17"/>
  <c r="AH59" i="17"/>
  <c r="AI59" i="17"/>
  <c r="AJ59" i="17"/>
  <c r="AK59" i="17"/>
  <c r="AH60" i="17"/>
  <c r="AI60" i="17"/>
  <c r="AJ60" i="17"/>
  <c r="AK60" i="17"/>
  <c r="AH61" i="17"/>
  <c r="AI61" i="17"/>
  <c r="AJ61" i="17"/>
  <c r="AK61" i="17"/>
  <c r="AH62" i="17"/>
  <c r="AI62" i="17"/>
  <c r="AJ62" i="17"/>
  <c r="AK62" i="17"/>
  <c r="AH63" i="17"/>
  <c r="AI63" i="17"/>
  <c r="AJ63" i="17"/>
  <c r="AK63" i="17"/>
  <c r="AH64" i="17"/>
  <c r="AI64" i="17"/>
  <c r="AJ64" i="17"/>
  <c r="AK64" i="17"/>
  <c r="AH65" i="17"/>
  <c r="AI65" i="17"/>
  <c r="AJ65" i="17"/>
  <c r="AK65" i="17"/>
  <c r="AH66" i="17"/>
  <c r="AI66" i="17"/>
  <c r="AJ66" i="17"/>
  <c r="AK66" i="17"/>
  <c r="AH67" i="17"/>
  <c r="AI67" i="17"/>
  <c r="AJ67" i="17"/>
  <c r="AK67" i="17"/>
  <c r="AH68" i="17"/>
  <c r="AI68" i="17"/>
  <c r="AJ68" i="17"/>
  <c r="AK68" i="17"/>
  <c r="AH69" i="17"/>
  <c r="AI69" i="17"/>
  <c r="AJ69" i="17"/>
  <c r="AK69" i="17"/>
  <c r="AH70" i="17"/>
  <c r="AI70" i="17"/>
  <c r="AJ70" i="17"/>
  <c r="AK70" i="17"/>
  <c r="AH71" i="17"/>
  <c r="AI71" i="17"/>
  <c r="AJ71" i="17"/>
  <c r="AK71" i="17"/>
  <c r="AH72" i="17"/>
  <c r="AI72" i="17"/>
  <c r="AJ72" i="17"/>
  <c r="AK72" i="17"/>
  <c r="AH73" i="17"/>
  <c r="AI73" i="17"/>
  <c r="AJ73" i="17"/>
  <c r="AK73" i="17"/>
  <c r="AH74" i="17"/>
  <c r="AI74" i="17"/>
  <c r="AJ74" i="17"/>
  <c r="AK74" i="17"/>
  <c r="AH75" i="17"/>
  <c r="AI75" i="17"/>
  <c r="AJ75" i="17"/>
  <c r="AK75" i="17"/>
  <c r="AH76" i="17"/>
  <c r="AI76" i="17"/>
  <c r="AJ76" i="17"/>
  <c r="AK76" i="17"/>
  <c r="AH77" i="17"/>
  <c r="AI77" i="17"/>
  <c r="AJ77" i="17"/>
  <c r="AK77" i="17"/>
  <c r="AH78" i="17"/>
  <c r="AI78" i="17"/>
  <c r="AJ78" i="17"/>
  <c r="AK78" i="17"/>
  <c r="AH79" i="17"/>
  <c r="AI79" i="17"/>
  <c r="AJ79" i="17"/>
  <c r="AK79" i="17"/>
  <c r="AH80" i="17"/>
  <c r="AI80" i="17"/>
  <c r="AJ80" i="17"/>
  <c r="AK80" i="17"/>
  <c r="AH81" i="17"/>
  <c r="AI81" i="17"/>
  <c r="AJ81" i="17"/>
  <c r="AK81" i="17"/>
  <c r="AH82" i="17"/>
  <c r="AI82" i="17"/>
  <c r="AJ82" i="17"/>
  <c r="AK82" i="17"/>
  <c r="AH83" i="17"/>
  <c r="AI83" i="17"/>
  <c r="AJ83" i="17"/>
  <c r="AK83" i="17"/>
  <c r="AH84" i="17"/>
  <c r="AI84" i="17"/>
  <c r="AJ84" i="17"/>
  <c r="AK84" i="17"/>
  <c r="AH85" i="17"/>
  <c r="AI85" i="17"/>
  <c r="AJ85" i="17"/>
  <c r="AK85" i="17"/>
  <c r="AH86" i="17"/>
  <c r="AI86" i="17"/>
  <c r="AJ86" i="17"/>
  <c r="AK86" i="17"/>
  <c r="AH87" i="17"/>
  <c r="AI87" i="17"/>
  <c r="AJ87" i="17"/>
  <c r="AK87" i="17"/>
  <c r="AH88" i="17"/>
  <c r="AI88" i="17"/>
  <c r="AJ88" i="17"/>
  <c r="AK88" i="17"/>
  <c r="AH89" i="17"/>
  <c r="AI89" i="17"/>
  <c r="AJ89" i="17"/>
  <c r="AK89" i="17"/>
  <c r="AH90" i="17"/>
  <c r="AI90" i="17"/>
  <c r="AJ90" i="17"/>
  <c r="AK90" i="17"/>
  <c r="AH91" i="17"/>
  <c r="AI91" i="17"/>
  <c r="AJ91" i="17"/>
  <c r="AK91" i="17"/>
  <c r="AH92" i="17"/>
  <c r="AI92" i="17"/>
  <c r="AJ92" i="17"/>
  <c r="AK92" i="17"/>
  <c r="AH93" i="17"/>
  <c r="AI93" i="17"/>
  <c r="AJ93" i="17"/>
  <c r="AK93" i="17"/>
  <c r="AH94" i="17"/>
  <c r="AI94" i="17"/>
  <c r="AJ94" i="17"/>
  <c r="AK94" i="17"/>
  <c r="AH95" i="17"/>
  <c r="AI95" i="17"/>
  <c r="AJ95" i="17"/>
  <c r="AK95" i="17"/>
  <c r="AH96" i="17"/>
  <c r="AI96" i="17"/>
  <c r="AJ96" i="17"/>
  <c r="AK96" i="17"/>
  <c r="AH97" i="17"/>
  <c r="AI97" i="17"/>
  <c r="AJ97" i="17"/>
  <c r="AK97" i="17"/>
  <c r="AH98" i="17"/>
  <c r="AI98" i="17"/>
  <c r="AJ98" i="17"/>
  <c r="AK98" i="17"/>
  <c r="AH99" i="17"/>
  <c r="AI99" i="17"/>
  <c r="AJ99" i="17"/>
  <c r="AK99" i="17"/>
  <c r="AH100" i="17"/>
  <c r="AI100" i="17"/>
  <c r="AJ100" i="17"/>
  <c r="AK100" i="17"/>
  <c r="AH101" i="17"/>
  <c r="AI101" i="17"/>
  <c r="AJ101" i="17"/>
  <c r="AK101" i="17"/>
  <c r="AH102" i="17"/>
  <c r="AI102" i="17"/>
  <c r="AJ102" i="17"/>
  <c r="AK102" i="17"/>
  <c r="AH103" i="17"/>
  <c r="AI103" i="17"/>
  <c r="AJ103" i="17"/>
  <c r="AK103" i="17"/>
  <c r="AH104" i="17"/>
  <c r="AI104" i="17"/>
  <c r="AJ104" i="17"/>
  <c r="AK104" i="17"/>
  <c r="AH105" i="17"/>
  <c r="AI105" i="17"/>
  <c r="AJ105" i="17"/>
  <c r="AK105" i="17"/>
  <c r="AH106" i="17"/>
  <c r="AI106" i="17"/>
  <c r="AJ106" i="17"/>
  <c r="AK106" i="17"/>
  <c r="AH107" i="17"/>
  <c r="AI107" i="17"/>
  <c r="AJ107" i="17"/>
  <c r="AK107" i="17"/>
  <c r="AH108" i="17"/>
  <c r="AI108" i="17"/>
  <c r="AJ108" i="17"/>
  <c r="AK108" i="17"/>
  <c r="AH109" i="17"/>
  <c r="AI109" i="17"/>
  <c r="AJ109" i="17"/>
  <c r="AK109" i="17"/>
  <c r="AH110" i="17"/>
  <c r="AI110" i="17"/>
  <c r="AJ110" i="17"/>
  <c r="AK110" i="17"/>
  <c r="AH111" i="17"/>
  <c r="AI111" i="17"/>
  <c r="AJ111" i="17"/>
  <c r="AK111" i="17"/>
  <c r="AH112" i="17"/>
  <c r="AI112" i="17"/>
  <c r="AJ112" i="17"/>
  <c r="AK112" i="17"/>
  <c r="AH113" i="17"/>
  <c r="AI113" i="17"/>
  <c r="AJ113" i="17"/>
  <c r="AK113" i="17"/>
  <c r="AH114" i="17"/>
  <c r="AI114" i="17"/>
  <c r="AJ114" i="17"/>
  <c r="AK114" i="17"/>
  <c r="AH115" i="17"/>
  <c r="AI115" i="17"/>
  <c r="AJ115" i="17"/>
  <c r="AK115" i="17"/>
  <c r="AH116" i="17"/>
  <c r="AI116" i="17"/>
  <c r="AJ116" i="17"/>
  <c r="AK116" i="17"/>
  <c r="AH117" i="17"/>
  <c r="AI117" i="17"/>
  <c r="AJ117" i="17"/>
  <c r="AK117" i="17"/>
  <c r="AH118" i="17"/>
  <c r="AI118" i="17"/>
  <c r="AJ118" i="17"/>
  <c r="AK118" i="17"/>
  <c r="AH119" i="17"/>
  <c r="AI119" i="17"/>
  <c r="AJ119" i="17"/>
  <c r="AK119" i="17"/>
  <c r="AH120" i="17"/>
  <c r="AI120" i="17"/>
  <c r="AJ120" i="17"/>
  <c r="AK120" i="17"/>
  <c r="AH121" i="17"/>
  <c r="AI121" i="17"/>
  <c r="AJ121" i="17"/>
  <c r="AK121" i="17"/>
  <c r="AH122" i="17"/>
  <c r="AI122" i="17"/>
  <c r="AJ122" i="17"/>
  <c r="AK122" i="17"/>
  <c r="AH123" i="17"/>
  <c r="AI123" i="17"/>
  <c r="AJ123" i="17"/>
  <c r="Q43" i="16" s="1"/>
  <c r="AK123" i="17"/>
  <c r="AH124" i="17"/>
  <c r="AI124" i="17"/>
  <c r="AJ124" i="17"/>
  <c r="AK124" i="17"/>
  <c r="AH125" i="17"/>
  <c r="AI125" i="17"/>
  <c r="AJ125" i="17"/>
  <c r="AK125" i="17"/>
  <c r="AH126" i="17"/>
  <c r="AI126" i="17"/>
  <c r="AJ126" i="17"/>
  <c r="AK126" i="17"/>
  <c r="AH127" i="17"/>
  <c r="AI127" i="17"/>
  <c r="AJ127" i="17"/>
  <c r="AK127" i="17"/>
  <c r="AH128" i="17"/>
  <c r="AI128" i="17"/>
  <c r="N15" i="16" s="1"/>
  <c r="AJ128" i="17"/>
  <c r="Q15" i="16" s="1"/>
  <c r="AK128" i="17"/>
  <c r="K15" i="16" s="1"/>
  <c r="AH129" i="17"/>
  <c r="AI129" i="17"/>
  <c r="AJ129" i="17"/>
  <c r="AK129" i="17"/>
  <c r="AH130" i="17"/>
  <c r="AI130" i="17"/>
  <c r="AJ130" i="17"/>
  <c r="AK130" i="17"/>
  <c r="AH131" i="17"/>
  <c r="AI131" i="17"/>
  <c r="AJ131" i="17"/>
  <c r="AK131" i="17"/>
  <c r="AH132" i="17"/>
  <c r="AI132" i="17"/>
  <c r="AJ132" i="17"/>
  <c r="AK132" i="17"/>
  <c r="AH133" i="17"/>
  <c r="AI133" i="17"/>
  <c r="AJ133" i="17"/>
  <c r="AK133" i="17"/>
  <c r="AH134" i="17"/>
  <c r="AI134" i="17"/>
  <c r="AJ134" i="17"/>
  <c r="AK134" i="17"/>
  <c r="AH135" i="17"/>
  <c r="AI135" i="17"/>
  <c r="AJ135" i="17"/>
  <c r="AK135" i="17"/>
  <c r="AH136" i="17"/>
  <c r="AI136" i="17"/>
  <c r="AJ136" i="17"/>
  <c r="AK136" i="17"/>
  <c r="AH137" i="17"/>
  <c r="AI137" i="17"/>
  <c r="AJ137" i="17"/>
  <c r="AK137" i="17"/>
  <c r="AJ2" i="17"/>
  <c r="AA192" i="15"/>
  <c r="AB192" i="15"/>
  <c r="AC192" i="15"/>
  <c r="AD192" i="15"/>
  <c r="AA193" i="15"/>
  <c r="AB193" i="15"/>
  <c r="AC193" i="15"/>
  <c r="AD193" i="15"/>
  <c r="AA194" i="15"/>
  <c r="AB194" i="15"/>
  <c r="AC194" i="15"/>
  <c r="AD194" i="15"/>
  <c r="AA195" i="15"/>
  <c r="AB195" i="15"/>
  <c r="AC195" i="15"/>
  <c r="AD195" i="15"/>
  <c r="AA196" i="15"/>
  <c r="AB196" i="15"/>
  <c r="AC196" i="15"/>
  <c r="AD196" i="15"/>
  <c r="AA197" i="15"/>
  <c r="AB197" i="15"/>
  <c r="AC197" i="15"/>
  <c r="AD197" i="15"/>
  <c r="AA198" i="15"/>
  <c r="AB198" i="15"/>
  <c r="AC198" i="15"/>
  <c r="AD198" i="15"/>
  <c r="AA199" i="15"/>
  <c r="AB199" i="15"/>
  <c r="AC199" i="15"/>
  <c r="AD199" i="15"/>
  <c r="AA200" i="15"/>
  <c r="AB200" i="15"/>
  <c r="AC200" i="15"/>
  <c r="AD200" i="15"/>
  <c r="AA201" i="15"/>
  <c r="AB201" i="15"/>
  <c r="AC201" i="15"/>
  <c r="AD201" i="15"/>
  <c r="AA677" i="10"/>
  <c r="AB677" i="10"/>
  <c r="AC677" i="10"/>
  <c r="AD677" i="10"/>
  <c r="AA678" i="10"/>
  <c r="AB678" i="10"/>
  <c r="AC678" i="10"/>
  <c r="AD678" i="10"/>
  <c r="AA679" i="10"/>
  <c r="AB679" i="10"/>
  <c r="AC679" i="10"/>
  <c r="AD679" i="10"/>
  <c r="AA680" i="10"/>
  <c r="AB680" i="10"/>
  <c r="AC680" i="10"/>
  <c r="AD680" i="10"/>
  <c r="AA681" i="10"/>
  <c r="AB681" i="10"/>
  <c r="AC681" i="10"/>
  <c r="AD681" i="10"/>
  <c r="AA682" i="10"/>
  <c r="AB682" i="10"/>
  <c r="AC682" i="10"/>
  <c r="AD682" i="10"/>
  <c r="AA683" i="10"/>
  <c r="AB683" i="10"/>
  <c r="AC683" i="10"/>
  <c r="AD683" i="10"/>
  <c r="AA684" i="10"/>
  <c r="AB684" i="10"/>
  <c r="AC684" i="10"/>
  <c r="AD684" i="10"/>
  <c r="AA685" i="10"/>
  <c r="AB685" i="10"/>
  <c r="AC685" i="10"/>
  <c r="AD685" i="10"/>
  <c r="AA686" i="10"/>
  <c r="AB686" i="10"/>
  <c r="AC686" i="10"/>
  <c r="AD686" i="10"/>
  <c r="AA180" i="15"/>
  <c r="AB180" i="15"/>
  <c r="AC180" i="15"/>
  <c r="AD180" i="15"/>
  <c r="AA181" i="15"/>
  <c r="AB181" i="15"/>
  <c r="AC181" i="15"/>
  <c r="AD181" i="15"/>
  <c r="AA182" i="15"/>
  <c r="AB182" i="15"/>
  <c r="AC182" i="15"/>
  <c r="AD182" i="15"/>
  <c r="AA183" i="15"/>
  <c r="AB183" i="15"/>
  <c r="AC183" i="15"/>
  <c r="AD183" i="15"/>
  <c r="AA184" i="15"/>
  <c r="AB184" i="15"/>
  <c r="AC184" i="15"/>
  <c r="AD184" i="15"/>
  <c r="AA185" i="15"/>
  <c r="AB185" i="15"/>
  <c r="AC185" i="15"/>
  <c r="AD185" i="15"/>
  <c r="AA186" i="15"/>
  <c r="AB186" i="15"/>
  <c r="AC186" i="15"/>
  <c r="AD186" i="15"/>
  <c r="AA187" i="15"/>
  <c r="AB187" i="15"/>
  <c r="AC187" i="15"/>
  <c r="AD187" i="15"/>
  <c r="AA188" i="15"/>
  <c r="AB188" i="15"/>
  <c r="AC188" i="15"/>
  <c r="AD188" i="15"/>
  <c r="AA189" i="15"/>
  <c r="AB189" i="15"/>
  <c r="AC189" i="15"/>
  <c r="AD189" i="15"/>
  <c r="AA190" i="15"/>
  <c r="AB190" i="15"/>
  <c r="AC190" i="15"/>
  <c r="AD190" i="15"/>
  <c r="AA191" i="15"/>
  <c r="AB191" i="15"/>
  <c r="AC191" i="15"/>
  <c r="AD191" i="15"/>
  <c r="AA665" i="10"/>
  <c r="AB665" i="10"/>
  <c r="AC665" i="10"/>
  <c r="AD665" i="10"/>
  <c r="AA666" i="10"/>
  <c r="AB666" i="10"/>
  <c r="AC666" i="10"/>
  <c r="AD666" i="10"/>
  <c r="AA667" i="10"/>
  <c r="AB667" i="10"/>
  <c r="AC667" i="10"/>
  <c r="AD667" i="10"/>
  <c r="AA668" i="10"/>
  <c r="AB668" i="10"/>
  <c r="AC668" i="10"/>
  <c r="AD668" i="10"/>
  <c r="AA669" i="10"/>
  <c r="AB669" i="10"/>
  <c r="AC669" i="10"/>
  <c r="AD669" i="10"/>
  <c r="AA670" i="10"/>
  <c r="AB670" i="10"/>
  <c r="AC670" i="10"/>
  <c r="AD670" i="10"/>
  <c r="AA671" i="10"/>
  <c r="AB671" i="10"/>
  <c r="AC671" i="10"/>
  <c r="AD671" i="10"/>
  <c r="AA672" i="10"/>
  <c r="AB672" i="10"/>
  <c r="AC672" i="10"/>
  <c r="AD672" i="10"/>
  <c r="AA673" i="10"/>
  <c r="AB673" i="10"/>
  <c r="AC673" i="10"/>
  <c r="AD673" i="10"/>
  <c r="AA674" i="10"/>
  <c r="AB674" i="10"/>
  <c r="AC674" i="10"/>
  <c r="AD674" i="10"/>
  <c r="AA675" i="10"/>
  <c r="AB675" i="10"/>
  <c r="AC675" i="10"/>
  <c r="AD675" i="10"/>
  <c r="AA676" i="10"/>
  <c r="AB676" i="10"/>
  <c r="AC676" i="10"/>
  <c r="AD676" i="10"/>
  <c r="AH829" i="9"/>
  <c r="AI829" i="9"/>
  <c r="AJ829" i="9"/>
  <c r="AK829" i="9"/>
  <c r="AH830" i="9"/>
  <c r="AI830" i="9"/>
  <c r="AJ830" i="9"/>
  <c r="AK830" i="9"/>
  <c r="AH831" i="9"/>
  <c r="AI831" i="9"/>
  <c r="AJ831" i="9"/>
  <c r="AK831" i="9"/>
  <c r="AH832" i="9"/>
  <c r="AI832" i="9"/>
  <c r="AJ832" i="9"/>
  <c r="AK832" i="9"/>
  <c r="AH833" i="9"/>
  <c r="AI833" i="9"/>
  <c r="AJ833" i="9"/>
  <c r="AK833" i="9"/>
  <c r="AH834" i="9"/>
  <c r="AI834" i="9"/>
  <c r="AJ834" i="9"/>
  <c r="AK834" i="9"/>
  <c r="AH835" i="9"/>
  <c r="AI835" i="9"/>
  <c r="AJ835" i="9"/>
  <c r="AK835" i="9"/>
  <c r="AH836" i="9"/>
  <c r="AI836" i="9"/>
  <c r="AJ836" i="9"/>
  <c r="AK836" i="9"/>
  <c r="AH837" i="9"/>
  <c r="AI837" i="9"/>
  <c r="AJ837" i="9"/>
  <c r="AK837" i="9"/>
  <c r="AH838" i="9"/>
  <c r="AI838" i="9"/>
  <c r="AJ838" i="9"/>
  <c r="AK838" i="9"/>
  <c r="AH839" i="9"/>
  <c r="AI839" i="9"/>
  <c r="AJ839" i="9"/>
  <c r="AK839" i="9"/>
  <c r="AH840" i="9"/>
  <c r="AI840" i="9"/>
  <c r="AJ840" i="9"/>
  <c r="AK840" i="9"/>
  <c r="AH841" i="9"/>
  <c r="AI841" i="9"/>
  <c r="AJ841" i="9"/>
  <c r="AK841" i="9"/>
  <c r="AA164" i="15"/>
  <c r="AB164" i="15"/>
  <c r="AC164" i="15"/>
  <c r="AD164" i="15"/>
  <c r="AA165" i="15"/>
  <c r="AB165" i="15"/>
  <c r="AC165" i="15"/>
  <c r="AD165" i="15"/>
  <c r="AA166" i="15"/>
  <c r="AB166" i="15"/>
  <c r="AC166" i="15"/>
  <c r="AD166" i="15"/>
  <c r="AA167" i="15"/>
  <c r="AB167" i="15"/>
  <c r="AC167" i="15"/>
  <c r="AD167" i="15"/>
  <c r="AA168" i="15"/>
  <c r="AB168" i="15"/>
  <c r="AC168" i="15"/>
  <c r="AD168" i="15"/>
  <c r="AA169" i="15"/>
  <c r="AB169" i="15"/>
  <c r="AC169" i="15"/>
  <c r="AD169" i="15"/>
  <c r="AA170" i="15"/>
  <c r="AB170" i="15"/>
  <c r="AC170" i="15"/>
  <c r="AD170" i="15"/>
  <c r="AA171" i="15"/>
  <c r="AB171" i="15"/>
  <c r="AC171" i="15"/>
  <c r="AD171" i="15"/>
  <c r="AA172" i="15"/>
  <c r="AB172" i="15"/>
  <c r="AC172" i="15"/>
  <c r="AD172" i="15"/>
  <c r="AA173" i="15"/>
  <c r="AB173" i="15"/>
  <c r="AC173" i="15"/>
  <c r="AD173" i="15"/>
  <c r="AA174" i="15"/>
  <c r="AB174" i="15"/>
  <c r="AC174" i="15"/>
  <c r="AD174" i="15"/>
  <c r="AA175" i="15"/>
  <c r="AB175" i="15"/>
  <c r="AC175" i="15"/>
  <c r="AD175" i="15"/>
  <c r="AA176" i="15"/>
  <c r="AB176" i="15"/>
  <c r="AC176" i="15"/>
  <c r="AD176" i="15"/>
  <c r="AA177" i="15"/>
  <c r="AB177" i="15"/>
  <c r="AC177" i="15"/>
  <c r="AD177" i="15"/>
  <c r="AA178" i="15"/>
  <c r="AB178" i="15"/>
  <c r="AC178" i="15"/>
  <c r="AD178" i="15"/>
  <c r="AA179" i="15"/>
  <c r="AB179" i="15"/>
  <c r="AC179" i="15"/>
  <c r="AD179" i="15"/>
  <c r="AA649" i="10"/>
  <c r="AB649" i="10"/>
  <c r="AC649" i="10"/>
  <c r="AD649" i="10"/>
  <c r="AA650" i="10"/>
  <c r="AB650" i="10"/>
  <c r="AC650" i="10"/>
  <c r="AD650" i="10"/>
  <c r="AA651" i="10"/>
  <c r="AB651" i="10"/>
  <c r="AC651" i="10"/>
  <c r="AD651" i="10"/>
  <c r="AA652" i="10"/>
  <c r="AB652" i="10"/>
  <c r="AC652" i="10"/>
  <c r="AD652" i="10"/>
  <c r="AA653" i="10"/>
  <c r="AB653" i="10"/>
  <c r="AC653" i="10"/>
  <c r="AD653" i="10"/>
  <c r="AA654" i="10"/>
  <c r="AB654" i="10"/>
  <c r="AC654" i="10"/>
  <c r="AD654" i="10"/>
  <c r="AA655" i="10"/>
  <c r="AB655" i="10"/>
  <c r="AC655" i="10"/>
  <c r="AD655" i="10"/>
  <c r="AA656" i="10"/>
  <c r="AB656" i="10"/>
  <c r="AC656" i="10"/>
  <c r="AD656" i="10"/>
  <c r="AA657" i="10"/>
  <c r="AB657" i="10"/>
  <c r="AC657" i="10"/>
  <c r="AD657" i="10"/>
  <c r="AA658" i="10"/>
  <c r="AB658" i="10"/>
  <c r="AC658" i="10"/>
  <c r="AD658" i="10"/>
  <c r="AA659" i="10"/>
  <c r="AB659" i="10"/>
  <c r="AC659" i="10"/>
  <c r="AD659" i="10"/>
  <c r="AA660" i="10"/>
  <c r="AB660" i="10"/>
  <c r="AC660" i="10"/>
  <c r="AD660" i="10"/>
  <c r="AA661" i="10"/>
  <c r="AB661" i="10"/>
  <c r="AC661" i="10"/>
  <c r="AD661" i="10"/>
  <c r="AA662" i="10"/>
  <c r="AB662" i="10"/>
  <c r="AC662" i="10"/>
  <c r="AD662" i="10"/>
  <c r="AA663" i="10"/>
  <c r="AB663" i="10"/>
  <c r="AC663" i="10"/>
  <c r="AD663" i="10"/>
  <c r="AA664" i="10"/>
  <c r="AB664" i="10"/>
  <c r="AC664" i="10"/>
  <c r="AD664" i="10"/>
  <c r="S42" i="16"/>
  <c r="T42" i="16"/>
  <c r="U42" i="16"/>
  <c r="V42" i="16"/>
  <c r="W42" i="16"/>
  <c r="X42" i="16"/>
  <c r="Y42" i="16"/>
  <c r="Z42" i="16"/>
  <c r="AA42" i="16"/>
  <c r="AB42" i="16"/>
  <c r="AC42" i="16"/>
  <c r="AD42" i="16"/>
  <c r="AE42" i="16"/>
  <c r="AF42" i="16"/>
  <c r="AG42" i="16"/>
  <c r="AI42" i="16"/>
  <c r="AJ42" i="16"/>
  <c r="AK42" i="16"/>
  <c r="AL42" i="16"/>
  <c r="AM42" i="16"/>
  <c r="AN42" i="16"/>
  <c r="L42" i="16"/>
  <c r="R42" i="16"/>
  <c r="S43" i="16"/>
  <c r="T43" i="16"/>
  <c r="U43" i="16"/>
  <c r="V43" i="16"/>
  <c r="W43" i="16"/>
  <c r="X43" i="16"/>
  <c r="Y43" i="16"/>
  <c r="Z43" i="16"/>
  <c r="AA43" i="16"/>
  <c r="AB43" i="16"/>
  <c r="AC43" i="16"/>
  <c r="AD43" i="16"/>
  <c r="AE43" i="16"/>
  <c r="AF43" i="16"/>
  <c r="AG43" i="16"/>
  <c r="AI43" i="16"/>
  <c r="AJ43" i="16"/>
  <c r="AK43" i="16"/>
  <c r="AL43" i="16"/>
  <c r="AM43" i="16"/>
  <c r="AN43" i="16"/>
  <c r="R43" i="16"/>
  <c r="AK2" i="17"/>
  <c r="AI2" i="17"/>
  <c r="AH2" i="17"/>
  <c r="F43" i="16"/>
  <c r="G43" i="16"/>
  <c r="H43" i="16" a="1"/>
  <c r="H43" i="16" s="1"/>
  <c r="I43" i="16"/>
  <c r="J43" i="16"/>
  <c r="L43" i="16"/>
  <c r="M43" i="16" s="1"/>
  <c r="O43" i="16"/>
  <c r="P43" i="16" s="1"/>
  <c r="S13" i="16"/>
  <c r="T13" i="16"/>
  <c r="U13" i="16"/>
  <c r="V13" i="16"/>
  <c r="W13" i="16"/>
  <c r="X13" i="16"/>
  <c r="Y13" i="16"/>
  <c r="Z13" i="16"/>
  <c r="AA13" i="16"/>
  <c r="AB13" i="16"/>
  <c r="AC13" i="16"/>
  <c r="AD13" i="16"/>
  <c r="AE13" i="16"/>
  <c r="AF13" i="16"/>
  <c r="AG13" i="16"/>
  <c r="AI13" i="16"/>
  <c r="AJ13" i="16"/>
  <c r="AK13" i="16"/>
  <c r="AL13" i="16"/>
  <c r="AM13" i="16"/>
  <c r="AN13" i="16"/>
  <c r="R13" i="16"/>
  <c r="F13" i="16"/>
  <c r="G13" i="16"/>
  <c r="H13" i="16" a="1"/>
  <c r="H13" i="16" s="1"/>
  <c r="I13" i="16"/>
  <c r="J13" i="16"/>
  <c r="K13" i="16"/>
  <c r="L13" i="16"/>
  <c r="M13" i="16" s="1"/>
  <c r="N13" i="16"/>
  <c r="O13" i="16"/>
  <c r="P13" i="16" s="1"/>
  <c r="Q13" i="16"/>
  <c r="S17" i="16"/>
  <c r="T17" i="16"/>
  <c r="U17" i="16"/>
  <c r="V17" i="16"/>
  <c r="W17" i="16"/>
  <c r="X17" i="16"/>
  <c r="Y17" i="16"/>
  <c r="Z17" i="16"/>
  <c r="AA17" i="16"/>
  <c r="AB17" i="16"/>
  <c r="AC17" i="16"/>
  <c r="AD17" i="16"/>
  <c r="AE17" i="16"/>
  <c r="AF17" i="16"/>
  <c r="AG17" i="16"/>
  <c r="AI17" i="16"/>
  <c r="AJ17" i="16"/>
  <c r="AK17" i="16"/>
  <c r="AL17" i="16"/>
  <c r="AM17" i="16"/>
  <c r="AN17" i="16"/>
  <c r="R17" i="16"/>
  <c r="F17" i="16"/>
  <c r="G17" i="16"/>
  <c r="H17" i="16" a="1"/>
  <c r="H17" i="16" s="1"/>
  <c r="I17" i="16"/>
  <c r="J17" i="16"/>
  <c r="K17" i="16"/>
  <c r="L17" i="16"/>
  <c r="M17" i="16" s="1"/>
  <c r="N17" i="16"/>
  <c r="O17" i="16"/>
  <c r="P17" i="16" s="1"/>
  <c r="Q17" i="16"/>
  <c r="N43" i="16"/>
  <c r="K43" i="16"/>
  <c r="AH816" i="9"/>
  <c r="AI816" i="9"/>
  <c r="AJ816" i="9"/>
  <c r="AK816" i="9"/>
  <c r="AH817" i="9"/>
  <c r="AI817" i="9"/>
  <c r="AJ817" i="9"/>
  <c r="AK817" i="9"/>
  <c r="AH818" i="9"/>
  <c r="AI818" i="9"/>
  <c r="AJ818" i="9"/>
  <c r="AK818" i="9"/>
  <c r="AH819" i="9"/>
  <c r="AI819" i="9"/>
  <c r="AJ819" i="9"/>
  <c r="AK819" i="9"/>
  <c r="AH820" i="9"/>
  <c r="AI820" i="9"/>
  <c r="AJ820" i="9"/>
  <c r="AK820" i="9"/>
  <c r="AH821" i="9"/>
  <c r="AI821" i="9"/>
  <c r="AJ821" i="9"/>
  <c r="AK821" i="9"/>
  <c r="AH822" i="9"/>
  <c r="AI822" i="9"/>
  <c r="AJ822" i="9"/>
  <c r="AK822" i="9"/>
  <c r="AH823" i="9"/>
  <c r="AI823" i="9"/>
  <c r="AJ823" i="9"/>
  <c r="AK823" i="9"/>
  <c r="AH824" i="9"/>
  <c r="AI824" i="9"/>
  <c r="AJ824" i="9"/>
  <c r="AK824" i="9"/>
  <c r="AH825" i="9"/>
  <c r="AI825" i="9"/>
  <c r="AJ825" i="9"/>
  <c r="AK825" i="9"/>
  <c r="AH826" i="9"/>
  <c r="AI826" i="9"/>
  <c r="AJ826" i="9"/>
  <c r="AK826" i="9"/>
  <c r="AH827" i="9"/>
  <c r="AI827" i="9"/>
  <c r="AJ827" i="9"/>
  <c r="AK827" i="9"/>
  <c r="AH828" i="9"/>
  <c r="AI828" i="9"/>
  <c r="AJ828" i="9"/>
  <c r="AK828" i="9"/>
  <c r="S15" i="16"/>
  <c r="T15" i="16"/>
  <c r="U15" i="16"/>
  <c r="V15" i="16"/>
  <c r="W15" i="16"/>
  <c r="X15" i="16"/>
  <c r="Y15" i="16"/>
  <c r="Z15" i="16"/>
  <c r="AA15" i="16"/>
  <c r="AB15" i="16"/>
  <c r="AC15" i="16"/>
  <c r="AD15" i="16"/>
  <c r="AE15" i="16"/>
  <c r="AF15" i="16"/>
  <c r="AG15" i="16"/>
  <c r="AI15" i="16"/>
  <c r="AJ15" i="16"/>
  <c r="AK15" i="16"/>
  <c r="AL15" i="16"/>
  <c r="AM15" i="16"/>
  <c r="AN15" i="16"/>
  <c r="R15" i="16"/>
  <c r="F15" i="16"/>
  <c r="G15" i="16"/>
  <c r="H15" i="16" a="1"/>
  <c r="H15" i="16" s="1"/>
  <c r="I15" i="16"/>
  <c r="J15" i="16"/>
  <c r="L15" i="16"/>
  <c r="M15" i="16" s="1"/>
  <c r="O15" i="16"/>
  <c r="P15" i="16" s="1"/>
  <c r="T33" i="12"/>
  <c r="U33" i="12"/>
  <c r="V33" i="12"/>
  <c r="W33" i="12"/>
  <c r="X33" i="12"/>
  <c r="Y33" i="12"/>
  <c r="Z33" i="12"/>
  <c r="AA33" i="12"/>
  <c r="AB33" i="12"/>
  <c r="AC33" i="12"/>
  <c r="AD33" i="12"/>
  <c r="AE33" i="12"/>
  <c r="AF33" i="12"/>
  <c r="AG33" i="12"/>
  <c r="AH33" i="12"/>
  <c r="AJ33" i="12"/>
  <c r="AK33" i="12"/>
  <c r="AL33" i="12"/>
  <c r="AM33" i="12"/>
  <c r="AN33" i="12"/>
  <c r="AO33" i="12"/>
  <c r="S33" i="12"/>
  <c r="F33" i="12"/>
  <c r="G33" i="12"/>
  <c r="I33" i="12" a="1"/>
  <c r="I33" i="12" s="1"/>
  <c r="J33" i="12"/>
  <c r="K33" i="12"/>
  <c r="L33" i="12"/>
  <c r="M33" i="12"/>
  <c r="N33" i="12" s="1"/>
  <c r="O33" i="12"/>
  <c r="P33" i="12"/>
  <c r="Q33" i="12" s="1"/>
  <c r="R33" i="12"/>
  <c r="K24" i="16"/>
  <c r="S24" i="16"/>
  <c r="T24" i="16"/>
  <c r="U24" i="16"/>
  <c r="V24" i="16"/>
  <c r="W24" i="16"/>
  <c r="X24" i="16"/>
  <c r="Y24" i="16"/>
  <c r="Z24" i="16"/>
  <c r="AA24" i="16"/>
  <c r="AB24" i="16"/>
  <c r="AC24" i="16"/>
  <c r="AD24" i="16"/>
  <c r="AE24" i="16"/>
  <c r="AF24" i="16"/>
  <c r="AG24" i="16"/>
  <c r="AI24" i="16"/>
  <c r="AJ24" i="16"/>
  <c r="AK24" i="16"/>
  <c r="AL24" i="16"/>
  <c r="AM24" i="16"/>
  <c r="AN24" i="16"/>
  <c r="R24" i="16"/>
  <c r="Q22" i="16"/>
  <c r="F24" i="16"/>
  <c r="G24" i="16"/>
  <c r="H24" i="16" a="1"/>
  <c r="H24" i="16" s="1"/>
  <c r="I24" i="16"/>
  <c r="J24" i="16"/>
  <c r="L24" i="16"/>
  <c r="M24" i="16" s="1"/>
  <c r="N24" i="16"/>
  <c r="O24" i="16"/>
  <c r="P24" i="16" s="1"/>
  <c r="Q24" i="16"/>
  <c r="AH804" i="9"/>
  <c r="AI804" i="9"/>
  <c r="AJ804" i="9"/>
  <c r="AK804" i="9"/>
  <c r="AH805" i="9"/>
  <c r="AI805" i="9"/>
  <c r="AJ805" i="9"/>
  <c r="AK805" i="9"/>
  <c r="AH806" i="9"/>
  <c r="AI806" i="9"/>
  <c r="AJ806" i="9"/>
  <c r="AK806" i="9"/>
  <c r="AH807" i="9"/>
  <c r="AI807" i="9"/>
  <c r="AJ807" i="9"/>
  <c r="AK807" i="9"/>
  <c r="AH808" i="9"/>
  <c r="AI808" i="9"/>
  <c r="AJ808" i="9"/>
  <c r="AK808" i="9"/>
  <c r="AH809" i="9"/>
  <c r="AI809" i="9"/>
  <c r="AJ809" i="9"/>
  <c r="AK809" i="9"/>
  <c r="AH810" i="9"/>
  <c r="AI810" i="9"/>
  <c r="AJ810" i="9"/>
  <c r="AK810" i="9"/>
  <c r="AH811" i="9"/>
  <c r="AI811" i="9"/>
  <c r="AJ811" i="9"/>
  <c r="AK811" i="9"/>
  <c r="AH812" i="9"/>
  <c r="AI812" i="9"/>
  <c r="AJ812" i="9"/>
  <c r="AK812" i="9"/>
  <c r="AH813" i="9"/>
  <c r="AI813" i="9"/>
  <c r="AJ813" i="9"/>
  <c r="AK813" i="9"/>
  <c r="AH814" i="9"/>
  <c r="AI814" i="9"/>
  <c r="AJ814" i="9"/>
  <c r="AK814" i="9"/>
  <c r="AH815" i="9"/>
  <c r="AI815" i="9"/>
  <c r="AJ815" i="9"/>
  <c r="AK815" i="9"/>
  <c r="AA152" i="15"/>
  <c r="AB152" i="15"/>
  <c r="AC152" i="15"/>
  <c r="AD152" i="15"/>
  <c r="AA153" i="15"/>
  <c r="AB153" i="15"/>
  <c r="AC153" i="15"/>
  <c r="AD153" i="15"/>
  <c r="AA154" i="15"/>
  <c r="AB154" i="15"/>
  <c r="AC154" i="15"/>
  <c r="AD154" i="15"/>
  <c r="AA155" i="15"/>
  <c r="AB155" i="15"/>
  <c r="AC155" i="15"/>
  <c r="AD155" i="15"/>
  <c r="AA156" i="15"/>
  <c r="AB156" i="15"/>
  <c r="AC156" i="15"/>
  <c r="AD156" i="15"/>
  <c r="AA157" i="15"/>
  <c r="AB157" i="15"/>
  <c r="AC157" i="15"/>
  <c r="AD157" i="15"/>
  <c r="AA158" i="15"/>
  <c r="AB158" i="15"/>
  <c r="AC158" i="15"/>
  <c r="AD158" i="15"/>
  <c r="AA159" i="15"/>
  <c r="AB159" i="15"/>
  <c r="AC159" i="15"/>
  <c r="AD159" i="15"/>
  <c r="AA160" i="15"/>
  <c r="AB160" i="15"/>
  <c r="AC160" i="15"/>
  <c r="AD160" i="15"/>
  <c r="AA161" i="15"/>
  <c r="AB161" i="15"/>
  <c r="AC161" i="15"/>
  <c r="AD161" i="15"/>
  <c r="AA162" i="15"/>
  <c r="AB162" i="15"/>
  <c r="AC162" i="15"/>
  <c r="AD162" i="15"/>
  <c r="AA163" i="15"/>
  <c r="AB163" i="15"/>
  <c r="AC163" i="15"/>
  <c r="AD163" i="15"/>
  <c r="AA637" i="10"/>
  <c r="AB637" i="10"/>
  <c r="AC637" i="10"/>
  <c r="AD637" i="10"/>
  <c r="AA638" i="10"/>
  <c r="AB638" i="10"/>
  <c r="AC638" i="10"/>
  <c r="AD638" i="10"/>
  <c r="AA639" i="10"/>
  <c r="AB639" i="10"/>
  <c r="AC639" i="10"/>
  <c r="AD639" i="10"/>
  <c r="AA640" i="10"/>
  <c r="AB640" i="10"/>
  <c r="AC640" i="10"/>
  <c r="AD640" i="10"/>
  <c r="AA641" i="10"/>
  <c r="AB641" i="10"/>
  <c r="AC641" i="10"/>
  <c r="AD641" i="10"/>
  <c r="AA642" i="10"/>
  <c r="AB642" i="10"/>
  <c r="AC642" i="10"/>
  <c r="AD642" i="10"/>
  <c r="AA643" i="10"/>
  <c r="AB643" i="10"/>
  <c r="AC643" i="10"/>
  <c r="AD643" i="10"/>
  <c r="AA644" i="10"/>
  <c r="AB644" i="10"/>
  <c r="AC644" i="10"/>
  <c r="AD644" i="10"/>
  <c r="AA645" i="10"/>
  <c r="AB645" i="10"/>
  <c r="AC645" i="10"/>
  <c r="AD645" i="10"/>
  <c r="AA646" i="10"/>
  <c r="AB646" i="10"/>
  <c r="AC646" i="10"/>
  <c r="AD646" i="10"/>
  <c r="AA647" i="10"/>
  <c r="AB647" i="10"/>
  <c r="AC647" i="10"/>
  <c r="AD647" i="10"/>
  <c r="AA648" i="10"/>
  <c r="AB648" i="10"/>
  <c r="AC648" i="10"/>
  <c r="AD648" i="10"/>
  <c r="AA142" i="15" l="1"/>
  <c r="AB142" i="15"/>
  <c r="AC142" i="15"/>
  <c r="AD142" i="15"/>
  <c r="AA143" i="15"/>
  <c r="AB143" i="15"/>
  <c r="AC143" i="15"/>
  <c r="AD143" i="15"/>
  <c r="AA144" i="15"/>
  <c r="AB144" i="15"/>
  <c r="AC144" i="15"/>
  <c r="AD144" i="15"/>
  <c r="AA145" i="15"/>
  <c r="AB145" i="15"/>
  <c r="AC145" i="15"/>
  <c r="AD145" i="15"/>
  <c r="AA146" i="15"/>
  <c r="AB146" i="15"/>
  <c r="AC146" i="15"/>
  <c r="AD146" i="15"/>
  <c r="AA147" i="15"/>
  <c r="AB147" i="15"/>
  <c r="AC147" i="15"/>
  <c r="AD147" i="15"/>
  <c r="AA148" i="15"/>
  <c r="AB148" i="15"/>
  <c r="AC148" i="15"/>
  <c r="AD148" i="15"/>
  <c r="AA149" i="15"/>
  <c r="AB149" i="15"/>
  <c r="AC149" i="15"/>
  <c r="AD149" i="15"/>
  <c r="AA150" i="15"/>
  <c r="AB150" i="15"/>
  <c r="AC150" i="15"/>
  <c r="AD150" i="15"/>
  <c r="AA151" i="15"/>
  <c r="AB151" i="15"/>
  <c r="AC151" i="15"/>
  <c r="AD151" i="15"/>
  <c r="AA627" i="10"/>
  <c r="AB627" i="10"/>
  <c r="AC627" i="10"/>
  <c r="AD627" i="10"/>
  <c r="AA628" i="10"/>
  <c r="AB628" i="10"/>
  <c r="AC628" i="10"/>
  <c r="AD628" i="10"/>
  <c r="AA629" i="10"/>
  <c r="AB629" i="10"/>
  <c r="AC629" i="10"/>
  <c r="AD629" i="10"/>
  <c r="AA630" i="10"/>
  <c r="AB630" i="10"/>
  <c r="AC630" i="10"/>
  <c r="AD630" i="10"/>
  <c r="AA631" i="10"/>
  <c r="AB631" i="10"/>
  <c r="AC631" i="10"/>
  <c r="AD631" i="10"/>
  <c r="AA632" i="10"/>
  <c r="AB632" i="10"/>
  <c r="AC632" i="10"/>
  <c r="AD632" i="10"/>
  <c r="AA633" i="10"/>
  <c r="AB633" i="10"/>
  <c r="AC633" i="10"/>
  <c r="AD633" i="10"/>
  <c r="AA634" i="10"/>
  <c r="AB634" i="10"/>
  <c r="AC634" i="10"/>
  <c r="AD634" i="10"/>
  <c r="AA635" i="10"/>
  <c r="AB635" i="10"/>
  <c r="AC635" i="10"/>
  <c r="AD635" i="10"/>
  <c r="AA636" i="10"/>
  <c r="AB636" i="10"/>
  <c r="AC636" i="10"/>
  <c r="AD636" i="10"/>
  <c r="AH792" i="9"/>
  <c r="AI792" i="9"/>
  <c r="AJ792" i="9"/>
  <c r="AK792" i="9"/>
  <c r="AH793" i="9"/>
  <c r="AI793" i="9"/>
  <c r="AJ793" i="9"/>
  <c r="AK793" i="9"/>
  <c r="AH794" i="9"/>
  <c r="AI794" i="9"/>
  <c r="AJ794" i="9"/>
  <c r="AK794" i="9"/>
  <c r="AH795" i="9"/>
  <c r="AI795" i="9"/>
  <c r="AJ795" i="9"/>
  <c r="AK795" i="9"/>
  <c r="AH796" i="9"/>
  <c r="AI796" i="9"/>
  <c r="AJ796" i="9"/>
  <c r="AK796" i="9"/>
  <c r="AH797" i="9"/>
  <c r="AI797" i="9"/>
  <c r="AJ797" i="9"/>
  <c r="AK797" i="9"/>
  <c r="AH798" i="9"/>
  <c r="AI798" i="9"/>
  <c r="AJ798" i="9"/>
  <c r="AK798" i="9"/>
  <c r="AH799" i="9"/>
  <c r="AI799" i="9"/>
  <c r="AJ799" i="9"/>
  <c r="AK799" i="9"/>
  <c r="AH800" i="9"/>
  <c r="AI800" i="9"/>
  <c r="AJ800" i="9"/>
  <c r="AK800" i="9"/>
  <c r="AH801" i="9"/>
  <c r="AI801" i="9"/>
  <c r="AJ801" i="9"/>
  <c r="AK801" i="9"/>
  <c r="AH802" i="9"/>
  <c r="AI802" i="9"/>
  <c r="AJ802" i="9"/>
  <c r="AK802" i="9"/>
  <c r="AH803" i="9"/>
  <c r="AI803" i="9"/>
  <c r="AJ803" i="9"/>
  <c r="AK803" i="9"/>
  <c r="K2" i="16"/>
  <c r="S27" i="16"/>
  <c r="T27" i="16"/>
  <c r="U27" i="16"/>
  <c r="V27" i="16"/>
  <c r="W27" i="16"/>
  <c r="X27" i="16"/>
  <c r="Y27" i="16"/>
  <c r="Z27" i="16"/>
  <c r="AA27" i="16"/>
  <c r="AB27" i="16"/>
  <c r="AC27" i="16"/>
  <c r="AD27" i="16"/>
  <c r="AE27" i="16"/>
  <c r="AF27" i="16"/>
  <c r="AG27" i="16"/>
  <c r="AI27" i="16"/>
  <c r="AJ27" i="16"/>
  <c r="AK27" i="16"/>
  <c r="AL27" i="16"/>
  <c r="AM27" i="16"/>
  <c r="AN27" i="16"/>
  <c r="R27" i="16"/>
  <c r="F27" i="16"/>
  <c r="G27" i="16"/>
  <c r="H27" i="16" a="1"/>
  <c r="H27" i="16" s="1"/>
  <c r="I27" i="16"/>
  <c r="J27" i="16"/>
  <c r="K27" i="16"/>
  <c r="L27" i="16"/>
  <c r="M27" i="16" s="1"/>
  <c r="N27" i="16"/>
  <c r="O27" i="16"/>
  <c r="P27" i="16" s="1"/>
  <c r="Q27" i="16"/>
  <c r="T34" i="12"/>
  <c r="U34" i="12"/>
  <c r="V34" i="12"/>
  <c r="W34" i="12"/>
  <c r="X34" i="12"/>
  <c r="Y34" i="12"/>
  <c r="Z34" i="12"/>
  <c r="AA34" i="12"/>
  <c r="AB34" i="12"/>
  <c r="AC34" i="12"/>
  <c r="AD34" i="12"/>
  <c r="AE34" i="12"/>
  <c r="AF34" i="12"/>
  <c r="AG34" i="12"/>
  <c r="AH34" i="12"/>
  <c r="AJ34" i="12"/>
  <c r="AK34" i="12"/>
  <c r="AL34" i="12"/>
  <c r="AM34" i="12"/>
  <c r="AN34" i="12"/>
  <c r="AO34" i="12"/>
  <c r="S34" i="12"/>
  <c r="P34" i="12"/>
  <c r="Q34" i="12" s="1"/>
  <c r="R34" i="12"/>
  <c r="P32" i="12"/>
  <c r="F34" i="12"/>
  <c r="G34" i="12"/>
  <c r="I34" i="12" a="1"/>
  <c r="I34" i="12" s="1"/>
  <c r="J34" i="12"/>
  <c r="K34" i="12"/>
  <c r="L34" i="12"/>
  <c r="M34" i="12"/>
  <c r="N34" i="12" s="1"/>
  <c r="O34" i="12"/>
  <c r="AH776" i="9"/>
  <c r="AI776" i="9"/>
  <c r="AJ776" i="9"/>
  <c r="AK776" i="9"/>
  <c r="AH777" i="9"/>
  <c r="AI777" i="9"/>
  <c r="AJ777" i="9"/>
  <c r="AK777" i="9"/>
  <c r="AH778" i="9"/>
  <c r="AI778" i="9"/>
  <c r="AJ778" i="9"/>
  <c r="AK778" i="9"/>
  <c r="AH779" i="9"/>
  <c r="AI779" i="9"/>
  <c r="AJ779" i="9"/>
  <c r="AK779" i="9"/>
  <c r="AH780" i="9"/>
  <c r="AI780" i="9"/>
  <c r="AJ780" i="9"/>
  <c r="AK780" i="9"/>
  <c r="AH781" i="9"/>
  <c r="AI781" i="9"/>
  <c r="AJ781" i="9"/>
  <c r="AK781" i="9"/>
  <c r="AH782" i="9"/>
  <c r="AI782" i="9"/>
  <c r="AJ782" i="9"/>
  <c r="AK782" i="9"/>
  <c r="AH783" i="9"/>
  <c r="AI783" i="9"/>
  <c r="AJ783" i="9"/>
  <c r="AK783" i="9"/>
  <c r="AH784" i="9"/>
  <c r="AI784" i="9"/>
  <c r="AJ784" i="9"/>
  <c r="AK784" i="9"/>
  <c r="AH785" i="9"/>
  <c r="AI785" i="9"/>
  <c r="AJ785" i="9"/>
  <c r="AK785" i="9"/>
  <c r="AH786" i="9"/>
  <c r="AI786" i="9"/>
  <c r="AJ786" i="9"/>
  <c r="AK786" i="9"/>
  <c r="AH787" i="9"/>
  <c r="AI787" i="9"/>
  <c r="AJ787" i="9"/>
  <c r="AK787" i="9"/>
  <c r="AH788" i="9"/>
  <c r="AI788" i="9"/>
  <c r="AJ788" i="9"/>
  <c r="AK788" i="9"/>
  <c r="AH789" i="9"/>
  <c r="AI789" i="9"/>
  <c r="AJ789" i="9"/>
  <c r="AK789" i="9"/>
  <c r="AH790" i="9"/>
  <c r="AI790" i="9"/>
  <c r="AJ790" i="9"/>
  <c r="AK790" i="9"/>
  <c r="AH791" i="9"/>
  <c r="AI791" i="9"/>
  <c r="AJ791" i="9"/>
  <c r="AK791" i="9"/>
  <c r="AA130" i="15"/>
  <c r="AB130" i="15"/>
  <c r="AC130" i="15"/>
  <c r="AD130" i="15"/>
  <c r="AA131" i="15"/>
  <c r="AB131" i="15"/>
  <c r="AC131" i="15"/>
  <c r="AD131" i="15"/>
  <c r="AA132" i="15"/>
  <c r="AB132" i="15"/>
  <c r="AC132" i="15"/>
  <c r="AD132" i="15"/>
  <c r="AA133" i="15"/>
  <c r="AB133" i="15"/>
  <c r="AC133" i="15"/>
  <c r="AD133" i="15"/>
  <c r="AA134" i="15"/>
  <c r="AB134" i="15"/>
  <c r="AC134" i="15"/>
  <c r="AD134" i="15"/>
  <c r="AA135" i="15"/>
  <c r="AB135" i="15"/>
  <c r="AC135" i="15"/>
  <c r="AD135" i="15"/>
  <c r="AA136" i="15"/>
  <c r="AB136" i="15"/>
  <c r="AC136" i="15"/>
  <c r="AD136" i="15"/>
  <c r="AA137" i="15"/>
  <c r="AB137" i="15"/>
  <c r="AC137" i="15"/>
  <c r="AD137" i="15"/>
  <c r="AA138" i="15"/>
  <c r="AB138" i="15"/>
  <c r="AC138" i="15"/>
  <c r="AD138" i="15"/>
  <c r="AA139" i="15"/>
  <c r="AB139" i="15"/>
  <c r="AC139" i="15"/>
  <c r="AD139" i="15"/>
  <c r="AA140" i="15"/>
  <c r="AB140" i="15"/>
  <c r="AC140" i="15"/>
  <c r="AD140" i="15"/>
  <c r="AA141" i="15"/>
  <c r="AB141" i="15"/>
  <c r="AC141" i="15"/>
  <c r="AD141" i="15"/>
  <c r="AA615" i="10"/>
  <c r="AB615" i="10"/>
  <c r="AC615" i="10"/>
  <c r="AD615" i="10"/>
  <c r="AA616" i="10"/>
  <c r="AB616" i="10"/>
  <c r="AC616" i="10"/>
  <c r="AD616" i="10"/>
  <c r="AA617" i="10"/>
  <c r="AB617" i="10"/>
  <c r="AC617" i="10"/>
  <c r="AD617" i="10"/>
  <c r="AA618" i="10"/>
  <c r="AB618" i="10"/>
  <c r="AC618" i="10"/>
  <c r="AD618" i="10"/>
  <c r="AA619" i="10"/>
  <c r="AB619" i="10"/>
  <c r="AC619" i="10"/>
  <c r="AD619" i="10"/>
  <c r="AA620" i="10"/>
  <c r="AB620" i="10"/>
  <c r="AC620" i="10"/>
  <c r="AD620" i="10"/>
  <c r="AA621" i="10"/>
  <c r="AB621" i="10"/>
  <c r="AC621" i="10"/>
  <c r="AD621" i="10"/>
  <c r="AA622" i="10"/>
  <c r="AB622" i="10"/>
  <c r="AC622" i="10"/>
  <c r="AD622" i="10"/>
  <c r="AA623" i="10"/>
  <c r="AB623" i="10"/>
  <c r="AC623" i="10"/>
  <c r="AD623" i="10"/>
  <c r="AA624" i="10"/>
  <c r="AB624" i="10"/>
  <c r="AC624" i="10"/>
  <c r="AD624" i="10"/>
  <c r="AA625" i="10"/>
  <c r="AB625" i="10"/>
  <c r="AC625" i="10"/>
  <c r="AD625" i="10"/>
  <c r="AA626" i="10"/>
  <c r="AB626" i="10"/>
  <c r="AC626" i="10"/>
  <c r="AD626" i="10"/>
  <c r="U40" i="13"/>
  <c r="V40" i="13"/>
  <c r="W40" i="13"/>
  <c r="X40" i="13"/>
  <c r="Y40" i="13"/>
  <c r="Z40" i="13"/>
  <c r="AA40" i="13"/>
  <c r="AB40" i="13"/>
  <c r="AC40" i="13"/>
  <c r="AD40" i="13"/>
  <c r="AE40" i="13"/>
  <c r="AF40" i="13"/>
  <c r="AG40" i="13"/>
  <c r="AH40" i="13"/>
  <c r="AI40" i="13"/>
  <c r="H40" i="13"/>
  <c r="I40" i="13"/>
  <c r="J40" i="13" a="1"/>
  <c r="J40" i="13" s="1"/>
  <c r="K40" i="13"/>
  <c r="L40" i="13"/>
  <c r="M40" i="13"/>
  <c r="N40" i="13"/>
  <c r="O40" i="13" s="1"/>
  <c r="P40" i="13"/>
  <c r="Q40" i="13"/>
  <c r="R40" i="13" s="1"/>
  <c r="S40" i="13"/>
  <c r="AA118" i="15"/>
  <c r="AB118" i="15"/>
  <c r="AC118" i="15"/>
  <c r="AD118" i="15"/>
  <c r="AA119" i="15"/>
  <c r="AB119" i="15"/>
  <c r="AC119" i="15"/>
  <c r="AD119" i="15"/>
  <c r="AA120" i="15"/>
  <c r="AB120" i="15"/>
  <c r="AC120" i="15"/>
  <c r="AD120" i="15"/>
  <c r="AA121" i="15"/>
  <c r="AB121" i="15"/>
  <c r="AC121" i="15"/>
  <c r="AD121" i="15"/>
  <c r="AA122" i="15"/>
  <c r="AB122" i="15"/>
  <c r="AC122" i="15"/>
  <c r="AD122" i="15"/>
  <c r="AA123" i="15"/>
  <c r="AB123" i="15"/>
  <c r="AC123" i="15"/>
  <c r="AD123" i="15"/>
  <c r="AA124" i="15"/>
  <c r="AB124" i="15"/>
  <c r="AC124" i="15"/>
  <c r="AD124" i="15"/>
  <c r="AA125" i="15"/>
  <c r="AB125" i="15"/>
  <c r="AC125" i="15"/>
  <c r="AD125" i="15"/>
  <c r="AA126" i="15"/>
  <c r="AB126" i="15"/>
  <c r="AC126" i="15"/>
  <c r="AD126" i="15"/>
  <c r="AA127" i="15"/>
  <c r="AB127" i="15"/>
  <c r="AC127" i="15"/>
  <c r="AD127" i="15"/>
  <c r="AA128" i="15"/>
  <c r="AB128" i="15"/>
  <c r="AC128" i="15"/>
  <c r="AD128" i="15"/>
  <c r="AA129" i="15"/>
  <c r="AB129" i="15"/>
  <c r="AC129" i="15"/>
  <c r="AD129" i="15"/>
  <c r="AA603" i="10"/>
  <c r="AB603" i="10"/>
  <c r="AC603" i="10"/>
  <c r="AD603" i="10"/>
  <c r="AA604" i="10"/>
  <c r="AB604" i="10"/>
  <c r="AC604" i="10"/>
  <c r="AD604" i="10"/>
  <c r="AA605" i="10"/>
  <c r="AB605" i="10"/>
  <c r="AC605" i="10"/>
  <c r="AD605" i="10"/>
  <c r="AA606" i="10"/>
  <c r="AB606" i="10"/>
  <c r="AC606" i="10"/>
  <c r="AD606" i="10"/>
  <c r="AA607" i="10"/>
  <c r="AB607" i="10"/>
  <c r="AC607" i="10"/>
  <c r="AD607" i="10"/>
  <c r="AA608" i="10"/>
  <c r="AB608" i="10"/>
  <c r="AC608" i="10"/>
  <c r="AD608" i="10"/>
  <c r="AA609" i="10"/>
  <c r="AB609" i="10"/>
  <c r="AC609" i="10"/>
  <c r="AD609" i="10"/>
  <c r="AA610" i="10"/>
  <c r="AB610" i="10"/>
  <c r="AC610" i="10"/>
  <c r="AD610" i="10"/>
  <c r="AA611" i="10"/>
  <c r="AB611" i="10"/>
  <c r="AC611" i="10"/>
  <c r="AD611" i="10"/>
  <c r="AA612" i="10"/>
  <c r="AB612" i="10"/>
  <c r="AC612" i="10"/>
  <c r="AD612" i="10"/>
  <c r="AA613" i="10"/>
  <c r="AB613" i="10"/>
  <c r="AC613" i="10"/>
  <c r="AD613" i="10"/>
  <c r="AA614" i="10"/>
  <c r="AB614" i="10"/>
  <c r="AC614" i="10"/>
  <c r="AD614" i="10"/>
  <c r="U27" i="13"/>
  <c r="V27" i="13"/>
  <c r="W27" i="13"/>
  <c r="X27" i="13"/>
  <c r="Y27" i="13"/>
  <c r="Z27" i="13"/>
  <c r="AA27" i="13"/>
  <c r="AB27" i="13"/>
  <c r="AC27" i="13"/>
  <c r="AD27" i="13"/>
  <c r="AE27" i="13"/>
  <c r="AF27" i="13"/>
  <c r="AG27" i="13"/>
  <c r="AH27" i="13"/>
  <c r="AI27" i="13"/>
  <c r="T27" i="13"/>
  <c r="H27" i="13"/>
  <c r="I27" i="13"/>
  <c r="J27" i="13" a="1"/>
  <c r="J27" i="13" s="1"/>
  <c r="K27" i="13"/>
  <c r="L27" i="13"/>
  <c r="M27" i="13"/>
  <c r="N27" i="13"/>
  <c r="O27" i="13" s="1"/>
  <c r="P27" i="13"/>
  <c r="Q27" i="13"/>
  <c r="R27" i="13" s="1"/>
  <c r="S27" i="13"/>
  <c r="U23" i="13"/>
  <c r="V23" i="13"/>
  <c r="W23" i="13"/>
  <c r="X23" i="13"/>
  <c r="Y23" i="13"/>
  <c r="Z23" i="13"/>
  <c r="AA23" i="13"/>
  <c r="AB23" i="13"/>
  <c r="AC23" i="13"/>
  <c r="AD23" i="13"/>
  <c r="AE23" i="13"/>
  <c r="AF23" i="13"/>
  <c r="AG23" i="13"/>
  <c r="AH23" i="13"/>
  <c r="AI23" i="13"/>
  <c r="U24" i="13"/>
  <c r="V24" i="13"/>
  <c r="W24" i="13"/>
  <c r="X24" i="13"/>
  <c r="Y24" i="13"/>
  <c r="Z24" i="13"/>
  <c r="AA24" i="13"/>
  <c r="AB24" i="13"/>
  <c r="AC24" i="13"/>
  <c r="AD24" i="13"/>
  <c r="AE24" i="13"/>
  <c r="AF24" i="13"/>
  <c r="AG24" i="13"/>
  <c r="AH24" i="13"/>
  <c r="AI24" i="13"/>
  <c r="U25" i="13"/>
  <c r="V25" i="13"/>
  <c r="W25" i="13"/>
  <c r="X25" i="13"/>
  <c r="Y25" i="13"/>
  <c r="Z25" i="13"/>
  <c r="AA25" i="13"/>
  <c r="AB25" i="13"/>
  <c r="AC25" i="13"/>
  <c r="AD25" i="13"/>
  <c r="AE25" i="13"/>
  <c r="AF25" i="13"/>
  <c r="AG25" i="13"/>
  <c r="AH25" i="13"/>
  <c r="AI25" i="13"/>
  <c r="T25" i="13"/>
  <c r="T24" i="13"/>
  <c r="T23" i="13"/>
  <c r="S31" i="16"/>
  <c r="T31" i="16"/>
  <c r="U31" i="16"/>
  <c r="V31" i="16"/>
  <c r="W31" i="16"/>
  <c r="X31" i="16"/>
  <c r="Y31" i="16"/>
  <c r="Z31" i="16"/>
  <c r="AA31" i="16"/>
  <c r="AB31" i="16"/>
  <c r="AC31" i="16"/>
  <c r="AD31" i="16"/>
  <c r="AE31" i="16"/>
  <c r="AF31" i="16"/>
  <c r="AG31" i="16"/>
  <c r="AI31" i="16"/>
  <c r="AJ31" i="16"/>
  <c r="AK31" i="16"/>
  <c r="AL31" i="16"/>
  <c r="AM31" i="16"/>
  <c r="AN31" i="16"/>
  <c r="R31" i="16"/>
  <c r="F31" i="16"/>
  <c r="G31" i="16"/>
  <c r="H31" i="16" a="1"/>
  <c r="H31" i="16" s="1"/>
  <c r="I31" i="16"/>
  <c r="J31" i="16"/>
  <c r="K31" i="16"/>
  <c r="L31" i="16"/>
  <c r="M31" i="16" s="1"/>
  <c r="N31" i="16"/>
  <c r="O31" i="16"/>
  <c r="P31" i="16" s="1"/>
  <c r="Q31" i="16"/>
  <c r="S21" i="16"/>
  <c r="T21" i="16"/>
  <c r="U21" i="16"/>
  <c r="V21" i="16"/>
  <c r="W21" i="16"/>
  <c r="X21" i="16"/>
  <c r="Y21" i="16"/>
  <c r="Z21" i="16"/>
  <c r="AA21" i="16"/>
  <c r="AB21" i="16"/>
  <c r="AC21" i="16"/>
  <c r="AD21" i="16"/>
  <c r="AE21" i="16"/>
  <c r="AF21" i="16"/>
  <c r="AG21" i="16"/>
  <c r="AI21" i="16"/>
  <c r="AJ21" i="16"/>
  <c r="AK21" i="16"/>
  <c r="AL21" i="16"/>
  <c r="AM21" i="16"/>
  <c r="AN21" i="16"/>
  <c r="R21" i="16"/>
  <c r="F21" i="16"/>
  <c r="G21" i="16"/>
  <c r="H21" i="16" a="1"/>
  <c r="H21" i="16" s="1"/>
  <c r="I21" i="16"/>
  <c r="J21" i="16"/>
  <c r="L21" i="16"/>
  <c r="M21" i="16" s="1"/>
  <c r="O21" i="16"/>
  <c r="P21" i="16" s="1"/>
  <c r="S11" i="16"/>
  <c r="T11" i="16"/>
  <c r="U11" i="16"/>
  <c r="V11" i="16"/>
  <c r="W11" i="16"/>
  <c r="X11" i="16"/>
  <c r="Y11" i="16"/>
  <c r="Z11" i="16"/>
  <c r="AA11" i="16"/>
  <c r="AB11" i="16"/>
  <c r="AC11" i="16"/>
  <c r="AD11" i="16"/>
  <c r="AE11" i="16"/>
  <c r="AF11" i="16"/>
  <c r="AG11" i="16"/>
  <c r="AI11" i="16"/>
  <c r="AJ11" i="16"/>
  <c r="AK11" i="16"/>
  <c r="AL11" i="16"/>
  <c r="AM11" i="16"/>
  <c r="AN11" i="16"/>
  <c r="R11" i="16"/>
  <c r="F11" i="16"/>
  <c r="G11" i="16"/>
  <c r="H11" i="16" a="1"/>
  <c r="H11" i="16" s="1"/>
  <c r="I11" i="16"/>
  <c r="J11" i="16"/>
  <c r="K11" i="16"/>
  <c r="L11" i="16"/>
  <c r="M11" i="16" s="1"/>
  <c r="N11" i="16"/>
  <c r="O11" i="16"/>
  <c r="P11" i="16" s="1"/>
  <c r="Q11" i="16"/>
  <c r="AH763" i="9"/>
  <c r="AI763" i="9"/>
  <c r="AJ763" i="9"/>
  <c r="AK763" i="9"/>
  <c r="AH764" i="9"/>
  <c r="AI764" i="9"/>
  <c r="AJ764" i="9"/>
  <c r="AK764" i="9"/>
  <c r="AH765" i="9"/>
  <c r="AI765" i="9"/>
  <c r="AJ765" i="9"/>
  <c r="AK765" i="9"/>
  <c r="AH766" i="9"/>
  <c r="AI766" i="9"/>
  <c r="AJ766" i="9"/>
  <c r="AK766" i="9"/>
  <c r="AH767" i="9"/>
  <c r="AI767" i="9"/>
  <c r="AJ767" i="9"/>
  <c r="AK767" i="9"/>
  <c r="AH768" i="9"/>
  <c r="AI768" i="9"/>
  <c r="AJ768" i="9"/>
  <c r="R20" i="12" s="1"/>
  <c r="AK768" i="9"/>
  <c r="AH769" i="9"/>
  <c r="AI769" i="9"/>
  <c r="AJ769" i="9"/>
  <c r="AK769" i="9"/>
  <c r="AH770" i="9"/>
  <c r="AI770" i="9"/>
  <c r="AJ770" i="9"/>
  <c r="AK770" i="9"/>
  <c r="AH771" i="9"/>
  <c r="AI771" i="9"/>
  <c r="AJ771" i="9"/>
  <c r="AK771" i="9"/>
  <c r="AH772" i="9"/>
  <c r="AI772" i="9"/>
  <c r="AJ772" i="9"/>
  <c r="AK772" i="9"/>
  <c r="AH773" i="9"/>
  <c r="AI773" i="9"/>
  <c r="AJ773" i="9"/>
  <c r="AK773" i="9"/>
  <c r="AH774" i="9"/>
  <c r="AI774" i="9"/>
  <c r="AJ774" i="9"/>
  <c r="AK774" i="9"/>
  <c r="AH775" i="9"/>
  <c r="AI775" i="9"/>
  <c r="AJ775" i="9"/>
  <c r="AK775" i="9"/>
  <c r="N21" i="16"/>
  <c r="Q21" i="16"/>
  <c r="K21" i="16"/>
  <c r="AH751" i="9"/>
  <c r="AI751" i="9"/>
  <c r="AJ751" i="9"/>
  <c r="AK751" i="9"/>
  <c r="AH752" i="9"/>
  <c r="AI752" i="9"/>
  <c r="AJ752" i="9"/>
  <c r="AK752" i="9"/>
  <c r="AH753" i="9"/>
  <c r="AI753" i="9"/>
  <c r="AJ753" i="9"/>
  <c r="AK753" i="9"/>
  <c r="AH754" i="9"/>
  <c r="AI754" i="9"/>
  <c r="AJ754" i="9"/>
  <c r="AK754" i="9"/>
  <c r="AH755" i="9"/>
  <c r="AI755" i="9"/>
  <c r="AJ755" i="9"/>
  <c r="AK755" i="9"/>
  <c r="AH756" i="9"/>
  <c r="AI756" i="9"/>
  <c r="AJ756" i="9"/>
  <c r="AK756" i="9"/>
  <c r="AH757" i="9"/>
  <c r="AI757" i="9"/>
  <c r="AJ757" i="9"/>
  <c r="AK757" i="9"/>
  <c r="AH758" i="9"/>
  <c r="AI758" i="9"/>
  <c r="AJ758" i="9"/>
  <c r="AK758" i="9"/>
  <c r="AH759" i="9"/>
  <c r="AI759" i="9"/>
  <c r="AJ759" i="9"/>
  <c r="AK759" i="9"/>
  <c r="AH760" i="9"/>
  <c r="AI760" i="9"/>
  <c r="AJ760" i="9"/>
  <c r="AK760" i="9"/>
  <c r="AH761" i="9"/>
  <c r="AI761" i="9"/>
  <c r="AJ761" i="9"/>
  <c r="AK761" i="9"/>
  <c r="AH762" i="9"/>
  <c r="AI762" i="9"/>
  <c r="AJ762" i="9"/>
  <c r="AK762" i="9"/>
  <c r="AA104" i="15"/>
  <c r="AB104" i="15"/>
  <c r="AC104" i="15"/>
  <c r="AD104" i="15"/>
  <c r="AA105" i="15"/>
  <c r="AB105" i="15"/>
  <c r="AC105" i="15"/>
  <c r="AD105" i="15"/>
  <c r="AA106" i="15"/>
  <c r="AB106" i="15"/>
  <c r="AC106" i="15"/>
  <c r="AD106" i="15"/>
  <c r="AA107" i="15"/>
  <c r="AB107" i="15"/>
  <c r="AC107" i="15"/>
  <c r="AD107" i="15"/>
  <c r="AA108" i="15"/>
  <c r="AB108" i="15"/>
  <c r="AC108" i="15"/>
  <c r="AD108" i="15"/>
  <c r="AA109" i="15"/>
  <c r="AB109" i="15"/>
  <c r="AC109" i="15"/>
  <c r="AD109" i="15"/>
  <c r="AA110" i="15"/>
  <c r="AB110" i="15"/>
  <c r="AC110" i="15"/>
  <c r="AD110" i="15"/>
  <c r="AA111" i="15"/>
  <c r="AB111" i="15"/>
  <c r="AC111" i="15"/>
  <c r="AD111" i="15"/>
  <c r="AA112" i="15"/>
  <c r="AB112" i="15"/>
  <c r="AC112" i="15"/>
  <c r="AD112" i="15"/>
  <c r="AA113" i="15"/>
  <c r="AB113" i="15"/>
  <c r="AC113" i="15"/>
  <c r="AD113" i="15"/>
  <c r="AA114" i="15"/>
  <c r="AB114" i="15"/>
  <c r="AC114" i="15"/>
  <c r="AD114" i="15"/>
  <c r="AA115" i="15"/>
  <c r="AB115" i="15"/>
  <c r="AC115" i="15"/>
  <c r="AD115" i="15"/>
  <c r="AA116" i="15"/>
  <c r="AB116" i="15"/>
  <c r="AC116" i="15"/>
  <c r="AD116" i="15"/>
  <c r="AA117" i="15"/>
  <c r="AB117" i="15"/>
  <c r="AC117" i="15"/>
  <c r="AD117" i="15"/>
  <c r="AA589" i="10"/>
  <c r="AB589" i="10"/>
  <c r="AC589" i="10"/>
  <c r="AD589" i="10"/>
  <c r="AA590" i="10"/>
  <c r="AB590" i="10"/>
  <c r="AC590" i="10"/>
  <c r="AD590" i="10"/>
  <c r="AA591" i="10"/>
  <c r="AB591" i="10"/>
  <c r="AC591" i="10"/>
  <c r="AD591" i="10"/>
  <c r="AA592" i="10"/>
  <c r="AB592" i="10"/>
  <c r="AC592" i="10"/>
  <c r="AD592" i="10"/>
  <c r="AA593" i="10"/>
  <c r="AB593" i="10"/>
  <c r="AC593" i="10"/>
  <c r="AD593" i="10"/>
  <c r="AA594" i="10"/>
  <c r="AB594" i="10"/>
  <c r="AC594" i="10"/>
  <c r="AD594" i="10"/>
  <c r="AA595" i="10"/>
  <c r="AB595" i="10"/>
  <c r="AC595" i="10"/>
  <c r="AD595" i="10"/>
  <c r="AA596" i="10"/>
  <c r="AB596" i="10"/>
  <c r="AC596" i="10"/>
  <c r="AD596" i="10"/>
  <c r="AA597" i="10"/>
  <c r="AB597" i="10"/>
  <c r="AC597" i="10"/>
  <c r="AD597" i="10"/>
  <c r="AA598" i="10"/>
  <c r="AB598" i="10"/>
  <c r="AC598" i="10"/>
  <c r="AD598" i="10"/>
  <c r="AA599" i="10"/>
  <c r="AB599" i="10"/>
  <c r="AC599" i="10"/>
  <c r="AD599" i="10"/>
  <c r="AA600" i="10"/>
  <c r="AB600" i="10"/>
  <c r="AC600" i="10"/>
  <c r="AD600" i="10"/>
  <c r="AA601" i="10"/>
  <c r="AB601" i="10"/>
  <c r="AC601" i="10"/>
  <c r="AD601" i="10"/>
  <c r="AA602" i="10"/>
  <c r="AB602" i="10"/>
  <c r="AC602" i="10"/>
  <c r="AD602" i="10"/>
  <c r="AA90" i="15"/>
  <c r="AB90" i="15"/>
  <c r="AC90" i="15"/>
  <c r="AD90" i="15"/>
  <c r="AA91" i="15"/>
  <c r="AB91" i="15"/>
  <c r="AC91" i="15"/>
  <c r="AD91" i="15"/>
  <c r="AA92" i="15"/>
  <c r="AB92" i="15"/>
  <c r="AC92" i="15"/>
  <c r="AD92" i="15"/>
  <c r="AA93" i="15"/>
  <c r="AB93" i="15"/>
  <c r="AC93" i="15"/>
  <c r="AD93" i="15"/>
  <c r="AA94" i="15"/>
  <c r="AB94" i="15"/>
  <c r="AC94" i="15"/>
  <c r="AD94" i="15"/>
  <c r="AA95" i="15"/>
  <c r="AB95" i="15"/>
  <c r="AC95" i="15"/>
  <c r="AD95" i="15"/>
  <c r="AA96" i="15"/>
  <c r="AB96" i="15"/>
  <c r="AC96" i="15"/>
  <c r="AD96" i="15"/>
  <c r="AA97" i="15"/>
  <c r="AB97" i="15"/>
  <c r="AC97" i="15"/>
  <c r="AD97" i="15"/>
  <c r="AA98" i="15"/>
  <c r="AB98" i="15"/>
  <c r="AC98" i="15"/>
  <c r="AD98" i="15"/>
  <c r="AA99" i="15"/>
  <c r="AB99" i="15"/>
  <c r="AC99" i="15"/>
  <c r="AD99" i="15"/>
  <c r="AA100" i="15"/>
  <c r="AB100" i="15"/>
  <c r="AC100" i="15"/>
  <c r="AD100" i="15"/>
  <c r="AA101" i="15"/>
  <c r="AB101" i="15"/>
  <c r="AC101" i="15"/>
  <c r="AD101" i="15"/>
  <c r="AA102" i="15"/>
  <c r="AB102" i="15"/>
  <c r="AC102" i="15"/>
  <c r="AD102" i="15"/>
  <c r="AA103" i="15"/>
  <c r="AB103" i="15"/>
  <c r="AC103" i="15"/>
  <c r="AD103" i="15"/>
  <c r="AA575" i="10"/>
  <c r="AB575" i="10"/>
  <c r="AC575" i="10"/>
  <c r="AD575" i="10"/>
  <c r="AA576" i="10"/>
  <c r="AB576" i="10"/>
  <c r="AC576" i="10"/>
  <c r="AD576" i="10"/>
  <c r="AA577" i="10"/>
  <c r="AB577" i="10"/>
  <c r="AC577" i="10"/>
  <c r="AD577" i="10"/>
  <c r="AA578" i="10"/>
  <c r="AB578" i="10"/>
  <c r="AC578" i="10"/>
  <c r="AD578" i="10"/>
  <c r="AA579" i="10"/>
  <c r="AB579" i="10"/>
  <c r="AC579" i="10"/>
  <c r="AD579" i="10"/>
  <c r="AA580" i="10"/>
  <c r="AB580" i="10"/>
  <c r="AC580" i="10"/>
  <c r="AD580" i="10"/>
  <c r="AA581" i="10"/>
  <c r="AB581" i="10"/>
  <c r="AC581" i="10"/>
  <c r="AD581" i="10"/>
  <c r="AA582" i="10"/>
  <c r="AB582" i="10"/>
  <c r="AC582" i="10"/>
  <c r="AD582" i="10"/>
  <c r="AA583" i="10"/>
  <c r="AB583" i="10"/>
  <c r="AC583" i="10"/>
  <c r="AD583" i="10"/>
  <c r="AA584" i="10"/>
  <c r="AB584" i="10"/>
  <c r="AC584" i="10"/>
  <c r="AD584" i="10"/>
  <c r="AA585" i="10"/>
  <c r="AB585" i="10"/>
  <c r="AC585" i="10"/>
  <c r="AD585" i="10"/>
  <c r="AA586" i="10"/>
  <c r="AB586" i="10"/>
  <c r="AC586" i="10"/>
  <c r="AD586" i="10"/>
  <c r="AA587" i="10"/>
  <c r="AB587" i="10"/>
  <c r="AC587" i="10"/>
  <c r="AD587" i="10"/>
  <c r="AA588" i="10"/>
  <c r="AB588" i="10"/>
  <c r="AC588" i="10"/>
  <c r="AD588" i="10"/>
  <c r="AA3" i="18"/>
  <c r="AB3" i="18"/>
  <c r="AC3" i="18"/>
  <c r="AD3" i="18"/>
  <c r="AA4" i="18"/>
  <c r="AB4" i="18"/>
  <c r="AC4" i="18"/>
  <c r="AD4" i="18"/>
  <c r="AA5" i="18"/>
  <c r="AB5" i="18"/>
  <c r="AC5" i="18"/>
  <c r="AD5" i="18"/>
  <c r="AA6" i="18"/>
  <c r="AB6" i="18"/>
  <c r="AC6" i="18"/>
  <c r="AD6" i="18"/>
  <c r="AA7" i="18"/>
  <c r="AB7" i="18"/>
  <c r="AC7" i="18"/>
  <c r="AD7" i="18"/>
  <c r="AA8" i="18"/>
  <c r="AB8" i="18"/>
  <c r="AC8" i="18"/>
  <c r="AD8" i="18"/>
  <c r="AA9" i="18"/>
  <c r="AB9" i="18"/>
  <c r="AC9" i="18"/>
  <c r="AD9" i="18"/>
  <c r="AA10" i="18"/>
  <c r="AB10" i="18"/>
  <c r="AC10" i="18"/>
  <c r="AD10" i="18"/>
  <c r="AA11" i="18"/>
  <c r="AB11" i="18"/>
  <c r="AC11" i="18"/>
  <c r="AD11" i="18"/>
  <c r="AA12" i="18"/>
  <c r="AB12" i="18"/>
  <c r="AC12" i="18"/>
  <c r="AD12" i="18"/>
  <c r="AA13" i="18"/>
  <c r="AB13" i="18"/>
  <c r="AC13" i="18"/>
  <c r="AD13" i="18"/>
  <c r="AA14" i="18"/>
  <c r="AB14" i="18"/>
  <c r="AC14" i="18"/>
  <c r="AD14" i="18"/>
  <c r="AA15" i="18"/>
  <c r="AB15" i="18"/>
  <c r="AC15" i="18"/>
  <c r="AD15" i="18"/>
  <c r="AA16" i="18"/>
  <c r="AB16" i="18"/>
  <c r="AC16" i="18"/>
  <c r="AD16" i="18"/>
  <c r="AA17" i="18"/>
  <c r="AB17" i="18"/>
  <c r="AC17" i="18"/>
  <c r="AD17" i="18"/>
  <c r="AA18" i="18"/>
  <c r="AB18" i="18"/>
  <c r="AC18" i="18"/>
  <c r="AD18" i="18"/>
  <c r="AA19" i="18"/>
  <c r="AB19" i="18"/>
  <c r="AC19" i="18"/>
  <c r="AD19" i="18"/>
  <c r="AA20" i="18"/>
  <c r="AB20" i="18"/>
  <c r="AC20" i="18"/>
  <c r="AD20" i="18"/>
  <c r="AA21" i="18"/>
  <c r="AB21" i="18"/>
  <c r="AC21" i="18"/>
  <c r="AD21" i="18"/>
  <c r="AA22" i="18"/>
  <c r="AB22" i="18"/>
  <c r="AC22" i="18"/>
  <c r="AD22" i="18"/>
  <c r="AA23" i="18"/>
  <c r="AB23" i="18"/>
  <c r="AC23" i="18"/>
  <c r="AD23" i="18"/>
  <c r="AA24" i="18"/>
  <c r="AB24" i="18"/>
  <c r="AC24" i="18"/>
  <c r="AD24" i="18"/>
  <c r="AA25" i="18"/>
  <c r="AB25" i="18"/>
  <c r="AC25" i="18"/>
  <c r="AD25" i="18"/>
  <c r="AA26" i="18"/>
  <c r="AB26" i="18"/>
  <c r="AC26" i="18"/>
  <c r="AD26" i="18"/>
  <c r="AA27" i="18"/>
  <c r="AB27" i="18"/>
  <c r="AC27" i="18"/>
  <c r="AD27" i="18"/>
  <c r="AA28" i="18"/>
  <c r="AB28" i="18"/>
  <c r="AC28" i="18"/>
  <c r="AD28" i="18"/>
  <c r="AA29" i="18"/>
  <c r="AB29" i="18"/>
  <c r="AC29" i="18"/>
  <c r="AD29" i="18"/>
  <c r="AA30" i="18"/>
  <c r="AB30" i="18"/>
  <c r="AC30" i="18"/>
  <c r="AD30" i="18"/>
  <c r="AA31" i="18"/>
  <c r="AB31" i="18"/>
  <c r="AC31" i="18"/>
  <c r="AD31" i="18"/>
  <c r="AA32" i="18"/>
  <c r="AB32" i="18"/>
  <c r="AC32" i="18"/>
  <c r="AD32" i="18"/>
  <c r="AA33" i="18"/>
  <c r="AB33" i="18"/>
  <c r="AC33" i="18"/>
  <c r="AD33" i="18"/>
  <c r="AA34" i="18"/>
  <c r="AB34" i="18"/>
  <c r="AC34" i="18"/>
  <c r="AD34" i="18"/>
  <c r="AA35" i="18"/>
  <c r="AB35" i="18"/>
  <c r="AC35" i="18"/>
  <c r="AD35" i="18"/>
  <c r="AA36" i="18"/>
  <c r="AB36" i="18"/>
  <c r="AC36" i="18"/>
  <c r="AD36" i="18"/>
  <c r="AA37" i="18"/>
  <c r="AB37" i="18"/>
  <c r="AC37" i="18"/>
  <c r="AD37" i="18"/>
  <c r="AA38" i="18"/>
  <c r="AB38" i="18"/>
  <c r="AC38" i="18"/>
  <c r="AD38" i="18"/>
  <c r="AA39" i="18"/>
  <c r="AB39" i="18"/>
  <c r="AC39" i="18"/>
  <c r="AD39" i="18"/>
  <c r="AA40" i="18"/>
  <c r="AB40" i="18"/>
  <c r="AC40" i="18"/>
  <c r="AD40" i="18"/>
  <c r="AA41" i="18"/>
  <c r="AB41" i="18"/>
  <c r="AC41" i="18"/>
  <c r="AD41" i="18"/>
  <c r="AA42" i="18"/>
  <c r="AB42" i="18"/>
  <c r="AC42" i="18"/>
  <c r="AD42" i="18"/>
  <c r="AA43" i="18"/>
  <c r="AB43" i="18"/>
  <c r="AC43" i="18"/>
  <c r="AD43" i="18"/>
  <c r="AA44" i="18"/>
  <c r="AB44" i="18"/>
  <c r="AC44" i="18"/>
  <c r="AD44" i="18"/>
  <c r="AA45" i="18"/>
  <c r="AB45" i="18"/>
  <c r="AC45" i="18"/>
  <c r="AD45" i="18"/>
  <c r="AA46" i="18"/>
  <c r="AB46" i="18"/>
  <c r="AC46" i="18"/>
  <c r="AD46" i="18"/>
  <c r="AA47" i="18"/>
  <c r="AB47" i="18"/>
  <c r="AC47" i="18"/>
  <c r="AD47" i="18"/>
  <c r="AA48" i="18"/>
  <c r="AB48" i="18"/>
  <c r="AC48" i="18"/>
  <c r="AD48" i="18"/>
  <c r="AA49" i="18"/>
  <c r="AB49" i="18"/>
  <c r="AC49" i="18"/>
  <c r="AD49" i="18"/>
  <c r="AA50" i="18"/>
  <c r="AB50" i="18"/>
  <c r="AC50" i="18"/>
  <c r="AD50" i="18"/>
  <c r="AA51" i="18"/>
  <c r="AB51" i="18"/>
  <c r="AC51" i="18"/>
  <c r="AD51" i="18"/>
  <c r="AA52" i="18"/>
  <c r="AB52" i="18"/>
  <c r="AC52" i="18"/>
  <c r="AD52" i="18"/>
  <c r="AA53" i="18"/>
  <c r="AB53" i="18"/>
  <c r="AC53" i="18"/>
  <c r="AD53" i="18"/>
  <c r="AA54" i="18"/>
  <c r="AB54" i="18"/>
  <c r="AC54" i="18"/>
  <c r="AD54" i="18"/>
  <c r="AA55" i="18"/>
  <c r="AB55" i="18"/>
  <c r="AC55" i="18"/>
  <c r="AD55" i="18"/>
  <c r="AA56" i="18"/>
  <c r="AB56" i="18"/>
  <c r="AC56" i="18"/>
  <c r="AD56" i="18"/>
  <c r="AA57" i="18"/>
  <c r="AB57" i="18"/>
  <c r="AC57" i="18"/>
  <c r="AD57" i="18"/>
  <c r="AA58" i="18"/>
  <c r="AB58" i="18"/>
  <c r="AC58" i="18"/>
  <c r="AD58" i="18"/>
  <c r="AA59" i="18"/>
  <c r="AB59" i="18"/>
  <c r="AC59" i="18"/>
  <c r="AD59" i="18"/>
  <c r="AA60" i="18"/>
  <c r="AB60" i="18"/>
  <c r="AC60" i="18"/>
  <c r="AD60" i="18"/>
  <c r="AA61" i="18"/>
  <c r="AB61" i="18"/>
  <c r="AC61" i="18"/>
  <c r="AD61" i="18"/>
  <c r="AA62" i="18"/>
  <c r="AB62" i="18"/>
  <c r="AC62" i="18"/>
  <c r="AD62" i="18"/>
  <c r="AA63" i="18"/>
  <c r="AB63" i="18"/>
  <c r="AC63" i="18"/>
  <c r="AD63" i="18"/>
  <c r="AA64" i="18"/>
  <c r="AB64" i="18"/>
  <c r="AC64" i="18"/>
  <c r="AD64" i="18"/>
  <c r="AA65" i="18"/>
  <c r="AB65" i="18"/>
  <c r="AC65" i="18"/>
  <c r="AD65" i="18"/>
  <c r="AA66" i="18"/>
  <c r="AB66" i="18"/>
  <c r="AC66" i="18"/>
  <c r="AD66" i="18"/>
  <c r="AA67" i="18"/>
  <c r="AB67" i="18"/>
  <c r="AC67" i="18"/>
  <c r="AD67" i="18"/>
  <c r="AA68" i="18"/>
  <c r="AB68" i="18"/>
  <c r="AC68" i="18"/>
  <c r="AD68" i="18"/>
  <c r="AA69" i="18"/>
  <c r="AB69" i="18"/>
  <c r="AC69" i="18"/>
  <c r="AD69" i="18"/>
  <c r="AA70" i="18"/>
  <c r="AB70" i="18"/>
  <c r="AC70" i="18"/>
  <c r="AD70" i="18"/>
  <c r="AA71" i="18"/>
  <c r="AB71" i="18"/>
  <c r="AC71" i="18"/>
  <c r="AD71" i="18"/>
  <c r="AA72" i="18"/>
  <c r="AB72" i="18"/>
  <c r="AC72" i="18"/>
  <c r="AD72" i="18"/>
  <c r="AA73" i="18"/>
  <c r="AB73" i="18"/>
  <c r="AC73" i="18"/>
  <c r="AD73" i="18"/>
  <c r="AA74" i="18"/>
  <c r="AB74" i="18"/>
  <c r="AC74" i="18"/>
  <c r="AD74" i="18"/>
  <c r="AA75" i="18"/>
  <c r="AB75" i="18"/>
  <c r="AC75" i="18"/>
  <c r="AD75" i="18"/>
  <c r="AA76" i="18"/>
  <c r="AB76" i="18"/>
  <c r="AC76" i="18"/>
  <c r="AD76" i="18"/>
  <c r="AA77" i="18"/>
  <c r="AB77" i="18"/>
  <c r="AC77" i="18"/>
  <c r="AD77" i="18"/>
  <c r="AA78" i="18"/>
  <c r="AB78" i="18"/>
  <c r="AC78" i="18"/>
  <c r="AD78" i="18"/>
  <c r="AA79" i="18"/>
  <c r="AB79" i="18"/>
  <c r="AC79" i="18"/>
  <c r="AD79" i="18"/>
  <c r="AA80" i="18"/>
  <c r="AB80" i="18"/>
  <c r="AC80" i="18"/>
  <c r="AD80" i="18"/>
  <c r="AA81" i="18"/>
  <c r="AB81" i="18"/>
  <c r="AC81" i="18"/>
  <c r="AD81" i="18"/>
  <c r="AA82" i="18"/>
  <c r="AB82" i="18"/>
  <c r="AC82" i="18"/>
  <c r="AD82" i="18"/>
  <c r="AA83" i="18"/>
  <c r="AB83" i="18"/>
  <c r="AC83" i="18"/>
  <c r="AD83" i="18"/>
  <c r="AA84" i="18"/>
  <c r="AB84" i="18"/>
  <c r="AC84" i="18"/>
  <c r="AD84" i="18"/>
  <c r="AA85" i="18"/>
  <c r="AB85" i="18"/>
  <c r="AC85" i="18"/>
  <c r="AD85" i="18"/>
  <c r="AA86" i="18"/>
  <c r="AB86" i="18"/>
  <c r="AC86" i="18"/>
  <c r="AD86" i="18"/>
  <c r="AA87" i="18"/>
  <c r="AB87" i="18"/>
  <c r="AC87" i="18"/>
  <c r="AD87" i="18"/>
  <c r="AA88" i="18"/>
  <c r="AB88" i="18"/>
  <c r="AC88" i="18"/>
  <c r="AD88" i="18"/>
  <c r="AA89" i="18"/>
  <c r="AB89" i="18"/>
  <c r="AC89" i="18"/>
  <c r="AD89" i="18"/>
  <c r="AA90" i="18"/>
  <c r="AB90" i="18"/>
  <c r="AC90" i="18"/>
  <c r="AD90" i="18"/>
  <c r="AA91" i="18"/>
  <c r="AB91" i="18"/>
  <c r="AC91" i="18"/>
  <c r="AD91" i="18"/>
  <c r="AA92" i="18"/>
  <c r="AB92" i="18"/>
  <c r="AC92" i="18"/>
  <c r="AD92" i="18"/>
  <c r="AA93" i="18"/>
  <c r="AB93" i="18"/>
  <c r="AC93" i="18"/>
  <c r="AD93" i="18"/>
  <c r="AA94" i="18"/>
  <c r="AB94" i="18"/>
  <c r="AC94" i="18"/>
  <c r="AD94" i="18"/>
  <c r="AA95" i="18"/>
  <c r="AB95" i="18"/>
  <c r="AC95" i="18"/>
  <c r="AD95" i="18"/>
  <c r="AA96" i="18"/>
  <c r="AB96" i="18"/>
  <c r="AC96" i="18"/>
  <c r="AD96" i="18"/>
  <c r="AA97" i="18"/>
  <c r="AB97" i="18"/>
  <c r="AC97" i="18"/>
  <c r="AD97" i="18"/>
  <c r="AA98" i="18"/>
  <c r="AB98" i="18"/>
  <c r="AC98" i="18"/>
  <c r="AD98" i="18"/>
  <c r="AA99" i="18"/>
  <c r="AB99" i="18"/>
  <c r="AC99" i="18"/>
  <c r="AD99" i="18"/>
  <c r="AA100" i="18"/>
  <c r="AB100" i="18"/>
  <c r="AC100" i="18"/>
  <c r="AD100" i="18"/>
  <c r="AA101" i="18"/>
  <c r="AB101" i="18"/>
  <c r="AC101" i="18"/>
  <c r="AD101" i="18"/>
  <c r="AA102" i="18"/>
  <c r="AB102" i="18"/>
  <c r="AC102" i="18"/>
  <c r="AD102" i="18"/>
  <c r="AA103" i="18"/>
  <c r="AB103" i="18"/>
  <c r="AC103" i="18"/>
  <c r="AD103" i="18"/>
  <c r="AA104" i="18"/>
  <c r="AB104" i="18"/>
  <c r="AC104" i="18"/>
  <c r="AD104" i="18"/>
  <c r="AA105" i="18"/>
  <c r="AB105" i="18"/>
  <c r="AC105" i="18"/>
  <c r="AD105" i="18"/>
  <c r="AA106" i="18"/>
  <c r="AB106" i="18"/>
  <c r="AC106" i="18"/>
  <c r="AD106" i="18"/>
  <c r="AA107" i="18"/>
  <c r="AB107" i="18"/>
  <c r="AC107" i="18"/>
  <c r="AD107" i="18"/>
  <c r="AA108" i="18"/>
  <c r="AB108" i="18"/>
  <c r="AC108" i="18"/>
  <c r="AD108" i="18"/>
  <c r="AA109" i="18"/>
  <c r="AB109" i="18"/>
  <c r="AC109" i="18"/>
  <c r="AD109" i="18"/>
  <c r="AA110" i="18"/>
  <c r="AB110" i="18"/>
  <c r="AC110" i="18"/>
  <c r="AD110" i="18"/>
  <c r="AA111" i="18"/>
  <c r="AB111" i="18"/>
  <c r="AC111" i="18"/>
  <c r="AD111" i="18"/>
  <c r="AA112" i="18"/>
  <c r="AB112" i="18"/>
  <c r="AC112" i="18"/>
  <c r="AD112" i="18"/>
  <c r="AA113" i="18"/>
  <c r="AB113" i="18"/>
  <c r="AC113" i="18"/>
  <c r="AD113" i="18"/>
  <c r="AA114" i="18"/>
  <c r="AB114" i="18"/>
  <c r="AC114" i="18"/>
  <c r="AD114" i="18"/>
  <c r="AA115" i="18"/>
  <c r="AB115" i="18"/>
  <c r="AC115" i="18"/>
  <c r="AD115" i="18"/>
  <c r="AA116" i="18"/>
  <c r="AB116" i="18"/>
  <c r="AC116" i="18"/>
  <c r="AD116" i="18"/>
  <c r="AA117" i="18"/>
  <c r="AB117" i="18"/>
  <c r="AC117" i="18"/>
  <c r="AD117" i="18"/>
  <c r="AA118" i="18"/>
  <c r="AB118" i="18"/>
  <c r="AC118" i="18"/>
  <c r="AD118" i="18"/>
  <c r="AA119" i="18"/>
  <c r="AB119" i="18"/>
  <c r="AC119" i="18"/>
  <c r="AD119" i="18"/>
  <c r="AA120" i="18"/>
  <c r="AB120" i="18"/>
  <c r="AC120" i="18"/>
  <c r="AD120" i="18"/>
  <c r="AA121" i="18"/>
  <c r="AB121" i="18"/>
  <c r="AC121" i="18"/>
  <c r="AD121" i="18"/>
  <c r="AA122" i="18"/>
  <c r="AB122" i="18"/>
  <c r="AC122" i="18"/>
  <c r="AD122" i="18"/>
  <c r="AA123" i="18"/>
  <c r="AB123" i="18"/>
  <c r="AC123" i="18"/>
  <c r="AD123" i="18"/>
  <c r="AA124" i="18"/>
  <c r="AB124" i="18"/>
  <c r="AC124" i="18"/>
  <c r="AD124" i="18"/>
  <c r="AA125" i="18"/>
  <c r="AB125" i="18"/>
  <c r="AC125" i="18"/>
  <c r="AD125" i="18"/>
  <c r="AA126" i="18"/>
  <c r="AB126" i="18"/>
  <c r="AC126" i="18"/>
  <c r="AD126" i="18"/>
  <c r="AA127" i="18"/>
  <c r="AB127" i="18"/>
  <c r="AC127" i="18"/>
  <c r="AD127" i="18"/>
  <c r="AA128" i="18"/>
  <c r="AB128" i="18"/>
  <c r="AC128" i="18"/>
  <c r="AD128" i="18"/>
  <c r="AA129" i="18"/>
  <c r="AB129" i="18"/>
  <c r="AC129" i="18"/>
  <c r="AD129" i="18"/>
  <c r="AA130" i="18"/>
  <c r="AB130" i="18"/>
  <c r="AC130" i="18"/>
  <c r="AD130" i="18"/>
  <c r="AA131" i="18"/>
  <c r="AB131" i="18"/>
  <c r="AC131" i="18"/>
  <c r="AD131" i="18"/>
  <c r="AA132" i="18"/>
  <c r="AB132" i="18"/>
  <c r="AC132" i="18"/>
  <c r="AD132" i="18"/>
  <c r="AA133" i="18"/>
  <c r="AB133" i="18"/>
  <c r="AC133" i="18"/>
  <c r="AD133" i="18"/>
  <c r="AA134" i="18"/>
  <c r="AB134" i="18"/>
  <c r="AC134" i="18"/>
  <c r="AD134" i="18"/>
  <c r="AA135" i="18"/>
  <c r="AB135" i="18"/>
  <c r="AC135" i="18"/>
  <c r="AD135" i="18"/>
  <c r="AA136" i="18"/>
  <c r="AB136" i="18"/>
  <c r="AC136" i="18"/>
  <c r="AD136" i="18"/>
  <c r="AA137" i="18"/>
  <c r="AB137" i="18"/>
  <c r="AC137" i="18"/>
  <c r="AD137" i="18"/>
  <c r="AA138" i="18"/>
  <c r="AB138" i="18"/>
  <c r="AC138" i="18"/>
  <c r="AD138" i="18"/>
  <c r="AA139" i="18"/>
  <c r="AB139" i="18"/>
  <c r="AC139" i="18"/>
  <c r="AD139" i="18"/>
  <c r="AA140" i="18"/>
  <c r="AB140" i="18"/>
  <c r="AC140" i="18"/>
  <c r="AD140" i="18"/>
  <c r="AA141" i="18"/>
  <c r="AB141" i="18"/>
  <c r="AC141" i="18"/>
  <c r="AD141" i="18"/>
  <c r="AA142" i="18"/>
  <c r="AB142" i="18"/>
  <c r="AC142" i="18"/>
  <c r="AD142" i="18"/>
  <c r="AA143" i="18"/>
  <c r="AB143" i="18"/>
  <c r="AC143" i="18"/>
  <c r="AD143" i="18"/>
  <c r="AA144" i="18"/>
  <c r="AB144" i="18"/>
  <c r="AC144" i="18"/>
  <c r="AD144" i="18"/>
  <c r="AA145" i="18"/>
  <c r="AB145" i="18"/>
  <c r="AC145" i="18"/>
  <c r="AD145" i="18"/>
  <c r="AA146" i="18"/>
  <c r="AB146" i="18"/>
  <c r="AC146" i="18"/>
  <c r="AD146" i="18"/>
  <c r="AA147" i="18"/>
  <c r="AB147" i="18"/>
  <c r="AC147" i="18"/>
  <c r="AD147" i="18"/>
  <c r="AA148" i="18"/>
  <c r="AB148" i="18"/>
  <c r="AC148" i="18"/>
  <c r="AD148" i="18"/>
  <c r="AA149" i="18"/>
  <c r="AB149" i="18"/>
  <c r="AC149" i="18"/>
  <c r="AD149" i="18"/>
  <c r="AA150" i="18"/>
  <c r="AB150" i="18"/>
  <c r="AC150" i="18"/>
  <c r="AD150" i="18"/>
  <c r="AA151" i="18"/>
  <c r="AB151" i="18"/>
  <c r="AC151" i="18"/>
  <c r="AD151" i="18"/>
  <c r="AA152" i="18"/>
  <c r="AB152" i="18"/>
  <c r="AC152" i="18"/>
  <c r="AD152" i="18"/>
  <c r="AA153" i="18"/>
  <c r="AB153" i="18"/>
  <c r="AC153" i="18"/>
  <c r="AD153" i="18"/>
  <c r="AA154" i="18"/>
  <c r="AB154" i="18"/>
  <c r="AC154" i="18"/>
  <c r="AD154" i="18"/>
  <c r="AA155" i="18"/>
  <c r="AB155" i="18"/>
  <c r="AC155" i="18"/>
  <c r="AD155" i="18"/>
  <c r="AA156" i="18"/>
  <c r="AB156" i="18"/>
  <c r="AC156" i="18"/>
  <c r="AD156" i="18"/>
  <c r="AA157" i="18"/>
  <c r="AB157" i="18"/>
  <c r="AC157" i="18"/>
  <c r="AD157" i="18"/>
  <c r="AA158" i="18"/>
  <c r="AB158" i="18"/>
  <c r="AC158" i="18"/>
  <c r="AD158" i="18"/>
  <c r="AA159" i="18"/>
  <c r="AB159" i="18"/>
  <c r="AC159" i="18"/>
  <c r="AD159" i="18"/>
  <c r="Q42" i="19"/>
  <c r="R42" i="19"/>
  <c r="S42" i="19"/>
  <c r="T42" i="19"/>
  <c r="U42" i="19"/>
  <c r="V42" i="19"/>
  <c r="W42" i="19"/>
  <c r="X42" i="19"/>
  <c r="Y42" i="19"/>
  <c r="Z42" i="19"/>
  <c r="AA42" i="19"/>
  <c r="AB42" i="19"/>
  <c r="AC42" i="19"/>
  <c r="AD42" i="19"/>
  <c r="AE42" i="19"/>
  <c r="P42" i="19"/>
  <c r="Q32" i="19"/>
  <c r="R32" i="19"/>
  <c r="S32" i="19"/>
  <c r="T32" i="19"/>
  <c r="U32" i="19"/>
  <c r="V32" i="19"/>
  <c r="W32" i="19"/>
  <c r="X32" i="19"/>
  <c r="Y32" i="19"/>
  <c r="Z32" i="19"/>
  <c r="AA32" i="19"/>
  <c r="AB32" i="19"/>
  <c r="AC32" i="19"/>
  <c r="AD32" i="19"/>
  <c r="AE32" i="19"/>
  <c r="P32" i="19"/>
  <c r="Q31" i="19"/>
  <c r="R31" i="19"/>
  <c r="S31" i="19"/>
  <c r="T31" i="19"/>
  <c r="U31" i="19"/>
  <c r="V31" i="19"/>
  <c r="W31" i="19"/>
  <c r="X31" i="19"/>
  <c r="Y31" i="19"/>
  <c r="Z31" i="19"/>
  <c r="AA31" i="19"/>
  <c r="AB31" i="19"/>
  <c r="AC31" i="19"/>
  <c r="AD31" i="19"/>
  <c r="AE31" i="19"/>
  <c r="P31" i="19"/>
  <c r="Q30" i="19"/>
  <c r="R30" i="19"/>
  <c r="S30" i="19"/>
  <c r="T30" i="19"/>
  <c r="U30" i="19"/>
  <c r="V30" i="19"/>
  <c r="W30" i="19"/>
  <c r="X30" i="19"/>
  <c r="Y30" i="19"/>
  <c r="Z30" i="19"/>
  <c r="AA30" i="19"/>
  <c r="AB30" i="19"/>
  <c r="AC30" i="19"/>
  <c r="AD30" i="19"/>
  <c r="AE30" i="19"/>
  <c r="P30" i="19"/>
  <c r="Q29" i="19"/>
  <c r="R29" i="19"/>
  <c r="S29" i="19"/>
  <c r="T29" i="19"/>
  <c r="U29" i="19"/>
  <c r="V29" i="19"/>
  <c r="W29" i="19"/>
  <c r="X29" i="19"/>
  <c r="Y29" i="19"/>
  <c r="Z29" i="19"/>
  <c r="AA29" i="19"/>
  <c r="AB29" i="19"/>
  <c r="AC29" i="19"/>
  <c r="AD29" i="19"/>
  <c r="AE29" i="19"/>
  <c r="P29" i="19"/>
  <c r="Q25" i="19"/>
  <c r="R25" i="19"/>
  <c r="S25" i="19"/>
  <c r="T25" i="19"/>
  <c r="U25" i="19"/>
  <c r="V25" i="19"/>
  <c r="W25" i="19"/>
  <c r="X25" i="19"/>
  <c r="Y25" i="19"/>
  <c r="Z25" i="19"/>
  <c r="AA25" i="19"/>
  <c r="AB25" i="19"/>
  <c r="AC25" i="19"/>
  <c r="AD25" i="19"/>
  <c r="AE25" i="19"/>
  <c r="P25" i="19"/>
  <c r="Q22" i="19"/>
  <c r="R22" i="19"/>
  <c r="S22" i="19"/>
  <c r="T22" i="19"/>
  <c r="U22" i="19"/>
  <c r="V22" i="19"/>
  <c r="W22" i="19"/>
  <c r="X22" i="19"/>
  <c r="Y22" i="19"/>
  <c r="Z22" i="19"/>
  <c r="AA22" i="19"/>
  <c r="AB22" i="19"/>
  <c r="AC22" i="19"/>
  <c r="AD22" i="19"/>
  <c r="AE22" i="19"/>
  <c r="P22" i="19"/>
  <c r="Q21" i="19"/>
  <c r="R21" i="19"/>
  <c r="S21" i="19"/>
  <c r="T21" i="19"/>
  <c r="U21" i="19"/>
  <c r="V21" i="19"/>
  <c r="W21" i="19"/>
  <c r="X21" i="19"/>
  <c r="Y21" i="19"/>
  <c r="Z21" i="19"/>
  <c r="AA21" i="19"/>
  <c r="AB21" i="19"/>
  <c r="AC21" i="19"/>
  <c r="AD21" i="19"/>
  <c r="AE21" i="19"/>
  <c r="P21" i="19"/>
  <c r="Q20" i="19"/>
  <c r="R20" i="19"/>
  <c r="S20" i="19"/>
  <c r="T20" i="19"/>
  <c r="U20" i="19"/>
  <c r="V20" i="19"/>
  <c r="W20" i="19"/>
  <c r="X20" i="19"/>
  <c r="Y20" i="19"/>
  <c r="Z20" i="19"/>
  <c r="AA20" i="19"/>
  <c r="AB20" i="19"/>
  <c r="AC20" i="19"/>
  <c r="AD20" i="19"/>
  <c r="AE20" i="19"/>
  <c r="P20" i="19"/>
  <c r="Q18" i="19"/>
  <c r="R18" i="19"/>
  <c r="S18" i="19"/>
  <c r="T18" i="19"/>
  <c r="U18" i="19"/>
  <c r="V18" i="19"/>
  <c r="W18" i="19"/>
  <c r="X18" i="19"/>
  <c r="Y18" i="19"/>
  <c r="Z18" i="19"/>
  <c r="AA18" i="19"/>
  <c r="AB18" i="19"/>
  <c r="AC18" i="19"/>
  <c r="AD18" i="19"/>
  <c r="AE18" i="19"/>
  <c r="P18" i="19"/>
  <c r="P17" i="19"/>
  <c r="Q13" i="19"/>
  <c r="R13" i="19"/>
  <c r="S13" i="19"/>
  <c r="T13" i="19"/>
  <c r="U13" i="19"/>
  <c r="V13" i="19"/>
  <c r="W13" i="19"/>
  <c r="X13" i="19"/>
  <c r="Y13" i="19"/>
  <c r="Z13" i="19"/>
  <c r="AA13" i="19"/>
  <c r="AB13" i="19"/>
  <c r="AC13" i="19"/>
  <c r="AD13" i="19"/>
  <c r="AE13" i="19"/>
  <c r="P13" i="19"/>
  <c r="D5" i="19"/>
  <c r="D4" i="19"/>
  <c r="E5" i="19"/>
  <c r="F5" i="19" a="1"/>
  <c r="F5" i="19" s="1"/>
  <c r="G5" i="19"/>
  <c r="H5" i="19"/>
  <c r="J5" i="19"/>
  <c r="K5" i="19" s="1"/>
  <c r="M5" i="19"/>
  <c r="N5" i="19" s="1"/>
  <c r="D6" i="19"/>
  <c r="E6" i="19"/>
  <c r="F6" i="19" a="1"/>
  <c r="F6" i="19" s="1"/>
  <c r="G6" i="19"/>
  <c r="H6" i="19"/>
  <c r="I6" i="19"/>
  <c r="J6" i="19"/>
  <c r="K6" i="19" s="1"/>
  <c r="L6" i="19"/>
  <c r="M6" i="19"/>
  <c r="N6" i="19" s="1"/>
  <c r="O6" i="19"/>
  <c r="D7" i="19"/>
  <c r="E7" i="19"/>
  <c r="F7" i="19" a="1"/>
  <c r="F7" i="19" s="1"/>
  <c r="G7" i="19"/>
  <c r="H7" i="19"/>
  <c r="I7" i="19"/>
  <c r="J7" i="19"/>
  <c r="K7" i="19" s="1"/>
  <c r="L7" i="19"/>
  <c r="M7" i="19"/>
  <c r="N7" i="19" s="1"/>
  <c r="O7" i="19"/>
  <c r="D8" i="19"/>
  <c r="E8" i="19"/>
  <c r="F8" i="19" a="1"/>
  <c r="F8" i="19" s="1"/>
  <c r="G8" i="19"/>
  <c r="H8" i="19"/>
  <c r="J8" i="19"/>
  <c r="K8" i="19" s="1"/>
  <c r="M8" i="19"/>
  <c r="N8" i="19"/>
  <c r="D9" i="19"/>
  <c r="E9" i="19"/>
  <c r="F9" i="19" a="1"/>
  <c r="F9" i="19" s="1"/>
  <c r="G9" i="19"/>
  <c r="H9" i="19"/>
  <c r="J9" i="19"/>
  <c r="K9" i="19" s="1"/>
  <c r="M9" i="19"/>
  <c r="N9" i="19" s="1"/>
  <c r="D10" i="19"/>
  <c r="E10" i="19"/>
  <c r="F10" i="19" a="1"/>
  <c r="F10" i="19" s="1"/>
  <c r="G10" i="19"/>
  <c r="H10" i="19"/>
  <c r="I10" i="19"/>
  <c r="J10" i="19"/>
  <c r="K10" i="19" s="1"/>
  <c r="L10" i="19"/>
  <c r="M10" i="19"/>
  <c r="N10" i="19" s="1"/>
  <c r="O10" i="19"/>
  <c r="D11" i="19"/>
  <c r="E11" i="19"/>
  <c r="F11" i="19" a="1"/>
  <c r="F11" i="19" s="1"/>
  <c r="G11" i="19"/>
  <c r="H11" i="19"/>
  <c r="I11" i="19"/>
  <c r="J11" i="19"/>
  <c r="K11" i="19" s="1"/>
  <c r="L11" i="19"/>
  <c r="M11" i="19"/>
  <c r="N11" i="19" s="1"/>
  <c r="O11" i="19"/>
  <c r="D12" i="19"/>
  <c r="E12" i="19"/>
  <c r="F12" i="19" a="1"/>
  <c r="F12" i="19" s="1"/>
  <c r="G12" i="19"/>
  <c r="H12" i="19"/>
  <c r="J12" i="19"/>
  <c r="K12" i="19" s="1"/>
  <c r="M12" i="19"/>
  <c r="N12" i="19" s="1"/>
  <c r="D13" i="19"/>
  <c r="E13" i="19"/>
  <c r="F13" i="19" a="1"/>
  <c r="F13" i="19" s="1"/>
  <c r="G13" i="19"/>
  <c r="H13" i="19"/>
  <c r="J13" i="19"/>
  <c r="K13" i="19" s="1"/>
  <c r="M13" i="19"/>
  <c r="N13" i="19" s="1"/>
  <c r="D14" i="19"/>
  <c r="E14" i="19"/>
  <c r="F14" i="19" a="1"/>
  <c r="F14" i="19" s="1"/>
  <c r="G14" i="19"/>
  <c r="H14" i="19"/>
  <c r="J14" i="19"/>
  <c r="K14" i="19" s="1"/>
  <c r="M14" i="19"/>
  <c r="N14" i="19" s="1"/>
  <c r="D16" i="19"/>
  <c r="E16" i="19"/>
  <c r="F16" i="19" a="1"/>
  <c r="F16" i="19" s="1"/>
  <c r="G16" i="19"/>
  <c r="H16" i="19"/>
  <c r="I16" i="19"/>
  <c r="J16" i="19"/>
  <c r="K16" i="19" s="1"/>
  <c r="L16" i="19"/>
  <c r="M16" i="19"/>
  <c r="N16" i="19" s="1"/>
  <c r="O16" i="19"/>
  <c r="D17" i="19"/>
  <c r="E17" i="19"/>
  <c r="F17" i="19" a="1"/>
  <c r="F17" i="19" s="1"/>
  <c r="G17" i="19"/>
  <c r="H17" i="19"/>
  <c r="I17" i="19"/>
  <c r="J17" i="19"/>
  <c r="K17" i="19" s="1"/>
  <c r="L17" i="19"/>
  <c r="M17" i="19"/>
  <c r="N17" i="19" s="1"/>
  <c r="O17" i="19"/>
  <c r="D18" i="19"/>
  <c r="E18" i="19"/>
  <c r="F18" i="19" a="1"/>
  <c r="F18" i="19" s="1"/>
  <c r="G18" i="19"/>
  <c r="H18" i="19"/>
  <c r="J18" i="19"/>
  <c r="K18" i="19" s="1"/>
  <c r="M18" i="19"/>
  <c r="N18" i="19" s="1"/>
  <c r="D20" i="19"/>
  <c r="E20" i="19"/>
  <c r="F20" i="19" a="1"/>
  <c r="F20" i="19" s="1"/>
  <c r="G20" i="19"/>
  <c r="H20" i="19"/>
  <c r="I20" i="19"/>
  <c r="J20" i="19"/>
  <c r="K20" i="19" s="1"/>
  <c r="L20" i="19"/>
  <c r="M20" i="19"/>
  <c r="N20" i="19" s="1"/>
  <c r="O20" i="19"/>
  <c r="D21" i="19"/>
  <c r="E21" i="19"/>
  <c r="F21" i="19" a="1"/>
  <c r="F21" i="19" s="1"/>
  <c r="G21" i="19"/>
  <c r="H21" i="19"/>
  <c r="J21" i="19"/>
  <c r="K21" i="19" s="1"/>
  <c r="M21" i="19"/>
  <c r="N21" i="19" s="1"/>
  <c r="D22" i="19"/>
  <c r="E22" i="19"/>
  <c r="F22" i="19" a="1"/>
  <c r="F22" i="19" s="1"/>
  <c r="G22" i="19"/>
  <c r="H22" i="19"/>
  <c r="J22" i="19"/>
  <c r="K22" i="19" s="1"/>
  <c r="M22" i="19"/>
  <c r="N22" i="19" s="1"/>
  <c r="D23" i="19"/>
  <c r="E23" i="19"/>
  <c r="F23" i="19" a="1"/>
  <c r="F23" i="19" s="1"/>
  <c r="G23" i="19"/>
  <c r="H23" i="19"/>
  <c r="I23" i="19"/>
  <c r="J23" i="19"/>
  <c r="K23" i="19" s="1"/>
  <c r="L23" i="19"/>
  <c r="M23" i="19"/>
  <c r="N23" i="19" s="1"/>
  <c r="O23" i="19"/>
  <c r="D24" i="19"/>
  <c r="E24" i="19"/>
  <c r="F24" i="19" a="1"/>
  <c r="F24" i="19" s="1"/>
  <c r="G24" i="19"/>
  <c r="H24" i="19"/>
  <c r="I24" i="19"/>
  <c r="J24" i="19"/>
  <c r="K24" i="19" s="1"/>
  <c r="L24" i="19"/>
  <c r="M24" i="19"/>
  <c r="N24" i="19" s="1"/>
  <c r="O24" i="19"/>
  <c r="D25" i="19"/>
  <c r="E25" i="19"/>
  <c r="F25" i="19" a="1"/>
  <c r="F25" i="19" s="1"/>
  <c r="G25" i="19"/>
  <c r="H25" i="19"/>
  <c r="J25" i="19"/>
  <c r="K25" i="19" s="1"/>
  <c r="M25" i="19"/>
  <c r="N25" i="19" s="1"/>
  <c r="D27" i="19"/>
  <c r="E27" i="19"/>
  <c r="F27" i="19" a="1"/>
  <c r="F27" i="19" s="1"/>
  <c r="G27" i="19"/>
  <c r="H27" i="19"/>
  <c r="J27" i="19"/>
  <c r="K27" i="19" s="1"/>
  <c r="M27" i="19"/>
  <c r="N27" i="19" s="1"/>
  <c r="D28" i="19"/>
  <c r="E28" i="19"/>
  <c r="F28" i="19" a="1"/>
  <c r="F28" i="19" s="1"/>
  <c r="G28" i="19"/>
  <c r="H28" i="19"/>
  <c r="I28" i="19"/>
  <c r="J28" i="19"/>
  <c r="K28" i="19" s="1"/>
  <c r="L28" i="19"/>
  <c r="M28" i="19"/>
  <c r="N28" i="19" s="1"/>
  <c r="O28" i="19"/>
  <c r="D29" i="19"/>
  <c r="E29" i="19"/>
  <c r="F29" i="19" a="1"/>
  <c r="F29" i="19" s="1"/>
  <c r="G29" i="19"/>
  <c r="H29" i="19"/>
  <c r="J29" i="19"/>
  <c r="K29" i="19" s="1"/>
  <c r="M29" i="19"/>
  <c r="N29" i="19" s="1"/>
  <c r="D30" i="19"/>
  <c r="E30" i="19"/>
  <c r="F30" i="19" a="1"/>
  <c r="F30" i="19" s="1"/>
  <c r="G30" i="19"/>
  <c r="H30" i="19"/>
  <c r="J30" i="19"/>
  <c r="K30" i="19" s="1"/>
  <c r="M30" i="19"/>
  <c r="N30" i="19" s="1"/>
  <c r="D31" i="19"/>
  <c r="E31" i="19"/>
  <c r="F31" i="19" a="1"/>
  <c r="F31" i="19" s="1"/>
  <c r="G31" i="19"/>
  <c r="H31" i="19"/>
  <c r="J31" i="19"/>
  <c r="K31" i="19" s="1"/>
  <c r="M31" i="19"/>
  <c r="N31" i="19" s="1"/>
  <c r="D32" i="19"/>
  <c r="E32" i="19"/>
  <c r="F32" i="19" a="1"/>
  <c r="F32" i="19" s="1"/>
  <c r="G32" i="19"/>
  <c r="H32" i="19"/>
  <c r="J32" i="19"/>
  <c r="K32" i="19" s="1"/>
  <c r="M32" i="19"/>
  <c r="N32" i="19" s="1"/>
  <c r="O32" i="19"/>
  <c r="D34" i="19"/>
  <c r="E34" i="19"/>
  <c r="F34" i="19" a="1"/>
  <c r="F34" i="19" s="1"/>
  <c r="G34" i="19"/>
  <c r="H34" i="19"/>
  <c r="J34" i="19"/>
  <c r="K34" i="19" s="1"/>
  <c r="M34" i="19"/>
  <c r="N34" i="19" s="1"/>
  <c r="D35" i="19"/>
  <c r="E35" i="19"/>
  <c r="F35" i="19" a="1"/>
  <c r="F35" i="19" s="1"/>
  <c r="G35" i="19"/>
  <c r="H35" i="19"/>
  <c r="J35" i="19"/>
  <c r="K35" i="19" s="1"/>
  <c r="M35" i="19"/>
  <c r="N35" i="19" s="1"/>
  <c r="D36" i="19"/>
  <c r="E36" i="19"/>
  <c r="F36" i="19" a="1"/>
  <c r="F36" i="19" s="1"/>
  <c r="G36" i="19"/>
  <c r="H36" i="19"/>
  <c r="J36" i="19"/>
  <c r="K36" i="19" s="1"/>
  <c r="M36" i="19"/>
  <c r="N36" i="19" s="1"/>
  <c r="D38" i="19"/>
  <c r="E38" i="19"/>
  <c r="F38" i="19" a="1"/>
  <c r="F38" i="19" s="1"/>
  <c r="G38" i="19"/>
  <c r="H38" i="19"/>
  <c r="I38" i="19"/>
  <c r="J38" i="19"/>
  <c r="K38" i="19" s="1"/>
  <c r="L38" i="19"/>
  <c r="M38" i="19"/>
  <c r="N38" i="19" s="1"/>
  <c r="O38" i="19"/>
  <c r="D39" i="19"/>
  <c r="E39" i="19"/>
  <c r="F39" i="19" a="1"/>
  <c r="F39" i="19" s="1"/>
  <c r="G39" i="19"/>
  <c r="H39" i="19"/>
  <c r="J39" i="19"/>
  <c r="K39" i="19" s="1"/>
  <c r="L39" i="19"/>
  <c r="M39" i="19"/>
  <c r="N39" i="19" s="1"/>
  <c r="D41" i="19"/>
  <c r="E41" i="19"/>
  <c r="F41" i="19" a="1"/>
  <c r="F41" i="19" s="1"/>
  <c r="G41" i="19"/>
  <c r="H41" i="19"/>
  <c r="I41" i="19"/>
  <c r="J41" i="19"/>
  <c r="K41" i="19" s="1"/>
  <c r="L41" i="19"/>
  <c r="M41" i="19"/>
  <c r="N41" i="19" s="1"/>
  <c r="O41" i="19"/>
  <c r="D42" i="19"/>
  <c r="E42" i="19"/>
  <c r="F42" i="19" a="1"/>
  <c r="F42" i="19" s="1"/>
  <c r="G42" i="19"/>
  <c r="H42" i="19"/>
  <c r="J42" i="19"/>
  <c r="K42" i="19" s="1"/>
  <c r="L42" i="19"/>
  <c r="M42" i="19"/>
  <c r="N42" i="19" s="1"/>
  <c r="D43" i="19"/>
  <c r="E43" i="19"/>
  <c r="F43" i="19" a="1"/>
  <c r="F43" i="19" s="1"/>
  <c r="G43" i="19"/>
  <c r="H43" i="19"/>
  <c r="I43" i="19"/>
  <c r="J43" i="19"/>
  <c r="K43" i="19" s="1"/>
  <c r="L43" i="19"/>
  <c r="M43" i="19"/>
  <c r="N43" i="19" s="1"/>
  <c r="O43" i="19"/>
  <c r="D44" i="19"/>
  <c r="E44" i="19"/>
  <c r="F44" i="19" a="1"/>
  <c r="F44" i="19" s="1"/>
  <c r="G44" i="19"/>
  <c r="H44" i="19"/>
  <c r="I44" i="19"/>
  <c r="J44" i="19"/>
  <c r="K44" i="19" s="1"/>
  <c r="L44" i="19"/>
  <c r="M44" i="19"/>
  <c r="N44" i="19" s="1"/>
  <c r="O44" i="19"/>
  <c r="AE44" i="19"/>
  <c r="AD44" i="19"/>
  <c r="AC44" i="19"/>
  <c r="AB44" i="19"/>
  <c r="AA44" i="19"/>
  <c r="Z44" i="19"/>
  <c r="Y44" i="19"/>
  <c r="X44" i="19"/>
  <c r="W44" i="19"/>
  <c r="V44" i="19"/>
  <c r="U44" i="19"/>
  <c r="T44" i="19"/>
  <c r="S44" i="19"/>
  <c r="R44" i="19"/>
  <c r="Q44" i="19"/>
  <c r="P44" i="19"/>
  <c r="AE43" i="19"/>
  <c r="AD43" i="19"/>
  <c r="AC43" i="19"/>
  <c r="AB43" i="19"/>
  <c r="AA43" i="19"/>
  <c r="Z43" i="19"/>
  <c r="Y43" i="19"/>
  <c r="X43" i="19"/>
  <c r="W43" i="19"/>
  <c r="V43" i="19"/>
  <c r="U43" i="19"/>
  <c r="T43" i="19"/>
  <c r="S43" i="19"/>
  <c r="R43" i="19"/>
  <c r="Q43" i="19"/>
  <c r="P43" i="19"/>
  <c r="AE41" i="19"/>
  <c r="AD41" i="19"/>
  <c r="AC41" i="19"/>
  <c r="AB41" i="19"/>
  <c r="AA41" i="19"/>
  <c r="Z41" i="19"/>
  <c r="Y41" i="19"/>
  <c r="X41" i="19"/>
  <c r="W41" i="19"/>
  <c r="V41" i="19"/>
  <c r="U41" i="19"/>
  <c r="T41" i="19"/>
  <c r="S41" i="19"/>
  <c r="R41" i="19"/>
  <c r="Q41" i="19"/>
  <c r="P41" i="19"/>
  <c r="AE39" i="19"/>
  <c r="AD39" i="19"/>
  <c r="AC39" i="19"/>
  <c r="AB39" i="19"/>
  <c r="AA39" i="19"/>
  <c r="Z39" i="19"/>
  <c r="Y39" i="19"/>
  <c r="X39" i="19"/>
  <c r="W39" i="19"/>
  <c r="V39" i="19"/>
  <c r="U39" i="19"/>
  <c r="T39" i="19"/>
  <c r="S39" i="19"/>
  <c r="R39" i="19"/>
  <c r="Q39" i="19"/>
  <c r="P39" i="19"/>
  <c r="AE38" i="19"/>
  <c r="AD38" i="19"/>
  <c r="AC38" i="19"/>
  <c r="AB38" i="19"/>
  <c r="AA38" i="19"/>
  <c r="Z38" i="19"/>
  <c r="Y38" i="19"/>
  <c r="X38" i="19"/>
  <c r="W38" i="19"/>
  <c r="V38" i="19"/>
  <c r="U38" i="19"/>
  <c r="T38" i="19"/>
  <c r="S38" i="19"/>
  <c r="R38" i="19"/>
  <c r="Q38" i="19"/>
  <c r="P38" i="19"/>
  <c r="AE36" i="19"/>
  <c r="AD36" i="19"/>
  <c r="AC36" i="19"/>
  <c r="AB36" i="19"/>
  <c r="AA36" i="19"/>
  <c r="Z36" i="19"/>
  <c r="Y36" i="19"/>
  <c r="X36" i="19"/>
  <c r="W36" i="19"/>
  <c r="V36" i="19"/>
  <c r="U36" i="19"/>
  <c r="T36" i="19"/>
  <c r="S36" i="19"/>
  <c r="R36" i="19"/>
  <c r="Q36" i="19"/>
  <c r="P36" i="19"/>
  <c r="AE35" i="19"/>
  <c r="AD35" i="19"/>
  <c r="AC35" i="19"/>
  <c r="AB35" i="19"/>
  <c r="AA35" i="19"/>
  <c r="Z35" i="19"/>
  <c r="Y35" i="19"/>
  <c r="X35" i="19"/>
  <c r="W35" i="19"/>
  <c r="V35" i="19"/>
  <c r="U35" i="19"/>
  <c r="T35" i="19"/>
  <c r="S35" i="19"/>
  <c r="R35" i="19"/>
  <c r="Q35" i="19"/>
  <c r="P35" i="19"/>
  <c r="AE34" i="19"/>
  <c r="AD34" i="19"/>
  <c r="AC34" i="19"/>
  <c r="AB34" i="19"/>
  <c r="AA34" i="19"/>
  <c r="Z34" i="19"/>
  <c r="Y34" i="19"/>
  <c r="X34" i="19"/>
  <c r="W34" i="19"/>
  <c r="V34" i="19"/>
  <c r="U34" i="19"/>
  <c r="T34" i="19"/>
  <c r="S34" i="19"/>
  <c r="R34" i="19"/>
  <c r="Q34" i="19"/>
  <c r="P34" i="19"/>
  <c r="AE28" i="19"/>
  <c r="AD28" i="19"/>
  <c r="AC28" i="19"/>
  <c r="AB28" i="19"/>
  <c r="AA28" i="19"/>
  <c r="Z28" i="19"/>
  <c r="Y28" i="19"/>
  <c r="X28" i="19"/>
  <c r="W28" i="19"/>
  <c r="V28" i="19"/>
  <c r="U28" i="19"/>
  <c r="T28" i="19"/>
  <c r="S28" i="19"/>
  <c r="R28" i="19"/>
  <c r="Q28" i="19"/>
  <c r="P28" i="19"/>
  <c r="AE27" i="19"/>
  <c r="AD27" i="19"/>
  <c r="AC27" i="19"/>
  <c r="AB27" i="19"/>
  <c r="AA27" i="19"/>
  <c r="Z27" i="19"/>
  <c r="Y27" i="19"/>
  <c r="X27" i="19"/>
  <c r="W27" i="19"/>
  <c r="V27" i="19"/>
  <c r="U27" i="19"/>
  <c r="T27" i="19"/>
  <c r="S27" i="19"/>
  <c r="R27" i="19"/>
  <c r="Q27" i="19"/>
  <c r="P27" i="19"/>
  <c r="AE24" i="19"/>
  <c r="AD24" i="19"/>
  <c r="AC24" i="19"/>
  <c r="AB24" i="19"/>
  <c r="AA24" i="19"/>
  <c r="Z24" i="19"/>
  <c r="Y24" i="19"/>
  <c r="X24" i="19"/>
  <c r="W24" i="19"/>
  <c r="V24" i="19"/>
  <c r="U24" i="19"/>
  <c r="T24" i="19"/>
  <c r="S24" i="19"/>
  <c r="R24" i="19"/>
  <c r="Q24" i="19"/>
  <c r="P24" i="19"/>
  <c r="AE23" i="19"/>
  <c r="AD23" i="19"/>
  <c r="AC23" i="19"/>
  <c r="AB23" i="19"/>
  <c r="AA23" i="19"/>
  <c r="Z23" i="19"/>
  <c r="Y23" i="19"/>
  <c r="X23" i="19"/>
  <c r="W23" i="19"/>
  <c r="V23" i="19"/>
  <c r="U23" i="19"/>
  <c r="T23" i="19"/>
  <c r="S23" i="19"/>
  <c r="R23" i="19"/>
  <c r="Q23" i="19"/>
  <c r="P23" i="19"/>
  <c r="AE17" i="19"/>
  <c r="AD17" i="19"/>
  <c r="AC17" i="19"/>
  <c r="AB17" i="19"/>
  <c r="AA17" i="19"/>
  <c r="Z17" i="19"/>
  <c r="Y17" i="19"/>
  <c r="X17" i="19"/>
  <c r="W17" i="19"/>
  <c r="V17" i="19"/>
  <c r="U17" i="19"/>
  <c r="T17" i="19"/>
  <c r="S17" i="19"/>
  <c r="R17" i="19"/>
  <c r="Q17" i="19"/>
  <c r="AE16" i="19"/>
  <c r="AD16" i="19"/>
  <c r="AC16" i="19"/>
  <c r="AB16" i="19"/>
  <c r="AA16" i="19"/>
  <c r="Z16" i="19"/>
  <c r="Y16" i="19"/>
  <c r="X16" i="19"/>
  <c r="W16" i="19"/>
  <c r="V16" i="19"/>
  <c r="U16" i="19"/>
  <c r="T16" i="19"/>
  <c r="S16" i="19"/>
  <c r="R16" i="19"/>
  <c r="Q16" i="19"/>
  <c r="P16" i="19"/>
  <c r="AE14" i="19"/>
  <c r="AD14" i="19"/>
  <c r="AC14" i="19"/>
  <c r="AB14" i="19"/>
  <c r="AA14" i="19"/>
  <c r="Z14" i="19"/>
  <c r="Y14" i="19"/>
  <c r="X14" i="19"/>
  <c r="W14" i="19"/>
  <c r="V14" i="19"/>
  <c r="U14" i="19"/>
  <c r="T14" i="19"/>
  <c r="S14" i="19"/>
  <c r="R14" i="19"/>
  <c r="Q14" i="19"/>
  <c r="P14" i="19"/>
  <c r="AE12" i="19"/>
  <c r="AD12" i="19"/>
  <c r="AC12" i="19"/>
  <c r="AB12" i="19"/>
  <c r="AA12" i="19"/>
  <c r="Z12" i="19"/>
  <c r="Y12" i="19"/>
  <c r="X12" i="19"/>
  <c r="W12" i="19"/>
  <c r="V12" i="19"/>
  <c r="U12" i="19"/>
  <c r="T12" i="19"/>
  <c r="S12" i="19"/>
  <c r="R12" i="19"/>
  <c r="Q12" i="19"/>
  <c r="P12" i="19"/>
  <c r="AE11" i="19"/>
  <c r="AD11" i="19"/>
  <c r="AC11" i="19"/>
  <c r="AB11" i="19"/>
  <c r="AA11" i="19"/>
  <c r="Z11" i="19"/>
  <c r="Y11" i="19"/>
  <c r="X11" i="19"/>
  <c r="W11" i="19"/>
  <c r="V11" i="19"/>
  <c r="U11" i="19"/>
  <c r="T11" i="19"/>
  <c r="S11" i="19"/>
  <c r="R11" i="19"/>
  <c r="Q11" i="19"/>
  <c r="P11" i="19"/>
  <c r="AE10" i="19"/>
  <c r="AD10" i="19"/>
  <c r="AC10" i="19"/>
  <c r="AB10" i="19"/>
  <c r="AA10" i="19"/>
  <c r="Z10" i="19"/>
  <c r="Y10" i="19"/>
  <c r="X10" i="19"/>
  <c r="W10" i="19"/>
  <c r="V10" i="19"/>
  <c r="U10" i="19"/>
  <c r="T10" i="19"/>
  <c r="S10" i="19"/>
  <c r="R10" i="19"/>
  <c r="Q10" i="19"/>
  <c r="P10" i="19"/>
  <c r="AE9" i="19"/>
  <c r="AD9" i="19"/>
  <c r="AC9" i="19"/>
  <c r="AB9" i="19"/>
  <c r="AA9" i="19"/>
  <c r="Z9" i="19"/>
  <c r="Y9" i="19"/>
  <c r="X9" i="19"/>
  <c r="W9" i="19"/>
  <c r="V9" i="19"/>
  <c r="U9" i="19"/>
  <c r="T9" i="19"/>
  <c r="S9" i="19"/>
  <c r="R9" i="19"/>
  <c r="Q9" i="19"/>
  <c r="P9" i="19"/>
  <c r="AE8" i="19"/>
  <c r="AD8" i="19"/>
  <c r="AC8" i="19"/>
  <c r="AB8" i="19"/>
  <c r="AA8" i="19"/>
  <c r="Z8" i="19"/>
  <c r="Y8" i="19"/>
  <c r="X8" i="19"/>
  <c r="W8" i="19"/>
  <c r="V8" i="19"/>
  <c r="U8" i="19"/>
  <c r="T8" i="19"/>
  <c r="S8" i="19"/>
  <c r="R8" i="19"/>
  <c r="Q8" i="19"/>
  <c r="P8" i="19"/>
  <c r="AE7" i="19"/>
  <c r="AD7" i="19"/>
  <c r="AC7" i="19"/>
  <c r="AB7" i="19"/>
  <c r="AA7" i="19"/>
  <c r="Z7" i="19"/>
  <c r="Y7" i="19"/>
  <c r="X7" i="19"/>
  <c r="W7" i="19"/>
  <c r="V7" i="19"/>
  <c r="U7" i="19"/>
  <c r="T7" i="19"/>
  <c r="S7" i="19"/>
  <c r="R7" i="19"/>
  <c r="Q7" i="19"/>
  <c r="P7" i="19"/>
  <c r="AE6" i="19"/>
  <c r="AD6" i="19"/>
  <c r="AC6" i="19"/>
  <c r="AB6" i="19"/>
  <c r="AA6" i="19"/>
  <c r="Z6" i="19"/>
  <c r="Y6" i="19"/>
  <c r="X6" i="19"/>
  <c r="W6" i="19"/>
  <c r="V6" i="19"/>
  <c r="U6" i="19"/>
  <c r="T6" i="19"/>
  <c r="S6" i="19"/>
  <c r="R6" i="19"/>
  <c r="Q6" i="19"/>
  <c r="P6" i="19"/>
  <c r="AE5" i="19"/>
  <c r="AD5" i="19"/>
  <c r="AC5" i="19"/>
  <c r="AB5" i="19"/>
  <c r="AA5" i="19"/>
  <c r="Z5" i="19"/>
  <c r="Y5" i="19"/>
  <c r="X5" i="19"/>
  <c r="W5" i="19"/>
  <c r="V5" i="19"/>
  <c r="U5" i="19"/>
  <c r="T5" i="19"/>
  <c r="S5" i="19"/>
  <c r="R5" i="19"/>
  <c r="Q5" i="19"/>
  <c r="P5" i="19"/>
  <c r="AE4" i="19"/>
  <c r="AD4" i="19"/>
  <c r="AC4" i="19"/>
  <c r="AB4" i="19"/>
  <c r="AA4" i="19"/>
  <c r="Z4" i="19"/>
  <c r="Y4" i="19"/>
  <c r="X4" i="19"/>
  <c r="W4" i="19"/>
  <c r="V4" i="19"/>
  <c r="U4" i="19"/>
  <c r="T4" i="19"/>
  <c r="S4" i="19"/>
  <c r="R4" i="19"/>
  <c r="Q4" i="19"/>
  <c r="P4" i="19"/>
  <c r="O4" i="19"/>
  <c r="M4" i="19"/>
  <c r="N4" i="19" s="1"/>
  <c r="L4" i="19"/>
  <c r="J4" i="19"/>
  <c r="K4" i="19" s="1"/>
  <c r="I4" i="19"/>
  <c r="H4" i="19"/>
  <c r="G4" i="19"/>
  <c r="F4" i="19" a="1"/>
  <c r="F4" i="19" s="1"/>
  <c r="E4" i="19"/>
  <c r="L29" i="19"/>
  <c r="O29" i="19"/>
  <c r="I29" i="19"/>
  <c r="O39" i="19"/>
  <c r="I39" i="19"/>
  <c r="L8" i="19"/>
  <c r="O8" i="19"/>
  <c r="I8" i="19"/>
  <c r="O42" i="19"/>
  <c r="I42" i="19"/>
  <c r="L5" i="19"/>
  <c r="O5" i="19"/>
  <c r="I5" i="19"/>
  <c r="L18" i="19"/>
  <c r="O18" i="19"/>
  <c r="I18" i="19"/>
  <c r="L22" i="19"/>
  <c r="O22" i="19"/>
  <c r="I22" i="19"/>
  <c r="L32" i="19"/>
  <c r="I32" i="19"/>
  <c r="L34" i="19"/>
  <c r="O34" i="19"/>
  <c r="I34" i="19"/>
  <c r="L36" i="19"/>
  <c r="O36" i="19"/>
  <c r="I36" i="19"/>
  <c r="L35" i="19"/>
  <c r="O35" i="19"/>
  <c r="I35" i="19"/>
  <c r="L12" i="19"/>
  <c r="O12" i="19"/>
  <c r="I12" i="19"/>
  <c r="L9" i="19"/>
  <c r="O9" i="19"/>
  <c r="I9" i="19"/>
  <c r="L27" i="19"/>
  <c r="O27" i="19"/>
  <c r="I27" i="19"/>
  <c r="L25" i="19"/>
  <c r="O25" i="19"/>
  <c r="I25" i="19"/>
  <c r="L31" i="19"/>
  <c r="O31" i="19"/>
  <c r="I31" i="19"/>
  <c r="L21" i="19"/>
  <c r="O21" i="19"/>
  <c r="I21" i="19"/>
  <c r="L14" i="19"/>
  <c r="O14" i="19"/>
  <c r="I14" i="19"/>
  <c r="L13" i="19"/>
  <c r="O13" i="19"/>
  <c r="I13" i="19"/>
  <c r="L30" i="19"/>
  <c r="O30" i="19"/>
  <c r="I30" i="19"/>
  <c r="AA2" i="18"/>
  <c r="AB2" i="18"/>
  <c r="AC2" i="18"/>
  <c r="AD2" i="18"/>
  <c r="AH739" i="9"/>
  <c r="AI739" i="9"/>
  <c r="AJ739" i="9"/>
  <c r="AK739" i="9"/>
  <c r="AH740" i="9"/>
  <c r="AI740" i="9"/>
  <c r="AJ740" i="9"/>
  <c r="AK740" i="9"/>
  <c r="AH741" i="9"/>
  <c r="AI741" i="9"/>
  <c r="AJ741" i="9"/>
  <c r="AK741" i="9"/>
  <c r="AH742" i="9"/>
  <c r="AI742" i="9"/>
  <c r="AJ742" i="9"/>
  <c r="AK742" i="9"/>
  <c r="AH743" i="9"/>
  <c r="AI743" i="9"/>
  <c r="AJ743" i="9"/>
  <c r="AK743" i="9"/>
  <c r="AH744" i="9"/>
  <c r="AI744" i="9"/>
  <c r="AJ744" i="9"/>
  <c r="AK744" i="9"/>
  <c r="AH745" i="9"/>
  <c r="AI745" i="9"/>
  <c r="AJ745" i="9"/>
  <c r="AK745" i="9"/>
  <c r="AH746" i="9"/>
  <c r="AI746" i="9"/>
  <c r="AJ746" i="9"/>
  <c r="AK746" i="9"/>
  <c r="AH747" i="9"/>
  <c r="AI747" i="9"/>
  <c r="AJ747" i="9"/>
  <c r="AK747" i="9"/>
  <c r="AH748" i="9"/>
  <c r="AI748" i="9"/>
  <c r="AJ748" i="9"/>
  <c r="AK748" i="9"/>
  <c r="AH749" i="9"/>
  <c r="AI749" i="9"/>
  <c r="AJ749" i="9"/>
  <c r="AK749" i="9"/>
  <c r="AH750" i="9"/>
  <c r="AI750" i="9"/>
  <c r="AJ750" i="9"/>
  <c r="AK750" i="9"/>
  <c r="AA74" i="15"/>
  <c r="AB74" i="15"/>
  <c r="AC74" i="15"/>
  <c r="AD74" i="15"/>
  <c r="AA75" i="15"/>
  <c r="AB75" i="15"/>
  <c r="AC75" i="15"/>
  <c r="AD75" i="15"/>
  <c r="AA76" i="15"/>
  <c r="AB76" i="15"/>
  <c r="AC76" i="15"/>
  <c r="AD76" i="15"/>
  <c r="AA77" i="15"/>
  <c r="AB77" i="15"/>
  <c r="AC77" i="15"/>
  <c r="AD77" i="15"/>
  <c r="AA78" i="15"/>
  <c r="AB78" i="15"/>
  <c r="AC78" i="15"/>
  <c r="AD78" i="15"/>
  <c r="AA79" i="15"/>
  <c r="AB79" i="15"/>
  <c r="AC79" i="15"/>
  <c r="AD79" i="15"/>
  <c r="AA80" i="15"/>
  <c r="AB80" i="15"/>
  <c r="AC80" i="15"/>
  <c r="AD80" i="15"/>
  <c r="AA81" i="15"/>
  <c r="AB81" i="15"/>
  <c r="AC81" i="15"/>
  <c r="AD81" i="15"/>
  <c r="AA82" i="15"/>
  <c r="AB82" i="15"/>
  <c r="AC82" i="15"/>
  <c r="AD82" i="15"/>
  <c r="AA83" i="15"/>
  <c r="AB83" i="15"/>
  <c r="AC83" i="15"/>
  <c r="AD83" i="15"/>
  <c r="AA84" i="15"/>
  <c r="AB84" i="15"/>
  <c r="AC84" i="15"/>
  <c r="AD84" i="15"/>
  <c r="AA85" i="15"/>
  <c r="AB85" i="15"/>
  <c r="AC85" i="15"/>
  <c r="AD85" i="15"/>
  <c r="AA86" i="15"/>
  <c r="AB86" i="15"/>
  <c r="AC86" i="15"/>
  <c r="AD86" i="15"/>
  <c r="AA87" i="15"/>
  <c r="AB87" i="15"/>
  <c r="AC87" i="15"/>
  <c r="AD87" i="15"/>
  <c r="AA88" i="15"/>
  <c r="AB88" i="15"/>
  <c r="AC88" i="15"/>
  <c r="AD88" i="15"/>
  <c r="AA89" i="15"/>
  <c r="AB89" i="15"/>
  <c r="AC89" i="15"/>
  <c r="AD89" i="15"/>
  <c r="AA559" i="10"/>
  <c r="AB559" i="10"/>
  <c r="AC559" i="10"/>
  <c r="AD559" i="10"/>
  <c r="AA560" i="10"/>
  <c r="AB560" i="10"/>
  <c r="AC560" i="10"/>
  <c r="AD560" i="10"/>
  <c r="AA561" i="10"/>
  <c r="AB561" i="10"/>
  <c r="AC561" i="10"/>
  <c r="AD561" i="10"/>
  <c r="AA562" i="10"/>
  <c r="AB562" i="10"/>
  <c r="AC562" i="10"/>
  <c r="AD562" i="10"/>
  <c r="AA563" i="10"/>
  <c r="AB563" i="10"/>
  <c r="AC563" i="10"/>
  <c r="AD563" i="10"/>
  <c r="AA564" i="10"/>
  <c r="AB564" i="10"/>
  <c r="AC564" i="10"/>
  <c r="AD564" i="10"/>
  <c r="AA565" i="10"/>
  <c r="AB565" i="10"/>
  <c r="AC565" i="10"/>
  <c r="AD565" i="10"/>
  <c r="AA566" i="10"/>
  <c r="AB566" i="10"/>
  <c r="AC566" i="10"/>
  <c r="AD566" i="10"/>
  <c r="AA567" i="10"/>
  <c r="AB567" i="10"/>
  <c r="AC567" i="10"/>
  <c r="AD567" i="10"/>
  <c r="AA568" i="10"/>
  <c r="AB568" i="10"/>
  <c r="AC568" i="10"/>
  <c r="AD568" i="10"/>
  <c r="AA569" i="10"/>
  <c r="AB569" i="10"/>
  <c r="AC569" i="10"/>
  <c r="AD569" i="10"/>
  <c r="AA570" i="10"/>
  <c r="AB570" i="10"/>
  <c r="AC570" i="10"/>
  <c r="AD570" i="10"/>
  <c r="AA571" i="10"/>
  <c r="AB571" i="10"/>
  <c r="AC571" i="10"/>
  <c r="AD571" i="10"/>
  <c r="AA572" i="10"/>
  <c r="AB572" i="10"/>
  <c r="AC572" i="10"/>
  <c r="AD572" i="10"/>
  <c r="AA573" i="10"/>
  <c r="AB573" i="10"/>
  <c r="AC573" i="10"/>
  <c r="AD573" i="10"/>
  <c r="AA574" i="10"/>
  <c r="AB574" i="10"/>
  <c r="AC574" i="10"/>
  <c r="AD574" i="10"/>
  <c r="U3" i="11"/>
  <c r="T3" i="13"/>
  <c r="U53" i="13"/>
  <c r="V53" i="13"/>
  <c r="W53" i="13"/>
  <c r="X53" i="13"/>
  <c r="Y53" i="13"/>
  <c r="Z53" i="13"/>
  <c r="AA53" i="13"/>
  <c r="AB53" i="13"/>
  <c r="AC53" i="13"/>
  <c r="AD53" i="13"/>
  <c r="AE53" i="13"/>
  <c r="AF53" i="13"/>
  <c r="AG53" i="13"/>
  <c r="AH53" i="13"/>
  <c r="AI53" i="13"/>
  <c r="T53" i="13"/>
  <c r="U52" i="13"/>
  <c r="V52" i="13"/>
  <c r="W52" i="13"/>
  <c r="X52" i="13"/>
  <c r="Y52" i="13"/>
  <c r="Z52" i="13"/>
  <c r="AA52" i="13"/>
  <c r="AB52" i="13"/>
  <c r="AC52" i="13"/>
  <c r="AD52" i="13"/>
  <c r="AE52" i="13"/>
  <c r="AF52" i="13"/>
  <c r="AG52" i="13"/>
  <c r="AH52" i="13"/>
  <c r="AI52" i="13"/>
  <c r="T52" i="13"/>
  <c r="U15" i="13"/>
  <c r="V15" i="13"/>
  <c r="W15" i="13"/>
  <c r="X15" i="13"/>
  <c r="Y15" i="13"/>
  <c r="Z15" i="13"/>
  <c r="AA15" i="13"/>
  <c r="AB15" i="13"/>
  <c r="AC15" i="13"/>
  <c r="AD15" i="13"/>
  <c r="AE15" i="13"/>
  <c r="AF15" i="13"/>
  <c r="AG15" i="13"/>
  <c r="AH15" i="13"/>
  <c r="AI15" i="13"/>
  <c r="T15" i="13"/>
  <c r="H15" i="13"/>
  <c r="I15" i="13"/>
  <c r="J15" i="13" a="1"/>
  <c r="J15" i="13" s="1"/>
  <c r="K15" i="13"/>
  <c r="L15" i="13"/>
  <c r="M15" i="13"/>
  <c r="N15" i="13"/>
  <c r="O15" i="13" s="1"/>
  <c r="P15" i="13"/>
  <c r="Q15" i="13"/>
  <c r="R15" i="13" s="1"/>
  <c r="S15" i="13"/>
  <c r="V25" i="11"/>
  <c r="W25" i="11"/>
  <c r="X25" i="11"/>
  <c r="Y25" i="11"/>
  <c r="Z25" i="11"/>
  <c r="AA25" i="11"/>
  <c r="AB25" i="11"/>
  <c r="AC25" i="11"/>
  <c r="AD25" i="11"/>
  <c r="AE25" i="11"/>
  <c r="AF25" i="11"/>
  <c r="AG25" i="11"/>
  <c r="AH25" i="11"/>
  <c r="AI25" i="11"/>
  <c r="AJ25" i="11"/>
  <c r="U25" i="11"/>
  <c r="H25" i="11"/>
  <c r="I25" i="11"/>
  <c r="K25" i="11" a="1"/>
  <c r="K25" i="11" s="1"/>
  <c r="L25" i="11"/>
  <c r="M25" i="11"/>
  <c r="N25" i="11"/>
  <c r="O25" i="11"/>
  <c r="P25" i="11" s="1"/>
  <c r="Q25" i="11"/>
  <c r="R25" i="11"/>
  <c r="S25" i="11" s="1"/>
  <c r="T25" i="11"/>
  <c r="U28" i="13"/>
  <c r="V28" i="13"/>
  <c r="W28" i="13"/>
  <c r="X28" i="13"/>
  <c r="Y28" i="13"/>
  <c r="Z28" i="13"/>
  <c r="AA28" i="13"/>
  <c r="AB28" i="13"/>
  <c r="AC28" i="13"/>
  <c r="AD28" i="13"/>
  <c r="AE28" i="13"/>
  <c r="AF28" i="13"/>
  <c r="AG28" i="13"/>
  <c r="AH28" i="13"/>
  <c r="AI28" i="13"/>
  <c r="T28" i="13"/>
  <c r="H28" i="13"/>
  <c r="I28" i="13"/>
  <c r="J28" i="13" a="1"/>
  <c r="J28" i="13" s="1"/>
  <c r="K28" i="13"/>
  <c r="L28" i="13"/>
  <c r="M28" i="13"/>
  <c r="N28" i="13"/>
  <c r="O28" i="13" s="1"/>
  <c r="P28" i="13"/>
  <c r="Q28" i="13"/>
  <c r="R28" i="13" s="1"/>
  <c r="S28" i="13"/>
  <c r="U9" i="13"/>
  <c r="V9" i="13"/>
  <c r="W9" i="13"/>
  <c r="X9" i="13"/>
  <c r="Y9" i="13"/>
  <c r="Z9" i="13"/>
  <c r="AA9" i="13"/>
  <c r="AB9" i="13"/>
  <c r="AC9" i="13"/>
  <c r="AD9" i="13"/>
  <c r="AE9" i="13"/>
  <c r="AF9" i="13"/>
  <c r="AG9" i="13"/>
  <c r="AH9" i="13"/>
  <c r="AI9" i="13"/>
  <c r="T9" i="13"/>
  <c r="H9" i="13"/>
  <c r="I9" i="13"/>
  <c r="J9" i="13" a="1"/>
  <c r="J9" i="13" s="1"/>
  <c r="K9" i="13"/>
  <c r="L9" i="13"/>
  <c r="N9" i="13"/>
  <c r="O9" i="13" s="1"/>
  <c r="Q9" i="13"/>
  <c r="R9" i="13" s="1"/>
  <c r="U16" i="13"/>
  <c r="V16" i="13"/>
  <c r="W16" i="13"/>
  <c r="X16" i="13"/>
  <c r="Y16" i="13"/>
  <c r="Z16" i="13"/>
  <c r="AA16" i="13"/>
  <c r="AB16" i="13"/>
  <c r="AC16" i="13"/>
  <c r="AD16" i="13"/>
  <c r="AE16" i="13"/>
  <c r="AF16" i="13"/>
  <c r="AG16" i="13"/>
  <c r="AH16" i="13"/>
  <c r="AI16" i="13"/>
  <c r="T16" i="13"/>
  <c r="H16" i="13"/>
  <c r="I16" i="13"/>
  <c r="J16" i="13" a="1"/>
  <c r="J16" i="13" s="1"/>
  <c r="K16" i="13"/>
  <c r="L16" i="13"/>
  <c r="M16" i="13"/>
  <c r="N16" i="13"/>
  <c r="O16" i="13" s="1"/>
  <c r="P16" i="13"/>
  <c r="Q16" i="13"/>
  <c r="R16" i="13" s="1"/>
  <c r="S16" i="13"/>
  <c r="H18" i="13"/>
  <c r="I18" i="13"/>
  <c r="J18" i="13" a="1"/>
  <c r="J18" i="13" s="1"/>
  <c r="K18" i="13"/>
  <c r="L18" i="13"/>
  <c r="N18" i="13"/>
  <c r="O18" i="13" s="1"/>
  <c r="Q18" i="13"/>
  <c r="R18" i="13" s="1"/>
  <c r="T18" i="13"/>
  <c r="U18" i="13"/>
  <c r="V18" i="13"/>
  <c r="W18" i="13"/>
  <c r="X18" i="13"/>
  <c r="Y18" i="13"/>
  <c r="Z18" i="13"/>
  <c r="AA18" i="13"/>
  <c r="AB18" i="13"/>
  <c r="AC18" i="13"/>
  <c r="AD18" i="13"/>
  <c r="AE18" i="13"/>
  <c r="H20" i="13"/>
  <c r="I20" i="13"/>
  <c r="J20" i="13" a="1"/>
  <c r="J20" i="13" s="1"/>
  <c r="K20" i="13"/>
  <c r="L20" i="13"/>
  <c r="M20" i="13"/>
  <c r="N20" i="13"/>
  <c r="O20" i="13" s="1"/>
  <c r="P20" i="13"/>
  <c r="Q20" i="13"/>
  <c r="R20" i="13" s="1"/>
  <c r="S20" i="13"/>
  <c r="T20" i="13"/>
  <c r="U20" i="13"/>
  <c r="V20" i="13"/>
  <c r="W20" i="13"/>
  <c r="X20" i="13"/>
  <c r="Y20" i="13"/>
  <c r="Z20" i="13"/>
  <c r="AA20" i="13"/>
  <c r="AB20" i="13"/>
  <c r="AC20" i="13"/>
  <c r="AD20" i="13"/>
  <c r="AE20" i="13"/>
  <c r="H21" i="13"/>
  <c r="I21" i="13"/>
  <c r="J21" i="13" a="1"/>
  <c r="J21" i="13" s="1"/>
  <c r="K21" i="13"/>
  <c r="L21" i="13"/>
  <c r="N21" i="13"/>
  <c r="O21" i="13" s="1"/>
  <c r="Q21" i="13"/>
  <c r="R21" i="13" s="1"/>
  <c r="T21" i="13"/>
  <c r="U21" i="13"/>
  <c r="V21" i="13"/>
  <c r="W21" i="13"/>
  <c r="X21" i="13"/>
  <c r="Y21" i="13"/>
  <c r="Z21" i="13"/>
  <c r="AA21" i="13"/>
  <c r="AB21" i="13"/>
  <c r="AC21" i="13"/>
  <c r="AD21" i="13"/>
  <c r="AE21" i="13"/>
  <c r="H22" i="13"/>
  <c r="I22" i="13"/>
  <c r="J22" i="13" a="1"/>
  <c r="J22" i="13" s="1"/>
  <c r="K22" i="13"/>
  <c r="L22" i="13"/>
  <c r="N22" i="13"/>
  <c r="O22" i="13" s="1"/>
  <c r="Q22" i="13"/>
  <c r="R22" i="13" s="1"/>
  <c r="T22" i="13"/>
  <c r="U22" i="13"/>
  <c r="V22" i="13"/>
  <c r="W22" i="13"/>
  <c r="X22" i="13"/>
  <c r="Y22" i="13"/>
  <c r="Z22" i="13"/>
  <c r="AA22" i="13"/>
  <c r="AB22" i="13"/>
  <c r="AC22" i="13"/>
  <c r="AD22" i="13"/>
  <c r="AE22" i="13"/>
  <c r="H24" i="13"/>
  <c r="I24" i="13"/>
  <c r="J24" i="13" a="1"/>
  <c r="J24" i="13" s="1"/>
  <c r="K24" i="13"/>
  <c r="L24" i="13"/>
  <c r="M24" i="13"/>
  <c r="N24" i="13"/>
  <c r="O24" i="13" s="1"/>
  <c r="P24" i="13"/>
  <c r="Q24" i="13"/>
  <c r="R24" i="13" s="1"/>
  <c r="S24" i="13"/>
  <c r="H25" i="13"/>
  <c r="I25" i="13"/>
  <c r="J25" i="13" a="1"/>
  <c r="J25" i="13" s="1"/>
  <c r="K25" i="13"/>
  <c r="L25" i="13"/>
  <c r="M25" i="13"/>
  <c r="N25" i="13"/>
  <c r="O25" i="13" s="1"/>
  <c r="P25" i="13"/>
  <c r="Q25" i="13"/>
  <c r="R25" i="13" s="1"/>
  <c r="S25" i="13"/>
  <c r="H23" i="13"/>
  <c r="I23" i="13"/>
  <c r="J23" i="13" a="1"/>
  <c r="J23" i="13" s="1"/>
  <c r="K23" i="13"/>
  <c r="L23" i="13"/>
  <c r="N23" i="13"/>
  <c r="O23" i="13" s="1"/>
  <c r="Q23" i="13"/>
  <c r="R23" i="13" s="1"/>
  <c r="H30" i="13"/>
  <c r="I30" i="13"/>
  <c r="J30" i="13" a="1"/>
  <c r="J30" i="13" s="1"/>
  <c r="K30" i="13"/>
  <c r="L30" i="13"/>
  <c r="N30" i="13"/>
  <c r="O30" i="13" s="1"/>
  <c r="Q30" i="13"/>
  <c r="R30" i="13" s="1"/>
  <c r="T30" i="13"/>
  <c r="U30" i="13"/>
  <c r="V30" i="13"/>
  <c r="W30" i="13"/>
  <c r="X30" i="13"/>
  <c r="Y30" i="13"/>
  <c r="Z30" i="13"/>
  <c r="AA30" i="13"/>
  <c r="AB30" i="13"/>
  <c r="AC30" i="13"/>
  <c r="AD30" i="13"/>
  <c r="AE30" i="13"/>
  <c r="H31" i="13"/>
  <c r="I31" i="13"/>
  <c r="J31" i="13" a="1"/>
  <c r="J31" i="13" s="1"/>
  <c r="K31" i="13"/>
  <c r="L31" i="13"/>
  <c r="N31" i="13"/>
  <c r="O31" i="13" s="1"/>
  <c r="Q31" i="13"/>
  <c r="R31" i="13" s="1"/>
  <c r="T31" i="13"/>
  <c r="U31" i="13"/>
  <c r="V31" i="13"/>
  <c r="W31" i="13"/>
  <c r="X31" i="13"/>
  <c r="Y31" i="13"/>
  <c r="Z31" i="13"/>
  <c r="AA31" i="13"/>
  <c r="AB31" i="13"/>
  <c r="AC31" i="13"/>
  <c r="AD31" i="13"/>
  <c r="AE31" i="13"/>
  <c r="H33" i="13"/>
  <c r="I33" i="13"/>
  <c r="J33" i="13" a="1"/>
  <c r="J33" i="13" s="1"/>
  <c r="K33" i="13"/>
  <c r="L33" i="13"/>
  <c r="M33" i="13"/>
  <c r="N33" i="13"/>
  <c r="O33" i="13" s="1"/>
  <c r="P33" i="13"/>
  <c r="Q33" i="13"/>
  <c r="R33" i="13" s="1"/>
  <c r="S33" i="13"/>
  <c r="T33" i="13"/>
  <c r="U33" i="13"/>
  <c r="V33" i="13"/>
  <c r="W33" i="13"/>
  <c r="X33" i="13"/>
  <c r="Y33" i="13"/>
  <c r="Z33" i="13"/>
  <c r="AA33" i="13"/>
  <c r="AB33" i="13"/>
  <c r="AC33" i="13"/>
  <c r="AD33" i="13"/>
  <c r="AE33" i="13"/>
  <c r="H34" i="13"/>
  <c r="I34" i="13"/>
  <c r="J34" i="13" a="1"/>
  <c r="J34" i="13" s="1"/>
  <c r="K34" i="13"/>
  <c r="L34" i="13"/>
  <c r="M34" i="13"/>
  <c r="N34" i="13"/>
  <c r="O34" i="13" s="1"/>
  <c r="P34" i="13"/>
  <c r="Q34" i="13"/>
  <c r="R34" i="13" s="1"/>
  <c r="S34" i="13"/>
  <c r="T34" i="13"/>
  <c r="U34" i="13"/>
  <c r="V34" i="13"/>
  <c r="W34" i="13"/>
  <c r="X34" i="13"/>
  <c r="Y34" i="13"/>
  <c r="Z34" i="13"/>
  <c r="AA34" i="13"/>
  <c r="AB34" i="13"/>
  <c r="AC34" i="13"/>
  <c r="AD34" i="13"/>
  <c r="AE34" i="13"/>
  <c r="H36" i="13"/>
  <c r="I36" i="13"/>
  <c r="J36" i="13" a="1"/>
  <c r="J36" i="13" s="1"/>
  <c r="K36" i="13"/>
  <c r="L36" i="13"/>
  <c r="M36" i="13"/>
  <c r="N36" i="13"/>
  <c r="O36" i="13" s="1"/>
  <c r="P36" i="13"/>
  <c r="Q36" i="13"/>
  <c r="R36" i="13" s="1"/>
  <c r="S36" i="13"/>
  <c r="T36" i="13"/>
  <c r="U36" i="13"/>
  <c r="V36" i="13"/>
  <c r="W36" i="13"/>
  <c r="X36" i="13"/>
  <c r="Y36" i="13"/>
  <c r="Z36" i="13"/>
  <c r="AA36" i="13"/>
  <c r="AB36" i="13"/>
  <c r="AC36" i="13"/>
  <c r="AD36" i="13"/>
  <c r="AE36" i="13"/>
  <c r="H41" i="13"/>
  <c r="I41" i="13"/>
  <c r="J41" i="13" a="1"/>
  <c r="J41" i="13" s="1"/>
  <c r="K41" i="13"/>
  <c r="L41" i="13"/>
  <c r="N41" i="13"/>
  <c r="O41" i="13" s="1"/>
  <c r="Q41" i="13"/>
  <c r="R41" i="13" s="1"/>
  <c r="T41" i="13"/>
  <c r="U41" i="13"/>
  <c r="V41" i="13"/>
  <c r="W41" i="13"/>
  <c r="X41" i="13"/>
  <c r="Y41" i="13"/>
  <c r="Z41" i="13"/>
  <c r="AA41" i="13"/>
  <c r="AB41" i="13"/>
  <c r="AC41" i="13"/>
  <c r="AD41" i="13"/>
  <c r="AE41" i="13"/>
  <c r="H42" i="13"/>
  <c r="I42" i="13"/>
  <c r="J42" i="13" a="1"/>
  <c r="J42" i="13" s="1"/>
  <c r="K42" i="13"/>
  <c r="L42" i="13"/>
  <c r="N42" i="13"/>
  <c r="O42" i="13" s="1"/>
  <c r="Q42" i="13"/>
  <c r="R42" i="13" s="1"/>
  <c r="T42" i="13"/>
  <c r="U42" i="13"/>
  <c r="V42" i="13"/>
  <c r="W42" i="13"/>
  <c r="X42" i="13"/>
  <c r="Y42" i="13"/>
  <c r="Z42" i="13"/>
  <c r="AA42" i="13"/>
  <c r="AB42" i="13"/>
  <c r="AC42" i="13"/>
  <c r="AD42" i="13"/>
  <c r="AE42" i="13"/>
  <c r="H43" i="13"/>
  <c r="I43" i="13"/>
  <c r="J43" i="13" a="1"/>
  <c r="J43" i="13" s="1"/>
  <c r="K43" i="13"/>
  <c r="L43" i="13"/>
  <c r="N43" i="13"/>
  <c r="O43" i="13" s="1"/>
  <c r="Q43" i="13"/>
  <c r="R43" i="13" s="1"/>
  <c r="T43" i="13"/>
  <c r="U43" i="13"/>
  <c r="V43" i="13"/>
  <c r="W43" i="13"/>
  <c r="X43" i="13"/>
  <c r="Y43" i="13"/>
  <c r="Z43" i="13"/>
  <c r="AA43" i="13"/>
  <c r="AB43" i="13"/>
  <c r="AC43" i="13"/>
  <c r="AD43" i="13"/>
  <c r="AE43" i="13"/>
  <c r="H44" i="13"/>
  <c r="I44" i="13"/>
  <c r="J44" i="13" a="1"/>
  <c r="J44" i="13" s="1"/>
  <c r="K44" i="13"/>
  <c r="L44" i="13"/>
  <c r="M44" i="13"/>
  <c r="N44" i="13"/>
  <c r="O44" i="13" s="1"/>
  <c r="P44" i="13"/>
  <c r="Q44" i="13"/>
  <c r="R44" i="13" s="1"/>
  <c r="S44" i="13"/>
  <c r="T44" i="13"/>
  <c r="U44" i="13"/>
  <c r="V44" i="13"/>
  <c r="W44" i="13"/>
  <c r="X44" i="13"/>
  <c r="Y44" i="13"/>
  <c r="Z44" i="13"/>
  <c r="AA44" i="13"/>
  <c r="AB44" i="13"/>
  <c r="AC44" i="13"/>
  <c r="AD44" i="13"/>
  <c r="AE44" i="13"/>
  <c r="U13" i="13"/>
  <c r="V13" i="13"/>
  <c r="W13" i="13"/>
  <c r="X13" i="13"/>
  <c r="Y13" i="13"/>
  <c r="Z13" i="13"/>
  <c r="AA13" i="13"/>
  <c r="AB13" i="13"/>
  <c r="AC13" i="13"/>
  <c r="AD13" i="13"/>
  <c r="AE13" i="13"/>
  <c r="AF13" i="13"/>
  <c r="AG13" i="13"/>
  <c r="AH13" i="13"/>
  <c r="AI13" i="13"/>
  <c r="T13" i="13"/>
  <c r="H13" i="13"/>
  <c r="I13" i="13"/>
  <c r="J13" i="13" a="1"/>
  <c r="J13" i="13" s="1"/>
  <c r="K13" i="13"/>
  <c r="L13" i="13"/>
  <c r="M13" i="13"/>
  <c r="N13" i="13"/>
  <c r="O13" i="13" s="1"/>
  <c r="P13" i="13"/>
  <c r="Q13" i="13"/>
  <c r="R13" i="13" s="1"/>
  <c r="S13" i="13"/>
  <c r="U3" i="13"/>
  <c r="V3" i="13"/>
  <c r="W3" i="13"/>
  <c r="X3" i="13"/>
  <c r="Y3" i="13"/>
  <c r="Z3" i="13"/>
  <c r="AA3" i="13"/>
  <c r="AB3" i="13"/>
  <c r="AC3" i="13"/>
  <c r="AD3" i="13"/>
  <c r="AE3" i="13"/>
  <c r="AF3" i="13"/>
  <c r="AG3" i="13"/>
  <c r="AH3" i="13"/>
  <c r="AI3" i="13"/>
  <c r="H3" i="13"/>
  <c r="I3" i="13"/>
  <c r="J3" i="13" a="1"/>
  <c r="J3" i="13" s="1"/>
  <c r="K3" i="13"/>
  <c r="L3" i="13"/>
  <c r="M3" i="13"/>
  <c r="N3" i="13"/>
  <c r="O3" i="13" s="1"/>
  <c r="P3" i="13"/>
  <c r="Q3" i="13"/>
  <c r="R3" i="13" s="1"/>
  <c r="S3" i="13"/>
  <c r="AA58" i="15"/>
  <c r="AB58" i="15"/>
  <c r="AC58" i="15"/>
  <c r="AD58" i="15"/>
  <c r="AA59" i="15"/>
  <c r="AB59" i="15"/>
  <c r="AC59" i="15"/>
  <c r="AD59" i="15"/>
  <c r="AA60" i="15"/>
  <c r="AB60" i="15"/>
  <c r="AC60" i="15"/>
  <c r="AD60" i="15"/>
  <c r="AA61" i="15"/>
  <c r="AB61" i="15"/>
  <c r="AC61" i="15"/>
  <c r="AD61" i="15"/>
  <c r="AA62" i="15"/>
  <c r="AB62" i="15"/>
  <c r="AC62" i="15"/>
  <c r="AD62" i="15"/>
  <c r="AA63" i="15"/>
  <c r="AB63" i="15"/>
  <c r="AC63" i="15"/>
  <c r="AD63" i="15"/>
  <c r="AA64" i="15"/>
  <c r="AB64" i="15"/>
  <c r="AC64" i="15"/>
  <c r="AD64" i="15"/>
  <c r="AA65" i="15"/>
  <c r="AB65" i="15"/>
  <c r="AC65" i="15"/>
  <c r="AD65" i="15"/>
  <c r="AA66" i="15"/>
  <c r="AB66" i="15"/>
  <c r="AC66" i="15"/>
  <c r="AD66" i="15"/>
  <c r="AA67" i="15"/>
  <c r="AB67" i="15"/>
  <c r="AC67" i="15"/>
  <c r="AD67" i="15"/>
  <c r="AA68" i="15"/>
  <c r="AB68" i="15"/>
  <c r="AC68" i="15"/>
  <c r="AD68" i="15"/>
  <c r="AA69" i="15"/>
  <c r="AB69" i="15"/>
  <c r="AC69" i="15"/>
  <c r="AD69" i="15"/>
  <c r="AA70" i="15"/>
  <c r="AB70" i="15"/>
  <c r="AC70" i="15"/>
  <c r="AD70" i="15"/>
  <c r="AA71" i="15"/>
  <c r="AB71" i="15"/>
  <c r="P9" i="13" s="1"/>
  <c r="AC71" i="15"/>
  <c r="S9" i="13" s="1"/>
  <c r="AD71" i="15"/>
  <c r="M9" i="13" s="1"/>
  <c r="AA72" i="15"/>
  <c r="AB72" i="15"/>
  <c r="AC72" i="15"/>
  <c r="AD72" i="15"/>
  <c r="AA73" i="15"/>
  <c r="AB73" i="15"/>
  <c r="AC73" i="15"/>
  <c r="AD73" i="15"/>
  <c r="AA543" i="10"/>
  <c r="AB543" i="10"/>
  <c r="AC543" i="10"/>
  <c r="AD543" i="10"/>
  <c r="AA544" i="10"/>
  <c r="AB544" i="10"/>
  <c r="AC544" i="10"/>
  <c r="AD544" i="10"/>
  <c r="AA545" i="10"/>
  <c r="AB545" i="10"/>
  <c r="AC545" i="10"/>
  <c r="AD545" i="10"/>
  <c r="AA546" i="10"/>
  <c r="AB546" i="10"/>
  <c r="AC546" i="10"/>
  <c r="AD546" i="10"/>
  <c r="AA547" i="10"/>
  <c r="AB547" i="10"/>
  <c r="AC547" i="10"/>
  <c r="AD547" i="10"/>
  <c r="AA548" i="10"/>
  <c r="AB548" i="10"/>
  <c r="AC548" i="10"/>
  <c r="AD548" i="10"/>
  <c r="AA549" i="10"/>
  <c r="AB549" i="10"/>
  <c r="AC549" i="10"/>
  <c r="AD549" i="10"/>
  <c r="AA550" i="10"/>
  <c r="AB550" i="10"/>
  <c r="AC550" i="10"/>
  <c r="AD550" i="10"/>
  <c r="AA551" i="10"/>
  <c r="AB551" i="10"/>
  <c r="AC551" i="10"/>
  <c r="AD551" i="10"/>
  <c r="AA552" i="10"/>
  <c r="AB552" i="10"/>
  <c r="AC552" i="10"/>
  <c r="AD552" i="10"/>
  <c r="AA553" i="10"/>
  <c r="AB553" i="10"/>
  <c r="AC553" i="10"/>
  <c r="AD553" i="10"/>
  <c r="AA554" i="10"/>
  <c r="AB554" i="10"/>
  <c r="AC554" i="10"/>
  <c r="AD554" i="10"/>
  <c r="AA555" i="10"/>
  <c r="AB555" i="10"/>
  <c r="AC555" i="10"/>
  <c r="AD555" i="10"/>
  <c r="AA556" i="10"/>
  <c r="AB556" i="10"/>
  <c r="AC556" i="10"/>
  <c r="AD556" i="10"/>
  <c r="AA557" i="10"/>
  <c r="AB557" i="10"/>
  <c r="AC557" i="10"/>
  <c r="AD557" i="10"/>
  <c r="AA558" i="10"/>
  <c r="AB558" i="10"/>
  <c r="AC558" i="10"/>
  <c r="AD558" i="10"/>
  <c r="U4" i="13"/>
  <c r="V4" i="13"/>
  <c r="W4" i="13"/>
  <c r="X4" i="13"/>
  <c r="Y4" i="13"/>
  <c r="Z4" i="13"/>
  <c r="AA4" i="13"/>
  <c r="AB4" i="13"/>
  <c r="AC4" i="13"/>
  <c r="AD4" i="13"/>
  <c r="AE4" i="13"/>
  <c r="AF4" i="13"/>
  <c r="AG4" i="13"/>
  <c r="AH4" i="13"/>
  <c r="AI4" i="13"/>
  <c r="T4" i="13"/>
  <c r="H4" i="13"/>
  <c r="I4" i="13"/>
  <c r="J4" i="13" a="1"/>
  <c r="J4" i="13" s="1"/>
  <c r="K4" i="13"/>
  <c r="L4" i="13"/>
  <c r="N4" i="13"/>
  <c r="O4" i="13" s="1"/>
  <c r="Q4" i="13"/>
  <c r="R4" i="13" s="1"/>
  <c r="H53" i="13"/>
  <c r="I53" i="13"/>
  <c r="J53" i="13" a="1"/>
  <c r="J53" i="13" s="1"/>
  <c r="K53" i="13"/>
  <c r="L53" i="13"/>
  <c r="M53" i="13"/>
  <c r="N53" i="13"/>
  <c r="O53" i="13" s="1"/>
  <c r="P53" i="13"/>
  <c r="Q53" i="13"/>
  <c r="R53" i="13" s="1"/>
  <c r="S53" i="13"/>
  <c r="AA42" i="15"/>
  <c r="AB42" i="15"/>
  <c r="AC42" i="15"/>
  <c r="AD42" i="15"/>
  <c r="AA43" i="15"/>
  <c r="AB43" i="15"/>
  <c r="AC43" i="15"/>
  <c r="AD43" i="15"/>
  <c r="AA44" i="15"/>
  <c r="AB44" i="15"/>
  <c r="AC44" i="15"/>
  <c r="AD44" i="15"/>
  <c r="AA45" i="15"/>
  <c r="AB45" i="15"/>
  <c r="AC45" i="15"/>
  <c r="AD45" i="15"/>
  <c r="AA46" i="15"/>
  <c r="AB46" i="15"/>
  <c r="AC46" i="15"/>
  <c r="AD46" i="15"/>
  <c r="AA47" i="15"/>
  <c r="AB47" i="15"/>
  <c r="AC47" i="15"/>
  <c r="AD47" i="15"/>
  <c r="AA48" i="15"/>
  <c r="AB48" i="15"/>
  <c r="AC48" i="15"/>
  <c r="AD48" i="15"/>
  <c r="AA49" i="15"/>
  <c r="AB49" i="15"/>
  <c r="AC49" i="15"/>
  <c r="AD49" i="15"/>
  <c r="AA50" i="15"/>
  <c r="AB50" i="15"/>
  <c r="AC50" i="15"/>
  <c r="AD50" i="15"/>
  <c r="AA51" i="15"/>
  <c r="AB51" i="15"/>
  <c r="AC51" i="15"/>
  <c r="AD51" i="15"/>
  <c r="AA52" i="15"/>
  <c r="AB52" i="15"/>
  <c r="P23" i="13" s="1"/>
  <c r="AC52" i="15"/>
  <c r="S23" i="13" s="1"/>
  <c r="AD52" i="15"/>
  <c r="M23" i="13" s="1"/>
  <c r="AA53" i="15"/>
  <c r="AB53" i="15"/>
  <c r="P42" i="13" s="1"/>
  <c r="AC53" i="15"/>
  <c r="S42" i="13" s="1"/>
  <c r="AD53" i="15"/>
  <c r="M42" i="13" s="1"/>
  <c r="AA54" i="15"/>
  <c r="AB54" i="15"/>
  <c r="P43" i="13" s="1"/>
  <c r="AC54" i="15"/>
  <c r="S43" i="13" s="1"/>
  <c r="AD54" i="15"/>
  <c r="M43" i="13" s="1"/>
  <c r="AA55" i="15"/>
  <c r="AB55" i="15"/>
  <c r="AC55" i="15"/>
  <c r="AD55" i="15"/>
  <c r="M10" i="13" s="1"/>
  <c r="AA56" i="15"/>
  <c r="AB56" i="15"/>
  <c r="AC56" i="15"/>
  <c r="AD56" i="15"/>
  <c r="AA57" i="15"/>
  <c r="AB57" i="15"/>
  <c r="P4" i="13" s="1"/>
  <c r="AC57" i="15"/>
  <c r="S4" i="13" s="1"/>
  <c r="AD57" i="15"/>
  <c r="M4" i="13" s="1"/>
  <c r="AA512" i="10"/>
  <c r="AB512" i="10"/>
  <c r="AC512" i="10"/>
  <c r="AD512" i="10"/>
  <c r="AA513" i="10"/>
  <c r="AB513" i="10"/>
  <c r="AC513" i="10"/>
  <c r="AD513" i="10"/>
  <c r="AA514" i="10"/>
  <c r="AB514" i="10"/>
  <c r="AC514" i="10"/>
  <c r="AD514" i="10"/>
  <c r="AA515" i="10"/>
  <c r="AB515" i="10"/>
  <c r="AC515" i="10"/>
  <c r="AD515" i="10"/>
  <c r="AA516" i="10"/>
  <c r="AB516" i="10"/>
  <c r="AC516" i="10"/>
  <c r="AD516" i="10"/>
  <c r="AA517" i="10"/>
  <c r="AB517" i="10"/>
  <c r="AC517" i="10"/>
  <c r="AD517" i="10"/>
  <c r="AA518" i="10"/>
  <c r="AB518" i="10"/>
  <c r="AC518" i="10"/>
  <c r="AD518" i="10"/>
  <c r="AA519" i="10"/>
  <c r="AB519" i="10"/>
  <c r="AC519" i="10"/>
  <c r="AD519" i="10"/>
  <c r="AA520" i="10"/>
  <c r="AB520" i="10"/>
  <c r="AC520" i="10"/>
  <c r="AD520" i="10"/>
  <c r="AA521" i="10"/>
  <c r="AB521" i="10"/>
  <c r="AC521" i="10"/>
  <c r="AD521" i="10"/>
  <c r="AA522" i="10"/>
  <c r="AB522" i="10"/>
  <c r="AC522" i="10"/>
  <c r="AD522" i="10"/>
  <c r="AA523" i="10"/>
  <c r="AB523" i="10"/>
  <c r="AC523" i="10"/>
  <c r="AD523" i="10"/>
  <c r="AA524" i="10"/>
  <c r="AB524" i="10"/>
  <c r="AC524" i="10"/>
  <c r="AD524" i="10"/>
  <c r="AA525" i="10"/>
  <c r="AB525" i="10"/>
  <c r="AC525" i="10"/>
  <c r="AD525" i="10"/>
  <c r="AA526" i="10"/>
  <c r="AB526" i="10"/>
  <c r="AC526" i="10"/>
  <c r="AD526" i="10"/>
  <c r="AA527" i="10"/>
  <c r="AB527" i="10"/>
  <c r="AC527" i="10"/>
  <c r="AD527" i="10"/>
  <c r="V18" i="11"/>
  <c r="W18" i="11"/>
  <c r="X18" i="11"/>
  <c r="Y18" i="11"/>
  <c r="Z18" i="11"/>
  <c r="AA18" i="11"/>
  <c r="AB18" i="11"/>
  <c r="AC18" i="11"/>
  <c r="AD18" i="11"/>
  <c r="AE18" i="11"/>
  <c r="AF18" i="11"/>
  <c r="AG18" i="11"/>
  <c r="AH18" i="11"/>
  <c r="AI18" i="11"/>
  <c r="AJ18" i="11"/>
  <c r="U18" i="11"/>
  <c r="H18" i="11"/>
  <c r="I18" i="11"/>
  <c r="K18" i="11" a="1"/>
  <c r="K18" i="11" s="1"/>
  <c r="L18" i="11"/>
  <c r="M18" i="11"/>
  <c r="O18" i="11"/>
  <c r="P18" i="11" s="1"/>
  <c r="R18" i="11"/>
  <c r="S18" i="11" s="1"/>
  <c r="T18" i="11"/>
  <c r="V44" i="11"/>
  <c r="W44" i="11"/>
  <c r="X44" i="11"/>
  <c r="Y44" i="11"/>
  <c r="Z44" i="11"/>
  <c r="AA44" i="11"/>
  <c r="AB44" i="11"/>
  <c r="AC44" i="11"/>
  <c r="AD44" i="11"/>
  <c r="AE44" i="11"/>
  <c r="AF44" i="11"/>
  <c r="AG44" i="11"/>
  <c r="AH44" i="11"/>
  <c r="AI44" i="11"/>
  <c r="AJ44" i="11"/>
  <c r="U44" i="11"/>
  <c r="H44" i="11"/>
  <c r="I44" i="11"/>
  <c r="K44" i="11" a="1"/>
  <c r="K44" i="11" s="1"/>
  <c r="L44" i="11"/>
  <c r="M44" i="11"/>
  <c r="N44" i="11"/>
  <c r="O44" i="11"/>
  <c r="P44" i="11" s="1"/>
  <c r="Q44" i="11"/>
  <c r="R44" i="11"/>
  <c r="S44" i="11" s="1"/>
  <c r="AF18" i="13"/>
  <c r="AG18" i="13"/>
  <c r="AH18" i="13"/>
  <c r="AI18" i="13"/>
  <c r="U14" i="13"/>
  <c r="V14" i="13"/>
  <c r="W14" i="13"/>
  <c r="X14" i="13"/>
  <c r="Y14" i="13"/>
  <c r="Z14" i="13"/>
  <c r="AA14" i="13"/>
  <c r="AB14" i="13"/>
  <c r="AC14" i="13"/>
  <c r="AD14" i="13"/>
  <c r="AE14" i="13"/>
  <c r="AF14" i="13"/>
  <c r="AG14" i="13"/>
  <c r="AH14" i="13"/>
  <c r="AI14" i="13"/>
  <c r="T14" i="13"/>
  <c r="H14" i="13"/>
  <c r="I14" i="13"/>
  <c r="J14" i="13" a="1"/>
  <c r="J14" i="13" s="1"/>
  <c r="K14" i="13"/>
  <c r="L14" i="13"/>
  <c r="N14" i="13"/>
  <c r="O14" i="13" s="1"/>
  <c r="Q14" i="13"/>
  <c r="R14" i="13" s="1"/>
  <c r="AF41" i="13"/>
  <c r="AG41" i="13"/>
  <c r="AH41" i="13"/>
  <c r="AI41" i="13"/>
  <c r="AH726" i="9"/>
  <c r="AI726" i="9"/>
  <c r="AJ726" i="9"/>
  <c r="AK726" i="9"/>
  <c r="AH727" i="9"/>
  <c r="AI727" i="9"/>
  <c r="AJ727" i="9"/>
  <c r="AK727" i="9"/>
  <c r="AH728" i="9"/>
  <c r="AI728" i="9"/>
  <c r="AJ728" i="9"/>
  <c r="AK728" i="9"/>
  <c r="AH729" i="9"/>
  <c r="AI729" i="9"/>
  <c r="AJ729" i="9"/>
  <c r="AK729" i="9"/>
  <c r="AH730" i="9"/>
  <c r="AI730" i="9"/>
  <c r="AJ730" i="9"/>
  <c r="AK730" i="9"/>
  <c r="AH731" i="9"/>
  <c r="AI731" i="9"/>
  <c r="AJ731" i="9"/>
  <c r="AK731" i="9"/>
  <c r="AH732" i="9"/>
  <c r="AI732" i="9"/>
  <c r="AJ732" i="9"/>
  <c r="AK732" i="9"/>
  <c r="AH733" i="9"/>
  <c r="AI733" i="9"/>
  <c r="AJ733" i="9"/>
  <c r="AK733" i="9"/>
  <c r="AH734" i="9"/>
  <c r="AI734" i="9"/>
  <c r="AJ734" i="9"/>
  <c r="AK734" i="9"/>
  <c r="AH735" i="9"/>
  <c r="AI735" i="9"/>
  <c r="AJ735" i="9"/>
  <c r="AK735" i="9"/>
  <c r="AH736" i="9"/>
  <c r="AI736" i="9"/>
  <c r="AJ736" i="9"/>
  <c r="AK736" i="9"/>
  <c r="AH737" i="9"/>
  <c r="AI737" i="9"/>
  <c r="AJ737" i="9"/>
  <c r="AK737" i="9"/>
  <c r="AH738" i="9"/>
  <c r="AI738" i="9"/>
  <c r="AJ738" i="9"/>
  <c r="R7" i="12" s="1"/>
  <c r="AK738" i="9"/>
  <c r="AH716" i="9"/>
  <c r="AI716" i="9"/>
  <c r="AJ716" i="9"/>
  <c r="AK716" i="9"/>
  <c r="AH717" i="9"/>
  <c r="AI717" i="9"/>
  <c r="AJ717" i="9"/>
  <c r="AK717" i="9"/>
  <c r="AH718" i="9"/>
  <c r="AI718" i="9"/>
  <c r="AJ718" i="9"/>
  <c r="AK718" i="9"/>
  <c r="AH719" i="9"/>
  <c r="AI719" i="9"/>
  <c r="AJ719" i="9"/>
  <c r="AK719" i="9"/>
  <c r="AH720" i="9"/>
  <c r="AI720" i="9"/>
  <c r="AJ720" i="9"/>
  <c r="AK720" i="9"/>
  <c r="AH721" i="9"/>
  <c r="AI721" i="9"/>
  <c r="AJ721" i="9"/>
  <c r="AK721" i="9"/>
  <c r="AH722" i="9"/>
  <c r="AI722" i="9"/>
  <c r="AJ722" i="9"/>
  <c r="AK722" i="9"/>
  <c r="AH723" i="9"/>
  <c r="AI723" i="9"/>
  <c r="AJ723" i="9"/>
  <c r="AK723" i="9"/>
  <c r="AH724" i="9"/>
  <c r="AI724" i="9"/>
  <c r="AJ724" i="9"/>
  <c r="AK724" i="9"/>
  <c r="AH725" i="9"/>
  <c r="AI725" i="9"/>
  <c r="AJ725" i="9"/>
  <c r="AK725" i="9"/>
  <c r="AH706" i="9"/>
  <c r="AI706" i="9"/>
  <c r="AJ706" i="9"/>
  <c r="AK706" i="9"/>
  <c r="AH707" i="9"/>
  <c r="AI707" i="9"/>
  <c r="AJ707" i="9"/>
  <c r="AK707" i="9"/>
  <c r="AH708" i="9"/>
  <c r="AI708" i="9"/>
  <c r="AJ708" i="9"/>
  <c r="AK708" i="9"/>
  <c r="AH709" i="9"/>
  <c r="AI709" i="9"/>
  <c r="AJ709" i="9"/>
  <c r="AK709" i="9"/>
  <c r="AH710" i="9"/>
  <c r="AI710" i="9"/>
  <c r="AJ710" i="9"/>
  <c r="AK710" i="9"/>
  <c r="AH711" i="9"/>
  <c r="AI711" i="9"/>
  <c r="AJ711" i="9"/>
  <c r="AK711" i="9"/>
  <c r="AH712" i="9"/>
  <c r="AI712" i="9"/>
  <c r="AJ712" i="9"/>
  <c r="AK712" i="9"/>
  <c r="AH713" i="9"/>
  <c r="AI713" i="9"/>
  <c r="AJ713" i="9"/>
  <c r="AK713" i="9"/>
  <c r="AH714" i="9"/>
  <c r="AI714" i="9"/>
  <c r="AJ714" i="9"/>
  <c r="AK714" i="9"/>
  <c r="AH715" i="9"/>
  <c r="AI715" i="9"/>
  <c r="AJ715" i="9"/>
  <c r="AK715" i="9"/>
  <c r="AA27" i="15"/>
  <c r="AB27" i="15"/>
  <c r="AC27" i="15"/>
  <c r="AD27" i="15"/>
  <c r="AA28" i="15"/>
  <c r="AB28" i="15"/>
  <c r="AC28" i="15"/>
  <c r="AD28" i="15"/>
  <c r="AA29" i="15"/>
  <c r="AB29" i="15"/>
  <c r="AC29" i="15"/>
  <c r="AD29" i="15"/>
  <c r="AA30" i="15"/>
  <c r="AB30" i="15"/>
  <c r="AC30" i="15"/>
  <c r="AD30" i="15"/>
  <c r="AA31" i="15"/>
  <c r="AB31" i="15"/>
  <c r="P41" i="13" s="1"/>
  <c r="AC31" i="15"/>
  <c r="S41" i="13" s="1"/>
  <c r="AD31" i="15"/>
  <c r="M41" i="13" s="1"/>
  <c r="AA32" i="15"/>
  <c r="AB32" i="15"/>
  <c r="AC32" i="15"/>
  <c r="AD32" i="15"/>
  <c r="AA33" i="15"/>
  <c r="AB33" i="15"/>
  <c r="AC33" i="15"/>
  <c r="AD33" i="15"/>
  <c r="AA34" i="15"/>
  <c r="AB34" i="15"/>
  <c r="AC34" i="15"/>
  <c r="AD34" i="15"/>
  <c r="AA35" i="15"/>
  <c r="AB35" i="15"/>
  <c r="AC35" i="15"/>
  <c r="AD35" i="15"/>
  <c r="AA36" i="15"/>
  <c r="AB36" i="15"/>
  <c r="AC36" i="15"/>
  <c r="AD36" i="15"/>
  <c r="AA37" i="15"/>
  <c r="AB37" i="15"/>
  <c r="P30" i="13" s="1"/>
  <c r="AC37" i="15"/>
  <c r="S30" i="13" s="1"/>
  <c r="AD37" i="15"/>
  <c r="M30" i="13" s="1"/>
  <c r="AA38" i="15"/>
  <c r="AB38" i="15"/>
  <c r="AC38" i="15"/>
  <c r="AD38" i="15"/>
  <c r="AA39" i="15"/>
  <c r="AB39" i="15"/>
  <c r="AC39" i="15"/>
  <c r="AD39" i="15"/>
  <c r="AA40" i="15"/>
  <c r="AB40" i="15"/>
  <c r="P14" i="13" s="1"/>
  <c r="AC40" i="15"/>
  <c r="S14" i="13" s="1"/>
  <c r="AD40" i="15"/>
  <c r="M14" i="13" s="1"/>
  <c r="AA41" i="15"/>
  <c r="AB41" i="15"/>
  <c r="AC41" i="15"/>
  <c r="AD41" i="15"/>
  <c r="AA528" i="10"/>
  <c r="AB528" i="10"/>
  <c r="AC528" i="10"/>
  <c r="AD528" i="10"/>
  <c r="AA529" i="10"/>
  <c r="AB529" i="10"/>
  <c r="AC529" i="10"/>
  <c r="AD529" i="10"/>
  <c r="AA530" i="10"/>
  <c r="AB530" i="10"/>
  <c r="AC530" i="10"/>
  <c r="AD530" i="10"/>
  <c r="AA531" i="10"/>
  <c r="AB531" i="10"/>
  <c r="AC531" i="10"/>
  <c r="AD531" i="10"/>
  <c r="AA532" i="10"/>
  <c r="AB532" i="10"/>
  <c r="AC532" i="10"/>
  <c r="T44" i="11" s="1"/>
  <c r="AD532" i="10"/>
  <c r="AA533" i="10"/>
  <c r="AB533" i="10"/>
  <c r="AC533" i="10"/>
  <c r="AD533" i="10"/>
  <c r="AA534" i="10"/>
  <c r="AB534" i="10"/>
  <c r="AC534" i="10"/>
  <c r="AD534" i="10"/>
  <c r="AA535" i="10"/>
  <c r="AB535" i="10"/>
  <c r="AC535" i="10"/>
  <c r="AD535" i="10"/>
  <c r="AA536" i="10"/>
  <c r="AB536" i="10"/>
  <c r="AC536" i="10"/>
  <c r="AD536" i="10"/>
  <c r="AA537" i="10"/>
  <c r="AB537" i="10"/>
  <c r="AC537" i="10"/>
  <c r="AD537" i="10"/>
  <c r="AA538" i="10"/>
  <c r="AB538" i="10"/>
  <c r="AC538" i="10"/>
  <c r="AD538" i="10"/>
  <c r="AA539" i="10"/>
  <c r="AB539" i="10"/>
  <c r="AC539" i="10"/>
  <c r="AD539" i="10"/>
  <c r="AA540" i="10"/>
  <c r="AB540" i="10"/>
  <c r="AC540" i="10"/>
  <c r="AD540" i="10"/>
  <c r="AA541" i="10"/>
  <c r="AB541" i="10"/>
  <c r="AC541" i="10"/>
  <c r="AD541" i="10"/>
  <c r="AA542" i="10"/>
  <c r="AB542" i="10"/>
  <c r="AC542" i="10"/>
  <c r="AD542" i="10"/>
  <c r="AA14" i="15"/>
  <c r="AB14" i="15"/>
  <c r="AC14" i="15"/>
  <c r="AD14" i="15"/>
  <c r="AA15" i="15"/>
  <c r="AB15" i="15"/>
  <c r="AC15" i="15"/>
  <c r="AD15" i="15"/>
  <c r="AA16" i="15"/>
  <c r="AB16" i="15"/>
  <c r="AC16" i="15"/>
  <c r="AD16" i="15"/>
  <c r="AA17" i="15"/>
  <c r="AB17" i="15"/>
  <c r="AC17" i="15"/>
  <c r="AD17" i="15"/>
  <c r="M45" i="13" s="1"/>
  <c r="AA18" i="15"/>
  <c r="AB18" i="15"/>
  <c r="AC18" i="15"/>
  <c r="AD18" i="15"/>
  <c r="AA19" i="15"/>
  <c r="AB19" i="15"/>
  <c r="AC19" i="15"/>
  <c r="AD19" i="15"/>
  <c r="AA20" i="15"/>
  <c r="AB20" i="15"/>
  <c r="AC20" i="15"/>
  <c r="AD20" i="15"/>
  <c r="AA21" i="15"/>
  <c r="AB21" i="15"/>
  <c r="AC21" i="15"/>
  <c r="AD21" i="15"/>
  <c r="AA22" i="15"/>
  <c r="AB22" i="15"/>
  <c r="AC22" i="15"/>
  <c r="AD22" i="15"/>
  <c r="AA23" i="15"/>
  <c r="AB23" i="15"/>
  <c r="P21" i="13" s="1"/>
  <c r="AC23" i="15"/>
  <c r="S21" i="13" s="1"/>
  <c r="AD23" i="15"/>
  <c r="M21" i="13" s="1"/>
  <c r="AA24" i="15"/>
  <c r="AB24" i="15"/>
  <c r="AC24" i="15"/>
  <c r="AD24" i="15"/>
  <c r="AA25" i="15"/>
  <c r="AB25" i="15"/>
  <c r="P18" i="13" s="1"/>
  <c r="AC25" i="15"/>
  <c r="S18" i="13" s="1"/>
  <c r="AD25" i="15"/>
  <c r="M18" i="13" s="1"/>
  <c r="AA26" i="15"/>
  <c r="AB26" i="15"/>
  <c r="AC26" i="15"/>
  <c r="AD26" i="15"/>
  <c r="AA499" i="10"/>
  <c r="AB499" i="10"/>
  <c r="AC499" i="10"/>
  <c r="AD499" i="10"/>
  <c r="AA500" i="10"/>
  <c r="AB500" i="10"/>
  <c r="AC500" i="10"/>
  <c r="AD500" i="10"/>
  <c r="AA501" i="10"/>
  <c r="AB501" i="10"/>
  <c r="AC501" i="10"/>
  <c r="AD501" i="10"/>
  <c r="AA502" i="10"/>
  <c r="AB502" i="10"/>
  <c r="AC502" i="10"/>
  <c r="AD502" i="10"/>
  <c r="AA503" i="10"/>
  <c r="AB503" i="10"/>
  <c r="AC503" i="10"/>
  <c r="AD503" i="10"/>
  <c r="AA504" i="10"/>
  <c r="AB504" i="10"/>
  <c r="AC504" i="10"/>
  <c r="AD504" i="10"/>
  <c r="AA505" i="10"/>
  <c r="AB505" i="10"/>
  <c r="AC505" i="10"/>
  <c r="AD505" i="10"/>
  <c r="AA506" i="10"/>
  <c r="AB506" i="10"/>
  <c r="AC506" i="10"/>
  <c r="AD506" i="10"/>
  <c r="AA507" i="10"/>
  <c r="AB507" i="10"/>
  <c r="AC507" i="10"/>
  <c r="AD507" i="10"/>
  <c r="AA508" i="10"/>
  <c r="AB508" i="10"/>
  <c r="AC508" i="10"/>
  <c r="AD508" i="10"/>
  <c r="AA509" i="10"/>
  <c r="AB509" i="10"/>
  <c r="AC509" i="10"/>
  <c r="AD509" i="10"/>
  <c r="AA510" i="10"/>
  <c r="AB510" i="10"/>
  <c r="Q18" i="11" s="1"/>
  <c r="AC510" i="10"/>
  <c r="AD510" i="10"/>
  <c r="N18" i="11" s="1"/>
  <c r="AA511" i="10"/>
  <c r="AB511" i="10"/>
  <c r="AC511" i="10"/>
  <c r="AD511" i="10"/>
  <c r="AA2" i="15"/>
  <c r="AB2" i="15"/>
  <c r="AC2" i="15"/>
  <c r="AD2" i="15"/>
  <c r="AA3" i="15"/>
  <c r="AB3" i="15"/>
  <c r="AC3" i="15"/>
  <c r="AD3" i="15"/>
  <c r="AA4" i="15"/>
  <c r="AB4" i="15"/>
  <c r="AC4" i="15"/>
  <c r="AD4" i="15"/>
  <c r="AA5" i="15"/>
  <c r="AB5" i="15"/>
  <c r="AC5" i="15"/>
  <c r="AD5" i="15"/>
  <c r="AA6" i="15"/>
  <c r="AB6" i="15"/>
  <c r="P22" i="13" s="1"/>
  <c r="AC6" i="15"/>
  <c r="S22" i="13" s="1"/>
  <c r="AD6" i="15"/>
  <c r="M22" i="13" s="1"/>
  <c r="AA7" i="15"/>
  <c r="AB7" i="15"/>
  <c r="P7" i="13" s="1"/>
  <c r="AC7" i="15"/>
  <c r="AD7" i="15"/>
  <c r="M7" i="13" s="1"/>
  <c r="AA8" i="15"/>
  <c r="AB8" i="15"/>
  <c r="AC8" i="15"/>
  <c r="AD8" i="15"/>
  <c r="AA9" i="15"/>
  <c r="AB9" i="15"/>
  <c r="AC9" i="15"/>
  <c r="AD9" i="15"/>
  <c r="AA10" i="15"/>
  <c r="AB10" i="15"/>
  <c r="AC10" i="15"/>
  <c r="AD10" i="15"/>
  <c r="AA11" i="15"/>
  <c r="AB11" i="15"/>
  <c r="P31" i="13" s="1"/>
  <c r="AC11" i="15"/>
  <c r="S31" i="13" s="1"/>
  <c r="AD11" i="15"/>
  <c r="M31" i="13" s="1"/>
  <c r="AA12" i="15"/>
  <c r="AB12" i="15"/>
  <c r="AC12" i="15"/>
  <c r="AD12" i="15"/>
  <c r="AA13" i="15"/>
  <c r="AB13" i="15"/>
  <c r="AC13" i="15"/>
  <c r="AD13" i="15"/>
  <c r="AA487" i="10"/>
  <c r="AB487" i="10"/>
  <c r="AC487" i="10"/>
  <c r="AD487" i="10"/>
  <c r="AA488" i="10"/>
  <c r="AB488" i="10"/>
  <c r="AC488" i="10"/>
  <c r="AD488" i="10"/>
  <c r="AA489" i="10"/>
  <c r="AB489" i="10"/>
  <c r="AC489" i="10"/>
  <c r="AD489" i="10"/>
  <c r="AA490" i="10"/>
  <c r="AB490" i="10"/>
  <c r="AC490" i="10"/>
  <c r="AD490" i="10"/>
  <c r="AA491" i="10"/>
  <c r="AB491" i="10"/>
  <c r="AC491" i="10"/>
  <c r="AD491" i="10"/>
  <c r="AA492" i="10"/>
  <c r="AB492" i="10"/>
  <c r="AC492" i="10"/>
  <c r="AD492" i="10"/>
  <c r="AA493" i="10"/>
  <c r="AB493" i="10"/>
  <c r="AC493" i="10"/>
  <c r="AD493" i="10"/>
  <c r="AA494" i="10"/>
  <c r="AB494" i="10"/>
  <c r="AC494" i="10"/>
  <c r="AD494" i="10"/>
  <c r="AA495" i="10"/>
  <c r="AB495" i="10"/>
  <c r="AC495" i="10"/>
  <c r="AD495" i="10"/>
  <c r="AA496" i="10"/>
  <c r="AB496" i="10"/>
  <c r="AC496" i="10"/>
  <c r="AD496" i="10"/>
  <c r="AA497" i="10"/>
  <c r="AB497" i="10"/>
  <c r="AC497" i="10"/>
  <c r="AD497" i="10"/>
  <c r="AA498" i="10"/>
  <c r="AB498" i="10"/>
  <c r="AC498" i="10"/>
  <c r="AD498" i="10"/>
  <c r="S2" i="16"/>
  <c r="T2" i="16"/>
  <c r="U2" i="16"/>
  <c r="V2" i="16"/>
  <c r="W2" i="16"/>
  <c r="X2" i="16"/>
  <c r="Y2" i="16"/>
  <c r="Z2" i="16"/>
  <c r="AA2" i="16"/>
  <c r="AB2" i="16"/>
  <c r="AC2" i="16"/>
  <c r="AD2" i="16"/>
  <c r="AE2" i="16"/>
  <c r="AF2" i="16"/>
  <c r="AG2" i="16"/>
  <c r="AI2" i="16"/>
  <c r="AJ2" i="16"/>
  <c r="AK2" i="16"/>
  <c r="AL2" i="16"/>
  <c r="AM2" i="16"/>
  <c r="AN2" i="16"/>
  <c r="S3" i="16"/>
  <c r="T3" i="16"/>
  <c r="U3" i="16"/>
  <c r="V3" i="16"/>
  <c r="W3" i="16"/>
  <c r="X3" i="16"/>
  <c r="Y3" i="16"/>
  <c r="Z3" i="16"/>
  <c r="AA3" i="16"/>
  <c r="AB3" i="16"/>
  <c r="AC3" i="16"/>
  <c r="AD3" i="16"/>
  <c r="AE3" i="16"/>
  <c r="AF3" i="16"/>
  <c r="AG3" i="16"/>
  <c r="AI3" i="16"/>
  <c r="AJ3" i="16"/>
  <c r="AK3" i="16"/>
  <c r="AL3" i="16"/>
  <c r="AM3" i="16"/>
  <c r="AN3" i="16"/>
  <c r="S4" i="16"/>
  <c r="T4" i="16"/>
  <c r="U4" i="16"/>
  <c r="V4" i="16"/>
  <c r="W4" i="16"/>
  <c r="X4" i="16"/>
  <c r="Y4" i="16"/>
  <c r="Z4" i="16"/>
  <c r="AA4" i="16"/>
  <c r="AB4" i="16"/>
  <c r="AC4" i="16"/>
  <c r="AD4" i="16"/>
  <c r="AE4" i="16"/>
  <c r="AF4" i="16"/>
  <c r="AG4" i="16"/>
  <c r="AI4" i="16"/>
  <c r="AJ4" i="16"/>
  <c r="AK4" i="16"/>
  <c r="AL4" i="16"/>
  <c r="AM4" i="16"/>
  <c r="AN4" i="16"/>
  <c r="S5" i="16"/>
  <c r="T5" i="16"/>
  <c r="U5" i="16"/>
  <c r="V5" i="16"/>
  <c r="W5" i="16"/>
  <c r="X5" i="16"/>
  <c r="Y5" i="16"/>
  <c r="Z5" i="16"/>
  <c r="AA5" i="16"/>
  <c r="AB5" i="16"/>
  <c r="AC5" i="16"/>
  <c r="AD5" i="16"/>
  <c r="AE5" i="16"/>
  <c r="AF5" i="16"/>
  <c r="AG5" i="16"/>
  <c r="AI5" i="16"/>
  <c r="AJ5" i="16"/>
  <c r="AK5" i="16"/>
  <c r="AL5" i="16"/>
  <c r="AM5" i="16"/>
  <c r="AN5" i="16"/>
  <c r="S6" i="16"/>
  <c r="T6" i="16"/>
  <c r="U6" i="16"/>
  <c r="V6" i="16"/>
  <c r="W6" i="16"/>
  <c r="X6" i="16"/>
  <c r="Y6" i="16"/>
  <c r="Z6" i="16"/>
  <c r="AA6" i="16"/>
  <c r="AB6" i="16"/>
  <c r="AC6" i="16"/>
  <c r="AD6" i="16"/>
  <c r="AE6" i="16"/>
  <c r="AF6" i="16"/>
  <c r="AG6" i="16"/>
  <c r="AI6" i="16"/>
  <c r="AJ6" i="16"/>
  <c r="AK6" i="16"/>
  <c r="AL6" i="16"/>
  <c r="AM6" i="16"/>
  <c r="AN6" i="16"/>
  <c r="S14" i="16"/>
  <c r="T14" i="16"/>
  <c r="U14" i="16"/>
  <c r="V14" i="16"/>
  <c r="W14" i="16"/>
  <c r="X14" i="16"/>
  <c r="Y14" i="16"/>
  <c r="Z14" i="16"/>
  <c r="AA14" i="16"/>
  <c r="AB14" i="16"/>
  <c r="AC14" i="16"/>
  <c r="AD14" i="16"/>
  <c r="AE14" i="16"/>
  <c r="AF14" i="16"/>
  <c r="AG14" i="16"/>
  <c r="AI14" i="16"/>
  <c r="AJ14" i="16"/>
  <c r="AK14" i="16"/>
  <c r="AL14" i="16"/>
  <c r="AM14" i="16"/>
  <c r="AN14" i="16"/>
  <c r="S16" i="16"/>
  <c r="T16" i="16"/>
  <c r="U16" i="16"/>
  <c r="V16" i="16"/>
  <c r="W16" i="16"/>
  <c r="X16" i="16"/>
  <c r="Y16" i="16"/>
  <c r="Z16" i="16"/>
  <c r="AA16" i="16"/>
  <c r="AB16" i="16"/>
  <c r="AC16" i="16"/>
  <c r="AD16" i="16"/>
  <c r="AE16" i="16"/>
  <c r="AF16" i="16"/>
  <c r="AG16" i="16"/>
  <c r="AI16" i="16"/>
  <c r="AJ16" i="16"/>
  <c r="AK16" i="16"/>
  <c r="AL16" i="16"/>
  <c r="AM16" i="16"/>
  <c r="AN16" i="16"/>
  <c r="S18" i="16"/>
  <c r="T18" i="16"/>
  <c r="U18" i="16"/>
  <c r="V18" i="16"/>
  <c r="W18" i="16"/>
  <c r="X18" i="16"/>
  <c r="Y18" i="16"/>
  <c r="Z18" i="16"/>
  <c r="AA18" i="16"/>
  <c r="AB18" i="16"/>
  <c r="AC18" i="16"/>
  <c r="AD18" i="16"/>
  <c r="AE18" i="16"/>
  <c r="AF18" i="16"/>
  <c r="AG18" i="16"/>
  <c r="AI18" i="16"/>
  <c r="AJ18" i="16"/>
  <c r="AK18" i="16"/>
  <c r="AL18" i="16"/>
  <c r="AM18" i="16"/>
  <c r="AN18" i="16"/>
  <c r="S19" i="16"/>
  <c r="T19" i="16"/>
  <c r="U19" i="16"/>
  <c r="V19" i="16"/>
  <c r="W19" i="16"/>
  <c r="X19" i="16"/>
  <c r="Y19" i="16"/>
  <c r="Z19" i="16"/>
  <c r="AA19" i="16"/>
  <c r="AB19" i="16"/>
  <c r="AC19" i="16"/>
  <c r="AD19" i="16"/>
  <c r="AE19" i="16"/>
  <c r="AF19" i="16"/>
  <c r="AG19" i="16"/>
  <c r="AI19" i="16"/>
  <c r="AJ19" i="16"/>
  <c r="AK19" i="16"/>
  <c r="AL19" i="16"/>
  <c r="AM19" i="16"/>
  <c r="AN19" i="16"/>
  <c r="S20" i="16"/>
  <c r="T20" i="16"/>
  <c r="U20" i="16"/>
  <c r="V20" i="16"/>
  <c r="W20" i="16"/>
  <c r="X20" i="16"/>
  <c r="Y20" i="16"/>
  <c r="Z20" i="16"/>
  <c r="AA20" i="16"/>
  <c r="AB20" i="16"/>
  <c r="AC20" i="16"/>
  <c r="AD20" i="16"/>
  <c r="AE20" i="16"/>
  <c r="AF20" i="16"/>
  <c r="AG20" i="16"/>
  <c r="AI20" i="16"/>
  <c r="AJ20" i="16"/>
  <c r="AK20" i="16"/>
  <c r="AL20" i="16"/>
  <c r="AM20" i="16"/>
  <c r="AN20" i="16"/>
  <c r="S22" i="16"/>
  <c r="T22" i="16"/>
  <c r="U22" i="16"/>
  <c r="V22" i="16"/>
  <c r="W22" i="16"/>
  <c r="X22" i="16"/>
  <c r="Y22" i="16"/>
  <c r="Z22" i="16"/>
  <c r="AA22" i="16"/>
  <c r="AB22" i="16"/>
  <c r="AC22" i="16"/>
  <c r="AD22" i="16"/>
  <c r="AE22" i="16"/>
  <c r="AF22" i="16"/>
  <c r="AG22" i="16"/>
  <c r="AI22" i="16"/>
  <c r="AJ22" i="16"/>
  <c r="AK22" i="16"/>
  <c r="AL22" i="16"/>
  <c r="AM22" i="16"/>
  <c r="AN22" i="16"/>
  <c r="S28" i="16"/>
  <c r="T28" i="16"/>
  <c r="U28" i="16"/>
  <c r="V28" i="16"/>
  <c r="W28" i="16"/>
  <c r="X28" i="16"/>
  <c r="Y28" i="16"/>
  <c r="Z28" i="16"/>
  <c r="AA28" i="16"/>
  <c r="AB28" i="16"/>
  <c r="AC28" i="16"/>
  <c r="AD28" i="16"/>
  <c r="AE28" i="16"/>
  <c r="AF28" i="16"/>
  <c r="AG28" i="16"/>
  <c r="AI28" i="16"/>
  <c r="AJ28" i="16"/>
  <c r="AK28" i="16"/>
  <c r="AL28" i="16"/>
  <c r="AM28" i="16"/>
  <c r="AN28" i="16"/>
  <c r="S29" i="16"/>
  <c r="T29" i="16"/>
  <c r="U29" i="16"/>
  <c r="V29" i="16"/>
  <c r="W29" i="16"/>
  <c r="X29" i="16"/>
  <c r="Y29" i="16"/>
  <c r="Z29" i="16"/>
  <c r="AA29" i="16"/>
  <c r="AB29" i="16"/>
  <c r="AC29" i="16"/>
  <c r="AD29" i="16"/>
  <c r="AE29" i="16"/>
  <c r="AF29" i="16"/>
  <c r="AG29" i="16"/>
  <c r="AI29" i="16"/>
  <c r="AJ29" i="16"/>
  <c r="AK29" i="16"/>
  <c r="AL29" i="16"/>
  <c r="AM29" i="16"/>
  <c r="AN29" i="16"/>
  <c r="S30" i="16"/>
  <c r="T30" i="16"/>
  <c r="U30" i="16"/>
  <c r="V30" i="16"/>
  <c r="W30" i="16"/>
  <c r="X30" i="16"/>
  <c r="Y30" i="16"/>
  <c r="Z30" i="16"/>
  <c r="AA30" i="16"/>
  <c r="AB30" i="16"/>
  <c r="AC30" i="16"/>
  <c r="AD30" i="16"/>
  <c r="AE30" i="16"/>
  <c r="AF30" i="16"/>
  <c r="AG30" i="16"/>
  <c r="AI30" i="16"/>
  <c r="AJ30" i="16"/>
  <c r="AK30" i="16"/>
  <c r="AL30" i="16"/>
  <c r="AM30" i="16"/>
  <c r="AN30" i="16"/>
  <c r="S33" i="16"/>
  <c r="T33" i="16"/>
  <c r="U33" i="16"/>
  <c r="V33" i="16"/>
  <c r="W33" i="16"/>
  <c r="X33" i="16"/>
  <c r="Y33" i="16"/>
  <c r="Z33" i="16"/>
  <c r="AA33" i="16"/>
  <c r="AB33" i="16"/>
  <c r="AC33" i="16"/>
  <c r="AD33" i="16"/>
  <c r="AE33" i="16"/>
  <c r="AF33" i="16"/>
  <c r="AG33" i="16"/>
  <c r="AI33" i="16"/>
  <c r="AJ33" i="16"/>
  <c r="AK33" i="16"/>
  <c r="AL33" i="16"/>
  <c r="AM33" i="16"/>
  <c r="AN33" i="16"/>
  <c r="S34" i="16"/>
  <c r="T34" i="16"/>
  <c r="U34" i="16"/>
  <c r="V34" i="16"/>
  <c r="W34" i="16"/>
  <c r="X34" i="16"/>
  <c r="Y34" i="16"/>
  <c r="Z34" i="16"/>
  <c r="AA34" i="16"/>
  <c r="AB34" i="16"/>
  <c r="AC34" i="16"/>
  <c r="AD34" i="16"/>
  <c r="AE34" i="16"/>
  <c r="AF34" i="16"/>
  <c r="AG34" i="16"/>
  <c r="AI34" i="16"/>
  <c r="AJ34" i="16"/>
  <c r="AK34" i="16"/>
  <c r="AL34" i="16"/>
  <c r="AM34" i="16"/>
  <c r="AN34" i="16"/>
  <c r="S36" i="16"/>
  <c r="T36" i="16"/>
  <c r="U36" i="16"/>
  <c r="V36" i="16"/>
  <c r="W36" i="16"/>
  <c r="X36" i="16"/>
  <c r="Y36" i="16"/>
  <c r="Z36" i="16"/>
  <c r="AA36" i="16"/>
  <c r="AB36" i="16"/>
  <c r="AC36" i="16"/>
  <c r="AD36" i="16"/>
  <c r="AE36" i="16"/>
  <c r="AF36" i="16"/>
  <c r="AG36" i="16"/>
  <c r="AI36" i="16"/>
  <c r="AJ36" i="16"/>
  <c r="AK36" i="16"/>
  <c r="AL36" i="16"/>
  <c r="AM36" i="16"/>
  <c r="AN36" i="16"/>
  <c r="S37" i="16"/>
  <c r="T37" i="16"/>
  <c r="U37" i="16"/>
  <c r="V37" i="16"/>
  <c r="W37" i="16"/>
  <c r="X37" i="16"/>
  <c r="Y37" i="16"/>
  <c r="Z37" i="16"/>
  <c r="AA37" i="16"/>
  <c r="AB37" i="16"/>
  <c r="AC37" i="16"/>
  <c r="AD37" i="16"/>
  <c r="AE37" i="16"/>
  <c r="AF37" i="16"/>
  <c r="AG37" i="16"/>
  <c r="AI37" i="16"/>
  <c r="AJ37" i="16"/>
  <c r="AK37" i="16"/>
  <c r="AL37" i="16"/>
  <c r="AM37" i="16"/>
  <c r="AN37" i="16"/>
  <c r="S38" i="16"/>
  <c r="T38" i="16"/>
  <c r="U38" i="16"/>
  <c r="V38" i="16"/>
  <c r="W38" i="16"/>
  <c r="X38" i="16"/>
  <c r="Y38" i="16"/>
  <c r="Z38" i="16"/>
  <c r="AA38" i="16"/>
  <c r="AB38" i="16"/>
  <c r="AC38" i="16"/>
  <c r="AD38" i="16"/>
  <c r="AE38" i="16"/>
  <c r="AF38" i="16"/>
  <c r="AG38" i="16"/>
  <c r="AI38" i="16"/>
  <c r="AJ38" i="16"/>
  <c r="AK38" i="16"/>
  <c r="AL38" i="16"/>
  <c r="AM38" i="16"/>
  <c r="AN38" i="16"/>
  <c r="S41" i="16"/>
  <c r="T41" i="16"/>
  <c r="U41" i="16"/>
  <c r="V41" i="16"/>
  <c r="W41" i="16"/>
  <c r="X41" i="16"/>
  <c r="Y41" i="16"/>
  <c r="Z41" i="16"/>
  <c r="AA41" i="16"/>
  <c r="AB41" i="16"/>
  <c r="AC41" i="16"/>
  <c r="AD41" i="16"/>
  <c r="AE41" i="16"/>
  <c r="AF41" i="16"/>
  <c r="AG41" i="16"/>
  <c r="AI41" i="16"/>
  <c r="AJ41" i="16"/>
  <c r="AK41" i="16"/>
  <c r="AL41" i="16"/>
  <c r="AM41" i="16"/>
  <c r="AN41" i="16"/>
  <c r="S44" i="16"/>
  <c r="T44" i="16"/>
  <c r="U44" i="16"/>
  <c r="V44" i="16"/>
  <c r="W44" i="16"/>
  <c r="X44" i="16"/>
  <c r="Y44" i="16"/>
  <c r="Z44" i="16"/>
  <c r="AA44" i="16"/>
  <c r="AB44" i="16"/>
  <c r="AC44" i="16"/>
  <c r="AD44" i="16"/>
  <c r="AE44" i="16"/>
  <c r="AF44" i="16"/>
  <c r="AG44" i="16"/>
  <c r="AI44" i="16"/>
  <c r="AJ44" i="16"/>
  <c r="AK44" i="16"/>
  <c r="AL44" i="16"/>
  <c r="AM44" i="16"/>
  <c r="AN44" i="16"/>
  <c r="S45" i="16"/>
  <c r="T45" i="16"/>
  <c r="U45" i="16"/>
  <c r="V45" i="16"/>
  <c r="W45" i="16"/>
  <c r="X45" i="16"/>
  <c r="Y45" i="16"/>
  <c r="Z45" i="16"/>
  <c r="AA45" i="16"/>
  <c r="AB45" i="16"/>
  <c r="AC45" i="16"/>
  <c r="AD45" i="16"/>
  <c r="AE45" i="16"/>
  <c r="AF45" i="16"/>
  <c r="AG45" i="16"/>
  <c r="AI45" i="16"/>
  <c r="AJ45" i="16"/>
  <c r="AK45" i="16"/>
  <c r="AL45" i="16"/>
  <c r="AM45" i="16"/>
  <c r="AN45" i="16"/>
  <c r="R45" i="16"/>
  <c r="R44" i="16"/>
  <c r="R41" i="16"/>
  <c r="R38" i="16"/>
  <c r="R37" i="16"/>
  <c r="R36" i="16"/>
  <c r="R34" i="16"/>
  <c r="R33" i="16"/>
  <c r="R30" i="16"/>
  <c r="R29" i="16"/>
  <c r="R28" i="16"/>
  <c r="R22" i="16"/>
  <c r="R20" i="16"/>
  <c r="R19" i="16"/>
  <c r="R18" i="16"/>
  <c r="R16" i="16"/>
  <c r="R14" i="16"/>
  <c r="R6" i="16"/>
  <c r="R5" i="16"/>
  <c r="R4" i="16"/>
  <c r="R3" i="16"/>
  <c r="R2" i="16"/>
  <c r="Q3" i="16"/>
  <c r="Q4" i="16"/>
  <c r="Q5" i="16"/>
  <c r="Q6" i="16"/>
  <c r="Q16" i="16"/>
  <c r="Q18" i="16"/>
  <c r="Q19" i="16"/>
  <c r="Q20" i="16"/>
  <c r="Q28" i="16"/>
  <c r="Q29" i="16"/>
  <c r="Q30" i="16"/>
  <c r="Q33" i="16"/>
  <c r="Q34" i="16"/>
  <c r="Q36" i="16"/>
  <c r="Q37" i="16"/>
  <c r="Q38" i="16"/>
  <c r="Q41" i="16"/>
  <c r="Q42" i="16"/>
  <c r="Q44" i="16"/>
  <c r="Q45" i="16"/>
  <c r="Q2" i="16"/>
  <c r="O3" i="16"/>
  <c r="P3" i="16" s="1"/>
  <c r="O4" i="16"/>
  <c r="P4" i="16" s="1"/>
  <c r="O5" i="16"/>
  <c r="P5" i="16" s="1"/>
  <c r="O6" i="16"/>
  <c r="P6" i="16" s="1"/>
  <c r="O14" i="16"/>
  <c r="P14" i="16" s="1"/>
  <c r="O16" i="16"/>
  <c r="P16" i="16" s="1"/>
  <c r="O18" i="16"/>
  <c r="P18" i="16" s="1"/>
  <c r="O19" i="16"/>
  <c r="P19" i="16" s="1"/>
  <c r="O20" i="16"/>
  <c r="P20" i="16" s="1"/>
  <c r="O22" i="16"/>
  <c r="P22" i="16" s="1"/>
  <c r="O28" i="16"/>
  <c r="P28" i="16" s="1"/>
  <c r="O29" i="16"/>
  <c r="P29" i="16" s="1"/>
  <c r="O30" i="16"/>
  <c r="P30" i="16" s="1"/>
  <c r="O33" i="16"/>
  <c r="P33" i="16" s="1"/>
  <c r="O34" i="16"/>
  <c r="P34" i="16" s="1"/>
  <c r="O36" i="16"/>
  <c r="P36" i="16" s="1"/>
  <c r="O37" i="16"/>
  <c r="P37" i="16" s="1"/>
  <c r="O38" i="16"/>
  <c r="P38" i="16" s="1"/>
  <c r="O41" i="16"/>
  <c r="P41" i="16" s="1"/>
  <c r="O42" i="16"/>
  <c r="P42" i="16" s="1"/>
  <c r="O44" i="16"/>
  <c r="P44" i="16" s="1"/>
  <c r="O45" i="16"/>
  <c r="P45" i="16" s="1"/>
  <c r="O2" i="16"/>
  <c r="P2" i="16" s="1"/>
  <c r="N3" i="16"/>
  <c r="N4" i="16"/>
  <c r="N5" i="16"/>
  <c r="N6" i="16"/>
  <c r="N16" i="16"/>
  <c r="N18" i="16"/>
  <c r="N19" i="16"/>
  <c r="N20" i="16"/>
  <c r="N22" i="16"/>
  <c r="N28" i="16"/>
  <c r="N29" i="16"/>
  <c r="N30" i="16"/>
  <c r="N33" i="16"/>
  <c r="N34" i="16"/>
  <c r="N36" i="16"/>
  <c r="N37" i="16"/>
  <c r="N38" i="16"/>
  <c r="N41" i="16"/>
  <c r="N42" i="16"/>
  <c r="N44" i="16"/>
  <c r="N45" i="16"/>
  <c r="N2" i="16"/>
  <c r="L3" i="16"/>
  <c r="M3" i="16" s="1"/>
  <c r="L4" i="16"/>
  <c r="M4" i="16" s="1"/>
  <c r="L5" i="16"/>
  <c r="M5" i="16" s="1"/>
  <c r="L6" i="16"/>
  <c r="M6" i="16" s="1"/>
  <c r="L14" i="16"/>
  <c r="M14" i="16" s="1"/>
  <c r="L16" i="16"/>
  <c r="M16" i="16" s="1"/>
  <c r="L18" i="16"/>
  <c r="M18" i="16" s="1"/>
  <c r="L19" i="16"/>
  <c r="M19" i="16" s="1"/>
  <c r="L20" i="16"/>
  <c r="M20" i="16" s="1"/>
  <c r="L22" i="16"/>
  <c r="M22" i="16" s="1"/>
  <c r="L28" i="16"/>
  <c r="M28" i="16" s="1"/>
  <c r="L29" i="16"/>
  <c r="M29" i="16" s="1"/>
  <c r="L30" i="16"/>
  <c r="M30" i="16" s="1"/>
  <c r="L33" i="16"/>
  <c r="M33" i="16" s="1"/>
  <c r="L34" i="16"/>
  <c r="M34" i="16" s="1"/>
  <c r="L36" i="16"/>
  <c r="M36" i="16" s="1"/>
  <c r="L37" i="16"/>
  <c r="M37" i="16" s="1"/>
  <c r="L38" i="16"/>
  <c r="M38" i="16" s="1"/>
  <c r="L41" i="16"/>
  <c r="M41" i="16" s="1"/>
  <c r="M42" i="16"/>
  <c r="L44" i="16"/>
  <c r="M44" i="16" s="1"/>
  <c r="L45" i="16"/>
  <c r="M45" i="16" s="1"/>
  <c r="L2" i="16"/>
  <c r="M2" i="16" s="1"/>
  <c r="K3" i="16"/>
  <c r="K4" i="16"/>
  <c r="K5" i="16"/>
  <c r="K6" i="16"/>
  <c r="K16" i="16"/>
  <c r="K18" i="16"/>
  <c r="K19" i="16"/>
  <c r="K20" i="16"/>
  <c r="K22" i="16"/>
  <c r="K28" i="16"/>
  <c r="K29" i="16"/>
  <c r="K30" i="16"/>
  <c r="K33" i="16"/>
  <c r="K34" i="16"/>
  <c r="K36" i="16"/>
  <c r="K37" i="16"/>
  <c r="K38" i="16"/>
  <c r="K41" i="16"/>
  <c r="K42" i="16"/>
  <c r="K44" i="16"/>
  <c r="K45" i="16"/>
  <c r="J3" i="16"/>
  <c r="J4" i="16"/>
  <c r="J5" i="16"/>
  <c r="J6" i="16"/>
  <c r="J14" i="16"/>
  <c r="J16" i="16"/>
  <c r="J18" i="16"/>
  <c r="J19" i="16"/>
  <c r="J20" i="16"/>
  <c r="J22" i="16"/>
  <c r="J28" i="16"/>
  <c r="J29" i="16"/>
  <c r="J30" i="16"/>
  <c r="J33" i="16"/>
  <c r="J34" i="16"/>
  <c r="J36" i="16"/>
  <c r="J37" i="16"/>
  <c r="J38" i="16"/>
  <c r="J41" i="16"/>
  <c r="J42" i="16"/>
  <c r="J44" i="16"/>
  <c r="J45" i="16"/>
  <c r="J2" i="16"/>
  <c r="I3" i="16"/>
  <c r="I4" i="16"/>
  <c r="I5" i="16"/>
  <c r="I6" i="16"/>
  <c r="I14" i="16"/>
  <c r="I16" i="16"/>
  <c r="I18" i="16"/>
  <c r="I19" i="16"/>
  <c r="I20" i="16"/>
  <c r="I22" i="16"/>
  <c r="I28" i="16"/>
  <c r="I29" i="16"/>
  <c r="I30" i="16"/>
  <c r="I33" i="16"/>
  <c r="I34" i="16"/>
  <c r="I36" i="16"/>
  <c r="I37" i="16"/>
  <c r="I38" i="16"/>
  <c r="I41" i="16"/>
  <c r="I42" i="16"/>
  <c r="I44" i="16"/>
  <c r="I45" i="16"/>
  <c r="I2" i="16"/>
  <c r="H3" i="16" a="1"/>
  <c r="H3" i="16" s="1"/>
  <c r="H4" i="16" a="1"/>
  <c r="H4" i="16" s="1"/>
  <c r="H5" i="16" a="1"/>
  <c r="H5" i="16" s="1"/>
  <c r="H6" i="16" a="1"/>
  <c r="H6" i="16" s="1"/>
  <c r="H14" i="16" a="1"/>
  <c r="H14" i="16" s="1"/>
  <c r="H16" i="16" a="1"/>
  <c r="H16" i="16" s="1"/>
  <c r="H18" i="16" a="1"/>
  <c r="H18" i="16" s="1"/>
  <c r="H19" i="16" a="1"/>
  <c r="H19" i="16" s="1"/>
  <c r="H20" i="16" a="1"/>
  <c r="H20" i="16" s="1"/>
  <c r="H22" i="16" a="1"/>
  <c r="H22" i="16" s="1"/>
  <c r="H28" i="16" a="1"/>
  <c r="H28" i="16" s="1"/>
  <c r="H29" i="16" a="1"/>
  <c r="H29" i="16" s="1"/>
  <c r="H30" i="16" a="1"/>
  <c r="H30" i="16" s="1"/>
  <c r="H33" i="16" a="1"/>
  <c r="H33" i="16" s="1"/>
  <c r="H34" i="16" a="1"/>
  <c r="H34" i="16" s="1"/>
  <c r="H36" i="16" a="1"/>
  <c r="H36" i="16" s="1"/>
  <c r="H37" i="16" a="1"/>
  <c r="H37" i="16" s="1"/>
  <c r="H38" i="16" a="1"/>
  <c r="H38" i="16" s="1"/>
  <c r="H41" i="16" a="1"/>
  <c r="H41" i="16" s="1"/>
  <c r="H42" i="16" a="1"/>
  <c r="H42" i="16" s="1"/>
  <c r="H44" i="16" a="1"/>
  <c r="H44" i="16" s="1"/>
  <c r="H45" i="16" a="1"/>
  <c r="H45" i="16" s="1"/>
  <c r="H2" i="16" a="1"/>
  <c r="H2" i="16" s="1"/>
  <c r="G3" i="16"/>
  <c r="G4" i="16"/>
  <c r="G5" i="16"/>
  <c r="G6" i="16"/>
  <c r="G14" i="16"/>
  <c r="G16" i="16"/>
  <c r="G18" i="16"/>
  <c r="G19" i="16"/>
  <c r="G20" i="16"/>
  <c r="G22" i="16"/>
  <c r="G28" i="16"/>
  <c r="G29" i="16"/>
  <c r="G30" i="16"/>
  <c r="G33" i="16"/>
  <c r="G34" i="16"/>
  <c r="G36" i="16"/>
  <c r="G37" i="16"/>
  <c r="G38" i="16"/>
  <c r="G41" i="16"/>
  <c r="G42" i="16"/>
  <c r="G44" i="16"/>
  <c r="G45" i="16"/>
  <c r="G2" i="16"/>
  <c r="F3" i="16"/>
  <c r="F4" i="16"/>
  <c r="F5" i="16"/>
  <c r="F6" i="16"/>
  <c r="F14" i="16"/>
  <c r="F16" i="16"/>
  <c r="F18" i="16"/>
  <c r="F19" i="16"/>
  <c r="F20" i="16"/>
  <c r="F22" i="16"/>
  <c r="F28" i="16"/>
  <c r="F29" i="16"/>
  <c r="F30" i="16"/>
  <c r="F33" i="16"/>
  <c r="F34" i="16"/>
  <c r="F36" i="16"/>
  <c r="F37" i="16"/>
  <c r="F38" i="16"/>
  <c r="F41" i="16"/>
  <c r="F42" i="16"/>
  <c r="F44" i="16"/>
  <c r="F45" i="16"/>
  <c r="F2" i="16"/>
  <c r="K14" i="16"/>
  <c r="Q14" i="16"/>
  <c r="N14" i="16"/>
  <c r="U5" i="13"/>
  <c r="V5" i="13"/>
  <c r="W5" i="13"/>
  <c r="X5" i="13"/>
  <c r="Y5" i="13"/>
  <c r="Z5" i="13"/>
  <c r="AA5" i="13"/>
  <c r="AB5" i="13"/>
  <c r="AC5" i="13"/>
  <c r="AD5" i="13"/>
  <c r="AE5" i="13"/>
  <c r="AF5" i="13"/>
  <c r="AG5" i="13"/>
  <c r="AH5" i="13"/>
  <c r="AI5" i="13"/>
  <c r="U7" i="13"/>
  <c r="V7" i="13"/>
  <c r="W7" i="13"/>
  <c r="X7" i="13"/>
  <c r="Y7" i="13"/>
  <c r="Z7" i="13"/>
  <c r="AA7" i="13"/>
  <c r="AB7" i="13"/>
  <c r="AC7" i="13"/>
  <c r="AD7" i="13"/>
  <c r="AE7" i="13"/>
  <c r="AF7" i="13"/>
  <c r="AG7" i="13"/>
  <c r="AH7" i="13"/>
  <c r="AI7" i="13"/>
  <c r="U8" i="13"/>
  <c r="V8" i="13"/>
  <c r="W8" i="13"/>
  <c r="X8" i="13"/>
  <c r="Y8" i="13"/>
  <c r="Z8" i="13"/>
  <c r="AA8" i="13"/>
  <c r="AB8" i="13"/>
  <c r="AC8" i="13"/>
  <c r="AD8" i="13"/>
  <c r="AE8" i="13"/>
  <c r="AF8" i="13"/>
  <c r="AG8" i="13"/>
  <c r="AH8" i="13"/>
  <c r="AI8" i="13"/>
  <c r="U10" i="13"/>
  <c r="V10" i="13"/>
  <c r="W10" i="13"/>
  <c r="X10" i="13"/>
  <c r="Y10" i="13"/>
  <c r="Z10" i="13"/>
  <c r="AA10" i="13"/>
  <c r="AB10" i="13"/>
  <c r="AC10" i="13"/>
  <c r="AD10" i="13"/>
  <c r="AE10" i="13"/>
  <c r="AF10" i="13"/>
  <c r="AG10" i="13"/>
  <c r="AH10" i="13"/>
  <c r="AI10" i="13"/>
  <c r="AF20" i="13"/>
  <c r="AG20" i="13"/>
  <c r="AH20" i="13"/>
  <c r="AI20" i="13"/>
  <c r="AF21" i="13"/>
  <c r="AG21" i="13"/>
  <c r="AH21" i="13"/>
  <c r="AI21" i="13"/>
  <c r="AF22" i="13"/>
  <c r="AG22" i="13"/>
  <c r="AH22" i="13"/>
  <c r="AI22" i="13"/>
  <c r="AF30" i="13"/>
  <c r="AG30" i="13"/>
  <c r="AH30" i="13"/>
  <c r="AI30" i="13"/>
  <c r="AF31" i="13"/>
  <c r="AG31" i="13"/>
  <c r="AH31" i="13"/>
  <c r="AI31" i="13"/>
  <c r="AF33" i="13"/>
  <c r="AG33" i="13"/>
  <c r="AH33" i="13"/>
  <c r="AI33" i="13"/>
  <c r="AF34" i="13"/>
  <c r="AG34" i="13"/>
  <c r="AH34" i="13"/>
  <c r="AI34" i="13"/>
  <c r="AF36" i="13"/>
  <c r="AG36" i="13"/>
  <c r="AH36" i="13"/>
  <c r="AI36" i="13"/>
  <c r="AF42" i="13"/>
  <c r="AG42" i="13"/>
  <c r="AH42" i="13"/>
  <c r="AI42" i="13"/>
  <c r="AF43" i="13"/>
  <c r="AG43" i="13"/>
  <c r="AH43" i="13"/>
  <c r="AI43" i="13"/>
  <c r="AF44" i="13"/>
  <c r="AG44" i="13"/>
  <c r="AH44" i="13"/>
  <c r="AI44" i="13"/>
  <c r="U45" i="13"/>
  <c r="V45" i="13"/>
  <c r="W45" i="13"/>
  <c r="X45" i="13"/>
  <c r="Y45" i="13"/>
  <c r="Z45" i="13"/>
  <c r="AA45" i="13"/>
  <c r="AB45" i="13"/>
  <c r="AC45" i="13"/>
  <c r="AD45" i="13"/>
  <c r="AE45" i="13"/>
  <c r="AF45" i="13"/>
  <c r="AG45" i="13"/>
  <c r="AH45" i="13"/>
  <c r="AI45" i="13"/>
  <c r="U46" i="13"/>
  <c r="V46" i="13"/>
  <c r="W46" i="13"/>
  <c r="X46" i="13"/>
  <c r="Y46" i="13"/>
  <c r="Z46" i="13"/>
  <c r="AA46" i="13"/>
  <c r="AB46" i="13"/>
  <c r="AC46" i="13"/>
  <c r="AD46" i="13"/>
  <c r="AE46" i="13"/>
  <c r="AF46" i="13"/>
  <c r="AG46" i="13"/>
  <c r="AH46" i="13"/>
  <c r="AI46" i="13"/>
  <c r="U47" i="13"/>
  <c r="V47" i="13"/>
  <c r="W47" i="13"/>
  <c r="X47" i="13"/>
  <c r="Y47" i="13"/>
  <c r="Z47" i="13"/>
  <c r="AA47" i="13"/>
  <c r="AB47" i="13"/>
  <c r="AC47" i="13"/>
  <c r="AD47" i="13"/>
  <c r="AE47" i="13"/>
  <c r="AF47" i="13"/>
  <c r="AG47" i="13"/>
  <c r="AH47" i="13"/>
  <c r="AI47" i="13"/>
  <c r="U48" i="13"/>
  <c r="V48" i="13"/>
  <c r="W48" i="13"/>
  <c r="X48" i="13"/>
  <c r="Y48" i="13"/>
  <c r="Z48" i="13"/>
  <c r="AA48" i="13"/>
  <c r="AB48" i="13"/>
  <c r="AC48" i="13"/>
  <c r="AD48" i="13"/>
  <c r="AE48" i="13"/>
  <c r="AF48" i="13"/>
  <c r="AG48" i="13"/>
  <c r="AH48" i="13"/>
  <c r="AI48" i="13"/>
  <c r="U50" i="13"/>
  <c r="V50" i="13"/>
  <c r="W50" i="13"/>
  <c r="X50" i="13"/>
  <c r="Y50" i="13"/>
  <c r="Z50" i="13"/>
  <c r="AA50" i="13"/>
  <c r="AB50" i="13"/>
  <c r="AC50" i="13"/>
  <c r="AD50" i="13"/>
  <c r="AE50" i="13"/>
  <c r="AF50" i="13"/>
  <c r="AG50" i="13"/>
  <c r="AH50" i="13"/>
  <c r="AI50" i="13"/>
  <c r="T50" i="13"/>
  <c r="T48" i="13"/>
  <c r="T47" i="13"/>
  <c r="T46" i="13"/>
  <c r="T45" i="13"/>
  <c r="T10" i="13"/>
  <c r="T8" i="13"/>
  <c r="T7" i="13"/>
  <c r="T5" i="13"/>
  <c r="S10" i="13"/>
  <c r="S45" i="13"/>
  <c r="S47" i="13"/>
  <c r="S48" i="13"/>
  <c r="Q5" i="13"/>
  <c r="R5" i="13" s="1"/>
  <c r="Q7" i="13"/>
  <c r="R7" i="13" s="1"/>
  <c r="Q8" i="13"/>
  <c r="R8" i="13" s="1"/>
  <c r="Q10" i="13"/>
  <c r="R10" i="13" s="1"/>
  <c r="Q45" i="13"/>
  <c r="R45" i="13" s="1"/>
  <c r="Q46" i="13"/>
  <c r="R46" i="13" s="1"/>
  <c r="Q47" i="13"/>
  <c r="R47" i="13" s="1"/>
  <c r="Q48" i="13"/>
  <c r="R48" i="13" s="1"/>
  <c r="Q50" i="13"/>
  <c r="R50" i="13" s="1"/>
  <c r="Q52" i="13"/>
  <c r="R52" i="13" s="1"/>
  <c r="N5" i="13"/>
  <c r="O5" i="13" s="1"/>
  <c r="N7" i="13"/>
  <c r="O7" i="13" s="1"/>
  <c r="N8" i="13"/>
  <c r="O8" i="13" s="1"/>
  <c r="N10" i="13"/>
  <c r="O10" i="13" s="1"/>
  <c r="N45" i="13"/>
  <c r="O45" i="13" s="1"/>
  <c r="N46" i="13"/>
  <c r="O46" i="13" s="1"/>
  <c r="N47" i="13"/>
  <c r="O47" i="13" s="1"/>
  <c r="N48" i="13"/>
  <c r="O48" i="13" s="1"/>
  <c r="N50" i="13"/>
  <c r="O50" i="13" s="1"/>
  <c r="N52" i="13"/>
  <c r="O52" i="13" s="1"/>
  <c r="M52" i="13"/>
  <c r="L5" i="13"/>
  <c r="L7" i="13"/>
  <c r="L8" i="13"/>
  <c r="L10" i="13"/>
  <c r="L45" i="13"/>
  <c r="L46" i="13"/>
  <c r="L47" i="13"/>
  <c r="L48" i="13"/>
  <c r="L50" i="13"/>
  <c r="L52" i="13"/>
  <c r="K5" i="13"/>
  <c r="K7" i="13"/>
  <c r="K8" i="13"/>
  <c r="K10" i="13"/>
  <c r="K45" i="13"/>
  <c r="K46" i="13"/>
  <c r="K47" i="13"/>
  <c r="K48" i="13"/>
  <c r="K50" i="13"/>
  <c r="K52" i="13"/>
  <c r="J5" i="13" a="1"/>
  <c r="J5" i="13" s="1"/>
  <c r="J7" i="13" a="1"/>
  <c r="J7" i="13" s="1"/>
  <c r="J8" i="13" a="1"/>
  <c r="J8" i="13" s="1"/>
  <c r="J10" i="13" a="1"/>
  <c r="J10" i="13" s="1"/>
  <c r="J45" i="13" a="1"/>
  <c r="J45" i="13" s="1"/>
  <c r="J46" i="13" a="1"/>
  <c r="J46" i="13" s="1"/>
  <c r="J47" i="13" a="1"/>
  <c r="J47" i="13" s="1"/>
  <c r="J48" i="13" a="1"/>
  <c r="J48" i="13" s="1"/>
  <c r="J50" i="13" a="1"/>
  <c r="J50" i="13" s="1"/>
  <c r="J52" i="13" a="1"/>
  <c r="J52" i="13" s="1"/>
  <c r="I5" i="13"/>
  <c r="I7" i="13"/>
  <c r="I8" i="13"/>
  <c r="I10" i="13"/>
  <c r="I45" i="13"/>
  <c r="I46" i="13"/>
  <c r="I47" i="13"/>
  <c r="I48" i="13"/>
  <c r="I50" i="13"/>
  <c r="I52" i="13"/>
  <c r="H5" i="13"/>
  <c r="H7" i="13"/>
  <c r="H8" i="13"/>
  <c r="H10" i="13"/>
  <c r="H45" i="13"/>
  <c r="H46" i="13"/>
  <c r="H47" i="13"/>
  <c r="H48" i="13"/>
  <c r="H50" i="13"/>
  <c r="H52" i="13"/>
  <c r="S7" i="13"/>
  <c r="P48" i="13"/>
  <c r="M48" i="13"/>
  <c r="P47" i="13"/>
  <c r="M47" i="13"/>
  <c r="P8" i="13"/>
  <c r="S8" i="13"/>
  <c r="M8" i="13"/>
  <c r="P50" i="13"/>
  <c r="S50" i="13"/>
  <c r="M50" i="13"/>
  <c r="P46" i="13"/>
  <c r="S46" i="13"/>
  <c r="M46" i="13"/>
  <c r="P10" i="13"/>
  <c r="P52" i="13"/>
  <c r="S52" i="13"/>
  <c r="P5" i="13"/>
  <c r="S5" i="13"/>
  <c r="M5" i="13"/>
  <c r="P45" i="13"/>
  <c r="AH690" i="9"/>
  <c r="AI690" i="9"/>
  <c r="AJ690" i="9"/>
  <c r="AK690" i="9"/>
  <c r="AH691" i="9"/>
  <c r="AI691" i="9"/>
  <c r="AJ691" i="9"/>
  <c r="AK691" i="9"/>
  <c r="AH692" i="9"/>
  <c r="AI692" i="9"/>
  <c r="AJ692" i="9"/>
  <c r="AK692" i="9"/>
  <c r="AH693" i="9"/>
  <c r="AI693" i="9"/>
  <c r="AJ693" i="9"/>
  <c r="AK693" i="9"/>
  <c r="AH694" i="9"/>
  <c r="AI694" i="9"/>
  <c r="AJ694" i="9"/>
  <c r="AK694" i="9"/>
  <c r="AH695" i="9"/>
  <c r="AI695" i="9"/>
  <c r="AJ695" i="9"/>
  <c r="AK695" i="9"/>
  <c r="AH696" i="9"/>
  <c r="AI696" i="9"/>
  <c r="AJ696" i="9"/>
  <c r="AK696" i="9"/>
  <c r="AH697" i="9"/>
  <c r="AI697" i="9"/>
  <c r="AJ697" i="9"/>
  <c r="AK697" i="9"/>
  <c r="AH698" i="9"/>
  <c r="AI698" i="9"/>
  <c r="AJ698" i="9"/>
  <c r="AK698" i="9"/>
  <c r="AH699" i="9"/>
  <c r="AI699" i="9"/>
  <c r="AJ699" i="9"/>
  <c r="AK699" i="9"/>
  <c r="AH700" i="9"/>
  <c r="AI700" i="9"/>
  <c r="AJ700" i="9"/>
  <c r="AK700" i="9"/>
  <c r="AH701" i="9"/>
  <c r="AI701" i="9"/>
  <c r="AJ701" i="9"/>
  <c r="AK701" i="9"/>
  <c r="AH702" i="9"/>
  <c r="AI702" i="9"/>
  <c r="AJ702" i="9"/>
  <c r="AK702" i="9"/>
  <c r="AH703" i="9"/>
  <c r="AI703" i="9"/>
  <c r="AJ703" i="9"/>
  <c r="AK703" i="9"/>
  <c r="AH704" i="9"/>
  <c r="AI704" i="9"/>
  <c r="AJ704" i="9"/>
  <c r="AK704" i="9"/>
  <c r="AH705" i="9"/>
  <c r="AI705" i="9"/>
  <c r="AJ705" i="9"/>
  <c r="R45" i="12" s="1"/>
  <c r="AK705" i="9"/>
  <c r="R9" i="12"/>
  <c r="R22" i="12"/>
  <c r="R24" i="12"/>
  <c r="R39" i="12"/>
  <c r="R40" i="12"/>
  <c r="R46" i="12"/>
  <c r="R48" i="12"/>
  <c r="R49" i="12"/>
  <c r="R53" i="12"/>
  <c r="R56" i="12"/>
  <c r="R57" i="12"/>
  <c r="R59" i="12"/>
  <c r="R60" i="12"/>
  <c r="O7" i="12"/>
  <c r="O9" i="12"/>
  <c r="O20" i="12"/>
  <c r="O22" i="12"/>
  <c r="O24" i="12"/>
  <c r="O39" i="12"/>
  <c r="O40" i="12"/>
  <c r="O45" i="12"/>
  <c r="O46" i="12"/>
  <c r="O48" i="12"/>
  <c r="O49" i="12"/>
  <c r="O53" i="12"/>
  <c r="O56" i="12"/>
  <c r="O57" i="12"/>
  <c r="O59" i="12"/>
  <c r="O60" i="12"/>
  <c r="L7" i="12"/>
  <c r="L9" i="12"/>
  <c r="L20" i="12"/>
  <c r="L22" i="12"/>
  <c r="L24" i="12"/>
  <c r="L39" i="12"/>
  <c r="L40" i="12"/>
  <c r="L45" i="12"/>
  <c r="L46" i="12"/>
  <c r="L48" i="12"/>
  <c r="L49" i="12"/>
  <c r="L53" i="12"/>
  <c r="L56" i="12"/>
  <c r="L57" i="12"/>
  <c r="L59" i="12"/>
  <c r="L60" i="12"/>
  <c r="L3" i="12"/>
  <c r="AK2" i="9"/>
  <c r="AI11" i="9"/>
  <c r="AH3" i="9"/>
  <c r="AI3" i="9"/>
  <c r="AJ3" i="9"/>
  <c r="AK3" i="9"/>
  <c r="AH4" i="9"/>
  <c r="AI4" i="9"/>
  <c r="AJ4" i="9"/>
  <c r="AK4" i="9"/>
  <c r="AH5" i="9"/>
  <c r="AI5" i="9"/>
  <c r="AJ5" i="9"/>
  <c r="AK5" i="9"/>
  <c r="AH6" i="9"/>
  <c r="AI6" i="9"/>
  <c r="AJ6" i="9"/>
  <c r="AK6" i="9"/>
  <c r="AH7" i="9"/>
  <c r="AI7" i="9"/>
  <c r="AJ7" i="9"/>
  <c r="AK7" i="9"/>
  <c r="AH8" i="9"/>
  <c r="AI8" i="9"/>
  <c r="AJ8" i="9"/>
  <c r="AK8" i="9"/>
  <c r="AH9" i="9"/>
  <c r="AI9" i="9"/>
  <c r="AJ9" i="9"/>
  <c r="AK9" i="9"/>
  <c r="AH10" i="9"/>
  <c r="AI10" i="9"/>
  <c r="AJ10" i="9"/>
  <c r="AK10" i="9"/>
  <c r="AH11" i="9"/>
  <c r="AJ11" i="9"/>
  <c r="AK11" i="9"/>
  <c r="AH12" i="9"/>
  <c r="AI12" i="9"/>
  <c r="AJ12" i="9"/>
  <c r="AK12" i="9"/>
  <c r="AH13" i="9"/>
  <c r="AI13" i="9"/>
  <c r="AJ13" i="9"/>
  <c r="AK13" i="9"/>
  <c r="AH14" i="9"/>
  <c r="AI14" i="9"/>
  <c r="AJ14" i="9"/>
  <c r="AK14" i="9"/>
  <c r="AH15" i="9"/>
  <c r="AI15" i="9"/>
  <c r="AJ15" i="9"/>
  <c r="AK15" i="9"/>
  <c r="AH16" i="9"/>
  <c r="AI16" i="9"/>
  <c r="AJ16" i="9"/>
  <c r="AK16" i="9"/>
  <c r="AH17" i="9"/>
  <c r="AI17" i="9"/>
  <c r="AJ17" i="9"/>
  <c r="AK17" i="9"/>
  <c r="AH18" i="9"/>
  <c r="AI18" i="9"/>
  <c r="AJ18" i="9"/>
  <c r="AK18" i="9"/>
  <c r="AH19" i="9"/>
  <c r="AI19" i="9"/>
  <c r="AJ19" i="9"/>
  <c r="AK19" i="9"/>
  <c r="AH20" i="9"/>
  <c r="AI20" i="9"/>
  <c r="AJ20" i="9"/>
  <c r="AK20" i="9"/>
  <c r="AH21" i="9"/>
  <c r="AI21" i="9"/>
  <c r="AJ21" i="9"/>
  <c r="AK21" i="9"/>
  <c r="AH22" i="9"/>
  <c r="AI22" i="9"/>
  <c r="AJ22" i="9"/>
  <c r="AK22" i="9"/>
  <c r="AH23" i="9"/>
  <c r="AI23" i="9"/>
  <c r="AJ23" i="9"/>
  <c r="AK23" i="9"/>
  <c r="AH24" i="9"/>
  <c r="AI24" i="9"/>
  <c r="AJ24" i="9"/>
  <c r="AK24" i="9"/>
  <c r="AH25" i="9"/>
  <c r="AI25" i="9"/>
  <c r="AJ25" i="9"/>
  <c r="AK25" i="9"/>
  <c r="AH26" i="9"/>
  <c r="AI26" i="9"/>
  <c r="AJ26" i="9"/>
  <c r="AK26" i="9"/>
  <c r="AH27" i="9"/>
  <c r="AI27" i="9"/>
  <c r="AJ27" i="9"/>
  <c r="AK27" i="9"/>
  <c r="AH28" i="9"/>
  <c r="AI28" i="9"/>
  <c r="AJ28" i="9"/>
  <c r="AK28" i="9"/>
  <c r="AH29" i="9"/>
  <c r="AI29" i="9"/>
  <c r="AJ29" i="9"/>
  <c r="AK29" i="9"/>
  <c r="AH30" i="9"/>
  <c r="AI30" i="9"/>
  <c r="AJ30" i="9"/>
  <c r="AK30" i="9"/>
  <c r="AH31" i="9"/>
  <c r="AI31" i="9"/>
  <c r="AJ31" i="9"/>
  <c r="AK31" i="9"/>
  <c r="AH32" i="9"/>
  <c r="AI32" i="9"/>
  <c r="AJ32" i="9"/>
  <c r="AK32" i="9"/>
  <c r="AH33" i="9"/>
  <c r="AI33" i="9"/>
  <c r="AJ33" i="9"/>
  <c r="AK33" i="9"/>
  <c r="AH34" i="9"/>
  <c r="AI34" i="9"/>
  <c r="AJ34" i="9"/>
  <c r="AK34" i="9"/>
  <c r="AH35" i="9"/>
  <c r="AI35" i="9"/>
  <c r="AJ35" i="9"/>
  <c r="AK35" i="9"/>
  <c r="AH36" i="9"/>
  <c r="AI36" i="9"/>
  <c r="AJ36" i="9"/>
  <c r="AK36" i="9"/>
  <c r="AH37" i="9"/>
  <c r="AI37" i="9"/>
  <c r="AJ37" i="9"/>
  <c r="AK37" i="9"/>
  <c r="AH38" i="9"/>
  <c r="AI38" i="9"/>
  <c r="AJ38" i="9"/>
  <c r="AK38" i="9"/>
  <c r="AH39" i="9"/>
  <c r="AI39" i="9"/>
  <c r="O16" i="12" s="1"/>
  <c r="AJ39" i="9"/>
  <c r="R16" i="12" s="1"/>
  <c r="AK39" i="9"/>
  <c r="L16" i="12" s="1"/>
  <c r="AH40" i="9"/>
  <c r="AI40" i="9"/>
  <c r="AJ40" i="9"/>
  <c r="AK40" i="9"/>
  <c r="AH41" i="9"/>
  <c r="AI41" i="9"/>
  <c r="AJ41" i="9"/>
  <c r="AK41" i="9"/>
  <c r="AH42" i="9"/>
  <c r="AI42" i="9"/>
  <c r="AJ42" i="9"/>
  <c r="AK42" i="9"/>
  <c r="AH43" i="9"/>
  <c r="AI43" i="9"/>
  <c r="AJ43" i="9"/>
  <c r="AK43" i="9"/>
  <c r="AH44" i="9"/>
  <c r="AI44" i="9"/>
  <c r="AJ44" i="9"/>
  <c r="AK44" i="9"/>
  <c r="AH45" i="9"/>
  <c r="AI45" i="9"/>
  <c r="AJ45" i="9"/>
  <c r="AK45" i="9"/>
  <c r="AH46" i="9"/>
  <c r="AI46" i="9"/>
  <c r="AJ46" i="9"/>
  <c r="AK46" i="9"/>
  <c r="AH47" i="9"/>
  <c r="AI47" i="9"/>
  <c r="AJ47" i="9"/>
  <c r="AK47" i="9"/>
  <c r="AH48" i="9"/>
  <c r="AI48" i="9"/>
  <c r="AJ48" i="9"/>
  <c r="AK48" i="9"/>
  <c r="AH49" i="9"/>
  <c r="AI49" i="9"/>
  <c r="AJ49" i="9"/>
  <c r="AK49" i="9"/>
  <c r="AH50" i="9"/>
  <c r="AI50" i="9"/>
  <c r="AJ50" i="9"/>
  <c r="AK50" i="9"/>
  <c r="AH51" i="9"/>
  <c r="AI51" i="9"/>
  <c r="O18" i="12" s="1"/>
  <c r="AJ51" i="9"/>
  <c r="R18" i="12" s="1"/>
  <c r="AK51" i="9"/>
  <c r="L18" i="12" s="1"/>
  <c r="AH52" i="9"/>
  <c r="AI52" i="9"/>
  <c r="O62" i="12" s="1"/>
  <c r="AJ52" i="9"/>
  <c r="R62" i="12" s="1"/>
  <c r="AK52" i="9"/>
  <c r="L62" i="12" s="1"/>
  <c r="AH53" i="9"/>
  <c r="AI53" i="9"/>
  <c r="AJ53" i="9"/>
  <c r="AK53" i="9"/>
  <c r="AH54" i="9"/>
  <c r="AI54" i="9"/>
  <c r="AJ54" i="9"/>
  <c r="AK54" i="9"/>
  <c r="AH55" i="9"/>
  <c r="AI55" i="9"/>
  <c r="AJ55" i="9"/>
  <c r="AK55" i="9"/>
  <c r="AH56" i="9"/>
  <c r="AI56" i="9"/>
  <c r="AJ56" i="9"/>
  <c r="AK56" i="9"/>
  <c r="AH57" i="9"/>
  <c r="AI57" i="9"/>
  <c r="AJ57" i="9"/>
  <c r="AK57" i="9"/>
  <c r="AH58" i="9"/>
  <c r="AI58" i="9"/>
  <c r="O37" i="12" s="1"/>
  <c r="AJ58" i="9"/>
  <c r="R37" i="12" s="1"/>
  <c r="AK58" i="9"/>
  <c r="L37" i="12" s="1"/>
  <c r="AH59" i="9"/>
  <c r="AI59" i="9"/>
  <c r="AJ59" i="9"/>
  <c r="AK59" i="9"/>
  <c r="AH60" i="9"/>
  <c r="AI60" i="9"/>
  <c r="AJ60" i="9"/>
  <c r="AK60" i="9"/>
  <c r="AH61" i="9"/>
  <c r="AI61" i="9"/>
  <c r="AJ61" i="9"/>
  <c r="AK61" i="9"/>
  <c r="AH62" i="9"/>
  <c r="AI62" i="9"/>
  <c r="AJ62" i="9"/>
  <c r="AK62" i="9"/>
  <c r="AH63" i="9"/>
  <c r="AI63" i="9"/>
  <c r="AJ63" i="9"/>
  <c r="AK63" i="9"/>
  <c r="AH64" i="9"/>
  <c r="AI64" i="9"/>
  <c r="AJ64" i="9"/>
  <c r="AK64" i="9"/>
  <c r="AH65" i="9"/>
  <c r="AI65" i="9"/>
  <c r="AJ65" i="9"/>
  <c r="AK65" i="9"/>
  <c r="AH66" i="9"/>
  <c r="AI66" i="9"/>
  <c r="AJ66" i="9"/>
  <c r="AK66" i="9"/>
  <c r="AH67" i="9"/>
  <c r="AI67" i="9"/>
  <c r="AJ67" i="9"/>
  <c r="AK67" i="9"/>
  <c r="AH68" i="9"/>
  <c r="AI68" i="9"/>
  <c r="AJ68" i="9"/>
  <c r="AK68" i="9"/>
  <c r="AH69" i="9"/>
  <c r="AI69" i="9"/>
  <c r="AJ69" i="9"/>
  <c r="AK69" i="9"/>
  <c r="AH70" i="9"/>
  <c r="AI70" i="9"/>
  <c r="AJ70" i="9"/>
  <c r="AK70" i="9"/>
  <c r="AH71" i="9"/>
  <c r="AI71" i="9"/>
  <c r="AJ71" i="9"/>
  <c r="AK71" i="9"/>
  <c r="AH72" i="9"/>
  <c r="AI72" i="9"/>
  <c r="AJ72" i="9"/>
  <c r="AK72" i="9"/>
  <c r="AH73" i="9"/>
  <c r="AI73" i="9"/>
  <c r="AJ73" i="9"/>
  <c r="AK73" i="9"/>
  <c r="AH74" i="9"/>
  <c r="AI74" i="9"/>
  <c r="AJ74" i="9"/>
  <c r="AK74" i="9"/>
  <c r="AH75" i="9"/>
  <c r="AI75" i="9"/>
  <c r="AJ75" i="9"/>
  <c r="AK75" i="9"/>
  <c r="AH76" i="9"/>
  <c r="AI76" i="9"/>
  <c r="AJ76" i="9"/>
  <c r="AK76" i="9"/>
  <c r="AH77" i="9"/>
  <c r="AI77" i="9"/>
  <c r="AJ77" i="9"/>
  <c r="AK77" i="9"/>
  <c r="AH78" i="9"/>
  <c r="AI78" i="9"/>
  <c r="AJ78" i="9"/>
  <c r="AK78" i="9"/>
  <c r="AH79" i="9"/>
  <c r="AI79" i="9"/>
  <c r="AJ79" i="9"/>
  <c r="AK79" i="9"/>
  <c r="AH80" i="9"/>
  <c r="AI80" i="9"/>
  <c r="AJ80" i="9"/>
  <c r="AK80" i="9"/>
  <c r="AH81" i="9"/>
  <c r="AI81" i="9"/>
  <c r="O30" i="12" s="1"/>
  <c r="AJ81" i="9"/>
  <c r="R30" i="12" s="1"/>
  <c r="AK81" i="9"/>
  <c r="L30" i="12" s="1"/>
  <c r="AH82" i="9"/>
  <c r="AI82" i="9"/>
  <c r="AJ82" i="9"/>
  <c r="AK82" i="9"/>
  <c r="AH83" i="9"/>
  <c r="AI83" i="9"/>
  <c r="AJ83" i="9"/>
  <c r="AK83" i="9"/>
  <c r="AH84" i="9"/>
  <c r="AI84" i="9"/>
  <c r="AJ84" i="9"/>
  <c r="AK84" i="9"/>
  <c r="AH85" i="9"/>
  <c r="AI85" i="9"/>
  <c r="AJ85" i="9"/>
  <c r="AK85" i="9"/>
  <c r="AH86" i="9"/>
  <c r="AI86" i="9"/>
  <c r="AJ86" i="9"/>
  <c r="AK86" i="9"/>
  <c r="AH87" i="9"/>
  <c r="AI87" i="9"/>
  <c r="AJ87" i="9"/>
  <c r="AK87" i="9"/>
  <c r="AH88" i="9"/>
  <c r="AI88" i="9"/>
  <c r="AJ88" i="9"/>
  <c r="AK88" i="9"/>
  <c r="AH89" i="9"/>
  <c r="AI89" i="9"/>
  <c r="AJ89" i="9"/>
  <c r="AK89" i="9"/>
  <c r="AH90" i="9"/>
  <c r="AI90" i="9"/>
  <c r="AJ90" i="9"/>
  <c r="AK90" i="9"/>
  <c r="AH91" i="9"/>
  <c r="AI91" i="9"/>
  <c r="AJ91" i="9"/>
  <c r="AK91" i="9"/>
  <c r="AH92" i="9"/>
  <c r="AI92" i="9"/>
  <c r="AJ92" i="9"/>
  <c r="AK92" i="9"/>
  <c r="AH93" i="9"/>
  <c r="AI93" i="9"/>
  <c r="AJ93" i="9"/>
  <c r="AK93" i="9"/>
  <c r="AH94" i="9"/>
  <c r="AI94" i="9"/>
  <c r="AJ94" i="9"/>
  <c r="AK94" i="9"/>
  <c r="AH95" i="9"/>
  <c r="AI95" i="9"/>
  <c r="AJ95" i="9"/>
  <c r="AK95" i="9"/>
  <c r="AH96" i="9"/>
  <c r="AI96" i="9"/>
  <c r="AJ96" i="9"/>
  <c r="AK96" i="9"/>
  <c r="AH97" i="9"/>
  <c r="AI97" i="9"/>
  <c r="AJ97" i="9"/>
  <c r="AK97" i="9"/>
  <c r="AH98" i="9"/>
  <c r="AI98" i="9"/>
  <c r="AJ98" i="9"/>
  <c r="AK98" i="9"/>
  <c r="AH99" i="9"/>
  <c r="AI99" i="9"/>
  <c r="AJ99" i="9"/>
  <c r="AK99" i="9"/>
  <c r="AH100" i="9"/>
  <c r="AI100" i="9"/>
  <c r="AJ100" i="9"/>
  <c r="AK100" i="9"/>
  <c r="AH101" i="9"/>
  <c r="AI101" i="9"/>
  <c r="AJ101" i="9"/>
  <c r="AK101" i="9"/>
  <c r="AH102" i="9"/>
  <c r="AI102" i="9"/>
  <c r="O61" i="12" s="1"/>
  <c r="AJ102" i="9"/>
  <c r="R61" i="12" s="1"/>
  <c r="AK102" i="9"/>
  <c r="L61" i="12" s="1"/>
  <c r="AH103" i="9"/>
  <c r="AI103" i="9"/>
  <c r="AJ103" i="9"/>
  <c r="AK103" i="9"/>
  <c r="AH104" i="9"/>
  <c r="AI104" i="9"/>
  <c r="AJ104" i="9"/>
  <c r="AK104" i="9"/>
  <c r="AH105" i="9"/>
  <c r="AI105" i="9"/>
  <c r="AJ105" i="9"/>
  <c r="AK105" i="9"/>
  <c r="AH106" i="9"/>
  <c r="AI106" i="9"/>
  <c r="AJ106" i="9"/>
  <c r="AK106" i="9"/>
  <c r="AH107" i="9"/>
  <c r="AI107" i="9"/>
  <c r="AJ107" i="9"/>
  <c r="AK107" i="9"/>
  <c r="AH108" i="9"/>
  <c r="AI108" i="9"/>
  <c r="AJ108" i="9"/>
  <c r="AK108" i="9"/>
  <c r="AH109" i="9"/>
  <c r="AI109" i="9"/>
  <c r="AJ109" i="9"/>
  <c r="AK109" i="9"/>
  <c r="AH110" i="9"/>
  <c r="AI110" i="9"/>
  <c r="AJ110" i="9"/>
  <c r="AK110" i="9"/>
  <c r="AH111" i="9"/>
  <c r="AI111" i="9"/>
  <c r="AJ111" i="9"/>
  <c r="AK111" i="9"/>
  <c r="AH112" i="9"/>
  <c r="AI112" i="9"/>
  <c r="AJ112" i="9"/>
  <c r="AK112" i="9"/>
  <c r="AH113" i="9"/>
  <c r="AI113" i="9"/>
  <c r="AJ113" i="9"/>
  <c r="AK113" i="9"/>
  <c r="AH114" i="9"/>
  <c r="AI114" i="9"/>
  <c r="AJ114" i="9"/>
  <c r="AK114" i="9"/>
  <c r="AH115" i="9"/>
  <c r="AI115" i="9"/>
  <c r="AJ115" i="9"/>
  <c r="AK115" i="9"/>
  <c r="AH116" i="9"/>
  <c r="AI116" i="9"/>
  <c r="AJ116" i="9"/>
  <c r="AK116" i="9"/>
  <c r="AH117" i="9"/>
  <c r="AI117" i="9"/>
  <c r="AJ117" i="9"/>
  <c r="AK117" i="9"/>
  <c r="AH118" i="9"/>
  <c r="AI118" i="9"/>
  <c r="AJ118" i="9"/>
  <c r="AK118" i="9"/>
  <c r="AH119" i="9"/>
  <c r="AI119" i="9"/>
  <c r="AJ119" i="9"/>
  <c r="AK119" i="9"/>
  <c r="AH120" i="9"/>
  <c r="AI120" i="9"/>
  <c r="AJ120" i="9"/>
  <c r="AK120" i="9"/>
  <c r="AH121" i="9"/>
  <c r="AI121" i="9"/>
  <c r="AJ121" i="9"/>
  <c r="AK121" i="9"/>
  <c r="AH122" i="9"/>
  <c r="AI122" i="9"/>
  <c r="AJ122" i="9"/>
  <c r="AK122" i="9"/>
  <c r="AH123" i="9"/>
  <c r="AI123" i="9"/>
  <c r="AJ123" i="9"/>
  <c r="AK123" i="9"/>
  <c r="AH124" i="9"/>
  <c r="AI124" i="9"/>
  <c r="AJ124" i="9"/>
  <c r="AK124" i="9"/>
  <c r="AH125" i="9"/>
  <c r="AI125" i="9"/>
  <c r="AJ125" i="9"/>
  <c r="AK125" i="9"/>
  <c r="AH126" i="9"/>
  <c r="AI126" i="9"/>
  <c r="AJ126" i="9"/>
  <c r="AK126" i="9"/>
  <c r="AH127" i="9"/>
  <c r="AI127" i="9"/>
  <c r="AJ127" i="9"/>
  <c r="AK127" i="9"/>
  <c r="AH128" i="9"/>
  <c r="AI128" i="9"/>
  <c r="AJ128" i="9"/>
  <c r="AK128" i="9"/>
  <c r="AH129" i="9"/>
  <c r="AI129" i="9"/>
  <c r="AJ129" i="9"/>
  <c r="AK129" i="9"/>
  <c r="AH130" i="9"/>
  <c r="AI130" i="9"/>
  <c r="AJ130" i="9"/>
  <c r="AK130" i="9"/>
  <c r="AH131" i="9"/>
  <c r="AI131" i="9"/>
  <c r="AJ131" i="9"/>
  <c r="AK131" i="9"/>
  <c r="AH132" i="9"/>
  <c r="AI132" i="9"/>
  <c r="AJ132" i="9"/>
  <c r="AK132" i="9"/>
  <c r="AH133" i="9"/>
  <c r="AI133" i="9"/>
  <c r="AJ133" i="9"/>
  <c r="AK133" i="9"/>
  <c r="AH134" i="9"/>
  <c r="AI134" i="9"/>
  <c r="AJ134" i="9"/>
  <c r="AK134" i="9"/>
  <c r="AH135" i="9"/>
  <c r="AI135" i="9"/>
  <c r="AJ135" i="9"/>
  <c r="AK135" i="9"/>
  <c r="AH136" i="9"/>
  <c r="AI136" i="9"/>
  <c r="AJ136" i="9"/>
  <c r="AK136" i="9"/>
  <c r="AH137" i="9"/>
  <c r="AI137" i="9"/>
  <c r="AJ137" i="9"/>
  <c r="AK137" i="9"/>
  <c r="AH138" i="9"/>
  <c r="AI138" i="9"/>
  <c r="AJ138" i="9"/>
  <c r="AK138" i="9"/>
  <c r="AH139" i="9"/>
  <c r="AI139" i="9"/>
  <c r="AJ139" i="9"/>
  <c r="AK139" i="9"/>
  <c r="AH140" i="9"/>
  <c r="AI140" i="9"/>
  <c r="AJ140" i="9"/>
  <c r="AK140" i="9"/>
  <c r="AH141" i="9"/>
  <c r="AI141" i="9"/>
  <c r="AJ141" i="9"/>
  <c r="AK141" i="9"/>
  <c r="AH142" i="9"/>
  <c r="AI142" i="9"/>
  <c r="AJ142" i="9"/>
  <c r="AK142" i="9"/>
  <c r="AH143" i="9"/>
  <c r="AI143" i="9"/>
  <c r="AJ143" i="9"/>
  <c r="AK143" i="9"/>
  <c r="AH144" i="9"/>
  <c r="AI144" i="9"/>
  <c r="AJ144" i="9"/>
  <c r="AK144" i="9"/>
  <c r="AH145" i="9"/>
  <c r="AI145" i="9"/>
  <c r="AJ145" i="9"/>
  <c r="AK145" i="9"/>
  <c r="AH146" i="9"/>
  <c r="AI146" i="9"/>
  <c r="AJ146" i="9"/>
  <c r="AK146" i="9"/>
  <c r="AH147" i="9"/>
  <c r="AI147" i="9"/>
  <c r="AJ147" i="9"/>
  <c r="AK147" i="9"/>
  <c r="AH148" i="9"/>
  <c r="AI148" i="9"/>
  <c r="AJ148" i="9"/>
  <c r="AK148" i="9"/>
  <c r="AH149" i="9"/>
  <c r="AI149" i="9"/>
  <c r="AJ149" i="9"/>
  <c r="AK149" i="9"/>
  <c r="AH150" i="9"/>
  <c r="AI150" i="9"/>
  <c r="AJ150" i="9"/>
  <c r="AK150" i="9"/>
  <c r="AH151" i="9"/>
  <c r="AI151" i="9"/>
  <c r="AJ151" i="9"/>
  <c r="AK151" i="9"/>
  <c r="AH152" i="9"/>
  <c r="AI152" i="9"/>
  <c r="AJ152" i="9"/>
  <c r="AK152" i="9"/>
  <c r="AH153" i="9"/>
  <c r="AI153" i="9"/>
  <c r="AJ153" i="9"/>
  <c r="AK153" i="9"/>
  <c r="AH154" i="9"/>
  <c r="AI154" i="9"/>
  <c r="AJ154" i="9"/>
  <c r="AK154" i="9"/>
  <c r="AH155" i="9"/>
  <c r="AI155" i="9"/>
  <c r="AJ155" i="9"/>
  <c r="AK155" i="9"/>
  <c r="AH156" i="9"/>
  <c r="AI156" i="9"/>
  <c r="AJ156" i="9"/>
  <c r="AK156" i="9"/>
  <c r="AH157" i="9"/>
  <c r="AI157" i="9"/>
  <c r="AJ157" i="9"/>
  <c r="AK157" i="9"/>
  <c r="AH158" i="9"/>
  <c r="AI158" i="9"/>
  <c r="AJ158" i="9"/>
  <c r="AK158" i="9"/>
  <c r="AH159" i="9"/>
  <c r="AI159" i="9"/>
  <c r="AJ159" i="9"/>
  <c r="AK159" i="9"/>
  <c r="AH160" i="9"/>
  <c r="AI160" i="9"/>
  <c r="AJ160" i="9"/>
  <c r="AK160" i="9"/>
  <c r="AH161" i="9"/>
  <c r="AI161" i="9"/>
  <c r="AJ161" i="9"/>
  <c r="AK161" i="9"/>
  <c r="AH162" i="9"/>
  <c r="AI162" i="9"/>
  <c r="AJ162" i="9"/>
  <c r="AK162" i="9"/>
  <c r="AH163" i="9"/>
  <c r="AI163" i="9"/>
  <c r="AJ163" i="9"/>
  <c r="AK163" i="9"/>
  <c r="AH164" i="9"/>
  <c r="AI164" i="9"/>
  <c r="AJ164" i="9"/>
  <c r="AK164" i="9"/>
  <c r="AH165" i="9"/>
  <c r="AI165" i="9"/>
  <c r="AJ165" i="9"/>
  <c r="AK165" i="9"/>
  <c r="AH166" i="9"/>
  <c r="AI166" i="9"/>
  <c r="AJ166" i="9"/>
  <c r="AK166" i="9"/>
  <c r="AH167" i="9"/>
  <c r="AI167" i="9"/>
  <c r="AJ167" i="9"/>
  <c r="AK167" i="9"/>
  <c r="AH168" i="9"/>
  <c r="AI168" i="9"/>
  <c r="AJ168" i="9"/>
  <c r="AK168" i="9"/>
  <c r="AH169" i="9"/>
  <c r="AI169" i="9"/>
  <c r="AJ169" i="9"/>
  <c r="AK169" i="9"/>
  <c r="AH170" i="9"/>
  <c r="AI170" i="9"/>
  <c r="AJ170" i="9"/>
  <c r="AK170" i="9"/>
  <c r="AH171" i="9"/>
  <c r="AI171" i="9"/>
  <c r="AJ171" i="9"/>
  <c r="AK171" i="9"/>
  <c r="AH172" i="9"/>
  <c r="AI172" i="9"/>
  <c r="AJ172" i="9"/>
  <c r="AK172" i="9"/>
  <c r="AH173" i="9"/>
  <c r="AI173" i="9"/>
  <c r="AJ173" i="9"/>
  <c r="AK173" i="9"/>
  <c r="AH174" i="9"/>
  <c r="AI174" i="9"/>
  <c r="AJ174" i="9"/>
  <c r="AK174" i="9"/>
  <c r="AH175" i="9"/>
  <c r="AI175" i="9"/>
  <c r="AJ175" i="9"/>
  <c r="AK175" i="9"/>
  <c r="AH176" i="9"/>
  <c r="AI176" i="9"/>
  <c r="AJ176" i="9"/>
  <c r="AK176" i="9"/>
  <c r="AH177" i="9"/>
  <c r="AI177" i="9"/>
  <c r="AJ177" i="9"/>
  <c r="AK177" i="9"/>
  <c r="AH178" i="9"/>
  <c r="AI178" i="9"/>
  <c r="AJ178" i="9"/>
  <c r="AK178" i="9"/>
  <c r="AH179" i="9"/>
  <c r="AI179" i="9"/>
  <c r="AJ179" i="9"/>
  <c r="AK179" i="9"/>
  <c r="AH180" i="9"/>
  <c r="AI180" i="9"/>
  <c r="AJ180" i="9"/>
  <c r="AK180" i="9"/>
  <c r="AH181" i="9"/>
  <c r="AI181" i="9"/>
  <c r="AJ181" i="9"/>
  <c r="AK181" i="9"/>
  <c r="AH182" i="9"/>
  <c r="AI182" i="9"/>
  <c r="AJ182" i="9"/>
  <c r="AK182" i="9"/>
  <c r="AH183" i="9"/>
  <c r="AI183" i="9"/>
  <c r="O50" i="12" s="1"/>
  <c r="AJ183" i="9"/>
  <c r="R50" i="12" s="1"/>
  <c r="AK183" i="9"/>
  <c r="L50" i="12" s="1"/>
  <c r="AH184" i="9"/>
  <c r="AI184" i="9"/>
  <c r="AJ184" i="9"/>
  <c r="AK184" i="9"/>
  <c r="AH185" i="9"/>
  <c r="AI185" i="9"/>
  <c r="AJ185" i="9"/>
  <c r="AK185" i="9"/>
  <c r="AH186" i="9"/>
  <c r="AI186" i="9"/>
  <c r="AJ186" i="9"/>
  <c r="AK186" i="9"/>
  <c r="AH187" i="9"/>
  <c r="AI187" i="9"/>
  <c r="AJ187" i="9"/>
  <c r="AK187" i="9"/>
  <c r="AH188" i="9"/>
  <c r="AI188" i="9"/>
  <c r="AJ188" i="9"/>
  <c r="AK188" i="9"/>
  <c r="AH189" i="9"/>
  <c r="AI189" i="9"/>
  <c r="AJ189" i="9"/>
  <c r="AK189" i="9"/>
  <c r="AH190" i="9"/>
  <c r="AI190" i="9"/>
  <c r="AJ190" i="9"/>
  <c r="AK190" i="9"/>
  <c r="AH191" i="9"/>
  <c r="AI191" i="9"/>
  <c r="AJ191" i="9"/>
  <c r="AK191" i="9"/>
  <c r="AH192" i="9"/>
  <c r="AI192" i="9"/>
  <c r="AJ192" i="9"/>
  <c r="AK192" i="9"/>
  <c r="AH193" i="9"/>
  <c r="AI193" i="9"/>
  <c r="AJ193" i="9"/>
  <c r="AK193" i="9"/>
  <c r="AH194" i="9"/>
  <c r="AI194" i="9"/>
  <c r="AJ194" i="9"/>
  <c r="AK194" i="9"/>
  <c r="AH195" i="9"/>
  <c r="AI195" i="9"/>
  <c r="AJ195" i="9"/>
  <c r="AK195" i="9"/>
  <c r="AH196" i="9"/>
  <c r="AI196" i="9"/>
  <c r="AJ196" i="9"/>
  <c r="AK196" i="9"/>
  <c r="AH197" i="9"/>
  <c r="AI197" i="9"/>
  <c r="AJ197" i="9"/>
  <c r="AK197" i="9"/>
  <c r="AH198" i="9"/>
  <c r="AI198" i="9"/>
  <c r="AJ198" i="9"/>
  <c r="AK198" i="9"/>
  <c r="AH199" i="9"/>
  <c r="AI199" i="9"/>
  <c r="AJ199" i="9"/>
  <c r="AK199" i="9"/>
  <c r="AH200" i="9"/>
  <c r="AI200" i="9"/>
  <c r="AJ200" i="9"/>
  <c r="AK200" i="9"/>
  <c r="AH201" i="9"/>
  <c r="AI201" i="9"/>
  <c r="AJ201" i="9"/>
  <c r="AK201" i="9"/>
  <c r="AH202" i="9"/>
  <c r="AI202" i="9"/>
  <c r="AJ202" i="9"/>
  <c r="AK202" i="9"/>
  <c r="AH203" i="9"/>
  <c r="AI203" i="9"/>
  <c r="AJ203" i="9"/>
  <c r="AK203" i="9"/>
  <c r="AH204" i="9"/>
  <c r="AI204" i="9"/>
  <c r="AJ204" i="9"/>
  <c r="AK204" i="9"/>
  <c r="AH205" i="9"/>
  <c r="AI205" i="9"/>
  <c r="AJ205" i="9"/>
  <c r="AK205" i="9"/>
  <c r="AH206" i="9"/>
  <c r="AI206" i="9"/>
  <c r="AJ206" i="9"/>
  <c r="AK206" i="9"/>
  <c r="AH207" i="9"/>
  <c r="AI207" i="9"/>
  <c r="AJ207" i="9"/>
  <c r="AK207" i="9"/>
  <c r="AH208" i="9"/>
  <c r="AI208" i="9"/>
  <c r="AJ208" i="9"/>
  <c r="AK208" i="9"/>
  <c r="AH209" i="9"/>
  <c r="AI209" i="9"/>
  <c r="AJ209" i="9"/>
  <c r="AK209" i="9"/>
  <c r="AH210" i="9"/>
  <c r="AI210" i="9"/>
  <c r="AJ210" i="9"/>
  <c r="AK210" i="9"/>
  <c r="AH211" i="9"/>
  <c r="AI211" i="9"/>
  <c r="AJ211" i="9"/>
  <c r="AK211" i="9"/>
  <c r="AH212" i="9"/>
  <c r="AI212" i="9"/>
  <c r="AJ212" i="9"/>
  <c r="AK212" i="9"/>
  <c r="AH213" i="9"/>
  <c r="AI213" i="9"/>
  <c r="AJ213" i="9"/>
  <c r="AK213" i="9"/>
  <c r="AH214" i="9"/>
  <c r="AI214" i="9"/>
  <c r="AJ214" i="9"/>
  <c r="AK214" i="9"/>
  <c r="AH215" i="9"/>
  <c r="AI215" i="9"/>
  <c r="AJ215" i="9"/>
  <c r="AK215" i="9"/>
  <c r="AH216" i="9"/>
  <c r="AI216" i="9"/>
  <c r="AJ216" i="9"/>
  <c r="AK216" i="9"/>
  <c r="AH217" i="9"/>
  <c r="AI217" i="9"/>
  <c r="AJ217" i="9"/>
  <c r="AK217" i="9"/>
  <c r="AH218" i="9"/>
  <c r="AI218" i="9"/>
  <c r="AJ218" i="9"/>
  <c r="AK218" i="9"/>
  <c r="AH219" i="9"/>
  <c r="AI219" i="9"/>
  <c r="AJ219" i="9"/>
  <c r="AK219" i="9"/>
  <c r="AH220" i="9"/>
  <c r="AI220" i="9"/>
  <c r="AJ220" i="9"/>
  <c r="AK220" i="9"/>
  <c r="AH221" i="9"/>
  <c r="AI221" i="9"/>
  <c r="AJ221" i="9"/>
  <c r="AK221" i="9"/>
  <c r="AH222" i="9"/>
  <c r="AI222" i="9"/>
  <c r="AJ222" i="9"/>
  <c r="AK222" i="9"/>
  <c r="AH223" i="9"/>
  <c r="AI223" i="9"/>
  <c r="AJ223" i="9"/>
  <c r="AK223" i="9"/>
  <c r="AH224" i="9"/>
  <c r="AI224" i="9"/>
  <c r="AJ224" i="9"/>
  <c r="AK224" i="9"/>
  <c r="AH225" i="9"/>
  <c r="AI225" i="9"/>
  <c r="AJ225" i="9"/>
  <c r="AK225" i="9"/>
  <c r="AH226" i="9"/>
  <c r="AI226" i="9"/>
  <c r="AJ226" i="9"/>
  <c r="AK226" i="9"/>
  <c r="AH227" i="9"/>
  <c r="AI227" i="9"/>
  <c r="AJ227" i="9"/>
  <c r="AK227" i="9"/>
  <c r="AH228" i="9"/>
  <c r="AI228" i="9"/>
  <c r="AJ228" i="9"/>
  <c r="AK228" i="9"/>
  <c r="AH229" i="9"/>
  <c r="AI229" i="9"/>
  <c r="AJ229" i="9"/>
  <c r="AK229" i="9"/>
  <c r="AH230" i="9"/>
  <c r="AI230" i="9"/>
  <c r="AJ230" i="9"/>
  <c r="AK230" i="9"/>
  <c r="AH231" i="9"/>
  <c r="AI231" i="9"/>
  <c r="AJ231" i="9"/>
  <c r="AK231" i="9"/>
  <c r="AH232" i="9"/>
  <c r="AI232" i="9"/>
  <c r="AJ232" i="9"/>
  <c r="AK232" i="9"/>
  <c r="AH233" i="9"/>
  <c r="AI233" i="9"/>
  <c r="AJ233" i="9"/>
  <c r="AK233" i="9"/>
  <c r="AH234" i="9"/>
  <c r="AI234" i="9"/>
  <c r="AJ234" i="9"/>
  <c r="AK234" i="9"/>
  <c r="AH235" i="9"/>
  <c r="AI235" i="9"/>
  <c r="AJ235" i="9"/>
  <c r="AK235" i="9"/>
  <c r="AH236" i="9"/>
  <c r="AI236" i="9"/>
  <c r="AJ236" i="9"/>
  <c r="AK236" i="9"/>
  <c r="AH237" i="9"/>
  <c r="AI237" i="9"/>
  <c r="AJ237" i="9"/>
  <c r="AK237" i="9"/>
  <c r="AH238" i="9"/>
  <c r="AI238" i="9"/>
  <c r="AJ238" i="9"/>
  <c r="AK238" i="9"/>
  <c r="AH239" i="9"/>
  <c r="AI239" i="9"/>
  <c r="AJ239" i="9"/>
  <c r="AK239" i="9"/>
  <c r="AH240" i="9"/>
  <c r="AI240" i="9"/>
  <c r="AJ240" i="9"/>
  <c r="AK240" i="9"/>
  <c r="AH241" i="9"/>
  <c r="AI241" i="9"/>
  <c r="AJ241" i="9"/>
  <c r="AK241" i="9"/>
  <c r="AH242" i="9"/>
  <c r="AI242" i="9"/>
  <c r="AJ242" i="9"/>
  <c r="AK242" i="9"/>
  <c r="AH243" i="9"/>
  <c r="AI243" i="9"/>
  <c r="AJ243" i="9"/>
  <c r="AK243" i="9"/>
  <c r="AH244" i="9"/>
  <c r="AI244" i="9"/>
  <c r="AJ244" i="9"/>
  <c r="AK244" i="9"/>
  <c r="AH245" i="9"/>
  <c r="AI245" i="9"/>
  <c r="AJ245" i="9"/>
  <c r="AK245" i="9"/>
  <c r="AH246" i="9"/>
  <c r="AI246" i="9"/>
  <c r="AJ246" i="9"/>
  <c r="AK246" i="9"/>
  <c r="AH247" i="9"/>
  <c r="AI247" i="9"/>
  <c r="AJ247" i="9"/>
  <c r="AK247" i="9"/>
  <c r="AH248" i="9"/>
  <c r="AI248" i="9"/>
  <c r="AJ248" i="9"/>
  <c r="AK248" i="9"/>
  <c r="AH249" i="9"/>
  <c r="AI249" i="9"/>
  <c r="AJ249" i="9"/>
  <c r="AK249" i="9"/>
  <c r="AH250" i="9"/>
  <c r="AI250" i="9"/>
  <c r="AJ250" i="9"/>
  <c r="AK250" i="9"/>
  <c r="AH251" i="9"/>
  <c r="AI251" i="9"/>
  <c r="AJ251" i="9"/>
  <c r="AK251" i="9"/>
  <c r="AH252" i="9"/>
  <c r="AI252" i="9"/>
  <c r="AJ252" i="9"/>
  <c r="AK252" i="9"/>
  <c r="AH253" i="9"/>
  <c r="AI253" i="9"/>
  <c r="O6" i="12" s="1"/>
  <c r="AJ253" i="9"/>
  <c r="R6" i="12" s="1"/>
  <c r="AK253" i="9"/>
  <c r="L6" i="12" s="1"/>
  <c r="AH254" i="9"/>
  <c r="AI254" i="9"/>
  <c r="AJ254" i="9"/>
  <c r="AK254" i="9"/>
  <c r="AH255" i="9"/>
  <c r="AI255" i="9"/>
  <c r="AJ255" i="9"/>
  <c r="AK255" i="9"/>
  <c r="AH256" i="9"/>
  <c r="AI256" i="9"/>
  <c r="AJ256" i="9"/>
  <c r="AK256" i="9"/>
  <c r="AH257" i="9"/>
  <c r="AI257" i="9"/>
  <c r="AJ257" i="9"/>
  <c r="AK257" i="9"/>
  <c r="AH258" i="9"/>
  <c r="AI258" i="9"/>
  <c r="AJ258" i="9"/>
  <c r="AK258" i="9"/>
  <c r="AH259" i="9"/>
  <c r="AI259" i="9"/>
  <c r="O8" i="12" s="1"/>
  <c r="AJ259" i="9"/>
  <c r="R8" i="12" s="1"/>
  <c r="AK259" i="9"/>
  <c r="L8" i="12" s="1"/>
  <c r="AH260" i="9"/>
  <c r="AI260" i="9"/>
  <c r="AJ260" i="9"/>
  <c r="AK260" i="9"/>
  <c r="AH261" i="9"/>
  <c r="AI261" i="9"/>
  <c r="AJ261" i="9"/>
  <c r="AK261" i="9"/>
  <c r="AH262" i="9"/>
  <c r="AI262" i="9"/>
  <c r="AJ262" i="9"/>
  <c r="AK262" i="9"/>
  <c r="AH263" i="9"/>
  <c r="AI263" i="9"/>
  <c r="AJ263" i="9"/>
  <c r="AK263" i="9"/>
  <c r="AH264" i="9"/>
  <c r="AI264" i="9"/>
  <c r="AJ264" i="9"/>
  <c r="AK264" i="9"/>
  <c r="AH265" i="9"/>
  <c r="AI265" i="9"/>
  <c r="AJ265" i="9"/>
  <c r="AK265" i="9"/>
  <c r="AH266" i="9"/>
  <c r="AI266" i="9"/>
  <c r="O32" i="12" s="1"/>
  <c r="AJ266" i="9"/>
  <c r="R32" i="12" s="1"/>
  <c r="AK266" i="9"/>
  <c r="L32" i="12" s="1"/>
  <c r="AH267" i="9"/>
  <c r="AI267" i="9"/>
  <c r="AJ267" i="9"/>
  <c r="AK267" i="9"/>
  <c r="AH268" i="9"/>
  <c r="AI268" i="9"/>
  <c r="AJ268" i="9"/>
  <c r="AK268" i="9"/>
  <c r="AH269" i="9"/>
  <c r="AI269" i="9"/>
  <c r="AJ269" i="9"/>
  <c r="AK269" i="9"/>
  <c r="AH270" i="9"/>
  <c r="AI270" i="9"/>
  <c r="AJ270" i="9"/>
  <c r="AK270" i="9"/>
  <c r="AH271" i="9"/>
  <c r="AI271" i="9"/>
  <c r="AJ271" i="9"/>
  <c r="AK271" i="9"/>
  <c r="AH272" i="9"/>
  <c r="AI272" i="9"/>
  <c r="AJ272" i="9"/>
  <c r="AK272" i="9"/>
  <c r="AH273" i="9"/>
  <c r="AI273" i="9"/>
  <c r="AJ273" i="9"/>
  <c r="AK273" i="9"/>
  <c r="AH274" i="9"/>
  <c r="AI274" i="9"/>
  <c r="AJ274" i="9"/>
  <c r="AK274" i="9"/>
  <c r="AH275" i="9"/>
  <c r="AI275" i="9"/>
  <c r="AJ275" i="9"/>
  <c r="AK275" i="9"/>
  <c r="AH276" i="9"/>
  <c r="AI276" i="9"/>
  <c r="AJ276" i="9"/>
  <c r="AK276" i="9"/>
  <c r="AH277" i="9"/>
  <c r="AI277" i="9"/>
  <c r="AJ277" i="9"/>
  <c r="AK277" i="9"/>
  <c r="AH278" i="9"/>
  <c r="AI278" i="9"/>
  <c r="AJ278" i="9"/>
  <c r="AK278" i="9"/>
  <c r="AH279" i="9"/>
  <c r="AI279" i="9"/>
  <c r="AJ279" i="9"/>
  <c r="AK279" i="9"/>
  <c r="AH280" i="9"/>
  <c r="AI280" i="9"/>
  <c r="AJ280" i="9"/>
  <c r="AK280" i="9"/>
  <c r="AH281" i="9"/>
  <c r="AI281" i="9"/>
  <c r="AJ281" i="9"/>
  <c r="AK281" i="9"/>
  <c r="AH282" i="9"/>
  <c r="AI282" i="9"/>
  <c r="AJ282" i="9"/>
  <c r="AK282" i="9"/>
  <c r="AH283" i="9"/>
  <c r="AI283" i="9"/>
  <c r="AJ283" i="9"/>
  <c r="AK283" i="9"/>
  <c r="AH284" i="9"/>
  <c r="AI284" i="9"/>
  <c r="AJ284" i="9"/>
  <c r="AK284" i="9"/>
  <c r="AH285" i="9"/>
  <c r="AI285" i="9"/>
  <c r="AJ285" i="9"/>
  <c r="AK285" i="9"/>
  <c r="AH286" i="9"/>
  <c r="AI286" i="9"/>
  <c r="AJ286" i="9"/>
  <c r="AK286" i="9"/>
  <c r="AH287" i="9"/>
  <c r="AI287" i="9"/>
  <c r="AJ287" i="9"/>
  <c r="AK287" i="9"/>
  <c r="AH288" i="9"/>
  <c r="AI288" i="9"/>
  <c r="AJ288" i="9"/>
  <c r="AK288" i="9"/>
  <c r="AH289" i="9"/>
  <c r="AI289" i="9"/>
  <c r="AJ289" i="9"/>
  <c r="AK289" i="9"/>
  <c r="AH290" i="9"/>
  <c r="AI290" i="9"/>
  <c r="AJ290" i="9"/>
  <c r="AK290" i="9"/>
  <c r="AH291" i="9"/>
  <c r="AI291" i="9"/>
  <c r="AJ291" i="9"/>
  <c r="AK291" i="9"/>
  <c r="AH292" i="9"/>
  <c r="AI292" i="9"/>
  <c r="AJ292" i="9"/>
  <c r="AK292" i="9"/>
  <c r="AH293" i="9"/>
  <c r="AI293" i="9"/>
  <c r="AJ293" i="9"/>
  <c r="AK293" i="9"/>
  <c r="AH294" i="9"/>
  <c r="AI294" i="9"/>
  <c r="AJ294" i="9"/>
  <c r="AK294" i="9"/>
  <c r="AH295" i="9"/>
  <c r="AI295" i="9"/>
  <c r="AJ295" i="9"/>
  <c r="AK295" i="9"/>
  <c r="AH296" i="9"/>
  <c r="AI296" i="9"/>
  <c r="AJ296" i="9"/>
  <c r="AK296" i="9"/>
  <c r="AH297" i="9"/>
  <c r="AI297" i="9"/>
  <c r="AJ297" i="9"/>
  <c r="AK297" i="9"/>
  <c r="AH298" i="9"/>
  <c r="AI298" i="9"/>
  <c r="AJ298" i="9"/>
  <c r="AK298" i="9"/>
  <c r="AH299" i="9"/>
  <c r="AI299" i="9"/>
  <c r="AJ299" i="9"/>
  <c r="AK299" i="9"/>
  <c r="AH300" i="9"/>
  <c r="AI300" i="9"/>
  <c r="AJ300" i="9"/>
  <c r="AK300" i="9"/>
  <c r="AH301" i="9"/>
  <c r="AI301" i="9"/>
  <c r="AJ301" i="9"/>
  <c r="AK301" i="9"/>
  <c r="AH302" i="9"/>
  <c r="AI302" i="9"/>
  <c r="AJ302" i="9"/>
  <c r="AK302" i="9"/>
  <c r="AH303" i="9"/>
  <c r="AI303" i="9"/>
  <c r="AJ303" i="9"/>
  <c r="AK303" i="9"/>
  <c r="AH304" i="9"/>
  <c r="AI304" i="9"/>
  <c r="AJ304" i="9"/>
  <c r="AK304" i="9"/>
  <c r="AH305" i="9"/>
  <c r="AI305" i="9"/>
  <c r="AJ305" i="9"/>
  <c r="AK305" i="9"/>
  <c r="AH306" i="9"/>
  <c r="AI306" i="9"/>
  <c r="AJ306" i="9"/>
  <c r="AK306" i="9"/>
  <c r="AH307" i="9"/>
  <c r="AI307" i="9"/>
  <c r="AJ307" i="9"/>
  <c r="AK307" i="9"/>
  <c r="AH308" i="9"/>
  <c r="AI308" i="9"/>
  <c r="AJ308" i="9"/>
  <c r="AK308" i="9"/>
  <c r="AH309" i="9"/>
  <c r="AI309" i="9"/>
  <c r="AJ309" i="9"/>
  <c r="AK309" i="9"/>
  <c r="AH310" i="9"/>
  <c r="AI310" i="9"/>
  <c r="AJ310" i="9"/>
  <c r="AK310" i="9"/>
  <c r="AH311" i="9"/>
  <c r="AI311" i="9"/>
  <c r="AJ311" i="9"/>
  <c r="AK311" i="9"/>
  <c r="AH312" i="9"/>
  <c r="AI312" i="9"/>
  <c r="AJ312" i="9"/>
  <c r="AK312" i="9"/>
  <c r="AH313" i="9"/>
  <c r="AI313" i="9"/>
  <c r="AJ313" i="9"/>
  <c r="AK313" i="9"/>
  <c r="AH314" i="9"/>
  <c r="AI314" i="9"/>
  <c r="AJ314" i="9"/>
  <c r="AK314" i="9"/>
  <c r="AH315" i="9"/>
  <c r="AI315" i="9"/>
  <c r="AJ315" i="9"/>
  <c r="AK315" i="9"/>
  <c r="AH316" i="9"/>
  <c r="AI316" i="9"/>
  <c r="AJ316" i="9"/>
  <c r="AK316" i="9"/>
  <c r="AH317" i="9"/>
  <c r="AI317" i="9"/>
  <c r="AJ317" i="9"/>
  <c r="AK317" i="9"/>
  <c r="AH318" i="9"/>
  <c r="AI318" i="9"/>
  <c r="AJ318" i="9"/>
  <c r="AK318" i="9"/>
  <c r="AH319" i="9"/>
  <c r="AI319" i="9"/>
  <c r="AJ319" i="9"/>
  <c r="AK319" i="9"/>
  <c r="AH320" i="9"/>
  <c r="AI320" i="9"/>
  <c r="AJ320" i="9"/>
  <c r="AK320" i="9"/>
  <c r="AH321" i="9"/>
  <c r="AI321" i="9"/>
  <c r="AJ321" i="9"/>
  <c r="AK321" i="9"/>
  <c r="AH322" i="9"/>
  <c r="AI322" i="9"/>
  <c r="AJ322" i="9"/>
  <c r="AK322" i="9"/>
  <c r="AH323" i="9"/>
  <c r="AI323" i="9"/>
  <c r="AJ323" i="9"/>
  <c r="AK323" i="9"/>
  <c r="AH324" i="9"/>
  <c r="AI324" i="9"/>
  <c r="AJ324" i="9"/>
  <c r="AK324" i="9"/>
  <c r="AH325" i="9"/>
  <c r="AI325" i="9"/>
  <c r="O35" i="12" s="1"/>
  <c r="AJ325" i="9"/>
  <c r="R35" i="12" s="1"/>
  <c r="AK325" i="9"/>
  <c r="L35" i="12" s="1"/>
  <c r="AH326" i="9"/>
  <c r="AI326" i="9"/>
  <c r="AJ326" i="9"/>
  <c r="AK326" i="9"/>
  <c r="AH327" i="9"/>
  <c r="AI327" i="9"/>
  <c r="AJ327" i="9"/>
  <c r="AK327" i="9"/>
  <c r="AH328" i="9"/>
  <c r="AI328" i="9"/>
  <c r="AJ328" i="9"/>
  <c r="AK328" i="9"/>
  <c r="AH329" i="9"/>
  <c r="AI329" i="9"/>
  <c r="AJ329" i="9"/>
  <c r="AK329" i="9"/>
  <c r="AH330" i="9"/>
  <c r="AI330" i="9"/>
  <c r="AJ330" i="9"/>
  <c r="AK330" i="9"/>
  <c r="AH331" i="9"/>
  <c r="AI331" i="9"/>
  <c r="AJ331" i="9"/>
  <c r="AK331" i="9"/>
  <c r="AH332" i="9"/>
  <c r="AI332" i="9"/>
  <c r="AJ332" i="9"/>
  <c r="AK332" i="9"/>
  <c r="AH333" i="9"/>
  <c r="AI333" i="9"/>
  <c r="AJ333" i="9"/>
  <c r="AK333" i="9"/>
  <c r="AH334" i="9"/>
  <c r="AI334" i="9"/>
  <c r="AJ334" i="9"/>
  <c r="AK334" i="9"/>
  <c r="AH335" i="9"/>
  <c r="AI335" i="9"/>
  <c r="AJ335" i="9"/>
  <c r="AK335" i="9"/>
  <c r="AH336" i="9"/>
  <c r="AI336" i="9"/>
  <c r="AJ336" i="9"/>
  <c r="AK336" i="9"/>
  <c r="AH337" i="9"/>
  <c r="AI337" i="9"/>
  <c r="AJ337" i="9"/>
  <c r="AK337" i="9"/>
  <c r="AH338" i="9"/>
  <c r="AI338" i="9"/>
  <c r="AJ338" i="9"/>
  <c r="AK338" i="9"/>
  <c r="AH339" i="9"/>
  <c r="AI339" i="9"/>
  <c r="AJ339" i="9"/>
  <c r="AK339" i="9"/>
  <c r="AH340" i="9"/>
  <c r="AI340" i="9"/>
  <c r="AJ340" i="9"/>
  <c r="AK340" i="9"/>
  <c r="AH341" i="9"/>
  <c r="AI341" i="9"/>
  <c r="AJ341" i="9"/>
  <c r="AK341" i="9"/>
  <c r="AH342" i="9"/>
  <c r="AI342" i="9"/>
  <c r="AJ342" i="9"/>
  <c r="AK342" i="9"/>
  <c r="AH343" i="9"/>
  <c r="AI343" i="9"/>
  <c r="AJ343" i="9"/>
  <c r="AK343" i="9"/>
  <c r="AH344" i="9"/>
  <c r="AI344" i="9"/>
  <c r="AJ344" i="9"/>
  <c r="AK344" i="9"/>
  <c r="AH345" i="9"/>
  <c r="AI345" i="9"/>
  <c r="AJ345" i="9"/>
  <c r="AK345" i="9"/>
  <c r="AH346" i="9"/>
  <c r="AI346" i="9"/>
  <c r="AJ346" i="9"/>
  <c r="AK346" i="9"/>
  <c r="AH347" i="9"/>
  <c r="AI347" i="9"/>
  <c r="AJ347" i="9"/>
  <c r="AK347" i="9"/>
  <c r="AH348" i="9"/>
  <c r="AI348" i="9"/>
  <c r="AJ348" i="9"/>
  <c r="AK348" i="9"/>
  <c r="AH349" i="9"/>
  <c r="AI349" i="9"/>
  <c r="AJ349" i="9"/>
  <c r="AK349" i="9"/>
  <c r="AH350" i="9"/>
  <c r="AI350" i="9"/>
  <c r="AJ350" i="9"/>
  <c r="AK350" i="9"/>
  <c r="AH351" i="9"/>
  <c r="AI351" i="9"/>
  <c r="AJ351" i="9"/>
  <c r="AK351" i="9"/>
  <c r="AH352" i="9"/>
  <c r="AI352" i="9"/>
  <c r="AJ352" i="9"/>
  <c r="AK352" i="9"/>
  <c r="AH353" i="9"/>
  <c r="AI353" i="9"/>
  <c r="AJ353" i="9"/>
  <c r="AK353" i="9"/>
  <c r="AH354" i="9"/>
  <c r="AI354" i="9"/>
  <c r="AJ354" i="9"/>
  <c r="AK354" i="9"/>
  <c r="AH355" i="9"/>
  <c r="AI355" i="9"/>
  <c r="AJ355" i="9"/>
  <c r="AK355" i="9"/>
  <c r="AH356" i="9"/>
  <c r="AI356" i="9"/>
  <c r="AJ356" i="9"/>
  <c r="AK356" i="9"/>
  <c r="AH357" i="9"/>
  <c r="AI357" i="9"/>
  <c r="AJ357" i="9"/>
  <c r="AK357" i="9"/>
  <c r="AH358" i="9"/>
  <c r="AI358" i="9"/>
  <c r="AJ358" i="9"/>
  <c r="AK358" i="9"/>
  <c r="AH359" i="9"/>
  <c r="AI359" i="9"/>
  <c r="AJ359" i="9"/>
  <c r="AK359" i="9"/>
  <c r="AH360" i="9"/>
  <c r="AI360" i="9"/>
  <c r="AJ360" i="9"/>
  <c r="AK360" i="9"/>
  <c r="AH361" i="9"/>
  <c r="AI361" i="9"/>
  <c r="AJ361" i="9"/>
  <c r="AK361" i="9"/>
  <c r="AH362" i="9"/>
  <c r="AI362" i="9"/>
  <c r="AJ362" i="9"/>
  <c r="AK362" i="9"/>
  <c r="AH363" i="9"/>
  <c r="AI363" i="9"/>
  <c r="AJ363" i="9"/>
  <c r="AK363" i="9"/>
  <c r="AH364" i="9"/>
  <c r="AI364" i="9"/>
  <c r="O13" i="12" s="1"/>
  <c r="AJ364" i="9"/>
  <c r="R13" i="12" s="1"/>
  <c r="AK364" i="9"/>
  <c r="L13" i="12" s="1"/>
  <c r="AH365" i="9"/>
  <c r="AI365" i="9"/>
  <c r="AJ365" i="9"/>
  <c r="AK365" i="9"/>
  <c r="AH366" i="9"/>
  <c r="AI366" i="9"/>
  <c r="AJ366" i="9"/>
  <c r="AK366" i="9"/>
  <c r="AH367" i="9"/>
  <c r="AI367" i="9"/>
  <c r="AJ367" i="9"/>
  <c r="AK367" i="9"/>
  <c r="AH368" i="9"/>
  <c r="AI368" i="9"/>
  <c r="AJ368" i="9"/>
  <c r="AK368" i="9"/>
  <c r="AH369" i="9"/>
  <c r="AI369" i="9"/>
  <c r="AJ369" i="9"/>
  <c r="AK369" i="9"/>
  <c r="AH370" i="9"/>
  <c r="AI370" i="9"/>
  <c r="AJ370" i="9"/>
  <c r="AK370" i="9"/>
  <c r="AH371" i="9"/>
  <c r="AI371" i="9"/>
  <c r="AJ371" i="9"/>
  <c r="AK371" i="9"/>
  <c r="AH372" i="9"/>
  <c r="AI372" i="9"/>
  <c r="AJ372" i="9"/>
  <c r="AK372" i="9"/>
  <c r="AH373" i="9"/>
  <c r="AI373" i="9"/>
  <c r="AJ373" i="9"/>
  <c r="AK373" i="9"/>
  <c r="AH374" i="9"/>
  <c r="AI374" i="9"/>
  <c r="AJ374" i="9"/>
  <c r="AK374" i="9"/>
  <c r="AH375" i="9"/>
  <c r="AI375" i="9"/>
  <c r="AJ375" i="9"/>
  <c r="AK375" i="9"/>
  <c r="AH376" i="9"/>
  <c r="AI376" i="9"/>
  <c r="AJ376" i="9"/>
  <c r="AK376" i="9"/>
  <c r="AH377" i="9"/>
  <c r="AI377" i="9"/>
  <c r="AJ377" i="9"/>
  <c r="AK377" i="9"/>
  <c r="AH378" i="9"/>
  <c r="AI378" i="9"/>
  <c r="AJ378" i="9"/>
  <c r="AK378" i="9"/>
  <c r="AH379" i="9"/>
  <c r="AI379" i="9"/>
  <c r="AJ379" i="9"/>
  <c r="AK379" i="9"/>
  <c r="AH380" i="9"/>
  <c r="AI380" i="9"/>
  <c r="AJ380" i="9"/>
  <c r="AK380" i="9"/>
  <c r="AH381" i="9"/>
  <c r="AI381" i="9"/>
  <c r="O23" i="12" s="1"/>
  <c r="AJ381" i="9"/>
  <c r="R23" i="12" s="1"/>
  <c r="AK381" i="9"/>
  <c r="L23" i="12" s="1"/>
  <c r="AH382" i="9"/>
  <c r="AI382" i="9"/>
  <c r="AJ382" i="9"/>
  <c r="AK382" i="9"/>
  <c r="AH383" i="9"/>
  <c r="AI383" i="9"/>
  <c r="AJ383" i="9"/>
  <c r="AK383" i="9"/>
  <c r="AH384" i="9"/>
  <c r="AI384" i="9"/>
  <c r="AJ384" i="9"/>
  <c r="AK384" i="9"/>
  <c r="AH385" i="9"/>
  <c r="AI385" i="9"/>
  <c r="AJ385" i="9"/>
  <c r="AK385" i="9"/>
  <c r="AH386" i="9"/>
  <c r="AI386" i="9"/>
  <c r="AJ386" i="9"/>
  <c r="AK386" i="9"/>
  <c r="AH387" i="9"/>
  <c r="AI387" i="9"/>
  <c r="AJ387" i="9"/>
  <c r="AK387" i="9"/>
  <c r="AH388" i="9"/>
  <c r="AI388" i="9"/>
  <c r="AJ388" i="9"/>
  <c r="AK388" i="9"/>
  <c r="AH389" i="9"/>
  <c r="AI389" i="9"/>
  <c r="AJ389" i="9"/>
  <c r="AK389" i="9"/>
  <c r="AH390" i="9"/>
  <c r="AI390" i="9"/>
  <c r="AJ390" i="9"/>
  <c r="AK390" i="9"/>
  <c r="AH391" i="9"/>
  <c r="AI391" i="9"/>
  <c r="AJ391" i="9"/>
  <c r="AK391" i="9"/>
  <c r="AH392" i="9"/>
  <c r="AI392" i="9"/>
  <c r="AJ392" i="9"/>
  <c r="AK392" i="9"/>
  <c r="AH393" i="9"/>
  <c r="AI393" i="9"/>
  <c r="AJ393" i="9"/>
  <c r="AK393" i="9"/>
  <c r="AH394" i="9"/>
  <c r="AI394" i="9"/>
  <c r="AJ394" i="9"/>
  <c r="AK394" i="9"/>
  <c r="AH395" i="9"/>
  <c r="AI395" i="9"/>
  <c r="AJ395" i="9"/>
  <c r="AK395" i="9"/>
  <c r="AH396" i="9"/>
  <c r="AI396" i="9"/>
  <c r="AJ396" i="9"/>
  <c r="AK396" i="9"/>
  <c r="AH397" i="9"/>
  <c r="AI397" i="9"/>
  <c r="AJ397" i="9"/>
  <c r="AK397" i="9"/>
  <c r="AH398" i="9"/>
  <c r="AI398" i="9"/>
  <c r="AJ398" i="9"/>
  <c r="AK398" i="9"/>
  <c r="AH399" i="9"/>
  <c r="AI399" i="9"/>
  <c r="AJ399" i="9"/>
  <c r="AK399" i="9"/>
  <c r="AH400" i="9"/>
  <c r="AI400" i="9"/>
  <c r="AJ400" i="9"/>
  <c r="AK400" i="9"/>
  <c r="AH401" i="9"/>
  <c r="AI401" i="9"/>
  <c r="AJ401" i="9"/>
  <c r="AK401" i="9"/>
  <c r="AH402" i="9"/>
  <c r="AI402" i="9"/>
  <c r="AJ402" i="9"/>
  <c r="AK402" i="9"/>
  <c r="AH403" i="9"/>
  <c r="AI403" i="9"/>
  <c r="AJ403" i="9"/>
  <c r="AK403" i="9"/>
  <c r="AH404" i="9"/>
  <c r="AI404" i="9"/>
  <c r="AJ404" i="9"/>
  <c r="AK404" i="9"/>
  <c r="AH405" i="9"/>
  <c r="AI405" i="9"/>
  <c r="AJ405" i="9"/>
  <c r="AK405" i="9"/>
  <c r="AH406" i="9"/>
  <c r="AI406" i="9"/>
  <c r="AJ406" i="9"/>
  <c r="AK406" i="9"/>
  <c r="AH407" i="9"/>
  <c r="AI407" i="9"/>
  <c r="AJ407" i="9"/>
  <c r="AK407" i="9"/>
  <c r="AH408" i="9"/>
  <c r="AI408" i="9"/>
  <c r="AJ408" i="9"/>
  <c r="AK408" i="9"/>
  <c r="AH409" i="9"/>
  <c r="AI409" i="9"/>
  <c r="AJ409" i="9"/>
  <c r="AK409" i="9"/>
  <c r="AH410" i="9"/>
  <c r="AI410" i="9"/>
  <c r="AJ410" i="9"/>
  <c r="AK410" i="9"/>
  <c r="AH411" i="9"/>
  <c r="AI411" i="9"/>
  <c r="AJ411" i="9"/>
  <c r="AK411" i="9"/>
  <c r="AH412" i="9"/>
  <c r="AI412" i="9"/>
  <c r="AJ412" i="9"/>
  <c r="AK412" i="9"/>
  <c r="AH413" i="9"/>
  <c r="AI413" i="9"/>
  <c r="AJ413" i="9"/>
  <c r="AK413" i="9"/>
  <c r="AH414" i="9"/>
  <c r="AI414" i="9"/>
  <c r="AJ414" i="9"/>
  <c r="AK414" i="9"/>
  <c r="AH415" i="9"/>
  <c r="AI415" i="9"/>
  <c r="AJ415" i="9"/>
  <c r="AK415" i="9"/>
  <c r="AH416" i="9"/>
  <c r="AI416" i="9"/>
  <c r="AJ416" i="9"/>
  <c r="AK416" i="9"/>
  <c r="AH417" i="9"/>
  <c r="AI417" i="9"/>
  <c r="AJ417" i="9"/>
  <c r="AK417" i="9"/>
  <c r="AH418" i="9"/>
  <c r="AI418" i="9"/>
  <c r="AJ418" i="9"/>
  <c r="AK418" i="9"/>
  <c r="AH419" i="9"/>
  <c r="AI419" i="9"/>
  <c r="AJ419" i="9"/>
  <c r="AK419" i="9"/>
  <c r="AH420" i="9"/>
  <c r="AI420" i="9"/>
  <c r="AJ420" i="9"/>
  <c r="AK420" i="9"/>
  <c r="AH421" i="9"/>
  <c r="AI421" i="9"/>
  <c r="AJ421" i="9"/>
  <c r="AK421" i="9"/>
  <c r="AH422" i="9"/>
  <c r="AI422" i="9"/>
  <c r="AJ422" i="9"/>
  <c r="AK422" i="9"/>
  <c r="AH423" i="9"/>
  <c r="AI423" i="9"/>
  <c r="AJ423" i="9"/>
  <c r="AK423" i="9"/>
  <c r="AH424" i="9"/>
  <c r="AI424" i="9"/>
  <c r="AJ424" i="9"/>
  <c r="AK424" i="9"/>
  <c r="AH425" i="9"/>
  <c r="AI425" i="9"/>
  <c r="AJ425" i="9"/>
  <c r="AK425" i="9"/>
  <c r="AH426" i="9"/>
  <c r="AI426" i="9"/>
  <c r="AJ426" i="9"/>
  <c r="AK426" i="9"/>
  <c r="AH427" i="9"/>
  <c r="AI427" i="9"/>
  <c r="AJ427" i="9"/>
  <c r="AK427" i="9"/>
  <c r="AH428" i="9"/>
  <c r="AI428" i="9"/>
  <c r="AJ428" i="9"/>
  <c r="AK428" i="9"/>
  <c r="AH429" i="9"/>
  <c r="AI429" i="9"/>
  <c r="AJ429" i="9"/>
  <c r="AK429" i="9"/>
  <c r="AH430" i="9"/>
  <c r="AI430" i="9"/>
  <c r="AJ430" i="9"/>
  <c r="AK430" i="9"/>
  <c r="AH431" i="9"/>
  <c r="AI431" i="9"/>
  <c r="AJ431" i="9"/>
  <c r="AK431" i="9"/>
  <c r="AH432" i="9"/>
  <c r="AI432" i="9"/>
  <c r="AJ432" i="9"/>
  <c r="AK432" i="9"/>
  <c r="AH433" i="9"/>
  <c r="AI433" i="9"/>
  <c r="AJ433" i="9"/>
  <c r="AK433" i="9"/>
  <c r="AH434" i="9"/>
  <c r="AI434" i="9"/>
  <c r="AJ434" i="9"/>
  <c r="AK434" i="9"/>
  <c r="AH435" i="9"/>
  <c r="AI435" i="9"/>
  <c r="AJ435" i="9"/>
  <c r="AK435" i="9"/>
  <c r="AH436" i="9"/>
  <c r="AI436" i="9"/>
  <c r="O52" i="12" s="1"/>
  <c r="AJ436" i="9"/>
  <c r="R52" i="12" s="1"/>
  <c r="AK436" i="9"/>
  <c r="L52" i="12" s="1"/>
  <c r="AH437" i="9"/>
  <c r="AI437" i="9"/>
  <c r="AJ437" i="9"/>
  <c r="AK437" i="9"/>
  <c r="AH438" i="9"/>
  <c r="AI438" i="9"/>
  <c r="AJ438" i="9"/>
  <c r="AK438" i="9"/>
  <c r="AH439" i="9"/>
  <c r="AI439" i="9"/>
  <c r="AJ439" i="9"/>
  <c r="AK439" i="9"/>
  <c r="AH440" i="9"/>
  <c r="AI440" i="9"/>
  <c r="AJ440" i="9"/>
  <c r="AK440" i="9"/>
  <c r="AH441" i="9"/>
  <c r="AI441" i="9"/>
  <c r="AJ441" i="9"/>
  <c r="AK441" i="9"/>
  <c r="AH442" i="9"/>
  <c r="AI442" i="9"/>
  <c r="AJ442" i="9"/>
  <c r="AK442" i="9"/>
  <c r="AH443" i="9"/>
  <c r="AI443" i="9"/>
  <c r="AJ443" i="9"/>
  <c r="AK443" i="9"/>
  <c r="AH444" i="9"/>
  <c r="AI444" i="9"/>
  <c r="AJ444" i="9"/>
  <c r="AK444" i="9"/>
  <c r="AH445" i="9"/>
  <c r="AI445" i="9"/>
  <c r="AJ445" i="9"/>
  <c r="AK445" i="9"/>
  <c r="AH446" i="9"/>
  <c r="AI446" i="9"/>
  <c r="AJ446" i="9"/>
  <c r="AK446" i="9"/>
  <c r="AH447" i="9"/>
  <c r="AI447" i="9"/>
  <c r="AJ447" i="9"/>
  <c r="AK447" i="9"/>
  <c r="AH448" i="9"/>
  <c r="AI448" i="9"/>
  <c r="AJ448" i="9"/>
  <c r="AK448" i="9"/>
  <c r="AH449" i="9"/>
  <c r="AI449" i="9"/>
  <c r="AJ449" i="9"/>
  <c r="AK449" i="9"/>
  <c r="AH450" i="9"/>
  <c r="AI450" i="9"/>
  <c r="AJ450" i="9"/>
  <c r="AK450" i="9"/>
  <c r="AH451" i="9"/>
  <c r="AI451" i="9"/>
  <c r="AJ451" i="9"/>
  <c r="AK451" i="9"/>
  <c r="AH452" i="9"/>
  <c r="AI452" i="9"/>
  <c r="AJ452" i="9"/>
  <c r="AK452" i="9"/>
  <c r="AH453" i="9"/>
  <c r="AI453" i="9"/>
  <c r="AJ453" i="9"/>
  <c r="AK453" i="9"/>
  <c r="AH454" i="9"/>
  <c r="AI454" i="9"/>
  <c r="AJ454" i="9"/>
  <c r="AK454" i="9"/>
  <c r="AH455" i="9"/>
  <c r="AI455" i="9"/>
  <c r="AJ455" i="9"/>
  <c r="AK455" i="9"/>
  <c r="AH456" i="9"/>
  <c r="AI456" i="9"/>
  <c r="AJ456" i="9"/>
  <c r="AK456" i="9"/>
  <c r="AH457" i="9"/>
  <c r="AI457" i="9"/>
  <c r="AJ457" i="9"/>
  <c r="AK457" i="9"/>
  <c r="AH458" i="9"/>
  <c r="AI458" i="9"/>
  <c r="AJ458" i="9"/>
  <c r="AK458" i="9"/>
  <c r="AH459" i="9"/>
  <c r="AI459" i="9"/>
  <c r="AJ459" i="9"/>
  <c r="AK459" i="9"/>
  <c r="AH460" i="9"/>
  <c r="AI460" i="9"/>
  <c r="AJ460" i="9"/>
  <c r="AK460" i="9"/>
  <c r="AH461" i="9"/>
  <c r="AI461" i="9"/>
  <c r="AJ461" i="9"/>
  <c r="AK461" i="9"/>
  <c r="AH462" i="9"/>
  <c r="AI462" i="9"/>
  <c r="AJ462" i="9"/>
  <c r="AK462" i="9"/>
  <c r="AH463" i="9"/>
  <c r="AI463" i="9"/>
  <c r="AJ463" i="9"/>
  <c r="AK463" i="9"/>
  <c r="AH464" i="9"/>
  <c r="AI464" i="9"/>
  <c r="AJ464" i="9"/>
  <c r="AK464" i="9"/>
  <c r="AH465" i="9"/>
  <c r="AI465" i="9"/>
  <c r="AJ465" i="9"/>
  <c r="AK465" i="9"/>
  <c r="AH466" i="9"/>
  <c r="AI466" i="9"/>
  <c r="AJ466" i="9"/>
  <c r="AK466" i="9"/>
  <c r="AH467" i="9"/>
  <c r="AI467" i="9"/>
  <c r="O36" i="12" s="1"/>
  <c r="AJ467" i="9"/>
  <c r="R36" i="12" s="1"/>
  <c r="AK467" i="9"/>
  <c r="L36" i="12" s="1"/>
  <c r="AH468" i="9"/>
  <c r="AI468" i="9"/>
  <c r="AJ468" i="9"/>
  <c r="AK468" i="9"/>
  <c r="AH469" i="9"/>
  <c r="AI469" i="9"/>
  <c r="AJ469" i="9"/>
  <c r="AK469" i="9"/>
  <c r="AH470" i="9"/>
  <c r="AI470" i="9"/>
  <c r="AJ470" i="9"/>
  <c r="AK470" i="9"/>
  <c r="AH471" i="9"/>
  <c r="AI471" i="9"/>
  <c r="AJ471" i="9"/>
  <c r="AK471" i="9"/>
  <c r="AH472" i="9"/>
  <c r="AI472" i="9"/>
  <c r="AJ472" i="9"/>
  <c r="AK472" i="9"/>
  <c r="AH473" i="9"/>
  <c r="AI473" i="9"/>
  <c r="AJ473" i="9"/>
  <c r="AK473" i="9"/>
  <c r="AH474" i="9"/>
  <c r="AI474" i="9"/>
  <c r="AJ474" i="9"/>
  <c r="AK474" i="9"/>
  <c r="AH475" i="9"/>
  <c r="AI475" i="9"/>
  <c r="AJ475" i="9"/>
  <c r="AK475" i="9"/>
  <c r="AH476" i="9"/>
  <c r="AI476" i="9"/>
  <c r="O51" i="12" s="1"/>
  <c r="AJ476" i="9"/>
  <c r="R51" i="12" s="1"/>
  <c r="AK476" i="9"/>
  <c r="L51" i="12" s="1"/>
  <c r="AH477" i="9"/>
  <c r="AI477" i="9"/>
  <c r="AJ477" i="9"/>
  <c r="AK477" i="9"/>
  <c r="AH478" i="9"/>
  <c r="AI478" i="9"/>
  <c r="AJ478" i="9"/>
  <c r="AK478" i="9"/>
  <c r="AH479" i="9"/>
  <c r="AI479" i="9"/>
  <c r="AJ479" i="9"/>
  <c r="AK479" i="9"/>
  <c r="AH480" i="9"/>
  <c r="AI480" i="9"/>
  <c r="AJ480" i="9"/>
  <c r="AK480" i="9"/>
  <c r="AH481" i="9"/>
  <c r="AI481" i="9"/>
  <c r="O4" i="12" s="1"/>
  <c r="AJ481" i="9"/>
  <c r="R4" i="12" s="1"/>
  <c r="AK481" i="9"/>
  <c r="L4" i="12" s="1"/>
  <c r="AH482" i="9"/>
  <c r="AI482" i="9"/>
  <c r="AJ482" i="9"/>
  <c r="AK482" i="9"/>
  <c r="AH483" i="9"/>
  <c r="AI483" i="9"/>
  <c r="AJ483" i="9"/>
  <c r="AK483" i="9"/>
  <c r="AH484" i="9"/>
  <c r="AI484" i="9"/>
  <c r="AJ484" i="9"/>
  <c r="AK484" i="9"/>
  <c r="AH485" i="9"/>
  <c r="AI485" i="9"/>
  <c r="AJ485" i="9"/>
  <c r="AK485" i="9"/>
  <c r="AH486" i="9"/>
  <c r="AI486" i="9"/>
  <c r="AJ486" i="9"/>
  <c r="AK486" i="9"/>
  <c r="AH487" i="9"/>
  <c r="AI487" i="9"/>
  <c r="AJ487" i="9"/>
  <c r="AK487" i="9"/>
  <c r="AH488" i="9"/>
  <c r="AI488" i="9"/>
  <c r="AJ488" i="9"/>
  <c r="AK488" i="9"/>
  <c r="AH489" i="9"/>
  <c r="AI489" i="9"/>
  <c r="AJ489" i="9"/>
  <c r="AK489" i="9"/>
  <c r="AH490" i="9"/>
  <c r="AI490" i="9"/>
  <c r="AJ490" i="9"/>
  <c r="AK490" i="9"/>
  <c r="AH491" i="9"/>
  <c r="AI491" i="9"/>
  <c r="AJ491" i="9"/>
  <c r="AK491" i="9"/>
  <c r="AH492" i="9"/>
  <c r="AI492" i="9"/>
  <c r="AJ492" i="9"/>
  <c r="AK492" i="9"/>
  <c r="AH493" i="9"/>
  <c r="AI493" i="9"/>
  <c r="AJ493" i="9"/>
  <c r="AK493" i="9"/>
  <c r="AH494" i="9"/>
  <c r="AI494" i="9"/>
  <c r="AJ494" i="9"/>
  <c r="AK494" i="9"/>
  <c r="AH495" i="9"/>
  <c r="AI495" i="9"/>
  <c r="AJ495" i="9"/>
  <c r="AK495" i="9"/>
  <c r="AH496" i="9"/>
  <c r="AI496" i="9"/>
  <c r="AJ496" i="9"/>
  <c r="AK496" i="9"/>
  <c r="AH497" i="9"/>
  <c r="AI497" i="9"/>
  <c r="O29" i="12" s="1"/>
  <c r="AJ497" i="9"/>
  <c r="R29" i="12" s="1"/>
  <c r="AK497" i="9"/>
  <c r="L29" i="12" s="1"/>
  <c r="AH498" i="9"/>
  <c r="AI498" i="9"/>
  <c r="AJ498" i="9"/>
  <c r="AK498" i="9"/>
  <c r="AH499" i="9"/>
  <c r="AI499" i="9"/>
  <c r="AJ499" i="9"/>
  <c r="AK499" i="9"/>
  <c r="AH500" i="9"/>
  <c r="AI500" i="9"/>
  <c r="AJ500" i="9"/>
  <c r="AK500" i="9"/>
  <c r="AH501" i="9"/>
  <c r="AI501" i="9"/>
  <c r="AJ501" i="9"/>
  <c r="AK501" i="9"/>
  <c r="AH502" i="9"/>
  <c r="AI502" i="9"/>
  <c r="O3" i="12" s="1"/>
  <c r="AJ502" i="9"/>
  <c r="R3" i="12" s="1"/>
  <c r="AK502" i="9"/>
  <c r="AH503" i="9"/>
  <c r="AI503" i="9"/>
  <c r="AJ503" i="9"/>
  <c r="AK503" i="9"/>
  <c r="AH504" i="9"/>
  <c r="AI504" i="9"/>
  <c r="AJ504" i="9"/>
  <c r="AK504" i="9"/>
  <c r="AH505" i="9"/>
  <c r="AI505" i="9"/>
  <c r="AJ505" i="9"/>
  <c r="AK505" i="9"/>
  <c r="AH506" i="9"/>
  <c r="AI506" i="9"/>
  <c r="AJ506" i="9"/>
  <c r="AK506" i="9"/>
  <c r="AH507" i="9"/>
  <c r="AI507" i="9"/>
  <c r="AJ507" i="9"/>
  <c r="AK507" i="9"/>
  <c r="AH508" i="9"/>
  <c r="AI508" i="9"/>
  <c r="AJ508" i="9"/>
  <c r="AK508" i="9"/>
  <c r="AH509" i="9"/>
  <c r="AI509" i="9"/>
  <c r="AJ509" i="9"/>
  <c r="AK509" i="9"/>
  <c r="AH510" i="9"/>
  <c r="AI510" i="9"/>
  <c r="AJ510" i="9"/>
  <c r="AK510" i="9"/>
  <c r="AH511" i="9"/>
  <c r="AI511" i="9"/>
  <c r="AJ511" i="9"/>
  <c r="AK511" i="9"/>
  <c r="AH512" i="9"/>
  <c r="AI512" i="9"/>
  <c r="AJ512" i="9"/>
  <c r="AK512" i="9"/>
  <c r="AH513" i="9"/>
  <c r="AI513" i="9"/>
  <c r="AJ513" i="9"/>
  <c r="AK513" i="9"/>
  <c r="AH514" i="9"/>
  <c r="AI514" i="9"/>
  <c r="AJ514" i="9"/>
  <c r="AK514" i="9"/>
  <c r="AH515" i="9"/>
  <c r="AI515" i="9"/>
  <c r="O12" i="12" s="1"/>
  <c r="AJ515" i="9"/>
  <c r="R12" i="12" s="1"/>
  <c r="AK515" i="9"/>
  <c r="L12" i="12" s="1"/>
  <c r="AH516" i="9"/>
  <c r="AI516" i="9"/>
  <c r="O19" i="12" s="1"/>
  <c r="AJ516" i="9"/>
  <c r="R19" i="12" s="1"/>
  <c r="AK516" i="9"/>
  <c r="L19" i="12" s="1"/>
  <c r="AH517" i="9"/>
  <c r="AI517" i="9"/>
  <c r="AJ517" i="9"/>
  <c r="AK517" i="9"/>
  <c r="AH518" i="9"/>
  <c r="AI518" i="9"/>
  <c r="AJ518" i="9"/>
  <c r="AK518" i="9"/>
  <c r="AH519" i="9"/>
  <c r="AI519" i="9"/>
  <c r="AJ519" i="9"/>
  <c r="AK519" i="9"/>
  <c r="AH520" i="9"/>
  <c r="AI520" i="9"/>
  <c r="AJ520" i="9"/>
  <c r="AK520" i="9"/>
  <c r="AH521" i="9"/>
  <c r="AI521" i="9"/>
  <c r="AJ521" i="9"/>
  <c r="AK521" i="9"/>
  <c r="AH522" i="9"/>
  <c r="AI522" i="9"/>
  <c r="AJ522" i="9"/>
  <c r="AK522" i="9"/>
  <c r="AH523" i="9"/>
  <c r="AI523" i="9"/>
  <c r="AJ523" i="9"/>
  <c r="AK523" i="9"/>
  <c r="AH524" i="9"/>
  <c r="AI524" i="9"/>
  <c r="AJ524" i="9"/>
  <c r="AK524" i="9"/>
  <c r="AH525" i="9"/>
  <c r="AI525" i="9"/>
  <c r="AJ525" i="9"/>
  <c r="AK525" i="9"/>
  <c r="AH526" i="9"/>
  <c r="AI526" i="9"/>
  <c r="AJ526" i="9"/>
  <c r="AK526" i="9"/>
  <c r="AH527" i="9"/>
  <c r="AI527" i="9"/>
  <c r="O42" i="12" s="1"/>
  <c r="AJ527" i="9"/>
  <c r="R42" i="12" s="1"/>
  <c r="AK527" i="9"/>
  <c r="L42" i="12" s="1"/>
  <c r="AH528" i="9"/>
  <c r="AI528" i="9"/>
  <c r="AJ528" i="9"/>
  <c r="AK528" i="9"/>
  <c r="AH529" i="9"/>
  <c r="AI529" i="9"/>
  <c r="AJ529" i="9"/>
  <c r="AK529" i="9"/>
  <c r="AH530" i="9"/>
  <c r="AI530" i="9"/>
  <c r="AJ530" i="9"/>
  <c r="AK530" i="9"/>
  <c r="AH531" i="9"/>
  <c r="AI531" i="9"/>
  <c r="AJ531" i="9"/>
  <c r="AK531" i="9"/>
  <c r="AH532" i="9"/>
  <c r="AI532" i="9"/>
  <c r="AJ532" i="9"/>
  <c r="AK532" i="9"/>
  <c r="AH533" i="9"/>
  <c r="AI533" i="9"/>
  <c r="AJ533" i="9"/>
  <c r="AK533" i="9"/>
  <c r="AH534" i="9"/>
  <c r="AI534" i="9"/>
  <c r="AJ534" i="9"/>
  <c r="AK534" i="9"/>
  <c r="AH535" i="9"/>
  <c r="AI535" i="9"/>
  <c r="AJ535" i="9"/>
  <c r="AK535" i="9"/>
  <c r="AH536" i="9"/>
  <c r="AI536" i="9"/>
  <c r="AJ536" i="9"/>
  <c r="AK536" i="9"/>
  <c r="AH537" i="9"/>
  <c r="AI537" i="9"/>
  <c r="AJ537" i="9"/>
  <c r="AK537" i="9"/>
  <c r="AH538" i="9"/>
  <c r="AI538" i="9"/>
  <c r="AJ538" i="9"/>
  <c r="AK538" i="9"/>
  <c r="AH539" i="9"/>
  <c r="AI539" i="9"/>
  <c r="AJ539" i="9"/>
  <c r="AK539" i="9"/>
  <c r="AH540" i="9"/>
  <c r="AI540" i="9"/>
  <c r="AJ540" i="9"/>
  <c r="AK540" i="9"/>
  <c r="AH541" i="9"/>
  <c r="AI541" i="9"/>
  <c r="AJ541" i="9"/>
  <c r="AK541" i="9"/>
  <c r="AH542" i="9"/>
  <c r="AI542" i="9"/>
  <c r="AJ542" i="9"/>
  <c r="AK542" i="9"/>
  <c r="AH543" i="9"/>
  <c r="AI543" i="9"/>
  <c r="AJ543" i="9"/>
  <c r="AK543" i="9"/>
  <c r="AH544" i="9"/>
  <c r="AI544" i="9"/>
  <c r="AJ544" i="9"/>
  <c r="AK544" i="9"/>
  <c r="AH545" i="9"/>
  <c r="AI545" i="9"/>
  <c r="AJ545" i="9"/>
  <c r="AK545" i="9"/>
  <c r="AH546" i="9"/>
  <c r="AI546" i="9"/>
  <c r="AJ546" i="9"/>
  <c r="AK546" i="9"/>
  <c r="AH547" i="9"/>
  <c r="AI547" i="9"/>
  <c r="AJ547" i="9"/>
  <c r="AK547" i="9"/>
  <c r="AH548" i="9"/>
  <c r="AI548" i="9"/>
  <c r="AJ548" i="9"/>
  <c r="AK548" i="9"/>
  <c r="AH549" i="9"/>
  <c r="AI549" i="9"/>
  <c r="AJ549" i="9"/>
  <c r="AK549" i="9"/>
  <c r="AH550" i="9"/>
  <c r="AI550" i="9"/>
  <c r="AJ550" i="9"/>
  <c r="AK550" i="9"/>
  <c r="AH551" i="9"/>
  <c r="AI551" i="9"/>
  <c r="AJ551" i="9"/>
  <c r="AK551" i="9"/>
  <c r="AH552" i="9"/>
  <c r="AI552" i="9"/>
  <c r="AJ552" i="9"/>
  <c r="AK552" i="9"/>
  <c r="AH553" i="9"/>
  <c r="AI553" i="9"/>
  <c r="AJ553" i="9"/>
  <c r="AK553" i="9"/>
  <c r="AH554" i="9"/>
  <c r="AI554" i="9"/>
  <c r="AJ554" i="9"/>
  <c r="AK554" i="9"/>
  <c r="AH555" i="9"/>
  <c r="AI555" i="9"/>
  <c r="AJ555" i="9"/>
  <c r="AK555" i="9"/>
  <c r="AH556" i="9"/>
  <c r="AI556" i="9"/>
  <c r="AJ556" i="9"/>
  <c r="AK556" i="9"/>
  <c r="AH557" i="9"/>
  <c r="AI557" i="9"/>
  <c r="AJ557" i="9"/>
  <c r="AK557" i="9"/>
  <c r="AH558" i="9"/>
  <c r="AI558" i="9"/>
  <c r="AJ558" i="9"/>
  <c r="AK558" i="9"/>
  <c r="AH559" i="9"/>
  <c r="AI559" i="9"/>
  <c r="AJ559" i="9"/>
  <c r="AK559" i="9"/>
  <c r="AH560" i="9"/>
  <c r="AI560" i="9"/>
  <c r="AJ560" i="9"/>
  <c r="AK560" i="9"/>
  <c r="AH561" i="9"/>
  <c r="AI561" i="9"/>
  <c r="AJ561" i="9"/>
  <c r="AK561" i="9"/>
  <c r="AH562" i="9"/>
  <c r="AI562" i="9"/>
  <c r="AJ562" i="9"/>
  <c r="AK562" i="9"/>
  <c r="AH563" i="9"/>
  <c r="AI563" i="9"/>
  <c r="AJ563" i="9"/>
  <c r="AK563" i="9"/>
  <c r="AH564" i="9"/>
  <c r="AI564" i="9"/>
  <c r="O58" i="12" s="1"/>
  <c r="AJ564" i="9"/>
  <c r="R58" i="12" s="1"/>
  <c r="AK564" i="9"/>
  <c r="L58" i="12" s="1"/>
  <c r="AH565" i="9"/>
  <c r="AI565" i="9"/>
  <c r="O14" i="12" s="1"/>
  <c r="AJ565" i="9"/>
  <c r="R14" i="12" s="1"/>
  <c r="AK565" i="9"/>
  <c r="L14" i="12" s="1"/>
  <c r="AH566" i="9"/>
  <c r="AI566" i="9"/>
  <c r="AJ566" i="9"/>
  <c r="AK566" i="9"/>
  <c r="AH567" i="9"/>
  <c r="AI567" i="9"/>
  <c r="AJ567" i="9"/>
  <c r="AK567" i="9"/>
  <c r="AH568" i="9"/>
  <c r="AI568" i="9"/>
  <c r="AJ568" i="9"/>
  <c r="AK568" i="9"/>
  <c r="AH569" i="9"/>
  <c r="AI569" i="9"/>
  <c r="AJ569" i="9"/>
  <c r="AK569" i="9"/>
  <c r="AH570" i="9"/>
  <c r="AI570" i="9"/>
  <c r="AJ570" i="9"/>
  <c r="AK570" i="9"/>
  <c r="AH571" i="9"/>
  <c r="AI571" i="9"/>
  <c r="O25" i="12" s="1"/>
  <c r="AJ571" i="9"/>
  <c r="R25" i="12" s="1"/>
  <c r="AK571" i="9"/>
  <c r="L25" i="12" s="1"/>
  <c r="AH572" i="9"/>
  <c r="AI572" i="9"/>
  <c r="AJ572" i="9"/>
  <c r="AK572" i="9"/>
  <c r="AH573" i="9"/>
  <c r="AI573" i="9"/>
  <c r="AJ573" i="9"/>
  <c r="AK573" i="9"/>
  <c r="AH574" i="9"/>
  <c r="AI574" i="9"/>
  <c r="AJ574" i="9"/>
  <c r="AK574" i="9"/>
  <c r="AH575" i="9"/>
  <c r="AI575" i="9"/>
  <c r="O17" i="12" s="1"/>
  <c r="AJ575" i="9"/>
  <c r="R17" i="12" s="1"/>
  <c r="AK575" i="9"/>
  <c r="L17" i="12" s="1"/>
  <c r="AH576" i="9"/>
  <c r="AI576" i="9"/>
  <c r="AJ576" i="9"/>
  <c r="AK576" i="9"/>
  <c r="AH577" i="9"/>
  <c r="AI577" i="9"/>
  <c r="AJ577" i="9"/>
  <c r="AK577" i="9"/>
  <c r="AH578" i="9"/>
  <c r="AI578" i="9"/>
  <c r="AJ578" i="9"/>
  <c r="AK578" i="9"/>
  <c r="AH579" i="9"/>
  <c r="AI579" i="9"/>
  <c r="AJ579" i="9"/>
  <c r="AK579" i="9"/>
  <c r="AH580" i="9"/>
  <c r="AI580" i="9"/>
  <c r="AJ580" i="9"/>
  <c r="AK580" i="9"/>
  <c r="AH581" i="9"/>
  <c r="AI581" i="9"/>
  <c r="AJ581" i="9"/>
  <c r="AK581" i="9"/>
  <c r="AH582" i="9"/>
  <c r="AI582" i="9"/>
  <c r="AJ582" i="9"/>
  <c r="AK582" i="9"/>
  <c r="AH583" i="9"/>
  <c r="AI583" i="9"/>
  <c r="AJ583" i="9"/>
  <c r="AK583" i="9"/>
  <c r="AH584" i="9"/>
  <c r="AI584" i="9"/>
  <c r="AJ584" i="9"/>
  <c r="AK584" i="9"/>
  <c r="AH585" i="9"/>
  <c r="AI585" i="9"/>
  <c r="AJ585" i="9"/>
  <c r="AK585" i="9"/>
  <c r="AH586" i="9"/>
  <c r="AI586" i="9"/>
  <c r="AJ586" i="9"/>
  <c r="AK586" i="9"/>
  <c r="AH587" i="9"/>
  <c r="AI587" i="9"/>
  <c r="AJ587" i="9"/>
  <c r="AK587" i="9"/>
  <c r="AH588" i="9"/>
  <c r="AI588" i="9"/>
  <c r="AJ588" i="9"/>
  <c r="AK588" i="9"/>
  <c r="AH589" i="9"/>
  <c r="AI589" i="9"/>
  <c r="AJ589" i="9"/>
  <c r="AK589" i="9"/>
  <c r="AH590" i="9"/>
  <c r="AI590" i="9"/>
  <c r="AJ590" i="9"/>
  <c r="AK590" i="9"/>
  <c r="AH591" i="9"/>
  <c r="AI591" i="9"/>
  <c r="AJ591" i="9"/>
  <c r="AK591" i="9"/>
  <c r="AH592" i="9"/>
  <c r="AI592" i="9"/>
  <c r="AJ592" i="9"/>
  <c r="AK592" i="9"/>
  <c r="AH593" i="9"/>
  <c r="AI593" i="9"/>
  <c r="O15" i="12" s="1"/>
  <c r="AJ593" i="9"/>
  <c r="R15" i="12" s="1"/>
  <c r="AK593" i="9"/>
  <c r="L15" i="12" s="1"/>
  <c r="AH594" i="9"/>
  <c r="AI594" i="9"/>
  <c r="O41" i="12" s="1"/>
  <c r="AJ594" i="9"/>
  <c r="R41" i="12" s="1"/>
  <c r="AK594" i="9"/>
  <c r="L41" i="12" s="1"/>
  <c r="AH595" i="9"/>
  <c r="AI595" i="9"/>
  <c r="AJ595" i="9"/>
  <c r="AK595" i="9"/>
  <c r="AH596" i="9"/>
  <c r="AI596" i="9"/>
  <c r="AJ596" i="9"/>
  <c r="AK596" i="9"/>
  <c r="AH597" i="9"/>
  <c r="AI597" i="9"/>
  <c r="AJ597" i="9"/>
  <c r="AK597" i="9"/>
  <c r="AH598" i="9"/>
  <c r="AI598" i="9"/>
  <c r="AJ598" i="9"/>
  <c r="AK598" i="9"/>
  <c r="AH599" i="9"/>
  <c r="AI599" i="9"/>
  <c r="AJ599" i="9"/>
  <c r="AK599" i="9"/>
  <c r="AH600" i="9"/>
  <c r="AI600" i="9"/>
  <c r="AJ600" i="9"/>
  <c r="AK600" i="9"/>
  <c r="AH601" i="9"/>
  <c r="AI601" i="9"/>
  <c r="AJ601" i="9"/>
  <c r="AK601" i="9"/>
  <c r="AH602" i="9"/>
  <c r="AI602" i="9"/>
  <c r="AJ602" i="9"/>
  <c r="AK602" i="9"/>
  <c r="AH603" i="9"/>
  <c r="AI603" i="9"/>
  <c r="AJ603" i="9"/>
  <c r="AK603" i="9"/>
  <c r="AH604" i="9"/>
  <c r="AI604" i="9"/>
  <c r="AJ604" i="9"/>
  <c r="AK604" i="9"/>
  <c r="AH605" i="9"/>
  <c r="AI605" i="9"/>
  <c r="AJ605" i="9"/>
  <c r="AK605" i="9"/>
  <c r="AH606" i="9"/>
  <c r="AI606" i="9"/>
  <c r="AJ606" i="9"/>
  <c r="AK606" i="9"/>
  <c r="AH607" i="9"/>
  <c r="AI607" i="9"/>
  <c r="AJ607" i="9"/>
  <c r="AK607" i="9"/>
  <c r="AH608" i="9"/>
  <c r="AI608" i="9"/>
  <c r="AJ608" i="9"/>
  <c r="AK608" i="9"/>
  <c r="AH609" i="9"/>
  <c r="AI609" i="9"/>
  <c r="AJ609" i="9"/>
  <c r="AK609" i="9"/>
  <c r="AH610" i="9"/>
  <c r="AI610" i="9"/>
  <c r="AJ610" i="9"/>
  <c r="AK610" i="9"/>
  <c r="AH611" i="9"/>
  <c r="AI611" i="9"/>
  <c r="AJ611" i="9"/>
  <c r="AK611" i="9"/>
  <c r="AH612" i="9"/>
  <c r="AI612" i="9"/>
  <c r="AJ612" i="9"/>
  <c r="AK612" i="9"/>
  <c r="AH613" i="9"/>
  <c r="AI613" i="9"/>
  <c r="AJ613" i="9"/>
  <c r="AK613" i="9"/>
  <c r="AH614" i="9"/>
  <c r="AI614" i="9"/>
  <c r="AJ614" i="9"/>
  <c r="AK614" i="9"/>
  <c r="AH615" i="9"/>
  <c r="AI615" i="9"/>
  <c r="AJ615" i="9"/>
  <c r="AK615" i="9"/>
  <c r="AH616" i="9"/>
  <c r="AI616" i="9"/>
  <c r="AJ616" i="9"/>
  <c r="AK616" i="9"/>
  <c r="AH617" i="9"/>
  <c r="AI617" i="9"/>
  <c r="AJ617" i="9"/>
  <c r="AK617" i="9"/>
  <c r="AH618" i="9"/>
  <c r="AI618" i="9"/>
  <c r="AJ618" i="9"/>
  <c r="AK618" i="9"/>
  <c r="AH619" i="9"/>
  <c r="AI619" i="9"/>
  <c r="AJ619" i="9"/>
  <c r="AK619" i="9"/>
  <c r="AH620" i="9"/>
  <c r="AI620" i="9"/>
  <c r="AJ620" i="9"/>
  <c r="AK620" i="9"/>
  <c r="AH621" i="9"/>
  <c r="AI621" i="9"/>
  <c r="O21" i="12" s="1"/>
  <c r="AJ621" i="9"/>
  <c r="R21" i="12" s="1"/>
  <c r="AK621" i="9"/>
  <c r="L21" i="12" s="1"/>
  <c r="AH622" i="9"/>
  <c r="AI622" i="9"/>
  <c r="AJ622" i="9"/>
  <c r="AK622" i="9"/>
  <c r="AH623" i="9"/>
  <c r="AI623" i="9"/>
  <c r="AJ623" i="9"/>
  <c r="AK623" i="9"/>
  <c r="AH624" i="9"/>
  <c r="AI624" i="9"/>
  <c r="AJ624" i="9"/>
  <c r="AK624" i="9"/>
  <c r="AH625" i="9"/>
  <c r="AI625" i="9"/>
  <c r="AJ625" i="9"/>
  <c r="AK625" i="9"/>
  <c r="AH626" i="9"/>
  <c r="AI626" i="9"/>
  <c r="AJ626" i="9"/>
  <c r="AK626" i="9"/>
  <c r="AH627" i="9"/>
  <c r="AI627" i="9"/>
  <c r="AJ627" i="9"/>
  <c r="AK627" i="9"/>
  <c r="AH628" i="9"/>
  <c r="AI628" i="9"/>
  <c r="AJ628" i="9"/>
  <c r="AK628" i="9"/>
  <c r="AH629" i="9"/>
  <c r="AI629" i="9"/>
  <c r="AJ629" i="9"/>
  <c r="AK629" i="9"/>
  <c r="AH630" i="9"/>
  <c r="AI630" i="9"/>
  <c r="AJ630" i="9"/>
  <c r="AK630" i="9"/>
  <c r="AH631" i="9"/>
  <c r="AI631" i="9"/>
  <c r="AJ631" i="9"/>
  <c r="AK631" i="9"/>
  <c r="AH632" i="9"/>
  <c r="AI632" i="9"/>
  <c r="AJ632" i="9"/>
  <c r="AK632" i="9"/>
  <c r="AH633" i="9"/>
  <c r="AI633" i="9"/>
  <c r="AJ633" i="9"/>
  <c r="AK633" i="9"/>
  <c r="AH634" i="9"/>
  <c r="AI634" i="9"/>
  <c r="AJ634" i="9"/>
  <c r="AK634" i="9"/>
  <c r="AH635" i="9"/>
  <c r="AI635" i="9"/>
  <c r="AJ635" i="9"/>
  <c r="AK635" i="9"/>
  <c r="AH636" i="9"/>
  <c r="AI636" i="9"/>
  <c r="AJ636" i="9"/>
  <c r="AK636" i="9"/>
  <c r="AH637" i="9"/>
  <c r="AI637" i="9"/>
  <c r="AJ637" i="9"/>
  <c r="AK637" i="9"/>
  <c r="AH638" i="9"/>
  <c r="AI638" i="9"/>
  <c r="AJ638" i="9"/>
  <c r="AK638" i="9"/>
  <c r="AH639" i="9"/>
  <c r="AI639" i="9"/>
  <c r="AJ639" i="9"/>
  <c r="AK639" i="9"/>
  <c r="AH640" i="9"/>
  <c r="AI640" i="9"/>
  <c r="AJ640" i="9"/>
  <c r="AK640" i="9"/>
  <c r="AH641" i="9"/>
  <c r="AI641" i="9"/>
  <c r="AJ641" i="9"/>
  <c r="AK641" i="9"/>
  <c r="AH642" i="9"/>
  <c r="AI642" i="9"/>
  <c r="AJ642" i="9"/>
  <c r="AK642" i="9"/>
  <c r="AH643" i="9"/>
  <c r="AI643" i="9"/>
  <c r="AJ643" i="9"/>
  <c r="AK643" i="9"/>
  <c r="AH644" i="9"/>
  <c r="AI644" i="9"/>
  <c r="AJ644" i="9"/>
  <c r="AK644" i="9"/>
  <c r="AH645" i="9"/>
  <c r="AI645" i="9"/>
  <c r="AJ645" i="9"/>
  <c r="AK645" i="9"/>
  <c r="AH646" i="9"/>
  <c r="AI646" i="9"/>
  <c r="AJ646" i="9"/>
  <c r="AK646" i="9"/>
  <c r="AH647" i="9"/>
  <c r="AI647" i="9"/>
  <c r="AJ647" i="9"/>
  <c r="AK647" i="9"/>
  <c r="AH648" i="9"/>
  <c r="AI648" i="9"/>
  <c r="O28" i="12" s="1"/>
  <c r="AJ648" i="9"/>
  <c r="R28" i="12" s="1"/>
  <c r="AK648" i="9"/>
  <c r="L28" i="12" s="1"/>
  <c r="AH649" i="9"/>
  <c r="AI649" i="9"/>
  <c r="AJ649" i="9"/>
  <c r="AK649" i="9"/>
  <c r="AH650" i="9"/>
  <c r="AI650" i="9"/>
  <c r="AJ650" i="9"/>
  <c r="AK650" i="9"/>
  <c r="AH651" i="9"/>
  <c r="AI651" i="9"/>
  <c r="AJ651" i="9"/>
  <c r="AK651" i="9"/>
  <c r="AH652" i="9"/>
  <c r="AI652" i="9"/>
  <c r="O26" i="12" s="1"/>
  <c r="AJ652" i="9"/>
  <c r="R26" i="12" s="1"/>
  <c r="AK652" i="9"/>
  <c r="L26" i="12" s="1"/>
  <c r="AH653" i="9"/>
  <c r="AI653" i="9"/>
  <c r="AJ653" i="9"/>
  <c r="AK653" i="9"/>
  <c r="AH654" i="9"/>
  <c r="AI654" i="9"/>
  <c r="O31" i="12" s="1"/>
  <c r="AJ654" i="9"/>
  <c r="R31" i="12" s="1"/>
  <c r="AK654" i="9"/>
  <c r="L31" i="12" s="1"/>
  <c r="AH655" i="9"/>
  <c r="AI655" i="9"/>
  <c r="AJ655" i="9"/>
  <c r="AK655" i="9"/>
  <c r="AH656" i="9"/>
  <c r="AI656" i="9"/>
  <c r="AJ656" i="9"/>
  <c r="AK656" i="9"/>
  <c r="AH657" i="9"/>
  <c r="AI657" i="9"/>
  <c r="AJ657" i="9"/>
  <c r="AK657" i="9"/>
  <c r="AH658" i="9"/>
  <c r="AI658" i="9"/>
  <c r="AJ658" i="9"/>
  <c r="AK658" i="9"/>
  <c r="AH659" i="9"/>
  <c r="AI659" i="9"/>
  <c r="AJ659" i="9"/>
  <c r="AK659" i="9"/>
  <c r="AH660" i="9"/>
  <c r="AI660" i="9"/>
  <c r="AJ660" i="9"/>
  <c r="AK660" i="9"/>
  <c r="AH661" i="9"/>
  <c r="AI661" i="9"/>
  <c r="AJ661" i="9"/>
  <c r="AK661" i="9"/>
  <c r="AH662" i="9"/>
  <c r="AI662" i="9"/>
  <c r="AJ662" i="9"/>
  <c r="AK662" i="9"/>
  <c r="AH663" i="9"/>
  <c r="AI663" i="9"/>
  <c r="AJ663" i="9"/>
  <c r="AK663" i="9"/>
  <c r="AH664" i="9"/>
  <c r="AI664" i="9"/>
  <c r="AJ664" i="9"/>
  <c r="AK664" i="9"/>
  <c r="AH665" i="9"/>
  <c r="AI665" i="9"/>
  <c r="AJ665" i="9"/>
  <c r="AK665" i="9"/>
  <c r="AH666" i="9"/>
  <c r="AI666" i="9"/>
  <c r="AJ666" i="9"/>
  <c r="AK666" i="9"/>
  <c r="AH667" i="9"/>
  <c r="AI667" i="9"/>
  <c r="AJ667" i="9"/>
  <c r="AK667" i="9"/>
  <c r="AH668" i="9"/>
  <c r="AI668" i="9"/>
  <c r="O27" i="12" s="1"/>
  <c r="AJ668" i="9"/>
  <c r="R27" i="12" s="1"/>
  <c r="AK668" i="9"/>
  <c r="L27" i="12" s="1"/>
  <c r="AH669" i="9"/>
  <c r="AI669" i="9"/>
  <c r="AJ669" i="9"/>
  <c r="AK669" i="9"/>
  <c r="AH670" i="9"/>
  <c r="AI670" i="9"/>
  <c r="AJ670" i="9"/>
  <c r="AK670" i="9"/>
  <c r="AH671" i="9"/>
  <c r="AI671" i="9"/>
  <c r="AJ671" i="9"/>
  <c r="AK671" i="9"/>
  <c r="AH672" i="9"/>
  <c r="AI672" i="9"/>
  <c r="AJ672" i="9"/>
  <c r="AK672" i="9"/>
  <c r="AH673" i="9"/>
  <c r="AI673" i="9"/>
  <c r="AJ673" i="9"/>
  <c r="AK673" i="9"/>
  <c r="AH674" i="9"/>
  <c r="AI674" i="9"/>
  <c r="AJ674" i="9"/>
  <c r="AK674" i="9"/>
  <c r="AH675" i="9"/>
  <c r="AI675" i="9"/>
  <c r="AJ675" i="9"/>
  <c r="AK675" i="9"/>
  <c r="AH676" i="9"/>
  <c r="AI676" i="9"/>
  <c r="AJ676" i="9"/>
  <c r="AK676" i="9"/>
  <c r="AH677" i="9"/>
  <c r="AI677" i="9"/>
  <c r="AJ677" i="9"/>
  <c r="AK677" i="9"/>
  <c r="AH678" i="9"/>
  <c r="AI678" i="9"/>
  <c r="O54" i="12" s="1"/>
  <c r="AJ678" i="9"/>
  <c r="R54" i="12" s="1"/>
  <c r="AK678" i="9"/>
  <c r="L54" i="12" s="1"/>
  <c r="AH679" i="9"/>
  <c r="AI679" i="9"/>
  <c r="AJ679" i="9"/>
  <c r="AK679" i="9"/>
  <c r="AH680" i="9"/>
  <c r="AI680" i="9"/>
  <c r="AJ680" i="9"/>
  <c r="AK680" i="9"/>
  <c r="AH681" i="9"/>
  <c r="AI681" i="9"/>
  <c r="AJ681" i="9"/>
  <c r="AK681" i="9"/>
  <c r="AH682" i="9"/>
  <c r="AI682" i="9"/>
  <c r="AJ682" i="9"/>
  <c r="AK682" i="9"/>
  <c r="AH683" i="9"/>
  <c r="AI683" i="9"/>
  <c r="O2" i="12" s="1"/>
  <c r="AJ683" i="9"/>
  <c r="R2" i="12" s="1"/>
  <c r="AK683" i="9"/>
  <c r="L2" i="12" s="1"/>
  <c r="AH684" i="9"/>
  <c r="AI684" i="9"/>
  <c r="AJ684" i="9"/>
  <c r="AK684" i="9"/>
  <c r="AH685" i="9"/>
  <c r="AI685" i="9"/>
  <c r="AJ685" i="9"/>
  <c r="AK685" i="9"/>
  <c r="AH686" i="9"/>
  <c r="AI686" i="9"/>
  <c r="O5" i="12" s="1"/>
  <c r="AJ686" i="9"/>
  <c r="R5" i="12" s="1"/>
  <c r="AK686" i="9"/>
  <c r="L5" i="12" s="1"/>
  <c r="AH687" i="9"/>
  <c r="AI687" i="9"/>
  <c r="AJ687" i="9"/>
  <c r="AK687" i="9"/>
  <c r="AH688" i="9"/>
  <c r="AI688" i="9"/>
  <c r="O44" i="12" s="1"/>
  <c r="AJ688" i="9"/>
  <c r="R44" i="12" s="1"/>
  <c r="AK688" i="9"/>
  <c r="L44" i="12" s="1"/>
  <c r="AH689" i="9"/>
  <c r="AI689" i="9"/>
  <c r="O38" i="12" s="1"/>
  <c r="AJ689" i="9"/>
  <c r="R38" i="12" s="1"/>
  <c r="AK689" i="9"/>
  <c r="L38" i="12" s="1"/>
  <c r="AJ2" i="9"/>
  <c r="AI2" i="9"/>
  <c r="AA475" i="10"/>
  <c r="AB475" i="10"/>
  <c r="Q39" i="11" s="1"/>
  <c r="AC475" i="10"/>
  <c r="T39" i="11" s="1"/>
  <c r="AD475" i="10"/>
  <c r="N39" i="11" s="1"/>
  <c r="AA476" i="10"/>
  <c r="AB476" i="10"/>
  <c r="Q4" i="11" s="1"/>
  <c r="AC476" i="10"/>
  <c r="T4" i="11" s="1"/>
  <c r="AD476" i="10"/>
  <c r="N4" i="11" s="1"/>
  <c r="AA477" i="10"/>
  <c r="AB477" i="10"/>
  <c r="Q32" i="11" s="1"/>
  <c r="AC477" i="10"/>
  <c r="AD477" i="10"/>
  <c r="N32" i="11" s="1"/>
  <c r="AA478" i="10"/>
  <c r="AB478" i="10"/>
  <c r="Q16" i="11" s="1"/>
  <c r="AC478" i="10"/>
  <c r="T16" i="11" s="1"/>
  <c r="AD478" i="10"/>
  <c r="N16" i="11" s="1"/>
  <c r="AA479" i="10"/>
  <c r="AB479" i="10"/>
  <c r="Q26" i="11" s="1"/>
  <c r="AC479" i="10"/>
  <c r="T26" i="11" s="1"/>
  <c r="AD479" i="10"/>
  <c r="N26" i="11" s="1"/>
  <c r="AA480" i="10"/>
  <c r="AB480" i="10"/>
  <c r="Q49" i="11" s="1"/>
  <c r="AC480" i="10"/>
  <c r="T49" i="11" s="1"/>
  <c r="AD480" i="10"/>
  <c r="N49" i="11" s="1"/>
  <c r="AA481" i="10"/>
  <c r="AB481" i="10"/>
  <c r="Q36" i="11" s="1"/>
  <c r="AC481" i="10"/>
  <c r="AD481" i="10"/>
  <c r="N36" i="11" s="1"/>
  <c r="AA482" i="10"/>
  <c r="AB482" i="10"/>
  <c r="Q48" i="11" s="1"/>
  <c r="AC482" i="10"/>
  <c r="T48" i="11" s="1"/>
  <c r="AD482" i="10"/>
  <c r="N48" i="11" s="1"/>
  <c r="AA483" i="10"/>
  <c r="AB483" i="10"/>
  <c r="Q13" i="11" s="1"/>
  <c r="AC483" i="10"/>
  <c r="T13" i="11" s="1"/>
  <c r="AD483" i="10"/>
  <c r="N13" i="11" s="1"/>
  <c r="AA484" i="10"/>
  <c r="AB484" i="10"/>
  <c r="Q14" i="11" s="1"/>
  <c r="AC484" i="10"/>
  <c r="T14" i="11" s="1"/>
  <c r="AD484" i="10"/>
  <c r="N14" i="11" s="1"/>
  <c r="AA485" i="10"/>
  <c r="AB485" i="10"/>
  <c r="Q35" i="11" s="1"/>
  <c r="AC485" i="10"/>
  <c r="AD485" i="10"/>
  <c r="N35" i="11" s="1"/>
  <c r="AA486" i="10"/>
  <c r="AB486" i="10"/>
  <c r="Q3" i="11" s="1"/>
  <c r="AC486" i="10"/>
  <c r="T3" i="11" s="1"/>
  <c r="AD486" i="10"/>
  <c r="N3" i="11" s="1"/>
  <c r="V3" i="11"/>
  <c r="W3" i="11"/>
  <c r="X3" i="11"/>
  <c r="Y3" i="11"/>
  <c r="Z3" i="11"/>
  <c r="AA3" i="11"/>
  <c r="AB3" i="11"/>
  <c r="AC3" i="11"/>
  <c r="AD3" i="11"/>
  <c r="AE3" i="11"/>
  <c r="AF3" i="11"/>
  <c r="AG3" i="11"/>
  <c r="AH3" i="11"/>
  <c r="AI3" i="11"/>
  <c r="AJ3" i="11"/>
  <c r="H3" i="11"/>
  <c r="I3" i="11"/>
  <c r="K3" i="11" a="1"/>
  <c r="K3" i="11" s="1"/>
  <c r="L3" i="11"/>
  <c r="M3" i="11"/>
  <c r="O3" i="11"/>
  <c r="P3" i="11" s="1"/>
  <c r="R3" i="11"/>
  <c r="S3" i="11" s="1"/>
  <c r="V49" i="11"/>
  <c r="W49" i="11"/>
  <c r="X49" i="11"/>
  <c r="Y49" i="11"/>
  <c r="Z49" i="11"/>
  <c r="AA49" i="11"/>
  <c r="AB49" i="11"/>
  <c r="AC49" i="11"/>
  <c r="AD49" i="11"/>
  <c r="AE49" i="11"/>
  <c r="AF49" i="11"/>
  <c r="AG49" i="11"/>
  <c r="AH49" i="11"/>
  <c r="AI49" i="11"/>
  <c r="AJ49" i="11"/>
  <c r="U49" i="11"/>
  <c r="H49" i="11"/>
  <c r="I49" i="11"/>
  <c r="K49" i="11" a="1"/>
  <c r="K49" i="11" s="1"/>
  <c r="L49" i="11"/>
  <c r="M49" i="11"/>
  <c r="O49" i="11"/>
  <c r="P49" i="11" s="1"/>
  <c r="R49" i="11"/>
  <c r="S49" i="11" s="1"/>
  <c r="AA463" i="10"/>
  <c r="AB463" i="10"/>
  <c r="AC463" i="10"/>
  <c r="AD463" i="10"/>
  <c r="AA464" i="10"/>
  <c r="AB464" i="10"/>
  <c r="AC464" i="10"/>
  <c r="AD464" i="10"/>
  <c r="AA465" i="10"/>
  <c r="AB465" i="10"/>
  <c r="AC465" i="10"/>
  <c r="AD465" i="10"/>
  <c r="AA466" i="10"/>
  <c r="AB466" i="10"/>
  <c r="AC466" i="10"/>
  <c r="AD466" i="10"/>
  <c r="AA467" i="10"/>
  <c r="AB467" i="10"/>
  <c r="AC467" i="10"/>
  <c r="AD467" i="10"/>
  <c r="AA468" i="10"/>
  <c r="AB468" i="10"/>
  <c r="AC468" i="10"/>
  <c r="AD468" i="10"/>
  <c r="AA469" i="10"/>
  <c r="AB469" i="10"/>
  <c r="AC469" i="10"/>
  <c r="AD469" i="10"/>
  <c r="AA470" i="10"/>
  <c r="AB470" i="10"/>
  <c r="AC470" i="10"/>
  <c r="AD470" i="10"/>
  <c r="AA471" i="10"/>
  <c r="AB471" i="10"/>
  <c r="Q21" i="11" s="1"/>
  <c r="AC471" i="10"/>
  <c r="T21" i="11" s="1"/>
  <c r="AD471" i="10"/>
  <c r="N21" i="11" s="1"/>
  <c r="AA472" i="10"/>
  <c r="AB472" i="10"/>
  <c r="AC472" i="10"/>
  <c r="AD472" i="10"/>
  <c r="AA473" i="10"/>
  <c r="AB473" i="10"/>
  <c r="AC473" i="10"/>
  <c r="AD473" i="10"/>
  <c r="AA474" i="10"/>
  <c r="AB474" i="10"/>
  <c r="Q57" i="11" s="1"/>
  <c r="AC474" i="10"/>
  <c r="T57" i="11" s="1"/>
  <c r="AD474" i="10"/>
  <c r="N57" i="11" s="1"/>
  <c r="AA451" i="10"/>
  <c r="AB451" i="10"/>
  <c r="Q54" i="11" s="1"/>
  <c r="AC451" i="10"/>
  <c r="T54" i="11" s="1"/>
  <c r="AD451" i="10"/>
  <c r="N54" i="11" s="1"/>
  <c r="AA452" i="10"/>
  <c r="AB452" i="10"/>
  <c r="Q24" i="11" s="1"/>
  <c r="AC452" i="10"/>
  <c r="T24" i="11" s="1"/>
  <c r="AD452" i="10"/>
  <c r="N24" i="11" s="1"/>
  <c r="AA453" i="10"/>
  <c r="AB453" i="10"/>
  <c r="Q50" i="11" s="1"/>
  <c r="AC453" i="10"/>
  <c r="T50" i="11" s="1"/>
  <c r="AD453" i="10"/>
  <c r="N50" i="11" s="1"/>
  <c r="AA454" i="10"/>
  <c r="AB454" i="10"/>
  <c r="AC454" i="10"/>
  <c r="AD454" i="10"/>
  <c r="AA455" i="10"/>
  <c r="AB455" i="10"/>
  <c r="AC455" i="10"/>
  <c r="AD455" i="10"/>
  <c r="AA456" i="10"/>
  <c r="AB456" i="10"/>
  <c r="Q10" i="11" s="1"/>
  <c r="AC456" i="10"/>
  <c r="T10" i="11" s="1"/>
  <c r="AD456" i="10"/>
  <c r="N10" i="11" s="1"/>
  <c r="AA457" i="10"/>
  <c r="AB457" i="10"/>
  <c r="Q56" i="11" s="1"/>
  <c r="AC457" i="10"/>
  <c r="T56" i="11" s="1"/>
  <c r="AD457" i="10"/>
  <c r="N56" i="11" s="1"/>
  <c r="AA458" i="10"/>
  <c r="AB458" i="10"/>
  <c r="Q5" i="11" s="1"/>
  <c r="AC458" i="10"/>
  <c r="T5" i="11" s="1"/>
  <c r="AD458" i="10"/>
  <c r="N5" i="11" s="1"/>
  <c r="AA459" i="10"/>
  <c r="AB459" i="10"/>
  <c r="AC459" i="10"/>
  <c r="AD459" i="10"/>
  <c r="AA460" i="10"/>
  <c r="AB460" i="10"/>
  <c r="Q9" i="11" s="1"/>
  <c r="AC460" i="10"/>
  <c r="T9" i="11" s="1"/>
  <c r="AD460" i="10"/>
  <c r="N9" i="11" s="1"/>
  <c r="AA461" i="10"/>
  <c r="AB461" i="10"/>
  <c r="Q15" i="11" s="1"/>
  <c r="AC461" i="10"/>
  <c r="T15" i="11" s="1"/>
  <c r="AD461" i="10"/>
  <c r="N15" i="11" s="1"/>
  <c r="AA462" i="10"/>
  <c r="AB462" i="10"/>
  <c r="Q33" i="11" s="1"/>
  <c r="AC462" i="10"/>
  <c r="T33" i="11" s="1"/>
  <c r="AD462" i="10"/>
  <c r="T45" i="12"/>
  <c r="U45" i="12"/>
  <c r="V45" i="12"/>
  <c r="W45" i="12"/>
  <c r="X45" i="12"/>
  <c r="Y45" i="12"/>
  <c r="Z45" i="12"/>
  <c r="AA45" i="12"/>
  <c r="AB45" i="12"/>
  <c r="AC45" i="12"/>
  <c r="AD45" i="12"/>
  <c r="AE45" i="12"/>
  <c r="AF45" i="12"/>
  <c r="AG45" i="12"/>
  <c r="AH45" i="12"/>
  <c r="AJ45" i="12"/>
  <c r="AK45" i="12"/>
  <c r="AL45" i="12"/>
  <c r="AM45" i="12"/>
  <c r="AN45" i="12"/>
  <c r="AO45" i="12"/>
  <c r="S45" i="12"/>
  <c r="F45" i="12"/>
  <c r="G45" i="12"/>
  <c r="I45" i="12" a="1"/>
  <c r="I45" i="12" s="1"/>
  <c r="J45" i="12"/>
  <c r="K45" i="12"/>
  <c r="M45" i="12"/>
  <c r="N45" i="12" s="1"/>
  <c r="P45" i="12"/>
  <c r="Q45" i="12" s="1"/>
  <c r="AA441" i="10"/>
  <c r="AB441" i="10"/>
  <c r="AC441" i="10"/>
  <c r="AD441" i="10"/>
  <c r="AA442" i="10"/>
  <c r="AB442" i="10"/>
  <c r="Q8" i="11" s="1"/>
  <c r="AC442" i="10"/>
  <c r="T8" i="11" s="1"/>
  <c r="AD442" i="10"/>
  <c r="N8" i="11" s="1"/>
  <c r="AA443" i="10"/>
  <c r="AB443" i="10"/>
  <c r="AC443" i="10"/>
  <c r="AD443" i="10"/>
  <c r="AA444" i="10"/>
  <c r="AB444" i="10"/>
  <c r="AC444" i="10"/>
  <c r="AD444" i="10"/>
  <c r="AA445" i="10"/>
  <c r="AB445" i="10"/>
  <c r="Q29" i="11" s="1"/>
  <c r="AC445" i="10"/>
  <c r="T29" i="11" s="1"/>
  <c r="AD445" i="10"/>
  <c r="N29" i="11" s="1"/>
  <c r="AA446" i="10"/>
  <c r="AB446" i="10"/>
  <c r="AC446" i="10"/>
  <c r="AD446" i="10"/>
  <c r="AA447" i="10"/>
  <c r="AB447" i="10"/>
  <c r="Q20" i="11" s="1"/>
  <c r="AC447" i="10"/>
  <c r="T20" i="11" s="1"/>
  <c r="AD447" i="10"/>
  <c r="N20" i="11" s="1"/>
  <c r="AA448" i="10"/>
  <c r="AB448" i="10"/>
  <c r="AC448" i="10"/>
  <c r="AD448" i="10"/>
  <c r="AA449" i="10"/>
  <c r="AB449" i="10"/>
  <c r="AC449" i="10"/>
  <c r="AD449" i="10"/>
  <c r="AA450" i="10"/>
  <c r="AB450" i="10"/>
  <c r="Q28" i="11" s="1"/>
  <c r="AC450" i="10"/>
  <c r="T28" i="11" s="1"/>
  <c r="AD450" i="10"/>
  <c r="N28" i="11" s="1"/>
  <c r="H55" i="11"/>
  <c r="I55" i="11"/>
  <c r="K55" i="11" a="1"/>
  <c r="K55" i="11" s="1"/>
  <c r="L55" i="11"/>
  <c r="M55" i="11"/>
  <c r="O55" i="11"/>
  <c r="P55" i="11" s="1"/>
  <c r="R55" i="11"/>
  <c r="S55" i="11" s="1"/>
  <c r="H45" i="11"/>
  <c r="I45" i="11"/>
  <c r="K45" i="11" a="1"/>
  <c r="K45" i="11" s="1"/>
  <c r="L45" i="11"/>
  <c r="M45" i="11"/>
  <c r="O45" i="11"/>
  <c r="P45" i="11" s="1"/>
  <c r="R45" i="11"/>
  <c r="S45" i="11" s="1"/>
  <c r="V9" i="11"/>
  <c r="W9" i="11"/>
  <c r="X9" i="11"/>
  <c r="Y9" i="11"/>
  <c r="Z9" i="11"/>
  <c r="AA9" i="11"/>
  <c r="AB9" i="11"/>
  <c r="AC9" i="11"/>
  <c r="AD9" i="11"/>
  <c r="AE9" i="11"/>
  <c r="AF9" i="11"/>
  <c r="AG9" i="11"/>
  <c r="AH9" i="11"/>
  <c r="AI9" i="11"/>
  <c r="AJ9" i="11"/>
  <c r="V45" i="11"/>
  <c r="W45" i="11"/>
  <c r="X45" i="11"/>
  <c r="Y45" i="11"/>
  <c r="Z45" i="11"/>
  <c r="AA45" i="11"/>
  <c r="AB45" i="11"/>
  <c r="AC45" i="11"/>
  <c r="AD45" i="11"/>
  <c r="AE45" i="11"/>
  <c r="AF45" i="11"/>
  <c r="AG45" i="11"/>
  <c r="AH45" i="11"/>
  <c r="AI45" i="11"/>
  <c r="AJ45" i="11"/>
  <c r="U45" i="11"/>
  <c r="T25" i="12"/>
  <c r="U25" i="12"/>
  <c r="V25" i="12"/>
  <c r="W25" i="12"/>
  <c r="X25" i="12"/>
  <c r="Y25" i="12"/>
  <c r="Z25" i="12"/>
  <c r="AA25" i="12"/>
  <c r="AB25" i="12"/>
  <c r="AC25" i="12"/>
  <c r="AD25" i="12"/>
  <c r="AE25" i="12"/>
  <c r="AF25" i="12"/>
  <c r="AG25" i="12"/>
  <c r="AH25" i="12"/>
  <c r="AJ25" i="12"/>
  <c r="AK25" i="12"/>
  <c r="AL25" i="12"/>
  <c r="AM25" i="12"/>
  <c r="AN25" i="12"/>
  <c r="AO25" i="12"/>
  <c r="S25" i="12"/>
  <c r="F25" i="12"/>
  <c r="G25" i="12"/>
  <c r="I25" i="12" a="1"/>
  <c r="I25" i="12" s="1"/>
  <c r="J25" i="12"/>
  <c r="K25" i="12"/>
  <c r="M25" i="12"/>
  <c r="N25" i="12" s="1"/>
  <c r="P25" i="12"/>
  <c r="Q25" i="12" s="1"/>
  <c r="P2" i="12"/>
  <c r="S7" i="12"/>
  <c r="S6" i="12"/>
  <c r="T62" i="12"/>
  <c r="U62" i="12"/>
  <c r="V62" i="12"/>
  <c r="W62" i="12"/>
  <c r="X62" i="12"/>
  <c r="Y62" i="12"/>
  <c r="Z62" i="12"/>
  <c r="AA62" i="12"/>
  <c r="AB62" i="12"/>
  <c r="AC62" i="12"/>
  <c r="AD62" i="12"/>
  <c r="AE62" i="12"/>
  <c r="AF62" i="12"/>
  <c r="AG62" i="12"/>
  <c r="AH62" i="12"/>
  <c r="AJ62" i="12"/>
  <c r="AK62" i="12"/>
  <c r="AL62" i="12"/>
  <c r="AM62" i="12"/>
  <c r="AN62" i="12"/>
  <c r="AO62" i="12"/>
  <c r="S62" i="12"/>
  <c r="T61" i="12"/>
  <c r="U61" i="12"/>
  <c r="V61" i="12"/>
  <c r="W61" i="12"/>
  <c r="X61" i="12"/>
  <c r="Y61" i="12"/>
  <c r="Z61" i="12"/>
  <c r="AA61" i="12"/>
  <c r="AB61" i="12"/>
  <c r="AC61" i="12"/>
  <c r="AD61" i="12"/>
  <c r="AE61" i="12"/>
  <c r="AF61" i="12"/>
  <c r="AG61" i="12"/>
  <c r="AH61" i="12"/>
  <c r="AJ61" i="12"/>
  <c r="AK61" i="12"/>
  <c r="AL61" i="12"/>
  <c r="AM61" i="12"/>
  <c r="AN61" i="12"/>
  <c r="AO61" i="12"/>
  <c r="S61" i="12"/>
  <c r="T60" i="12"/>
  <c r="U60" i="12"/>
  <c r="V60" i="12"/>
  <c r="W60" i="12"/>
  <c r="X60" i="12"/>
  <c r="Y60" i="12"/>
  <c r="Z60" i="12"/>
  <c r="AA60" i="12"/>
  <c r="AB60" i="12"/>
  <c r="AC60" i="12"/>
  <c r="AD60" i="12"/>
  <c r="AE60" i="12"/>
  <c r="AF60" i="12"/>
  <c r="AG60" i="12"/>
  <c r="AH60" i="12"/>
  <c r="AJ60" i="12"/>
  <c r="AK60" i="12"/>
  <c r="AL60" i="12"/>
  <c r="AM60" i="12"/>
  <c r="AN60" i="12"/>
  <c r="AO60" i="12"/>
  <c r="S60" i="12"/>
  <c r="T59" i="12"/>
  <c r="U59" i="12"/>
  <c r="V59" i="12"/>
  <c r="W59" i="12"/>
  <c r="X59" i="12"/>
  <c r="Y59" i="12"/>
  <c r="Z59" i="12"/>
  <c r="AA59" i="12"/>
  <c r="AB59" i="12"/>
  <c r="AC59" i="12"/>
  <c r="AD59" i="12"/>
  <c r="AE59" i="12"/>
  <c r="AF59" i="12"/>
  <c r="AG59" i="12"/>
  <c r="AH59" i="12"/>
  <c r="AJ59" i="12"/>
  <c r="AK59" i="12"/>
  <c r="AL59" i="12"/>
  <c r="AM59" i="12"/>
  <c r="AN59" i="12"/>
  <c r="AO59" i="12"/>
  <c r="S59" i="12"/>
  <c r="T58" i="12"/>
  <c r="U58" i="12"/>
  <c r="V58" i="12"/>
  <c r="W58" i="12"/>
  <c r="X58" i="12"/>
  <c r="Y58" i="12"/>
  <c r="Z58" i="12"/>
  <c r="AA58" i="12"/>
  <c r="AB58" i="12"/>
  <c r="AC58" i="12"/>
  <c r="AD58" i="12"/>
  <c r="AE58" i="12"/>
  <c r="AF58" i="12"/>
  <c r="AG58" i="12"/>
  <c r="AH58" i="12"/>
  <c r="AJ58" i="12"/>
  <c r="AK58" i="12"/>
  <c r="AL58" i="12"/>
  <c r="AM58" i="12"/>
  <c r="AN58" i="12"/>
  <c r="AO58" i="12"/>
  <c r="S58" i="12"/>
  <c r="T57" i="12"/>
  <c r="U57" i="12"/>
  <c r="V57" i="12"/>
  <c r="W57" i="12"/>
  <c r="X57" i="12"/>
  <c r="Y57" i="12"/>
  <c r="Z57" i="12"/>
  <c r="AA57" i="12"/>
  <c r="AB57" i="12"/>
  <c r="AC57" i="12"/>
  <c r="AD57" i="12"/>
  <c r="AE57" i="12"/>
  <c r="AF57" i="12"/>
  <c r="AG57" i="12"/>
  <c r="AH57" i="12"/>
  <c r="AJ57" i="12"/>
  <c r="AK57" i="12"/>
  <c r="AL57" i="12"/>
  <c r="AM57" i="12"/>
  <c r="AN57" i="12"/>
  <c r="AO57" i="12"/>
  <c r="S57" i="12"/>
  <c r="T56" i="12"/>
  <c r="U56" i="12"/>
  <c r="V56" i="12"/>
  <c r="W56" i="12"/>
  <c r="X56" i="12"/>
  <c r="Y56" i="12"/>
  <c r="Z56" i="12"/>
  <c r="AA56" i="12"/>
  <c r="AB56" i="12"/>
  <c r="AC56" i="12"/>
  <c r="AD56" i="12"/>
  <c r="AE56" i="12"/>
  <c r="AF56" i="12"/>
  <c r="AG56" i="12"/>
  <c r="AH56" i="12"/>
  <c r="AJ56" i="12"/>
  <c r="AK56" i="12"/>
  <c r="AL56" i="12"/>
  <c r="AM56" i="12"/>
  <c r="AN56" i="12"/>
  <c r="AO56" i="12"/>
  <c r="S56" i="12"/>
  <c r="T54" i="12"/>
  <c r="U54" i="12"/>
  <c r="V54" i="12"/>
  <c r="W54" i="12"/>
  <c r="X54" i="12"/>
  <c r="Y54" i="12"/>
  <c r="Z54" i="12"/>
  <c r="AA54" i="12"/>
  <c r="AB54" i="12"/>
  <c r="AC54" i="12"/>
  <c r="AD54" i="12"/>
  <c r="AE54" i="12"/>
  <c r="AF54" i="12"/>
  <c r="AG54" i="12"/>
  <c r="AH54" i="12"/>
  <c r="AJ54" i="12"/>
  <c r="AK54" i="12"/>
  <c r="AL54" i="12"/>
  <c r="AM54" i="12"/>
  <c r="AN54" i="12"/>
  <c r="AO54" i="12"/>
  <c r="S54" i="12"/>
  <c r="T53" i="12"/>
  <c r="U53" i="12"/>
  <c r="V53" i="12"/>
  <c r="W53" i="12"/>
  <c r="X53" i="12"/>
  <c r="Y53" i="12"/>
  <c r="Z53" i="12"/>
  <c r="AA53" i="12"/>
  <c r="AB53" i="12"/>
  <c r="AC53" i="12"/>
  <c r="AD53" i="12"/>
  <c r="AE53" i="12"/>
  <c r="AF53" i="12"/>
  <c r="AG53" i="12"/>
  <c r="AH53" i="12"/>
  <c r="AJ53" i="12"/>
  <c r="AK53" i="12"/>
  <c r="AL53" i="12"/>
  <c r="AM53" i="12"/>
  <c r="AN53" i="12"/>
  <c r="AO53" i="12"/>
  <c r="S53" i="12"/>
  <c r="T52" i="12"/>
  <c r="U52" i="12"/>
  <c r="V52" i="12"/>
  <c r="W52" i="12"/>
  <c r="X52" i="12"/>
  <c r="Y52" i="12"/>
  <c r="Z52" i="12"/>
  <c r="AA52" i="12"/>
  <c r="AB52" i="12"/>
  <c r="AC52" i="12"/>
  <c r="AD52" i="12"/>
  <c r="AE52" i="12"/>
  <c r="AF52" i="12"/>
  <c r="AG52" i="12"/>
  <c r="AH52" i="12"/>
  <c r="AJ52" i="12"/>
  <c r="AK52" i="12"/>
  <c r="AL52" i="12"/>
  <c r="AM52" i="12"/>
  <c r="AN52" i="12"/>
  <c r="AO52" i="12"/>
  <c r="S52" i="12"/>
  <c r="T51" i="12"/>
  <c r="U51" i="12"/>
  <c r="V51" i="12"/>
  <c r="W51" i="12"/>
  <c r="X51" i="12"/>
  <c r="Y51" i="12"/>
  <c r="Z51" i="12"/>
  <c r="AA51" i="12"/>
  <c r="AB51" i="12"/>
  <c r="AC51" i="12"/>
  <c r="AD51" i="12"/>
  <c r="AE51" i="12"/>
  <c r="AF51" i="12"/>
  <c r="AG51" i="12"/>
  <c r="AH51" i="12"/>
  <c r="AJ51" i="12"/>
  <c r="AK51" i="12"/>
  <c r="AL51" i="12"/>
  <c r="AM51" i="12"/>
  <c r="AN51" i="12"/>
  <c r="AO51" i="12"/>
  <c r="S51" i="12"/>
  <c r="T50" i="12"/>
  <c r="U50" i="12"/>
  <c r="V50" i="12"/>
  <c r="W50" i="12"/>
  <c r="X50" i="12"/>
  <c r="Y50" i="12"/>
  <c r="Z50" i="12"/>
  <c r="AA50" i="12"/>
  <c r="AB50" i="12"/>
  <c r="AC50" i="12"/>
  <c r="AD50" i="12"/>
  <c r="AE50" i="12"/>
  <c r="AF50" i="12"/>
  <c r="AG50" i="12"/>
  <c r="AH50" i="12"/>
  <c r="AJ50" i="12"/>
  <c r="AK50" i="12"/>
  <c r="AL50" i="12"/>
  <c r="AM50" i="12"/>
  <c r="AN50" i="12"/>
  <c r="AO50" i="12"/>
  <c r="S50" i="12"/>
  <c r="T49" i="12"/>
  <c r="U49" i="12"/>
  <c r="V49" i="12"/>
  <c r="W49" i="12"/>
  <c r="X49" i="12"/>
  <c r="Y49" i="12"/>
  <c r="Z49" i="12"/>
  <c r="AA49" i="12"/>
  <c r="AB49" i="12"/>
  <c r="AC49" i="12"/>
  <c r="AD49" i="12"/>
  <c r="AE49" i="12"/>
  <c r="AF49" i="12"/>
  <c r="AG49" i="12"/>
  <c r="AH49" i="12"/>
  <c r="AJ49" i="12"/>
  <c r="AK49" i="12"/>
  <c r="AL49" i="12"/>
  <c r="AM49" i="12"/>
  <c r="AN49" i="12"/>
  <c r="AO49" i="12"/>
  <c r="S49" i="12"/>
  <c r="T48" i="12"/>
  <c r="U48" i="12"/>
  <c r="V48" i="12"/>
  <c r="W48" i="12"/>
  <c r="X48" i="12"/>
  <c r="Y48" i="12"/>
  <c r="Z48" i="12"/>
  <c r="AA48" i="12"/>
  <c r="AB48" i="12"/>
  <c r="AC48" i="12"/>
  <c r="AD48" i="12"/>
  <c r="AE48" i="12"/>
  <c r="AF48" i="12"/>
  <c r="AG48" i="12"/>
  <c r="AH48" i="12"/>
  <c r="AJ48" i="12"/>
  <c r="AK48" i="12"/>
  <c r="AL48" i="12"/>
  <c r="AM48" i="12"/>
  <c r="AN48" i="12"/>
  <c r="AO48" i="12"/>
  <c r="S48" i="12"/>
  <c r="T46" i="12"/>
  <c r="U46" i="12"/>
  <c r="V46" i="12"/>
  <c r="W46" i="12"/>
  <c r="X46" i="12"/>
  <c r="Y46" i="12"/>
  <c r="Z46" i="12"/>
  <c r="AA46" i="12"/>
  <c r="AB46" i="12"/>
  <c r="AC46" i="12"/>
  <c r="AD46" i="12"/>
  <c r="AE46" i="12"/>
  <c r="AF46" i="12"/>
  <c r="AG46" i="12"/>
  <c r="AH46" i="12"/>
  <c r="AJ46" i="12"/>
  <c r="AK46" i="12"/>
  <c r="AL46" i="12"/>
  <c r="AM46" i="12"/>
  <c r="AN46" i="12"/>
  <c r="AO46" i="12"/>
  <c r="S46" i="12"/>
  <c r="T44" i="12"/>
  <c r="U44" i="12"/>
  <c r="V44" i="12"/>
  <c r="W44" i="12"/>
  <c r="X44" i="12"/>
  <c r="Y44" i="12"/>
  <c r="Z44" i="12"/>
  <c r="AA44" i="12"/>
  <c r="AB44" i="12"/>
  <c r="AC44" i="12"/>
  <c r="AD44" i="12"/>
  <c r="AE44" i="12"/>
  <c r="AF44" i="12"/>
  <c r="AG44" i="12"/>
  <c r="AH44" i="12"/>
  <c r="AJ44" i="12"/>
  <c r="AK44" i="12"/>
  <c r="AL44" i="12"/>
  <c r="AM44" i="12"/>
  <c r="AN44" i="12"/>
  <c r="AO44" i="12"/>
  <c r="S44" i="12"/>
  <c r="T42" i="12"/>
  <c r="U42" i="12"/>
  <c r="V42" i="12"/>
  <c r="W42" i="12"/>
  <c r="X42" i="12"/>
  <c r="Y42" i="12"/>
  <c r="Z42" i="12"/>
  <c r="AA42" i="12"/>
  <c r="AB42" i="12"/>
  <c r="AC42" i="12"/>
  <c r="AD42" i="12"/>
  <c r="AE42" i="12"/>
  <c r="AF42" i="12"/>
  <c r="AG42" i="12"/>
  <c r="AH42" i="12"/>
  <c r="AJ42" i="12"/>
  <c r="AK42" i="12"/>
  <c r="AL42" i="12"/>
  <c r="AM42" i="12"/>
  <c r="AN42" i="12"/>
  <c r="AO42" i="12"/>
  <c r="S42" i="12"/>
  <c r="T41" i="12"/>
  <c r="U41" i="12"/>
  <c r="V41" i="12"/>
  <c r="W41" i="12"/>
  <c r="X41" i="12"/>
  <c r="Y41" i="12"/>
  <c r="Z41" i="12"/>
  <c r="AA41" i="12"/>
  <c r="AB41" i="12"/>
  <c r="AC41" i="12"/>
  <c r="AD41" i="12"/>
  <c r="AE41" i="12"/>
  <c r="AF41" i="12"/>
  <c r="AG41" i="12"/>
  <c r="AH41" i="12"/>
  <c r="AJ41" i="12"/>
  <c r="AK41" i="12"/>
  <c r="AL41" i="12"/>
  <c r="AM41" i="12"/>
  <c r="AN41" i="12"/>
  <c r="AO41" i="12"/>
  <c r="S41" i="12"/>
  <c r="T40" i="12"/>
  <c r="U40" i="12"/>
  <c r="V40" i="12"/>
  <c r="W40" i="12"/>
  <c r="X40" i="12"/>
  <c r="Y40" i="12"/>
  <c r="Z40" i="12"/>
  <c r="AA40" i="12"/>
  <c r="AB40" i="12"/>
  <c r="AC40" i="12"/>
  <c r="AD40" i="12"/>
  <c r="AE40" i="12"/>
  <c r="AF40" i="12"/>
  <c r="AG40" i="12"/>
  <c r="AH40" i="12"/>
  <c r="AJ40" i="12"/>
  <c r="AK40" i="12"/>
  <c r="AL40" i="12"/>
  <c r="AM40" i="12"/>
  <c r="AN40" i="12"/>
  <c r="AO40" i="12"/>
  <c r="S40" i="12"/>
  <c r="T39" i="12"/>
  <c r="U39" i="12"/>
  <c r="V39" i="12"/>
  <c r="W39" i="12"/>
  <c r="X39" i="12"/>
  <c r="Y39" i="12"/>
  <c r="Z39" i="12"/>
  <c r="AA39" i="12"/>
  <c r="AB39" i="12"/>
  <c r="AC39" i="12"/>
  <c r="AD39" i="12"/>
  <c r="AE39" i="12"/>
  <c r="AF39" i="12"/>
  <c r="AG39" i="12"/>
  <c r="AH39" i="12"/>
  <c r="AJ39" i="12"/>
  <c r="AK39" i="12"/>
  <c r="AL39" i="12"/>
  <c r="AM39" i="12"/>
  <c r="AN39" i="12"/>
  <c r="AO39" i="12"/>
  <c r="S39" i="12"/>
  <c r="T38" i="12"/>
  <c r="U38" i="12"/>
  <c r="V38" i="12"/>
  <c r="W38" i="12"/>
  <c r="X38" i="12"/>
  <c r="Y38" i="12"/>
  <c r="Z38" i="12"/>
  <c r="AA38" i="12"/>
  <c r="AB38" i="12"/>
  <c r="AC38" i="12"/>
  <c r="AD38" i="12"/>
  <c r="AE38" i="12"/>
  <c r="AF38" i="12"/>
  <c r="AG38" i="12"/>
  <c r="AH38" i="12"/>
  <c r="AJ38" i="12"/>
  <c r="AK38" i="12"/>
  <c r="AL38" i="12"/>
  <c r="AM38" i="12"/>
  <c r="AN38" i="12"/>
  <c r="AO38" i="12"/>
  <c r="S38" i="12"/>
  <c r="T37" i="12"/>
  <c r="U37" i="12"/>
  <c r="V37" i="12"/>
  <c r="W37" i="12"/>
  <c r="X37" i="12"/>
  <c r="Y37" i="12"/>
  <c r="Z37" i="12"/>
  <c r="AA37" i="12"/>
  <c r="AB37" i="12"/>
  <c r="AC37" i="12"/>
  <c r="AD37" i="12"/>
  <c r="AE37" i="12"/>
  <c r="AF37" i="12"/>
  <c r="AG37" i="12"/>
  <c r="AH37" i="12"/>
  <c r="AJ37" i="12"/>
  <c r="AK37" i="12"/>
  <c r="AL37" i="12"/>
  <c r="AM37" i="12"/>
  <c r="AN37" i="12"/>
  <c r="AO37" i="12"/>
  <c r="S37" i="12"/>
  <c r="T36" i="12"/>
  <c r="U36" i="12"/>
  <c r="V36" i="12"/>
  <c r="W36" i="12"/>
  <c r="X36" i="12"/>
  <c r="Y36" i="12"/>
  <c r="Z36" i="12"/>
  <c r="AA36" i="12"/>
  <c r="AB36" i="12"/>
  <c r="AC36" i="12"/>
  <c r="AD36" i="12"/>
  <c r="AE36" i="12"/>
  <c r="AF36" i="12"/>
  <c r="AG36" i="12"/>
  <c r="AH36" i="12"/>
  <c r="AJ36" i="12"/>
  <c r="AK36" i="12"/>
  <c r="AL36" i="12"/>
  <c r="AM36" i="12"/>
  <c r="AN36" i="12"/>
  <c r="AO36" i="12"/>
  <c r="S36" i="12"/>
  <c r="T35" i="12"/>
  <c r="U35" i="12"/>
  <c r="V35" i="12"/>
  <c r="W35" i="12"/>
  <c r="X35" i="12"/>
  <c r="Y35" i="12"/>
  <c r="Z35" i="12"/>
  <c r="AA35" i="12"/>
  <c r="AB35" i="12"/>
  <c r="AC35" i="12"/>
  <c r="AD35" i="12"/>
  <c r="AE35" i="12"/>
  <c r="AF35" i="12"/>
  <c r="AG35" i="12"/>
  <c r="AH35" i="12"/>
  <c r="AJ35" i="12"/>
  <c r="AK35" i="12"/>
  <c r="AL35" i="12"/>
  <c r="AM35" i="12"/>
  <c r="AN35" i="12"/>
  <c r="AO35" i="12"/>
  <c r="S35" i="12"/>
  <c r="T32" i="12"/>
  <c r="U32" i="12"/>
  <c r="V32" i="12"/>
  <c r="W32" i="12"/>
  <c r="X32" i="12"/>
  <c r="Y32" i="12"/>
  <c r="Z32" i="12"/>
  <c r="AA32" i="12"/>
  <c r="AB32" i="12"/>
  <c r="AC32" i="12"/>
  <c r="AD32" i="12"/>
  <c r="AE32" i="12"/>
  <c r="AF32" i="12"/>
  <c r="AG32" i="12"/>
  <c r="AH32" i="12"/>
  <c r="AJ32" i="12"/>
  <c r="AK32" i="12"/>
  <c r="AL32" i="12"/>
  <c r="AM32" i="12"/>
  <c r="AN32" i="12"/>
  <c r="AO32" i="12"/>
  <c r="S32" i="12"/>
  <c r="T31" i="12"/>
  <c r="U31" i="12"/>
  <c r="V31" i="12"/>
  <c r="W31" i="12"/>
  <c r="X31" i="12"/>
  <c r="Y31" i="12"/>
  <c r="Z31" i="12"/>
  <c r="AA31" i="12"/>
  <c r="AB31" i="12"/>
  <c r="AC31" i="12"/>
  <c r="AD31" i="12"/>
  <c r="AE31" i="12"/>
  <c r="AF31" i="12"/>
  <c r="AG31" i="12"/>
  <c r="AH31" i="12"/>
  <c r="AJ31" i="12"/>
  <c r="AK31" i="12"/>
  <c r="AL31" i="12"/>
  <c r="AM31" i="12"/>
  <c r="AN31" i="12"/>
  <c r="AO31" i="12"/>
  <c r="S31" i="12"/>
  <c r="T30" i="12"/>
  <c r="U30" i="12"/>
  <c r="V30" i="12"/>
  <c r="W30" i="12"/>
  <c r="X30" i="12"/>
  <c r="Y30" i="12"/>
  <c r="Z30" i="12"/>
  <c r="AA30" i="12"/>
  <c r="AB30" i="12"/>
  <c r="AC30" i="12"/>
  <c r="AD30" i="12"/>
  <c r="AE30" i="12"/>
  <c r="AF30" i="12"/>
  <c r="AG30" i="12"/>
  <c r="AH30" i="12"/>
  <c r="AJ30" i="12"/>
  <c r="AK30" i="12"/>
  <c r="AL30" i="12"/>
  <c r="AM30" i="12"/>
  <c r="AN30" i="12"/>
  <c r="AO30" i="12"/>
  <c r="S30" i="12"/>
  <c r="T29" i="12"/>
  <c r="U29" i="12"/>
  <c r="V29" i="12"/>
  <c r="W29" i="12"/>
  <c r="X29" i="12"/>
  <c r="Y29" i="12"/>
  <c r="Z29" i="12"/>
  <c r="AA29" i="12"/>
  <c r="AB29" i="12"/>
  <c r="AC29" i="12"/>
  <c r="AD29" i="12"/>
  <c r="AE29" i="12"/>
  <c r="AF29" i="12"/>
  <c r="AG29" i="12"/>
  <c r="AH29" i="12"/>
  <c r="AJ29" i="12"/>
  <c r="AK29" i="12"/>
  <c r="AL29" i="12"/>
  <c r="AM29" i="12"/>
  <c r="AN29" i="12"/>
  <c r="AO29" i="12"/>
  <c r="S29" i="12"/>
  <c r="T28" i="12"/>
  <c r="U28" i="12"/>
  <c r="V28" i="12"/>
  <c r="W28" i="12"/>
  <c r="X28" i="12"/>
  <c r="Y28" i="12"/>
  <c r="Z28" i="12"/>
  <c r="AA28" i="12"/>
  <c r="AB28" i="12"/>
  <c r="AC28" i="12"/>
  <c r="AD28" i="12"/>
  <c r="AE28" i="12"/>
  <c r="AF28" i="12"/>
  <c r="AG28" i="12"/>
  <c r="AH28" i="12"/>
  <c r="AJ28" i="12"/>
  <c r="AK28" i="12"/>
  <c r="AL28" i="12"/>
  <c r="AM28" i="12"/>
  <c r="AN28" i="12"/>
  <c r="AO28" i="12"/>
  <c r="S28" i="12"/>
  <c r="T27" i="12"/>
  <c r="U27" i="12"/>
  <c r="V27" i="12"/>
  <c r="W27" i="12"/>
  <c r="X27" i="12"/>
  <c r="Y27" i="12"/>
  <c r="Z27" i="12"/>
  <c r="AA27" i="12"/>
  <c r="AB27" i="12"/>
  <c r="AC27" i="12"/>
  <c r="AD27" i="12"/>
  <c r="AE27" i="12"/>
  <c r="AF27" i="12"/>
  <c r="AG27" i="12"/>
  <c r="AH27" i="12"/>
  <c r="AJ27" i="12"/>
  <c r="AK27" i="12"/>
  <c r="AL27" i="12"/>
  <c r="AM27" i="12"/>
  <c r="AN27" i="12"/>
  <c r="AO27" i="12"/>
  <c r="S27" i="12"/>
  <c r="T26" i="12"/>
  <c r="U26" i="12"/>
  <c r="V26" i="12"/>
  <c r="W26" i="12"/>
  <c r="X26" i="12"/>
  <c r="Y26" i="12"/>
  <c r="Z26" i="12"/>
  <c r="AA26" i="12"/>
  <c r="AB26" i="12"/>
  <c r="AC26" i="12"/>
  <c r="AD26" i="12"/>
  <c r="AE26" i="12"/>
  <c r="AF26" i="12"/>
  <c r="AG26" i="12"/>
  <c r="AH26" i="12"/>
  <c r="AJ26" i="12"/>
  <c r="AK26" i="12"/>
  <c r="AL26" i="12"/>
  <c r="AM26" i="12"/>
  <c r="AN26" i="12"/>
  <c r="AO26" i="12"/>
  <c r="S26" i="12"/>
  <c r="T24" i="12"/>
  <c r="U24" i="12"/>
  <c r="V24" i="12"/>
  <c r="W24" i="12"/>
  <c r="X24" i="12"/>
  <c r="Y24" i="12"/>
  <c r="Z24" i="12"/>
  <c r="AA24" i="12"/>
  <c r="AB24" i="12"/>
  <c r="AC24" i="12"/>
  <c r="AD24" i="12"/>
  <c r="AE24" i="12"/>
  <c r="AF24" i="12"/>
  <c r="AG24" i="12"/>
  <c r="AH24" i="12"/>
  <c r="AJ24" i="12"/>
  <c r="AK24" i="12"/>
  <c r="AL24" i="12"/>
  <c r="AM24" i="12"/>
  <c r="AN24" i="12"/>
  <c r="AO24" i="12"/>
  <c r="S24" i="12"/>
  <c r="T23" i="12"/>
  <c r="U23" i="12"/>
  <c r="V23" i="12"/>
  <c r="W23" i="12"/>
  <c r="X23" i="12"/>
  <c r="Y23" i="12"/>
  <c r="Z23" i="12"/>
  <c r="AA23" i="12"/>
  <c r="AB23" i="12"/>
  <c r="AC23" i="12"/>
  <c r="AD23" i="12"/>
  <c r="AE23" i="12"/>
  <c r="AF23" i="12"/>
  <c r="AG23" i="12"/>
  <c r="AH23" i="12"/>
  <c r="AJ23" i="12"/>
  <c r="AK23" i="12"/>
  <c r="AL23" i="12"/>
  <c r="AM23" i="12"/>
  <c r="AN23" i="12"/>
  <c r="AO23" i="12"/>
  <c r="S23" i="12"/>
  <c r="T22" i="12"/>
  <c r="U22" i="12"/>
  <c r="V22" i="12"/>
  <c r="W22" i="12"/>
  <c r="X22" i="12"/>
  <c r="Y22" i="12"/>
  <c r="Z22" i="12"/>
  <c r="AA22" i="12"/>
  <c r="AB22" i="12"/>
  <c r="AC22" i="12"/>
  <c r="AD22" i="12"/>
  <c r="AE22" i="12"/>
  <c r="AF22" i="12"/>
  <c r="AG22" i="12"/>
  <c r="AH22" i="12"/>
  <c r="AJ22" i="12"/>
  <c r="AK22" i="12"/>
  <c r="AL22" i="12"/>
  <c r="AM22" i="12"/>
  <c r="AN22" i="12"/>
  <c r="AO22" i="12"/>
  <c r="S22" i="12"/>
  <c r="T21" i="12"/>
  <c r="U21" i="12"/>
  <c r="V21" i="12"/>
  <c r="W21" i="12"/>
  <c r="X21" i="12"/>
  <c r="Y21" i="12"/>
  <c r="Z21" i="12"/>
  <c r="AA21" i="12"/>
  <c r="AB21" i="12"/>
  <c r="AC21" i="12"/>
  <c r="AD21" i="12"/>
  <c r="AE21" i="12"/>
  <c r="AF21" i="12"/>
  <c r="AG21" i="12"/>
  <c r="AH21" i="12"/>
  <c r="AJ21" i="12"/>
  <c r="AK21" i="12"/>
  <c r="AL21" i="12"/>
  <c r="AM21" i="12"/>
  <c r="AN21" i="12"/>
  <c r="AO21" i="12"/>
  <c r="S21" i="12"/>
  <c r="T20" i="12"/>
  <c r="U20" i="12"/>
  <c r="V20" i="12"/>
  <c r="W20" i="12"/>
  <c r="X20" i="12"/>
  <c r="Y20" i="12"/>
  <c r="Z20" i="12"/>
  <c r="AA20" i="12"/>
  <c r="AB20" i="12"/>
  <c r="AC20" i="12"/>
  <c r="AD20" i="12"/>
  <c r="AE20" i="12"/>
  <c r="AF20" i="12"/>
  <c r="AG20" i="12"/>
  <c r="AH20" i="12"/>
  <c r="AJ20" i="12"/>
  <c r="AK20" i="12"/>
  <c r="AL20" i="12"/>
  <c r="AM20" i="12"/>
  <c r="AN20" i="12"/>
  <c r="AO20" i="12"/>
  <c r="S20" i="12"/>
  <c r="T19" i="12"/>
  <c r="U19" i="12"/>
  <c r="V19" i="12"/>
  <c r="W19" i="12"/>
  <c r="X19" i="12"/>
  <c r="Y19" i="12"/>
  <c r="Z19" i="12"/>
  <c r="AA19" i="12"/>
  <c r="AB19" i="12"/>
  <c r="AC19" i="12"/>
  <c r="AD19" i="12"/>
  <c r="AE19" i="12"/>
  <c r="AF19" i="12"/>
  <c r="AG19" i="12"/>
  <c r="AH19" i="12"/>
  <c r="AJ19" i="12"/>
  <c r="AK19" i="12"/>
  <c r="AL19" i="12"/>
  <c r="AM19" i="12"/>
  <c r="AN19" i="12"/>
  <c r="AO19" i="12"/>
  <c r="S19" i="12"/>
  <c r="T18" i="12"/>
  <c r="U18" i="12"/>
  <c r="V18" i="12"/>
  <c r="W18" i="12"/>
  <c r="X18" i="12"/>
  <c r="Y18" i="12"/>
  <c r="Z18" i="12"/>
  <c r="AA18" i="12"/>
  <c r="AB18" i="12"/>
  <c r="AC18" i="12"/>
  <c r="AD18" i="12"/>
  <c r="AE18" i="12"/>
  <c r="AF18" i="12"/>
  <c r="AG18" i="12"/>
  <c r="AH18" i="12"/>
  <c r="AJ18" i="12"/>
  <c r="AK18" i="12"/>
  <c r="AL18" i="12"/>
  <c r="AM18" i="12"/>
  <c r="AN18" i="12"/>
  <c r="S18" i="12"/>
  <c r="T17" i="12"/>
  <c r="U17" i="12"/>
  <c r="V17" i="12"/>
  <c r="W17" i="12"/>
  <c r="X17" i="12"/>
  <c r="Y17" i="12"/>
  <c r="Z17" i="12"/>
  <c r="AA17" i="12"/>
  <c r="AB17" i="12"/>
  <c r="AC17" i="12"/>
  <c r="AD17" i="12"/>
  <c r="AE17" i="12"/>
  <c r="AF17" i="12"/>
  <c r="AG17" i="12"/>
  <c r="AH17" i="12"/>
  <c r="AJ17" i="12"/>
  <c r="AK17" i="12"/>
  <c r="AL17" i="12"/>
  <c r="AM17" i="12"/>
  <c r="AN17" i="12"/>
  <c r="AO17" i="12"/>
  <c r="S17" i="12"/>
  <c r="T16" i="12"/>
  <c r="U16" i="12"/>
  <c r="V16" i="12"/>
  <c r="W16" i="12"/>
  <c r="X16" i="12"/>
  <c r="Y16" i="12"/>
  <c r="Z16" i="12"/>
  <c r="AA16" i="12"/>
  <c r="AB16" i="12"/>
  <c r="AC16" i="12"/>
  <c r="AD16" i="12"/>
  <c r="AE16" i="12"/>
  <c r="AF16" i="12"/>
  <c r="AG16" i="12"/>
  <c r="AH16" i="12"/>
  <c r="AJ16" i="12"/>
  <c r="AK16" i="12"/>
  <c r="AL16" i="12"/>
  <c r="AM16" i="12"/>
  <c r="AN16" i="12"/>
  <c r="AO16" i="12"/>
  <c r="S16" i="12"/>
  <c r="T15" i="12"/>
  <c r="U15" i="12"/>
  <c r="V15" i="12"/>
  <c r="W15" i="12"/>
  <c r="X15" i="12"/>
  <c r="Y15" i="12"/>
  <c r="Z15" i="12"/>
  <c r="AA15" i="12"/>
  <c r="AB15" i="12"/>
  <c r="AC15" i="12"/>
  <c r="AD15" i="12"/>
  <c r="AE15" i="12"/>
  <c r="AF15" i="12"/>
  <c r="AG15" i="12"/>
  <c r="AH15" i="12"/>
  <c r="AJ15" i="12"/>
  <c r="AK15" i="12"/>
  <c r="AL15" i="12"/>
  <c r="AM15" i="12"/>
  <c r="AN15" i="12"/>
  <c r="AO15" i="12"/>
  <c r="S15" i="12"/>
  <c r="T14" i="12"/>
  <c r="U14" i="12"/>
  <c r="V14" i="12"/>
  <c r="W14" i="12"/>
  <c r="X14" i="12"/>
  <c r="Y14" i="12"/>
  <c r="Z14" i="12"/>
  <c r="AA14" i="12"/>
  <c r="AB14" i="12"/>
  <c r="AC14" i="12"/>
  <c r="AD14" i="12"/>
  <c r="AE14" i="12"/>
  <c r="AF14" i="12"/>
  <c r="AG14" i="12"/>
  <c r="AH14" i="12"/>
  <c r="AJ14" i="12"/>
  <c r="AK14" i="12"/>
  <c r="AL14" i="12"/>
  <c r="AM14" i="12"/>
  <c r="AN14" i="12"/>
  <c r="AO14" i="12"/>
  <c r="S14" i="12"/>
  <c r="T13" i="12"/>
  <c r="U13" i="12"/>
  <c r="V13" i="12"/>
  <c r="W13" i="12"/>
  <c r="X13" i="12"/>
  <c r="Y13" i="12"/>
  <c r="Z13" i="12"/>
  <c r="AA13" i="12"/>
  <c r="AB13" i="12"/>
  <c r="AC13" i="12"/>
  <c r="AD13" i="12"/>
  <c r="AE13" i="12"/>
  <c r="AF13" i="12"/>
  <c r="AG13" i="12"/>
  <c r="AH13" i="12"/>
  <c r="AJ13" i="12"/>
  <c r="AK13" i="12"/>
  <c r="AL13" i="12"/>
  <c r="AM13" i="12"/>
  <c r="AN13" i="12"/>
  <c r="AO13" i="12"/>
  <c r="S13" i="12"/>
  <c r="T12" i="12"/>
  <c r="U12" i="12"/>
  <c r="V12" i="12"/>
  <c r="W12" i="12"/>
  <c r="X12" i="12"/>
  <c r="Y12" i="12"/>
  <c r="Z12" i="12"/>
  <c r="AA12" i="12"/>
  <c r="AB12" i="12"/>
  <c r="AC12" i="12"/>
  <c r="AD12" i="12"/>
  <c r="AE12" i="12"/>
  <c r="AF12" i="12"/>
  <c r="AG12" i="12"/>
  <c r="AH12" i="12"/>
  <c r="AJ12" i="12"/>
  <c r="AK12" i="12"/>
  <c r="AL12" i="12"/>
  <c r="AM12" i="12"/>
  <c r="AN12" i="12"/>
  <c r="AO12" i="12"/>
  <c r="S12" i="12"/>
  <c r="T9" i="12"/>
  <c r="U9" i="12"/>
  <c r="V9" i="12"/>
  <c r="W9" i="12"/>
  <c r="X9" i="12"/>
  <c r="Y9" i="12"/>
  <c r="Z9" i="12"/>
  <c r="AA9" i="12"/>
  <c r="AB9" i="12"/>
  <c r="AC9" i="12"/>
  <c r="AD9" i="12"/>
  <c r="AE9" i="12"/>
  <c r="AF9" i="12"/>
  <c r="AG9" i="12"/>
  <c r="AH9" i="12"/>
  <c r="AJ9" i="12"/>
  <c r="AK9" i="12"/>
  <c r="AL9" i="12"/>
  <c r="AM9" i="12"/>
  <c r="AN9" i="12"/>
  <c r="AO9" i="12"/>
  <c r="S9" i="12"/>
  <c r="T8" i="12"/>
  <c r="U8" i="12"/>
  <c r="V8" i="12"/>
  <c r="W8" i="12"/>
  <c r="X8" i="12"/>
  <c r="Y8" i="12"/>
  <c r="Z8" i="12"/>
  <c r="AA8" i="12"/>
  <c r="AB8" i="12"/>
  <c r="AC8" i="12"/>
  <c r="AD8" i="12"/>
  <c r="AE8" i="12"/>
  <c r="AF8" i="12"/>
  <c r="AG8" i="12"/>
  <c r="AH8" i="12"/>
  <c r="AJ8" i="12"/>
  <c r="AK8" i="12"/>
  <c r="AL8" i="12"/>
  <c r="AM8" i="12"/>
  <c r="AN8" i="12"/>
  <c r="AO8" i="12"/>
  <c r="S8" i="12"/>
  <c r="F17" i="12"/>
  <c r="G17" i="12"/>
  <c r="I17" i="12" a="1"/>
  <c r="I17" i="12" s="1"/>
  <c r="J17" i="12"/>
  <c r="K17" i="12"/>
  <c r="M17" i="12"/>
  <c r="N17" i="12" s="1"/>
  <c r="P17" i="12"/>
  <c r="Q17" i="12" s="1"/>
  <c r="AA415" i="10"/>
  <c r="AB415" i="10"/>
  <c r="Q46" i="11" s="1"/>
  <c r="AC415" i="10"/>
  <c r="T46" i="11" s="1"/>
  <c r="AD415" i="10"/>
  <c r="N46" i="11" s="1"/>
  <c r="AA416" i="10"/>
  <c r="AB416" i="10"/>
  <c r="AC416" i="10"/>
  <c r="AD416" i="10"/>
  <c r="AA417" i="10"/>
  <c r="AB417" i="10"/>
  <c r="AC417" i="10"/>
  <c r="AD417" i="10"/>
  <c r="AA418" i="10"/>
  <c r="AB418" i="10"/>
  <c r="AC418" i="10"/>
  <c r="AD418" i="10"/>
  <c r="AA419" i="10"/>
  <c r="AB419" i="10"/>
  <c r="AC419" i="10"/>
  <c r="AD419" i="10"/>
  <c r="AA420" i="10"/>
  <c r="AB420" i="10"/>
  <c r="AC420" i="10"/>
  <c r="AD420" i="10"/>
  <c r="AA421" i="10"/>
  <c r="AB421" i="10"/>
  <c r="AC421" i="10"/>
  <c r="AD421" i="10"/>
  <c r="AA422" i="10"/>
  <c r="AB422" i="10"/>
  <c r="AC422" i="10"/>
  <c r="AD422" i="10"/>
  <c r="AA423" i="10"/>
  <c r="AB423" i="10"/>
  <c r="AC423" i="10"/>
  <c r="AD423" i="10"/>
  <c r="AA424" i="10"/>
  <c r="AB424" i="10"/>
  <c r="AC424" i="10"/>
  <c r="AD424" i="10"/>
  <c r="AA425" i="10"/>
  <c r="AB425" i="10"/>
  <c r="AC425" i="10"/>
  <c r="AD425" i="10"/>
  <c r="AA426" i="10"/>
  <c r="AB426" i="10"/>
  <c r="AC426" i="10"/>
  <c r="AD426" i="10"/>
  <c r="AA427" i="10"/>
  <c r="AB427" i="10"/>
  <c r="AC427" i="10"/>
  <c r="AD427" i="10"/>
  <c r="AA428" i="10"/>
  <c r="AB428" i="10"/>
  <c r="AC428" i="10"/>
  <c r="AD428" i="10"/>
  <c r="AA429" i="10"/>
  <c r="AB429" i="10"/>
  <c r="AC429" i="10"/>
  <c r="AD429" i="10"/>
  <c r="AA430" i="10"/>
  <c r="AB430" i="10"/>
  <c r="AC430" i="10"/>
  <c r="AD430" i="10"/>
  <c r="AA431" i="10"/>
  <c r="AB431" i="10"/>
  <c r="AC431" i="10"/>
  <c r="AD431" i="10"/>
  <c r="AA432" i="10"/>
  <c r="AB432" i="10"/>
  <c r="AC432" i="10"/>
  <c r="AD432" i="10"/>
  <c r="AA433" i="10"/>
  <c r="AB433" i="10"/>
  <c r="AC433" i="10"/>
  <c r="AD433" i="10"/>
  <c r="AA434" i="10"/>
  <c r="AB434" i="10"/>
  <c r="AC434" i="10"/>
  <c r="AD434" i="10"/>
  <c r="AA435" i="10"/>
  <c r="AB435" i="10"/>
  <c r="Q40" i="11" s="1"/>
  <c r="AC435" i="10"/>
  <c r="T40" i="11" s="1"/>
  <c r="AD435" i="10"/>
  <c r="N40" i="11" s="1"/>
  <c r="AA436" i="10"/>
  <c r="AB436" i="10"/>
  <c r="Q51" i="11" s="1"/>
  <c r="AC436" i="10"/>
  <c r="T51" i="11" s="1"/>
  <c r="AD436" i="10"/>
  <c r="N51" i="11" s="1"/>
  <c r="AA437" i="10"/>
  <c r="AB437" i="10"/>
  <c r="AC437" i="10"/>
  <c r="AD437" i="10"/>
  <c r="AA438" i="10"/>
  <c r="AB438" i="10"/>
  <c r="Q55" i="11" s="1"/>
  <c r="AC438" i="10"/>
  <c r="T55" i="11" s="1"/>
  <c r="AD438" i="10"/>
  <c r="N55" i="11" s="1"/>
  <c r="AA439" i="10"/>
  <c r="AB439" i="10"/>
  <c r="AC439" i="10"/>
  <c r="AD439" i="10"/>
  <c r="AA440" i="10"/>
  <c r="AB440" i="10"/>
  <c r="AC440" i="10"/>
  <c r="AD440" i="10"/>
  <c r="U43" i="11"/>
  <c r="F26" i="12"/>
  <c r="G26" i="12"/>
  <c r="I26" i="12" a="1"/>
  <c r="I26" i="12" s="1"/>
  <c r="J26" i="12"/>
  <c r="K26" i="12"/>
  <c r="M26" i="12"/>
  <c r="N26" i="12" s="1"/>
  <c r="P26" i="12"/>
  <c r="Q26" i="12" s="1"/>
  <c r="V47" i="11"/>
  <c r="W47" i="11"/>
  <c r="X47" i="11"/>
  <c r="Y47" i="11"/>
  <c r="Z47" i="11"/>
  <c r="AA47" i="11"/>
  <c r="AB47" i="11"/>
  <c r="AC47" i="11"/>
  <c r="AD47" i="11"/>
  <c r="AE47" i="11"/>
  <c r="AF47" i="11"/>
  <c r="AG47" i="11"/>
  <c r="AH47" i="11"/>
  <c r="AI47" i="11"/>
  <c r="AJ47" i="11"/>
  <c r="U47" i="11"/>
  <c r="H47" i="11"/>
  <c r="I47" i="11"/>
  <c r="K47" i="11" a="1"/>
  <c r="K47" i="11" s="1"/>
  <c r="L47" i="11"/>
  <c r="M47" i="11"/>
  <c r="O47" i="11"/>
  <c r="P47" i="11" s="1"/>
  <c r="R47" i="11"/>
  <c r="S47" i="11" s="1"/>
  <c r="V35" i="11"/>
  <c r="W35" i="11"/>
  <c r="X35" i="11"/>
  <c r="Y35" i="11"/>
  <c r="Z35" i="11"/>
  <c r="AA35" i="11"/>
  <c r="AB35" i="11"/>
  <c r="AC35" i="11"/>
  <c r="AD35" i="11"/>
  <c r="AE35" i="11"/>
  <c r="AF35" i="11"/>
  <c r="AG35" i="11"/>
  <c r="AH35" i="11"/>
  <c r="AI35" i="11"/>
  <c r="AJ35" i="11"/>
  <c r="U35" i="11"/>
  <c r="H35" i="11"/>
  <c r="I35" i="11"/>
  <c r="K35" i="11" a="1"/>
  <c r="K35" i="11" s="1"/>
  <c r="L35" i="11"/>
  <c r="M35" i="11"/>
  <c r="O35" i="11"/>
  <c r="P35" i="11" s="1"/>
  <c r="R35" i="11"/>
  <c r="S35" i="11" s="1"/>
  <c r="AA405" i="10"/>
  <c r="AB405" i="10"/>
  <c r="AC405" i="10"/>
  <c r="AD405" i="10"/>
  <c r="AA406" i="10"/>
  <c r="AB406" i="10"/>
  <c r="AC406" i="10"/>
  <c r="AD406" i="10"/>
  <c r="AA407" i="10"/>
  <c r="AB407" i="10"/>
  <c r="AC407" i="10"/>
  <c r="AD407" i="10"/>
  <c r="AA408" i="10"/>
  <c r="AB408" i="10"/>
  <c r="AC408" i="10"/>
  <c r="AD408" i="10"/>
  <c r="AA409" i="10"/>
  <c r="AB409" i="10"/>
  <c r="AC409" i="10"/>
  <c r="AD409" i="10"/>
  <c r="AA410" i="10"/>
  <c r="AB410" i="10"/>
  <c r="AC410" i="10"/>
  <c r="AD410" i="10"/>
  <c r="AA411" i="10"/>
  <c r="AB411" i="10"/>
  <c r="AC411" i="10"/>
  <c r="AD411" i="10"/>
  <c r="AA412" i="10"/>
  <c r="AB412" i="10"/>
  <c r="AC412" i="10"/>
  <c r="AD412" i="10"/>
  <c r="AA413" i="10"/>
  <c r="AB413" i="10"/>
  <c r="AC413" i="10"/>
  <c r="AD413" i="10"/>
  <c r="AA414" i="10"/>
  <c r="AB414" i="10"/>
  <c r="Q45" i="11" s="1"/>
  <c r="AC414" i="10"/>
  <c r="T45" i="11" s="1"/>
  <c r="AD414" i="10"/>
  <c r="N45" i="11" s="1"/>
  <c r="V52" i="11"/>
  <c r="W52" i="11"/>
  <c r="X52" i="11"/>
  <c r="Y52" i="11"/>
  <c r="Z52" i="11"/>
  <c r="AA52" i="11"/>
  <c r="AB52" i="11"/>
  <c r="AC52" i="11"/>
  <c r="AD52" i="11"/>
  <c r="AE52" i="11"/>
  <c r="AF52" i="11"/>
  <c r="AG52" i="11"/>
  <c r="AH52" i="11"/>
  <c r="AI52" i="11"/>
  <c r="AJ52" i="11"/>
  <c r="U52" i="11"/>
  <c r="H52" i="11"/>
  <c r="I52" i="11"/>
  <c r="K52" i="11" a="1"/>
  <c r="K52" i="11" s="1"/>
  <c r="L52" i="11"/>
  <c r="M52" i="11"/>
  <c r="O52" i="11"/>
  <c r="P52" i="11" s="1"/>
  <c r="R52" i="11"/>
  <c r="S52" i="11" s="1"/>
  <c r="AA390" i="10"/>
  <c r="AB390" i="10"/>
  <c r="AC390" i="10"/>
  <c r="AD390" i="10"/>
  <c r="AA391" i="10"/>
  <c r="AB391" i="10"/>
  <c r="AC391" i="10"/>
  <c r="AD391" i="10"/>
  <c r="AA392" i="10"/>
  <c r="AB392" i="10"/>
  <c r="Q42" i="11" s="1"/>
  <c r="AC392" i="10"/>
  <c r="T42" i="11" s="1"/>
  <c r="AD392" i="10"/>
  <c r="N42" i="11" s="1"/>
  <c r="AA393" i="10"/>
  <c r="AB393" i="10"/>
  <c r="Q23" i="11" s="1"/>
  <c r="AC393" i="10"/>
  <c r="T23" i="11" s="1"/>
  <c r="AD393" i="10"/>
  <c r="N23" i="11" s="1"/>
  <c r="AA394" i="10"/>
  <c r="AB394" i="10"/>
  <c r="AC394" i="10"/>
  <c r="AD394" i="10"/>
  <c r="AA395" i="10"/>
  <c r="AB395" i="10"/>
  <c r="AC395" i="10"/>
  <c r="AD395" i="10"/>
  <c r="AA396" i="10"/>
  <c r="AB396" i="10"/>
  <c r="Q52" i="11" s="1"/>
  <c r="AC396" i="10"/>
  <c r="T52" i="11" s="1"/>
  <c r="AD396" i="10"/>
  <c r="N52" i="11" s="1"/>
  <c r="AA397" i="10"/>
  <c r="AB397" i="10"/>
  <c r="AC397" i="10"/>
  <c r="AD397" i="10"/>
  <c r="AA398" i="10"/>
  <c r="AB398" i="10"/>
  <c r="AC398" i="10"/>
  <c r="AD398" i="10"/>
  <c r="AA399" i="10"/>
  <c r="AB399" i="10"/>
  <c r="AC399" i="10"/>
  <c r="AD399" i="10"/>
  <c r="AA400" i="10"/>
  <c r="AB400" i="10"/>
  <c r="AC400" i="10"/>
  <c r="AD400" i="10"/>
  <c r="AA401" i="10"/>
  <c r="AB401" i="10"/>
  <c r="AC401" i="10"/>
  <c r="AD401" i="10"/>
  <c r="AA402" i="10"/>
  <c r="AB402" i="10"/>
  <c r="AC402" i="10"/>
  <c r="AD402" i="10"/>
  <c r="AA403" i="10"/>
  <c r="AB403" i="10"/>
  <c r="AC403" i="10"/>
  <c r="AD403" i="10"/>
  <c r="AA404" i="10"/>
  <c r="AB404" i="10"/>
  <c r="AC404" i="10"/>
  <c r="AD404" i="10"/>
  <c r="V14" i="11"/>
  <c r="W14" i="11"/>
  <c r="X14" i="11"/>
  <c r="Y14" i="11"/>
  <c r="Z14" i="11"/>
  <c r="AA14" i="11"/>
  <c r="AB14" i="11"/>
  <c r="AC14" i="11"/>
  <c r="AD14" i="11"/>
  <c r="AE14" i="11"/>
  <c r="AF14" i="11"/>
  <c r="AG14" i="11"/>
  <c r="AH14" i="11"/>
  <c r="AI14" i="11"/>
  <c r="AJ14" i="11"/>
  <c r="U14" i="11"/>
  <c r="H14" i="11"/>
  <c r="I14" i="11"/>
  <c r="K14" i="11" a="1"/>
  <c r="K14" i="11" s="1"/>
  <c r="L14" i="11"/>
  <c r="M14" i="11"/>
  <c r="O14" i="11"/>
  <c r="P14" i="11" s="1"/>
  <c r="R14" i="11"/>
  <c r="S14" i="11" s="1"/>
  <c r="F14" i="12"/>
  <c r="G14" i="12"/>
  <c r="I14" i="12" a="1"/>
  <c r="I14" i="12" s="1"/>
  <c r="J14" i="12"/>
  <c r="K14" i="12"/>
  <c r="M14" i="12"/>
  <c r="N14" i="12" s="1"/>
  <c r="P14" i="12"/>
  <c r="Q14" i="12" s="1"/>
  <c r="AA378" i="10"/>
  <c r="AB378" i="10"/>
  <c r="AC378" i="10"/>
  <c r="AD378" i="10"/>
  <c r="AA379" i="10"/>
  <c r="AB379" i="10"/>
  <c r="AC379" i="10"/>
  <c r="AD379" i="10"/>
  <c r="AA380" i="10"/>
  <c r="AB380" i="10"/>
  <c r="AC380" i="10"/>
  <c r="AD380" i="10"/>
  <c r="AA381" i="10"/>
  <c r="AB381" i="10"/>
  <c r="AC381" i="10"/>
  <c r="AD381" i="10"/>
  <c r="AA382" i="10"/>
  <c r="AB382" i="10"/>
  <c r="AC382" i="10"/>
  <c r="AD382" i="10"/>
  <c r="AA383" i="10"/>
  <c r="AB383" i="10"/>
  <c r="AC383" i="10"/>
  <c r="AD383" i="10"/>
  <c r="AA384" i="10"/>
  <c r="AB384" i="10"/>
  <c r="AC384" i="10"/>
  <c r="AD384" i="10"/>
  <c r="AA385" i="10"/>
  <c r="AB385" i="10"/>
  <c r="AC385" i="10"/>
  <c r="AD385" i="10"/>
  <c r="AA386" i="10"/>
  <c r="AB386" i="10"/>
  <c r="AC386" i="10"/>
  <c r="AD386" i="10"/>
  <c r="AA387" i="10"/>
  <c r="AB387" i="10"/>
  <c r="AC387" i="10"/>
  <c r="AD387" i="10"/>
  <c r="AA388" i="10"/>
  <c r="AB388" i="10"/>
  <c r="AC388" i="10"/>
  <c r="AD388" i="10"/>
  <c r="AA389" i="10"/>
  <c r="AB389" i="10"/>
  <c r="AC389" i="10"/>
  <c r="AD389" i="10"/>
  <c r="AD4" i="11"/>
  <c r="AD5" i="11"/>
  <c r="AD7" i="11"/>
  <c r="AD8" i="11"/>
  <c r="AD10" i="11"/>
  <c r="AD13" i="11"/>
  <c r="AD15" i="11"/>
  <c r="AD16" i="11"/>
  <c r="AD20" i="11"/>
  <c r="AD21" i="11"/>
  <c r="AD22" i="11"/>
  <c r="AD23" i="11"/>
  <c r="AD24" i="11"/>
  <c r="AD26" i="11"/>
  <c r="AD27" i="11"/>
  <c r="AD28" i="11"/>
  <c r="AD29" i="11"/>
  <c r="AD30" i="11"/>
  <c r="AD31" i="11"/>
  <c r="AD32" i="11"/>
  <c r="AD33" i="11"/>
  <c r="AD34" i="11"/>
  <c r="AD36" i="11"/>
  <c r="AD38" i="11"/>
  <c r="AD39" i="11"/>
  <c r="AD40" i="11"/>
  <c r="AD41" i="11"/>
  <c r="AD42" i="11"/>
  <c r="AD43" i="11"/>
  <c r="AD46" i="11"/>
  <c r="AD48" i="11"/>
  <c r="AD50" i="11"/>
  <c r="AD51" i="11"/>
  <c r="AD54" i="11"/>
  <c r="AD55" i="11"/>
  <c r="AD56" i="11"/>
  <c r="AD57" i="11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AG2" i="12"/>
  <c r="AH2" i="12"/>
  <c r="AJ2" i="12"/>
  <c r="AK2" i="12"/>
  <c r="AL2" i="12"/>
  <c r="AM2" i="12"/>
  <c r="AN2" i="12"/>
  <c r="AO2" i="12"/>
  <c r="S2" i="12"/>
  <c r="F2" i="12"/>
  <c r="G2" i="12"/>
  <c r="I2" i="12" a="1"/>
  <c r="I2" i="12" s="1"/>
  <c r="J2" i="12"/>
  <c r="K2" i="12"/>
  <c r="M2" i="12"/>
  <c r="N2" i="12" s="1"/>
  <c r="AA7" i="12"/>
  <c r="AA6" i="12"/>
  <c r="AA5" i="12"/>
  <c r="AA4" i="12"/>
  <c r="AA3" i="12"/>
  <c r="M51" i="12"/>
  <c r="N51" i="12" s="1"/>
  <c r="P51" i="12"/>
  <c r="Q51" i="12" s="1"/>
  <c r="J51" i="12"/>
  <c r="K51" i="12"/>
  <c r="F51" i="12"/>
  <c r="G51" i="12"/>
  <c r="I51" i="12" a="1"/>
  <c r="I51" i="12" s="1"/>
  <c r="AA377" i="10"/>
  <c r="AB377" i="10"/>
  <c r="AC377" i="10"/>
  <c r="AD377" i="10"/>
  <c r="AA361" i="10"/>
  <c r="AB361" i="10"/>
  <c r="Q43" i="11" s="1"/>
  <c r="AC361" i="10"/>
  <c r="T43" i="11" s="1"/>
  <c r="AD361" i="10"/>
  <c r="N43" i="11" s="1"/>
  <c r="AA362" i="10"/>
  <c r="AB362" i="10"/>
  <c r="AC362" i="10"/>
  <c r="AD362" i="10"/>
  <c r="AA363" i="10"/>
  <c r="AB363" i="10"/>
  <c r="AC363" i="10"/>
  <c r="AD363" i="10"/>
  <c r="AA364" i="10"/>
  <c r="AB364" i="10"/>
  <c r="AC364" i="10"/>
  <c r="AD364" i="10"/>
  <c r="AA365" i="10"/>
  <c r="AB365" i="10"/>
  <c r="AC365" i="10"/>
  <c r="AD365" i="10"/>
  <c r="AA366" i="10"/>
  <c r="AB366" i="10"/>
  <c r="AC366" i="10"/>
  <c r="AD366" i="10"/>
  <c r="AA367" i="10"/>
  <c r="AB367" i="10"/>
  <c r="AC367" i="10"/>
  <c r="AD367" i="10"/>
  <c r="AA368" i="10"/>
  <c r="AB368" i="10"/>
  <c r="AC368" i="10"/>
  <c r="AD368" i="10"/>
  <c r="AA369" i="10"/>
  <c r="AB369" i="10"/>
  <c r="AC369" i="10"/>
  <c r="AD369" i="10"/>
  <c r="AA370" i="10"/>
  <c r="AB370" i="10"/>
  <c r="AC370" i="10"/>
  <c r="AD370" i="10"/>
  <c r="AA371" i="10"/>
  <c r="AB371" i="10"/>
  <c r="AC371" i="10"/>
  <c r="AD371" i="10"/>
  <c r="AA372" i="10"/>
  <c r="AB372" i="10"/>
  <c r="AC372" i="10"/>
  <c r="AD372" i="10"/>
  <c r="AA373" i="10"/>
  <c r="AB373" i="10"/>
  <c r="AC373" i="10"/>
  <c r="AD373" i="10"/>
  <c r="AA374" i="10"/>
  <c r="AB374" i="10"/>
  <c r="AC374" i="10"/>
  <c r="AD374" i="10"/>
  <c r="AA375" i="10"/>
  <c r="AB375" i="10"/>
  <c r="AC375" i="10"/>
  <c r="AD375" i="10"/>
  <c r="AA376" i="10"/>
  <c r="AB376" i="10"/>
  <c r="AC376" i="10"/>
  <c r="AD376" i="10"/>
  <c r="V55" i="11"/>
  <c r="W55" i="11"/>
  <c r="X55" i="11"/>
  <c r="Y55" i="11"/>
  <c r="Z55" i="11"/>
  <c r="AA55" i="11"/>
  <c r="AB55" i="11"/>
  <c r="AC55" i="11"/>
  <c r="AE55" i="11"/>
  <c r="AF55" i="11"/>
  <c r="AG55" i="11"/>
  <c r="AH55" i="11"/>
  <c r="AI55" i="11"/>
  <c r="AJ55" i="11"/>
  <c r="U55" i="11"/>
  <c r="F36" i="12"/>
  <c r="G36" i="12"/>
  <c r="I36" i="12" a="1"/>
  <c r="I36" i="12" s="1"/>
  <c r="J36" i="12"/>
  <c r="K36" i="12"/>
  <c r="M36" i="12"/>
  <c r="P36" i="12"/>
  <c r="Q36" i="12" s="1"/>
  <c r="F37" i="12"/>
  <c r="G37" i="12"/>
  <c r="I37" i="12" a="1"/>
  <c r="I37" i="12" s="1"/>
  <c r="J37" i="12"/>
  <c r="K37" i="12"/>
  <c r="M37" i="12"/>
  <c r="N37" i="12" s="1"/>
  <c r="P37" i="12"/>
  <c r="Q37" i="12" s="1"/>
  <c r="N33" i="11" l="1"/>
  <c r="N47" i="11"/>
  <c r="Q47" i="11"/>
  <c r="T47" i="11"/>
  <c r="T35" i="11"/>
  <c r="T36" i="11"/>
  <c r="T32" i="11"/>
  <c r="Q2" i="12"/>
  <c r="N36" i="12"/>
  <c r="M23" i="12"/>
  <c r="N23" i="12" s="1"/>
  <c r="P23" i="12"/>
  <c r="Q23" i="12" s="1"/>
  <c r="J23" i="12"/>
  <c r="K23" i="12"/>
  <c r="F23" i="12"/>
  <c r="G23" i="12"/>
  <c r="I23" i="12" a="1"/>
  <c r="I23" i="12" s="1"/>
  <c r="J44" i="12"/>
  <c r="K44" i="12"/>
  <c r="M44" i="12"/>
  <c r="N44" i="12" s="1"/>
  <c r="P44" i="12"/>
  <c r="Q44" i="12" s="1"/>
  <c r="F44" i="12"/>
  <c r="G44" i="12"/>
  <c r="I44" i="12" a="1"/>
  <c r="I44" i="12" s="1"/>
  <c r="V4" i="11"/>
  <c r="W4" i="11"/>
  <c r="X4" i="11"/>
  <c r="Y4" i="11"/>
  <c r="Z4" i="11"/>
  <c r="AA4" i="11"/>
  <c r="AB4" i="11"/>
  <c r="AC4" i="11"/>
  <c r="AE4" i="11"/>
  <c r="AF4" i="11"/>
  <c r="AG4" i="11"/>
  <c r="AH4" i="11"/>
  <c r="AI4" i="11"/>
  <c r="AJ4" i="11"/>
  <c r="U4" i="11"/>
  <c r="R4" i="11"/>
  <c r="S4" i="11" s="1"/>
  <c r="O4" i="11"/>
  <c r="P4" i="11" s="1"/>
  <c r="M4" i="11"/>
  <c r="L4" i="11"/>
  <c r="K4" i="11" a="1"/>
  <c r="K4" i="11" s="1"/>
  <c r="I4" i="11"/>
  <c r="H4" i="11"/>
  <c r="AA347" i="10"/>
  <c r="AB347" i="10"/>
  <c r="AC347" i="10"/>
  <c r="AD347" i="10"/>
  <c r="AA348" i="10"/>
  <c r="AB348" i="10"/>
  <c r="AC348" i="10"/>
  <c r="AD348" i="10"/>
  <c r="AA349" i="10"/>
  <c r="AB349" i="10"/>
  <c r="AC349" i="10"/>
  <c r="AD349" i="10"/>
  <c r="AA350" i="10"/>
  <c r="AB350" i="10"/>
  <c r="AC350" i="10"/>
  <c r="AD350" i="10"/>
  <c r="AA351" i="10"/>
  <c r="AB351" i="10"/>
  <c r="AC351" i="10"/>
  <c r="AD351" i="10"/>
  <c r="AA352" i="10"/>
  <c r="AB352" i="10"/>
  <c r="AC352" i="10"/>
  <c r="AD352" i="10"/>
  <c r="AA353" i="10"/>
  <c r="AB353" i="10"/>
  <c r="AC353" i="10"/>
  <c r="AD353" i="10"/>
  <c r="AA354" i="10"/>
  <c r="AB354" i="10"/>
  <c r="AC354" i="10"/>
  <c r="AD354" i="10"/>
  <c r="AA355" i="10"/>
  <c r="AB355" i="10"/>
  <c r="AC355" i="10"/>
  <c r="AD355" i="10"/>
  <c r="AA356" i="10"/>
  <c r="AB356" i="10"/>
  <c r="AC356" i="10"/>
  <c r="AD356" i="10"/>
  <c r="AA357" i="10"/>
  <c r="AB357" i="10"/>
  <c r="AC357" i="10"/>
  <c r="AD357" i="10"/>
  <c r="AA358" i="10"/>
  <c r="AB358" i="10"/>
  <c r="AC358" i="10"/>
  <c r="AD358" i="10"/>
  <c r="AA359" i="10"/>
  <c r="AB359" i="10"/>
  <c r="AC359" i="10"/>
  <c r="AD359" i="10"/>
  <c r="AA360" i="10"/>
  <c r="AB360" i="10"/>
  <c r="AC360" i="10"/>
  <c r="AD360" i="10"/>
  <c r="V28" i="11"/>
  <c r="W28" i="11"/>
  <c r="X28" i="11"/>
  <c r="Y28" i="11"/>
  <c r="Z28" i="11"/>
  <c r="AA28" i="11"/>
  <c r="AB28" i="11"/>
  <c r="AC28" i="11"/>
  <c r="AE28" i="11"/>
  <c r="AF28" i="11"/>
  <c r="AG28" i="11"/>
  <c r="AH28" i="11"/>
  <c r="AI28" i="11"/>
  <c r="AJ28" i="11"/>
  <c r="U28" i="11"/>
  <c r="R28" i="11"/>
  <c r="S28" i="11" s="1"/>
  <c r="O28" i="11"/>
  <c r="M28" i="11"/>
  <c r="L28" i="11"/>
  <c r="I28" i="11"/>
  <c r="H28" i="11"/>
  <c r="K28" i="11" a="1"/>
  <c r="K28" i="11" s="1"/>
  <c r="AA331" i="10"/>
  <c r="AB331" i="10"/>
  <c r="AC331" i="10"/>
  <c r="AD331" i="10"/>
  <c r="AA332" i="10"/>
  <c r="AB332" i="10"/>
  <c r="AC332" i="10"/>
  <c r="AD332" i="10"/>
  <c r="AA333" i="10"/>
  <c r="AB333" i="10"/>
  <c r="AC333" i="10"/>
  <c r="AD333" i="10"/>
  <c r="AA334" i="10"/>
  <c r="AB334" i="10"/>
  <c r="AC334" i="10"/>
  <c r="AD334" i="10"/>
  <c r="AA335" i="10"/>
  <c r="AB335" i="10"/>
  <c r="AC335" i="10"/>
  <c r="AD335" i="10"/>
  <c r="AA336" i="10"/>
  <c r="AB336" i="10"/>
  <c r="AC336" i="10"/>
  <c r="AD336" i="10"/>
  <c r="AA337" i="10"/>
  <c r="AB337" i="10"/>
  <c r="AC337" i="10"/>
  <c r="AD337" i="10"/>
  <c r="AA338" i="10"/>
  <c r="AB338" i="10"/>
  <c r="AC338" i="10"/>
  <c r="AD338" i="10"/>
  <c r="AA339" i="10"/>
  <c r="AB339" i="10"/>
  <c r="AC339" i="10"/>
  <c r="AD339" i="10"/>
  <c r="AA340" i="10"/>
  <c r="AB340" i="10"/>
  <c r="AC340" i="10"/>
  <c r="AD340" i="10"/>
  <c r="AA341" i="10"/>
  <c r="AB341" i="10"/>
  <c r="AC341" i="10"/>
  <c r="AD341" i="10"/>
  <c r="AA342" i="10"/>
  <c r="AB342" i="10"/>
  <c r="AC342" i="10"/>
  <c r="AD342" i="10"/>
  <c r="AA343" i="10"/>
  <c r="AB343" i="10"/>
  <c r="AC343" i="10"/>
  <c r="AD343" i="10"/>
  <c r="AA344" i="10"/>
  <c r="AB344" i="10"/>
  <c r="AC344" i="10"/>
  <c r="AD344" i="10"/>
  <c r="AA345" i="10"/>
  <c r="AB345" i="10"/>
  <c r="AC345" i="10"/>
  <c r="AD345" i="10"/>
  <c r="AA346" i="10"/>
  <c r="AB346" i="10"/>
  <c r="AC346" i="10"/>
  <c r="AD346" i="10"/>
  <c r="AO18" i="12"/>
  <c r="T7" i="12"/>
  <c r="U7" i="12"/>
  <c r="V7" i="12"/>
  <c r="W7" i="12"/>
  <c r="X7" i="12"/>
  <c r="Y7" i="12"/>
  <c r="Z7" i="12"/>
  <c r="AB7" i="12"/>
  <c r="AC7" i="12"/>
  <c r="AD7" i="12"/>
  <c r="AE7" i="12"/>
  <c r="AF7" i="12"/>
  <c r="AG7" i="12"/>
  <c r="AH7" i="12"/>
  <c r="AJ7" i="12"/>
  <c r="AK7" i="12"/>
  <c r="AL7" i="12"/>
  <c r="AM7" i="12"/>
  <c r="AN7" i="12"/>
  <c r="AO7" i="12"/>
  <c r="T6" i="12"/>
  <c r="U6" i="12"/>
  <c r="V6" i="12"/>
  <c r="W6" i="12"/>
  <c r="X6" i="12"/>
  <c r="Y6" i="12"/>
  <c r="Z6" i="12"/>
  <c r="AB6" i="12"/>
  <c r="AC6" i="12"/>
  <c r="AD6" i="12"/>
  <c r="AE6" i="12"/>
  <c r="AF6" i="12"/>
  <c r="AG6" i="12"/>
  <c r="AH6" i="12"/>
  <c r="AJ6" i="12"/>
  <c r="AK6" i="12"/>
  <c r="AL6" i="12"/>
  <c r="AM6" i="12"/>
  <c r="AN6" i="12"/>
  <c r="AO6" i="12"/>
  <c r="T5" i="12"/>
  <c r="U5" i="12"/>
  <c r="V5" i="12"/>
  <c r="W5" i="12"/>
  <c r="X5" i="12"/>
  <c r="Y5" i="12"/>
  <c r="Z5" i="12"/>
  <c r="AB5" i="12"/>
  <c r="AC5" i="12"/>
  <c r="AD5" i="12"/>
  <c r="AE5" i="12"/>
  <c r="AF5" i="12"/>
  <c r="AG5" i="12"/>
  <c r="AH5" i="12"/>
  <c r="AJ5" i="12"/>
  <c r="AK5" i="12"/>
  <c r="AL5" i="12"/>
  <c r="AM5" i="12"/>
  <c r="AN5" i="12"/>
  <c r="AO5" i="12"/>
  <c r="T4" i="12"/>
  <c r="U4" i="12"/>
  <c r="V4" i="12"/>
  <c r="W4" i="12"/>
  <c r="X4" i="12"/>
  <c r="Y4" i="12"/>
  <c r="Z4" i="12"/>
  <c r="AB4" i="12"/>
  <c r="AC4" i="12"/>
  <c r="AD4" i="12"/>
  <c r="AE4" i="12"/>
  <c r="AF4" i="12"/>
  <c r="AG4" i="12"/>
  <c r="AH4" i="12"/>
  <c r="AJ4" i="12"/>
  <c r="AK4" i="12"/>
  <c r="AL4" i="12"/>
  <c r="AM4" i="12"/>
  <c r="AN4" i="12"/>
  <c r="AO4" i="12"/>
  <c r="S5" i="12"/>
  <c r="S4" i="12"/>
  <c r="T3" i="12"/>
  <c r="U3" i="12"/>
  <c r="V3" i="12"/>
  <c r="W3" i="12"/>
  <c r="X3" i="12"/>
  <c r="Y3" i="12"/>
  <c r="Z3" i="12"/>
  <c r="AB3" i="12"/>
  <c r="AC3" i="12"/>
  <c r="AD3" i="12"/>
  <c r="AE3" i="12"/>
  <c r="AF3" i="12"/>
  <c r="AG3" i="12"/>
  <c r="AH3" i="12"/>
  <c r="AJ3" i="12"/>
  <c r="AK3" i="12"/>
  <c r="AL3" i="12"/>
  <c r="AM3" i="12"/>
  <c r="AN3" i="12"/>
  <c r="AO3" i="12"/>
  <c r="S3" i="12"/>
  <c r="P4" i="12"/>
  <c r="Q4" i="12" s="1"/>
  <c r="P5" i="12"/>
  <c r="Q5" i="12" s="1"/>
  <c r="P6" i="12"/>
  <c r="Q6" i="12" s="1"/>
  <c r="P7" i="12"/>
  <c r="Q7" i="12" s="1"/>
  <c r="P8" i="12"/>
  <c r="Q8" i="12" s="1"/>
  <c r="P9" i="12"/>
  <c r="Q9" i="12" s="1"/>
  <c r="P12" i="12"/>
  <c r="Q12" i="12" s="1"/>
  <c r="P13" i="12"/>
  <c r="Q13" i="12" s="1"/>
  <c r="P15" i="12"/>
  <c r="Q15" i="12" s="1"/>
  <c r="P48" i="12"/>
  <c r="Q48" i="12" s="1"/>
  <c r="P16" i="12"/>
  <c r="Q16" i="12" s="1"/>
  <c r="P18" i="12"/>
  <c r="Q18" i="12" s="1"/>
  <c r="P19" i="12"/>
  <c r="Q19" i="12" s="1"/>
  <c r="P20" i="12"/>
  <c r="Q20" i="12" s="1"/>
  <c r="P21" i="12"/>
  <c r="Q21" i="12" s="1"/>
  <c r="P22" i="12"/>
  <c r="Q22" i="12" s="1"/>
  <c r="P24" i="12"/>
  <c r="Q24" i="12" s="1"/>
  <c r="P27" i="12"/>
  <c r="Q27" i="12" s="1"/>
  <c r="P28" i="12"/>
  <c r="Q28" i="12" s="1"/>
  <c r="P29" i="12"/>
  <c r="Q29" i="12" s="1"/>
  <c r="P30" i="12"/>
  <c r="Q30" i="12" s="1"/>
  <c r="P31" i="12"/>
  <c r="Q31" i="12" s="1"/>
  <c r="Q32" i="12"/>
  <c r="P35" i="12"/>
  <c r="Q35" i="12" s="1"/>
  <c r="P38" i="12"/>
  <c r="Q38" i="12" s="1"/>
  <c r="P39" i="12"/>
  <c r="Q39" i="12" s="1"/>
  <c r="P40" i="12"/>
  <c r="Q40" i="12" s="1"/>
  <c r="P41" i="12"/>
  <c r="Q41" i="12" s="1"/>
  <c r="P42" i="12"/>
  <c r="Q42" i="12" s="1"/>
  <c r="P46" i="12"/>
  <c r="Q46" i="12" s="1"/>
  <c r="P49" i="12"/>
  <c r="Q49" i="12" s="1"/>
  <c r="P50" i="12"/>
  <c r="Q50" i="12" s="1"/>
  <c r="P52" i="12"/>
  <c r="Q52" i="12" s="1"/>
  <c r="P53" i="12"/>
  <c r="Q53" i="12" s="1"/>
  <c r="P54" i="12"/>
  <c r="Q54" i="12" s="1"/>
  <c r="P56" i="12"/>
  <c r="Q56" i="12" s="1"/>
  <c r="P57" i="12"/>
  <c r="Q57" i="12" s="1"/>
  <c r="P58" i="12"/>
  <c r="Q58" i="12" s="1"/>
  <c r="P59" i="12"/>
  <c r="Q59" i="12" s="1"/>
  <c r="P60" i="12"/>
  <c r="Q60" i="12" s="1"/>
  <c r="P61" i="12"/>
  <c r="Q61" i="12" s="1"/>
  <c r="P62" i="12"/>
  <c r="P3" i="12"/>
  <c r="Q3" i="12" s="1"/>
  <c r="M4" i="12"/>
  <c r="N4" i="12" s="1"/>
  <c r="M5" i="12"/>
  <c r="N5" i="12" s="1"/>
  <c r="M6" i="12"/>
  <c r="N6" i="12" s="1"/>
  <c r="M7" i="12"/>
  <c r="N7" i="12" s="1"/>
  <c r="M8" i="12"/>
  <c r="N8" i="12" s="1"/>
  <c r="M9" i="12"/>
  <c r="N9" i="12" s="1"/>
  <c r="M12" i="12"/>
  <c r="N12" i="12" s="1"/>
  <c r="M13" i="12"/>
  <c r="N13" i="12" s="1"/>
  <c r="M15" i="12"/>
  <c r="N15" i="12" s="1"/>
  <c r="M48" i="12"/>
  <c r="M16" i="12"/>
  <c r="N16" i="12" s="1"/>
  <c r="M18" i="12"/>
  <c r="N18" i="12" s="1"/>
  <c r="M19" i="12"/>
  <c r="N19" i="12" s="1"/>
  <c r="M20" i="12"/>
  <c r="N20" i="12" s="1"/>
  <c r="M21" i="12"/>
  <c r="N21" i="12" s="1"/>
  <c r="M22" i="12"/>
  <c r="N22" i="12" s="1"/>
  <c r="M24" i="12"/>
  <c r="N24" i="12" s="1"/>
  <c r="M27" i="12"/>
  <c r="N27" i="12" s="1"/>
  <c r="M28" i="12"/>
  <c r="N28" i="12" s="1"/>
  <c r="M29" i="12"/>
  <c r="N29" i="12" s="1"/>
  <c r="M30" i="12"/>
  <c r="N30" i="12" s="1"/>
  <c r="M31" i="12"/>
  <c r="N31" i="12" s="1"/>
  <c r="M32" i="12"/>
  <c r="N32" i="12" s="1"/>
  <c r="M35" i="12"/>
  <c r="N35" i="12" s="1"/>
  <c r="M38" i="12"/>
  <c r="N38" i="12" s="1"/>
  <c r="M39" i="12"/>
  <c r="N39" i="12" s="1"/>
  <c r="M40" i="12"/>
  <c r="N40" i="12" s="1"/>
  <c r="M41" i="12"/>
  <c r="N41" i="12" s="1"/>
  <c r="M42" i="12"/>
  <c r="N42" i="12" s="1"/>
  <c r="M46" i="12"/>
  <c r="N46" i="12" s="1"/>
  <c r="M49" i="12"/>
  <c r="N49" i="12" s="1"/>
  <c r="M50" i="12"/>
  <c r="N50" i="12" s="1"/>
  <c r="M52" i="12"/>
  <c r="N52" i="12" s="1"/>
  <c r="M53" i="12"/>
  <c r="N53" i="12" s="1"/>
  <c r="M54" i="12"/>
  <c r="N54" i="12" s="1"/>
  <c r="M56" i="12"/>
  <c r="N56" i="12" s="1"/>
  <c r="M57" i="12"/>
  <c r="N57" i="12" s="1"/>
  <c r="M58" i="12"/>
  <c r="N58" i="12" s="1"/>
  <c r="M59" i="12"/>
  <c r="N59" i="12" s="1"/>
  <c r="M60" i="12"/>
  <c r="N60" i="12" s="1"/>
  <c r="M61" i="12"/>
  <c r="N61" i="12" s="1"/>
  <c r="M62" i="12"/>
  <c r="N62" i="12" s="1"/>
  <c r="M3" i="12"/>
  <c r="N3" i="12" s="1"/>
  <c r="K4" i="12"/>
  <c r="K5" i="12"/>
  <c r="K6" i="12"/>
  <c r="K7" i="12"/>
  <c r="K8" i="12"/>
  <c r="K9" i="12"/>
  <c r="K12" i="12"/>
  <c r="K13" i="12"/>
  <c r="K15" i="12"/>
  <c r="K48" i="12"/>
  <c r="K16" i="12"/>
  <c r="K18" i="12"/>
  <c r="K19" i="12"/>
  <c r="K20" i="12"/>
  <c r="K21" i="12"/>
  <c r="K22" i="12"/>
  <c r="K24" i="12"/>
  <c r="K27" i="12"/>
  <c r="K28" i="12"/>
  <c r="K29" i="12"/>
  <c r="K30" i="12"/>
  <c r="K31" i="12"/>
  <c r="K32" i="12"/>
  <c r="K35" i="12"/>
  <c r="K38" i="12"/>
  <c r="K39" i="12"/>
  <c r="K40" i="12"/>
  <c r="K41" i="12"/>
  <c r="K42" i="12"/>
  <c r="K46" i="12"/>
  <c r="K49" i="12"/>
  <c r="K50" i="12"/>
  <c r="K52" i="12"/>
  <c r="K53" i="12"/>
  <c r="K54" i="12"/>
  <c r="K56" i="12"/>
  <c r="K57" i="12"/>
  <c r="K58" i="12"/>
  <c r="K59" i="12"/>
  <c r="K60" i="12"/>
  <c r="K61" i="12"/>
  <c r="K62" i="12"/>
  <c r="K3" i="12"/>
  <c r="J48" i="12"/>
  <c r="J16" i="12"/>
  <c r="J18" i="12"/>
  <c r="J19" i="12"/>
  <c r="J20" i="12"/>
  <c r="J21" i="12"/>
  <c r="J22" i="12"/>
  <c r="J24" i="12"/>
  <c r="J27" i="12"/>
  <c r="J28" i="12"/>
  <c r="J29" i="12"/>
  <c r="J30" i="12"/>
  <c r="J31" i="12"/>
  <c r="J32" i="12"/>
  <c r="J35" i="12"/>
  <c r="J38" i="12"/>
  <c r="J39" i="12"/>
  <c r="J40" i="12"/>
  <c r="J41" i="12"/>
  <c r="J42" i="12"/>
  <c r="J46" i="12"/>
  <c r="J49" i="12"/>
  <c r="J50" i="12"/>
  <c r="J52" i="12"/>
  <c r="J53" i="12"/>
  <c r="J54" i="12"/>
  <c r="J56" i="12"/>
  <c r="J57" i="12"/>
  <c r="J58" i="12"/>
  <c r="J59" i="12"/>
  <c r="J60" i="12"/>
  <c r="J61" i="12"/>
  <c r="J62" i="12"/>
  <c r="J4" i="12"/>
  <c r="J5" i="12"/>
  <c r="J6" i="12"/>
  <c r="J7" i="12"/>
  <c r="J8" i="12"/>
  <c r="J9" i="12"/>
  <c r="J12" i="12"/>
  <c r="J13" i="12"/>
  <c r="J15" i="12"/>
  <c r="J3" i="12"/>
  <c r="I4" i="12" a="1"/>
  <c r="I4" i="12" s="1"/>
  <c r="I5" i="12" a="1"/>
  <c r="I5" i="12" s="1"/>
  <c r="I6" i="12" a="1"/>
  <c r="I6" i="12" s="1"/>
  <c r="I7" i="12" a="1"/>
  <c r="I7" i="12" s="1"/>
  <c r="I8" i="12" a="1"/>
  <c r="I8" i="12" s="1"/>
  <c r="I9" i="12" a="1"/>
  <c r="I9" i="12" s="1"/>
  <c r="I12" i="12" a="1"/>
  <c r="I12" i="12" s="1"/>
  <c r="I13" i="12" a="1"/>
  <c r="I13" i="12" s="1"/>
  <c r="I15" i="12" a="1"/>
  <c r="I15" i="12" s="1"/>
  <c r="I48" i="12" a="1"/>
  <c r="I48" i="12" s="1"/>
  <c r="I16" i="12" a="1"/>
  <c r="I16" i="12" s="1"/>
  <c r="I18" i="12" a="1"/>
  <c r="I18" i="12" s="1"/>
  <c r="I19" i="12" a="1"/>
  <c r="I19" i="12" s="1"/>
  <c r="I20" i="12" a="1"/>
  <c r="I20" i="12" s="1"/>
  <c r="I21" i="12" a="1"/>
  <c r="I21" i="12" s="1"/>
  <c r="I22" i="12" a="1"/>
  <c r="I22" i="12" s="1"/>
  <c r="I24" i="12" a="1"/>
  <c r="I24" i="12" s="1"/>
  <c r="I27" i="12" a="1"/>
  <c r="I27" i="12" s="1"/>
  <c r="I28" i="12" a="1"/>
  <c r="I28" i="12" s="1"/>
  <c r="I29" i="12" a="1"/>
  <c r="I29" i="12" s="1"/>
  <c r="I30" i="12" a="1"/>
  <c r="I30" i="12" s="1"/>
  <c r="I31" i="12" a="1"/>
  <c r="I31" i="12" s="1"/>
  <c r="I32" i="12" a="1"/>
  <c r="I32" i="12" s="1"/>
  <c r="I35" i="12" a="1"/>
  <c r="I35" i="12" s="1"/>
  <c r="I38" i="12" a="1"/>
  <c r="I38" i="12" s="1"/>
  <c r="I39" i="12" a="1"/>
  <c r="I39" i="12" s="1"/>
  <c r="I40" i="12" a="1"/>
  <c r="I40" i="12" s="1"/>
  <c r="I41" i="12" a="1"/>
  <c r="I41" i="12" s="1"/>
  <c r="I42" i="12" a="1"/>
  <c r="I42" i="12" s="1"/>
  <c r="I46" i="12" a="1"/>
  <c r="I46" i="12" s="1"/>
  <c r="I49" i="12" a="1"/>
  <c r="I49" i="12" s="1"/>
  <c r="I50" i="12" a="1"/>
  <c r="I50" i="12" s="1"/>
  <c r="I52" i="12" a="1"/>
  <c r="I52" i="12" s="1"/>
  <c r="I53" i="12" a="1"/>
  <c r="I53" i="12" s="1"/>
  <c r="I54" i="12" a="1"/>
  <c r="I54" i="12" s="1"/>
  <c r="I56" i="12" a="1"/>
  <c r="I56" i="12" s="1"/>
  <c r="I57" i="12" a="1"/>
  <c r="I57" i="12" s="1"/>
  <c r="I58" i="12" a="1"/>
  <c r="I58" i="12" s="1"/>
  <c r="I59" i="12" a="1"/>
  <c r="I59" i="12" s="1"/>
  <c r="I60" i="12" a="1"/>
  <c r="I60" i="12" s="1"/>
  <c r="I61" i="12" a="1"/>
  <c r="I61" i="12" s="1"/>
  <c r="I62" i="12" a="1"/>
  <c r="I62" i="12" s="1"/>
  <c r="I3" i="12" a="1"/>
  <c r="I3" i="12" s="1"/>
  <c r="G48" i="12"/>
  <c r="G16" i="12"/>
  <c r="G18" i="12"/>
  <c r="G19" i="12"/>
  <c r="G20" i="12"/>
  <c r="G21" i="12"/>
  <c r="G22" i="12"/>
  <c r="G24" i="12"/>
  <c r="G27" i="12"/>
  <c r="G28" i="12"/>
  <c r="G29" i="12"/>
  <c r="G30" i="12"/>
  <c r="G31" i="12"/>
  <c r="G32" i="12"/>
  <c r="G35" i="12"/>
  <c r="G38" i="12"/>
  <c r="G39" i="12"/>
  <c r="G40" i="12"/>
  <c r="G41" i="12"/>
  <c r="G42" i="12"/>
  <c r="G46" i="12"/>
  <c r="G49" i="12"/>
  <c r="G50" i="12"/>
  <c r="G52" i="12"/>
  <c r="G53" i="12"/>
  <c r="G54" i="12"/>
  <c r="G56" i="12"/>
  <c r="G57" i="12"/>
  <c r="G58" i="12"/>
  <c r="G59" i="12"/>
  <c r="G60" i="12"/>
  <c r="G61" i="12"/>
  <c r="G62" i="12"/>
  <c r="G4" i="12"/>
  <c r="G5" i="12"/>
  <c r="G6" i="12"/>
  <c r="G7" i="12"/>
  <c r="G8" i="12"/>
  <c r="G9" i="12"/>
  <c r="G12" i="12"/>
  <c r="G13" i="12"/>
  <c r="G15" i="12"/>
  <c r="G3" i="12"/>
  <c r="F4" i="12"/>
  <c r="F5" i="12"/>
  <c r="F6" i="12"/>
  <c r="F7" i="12"/>
  <c r="F8" i="12"/>
  <c r="F9" i="12"/>
  <c r="F12" i="12"/>
  <c r="F13" i="12"/>
  <c r="F15" i="12"/>
  <c r="F48" i="12"/>
  <c r="F16" i="12"/>
  <c r="F18" i="12"/>
  <c r="F19" i="12"/>
  <c r="F20" i="12"/>
  <c r="F21" i="12"/>
  <c r="F22" i="12"/>
  <c r="F24" i="12"/>
  <c r="F27" i="12"/>
  <c r="F28" i="12"/>
  <c r="F29" i="12"/>
  <c r="F30" i="12"/>
  <c r="F31" i="12"/>
  <c r="F32" i="12"/>
  <c r="F35" i="12"/>
  <c r="F38" i="12"/>
  <c r="F39" i="12"/>
  <c r="F40" i="12"/>
  <c r="F41" i="12"/>
  <c r="F42" i="12"/>
  <c r="F46" i="12"/>
  <c r="F49" i="12"/>
  <c r="F50" i="12"/>
  <c r="F52" i="12"/>
  <c r="F53" i="12"/>
  <c r="F54" i="12"/>
  <c r="F56" i="12"/>
  <c r="F57" i="12"/>
  <c r="F58" i="12"/>
  <c r="F59" i="12"/>
  <c r="F60" i="12"/>
  <c r="F61" i="12"/>
  <c r="F62" i="12"/>
  <c r="F3" i="12"/>
  <c r="AH2" i="9"/>
  <c r="AA321" i="10"/>
  <c r="AB321" i="10"/>
  <c r="AC321" i="10"/>
  <c r="AD321" i="10"/>
  <c r="AA322" i="10"/>
  <c r="AB322" i="10"/>
  <c r="AC322" i="10"/>
  <c r="AD322" i="10"/>
  <c r="AA323" i="10"/>
  <c r="AB323" i="10"/>
  <c r="AC323" i="10"/>
  <c r="AD323" i="10"/>
  <c r="AA324" i="10"/>
  <c r="AB324" i="10"/>
  <c r="AC324" i="10"/>
  <c r="AD324" i="10"/>
  <c r="AA325" i="10"/>
  <c r="AB325" i="10"/>
  <c r="AC325" i="10"/>
  <c r="AD325" i="10"/>
  <c r="AA326" i="10"/>
  <c r="AB326" i="10"/>
  <c r="AC326" i="10"/>
  <c r="AD326" i="10"/>
  <c r="AA327" i="10"/>
  <c r="AB327" i="10"/>
  <c r="AC327" i="10"/>
  <c r="AD327" i="10"/>
  <c r="AA328" i="10"/>
  <c r="AB328" i="10"/>
  <c r="AC328" i="10"/>
  <c r="AD328" i="10"/>
  <c r="AA329" i="10"/>
  <c r="AB329" i="10"/>
  <c r="AC329" i="10"/>
  <c r="AD329" i="10"/>
  <c r="AA330" i="10"/>
  <c r="AB330" i="10"/>
  <c r="AC330" i="10"/>
  <c r="AD330" i="10"/>
  <c r="AA309" i="10"/>
  <c r="AB309" i="10"/>
  <c r="AC309" i="10"/>
  <c r="AD309" i="10"/>
  <c r="AA310" i="10"/>
  <c r="AB310" i="10"/>
  <c r="AC310" i="10"/>
  <c r="AD310" i="10"/>
  <c r="AA311" i="10"/>
  <c r="AB311" i="10"/>
  <c r="AC311" i="10"/>
  <c r="AD311" i="10"/>
  <c r="AA312" i="10"/>
  <c r="AB312" i="10"/>
  <c r="AC312" i="10"/>
  <c r="AD312" i="10"/>
  <c r="AA313" i="10"/>
  <c r="AB313" i="10"/>
  <c r="AC313" i="10"/>
  <c r="AD313" i="10"/>
  <c r="AA314" i="10"/>
  <c r="AB314" i="10"/>
  <c r="AC314" i="10"/>
  <c r="AD314" i="10"/>
  <c r="AA315" i="10"/>
  <c r="AB315" i="10"/>
  <c r="AC315" i="10"/>
  <c r="AD315" i="10"/>
  <c r="AA316" i="10"/>
  <c r="AB316" i="10"/>
  <c r="AC316" i="10"/>
  <c r="AD316" i="10"/>
  <c r="AA317" i="10"/>
  <c r="AB317" i="10"/>
  <c r="AC317" i="10"/>
  <c r="AD317" i="10"/>
  <c r="AA318" i="10"/>
  <c r="AB318" i="10"/>
  <c r="AC318" i="10"/>
  <c r="AD318" i="10"/>
  <c r="AA319" i="10"/>
  <c r="AB319" i="10"/>
  <c r="AC319" i="10"/>
  <c r="AD319" i="10"/>
  <c r="AA320" i="10"/>
  <c r="AB320" i="10"/>
  <c r="AC320" i="10"/>
  <c r="AD320" i="10"/>
  <c r="AA297" i="10"/>
  <c r="AB297" i="10"/>
  <c r="AC297" i="10"/>
  <c r="AD297" i="10"/>
  <c r="AA298" i="10"/>
  <c r="AB298" i="10"/>
  <c r="AC298" i="10"/>
  <c r="AD298" i="10"/>
  <c r="AA299" i="10"/>
  <c r="AB299" i="10"/>
  <c r="AC299" i="10"/>
  <c r="AD299" i="10"/>
  <c r="AA300" i="10"/>
  <c r="AB300" i="10"/>
  <c r="AC300" i="10"/>
  <c r="AD300" i="10"/>
  <c r="AA301" i="10"/>
  <c r="AB301" i="10"/>
  <c r="AC301" i="10"/>
  <c r="AD301" i="10"/>
  <c r="AA302" i="10"/>
  <c r="AB302" i="10"/>
  <c r="AC302" i="10"/>
  <c r="AD302" i="10"/>
  <c r="AA303" i="10"/>
  <c r="AB303" i="10"/>
  <c r="AC303" i="10"/>
  <c r="AD303" i="10"/>
  <c r="AA304" i="10"/>
  <c r="AB304" i="10"/>
  <c r="AC304" i="10"/>
  <c r="AD304" i="10"/>
  <c r="AA305" i="10"/>
  <c r="AB305" i="10"/>
  <c r="AC305" i="10"/>
  <c r="AD305" i="10"/>
  <c r="AA306" i="10"/>
  <c r="AB306" i="10"/>
  <c r="AC306" i="10"/>
  <c r="AD306" i="10"/>
  <c r="AA307" i="10"/>
  <c r="AB307" i="10"/>
  <c r="AC307" i="10"/>
  <c r="AD307" i="10"/>
  <c r="AA308" i="10"/>
  <c r="AB308" i="10"/>
  <c r="AC308" i="10"/>
  <c r="AD308" i="10"/>
  <c r="AA285" i="10"/>
  <c r="AB285" i="10"/>
  <c r="AC285" i="10"/>
  <c r="AD285" i="10"/>
  <c r="AA286" i="10"/>
  <c r="AB286" i="10"/>
  <c r="AC286" i="10"/>
  <c r="AD286" i="10"/>
  <c r="AA287" i="10"/>
  <c r="AB287" i="10"/>
  <c r="AC287" i="10"/>
  <c r="AD287" i="10"/>
  <c r="AA288" i="10"/>
  <c r="AB288" i="10"/>
  <c r="AC288" i="10"/>
  <c r="AD288" i="10"/>
  <c r="AA289" i="10"/>
  <c r="AB289" i="10"/>
  <c r="AC289" i="10"/>
  <c r="AD289" i="10"/>
  <c r="AA290" i="10"/>
  <c r="AB290" i="10"/>
  <c r="AC290" i="10"/>
  <c r="AD290" i="10"/>
  <c r="AA291" i="10"/>
  <c r="AB291" i="10"/>
  <c r="AC291" i="10"/>
  <c r="AD291" i="10"/>
  <c r="AA292" i="10"/>
  <c r="AB292" i="10"/>
  <c r="AC292" i="10"/>
  <c r="AD292" i="10"/>
  <c r="AA293" i="10"/>
  <c r="AB293" i="10"/>
  <c r="AC293" i="10"/>
  <c r="AD293" i="10"/>
  <c r="AA294" i="10"/>
  <c r="AB294" i="10"/>
  <c r="AC294" i="10"/>
  <c r="AD294" i="10"/>
  <c r="AA295" i="10"/>
  <c r="AB295" i="10"/>
  <c r="AC295" i="10"/>
  <c r="AD295" i="10"/>
  <c r="AA296" i="10"/>
  <c r="AB296" i="10"/>
  <c r="AC296" i="10"/>
  <c r="AD296" i="10"/>
  <c r="AA271" i="10"/>
  <c r="AB271" i="10"/>
  <c r="AC271" i="10"/>
  <c r="AD271" i="10"/>
  <c r="AA272" i="10"/>
  <c r="AB272" i="10"/>
  <c r="AC272" i="10"/>
  <c r="AD272" i="10"/>
  <c r="AA273" i="10"/>
  <c r="AB273" i="10"/>
  <c r="AC273" i="10"/>
  <c r="AD273" i="10"/>
  <c r="AA274" i="10"/>
  <c r="AB274" i="10"/>
  <c r="AC274" i="10"/>
  <c r="AD274" i="10"/>
  <c r="AA275" i="10"/>
  <c r="AB275" i="10"/>
  <c r="AC275" i="10"/>
  <c r="AD275" i="10"/>
  <c r="AA276" i="10"/>
  <c r="AB276" i="10"/>
  <c r="AC276" i="10"/>
  <c r="AD276" i="10"/>
  <c r="AA277" i="10"/>
  <c r="AB277" i="10"/>
  <c r="AC277" i="10"/>
  <c r="AD277" i="10"/>
  <c r="AA278" i="10"/>
  <c r="AB278" i="10"/>
  <c r="AC278" i="10"/>
  <c r="AD278" i="10"/>
  <c r="AA279" i="10"/>
  <c r="AB279" i="10"/>
  <c r="AC279" i="10"/>
  <c r="AD279" i="10"/>
  <c r="AA280" i="10"/>
  <c r="AB280" i="10"/>
  <c r="AC280" i="10"/>
  <c r="AD280" i="10"/>
  <c r="AA281" i="10"/>
  <c r="AB281" i="10"/>
  <c r="AC281" i="10"/>
  <c r="AD281" i="10"/>
  <c r="AA282" i="10"/>
  <c r="AB282" i="10"/>
  <c r="AC282" i="10"/>
  <c r="AD282" i="10"/>
  <c r="AA283" i="10"/>
  <c r="AB283" i="10"/>
  <c r="AC283" i="10"/>
  <c r="AD283" i="10"/>
  <c r="AA284" i="10"/>
  <c r="AB284" i="10"/>
  <c r="AC284" i="10"/>
  <c r="AD284" i="10"/>
  <c r="AA261" i="10"/>
  <c r="AB261" i="10"/>
  <c r="AC261" i="10"/>
  <c r="AD261" i="10"/>
  <c r="AA262" i="10"/>
  <c r="AB262" i="10"/>
  <c r="AC262" i="10"/>
  <c r="AD262" i="10"/>
  <c r="AA263" i="10"/>
  <c r="AB263" i="10"/>
  <c r="AC263" i="10"/>
  <c r="AD263" i="10"/>
  <c r="AA264" i="10"/>
  <c r="AB264" i="10"/>
  <c r="AC264" i="10"/>
  <c r="AD264" i="10"/>
  <c r="AA265" i="10"/>
  <c r="AB265" i="10"/>
  <c r="AC265" i="10"/>
  <c r="AD265" i="10"/>
  <c r="AA266" i="10"/>
  <c r="AB266" i="10"/>
  <c r="AC266" i="10"/>
  <c r="AD266" i="10"/>
  <c r="AA267" i="10"/>
  <c r="AB267" i="10"/>
  <c r="AC267" i="10"/>
  <c r="AD267" i="10"/>
  <c r="AA268" i="10"/>
  <c r="AB268" i="10"/>
  <c r="AC268" i="10"/>
  <c r="AD268" i="10"/>
  <c r="AA269" i="10"/>
  <c r="AB269" i="10"/>
  <c r="AC269" i="10"/>
  <c r="AD269" i="10"/>
  <c r="AA270" i="10"/>
  <c r="AB270" i="10"/>
  <c r="AC270" i="10"/>
  <c r="AD270" i="10"/>
  <c r="AA249" i="10"/>
  <c r="AB249" i="10"/>
  <c r="AC249" i="10"/>
  <c r="AD249" i="10"/>
  <c r="AA250" i="10"/>
  <c r="AB250" i="10"/>
  <c r="AC250" i="10"/>
  <c r="AD250" i="10"/>
  <c r="AA251" i="10"/>
  <c r="AB251" i="10"/>
  <c r="AC251" i="10"/>
  <c r="AD251" i="10"/>
  <c r="AA252" i="10"/>
  <c r="AB252" i="10"/>
  <c r="AC252" i="10"/>
  <c r="AD252" i="10"/>
  <c r="AA253" i="10"/>
  <c r="AB253" i="10"/>
  <c r="AC253" i="10"/>
  <c r="AD253" i="10"/>
  <c r="AA254" i="10"/>
  <c r="AB254" i="10"/>
  <c r="AC254" i="10"/>
  <c r="AD254" i="10"/>
  <c r="AA255" i="10"/>
  <c r="AB255" i="10"/>
  <c r="AC255" i="10"/>
  <c r="AD255" i="10"/>
  <c r="AA256" i="10"/>
  <c r="AB256" i="10"/>
  <c r="AC256" i="10"/>
  <c r="AD256" i="10"/>
  <c r="AA257" i="10"/>
  <c r="AB257" i="10"/>
  <c r="AC257" i="10"/>
  <c r="AD257" i="10"/>
  <c r="AA258" i="10"/>
  <c r="AB258" i="10"/>
  <c r="AC258" i="10"/>
  <c r="AD258" i="10"/>
  <c r="AA259" i="10"/>
  <c r="AB259" i="10"/>
  <c r="AC259" i="10"/>
  <c r="AD259" i="10"/>
  <c r="AA260" i="10"/>
  <c r="AB260" i="10"/>
  <c r="AC260" i="10"/>
  <c r="AD260" i="10"/>
  <c r="AA239" i="10"/>
  <c r="AB239" i="10"/>
  <c r="AC239" i="10"/>
  <c r="AD239" i="10"/>
  <c r="AA240" i="10"/>
  <c r="AB240" i="10"/>
  <c r="AC240" i="10"/>
  <c r="AD240" i="10"/>
  <c r="AA241" i="10"/>
  <c r="AB241" i="10"/>
  <c r="AC241" i="10"/>
  <c r="AD241" i="10"/>
  <c r="AA242" i="10"/>
  <c r="AB242" i="10"/>
  <c r="AC242" i="10"/>
  <c r="AD242" i="10"/>
  <c r="AA243" i="10"/>
  <c r="AB243" i="10"/>
  <c r="AC243" i="10"/>
  <c r="AD243" i="10"/>
  <c r="AA244" i="10"/>
  <c r="AB244" i="10"/>
  <c r="AC244" i="10"/>
  <c r="AD244" i="10"/>
  <c r="AA245" i="10"/>
  <c r="AB245" i="10"/>
  <c r="AC245" i="10"/>
  <c r="AD245" i="10"/>
  <c r="AA246" i="10"/>
  <c r="AB246" i="10"/>
  <c r="AC246" i="10"/>
  <c r="AD246" i="10"/>
  <c r="AA247" i="10"/>
  <c r="AB247" i="10"/>
  <c r="AC247" i="10"/>
  <c r="AD247" i="10"/>
  <c r="AA248" i="10"/>
  <c r="AB248" i="10"/>
  <c r="AC248" i="10"/>
  <c r="AD248" i="10"/>
  <c r="AA227" i="10"/>
  <c r="AB227" i="10"/>
  <c r="AC227" i="10"/>
  <c r="AD227" i="10"/>
  <c r="AA228" i="10"/>
  <c r="AB228" i="10"/>
  <c r="AC228" i="10"/>
  <c r="AD228" i="10"/>
  <c r="AA229" i="10"/>
  <c r="AB229" i="10"/>
  <c r="AC229" i="10"/>
  <c r="AD229" i="10"/>
  <c r="AA230" i="10"/>
  <c r="AB230" i="10"/>
  <c r="AC230" i="10"/>
  <c r="AD230" i="10"/>
  <c r="AA231" i="10"/>
  <c r="AB231" i="10"/>
  <c r="AC231" i="10"/>
  <c r="AD231" i="10"/>
  <c r="AA232" i="10"/>
  <c r="AB232" i="10"/>
  <c r="AC232" i="10"/>
  <c r="AD232" i="10"/>
  <c r="AA233" i="10"/>
  <c r="AB233" i="10"/>
  <c r="AC233" i="10"/>
  <c r="AD233" i="10"/>
  <c r="AA234" i="10"/>
  <c r="AB234" i="10"/>
  <c r="AC234" i="10"/>
  <c r="AD234" i="10"/>
  <c r="AA235" i="10"/>
  <c r="AB235" i="10"/>
  <c r="AC235" i="10"/>
  <c r="AD235" i="10"/>
  <c r="AA236" i="10"/>
  <c r="AB236" i="10"/>
  <c r="AC236" i="10"/>
  <c r="AD236" i="10"/>
  <c r="AA237" i="10"/>
  <c r="AB237" i="10"/>
  <c r="AC237" i="10"/>
  <c r="AD237" i="10"/>
  <c r="AA238" i="10"/>
  <c r="AB238" i="10"/>
  <c r="AC238" i="10"/>
  <c r="AD238" i="10"/>
  <c r="AA215" i="10"/>
  <c r="AB215" i="10"/>
  <c r="AC215" i="10"/>
  <c r="AD215" i="10"/>
  <c r="AA216" i="10"/>
  <c r="AB216" i="10"/>
  <c r="AC216" i="10"/>
  <c r="AD216" i="10"/>
  <c r="AA217" i="10"/>
  <c r="AB217" i="10"/>
  <c r="AC217" i="10"/>
  <c r="AD217" i="10"/>
  <c r="AA218" i="10"/>
  <c r="AB218" i="10"/>
  <c r="AC218" i="10"/>
  <c r="AD218" i="10"/>
  <c r="AA219" i="10"/>
  <c r="AB219" i="10"/>
  <c r="AC219" i="10"/>
  <c r="AD219" i="10"/>
  <c r="AA220" i="10"/>
  <c r="AB220" i="10"/>
  <c r="AC220" i="10"/>
  <c r="AD220" i="10"/>
  <c r="AA221" i="10"/>
  <c r="AB221" i="10"/>
  <c r="AC221" i="10"/>
  <c r="AD221" i="10"/>
  <c r="AA222" i="10"/>
  <c r="AB222" i="10"/>
  <c r="AC222" i="10"/>
  <c r="AD222" i="10"/>
  <c r="AA223" i="10"/>
  <c r="AB223" i="10"/>
  <c r="AC223" i="10"/>
  <c r="AD223" i="10"/>
  <c r="AA224" i="10"/>
  <c r="AB224" i="10"/>
  <c r="AC224" i="10"/>
  <c r="AD224" i="10"/>
  <c r="AA225" i="10"/>
  <c r="AB225" i="10"/>
  <c r="AC225" i="10"/>
  <c r="AD225" i="10"/>
  <c r="AA226" i="10"/>
  <c r="AB226" i="10"/>
  <c r="AC226" i="10"/>
  <c r="AD226" i="10"/>
  <c r="AA203" i="10"/>
  <c r="AB203" i="10"/>
  <c r="AC203" i="10"/>
  <c r="AD203" i="10"/>
  <c r="AA204" i="10"/>
  <c r="AB204" i="10"/>
  <c r="AC204" i="10"/>
  <c r="AD204" i="10"/>
  <c r="AA205" i="10"/>
  <c r="AB205" i="10"/>
  <c r="AC205" i="10"/>
  <c r="AD205" i="10"/>
  <c r="AA206" i="10"/>
  <c r="AB206" i="10"/>
  <c r="AC206" i="10"/>
  <c r="AD206" i="10"/>
  <c r="AA207" i="10"/>
  <c r="AB207" i="10"/>
  <c r="AC207" i="10"/>
  <c r="AD207" i="10"/>
  <c r="AA208" i="10"/>
  <c r="AB208" i="10"/>
  <c r="AC208" i="10"/>
  <c r="AD208" i="10"/>
  <c r="AA209" i="10"/>
  <c r="AB209" i="10"/>
  <c r="AC209" i="10"/>
  <c r="AD209" i="10"/>
  <c r="AA210" i="10"/>
  <c r="AB210" i="10"/>
  <c r="AC210" i="10"/>
  <c r="AD210" i="10"/>
  <c r="AA211" i="10"/>
  <c r="AB211" i="10"/>
  <c r="AC211" i="10"/>
  <c r="AD211" i="10"/>
  <c r="AA212" i="10"/>
  <c r="AB212" i="10"/>
  <c r="AC212" i="10"/>
  <c r="AD212" i="10"/>
  <c r="AA213" i="10"/>
  <c r="AB213" i="10"/>
  <c r="AC213" i="10"/>
  <c r="AD213" i="10"/>
  <c r="AA214" i="10"/>
  <c r="AB214" i="10"/>
  <c r="AC214" i="10"/>
  <c r="AD214" i="10"/>
  <c r="AA191" i="10"/>
  <c r="AB191" i="10"/>
  <c r="AC191" i="10"/>
  <c r="AD191" i="10"/>
  <c r="AA192" i="10"/>
  <c r="AB192" i="10"/>
  <c r="AC192" i="10"/>
  <c r="AD192" i="10"/>
  <c r="AA193" i="10"/>
  <c r="AB193" i="10"/>
  <c r="AC193" i="10"/>
  <c r="AD193" i="10"/>
  <c r="AA194" i="10"/>
  <c r="AB194" i="10"/>
  <c r="AC194" i="10"/>
  <c r="AD194" i="10"/>
  <c r="AA195" i="10"/>
  <c r="AB195" i="10"/>
  <c r="AC195" i="10"/>
  <c r="AD195" i="10"/>
  <c r="AA196" i="10"/>
  <c r="AB196" i="10"/>
  <c r="AC196" i="10"/>
  <c r="AD196" i="10"/>
  <c r="AA197" i="10"/>
  <c r="AB197" i="10"/>
  <c r="AC197" i="10"/>
  <c r="AD197" i="10"/>
  <c r="AA198" i="10"/>
  <c r="AB198" i="10"/>
  <c r="AC198" i="10"/>
  <c r="AD198" i="10"/>
  <c r="AA199" i="10"/>
  <c r="AB199" i="10"/>
  <c r="AC199" i="10"/>
  <c r="AD199" i="10"/>
  <c r="AA200" i="10"/>
  <c r="AB200" i="10"/>
  <c r="AC200" i="10"/>
  <c r="AD200" i="10"/>
  <c r="AA201" i="10"/>
  <c r="AB201" i="10"/>
  <c r="AC201" i="10"/>
  <c r="AD201" i="10"/>
  <c r="AA202" i="10"/>
  <c r="AB202" i="10"/>
  <c r="AC202" i="10"/>
  <c r="AD202" i="10"/>
  <c r="AA179" i="10"/>
  <c r="AB179" i="10"/>
  <c r="AC179" i="10"/>
  <c r="AD179" i="10"/>
  <c r="AA180" i="10"/>
  <c r="AB180" i="10"/>
  <c r="AC180" i="10"/>
  <c r="AD180" i="10"/>
  <c r="AA181" i="10"/>
  <c r="AB181" i="10"/>
  <c r="AC181" i="10"/>
  <c r="AD181" i="10"/>
  <c r="AA182" i="10"/>
  <c r="AB182" i="10"/>
  <c r="AC182" i="10"/>
  <c r="AD182" i="10"/>
  <c r="AA183" i="10"/>
  <c r="AB183" i="10"/>
  <c r="AC183" i="10"/>
  <c r="AD183" i="10"/>
  <c r="AA184" i="10"/>
  <c r="AB184" i="10"/>
  <c r="AC184" i="10"/>
  <c r="AD184" i="10"/>
  <c r="AA185" i="10"/>
  <c r="AB185" i="10"/>
  <c r="AC185" i="10"/>
  <c r="AD185" i="10"/>
  <c r="AA186" i="10"/>
  <c r="AB186" i="10"/>
  <c r="AC186" i="10"/>
  <c r="AD186" i="10"/>
  <c r="AA187" i="10"/>
  <c r="AB187" i="10"/>
  <c r="AC187" i="10"/>
  <c r="AD187" i="10"/>
  <c r="AA188" i="10"/>
  <c r="AB188" i="10"/>
  <c r="AC188" i="10"/>
  <c r="AD188" i="10"/>
  <c r="AA189" i="10"/>
  <c r="AB189" i="10"/>
  <c r="AC189" i="10"/>
  <c r="AD189" i="10"/>
  <c r="AA190" i="10"/>
  <c r="AB190" i="10"/>
  <c r="AC190" i="10"/>
  <c r="AD190" i="10"/>
  <c r="AA167" i="10"/>
  <c r="AB167" i="10"/>
  <c r="AC167" i="10"/>
  <c r="AD167" i="10"/>
  <c r="AA168" i="10"/>
  <c r="AB168" i="10"/>
  <c r="AC168" i="10"/>
  <c r="AD168" i="10"/>
  <c r="AA169" i="10"/>
  <c r="AB169" i="10"/>
  <c r="AC169" i="10"/>
  <c r="AD169" i="10"/>
  <c r="AA170" i="10"/>
  <c r="AB170" i="10"/>
  <c r="AC170" i="10"/>
  <c r="AD170" i="10"/>
  <c r="AA171" i="10"/>
  <c r="AB171" i="10"/>
  <c r="AC171" i="10"/>
  <c r="AD171" i="10"/>
  <c r="AA172" i="10"/>
  <c r="AB172" i="10"/>
  <c r="AC172" i="10"/>
  <c r="AD172" i="10"/>
  <c r="AA173" i="10"/>
  <c r="AB173" i="10"/>
  <c r="AC173" i="10"/>
  <c r="AD173" i="10"/>
  <c r="AA174" i="10"/>
  <c r="AB174" i="10"/>
  <c r="AC174" i="10"/>
  <c r="AD174" i="10"/>
  <c r="AA175" i="10"/>
  <c r="AB175" i="10"/>
  <c r="AC175" i="10"/>
  <c r="AD175" i="10"/>
  <c r="AA176" i="10"/>
  <c r="AB176" i="10"/>
  <c r="AC176" i="10"/>
  <c r="AD176" i="10"/>
  <c r="AA177" i="10"/>
  <c r="AB177" i="10"/>
  <c r="AC177" i="10"/>
  <c r="AD177" i="10"/>
  <c r="AA178" i="10"/>
  <c r="AB178" i="10"/>
  <c r="AC178" i="10"/>
  <c r="AD178" i="10"/>
  <c r="AA155" i="10"/>
  <c r="AB155" i="10"/>
  <c r="AC155" i="10"/>
  <c r="AD155" i="10"/>
  <c r="AA156" i="10"/>
  <c r="AB156" i="10"/>
  <c r="AC156" i="10"/>
  <c r="AD156" i="10"/>
  <c r="AA157" i="10"/>
  <c r="AB157" i="10"/>
  <c r="AC157" i="10"/>
  <c r="AD157" i="10"/>
  <c r="AA158" i="10"/>
  <c r="AB158" i="10"/>
  <c r="AC158" i="10"/>
  <c r="AD158" i="10"/>
  <c r="AA159" i="10"/>
  <c r="AB159" i="10"/>
  <c r="AC159" i="10"/>
  <c r="AD159" i="10"/>
  <c r="AA160" i="10"/>
  <c r="AB160" i="10"/>
  <c r="AC160" i="10"/>
  <c r="AD160" i="10"/>
  <c r="AA161" i="10"/>
  <c r="AB161" i="10"/>
  <c r="AC161" i="10"/>
  <c r="AD161" i="10"/>
  <c r="AA162" i="10"/>
  <c r="AB162" i="10"/>
  <c r="AC162" i="10"/>
  <c r="AD162" i="10"/>
  <c r="AA163" i="10"/>
  <c r="AB163" i="10"/>
  <c r="AC163" i="10"/>
  <c r="AD163" i="10"/>
  <c r="AA164" i="10"/>
  <c r="AB164" i="10"/>
  <c r="AC164" i="10"/>
  <c r="AD164" i="10"/>
  <c r="AA165" i="10"/>
  <c r="AB165" i="10"/>
  <c r="AC165" i="10"/>
  <c r="AD165" i="10"/>
  <c r="AA166" i="10"/>
  <c r="AB166" i="10"/>
  <c r="AC166" i="10"/>
  <c r="AD166" i="10"/>
  <c r="AA141" i="10"/>
  <c r="AB141" i="10"/>
  <c r="AC141" i="10"/>
  <c r="AD141" i="10"/>
  <c r="AA142" i="10"/>
  <c r="AB142" i="10"/>
  <c r="AC142" i="10"/>
  <c r="AD142" i="10"/>
  <c r="AA143" i="10"/>
  <c r="AB143" i="10"/>
  <c r="AC143" i="10"/>
  <c r="AD143" i="10"/>
  <c r="AA144" i="10"/>
  <c r="AB144" i="10"/>
  <c r="AC144" i="10"/>
  <c r="AD144" i="10"/>
  <c r="AA145" i="10"/>
  <c r="AB145" i="10"/>
  <c r="AC145" i="10"/>
  <c r="AD145" i="10"/>
  <c r="AA146" i="10"/>
  <c r="AB146" i="10"/>
  <c r="AC146" i="10"/>
  <c r="AD146" i="10"/>
  <c r="AA147" i="10"/>
  <c r="AB147" i="10"/>
  <c r="AC147" i="10"/>
  <c r="AD147" i="10"/>
  <c r="AA148" i="10"/>
  <c r="AB148" i="10"/>
  <c r="AC148" i="10"/>
  <c r="AD148" i="10"/>
  <c r="AA149" i="10"/>
  <c r="AB149" i="10"/>
  <c r="AC149" i="10"/>
  <c r="AD149" i="10"/>
  <c r="AA150" i="10"/>
  <c r="AB150" i="10"/>
  <c r="AC150" i="10"/>
  <c r="AD150" i="10"/>
  <c r="AA151" i="10"/>
  <c r="AB151" i="10"/>
  <c r="AC151" i="10"/>
  <c r="AD151" i="10"/>
  <c r="AA152" i="10"/>
  <c r="AB152" i="10"/>
  <c r="AC152" i="10"/>
  <c r="AD152" i="10"/>
  <c r="AA153" i="10"/>
  <c r="AB153" i="10"/>
  <c r="AC153" i="10"/>
  <c r="AD153" i="10"/>
  <c r="AA154" i="10"/>
  <c r="AB154" i="10"/>
  <c r="AC154" i="10"/>
  <c r="AD154" i="10"/>
  <c r="AA129" i="10"/>
  <c r="AB129" i="10"/>
  <c r="AC129" i="10"/>
  <c r="AD129" i="10"/>
  <c r="AA130" i="10"/>
  <c r="AB130" i="10"/>
  <c r="AC130" i="10"/>
  <c r="AD130" i="10"/>
  <c r="AA131" i="10"/>
  <c r="AB131" i="10"/>
  <c r="AC131" i="10"/>
  <c r="AD131" i="10"/>
  <c r="AA132" i="10"/>
  <c r="AB132" i="10"/>
  <c r="AC132" i="10"/>
  <c r="AD132" i="10"/>
  <c r="AA133" i="10"/>
  <c r="AB133" i="10"/>
  <c r="AC133" i="10"/>
  <c r="AD133" i="10"/>
  <c r="AA134" i="10"/>
  <c r="AB134" i="10"/>
  <c r="AC134" i="10"/>
  <c r="AD134" i="10"/>
  <c r="AA135" i="10"/>
  <c r="AB135" i="10"/>
  <c r="AC135" i="10"/>
  <c r="AD135" i="10"/>
  <c r="AA136" i="10"/>
  <c r="AB136" i="10"/>
  <c r="AC136" i="10"/>
  <c r="AD136" i="10"/>
  <c r="AA137" i="10"/>
  <c r="AB137" i="10"/>
  <c r="AC137" i="10"/>
  <c r="AD137" i="10"/>
  <c r="AA138" i="10"/>
  <c r="AB138" i="10"/>
  <c r="AC138" i="10"/>
  <c r="AD138" i="10"/>
  <c r="AA139" i="10"/>
  <c r="AB139" i="10"/>
  <c r="AC139" i="10"/>
  <c r="AD139" i="10"/>
  <c r="AA140" i="10"/>
  <c r="AB140" i="10"/>
  <c r="AC140" i="10"/>
  <c r="AD140" i="10"/>
  <c r="AA113" i="10"/>
  <c r="AB113" i="10"/>
  <c r="AC113" i="10"/>
  <c r="AD113" i="10"/>
  <c r="AA114" i="10"/>
  <c r="AB114" i="10"/>
  <c r="AC114" i="10"/>
  <c r="AD114" i="10"/>
  <c r="AA115" i="10"/>
  <c r="AB115" i="10"/>
  <c r="AC115" i="10"/>
  <c r="AD115" i="10"/>
  <c r="AA116" i="10"/>
  <c r="AB116" i="10"/>
  <c r="AC116" i="10"/>
  <c r="AD116" i="10"/>
  <c r="AA117" i="10"/>
  <c r="AB117" i="10"/>
  <c r="AC117" i="10"/>
  <c r="AD117" i="10"/>
  <c r="AA118" i="10"/>
  <c r="AB118" i="10"/>
  <c r="AC118" i="10"/>
  <c r="AD118" i="10"/>
  <c r="AA119" i="10"/>
  <c r="AB119" i="10"/>
  <c r="AC119" i="10"/>
  <c r="AD119" i="10"/>
  <c r="AA120" i="10"/>
  <c r="AB120" i="10"/>
  <c r="AC120" i="10"/>
  <c r="AD120" i="10"/>
  <c r="AA121" i="10"/>
  <c r="AB121" i="10"/>
  <c r="AC121" i="10"/>
  <c r="AD121" i="10"/>
  <c r="AA122" i="10"/>
  <c r="AB122" i="10"/>
  <c r="AC122" i="10"/>
  <c r="AD122" i="10"/>
  <c r="AA123" i="10"/>
  <c r="AB123" i="10"/>
  <c r="AC123" i="10"/>
  <c r="AD123" i="10"/>
  <c r="AA124" i="10"/>
  <c r="AB124" i="10"/>
  <c r="AC124" i="10"/>
  <c r="AD124" i="10"/>
  <c r="AA125" i="10"/>
  <c r="AB125" i="10"/>
  <c r="AC125" i="10"/>
  <c r="AD125" i="10"/>
  <c r="AA126" i="10"/>
  <c r="AB126" i="10"/>
  <c r="AC126" i="10"/>
  <c r="AD126" i="10"/>
  <c r="AA127" i="10"/>
  <c r="AB127" i="10"/>
  <c r="AC127" i="10"/>
  <c r="AD127" i="10"/>
  <c r="AA128" i="10"/>
  <c r="AB128" i="10"/>
  <c r="AC128" i="10"/>
  <c r="AD128" i="10"/>
  <c r="V57" i="11"/>
  <c r="W57" i="11"/>
  <c r="X57" i="11"/>
  <c r="Y57" i="11"/>
  <c r="Z57" i="11"/>
  <c r="AA57" i="11"/>
  <c r="AB57" i="11"/>
  <c r="AC57" i="11"/>
  <c r="AE57" i="11"/>
  <c r="AF57" i="11"/>
  <c r="AG57" i="11"/>
  <c r="AH57" i="11"/>
  <c r="AI57" i="11"/>
  <c r="AJ57" i="11"/>
  <c r="U57" i="11"/>
  <c r="V56" i="11"/>
  <c r="W56" i="11"/>
  <c r="X56" i="11"/>
  <c r="Y56" i="11"/>
  <c r="Z56" i="11"/>
  <c r="AA56" i="11"/>
  <c r="AB56" i="11"/>
  <c r="AC56" i="11"/>
  <c r="AE56" i="11"/>
  <c r="AF56" i="11"/>
  <c r="AG56" i="11"/>
  <c r="AH56" i="11"/>
  <c r="AI56" i="11"/>
  <c r="AJ56" i="11"/>
  <c r="U56" i="11"/>
  <c r="V54" i="11"/>
  <c r="W54" i="11"/>
  <c r="X54" i="11"/>
  <c r="Y54" i="11"/>
  <c r="Z54" i="11"/>
  <c r="AA54" i="11"/>
  <c r="AB54" i="11"/>
  <c r="AC54" i="11"/>
  <c r="AE54" i="11"/>
  <c r="AF54" i="11"/>
  <c r="AG54" i="11"/>
  <c r="AH54" i="11"/>
  <c r="AI54" i="11"/>
  <c r="AJ54" i="11"/>
  <c r="U54" i="11"/>
  <c r="V51" i="11"/>
  <c r="W51" i="11"/>
  <c r="X51" i="11"/>
  <c r="Y51" i="11"/>
  <c r="Z51" i="11"/>
  <c r="AA51" i="11"/>
  <c r="AB51" i="11"/>
  <c r="AC51" i="11"/>
  <c r="AE51" i="11"/>
  <c r="AF51" i="11"/>
  <c r="AG51" i="11"/>
  <c r="AH51" i="11"/>
  <c r="AI51" i="11"/>
  <c r="AJ51" i="11"/>
  <c r="U51" i="11"/>
  <c r="V50" i="11"/>
  <c r="W50" i="11"/>
  <c r="X50" i="11"/>
  <c r="Y50" i="11"/>
  <c r="Z50" i="11"/>
  <c r="AA50" i="11"/>
  <c r="AB50" i="11"/>
  <c r="AC50" i="11"/>
  <c r="AE50" i="11"/>
  <c r="AF50" i="11"/>
  <c r="AG50" i="11"/>
  <c r="AH50" i="11"/>
  <c r="AI50" i="11"/>
  <c r="AJ50" i="11"/>
  <c r="U50" i="11"/>
  <c r="V48" i="11"/>
  <c r="W48" i="11"/>
  <c r="X48" i="11"/>
  <c r="Y48" i="11"/>
  <c r="Z48" i="11"/>
  <c r="AA48" i="11"/>
  <c r="AB48" i="11"/>
  <c r="AC48" i="11"/>
  <c r="AE48" i="11"/>
  <c r="AF48" i="11"/>
  <c r="AG48" i="11"/>
  <c r="AH48" i="11"/>
  <c r="AI48" i="11"/>
  <c r="AJ48" i="11"/>
  <c r="U48" i="11"/>
  <c r="V46" i="11"/>
  <c r="W46" i="11"/>
  <c r="X46" i="11"/>
  <c r="Y46" i="11"/>
  <c r="Z46" i="11"/>
  <c r="AA46" i="11"/>
  <c r="AB46" i="11"/>
  <c r="AC46" i="11"/>
  <c r="AE46" i="11"/>
  <c r="AF46" i="11"/>
  <c r="AG46" i="11"/>
  <c r="AH46" i="11"/>
  <c r="AI46" i="11"/>
  <c r="AJ46" i="11"/>
  <c r="U46" i="11"/>
  <c r="V43" i="11"/>
  <c r="W43" i="11"/>
  <c r="X43" i="11"/>
  <c r="Y43" i="11"/>
  <c r="Z43" i="11"/>
  <c r="AA43" i="11"/>
  <c r="AB43" i="11"/>
  <c r="AC43" i="11"/>
  <c r="AE43" i="11"/>
  <c r="AF43" i="11"/>
  <c r="AG43" i="11"/>
  <c r="AH43" i="11"/>
  <c r="AI43" i="11"/>
  <c r="AJ43" i="11"/>
  <c r="V42" i="11"/>
  <c r="W42" i="11"/>
  <c r="X42" i="11"/>
  <c r="Y42" i="11"/>
  <c r="Z42" i="11"/>
  <c r="AA42" i="11"/>
  <c r="AB42" i="11"/>
  <c r="AC42" i="11"/>
  <c r="AE42" i="11"/>
  <c r="AF42" i="11"/>
  <c r="AG42" i="11"/>
  <c r="AH42" i="11"/>
  <c r="AI42" i="11"/>
  <c r="AJ42" i="11"/>
  <c r="U42" i="11"/>
  <c r="V41" i="11"/>
  <c r="W41" i="11"/>
  <c r="X41" i="11"/>
  <c r="Y41" i="11"/>
  <c r="Z41" i="11"/>
  <c r="AA41" i="11"/>
  <c r="AB41" i="11"/>
  <c r="AC41" i="11"/>
  <c r="AE41" i="11"/>
  <c r="AF41" i="11"/>
  <c r="AG41" i="11"/>
  <c r="AH41" i="11"/>
  <c r="AI41" i="11"/>
  <c r="AJ41" i="11"/>
  <c r="U41" i="11"/>
  <c r="V40" i="11"/>
  <c r="W40" i="11"/>
  <c r="X40" i="11"/>
  <c r="Y40" i="11"/>
  <c r="Z40" i="11"/>
  <c r="AA40" i="11"/>
  <c r="AB40" i="11"/>
  <c r="AC40" i="11"/>
  <c r="AE40" i="11"/>
  <c r="AF40" i="11"/>
  <c r="AG40" i="11"/>
  <c r="AH40" i="11"/>
  <c r="AI40" i="11"/>
  <c r="AJ40" i="11"/>
  <c r="U40" i="11"/>
  <c r="V39" i="11"/>
  <c r="W39" i="11"/>
  <c r="X39" i="11"/>
  <c r="Y39" i="11"/>
  <c r="Z39" i="11"/>
  <c r="AA39" i="11"/>
  <c r="AB39" i="11"/>
  <c r="AC39" i="11"/>
  <c r="AE39" i="11"/>
  <c r="AF39" i="11"/>
  <c r="AG39" i="11"/>
  <c r="AH39" i="11"/>
  <c r="AI39" i="11"/>
  <c r="AJ39" i="11"/>
  <c r="U39" i="11"/>
  <c r="V38" i="11"/>
  <c r="W38" i="11"/>
  <c r="X38" i="11"/>
  <c r="Y38" i="11"/>
  <c r="Z38" i="11"/>
  <c r="AA38" i="11"/>
  <c r="AB38" i="11"/>
  <c r="AC38" i="11"/>
  <c r="AE38" i="11"/>
  <c r="AF38" i="11"/>
  <c r="AG38" i="11"/>
  <c r="AH38" i="11"/>
  <c r="AI38" i="11"/>
  <c r="AJ38" i="11"/>
  <c r="U38" i="11"/>
  <c r="V36" i="11"/>
  <c r="W36" i="11"/>
  <c r="X36" i="11"/>
  <c r="Y36" i="11"/>
  <c r="Z36" i="11"/>
  <c r="AA36" i="11"/>
  <c r="AB36" i="11"/>
  <c r="AC36" i="11"/>
  <c r="AE36" i="11"/>
  <c r="AF36" i="11"/>
  <c r="AG36" i="11"/>
  <c r="AH36" i="11"/>
  <c r="AI36" i="11"/>
  <c r="AJ36" i="11"/>
  <c r="U36" i="11"/>
  <c r="V34" i="11"/>
  <c r="W34" i="11"/>
  <c r="X34" i="11"/>
  <c r="Y34" i="11"/>
  <c r="Z34" i="11"/>
  <c r="AA34" i="11"/>
  <c r="AB34" i="11"/>
  <c r="AC34" i="11"/>
  <c r="AE34" i="11"/>
  <c r="AF34" i="11"/>
  <c r="AG34" i="11"/>
  <c r="AH34" i="11"/>
  <c r="AI34" i="11"/>
  <c r="AJ34" i="11"/>
  <c r="U34" i="11"/>
  <c r="V33" i="11"/>
  <c r="W33" i="11"/>
  <c r="X33" i="11"/>
  <c r="Y33" i="11"/>
  <c r="Z33" i="11"/>
  <c r="AA33" i="11"/>
  <c r="AB33" i="11"/>
  <c r="AC33" i="11"/>
  <c r="AE33" i="11"/>
  <c r="AF33" i="11"/>
  <c r="AG33" i="11"/>
  <c r="AH33" i="11"/>
  <c r="AI33" i="11"/>
  <c r="AJ33" i="11"/>
  <c r="U33" i="11"/>
  <c r="V32" i="11"/>
  <c r="W32" i="11"/>
  <c r="X32" i="11"/>
  <c r="Y32" i="11"/>
  <c r="Z32" i="11"/>
  <c r="AA32" i="11"/>
  <c r="AB32" i="11"/>
  <c r="AC32" i="11"/>
  <c r="AE32" i="11"/>
  <c r="AF32" i="11"/>
  <c r="AG32" i="11"/>
  <c r="AH32" i="11"/>
  <c r="AI32" i="11"/>
  <c r="AJ32" i="11"/>
  <c r="U32" i="11"/>
  <c r="V31" i="11"/>
  <c r="W31" i="11"/>
  <c r="X31" i="11"/>
  <c r="Y31" i="11"/>
  <c r="Z31" i="11"/>
  <c r="AA31" i="11"/>
  <c r="AB31" i="11"/>
  <c r="AC31" i="11"/>
  <c r="AE31" i="11"/>
  <c r="AF31" i="11"/>
  <c r="AG31" i="11"/>
  <c r="AH31" i="11"/>
  <c r="AI31" i="11"/>
  <c r="AJ31" i="11"/>
  <c r="U31" i="11"/>
  <c r="V30" i="11"/>
  <c r="W30" i="11"/>
  <c r="X30" i="11"/>
  <c r="Y30" i="11"/>
  <c r="Z30" i="11"/>
  <c r="AA30" i="11"/>
  <c r="AB30" i="11"/>
  <c r="AC30" i="11"/>
  <c r="AE30" i="11"/>
  <c r="AF30" i="11"/>
  <c r="AG30" i="11"/>
  <c r="AH30" i="11"/>
  <c r="AI30" i="11"/>
  <c r="AJ30" i="11"/>
  <c r="U30" i="11"/>
  <c r="V29" i="11"/>
  <c r="W29" i="11"/>
  <c r="X29" i="11"/>
  <c r="Y29" i="11"/>
  <c r="Z29" i="11"/>
  <c r="AA29" i="11"/>
  <c r="AB29" i="11"/>
  <c r="AC29" i="11"/>
  <c r="AE29" i="11"/>
  <c r="AF29" i="11"/>
  <c r="AG29" i="11"/>
  <c r="AH29" i="11"/>
  <c r="AI29" i="11"/>
  <c r="AJ29" i="11"/>
  <c r="U29" i="11"/>
  <c r="V27" i="11"/>
  <c r="W27" i="11"/>
  <c r="X27" i="11"/>
  <c r="Y27" i="11"/>
  <c r="Z27" i="11"/>
  <c r="AA27" i="11"/>
  <c r="AB27" i="11"/>
  <c r="AC27" i="11"/>
  <c r="AE27" i="11"/>
  <c r="AF27" i="11"/>
  <c r="AG27" i="11"/>
  <c r="AH27" i="11"/>
  <c r="AI27" i="11"/>
  <c r="AJ27" i="11"/>
  <c r="U27" i="11"/>
  <c r="V26" i="11"/>
  <c r="W26" i="11"/>
  <c r="X26" i="11"/>
  <c r="Y26" i="11"/>
  <c r="Z26" i="11"/>
  <c r="AA26" i="11"/>
  <c r="AB26" i="11"/>
  <c r="AC26" i="11"/>
  <c r="AE26" i="11"/>
  <c r="AF26" i="11"/>
  <c r="AG26" i="11"/>
  <c r="AH26" i="11"/>
  <c r="AI26" i="11"/>
  <c r="AJ26" i="11"/>
  <c r="U26" i="11"/>
  <c r="V24" i="11"/>
  <c r="W24" i="11"/>
  <c r="X24" i="11"/>
  <c r="Y24" i="11"/>
  <c r="Z24" i="11"/>
  <c r="AA24" i="11"/>
  <c r="AB24" i="11"/>
  <c r="AC24" i="11"/>
  <c r="AE24" i="11"/>
  <c r="AF24" i="11"/>
  <c r="AG24" i="11"/>
  <c r="AH24" i="11"/>
  <c r="AI24" i="11"/>
  <c r="AJ24" i="11"/>
  <c r="U24" i="11"/>
  <c r="V23" i="11"/>
  <c r="W23" i="11"/>
  <c r="X23" i="11"/>
  <c r="Y23" i="11"/>
  <c r="Z23" i="11"/>
  <c r="AA23" i="11"/>
  <c r="AB23" i="11"/>
  <c r="AC23" i="11"/>
  <c r="AE23" i="11"/>
  <c r="AF23" i="11"/>
  <c r="AG23" i="11"/>
  <c r="AH23" i="11"/>
  <c r="AI23" i="11"/>
  <c r="AJ23" i="11"/>
  <c r="U23" i="11"/>
  <c r="V22" i="11"/>
  <c r="W22" i="11"/>
  <c r="X22" i="11"/>
  <c r="Y22" i="11"/>
  <c r="Z22" i="11"/>
  <c r="AA22" i="11"/>
  <c r="AB22" i="11"/>
  <c r="AC22" i="11"/>
  <c r="AE22" i="11"/>
  <c r="AF22" i="11"/>
  <c r="AG22" i="11"/>
  <c r="AH22" i="11"/>
  <c r="AI22" i="11"/>
  <c r="AJ22" i="11"/>
  <c r="U22" i="11"/>
  <c r="V21" i="11"/>
  <c r="W21" i="11"/>
  <c r="X21" i="11"/>
  <c r="Y21" i="11"/>
  <c r="Z21" i="11"/>
  <c r="AA21" i="11"/>
  <c r="AB21" i="11"/>
  <c r="AC21" i="11"/>
  <c r="AE21" i="11"/>
  <c r="AF21" i="11"/>
  <c r="AG21" i="11"/>
  <c r="AH21" i="11"/>
  <c r="AI21" i="11"/>
  <c r="AJ21" i="11"/>
  <c r="U21" i="11"/>
  <c r="V16" i="11"/>
  <c r="W16" i="11"/>
  <c r="X16" i="11"/>
  <c r="Y16" i="11"/>
  <c r="Z16" i="11"/>
  <c r="AA16" i="11"/>
  <c r="AB16" i="11"/>
  <c r="AC16" i="11"/>
  <c r="AE16" i="11"/>
  <c r="AF16" i="11"/>
  <c r="AG16" i="11"/>
  <c r="AH16" i="11"/>
  <c r="AI16" i="11"/>
  <c r="AJ16" i="11"/>
  <c r="U16" i="11"/>
  <c r="V15" i="11"/>
  <c r="W15" i="11"/>
  <c r="X15" i="11"/>
  <c r="Y15" i="11"/>
  <c r="Z15" i="11"/>
  <c r="AA15" i="11"/>
  <c r="AB15" i="11"/>
  <c r="AC15" i="11"/>
  <c r="AE15" i="11"/>
  <c r="AF15" i="11"/>
  <c r="AG15" i="11"/>
  <c r="AH15" i="11"/>
  <c r="AI15" i="11"/>
  <c r="AJ15" i="11"/>
  <c r="U15" i="11"/>
  <c r="V13" i="11"/>
  <c r="W13" i="11"/>
  <c r="X13" i="11"/>
  <c r="Y13" i="11"/>
  <c r="Z13" i="11"/>
  <c r="AA13" i="11"/>
  <c r="AB13" i="11"/>
  <c r="AC13" i="11"/>
  <c r="AE13" i="11"/>
  <c r="AF13" i="11"/>
  <c r="AG13" i="11"/>
  <c r="AH13" i="11"/>
  <c r="AI13" i="11"/>
  <c r="AJ13" i="11"/>
  <c r="U13" i="11"/>
  <c r="V10" i="11"/>
  <c r="W10" i="11"/>
  <c r="X10" i="11"/>
  <c r="Y10" i="11"/>
  <c r="Z10" i="11"/>
  <c r="AA10" i="11"/>
  <c r="AB10" i="11"/>
  <c r="AC10" i="11"/>
  <c r="AE10" i="11"/>
  <c r="AF10" i="11"/>
  <c r="AG10" i="11"/>
  <c r="AH10" i="11"/>
  <c r="AI10" i="11"/>
  <c r="AJ10" i="11"/>
  <c r="U10" i="11"/>
  <c r="U9" i="11"/>
  <c r="V8" i="11"/>
  <c r="W8" i="11"/>
  <c r="X8" i="11"/>
  <c r="Y8" i="11"/>
  <c r="Z8" i="11"/>
  <c r="AA8" i="11"/>
  <c r="AB8" i="11"/>
  <c r="AC8" i="11"/>
  <c r="AE8" i="11"/>
  <c r="AF8" i="11"/>
  <c r="AG8" i="11"/>
  <c r="AH8" i="11"/>
  <c r="AI8" i="11"/>
  <c r="AJ8" i="11"/>
  <c r="U8" i="11"/>
  <c r="V7" i="11"/>
  <c r="W7" i="11"/>
  <c r="X7" i="11"/>
  <c r="Y7" i="11"/>
  <c r="Z7" i="11"/>
  <c r="AA7" i="11"/>
  <c r="AB7" i="11"/>
  <c r="AC7" i="11"/>
  <c r="AE7" i="11"/>
  <c r="AF7" i="11"/>
  <c r="AG7" i="11"/>
  <c r="AH7" i="11"/>
  <c r="AI7" i="11"/>
  <c r="AJ7" i="11"/>
  <c r="U7" i="11"/>
  <c r="V5" i="11"/>
  <c r="W5" i="11"/>
  <c r="X5" i="11"/>
  <c r="Y5" i="11"/>
  <c r="Z5" i="11"/>
  <c r="AA5" i="11"/>
  <c r="AB5" i="11"/>
  <c r="AC5" i="11"/>
  <c r="AE5" i="11"/>
  <c r="AF5" i="11"/>
  <c r="AG5" i="11"/>
  <c r="AH5" i="11"/>
  <c r="AI5" i="11"/>
  <c r="AJ5" i="11"/>
  <c r="U5" i="11"/>
  <c r="V20" i="11"/>
  <c r="W20" i="11"/>
  <c r="X20" i="11"/>
  <c r="Y20" i="11"/>
  <c r="Z20" i="11"/>
  <c r="AA20" i="11"/>
  <c r="AB20" i="11"/>
  <c r="AC20" i="11"/>
  <c r="AE20" i="11"/>
  <c r="AF20" i="11"/>
  <c r="AG20" i="11"/>
  <c r="AH20" i="11"/>
  <c r="AI20" i="11"/>
  <c r="AJ20" i="11"/>
  <c r="U20" i="11"/>
  <c r="R5" i="11"/>
  <c r="S5" i="11" s="1"/>
  <c r="O7" i="11"/>
  <c r="P7" i="11" s="1"/>
  <c r="O8" i="11"/>
  <c r="P8" i="11" s="1"/>
  <c r="O9" i="11"/>
  <c r="P9" i="11" s="1"/>
  <c r="O10" i="11"/>
  <c r="P10" i="11" s="1"/>
  <c r="O13" i="11"/>
  <c r="P13" i="11" s="1"/>
  <c r="O15" i="11"/>
  <c r="P15" i="11" s="1"/>
  <c r="O16" i="11"/>
  <c r="P16" i="11" s="1"/>
  <c r="O20" i="11"/>
  <c r="P20" i="11" s="1"/>
  <c r="O21" i="11"/>
  <c r="P21" i="11" s="1"/>
  <c r="O22" i="11"/>
  <c r="P22" i="11" s="1"/>
  <c r="O23" i="11"/>
  <c r="P23" i="11" s="1"/>
  <c r="O24" i="11"/>
  <c r="P24" i="11" s="1"/>
  <c r="O26" i="11"/>
  <c r="P26" i="11" s="1"/>
  <c r="O27" i="11"/>
  <c r="P27" i="11" s="1"/>
  <c r="O29" i="11"/>
  <c r="P29" i="11" s="1"/>
  <c r="O30" i="11"/>
  <c r="P30" i="11" s="1"/>
  <c r="O31" i="11"/>
  <c r="P31" i="11" s="1"/>
  <c r="O32" i="11"/>
  <c r="P32" i="11" s="1"/>
  <c r="O33" i="11"/>
  <c r="P33" i="11" s="1"/>
  <c r="O34" i="11"/>
  <c r="P34" i="11" s="1"/>
  <c r="O36" i="11"/>
  <c r="P36" i="11" s="1"/>
  <c r="O38" i="11"/>
  <c r="P38" i="11" s="1"/>
  <c r="O39" i="11"/>
  <c r="P39" i="11" s="1"/>
  <c r="O40" i="11"/>
  <c r="P40" i="11" s="1"/>
  <c r="O41" i="11"/>
  <c r="P41" i="11" s="1"/>
  <c r="O42" i="11"/>
  <c r="P42" i="11" s="1"/>
  <c r="O43" i="11"/>
  <c r="P43" i="11" s="1"/>
  <c r="O46" i="11"/>
  <c r="P46" i="11" s="1"/>
  <c r="O48" i="11"/>
  <c r="P48" i="11" s="1"/>
  <c r="O50" i="11"/>
  <c r="P50" i="11" s="1"/>
  <c r="O51" i="11"/>
  <c r="P51" i="11" s="1"/>
  <c r="O54" i="11"/>
  <c r="P54" i="11" s="1"/>
  <c r="O56" i="11"/>
  <c r="P56" i="11" s="1"/>
  <c r="O57" i="11"/>
  <c r="P57" i="11" s="1"/>
  <c r="O5" i="11"/>
  <c r="P5" i="11" s="1"/>
  <c r="M7" i="11"/>
  <c r="M8" i="11"/>
  <c r="M9" i="11"/>
  <c r="M10" i="11"/>
  <c r="M13" i="11"/>
  <c r="M15" i="11"/>
  <c r="M16" i="11"/>
  <c r="M20" i="11"/>
  <c r="M21" i="11"/>
  <c r="M22" i="11"/>
  <c r="M23" i="11"/>
  <c r="M24" i="11"/>
  <c r="M26" i="11"/>
  <c r="M27" i="11"/>
  <c r="M29" i="11"/>
  <c r="M30" i="11"/>
  <c r="M31" i="11"/>
  <c r="M32" i="11"/>
  <c r="M33" i="11"/>
  <c r="M34" i="11"/>
  <c r="M36" i="11"/>
  <c r="M38" i="11"/>
  <c r="M39" i="11"/>
  <c r="M40" i="11"/>
  <c r="M41" i="11"/>
  <c r="M42" i="11"/>
  <c r="M43" i="11"/>
  <c r="M46" i="11"/>
  <c r="M48" i="11"/>
  <c r="M50" i="11"/>
  <c r="M51" i="11"/>
  <c r="M54" i="11"/>
  <c r="M56" i="11"/>
  <c r="M57" i="11"/>
  <c r="M5" i="11"/>
  <c r="L7" i="11"/>
  <c r="L8" i="11"/>
  <c r="L9" i="11"/>
  <c r="L10" i="11"/>
  <c r="L13" i="11"/>
  <c r="L15" i="11"/>
  <c r="L16" i="11"/>
  <c r="L20" i="11"/>
  <c r="L21" i="11"/>
  <c r="L22" i="11"/>
  <c r="L23" i="11"/>
  <c r="L24" i="11"/>
  <c r="L26" i="11"/>
  <c r="L27" i="11"/>
  <c r="L29" i="11"/>
  <c r="L30" i="11"/>
  <c r="L31" i="11"/>
  <c r="L32" i="11"/>
  <c r="L33" i="11"/>
  <c r="L34" i="11"/>
  <c r="L36" i="11"/>
  <c r="L38" i="11"/>
  <c r="L39" i="11"/>
  <c r="L40" i="11"/>
  <c r="L41" i="11"/>
  <c r="L42" i="11"/>
  <c r="L43" i="11"/>
  <c r="L46" i="11"/>
  <c r="L48" i="11"/>
  <c r="L50" i="11"/>
  <c r="L51" i="11"/>
  <c r="L54" i="11"/>
  <c r="L56" i="11"/>
  <c r="L57" i="11"/>
  <c r="L5" i="11"/>
  <c r="R7" i="11"/>
  <c r="S7" i="11" s="1"/>
  <c r="R8" i="11"/>
  <c r="S8" i="11" s="1"/>
  <c r="R9" i="11"/>
  <c r="S9" i="11" s="1"/>
  <c r="R10" i="11"/>
  <c r="S10" i="11" s="1"/>
  <c r="R13" i="11"/>
  <c r="S13" i="11" s="1"/>
  <c r="R16" i="11"/>
  <c r="S16" i="11" s="1"/>
  <c r="R20" i="11"/>
  <c r="S20" i="11" s="1"/>
  <c r="R21" i="11"/>
  <c r="S21" i="11" s="1"/>
  <c r="R22" i="11"/>
  <c r="S22" i="11" s="1"/>
  <c r="R23" i="11"/>
  <c r="S23" i="11" s="1"/>
  <c r="R24" i="11"/>
  <c r="S24" i="11" s="1"/>
  <c r="R26" i="11"/>
  <c r="S26" i="11" s="1"/>
  <c r="R27" i="11"/>
  <c r="S27" i="11" s="1"/>
  <c r="R29" i="11"/>
  <c r="S29" i="11" s="1"/>
  <c r="R30" i="11"/>
  <c r="S30" i="11" s="1"/>
  <c r="R31" i="11"/>
  <c r="S31" i="11" s="1"/>
  <c r="R32" i="11"/>
  <c r="S32" i="11" s="1"/>
  <c r="R33" i="11"/>
  <c r="R34" i="11"/>
  <c r="S34" i="11" s="1"/>
  <c r="R36" i="11"/>
  <c r="S36" i="11" s="1"/>
  <c r="R38" i="11"/>
  <c r="S38" i="11" s="1"/>
  <c r="R39" i="11"/>
  <c r="S39" i="11" s="1"/>
  <c r="R40" i="11"/>
  <c r="S40" i="11" s="1"/>
  <c r="R41" i="11"/>
  <c r="S41" i="11" s="1"/>
  <c r="R42" i="11"/>
  <c r="S42" i="11" s="1"/>
  <c r="R43" i="11"/>
  <c r="S43" i="11" s="1"/>
  <c r="R46" i="11"/>
  <c r="S46" i="11" s="1"/>
  <c r="R48" i="11"/>
  <c r="S48" i="11" s="1"/>
  <c r="R50" i="11"/>
  <c r="S50" i="11" s="1"/>
  <c r="R51" i="11"/>
  <c r="S51" i="11" s="1"/>
  <c r="R54" i="11"/>
  <c r="S54" i="11" s="1"/>
  <c r="R56" i="11"/>
  <c r="S56" i="11" s="1"/>
  <c r="R57" i="11"/>
  <c r="S57" i="11" s="1"/>
  <c r="K16" i="11" a="1"/>
  <c r="K16" i="11" s="1"/>
  <c r="K20" i="11" a="1"/>
  <c r="K20" i="11" s="1"/>
  <c r="K21" i="11" a="1"/>
  <c r="K21" i="11" s="1"/>
  <c r="K22" i="11" a="1"/>
  <c r="K22" i="11" s="1"/>
  <c r="K23" i="11" a="1"/>
  <c r="K23" i="11" s="1"/>
  <c r="K24" i="11" a="1"/>
  <c r="K24" i="11" s="1"/>
  <c r="K26" i="11" a="1"/>
  <c r="K26" i="11" s="1"/>
  <c r="K27" i="11" a="1"/>
  <c r="K27" i="11" s="1"/>
  <c r="K29" i="11" a="1"/>
  <c r="K29" i="11" s="1"/>
  <c r="K30" i="11" a="1"/>
  <c r="K30" i="11" s="1"/>
  <c r="K31" i="11" a="1"/>
  <c r="K31" i="11" s="1"/>
  <c r="K32" i="11" a="1"/>
  <c r="K32" i="11" s="1"/>
  <c r="K33" i="11" a="1"/>
  <c r="K33" i="11" s="1"/>
  <c r="K34" i="11" a="1"/>
  <c r="K34" i="11" s="1"/>
  <c r="K36" i="11" a="1"/>
  <c r="K36" i="11" s="1"/>
  <c r="K38" i="11" a="1"/>
  <c r="K38" i="11" s="1"/>
  <c r="K39" i="11" a="1"/>
  <c r="K39" i="11" s="1"/>
  <c r="K40" i="11" a="1"/>
  <c r="K40" i="11" s="1"/>
  <c r="K41" i="11" a="1"/>
  <c r="K41" i="11" s="1"/>
  <c r="K42" i="11" a="1"/>
  <c r="K42" i="11" s="1"/>
  <c r="K43" i="11" a="1"/>
  <c r="K43" i="11" s="1"/>
  <c r="K46" i="11" a="1"/>
  <c r="K46" i="11" s="1"/>
  <c r="K48" i="11" a="1"/>
  <c r="K48" i="11" s="1"/>
  <c r="K50" i="11" a="1"/>
  <c r="K50" i="11" s="1"/>
  <c r="K51" i="11" a="1"/>
  <c r="K51" i="11" s="1"/>
  <c r="K54" i="11" a="1"/>
  <c r="K54" i="11" s="1"/>
  <c r="K56" i="11" a="1"/>
  <c r="K56" i="11" s="1"/>
  <c r="K57" i="11" a="1"/>
  <c r="K57" i="11" s="1"/>
  <c r="K5" i="11" a="1"/>
  <c r="K5" i="11" s="1"/>
  <c r="K7" i="11" a="1"/>
  <c r="K7" i="11" s="1"/>
  <c r="K8" i="11" a="1"/>
  <c r="K8" i="11" s="1"/>
  <c r="K9" i="11" a="1"/>
  <c r="K9" i="11" s="1"/>
  <c r="K10" i="11" a="1"/>
  <c r="K10" i="11" s="1"/>
  <c r="K13" i="11" a="1"/>
  <c r="K13" i="11" s="1"/>
  <c r="K15" i="11" a="1"/>
  <c r="K15" i="11" s="1"/>
  <c r="I5" i="11"/>
  <c r="I7" i="11"/>
  <c r="I8" i="11"/>
  <c r="I9" i="11"/>
  <c r="I10" i="11"/>
  <c r="I13" i="11"/>
  <c r="I16" i="11"/>
  <c r="I20" i="11"/>
  <c r="I21" i="11"/>
  <c r="I22" i="11"/>
  <c r="I23" i="11"/>
  <c r="I24" i="11"/>
  <c r="I26" i="11"/>
  <c r="I27" i="11"/>
  <c r="I29" i="11"/>
  <c r="I30" i="11"/>
  <c r="I31" i="11"/>
  <c r="I32" i="11"/>
  <c r="I33" i="11"/>
  <c r="I34" i="11"/>
  <c r="I36" i="11"/>
  <c r="I38" i="11"/>
  <c r="I39" i="11"/>
  <c r="I40" i="11"/>
  <c r="I41" i="11"/>
  <c r="I42" i="11"/>
  <c r="I43" i="11"/>
  <c r="I46" i="11"/>
  <c r="I48" i="11"/>
  <c r="I50" i="11"/>
  <c r="I51" i="11"/>
  <c r="I54" i="11"/>
  <c r="I56" i="11"/>
  <c r="I57" i="11"/>
  <c r="H15" i="11"/>
  <c r="H16" i="11"/>
  <c r="H20" i="11"/>
  <c r="H21" i="11"/>
  <c r="H22" i="11"/>
  <c r="H23" i="11"/>
  <c r="H24" i="11"/>
  <c r="H26" i="11"/>
  <c r="H27" i="11"/>
  <c r="H29" i="11"/>
  <c r="H30" i="11"/>
  <c r="H31" i="11"/>
  <c r="H32" i="11"/>
  <c r="H33" i="11"/>
  <c r="H34" i="11"/>
  <c r="H36" i="11"/>
  <c r="H38" i="11"/>
  <c r="H39" i="11"/>
  <c r="H40" i="11"/>
  <c r="H41" i="11"/>
  <c r="H42" i="11"/>
  <c r="H43" i="11"/>
  <c r="H46" i="11"/>
  <c r="H48" i="11"/>
  <c r="H50" i="11"/>
  <c r="H51" i="11"/>
  <c r="H54" i="11"/>
  <c r="H56" i="11"/>
  <c r="H57" i="11"/>
  <c r="H5" i="11"/>
  <c r="H7" i="11"/>
  <c r="H8" i="11"/>
  <c r="H9" i="11"/>
  <c r="H10" i="11"/>
  <c r="H13" i="11"/>
  <c r="AA101" i="10"/>
  <c r="AB101" i="10"/>
  <c r="AC101" i="10"/>
  <c r="AD101" i="10"/>
  <c r="AA102" i="10"/>
  <c r="AB102" i="10"/>
  <c r="AC102" i="10"/>
  <c r="AD102" i="10"/>
  <c r="AA103" i="10"/>
  <c r="AB103" i="10"/>
  <c r="AC103" i="10"/>
  <c r="AD103" i="10"/>
  <c r="AA104" i="10"/>
  <c r="AB104" i="10"/>
  <c r="AC104" i="10"/>
  <c r="AD104" i="10"/>
  <c r="AA105" i="10"/>
  <c r="AB105" i="10"/>
  <c r="AC105" i="10"/>
  <c r="AD105" i="10"/>
  <c r="AA106" i="10"/>
  <c r="AB106" i="10"/>
  <c r="AC106" i="10"/>
  <c r="AD106" i="10"/>
  <c r="AA107" i="10"/>
  <c r="AB107" i="10"/>
  <c r="AC107" i="10"/>
  <c r="AD107" i="10"/>
  <c r="AA108" i="10"/>
  <c r="AB108" i="10"/>
  <c r="AC108" i="10"/>
  <c r="AD108" i="10"/>
  <c r="AA109" i="10"/>
  <c r="AB109" i="10"/>
  <c r="AC109" i="10"/>
  <c r="AD109" i="10"/>
  <c r="AA110" i="10"/>
  <c r="AB110" i="10"/>
  <c r="AC110" i="10"/>
  <c r="AD110" i="10"/>
  <c r="AA111" i="10"/>
  <c r="AB111" i="10"/>
  <c r="AC111" i="10"/>
  <c r="AD111" i="10"/>
  <c r="AA112" i="10"/>
  <c r="AB112" i="10"/>
  <c r="AC112" i="10"/>
  <c r="AD112" i="10"/>
  <c r="AA89" i="10"/>
  <c r="AB89" i="10"/>
  <c r="AC89" i="10"/>
  <c r="AD89" i="10"/>
  <c r="AA90" i="10"/>
  <c r="AB90" i="10"/>
  <c r="AC90" i="10"/>
  <c r="AD90" i="10"/>
  <c r="AA91" i="10"/>
  <c r="AB91" i="10"/>
  <c r="AC91" i="10"/>
  <c r="AD91" i="10"/>
  <c r="AA92" i="10"/>
  <c r="AB92" i="10"/>
  <c r="AC92" i="10"/>
  <c r="AD92" i="10"/>
  <c r="AA93" i="10"/>
  <c r="AB93" i="10"/>
  <c r="AC93" i="10"/>
  <c r="AD93" i="10"/>
  <c r="AA94" i="10"/>
  <c r="AB94" i="10"/>
  <c r="AC94" i="10"/>
  <c r="AD94" i="10"/>
  <c r="AA95" i="10"/>
  <c r="AB95" i="10"/>
  <c r="AC95" i="10"/>
  <c r="AD95" i="10"/>
  <c r="AA96" i="10"/>
  <c r="AB96" i="10"/>
  <c r="AC96" i="10"/>
  <c r="AD96" i="10"/>
  <c r="AA97" i="10"/>
  <c r="AB97" i="10"/>
  <c r="AC97" i="10"/>
  <c r="AD97" i="10"/>
  <c r="AA98" i="10"/>
  <c r="AB98" i="10"/>
  <c r="AC98" i="10"/>
  <c r="AD98" i="10"/>
  <c r="AA99" i="10"/>
  <c r="AB99" i="10"/>
  <c r="AC99" i="10"/>
  <c r="AD99" i="10"/>
  <c r="AA100" i="10"/>
  <c r="AB100" i="10"/>
  <c r="AC100" i="10"/>
  <c r="AD100" i="10"/>
  <c r="AA77" i="10"/>
  <c r="AB77" i="10"/>
  <c r="AC77" i="10"/>
  <c r="AD77" i="10"/>
  <c r="AA78" i="10"/>
  <c r="AB78" i="10"/>
  <c r="AC78" i="10"/>
  <c r="AD78" i="10"/>
  <c r="AA79" i="10"/>
  <c r="AB79" i="10"/>
  <c r="AC79" i="10"/>
  <c r="AD79" i="10"/>
  <c r="AA80" i="10"/>
  <c r="AB80" i="10"/>
  <c r="AC80" i="10"/>
  <c r="AD80" i="10"/>
  <c r="AA81" i="10"/>
  <c r="AB81" i="10"/>
  <c r="AC81" i="10"/>
  <c r="AD81" i="10"/>
  <c r="AA82" i="10"/>
  <c r="AB82" i="10"/>
  <c r="AC82" i="10"/>
  <c r="AD82" i="10"/>
  <c r="AA83" i="10"/>
  <c r="AB83" i="10"/>
  <c r="AC83" i="10"/>
  <c r="AD83" i="10"/>
  <c r="AA84" i="10"/>
  <c r="AB84" i="10"/>
  <c r="AC84" i="10"/>
  <c r="AD84" i="10"/>
  <c r="AA85" i="10"/>
  <c r="AB85" i="10"/>
  <c r="AC85" i="10"/>
  <c r="AD85" i="10"/>
  <c r="AA86" i="10"/>
  <c r="AB86" i="10"/>
  <c r="AC86" i="10"/>
  <c r="AD86" i="10"/>
  <c r="AA87" i="10"/>
  <c r="AB87" i="10"/>
  <c r="AC87" i="10"/>
  <c r="AD87" i="10"/>
  <c r="AA88" i="10"/>
  <c r="AB88" i="10"/>
  <c r="AC88" i="10"/>
  <c r="AD88" i="10"/>
  <c r="AA65" i="10"/>
  <c r="AB65" i="10"/>
  <c r="AC65" i="10"/>
  <c r="AD65" i="10"/>
  <c r="AA66" i="10"/>
  <c r="AB66" i="10"/>
  <c r="AC66" i="10"/>
  <c r="AD66" i="10"/>
  <c r="AA67" i="10"/>
  <c r="AB67" i="10"/>
  <c r="AC67" i="10"/>
  <c r="AD67" i="10"/>
  <c r="AA68" i="10"/>
  <c r="AB68" i="10"/>
  <c r="AC68" i="10"/>
  <c r="AD68" i="10"/>
  <c r="AA69" i="10"/>
  <c r="AB69" i="10"/>
  <c r="AC69" i="10"/>
  <c r="AD69" i="10"/>
  <c r="AA70" i="10"/>
  <c r="AB70" i="10"/>
  <c r="AC70" i="10"/>
  <c r="AD70" i="10"/>
  <c r="AA71" i="10"/>
  <c r="AB71" i="10"/>
  <c r="AC71" i="10"/>
  <c r="AD71" i="10"/>
  <c r="AA72" i="10"/>
  <c r="AB72" i="10"/>
  <c r="AC72" i="10"/>
  <c r="AD72" i="10"/>
  <c r="AA73" i="10"/>
  <c r="AB73" i="10"/>
  <c r="AC73" i="10"/>
  <c r="AD73" i="10"/>
  <c r="AA74" i="10"/>
  <c r="AB74" i="10"/>
  <c r="AC74" i="10"/>
  <c r="AD74" i="10"/>
  <c r="AA75" i="10"/>
  <c r="AB75" i="10"/>
  <c r="AC75" i="10"/>
  <c r="AD75" i="10"/>
  <c r="AA76" i="10"/>
  <c r="AB76" i="10"/>
  <c r="AC76" i="10"/>
  <c r="AD76" i="10"/>
  <c r="R15" i="11"/>
  <c r="S15" i="11" s="1"/>
  <c r="I15" i="11"/>
  <c r="AA9" i="10"/>
  <c r="AA53" i="10"/>
  <c r="AB53" i="10"/>
  <c r="AC53" i="10"/>
  <c r="AD53" i="10"/>
  <c r="AA54" i="10"/>
  <c r="AB54" i="10"/>
  <c r="AC54" i="10"/>
  <c r="AD54" i="10"/>
  <c r="AA55" i="10"/>
  <c r="AB55" i="10"/>
  <c r="AC55" i="10"/>
  <c r="AD55" i="10"/>
  <c r="AA56" i="10"/>
  <c r="AB56" i="10"/>
  <c r="AC56" i="10"/>
  <c r="AD56" i="10"/>
  <c r="AA57" i="10"/>
  <c r="AB57" i="10"/>
  <c r="AC57" i="10"/>
  <c r="AD57" i="10"/>
  <c r="AA58" i="10"/>
  <c r="AB58" i="10"/>
  <c r="AC58" i="10"/>
  <c r="AD58" i="10"/>
  <c r="AA59" i="10"/>
  <c r="AB59" i="10"/>
  <c r="AC59" i="10"/>
  <c r="AD59" i="10"/>
  <c r="AA60" i="10"/>
  <c r="AB60" i="10"/>
  <c r="AC60" i="10"/>
  <c r="AD60" i="10"/>
  <c r="AA61" i="10"/>
  <c r="AB61" i="10"/>
  <c r="AC61" i="10"/>
  <c r="AD61" i="10"/>
  <c r="AA62" i="10"/>
  <c r="AB62" i="10"/>
  <c r="AC62" i="10"/>
  <c r="AD62" i="10"/>
  <c r="AA63" i="10"/>
  <c r="AB63" i="10"/>
  <c r="AC63" i="10"/>
  <c r="AD63" i="10"/>
  <c r="AA64" i="10"/>
  <c r="AB64" i="10"/>
  <c r="AC64" i="10"/>
  <c r="AD64" i="10"/>
  <c r="AA43" i="10"/>
  <c r="AB43" i="10"/>
  <c r="AC43" i="10"/>
  <c r="AD43" i="10"/>
  <c r="AA44" i="10"/>
  <c r="AB44" i="10"/>
  <c r="AC44" i="10"/>
  <c r="AD44" i="10"/>
  <c r="AA45" i="10"/>
  <c r="AB45" i="10"/>
  <c r="AC45" i="10"/>
  <c r="AD45" i="10"/>
  <c r="AA46" i="10"/>
  <c r="AB46" i="10"/>
  <c r="AC46" i="10"/>
  <c r="AD46" i="10"/>
  <c r="AA47" i="10"/>
  <c r="AB47" i="10"/>
  <c r="AC47" i="10"/>
  <c r="AD47" i="10"/>
  <c r="AA48" i="10"/>
  <c r="AB48" i="10"/>
  <c r="AC48" i="10"/>
  <c r="AD48" i="10"/>
  <c r="AA49" i="10"/>
  <c r="AB49" i="10"/>
  <c r="AC49" i="10"/>
  <c r="AD49" i="10"/>
  <c r="AA50" i="10"/>
  <c r="AB50" i="10"/>
  <c r="AC50" i="10"/>
  <c r="AD50" i="10"/>
  <c r="AA51" i="10"/>
  <c r="AB51" i="10"/>
  <c r="AC51" i="10"/>
  <c r="AD51" i="10"/>
  <c r="AA52" i="10"/>
  <c r="AB52" i="10"/>
  <c r="AC52" i="10"/>
  <c r="AD52" i="10"/>
  <c r="AA27" i="10"/>
  <c r="AB27" i="10"/>
  <c r="AC27" i="10"/>
  <c r="AD27" i="10"/>
  <c r="AA28" i="10"/>
  <c r="AB28" i="10"/>
  <c r="AC28" i="10"/>
  <c r="AD28" i="10"/>
  <c r="AA29" i="10"/>
  <c r="AB29" i="10"/>
  <c r="AC29" i="10"/>
  <c r="AD29" i="10"/>
  <c r="AA30" i="10"/>
  <c r="AB30" i="10"/>
  <c r="AC30" i="10"/>
  <c r="AD30" i="10"/>
  <c r="AA31" i="10"/>
  <c r="AB31" i="10"/>
  <c r="AC31" i="10"/>
  <c r="AD31" i="10"/>
  <c r="AA32" i="10"/>
  <c r="AB32" i="10"/>
  <c r="AC32" i="10"/>
  <c r="AD32" i="10"/>
  <c r="AA33" i="10"/>
  <c r="AB33" i="10"/>
  <c r="AC33" i="10"/>
  <c r="AD33" i="10"/>
  <c r="AA34" i="10"/>
  <c r="AD34" i="10"/>
  <c r="AA35" i="10"/>
  <c r="AB35" i="10"/>
  <c r="AC35" i="10"/>
  <c r="AD35" i="10"/>
  <c r="AA36" i="10"/>
  <c r="AB36" i="10"/>
  <c r="AC36" i="10"/>
  <c r="AD36" i="10"/>
  <c r="AA37" i="10"/>
  <c r="AD37" i="10"/>
  <c r="AA38" i="10"/>
  <c r="AB38" i="10"/>
  <c r="AC38" i="10"/>
  <c r="AD38" i="10"/>
  <c r="AA39" i="10"/>
  <c r="AB39" i="10"/>
  <c r="AC39" i="10"/>
  <c r="AD39" i="10"/>
  <c r="AA40" i="10"/>
  <c r="AB40" i="10"/>
  <c r="AC40" i="10"/>
  <c r="AD40" i="10"/>
  <c r="AA41" i="10"/>
  <c r="AB41" i="10"/>
  <c r="AC41" i="10"/>
  <c r="AD41" i="10"/>
  <c r="AA42" i="10"/>
  <c r="AB42" i="10"/>
  <c r="AC42" i="10"/>
  <c r="AD42" i="10"/>
  <c r="AA17" i="10"/>
  <c r="AB17" i="10"/>
  <c r="AC17" i="10"/>
  <c r="AD17" i="10"/>
  <c r="AA18" i="10"/>
  <c r="AB18" i="10"/>
  <c r="AC18" i="10"/>
  <c r="AD18" i="10"/>
  <c r="AA19" i="10"/>
  <c r="AB19" i="10"/>
  <c r="AC19" i="10"/>
  <c r="AD19" i="10"/>
  <c r="AA20" i="10"/>
  <c r="AB20" i="10"/>
  <c r="AC20" i="10"/>
  <c r="AD20" i="10"/>
  <c r="AA21" i="10"/>
  <c r="AB21" i="10"/>
  <c r="AC21" i="10"/>
  <c r="AD21" i="10"/>
  <c r="AA22" i="10"/>
  <c r="AB22" i="10"/>
  <c r="AC22" i="10"/>
  <c r="AD22" i="10"/>
  <c r="AA23" i="10"/>
  <c r="AB23" i="10"/>
  <c r="AC23" i="10"/>
  <c r="AD23" i="10"/>
  <c r="AA24" i="10"/>
  <c r="AD24" i="10"/>
  <c r="AA25" i="10"/>
  <c r="AB25" i="10"/>
  <c r="AC25" i="10"/>
  <c r="AD25" i="10"/>
  <c r="AA26" i="10"/>
  <c r="AB26" i="10"/>
  <c r="AC26" i="10"/>
  <c r="AD26" i="10"/>
  <c r="AC2" i="10"/>
  <c r="AC3" i="10"/>
  <c r="AC4" i="10"/>
  <c r="AC5" i="10"/>
  <c r="AC6" i="10"/>
  <c r="AC7" i="10"/>
  <c r="AC8" i="10"/>
  <c r="AC9" i="10"/>
  <c r="AC10" i="10"/>
  <c r="AC11" i="10"/>
  <c r="AC12" i="10"/>
  <c r="AC13" i="10"/>
  <c r="AC14" i="10"/>
  <c r="AC15" i="10"/>
  <c r="AC16" i="10"/>
  <c r="AA2" i="10"/>
  <c r="AA3" i="10"/>
  <c r="AA4" i="10"/>
  <c r="AA5" i="10"/>
  <c r="AA6" i="10"/>
  <c r="AA7" i="10"/>
  <c r="AA8" i="10"/>
  <c r="AA10" i="10"/>
  <c r="AA11" i="10"/>
  <c r="AA12" i="10"/>
  <c r="AA13" i="10"/>
  <c r="AA14" i="10"/>
  <c r="AA15" i="10"/>
  <c r="AA16" i="10"/>
  <c r="AB2" i="10"/>
  <c r="AB3" i="10"/>
  <c r="AB4" i="10"/>
  <c r="AB5" i="10"/>
  <c r="AB6" i="10"/>
  <c r="AB7" i="10"/>
  <c r="AB8" i="10"/>
  <c r="AB9" i="10"/>
  <c r="AB10" i="10"/>
  <c r="AB11" i="10"/>
  <c r="AB12" i="10"/>
  <c r="AB13" i="10"/>
  <c r="AB14" i="10"/>
  <c r="AB15" i="10"/>
  <c r="AB16" i="10"/>
  <c r="AD2" i="10"/>
  <c r="AD3" i="10"/>
  <c r="AD4" i="10"/>
  <c r="AD5" i="10"/>
  <c r="AD6" i="10"/>
  <c r="AD7" i="10"/>
  <c r="AD8" i="10"/>
  <c r="AD9" i="10"/>
  <c r="AD10" i="10"/>
  <c r="AD11" i="10"/>
  <c r="AD12" i="10"/>
  <c r="AD13" i="10"/>
  <c r="AD14" i="10"/>
  <c r="AD15" i="10"/>
  <c r="AD16" i="10"/>
  <c r="M28" i="3"/>
  <c r="J28" i="3"/>
  <c r="C28" i="3"/>
  <c r="G28" i="3"/>
  <c r="AH24" i="8"/>
  <c r="AG24" i="8"/>
  <c r="AF24" i="8"/>
  <c r="AE24" i="8"/>
  <c r="AD24" i="8"/>
  <c r="AC24" i="8"/>
  <c r="AB24" i="8"/>
  <c r="AA24" i="8"/>
  <c r="Z24" i="8"/>
  <c r="Y24" i="8"/>
  <c r="X24" i="8"/>
  <c r="W24" i="8"/>
  <c r="V24" i="8"/>
  <c r="U24" i="8"/>
  <c r="T24" i="8"/>
  <c r="S24" i="8"/>
  <c r="R24" i="8"/>
  <c r="Q24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AH23" i="8"/>
  <c r="AG23" i="8"/>
  <c r="AF23" i="8"/>
  <c r="AE23" i="8"/>
  <c r="AD23" i="8"/>
  <c r="AC23" i="8"/>
  <c r="AB23" i="8"/>
  <c r="AA23" i="8"/>
  <c r="Z23" i="8"/>
  <c r="Y23" i="8"/>
  <c r="X23" i="8"/>
  <c r="W23" i="8"/>
  <c r="V23" i="8"/>
  <c r="U23" i="8"/>
  <c r="T23" i="8"/>
  <c r="S23" i="8"/>
  <c r="R23" i="8"/>
  <c r="Q23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AH22" i="8"/>
  <c r="AG22" i="8"/>
  <c r="AF22" i="8"/>
  <c r="AE22" i="8"/>
  <c r="AD22" i="8"/>
  <c r="AC22" i="8"/>
  <c r="AB22" i="8"/>
  <c r="AA22" i="8"/>
  <c r="Z22" i="8"/>
  <c r="Y22" i="8"/>
  <c r="X22" i="8"/>
  <c r="W22" i="8"/>
  <c r="V22" i="8"/>
  <c r="U22" i="8"/>
  <c r="T22" i="8"/>
  <c r="S22" i="8"/>
  <c r="R22" i="8"/>
  <c r="Q22" i="8"/>
  <c r="P22" i="8"/>
  <c r="O22" i="8"/>
  <c r="M22" i="8"/>
  <c r="L22" i="8"/>
  <c r="J22" i="8"/>
  <c r="I22" i="8"/>
  <c r="G22" i="8"/>
  <c r="F22" i="8"/>
  <c r="E22" i="8"/>
  <c r="C22" i="8"/>
  <c r="AH21" i="8"/>
  <c r="AG21" i="8"/>
  <c r="AF21" i="8"/>
  <c r="AE21" i="8"/>
  <c r="AD21" i="8"/>
  <c r="AC21" i="8"/>
  <c r="AB21" i="8"/>
  <c r="AA21" i="8"/>
  <c r="Z21" i="8"/>
  <c r="Y21" i="8"/>
  <c r="X21" i="8"/>
  <c r="W21" i="8"/>
  <c r="V21" i="8"/>
  <c r="U21" i="8"/>
  <c r="T21" i="8"/>
  <c r="S21" i="8"/>
  <c r="R21" i="8"/>
  <c r="Q21" i="8"/>
  <c r="P21" i="8"/>
  <c r="O21" i="8"/>
  <c r="M21" i="8"/>
  <c r="L21" i="8"/>
  <c r="J21" i="8"/>
  <c r="I21" i="8"/>
  <c r="G21" i="8"/>
  <c r="F21" i="8"/>
  <c r="E21" i="8"/>
  <c r="C21" i="8"/>
  <c r="AH20" i="8"/>
  <c r="AG20" i="8"/>
  <c r="AF20" i="8"/>
  <c r="AE20" i="8"/>
  <c r="AD20" i="8"/>
  <c r="AC20" i="8"/>
  <c r="AB20" i="8"/>
  <c r="AA20" i="8"/>
  <c r="Z20" i="8"/>
  <c r="Y20" i="8"/>
  <c r="X20" i="8"/>
  <c r="W20" i="8"/>
  <c r="V20" i="8"/>
  <c r="U20" i="8"/>
  <c r="T20" i="8"/>
  <c r="S20" i="8"/>
  <c r="R20" i="8"/>
  <c r="Q20" i="8"/>
  <c r="P20" i="8"/>
  <c r="O20" i="8"/>
  <c r="M20" i="8"/>
  <c r="L20" i="8"/>
  <c r="J20" i="8"/>
  <c r="I20" i="8"/>
  <c r="G20" i="8"/>
  <c r="F20" i="8"/>
  <c r="E20" i="8"/>
  <c r="C20" i="8"/>
  <c r="AH19" i="8"/>
  <c r="AG19" i="8"/>
  <c r="AF19" i="8"/>
  <c r="AE19" i="8"/>
  <c r="AD19" i="8"/>
  <c r="AC19" i="8"/>
  <c r="AB19" i="8"/>
  <c r="AA19" i="8"/>
  <c r="Z19" i="8"/>
  <c r="Y19" i="8"/>
  <c r="X19" i="8"/>
  <c r="W19" i="8"/>
  <c r="V19" i="8"/>
  <c r="U19" i="8"/>
  <c r="T19" i="8"/>
  <c r="S19" i="8"/>
  <c r="R19" i="8"/>
  <c r="Q19" i="8"/>
  <c r="P19" i="8"/>
  <c r="O19" i="8"/>
  <c r="M19" i="8"/>
  <c r="L19" i="8"/>
  <c r="J19" i="8"/>
  <c r="I19" i="8"/>
  <c r="G19" i="8"/>
  <c r="F19" i="8"/>
  <c r="E19" i="8"/>
  <c r="C19" i="8"/>
  <c r="AH18" i="8"/>
  <c r="AG18" i="8"/>
  <c r="AF18" i="8"/>
  <c r="AE18" i="8"/>
  <c r="AD18" i="8"/>
  <c r="AC18" i="8"/>
  <c r="AB18" i="8"/>
  <c r="AA18" i="8"/>
  <c r="Z18" i="8"/>
  <c r="Y18" i="8"/>
  <c r="X18" i="8"/>
  <c r="W18" i="8"/>
  <c r="V18" i="8"/>
  <c r="U18" i="8"/>
  <c r="T18" i="8"/>
  <c r="S18" i="8"/>
  <c r="R18" i="8"/>
  <c r="Q18" i="8"/>
  <c r="P18" i="8"/>
  <c r="O18" i="8"/>
  <c r="M18" i="8"/>
  <c r="L18" i="8"/>
  <c r="J18" i="8"/>
  <c r="I18" i="8"/>
  <c r="G18" i="8"/>
  <c r="F18" i="8"/>
  <c r="E18" i="8"/>
  <c r="C18" i="8"/>
  <c r="AH17" i="8"/>
  <c r="AG17" i="8"/>
  <c r="AF17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M17" i="8"/>
  <c r="L17" i="8"/>
  <c r="J17" i="8"/>
  <c r="I17" i="8"/>
  <c r="G17" i="8"/>
  <c r="F17" i="8"/>
  <c r="E17" i="8"/>
  <c r="C17" i="8"/>
  <c r="AH10" i="8"/>
  <c r="AG10" i="8"/>
  <c r="AF10" i="8"/>
  <c r="AE10" i="8"/>
  <c r="AD10" i="8"/>
  <c r="AC10" i="8"/>
  <c r="AB10" i="8"/>
  <c r="AA10" i="8"/>
  <c r="Z10" i="8"/>
  <c r="Y10" i="8"/>
  <c r="X10" i="8"/>
  <c r="W10" i="8"/>
  <c r="V10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AH9" i="8"/>
  <c r="AG9" i="8"/>
  <c r="AF9" i="8"/>
  <c r="AE9" i="8"/>
  <c r="AD9" i="8"/>
  <c r="AC9" i="8"/>
  <c r="AB9" i="8"/>
  <c r="AA9" i="8"/>
  <c r="Z9" i="8"/>
  <c r="Y9" i="8"/>
  <c r="X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AH8" i="8"/>
  <c r="AG8" i="8"/>
  <c r="AF8" i="8"/>
  <c r="AE8" i="8"/>
  <c r="AD8" i="8"/>
  <c r="AC8" i="8"/>
  <c r="AB8" i="8"/>
  <c r="AA8" i="8"/>
  <c r="Z8" i="8"/>
  <c r="Y8" i="8"/>
  <c r="X8" i="8"/>
  <c r="W8" i="8"/>
  <c r="V8" i="8"/>
  <c r="U8" i="8"/>
  <c r="T8" i="8"/>
  <c r="S8" i="8"/>
  <c r="R8" i="8"/>
  <c r="Q8" i="8"/>
  <c r="P8" i="8"/>
  <c r="O8" i="8"/>
  <c r="M8" i="8"/>
  <c r="L8" i="8"/>
  <c r="J8" i="8"/>
  <c r="I8" i="8"/>
  <c r="G8" i="8"/>
  <c r="F8" i="8"/>
  <c r="E8" i="8"/>
  <c r="C8" i="8"/>
  <c r="AH7" i="8"/>
  <c r="AG7" i="8"/>
  <c r="AF7" i="8"/>
  <c r="AE7" i="8"/>
  <c r="AD7" i="8"/>
  <c r="AC7" i="8"/>
  <c r="AB7" i="8"/>
  <c r="AA7" i="8"/>
  <c r="Z7" i="8"/>
  <c r="Y7" i="8"/>
  <c r="X7" i="8"/>
  <c r="W7" i="8"/>
  <c r="V7" i="8"/>
  <c r="U7" i="8"/>
  <c r="T7" i="8"/>
  <c r="S7" i="8"/>
  <c r="R7" i="8"/>
  <c r="Q7" i="8"/>
  <c r="P7" i="8"/>
  <c r="O7" i="8"/>
  <c r="M7" i="8"/>
  <c r="L7" i="8"/>
  <c r="J7" i="8"/>
  <c r="I7" i="8"/>
  <c r="G7" i="8"/>
  <c r="F7" i="8"/>
  <c r="E7" i="8"/>
  <c r="C7" i="8"/>
  <c r="AH6" i="8"/>
  <c r="AG6" i="8"/>
  <c r="AF6" i="8"/>
  <c r="AE6" i="8"/>
  <c r="AD6" i="8"/>
  <c r="AC6" i="8"/>
  <c r="AB6" i="8"/>
  <c r="AA6" i="8"/>
  <c r="Z6" i="8"/>
  <c r="Y6" i="8"/>
  <c r="X6" i="8"/>
  <c r="W6" i="8"/>
  <c r="V6" i="8"/>
  <c r="U6" i="8"/>
  <c r="T6" i="8"/>
  <c r="S6" i="8"/>
  <c r="R6" i="8"/>
  <c r="Q6" i="8"/>
  <c r="P6" i="8"/>
  <c r="O6" i="8"/>
  <c r="M6" i="8"/>
  <c r="L6" i="8"/>
  <c r="J6" i="8"/>
  <c r="I6" i="8"/>
  <c r="G6" i="8"/>
  <c r="F6" i="8"/>
  <c r="E6" i="8"/>
  <c r="C6" i="8"/>
  <c r="AH5" i="8"/>
  <c r="AG5" i="8"/>
  <c r="AF5" i="8"/>
  <c r="AE5" i="8"/>
  <c r="AD5" i="8"/>
  <c r="AC5" i="8"/>
  <c r="AB5" i="8"/>
  <c r="AA5" i="8"/>
  <c r="Z5" i="8"/>
  <c r="Y5" i="8"/>
  <c r="X5" i="8"/>
  <c r="W5" i="8"/>
  <c r="V5" i="8"/>
  <c r="U5" i="8"/>
  <c r="T5" i="8"/>
  <c r="S5" i="8"/>
  <c r="R5" i="8"/>
  <c r="Q5" i="8"/>
  <c r="P5" i="8"/>
  <c r="O5" i="8"/>
  <c r="M5" i="8"/>
  <c r="L5" i="8"/>
  <c r="J5" i="8"/>
  <c r="I5" i="8"/>
  <c r="G5" i="8"/>
  <c r="F5" i="8"/>
  <c r="E5" i="8"/>
  <c r="C5" i="8"/>
  <c r="AH4" i="8"/>
  <c r="AG4" i="8"/>
  <c r="AF4" i="8"/>
  <c r="AE4" i="8"/>
  <c r="AD4" i="8"/>
  <c r="AC4" i="8"/>
  <c r="AB4" i="8"/>
  <c r="AA4" i="8"/>
  <c r="Z4" i="8"/>
  <c r="Y4" i="8"/>
  <c r="X4" i="8"/>
  <c r="W4" i="8"/>
  <c r="V4" i="8"/>
  <c r="U4" i="8"/>
  <c r="T4" i="8"/>
  <c r="S4" i="8"/>
  <c r="R4" i="8"/>
  <c r="Q4" i="8"/>
  <c r="P4" i="8"/>
  <c r="O4" i="8"/>
  <c r="M4" i="8"/>
  <c r="L4" i="8"/>
  <c r="J4" i="8"/>
  <c r="I4" i="8"/>
  <c r="G4" i="8"/>
  <c r="F4" i="8"/>
  <c r="E4" i="8"/>
  <c r="C4" i="8"/>
  <c r="AH3" i="8"/>
  <c r="AG3" i="8"/>
  <c r="AF3" i="8"/>
  <c r="AE3" i="8"/>
  <c r="AD3" i="8"/>
  <c r="AC3" i="8"/>
  <c r="AB3" i="8"/>
  <c r="AA3" i="8"/>
  <c r="Z3" i="8"/>
  <c r="Y3" i="8"/>
  <c r="X3" i="8"/>
  <c r="W3" i="8"/>
  <c r="V3" i="8"/>
  <c r="U3" i="8"/>
  <c r="T3" i="8"/>
  <c r="S3" i="8"/>
  <c r="R3" i="8"/>
  <c r="Q3" i="8"/>
  <c r="P3" i="8"/>
  <c r="O3" i="8"/>
  <c r="M3" i="8"/>
  <c r="L3" i="8"/>
  <c r="J3" i="8"/>
  <c r="I3" i="8"/>
  <c r="G3" i="8"/>
  <c r="F3" i="8"/>
  <c r="E3" i="8"/>
  <c r="C3" i="8"/>
  <c r="M38" i="3"/>
  <c r="J38" i="3"/>
  <c r="G38" i="3"/>
  <c r="C38" i="3"/>
  <c r="M3" i="3"/>
  <c r="M15" i="3"/>
  <c r="M6" i="3"/>
  <c r="N17" i="8" s="1"/>
  <c r="M5" i="3"/>
  <c r="M10" i="3"/>
  <c r="J6" i="3"/>
  <c r="K17" i="8" s="1"/>
  <c r="J5" i="3"/>
  <c r="J10" i="3"/>
  <c r="C6" i="3"/>
  <c r="D5" i="8" s="1"/>
  <c r="C5" i="3"/>
  <c r="C10" i="3"/>
  <c r="G6" i="3"/>
  <c r="H17" i="8" s="1"/>
  <c r="G5" i="3"/>
  <c r="G10" i="3"/>
  <c r="M41" i="3"/>
  <c r="M12" i="3"/>
  <c r="J23" i="3"/>
  <c r="J41" i="3"/>
  <c r="J12" i="3"/>
  <c r="C41" i="3"/>
  <c r="C12" i="3"/>
  <c r="G41" i="3"/>
  <c r="G12" i="3"/>
  <c r="M45" i="3"/>
  <c r="J45" i="3"/>
  <c r="C45" i="3"/>
  <c r="G45" i="3"/>
  <c r="M37" i="3"/>
  <c r="J37" i="3"/>
  <c r="C37" i="3"/>
  <c r="G37" i="3"/>
  <c r="J3" i="3"/>
  <c r="C3" i="3"/>
  <c r="G3" i="3"/>
  <c r="M20" i="3"/>
  <c r="J20" i="3"/>
  <c r="G20" i="3"/>
  <c r="C20" i="3"/>
  <c r="M9" i="3"/>
  <c r="N7" i="8" s="1"/>
  <c r="J9" i="3"/>
  <c r="K7" i="8" s="1"/>
  <c r="G9" i="3"/>
  <c r="H7" i="8" s="1"/>
  <c r="C9" i="3"/>
  <c r="D7" i="8" s="1"/>
  <c r="M44" i="3"/>
  <c r="J44" i="3"/>
  <c r="C44" i="3"/>
  <c r="G44" i="3"/>
  <c r="M35" i="3"/>
  <c r="M8" i="3"/>
  <c r="N18" i="8" s="1"/>
  <c r="J8" i="3"/>
  <c r="K18" i="8" s="1"/>
  <c r="J35" i="3"/>
  <c r="G8" i="3"/>
  <c r="H18" i="8" s="1"/>
  <c r="G27" i="3"/>
  <c r="H21" i="8" s="1"/>
  <c r="G33" i="3"/>
  <c r="G32" i="3"/>
  <c r="G35" i="3"/>
  <c r="C35" i="3"/>
  <c r="C33" i="3"/>
  <c r="C32" i="3"/>
  <c r="C27" i="3"/>
  <c r="D21" i="8" s="1"/>
  <c r="C8" i="3"/>
  <c r="D18" i="8" s="1"/>
  <c r="M46" i="3"/>
  <c r="J46" i="3"/>
  <c r="G46" i="3"/>
  <c r="C46" i="3"/>
  <c r="C42" i="3"/>
  <c r="D22" i="8" s="1"/>
  <c r="M19" i="3"/>
  <c r="N19" i="8" s="1"/>
  <c r="J19" i="3"/>
  <c r="K19" i="8" s="1"/>
  <c r="G19" i="3"/>
  <c r="H19" i="8" s="1"/>
  <c r="C19" i="3"/>
  <c r="D19" i="8" s="1"/>
  <c r="M25" i="3"/>
  <c r="M34" i="3"/>
  <c r="M33" i="3"/>
  <c r="M32" i="3"/>
  <c r="M36" i="3"/>
  <c r="J25" i="3"/>
  <c r="J34" i="3"/>
  <c r="J33" i="3"/>
  <c r="J32" i="3"/>
  <c r="J36" i="3"/>
  <c r="G25" i="3"/>
  <c r="G34" i="3"/>
  <c r="G36" i="3"/>
  <c r="C34" i="3"/>
  <c r="C25" i="3"/>
  <c r="M2" i="3"/>
  <c r="N4" i="8" s="1"/>
  <c r="M24" i="3"/>
  <c r="M29" i="3"/>
  <c r="J2" i="3"/>
  <c r="K4" i="8" s="1"/>
  <c r="J24" i="3"/>
  <c r="J29" i="3"/>
  <c r="G2" i="3"/>
  <c r="H3" i="8" s="1"/>
  <c r="G24" i="3"/>
  <c r="G29" i="3"/>
  <c r="C2" i="3"/>
  <c r="D4" i="8" s="1"/>
  <c r="C29" i="3"/>
  <c r="M47" i="3"/>
  <c r="M39" i="3"/>
  <c r="M16" i="3"/>
  <c r="J47" i="3"/>
  <c r="J39" i="3"/>
  <c r="J16" i="3"/>
  <c r="G47" i="3"/>
  <c r="G39" i="3"/>
  <c r="G16" i="3"/>
  <c r="C47" i="3"/>
  <c r="C39" i="3"/>
  <c r="C36" i="3"/>
  <c r="C16" i="3"/>
  <c r="M40" i="3"/>
  <c r="J40" i="3"/>
  <c r="C40" i="3"/>
  <c r="G40" i="3"/>
  <c r="C3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C24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C23" i="4"/>
  <c r="E22" i="4"/>
  <c r="F22" i="4"/>
  <c r="G22" i="4"/>
  <c r="I22" i="4"/>
  <c r="J22" i="4"/>
  <c r="L22" i="4"/>
  <c r="M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C22" i="4"/>
  <c r="E21" i="4"/>
  <c r="F21" i="4"/>
  <c r="G21" i="4"/>
  <c r="I21" i="4"/>
  <c r="J21" i="4"/>
  <c r="L21" i="4"/>
  <c r="M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C21" i="4"/>
  <c r="E20" i="4"/>
  <c r="F20" i="4"/>
  <c r="G20" i="4"/>
  <c r="I20" i="4"/>
  <c r="J20" i="4"/>
  <c r="L20" i="4"/>
  <c r="M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C20" i="4"/>
  <c r="E19" i="4"/>
  <c r="F19" i="4"/>
  <c r="G19" i="4"/>
  <c r="I19" i="4"/>
  <c r="J19" i="4"/>
  <c r="L19" i="4"/>
  <c r="M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C19" i="4"/>
  <c r="E18" i="4"/>
  <c r="F18" i="4"/>
  <c r="G18" i="4"/>
  <c r="I18" i="4"/>
  <c r="J18" i="4"/>
  <c r="L18" i="4"/>
  <c r="M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C18" i="4"/>
  <c r="E17" i="4"/>
  <c r="F17" i="4"/>
  <c r="G17" i="4"/>
  <c r="I17" i="4"/>
  <c r="J17" i="4"/>
  <c r="L17" i="4"/>
  <c r="M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C17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E8" i="4"/>
  <c r="F8" i="4"/>
  <c r="G8" i="4"/>
  <c r="I8" i="4"/>
  <c r="J8" i="4"/>
  <c r="L8" i="4"/>
  <c r="M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E7" i="4"/>
  <c r="F7" i="4"/>
  <c r="G7" i="4"/>
  <c r="I7" i="4"/>
  <c r="J7" i="4"/>
  <c r="L7" i="4"/>
  <c r="M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E6" i="4"/>
  <c r="F6" i="4"/>
  <c r="G6" i="4"/>
  <c r="I6" i="4"/>
  <c r="J6" i="4"/>
  <c r="L6" i="4"/>
  <c r="M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E5" i="4"/>
  <c r="F5" i="4"/>
  <c r="G5" i="4"/>
  <c r="I5" i="4"/>
  <c r="J5" i="4"/>
  <c r="L5" i="4"/>
  <c r="M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C10" i="4"/>
  <c r="C9" i="4"/>
  <c r="C8" i="4"/>
  <c r="C7" i="4"/>
  <c r="C6" i="4"/>
  <c r="C5" i="4"/>
  <c r="E4" i="4"/>
  <c r="F4" i="4"/>
  <c r="G4" i="4"/>
  <c r="I4" i="4"/>
  <c r="J4" i="4"/>
  <c r="L4" i="4"/>
  <c r="M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C4" i="4"/>
  <c r="E3" i="4"/>
  <c r="F3" i="4"/>
  <c r="G3" i="4"/>
  <c r="I3" i="4"/>
  <c r="J3" i="4"/>
  <c r="L3" i="4"/>
  <c r="M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J15" i="3"/>
  <c r="G15" i="3"/>
  <c r="C15" i="3"/>
  <c r="M27" i="3"/>
  <c r="N21" i="8" s="1"/>
  <c r="M17" i="3"/>
  <c r="J27" i="3"/>
  <c r="K21" i="8" s="1"/>
  <c r="J17" i="3"/>
  <c r="G17" i="3"/>
  <c r="C17" i="3"/>
  <c r="M43" i="3"/>
  <c r="M31" i="3"/>
  <c r="M30" i="3"/>
  <c r="M21" i="3"/>
  <c r="M18" i="3"/>
  <c r="M7" i="3"/>
  <c r="N20" i="8" s="1"/>
  <c r="M4" i="3"/>
  <c r="J43" i="3"/>
  <c r="J42" i="3"/>
  <c r="K22" i="8" s="1"/>
  <c r="J31" i="3"/>
  <c r="J30" i="3"/>
  <c r="J21" i="3"/>
  <c r="J18" i="3"/>
  <c r="J7" i="3"/>
  <c r="K20" i="8" s="1"/>
  <c r="J4" i="3"/>
  <c r="G43" i="3"/>
  <c r="G42" i="3"/>
  <c r="H22" i="8" s="1"/>
  <c r="G31" i="3"/>
  <c r="G30" i="3"/>
  <c r="G21" i="3"/>
  <c r="G18" i="3"/>
  <c r="G7" i="3"/>
  <c r="H6" i="8" s="1"/>
  <c r="C43" i="3"/>
  <c r="C31" i="3"/>
  <c r="C30" i="3"/>
  <c r="C21" i="3"/>
  <c r="G4" i="3"/>
  <c r="C4" i="3"/>
  <c r="M26" i="3"/>
  <c r="M22" i="3"/>
  <c r="M11" i="3"/>
  <c r="N8" i="8" s="1"/>
  <c r="J26" i="3"/>
  <c r="J22" i="3"/>
  <c r="J11" i="3"/>
  <c r="K8" i="8" s="1"/>
  <c r="G26" i="3"/>
  <c r="G22" i="3"/>
  <c r="G11" i="3"/>
  <c r="H8" i="8" s="1"/>
  <c r="C26" i="3"/>
  <c r="C24" i="3"/>
  <c r="C22" i="3"/>
  <c r="C11" i="3"/>
  <c r="D8" i="8" s="1"/>
  <c r="M42" i="3"/>
  <c r="N22" i="8" s="1"/>
  <c r="M23" i="3"/>
  <c r="G23" i="3"/>
  <c r="C23" i="3"/>
  <c r="C18" i="3"/>
  <c r="C7" i="3"/>
  <c r="D20" i="8" s="1"/>
  <c r="O37" i="1"/>
  <c r="L37" i="1"/>
  <c r="E37" i="1"/>
  <c r="I37" i="1"/>
  <c r="O28" i="1"/>
  <c r="L28" i="1"/>
  <c r="E28" i="1"/>
  <c r="I28" i="1"/>
  <c r="O19" i="1"/>
  <c r="O13" i="1"/>
  <c r="L19" i="1"/>
  <c r="L13" i="1"/>
  <c r="I19" i="1"/>
  <c r="I13" i="1"/>
  <c r="E19" i="1"/>
  <c r="E13" i="1"/>
  <c r="O20" i="1"/>
  <c r="L20" i="1"/>
  <c r="I20" i="1"/>
  <c r="E20" i="1"/>
  <c r="O12" i="1"/>
  <c r="L12" i="1"/>
  <c r="I12" i="1"/>
  <c r="E12" i="1"/>
  <c r="O22" i="1"/>
  <c r="L22" i="1"/>
  <c r="I22" i="1"/>
  <c r="E22" i="1"/>
  <c r="O11" i="1"/>
  <c r="O14" i="1"/>
  <c r="O25" i="1"/>
  <c r="L14" i="1"/>
  <c r="L11" i="1"/>
  <c r="L25" i="1"/>
  <c r="I11" i="1"/>
  <c r="I14" i="1"/>
  <c r="I25" i="1"/>
  <c r="E11" i="1"/>
  <c r="E14" i="1"/>
  <c r="E25" i="1"/>
  <c r="O6" i="1"/>
  <c r="L6" i="1"/>
  <c r="I6" i="1"/>
  <c r="H18" i="4" s="1"/>
  <c r="E6" i="1"/>
  <c r="O31" i="1"/>
  <c r="L31" i="1"/>
  <c r="E31" i="1"/>
  <c r="I31" i="1"/>
  <c r="O30" i="1"/>
  <c r="L30" i="1"/>
  <c r="I30" i="1"/>
  <c r="E30" i="1"/>
  <c r="O2" i="1"/>
  <c r="L2" i="1"/>
  <c r="I2" i="1"/>
  <c r="E2" i="1"/>
  <c r="E33" i="1"/>
  <c r="E17" i="1"/>
  <c r="E26" i="1"/>
  <c r="E35" i="1"/>
  <c r="E24" i="1"/>
  <c r="E32" i="1"/>
  <c r="E34" i="1"/>
  <c r="E5" i="1"/>
  <c r="E21" i="1"/>
  <c r="E7" i="1"/>
  <c r="E9" i="1"/>
  <c r="E8" i="1"/>
  <c r="E18" i="1"/>
  <c r="E16" i="1"/>
  <c r="E3" i="1"/>
  <c r="E4" i="1"/>
  <c r="E36" i="1"/>
  <c r="E29" i="1"/>
  <c r="E27" i="1"/>
  <c r="E23" i="1"/>
  <c r="E15" i="1"/>
  <c r="O4" i="1"/>
  <c r="L4" i="1"/>
  <c r="I4" i="1"/>
  <c r="O3" i="1"/>
  <c r="L3" i="1"/>
  <c r="I3" i="1"/>
  <c r="O16" i="1"/>
  <c r="O18" i="1"/>
  <c r="O8" i="1"/>
  <c r="L16" i="1"/>
  <c r="L18" i="1"/>
  <c r="L8" i="1"/>
  <c r="L32" i="1"/>
  <c r="I16" i="1"/>
  <c r="I18" i="1"/>
  <c r="I8" i="1"/>
  <c r="I32" i="1"/>
  <c r="O21" i="1"/>
  <c r="O7" i="1"/>
  <c r="O9" i="1"/>
  <c r="L7" i="1"/>
  <c r="L9" i="1"/>
  <c r="I7" i="1"/>
  <c r="I9" i="1"/>
  <c r="O27" i="1"/>
  <c r="O23" i="1"/>
  <c r="O36" i="1"/>
  <c r="O29" i="1"/>
  <c r="O33" i="1"/>
  <c r="O17" i="1"/>
  <c r="O26" i="1"/>
  <c r="O35" i="1"/>
  <c r="O24" i="1"/>
  <c r="O32" i="1"/>
  <c r="O34" i="1"/>
  <c r="O5" i="1"/>
  <c r="N6" i="4" s="1"/>
  <c r="O15" i="1"/>
  <c r="L27" i="1"/>
  <c r="L23" i="1"/>
  <c r="L36" i="1"/>
  <c r="L29" i="1"/>
  <c r="L33" i="1"/>
  <c r="L17" i="1"/>
  <c r="L26" i="1"/>
  <c r="L35" i="1"/>
  <c r="L24" i="1"/>
  <c r="L34" i="1"/>
  <c r="L5" i="1"/>
  <c r="L21" i="1"/>
  <c r="L15" i="1"/>
  <c r="I27" i="1"/>
  <c r="I23" i="1"/>
  <c r="I36" i="1"/>
  <c r="I29" i="1"/>
  <c r="I33" i="1"/>
  <c r="I17" i="1"/>
  <c r="I26" i="1"/>
  <c r="I35" i="1"/>
  <c r="I24" i="1"/>
  <c r="I34" i="1"/>
  <c r="I5" i="1"/>
  <c r="I21" i="1"/>
  <c r="I15" i="1"/>
  <c r="N41" i="11" l="1"/>
  <c r="T41" i="11"/>
  <c r="Q41" i="11"/>
  <c r="N22" i="11"/>
  <c r="T22" i="11"/>
  <c r="Q22" i="11"/>
  <c r="N30" i="11"/>
  <c r="T30" i="11"/>
  <c r="Q30" i="11"/>
  <c r="N38" i="11"/>
  <c r="T38" i="11"/>
  <c r="Q38" i="11"/>
  <c r="N34" i="11"/>
  <c r="T34" i="11"/>
  <c r="Q34" i="11"/>
  <c r="N27" i="11"/>
  <c r="T27" i="11"/>
  <c r="Q27" i="11"/>
  <c r="N7" i="11"/>
  <c r="T7" i="11"/>
  <c r="Q7" i="11"/>
  <c r="N31" i="11"/>
  <c r="T31" i="11"/>
  <c r="Q31" i="11"/>
  <c r="P28" i="11"/>
  <c r="N48" i="12"/>
  <c r="S33" i="11"/>
  <c r="AC34" i="10"/>
  <c r="AB34" i="10"/>
  <c r="AC37" i="10"/>
  <c r="AB37" i="10"/>
  <c r="AC24" i="10"/>
  <c r="AB24" i="10"/>
  <c r="D21" i="4"/>
  <c r="H21" i="4"/>
  <c r="H20" i="4"/>
  <c r="N8" i="4"/>
  <c r="AH25" i="8"/>
  <c r="R25" i="8"/>
  <c r="U11" i="8"/>
  <c r="X11" i="8"/>
  <c r="AA11" i="8"/>
  <c r="H5" i="8"/>
  <c r="W11" i="8"/>
  <c r="T11" i="8"/>
  <c r="D8" i="4"/>
  <c r="K18" i="4"/>
  <c r="K17" i="4"/>
  <c r="S25" i="8"/>
  <c r="U25" i="8"/>
  <c r="N21" i="4"/>
  <c r="D3" i="4"/>
  <c r="H4" i="4"/>
  <c r="W25" i="8"/>
  <c r="H22" i="4"/>
  <c r="K21" i="4"/>
  <c r="N17" i="4"/>
  <c r="N4" i="4"/>
  <c r="K4" i="4"/>
  <c r="K7" i="4"/>
  <c r="D7" i="4"/>
  <c r="O25" i="8"/>
  <c r="AE25" i="8"/>
  <c r="K5" i="4"/>
  <c r="N5" i="4"/>
  <c r="K6" i="4"/>
  <c r="N22" i="4"/>
  <c r="H8" i="4"/>
  <c r="X25" i="8"/>
  <c r="D22" i="4"/>
  <c r="D18" i="4"/>
  <c r="K22" i="4"/>
  <c r="K8" i="4"/>
  <c r="D5" i="4"/>
  <c r="D4" i="4"/>
  <c r="H7" i="4"/>
  <c r="H17" i="4"/>
  <c r="AA25" i="8"/>
  <c r="AB25" i="8"/>
  <c r="N7" i="4"/>
  <c r="H5" i="4"/>
  <c r="D20" i="4"/>
  <c r="AD25" i="8"/>
  <c r="S11" i="8"/>
  <c r="V11" i="8"/>
  <c r="H4" i="8"/>
  <c r="Y11" i="8"/>
  <c r="Z25" i="8"/>
  <c r="AC11" i="8"/>
  <c r="AD11" i="8"/>
  <c r="D6" i="8"/>
  <c r="AC25" i="8"/>
  <c r="P11" i="8"/>
  <c r="AF11" i="8"/>
  <c r="Q11" i="8"/>
  <c r="AG11" i="8"/>
  <c r="R11" i="8"/>
  <c r="AH11" i="8"/>
  <c r="Q25" i="8"/>
  <c r="K25" i="8"/>
  <c r="N25" i="8"/>
  <c r="AF25" i="8"/>
  <c r="D17" i="8"/>
  <c r="D25" i="8" s="1"/>
  <c r="T25" i="8"/>
  <c r="K3" i="8"/>
  <c r="K5" i="8"/>
  <c r="K6" i="8"/>
  <c r="V25" i="8"/>
  <c r="N3" i="8"/>
  <c r="N5" i="8"/>
  <c r="N6" i="8"/>
  <c r="H20" i="8"/>
  <c r="H25" i="8" s="1"/>
  <c r="AE11" i="8"/>
  <c r="Z11" i="8"/>
  <c r="Y25" i="8"/>
  <c r="O11" i="8"/>
  <c r="D3" i="8"/>
  <c r="AB11" i="8"/>
  <c r="P25" i="8"/>
  <c r="AG25" i="8"/>
  <c r="D6" i="4"/>
  <c r="N19" i="4"/>
  <c r="H6" i="4"/>
  <c r="N3" i="4"/>
  <c r="H3" i="4"/>
  <c r="D17" i="4"/>
  <c r="N20" i="4"/>
  <c r="N18" i="4"/>
  <c r="K20" i="4"/>
  <c r="K3" i="4"/>
  <c r="X11" i="4"/>
  <c r="W11" i="4"/>
  <c r="S11" i="4"/>
  <c r="U11" i="4"/>
  <c r="T11" i="4"/>
  <c r="V11" i="4"/>
  <c r="R11" i="4"/>
  <c r="AC11" i="4"/>
  <c r="AB11" i="4"/>
  <c r="AA11" i="4"/>
  <c r="P11" i="4"/>
  <c r="Z11" i="4"/>
  <c r="Y11" i="4"/>
  <c r="T25" i="4"/>
  <c r="Q11" i="4"/>
  <c r="K19" i="4"/>
  <c r="H19" i="4"/>
  <c r="D19" i="4"/>
  <c r="Y25" i="4"/>
  <c r="U25" i="4"/>
  <c r="O11" i="4"/>
  <c r="AB25" i="4"/>
  <c r="X25" i="4"/>
  <c r="V25" i="4"/>
  <c r="W25" i="4"/>
  <c r="AC25" i="4"/>
  <c r="O25" i="4"/>
  <c r="AA25" i="4"/>
  <c r="Z25" i="4"/>
  <c r="P25" i="4"/>
  <c r="S25" i="4"/>
  <c r="R25" i="4"/>
  <c r="Q25" i="4"/>
  <c r="C36" i="8" l="1"/>
  <c r="H11" i="8"/>
  <c r="C31" i="8" s="1"/>
  <c r="D31" i="8" s="1"/>
  <c r="D34" i="8"/>
  <c r="N11" i="4"/>
  <c r="D11" i="4"/>
  <c r="H25" i="4"/>
  <c r="K25" i="4"/>
  <c r="K11" i="4"/>
  <c r="H11" i="4"/>
  <c r="C34" i="8"/>
  <c r="D35" i="8"/>
  <c r="D36" i="8"/>
  <c r="C35" i="8"/>
  <c r="K11" i="8"/>
  <c r="C32" i="8" s="1"/>
  <c r="D32" i="8" s="1"/>
  <c r="D11" i="8"/>
  <c r="C30" i="8" s="1"/>
  <c r="D30" i="8" s="1"/>
  <c r="N11" i="8"/>
  <c r="C33" i="8" s="1"/>
  <c r="D33" i="8" s="1"/>
  <c r="N25" i="4"/>
  <c r="D25" i="4"/>
  <c r="D36" i="4"/>
  <c r="D35" i="4"/>
  <c r="D34" i="4"/>
  <c r="C36" i="4"/>
  <c r="C35" i="4"/>
  <c r="C34" i="4"/>
  <c r="C32" i="4" l="1"/>
  <c r="D32" i="4" s="1"/>
  <c r="C33" i="4"/>
  <c r="D33" i="4" s="1"/>
  <c r="C30" i="4"/>
  <c r="D30" i="4" s="1"/>
  <c r="C31" i="4"/>
  <c r="D31" i="4" s="1"/>
</calcChain>
</file>

<file path=xl/sharedStrings.xml><?xml version="1.0" encoding="utf-8"?>
<sst xmlns="http://schemas.openxmlformats.org/spreadsheetml/2006/main" count="5501" uniqueCount="240">
  <si>
    <t>Player</t>
  </si>
  <si>
    <t>Hopes</t>
  </si>
  <si>
    <t>Perception</t>
  </si>
  <si>
    <t>Merk N U</t>
  </si>
  <si>
    <t>Wankr</t>
  </si>
  <si>
    <t>Poland</t>
  </si>
  <si>
    <t>Tailgunner</t>
  </si>
  <si>
    <t>Kills</t>
  </si>
  <si>
    <t>Wins</t>
  </si>
  <si>
    <t>Scharins</t>
  </si>
  <si>
    <t>Carnival</t>
  </si>
  <si>
    <t>Trainyard</t>
  </si>
  <si>
    <t>Airport 2</t>
  </si>
  <si>
    <t>Pancake</t>
  </si>
  <si>
    <t>Velocity</t>
  </si>
  <si>
    <t>Motion</t>
  </si>
  <si>
    <t>Maps</t>
  </si>
  <si>
    <t>Rooks</t>
  </si>
  <si>
    <t>Tony</t>
  </si>
  <si>
    <t>Carnage</t>
  </si>
  <si>
    <t>Mamba</t>
  </si>
  <si>
    <t>Losses</t>
  </si>
  <si>
    <t>Matches</t>
  </si>
  <si>
    <t>Rounds</t>
  </si>
  <si>
    <t>%</t>
  </si>
  <si>
    <t>Crusha</t>
  </si>
  <si>
    <t>Engineer</t>
  </si>
  <si>
    <t>Driver</t>
  </si>
  <si>
    <t>Kyle</t>
  </si>
  <si>
    <t>Itch</t>
  </si>
  <si>
    <t>Training</t>
  </si>
  <si>
    <t>Meat Factory</t>
  </si>
  <si>
    <t>Garage</t>
  </si>
  <si>
    <t>Close Quarters</t>
  </si>
  <si>
    <t>Budden</t>
  </si>
  <si>
    <t>Cajun</t>
  </si>
  <si>
    <t>Avg. Kills</t>
  </si>
  <si>
    <t>AJ</t>
  </si>
  <si>
    <t>Predator</t>
  </si>
  <si>
    <t>Warehouse</t>
  </si>
  <si>
    <t>Reality</t>
  </si>
  <si>
    <t>Airport 1</t>
  </si>
  <si>
    <t>Choi</t>
  </si>
  <si>
    <t>NinjaX</t>
  </si>
  <si>
    <t>Frag N Clear</t>
  </si>
  <si>
    <t>FlyinRyan</t>
  </si>
  <si>
    <t>Juvey</t>
  </si>
  <si>
    <t>MeatMan</t>
  </si>
  <si>
    <t>CSL</t>
  </si>
  <si>
    <t>Highest Single Game Kills</t>
  </si>
  <si>
    <t>Focus</t>
  </si>
  <si>
    <t>Lethal</t>
  </si>
  <si>
    <t>Fox</t>
  </si>
  <si>
    <t>Legend</t>
  </si>
  <si>
    <t>Phenom</t>
  </si>
  <si>
    <t>Wizzo</t>
  </si>
  <si>
    <t>Presidio</t>
  </si>
  <si>
    <t>Peaks</t>
  </si>
  <si>
    <t>Old City</t>
  </si>
  <si>
    <t>Trophies</t>
  </si>
  <si>
    <t>🏆</t>
  </si>
  <si>
    <t>MVPs</t>
  </si>
  <si>
    <t>Kesba</t>
  </si>
  <si>
    <t>Café</t>
  </si>
  <si>
    <t>Map Wins</t>
  </si>
  <si>
    <t>Import / Export</t>
  </si>
  <si>
    <t>Rocket Facility</t>
  </si>
  <si>
    <t>Old Ruins</t>
  </si>
  <si>
    <t>Subway</t>
  </si>
  <si>
    <t>Back Alleys</t>
  </si>
  <si>
    <t>Vengeful</t>
  </si>
  <si>
    <t>Broken</t>
  </si>
  <si>
    <t>Streets of Milan</t>
  </si>
  <si>
    <t>Military Base</t>
  </si>
  <si>
    <t>Erock</t>
  </si>
  <si>
    <t>GREEN TEAM</t>
  </si>
  <si>
    <t>🏆🏆*</t>
  </si>
  <si>
    <t>RED TEAM</t>
  </si>
  <si>
    <t>Empty</t>
  </si>
  <si>
    <t>-</t>
  </si>
  <si>
    <t>empty</t>
  </si>
  <si>
    <t>Green Team</t>
  </si>
  <si>
    <t>Red Team</t>
  </si>
  <si>
    <t>Match Win %</t>
  </si>
  <si>
    <t>Map Win %</t>
  </si>
  <si>
    <t>Round Win %</t>
  </si>
  <si>
    <t>Best Map 1</t>
  </si>
  <si>
    <t>Best Map 2</t>
  </si>
  <si>
    <t>Best Map 3</t>
  </si>
  <si>
    <t>Fallen</t>
  </si>
  <si>
    <t>Ortega</t>
  </si>
  <si>
    <t>Nuclear Reactor</t>
  </si>
  <si>
    <t>Office Complex</t>
  </si>
  <si>
    <t>Agora</t>
  </si>
  <si>
    <t>Weakness</t>
  </si>
  <si>
    <t>Observatory</t>
  </si>
  <si>
    <t>Village</t>
  </si>
  <si>
    <t>Match Wins</t>
  </si>
  <si>
    <t>Match Losses</t>
  </si>
  <si>
    <t>Round Wins</t>
  </si>
  <si>
    <t>Round Losses</t>
  </si>
  <si>
    <t>Map Losses</t>
  </si>
  <si>
    <t>Frag</t>
  </si>
  <si>
    <t>AttackRuby</t>
  </si>
  <si>
    <t>Pumping Station</t>
  </si>
  <si>
    <t>RuhnR</t>
  </si>
  <si>
    <t>Harbor Warehouse</t>
  </si>
  <si>
    <t>Wartz</t>
  </si>
  <si>
    <t>DropShot</t>
  </si>
  <si>
    <t>*2/5/26 exhibition match not included, match not finished</t>
  </si>
  <si>
    <t>*1/30/26 exhibition match 2 not included, match not finished</t>
  </si>
  <si>
    <t>*2/22/26 match not included, Tony fell asleep</t>
  </si>
  <si>
    <t>Ferry Boat</t>
  </si>
  <si>
    <t>Undisputed</t>
  </si>
  <si>
    <t>Bullets</t>
  </si>
  <si>
    <t>DevilDuck</t>
  </si>
  <si>
    <t>Castle</t>
  </si>
  <si>
    <t>*2/28/26 match did not have kills for both teams</t>
  </si>
  <si>
    <t>Sureshol</t>
  </si>
  <si>
    <t>*2/19 match not added due to incomplete data</t>
  </si>
  <si>
    <t>*1/31 match not added due to incomplete data</t>
  </si>
  <si>
    <t>Map %</t>
  </si>
  <si>
    <t>Round %</t>
  </si>
  <si>
    <t>Match %</t>
  </si>
  <si>
    <t>🏆🏆</t>
  </si>
  <si>
    <t>Includes match data from 1/1/26 thru 3/1/26</t>
  </si>
  <si>
    <t>Date</t>
  </si>
  <si>
    <t>Match Result</t>
  </si>
  <si>
    <t>Maps Played</t>
  </si>
  <si>
    <t>Maps Won</t>
  </si>
  <si>
    <t>Rds Played</t>
  </si>
  <si>
    <t>Rds Won</t>
  </si>
  <si>
    <t>Running Avg. Maps</t>
  </si>
  <si>
    <t>R Avg Rounds</t>
  </si>
  <si>
    <t>Overall Avg Kills</t>
  </si>
  <si>
    <t>Winter Lodge</t>
  </si>
  <si>
    <t>Running Avg. Matches</t>
  </si>
  <si>
    <t>Meatman</t>
  </si>
  <si>
    <t>Entomb</t>
  </si>
  <si>
    <t>Krazy Gunner</t>
  </si>
  <si>
    <t>Agile</t>
  </si>
  <si>
    <t>Quickness</t>
  </si>
  <si>
    <t>Ominous</t>
  </si>
  <si>
    <t>Slippery</t>
  </si>
  <si>
    <t>Hotel</t>
  </si>
  <si>
    <t>Parkade</t>
  </si>
  <si>
    <t>Dreamz</t>
  </si>
  <si>
    <t>Rogue</t>
  </si>
  <si>
    <t>Money</t>
  </si>
  <si>
    <t>RayZ</t>
  </si>
  <si>
    <t>Infusion</t>
  </si>
  <si>
    <t>Hustle</t>
  </si>
  <si>
    <t>EtchV</t>
  </si>
  <si>
    <t>Rage</t>
  </si>
  <si>
    <t>AftaShock</t>
  </si>
  <si>
    <t>Tag</t>
  </si>
  <si>
    <t>🏆🏆🏅</t>
  </si>
  <si>
    <t>🏆🏅</t>
  </si>
  <si>
    <t>🏅</t>
  </si>
  <si>
    <t>👑</t>
  </si>
  <si>
    <t>👑👑</t>
  </si>
  <si>
    <t>Murkin</t>
  </si>
  <si>
    <t>4 Piece</t>
  </si>
  <si>
    <t>5 Piece</t>
  </si>
  <si>
    <t>6 Piece</t>
  </si>
  <si>
    <t>Roadkill</t>
  </si>
  <si>
    <t>RoadKill</t>
  </si>
  <si>
    <t>Hobbez</t>
  </si>
  <si>
    <t>10thLetter</t>
  </si>
  <si>
    <t>Vapid</t>
  </si>
  <si>
    <t>7 Piece</t>
  </si>
  <si>
    <t>🏆🏆🏆🏆</t>
  </si>
  <si>
    <t xml:space="preserve">🏆🏆🏆🏆 </t>
  </si>
  <si>
    <t xml:space="preserve">🏆🏆🏆 🏆 </t>
  </si>
  <si>
    <t xml:space="preserve">🏆🏆 </t>
  </si>
  <si>
    <t xml:space="preserve">🏅 🏆 </t>
  </si>
  <si>
    <t> 🏆 </t>
  </si>
  <si>
    <t xml:space="preserve">🏆🏅🏆 </t>
  </si>
  <si>
    <t>Totti</t>
  </si>
  <si>
    <t>Chopp</t>
  </si>
  <si>
    <t>Title</t>
  </si>
  <si>
    <t>Start</t>
  </si>
  <si>
    <t>Color</t>
  </si>
  <si>
    <t>Time</t>
  </si>
  <si>
    <t>#9b59b6</t>
  </si>
  <si>
    <t>#27ae60</t>
  </si>
  <si>
    <t>2026-05-03</t>
  </si>
  <si>
    <t>Sunday Slaughter</t>
  </si>
  <si>
    <t>Turn-up Tuesday (BA)</t>
  </si>
  <si>
    <t>2026-05-05</t>
  </si>
  <si>
    <t>9 PM EST</t>
  </si>
  <si>
    <t>#e74c3c</t>
  </si>
  <si>
    <t>2026-05-10</t>
  </si>
  <si>
    <t>2026-05-12</t>
  </si>
  <si>
    <t>2026-05-17</t>
  </si>
  <si>
    <t>2026-05-19</t>
  </si>
  <si>
    <t>Cash Tourney #7 (BA) 1st Round</t>
  </si>
  <si>
    <t>2026-06-06</t>
  </si>
  <si>
    <t>8 PM EST</t>
  </si>
  <si>
    <t>Cash Tourney #7 (BA) Finals</t>
  </si>
  <si>
    <t>2026-06-13</t>
  </si>
  <si>
    <t>2026-05-24</t>
  </si>
  <si>
    <t>2026-05-26</t>
  </si>
  <si>
    <t>2026-05-31</t>
  </si>
  <si>
    <t>2026-06-02</t>
  </si>
  <si>
    <t>#0a21f3</t>
  </si>
  <si>
    <t>Cash Tourney #6 Team Perception vs. Team Tailgunner</t>
  </si>
  <si>
    <t>9:30 PM EST</t>
  </si>
  <si>
    <t>2026-05-07</t>
  </si>
  <si>
    <t>Cash Tourney #6 Team Velocity vs. Team Poland</t>
  </si>
  <si>
    <t>2026-05-13</t>
  </si>
  <si>
    <t>8:30 PM EST</t>
  </si>
  <si>
    <t>motion</t>
  </si>
  <si>
    <t>Etho</t>
  </si>
  <si>
    <t>CivilAdam</t>
  </si>
  <si>
    <t>Dingiss</t>
  </si>
  <si>
    <t>Cisneros</t>
  </si>
  <si>
    <t>Ballsack</t>
  </si>
  <si>
    <t>Petroleum</t>
  </si>
  <si>
    <t>Krazy GUnner</t>
  </si>
  <si>
    <t>INfusion</t>
  </si>
  <si>
    <t>Cash Tourney #7 (BA) Team Phenom vs. Team Poland</t>
  </si>
  <si>
    <t>2026-06-05</t>
  </si>
  <si>
    <t>10:00 PM EST</t>
  </si>
  <si>
    <t>Prince</t>
  </si>
  <si>
    <t>Merk N u</t>
  </si>
  <si>
    <t>Cash Tourney #6 2nd Round Team Velocity vs Team Pancake</t>
  </si>
  <si>
    <t>7 PM EST</t>
  </si>
  <si>
    <t>Cash Tourney #6 Team Pancake vs. Team Hopes</t>
  </si>
  <si>
    <t>2026-05-20</t>
  </si>
  <si>
    <t>9:00 PM EST</t>
  </si>
  <si>
    <t>Median Kills</t>
  </si>
  <si>
    <t>Play Style</t>
  </si>
  <si>
    <t>Conservative</t>
  </si>
  <si>
    <t>Aggressive</t>
  </si>
  <si>
    <t>Versatile</t>
  </si>
  <si>
    <t>Unknown</t>
  </si>
  <si>
    <t>Play Factor</t>
  </si>
  <si>
    <t>Power Ranking</t>
  </si>
  <si>
    <t>Cash Tourney #7 (BA) Team Perception vs. Team Hopes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</si>
</sst>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2"/>
      <color rgb="FF001D35"/>
      <name val="Arial"/>
      <family val="2"/>
    </font>
    <font>
      <b/>
      <sz val="16"/>
      <color theme="0"/>
      <name val="Calibri"/>
      <family val="2"/>
      <scheme val="minor"/>
    </font>
    <font>
      <sz val="11"/>
      <color rgb="FF000000"/>
      <name val="Calibri"/>
      <family val="2"/>
    </font>
    <font>
      <b/>
      <sz val="12"/>
      <color rgb="FF001D35"/>
      <name val="Arial"/>
      <family val="2"/>
    </font>
    <font>
      <b/>
      <sz val="13"/>
      <color rgb="FF000000"/>
      <name val="Calibri"/>
      <family val="2"/>
    </font>
    <font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rgb="FF0A0A0A"/>
      <name val="Arial"/>
      <family val="2"/>
    </font>
    <font>
      <b/>
      <sz val="11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8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9" fontId="2" fillId="0" borderId="0" xfId="0" applyNumberFormat="1" applyFont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 wrapText="1"/>
    </xf>
    <xf numFmtId="0" fontId="2" fillId="5" borderId="11" xfId="0" applyFont="1" applyFill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2" fillId="0" borderId="0" xfId="0" applyFont="1"/>
    <xf numFmtId="0" fontId="2" fillId="5" borderId="4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 wrapText="1"/>
    </xf>
    <xf numFmtId="0" fontId="2" fillId="5" borderId="6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 wrapText="1"/>
    </xf>
    <xf numFmtId="2" fontId="0" fillId="5" borderId="0" xfId="0" applyNumberForma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9" fontId="0" fillId="5" borderId="8" xfId="1" applyFont="1" applyFill="1" applyBorder="1" applyAlignment="1">
      <alignment horizontal="center" vertical="center"/>
    </xf>
    <xf numFmtId="2" fontId="0" fillId="5" borderId="5" xfId="0" applyNumberFormat="1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9" fontId="0" fillId="5" borderId="6" xfId="1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0" borderId="7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0" fontId="0" fillId="0" borderId="4" xfId="0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9" fontId="0" fillId="0" borderId="8" xfId="1" applyFont="1" applyBorder="1" applyAlignment="1">
      <alignment horizontal="center" vertical="center"/>
    </xf>
    <xf numFmtId="9" fontId="0" fillId="0" borderId="8" xfId="1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9" fontId="0" fillId="0" borderId="6" xfId="1" applyFont="1" applyBorder="1" applyAlignment="1">
      <alignment horizontal="center"/>
    </xf>
    <xf numFmtId="0" fontId="2" fillId="5" borderId="14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 wrapText="1"/>
    </xf>
    <xf numFmtId="0" fontId="2" fillId="5" borderId="12" xfId="0" applyFont="1" applyFill="1" applyBorder="1" applyAlignment="1">
      <alignment horizontal="center" vertical="center" wrapText="1"/>
    </xf>
    <xf numFmtId="0" fontId="2" fillId="5" borderId="13" xfId="0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/>
    </xf>
    <xf numFmtId="0" fontId="6" fillId="0" borderId="0" xfId="0" applyFont="1"/>
    <xf numFmtId="0" fontId="0" fillId="5" borderId="2" xfId="0" applyFill="1" applyBorder="1"/>
    <xf numFmtId="0" fontId="0" fillId="5" borderId="3" xfId="0" applyFill="1" applyBorder="1"/>
    <xf numFmtId="0" fontId="0" fillId="5" borderId="5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/>
    </xf>
    <xf numFmtId="1" fontId="0" fillId="5" borderId="0" xfId="0" applyNumberFormat="1" applyFill="1" applyAlignment="1">
      <alignment horizontal="center" vertical="center"/>
    </xf>
    <xf numFmtId="1" fontId="0" fillId="5" borderId="5" xfId="0" applyNumberForma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 vertical="center" wrapText="1"/>
    </xf>
    <xf numFmtId="0" fontId="0" fillId="0" borderId="8" xfId="0" applyBorder="1" applyAlignment="1">
      <alignment horizontal="center"/>
    </xf>
    <xf numFmtId="1" fontId="0" fillId="0" borderId="0" xfId="0" applyNumberFormat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2" fontId="0" fillId="5" borderId="8" xfId="1" applyNumberFormat="1" applyFont="1" applyFill="1" applyBorder="1" applyAlignment="1">
      <alignment horizontal="center" vertical="center"/>
    </xf>
    <xf numFmtId="2" fontId="0" fillId="5" borderId="6" xfId="1" applyNumberFormat="1" applyFont="1" applyFill="1" applyBorder="1" applyAlignment="1">
      <alignment horizontal="center" vertical="center"/>
    </xf>
    <xf numFmtId="2" fontId="0" fillId="0" borderId="8" xfId="1" applyNumberFormat="1" applyFont="1" applyBorder="1" applyAlignment="1">
      <alignment horizontal="center" vertical="center"/>
    </xf>
    <xf numFmtId="2" fontId="0" fillId="0" borderId="6" xfId="1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/>
    </xf>
    <xf numFmtId="0" fontId="7" fillId="0" borderId="0" xfId="0" applyFont="1" applyAlignment="1">
      <alignment horizontal="center"/>
    </xf>
    <xf numFmtId="16" fontId="0" fillId="0" borderId="0" xfId="0" applyNumberFormat="1"/>
    <xf numFmtId="0" fontId="8" fillId="0" borderId="0" xfId="0" applyFont="1"/>
    <xf numFmtId="0" fontId="9" fillId="0" borderId="0" xfId="0" applyFont="1" applyAlignment="1">
      <alignment wrapText="1"/>
    </xf>
    <xf numFmtId="0" fontId="2" fillId="5" borderId="0" xfId="0" applyFont="1" applyFill="1" applyAlignment="1">
      <alignment horizontal="center" vertical="center" wrapText="1"/>
    </xf>
    <xf numFmtId="164" fontId="9" fillId="0" borderId="0" xfId="0" applyNumberFormat="1" applyFont="1"/>
    <xf numFmtId="2" fontId="0" fillId="0" borderId="0" xfId="0" applyNumberFormat="1"/>
    <xf numFmtId="2" fontId="9" fillId="0" borderId="0" xfId="0" applyNumberFormat="1" applyFont="1" applyAlignment="1">
      <alignment wrapText="1"/>
    </xf>
    <xf numFmtId="9" fontId="0" fillId="0" borderId="8" xfId="1" applyFont="1" applyFill="1" applyBorder="1" applyAlignment="1">
      <alignment horizontal="center" vertical="center"/>
    </xf>
    <xf numFmtId="2" fontId="0" fillId="0" borderId="0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0" fillId="0" borderId="0" xfId="0" applyFont="1" applyAlignment="1">
      <alignment wrapText="1"/>
    </xf>
    <xf numFmtId="0" fontId="4" fillId="0" borderId="0" xfId="0" applyFont="1" applyAlignment="1">
      <alignment horizontal="center"/>
    </xf>
    <xf numFmtId="1" fontId="0" fillId="0" borderId="0" xfId="0" applyNumberFormat="1"/>
    <xf numFmtId="0" fontId="11" fillId="0" borderId="0" xfId="0" applyFont="1" applyAlignment="1">
      <alignment horizontal="center"/>
    </xf>
    <xf numFmtId="0" fontId="12" fillId="0" borderId="15" xfId="0" applyFont="1" applyBorder="1" applyAlignment="1">
      <alignment vertical="center" wrapText="1"/>
    </xf>
    <xf numFmtId="49" fontId="0" fillId="0" borderId="0" xfId="0" applyNumberFormat="1"/>
    <xf numFmtId="2" fontId="0" fillId="0" borderId="0" xfId="0" applyNumberFormat="1" applyAlignment="1">
      <alignment horizontal="center"/>
    </xf>
    <xf numFmtId="0" fontId="6" fillId="0" borderId="0" xfId="0" applyFont="1"/>
    <xf numFmtId="0" fontId="0" fillId="0" borderId="0" xfId="0"/>
    <xf numFmtId="0" fontId="5" fillId="4" borderId="0" xfId="0" applyFont="1" applyFill="1" applyAlignment="1">
      <alignment horizontal="center" vertical="center" textRotation="90"/>
    </xf>
    <xf numFmtId="0" fontId="2" fillId="5" borderId="1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 textRotation="90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72405B-8FFD-4E0F-BC56-B4D0A9588F9C}">
  <dimension ref="A1:AJ57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63" sqref="F63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7" width="16.7109375" style="1" customWidth="1"/>
    <col min="11" max="11" width="17.140625" customWidth="1"/>
    <col min="12" max="19" width="9.140625" style="1"/>
    <col min="20" max="20" width="14.85546875" style="1" customWidth="1"/>
    <col min="21" max="22" width="13.28515625" bestFit="1" customWidth="1"/>
    <col min="23" max="23" width="12.7109375" bestFit="1" customWidth="1"/>
    <col min="24" max="24" width="18.7109375" bestFit="1" customWidth="1"/>
    <col min="25" max="25" width="8.5703125" bestFit="1" customWidth="1"/>
    <col min="26" max="26" width="11.7109375" bestFit="1" customWidth="1"/>
    <col min="27" max="27" width="11.85546875" customWidth="1"/>
    <col min="28" max="28" width="17" bestFit="1" customWidth="1"/>
    <col min="29" max="29" width="12.5703125" bestFit="1" customWidth="1"/>
    <col min="30" max="30" width="12.5703125" customWidth="1"/>
    <col min="31" max="31" width="10.7109375" bestFit="1" customWidth="1"/>
    <col min="32" max="33" width="12.85546875" bestFit="1" customWidth="1"/>
    <col min="34" max="34" width="12.7109375" bestFit="1" customWidth="1"/>
    <col min="35" max="35" width="13.85546875" bestFit="1" customWidth="1"/>
    <col min="36" max="36" width="15.7109375" bestFit="1" customWidth="1"/>
  </cols>
  <sheetData>
    <row r="1" spans="1:36" ht="30.75" thickBot="1" x14ac:dyDescent="0.3">
      <c r="A1" s="3" t="s">
        <v>0</v>
      </c>
      <c r="B1" s="3" t="s">
        <v>59</v>
      </c>
      <c r="C1" s="3" t="s">
        <v>61</v>
      </c>
      <c r="D1" s="3" t="s">
        <v>162</v>
      </c>
      <c r="E1" s="3" t="s">
        <v>163</v>
      </c>
      <c r="F1" s="3" t="s">
        <v>164</v>
      </c>
      <c r="G1" s="3" t="s">
        <v>170</v>
      </c>
      <c r="H1" s="31" t="s">
        <v>7</v>
      </c>
      <c r="I1" s="32" t="s">
        <v>36</v>
      </c>
      <c r="J1" s="52" t="s">
        <v>231</v>
      </c>
      <c r="K1" s="33" t="s">
        <v>49</v>
      </c>
      <c r="L1" s="50" t="s">
        <v>97</v>
      </c>
      <c r="M1" s="22" t="s">
        <v>98</v>
      </c>
      <c r="N1" s="23" t="s">
        <v>123</v>
      </c>
      <c r="O1" s="50" t="s">
        <v>64</v>
      </c>
      <c r="P1" s="22" t="s">
        <v>101</v>
      </c>
      <c r="Q1" s="23" t="s">
        <v>121</v>
      </c>
      <c r="R1" s="51" t="s">
        <v>99</v>
      </c>
      <c r="S1" s="52" t="s">
        <v>100</v>
      </c>
      <c r="T1" s="46" t="s">
        <v>122</v>
      </c>
      <c r="U1" s="31" t="s">
        <v>41</v>
      </c>
      <c r="V1" s="32" t="s">
        <v>12</v>
      </c>
      <c r="W1" s="32" t="s">
        <v>10</v>
      </c>
      <c r="X1" s="32" t="s">
        <v>33</v>
      </c>
      <c r="Y1" s="32" t="s">
        <v>48</v>
      </c>
      <c r="Z1" s="32" t="s">
        <v>32</v>
      </c>
      <c r="AA1" s="52" t="s">
        <v>65</v>
      </c>
      <c r="AB1" s="32" t="s">
        <v>31</v>
      </c>
      <c r="AC1" s="32" t="s">
        <v>58</v>
      </c>
      <c r="AD1" s="32" t="s">
        <v>145</v>
      </c>
      <c r="AE1" s="32" t="s">
        <v>57</v>
      </c>
      <c r="AF1" s="32" t="s">
        <v>56</v>
      </c>
      <c r="AG1" s="32" t="s">
        <v>9</v>
      </c>
      <c r="AH1" s="32" t="s">
        <v>30</v>
      </c>
      <c r="AI1" s="32" t="s">
        <v>11</v>
      </c>
      <c r="AJ1" s="46" t="s">
        <v>39</v>
      </c>
    </row>
    <row r="2" spans="1:36" x14ac:dyDescent="0.25">
      <c r="A2" s="2" t="s">
        <v>168</v>
      </c>
      <c r="B2" s="3" t="s">
        <v>79</v>
      </c>
      <c r="C2" s="3" t="s">
        <v>79</v>
      </c>
      <c r="D2" s="3"/>
      <c r="E2" s="3"/>
      <c r="F2" s="3"/>
      <c r="G2" s="3"/>
      <c r="H2" s="34">
        <f>SUMIFS('OB History'!C:C,'OB History'!B:B,A2)</f>
        <v>2</v>
      </c>
      <c r="I2" s="4">
        <f>AVERAGEIFS('OB History'!C:C,'OB History'!B:B,A2)</f>
        <v>2</v>
      </c>
      <c r="J2" s="4">
        <f t="array" ref="J2">MEDIAN(IF('OB History'!B:B=A2, 'OB History'!C:C))</f>
        <v>2</v>
      </c>
      <c r="K2" s="35">
        <f t="array" ref="K2">MAX(IF('OB History'!B:B=A2, 'OB History'!C:C))</f>
        <v>2</v>
      </c>
      <c r="L2" s="34">
        <f>COUNTIFS('OB History'!B:B,A2,'OB History'!D:D, 1)</f>
        <v>1</v>
      </c>
      <c r="M2" s="2">
        <f>COUNTIFS('OB History'!B:B,A2,'OB History'!D:D, 0)</f>
        <v>0</v>
      </c>
      <c r="N2" s="88">
        <f>LOOKUP(2, 1/('OB History'!$B:$B=A2), 'OB History'!$AD:$AD)</f>
        <v>1</v>
      </c>
      <c r="O2" s="34">
        <f>SUMIFS('OB History'!F:F,'OB History'!B:B,A2)</f>
        <v>3</v>
      </c>
      <c r="P2" s="2">
        <f>SUMIFS('OB History'!E:E,'OB History'!B:B,A2)-O2</f>
        <v>2</v>
      </c>
      <c r="Q2" s="88">
        <f>LOOKUP(2, 1/('OB History'!$B:$B=A2), 'OB History'!$AB:$AB)</f>
        <v>0.6</v>
      </c>
      <c r="R2" s="34">
        <f>SUMIFS('OB History'!H:H,'OB History'!B:B,A2)</f>
        <v>14</v>
      </c>
      <c r="S2" s="2">
        <f>SUMIFS('OB History'!G:G,'OB History'!B:B,A2)-R2</f>
        <v>6</v>
      </c>
      <c r="T2" s="88">
        <f>LOOKUP(2, 1/('OB History'!$B:$B=A2), 'OB History'!$AC:$AC)</f>
        <v>0.7</v>
      </c>
      <c r="U2" s="2">
        <f>COUNTIFS('OB History'!$B:$B,$A$2,'OB History'!K:K, 1)</f>
        <v>0</v>
      </c>
      <c r="V2" s="2">
        <f>COUNTIFS('OB History'!$B:$B,$A$2,'OB History'!L:L, 1)</f>
        <v>0</v>
      </c>
      <c r="W2" s="2">
        <f>COUNTIFS('OB History'!$B:$B,$A$2,'OB History'!M:M, 1)</f>
        <v>0</v>
      </c>
      <c r="X2" s="2">
        <f>COUNTIFS('OB History'!$B:$B,$A$2,'OB History'!N:N, 1)</f>
        <v>1</v>
      </c>
      <c r="Y2" s="2">
        <f>COUNTIFS('OB History'!$B:$B,$A$2,'OB History'!O:O, 1)</f>
        <v>0</v>
      </c>
      <c r="Z2" s="2">
        <f>COUNTIFS('OB History'!$B:$B,$A$2,'OB History'!P:P, 1)</f>
        <v>0</v>
      </c>
      <c r="AA2" s="2">
        <f>COUNTIFS('OB History'!$B:$B,$A$2,'OB History'!Q:Q, 1)</f>
        <v>0</v>
      </c>
      <c r="AB2" s="2">
        <f>COUNTIFS('OB History'!$B:$B,$A$2,'OB History'!R:R, 1)</f>
        <v>0</v>
      </c>
      <c r="AC2" s="2">
        <f>COUNTIFS('OB History'!$B:$B,$A$2,'OB History'!S:S, 1)</f>
        <v>0</v>
      </c>
      <c r="AD2" s="2">
        <f>COUNTIFS('OB History'!$B:$B,$A$2,'OB History'!T:T, 1)</f>
        <v>0</v>
      </c>
      <c r="AE2" s="2">
        <f>COUNTIFS('OB History'!$B:$B,$A$2,'OB History'!U:U, 1)</f>
        <v>0</v>
      </c>
      <c r="AF2" s="2">
        <f>COUNTIFS('OB History'!$B:$B,$A$2,'OB History'!V:V, 1)</f>
        <v>0</v>
      </c>
      <c r="AG2" s="2">
        <f>COUNTIFS('OB History'!$B:$B,$A$2,'OB History'!W:W, 1)</f>
        <v>0</v>
      </c>
      <c r="AH2" s="2">
        <f>COUNTIFS('OB History'!$B:$B,$A$2,'OB History'!X:X, 1)</f>
        <v>1</v>
      </c>
      <c r="AI2" s="2">
        <f>COUNTIFS('OB History'!$B:$B,$A$2,'OB History'!Y:Y, 1)</f>
        <v>0</v>
      </c>
      <c r="AJ2" s="2">
        <f>COUNTIFS('OB History'!$B:$B,$A$2,'OB History'!Z:Z, 1)</f>
        <v>1</v>
      </c>
    </row>
    <row r="3" spans="1:36" x14ac:dyDescent="0.25">
      <c r="A3" s="2" t="s">
        <v>154</v>
      </c>
      <c r="B3" s="3" t="s">
        <v>79</v>
      </c>
      <c r="C3" s="3" t="s">
        <v>79</v>
      </c>
      <c r="D3" s="3"/>
      <c r="E3" s="3"/>
      <c r="F3" s="3"/>
      <c r="G3" s="3"/>
      <c r="H3" s="34">
        <f>SUMIFS('OB History'!C:C,'OB History'!B:B,A3)</f>
        <v>163</v>
      </c>
      <c r="I3" s="4">
        <f>AVERAGEIFS('OB History'!C:C,'OB History'!B:B,A3)</f>
        <v>12.538461538461538</v>
      </c>
      <c r="J3" s="4">
        <f t="array" ref="J3">MEDIAN(IF('OB History'!B:B=A3, 'OB History'!C:C))</f>
        <v>10</v>
      </c>
      <c r="K3" s="35">
        <f t="array" ref="K3">MAX(IF('OB History'!B:B=A3, 'OB History'!C:C))</f>
        <v>35</v>
      </c>
      <c r="L3" s="34">
        <f>COUNTIFS('OB History'!B:B,A3,'OB History'!D:D, 1)</f>
        <v>7</v>
      </c>
      <c r="M3" s="2">
        <f>COUNTIFS('OB History'!B:B,A3,'OB History'!D:D, 0)</f>
        <v>6</v>
      </c>
      <c r="N3" s="88">
        <f>LOOKUP(2, 1/('OB History'!$B:$B=A3), 'OB History'!$AD:$AD)</f>
        <v>0.53846153846153844</v>
      </c>
      <c r="O3" s="34">
        <f>SUMIFS('OB History'!F:F,'OB History'!B:B,A3)</f>
        <v>25</v>
      </c>
      <c r="P3" s="2">
        <f>SUMIFS('OB History'!E:E,'OB History'!B:B,A3)-O3</f>
        <v>26</v>
      </c>
      <c r="Q3" s="88">
        <f>LOOKUP(2, 1/('OB History'!$B:$B=A3), 'OB History'!$AB:$AB)</f>
        <v>0.47692307692307695</v>
      </c>
      <c r="R3" s="34">
        <f>SUMIFS('OB History'!H:H,'OB History'!B:B,A3)</f>
        <v>105</v>
      </c>
      <c r="S3" s="2">
        <f>SUMIFS('OB History'!G:G,'OB History'!B:B,A3)-R3</f>
        <v>108</v>
      </c>
      <c r="T3" s="88">
        <f>LOOKUP(2, 1/('OB History'!$B:$B=A3), 'OB History'!$AC:$AC)</f>
        <v>0.50076923076923063</v>
      </c>
      <c r="U3" s="2">
        <f>COUNTIFS('OB History'!$B:$B,$A$3,'OB History'!K:K, 1)</f>
        <v>1</v>
      </c>
      <c r="V3" s="2">
        <f>COUNTIFS('OB History'!$B:$B,$A$3,'OB History'!L:L, 1)</f>
        <v>3</v>
      </c>
      <c r="W3" s="2">
        <f>COUNTIFS('OB History'!$B:$B,$A$3,'OB History'!M:M, 1)</f>
        <v>1</v>
      </c>
      <c r="X3" s="2">
        <f>COUNTIFS('OB History'!$B:$B,$A$3,'OB History'!N:N, 1)</f>
        <v>4</v>
      </c>
      <c r="Y3" s="2">
        <f>COUNTIFS('OB History'!$B:$B,$A$3,'OB History'!O:O, 1)</f>
        <v>1</v>
      </c>
      <c r="Z3" s="2">
        <f>COUNTIFS('OB History'!$B:$B,$A$3,'OB History'!P:P, 1)</f>
        <v>1</v>
      </c>
      <c r="AA3" s="2">
        <f>COUNTIFS('OB History'!$B:$B,$A$3,'OB History'!Q:Q, 1)</f>
        <v>0</v>
      </c>
      <c r="AB3" s="2">
        <f>COUNTIFS('OB History'!$B:$B,$A$3,'OB History'!R:R, 1)</f>
        <v>1</v>
      </c>
      <c r="AC3" s="2">
        <f>COUNTIFS('OB History'!$B:$B,$A$3,'OB History'!S:S, 1)</f>
        <v>1</v>
      </c>
      <c r="AD3" s="2">
        <f>COUNTIFS('OB History'!$B:$B,$A$3,'OB History'!T:T, 1)</f>
        <v>0</v>
      </c>
      <c r="AE3" s="2">
        <f>COUNTIFS('OB History'!$B:$B,$A$3,'OB History'!U:U, 1)</f>
        <v>1</v>
      </c>
      <c r="AF3" s="2">
        <f>COUNTIFS('OB History'!$B:$B,$A$3,'OB History'!V:V, 1)</f>
        <v>1</v>
      </c>
      <c r="AG3" s="2">
        <f>COUNTIFS('OB History'!$B:$B,$A$3,'OB History'!W:W, 1)</f>
        <v>2</v>
      </c>
      <c r="AH3" s="2">
        <f>COUNTIFS('OB History'!$B:$B,$A$3,'OB History'!X:X, 1)</f>
        <v>3</v>
      </c>
      <c r="AI3" s="2">
        <f>COUNTIFS('OB History'!$B:$B,$A$3,'OB History'!Y:Y, 1)</f>
        <v>3</v>
      </c>
      <c r="AJ3" s="2">
        <f>COUNTIFS('OB History'!$B:$B,$A$3,'OB History'!Z:Z, 1)</f>
        <v>2</v>
      </c>
    </row>
    <row r="4" spans="1:36" x14ac:dyDescent="0.25">
      <c r="A4" s="2" t="s">
        <v>140</v>
      </c>
      <c r="B4" s="2" t="s">
        <v>79</v>
      </c>
      <c r="C4" s="2" t="s">
        <v>79</v>
      </c>
      <c r="D4" s="3"/>
      <c r="E4" s="3"/>
      <c r="F4" s="3"/>
      <c r="G4" s="3"/>
      <c r="H4" s="34">
        <f>SUMIFS('OB History'!C:C,'OB History'!B:B,A4)</f>
        <v>241</v>
      </c>
      <c r="I4" s="4">
        <f>AVERAGEIFS('OB History'!C:C,'OB History'!B:B,A4)</f>
        <v>9.2692307692307701</v>
      </c>
      <c r="J4" s="4">
        <f t="array" ref="J4">MEDIAN(IF('OB History'!B:B=A4, 'OB History'!C:C))</f>
        <v>8.5</v>
      </c>
      <c r="K4" s="35">
        <f t="array" ref="K4">MAX(IF('OB History'!B:B=A4, 'OB History'!C:C))</f>
        <v>19</v>
      </c>
      <c r="L4" s="34">
        <f>COUNTIFS('OB History'!B:B,A4,'OB History'!D:D, 1)</f>
        <v>11</v>
      </c>
      <c r="M4" s="2">
        <f>COUNTIFS('OB History'!B:B,A4,'OB History'!D:D, 0)</f>
        <v>15</v>
      </c>
      <c r="N4" s="88">
        <f>LOOKUP(2, 1/('OB History'!$B:$B=A4), 'OB History'!$AD:$AD)</f>
        <v>0.42307692307692307</v>
      </c>
      <c r="O4" s="34">
        <f>SUMIFS('OB History'!F:F,'OB History'!B:B,A4)</f>
        <v>43</v>
      </c>
      <c r="P4" s="2">
        <f>SUMIFS('OB History'!E:E,'OB History'!B:B,A4)-O4</f>
        <v>58</v>
      </c>
      <c r="Q4" s="88">
        <f>LOOKUP(2, 1/('OB History'!$B:$B=A4), 'OB History'!$AB:$AB)</f>
        <v>0.41730769230769238</v>
      </c>
      <c r="R4" s="34">
        <f>SUMIFS('OB History'!H:H,'OB History'!B:B,A4)</f>
        <v>202</v>
      </c>
      <c r="S4" s="2">
        <f>SUMIFS('OB History'!G:G,'OB History'!B:B,A4)-R4</f>
        <v>225</v>
      </c>
      <c r="T4" s="88">
        <f>LOOKUP(2, 1/('OB History'!$B:$B=A4), 'OB History'!$AC:$AC)</f>
        <v>0.46846153846153832</v>
      </c>
      <c r="U4" s="2">
        <f>COUNTIFS('OB History'!$B:$B,$A$4,'OB History'!K:K, 1)</f>
        <v>3</v>
      </c>
      <c r="V4" s="2">
        <f>COUNTIFS('OB History'!$B:$B,$A$4,'OB History'!L:L, 1)</f>
        <v>2</v>
      </c>
      <c r="W4" s="2">
        <f>COUNTIFS('OB History'!$B:$B,$A$4,'OB History'!M:M, 1)</f>
        <v>1</v>
      </c>
      <c r="X4" s="2">
        <f>COUNTIFS('OB History'!$B:$B,$A$4,'OB History'!N:N, 1)</f>
        <v>5</v>
      </c>
      <c r="Y4" s="2">
        <f>COUNTIFS('OB History'!$B:$B,$A$4,'OB History'!O:O, 1)</f>
        <v>0</v>
      </c>
      <c r="Z4" s="2">
        <f>COUNTIFS('OB History'!$B:$B,$A$4,'OB History'!P:P, 1)</f>
        <v>5</v>
      </c>
      <c r="AA4" s="2">
        <f>COUNTIFS('OB History'!$B:$B,$A$4,'OB History'!Q:Q, 1)</f>
        <v>3</v>
      </c>
      <c r="AB4" s="2">
        <f>COUNTIFS('OB History'!$B:$B,$A$4,'OB History'!R:R, 1)</f>
        <v>2</v>
      </c>
      <c r="AC4" s="2">
        <f>COUNTIFS('OB History'!$B:$B,$A$4,'OB History'!S:S, 1)</f>
        <v>1</v>
      </c>
      <c r="AD4" s="2">
        <f>COUNTIFS('OB History'!$B:$B,$A$4,'OB History'!T:T, 1)</f>
        <v>0</v>
      </c>
      <c r="AE4" s="2">
        <f>COUNTIFS('OB History'!$B:$B,$A$4,'OB History'!U:U, 1)</f>
        <v>0</v>
      </c>
      <c r="AF4" s="2">
        <f>COUNTIFS('OB History'!$B:$B,$A$4,'OB History'!V:V, 1)</f>
        <v>2</v>
      </c>
      <c r="AG4" s="2">
        <f>COUNTIFS('OB History'!$B:$B,$A$4,'OB History'!W:W, 1)</f>
        <v>3</v>
      </c>
      <c r="AH4" s="2">
        <f>COUNTIFS('OB History'!$B:$B,$A$4,'OB History'!X:X, 1)</f>
        <v>7</v>
      </c>
      <c r="AI4" s="2">
        <f>COUNTIFS('OB History'!$B:$B,$A$4,'OB History'!Y:Y, 1)</f>
        <v>6</v>
      </c>
      <c r="AJ4" s="2">
        <f>COUNTIFS('OB History'!$B:$B,$A$4,'OB History'!Z:Z, 1)</f>
        <v>3</v>
      </c>
    </row>
    <row r="5" spans="1:36" x14ac:dyDescent="0.25">
      <c r="A5" s="2" t="s">
        <v>37</v>
      </c>
      <c r="B5" s="2" t="s">
        <v>79</v>
      </c>
      <c r="C5" s="2" t="s">
        <v>79</v>
      </c>
      <c r="D5" s="3">
        <v>6</v>
      </c>
      <c r="E5" s="3"/>
      <c r="F5" s="3"/>
      <c r="G5" s="3"/>
      <c r="H5" s="34">
        <f>SUMIFS('OB History'!C:C,'OB History'!B:B,A5)</f>
        <v>627</v>
      </c>
      <c r="I5" s="4">
        <f>AVERAGEIFS('OB History'!C:C,'OB History'!B:B,A5)</f>
        <v>19.59375</v>
      </c>
      <c r="J5" s="4">
        <f t="array" ref="J5">MEDIAN(IF('OB History'!B:B=A5, 'OB History'!C:C))</f>
        <v>18</v>
      </c>
      <c r="K5" s="35">
        <f t="array" ref="K5">MAX(IF('OB History'!B:B=A5, 'OB History'!C:C))</f>
        <v>36</v>
      </c>
      <c r="L5" s="34">
        <f>COUNTIFS('OB History'!B:B,A5,'OB History'!D:D, 1)</f>
        <v>14</v>
      </c>
      <c r="M5" s="2">
        <f>COUNTIFS('OB History'!B:B,A5,'OB History'!D:D, 0)</f>
        <v>18</v>
      </c>
      <c r="N5" s="88">
        <f>LOOKUP(2, 1/('OB History'!$B:$B=A5), 'OB History'!$AD:$AD)</f>
        <v>0.4375</v>
      </c>
      <c r="O5" s="34">
        <f>SUMIFS('OB History'!F:F,'OB History'!B:B,A5)</f>
        <v>56</v>
      </c>
      <c r="P5" s="2">
        <f>SUMIFS('OB History'!E:E,'OB History'!B:B,A5)-O5</f>
        <v>72</v>
      </c>
      <c r="Q5" s="88">
        <f>LOOKUP(2, 1/('OB History'!$B:$B=A5), 'OB History'!$AB:$AB)</f>
        <v>0.41874999999999996</v>
      </c>
      <c r="R5" s="34">
        <f>SUMIFS('OB History'!H:H,'OB History'!B:B,A5)</f>
        <v>241</v>
      </c>
      <c r="S5" s="2">
        <f>SUMIFS('OB History'!G:G,'OB History'!B:B,A5)-R5</f>
        <v>280</v>
      </c>
      <c r="T5" s="88">
        <f>LOOKUP(2, 1/('OB History'!$B:$B=A5), 'OB History'!$AC:$AC)</f>
        <v>0.453125</v>
      </c>
      <c r="U5" s="2">
        <f>COUNTIFS('OB History'!$B:$B,$A$5,'OB History'!K:K, 1)</f>
        <v>4</v>
      </c>
      <c r="V5" s="2">
        <f>COUNTIFS('OB History'!$B:$B,$A$5,'OB History'!L:L, 1)</f>
        <v>2</v>
      </c>
      <c r="W5" s="2">
        <f>COUNTIFS('OB History'!$B:$B,$A$5,'OB History'!M:M, 1)</f>
        <v>2</v>
      </c>
      <c r="X5" s="2">
        <f>COUNTIFS('OB History'!$B:$B,$A$5,'OB History'!N:N, 1)</f>
        <v>8</v>
      </c>
      <c r="Y5" s="2">
        <f>COUNTIFS('OB History'!$B:$B,$A$5,'OB History'!O:O, 1)</f>
        <v>2</v>
      </c>
      <c r="Z5" s="2">
        <f>COUNTIFS('OB History'!$B:$B,$A$5,'OB History'!P:P, 1)</f>
        <v>4</v>
      </c>
      <c r="AA5" s="2">
        <f>COUNTIFS('OB History'!$B:$B,$A$5,'OB History'!Q:Q, 1)</f>
        <v>0</v>
      </c>
      <c r="AB5" s="2">
        <f>COUNTIFS('OB History'!$B:$B,$A$5,'OB History'!R:R, 1)</f>
        <v>1</v>
      </c>
      <c r="AC5" s="2">
        <f>COUNTIFS('OB History'!$B:$B,$A$5,'OB History'!S:S, 1)</f>
        <v>1</v>
      </c>
      <c r="AD5" s="2">
        <f>COUNTIFS('OB History'!$B:$B,$A$5,'OB History'!T:T, 1)</f>
        <v>2</v>
      </c>
      <c r="AE5" s="2">
        <f>COUNTIFS('OB History'!$B:$B,$A$5,'OB History'!U:U, 1)</f>
        <v>0</v>
      </c>
      <c r="AF5" s="2">
        <f>COUNTIFS('OB History'!$B:$B,$A$5,'OB History'!V:V, 1)</f>
        <v>0</v>
      </c>
      <c r="AG5" s="2">
        <f>COUNTIFS('OB History'!$B:$B,$A$5,'OB History'!W:W, 1)</f>
        <v>2</v>
      </c>
      <c r="AH5" s="2">
        <f>COUNTIFS('OB History'!$B:$B,$A$5,'OB History'!X:X, 1)</f>
        <v>8</v>
      </c>
      <c r="AI5" s="2">
        <f>COUNTIFS('OB History'!$B:$B,$A$5,'OB History'!Y:Y, 1)</f>
        <v>7</v>
      </c>
      <c r="AJ5" s="2">
        <f>COUNTIFS('OB History'!$B:$B,$A$5,'OB History'!Z:Z, 1)</f>
        <v>13</v>
      </c>
    </row>
    <row r="6" spans="1:36" x14ac:dyDescent="0.25">
      <c r="A6" s="2" t="s">
        <v>71</v>
      </c>
      <c r="B6" s="2" t="s">
        <v>79</v>
      </c>
      <c r="C6" s="2" t="s">
        <v>79</v>
      </c>
      <c r="D6" s="3"/>
      <c r="E6" s="3"/>
      <c r="F6" s="3"/>
      <c r="G6" s="3"/>
      <c r="H6" s="34">
        <f>SUMIFS('OB History'!C:C,'OB History'!B:B,A6)</f>
        <v>34</v>
      </c>
      <c r="I6" s="4">
        <f>AVERAGEIFS('OB History'!C:C,'OB History'!B:B,A6)</f>
        <v>11.333333333333334</v>
      </c>
      <c r="J6" s="4">
        <f t="array" ref="J6">MEDIAN(IF('OB History'!B:B=A6, 'OB History'!C:C))</f>
        <v>12</v>
      </c>
      <c r="K6" s="35">
        <f t="array" ref="K6">MAX(IF('OB History'!B:B=A6, 'OB History'!C:C))</f>
        <v>14</v>
      </c>
      <c r="L6" s="34">
        <f>COUNTIFS('OB History'!B:B,A6,'OB History'!D:D, 1)</f>
        <v>2</v>
      </c>
      <c r="M6" s="2">
        <f>COUNTIFS('OB History'!B:B,A6,'OB History'!D:D, 0)</f>
        <v>1</v>
      </c>
      <c r="N6" s="88">
        <f>LOOKUP(2, 1/('OB History'!$B:$B=A6), 'OB History'!$AD:$AD)</f>
        <v>0.66666666666666663</v>
      </c>
      <c r="O6" s="34">
        <f>SUMIFS('OB History'!F:F,'OB History'!B:B,A6)</f>
        <v>7</v>
      </c>
      <c r="P6" s="2">
        <f>SUMIFS('OB History'!E:E,'OB History'!B:B,A6)-O6</f>
        <v>7</v>
      </c>
      <c r="Q6" s="88">
        <f>LOOKUP(2, 1/('OB History'!$B:$B=A6), 'OB History'!$AB:$AB)</f>
        <v>0.48333333333333334</v>
      </c>
      <c r="R6" s="34">
        <f>SUMIFS('OB History'!H:H,'OB History'!B:B,A6)</f>
        <v>29</v>
      </c>
      <c r="S6" s="2">
        <f>SUMIFS('OB History'!G:G,'OB History'!B:B,A6)-R6</f>
        <v>29</v>
      </c>
      <c r="T6" s="88">
        <f>LOOKUP(2, 1/('OB History'!$B:$B=A6), 'OB History'!$AC:$AC)</f>
        <v>0.49666666666666665</v>
      </c>
      <c r="U6" s="2">
        <f>COUNTIFS('OB History'!$B:$B,$A$6,'OB History'!K:K, 1)</f>
        <v>0</v>
      </c>
      <c r="V6" s="2">
        <f>COUNTIFS('OB History'!$B:$B,$A$6,'OB History'!L:L, 1)</f>
        <v>0</v>
      </c>
      <c r="W6" s="2">
        <f>COUNTIFS('OB History'!$B:$B,$A$6,'OB History'!M:M, 1)</f>
        <v>0</v>
      </c>
      <c r="X6" s="2">
        <f>COUNTIFS('OB History'!$B:$B,$A$6,'OB History'!N:N, 1)</f>
        <v>1</v>
      </c>
      <c r="Y6" s="2">
        <f>COUNTIFS('OB History'!$B:$B,$A$6,'OB History'!O:O, 1)</f>
        <v>0</v>
      </c>
      <c r="Z6" s="2">
        <f>COUNTIFS('OB History'!$B:$B,$A$6,'OB History'!P:P, 1)</f>
        <v>1</v>
      </c>
      <c r="AA6" s="2">
        <f>COUNTIFS('OB History'!$B:$B,$A$6,'OB History'!Q:Q, 1)</f>
        <v>0</v>
      </c>
      <c r="AB6" s="2">
        <f>COUNTIFS('OB History'!$B:$B,$A$6,'OB History'!R:R, 1)</f>
        <v>1</v>
      </c>
      <c r="AC6" s="2">
        <f>COUNTIFS('OB History'!$B:$B,$A$6,'OB History'!S:S, 1)</f>
        <v>0</v>
      </c>
      <c r="AD6" s="2">
        <f>COUNTIFS('OB History'!$B:$B,$A$6,'OB History'!T:T, 1)</f>
        <v>0</v>
      </c>
      <c r="AE6" s="2">
        <f>COUNTIFS('OB History'!$B:$B,$A$6,'OB History'!U:U, 1)</f>
        <v>0</v>
      </c>
      <c r="AF6" s="2">
        <f>COUNTIFS('OB History'!$B:$B,$A$6,'OB History'!V:V, 1)</f>
        <v>0</v>
      </c>
      <c r="AG6" s="2">
        <f>COUNTIFS('OB History'!$B:$B,$A$6,'OB History'!W:W, 1)</f>
        <v>1</v>
      </c>
      <c r="AH6" s="2">
        <f>COUNTIFS('OB History'!$B:$B,$A$6,'OB History'!X:X, 1)</f>
        <v>2</v>
      </c>
      <c r="AI6" s="2">
        <f>COUNTIFS('OB History'!$B:$B,$A$6,'OB History'!Y:Y, 1)</f>
        <v>1</v>
      </c>
      <c r="AJ6" s="2">
        <f>COUNTIFS('OB History'!$B:$B,$A$6,'OB History'!Z:Z, 1)</f>
        <v>0</v>
      </c>
    </row>
    <row r="7" spans="1:36" x14ac:dyDescent="0.25">
      <c r="A7" s="2" t="s">
        <v>34</v>
      </c>
      <c r="B7" s="2" t="s">
        <v>79</v>
      </c>
      <c r="C7" s="2" t="s">
        <v>79</v>
      </c>
      <c r="D7" s="3"/>
      <c r="E7" s="3"/>
      <c r="F7" s="3"/>
      <c r="G7" s="3"/>
      <c r="H7" s="34">
        <f>SUMIFS('OB History'!C:C,'OB History'!B:B,A7)</f>
        <v>40</v>
      </c>
      <c r="I7" s="4">
        <f>AVERAGEIFS('OB History'!C:C,'OB History'!B:B,A7)</f>
        <v>10</v>
      </c>
      <c r="J7" s="4">
        <f t="array" ref="J7">MEDIAN(IF('OB History'!B:B=A7, 'OB History'!C:C))</f>
        <v>8.5</v>
      </c>
      <c r="K7" s="35">
        <f t="array" ref="K7">MAX(IF('OB History'!B:B=A7, 'OB History'!C:C))</f>
        <v>18</v>
      </c>
      <c r="L7" s="34">
        <f>COUNTIFS('OB History'!B:B,A7,'OB History'!D:D, 1)</f>
        <v>4</v>
      </c>
      <c r="M7" s="2">
        <f>COUNTIFS('OB History'!B:B,A7,'OB History'!D:D, 0)</f>
        <v>0</v>
      </c>
      <c r="N7" s="88">
        <f>LOOKUP(2, 1/('OB History'!$B:$B=A7), 'OB History'!$AD:$AD)</f>
        <v>1</v>
      </c>
      <c r="O7" s="34">
        <f>SUMIFS('OB History'!F:F,'OB History'!B:B,A7)</f>
        <v>12</v>
      </c>
      <c r="P7" s="2">
        <f>SUMIFS('OB History'!E:E,'OB History'!B:B,A7)-O7</f>
        <v>3</v>
      </c>
      <c r="Q7" s="88">
        <f>LOOKUP(2, 1/('OB History'!$B:$B=A7), 'OB History'!$AB:$AB)</f>
        <v>0.83750000000000002</v>
      </c>
      <c r="R7" s="34">
        <f>SUMIFS('OB History'!H:H,'OB History'!B:B,'Old Bow v2'!A7)</f>
        <v>39</v>
      </c>
      <c r="S7" s="2">
        <f>SUMIFS('OB History'!G:G,'OB History'!B:B,'Old Bow v2'!A7)-R7</f>
        <v>20</v>
      </c>
      <c r="T7" s="88">
        <f>LOOKUP(2, 1/('OB History'!$B:$B=A7), 'OB History'!$AC:$AC)</f>
        <v>0.69</v>
      </c>
      <c r="U7" s="2">
        <f>COUNTIFS('OB History'!$B:$B,$A$7,'OB History'!K:K, 1)</f>
        <v>0</v>
      </c>
      <c r="V7" s="2">
        <f>COUNTIFS('OB History'!$B:$B,$A$7,'OB History'!L:L, 1)</f>
        <v>3</v>
      </c>
      <c r="W7" s="2">
        <f>COUNTIFS('OB History'!$B:$B,$A$7,'OB History'!M:M, 1)</f>
        <v>0</v>
      </c>
      <c r="X7" s="2">
        <f>COUNTIFS('OB History'!$B:$B,$A$7,'OB History'!N:N, 1)</f>
        <v>2</v>
      </c>
      <c r="Y7" s="2">
        <f>COUNTIFS('OB History'!$B:$B,$A$7,'OB History'!O:O, 1)</f>
        <v>0</v>
      </c>
      <c r="Z7" s="2">
        <f>COUNTIFS('OB History'!$B:$B,$A$7,'OB History'!P:P, 1)</f>
        <v>1</v>
      </c>
      <c r="AA7" s="2">
        <f>COUNTIFS('OB History'!$B:$B,$A$7,'OB History'!Q:Q, 1)</f>
        <v>0</v>
      </c>
      <c r="AB7" s="2">
        <f>COUNTIFS('OB History'!$B:$B,$A$7,'OB History'!R:R, 1)</f>
        <v>0</v>
      </c>
      <c r="AC7" s="2">
        <f>COUNTIFS('OB History'!$B:$B,$A$7,'OB History'!S:S, 1)</f>
        <v>0</v>
      </c>
      <c r="AD7" s="2">
        <f>COUNTIFS('OB History'!$B:$B,$A$7,'OB History'!T:T, 1)</f>
        <v>0</v>
      </c>
      <c r="AE7" s="2">
        <f>COUNTIFS('OB History'!$B:$B,$A$7,'OB History'!U:U, 1)</f>
        <v>0</v>
      </c>
      <c r="AF7" s="2">
        <f>COUNTIFS('OB History'!$B:$B,$A$7,'OB History'!V:V, 1)</f>
        <v>0</v>
      </c>
      <c r="AG7" s="2">
        <f>COUNTIFS('OB History'!$B:$B,$A$7,'OB History'!W:W, 1)</f>
        <v>1</v>
      </c>
      <c r="AH7" s="2">
        <f>COUNTIFS('OB History'!$B:$B,$A$7,'OB History'!X:X, 1)</f>
        <v>3</v>
      </c>
      <c r="AI7" s="2">
        <f>COUNTIFS('OB History'!$B:$B,$A$7,'OB History'!Y:Y, 1)</f>
        <v>2</v>
      </c>
      <c r="AJ7" s="2">
        <f>COUNTIFS('OB History'!$B:$B,$A$7,'OB History'!Z:Z, 1)</f>
        <v>0</v>
      </c>
    </row>
    <row r="8" spans="1:36" x14ac:dyDescent="0.25">
      <c r="A8" s="2" t="s">
        <v>35</v>
      </c>
      <c r="B8" s="6" t="s">
        <v>124</v>
      </c>
      <c r="C8" s="2" t="s">
        <v>79</v>
      </c>
      <c r="D8" s="3"/>
      <c r="E8" s="3"/>
      <c r="F8" s="3"/>
      <c r="G8" s="3"/>
      <c r="H8" s="34">
        <f>SUMIFS('OB History'!C:C,'OB History'!B:B,A8)</f>
        <v>484</v>
      </c>
      <c r="I8" s="4">
        <f>AVERAGEIFS('OB History'!C:C,'OB History'!B:B,A8)</f>
        <v>12.410256410256411</v>
      </c>
      <c r="J8" s="4">
        <f t="array" ref="J8">MEDIAN(IF('OB History'!B:B=A8, 'OB History'!C:C))</f>
        <v>12</v>
      </c>
      <c r="K8" s="35">
        <f t="array" ref="K8">MAX(IF('OB History'!B:B=A8, 'OB History'!C:C))</f>
        <v>32</v>
      </c>
      <c r="L8" s="34">
        <f>COUNTIFS('OB History'!B:B,A8,'OB History'!D:D, 1)</f>
        <v>25</v>
      </c>
      <c r="M8" s="2">
        <f>COUNTIFS('OB History'!B:B,A8,'OB History'!D:D, 0)</f>
        <v>14</v>
      </c>
      <c r="N8" s="88">
        <f>LOOKUP(2, 1/('OB History'!$B:$B=A8), 'OB History'!$AD:$AD)</f>
        <v>0.64102564102564108</v>
      </c>
      <c r="O8" s="34">
        <f>SUMIFS('OB History'!F:F,'OB History'!B:B,A8)</f>
        <v>85</v>
      </c>
      <c r="P8" s="2">
        <f>SUMIFS('OB History'!E:E,'OB History'!B:B,A8)-O8</f>
        <v>71</v>
      </c>
      <c r="Q8" s="88">
        <f>LOOKUP(2, 1/('OB History'!$B:$B=A8), 'OB History'!$AB:$AB)</f>
        <v>0.53589743589743599</v>
      </c>
      <c r="R8" s="34">
        <f>SUMIFS('OB History'!H:H,'OB History'!B:B,'Old Bow v2'!A8)</f>
        <v>329</v>
      </c>
      <c r="S8" s="2">
        <f>SUMIFS('OB History'!G:G,'OB History'!B:B,'Old Bow v2'!A8)-R8</f>
        <v>309</v>
      </c>
      <c r="T8" s="88">
        <f>LOOKUP(2, 1/('OB History'!$B:$B=A8), 'OB History'!$AC:$AC)</f>
        <v>0.51102564102564108</v>
      </c>
      <c r="U8" s="2">
        <f>COUNTIFS('OB History'!$B:$B,$A$8,'OB History'!K:K, 1)</f>
        <v>6</v>
      </c>
      <c r="V8" s="2">
        <f>COUNTIFS('OB History'!$B:$B,$A$8,'OB History'!L:L, 1)</f>
        <v>8</v>
      </c>
      <c r="W8" s="2">
        <f>COUNTIFS('OB History'!$B:$B,$A$8,'OB History'!M:M, 1)</f>
        <v>2</v>
      </c>
      <c r="X8" s="2">
        <f>COUNTIFS('OB History'!$B:$B,$A$8,'OB History'!N:N, 1)</f>
        <v>12</v>
      </c>
      <c r="Y8" s="2">
        <f>COUNTIFS('OB History'!$B:$B,$A$8,'OB History'!O:O, 1)</f>
        <v>4</v>
      </c>
      <c r="Z8" s="2">
        <f>COUNTIFS('OB History'!$B:$B,$A$8,'OB History'!P:P, 1)</f>
        <v>9</v>
      </c>
      <c r="AA8" s="2">
        <f>COUNTIFS('OB History'!$B:$B,$A$8,'OB History'!Q:Q, 1)</f>
        <v>0</v>
      </c>
      <c r="AB8" s="2">
        <f>COUNTIFS('OB History'!$B:$B,$A$8,'OB History'!R:R, 1)</f>
        <v>3</v>
      </c>
      <c r="AC8" s="2">
        <f>COUNTIFS('OB History'!$B:$B,$A$8,'OB History'!S:S, 1)</f>
        <v>0</v>
      </c>
      <c r="AD8" s="2">
        <f>COUNTIFS('OB History'!$B:$B,$A$8,'OB History'!T:T, 1)</f>
        <v>1</v>
      </c>
      <c r="AE8" s="2">
        <f>COUNTIFS('OB History'!$B:$B,$A$8,'OB History'!U:U, 1)</f>
        <v>0</v>
      </c>
      <c r="AF8" s="2">
        <f>COUNTIFS('OB History'!$B:$B,$A$8,'OB History'!V:V, 1)</f>
        <v>0</v>
      </c>
      <c r="AG8" s="2">
        <f>COUNTIFS('OB History'!$B:$B,$A$8,'OB History'!W:W, 1)</f>
        <v>10</v>
      </c>
      <c r="AH8" s="2">
        <f>COUNTIFS('OB History'!$B:$B,$A$8,'OB History'!X:X, 1)</f>
        <v>13</v>
      </c>
      <c r="AI8" s="2">
        <f>COUNTIFS('OB History'!$B:$B,$A$8,'OB History'!Y:Y, 1)</f>
        <v>6</v>
      </c>
      <c r="AJ8" s="2">
        <f>COUNTIFS('OB History'!$B:$B,$A$8,'OB History'!Z:Z, 1)</f>
        <v>11</v>
      </c>
    </row>
    <row r="9" spans="1:36" x14ac:dyDescent="0.25">
      <c r="A9" s="2" t="s">
        <v>19</v>
      </c>
      <c r="B9" s="2" t="s">
        <v>79</v>
      </c>
      <c r="C9" s="2" t="s">
        <v>79</v>
      </c>
      <c r="D9" s="3">
        <v>1</v>
      </c>
      <c r="E9" s="3">
        <v>1</v>
      </c>
      <c r="F9" s="3"/>
      <c r="G9" s="3"/>
      <c r="H9" s="34">
        <f>SUMIFS('OB History'!C:C,'OB History'!B:B,A9)</f>
        <v>488</v>
      </c>
      <c r="I9" s="4">
        <f>AVERAGEIFS('OB History'!C:C,'OB History'!B:B,A9)</f>
        <v>12.512820512820513</v>
      </c>
      <c r="J9" s="4">
        <f t="array" ref="J9">MEDIAN(IF('OB History'!B:B=A9, 'OB History'!C:C))</f>
        <v>11</v>
      </c>
      <c r="K9" s="35">
        <f t="array" ref="K9">MAX(IF('OB History'!B:B=A9, 'OB History'!C:C))</f>
        <v>26</v>
      </c>
      <c r="L9" s="34">
        <f>COUNTIFS('OB History'!B:B,A9,'OB History'!D:D, 1)</f>
        <v>17</v>
      </c>
      <c r="M9" s="2">
        <f>COUNTIFS('OB History'!B:B,A9,'OB History'!D:D, 0)</f>
        <v>22</v>
      </c>
      <c r="N9" s="88">
        <f>LOOKUP(2, 1/('OB History'!$B:$B=A9), 'OB History'!$AD:$AD)</f>
        <v>0.4358974358974359</v>
      </c>
      <c r="O9" s="34">
        <f>SUMIFS('OB History'!F:F,'OB History'!B:B,A9)</f>
        <v>75</v>
      </c>
      <c r="P9" s="2">
        <f>SUMIFS('OB History'!E:E,'OB History'!B:B,A9)-O9</f>
        <v>87</v>
      </c>
      <c r="Q9" s="88">
        <f>LOOKUP(2, 1/('OB History'!$B:$B=A9), 'OB History'!$AB:$AB)</f>
        <v>0.45512820512820512</v>
      </c>
      <c r="R9" s="34">
        <f>SUMIFS('OB History'!H:H,'OB History'!B:B,'Old Bow v2'!A9)</f>
        <v>321</v>
      </c>
      <c r="S9" s="2">
        <f>SUMIFS('OB History'!G:G,'OB History'!B:B,'Old Bow v2'!A9)-R9</f>
        <v>348</v>
      </c>
      <c r="T9" s="88">
        <f>LOOKUP(2, 1/('OB History'!$B:$B=A9), 'OB History'!$AC:$AC)</f>
        <v>0.46974358974358982</v>
      </c>
      <c r="U9" s="2">
        <f>COUNTIFS('OB History'!$B:$B,$A$9,'OB History'!K:K, 1)</f>
        <v>5</v>
      </c>
      <c r="V9" s="2">
        <f>COUNTIFS('OB History'!$B:$B,$A$9,'OB History'!L:L, 1)</f>
        <v>4</v>
      </c>
      <c r="W9" s="2">
        <f>COUNTIFS('OB History'!$B:$B,$A$9,'OB History'!M:M, 1)</f>
        <v>1</v>
      </c>
      <c r="X9" s="2">
        <f>COUNTIFS('OB History'!$B:$B,$A$9,'OB History'!N:N, 1)</f>
        <v>9</v>
      </c>
      <c r="Y9" s="2">
        <f>COUNTIFS('OB History'!$B:$B,$A$9,'OB History'!O:O, 1)</f>
        <v>2</v>
      </c>
      <c r="Z9" s="2">
        <f>COUNTIFS('OB History'!$B:$B,$A$9,'OB History'!P:P, 1)</f>
        <v>10</v>
      </c>
      <c r="AA9" s="2">
        <f>COUNTIFS('OB History'!$B:$B,$A$9,'OB History'!Q:Q, 1)</f>
        <v>1</v>
      </c>
      <c r="AB9" s="2">
        <f>COUNTIFS('OB History'!$B:$B,$A$9,'OB History'!R:R, 1)</f>
        <v>1</v>
      </c>
      <c r="AC9" s="2">
        <f>COUNTIFS('OB History'!$B:$B,$A$9,'OB History'!S:S, 1)</f>
        <v>1</v>
      </c>
      <c r="AD9" s="2">
        <f>COUNTIFS('OB History'!$B:$B,$A$9,'OB History'!T:T, 1)</f>
        <v>0</v>
      </c>
      <c r="AE9" s="2">
        <f>COUNTIFS('OB History'!$B:$B,$A$9,'OB History'!U:U, 1)</f>
        <v>1</v>
      </c>
      <c r="AF9" s="2">
        <f>COUNTIFS('OB History'!$B:$B,$A$9,'OB History'!V:V, 1)</f>
        <v>1</v>
      </c>
      <c r="AG9" s="2">
        <f>COUNTIFS('OB History'!$B:$B,$A$9,'OB History'!W:W, 1)</f>
        <v>6</v>
      </c>
      <c r="AH9" s="2">
        <f>COUNTIFS('OB History'!$B:$B,$A$9,'OB History'!X:X, 1)</f>
        <v>14</v>
      </c>
      <c r="AI9" s="2">
        <f>COUNTIFS('OB History'!$B:$B,$A$9,'OB History'!Y:Y, 1)</f>
        <v>5</v>
      </c>
      <c r="AJ9" s="2">
        <f>COUNTIFS('OB History'!$B:$B,$A$9,'OB History'!Z:Z, 1)</f>
        <v>14</v>
      </c>
    </row>
    <row r="10" spans="1:36" x14ac:dyDescent="0.25">
      <c r="A10" s="1" t="s">
        <v>42</v>
      </c>
      <c r="B10" s="6" t="s">
        <v>60</v>
      </c>
      <c r="C10" s="2" t="s">
        <v>79</v>
      </c>
      <c r="D10" s="3"/>
      <c r="E10" s="3"/>
      <c r="F10" s="3"/>
      <c r="G10" s="3"/>
      <c r="H10" s="34">
        <f>SUMIFS('OB History'!C:C,'OB History'!B:B,A10)</f>
        <v>86</v>
      </c>
      <c r="I10" s="4">
        <f>AVERAGEIFS('OB History'!C:C,'OB History'!B:B,A10)</f>
        <v>10.75</v>
      </c>
      <c r="J10" s="4">
        <f t="array" ref="J10">MEDIAN(IF('OB History'!B:B=A10, 'OB History'!C:C))</f>
        <v>8.5</v>
      </c>
      <c r="K10" s="35">
        <f t="array" ref="K10">MAX(IF('OB History'!B:B=A10, 'OB History'!C:C))</f>
        <v>29</v>
      </c>
      <c r="L10" s="34">
        <f>COUNTIFS('OB History'!B:B,A10,'OB History'!D:D, 1)</f>
        <v>3</v>
      </c>
      <c r="M10" s="2">
        <f>COUNTIFS('OB History'!B:B,A10,'OB History'!D:D, 0)</f>
        <v>5</v>
      </c>
      <c r="N10" s="88">
        <f>LOOKUP(2, 1/('OB History'!$B:$B=A10), 'OB History'!$AD:$AD)</f>
        <v>0.375</v>
      </c>
      <c r="O10" s="34">
        <f>SUMIFS('OB History'!F:F,'OB History'!B:B,A10)</f>
        <v>13</v>
      </c>
      <c r="P10" s="2">
        <f>SUMIFS('OB History'!E:E,'OB History'!B:B,A10)-O10</f>
        <v>18</v>
      </c>
      <c r="Q10" s="88">
        <f>LOOKUP(2, 1/('OB History'!$B:$B=A10), 'OB History'!$AB:$AB)</f>
        <v>0.39374999999999999</v>
      </c>
      <c r="R10" s="34">
        <f>SUMIFS('OB History'!H:H,'OB History'!B:B,'Old Bow v2'!A10)</f>
        <v>54</v>
      </c>
      <c r="S10" s="2">
        <f>SUMIFS('OB History'!G:G,'OB History'!B:B,'Old Bow v2'!A10)-R10</f>
        <v>68</v>
      </c>
      <c r="T10" s="88">
        <f>LOOKUP(2, 1/('OB History'!$B:$B=A10), 'OB History'!$AC:$AC)</f>
        <v>0.43250000000000005</v>
      </c>
      <c r="U10" s="2">
        <f>COUNTIFS('OB History'!$B:$B,$A$10,'OB History'!K:K, 1)</f>
        <v>2</v>
      </c>
      <c r="V10" s="2">
        <f>COUNTIFS('OB History'!$B:$B,$A$10,'OB History'!L:L, 1)</f>
        <v>2</v>
      </c>
      <c r="W10" s="2">
        <f>COUNTIFS('OB History'!$B:$B,$A$10,'OB History'!M:M, 1)</f>
        <v>1</v>
      </c>
      <c r="X10" s="2">
        <f>COUNTIFS('OB History'!$B:$B,$A$10,'OB History'!N:N, 1)</f>
        <v>0</v>
      </c>
      <c r="Y10" s="2">
        <f>COUNTIFS('OB History'!$B:$B,$A$10,'OB History'!O:O, 1)</f>
        <v>1</v>
      </c>
      <c r="Z10" s="2">
        <f>COUNTIFS('OB History'!$B:$B,$A$10,'OB History'!P:P, 1)</f>
        <v>0</v>
      </c>
      <c r="AA10" s="2">
        <f>COUNTIFS('OB History'!$B:$B,$A$10,'OB History'!Q:Q, 1)</f>
        <v>0</v>
      </c>
      <c r="AB10" s="2">
        <f>COUNTIFS('OB History'!$B:$B,$A$10,'OB History'!R:R, 1)</f>
        <v>0</v>
      </c>
      <c r="AC10" s="2">
        <f>COUNTIFS('OB History'!$B:$B,$A$10,'OB History'!S:S, 1)</f>
        <v>0</v>
      </c>
      <c r="AD10" s="2">
        <f>COUNTIFS('OB History'!$B:$B,$A$10,'OB History'!T:T, 1)</f>
        <v>0</v>
      </c>
      <c r="AE10" s="2">
        <f>COUNTIFS('OB History'!$B:$B,$A$10,'OB History'!U:U, 1)</f>
        <v>0</v>
      </c>
      <c r="AF10" s="2">
        <f>COUNTIFS('OB History'!$B:$B,$A$10,'OB History'!V:V, 1)</f>
        <v>1</v>
      </c>
      <c r="AG10" s="2">
        <f>COUNTIFS('OB History'!$B:$B,$A$10,'OB History'!W:W, 1)</f>
        <v>3</v>
      </c>
      <c r="AH10" s="2">
        <f>COUNTIFS('OB History'!$B:$B,$A$10,'OB History'!X:X, 1)</f>
        <v>1</v>
      </c>
      <c r="AI10" s="2">
        <f>COUNTIFS('OB History'!$B:$B,$A$10,'OB History'!Y:Y, 1)</f>
        <v>1</v>
      </c>
      <c r="AJ10" s="2">
        <f>COUNTIFS('OB History'!$B:$B,$A$10,'OB History'!Z:Z, 1)</f>
        <v>1</v>
      </c>
    </row>
    <row r="11" spans="1:36" x14ac:dyDescent="0.25">
      <c r="A11" s="1" t="s">
        <v>179</v>
      </c>
      <c r="B11" s="6" t="s">
        <v>79</v>
      </c>
      <c r="C11" s="2" t="s">
        <v>79</v>
      </c>
      <c r="D11" s="3"/>
      <c r="E11" s="3"/>
      <c r="F11" s="3"/>
      <c r="G11" s="3"/>
      <c r="H11" s="34">
        <f>SUMIFS('OB History'!C:C,'OB History'!B:B,A11)</f>
        <v>114</v>
      </c>
      <c r="I11" s="4">
        <f>AVERAGEIFS('OB History'!C:C,'OB History'!B:B,A11)</f>
        <v>14.25</v>
      </c>
      <c r="J11" s="4">
        <f t="array" ref="J11">MEDIAN(IF('OB History'!B:B=A11, 'OB History'!C:C))</f>
        <v>14.5</v>
      </c>
      <c r="K11" s="35">
        <f t="array" ref="K11">MAX(IF('OB History'!B:B=A11, 'OB History'!C:C))</f>
        <v>22</v>
      </c>
      <c r="L11" s="34">
        <f>COUNTIFS('OB History'!B:B,A11,'OB History'!D:D, 1)</f>
        <v>7</v>
      </c>
      <c r="M11" s="2">
        <f>COUNTIFS('OB History'!B:B,A11,'OB History'!D:D, 0)</f>
        <v>1</v>
      </c>
      <c r="N11" s="88">
        <f>LOOKUP(2, 1/('OB History'!$B:$B=A11), 'OB History'!$AD:$AD)</f>
        <v>0.875</v>
      </c>
      <c r="O11" s="34">
        <f>SUMIFS('OB History'!F:F,'OB History'!B:B,A11)</f>
        <v>23</v>
      </c>
      <c r="P11" s="2">
        <f>SUMIFS('OB History'!E:E,'OB History'!B:B,A11)-O11</f>
        <v>5</v>
      </c>
      <c r="Q11" s="88">
        <f>LOOKUP(2, 1/('OB History'!$B:$B=A11), 'OB History'!$AB:$AB)</f>
        <v>0.84375</v>
      </c>
      <c r="R11" s="34">
        <f>SUMIFS('OB History'!H:H,'OB History'!B:B,'Old Bow v2'!A11)</f>
        <v>71</v>
      </c>
      <c r="S11" s="2">
        <f>SUMIFS('OB History'!G:G,'OB History'!B:B,'Old Bow v2'!A11)-R11</f>
        <v>47</v>
      </c>
      <c r="T11" s="88">
        <f>LOOKUP(2, 1/('OB History'!$B:$B=A11), 'OB History'!$AC:$AC)</f>
        <v>0.61125000000000007</v>
      </c>
      <c r="U11" s="2">
        <f>COUNTIFS('OB History'!$B:$B,$A$11,'OB History'!K:K, 1)</f>
        <v>1</v>
      </c>
      <c r="V11" s="2">
        <f>COUNTIFS('OB History'!$B:$B,$A$11,'OB History'!L:L, 1)</f>
        <v>2</v>
      </c>
      <c r="W11" s="2">
        <f>COUNTIFS('OB History'!$B:$B,$A$11,'OB History'!M:M, 1)</f>
        <v>2</v>
      </c>
      <c r="X11" s="2">
        <f>COUNTIFS('OB History'!$B:$B,$A$11,'OB History'!N:N, 1)</f>
        <v>4</v>
      </c>
      <c r="Y11" s="2">
        <f>COUNTIFS('OB History'!$B:$B,$A$11,'OB History'!O:O, 1)</f>
        <v>0</v>
      </c>
      <c r="Z11" s="2">
        <f>COUNTIFS('OB History'!$B:$B,$A$11,'OB History'!P:P, 1)</f>
        <v>0</v>
      </c>
      <c r="AA11" s="2">
        <f>COUNTIFS('OB History'!$B:$B,$A$11,'OB History'!Q:Q, 1)</f>
        <v>0</v>
      </c>
      <c r="AB11" s="2">
        <f>COUNTIFS('OB History'!$B:$B,$A$11,'OB History'!R:R, 1)</f>
        <v>1</v>
      </c>
      <c r="AC11" s="2">
        <f>COUNTIFS('OB History'!$B:$B,$A$11,'OB History'!S:S, 1)</f>
        <v>0</v>
      </c>
      <c r="AD11" s="2">
        <f>COUNTIFS('OB History'!$B:$B,$A$11,'OB History'!T:T, 1)</f>
        <v>2</v>
      </c>
      <c r="AE11" s="2">
        <f>COUNTIFS('OB History'!$B:$B,$A$11,'OB History'!U:U, 1)</f>
        <v>0</v>
      </c>
      <c r="AF11" s="2">
        <f>COUNTIFS('OB History'!$B:$B,$A$11,'OB History'!V:V, 1)</f>
        <v>0</v>
      </c>
      <c r="AG11" s="2">
        <f>COUNTIFS('OB History'!$B:$B,$A$11,'OB History'!W:W, 1)</f>
        <v>1</v>
      </c>
      <c r="AH11" s="2">
        <f>COUNTIFS('OB History'!$B:$B,$A$11,'OB History'!X:X, 1)</f>
        <v>4</v>
      </c>
      <c r="AI11" s="2">
        <f>COUNTIFS('OB History'!$B:$B,$A$11,'OB History'!Y:Y, 1)</f>
        <v>2</v>
      </c>
      <c r="AJ11" s="2">
        <f>COUNTIFS('OB History'!$B:$B,$A$11,'OB History'!Z:Z, 1)</f>
        <v>4</v>
      </c>
    </row>
    <row r="12" spans="1:36" x14ac:dyDescent="0.25">
      <c r="A12" s="1" t="s">
        <v>214</v>
      </c>
      <c r="B12" s="6" t="s">
        <v>79</v>
      </c>
      <c r="C12" s="2" t="s">
        <v>79</v>
      </c>
      <c r="D12" s="3"/>
      <c r="E12" s="3"/>
      <c r="F12" s="3"/>
      <c r="G12" s="3"/>
      <c r="H12" s="34">
        <f>SUMIFS('OB History'!C:C,'OB History'!B:B,A12)</f>
        <v>24</v>
      </c>
      <c r="I12" s="4">
        <f>AVERAGEIFS('OB History'!C:C,'OB History'!B:B,A12)</f>
        <v>8</v>
      </c>
      <c r="J12" s="4">
        <f t="array" ref="J12">MEDIAN(IF('OB History'!B:B=A12, 'OB History'!C:C))</f>
        <v>10</v>
      </c>
      <c r="K12" s="35">
        <f t="array" ref="K12">MAX(IF('OB History'!B:B=A12, 'OB History'!C:C))</f>
        <v>11</v>
      </c>
      <c r="L12" s="34">
        <f>COUNTIFS('OB History'!B:B,A12,'OB History'!D:D, 1)</f>
        <v>3</v>
      </c>
      <c r="M12" s="2">
        <f>COUNTIFS('OB History'!B:B,A12,'OB History'!D:D, 0)</f>
        <v>0</v>
      </c>
      <c r="N12" s="88">
        <f>LOOKUP(2, 1/('OB History'!$B:$B=A12), 'OB History'!$AD:$AD)</f>
        <v>1</v>
      </c>
      <c r="O12" s="34">
        <f>SUMIFS('OB History'!F:F,'OB History'!B:B,A12)</f>
        <v>10</v>
      </c>
      <c r="P12" s="2">
        <f>SUMIFS('OB History'!E:E,'OB History'!B:B,A12)-O12</f>
        <v>2</v>
      </c>
      <c r="Q12" s="88">
        <f>LOOKUP(2, 1/('OB History'!$B:$B=A12), 'OB History'!$AB:$AB)</f>
        <v>0.8666666666666667</v>
      </c>
      <c r="R12" s="34">
        <f>SUMIFS('OB History'!H:H,'OB History'!B:B,'Old Bow v2'!A12)</f>
        <v>33</v>
      </c>
      <c r="S12" s="2">
        <f>SUMIFS('OB History'!G:G,'OB History'!B:B,'Old Bow v2'!A12)-R12</f>
        <v>21</v>
      </c>
      <c r="T12" s="88">
        <f>LOOKUP(2, 1/('OB History'!$B:$B=A12), 'OB History'!$AC:$AC)</f>
        <v>0.62333333333333341</v>
      </c>
      <c r="U12" s="2">
        <f>COUNTIFS('OB History'!$B:$B,$A$12,'OB History'!K:K, 1)</f>
        <v>0</v>
      </c>
      <c r="V12" s="2">
        <f>COUNTIFS('OB History'!$B:$B,$A$12,'OB History'!L:L, 1)</f>
        <v>0</v>
      </c>
      <c r="W12" s="2">
        <f>COUNTIFS('OB History'!$B:$B,$A$12,'OB History'!M:M, 1)</f>
        <v>0</v>
      </c>
      <c r="X12" s="2">
        <f>COUNTIFS('OB History'!$B:$B,$A$12,'OB History'!N:N, 1)</f>
        <v>1</v>
      </c>
      <c r="Y12" s="2">
        <f>COUNTIFS('OB History'!$B:$B,$A$12,'OB History'!O:O, 1)</f>
        <v>0</v>
      </c>
      <c r="Z12" s="2">
        <f>COUNTIFS('OB History'!$B:$B,$A$12,'OB History'!P:P, 1)</f>
        <v>1</v>
      </c>
      <c r="AA12" s="2">
        <f>COUNTIFS('OB History'!$B:$B,$A$12,'OB History'!Q:Q, 1)</f>
        <v>0</v>
      </c>
      <c r="AB12" s="2">
        <f>COUNTIFS('OB History'!$B:$B,$A$12,'OB History'!R:R, 1)</f>
        <v>1</v>
      </c>
      <c r="AC12" s="2">
        <f>COUNTIFS('OB History'!$B:$B,$A$12,'OB History'!S:S, 1)</f>
        <v>0</v>
      </c>
      <c r="AD12" s="2">
        <f>COUNTIFS('OB History'!$B:$B,$A$12,'OB History'!T:T, 1)</f>
        <v>0</v>
      </c>
      <c r="AE12" s="2">
        <f>COUNTIFS('OB History'!$B:$B,$A$12,'OB History'!U:U, 1)</f>
        <v>0</v>
      </c>
      <c r="AF12" s="2">
        <f>COUNTIFS('OB History'!$B:$B,$A$12,'OB History'!V:V, 1)</f>
        <v>0</v>
      </c>
      <c r="AG12" s="2">
        <f>COUNTIFS('OB History'!$B:$B,$A$12,'OB History'!W:W, 1)</f>
        <v>2</v>
      </c>
      <c r="AH12" s="2">
        <f>COUNTIFS('OB History'!$B:$B,$A$12,'OB History'!X:X, 1)</f>
        <v>3</v>
      </c>
      <c r="AI12" s="2">
        <f>COUNTIFS('OB History'!$B:$B,$A$12,'OB History'!Y:Y, 1)</f>
        <v>1</v>
      </c>
      <c r="AJ12" s="2">
        <f>COUNTIFS('OB History'!$B:$B,$A$12,'OB History'!Z:Z, 1)</f>
        <v>1</v>
      </c>
    </row>
    <row r="13" spans="1:36" x14ac:dyDescent="0.25">
      <c r="A13" s="2" t="s">
        <v>25</v>
      </c>
      <c r="B13" s="2" t="s">
        <v>79</v>
      </c>
      <c r="C13" s="2" t="s">
        <v>79</v>
      </c>
      <c r="D13" s="3">
        <v>2</v>
      </c>
      <c r="E13" s="3"/>
      <c r="F13" s="3"/>
      <c r="G13" s="3"/>
      <c r="H13" s="34">
        <f>SUMIFS('OB History'!C:C,'OB History'!B:B,A13)</f>
        <v>610</v>
      </c>
      <c r="I13" s="4">
        <f>AVERAGEIFS('OB History'!C:C,'OB History'!B:B,A13)</f>
        <v>18.484848484848484</v>
      </c>
      <c r="J13" s="4">
        <f t="array" ref="J13">MEDIAN(IF('OB History'!B:B=A13, 'OB History'!C:C))</f>
        <v>16</v>
      </c>
      <c r="K13" s="35">
        <f t="array" ref="K13">MAX(IF('OB History'!B:B=A13, 'OB History'!C:C))</f>
        <v>50</v>
      </c>
      <c r="L13" s="34">
        <f>COUNTIFS('OB History'!B:B,A13,'OB History'!D:D, 1)</f>
        <v>19</v>
      </c>
      <c r="M13" s="2">
        <f>COUNTIFS('OB History'!B:B,A13,'OB History'!D:D, 0)</f>
        <v>14</v>
      </c>
      <c r="N13" s="88">
        <f>LOOKUP(2, 1/('OB History'!$B:$B=A13), 'OB History'!$AD:$AD)</f>
        <v>0.5757575757575758</v>
      </c>
      <c r="O13" s="34">
        <f>SUMIFS('OB History'!F:F,'OB History'!B:B,A13)</f>
        <v>77</v>
      </c>
      <c r="P13" s="2">
        <f>SUMIFS('OB History'!E:E,'OB History'!B:B,A13)-O13</f>
        <v>62</v>
      </c>
      <c r="Q13" s="88">
        <f>LOOKUP(2, 1/('OB History'!$B:$B=A13), 'OB History'!$AB:$AB)</f>
        <v>0.57272727272727264</v>
      </c>
      <c r="R13" s="34">
        <f>SUMIFS('OB History'!H:H,'OB History'!B:B,'Old Bow v2'!A13)</f>
        <v>299</v>
      </c>
      <c r="S13" s="2">
        <f>SUMIFS('OB History'!G:G,'OB History'!B:B,'Old Bow v2'!A13)-R13</f>
        <v>282</v>
      </c>
      <c r="T13" s="88">
        <f>LOOKUP(2, 1/('OB History'!$B:$B=A13), 'OB History'!$AC:$AC)</f>
        <v>0.52575757575757576</v>
      </c>
      <c r="U13" s="2">
        <f>COUNTIFS('OB History'!$B:$B,$A$13,'OB History'!K:K, 1)</f>
        <v>4</v>
      </c>
      <c r="V13" s="2">
        <f>COUNTIFS('OB History'!$B:$B,$A$13,'OB History'!L:L, 1)</f>
        <v>3</v>
      </c>
      <c r="W13" s="2">
        <f>COUNTIFS('OB History'!$B:$B,$A$13,'OB History'!M:M, 1)</f>
        <v>1</v>
      </c>
      <c r="X13" s="2">
        <f>COUNTIFS('OB History'!$B:$B,$A$13,'OB History'!N:N, 1)</f>
        <v>9</v>
      </c>
      <c r="Y13" s="2">
        <f>COUNTIFS('OB History'!$B:$B,$A$13,'OB History'!O:O, 1)</f>
        <v>1</v>
      </c>
      <c r="Z13" s="2">
        <f>COUNTIFS('OB History'!$B:$B,$A$13,'OB History'!P:P, 1)</f>
        <v>7</v>
      </c>
      <c r="AA13" s="2">
        <f>COUNTIFS('OB History'!$B:$B,$A$13,'OB History'!Q:Q, 1)</f>
        <v>6</v>
      </c>
      <c r="AB13" s="2">
        <f>COUNTIFS('OB History'!$B:$B,$A$13,'OB History'!R:R, 1)</f>
        <v>4</v>
      </c>
      <c r="AC13" s="2">
        <f>COUNTIFS('OB History'!$B:$B,$A$13,'OB History'!S:S, 1)</f>
        <v>2</v>
      </c>
      <c r="AD13" s="2">
        <f>COUNTIFS('OB History'!$B:$B,$A$13,'OB History'!T:T, 1)</f>
        <v>1</v>
      </c>
      <c r="AE13" s="2">
        <f>COUNTIFS('OB History'!$B:$B,$A$13,'OB History'!U:U, 1)</f>
        <v>0</v>
      </c>
      <c r="AF13" s="2">
        <f>COUNTIFS('OB History'!$B:$B,$A$13,'OB History'!V:V, 1)</f>
        <v>2</v>
      </c>
      <c r="AG13" s="2">
        <f>COUNTIFS('OB History'!$B:$B,$A$13,'OB History'!W:W, 1)</f>
        <v>6</v>
      </c>
      <c r="AH13" s="2">
        <f>COUNTIFS('OB History'!$B:$B,$A$13,'OB History'!X:X, 1)</f>
        <v>12</v>
      </c>
      <c r="AI13" s="2">
        <f>COUNTIFS('OB History'!$B:$B,$A$13,'OB History'!Y:Y, 1)</f>
        <v>7</v>
      </c>
      <c r="AJ13" s="2">
        <f>COUNTIFS('OB History'!$B:$B,$A$13,'OB History'!Z:Z, 1)</f>
        <v>12</v>
      </c>
    </row>
    <row r="14" spans="1:36" x14ac:dyDescent="0.25">
      <c r="A14" s="2" t="s">
        <v>146</v>
      </c>
      <c r="B14" s="2" t="s">
        <v>79</v>
      </c>
      <c r="C14" s="2" t="s">
        <v>79</v>
      </c>
      <c r="D14" s="3"/>
      <c r="E14" s="3"/>
      <c r="F14" s="3"/>
      <c r="G14" s="3"/>
      <c r="H14" s="34">
        <f>SUMIFS('OB History'!C:C,'OB History'!B:B,A14)</f>
        <v>224</v>
      </c>
      <c r="I14" s="4">
        <f>AVERAGEIFS('OB History'!C:C,'OB History'!B:B,A14)</f>
        <v>13.176470588235293</v>
      </c>
      <c r="J14" s="4">
        <f t="array" ref="J14">MEDIAN(IF('OB History'!B:B=A14, 'OB History'!C:C))</f>
        <v>12</v>
      </c>
      <c r="K14" s="35">
        <f t="array" ref="K14">MAX(IF('OB History'!B:B=A14, 'OB History'!C:C))</f>
        <v>27</v>
      </c>
      <c r="L14" s="34">
        <f>COUNTIFS('OB History'!B:B,A14,'OB History'!D:D, 1)</f>
        <v>6</v>
      </c>
      <c r="M14" s="2">
        <f>COUNTIFS('OB History'!B:B,A14,'OB History'!D:D, 0)</f>
        <v>11</v>
      </c>
      <c r="N14" s="88">
        <f>LOOKUP(2, 1/('OB History'!$B:$B=A14), 'OB History'!$AD:$AD)</f>
        <v>0.35294117647058826</v>
      </c>
      <c r="O14" s="34">
        <f>SUMIFS('OB History'!F:F,'OB History'!B:B,A14)</f>
        <v>30</v>
      </c>
      <c r="P14" s="2">
        <f>SUMIFS('OB History'!E:E,'OB History'!B:B,A14)-O14</f>
        <v>41</v>
      </c>
      <c r="Q14" s="88">
        <f>LOOKUP(2, 1/('OB History'!$B:$B=A14), 'OB History'!$AB:$AB)</f>
        <v>0.40588235294117642</v>
      </c>
      <c r="R14" s="34">
        <f>SUMIFS('OB History'!H:H,'OB History'!B:B,'Old Bow v2'!A14)</f>
        <v>142</v>
      </c>
      <c r="S14" s="2">
        <f>SUMIFS('OB History'!G:G,'OB History'!B:B,'Old Bow v2'!A14)-R14</f>
        <v>158</v>
      </c>
      <c r="T14" s="88">
        <f>LOOKUP(2, 1/('OB History'!$B:$B=A14), 'OB History'!$AC:$AC)</f>
        <v>0.46941176470588225</v>
      </c>
      <c r="U14" s="2">
        <f>COUNTIFS('OB History'!$B:$B,$A$14,'OB History'!K:K, 1)</f>
        <v>2</v>
      </c>
      <c r="V14" s="2">
        <f>COUNTIFS('OB History'!$B:$B,$A$14,'OB History'!L:L, 1)</f>
        <v>3</v>
      </c>
      <c r="W14" s="2">
        <f>COUNTIFS('OB History'!$B:$B,$A$14,'OB History'!M:M, 1)</f>
        <v>3</v>
      </c>
      <c r="X14" s="2">
        <f>COUNTIFS('OB History'!$B:$B,$A$14,'OB History'!N:N, 1)</f>
        <v>5</v>
      </c>
      <c r="Y14" s="2">
        <f>COUNTIFS('OB History'!$B:$B,$A$14,'OB History'!O:O, 1)</f>
        <v>2</v>
      </c>
      <c r="Z14" s="2">
        <f>COUNTIFS('OB History'!$B:$B,$A$14,'OB History'!P:P, 1)</f>
        <v>1</v>
      </c>
      <c r="AA14" s="2">
        <f>COUNTIFS('OB History'!$B:$B,$A$14,'OB History'!Q:Q, 1)</f>
        <v>2</v>
      </c>
      <c r="AB14" s="2">
        <f>COUNTIFS('OB History'!$B:$B,$A$14,'OB History'!R:R, 1)</f>
        <v>1</v>
      </c>
      <c r="AC14" s="2">
        <f>COUNTIFS('OB History'!$B:$B,$A$14,'OB History'!S:S, 1)</f>
        <v>0</v>
      </c>
      <c r="AD14" s="2">
        <f>COUNTIFS('OB History'!$B:$B,$A$14,'OB History'!T:T, 1)</f>
        <v>0</v>
      </c>
      <c r="AE14" s="2">
        <f>COUNTIFS('OB History'!$B:$B,$A$14,'OB History'!U:U, 1)</f>
        <v>0</v>
      </c>
      <c r="AF14" s="2">
        <f>COUNTIFS('OB History'!$B:$B,$A$14,'OB History'!V:V, 1)</f>
        <v>1</v>
      </c>
      <c r="AG14" s="2">
        <f>COUNTIFS('OB History'!$B:$B,$A$14,'OB History'!W:W, 1)</f>
        <v>2</v>
      </c>
      <c r="AH14" s="2">
        <f>COUNTIFS('OB History'!$B:$B,$A$14,'OB History'!X:X, 1)</f>
        <v>6</v>
      </c>
      <c r="AI14" s="2">
        <f>COUNTIFS('OB History'!$B:$B,$A$14,'OB History'!Y:Y, 1)</f>
        <v>2</v>
      </c>
      <c r="AJ14" s="2">
        <f>COUNTIFS('OB History'!$B:$B,$A$14,'OB History'!Z:Z, 1)</f>
        <v>0</v>
      </c>
    </row>
    <row r="15" spans="1:36" x14ac:dyDescent="0.25">
      <c r="A15" s="2" t="s">
        <v>27</v>
      </c>
      <c r="B15" s="6" t="s">
        <v>76</v>
      </c>
      <c r="C15" s="6" t="s">
        <v>79</v>
      </c>
      <c r="D15" s="3">
        <v>2</v>
      </c>
      <c r="E15" s="3"/>
      <c r="F15" s="3"/>
      <c r="G15" s="3"/>
      <c r="H15" s="34">
        <f>SUMIFS('OB History'!C:C,'OB History'!B:B,A15)</f>
        <v>461</v>
      </c>
      <c r="I15" s="4">
        <f>AVERAGEIFS('OB History'!C:C,'OB History'!B:B,A15)</f>
        <v>15.366666666666667</v>
      </c>
      <c r="J15" s="4">
        <f t="array" ref="J15">MEDIAN(IF('OB History'!B:B=A15, 'OB History'!C:C))</f>
        <v>13.5</v>
      </c>
      <c r="K15" s="35">
        <f t="array" ref="K15">MAX(IF('OB History'!B:B=A15, 'OB History'!C:C))</f>
        <v>44</v>
      </c>
      <c r="L15" s="34">
        <f>COUNTIFS('OB History'!B:B,A15,'OB History'!D:D, 1)</f>
        <v>17</v>
      </c>
      <c r="M15" s="2">
        <f>COUNTIFS('OB History'!B:B,A15,'OB History'!D:D, 0)</f>
        <v>13</v>
      </c>
      <c r="N15" s="88">
        <f>LOOKUP(2, 1/('OB History'!$B:$B=A15), 'OB History'!$AD:$AD)</f>
        <v>0.56666666666666665</v>
      </c>
      <c r="O15" s="34">
        <f>SUMIFS('OB History'!F:F,'OB History'!B:B,A15)</f>
        <v>63</v>
      </c>
      <c r="P15" s="2">
        <f>SUMIFS('OB History'!E:E,'OB History'!B:B,A15)-O15</f>
        <v>59</v>
      </c>
      <c r="Q15" s="88">
        <f>LOOKUP(2, 1/('OB History'!$B:$B=A15), 'OB History'!$AB:$AB)</f>
        <v>0.51</v>
      </c>
      <c r="R15" s="34">
        <f>SUMIFS('OB History'!H:H,'OB History'!B:B,'Old Bow v2'!A15)</f>
        <v>253</v>
      </c>
      <c r="S15" s="2">
        <f>SUMIFS('OB History'!G:G,'OB History'!B:B,'Old Bow v2'!A15)-R15</f>
        <v>248</v>
      </c>
      <c r="T15" s="88">
        <f>LOOKUP(2, 1/('OB History'!$B:$B=A15), 'OB History'!$AC:$AC)</f>
        <v>0.50466666666666671</v>
      </c>
      <c r="U15" s="2">
        <f>COUNTIFS('OB History'!$B:$B,$A$15,'OB History'!K:K, 1)</f>
        <v>1</v>
      </c>
      <c r="V15" s="2">
        <f>COUNTIFS('OB History'!$B:$B,$A$15,'OB History'!L:L, 1)</f>
        <v>4</v>
      </c>
      <c r="W15" s="2">
        <f>COUNTIFS('OB History'!$B:$B,$A$15,'OB History'!M:M, 1)</f>
        <v>3</v>
      </c>
      <c r="X15" s="2">
        <f>COUNTIFS('OB History'!$B:$B,$A$15,'OB History'!N:N, 1)</f>
        <v>4</v>
      </c>
      <c r="Y15" s="2">
        <f>COUNTIFS('OB History'!$B:$B,$A$15,'OB History'!O:O, 1)</f>
        <v>4</v>
      </c>
      <c r="Z15" s="2">
        <f>COUNTIFS('OB History'!$B:$B,$A$15,'OB History'!P:P, 1)</f>
        <v>7</v>
      </c>
      <c r="AA15" s="2">
        <f>COUNTIFS('OB History'!$B:$B,$A$15,'OB History'!Q:Q, 1)</f>
        <v>4</v>
      </c>
      <c r="AB15" s="2">
        <f>COUNTIFS('OB History'!$B:$B,$A$15,'OB History'!R:R, 1)</f>
        <v>3</v>
      </c>
      <c r="AC15" s="2">
        <f>COUNTIFS('OB History'!$B:$B,$A$15,'OB History'!S:S, 1)</f>
        <v>0</v>
      </c>
      <c r="AD15" s="2">
        <f>COUNTIFS('OB History'!$B:$B,$A$15,'OB History'!T:T, 1)</f>
        <v>1</v>
      </c>
      <c r="AE15" s="2">
        <f>COUNTIFS('OB History'!$B:$B,$A$15,'OB History'!U:U, 1)</f>
        <v>1</v>
      </c>
      <c r="AF15" s="2">
        <f>COUNTIFS('OB History'!$B:$B,$A$15,'OB History'!V:V, 1)</f>
        <v>1</v>
      </c>
      <c r="AG15" s="2">
        <f>COUNTIFS('OB History'!$B:$B,$A$15,'OB History'!W:W, 1)</f>
        <v>7</v>
      </c>
      <c r="AH15" s="2">
        <f>COUNTIFS('OB History'!$B:$B,$A$15,'OB History'!X:X, 1)</f>
        <v>11</v>
      </c>
      <c r="AI15" s="2">
        <f>COUNTIFS('OB History'!$B:$B,$A$15,'OB History'!Y:Y, 1)</f>
        <v>5</v>
      </c>
      <c r="AJ15" s="2">
        <f>COUNTIFS('OB History'!$B:$B,$A$15,'OB History'!Z:Z, 1)</f>
        <v>7</v>
      </c>
    </row>
    <row r="16" spans="1:36" x14ac:dyDescent="0.25">
      <c r="A16" s="2" t="s">
        <v>26</v>
      </c>
      <c r="B16" s="6" t="s">
        <v>124</v>
      </c>
      <c r="C16" s="6" t="s">
        <v>79</v>
      </c>
      <c r="D16" s="3"/>
      <c r="E16" s="3"/>
      <c r="F16" s="3"/>
      <c r="G16" s="3"/>
      <c r="H16" s="34">
        <f>SUMIFS('OB History'!C:C,'OB History'!B:B,A16)</f>
        <v>572</v>
      </c>
      <c r="I16" s="4">
        <f>AVERAGEIFS('OB History'!C:C,'OB History'!B:B,A16)</f>
        <v>13.619047619047619</v>
      </c>
      <c r="J16" s="4">
        <f t="array" ref="J16">MEDIAN(IF('OB History'!B:B=A16, 'OB History'!C:C))</f>
        <v>12</v>
      </c>
      <c r="K16" s="35">
        <f t="array" ref="K16">MAX(IF('OB History'!B:B=A16, 'OB History'!C:C))</f>
        <v>41</v>
      </c>
      <c r="L16" s="34">
        <f>COUNTIFS('OB History'!B:B,A16,'OB History'!D:D, 1)</f>
        <v>28</v>
      </c>
      <c r="M16" s="2">
        <f>COUNTIFS('OB History'!B:B,A16,'OB History'!D:D, 0)</f>
        <v>14</v>
      </c>
      <c r="N16" s="88">
        <f>LOOKUP(2, 1/('OB History'!$B:$B=A16), 'OB History'!$AD:$AD)</f>
        <v>0.66666666666666663</v>
      </c>
      <c r="O16" s="34">
        <f>SUMIFS('OB History'!F:F,'OB History'!B:B,A16)</f>
        <v>103</v>
      </c>
      <c r="P16" s="2">
        <f>SUMIFS('OB History'!E:E,'OB History'!B:B,A16)-O16</f>
        <v>68</v>
      </c>
      <c r="Q16" s="88">
        <f>LOOKUP(2, 1/('OB History'!$B:$B=A16), 'OB History'!$AB:$AB)</f>
        <v>0.62499999999999989</v>
      </c>
      <c r="R16" s="34">
        <f>SUMIFS('OB History'!H:H,'OB History'!B:B,'Old Bow v2'!A16)</f>
        <v>384</v>
      </c>
      <c r="S16" s="2">
        <f>SUMIFS('OB History'!G:G,'OB History'!B:B,'Old Bow v2'!A16)-R16</f>
        <v>325</v>
      </c>
      <c r="T16" s="88">
        <f>LOOKUP(2, 1/('OB History'!$B:$B=A16), 'OB History'!$AC:$AC)</f>
        <v>0.54904761904761912</v>
      </c>
      <c r="U16" s="2">
        <f>COUNTIFS('OB History'!$B:$B,$A$16,'OB History'!K:K, 1)</f>
        <v>4</v>
      </c>
      <c r="V16" s="2">
        <f>COUNTIFS('OB History'!$B:$B,$A$16,'OB History'!L:L, 1)</f>
        <v>8</v>
      </c>
      <c r="W16" s="2">
        <f>COUNTIFS('OB History'!$B:$B,$A$16,'OB History'!M:M, 1)</f>
        <v>4</v>
      </c>
      <c r="X16" s="2">
        <f>COUNTIFS('OB History'!$B:$B,$A$16,'OB History'!N:N, 1)</f>
        <v>12</v>
      </c>
      <c r="Y16" s="2">
        <f>COUNTIFS('OB History'!$B:$B,$A$16,'OB History'!O:O, 1)</f>
        <v>4</v>
      </c>
      <c r="Z16" s="2">
        <f>COUNTIFS('OB History'!$B:$B,$A$16,'OB History'!P:P, 1)</f>
        <v>15</v>
      </c>
      <c r="AA16" s="2">
        <f>COUNTIFS('OB History'!$B:$B,$A$16,'OB History'!Q:Q, 1)</f>
        <v>6</v>
      </c>
      <c r="AB16" s="2">
        <f>COUNTIFS('OB History'!$B:$B,$A$16,'OB History'!R:R, 1)</f>
        <v>4</v>
      </c>
      <c r="AC16" s="2">
        <f>COUNTIFS('OB History'!$B:$B,$A$16,'OB History'!S:S, 1)</f>
        <v>2</v>
      </c>
      <c r="AD16" s="2">
        <f>COUNTIFS('OB History'!$B:$B,$A$16,'OB History'!T:T, 1)</f>
        <v>2</v>
      </c>
      <c r="AE16" s="2">
        <f>COUNTIFS('OB History'!$B:$B,$A$16,'OB History'!U:U, 1)</f>
        <v>1</v>
      </c>
      <c r="AF16" s="2">
        <f>COUNTIFS('OB History'!$B:$B,$A$16,'OB History'!V:V, 1)</f>
        <v>3</v>
      </c>
      <c r="AG16" s="2">
        <f>COUNTIFS('OB History'!$B:$B,$A$16,'OB History'!W:W, 1)</f>
        <v>7</v>
      </c>
      <c r="AH16" s="2">
        <f>COUNTIFS('OB History'!$B:$B,$A$16,'OB History'!X:X, 1)</f>
        <v>12</v>
      </c>
      <c r="AI16" s="2">
        <f>COUNTIFS('OB History'!$B:$B,$A$16,'OB History'!Y:Y, 1)</f>
        <v>8</v>
      </c>
      <c r="AJ16" s="2">
        <f>COUNTIFS('OB History'!$B:$B,$A$16,'OB History'!Z:Z, 1)</f>
        <v>11</v>
      </c>
    </row>
    <row r="17" spans="1:36" x14ac:dyDescent="0.25">
      <c r="A17" s="2" t="s">
        <v>74</v>
      </c>
      <c r="B17" s="6" t="s">
        <v>79</v>
      </c>
      <c r="C17" s="6" t="s">
        <v>79</v>
      </c>
      <c r="D17" s="3"/>
      <c r="E17" s="3"/>
      <c r="F17" s="3"/>
      <c r="G17" s="3"/>
      <c r="H17" s="34">
        <f>SUMIFS('OB History'!C:C,'OB History'!B:B,A17)</f>
        <v>10</v>
      </c>
      <c r="I17" s="4">
        <f>AVERAGEIFS('OB History'!C:C,'OB History'!B:B,A17)</f>
        <v>10</v>
      </c>
      <c r="J17" s="4">
        <f t="array" ref="J17">MEDIAN(IF('OB History'!B:B=A17, 'OB History'!C:C))</f>
        <v>10</v>
      </c>
      <c r="K17" s="35">
        <f t="array" ref="K17">MAX(IF('OB History'!B:B=A17, 'OB History'!C:C))</f>
        <v>10</v>
      </c>
      <c r="L17" s="34">
        <f>COUNTIFS('OB History'!B:B,A17,'OB History'!D:D, 1)</f>
        <v>0</v>
      </c>
      <c r="M17" s="2">
        <f>COUNTIFS('OB History'!B:B,A17,'OB History'!D:D, 0)</f>
        <v>1</v>
      </c>
      <c r="N17" s="88">
        <f>LOOKUP(2, 1/('OB History'!$B:$B=A17), 'OB History'!$AD:$AD)</f>
        <v>0</v>
      </c>
      <c r="O17" s="34">
        <f>SUMIFS('OB History'!F:F,'OB History'!B:B,A17)</f>
        <v>2</v>
      </c>
      <c r="P17" s="2">
        <f>SUMIFS('OB History'!E:E,'OB History'!B:B,A17)-O17</f>
        <v>3</v>
      </c>
      <c r="Q17" s="88">
        <f>LOOKUP(2, 1/('OB History'!$B:$B=A17), 'OB History'!$AB:$AB)</f>
        <v>0.4</v>
      </c>
      <c r="R17" s="34">
        <f>SUMIFS('OB History'!H:H,'OB History'!B:B,'Old Bow v2'!A17)</f>
        <v>6</v>
      </c>
      <c r="S17" s="2">
        <f>SUMIFS('OB History'!G:G,'OB History'!B:B,'Old Bow v2'!A17)-R17</f>
        <v>14</v>
      </c>
      <c r="T17" s="88">
        <f>LOOKUP(2, 1/('OB History'!$B:$B=A17), 'OB History'!$AC:$AC)</f>
        <v>0.3</v>
      </c>
      <c r="U17" s="2">
        <f>COUNTIFS('OB History'!$B:$B,$A$17,'OB History'!K:K, 1)</f>
        <v>0</v>
      </c>
      <c r="V17" s="2">
        <f>COUNTIFS('OB History'!$B:$B,$A$17,'OB History'!L:L, 1)</f>
        <v>0</v>
      </c>
      <c r="W17" s="2">
        <f>COUNTIFS('OB History'!$B:$B,$A$17,'OB History'!M:M, 1)</f>
        <v>0</v>
      </c>
      <c r="X17" s="2">
        <f>COUNTIFS('OB History'!$B:$B,$A$17,'OB History'!N:N, 1)</f>
        <v>0</v>
      </c>
      <c r="Y17" s="2">
        <f>COUNTIFS('OB History'!$B:$B,$A$17,'OB History'!O:O, 1)</f>
        <v>0</v>
      </c>
      <c r="Z17" s="2">
        <f>COUNTIFS('OB History'!$B:$B,$A$17,'OB History'!P:P, 1)</f>
        <v>0</v>
      </c>
      <c r="AA17" s="2">
        <f>COUNTIFS('OB History'!$B:$B,$A$17,'OB History'!Q:Q, 1)</f>
        <v>0</v>
      </c>
      <c r="AB17" s="2">
        <f>COUNTIFS('OB History'!$B:$B,$A$17,'OB History'!R:R, 1)</f>
        <v>0</v>
      </c>
      <c r="AC17" s="2">
        <f>COUNTIFS('OB History'!$B:$B,$A$17,'OB History'!S:S, 1)</f>
        <v>0</v>
      </c>
      <c r="AD17" s="2">
        <f>COUNTIFS('OB History'!$B:$B,$A$17,'OB History'!T:T, 1)</f>
        <v>0</v>
      </c>
      <c r="AE17" s="2">
        <f>COUNTIFS('OB History'!$B:$B,$A$17,'OB History'!U:U, 1)</f>
        <v>0</v>
      </c>
      <c r="AF17" s="2">
        <f>COUNTIFS('OB History'!$B:$B,$A$17,'OB History'!V:V, 1)</f>
        <v>0</v>
      </c>
      <c r="AG17" s="2">
        <f>COUNTIFS('OB History'!$B:$B,$A$17,'OB History'!W:W, 1)</f>
        <v>1</v>
      </c>
      <c r="AH17" s="2">
        <f>COUNTIFS('OB History'!$B:$B,$A$17,'OB History'!X:X, 1)</f>
        <v>0</v>
      </c>
      <c r="AI17" s="2">
        <f>COUNTIFS('OB History'!$B:$B,$A$17,'OB History'!Y:Y, 1)</f>
        <v>1</v>
      </c>
      <c r="AJ17" s="2">
        <f>COUNTIFS('OB History'!$B:$B,$A$17,'OB History'!Z:Z, 1)</f>
        <v>0</v>
      </c>
    </row>
    <row r="18" spans="1:36" x14ac:dyDescent="0.25">
      <c r="A18" s="2" t="s">
        <v>152</v>
      </c>
      <c r="B18" s="6" t="s">
        <v>79</v>
      </c>
      <c r="C18" s="6" t="s">
        <v>79</v>
      </c>
      <c r="D18" s="3"/>
      <c r="E18" s="3"/>
      <c r="F18" s="3"/>
      <c r="G18" s="3"/>
      <c r="H18" s="34">
        <f>SUMIFS('OB History'!C:C,'OB History'!B:B,A18)</f>
        <v>154</v>
      </c>
      <c r="I18" s="4">
        <f>AVERAGEIFS('OB History'!C:C,'OB History'!B:B,A18)</f>
        <v>14</v>
      </c>
      <c r="J18" s="4">
        <f t="array" ref="J18">MEDIAN(IF('OB History'!B:B=A18, 'OB History'!C:C))</f>
        <v>16</v>
      </c>
      <c r="K18" s="35">
        <f t="array" ref="K18">MAX(IF('OB History'!B:B=A18, 'OB History'!C:C))</f>
        <v>19</v>
      </c>
      <c r="L18" s="34">
        <f>COUNTIFS('OB History'!B:B,A18,'OB History'!D:D, 1)</f>
        <v>2</v>
      </c>
      <c r="M18" s="2">
        <f>COUNTIFS('OB History'!B:B,A18,'OB History'!D:D, 0)</f>
        <v>9</v>
      </c>
      <c r="N18" s="88">
        <f>LOOKUP(2, 1/('OB History'!$B:$B=A18), 'OB History'!$AD:$AD)</f>
        <v>0.18181818181818182</v>
      </c>
      <c r="O18" s="34">
        <f>SUMIFS('OB History'!F:F,'OB History'!B:B,A18)</f>
        <v>12</v>
      </c>
      <c r="P18" s="2">
        <f>SUMIFS('OB History'!E:E,'OB History'!B:B,A18)-O18</f>
        <v>30</v>
      </c>
      <c r="Q18" s="88">
        <f>LOOKUP(2, 1/('OB History'!$B:$B=A18), 'OB History'!$AB:$AB)</f>
        <v>0.25454545454545452</v>
      </c>
      <c r="R18" s="34">
        <f>SUMIFS('OB History'!H:H,'OB History'!B:B,'Old Bow v2'!A18)</f>
        <v>67</v>
      </c>
      <c r="S18" s="2">
        <f>SUMIFS('OB History'!G:G,'OB History'!B:B,'Old Bow v2'!A18)-R18</f>
        <v>111</v>
      </c>
      <c r="T18" s="88">
        <f>LOOKUP(2, 1/('OB History'!$B:$B=A18), 'OB History'!$AC:$AC)</f>
        <v>0.3572727272727273</v>
      </c>
      <c r="U18" s="2">
        <f>COUNTIFS('OB History'!$B:$B,$A$18,'OB History'!K:K, 1)</f>
        <v>1</v>
      </c>
      <c r="V18" s="2">
        <f>COUNTIFS('OB History'!$B:$B,$A$18,'OB History'!L:L, 1)</f>
        <v>0</v>
      </c>
      <c r="W18" s="2">
        <f>COUNTIFS('OB History'!$B:$B,$A$18,'OB History'!M:M, 1)</f>
        <v>2</v>
      </c>
      <c r="X18" s="2">
        <f>COUNTIFS('OB History'!$B:$B,$A$18,'OB History'!N:N, 1)</f>
        <v>0</v>
      </c>
      <c r="Y18" s="2">
        <f>COUNTIFS('OB History'!$B:$B,$A$18,'OB History'!O:O, 1)</f>
        <v>0</v>
      </c>
      <c r="Z18" s="2">
        <f>COUNTIFS('OB History'!$B:$B,$A$18,'OB History'!P:P, 1)</f>
        <v>2</v>
      </c>
      <c r="AA18" s="2">
        <f>COUNTIFS('OB History'!$B:$B,$A$18,'OB History'!Q:Q, 1)</f>
        <v>2</v>
      </c>
      <c r="AB18" s="2">
        <f>COUNTIFS('OB History'!$B:$B,$A$18,'OB History'!R:R, 1)</f>
        <v>1</v>
      </c>
      <c r="AC18" s="2">
        <f>COUNTIFS('OB History'!$B:$B,$A$18,'OB History'!S:S, 1)</f>
        <v>0</v>
      </c>
      <c r="AD18" s="2">
        <f>COUNTIFS('OB History'!$B:$B,$A$18,'OB History'!T:T, 1)</f>
        <v>0</v>
      </c>
      <c r="AE18" s="2">
        <f>COUNTIFS('OB History'!$B:$B,$A$18,'OB History'!U:U, 1)</f>
        <v>0</v>
      </c>
      <c r="AF18" s="2">
        <f>COUNTIFS('OB History'!$B:$B,$A$18,'OB History'!V:V, 1)</f>
        <v>0</v>
      </c>
      <c r="AG18" s="2">
        <f>COUNTIFS('OB History'!$B:$B,$A$18,'OB History'!W:W, 1)</f>
        <v>0</v>
      </c>
      <c r="AH18" s="2">
        <f>COUNTIFS('OB History'!$B:$B,$A$18,'OB History'!X:X, 1)</f>
        <v>3</v>
      </c>
      <c r="AI18" s="2">
        <f>COUNTIFS('OB History'!$B:$B,$A$18,'OB History'!Y:Y, 1)</f>
        <v>0</v>
      </c>
      <c r="AJ18" s="2">
        <f>COUNTIFS('OB History'!$B:$B,$A$18,'OB History'!Z:Z, 1)</f>
        <v>1</v>
      </c>
    </row>
    <row r="19" spans="1:36" x14ac:dyDescent="0.25">
      <c r="A19" s="2" t="s">
        <v>213</v>
      </c>
      <c r="B19" s="6" t="s">
        <v>79</v>
      </c>
      <c r="C19" s="6" t="s">
        <v>79</v>
      </c>
      <c r="D19" s="3"/>
      <c r="E19" s="3"/>
      <c r="F19" s="3"/>
      <c r="G19" s="3"/>
      <c r="H19" s="34">
        <f>SUMIFS('OB History'!C:C,'OB History'!B:B,A19)</f>
        <v>0</v>
      </c>
      <c r="I19" s="4">
        <f>AVERAGEIFS('OB History'!C:C,'OB History'!B:B,A19)</f>
        <v>0</v>
      </c>
      <c r="J19" s="4">
        <f t="array" ref="J19">MEDIAN(IF('OB History'!B:B=A19, 'OB History'!C:C))</f>
        <v>0</v>
      </c>
      <c r="K19" s="35">
        <f t="array" ref="K19">MAX(IF('OB History'!B:B=A19, 'OB History'!C:C))</f>
        <v>0</v>
      </c>
      <c r="L19" s="34">
        <f>COUNTIFS('OB History'!B:B,A19,'OB History'!D:D, 1)</f>
        <v>0</v>
      </c>
      <c r="M19" s="2">
        <f>COUNTIFS('OB History'!B:B,A19,'OB History'!D:D, 0)</f>
        <v>1</v>
      </c>
      <c r="N19" s="88">
        <f>LOOKUP(2, 1/('OB History'!$B:$B=A19), 'OB History'!$AD:$AD)</f>
        <v>0</v>
      </c>
      <c r="O19" s="34">
        <f>SUMIFS('OB History'!F:F,'OB History'!B:B,A19)</f>
        <v>0</v>
      </c>
      <c r="P19" s="2">
        <f>SUMIFS('OB History'!E:E,'OB History'!B:B,A19)-O19</f>
        <v>3</v>
      </c>
      <c r="Q19" s="88">
        <f>LOOKUP(2, 1/('OB History'!$B:$B=A19), 'OB History'!$AB:$AB)</f>
        <v>0</v>
      </c>
      <c r="R19" s="34">
        <f>SUMIFS('OB History'!H:H,'OB History'!B:B,'Old Bow v2'!A19)</f>
        <v>3</v>
      </c>
      <c r="S19" s="2">
        <f>SUMIFS('OB History'!G:G,'OB History'!B:B,'Old Bow v2'!A19)-R19</f>
        <v>9</v>
      </c>
      <c r="T19" s="88">
        <f>LOOKUP(2, 1/('OB History'!$B:$B=A19), 'OB History'!$AC:$AC)</f>
        <v>0.25</v>
      </c>
      <c r="U19" s="2">
        <f>COUNTIFS('OB History'!$B:$B,$A$19,'OB History'!K:K, 1)</f>
        <v>0</v>
      </c>
      <c r="V19" s="2">
        <f>COUNTIFS('OB History'!$B:$B,$A$19,'OB History'!L:L, 1)</f>
        <v>0</v>
      </c>
      <c r="W19" s="2">
        <f>COUNTIFS('OB History'!$B:$B,$A$19,'OB History'!M:M, 1)</f>
        <v>0</v>
      </c>
      <c r="X19" s="2">
        <f>COUNTIFS('OB History'!$B:$B,$A$19,'OB History'!N:N, 1)</f>
        <v>0</v>
      </c>
      <c r="Y19" s="2">
        <f>COUNTIFS('OB History'!$B:$B,$A$19,'OB History'!O:O, 1)</f>
        <v>0</v>
      </c>
      <c r="Z19" s="2">
        <f>COUNTIFS('OB History'!$B:$B,$A$19,'OB History'!P:P, 1)</f>
        <v>0</v>
      </c>
      <c r="AA19" s="2">
        <f>COUNTIFS('OB History'!$B:$B,$A$19,'OB History'!Q:Q, 1)</f>
        <v>0</v>
      </c>
      <c r="AB19" s="2">
        <f>COUNTIFS('OB History'!$B:$B,$A$19,'OB History'!R:R, 1)</f>
        <v>0</v>
      </c>
      <c r="AC19" s="2">
        <f>COUNTIFS('OB History'!$B:$B,$A$19,'OB History'!S:S, 1)</f>
        <v>0</v>
      </c>
      <c r="AD19" s="2">
        <f>COUNTIFS('OB History'!$B:$B,$A$19,'OB History'!T:T, 1)</f>
        <v>0</v>
      </c>
      <c r="AE19" s="2">
        <f>COUNTIFS('OB History'!$B:$B,$A$19,'OB History'!U:U, 1)</f>
        <v>0</v>
      </c>
      <c r="AF19" s="2">
        <f>COUNTIFS('OB History'!$B:$B,$A$19,'OB History'!V:V, 1)</f>
        <v>0</v>
      </c>
      <c r="AG19" s="2">
        <f>COUNTIFS('OB History'!$B:$B,$A$19,'OB History'!W:W, 1)</f>
        <v>0</v>
      </c>
      <c r="AH19" s="2">
        <f>COUNTIFS('OB History'!$B:$B,$A$19,'OB History'!X:X, 1)</f>
        <v>0</v>
      </c>
      <c r="AI19" s="2">
        <f>COUNTIFS('OB History'!$B:$B,$A$19,'OB History'!Y:Y, 1)</f>
        <v>0</v>
      </c>
      <c r="AJ19" s="2">
        <f>COUNTIFS('OB History'!$B:$B,$A$19,'OB History'!Z:Z, 1)</f>
        <v>0</v>
      </c>
    </row>
    <row r="20" spans="1:36" ht="15.75" x14ac:dyDescent="0.25">
      <c r="A20" s="1" t="s">
        <v>45</v>
      </c>
      <c r="B20" s="80" t="s">
        <v>60</v>
      </c>
      <c r="C20" s="2" t="s">
        <v>79</v>
      </c>
      <c r="D20" s="3"/>
      <c r="E20" s="3"/>
      <c r="F20" s="3"/>
      <c r="G20" s="3"/>
      <c r="H20" s="34">
        <f>SUMIFS('OB History'!C:C,'OB History'!B:B,A20)</f>
        <v>321</v>
      </c>
      <c r="I20" s="4">
        <f>AVERAGEIFS('OB History'!C:C,'OB History'!B:B,A20)</f>
        <v>13.375</v>
      </c>
      <c r="J20" s="4">
        <f t="array" ref="J20">MEDIAN(IF('OB History'!B:B=A20, 'OB History'!C:C))</f>
        <v>12.5</v>
      </c>
      <c r="K20" s="35">
        <f t="array" ref="K20">MAX(IF('OB History'!B:B=A20, 'OB History'!C:C))</f>
        <v>29</v>
      </c>
      <c r="L20" s="34">
        <f>COUNTIFS('OB History'!B:B,A20,'OB History'!D:D, 1)</f>
        <v>9</v>
      </c>
      <c r="M20" s="2">
        <f>COUNTIFS('OB History'!B:B,A20,'OB History'!D:D, 0)</f>
        <v>15</v>
      </c>
      <c r="N20" s="88">
        <f>LOOKUP(2, 1/('OB History'!$B:$B=A20), 'OB History'!$AD:$AD)</f>
        <v>0.375</v>
      </c>
      <c r="O20" s="34">
        <f>SUMIFS('OB History'!F:F,'OB History'!B:B,A20)</f>
        <v>47</v>
      </c>
      <c r="P20" s="2">
        <f>SUMIFS('OB History'!E:E,'OB History'!B:B,A20)-O20</f>
        <v>56</v>
      </c>
      <c r="Q20" s="88">
        <f>LOOKUP(2, 1/('OB History'!$B:$B=A20), 'OB History'!$AB:$AB)</f>
        <v>0.45208333333333339</v>
      </c>
      <c r="R20" s="34">
        <f>SUMIFS('OB History'!H:H,'OB History'!B:B,'Old Bow v2'!A20)</f>
        <v>201</v>
      </c>
      <c r="S20" s="2">
        <f>SUMIFS('OB History'!G:G,'OB History'!B:B,'Old Bow v2'!A20)-R20</f>
        <v>216</v>
      </c>
      <c r="T20" s="88">
        <f>LOOKUP(2, 1/('OB History'!$B:$B=A20), 'OB History'!$AC:$AC)</f>
        <v>0.48208333333333342</v>
      </c>
      <c r="U20" s="2">
        <f>COUNTIFS('OB History'!$B:$B,$A$20,'OB History'!K:K, 1)</f>
        <v>1</v>
      </c>
      <c r="V20" s="2">
        <f>COUNTIFS('OB History'!$B:$B,$A$20,'OB History'!L:L, 1)</f>
        <v>3</v>
      </c>
      <c r="W20" s="2">
        <f>COUNTIFS('OB History'!$B:$B,$A$20,'OB History'!M:M, 1)</f>
        <v>2</v>
      </c>
      <c r="X20" s="2">
        <f>COUNTIFS('OB History'!$B:$B,$A$20,'OB History'!N:N, 1)</f>
        <v>7</v>
      </c>
      <c r="Y20" s="2">
        <f>COUNTIFS('OB History'!$B:$B,$A$20,'OB History'!O:O, 1)</f>
        <v>0</v>
      </c>
      <c r="Z20" s="2">
        <f>COUNTIFS('OB History'!$B:$B,$A$20,'OB History'!P:P, 1)</f>
        <v>6</v>
      </c>
      <c r="AA20" s="2">
        <f>COUNTIFS('OB History'!$B:$B,$A$20,'OB History'!Q:Q, 1)</f>
        <v>0</v>
      </c>
      <c r="AB20" s="2">
        <f>COUNTIFS('OB History'!$B:$B,$A$20,'OB History'!R:R, 1)</f>
        <v>1</v>
      </c>
      <c r="AC20" s="2">
        <f>COUNTIFS('OB History'!$B:$B,$A$20,'OB History'!S:S, 1)</f>
        <v>1</v>
      </c>
      <c r="AD20" s="2">
        <f>COUNTIFS('OB History'!$B:$B,$A$20,'OB History'!T:T, 1)</f>
        <v>1</v>
      </c>
      <c r="AE20" s="2">
        <f>COUNTIFS('OB History'!$B:$B,$A$20,'OB History'!U:U, 1)</f>
        <v>0</v>
      </c>
      <c r="AF20" s="2">
        <f>COUNTIFS('OB History'!$B:$B,$A$20,'OB History'!V:V, 1)</f>
        <v>0</v>
      </c>
      <c r="AG20" s="2">
        <f>COUNTIFS('OB History'!$B:$B,$A$20,'OB History'!W:W, 1)</f>
        <v>3</v>
      </c>
      <c r="AH20" s="2">
        <f>COUNTIFS('OB History'!$B:$B,$A$20,'OB History'!X:X, 1)</f>
        <v>8</v>
      </c>
      <c r="AI20" s="2">
        <f>COUNTIFS('OB History'!$B:$B,$A$20,'OB History'!Y:Y, 1)</f>
        <v>6</v>
      </c>
      <c r="AJ20" s="2">
        <f>COUNTIFS('OB History'!$B:$B,$A$20,'OB History'!Z:Z, 1)</f>
        <v>8</v>
      </c>
    </row>
    <row r="21" spans="1:36" x14ac:dyDescent="0.25">
      <c r="A21" s="2" t="s">
        <v>50</v>
      </c>
      <c r="B21" s="2" t="s">
        <v>79</v>
      </c>
      <c r="C21" s="2" t="s">
        <v>79</v>
      </c>
      <c r="D21" s="3"/>
      <c r="E21" s="3"/>
      <c r="F21" s="3"/>
      <c r="G21" s="3"/>
      <c r="H21" s="34">
        <f>SUMIFS('OB History'!C:C,'OB History'!B:B,A21)</f>
        <v>59</v>
      </c>
      <c r="I21" s="4">
        <f>AVERAGEIFS('OB History'!C:C,'OB History'!B:B,A21)</f>
        <v>14.75</v>
      </c>
      <c r="J21" s="4">
        <f t="array" ref="J21">MEDIAN(IF('OB History'!B:B=A21, 'OB History'!C:C))</f>
        <v>15</v>
      </c>
      <c r="K21" s="35">
        <f t="array" ref="K21">MAX(IF('OB History'!B:B=A21, 'OB History'!C:C))</f>
        <v>17</v>
      </c>
      <c r="L21" s="34">
        <f>COUNTIFS('OB History'!B:B,A21,'OB History'!D:D, 1)</f>
        <v>0</v>
      </c>
      <c r="M21" s="2">
        <f>COUNTIFS('OB History'!B:B,A21,'OB History'!D:D, 0)</f>
        <v>4</v>
      </c>
      <c r="N21" s="88">
        <f>LOOKUP(2, 1/('OB History'!$B:$B=A21), 'OB History'!$AD:$AD)</f>
        <v>0</v>
      </c>
      <c r="O21" s="34">
        <f>SUMIFS('OB History'!F:F,'OB History'!B:B,A21)</f>
        <v>5</v>
      </c>
      <c r="P21" s="2">
        <f>SUMIFS('OB History'!E:E,'OB History'!B:B,A21)-O21</f>
        <v>12</v>
      </c>
      <c r="Q21" s="88">
        <f>LOOKUP(2, 1/('OB History'!$B:$B=A21), 'OB History'!$AB:$AB)</f>
        <v>0.28749999999999998</v>
      </c>
      <c r="R21" s="34">
        <f>SUMIFS('OB History'!H:H,'OB History'!B:B,'Old Bow v2'!A21)</f>
        <v>33</v>
      </c>
      <c r="S21" s="2">
        <f>SUMIFS('OB History'!G:G,'OB History'!B:B,'Old Bow v2'!A21)-R21</f>
        <v>41</v>
      </c>
      <c r="T21" s="88">
        <f>LOOKUP(2, 1/('OB History'!$B:$B=A21), 'OB History'!$AC:$AC)</f>
        <v>0.4375</v>
      </c>
      <c r="U21" s="2">
        <f>COUNTIFS('OB History'!$B:$B,$A$21,'OB History'!K:K, 1)</f>
        <v>1</v>
      </c>
      <c r="V21" s="2">
        <f>COUNTIFS('OB History'!$B:$B,$A$21,'OB History'!L:L, 1)</f>
        <v>0</v>
      </c>
      <c r="W21" s="2">
        <f>COUNTIFS('OB History'!$B:$B,$A$21,'OB History'!M:M, 1)</f>
        <v>0</v>
      </c>
      <c r="X21" s="2">
        <f>COUNTIFS('OB History'!$B:$B,$A$21,'OB History'!N:N, 1)</f>
        <v>0</v>
      </c>
      <c r="Y21" s="2">
        <f>COUNTIFS('OB History'!$B:$B,$A$21,'OB History'!O:O, 1)</f>
        <v>0</v>
      </c>
      <c r="Z21" s="2">
        <f>COUNTIFS('OB History'!$B:$B,$A$21,'OB History'!P:P, 1)</f>
        <v>2</v>
      </c>
      <c r="AA21" s="2">
        <f>COUNTIFS('OB History'!$B:$B,$A$21,'OB History'!Q:Q, 1)</f>
        <v>0</v>
      </c>
      <c r="AB21" s="2">
        <f>COUNTIFS('OB History'!$B:$B,$A$21,'OB History'!R:R, 1)</f>
        <v>1</v>
      </c>
      <c r="AC21" s="2">
        <f>COUNTIFS('OB History'!$B:$B,$A$21,'OB History'!S:S, 1)</f>
        <v>0</v>
      </c>
      <c r="AD21" s="2">
        <f>COUNTIFS('OB History'!$B:$B,$A$21,'OB History'!T:T, 1)</f>
        <v>0</v>
      </c>
      <c r="AE21" s="2">
        <f>COUNTIFS('OB History'!$B:$B,$A$21,'OB History'!U:U, 1)</f>
        <v>0</v>
      </c>
      <c r="AF21" s="2">
        <f>COUNTIFS('OB History'!$B:$B,$A$21,'OB History'!V:V, 1)</f>
        <v>0</v>
      </c>
      <c r="AG21" s="2">
        <f>COUNTIFS('OB History'!$B:$B,$A$21,'OB History'!W:W, 1)</f>
        <v>1</v>
      </c>
      <c r="AH21" s="2">
        <f>COUNTIFS('OB History'!$B:$B,$A$21,'OB History'!X:X, 1)</f>
        <v>0</v>
      </c>
      <c r="AI21" s="2">
        <f>COUNTIFS('OB History'!$B:$B,$A$21,'OB History'!Y:Y, 1)</f>
        <v>0</v>
      </c>
      <c r="AJ21" s="2">
        <f>COUNTIFS('OB History'!$B:$B,$A$21,'OB History'!Z:Z, 1)</f>
        <v>0</v>
      </c>
    </row>
    <row r="22" spans="1:36" x14ac:dyDescent="0.25">
      <c r="A22" s="2" t="s">
        <v>52</v>
      </c>
      <c r="B22" s="2" t="s">
        <v>79</v>
      </c>
      <c r="C22" s="2" t="s">
        <v>79</v>
      </c>
      <c r="D22" s="3"/>
      <c r="E22" s="3"/>
      <c r="F22" s="3"/>
      <c r="G22" s="3"/>
      <c r="H22" s="34">
        <f>SUMIFS('OB History'!C:C,'OB History'!B:B,A22)</f>
        <v>39</v>
      </c>
      <c r="I22" s="4">
        <f>AVERAGEIFS('OB History'!C:C,'OB History'!B:B,A22)</f>
        <v>19.5</v>
      </c>
      <c r="J22" s="4">
        <f t="array" ref="J22">MEDIAN(IF('OB History'!B:B=A22, 'OB History'!C:C))</f>
        <v>19.5</v>
      </c>
      <c r="K22" s="35">
        <f t="array" ref="K22">MAX(IF('OB History'!B:B=A22, 'OB History'!C:C))</f>
        <v>34</v>
      </c>
      <c r="L22" s="34">
        <f>COUNTIFS('OB History'!B:B,A22,'OB History'!D:D, 1)</f>
        <v>0</v>
      </c>
      <c r="M22" s="2">
        <f>COUNTIFS('OB History'!B:B,A22,'OB History'!D:D, 0)</f>
        <v>2</v>
      </c>
      <c r="N22" s="88">
        <f>LOOKUP(2, 1/('OB History'!$B:$B=A22), 'OB History'!$AD:$AD)</f>
        <v>0</v>
      </c>
      <c r="O22" s="34">
        <f>SUMIFS('OB History'!F:F,'OB History'!B:B,A22)</f>
        <v>2</v>
      </c>
      <c r="P22" s="2">
        <f>SUMIFS('OB History'!E:E,'OB History'!B:B,A22)-O22</f>
        <v>6</v>
      </c>
      <c r="Q22" s="88">
        <f>LOOKUP(2, 1/('OB History'!$B:$B=A22), 'OB History'!$AB:$AB)</f>
        <v>0.2</v>
      </c>
      <c r="R22" s="34">
        <f>SUMIFS('OB History'!H:H,'OB History'!B:B,'Old Bow v2'!A22)</f>
        <v>12</v>
      </c>
      <c r="S22" s="2">
        <f>SUMIFS('OB History'!G:G,'OB History'!B:B,'Old Bow v2'!A22)-R22</f>
        <v>22</v>
      </c>
      <c r="T22" s="88">
        <f>LOOKUP(2, 1/('OB History'!$B:$B=A22), 'OB History'!$AC:$AC)</f>
        <v>0.34499999999999997</v>
      </c>
      <c r="U22" s="2">
        <f>COUNTIFS('OB History'!$B:$B,$A$22,'OB History'!K:K, 1)</f>
        <v>0</v>
      </c>
      <c r="V22" s="2">
        <f>COUNTIFS('OB History'!$B:$B,$A$22,'OB History'!L:L, 1)</f>
        <v>0</v>
      </c>
      <c r="W22" s="2">
        <f>COUNTIFS('OB History'!$B:$B,$A$22,'OB History'!M:M, 1)</f>
        <v>0</v>
      </c>
      <c r="X22" s="2">
        <f>COUNTIFS('OB History'!$B:$B,$A$22,'OB History'!N:N, 1)</f>
        <v>0</v>
      </c>
      <c r="Y22" s="2">
        <f>COUNTIFS('OB History'!$B:$B,$A$22,'OB History'!O:O, 1)</f>
        <v>0</v>
      </c>
      <c r="Z22" s="2">
        <f>COUNTIFS('OB History'!$B:$B,$A$22,'OB History'!P:P, 1)</f>
        <v>1</v>
      </c>
      <c r="AA22" s="2">
        <f>COUNTIFS('OB History'!$B:$B,$A$22,'OB History'!Q:Q, 1)</f>
        <v>0</v>
      </c>
      <c r="AB22" s="2">
        <f>COUNTIFS('OB History'!$B:$B,$A$22,'OB History'!R:R, 1)</f>
        <v>0</v>
      </c>
      <c r="AC22" s="2">
        <f>COUNTIFS('OB History'!$B:$B,$A$22,'OB History'!S:S, 1)</f>
        <v>0</v>
      </c>
      <c r="AD22" s="2">
        <f>COUNTIFS('OB History'!$B:$B,$A$22,'OB History'!T:T, 1)</f>
        <v>0</v>
      </c>
      <c r="AE22" s="2">
        <f>COUNTIFS('OB History'!$B:$B,$A$22,'OB History'!U:U, 1)</f>
        <v>0</v>
      </c>
      <c r="AF22" s="2">
        <f>COUNTIFS('OB History'!$B:$B,$A$22,'OB History'!V:V, 1)</f>
        <v>0</v>
      </c>
      <c r="AG22" s="2">
        <f>COUNTIFS('OB History'!$B:$B,$A$22,'OB History'!W:W, 1)</f>
        <v>0</v>
      </c>
      <c r="AH22" s="2">
        <f>COUNTIFS('OB History'!$B:$B,$A$22,'OB History'!X:X, 1)</f>
        <v>1</v>
      </c>
      <c r="AI22" s="2">
        <f>COUNTIFS('OB History'!$B:$B,$A$22,'OB History'!Y:Y, 1)</f>
        <v>0</v>
      </c>
      <c r="AJ22" s="2">
        <f>COUNTIFS('OB History'!$B:$B,$A$22,'OB History'!Z:Z, 1)</f>
        <v>0</v>
      </c>
    </row>
    <row r="23" spans="1:36" x14ac:dyDescent="0.25">
      <c r="A23" s="1" t="s">
        <v>44</v>
      </c>
      <c r="B23" s="2" t="s">
        <v>79</v>
      </c>
      <c r="C23" s="2" t="s">
        <v>79</v>
      </c>
      <c r="D23" s="3"/>
      <c r="E23" s="3"/>
      <c r="F23" s="3"/>
      <c r="G23" s="3"/>
      <c r="H23" s="34">
        <f>SUMIFS('OB History'!C:C,'OB History'!B:B,A23)</f>
        <v>103</v>
      </c>
      <c r="I23" s="4">
        <f>AVERAGEIFS('OB History'!C:C,'OB History'!B:B,A23)</f>
        <v>14.714285714285714</v>
      </c>
      <c r="J23" s="4">
        <f t="array" ref="J23">MEDIAN(IF('OB History'!B:B=A23, 'OB History'!C:C))</f>
        <v>13</v>
      </c>
      <c r="K23" s="35">
        <f t="array" ref="K23">MAX(IF('OB History'!B:B=A23, 'OB History'!C:C))</f>
        <v>28</v>
      </c>
      <c r="L23" s="34">
        <f>COUNTIFS('OB History'!B:B,A23,'OB History'!D:D, 1)</f>
        <v>7</v>
      </c>
      <c r="M23" s="2">
        <f>COUNTIFS('OB History'!B:B,A23,'OB History'!D:D, 0)</f>
        <v>0</v>
      </c>
      <c r="N23" s="88">
        <f>LOOKUP(2, 1/('OB History'!$B:$B=A23), 'OB History'!$AD:$AD)</f>
        <v>1</v>
      </c>
      <c r="O23" s="34">
        <f>SUMIFS('OB History'!F:F,'OB History'!B:B,A23)</f>
        <v>21</v>
      </c>
      <c r="P23" s="2">
        <f>SUMIFS('OB History'!E:E,'OB History'!B:B,A23)-O23</f>
        <v>5</v>
      </c>
      <c r="Q23" s="88">
        <f>LOOKUP(2, 1/('OB History'!$B:$B=A23), 'OB History'!$AB:$AB)</f>
        <v>0.85</v>
      </c>
      <c r="R23" s="34">
        <f>SUMIFS('OB History'!H:H,'OB History'!B:B,'Old Bow v2'!A23)</f>
        <v>70</v>
      </c>
      <c r="S23" s="2">
        <f>SUMIFS('OB History'!G:G,'OB History'!B:B,'Old Bow v2'!A23)-R23</f>
        <v>39</v>
      </c>
      <c r="T23" s="88">
        <f>LOOKUP(2, 1/('OB History'!$B:$B=A23), 'OB History'!$AC:$AC)</f>
        <v>0.65857142857142847</v>
      </c>
      <c r="U23" s="2">
        <f>COUNTIFS('OB History'!$B:$B,$A$23,'OB History'!K:K, 1)</f>
        <v>0</v>
      </c>
      <c r="V23" s="2">
        <f>COUNTIFS('OB History'!$B:$B,$A$23,'OB History'!L:L, 1)</f>
        <v>2</v>
      </c>
      <c r="W23" s="2">
        <f>COUNTIFS('OB History'!$B:$B,$A$23,'OB History'!M:M, 1)</f>
        <v>2</v>
      </c>
      <c r="X23" s="2">
        <f>COUNTIFS('OB History'!$B:$B,$A$23,'OB History'!N:N, 1)</f>
        <v>0</v>
      </c>
      <c r="Y23" s="2">
        <f>COUNTIFS('OB History'!$B:$B,$A$23,'OB History'!O:O, 1)</f>
        <v>0</v>
      </c>
      <c r="Z23" s="2">
        <f>COUNTIFS('OB History'!$B:$B,$A$23,'OB History'!P:P, 1)</f>
        <v>2</v>
      </c>
      <c r="AA23" s="2">
        <f>COUNTIFS('OB History'!$B:$B,$A$23,'OB History'!Q:Q, 1)</f>
        <v>1</v>
      </c>
      <c r="AB23" s="2">
        <f>COUNTIFS('OB History'!$B:$B,$A$23,'OB History'!R:R, 1)</f>
        <v>1</v>
      </c>
      <c r="AC23" s="2">
        <f>COUNTIFS('OB History'!$B:$B,$A$23,'OB History'!S:S, 1)</f>
        <v>0</v>
      </c>
      <c r="AD23" s="2">
        <f>COUNTIFS('OB History'!$B:$B,$A$23,'OB History'!T:T, 1)</f>
        <v>0</v>
      </c>
      <c r="AE23" s="2">
        <f>COUNTIFS('OB History'!$B:$B,$A$23,'OB History'!U:U, 1)</f>
        <v>0</v>
      </c>
      <c r="AF23" s="2">
        <f>COUNTIFS('OB History'!$B:$B,$A$23,'OB History'!V:V, 1)</f>
        <v>0</v>
      </c>
      <c r="AG23" s="2">
        <f>COUNTIFS('OB History'!$B:$B,$A$23,'OB History'!W:W, 1)</f>
        <v>2</v>
      </c>
      <c r="AH23" s="2">
        <f>COUNTIFS('OB History'!$B:$B,$A$23,'OB History'!X:X, 1)</f>
        <v>5</v>
      </c>
      <c r="AI23" s="2">
        <f>COUNTIFS('OB History'!$B:$B,$A$23,'OB History'!Y:Y, 1)</f>
        <v>4</v>
      </c>
      <c r="AJ23" s="2">
        <f>COUNTIFS('OB History'!$B:$B,$A$23,'OB History'!Z:Z, 1)</f>
        <v>2</v>
      </c>
    </row>
    <row r="24" spans="1:36" x14ac:dyDescent="0.25">
      <c r="A24" s="2" t="s">
        <v>1</v>
      </c>
      <c r="B24" s="6" t="s">
        <v>124</v>
      </c>
      <c r="C24" s="2" t="s">
        <v>79</v>
      </c>
      <c r="D24" s="3"/>
      <c r="E24" s="3"/>
      <c r="F24" s="3"/>
      <c r="G24" s="3"/>
      <c r="H24" s="34">
        <f>SUMIFS('OB History'!C:C,'OB History'!B:B,A24)</f>
        <v>347</v>
      </c>
      <c r="I24" s="4">
        <f>AVERAGEIFS('OB History'!C:C,'OB History'!B:B,A24)</f>
        <v>24.785714285714285</v>
      </c>
      <c r="J24" s="4">
        <f t="array" ref="J24">MEDIAN(IF('OB History'!B:B=A24, 'OB History'!C:C))</f>
        <v>24</v>
      </c>
      <c r="K24" s="35">
        <f t="array" ref="K24">MAX(IF('OB History'!B:B=A24, 'OB History'!C:C))</f>
        <v>38</v>
      </c>
      <c r="L24" s="34">
        <f>COUNTIFS('OB History'!B:B,A24,'OB History'!D:D, 1)</f>
        <v>9</v>
      </c>
      <c r="M24" s="2">
        <f>COUNTIFS('OB History'!B:B,A24,'OB History'!D:D, 0)</f>
        <v>5</v>
      </c>
      <c r="N24" s="88">
        <f>LOOKUP(2, 1/('OB History'!$B:$B=A24), 'OB History'!$AD:$AD)</f>
        <v>0.6428571428571429</v>
      </c>
      <c r="O24" s="34">
        <f>SUMIFS('OB History'!F:F,'OB History'!B:B,A24)</f>
        <v>33</v>
      </c>
      <c r="P24" s="2">
        <f>SUMIFS('OB History'!E:E,'OB History'!B:B,A24)-O24</f>
        <v>28</v>
      </c>
      <c r="Q24" s="88">
        <f>LOOKUP(2, 1/('OB History'!$B:$B=A24), 'OB History'!$AB:$AB)</f>
        <v>0.53928571428571426</v>
      </c>
      <c r="R24" s="34">
        <f>SUMIFS('OB History'!H:H,'OB History'!B:B,'Old Bow v2'!A24)</f>
        <v>126</v>
      </c>
      <c r="S24" s="2">
        <f>SUMIFS('OB History'!G:G,'OB History'!B:B,'Old Bow v2'!A24)-R24</f>
        <v>124</v>
      </c>
      <c r="T24" s="88">
        <f>LOOKUP(2, 1/('OB History'!$B:$B=A24), 'OB History'!$AC:$AC)</f>
        <v>0.49928571428571428</v>
      </c>
      <c r="U24" s="2">
        <f>COUNTIFS('OB History'!$B:$B,$A$24,'OB History'!K:K, 1)</f>
        <v>0</v>
      </c>
      <c r="V24" s="2">
        <f>COUNTIFS('OB History'!$B:$B,$A$24,'OB History'!L:L, 1)</f>
        <v>3</v>
      </c>
      <c r="W24" s="2">
        <f>COUNTIFS('OB History'!$B:$B,$A$24,'OB History'!M:M, 1)</f>
        <v>4</v>
      </c>
      <c r="X24" s="2">
        <f>COUNTIFS('OB History'!$B:$B,$A$24,'OB History'!N:N, 1)</f>
        <v>1</v>
      </c>
      <c r="Y24" s="2">
        <f>COUNTIFS('OB History'!$B:$B,$A$24,'OB History'!O:O, 1)</f>
        <v>3</v>
      </c>
      <c r="Z24" s="2">
        <f>COUNTIFS('OB History'!$B:$B,$A$24,'OB History'!P:P, 1)</f>
        <v>2</v>
      </c>
      <c r="AA24" s="2">
        <f>COUNTIFS('OB History'!$B:$B,$A$24,'OB History'!Q:Q, 1)</f>
        <v>0</v>
      </c>
      <c r="AB24" s="2">
        <f>COUNTIFS('OB History'!$B:$B,$A$24,'OB History'!R:R, 1)</f>
        <v>1</v>
      </c>
      <c r="AC24" s="2">
        <f>COUNTIFS('OB History'!$B:$B,$A$24,'OB History'!S:S, 1)</f>
        <v>0</v>
      </c>
      <c r="AD24" s="2">
        <f>COUNTIFS('OB History'!$B:$B,$A$24,'OB History'!T:T, 1)</f>
        <v>0</v>
      </c>
      <c r="AE24" s="2">
        <f>COUNTIFS('OB History'!$B:$B,$A$24,'OB History'!U:U, 1)</f>
        <v>0</v>
      </c>
      <c r="AF24" s="2">
        <f>COUNTIFS('OB History'!$B:$B,$A$24,'OB History'!V:V, 1)</f>
        <v>0</v>
      </c>
      <c r="AG24" s="2">
        <f>COUNTIFS('OB History'!$B:$B,$A$24,'OB History'!W:W, 1)</f>
        <v>4</v>
      </c>
      <c r="AH24" s="2">
        <f>COUNTIFS('OB History'!$B:$B,$A$24,'OB History'!X:X, 1)</f>
        <v>4</v>
      </c>
      <c r="AI24" s="2">
        <f>COUNTIFS('OB History'!$B:$B,$A$24,'OB History'!Y:Y, 1)</f>
        <v>5</v>
      </c>
      <c r="AJ24" s="2">
        <f>COUNTIFS('OB History'!$B:$B,$A$24,'OB History'!Z:Z, 1)</f>
        <v>6</v>
      </c>
    </row>
    <row r="25" spans="1:36" x14ac:dyDescent="0.25">
      <c r="A25" s="2" t="s">
        <v>150</v>
      </c>
      <c r="B25" s="6" t="s">
        <v>79</v>
      </c>
      <c r="C25" s="2" t="s">
        <v>79</v>
      </c>
      <c r="D25" s="3">
        <v>2</v>
      </c>
      <c r="E25" s="3"/>
      <c r="F25" s="3"/>
      <c r="G25" s="3"/>
      <c r="H25" s="34">
        <f>SUMIFS('OB History'!C:C,'OB History'!B:B,A25)</f>
        <v>310</v>
      </c>
      <c r="I25" s="4">
        <f>AVERAGEIFS('OB History'!C:C,'OB History'!B:B,A25)</f>
        <v>18.235294117647058</v>
      </c>
      <c r="J25" s="4">
        <f t="array" ref="J25">MEDIAN(IF('OB History'!B:B=A25, 'OB History'!C:C))</f>
        <v>16</v>
      </c>
      <c r="K25" s="35">
        <f t="array" ref="K25">MAX(IF('OB History'!B:B=A25, 'OB History'!C:C))</f>
        <v>41</v>
      </c>
      <c r="L25" s="34">
        <f>COUNTIFS('OB History'!B:B,A25,'OB History'!D:D, 1)</f>
        <v>12</v>
      </c>
      <c r="M25" s="2">
        <f>COUNTIFS('OB History'!B:B,A25,'OB History'!D:D, 0)</f>
        <v>5</v>
      </c>
      <c r="N25" s="88">
        <f>LOOKUP(2, 1/('OB History'!$B:$B=A25), 'OB History'!$AD:$AD)</f>
        <v>0.70588235294117652</v>
      </c>
      <c r="O25" s="34">
        <f>SUMIFS('OB History'!F:F,'OB History'!B:B,A25)</f>
        <v>42</v>
      </c>
      <c r="P25" s="2">
        <f>SUMIFS('OB History'!E:E,'OB History'!B:B,A25)-O25</f>
        <v>25</v>
      </c>
      <c r="Q25" s="88">
        <f>LOOKUP(2, 1/('OB History'!$B:$B=A25), 'OB History'!$AB:$AB)</f>
        <v>0.66176470588235292</v>
      </c>
      <c r="R25" s="34">
        <f>SUMIFS('OB History'!H:H,'OB History'!B:B,'Old Bow v2'!A25)</f>
        <v>159</v>
      </c>
      <c r="S25" s="2">
        <f>SUMIFS('OB History'!G:G,'OB History'!B:B,'Old Bow v2'!A25)-R25</f>
        <v>115</v>
      </c>
      <c r="T25" s="88">
        <f>LOOKUP(2, 1/('OB History'!$B:$B=A25), 'OB History'!$AC:$AC)</f>
        <v>0.59235294117647042</v>
      </c>
      <c r="U25" s="2">
        <f>COUNTIFS('OB History'!$B:$B,$A$25,'OB History'!K:K, 1)</f>
        <v>2</v>
      </c>
      <c r="V25" s="2">
        <f>COUNTIFS('OB History'!$B:$B,$A$25,'OB History'!L:L, 1)</f>
        <v>2</v>
      </c>
      <c r="W25" s="2">
        <f>COUNTIFS('OB History'!$B:$B,$A$25,'OB History'!M:M, 1)</f>
        <v>3</v>
      </c>
      <c r="X25" s="2">
        <f>COUNTIFS('OB History'!$B:$B,$A$25,'OB History'!N:N, 1)</f>
        <v>4</v>
      </c>
      <c r="Y25" s="2">
        <f>COUNTIFS('OB History'!$B:$B,$A$25,'OB History'!O:O, 1)</f>
        <v>0</v>
      </c>
      <c r="Z25" s="2">
        <f>COUNTIFS('OB History'!$B:$B,$A$25,'OB History'!P:P, 1)</f>
        <v>4</v>
      </c>
      <c r="AA25" s="2">
        <f>COUNTIFS('OB History'!$B:$B,$A$25,'OB History'!Q:Q, 1)</f>
        <v>1</v>
      </c>
      <c r="AB25" s="2">
        <f>COUNTIFS('OB History'!$B:$B,$A$25,'OB History'!R:R, 1)</f>
        <v>1</v>
      </c>
      <c r="AC25" s="2">
        <f>COUNTIFS('OB History'!$B:$B,$A$25,'OB History'!S:S, 1)</f>
        <v>0</v>
      </c>
      <c r="AD25" s="2">
        <f>COUNTIFS('OB History'!$B:$B,$A$25,'OB History'!T:T, 1)</f>
        <v>0</v>
      </c>
      <c r="AE25" s="2">
        <f>COUNTIFS('OB History'!$B:$B,$A$25,'OB History'!U:U, 1)</f>
        <v>1</v>
      </c>
      <c r="AF25" s="2">
        <f>COUNTIFS('OB History'!$B:$B,$A$25,'OB History'!V:V, 1)</f>
        <v>0</v>
      </c>
      <c r="AG25" s="2">
        <f>COUNTIFS('OB History'!$B:$B,$A$25,'OB History'!W:W, 1)</f>
        <v>4</v>
      </c>
      <c r="AH25" s="2">
        <f>COUNTIFS('OB History'!$B:$B,$A$25,'OB History'!X:X, 1)</f>
        <v>8</v>
      </c>
      <c r="AI25" s="2">
        <f>COUNTIFS('OB History'!$B:$B,$A$25,'OB History'!Y:Y, 1)</f>
        <v>8</v>
      </c>
      <c r="AJ25" s="2">
        <f>COUNTIFS('OB History'!$B:$B,$A$25,'OB History'!Z:Z, 1)</f>
        <v>4</v>
      </c>
    </row>
    <row r="26" spans="1:36" x14ac:dyDescent="0.25">
      <c r="A26" s="2" t="s">
        <v>29</v>
      </c>
      <c r="B26" s="6" t="s">
        <v>171</v>
      </c>
      <c r="C26" s="2" t="s">
        <v>79</v>
      </c>
      <c r="D26" s="3">
        <v>1</v>
      </c>
      <c r="E26" s="3"/>
      <c r="F26" s="3"/>
      <c r="G26" s="3"/>
      <c r="H26" s="34">
        <f>SUMIFS('OB History'!C:C,'OB History'!B:B,A26)</f>
        <v>586</v>
      </c>
      <c r="I26" s="4">
        <f>AVERAGEIFS('OB History'!C:C,'OB History'!B:B,A26)</f>
        <v>10.654545454545454</v>
      </c>
      <c r="J26" s="4">
        <f t="array" ref="J26">MEDIAN(IF('OB History'!B:B=A26, 'OB History'!C:C))</f>
        <v>11</v>
      </c>
      <c r="K26" s="35">
        <f t="array" ref="K26">MAX(IF('OB History'!B:B=A26, 'OB History'!C:C))</f>
        <v>21</v>
      </c>
      <c r="L26" s="34">
        <f>COUNTIFS('OB History'!B:B,A26,'OB History'!D:D, 1)</f>
        <v>24</v>
      </c>
      <c r="M26" s="2">
        <f>COUNTIFS('OB History'!B:B,A26,'OB History'!D:D, 0)</f>
        <v>31</v>
      </c>
      <c r="N26" s="88">
        <f>LOOKUP(2, 1/('OB History'!$B:$B=A26), 'OB History'!$AD:$AD)</f>
        <v>0.43636363636363634</v>
      </c>
      <c r="O26" s="34">
        <f>SUMIFS('OB History'!F:F,'OB History'!B:B,A26)</f>
        <v>107</v>
      </c>
      <c r="P26" s="2">
        <f>SUMIFS('OB History'!E:E,'OB History'!B:B,A26)-O26</f>
        <v>116</v>
      </c>
      <c r="Q26" s="88">
        <f>LOOKUP(2, 1/('OB History'!$B:$B=A26), 'OB History'!$AB:$AB)</f>
        <v>0.47272727272727272</v>
      </c>
      <c r="R26" s="34">
        <f>SUMIFS('OB History'!H:H,'OB History'!B:B,'Old Bow v2'!A26)</f>
        <v>459</v>
      </c>
      <c r="S26" s="2">
        <f>SUMIFS('OB History'!G:G,'OB History'!B:B,'Old Bow v2'!A26)-R26</f>
        <v>466</v>
      </c>
      <c r="T26" s="88">
        <f>LOOKUP(2, 1/('OB History'!$B:$B=A26), 'OB History'!$AC:$AC)</f>
        <v>0.49981818181818177</v>
      </c>
      <c r="U26" s="2">
        <f>COUNTIFS('OB History'!$B:$B,$A$26,'OB History'!K:K, 1)</f>
        <v>7</v>
      </c>
      <c r="V26" s="2">
        <f>COUNTIFS('OB History'!$B:$B,$A$26,'OB History'!L:L, 1)</f>
        <v>9</v>
      </c>
      <c r="W26" s="2">
        <f>COUNTIFS('OB History'!$B:$B,$A$26,'OB History'!M:M, 1)</f>
        <v>2</v>
      </c>
      <c r="X26" s="2">
        <f>COUNTIFS('OB History'!$B:$B,$A$26,'OB History'!N:N, 1)</f>
        <v>14</v>
      </c>
      <c r="Y26" s="2">
        <f>COUNTIFS('OB History'!$B:$B,$A$26,'OB History'!O:O, 1)</f>
        <v>5</v>
      </c>
      <c r="Z26" s="2">
        <f>COUNTIFS('OB History'!$B:$B,$A$26,'OB History'!P:P, 1)</f>
        <v>10</v>
      </c>
      <c r="AA26" s="2">
        <f>COUNTIFS('OB History'!$B:$B,$A$26,'OB History'!Q:Q, 1)</f>
        <v>2</v>
      </c>
      <c r="AB26" s="2">
        <f>COUNTIFS('OB History'!$B:$B,$A$26,'OB History'!R:R, 1)</f>
        <v>1</v>
      </c>
      <c r="AC26" s="2">
        <f>COUNTIFS('OB History'!$B:$B,$A$26,'OB History'!S:S, 1)</f>
        <v>0</v>
      </c>
      <c r="AD26" s="2">
        <f>COUNTIFS('OB History'!$B:$B,$A$26,'OB History'!T:T, 1)</f>
        <v>0</v>
      </c>
      <c r="AE26" s="2">
        <f>COUNTIFS('OB History'!$B:$B,$A$26,'OB History'!U:U, 1)</f>
        <v>0</v>
      </c>
      <c r="AF26" s="2">
        <f>COUNTIFS('OB History'!$B:$B,$A$26,'OB History'!V:V, 1)</f>
        <v>3</v>
      </c>
      <c r="AG26" s="2">
        <f>COUNTIFS('OB History'!$B:$B,$A$26,'OB History'!W:W, 1)</f>
        <v>14</v>
      </c>
      <c r="AH26" s="2">
        <f>COUNTIFS('OB History'!$B:$B,$A$26,'OB History'!X:X, 1)</f>
        <v>17</v>
      </c>
      <c r="AI26" s="2">
        <f>COUNTIFS('OB History'!$B:$B,$A$26,'OB History'!Y:Y, 1)</f>
        <v>12</v>
      </c>
      <c r="AJ26" s="2">
        <f>COUNTIFS('OB History'!$B:$B,$A$26,'OB History'!Z:Z, 1)</f>
        <v>11</v>
      </c>
    </row>
    <row r="27" spans="1:36" x14ac:dyDescent="0.25">
      <c r="A27" s="2" t="s">
        <v>46</v>
      </c>
      <c r="B27" s="2" t="s">
        <v>79</v>
      </c>
      <c r="C27" s="2" t="s">
        <v>79</v>
      </c>
      <c r="D27" s="3"/>
      <c r="E27" s="3"/>
      <c r="F27" s="3"/>
      <c r="G27" s="3"/>
      <c r="H27" s="34">
        <f>SUMIFS('OB History'!C:C,'OB History'!B:B,A27)</f>
        <v>202</v>
      </c>
      <c r="I27" s="4">
        <f>AVERAGEIFS('OB History'!C:C,'OB History'!B:B,A27)</f>
        <v>20.2</v>
      </c>
      <c r="J27" s="4">
        <f t="array" ref="J27">MEDIAN(IF('OB History'!B:B=A27, 'OB History'!C:C))</f>
        <v>18</v>
      </c>
      <c r="K27" s="35">
        <f t="array" ref="K27">MAX(IF('OB History'!B:B=A27, 'OB History'!C:C))</f>
        <v>36</v>
      </c>
      <c r="L27" s="34">
        <f>COUNTIFS('OB History'!B:B,A27,'OB History'!D:D, 1)</f>
        <v>4</v>
      </c>
      <c r="M27" s="2">
        <f>COUNTIFS('OB History'!B:B,A27,'OB History'!D:D, 0)</f>
        <v>6</v>
      </c>
      <c r="N27" s="88">
        <f>LOOKUP(2, 1/('OB History'!$B:$B=A27), 'OB History'!$AD:$AD)</f>
        <v>0.4</v>
      </c>
      <c r="O27" s="34">
        <f>SUMIFS('OB History'!F:F,'OB History'!B:B,A27)</f>
        <v>17</v>
      </c>
      <c r="P27" s="2">
        <f>SUMIFS('OB History'!E:E,'OB History'!B:B,A27)-O27</f>
        <v>23</v>
      </c>
      <c r="Q27" s="88">
        <f>LOOKUP(2, 1/('OB History'!$B:$B=A27), 'OB History'!$AB:$AB)</f>
        <v>0.4</v>
      </c>
      <c r="R27" s="34">
        <f>SUMIFS('OB History'!H:H,'OB History'!B:B,'Old Bow v2'!A27)</f>
        <v>74</v>
      </c>
      <c r="S27" s="2">
        <f>SUMIFS('OB History'!G:G,'OB History'!B:B,'Old Bow v2'!A27)-R27</f>
        <v>94</v>
      </c>
      <c r="T27" s="88">
        <f>LOOKUP(2, 1/('OB History'!$B:$B=A27), 'OB History'!$AC:$AC)</f>
        <v>0.43200000000000005</v>
      </c>
      <c r="U27" s="2">
        <f>COUNTIFS('OB History'!$B:$B,$A$27,'OB History'!K:K, 1)</f>
        <v>0</v>
      </c>
      <c r="V27" s="2">
        <f>COUNTIFS('OB History'!$B:$B,$A$27,'OB History'!L:L, 1)</f>
        <v>1</v>
      </c>
      <c r="W27" s="2">
        <f>COUNTIFS('OB History'!$B:$B,$A$27,'OB History'!M:M, 1)</f>
        <v>1</v>
      </c>
      <c r="X27" s="2">
        <f>COUNTIFS('OB History'!$B:$B,$A$27,'OB History'!N:N, 1)</f>
        <v>1</v>
      </c>
      <c r="Y27" s="2">
        <f>COUNTIFS('OB History'!$B:$B,$A$27,'OB History'!O:O, 1)</f>
        <v>0</v>
      </c>
      <c r="Z27" s="2">
        <f>COUNTIFS('OB History'!$B:$B,$A$27,'OB History'!P:P, 1)</f>
        <v>5</v>
      </c>
      <c r="AA27" s="2">
        <f>COUNTIFS('OB History'!$B:$B,$A$27,'OB History'!Q:Q, 1)</f>
        <v>0</v>
      </c>
      <c r="AB27" s="2">
        <f>COUNTIFS('OB History'!$B:$B,$A$27,'OB History'!R:R, 1)</f>
        <v>1</v>
      </c>
      <c r="AC27" s="2">
        <f>COUNTIFS('OB History'!$B:$B,$A$27,'OB History'!S:S, 1)</f>
        <v>0</v>
      </c>
      <c r="AD27" s="2">
        <f>COUNTIFS('OB History'!$B:$B,$A$27,'OB History'!T:T, 1)</f>
        <v>0</v>
      </c>
      <c r="AE27" s="2">
        <f>COUNTIFS('OB History'!$B:$B,$A$27,'OB History'!U:U, 1)</f>
        <v>0</v>
      </c>
      <c r="AF27" s="2">
        <f>COUNTIFS('OB History'!$B:$B,$A$27,'OB History'!V:V, 1)</f>
        <v>0</v>
      </c>
      <c r="AG27" s="2">
        <f>COUNTIFS('OB History'!$B:$B,$A$27,'OB History'!W:W, 1)</f>
        <v>1</v>
      </c>
      <c r="AH27" s="2">
        <f>COUNTIFS('OB History'!$B:$B,$A$27,'OB History'!X:X, 1)</f>
        <v>4</v>
      </c>
      <c r="AI27" s="2">
        <f>COUNTIFS('OB History'!$B:$B,$A$27,'OB History'!Y:Y, 1)</f>
        <v>1</v>
      </c>
      <c r="AJ27" s="2">
        <f>COUNTIFS('OB History'!$B:$B,$A$27,'OB History'!Z:Z, 1)</f>
        <v>2</v>
      </c>
    </row>
    <row r="28" spans="1:36" x14ac:dyDescent="0.25">
      <c r="A28" s="2" t="s">
        <v>139</v>
      </c>
      <c r="B28" s="2" t="s">
        <v>79</v>
      </c>
      <c r="C28" s="2" t="s">
        <v>79</v>
      </c>
      <c r="D28" s="3"/>
      <c r="E28" s="3"/>
      <c r="F28" s="3"/>
      <c r="G28" s="3"/>
      <c r="H28" s="34">
        <f>SUMIFS('OB History'!C:C,'OB History'!B:B,A28)</f>
        <v>280</v>
      </c>
      <c r="I28" s="4">
        <f>AVERAGEIFS('OB History'!C:C,'OB History'!B:B,A28)</f>
        <v>11.2</v>
      </c>
      <c r="J28" s="4">
        <f t="array" ref="J28">MEDIAN(IF('OB History'!B:B=A28, 'OB History'!C:C))</f>
        <v>11</v>
      </c>
      <c r="K28" s="35">
        <f t="array" ref="K28">MAX(IF('OB History'!B:B=A28, 'OB History'!C:C))</f>
        <v>21</v>
      </c>
      <c r="L28" s="34">
        <f>COUNTIFS('OB History'!B:B,A28,'OB History'!D:D, 1)</f>
        <v>11</v>
      </c>
      <c r="M28" s="2">
        <f>COUNTIFS('OB History'!B:B,A28,'OB History'!D:D, 0)</f>
        <v>14</v>
      </c>
      <c r="N28" s="88">
        <f>LOOKUP(2, 1/('OB History'!$B:$B=A28), 'OB History'!$AD:$AD)</f>
        <v>0.44</v>
      </c>
      <c r="O28" s="34">
        <f>SUMIFS('OB History'!F:F,'OB History'!B:B,A28)</f>
        <v>47</v>
      </c>
      <c r="P28" s="2">
        <f>SUMIFS('OB History'!E:E,'OB History'!B:B,A28)-O28</f>
        <v>58</v>
      </c>
      <c r="Q28" s="88">
        <f>LOOKUP(2, 1/('OB History'!$B:$B=A28), 'OB History'!$AB:$AB)</f>
        <v>0.43</v>
      </c>
      <c r="R28" s="34">
        <f>SUMIFS('OB History'!H:H,'OB History'!B:B,'Old Bow v2'!A28)</f>
        <v>211</v>
      </c>
      <c r="S28" s="2">
        <f>SUMIFS('OB History'!G:G,'OB History'!B:B,'Old Bow v2'!A28)-R28</f>
        <v>219</v>
      </c>
      <c r="T28" s="88">
        <f>LOOKUP(2, 1/('OB History'!$B:$B=A28), 'OB History'!$AC:$AC)</f>
        <v>0.48759999999999992</v>
      </c>
      <c r="U28" s="2">
        <f>COUNTIFS('OB History'!$B:$B,$A$28,'OB History'!K:K, 1)</f>
        <v>2</v>
      </c>
      <c r="V28" s="2">
        <f>COUNTIFS('OB History'!$B:$B,$A$28,'OB History'!L:L, 1)</f>
        <v>6</v>
      </c>
      <c r="W28" s="2">
        <f>COUNTIFS('OB History'!$B:$B,$A$28,'OB History'!M:M, 1)</f>
        <v>1</v>
      </c>
      <c r="X28" s="2">
        <f>COUNTIFS('OB History'!$B:$B,$A$28,'OB History'!N:N, 1)</f>
        <v>4</v>
      </c>
      <c r="Y28" s="2">
        <f>COUNTIFS('OB History'!$B:$B,$A$28,'OB History'!O:O, 1)</f>
        <v>0</v>
      </c>
      <c r="Z28" s="2">
        <f>COUNTIFS('OB History'!$B:$B,$A$28,'OB History'!P:P, 1)</f>
        <v>4</v>
      </c>
      <c r="AA28" s="2">
        <f>COUNTIFS('OB History'!$B:$B,$A$28,'OB History'!Q:Q, 1)</f>
        <v>3</v>
      </c>
      <c r="AB28" s="2">
        <f>COUNTIFS('OB History'!$B:$B,$A$28,'OB History'!R:R, 1)</f>
        <v>4</v>
      </c>
      <c r="AC28" s="2">
        <f>COUNTIFS('OB History'!$B:$B,$A$28,'OB History'!S:S, 1)</f>
        <v>0</v>
      </c>
      <c r="AD28" s="2">
        <f>COUNTIFS('OB History'!$B:$B,$A$28,'OB History'!T:T, 1)</f>
        <v>0</v>
      </c>
      <c r="AE28" s="2">
        <f>COUNTIFS('OB History'!$B:$B,$A$28,'OB History'!U:U, 1)</f>
        <v>0</v>
      </c>
      <c r="AF28" s="2">
        <f>COUNTIFS('OB History'!$B:$B,$A$28,'OB History'!V:V, 1)</f>
        <v>2</v>
      </c>
      <c r="AG28" s="2">
        <f>COUNTIFS('OB History'!$B:$B,$A$28,'OB History'!W:W, 1)</f>
        <v>0</v>
      </c>
      <c r="AH28" s="2">
        <f>COUNTIFS('OB History'!$B:$B,$A$28,'OB History'!X:X, 1)</f>
        <v>11</v>
      </c>
      <c r="AI28" s="2">
        <f>COUNTIFS('OB History'!$B:$B,$A$28,'OB History'!Y:Y, 1)</f>
        <v>4</v>
      </c>
      <c r="AJ28" s="2">
        <f>COUNTIFS('OB History'!$B:$B,$A$28,'OB History'!Z:Z, 1)</f>
        <v>6</v>
      </c>
    </row>
    <row r="29" spans="1:36" x14ac:dyDescent="0.25">
      <c r="A29" s="2" t="s">
        <v>28</v>
      </c>
      <c r="B29" s="6" t="s">
        <v>60</v>
      </c>
      <c r="C29" s="2" t="s">
        <v>79</v>
      </c>
      <c r="D29" s="3">
        <v>2</v>
      </c>
      <c r="E29" s="3"/>
      <c r="F29" s="3"/>
      <c r="G29" s="3"/>
      <c r="H29" s="34">
        <f>SUMIFS('OB History'!C:C,'OB History'!B:B,A29)</f>
        <v>396</v>
      </c>
      <c r="I29" s="4">
        <f>AVERAGEIFS('OB History'!C:C,'OB History'!B:B,A29)</f>
        <v>15.84</v>
      </c>
      <c r="J29" s="4">
        <f t="array" ref="J29">MEDIAN(IF('OB History'!B:B=A29, 'OB History'!C:C))</f>
        <v>14</v>
      </c>
      <c r="K29" s="35">
        <f t="array" ref="K29">MAX(IF('OB History'!B:B=A29, 'OB History'!C:C))</f>
        <v>43</v>
      </c>
      <c r="L29" s="34">
        <f>COUNTIFS('OB History'!B:B,A29,'OB History'!D:D, 1)</f>
        <v>9</v>
      </c>
      <c r="M29" s="2">
        <f>COUNTIFS('OB History'!B:B,A29,'OB History'!D:D, 0)</f>
        <v>16</v>
      </c>
      <c r="N29" s="88">
        <f>LOOKUP(2, 1/('OB History'!$B:$B=A29), 'OB History'!$AD:$AD)</f>
        <v>0.36</v>
      </c>
      <c r="O29" s="34">
        <f>SUMIFS('OB History'!F:F,'OB History'!B:B,A29)</f>
        <v>46</v>
      </c>
      <c r="P29" s="2">
        <f>SUMIFS('OB History'!E:E,'OB History'!B:B,A29)-O29</f>
        <v>62</v>
      </c>
      <c r="Q29" s="88">
        <f>LOOKUP(2, 1/('OB History'!$B:$B=A29), 'OB History'!$AB:$AB)</f>
        <v>0.40200000000000002</v>
      </c>
      <c r="R29" s="34">
        <f>SUMIFS('OB History'!H:H,'OB History'!B:B,'Old Bow v2'!A29)</f>
        <v>209</v>
      </c>
      <c r="S29" s="2">
        <f>SUMIFS('OB History'!G:G,'OB History'!B:B,'Old Bow v2'!A29)-R29</f>
        <v>240</v>
      </c>
      <c r="T29" s="88">
        <f>LOOKUP(2, 1/('OB History'!$B:$B=A29), 'OB History'!$AC:$AC)</f>
        <v>0.45320000000000005</v>
      </c>
      <c r="U29" s="2">
        <f>COUNTIFS('OB History'!$B:$B,$A$29,'OB History'!K:K, 1)</f>
        <v>5</v>
      </c>
      <c r="V29" s="2">
        <f>COUNTIFS('OB History'!$B:$B,$A$29,'OB History'!L:L, 1)</f>
        <v>4</v>
      </c>
      <c r="W29" s="2">
        <f>COUNTIFS('OB History'!$B:$B,$A$29,'OB History'!M:M, 1)</f>
        <v>1</v>
      </c>
      <c r="X29" s="2">
        <f>COUNTIFS('OB History'!$B:$B,$A$29,'OB History'!N:N, 1)</f>
        <v>2</v>
      </c>
      <c r="Y29" s="2">
        <f>COUNTIFS('OB History'!$B:$B,$A$29,'OB History'!O:O, 1)</f>
        <v>2</v>
      </c>
      <c r="Z29" s="2">
        <f>COUNTIFS('OB History'!$B:$B,$A$29,'OB History'!P:P, 1)</f>
        <v>5</v>
      </c>
      <c r="AA29" s="2">
        <f>COUNTIFS('OB History'!$B:$B,$A$29,'OB History'!Q:Q, 1)</f>
        <v>2</v>
      </c>
      <c r="AB29" s="2">
        <f>COUNTIFS('OB History'!$B:$B,$A$29,'OB History'!R:R, 1)</f>
        <v>1</v>
      </c>
      <c r="AC29" s="2">
        <f>COUNTIFS('OB History'!$B:$B,$A$29,'OB History'!S:S, 1)</f>
        <v>1</v>
      </c>
      <c r="AD29" s="2">
        <f>COUNTIFS('OB History'!$B:$B,$A$29,'OB History'!T:T, 1)</f>
        <v>0</v>
      </c>
      <c r="AE29" s="2">
        <f>COUNTIFS('OB History'!$B:$B,$A$29,'OB History'!U:U, 1)</f>
        <v>1</v>
      </c>
      <c r="AF29" s="2">
        <f>COUNTIFS('OB History'!$B:$B,$A$29,'OB History'!V:V, 1)</f>
        <v>1</v>
      </c>
      <c r="AG29" s="2">
        <f>COUNTIFS('OB History'!$B:$B,$A$29,'OB History'!W:W, 1)</f>
        <v>1</v>
      </c>
      <c r="AH29" s="2">
        <f>COUNTIFS('OB History'!$B:$B,$A$29,'OB History'!X:X, 1)</f>
        <v>9</v>
      </c>
      <c r="AI29" s="2">
        <f>COUNTIFS('OB History'!$B:$B,$A$29,'OB History'!Y:Y, 1)</f>
        <v>2</v>
      </c>
      <c r="AJ29" s="2">
        <f>COUNTIFS('OB History'!$B:$B,$A$29,'OB History'!Z:Z, 1)</f>
        <v>9</v>
      </c>
    </row>
    <row r="30" spans="1:36" x14ac:dyDescent="0.25">
      <c r="A30" s="2" t="s">
        <v>53</v>
      </c>
      <c r="B30" s="6" t="s">
        <v>60</v>
      </c>
      <c r="C30" s="6" t="s">
        <v>79</v>
      </c>
      <c r="D30" s="3"/>
      <c r="E30" s="3"/>
      <c r="F30" s="3"/>
      <c r="G30" s="3"/>
      <c r="H30" s="34">
        <f>SUMIFS('OB History'!C:C,'OB History'!B:B,A30)</f>
        <v>92</v>
      </c>
      <c r="I30" s="4">
        <f>AVERAGEIFS('OB History'!C:C,'OB History'!B:B,A30)</f>
        <v>15.333333333333334</v>
      </c>
      <c r="J30" s="4">
        <f t="array" ref="J30">MEDIAN(IF('OB History'!B:B=A30, 'OB History'!C:C))</f>
        <v>12</v>
      </c>
      <c r="K30" s="35">
        <f t="array" ref="K30">MAX(IF('OB History'!B:B=A30, 'OB History'!C:C))</f>
        <v>25</v>
      </c>
      <c r="L30" s="34">
        <f>COUNTIFS('OB History'!B:B,A30,'OB History'!D:D, 1)</f>
        <v>4</v>
      </c>
      <c r="M30" s="2">
        <f>COUNTIFS('OB History'!B:B,A30,'OB History'!D:D, 0)</f>
        <v>2</v>
      </c>
      <c r="N30" s="88">
        <f>LOOKUP(2, 1/('OB History'!$B:$B=A30), 'OB History'!$AD:$AD)</f>
        <v>0.66666666666666663</v>
      </c>
      <c r="O30" s="34">
        <f>SUMIFS('OB History'!F:F,'OB History'!B:B,A30)</f>
        <v>13</v>
      </c>
      <c r="P30" s="2">
        <f>SUMIFS('OB History'!E:E,'OB History'!B:B,A30)-O30</f>
        <v>12</v>
      </c>
      <c r="Q30" s="88">
        <f>LOOKUP(2, 1/('OB History'!$B:$B=A30), 'OB History'!$AB:$AB)</f>
        <v>0.4916666666666667</v>
      </c>
      <c r="R30" s="34">
        <f>SUMIFS('OB History'!H:H,'OB History'!B:B,'Old Bow v2'!A30)</f>
        <v>54</v>
      </c>
      <c r="S30" s="2">
        <f>SUMIFS('OB History'!G:G,'OB History'!B:B,'Old Bow v2'!A30)-R30</f>
        <v>47</v>
      </c>
      <c r="T30" s="88">
        <f>LOOKUP(2, 1/('OB History'!$B:$B=A30), 'OB History'!$AC:$AC)</f>
        <v>0.53</v>
      </c>
      <c r="U30" s="2">
        <f>COUNTIFS('OB History'!$B:$B,$A$30,'OB History'!K:K, 1)</f>
        <v>1</v>
      </c>
      <c r="V30" s="2">
        <f>COUNTIFS('OB History'!$B:$B,$A$30,'OB History'!L:L, 1)</f>
        <v>1</v>
      </c>
      <c r="W30" s="2">
        <f>COUNTIFS('OB History'!$B:$B,$A$30,'OB History'!M:M, 1)</f>
        <v>0</v>
      </c>
      <c r="X30" s="2">
        <f>COUNTIFS('OB History'!$B:$B,$A$30,'OB History'!N:N, 1)</f>
        <v>2</v>
      </c>
      <c r="Y30" s="2">
        <f>COUNTIFS('OB History'!$B:$B,$A$30,'OB History'!O:O, 1)</f>
        <v>3</v>
      </c>
      <c r="Z30" s="2">
        <f>COUNTIFS('OB History'!$B:$B,$A$30,'OB History'!P:P, 1)</f>
        <v>2</v>
      </c>
      <c r="AA30" s="2">
        <f>COUNTIFS('OB History'!$B:$B,$A$30,'OB History'!Q:Q, 1)</f>
        <v>2</v>
      </c>
      <c r="AB30" s="2">
        <f>COUNTIFS('OB History'!$B:$B,$A$30,'OB History'!R:R, 1)</f>
        <v>0</v>
      </c>
      <c r="AC30" s="2">
        <f>COUNTIFS('OB History'!$B:$B,$A$30,'OB History'!S:S, 1)</f>
        <v>0</v>
      </c>
      <c r="AD30" s="2">
        <f>COUNTIFS('OB History'!$B:$B,$A$30,'OB History'!T:T, 1)</f>
        <v>0</v>
      </c>
      <c r="AE30" s="2">
        <f>COUNTIFS('OB History'!$B:$B,$A$30,'OB History'!U:U, 1)</f>
        <v>0</v>
      </c>
      <c r="AF30" s="2">
        <f>COUNTIFS('OB History'!$B:$B,$A$30,'OB History'!V:V, 1)</f>
        <v>0</v>
      </c>
      <c r="AG30" s="2">
        <f>COUNTIFS('OB History'!$B:$B,$A$30,'OB History'!W:W, 1)</f>
        <v>1</v>
      </c>
      <c r="AH30" s="2">
        <f>COUNTIFS('OB History'!$B:$B,$A$30,'OB History'!X:X, 1)</f>
        <v>1</v>
      </c>
      <c r="AI30" s="2">
        <f>COUNTIFS('OB History'!$B:$B,$A$30,'OB History'!Y:Y, 1)</f>
        <v>0</v>
      </c>
      <c r="AJ30" s="2">
        <f>COUNTIFS('OB History'!$B:$B,$A$30,'OB History'!Z:Z, 1)</f>
        <v>0</v>
      </c>
    </row>
    <row r="31" spans="1:36" x14ac:dyDescent="0.25">
      <c r="A31" s="2" t="s">
        <v>51</v>
      </c>
      <c r="B31" s="2" t="s">
        <v>79</v>
      </c>
      <c r="C31" s="2" t="s">
        <v>79</v>
      </c>
      <c r="D31" s="3"/>
      <c r="E31" s="3"/>
      <c r="F31" s="3"/>
      <c r="G31" s="3"/>
      <c r="H31" s="34">
        <f>SUMIFS('OB History'!C:C,'OB History'!B:B,A31)</f>
        <v>180</v>
      </c>
      <c r="I31" s="4">
        <f>AVERAGEIFS('OB History'!C:C,'OB History'!B:B,A31)</f>
        <v>13.846153846153847</v>
      </c>
      <c r="J31" s="4">
        <f t="array" ref="J31">MEDIAN(IF('OB History'!B:B=A31, 'OB History'!C:C))</f>
        <v>14</v>
      </c>
      <c r="K31" s="35">
        <f t="array" ref="K31">MAX(IF('OB History'!B:B=A31, 'OB History'!C:C))</f>
        <v>22</v>
      </c>
      <c r="L31" s="34">
        <f>COUNTIFS('OB History'!B:B,A31,'OB History'!D:D, 1)</f>
        <v>7</v>
      </c>
      <c r="M31" s="2">
        <f>COUNTIFS('OB History'!B:B,A31,'OB History'!D:D, 0)</f>
        <v>6</v>
      </c>
      <c r="N31" s="88">
        <f>LOOKUP(2, 1/('OB History'!$B:$B=A31), 'OB History'!$AD:$AD)</f>
        <v>0.53846153846153844</v>
      </c>
      <c r="O31" s="34">
        <f>SUMIFS('OB History'!F:F,'OB History'!B:B,A31)</f>
        <v>29</v>
      </c>
      <c r="P31" s="2">
        <f>SUMIFS('OB History'!E:E,'OB History'!B:B,A31)-O31</f>
        <v>26</v>
      </c>
      <c r="Q31" s="88">
        <f>LOOKUP(2, 1/('OB History'!$B:$B=A31), 'OB History'!$AB:$AB)</f>
        <v>0.53846153846153855</v>
      </c>
      <c r="R31" s="34">
        <f>SUMIFS('OB History'!H:H,'OB History'!B:B,'Old Bow v2'!A31)</f>
        <v>111</v>
      </c>
      <c r="S31" s="2">
        <f>SUMIFS('OB History'!G:G,'OB History'!B:B,'Old Bow v2'!A31)-R31</f>
        <v>111</v>
      </c>
      <c r="T31" s="88">
        <f>LOOKUP(2, 1/('OB History'!$B:$B=A31), 'OB History'!$AC:$AC)</f>
        <v>0.50461538461538469</v>
      </c>
      <c r="U31" s="2">
        <f>COUNTIFS('OB History'!$B:$B,$A$31,'OB History'!K:K, 1)</f>
        <v>4</v>
      </c>
      <c r="V31" s="2">
        <f>COUNTIFS('OB History'!$B:$B,$A$31,'OB History'!L:L, 1)</f>
        <v>1</v>
      </c>
      <c r="W31" s="2">
        <f>COUNTIFS('OB History'!$B:$B,$A$31,'OB History'!M:M, 1)</f>
        <v>0</v>
      </c>
      <c r="X31" s="2">
        <f>COUNTIFS('OB History'!$B:$B,$A$31,'OB History'!N:N, 1)</f>
        <v>3</v>
      </c>
      <c r="Y31" s="2">
        <f>COUNTIFS('OB History'!$B:$B,$A$31,'OB History'!O:O, 1)</f>
        <v>0</v>
      </c>
      <c r="Z31" s="2">
        <f>COUNTIFS('OB History'!$B:$B,$A$31,'OB History'!P:P, 1)</f>
        <v>3</v>
      </c>
      <c r="AA31" s="2">
        <f>COUNTIFS('OB History'!$B:$B,$A$31,'OB History'!Q:Q, 1)</f>
        <v>0</v>
      </c>
      <c r="AB31" s="2">
        <f>COUNTIFS('OB History'!$B:$B,$A$31,'OB History'!R:R, 1)</f>
        <v>1</v>
      </c>
      <c r="AC31" s="2">
        <f>COUNTIFS('OB History'!$B:$B,$A$31,'OB History'!S:S, 1)</f>
        <v>0</v>
      </c>
      <c r="AD31" s="2">
        <f>COUNTIFS('OB History'!$B:$B,$A$31,'OB History'!T:T, 1)</f>
        <v>0</v>
      </c>
      <c r="AE31" s="2">
        <f>COUNTIFS('OB History'!$B:$B,$A$31,'OB History'!U:U, 1)</f>
        <v>0</v>
      </c>
      <c r="AF31" s="2">
        <f>COUNTIFS('OB History'!$B:$B,$A$31,'OB History'!V:V, 1)</f>
        <v>2</v>
      </c>
      <c r="AG31" s="2">
        <f>COUNTIFS('OB History'!$B:$B,$A$31,'OB History'!W:W, 1)</f>
        <v>5</v>
      </c>
      <c r="AH31" s="2">
        <f>COUNTIFS('OB History'!$B:$B,$A$31,'OB History'!X:X, 1)</f>
        <v>4</v>
      </c>
      <c r="AI31" s="2">
        <f>COUNTIFS('OB History'!$B:$B,$A$31,'OB History'!Y:Y, 1)</f>
        <v>3</v>
      </c>
      <c r="AJ31" s="2">
        <f>COUNTIFS('OB History'!$B:$B,$A$31,'OB History'!Z:Z, 1)</f>
        <v>3</v>
      </c>
    </row>
    <row r="32" spans="1:36" ht="15.75" x14ac:dyDescent="0.25">
      <c r="A32" s="2" t="s">
        <v>20</v>
      </c>
      <c r="B32" s="80" t="s">
        <v>60</v>
      </c>
      <c r="C32" s="2" t="s">
        <v>79</v>
      </c>
      <c r="D32" s="3"/>
      <c r="E32" s="3"/>
      <c r="F32" s="3"/>
      <c r="G32" s="3"/>
      <c r="H32" s="34">
        <f>SUMIFS('OB History'!C:C,'OB History'!B:B,A32)</f>
        <v>482</v>
      </c>
      <c r="I32" s="4">
        <f>AVERAGEIFS('OB History'!C:C,'OB History'!B:B,A32)</f>
        <v>14.606060606060606</v>
      </c>
      <c r="J32" s="4">
        <f t="array" ref="J32">MEDIAN(IF('OB History'!B:B=A32, 'OB History'!C:C))</f>
        <v>14</v>
      </c>
      <c r="K32" s="35">
        <f t="array" ref="K32">MAX(IF('OB History'!B:B=A32, 'OB History'!C:C))</f>
        <v>37</v>
      </c>
      <c r="L32" s="34">
        <f>COUNTIFS('OB History'!B:B,A32,'OB History'!D:D, 1)</f>
        <v>14</v>
      </c>
      <c r="M32" s="2">
        <f>COUNTIFS('OB History'!B:B,A32,'OB History'!D:D, 0)</f>
        <v>19</v>
      </c>
      <c r="N32" s="88">
        <f>LOOKUP(2, 1/('OB History'!$B:$B=A32), 'OB History'!$AD:$AD)</f>
        <v>0.42424242424242425</v>
      </c>
      <c r="O32" s="34">
        <f>SUMIFS('OB History'!F:F,'OB History'!B:B,A32)</f>
        <v>69</v>
      </c>
      <c r="P32" s="2">
        <f>SUMIFS('OB History'!E:E,'OB History'!B:B,A32)-O32</f>
        <v>71</v>
      </c>
      <c r="Q32" s="88">
        <f>LOOKUP(2, 1/('OB History'!$B:$B=A32), 'OB History'!$AB:$AB)</f>
        <v>0.49848484848484859</v>
      </c>
      <c r="R32" s="34">
        <f>SUMIFS('OB History'!H:H,'OB History'!B:B,'Old Bow v2'!A32)</f>
        <v>294</v>
      </c>
      <c r="S32" s="2">
        <f>SUMIFS('OB History'!G:G,'OB History'!B:B,'Old Bow v2'!A32)-R32</f>
        <v>291</v>
      </c>
      <c r="T32" s="88">
        <f>LOOKUP(2, 1/('OB History'!$B:$B=A32), 'OB History'!$AC:$AC)</f>
        <v>0.50333333333333352</v>
      </c>
      <c r="U32" s="2">
        <f>COUNTIFS('OB History'!$B:$B,$A$32,'OB History'!K:K, 1)</f>
        <v>4</v>
      </c>
      <c r="V32" s="2">
        <f>COUNTIFS('OB History'!$B:$B,$A$32,'OB History'!L:L, 1)</f>
        <v>5</v>
      </c>
      <c r="W32" s="2">
        <f>COUNTIFS('OB History'!$B:$B,$A$32,'OB History'!M:M, 1)</f>
        <v>1</v>
      </c>
      <c r="X32" s="2">
        <f>COUNTIFS('OB History'!$B:$B,$A$32,'OB History'!N:N, 1)</f>
        <v>14</v>
      </c>
      <c r="Y32" s="2">
        <f>COUNTIFS('OB History'!$B:$B,$A$32,'OB History'!O:O, 1)</f>
        <v>0</v>
      </c>
      <c r="Z32" s="2">
        <f>COUNTIFS('OB History'!$B:$B,$A$32,'OB History'!P:P, 1)</f>
        <v>7</v>
      </c>
      <c r="AA32" s="2">
        <f>COUNTIFS('OB History'!$B:$B,$A$32,'OB History'!Q:Q, 1)</f>
        <v>2</v>
      </c>
      <c r="AB32" s="2">
        <f>COUNTIFS('OB History'!$B:$B,$A$32,'OB History'!R:R, 1)</f>
        <v>3</v>
      </c>
      <c r="AC32" s="2">
        <f>COUNTIFS('OB History'!$B:$B,$A$32,'OB History'!S:S, 1)</f>
        <v>0</v>
      </c>
      <c r="AD32" s="2">
        <f>COUNTIFS('OB History'!$B:$B,$A$32,'OB History'!T:T, 1)</f>
        <v>1</v>
      </c>
      <c r="AE32" s="2">
        <f>COUNTIFS('OB History'!$B:$B,$A$32,'OB History'!U:U, 1)</f>
        <v>0</v>
      </c>
      <c r="AF32" s="2">
        <f>COUNTIFS('OB History'!$B:$B,$A$32,'OB History'!V:V, 1)</f>
        <v>2</v>
      </c>
      <c r="AG32" s="2">
        <f>COUNTIFS('OB History'!$B:$B,$A$32,'OB History'!W:W, 1)</f>
        <v>9</v>
      </c>
      <c r="AH32" s="2">
        <f>COUNTIFS('OB History'!$B:$B,$A$32,'OB History'!X:X, 1)</f>
        <v>9</v>
      </c>
      <c r="AI32" s="2">
        <f>COUNTIFS('OB History'!$B:$B,$A$32,'OB History'!Y:Y, 1)</f>
        <v>5</v>
      </c>
      <c r="AJ32" s="2">
        <f>COUNTIFS('OB History'!$B:$B,$A$32,'OB History'!Z:Z, 1)</f>
        <v>7</v>
      </c>
    </row>
    <row r="33" spans="1:36" x14ac:dyDescent="0.25">
      <c r="A33" s="1" t="s">
        <v>47</v>
      </c>
      <c r="B33" s="2" t="s">
        <v>79</v>
      </c>
      <c r="C33" s="2" t="s">
        <v>79</v>
      </c>
      <c r="D33" s="3"/>
      <c r="E33" s="3"/>
      <c r="F33" s="3"/>
      <c r="G33" s="3"/>
      <c r="H33" s="34">
        <f>SUMIFS('OB History'!C:C,'OB History'!B:B,A33)</f>
        <v>101</v>
      </c>
      <c r="I33" s="4">
        <f>AVERAGEIFS('OB History'!C:C,'OB History'!B:B,A33)</f>
        <v>8.4166666666666661</v>
      </c>
      <c r="J33" s="4">
        <f t="array" ref="J33">MEDIAN(IF('OB History'!B:B=A33, 'OB History'!C:C))</f>
        <v>9</v>
      </c>
      <c r="K33" s="35">
        <f t="array" ref="K33">MAX(IF('OB History'!B:B=A33, 'OB History'!C:C))</f>
        <v>14</v>
      </c>
      <c r="L33" s="34">
        <f>COUNTIFS('OB History'!B:B,A33,'OB History'!D:D, 1)</f>
        <v>6</v>
      </c>
      <c r="M33" s="2">
        <f>COUNTIFS('OB History'!B:B,A33,'OB History'!D:D, 0)</f>
        <v>6</v>
      </c>
      <c r="N33" s="88">
        <f>LOOKUP(2, 1/('OB History'!$B:$B=A33), 'OB History'!$AD:$AD)</f>
        <v>0.5</v>
      </c>
      <c r="O33" s="34">
        <f>SUMIFS('OB History'!F:F,'OB History'!B:B,A33)</f>
        <v>26</v>
      </c>
      <c r="P33" s="2">
        <f>SUMIFS('OB History'!E:E,'OB History'!B:B,A33)-O33</f>
        <v>26</v>
      </c>
      <c r="Q33" s="88">
        <f>LOOKUP(2, 1/('OB History'!$B:$B=A33), 'OB History'!$AB:$AB)</f>
        <v>0.5</v>
      </c>
      <c r="R33" s="34">
        <f>SUMIFS('OB History'!H:H,'OB History'!B:B,'Old Bow v2'!A33)</f>
        <v>106</v>
      </c>
      <c r="S33" s="2">
        <f>SUMIFS('OB History'!G:G,'OB History'!B:B,'Old Bow v2'!A33)-R33</f>
        <v>111</v>
      </c>
      <c r="T33" s="88">
        <f>LOOKUP(2, 1/('OB History'!$B:$B=A33), 'OB History'!$AC:$AC)</f>
        <v>0.48333333333333323</v>
      </c>
      <c r="U33" s="2">
        <f>COUNTIFS('OB History'!$B:$B,$A$33,'OB History'!K:K, 1)</f>
        <v>2</v>
      </c>
      <c r="V33" s="2">
        <f>COUNTIFS('OB History'!$B:$B,$A$33,'OB History'!L:L, 1)</f>
        <v>1</v>
      </c>
      <c r="W33" s="2">
        <f>COUNTIFS('OB History'!$B:$B,$A$33,'OB History'!M:M, 1)</f>
        <v>1</v>
      </c>
      <c r="X33" s="2">
        <f>COUNTIFS('OB History'!$B:$B,$A$33,'OB History'!N:N, 1)</f>
        <v>4</v>
      </c>
      <c r="Y33" s="2">
        <f>COUNTIFS('OB History'!$B:$B,$A$33,'OB History'!O:O, 1)</f>
        <v>1</v>
      </c>
      <c r="Z33" s="2">
        <f>COUNTIFS('OB History'!$B:$B,$A$33,'OB History'!P:P, 1)</f>
        <v>2</v>
      </c>
      <c r="AA33" s="2">
        <f>COUNTIFS('OB History'!$B:$B,$A$33,'OB History'!Q:Q, 1)</f>
        <v>0</v>
      </c>
      <c r="AB33" s="2">
        <f>COUNTIFS('OB History'!$B:$B,$A$33,'OB History'!R:R, 1)</f>
        <v>0</v>
      </c>
      <c r="AC33" s="2">
        <f>COUNTIFS('OB History'!$B:$B,$A$33,'OB History'!S:S, 1)</f>
        <v>0</v>
      </c>
      <c r="AD33" s="2">
        <f>COUNTIFS('OB History'!$B:$B,$A$33,'OB History'!T:T, 1)</f>
        <v>0</v>
      </c>
      <c r="AE33" s="2">
        <f>COUNTIFS('OB History'!$B:$B,$A$33,'OB History'!U:U, 1)</f>
        <v>0</v>
      </c>
      <c r="AF33" s="2">
        <f>COUNTIFS('OB History'!$B:$B,$A$33,'OB History'!V:V, 1)</f>
        <v>1</v>
      </c>
      <c r="AG33" s="2">
        <f>COUNTIFS('OB History'!$B:$B,$A$33,'OB History'!W:W, 1)</f>
        <v>5</v>
      </c>
      <c r="AH33" s="2">
        <f>COUNTIFS('OB History'!$B:$B,$A$33,'OB History'!X:X, 1)</f>
        <v>4</v>
      </c>
      <c r="AI33" s="2">
        <f>COUNTIFS('OB History'!$B:$B,$A$33,'OB History'!Y:Y, 1)</f>
        <v>0</v>
      </c>
      <c r="AJ33" s="2">
        <f>COUNTIFS('OB History'!$B:$B,$A$33,'OB History'!Z:Z, 1)</f>
        <v>5</v>
      </c>
    </row>
    <row r="34" spans="1:36" x14ac:dyDescent="0.25">
      <c r="A34" s="2" t="s">
        <v>3</v>
      </c>
      <c r="B34" s="6" t="s">
        <v>60</v>
      </c>
      <c r="C34" s="1" t="s">
        <v>159</v>
      </c>
      <c r="D34" s="3"/>
      <c r="E34" s="3">
        <v>3</v>
      </c>
      <c r="F34" s="3"/>
      <c r="G34" s="3"/>
      <c r="H34" s="34">
        <f>SUMIFS('OB History'!C:C,'OB History'!B:B,A34)</f>
        <v>256</v>
      </c>
      <c r="I34" s="4">
        <f>AVERAGEIFS('OB History'!C:C,'OB History'!B:B,A34)</f>
        <v>23.272727272727273</v>
      </c>
      <c r="J34" s="4">
        <f t="array" ref="J34">MEDIAN(IF('OB History'!B:B=A34, 'OB History'!C:C))</f>
        <v>21</v>
      </c>
      <c r="K34" s="35">
        <f t="array" ref="K34">MAX(IF('OB History'!B:B=A34, 'OB History'!C:C))</f>
        <v>44</v>
      </c>
      <c r="L34" s="34">
        <f>COUNTIFS('OB History'!B:B,A34,'OB History'!D:D, 1)</f>
        <v>7</v>
      </c>
      <c r="M34" s="2">
        <f>COUNTIFS('OB History'!B:B,A34,'OB History'!D:D, 0)</f>
        <v>4</v>
      </c>
      <c r="N34" s="88">
        <f>LOOKUP(2, 1/('OB History'!$B:$B=A34), 'OB History'!$AD:$AD)</f>
        <v>0.63636363636363635</v>
      </c>
      <c r="O34" s="34">
        <f>SUMIFS('OB History'!F:F,'OB History'!B:B,A34)</f>
        <v>25</v>
      </c>
      <c r="P34" s="2">
        <f>SUMIFS('OB History'!E:E,'OB History'!B:B,A34)-O34</f>
        <v>23</v>
      </c>
      <c r="Q34" s="88">
        <f>LOOKUP(2, 1/('OB History'!$B:$B=A34), 'OB History'!$AB:$AB)</f>
        <v>0.50454545454545452</v>
      </c>
      <c r="R34" s="34">
        <f>SUMIFS('OB History'!H:H,'OB History'!B:B,'Old Bow v2'!A34)</f>
        <v>97</v>
      </c>
      <c r="S34" s="2">
        <f>SUMIFS('OB History'!G:G,'OB History'!B:B,'Old Bow v2'!A34)-R34</f>
        <v>95</v>
      </c>
      <c r="T34" s="88">
        <f>LOOKUP(2, 1/('OB History'!$B:$B=A34), 'OB History'!$AC:$AC)</f>
        <v>0.49909090909090903</v>
      </c>
      <c r="U34" s="2">
        <f>COUNTIFS('OB History'!$B:$B,$A$34,'OB History'!K:K, 1)</f>
        <v>2</v>
      </c>
      <c r="V34" s="2">
        <f>COUNTIFS('OB History'!$B:$B,$A$34,'OB History'!L:L, 1)</f>
        <v>3</v>
      </c>
      <c r="W34" s="2">
        <f>COUNTIFS('OB History'!$B:$B,$A$34,'OB History'!M:M, 1)</f>
        <v>1</v>
      </c>
      <c r="X34" s="2">
        <f>COUNTIFS('OB History'!$B:$B,$A$34,'OB History'!N:N, 1)</f>
        <v>1</v>
      </c>
      <c r="Y34" s="2">
        <f>COUNTIFS('OB History'!$B:$B,$A$34,'OB History'!O:O, 1)</f>
        <v>3</v>
      </c>
      <c r="Z34" s="2">
        <f>COUNTIFS('OB History'!$B:$B,$A$34,'OB History'!P:P, 1)</f>
        <v>2</v>
      </c>
      <c r="AA34" s="2">
        <f>COUNTIFS('OB History'!$B:$B,$A$34,'OB History'!Q:Q, 1)</f>
        <v>3</v>
      </c>
      <c r="AB34" s="2">
        <f>COUNTIFS('OB History'!$B:$B,$A$34,'OB History'!R:R, 1)</f>
        <v>0</v>
      </c>
      <c r="AC34" s="2">
        <f>COUNTIFS('OB History'!$B:$B,$A$34,'OB History'!S:S, 1)</f>
        <v>0</v>
      </c>
      <c r="AD34" s="2">
        <f>COUNTIFS('OB History'!$B:$B,$A$34,'OB History'!T:T, 1)</f>
        <v>0</v>
      </c>
      <c r="AE34" s="2">
        <f>COUNTIFS('OB History'!$B:$B,$A$34,'OB History'!U:U, 1)</f>
        <v>0</v>
      </c>
      <c r="AF34" s="2">
        <f>COUNTIFS('OB History'!$B:$B,$A$34,'OB History'!V:V, 1)</f>
        <v>1</v>
      </c>
      <c r="AG34" s="2">
        <f>COUNTIFS('OB History'!$B:$B,$A$34,'OB History'!W:W, 1)</f>
        <v>1</v>
      </c>
      <c r="AH34" s="2">
        <f>COUNTIFS('OB History'!$B:$B,$A$34,'OB History'!X:X, 1)</f>
        <v>3</v>
      </c>
      <c r="AI34" s="2">
        <f>COUNTIFS('OB History'!$B:$B,$A$34,'OB History'!Y:Y, 1)</f>
        <v>3</v>
      </c>
      <c r="AJ34" s="2">
        <f>COUNTIFS('OB History'!$B:$B,$A$34,'OB History'!Z:Z, 1)</f>
        <v>2</v>
      </c>
    </row>
    <row r="35" spans="1:36" x14ac:dyDescent="0.25">
      <c r="A35" s="2" t="s">
        <v>148</v>
      </c>
      <c r="B35" s="6" t="s">
        <v>79</v>
      </c>
      <c r="C35" s="6" t="s">
        <v>79</v>
      </c>
      <c r="D35" s="3">
        <v>4</v>
      </c>
      <c r="E35" s="3">
        <v>1</v>
      </c>
      <c r="F35" s="3"/>
      <c r="G35" s="3"/>
      <c r="H35" s="34">
        <f>SUMIFS('OB History'!C:C,'OB History'!B:B,A35)</f>
        <v>512</v>
      </c>
      <c r="I35" s="4">
        <f>AVERAGEIFS('OB History'!C:C,'OB History'!B:B,A35)</f>
        <v>12.8</v>
      </c>
      <c r="J35" s="4">
        <f t="array" ref="J35">MEDIAN(IF('OB History'!B:B=A35, 'OB History'!C:C))</f>
        <v>12</v>
      </c>
      <c r="K35" s="35">
        <f t="array" ref="K35">MAX(IF('OB History'!B:B=A35, 'OB History'!C:C))</f>
        <v>27</v>
      </c>
      <c r="L35" s="34">
        <f>COUNTIFS('OB History'!B:B,A35,'OB History'!D:D, 1)</f>
        <v>21</v>
      </c>
      <c r="M35" s="2">
        <f>COUNTIFS('OB History'!B:B,A35,'OB History'!D:D, 0)</f>
        <v>19</v>
      </c>
      <c r="N35" s="88">
        <f>LOOKUP(2, 1/('OB History'!$B:$B=A35), 'OB History'!$AD:$AD)</f>
        <v>0.52500000000000002</v>
      </c>
      <c r="O35" s="34">
        <f>SUMIFS('OB History'!F:F,'OB History'!B:B,A35)</f>
        <v>84</v>
      </c>
      <c r="P35" s="2">
        <f>SUMIFS('OB History'!E:E,'OB History'!B:B,A35)-O35</f>
        <v>78</v>
      </c>
      <c r="Q35" s="88">
        <f>LOOKUP(2, 1/('OB History'!$B:$B=A35), 'OB History'!$AB:$AB)</f>
        <v>0.52999999999999992</v>
      </c>
      <c r="R35" s="34">
        <f>SUMIFS('OB History'!H:H,'OB History'!B:B,'Old Bow v2'!A35)</f>
        <v>338</v>
      </c>
      <c r="S35" s="2">
        <f>SUMIFS('OB History'!G:G,'OB History'!B:B,'Old Bow v2'!A35)-R35</f>
        <v>328</v>
      </c>
      <c r="T35" s="88">
        <f>LOOKUP(2, 1/('OB History'!$B:$B=A35), 'OB History'!$AC:$AC)</f>
        <v>0.51275000000000004</v>
      </c>
      <c r="U35" s="2">
        <f>COUNTIFS('OB History'!$B:$B,$A$35,'OB History'!K:K, 1)</f>
        <v>2</v>
      </c>
      <c r="V35" s="2">
        <f>COUNTIFS('OB History'!$B:$B,$A$35,'OB History'!L:L, 1)</f>
        <v>9</v>
      </c>
      <c r="W35" s="2">
        <f>COUNTIFS('OB History'!$B:$B,$A$35,'OB History'!M:M, 1)</f>
        <v>2</v>
      </c>
      <c r="X35" s="2">
        <f>COUNTIFS('OB History'!$B:$B,$A$35,'OB History'!N:N, 1)</f>
        <v>9</v>
      </c>
      <c r="Y35" s="2">
        <f>COUNTIFS('OB History'!$B:$B,$A$35,'OB History'!O:O, 1)</f>
        <v>0</v>
      </c>
      <c r="Z35" s="2">
        <f>COUNTIFS('OB History'!$B:$B,$A$35,'OB History'!P:P, 1)</f>
        <v>6</v>
      </c>
      <c r="AA35" s="2">
        <f>COUNTIFS('OB History'!$B:$B,$A$35,'OB History'!Q:Q, 1)</f>
        <v>2</v>
      </c>
      <c r="AB35" s="2">
        <f>COUNTIFS('OB History'!$B:$B,$A$35,'OB History'!R:R, 1)</f>
        <v>4</v>
      </c>
      <c r="AC35" s="2">
        <f>COUNTIFS('OB History'!$B:$B,$A$35,'OB History'!S:S, 1)</f>
        <v>2</v>
      </c>
      <c r="AD35" s="2">
        <f>COUNTIFS('OB History'!$B:$B,$A$35,'OB History'!T:T, 1)</f>
        <v>2</v>
      </c>
      <c r="AE35" s="2">
        <f>COUNTIFS('OB History'!$B:$B,$A$35,'OB History'!U:U, 1)</f>
        <v>1</v>
      </c>
      <c r="AF35" s="2">
        <f>COUNTIFS('OB History'!$B:$B,$A$35,'OB History'!V:V, 1)</f>
        <v>1</v>
      </c>
      <c r="AG35" s="2">
        <f>COUNTIFS('OB History'!$B:$B,$A$35,'OB History'!W:W, 1)</f>
        <v>5</v>
      </c>
      <c r="AH35" s="2">
        <f>COUNTIFS('OB History'!$B:$B,$A$35,'OB History'!X:X, 1)</f>
        <v>18</v>
      </c>
      <c r="AI35" s="2">
        <f>COUNTIFS('OB History'!$B:$B,$A$35,'OB History'!Y:Y, 1)</f>
        <v>10</v>
      </c>
      <c r="AJ35" s="2">
        <f>COUNTIFS('OB History'!$B:$B,$A$35,'OB History'!Z:Z, 1)</f>
        <v>11</v>
      </c>
    </row>
    <row r="36" spans="1:36" x14ac:dyDescent="0.25">
      <c r="A36" s="2" t="s">
        <v>15</v>
      </c>
      <c r="B36" s="2" t="s">
        <v>79</v>
      </c>
      <c r="C36" s="2" t="s">
        <v>79</v>
      </c>
      <c r="D36" s="3">
        <v>3</v>
      </c>
      <c r="E36" s="3">
        <v>1</v>
      </c>
      <c r="F36" s="3"/>
      <c r="G36" s="3"/>
      <c r="H36" s="34">
        <f>SUMIFS('OB History'!C:C,'OB History'!B:B,A36)</f>
        <v>1108</v>
      </c>
      <c r="I36" s="4">
        <f>AVERAGEIFS('OB History'!C:C,'OB History'!B:B,A36)</f>
        <v>23.083333333333332</v>
      </c>
      <c r="J36" s="4">
        <f t="array" ref="J36">MEDIAN(IF('OB History'!B:B=A36, 'OB History'!C:C))</f>
        <v>22.5</v>
      </c>
      <c r="K36" s="35">
        <f t="array" ref="K36">MAX(IF('OB History'!B:B=A36, 'OB History'!C:C))</f>
        <v>55</v>
      </c>
      <c r="L36" s="34">
        <f>COUNTIFS('OB History'!B:B,A36,'OB History'!D:D, 1)</f>
        <v>20</v>
      </c>
      <c r="M36" s="2">
        <f>COUNTIFS('OB History'!B:B,A36,'OB History'!D:D, 0)</f>
        <v>28</v>
      </c>
      <c r="N36" s="88">
        <f>LOOKUP(2, 1/('OB History'!$B:$B=A36), 'OB History'!$AD:$AD)</f>
        <v>0.41666666666666669</v>
      </c>
      <c r="O36" s="34">
        <f>SUMIFS('OB History'!F:F,'OB History'!B:B,A36)</f>
        <v>90</v>
      </c>
      <c r="P36" s="2">
        <f>SUMIFS('OB History'!E:E,'OB History'!B:B,A36)-O36</f>
        <v>105</v>
      </c>
      <c r="Q36" s="88">
        <f>LOOKUP(2, 1/('OB History'!$B:$B=A36), 'OB History'!$AB:$AB)</f>
        <v>0.4645833333333334</v>
      </c>
      <c r="R36" s="34">
        <f>SUMIFS('OB History'!H:H,'OB History'!B:B,'Old Bow v2'!A36)</f>
        <v>396</v>
      </c>
      <c r="S36" s="2">
        <f>SUMIFS('OB History'!G:G,'OB History'!B:B,'Old Bow v2'!A36)-R36</f>
        <v>416</v>
      </c>
      <c r="T36" s="88">
        <f>LOOKUP(2, 1/('OB History'!$B:$B=A36), 'OB History'!$AC:$AC)</f>
        <v>0.49</v>
      </c>
      <c r="U36" s="2">
        <f>COUNTIFS('OB History'!$B:$B,$A$36,'OB History'!K:K, 1)</f>
        <v>5</v>
      </c>
      <c r="V36" s="2">
        <f>COUNTIFS('OB History'!$B:$B,$A$36,'OB History'!L:L, 1)</f>
        <v>5</v>
      </c>
      <c r="W36" s="2">
        <f>COUNTIFS('OB History'!$B:$B,$A$36,'OB History'!M:M, 1)</f>
        <v>0</v>
      </c>
      <c r="X36" s="2">
        <f>COUNTIFS('OB History'!$B:$B,$A$36,'OB History'!N:N, 1)</f>
        <v>13</v>
      </c>
      <c r="Y36" s="2">
        <f>COUNTIFS('OB History'!$B:$B,$A$36,'OB History'!O:O, 1)</f>
        <v>2</v>
      </c>
      <c r="Z36" s="2">
        <f>COUNTIFS('OB History'!$B:$B,$A$36,'OB History'!P:P, 1)</f>
        <v>9</v>
      </c>
      <c r="AA36" s="2">
        <f>COUNTIFS('OB History'!$B:$B,$A$36,'OB History'!Q:Q, 1)</f>
        <v>4</v>
      </c>
      <c r="AB36" s="2">
        <f>COUNTIFS('OB History'!$B:$B,$A$36,'OB History'!R:R, 1)</f>
        <v>1</v>
      </c>
      <c r="AC36" s="2">
        <f>COUNTIFS('OB History'!$B:$B,$A$36,'OB History'!S:S, 1)</f>
        <v>1</v>
      </c>
      <c r="AD36" s="2">
        <f>COUNTIFS('OB History'!$B:$B,$A$36,'OB History'!T:T, 1)</f>
        <v>1</v>
      </c>
      <c r="AE36" s="2">
        <f>COUNTIFS('OB History'!$B:$B,$A$36,'OB History'!U:U, 1)</f>
        <v>1</v>
      </c>
      <c r="AF36" s="2">
        <f>COUNTIFS('OB History'!$B:$B,$A$36,'OB History'!V:V, 1)</f>
        <v>1</v>
      </c>
      <c r="AG36" s="2">
        <f>COUNTIFS('OB History'!$B:$B,$A$36,'OB History'!W:W, 1)</f>
        <v>9</v>
      </c>
      <c r="AH36" s="2">
        <f>COUNTIFS('OB History'!$B:$B,$A$36,'OB History'!X:X, 1)</f>
        <v>19</v>
      </c>
      <c r="AI36" s="2">
        <f>COUNTIFS('OB History'!$B:$B,$A$36,'OB History'!Y:Y, 1)</f>
        <v>8</v>
      </c>
      <c r="AJ36" s="2">
        <f>COUNTIFS('OB History'!$B:$B,$A$36,'OB History'!Z:Z, 1)</f>
        <v>11</v>
      </c>
    </row>
    <row r="37" spans="1:36" x14ac:dyDescent="0.25">
      <c r="A37" s="2" t="s">
        <v>161</v>
      </c>
      <c r="B37" s="2" t="s">
        <v>79</v>
      </c>
      <c r="C37" s="2" t="s">
        <v>79</v>
      </c>
      <c r="D37" s="3"/>
      <c r="E37" s="3"/>
      <c r="F37" s="3"/>
      <c r="G37" s="3"/>
      <c r="H37" s="34">
        <f>SUMIFS('OB History'!C:C,'OB History'!B:B,A37)</f>
        <v>31</v>
      </c>
      <c r="I37" s="4">
        <f>AVERAGEIFS('OB History'!C:C,'OB History'!B:B,A37)</f>
        <v>15.5</v>
      </c>
      <c r="J37" s="4">
        <f t="array" ref="J37">MEDIAN(IF('OB History'!B:B=A37, 'OB History'!C:C))</f>
        <v>15.5</v>
      </c>
      <c r="K37" s="35">
        <f t="array" ref="K37">MAX(IF('OB History'!B:B=A37, 'OB History'!C:C))</f>
        <v>16</v>
      </c>
      <c r="L37" s="34">
        <f>COUNTIFS('OB History'!B:B,A37,'OB History'!D:D, 1)</f>
        <v>0</v>
      </c>
      <c r="M37" s="2">
        <f>COUNTIFS('OB History'!B:B,A37,'OB History'!D:D, 0)</f>
        <v>2</v>
      </c>
      <c r="N37" s="88">
        <f>LOOKUP(2, 1/('OB History'!$B:$B=A37), 'OB History'!$AD:$AD)</f>
        <v>0</v>
      </c>
      <c r="O37" s="34">
        <f>SUMIFS('OB History'!F:F,'OB History'!B:B,A37)</f>
        <v>2</v>
      </c>
      <c r="P37" s="2">
        <f>SUMIFS('OB History'!E:E,'OB History'!B:B,A37)-O37</f>
        <v>6</v>
      </c>
      <c r="Q37" s="88">
        <f>LOOKUP(2, 1/('OB History'!$B:$B=A37), 'OB History'!$AB:$AB)</f>
        <v>0.25</v>
      </c>
      <c r="R37" s="34">
        <f>SUMIFS('OB History'!H:H,'OB History'!B:B,'Old Bow v2'!A37)</f>
        <v>16</v>
      </c>
      <c r="S37" s="2">
        <f>SUMIFS('OB History'!G:G,'OB History'!B:B,'Old Bow v2'!A37)-R37</f>
        <v>22</v>
      </c>
      <c r="T37" s="88">
        <f>LOOKUP(2, 1/('OB History'!$B:$B=A37), 'OB History'!$AC:$AC)</f>
        <v>0.42</v>
      </c>
      <c r="U37" s="2">
        <f>COUNTIFS('OB History'!$B:$B,$A$37,'OB History'!K:K, 1)</f>
        <v>0</v>
      </c>
      <c r="V37" s="2">
        <f>COUNTIFS('OB History'!$B:$B,$A$37,'OB History'!L:L, 1)</f>
        <v>0</v>
      </c>
      <c r="W37" s="2">
        <f>COUNTIFS('OB History'!$B:$B,$A$37,'OB History'!M:M, 1)</f>
        <v>0</v>
      </c>
      <c r="X37" s="2">
        <f>COUNTIFS('OB History'!$B:$B,$A$37,'OB History'!N:N, 1)</f>
        <v>0</v>
      </c>
      <c r="Y37" s="2">
        <f>COUNTIFS('OB History'!$B:$B,$A$37,'OB History'!O:O, 1)</f>
        <v>0</v>
      </c>
      <c r="Z37" s="2">
        <f>COUNTIFS('OB History'!$B:$B,$A$37,'OB History'!P:P, 1)</f>
        <v>0</v>
      </c>
      <c r="AA37" s="2">
        <f>COUNTIFS('OB History'!$B:$B,$A$37,'OB History'!Q:Q, 1)</f>
        <v>0</v>
      </c>
      <c r="AB37" s="2">
        <f>COUNTIFS('OB History'!$B:$B,$A$37,'OB History'!R:R, 1)</f>
        <v>0</v>
      </c>
      <c r="AC37" s="2">
        <f>COUNTIFS('OB History'!$B:$B,$A$37,'OB History'!S:S, 1)</f>
        <v>0</v>
      </c>
      <c r="AD37" s="2">
        <f>COUNTIFS('OB History'!$B:$B,$A$37,'OB History'!T:T, 1)</f>
        <v>0</v>
      </c>
      <c r="AE37" s="2">
        <f>COUNTIFS('OB History'!$B:$B,$A$37,'OB History'!U:U, 1)</f>
        <v>0</v>
      </c>
      <c r="AF37" s="2">
        <f>COUNTIFS('OB History'!$B:$B,$A$37,'OB History'!V:V, 1)</f>
        <v>0</v>
      </c>
      <c r="AG37" s="2">
        <f>COUNTIFS('OB History'!$B:$B,$A$37,'OB History'!W:W, 1)</f>
        <v>1</v>
      </c>
      <c r="AH37" s="2">
        <f>COUNTIFS('OB History'!$B:$B,$A$37,'OB History'!X:X, 1)</f>
        <v>0</v>
      </c>
      <c r="AI37" s="2">
        <f>COUNTIFS('OB History'!$B:$B,$A$37,'OB History'!Y:Y, 1)</f>
        <v>1</v>
      </c>
      <c r="AJ37" s="2">
        <f>COUNTIFS('OB History'!$B:$B,$A$37,'OB History'!Z:Z, 1)</f>
        <v>0</v>
      </c>
    </row>
    <row r="38" spans="1:36" x14ac:dyDescent="0.25">
      <c r="A38" s="1" t="s">
        <v>43</v>
      </c>
      <c r="B38" s="2" t="s">
        <v>79</v>
      </c>
      <c r="C38" s="2" t="s">
        <v>79</v>
      </c>
      <c r="D38" s="3"/>
      <c r="E38" s="3"/>
      <c r="F38" s="3"/>
      <c r="G38" s="3"/>
      <c r="H38" s="34">
        <f>SUMIFS('OB History'!C:C,'OB History'!B:B,A38)</f>
        <v>4</v>
      </c>
      <c r="I38" s="4">
        <f>AVERAGEIFS('OB History'!C:C,'OB History'!B:B,A38)</f>
        <v>4</v>
      </c>
      <c r="J38" s="4">
        <f t="array" ref="J38">MEDIAN(IF('OB History'!B:B=A38, 'OB History'!C:C))</f>
        <v>4</v>
      </c>
      <c r="K38" s="35">
        <f t="array" ref="K38">MAX(IF('OB History'!B:B=A38, 'OB History'!C:C))</f>
        <v>4</v>
      </c>
      <c r="L38" s="34">
        <f>COUNTIFS('OB History'!B:B,A38,'OB History'!D:D, 1)</f>
        <v>1</v>
      </c>
      <c r="M38" s="2">
        <f>COUNTIFS('OB History'!B:B,A38,'OB History'!D:D, 0)</f>
        <v>0</v>
      </c>
      <c r="N38" s="88">
        <f>LOOKUP(2, 1/('OB History'!$B:$B=A38), 'OB History'!$AD:$AD)</f>
        <v>1</v>
      </c>
      <c r="O38" s="34">
        <f>SUMIFS('OB History'!F:F,'OB History'!B:B,A38)</f>
        <v>3</v>
      </c>
      <c r="P38" s="2">
        <f>SUMIFS('OB History'!E:E,'OB History'!B:B,A38)-O38</f>
        <v>0</v>
      </c>
      <c r="Q38" s="88">
        <f>LOOKUP(2, 1/('OB History'!$B:$B=A38), 'OB History'!$AB:$AB)</f>
        <v>1</v>
      </c>
      <c r="R38" s="34">
        <f>SUMIFS('OB History'!H:H,'OB History'!B:B,'Old Bow v2'!A38)</f>
        <v>9</v>
      </c>
      <c r="S38" s="2">
        <f>SUMIFS('OB History'!G:G,'OB History'!B:B,'Old Bow v2'!A38)-R38</f>
        <v>4</v>
      </c>
      <c r="T38" s="88">
        <f>LOOKUP(2, 1/('OB History'!$B:$B=A38), 'OB History'!$AC:$AC)</f>
        <v>0.69</v>
      </c>
      <c r="U38" s="2">
        <f>COUNTIFS('OB History'!$B:$B,$A$38,'OB History'!K:K, 1)</f>
        <v>0</v>
      </c>
      <c r="V38" s="2">
        <f>COUNTIFS('OB History'!$B:$B,$A$38,'OB History'!L:L, 1)</f>
        <v>0</v>
      </c>
      <c r="W38" s="2">
        <f>COUNTIFS('OB History'!$B:$B,$A$38,'OB History'!M:M, 1)</f>
        <v>0</v>
      </c>
      <c r="X38" s="2">
        <f>COUNTIFS('OB History'!$B:$B,$A$38,'OB History'!N:N, 1)</f>
        <v>0</v>
      </c>
      <c r="Y38" s="2">
        <f>COUNTIFS('OB History'!$B:$B,$A$38,'OB History'!O:O, 1)</f>
        <v>0</v>
      </c>
      <c r="Z38" s="2">
        <f>COUNTIFS('OB History'!$B:$B,$A$38,'OB History'!P:P, 1)</f>
        <v>1</v>
      </c>
      <c r="AA38" s="2">
        <f>COUNTIFS('OB History'!$B:$B,$A$38,'OB History'!Q:Q, 1)</f>
        <v>0</v>
      </c>
      <c r="AB38" s="2">
        <f>COUNTIFS('OB History'!$B:$B,$A$38,'OB History'!R:R, 1)</f>
        <v>0</v>
      </c>
      <c r="AC38" s="2">
        <f>COUNTIFS('OB History'!$B:$B,$A$38,'OB History'!S:S, 1)</f>
        <v>0</v>
      </c>
      <c r="AD38" s="2">
        <f>COUNTIFS('OB History'!$B:$B,$A$38,'OB History'!T:T, 1)</f>
        <v>0</v>
      </c>
      <c r="AE38" s="2">
        <f>COUNTIFS('OB History'!$B:$B,$A$38,'OB History'!U:U, 1)</f>
        <v>0</v>
      </c>
      <c r="AF38" s="2">
        <f>COUNTIFS('OB History'!$B:$B,$A$38,'OB History'!V:V, 1)</f>
        <v>0</v>
      </c>
      <c r="AG38" s="2">
        <f>COUNTIFS('OB History'!$B:$B,$A$38,'OB History'!W:W, 1)</f>
        <v>0</v>
      </c>
      <c r="AH38" s="2">
        <f>COUNTIFS('OB History'!$B:$B,$A$38,'OB History'!X:X, 1)</f>
        <v>1</v>
      </c>
      <c r="AI38" s="2">
        <f>COUNTIFS('OB History'!$B:$B,$A$38,'OB History'!Y:Y, 1)</f>
        <v>0</v>
      </c>
      <c r="AJ38" s="2">
        <f>COUNTIFS('OB History'!$B:$B,$A$38,'OB History'!Z:Z, 1)</f>
        <v>1</v>
      </c>
    </row>
    <row r="39" spans="1:36" x14ac:dyDescent="0.25">
      <c r="A39" s="2" t="s">
        <v>13</v>
      </c>
      <c r="B39" s="6" t="s">
        <v>124</v>
      </c>
      <c r="C39" s="1" t="s">
        <v>159</v>
      </c>
      <c r="D39" s="3">
        <v>7</v>
      </c>
      <c r="E39" s="3">
        <v>2</v>
      </c>
      <c r="F39" s="3">
        <v>1</v>
      </c>
      <c r="G39" s="3"/>
      <c r="H39" s="34">
        <f>SUMIFS('OB History'!C:C,'OB History'!B:B,A39)</f>
        <v>1887</v>
      </c>
      <c r="I39" s="4">
        <f>AVERAGEIFS('OB History'!C:C,'OB History'!B:B,A39)</f>
        <v>26.208333333333332</v>
      </c>
      <c r="J39" s="4">
        <f t="array" ref="J39">MEDIAN(IF('OB History'!B:B=A39, 'OB History'!C:C))</f>
        <v>24.5</v>
      </c>
      <c r="K39" s="35">
        <f t="array" ref="K39">MAX(IF('OB History'!B:B=A39, 'OB History'!C:C))</f>
        <v>58</v>
      </c>
      <c r="L39" s="34">
        <f>COUNTIFS('OB History'!B:B,A39,'OB History'!D:D, 1)</f>
        <v>43</v>
      </c>
      <c r="M39" s="2">
        <f>COUNTIFS('OB History'!B:B,A39,'OB History'!D:D, 0)</f>
        <v>29</v>
      </c>
      <c r="N39" s="88">
        <f>LOOKUP(2, 1/('OB History'!$B:$B=A39), 'OB History'!$AD:$AD)</f>
        <v>0.59722222222222221</v>
      </c>
      <c r="O39" s="34">
        <f>SUMIFS('OB History'!F:F,'OB History'!B:B,A39)</f>
        <v>163</v>
      </c>
      <c r="P39" s="2">
        <f>SUMIFS('OB History'!E:E,'OB History'!B:B,A39)-O39</f>
        <v>129</v>
      </c>
      <c r="Q39" s="88">
        <f>LOOKUP(2, 1/('OB History'!$B:$B=A39), 'OB History'!$AB:$AB)</f>
        <v>0.56111111111111112</v>
      </c>
      <c r="R39" s="34">
        <f>SUMIFS('OB History'!H:H,'OB History'!B:B,'Old Bow v2'!A39)</f>
        <v>643</v>
      </c>
      <c r="S39" s="2">
        <f>SUMIFS('OB History'!G:G,'OB History'!B:B,'Old Bow v2'!A39)-R39</f>
        <v>556</v>
      </c>
      <c r="T39" s="88">
        <f>LOOKUP(2, 1/('OB History'!$B:$B=A39), 'OB History'!$AC:$AC)</f>
        <v>0.53847222222222224</v>
      </c>
      <c r="U39" s="2">
        <f>COUNTIFS('OB History'!$B:$B,$A$39,'OB History'!K:K, 1)</f>
        <v>10</v>
      </c>
      <c r="V39" s="2">
        <f>COUNTIFS('OB History'!$B:$B,$A$39,'OB History'!L:L, 1)</f>
        <v>14</v>
      </c>
      <c r="W39" s="2">
        <f>COUNTIFS('OB History'!$B:$B,$A$39,'OB History'!M:M, 1)</f>
        <v>4</v>
      </c>
      <c r="X39" s="2">
        <f>COUNTIFS('OB History'!$B:$B,$A$39,'OB History'!N:N, 1)</f>
        <v>18</v>
      </c>
      <c r="Y39" s="2">
        <f>COUNTIFS('OB History'!$B:$B,$A$39,'OB History'!O:O, 1)</f>
        <v>3</v>
      </c>
      <c r="Z39" s="2">
        <f>COUNTIFS('OB History'!$B:$B,$A$39,'OB History'!P:P, 1)</f>
        <v>20</v>
      </c>
      <c r="AA39" s="2">
        <f>COUNTIFS('OB History'!$B:$B,$A$39,'OB History'!Q:Q, 1)</f>
        <v>6</v>
      </c>
      <c r="AB39" s="2">
        <f>COUNTIFS('OB History'!$B:$B,$A$39,'OB History'!R:R, 1)</f>
        <v>6</v>
      </c>
      <c r="AC39" s="2">
        <f>COUNTIFS('OB History'!$B:$B,$A$39,'OB History'!S:S, 1)</f>
        <v>2</v>
      </c>
      <c r="AD39" s="2">
        <f>COUNTIFS('OB History'!$B:$B,$A$39,'OB History'!T:T, 1)</f>
        <v>4</v>
      </c>
      <c r="AE39" s="2">
        <f>COUNTIFS('OB History'!$B:$B,$A$39,'OB History'!U:U, 1)</f>
        <v>2</v>
      </c>
      <c r="AF39" s="2">
        <f>COUNTIFS('OB History'!$B:$B,$A$39,'OB History'!V:V, 1)</f>
        <v>5</v>
      </c>
      <c r="AG39" s="2">
        <f>COUNTIFS('OB History'!$B:$B,$A$39,'OB History'!W:W, 1)</f>
        <v>15</v>
      </c>
      <c r="AH39" s="2">
        <f>COUNTIFS('OB History'!$B:$B,$A$39,'OB History'!X:X, 1)</f>
        <v>21</v>
      </c>
      <c r="AI39" s="2">
        <f>COUNTIFS('OB History'!$B:$B,$A$39,'OB History'!Y:Y, 1)</f>
        <v>15</v>
      </c>
      <c r="AJ39" s="2">
        <f>COUNTIFS('OB History'!$B:$B,$A$39,'OB History'!Z:Z, 1)</f>
        <v>18</v>
      </c>
    </row>
    <row r="40" spans="1:36" x14ac:dyDescent="0.25">
      <c r="A40" s="2" t="s">
        <v>2</v>
      </c>
      <c r="B40" s="6" t="s">
        <v>60</v>
      </c>
      <c r="C40" s="2" t="s">
        <v>79</v>
      </c>
      <c r="D40" s="3">
        <v>1</v>
      </c>
      <c r="E40" s="3"/>
      <c r="F40" s="3"/>
      <c r="G40" s="3"/>
      <c r="H40" s="34">
        <f>SUMIFS('OB History'!C:C,'OB History'!B:B,A40)</f>
        <v>596</v>
      </c>
      <c r="I40" s="4">
        <f>AVERAGEIFS('OB History'!C:C,'OB History'!B:B,A40)</f>
        <v>28.38095238095238</v>
      </c>
      <c r="J40" s="4">
        <f t="array" ref="J40">MEDIAN(IF('OB History'!B:B=A40, 'OB History'!C:C))</f>
        <v>27</v>
      </c>
      <c r="K40" s="35">
        <f t="array" ref="K40">MAX(IF('OB History'!B:B=A40, 'OB History'!C:C))</f>
        <v>68</v>
      </c>
      <c r="L40" s="34">
        <f>COUNTIFS('OB History'!B:B,A40,'OB History'!D:D, 1)</f>
        <v>11</v>
      </c>
      <c r="M40" s="2">
        <f>COUNTIFS('OB History'!B:B,A40,'OB History'!D:D, 0)</f>
        <v>10</v>
      </c>
      <c r="N40" s="88">
        <f>LOOKUP(2, 1/('OB History'!$B:$B=A40), 'OB History'!$AD:$AD)</f>
        <v>0.52380952380952384</v>
      </c>
      <c r="O40" s="34">
        <f>SUMIFS('OB History'!F:F,'OB History'!B:B,A40)</f>
        <v>49</v>
      </c>
      <c r="P40" s="2">
        <f>SUMIFS('OB History'!E:E,'OB History'!B:B,A40)-O40</f>
        <v>38</v>
      </c>
      <c r="Q40" s="88">
        <f>LOOKUP(2, 1/('OB History'!$B:$B=A40), 'OB History'!$AB:$AB)</f>
        <v>0.59523809523809534</v>
      </c>
      <c r="R40" s="34">
        <f>SUMIFS('OB History'!H:H,'OB History'!B:B,'Old Bow v2'!A40)</f>
        <v>198</v>
      </c>
      <c r="S40" s="2">
        <f>SUMIFS('OB History'!G:G,'OB History'!B:B,'Old Bow v2'!A40)-R40</f>
        <v>171</v>
      </c>
      <c r="T40" s="88">
        <f>LOOKUP(2, 1/('OB History'!$B:$B=A40), 'OB History'!$AC:$AC)</f>
        <v>0.54999999999999993</v>
      </c>
      <c r="U40" s="2">
        <f>COUNTIFS('OB History'!$B:$B,$A$40,'OB History'!K:K, 1)</f>
        <v>3</v>
      </c>
      <c r="V40" s="2">
        <f>COUNTIFS('OB History'!$B:$B,$A$40,'OB History'!L:L, 1)</f>
        <v>5</v>
      </c>
      <c r="W40" s="2">
        <f>COUNTIFS('OB History'!$B:$B,$A$40,'OB History'!M:M, 1)</f>
        <v>2</v>
      </c>
      <c r="X40" s="2">
        <f>COUNTIFS('OB History'!$B:$B,$A$40,'OB History'!N:N, 1)</f>
        <v>10</v>
      </c>
      <c r="Y40" s="2">
        <f>COUNTIFS('OB History'!$B:$B,$A$40,'OB History'!O:O, 1)</f>
        <v>0</v>
      </c>
      <c r="Z40" s="2">
        <f>COUNTIFS('OB History'!$B:$B,$A$40,'OB History'!P:P, 1)</f>
        <v>4</v>
      </c>
      <c r="AA40" s="2">
        <f>COUNTIFS('OB History'!$B:$B,$A$40,'OB History'!Q:Q, 1)</f>
        <v>0</v>
      </c>
      <c r="AB40" s="2">
        <f>COUNTIFS('OB History'!$B:$B,$A$40,'OB History'!R:R, 1)</f>
        <v>1</v>
      </c>
      <c r="AC40" s="2">
        <f>COUNTIFS('OB History'!$B:$B,$A$40,'OB History'!S:S, 1)</f>
        <v>0</v>
      </c>
      <c r="AD40" s="2">
        <f>COUNTIFS('OB History'!$B:$B,$A$40,'OB History'!T:T, 1)</f>
        <v>0</v>
      </c>
      <c r="AE40" s="2">
        <f>COUNTIFS('OB History'!$B:$B,$A$40,'OB History'!U:U, 1)</f>
        <v>0</v>
      </c>
      <c r="AF40" s="2">
        <f>COUNTIFS('OB History'!$B:$B,$A$40,'OB History'!V:V, 1)</f>
        <v>0</v>
      </c>
      <c r="AG40" s="2">
        <f>COUNTIFS('OB History'!$B:$B,$A$40,'OB History'!W:W, 1)</f>
        <v>5</v>
      </c>
      <c r="AH40" s="2">
        <f>COUNTIFS('OB History'!$B:$B,$A$40,'OB History'!X:X, 1)</f>
        <v>5</v>
      </c>
      <c r="AI40" s="2">
        <f>COUNTIFS('OB History'!$B:$B,$A$40,'OB History'!Y:Y, 1)</f>
        <v>6</v>
      </c>
      <c r="AJ40" s="2">
        <f>COUNTIFS('OB History'!$B:$B,$A$40,'OB History'!Z:Z, 1)</f>
        <v>8</v>
      </c>
    </row>
    <row r="41" spans="1:36" x14ac:dyDescent="0.25">
      <c r="A41" s="2" t="s">
        <v>54</v>
      </c>
      <c r="B41" s="6" t="s">
        <v>60</v>
      </c>
      <c r="C41" s="6" t="s">
        <v>79</v>
      </c>
      <c r="D41" s="3"/>
      <c r="E41" s="3"/>
      <c r="F41" s="3"/>
      <c r="G41" s="3"/>
      <c r="H41" s="34">
        <f>SUMIFS('OB History'!C:C,'OB History'!B:B,A41)</f>
        <v>74</v>
      </c>
      <c r="I41" s="4">
        <f>AVERAGEIFS('OB History'!C:C,'OB History'!B:B,A41)</f>
        <v>18.5</v>
      </c>
      <c r="J41" s="4">
        <f t="array" ref="J41">MEDIAN(IF('OB History'!B:B=A41, 'OB History'!C:C))</f>
        <v>18</v>
      </c>
      <c r="K41" s="35">
        <f t="array" ref="K41">MAX(IF('OB History'!B:B=A41, 'OB History'!C:C))</f>
        <v>29</v>
      </c>
      <c r="L41" s="34">
        <f>COUNTIFS('OB History'!B:B,A41,'OB History'!D:D, 1)</f>
        <v>3</v>
      </c>
      <c r="M41" s="2">
        <f>COUNTIFS('OB History'!B:B,A41,'OB History'!D:D, 0)</f>
        <v>1</v>
      </c>
      <c r="N41" s="88">
        <f>LOOKUP(2, 1/('OB History'!$B:$B=A41), 'OB History'!$AD:$AD)</f>
        <v>0.75</v>
      </c>
      <c r="O41" s="34">
        <f>SUMIFS('OB History'!F:F,'OB History'!B:B,A41)</f>
        <v>11</v>
      </c>
      <c r="P41" s="2">
        <f>SUMIFS('OB History'!E:E,'OB History'!B:B,A41)-O41</f>
        <v>9</v>
      </c>
      <c r="Q41" s="88">
        <f>LOOKUP(2, 1/('OB History'!$B:$B=A41), 'OB History'!$AB:$AB)</f>
        <v>0.54999999999999993</v>
      </c>
      <c r="R41" s="34">
        <f>SUMIFS('OB History'!H:H,'OB History'!B:B,'Old Bow v2'!A41)</f>
        <v>45</v>
      </c>
      <c r="S41" s="2">
        <f>SUMIFS('OB History'!G:G,'OB History'!B:B,'Old Bow v2'!A41)-R41</f>
        <v>36</v>
      </c>
      <c r="T41" s="88">
        <f>LOOKUP(2, 1/('OB History'!$B:$B=A41), 'OB History'!$AC:$AC)</f>
        <v>0.55249999999999999</v>
      </c>
      <c r="U41" s="2">
        <f>COUNTIFS('OB History'!$B:$B,$A$41,'OB History'!K:K, 1)</f>
        <v>1</v>
      </c>
      <c r="V41" s="2">
        <f>COUNTIFS('OB History'!$B:$B,$A$41,'OB History'!L:L, 1)</f>
        <v>1</v>
      </c>
      <c r="W41" s="2">
        <f>COUNTIFS('OB History'!$B:$B,$A$41,'OB History'!M:M, 1)</f>
        <v>0</v>
      </c>
      <c r="X41" s="2">
        <f>COUNTIFS('OB History'!$B:$B,$A$41,'OB History'!N:N, 1)</f>
        <v>1</v>
      </c>
      <c r="Y41" s="2">
        <f>COUNTIFS('OB History'!$B:$B,$A$41,'OB History'!O:O, 1)</f>
        <v>2</v>
      </c>
      <c r="Z41" s="2">
        <f>COUNTIFS('OB History'!$B:$B,$A$41,'OB History'!P:P, 1)</f>
        <v>1</v>
      </c>
      <c r="AA41" s="2">
        <f>COUNTIFS('OB History'!$B:$B,$A$41,'OB History'!Q:Q, 1)</f>
        <v>3</v>
      </c>
      <c r="AB41" s="2">
        <f>COUNTIFS('OB History'!$B:$B,$A$41,'OB History'!R:R, 1)</f>
        <v>0</v>
      </c>
      <c r="AC41" s="2">
        <f>COUNTIFS('OB History'!$B:$B,$A$41,'OB History'!S:S, 1)</f>
        <v>0</v>
      </c>
      <c r="AD41" s="2">
        <f>COUNTIFS('OB History'!$B:$B,$A$41,'OB History'!T:T, 1)</f>
        <v>0</v>
      </c>
      <c r="AE41" s="2">
        <f>COUNTIFS('OB History'!$B:$B,$A$41,'OB History'!U:U, 1)</f>
        <v>0</v>
      </c>
      <c r="AF41" s="2">
        <f>COUNTIFS('OB History'!$B:$B,$A$41,'OB History'!V:V, 1)</f>
        <v>1</v>
      </c>
      <c r="AG41" s="2">
        <f>COUNTIFS('OB History'!$B:$B,$A$41,'OB History'!W:W, 1)</f>
        <v>1</v>
      </c>
      <c r="AH41" s="2">
        <f>COUNTIFS('OB History'!$B:$B,$A$41,'OB History'!X:X, 1)</f>
        <v>0</v>
      </c>
      <c r="AI41" s="2">
        <f>COUNTIFS('OB History'!$B:$B,$A$41,'OB History'!Y:Y, 1)</f>
        <v>0</v>
      </c>
      <c r="AJ41" s="2">
        <f>COUNTIFS('OB History'!$B:$B,$A$41,'OB History'!Z:Z, 1)</f>
        <v>0</v>
      </c>
    </row>
    <row r="42" spans="1:36" x14ac:dyDescent="0.25">
      <c r="A42" s="2" t="s">
        <v>5</v>
      </c>
      <c r="B42" s="6" t="s">
        <v>124</v>
      </c>
      <c r="C42" s="1" t="s">
        <v>159</v>
      </c>
      <c r="D42" s="3">
        <v>3</v>
      </c>
      <c r="E42" s="3"/>
      <c r="F42" s="3"/>
      <c r="G42" s="3"/>
      <c r="H42" s="34">
        <f>SUMIFS('OB History'!C:C,'OB History'!B:B,A42)</f>
        <v>570</v>
      </c>
      <c r="I42" s="4">
        <f>AVERAGEIFS('OB History'!C:C,'OB History'!B:B,A42)</f>
        <v>22.8</v>
      </c>
      <c r="J42" s="4">
        <f t="array" ref="J42">MEDIAN(IF('OB History'!B:B=A42, 'OB History'!C:C))</f>
        <v>21</v>
      </c>
      <c r="K42" s="35">
        <f t="array" ref="K42">MAX(IF('OB History'!B:B=A42, 'OB History'!C:C))</f>
        <v>51</v>
      </c>
      <c r="L42" s="34">
        <f>COUNTIFS('OB History'!B:B,A42,'OB History'!D:D, 1)</f>
        <v>11</v>
      </c>
      <c r="M42" s="2">
        <f>COUNTIFS('OB History'!B:B,A42,'OB History'!D:D, 0)</f>
        <v>14</v>
      </c>
      <c r="N42" s="88">
        <f>LOOKUP(2, 1/('OB History'!$B:$B=A42), 'OB History'!$AD:$AD)</f>
        <v>0.44</v>
      </c>
      <c r="O42" s="34">
        <f>SUMIFS('OB History'!F:F,'OB History'!B:B,A42)</f>
        <v>48</v>
      </c>
      <c r="P42" s="2">
        <f>SUMIFS('OB History'!E:E,'OB History'!B:B,A42)-O42</f>
        <v>56</v>
      </c>
      <c r="Q42" s="88">
        <f>LOOKUP(2, 1/('OB History'!$B:$B=A42), 'OB History'!$AB:$AB)</f>
        <v>0.45799999999999996</v>
      </c>
      <c r="R42" s="34">
        <f>SUMIFS('OB History'!H:H,'OB History'!B:B,'Old Bow v2'!A42)</f>
        <v>210</v>
      </c>
      <c r="S42" s="2">
        <f>SUMIFS('OB History'!G:G,'OB History'!B:B,'Old Bow v2'!A42)-R42</f>
        <v>222</v>
      </c>
      <c r="T42" s="88">
        <f>LOOKUP(2, 1/('OB History'!$B:$B=A42), 'OB History'!$AC:$AC)</f>
        <v>0.48080000000000001</v>
      </c>
      <c r="U42" s="2">
        <f>COUNTIFS('OB History'!$B:$B,$A$42,'OB History'!K:K, 1)</f>
        <v>5</v>
      </c>
      <c r="V42" s="2">
        <f>COUNTIFS('OB History'!$B:$B,$A$42,'OB History'!L:L, 1)</f>
        <v>5</v>
      </c>
      <c r="W42" s="2">
        <f>COUNTIFS('OB History'!$B:$B,$A$42,'OB History'!M:M, 1)</f>
        <v>4</v>
      </c>
      <c r="X42" s="2">
        <f>COUNTIFS('OB History'!$B:$B,$A$42,'OB History'!N:N, 1)</f>
        <v>4</v>
      </c>
      <c r="Y42" s="2">
        <f>COUNTIFS('OB History'!$B:$B,$A$42,'OB History'!O:O, 1)</f>
        <v>3</v>
      </c>
      <c r="Z42" s="2">
        <f>COUNTIFS('OB History'!$B:$B,$A$42,'OB History'!P:P, 1)</f>
        <v>4</v>
      </c>
      <c r="AA42" s="2">
        <f>COUNTIFS('OB History'!$B:$B,$A$42,'OB History'!Q:Q, 1)</f>
        <v>1</v>
      </c>
      <c r="AB42" s="2">
        <f>COUNTIFS('OB History'!$B:$B,$A$42,'OB History'!R:R, 1)</f>
        <v>2</v>
      </c>
      <c r="AC42" s="2">
        <f>COUNTIFS('OB History'!$B:$B,$A$42,'OB History'!S:S, 1)</f>
        <v>0</v>
      </c>
      <c r="AD42" s="2">
        <f>COUNTIFS('OB History'!$B:$B,$A$42,'OB History'!T:T, 1)</f>
        <v>0</v>
      </c>
      <c r="AE42" s="2">
        <f>COUNTIFS('OB History'!$B:$B,$A$42,'OB History'!U:U, 1)</f>
        <v>0</v>
      </c>
      <c r="AF42" s="2">
        <f>COUNTIFS('OB History'!$B:$B,$A$42,'OB History'!V:V, 1)</f>
        <v>0</v>
      </c>
      <c r="AG42" s="2">
        <f>COUNTIFS('OB History'!$B:$B,$A$42,'OB History'!W:W, 1)</f>
        <v>3</v>
      </c>
      <c r="AH42" s="2">
        <f>COUNTIFS('OB History'!$B:$B,$A$42,'OB History'!X:X, 1)</f>
        <v>8</v>
      </c>
      <c r="AI42" s="2">
        <f>COUNTIFS('OB History'!$B:$B,$A$42,'OB History'!Y:Y, 1)</f>
        <v>5</v>
      </c>
      <c r="AJ42" s="2">
        <f>COUNTIFS('OB History'!$B:$B,$A$42,'OB History'!Z:Z, 1)</f>
        <v>4</v>
      </c>
    </row>
    <row r="43" spans="1:36" x14ac:dyDescent="0.25">
      <c r="A43" s="2" t="s">
        <v>38</v>
      </c>
      <c r="B43" s="2" t="s">
        <v>79</v>
      </c>
      <c r="C43" s="2" t="s">
        <v>79</v>
      </c>
      <c r="D43" s="3">
        <v>1</v>
      </c>
      <c r="E43" s="3"/>
      <c r="F43" s="3"/>
      <c r="G43" s="3"/>
      <c r="H43" s="34">
        <f>SUMIFS('OB History'!C:C,'OB History'!B:B,A43)</f>
        <v>140</v>
      </c>
      <c r="I43" s="4">
        <f>AVERAGEIFS('OB History'!C:C,'OB History'!B:B,A43)</f>
        <v>7.7777777777777777</v>
      </c>
      <c r="J43" s="4">
        <f t="array" ref="J43">MEDIAN(IF('OB History'!B:B=A43, 'OB History'!C:C))</f>
        <v>7</v>
      </c>
      <c r="K43" s="35">
        <f t="array" ref="K43">MAX(IF('OB History'!B:B=A43, 'OB History'!C:C))</f>
        <v>28</v>
      </c>
      <c r="L43" s="34">
        <f>COUNTIFS('OB History'!B:B,A43,'OB History'!D:D, 1)</f>
        <v>8</v>
      </c>
      <c r="M43" s="2">
        <f>COUNTIFS('OB History'!B:B,A43,'OB History'!D:D, 0)</f>
        <v>10</v>
      </c>
      <c r="N43" s="88">
        <f>LOOKUP(2, 1/('OB History'!$B:$B=A43), 'OB History'!$AD:$AD)</f>
        <v>0.44444444444444442</v>
      </c>
      <c r="O43" s="34">
        <f>SUMIFS('OB History'!F:F,'OB History'!B:B,A43)</f>
        <v>32</v>
      </c>
      <c r="P43" s="2">
        <f>SUMIFS('OB History'!E:E,'OB History'!B:B,A43)-O43</f>
        <v>38</v>
      </c>
      <c r="Q43" s="88">
        <f>LOOKUP(2, 1/('OB History'!$B:$B=A43), 'OB History'!$AB:$AB)</f>
        <v>0.43055555555555558</v>
      </c>
      <c r="R43" s="34">
        <f>SUMIFS('OB History'!H:H,'OB History'!B:B,'Old Bow v2'!A43)</f>
        <v>135</v>
      </c>
      <c r="S43" s="2">
        <f>SUMIFS('OB History'!G:G,'OB History'!B:B,'Old Bow v2'!A43)-R43</f>
        <v>152</v>
      </c>
      <c r="T43" s="88">
        <f>LOOKUP(2, 1/('OB History'!$B:$B=A43), 'OB History'!$AC:$AC)</f>
        <v>0.46166666666666667</v>
      </c>
      <c r="U43" s="2">
        <f>COUNTIFS('OB History'!$B:$B,$A$43,'OB History'!K:K, 1)</f>
        <v>2</v>
      </c>
      <c r="V43" s="2">
        <f>COUNTIFS('OB History'!$B:$B,$A$43,'OB History'!L:L, 1)</f>
        <v>1</v>
      </c>
      <c r="W43" s="2">
        <f>COUNTIFS('OB History'!$B:$B,$A$43,'OB History'!M:M, 1)</f>
        <v>2</v>
      </c>
      <c r="X43" s="2">
        <f>COUNTIFS('OB History'!$B:$B,$A$43,'OB History'!N:N, 1)</f>
        <v>5</v>
      </c>
      <c r="Y43" s="2">
        <f>COUNTIFS('OB History'!$B:$B,$A$43,'OB History'!O:O, 1)</f>
        <v>0</v>
      </c>
      <c r="Z43" s="2">
        <f>COUNTIFS('OB History'!$B:$B,$A$43,'OB History'!P:P, 1)</f>
        <v>4</v>
      </c>
      <c r="AA43" s="2">
        <f>COUNTIFS('OB History'!$B:$B,$A$43,'OB History'!Q:Q, 1)</f>
        <v>2</v>
      </c>
      <c r="AB43" s="2">
        <f>COUNTIFS('OB History'!$B:$B,$A$43,'OB History'!R:R, 1)</f>
        <v>3</v>
      </c>
      <c r="AC43" s="2">
        <f>COUNTIFS('OB History'!$B:$B,$A$43,'OB History'!S:S, 1)</f>
        <v>0</v>
      </c>
      <c r="AD43" s="2">
        <f>COUNTIFS('OB History'!$B:$B,$A$43,'OB History'!T:T, 1)</f>
        <v>0</v>
      </c>
      <c r="AE43" s="2">
        <f>COUNTIFS('OB History'!$B:$B,$A$43,'OB History'!U:U, 1)</f>
        <v>0</v>
      </c>
      <c r="AF43" s="2">
        <f>COUNTIFS('OB History'!$B:$B,$A$43,'OB History'!V:V, 1)</f>
        <v>0</v>
      </c>
      <c r="AG43" s="2">
        <f>COUNTIFS('OB History'!$B:$B,$A$43,'OB History'!W:W, 1)</f>
        <v>2</v>
      </c>
      <c r="AH43" s="2">
        <f>COUNTIFS('OB History'!$B:$B,$A$43,'OB History'!X:X, 1)</f>
        <v>4</v>
      </c>
      <c r="AI43" s="2">
        <f>COUNTIFS('OB History'!$B:$B,$A$43,'OB History'!Y:Y, 1)</f>
        <v>3</v>
      </c>
      <c r="AJ43" s="2">
        <f>COUNTIFS('OB History'!$B:$B,$A$43,'OB History'!Z:Z, 1)</f>
        <v>4</v>
      </c>
    </row>
    <row r="44" spans="1:36" x14ac:dyDescent="0.25">
      <c r="A44" s="2" t="s">
        <v>141</v>
      </c>
      <c r="B44" s="2" t="s">
        <v>79</v>
      </c>
      <c r="C44" s="2" t="s">
        <v>79</v>
      </c>
      <c r="D44" s="3">
        <v>1</v>
      </c>
      <c r="E44" s="3"/>
      <c r="F44" s="3"/>
      <c r="G44" s="3"/>
      <c r="H44" s="34">
        <f>SUMIFS('OB History'!C:C,'OB History'!B:B,A44)</f>
        <v>259</v>
      </c>
      <c r="I44" s="4">
        <f>AVERAGEIFS('OB History'!C:C,'OB History'!B:B,A44)</f>
        <v>16.1875</v>
      </c>
      <c r="J44" s="4">
        <f t="array" ref="J44">MEDIAN(IF('OB History'!B:B=A44, 'OB History'!C:C))</f>
        <v>16</v>
      </c>
      <c r="K44" s="35">
        <f t="array" ref="K44">MAX(IF('OB History'!B:B=A44, 'OB History'!C:C))</f>
        <v>33</v>
      </c>
      <c r="L44" s="34">
        <f>COUNTIFS('OB History'!B:B,A44,'OB History'!D:D, 1)</f>
        <v>6</v>
      </c>
      <c r="M44" s="2">
        <f>COUNTIFS('OB History'!B:B,A44,'OB History'!D:D, 0)</f>
        <v>10</v>
      </c>
      <c r="N44" s="88">
        <f>LOOKUP(2, 1/('OB History'!$B:$B=A44), 'OB History'!$AD:$AD)</f>
        <v>0.375</v>
      </c>
      <c r="O44" s="34">
        <f>SUMIFS('OB History'!F:F,'OB History'!B:B,A44)</f>
        <v>28</v>
      </c>
      <c r="P44" s="2">
        <f>SUMIFS('OB History'!E:E,'OB History'!B:B,A44)-O44</f>
        <v>36</v>
      </c>
      <c r="Q44" s="88">
        <f>LOOKUP(2, 1/('OB History'!$B:$B=A44), 'OB History'!$AB:$AB)</f>
        <v>0.44062499999999999</v>
      </c>
      <c r="R44" s="34">
        <f>SUMIFS('OB History'!H:H,'OB History'!B:B,'Old Bow v2'!A44)</f>
        <v>129</v>
      </c>
      <c r="S44" s="2">
        <f>SUMIFS('OB History'!G:G,'OB History'!B:B,'Old Bow v2'!A44)-R44</f>
        <v>138</v>
      </c>
      <c r="T44" s="88">
        <f>LOOKUP(2, 1/('OB History'!$B:$B=A44), 'OB History'!$AC:$AC)</f>
        <v>0.48500000000000004</v>
      </c>
      <c r="U44" s="2">
        <f>COUNTIFS('OB History'!$B:$B,$A$44,'OB History'!K:K, 1)</f>
        <v>3</v>
      </c>
      <c r="V44" s="2">
        <f>COUNTIFS('OB History'!$B:$B,$A$44,'OB History'!L:L, 1)</f>
        <v>3</v>
      </c>
      <c r="W44" s="2">
        <f>COUNTIFS('OB History'!$B:$B,$A$44,'OB History'!M:M, 1)</f>
        <v>0</v>
      </c>
      <c r="X44" s="2">
        <f>COUNTIFS('OB History'!$B:$B,$A$44,'OB History'!N:N, 1)</f>
        <v>4</v>
      </c>
      <c r="Y44" s="2">
        <f>COUNTIFS('OB History'!$B:$B,$A$44,'OB History'!O:O, 1)</f>
        <v>2</v>
      </c>
      <c r="Z44" s="2">
        <f>COUNTIFS('OB History'!$B:$B,$A$44,'OB History'!P:P, 1)</f>
        <v>1</v>
      </c>
      <c r="AA44" s="2">
        <f>COUNTIFS('OB History'!$B:$B,$A$44,'OB History'!Q:Q, 1)</f>
        <v>2</v>
      </c>
      <c r="AB44" s="2">
        <f>COUNTIFS('OB History'!$B:$B,$A$44,'OB History'!R:R, 1)</f>
        <v>1</v>
      </c>
      <c r="AC44" s="2">
        <f>COUNTIFS('OB History'!$B:$B,$A$44,'OB History'!S:S, 1)</f>
        <v>0</v>
      </c>
      <c r="AD44" s="2">
        <f>COUNTIFS('OB History'!$B:$B,$A$44,'OB History'!T:T, 1)</f>
        <v>1</v>
      </c>
      <c r="AE44" s="2">
        <f>COUNTIFS('OB History'!$B:$B,$A$44,'OB History'!U:U, 1)</f>
        <v>0</v>
      </c>
      <c r="AF44" s="2">
        <f>COUNTIFS('OB History'!$B:$B,$A$44,'OB History'!V:V, 1)</f>
        <v>0</v>
      </c>
      <c r="AG44" s="2">
        <f>COUNTIFS('OB History'!$B:$B,$A$44,'OB History'!W:W, 1)</f>
        <v>2</v>
      </c>
      <c r="AH44" s="2">
        <f>COUNTIFS('OB History'!$B:$B,$A$44,'OB History'!X:X, 1)</f>
        <v>3</v>
      </c>
      <c r="AI44" s="2">
        <f>COUNTIFS('OB History'!$B:$B,$A$44,'OB History'!Y:Y, 1)</f>
        <v>3</v>
      </c>
      <c r="AJ44" s="2">
        <f>COUNTIFS('OB History'!$B:$B,$A$44,'OB History'!Z:Z, 1)</f>
        <v>3</v>
      </c>
    </row>
    <row r="45" spans="1:36" x14ac:dyDescent="0.25">
      <c r="A45" s="2" t="s">
        <v>149</v>
      </c>
      <c r="B45" s="2" t="s">
        <v>79</v>
      </c>
      <c r="C45" s="2" t="s">
        <v>79</v>
      </c>
      <c r="D45" s="3"/>
      <c r="E45" s="3"/>
      <c r="F45" s="3"/>
      <c r="G45" s="3"/>
      <c r="H45" s="34">
        <f>SUMIFS('OB History'!C:C,'OB History'!B:B,A45)</f>
        <v>4</v>
      </c>
      <c r="I45" s="4">
        <f>AVERAGEIFS('OB History'!C:C,'OB History'!B:B,A45)</f>
        <v>4</v>
      </c>
      <c r="J45" s="4">
        <f t="array" ref="J45">MEDIAN(IF('OB History'!B:B=A45, 'OB History'!C:C))</f>
        <v>4</v>
      </c>
      <c r="K45" s="35">
        <f t="array" ref="K45">MAX(IF('OB History'!B:B=A45, 'OB History'!C:C))</f>
        <v>4</v>
      </c>
      <c r="L45" s="34">
        <f>COUNTIFS('OB History'!B:B,A45,'OB History'!D:D, 1)</f>
        <v>0</v>
      </c>
      <c r="M45" s="2">
        <f>COUNTIFS('OB History'!B:B,A45,'OB History'!D:D, 0)</f>
        <v>1</v>
      </c>
      <c r="N45" s="88">
        <f>LOOKUP(2, 1/('OB History'!$B:$B=A45), 'OB History'!$AD:$AD)</f>
        <v>0</v>
      </c>
      <c r="O45" s="34">
        <f>SUMIFS('OB History'!F:F,'OB History'!B:B,A45)</f>
        <v>2</v>
      </c>
      <c r="P45" s="2">
        <f>SUMIFS('OB History'!E:E,'OB History'!B:B,A45)-O45</f>
        <v>3</v>
      </c>
      <c r="Q45" s="88">
        <f>LOOKUP(2, 1/('OB History'!$B:$B=A45), 'OB History'!$AB:$AB)</f>
        <v>0.4</v>
      </c>
      <c r="R45" s="34">
        <f>SUMIFS('OB History'!H:H,'OB History'!B:B,'Old Bow v2'!A45)</f>
        <v>8</v>
      </c>
      <c r="S45" s="2">
        <f>SUMIFS('OB History'!G:G,'OB History'!B:B,'Old Bow v2'!A45)-R45</f>
        <v>10</v>
      </c>
      <c r="T45" s="88">
        <f>LOOKUP(2, 1/('OB History'!$B:$B=A45), 'OB History'!$AC:$AC)</f>
        <v>0.44</v>
      </c>
      <c r="U45" s="2">
        <f>COUNTIFS('OB History'!$B:$B,$A$45,'OB History'!K:K, 1)</f>
        <v>1</v>
      </c>
      <c r="V45" s="2">
        <f>COUNTIFS('OB History'!$B:$B,$A$45,'OB History'!L:L, 1)</f>
        <v>0</v>
      </c>
      <c r="W45" s="2">
        <f>COUNTIFS('OB History'!$B:$B,$A$45,'OB History'!M:M, 1)</f>
        <v>0</v>
      </c>
      <c r="X45" s="2">
        <f>COUNTIFS('OB History'!$B:$B,$A$45,'OB History'!N:N, 1)</f>
        <v>0</v>
      </c>
      <c r="Y45" s="2">
        <f>COUNTIFS('OB History'!$B:$B,$A$45,'OB History'!O:O, 1)</f>
        <v>0</v>
      </c>
      <c r="Z45" s="2">
        <f>COUNTIFS('OB History'!$B:$B,$A$45,'OB History'!P:P, 1)</f>
        <v>1</v>
      </c>
      <c r="AA45" s="2">
        <f>COUNTIFS('OB History'!$B:$B,$A$45,'OB History'!Q:Q, 1)</f>
        <v>0</v>
      </c>
      <c r="AB45" s="2">
        <f>COUNTIFS('OB History'!$B:$B,$A$45,'OB History'!R:R, 1)</f>
        <v>0</v>
      </c>
      <c r="AC45" s="2">
        <f>COUNTIFS('OB History'!$B:$B,$A$45,'OB History'!S:S, 1)</f>
        <v>0</v>
      </c>
      <c r="AD45" s="2">
        <f>COUNTIFS('OB History'!$B:$B,$A$45,'OB History'!T:T, 1)</f>
        <v>0</v>
      </c>
      <c r="AE45" s="2">
        <f>COUNTIFS('OB History'!$B:$B,$A$45,'OB History'!U:U, 1)</f>
        <v>0</v>
      </c>
      <c r="AF45" s="2">
        <f>COUNTIFS('OB History'!$B:$B,$A$45,'OB History'!V:V, 1)</f>
        <v>0</v>
      </c>
      <c r="AG45" s="2">
        <f>COUNTIFS('OB History'!$B:$B,$A$45,'OB History'!W:W, 1)</f>
        <v>0</v>
      </c>
      <c r="AH45" s="2">
        <f>COUNTIFS('OB History'!$B:$B,$A$45,'OB History'!X:X, 1)</f>
        <v>0</v>
      </c>
      <c r="AI45" s="2">
        <f>COUNTIFS('OB History'!$B:$B,$A$45,'OB History'!Y:Y, 1)</f>
        <v>0</v>
      </c>
      <c r="AJ45" s="2">
        <f>COUNTIFS('OB History'!$B:$B,$A$45,'OB History'!Z:Z, 1)</f>
        <v>0</v>
      </c>
    </row>
    <row r="46" spans="1:36" x14ac:dyDescent="0.25">
      <c r="A46" s="2" t="s">
        <v>40</v>
      </c>
      <c r="B46" s="2" t="s">
        <v>79</v>
      </c>
      <c r="C46" s="2" t="s">
        <v>79</v>
      </c>
      <c r="D46" s="3">
        <v>1</v>
      </c>
      <c r="E46" s="3"/>
      <c r="F46" s="3"/>
      <c r="G46" s="3"/>
      <c r="H46" s="34">
        <f>SUMIFS('OB History'!C:C,'OB History'!B:B,A46)</f>
        <v>342</v>
      </c>
      <c r="I46" s="4">
        <f>AVERAGEIFS('OB History'!C:C,'OB History'!B:B,A46)</f>
        <v>19</v>
      </c>
      <c r="J46" s="4">
        <f t="array" ref="J46">MEDIAN(IF('OB History'!B:B=A46, 'OB History'!C:C))</f>
        <v>17.5</v>
      </c>
      <c r="K46" s="35">
        <f t="array" ref="K46">MAX(IF('OB History'!B:B=A46, 'OB History'!C:C))</f>
        <v>40</v>
      </c>
      <c r="L46" s="34">
        <f>COUNTIFS('OB History'!B:B,A46,'OB History'!D:D, 1)</f>
        <v>8</v>
      </c>
      <c r="M46" s="2">
        <f>COUNTIFS('OB History'!B:B,A46,'OB History'!D:D, 0)</f>
        <v>10</v>
      </c>
      <c r="N46" s="88">
        <f>LOOKUP(2, 1/('OB History'!$B:$B=A46), 'OB History'!$AD:$AD)</f>
        <v>0.44444444444444442</v>
      </c>
      <c r="O46" s="34">
        <f>SUMIFS('OB History'!F:F,'OB History'!B:B,A46)</f>
        <v>37</v>
      </c>
      <c r="P46" s="2">
        <f>SUMIFS('OB History'!E:E,'OB History'!B:B,A46)-O46</f>
        <v>38</v>
      </c>
      <c r="Q46" s="88">
        <f>LOOKUP(2, 1/('OB History'!$B:$B=A46), 'OB History'!$AB:$AB)</f>
        <v>0.50277777777777777</v>
      </c>
      <c r="R46" s="34">
        <f>SUMIFS('OB History'!H:H,'OB History'!B:B,'Old Bow v2'!A46)</f>
        <v>146</v>
      </c>
      <c r="S46" s="2">
        <f>SUMIFS('OB History'!G:G,'OB History'!B:B,'Old Bow v2'!A46)-R46</f>
        <v>162</v>
      </c>
      <c r="T46" s="88">
        <f>LOOKUP(2, 1/('OB History'!$B:$B=A46), 'OB History'!$AC:$AC)</f>
        <v>0.47</v>
      </c>
      <c r="U46" s="2">
        <f>COUNTIFS('OB History'!$B:$B,$A$46,'OB History'!K:K, 1)</f>
        <v>4</v>
      </c>
      <c r="V46" s="2">
        <f>COUNTIFS('OB History'!$B:$B,$A$46,'OB History'!L:L, 1)</f>
        <v>2</v>
      </c>
      <c r="W46" s="2">
        <f>COUNTIFS('OB History'!$B:$B,$A$46,'OB History'!M:M, 1)</f>
        <v>4</v>
      </c>
      <c r="X46" s="2">
        <f>COUNTIFS('OB History'!$B:$B,$A$46,'OB History'!N:N, 1)</f>
        <v>3</v>
      </c>
      <c r="Y46" s="2">
        <f>COUNTIFS('OB History'!$B:$B,$A$46,'OB History'!O:O, 1)</f>
        <v>2</v>
      </c>
      <c r="Z46" s="2">
        <f>COUNTIFS('OB History'!$B:$B,$A$46,'OB History'!P:P, 1)</f>
        <v>2</v>
      </c>
      <c r="AA46" s="2">
        <f>COUNTIFS('OB History'!$B:$B,$A$46,'OB History'!Q:Q, 1)</f>
        <v>2</v>
      </c>
      <c r="AB46" s="2">
        <f>COUNTIFS('OB History'!$B:$B,$A$46,'OB History'!R:R, 1)</f>
        <v>0</v>
      </c>
      <c r="AC46" s="2">
        <f>COUNTIFS('OB History'!$B:$B,$A$46,'OB History'!S:S, 1)</f>
        <v>1</v>
      </c>
      <c r="AD46" s="2">
        <f>COUNTIFS('OB History'!$B:$B,$A$46,'OB History'!T:T, 1)</f>
        <v>0</v>
      </c>
      <c r="AE46" s="2">
        <f>COUNTIFS('OB History'!$B:$B,$A$46,'OB History'!U:U, 1)</f>
        <v>0</v>
      </c>
      <c r="AF46" s="2">
        <f>COUNTIFS('OB History'!$B:$B,$A$46,'OB History'!V:V, 1)</f>
        <v>0</v>
      </c>
      <c r="AG46" s="2">
        <f>COUNTIFS('OB History'!$B:$B,$A$46,'OB History'!W:W, 1)</f>
        <v>1</v>
      </c>
      <c r="AH46" s="2">
        <f>COUNTIFS('OB History'!$B:$B,$A$46,'OB History'!X:X, 1)</f>
        <v>6</v>
      </c>
      <c r="AI46" s="2">
        <f>COUNTIFS('OB History'!$B:$B,$A$46,'OB History'!Y:Y, 1)</f>
        <v>5</v>
      </c>
      <c r="AJ46" s="2">
        <f>COUNTIFS('OB History'!$B:$B,$A$46,'OB History'!Z:Z, 1)</f>
        <v>5</v>
      </c>
    </row>
    <row r="47" spans="1:36" x14ac:dyDescent="0.25">
      <c r="A47" s="2" t="s">
        <v>147</v>
      </c>
      <c r="B47" s="2" t="s">
        <v>79</v>
      </c>
      <c r="C47" s="2" t="s">
        <v>79</v>
      </c>
      <c r="D47" s="3"/>
      <c r="E47" s="3"/>
      <c r="F47" s="3"/>
      <c r="G47" s="3"/>
      <c r="H47" s="34">
        <f>SUMIFS('OB History'!C:C,'OB History'!B:B,A47)</f>
        <v>217</v>
      </c>
      <c r="I47" s="4">
        <f>AVERAGEIFS('OB History'!C:C,'OB History'!B:B,A47)</f>
        <v>18.083333333333332</v>
      </c>
      <c r="J47" s="4">
        <f t="array" ref="J47">MEDIAN(IF('OB History'!B:B=A47, 'OB History'!C:C))</f>
        <v>15.5</v>
      </c>
      <c r="K47" s="35">
        <f t="array" ref="K47">MAX(IF('OB History'!B:B=A47, 'OB History'!C:C))</f>
        <v>35</v>
      </c>
      <c r="L47" s="34">
        <f>COUNTIFS('OB History'!B:B,A47,'OB History'!D:D, 1)</f>
        <v>4</v>
      </c>
      <c r="M47" s="2">
        <f>COUNTIFS('OB History'!B:B,A47,'OB History'!D:D, 0)</f>
        <v>8</v>
      </c>
      <c r="N47" s="88">
        <f>LOOKUP(2, 1/('OB History'!$B:$B=A47), 'OB History'!$AD:$AD)</f>
        <v>0.33333333333333331</v>
      </c>
      <c r="O47" s="34">
        <f>SUMIFS('OB History'!F:F,'OB History'!B:B,A47)</f>
        <v>20</v>
      </c>
      <c r="P47" s="2">
        <f>SUMIFS('OB History'!E:E,'OB History'!B:B,A47)-O47</f>
        <v>28</v>
      </c>
      <c r="Q47" s="88">
        <f>LOOKUP(2, 1/('OB History'!$B:$B=A47), 'OB History'!$AB:$AB)</f>
        <v>0.39166666666666666</v>
      </c>
      <c r="R47" s="34">
        <f>SUMIFS('OB History'!H:H,'OB History'!B:B,'Old Bow v2'!A47)</f>
        <v>92</v>
      </c>
      <c r="S47" s="2">
        <f>SUMIFS('OB History'!G:G,'OB History'!B:B,'Old Bow v2'!A47)-R47</f>
        <v>106</v>
      </c>
      <c r="T47" s="88">
        <f>LOOKUP(2, 1/('OB History'!$B:$B=A47), 'OB History'!$AC:$AC)</f>
        <v>0.45083333333333342</v>
      </c>
      <c r="U47" s="2">
        <f>COUNTIFS('OB History'!$B:$B,$A$47,'OB History'!K:K, 1)</f>
        <v>4</v>
      </c>
      <c r="V47" s="2">
        <f>COUNTIFS('OB History'!$B:$B,$A$47,'OB History'!L:L, 1)</f>
        <v>1</v>
      </c>
      <c r="W47" s="2">
        <f>COUNTIFS('OB History'!$B:$B,$A$47,'OB History'!M:M, 1)</f>
        <v>2</v>
      </c>
      <c r="X47" s="2">
        <f>COUNTIFS('OB History'!$B:$B,$A$47,'OB History'!N:N, 1)</f>
        <v>2</v>
      </c>
      <c r="Y47" s="2">
        <f>COUNTIFS('OB History'!$B:$B,$A$47,'OB History'!O:O, 1)</f>
        <v>1</v>
      </c>
      <c r="Z47" s="2">
        <f>COUNTIFS('OB History'!$B:$B,$A$47,'OB History'!P:P, 1)</f>
        <v>3</v>
      </c>
      <c r="AA47" s="2">
        <f>COUNTIFS('OB History'!$B:$B,$A$47,'OB History'!Q:Q, 1)</f>
        <v>1</v>
      </c>
      <c r="AB47" s="2">
        <f>COUNTIFS('OB History'!$B:$B,$A$47,'OB History'!R:R, 1)</f>
        <v>0</v>
      </c>
      <c r="AC47" s="2">
        <f>COUNTIFS('OB History'!$B:$B,$A$47,'OB History'!S:S, 1)</f>
        <v>1</v>
      </c>
      <c r="AD47" s="2">
        <f>COUNTIFS('OB History'!$B:$B,$A$47,'OB History'!T:T, 1)</f>
        <v>0</v>
      </c>
      <c r="AE47" s="2">
        <f>COUNTIFS('OB History'!$B:$B,$A$47,'OB History'!U:U, 1)</f>
        <v>0</v>
      </c>
      <c r="AF47" s="2">
        <f>COUNTIFS('OB History'!$B:$B,$A$47,'OB History'!V:V, 1)</f>
        <v>0</v>
      </c>
      <c r="AG47" s="2">
        <f>COUNTIFS('OB History'!$B:$B,$A$47,'OB History'!W:W, 1)</f>
        <v>0</v>
      </c>
      <c r="AH47" s="2">
        <f>COUNTIFS('OB History'!$B:$B,$A$47,'OB History'!X:X, 1)</f>
        <v>2</v>
      </c>
      <c r="AI47" s="2">
        <f>COUNTIFS('OB History'!$B:$B,$A$47,'OB History'!Y:Y, 1)</f>
        <v>2</v>
      </c>
      <c r="AJ47" s="2">
        <f>COUNTIFS('OB History'!$B:$B,$A$47,'OB History'!Z:Z, 1)</f>
        <v>1</v>
      </c>
    </row>
    <row r="48" spans="1:36" ht="14.25" customHeight="1" x14ac:dyDescent="0.25">
      <c r="A48" s="2" t="s">
        <v>17</v>
      </c>
      <c r="B48" s="2" t="s">
        <v>79</v>
      </c>
      <c r="C48" s="2" t="s">
        <v>79</v>
      </c>
      <c r="D48" s="3">
        <v>17</v>
      </c>
      <c r="E48" s="3">
        <v>3</v>
      </c>
      <c r="F48" s="3"/>
      <c r="G48" s="3"/>
      <c r="H48" s="34">
        <f>SUMIFS('OB History'!C:C,'OB History'!B:B,A48)</f>
        <v>1549</v>
      </c>
      <c r="I48" s="4">
        <f>AVERAGEIFS('OB History'!C:C,'OB History'!B:B,A48)</f>
        <v>25.393442622950818</v>
      </c>
      <c r="J48" s="4">
        <f t="array" ref="J48">MEDIAN(IF('OB History'!B:B=A48, 'OB History'!C:C))</f>
        <v>23</v>
      </c>
      <c r="K48" s="35">
        <f t="array" ref="K48">MAX(IF('OB History'!B:B=A48, 'OB History'!C:C))</f>
        <v>58</v>
      </c>
      <c r="L48" s="34">
        <f>COUNTIFS('OB History'!B:B,A48,'OB History'!D:D, 1)</f>
        <v>24</v>
      </c>
      <c r="M48" s="2">
        <f>COUNTIFS('OB History'!B:B,A48,'OB History'!D:D, 0)</f>
        <v>37</v>
      </c>
      <c r="N48" s="88">
        <f>LOOKUP(2, 1/('OB History'!$B:$B=A48), 'OB History'!$AD:$AD)</f>
        <v>0.39344262295081966</v>
      </c>
      <c r="O48" s="34">
        <f>SUMIFS('OB History'!F:F,'OB History'!B:B,A48)</f>
        <v>114</v>
      </c>
      <c r="P48" s="2">
        <f>SUMIFS('OB History'!E:E,'OB History'!B:B,A48)-O48</f>
        <v>134</v>
      </c>
      <c r="Q48" s="88">
        <f>LOOKUP(2, 1/('OB History'!$B:$B=A48), 'OB History'!$AB:$AB)</f>
        <v>0.45983606557377055</v>
      </c>
      <c r="R48" s="34">
        <f>SUMIFS('OB History'!H:H,'OB History'!B:B,'Old Bow v2'!A48)</f>
        <v>502</v>
      </c>
      <c r="S48" s="2">
        <f>SUMIFS('OB History'!G:G,'OB History'!B:B,'Old Bow v2'!A48)-R48</f>
        <v>523</v>
      </c>
      <c r="T48" s="88">
        <f>LOOKUP(2, 1/('OB History'!$B:$B=A48), 'OB History'!$AC:$AC)</f>
        <v>0.49360655737704895</v>
      </c>
      <c r="U48" s="2">
        <f>COUNTIFS('OB History'!$B:$B,$A$48,'OB History'!K:K, 1)</f>
        <v>7</v>
      </c>
      <c r="V48" s="2">
        <f>COUNTIFS('OB History'!$B:$B,$A$48,'OB History'!L:L, 1)</f>
        <v>9</v>
      </c>
      <c r="W48" s="2">
        <f>COUNTIFS('OB History'!$B:$B,$A$48,'OB History'!M:M, 1)</f>
        <v>3</v>
      </c>
      <c r="X48" s="2">
        <f>COUNTIFS('OB History'!$B:$B,$A$48,'OB History'!N:N, 1)</f>
        <v>11</v>
      </c>
      <c r="Y48" s="2">
        <f>COUNTIFS('OB History'!$B:$B,$A$48,'OB History'!O:O, 1)</f>
        <v>1</v>
      </c>
      <c r="Z48" s="2">
        <f>COUNTIFS('OB History'!$B:$B,$A$48,'OB History'!P:P, 1)</f>
        <v>11</v>
      </c>
      <c r="AA48" s="2">
        <f>COUNTIFS('OB History'!$B:$B,$A$48,'OB History'!Q:Q, 1)</f>
        <v>5</v>
      </c>
      <c r="AB48" s="2">
        <f>COUNTIFS('OB History'!$B:$B,$A$48,'OB History'!R:R, 1)</f>
        <v>6</v>
      </c>
      <c r="AC48" s="2">
        <f>COUNTIFS('OB History'!$B:$B,$A$48,'OB History'!S:S, 1)</f>
        <v>1</v>
      </c>
      <c r="AD48" s="2">
        <f>COUNTIFS('OB History'!$B:$B,$A$48,'OB History'!T:T, 1)</f>
        <v>2</v>
      </c>
      <c r="AE48" s="2">
        <f>COUNTIFS('OB History'!$B:$B,$A$48,'OB History'!U:U, 1)</f>
        <v>1</v>
      </c>
      <c r="AF48" s="2">
        <f>COUNTIFS('OB History'!$B:$B,$A$48,'OB History'!V:V, 1)</f>
        <v>3</v>
      </c>
      <c r="AG48" s="2">
        <f>COUNTIFS('OB History'!$B:$B,$A$48,'OB History'!W:W, 1)</f>
        <v>7</v>
      </c>
      <c r="AH48" s="2">
        <f>COUNTIFS('OB History'!$B:$B,$A$48,'OB History'!X:X, 1)</f>
        <v>22</v>
      </c>
      <c r="AI48" s="2">
        <f>COUNTIFS('OB History'!$B:$B,$A$48,'OB History'!Y:Y, 1)</f>
        <v>8</v>
      </c>
      <c r="AJ48" s="2">
        <f>COUNTIFS('OB History'!$B:$B,$A$48,'OB History'!Z:Z, 1)</f>
        <v>17</v>
      </c>
    </row>
    <row r="49" spans="1:36" x14ac:dyDescent="0.25">
      <c r="A49" s="2" t="s">
        <v>155</v>
      </c>
      <c r="B49" s="6" t="s">
        <v>60</v>
      </c>
      <c r="C49" s="2" t="s">
        <v>79</v>
      </c>
      <c r="D49" s="3">
        <v>8</v>
      </c>
      <c r="E49" s="3">
        <v>1</v>
      </c>
      <c r="F49" s="3"/>
      <c r="G49" s="3"/>
      <c r="H49" s="34">
        <f>SUMIFS('OB History'!C:C,'OB History'!B:B,A49)</f>
        <v>616</v>
      </c>
      <c r="I49" s="4">
        <f>AVERAGEIFS('OB History'!C:C,'OB History'!B:B,A49)</f>
        <v>18.117647058823529</v>
      </c>
      <c r="J49" s="4">
        <f t="array" ref="J49">MEDIAN(IF('OB History'!B:B=A49, 'OB History'!C:C))</f>
        <v>17.5</v>
      </c>
      <c r="K49" s="35">
        <f t="array" ref="K49">MAX(IF('OB History'!B:B=A49, 'OB History'!C:C))</f>
        <v>43</v>
      </c>
      <c r="L49" s="34">
        <f>COUNTIFS('OB History'!B:B,A49,'OB History'!D:D, 1)</f>
        <v>13</v>
      </c>
      <c r="M49" s="2">
        <f>COUNTIFS('OB History'!B:B,A49,'OB History'!D:D, 0)</f>
        <v>21</v>
      </c>
      <c r="N49" s="88">
        <f>LOOKUP(2, 1/('OB History'!$B:$B=A49), 'OB History'!$AD:$AD)</f>
        <v>0.38235294117647056</v>
      </c>
      <c r="O49" s="34">
        <f>SUMIFS('OB History'!F:F,'OB History'!B:B,A49)</f>
        <v>61</v>
      </c>
      <c r="P49" s="2">
        <f>SUMIFS('OB History'!E:E,'OB History'!B:B,A49)-O49</f>
        <v>81</v>
      </c>
      <c r="Q49" s="88">
        <f>LOOKUP(2, 1/('OB History'!$B:$B=A49), 'OB History'!$AB:$AB)</f>
        <v>0.41029411764705881</v>
      </c>
      <c r="R49" s="34">
        <f>SUMIFS('OB History'!H:H,'OB History'!B:B,'Old Bow v2'!A49)</f>
        <v>283</v>
      </c>
      <c r="S49" s="2">
        <f>SUMIFS('OB History'!G:G,'OB History'!B:B,'Old Bow v2'!A49)-R49</f>
        <v>302</v>
      </c>
      <c r="T49" s="88">
        <f>LOOKUP(2, 1/('OB History'!$B:$B=A49), 'OB History'!$AC:$AC)</f>
        <v>0.47264705882352942</v>
      </c>
      <c r="U49" s="2">
        <f>COUNTIFS('OB History'!$B:$B,$A$49,'OB History'!K:K, 1)</f>
        <v>4</v>
      </c>
      <c r="V49" s="2">
        <f>COUNTIFS('OB History'!$B:$B,$A$49,'OB History'!L:L, 1)</f>
        <v>4</v>
      </c>
      <c r="W49" s="2">
        <f>COUNTIFS('OB History'!$B:$B,$A$49,'OB History'!M:M, 1)</f>
        <v>3</v>
      </c>
      <c r="X49" s="2">
        <f>COUNTIFS('OB History'!$B:$B,$A$49,'OB History'!N:N, 1)</f>
        <v>10</v>
      </c>
      <c r="Y49" s="2">
        <f>COUNTIFS('OB History'!$B:$B,$A$49,'OB History'!O:O, 1)</f>
        <v>4</v>
      </c>
      <c r="Z49" s="2">
        <f>COUNTIFS('OB History'!$B:$B,$A$49,'OB History'!P:P, 1)</f>
        <v>7</v>
      </c>
      <c r="AA49" s="2">
        <f>COUNTIFS('OB History'!$B:$B,$A$49,'OB History'!Q:Q, 1)</f>
        <v>1</v>
      </c>
      <c r="AB49" s="2">
        <f>COUNTIFS('OB History'!$B:$B,$A$49,'OB History'!R:R, 1)</f>
        <v>2</v>
      </c>
      <c r="AC49" s="2">
        <f>COUNTIFS('OB History'!$B:$B,$A$49,'OB History'!S:S, 1)</f>
        <v>1</v>
      </c>
      <c r="AD49" s="2">
        <f>COUNTIFS('OB History'!$B:$B,$A$49,'OB History'!T:T, 1)</f>
        <v>3</v>
      </c>
      <c r="AE49" s="2">
        <f>COUNTIFS('OB History'!$B:$B,$A$49,'OB History'!U:U, 1)</f>
        <v>0</v>
      </c>
      <c r="AF49" s="2">
        <f>COUNTIFS('OB History'!$B:$B,$A$49,'OB History'!V:V, 1)</f>
        <v>1</v>
      </c>
      <c r="AG49" s="2">
        <f>COUNTIFS('OB History'!$B:$B,$A$49,'OB History'!W:W, 1)</f>
        <v>5</v>
      </c>
      <c r="AH49" s="2">
        <f>COUNTIFS('OB History'!$B:$B,$A$49,'OB History'!X:X, 1)</f>
        <v>7</v>
      </c>
      <c r="AI49" s="2">
        <f>COUNTIFS('OB History'!$B:$B,$A$49,'OB History'!Y:Y, 1)</f>
        <v>5</v>
      </c>
      <c r="AJ49" s="2">
        <f>COUNTIFS('OB History'!$B:$B,$A$49,'OB History'!Z:Z, 1)</f>
        <v>4</v>
      </c>
    </row>
    <row r="50" spans="1:36" x14ac:dyDescent="0.25">
      <c r="A50" s="2" t="s">
        <v>6</v>
      </c>
      <c r="B50" s="2" t="s">
        <v>60</v>
      </c>
      <c r="C50" s="2" t="s">
        <v>79</v>
      </c>
      <c r="D50" s="3">
        <v>1</v>
      </c>
      <c r="E50" s="3">
        <v>1</v>
      </c>
      <c r="F50" s="3"/>
      <c r="G50" s="3"/>
      <c r="H50" s="34">
        <f>SUMIFS('OB History'!C:C,'OB History'!B:B,A50)</f>
        <v>794</v>
      </c>
      <c r="I50" s="4">
        <f>AVERAGEIFS('OB History'!C:C,'OB History'!B:B,A50)</f>
        <v>24.060606060606062</v>
      </c>
      <c r="J50" s="4">
        <f t="array" ref="J50">MEDIAN(IF('OB History'!B:B=A50, 'OB History'!C:C))</f>
        <v>19</v>
      </c>
      <c r="K50" s="35">
        <f t="array" ref="K50">MAX(IF('OB History'!B:B=A50, 'OB History'!C:C))</f>
        <v>66</v>
      </c>
      <c r="L50" s="34">
        <f>COUNTIFS('OB History'!B:B,A50,'OB History'!D:D, 1)</f>
        <v>23</v>
      </c>
      <c r="M50" s="2">
        <f>COUNTIFS('OB History'!B:B,A50,'OB History'!D:D, 0)</f>
        <v>10</v>
      </c>
      <c r="N50" s="88">
        <f>LOOKUP(2, 1/('OB History'!$B:$B=A50), 'OB History'!$AD:$AD)</f>
        <v>0.69696969696969702</v>
      </c>
      <c r="O50" s="34">
        <f>SUMIFS('OB History'!F:F,'OB History'!B:B,A50)</f>
        <v>81</v>
      </c>
      <c r="P50" s="2">
        <f>SUMIFS('OB History'!E:E,'OB History'!B:B,A50)-O50</f>
        <v>52</v>
      </c>
      <c r="Q50" s="88">
        <f>LOOKUP(2, 1/('OB History'!$B:$B=A50), 'OB History'!$AB:$AB)</f>
        <v>0.63030303030303036</v>
      </c>
      <c r="R50" s="34">
        <f>SUMIFS('OB History'!H:H,'OB History'!B:B,'Old Bow v2'!A50)</f>
        <v>310</v>
      </c>
      <c r="S50" s="2">
        <f>SUMIFS('OB History'!G:G,'OB History'!B:B,'Old Bow v2'!A50)-R50</f>
        <v>250</v>
      </c>
      <c r="T50" s="88">
        <f>LOOKUP(2, 1/('OB History'!$B:$B=A50), 'OB History'!$AC:$AC)</f>
        <v>0.56333333333333335</v>
      </c>
      <c r="U50" s="2">
        <f>COUNTIFS('OB History'!$B:$B,$A$50,'OB History'!K:K, 1)</f>
        <v>3</v>
      </c>
      <c r="V50" s="2">
        <f>COUNTIFS('OB History'!$B:$B,$A$50,'OB History'!L:L, 1)</f>
        <v>8</v>
      </c>
      <c r="W50" s="2">
        <f>COUNTIFS('OB History'!$B:$B,$A$50,'OB History'!M:M, 1)</f>
        <v>8</v>
      </c>
      <c r="X50" s="2">
        <f>COUNTIFS('OB History'!$B:$B,$A$50,'OB History'!N:N, 1)</f>
        <v>6</v>
      </c>
      <c r="Y50" s="2">
        <f>COUNTIFS('OB History'!$B:$B,$A$50,'OB History'!O:O, 1)</f>
        <v>3</v>
      </c>
      <c r="Z50" s="2">
        <f>COUNTIFS('OB History'!$B:$B,$A$50,'OB History'!P:P, 1)</f>
        <v>9</v>
      </c>
      <c r="AA50" s="2">
        <f>COUNTIFS('OB History'!$B:$B,$A$50,'OB History'!Q:Q, 1)</f>
        <v>4</v>
      </c>
      <c r="AB50" s="2">
        <f>COUNTIFS('OB History'!$B:$B,$A$50,'OB History'!R:R, 1)</f>
        <v>2</v>
      </c>
      <c r="AC50" s="2">
        <f>COUNTIFS('OB History'!$B:$B,$A$50,'OB History'!S:S, 1)</f>
        <v>1</v>
      </c>
      <c r="AD50" s="2">
        <f>COUNTIFS('OB History'!$B:$B,$A$50,'OB History'!T:T, 1)</f>
        <v>3</v>
      </c>
      <c r="AE50" s="2">
        <f>COUNTIFS('OB History'!$B:$B,$A$50,'OB History'!U:U, 1)</f>
        <v>0</v>
      </c>
      <c r="AF50" s="2">
        <f>COUNTIFS('OB History'!$B:$B,$A$50,'OB History'!V:V, 1)</f>
        <v>1</v>
      </c>
      <c r="AG50" s="2">
        <f>COUNTIFS('OB History'!$B:$B,$A$50,'OB History'!W:W, 1)</f>
        <v>7</v>
      </c>
      <c r="AH50" s="2">
        <f>COUNTIFS('OB History'!$B:$B,$A$50,'OB History'!X:X, 1)</f>
        <v>10</v>
      </c>
      <c r="AI50" s="2">
        <f>COUNTIFS('OB History'!$B:$B,$A$50,'OB History'!Y:Y, 1)</f>
        <v>6</v>
      </c>
      <c r="AJ50" s="2">
        <f>COUNTIFS('OB History'!$B:$B,$A$50,'OB History'!Z:Z, 1)</f>
        <v>10</v>
      </c>
    </row>
    <row r="51" spans="1:36" x14ac:dyDescent="0.25">
      <c r="A51" s="2" t="s">
        <v>18</v>
      </c>
      <c r="B51" s="6" t="s">
        <v>60</v>
      </c>
      <c r="C51" s="2" t="s">
        <v>79</v>
      </c>
      <c r="D51" s="3">
        <v>6</v>
      </c>
      <c r="E51" s="3">
        <v>3</v>
      </c>
      <c r="F51" s="3"/>
      <c r="G51" s="3">
        <v>1</v>
      </c>
      <c r="H51" s="34">
        <f>SUMIFS('OB History'!C:C,'OB History'!B:B,A51)</f>
        <v>968</v>
      </c>
      <c r="I51" s="4">
        <f>AVERAGEIFS('OB History'!C:C,'OB History'!B:B,A51)</f>
        <v>26.162162162162161</v>
      </c>
      <c r="J51" s="4">
        <f t="array" ref="J51">MEDIAN(IF('OB History'!B:B=A51, 'OB History'!C:C))</f>
        <v>25</v>
      </c>
      <c r="K51" s="35">
        <f t="array" ref="K51">MAX(IF('OB History'!B:B=A51, 'OB History'!C:C))</f>
        <v>58</v>
      </c>
      <c r="L51" s="34">
        <f>COUNTIFS('OB History'!B:B,A51,'OB History'!D:D, 1)</f>
        <v>18</v>
      </c>
      <c r="M51" s="2">
        <f>COUNTIFS('OB History'!B:B,A51,'OB History'!D:D, 0)</f>
        <v>19</v>
      </c>
      <c r="N51" s="88">
        <f>LOOKUP(2, 1/('OB History'!$B:$B=A51), 'OB History'!$AD:$AD)</f>
        <v>0.48648648648648651</v>
      </c>
      <c r="O51" s="34">
        <f>SUMIFS('OB History'!F:F,'OB History'!B:B,A51)</f>
        <v>75</v>
      </c>
      <c r="P51" s="2">
        <f>SUMIFS('OB History'!E:E,'OB History'!B:B,A51)-O51</f>
        <v>78</v>
      </c>
      <c r="Q51" s="88">
        <f>LOOKUP(2, 1/('OB History'!$B:$B=A51), 'OB History'!$AB:$AB)</f>
        <v>0.48108108108108111</v>
      </c>
      <c r="R51" s="34">
        <f>SUMIFS('OB History'!H:H,'OB History'!B:B,'Old Bow v2'!A51)</f>
        <v>314</v>
      </c>
      <c r="S51" s="2">
        <f>SUMIFS('OB History'!G:G,'OB History'!B:B,'Old Bow v2'!A51)-R51</f>
        <v>323</v>
      </c>
      <c r="T51" s="88">
        <f>LOOKUP(2, 1/('OB History'!$B:$B=A51), 'OB History'!$AC:$AC)</f>
        <v>0.49054054054054053</v>
      </c>
      <c r="U51" s="2">
        <f>COUNTIFS('OB History'!$B:$B,$A$51,'OB History'!K:K, 1)</f>
        <v>6</v>
      </c>
      <c r="V51" s="2">
        <f>COUNTIFS('OB History'!$B:$B,$A$51,'OB History'!L:L, 1)</f>
        <v>3</v>
      </c>
      <c r="W51" s="2">
        <f>COUNTIFS('OB History'!$B:$B,$A$51,'OB History'!M:M, 1)</f>
        <v>2</v>
      </c>
      <c r="X51" s="2">
        <f>COUNTIFS('OB History'!$B:$B,$A$51,'OB History'!N:N, 1)</f>
        <v>12</v>
      </c>
      <c r="Y51" s="2">
        <f>COUNTIFS('OB History'!$B:$B,$A$51,'OB History'!O:O, 1)</f>
        <v>3</v>
      </c>
      <c r="Z51" s="2">
        <f>COUNTIFS('OB History'!$B:$B,$A$51,'OB History'!P:P, 1)</f>
        <v>8</v>
      </c>
      <c r="AA51" s="2">
        <f>COUNTIFS('OB History'!$B:$B,$A$51,'OB History'!Q:Q, 1)</f>
        <v>5</v>
      </c>
      <c r="AB51" s="2">
        <f>COUNTIFS('OB History'!$B:$B,$A$51,'OB History'!R:R, 1)</f>
        <v>4</v>
      </c>
      <c r="AC51" s="2">
        <f>COUNTIFS('OB History'!$B:$B,$A$51,'OB History'!S:S, 1)</f>
        <v>0</v>
      </c>
      <c r="AD51" s="2">
        <f>COUNTIFS('OB History'!$B:$B,$A$51,'OB History'!T:T, 1)</f>
        <v>1</v>
      </c>
      <c r="AE51" s="2">
        <f>COUNTIFS('OB History'!$B:$B,$A$51,'OB History'!U:U, 1)</f>
        <v>1</v>
      </c>
      <c r="AF51" s="2">
        <f>COUNTIFS('OB History'!$B:$B,$A$51,'OB History'!V:V, 1)</f>
        <v>0</v>
      </c>
      <c r="AG51" s="2">
        <f>COUNTIFS('OB History'!$B:$B,$A$51,'OB History'!W:W, 1)</f>
        <v>8</v>
      </c>
      <c r="AH51" s="2">
        <f>COUNTIFS('OB History'!$B:$B,$A$51,'OB History'!X:X, 1)</f>
        <v>9</v>
      </c>
      <c r="AI51" s="2">
        <f>COUNTIFS('OB History'!$B:$B,$A$51,'OB History'!Y:Y, 1)</f>
        <v>4</v>
      </c>
      <c r="AJ51" s="2">
        <f>COUNTIFS('OB History'!$B:$B,$A$51,'OB History'!Z:Z, 1)</f>
        <v>9</v>
      </c>
    </row>
    <row r="52" spans="1:36" x14ac:dyDescent="0.25">
      <c r="A52" s="2" t="s">
        <v>113</v>
      </c>
      <c r="B52" s="2" t="s">
        <v>79</v>
      </c>
      <c r="C52" s="2" t="s">
        <v>79</v>
      </c>
      <c r="D52" s="3">
        <v>1</v>
      </c>
      <c r="E52" s="3"/>
      <c r="F52" s="3"/>
      <c r="G52" s="3"/>
      <c r="H52" s="34">
        <f>SUMIFS('OB History'!C:C,'OB History'!B:B,A52)</f>
        <v>321</v>
      </c>
      <c r="I52" s="4">
        <f>AVERAGEIFS('OB History'!C:C,'OB History'!B:B,A52)</f>
        <v>20.0625</v>
      </c>
      <c r="J52" s="4">
        <f t="array" ref="J52">MEDIAN(IF('OB History'!B:B=A52, 'OB History'!C:C))</f>
        <v>16</v>
      </c>
      <c r="K52" s="35">
        <f t="array" ref="K52">MAX(IF('OB History'!B:B=A52, 'OB History'!C:C))</f>
        <v>50</v>
      </c>
      <c r="L52" s="34">
        <f>COUNTIFS('OB History'!B:B,A52,'OB History'!D:D, 1)</f>
        <v>11</v>
      </c>
      <c r="M52" s="2">
        <f>COUNTIFS('OB History'!B:B,A52,'OB History'!D:D, 0)</f>
        <v>5</v>
      </c>
      <c r="N52" s="88">
        <f>LOOKUP(2, 1/('OB History'!$B:$B=A52), 'OB History'!$AD:$AD)</f>
        <v>0.6875</v>
      </c>
      <c r="O52" s="34">
        <f>SUMIFS('OB History'!F:F,'OB History'!B:B,A52)</f>
        <v>36</v>
      </c>
      <c r="P52" s="2">
        <f>SUMIFS('OB History'!E:E,'OB History'!B:B,A52)-O52</f>
        <v>25</v>
      </c>
      <c r="Q52" s="88">
        <f>LOOKUP(2, 1/('OB History'!$B:$B=A52), 'OB History'!$AB:$AB)</f>
        <v>0.59062500000000007</v>
      </c>
      <c r="R52" s="34">
        <f>SUMIFS('OB History'!H:H,'OB History'!B:B,'Old Bow v2'!A52)</f>
        <v>135</v>
      </c>
      <c r="S52" s="2">
        <f>SUMIFS('OB History'!G:G,'OB History'!B:B,'Old Bow v2'!A52)-R52</f>
        <v>119</v>
      </c>
      <c r="T52" s="88">
        <f>LOOKUP(2, 1/('OB History'!$B:$B=A52), 'OB History'!$AC:$AC)</f>
        <v>0.52687499999999987</v>
      </c>
      <c r="U52" s="2">
        <f>COUNTIFS('OB History'!$B:$B,$A$52,'OB History'!K:K, 1)</f>
        <v>0</v>
      </c>
      <c r="V52" s="2">
        <f>COUNTIFS('OB History'!$B:$B,$A$52,'OB History'!L:L, 1)</f>
        <v>6</v>
      </c>
      <c r="W52" s="2">
        <f>COUNTIFS('OB History'!$B:$B,$A$52,'OB History'!M:M, 1)</f>
        <v>4</v>
      </c>
      <c r="X52" s="2">
        <f>COUNTIFS('OB History'!$B:$B,$A$52,'OB History'!N:N, 1)</f>
        <v>4</v>
      </c>
      <c r="Y52" s="2">
        <f>COUNTIFS('OB History'!$B:$B,$A$52,'OB History'!O:O, 1)</f>
        <v>1</v>
      </c>
      <c r="Z52" s="2">
        <f>COUNTIFS('OB History'!$B:$B,$A$52,'OB History'!P:P, 1)</f>
        <v>2</v>
      </c>
      <c r="AA52" s="2">
        <f>COUNTIFS('OB History'!$B:$B,$A$52,'OB History'!Q:Q, 1)</f>
        <v>2</v>
      </c>
      <c r="AB52" s="2">
        <f>COUNTIFS('OB History'!$B:$B,$A$52,'OB History'!R:R, 1)</f>
        <v>1</v>
      </c>
      <c r="AC52" s="2">
        <f>COUNTIFS('OB History'!$B:$B,$A$52,'OB History'!S:S, 1)</f>
        <v>0</v>
      </c>
      <c r="AD52" s="2">
        <f>COUNTIFS('OB History'!$B:$B,$A$52,'OB History'!T:T, 1)</f>
        <v>0</v>
      </c>
      <c r="AE52" s="2">
        <f>COUNTIFS('OB History'!$B:$B,$A$52,'OB History'!U:U, 1)</f>
        <v>0</v>
      </c>
      <c r="AF52" s="2">
        <f>COUNTIFS('OB History'!$B:$B,$A$52,'OB History'!V:V, 1)</f>
        <v>1</v>
      </c>
      <c r="AG52" s="2">
        <f>COUNTIFS('OB History'!$B:$B,$A$52,'OB History'!W:W, 1)</f>
        <v>2</v>
      </c>
      <c r="AH52" s="2">
        <f>COUNTIFS('OB History'!$B:$B,$A$52,'OB History'!X:X, 1)</f>
        <v>5</v>
      </c>
      <c r="AI52" s="2">
        <f>COUNTIFS('OB History'!$B:$B,$A$52,'OB History'!Y:Y, 1)</f>
        <v>3</v>
      </c>
      <c r="AJ52" s="2">
        <f>COUNTIFS('OB History'!$B:$B,$A$52,'OB History'!Z:Z, 1)</f>
        <v>5</v>
      </c>
    </row>
    <row r="53" spans="1:36" x14ac:dyDescent="0.25">
      <c r="A53" s="2" t="s">
        <v>169</v>
      </c>
      <c r="B53" s="2" t="s">
        <v>79</v>
      </c>
      <c r="C53" s="2" t="s">
        <v>79</v>
      </c>
      <c r="D53" s="3"/>
      <c r="E53" s="3"/>
      <c r="F53" s="3"/>
      <c r="G53" s="3"/>
      <c r="H53" s="34">
        <f>SUMIFS('OB History'!C:C,'OB History'!B:B,A53)</f>
        <v>2</v>
      </c>
      <c r="I53" s="4">
        <f>AVERAGEIFS('OB History'!C:C,'OB History'!B:B,A53)</f>
        <v>2</v>
      </c>
      <c r="J53" s="4">
        <f t="array" ref="J53">MEDIAN(IF('OB History'!B:B=A53, 'OB History'!C:C))</f>
        <v>2</v>
      </c>
      <c r="K53" s="35">
        <f t="array" ref="K53">MAX(IF('OB History'!B:B=A53, 'OB History'!C:C))</f>
        <v>2</v>
      </c>
      <c r="L53" s="34">
        <f>COUNTIFS('OB History'!B:B,A53,'OB History'!D:D, 1)</f>
        <v>0</v>
      </c>
      <c r="M53" s="2">
        <f>COUNTIFS('OB History'!B:B,A53,'OB History'!D:D, 0)</f>
        <v>1</v>
      </c>
      <c r="N53" s="88">
        <f>LOOKUP(2, 1/('OB History'!$B:$B=A53), 'OB History'!$AD:$AD)</f>
        <v>0</v>
      </c>
      <c r="O53" s="34">
        <f>SUMIFS('OB History'!F:F,'OB History'!B:B,A53)</f>
        <v>2</v>
      </c>
      <c r="P53" s="2">
        <f>SUMIFS('OB History'!E:E,'OB History'!B:B,A53)-O53</f>
        <v>3</v>
      </c>
      <c r="Q53" s="88">
        <f>LOOKUP(2, 1/('OB History'!$B:$B=A53), 'OB History'!$AB:$AB)</f>
        <v>0.4</v>
      </c>
      <c r="R53" s="34">
        <f>SUMIFS('OB History'!H:H,'OB History'!B:B,'Old Bow v2'!A53)</f>
        <v>6</v>
      </c>
      <c r="S53" s="2">
        <f>SUMIFS('OB History'!G:G,'OB History'!B:B,'Old Bow v2'!A53)-R53</f>
        <v>14</v>
      </c>
      <c r="T53" s="88">
        <f>LOOKUP(2, 1/('OB History'!$B:$B=A53), 'OB History'!$AC:$AC)</f>
        <v>0.3</v>
      </c>
      <c r="U53" s="2">
        <f>COUNTIFS('OB History'!$B:$B,$A$53,'OB History'!K:K, 1)</f>
        <v>0</v>
      </c>
      <c r="V53" s="2">
        <f>COUNTIFS('OB History'!$B:$B,$A$53,'OB History'!L:L, 1)</f>
        <v>0</v>
      </c>
      <c r="W53" s="2">
        <f>COUNTIFS('OB History'!$B:$B,$A$53,'OB History'!M:M, 1)</f>
        <v>0</v>
      </c>
      <c r="X53" s="2">
        <f>COUNTIFS('OB History'!$B:$B,$A$53,'OB History'!N:N, 1)</f>
        <v>0</v>
      </c>
      <c r="Y53" s="2">
        <f>COUNTIFS('OB History'!$B:$B,$A$53,'OB History'!O:O, 1)</f>
        <v>0</v>
      </c>
      <c r="Z53" s="2">
        <f>COUNTIFS('OB History'!$B:$B,$A$53,'OB History'!P:P, 1)</f>
        <v>0</v>
      </c>
      <c r="AA53" s="2">
        <f>COUNTIFS('OB History'!$B:$B,$A$53,'OB History'!Q:Q, 1)</f>
        <v>0</v>
      </c>
      <c r="AB53" s="2">
        <f>COUNTIFS('OB History'!$B:$B,$A$53,'OB History'!R:R, 1)</f>
        <v>0</v>
      </c>
      <c r="AC53" s="2">
        <f>COUNTIFS('OB History'!$B:$B,$A$53,'OB History'!S:S, 1)</f>
        <v>0</v>
      </c>
      <c r="AD53" s="2">
        <f>COUNTIFS('OB History'!$B:$B,$A$53,'OB History'!T:T, 1)</f>
        <v>0</v>
      </c>
      <c r="AE53" s="2">
        <f>COUNTIFS('OB History'!$B:$B,$A$53,'OB History'!U:U, 1)</f>
        <v>0</v>
      </c>
      <c r="AF53" s="2">
        <f>COUNTIFS('OB History'!$B:$B,$A$53,'OB History'!V:V, 1)</f>
        <v>0</v>
      </c>
      <c r="AG53" s="2">
        <f>COUNTIFS('OB History'!$B:$B,$A$53,'OB History'!W:W, 1)</f>
        <v>1</v>
      </c>
      <c r="AH53" s="2">
        <f>COUNTIFS('OB History'!$B:$B,$A$53,'OB History'!X:X, 1)</f>
        <v>0</v>
      </c>
      <c r="AI53" s="2">
        <f>COUNTIFS('OB History'!$B:$B,$A$53,'OB History'!Y:Y, 1)</f>
        <v>1</v>
      </c>
      <c r="AJ53" s="2">
        <f>COUNTIFS('OB History'!$B:$B,$A$53,'OB History'!Z:Z, 1)</f>
        <v>0</v>
      </c>
    </row>
    <row r="54" spans="1:36" x14ac:dyDescent="0.25">
      <c r="A54" s="2" t="s">
        <v>14</v>
      </c>
      <c r="B54" s="6" t="s">
        <v>124</v>
      </c>
      <c r="C54" s="1" t="s">
        <v>160</v>
      </c>
      <c r="D54" s="3">
        <v>5</v>
      </c>
      <c r="E54" s="3">
        <v>2</v>
      </c>
      <c r="F54" s="3"/>
      <c r="G54" s="3"/>
      <c r="H54" s="34">
        <f>SUMIFS('OB History'!C:C,'OB History'!B:B,A54)</f>
        <v>1249</v>
      </c>
      <c r="I54" s="4">
        <f>AVERAGEIFS('OB History'!C:C,'OB History'!B:B,A54)</f>
        <v>24.01923076923077</v>
      </c>
      <c r="J54" s="4">
        <f t="array" ref="J54">MEDIAN(IF('OB History'!B:B=A54, 'OB History'!C:C))</f>
        <v>20.5</v>
      </c>
      <c r="K54" s="35">
        <f t="array" ref="K54">MAX(IF('OB History'!B:B=A54, 'OB History'!C:C))</f>
        <v>56</v>
      </c>
      <c r="L54" s="34">
        <f>COUNTIFS('OB History'!B:B,A54,'OB History'!D:D, 1)</f>
        <v>26</v>
      </c>
      <c r="M54" s="2">
        <f>COUNTIFS('OB History'!B:B,A54,'OB History'!D:D, 0)</f>
        <v>26</v>
      </c>
      <c r="N54" s="88">
        <f>LOOKUP(2, 1/('OB History'!$B:$B=A54), 'OB History'!$AD:$AD)</f>
        <v>0.5</v>
      </c>
      <c r="O54" s="34">
        <f>SUMIFS('OB History'!F:F,'OB History'!B:B,A54)</f>
        <v>104</v>
      </c>
      <c r="P54" s="2">
        <f>SUMIFS('OB History'!E:E,'OB History'!B:B,A54)-O54</f>
        <v>108</v>
      </c>
      <c r="Q54" s="88">
        <f>LOOKUP(2, 1/('OB History'!$B:$B=A54), 'OB History'!$AB:$AB)</f>
        <v>0.49230769230769234</v>
      </c>
      <c r="R54" s="34">
        <f>SUMIFS('OB History'!H:H,'OB History'!B:B,'Old Bow v2'!A54)</f>
        <v>427</v>
      </c>
      <c r="S54" s="2">
        <f>SUMIFS('OB History'!G:G,'OB History'!B:B,'Old Bow v2'!A54)-R54</f>
        <v>453</v>
      </c>
      <c r="T54" s="88">
        <f>LOOKUP(2, 1/('OB History'!$B:$B=A54), 'OB History'!$AC:$AC)</f>
        <v>0.48980769230769233</v>
      </c>
      <c r="U54" s="2">
        <f>COUNTIFS('OB History'!$B:$B,$A$54,'OB History'!K:K, 1)</f>
        <v>6</v>
      </c>
      <c r="V54" s="2">
        <f>COUNTIFS('OB History'!$B:$B,$A$54,'OB History'!L:L, 1)</f>
        <v>10</v>
      </c>
      <c r="W54" s="2">
        <f>COUNTIFS('OB History'!$B:$B,$A$54,'OB History'!M:M, 1)</f>
        <v>5</v>
      </c>
      <c r="X54" s="2">
        <f>COUNTIFS('OB History'!$B:$B,$A$54,'OB History'!N:N, 1)</f>
        <v>10</v>
      </c>
      <c r="Y54" s="2">
        <f>COUNTIFS('OB History'!$B:$B,$A$54,'OB History'!O:O, 1)</f>
        <v>4</v>
      </c>
      <c r="Z54" s="2">
        <f>COUNTIFS('OB History'!$B:$B,$A$54,'OB History'!P:P, 1)</f>
        <v>7</v>
      </c>
      <c r="AA54" s="2">
        <f>COUNTIFS('OB History'!$B:$B,$A$54,'OB History'!Q:Q, 1)</f>
        <v>2</v>
      </c>
      <c r="AB54" s="2">
        <f>COUNTIFS('OB History'!$B:$B,$A$54,'OB History'!R:R, 1)</f>
        <v>1</v>
      </c>
      <c r="AC54" s="2">
        <f>COUNTIFS('OB History'!$B:$B,$A$54,'OB History'!S:S, 1)</f>
        <v>1</v>
      </c>
      <c r="AD54" s="2">
        <f>COUNTIFS('OB History'!$B:$B,$A$54,'OB History'!T:T, 1)</f>
        <v>0</v>
      </c>
      <c r="AE54" s="2">
        <f>COUNTIFS('OB History'!$B:$B,$A$54,'OB History'!U:U, 1)</f>
        <v>0</v>
      </c>
      <c r="AF54" s="2">
        <f>COUNTIFS('OB History'!$B:$B,$A$54,'OB History'!V:V, 1)</f>
        <v>3</v>
      </c>
      <c r="AG54" s="2">
        <f>COUNTIFS('OB History'!$B:$B,$A$54,'OB History'!W:W, 1)</f>
        <v>11</v>
      </c>
      <c r="AH54" s="2">
        <f>COUNTIFS('OB History'!$B:$B,$A$54,'OB History'!X:X, 1)</f>
        <v>25</v>
      </c>
      <c r="AI54" s="2">
        <f>COUNTIFS('OB History'!$B:$B,$A$54,'OB History'!Y:Y, 1)</f>
        <v>6</v>
      </c>
      <c r="AJ54" s="2">
        <f>COUNTIFS('OB History'!$B:$B,$A$54,'OB History'!Z:Z, 1)</f>
        <v>13</v>
      </c>
    </row>
    <row r="55" spans="1:36" x14ac:dyDescent="0.25">
      <c r="A55" s="2" t="s">
        <v>70</v>
      </c>
      <c r="B55" s="6" t="s">
        <v>79</v>
      </c>
      <c r="C55" s="6" t="s">
        <v>79</v>
      </c>
      <c r="D55" s="3"/>
      <c r="E55" s="3"/>
      <c r="F55" s="3"/>
      <c r="G55" s="3"/>
      <c r="H55" s="34">
        <f>SUMIFS('OB History'!C:C,'OB History'!B:B,A55)</f>
        <v>116</v>
      </c>
      <c r="I55" s="4">
        <f>AVERAGEIFS('OB History'!C:C,'OB History'!B:B,A55)</f>
        <v>19.333333333333332</v>
      </c>
      <c r="J55" s="4">
        <f t="array" ref="J55">MEDIAN(IF('OB History'!B:B=A55, 'OB History'!C:C))</f>
        <v>20</v>
      </c>
      <c r="K55" s="35">
        <f t="array" ref="K55">MAX(IF('OB History'!B:B=A55, 'OB History'!C:C))</f>
        <v>27</v>
      </c>
      <c r="L55" s="34">
        <f>COUNTIFS('OB History'!B:B,A55,'OB History'!D:D, 1)</f>
        <v>4</v>
      </c>
      <c r="M55" s="2">
        <f>COUNTIFS('OB History'!B:B,A55,'OB History'!D:D, 0)</f>
        <v>2</v>
      </c>
      <c r="N55" s="88">
        <f>LOOKUP(2, 1/('OB History'!$B:$B=A55), 'OB History'!$AD:$AD)</f>
        <v>0.66666666666666663</v>
      </c>
      <c r="O55" s="34">
        <f>SUMIFS('OB History'!F:F,'OB History'!B:B,A55)</f>
        <v>16</v>
      </c>
      <c r="P55" s="2">
        <f>SUMIFS('OB History'!E:E,'OB History'!B:B,A55)-O55</f>
        <v>12</v>
      </c>
      <c r="Q55" s="88">
        <f>LOOKUP(2, 1/('OB History'!$B:$B=A55), 'OB History'!$AB:$AB)</f>
        <v>0.6</v>
      </c>
      <c r="R55" s="34">
        <f>SUMIFS('OB History'!H:H,'OB History'!B:B,'Old Bow v2'!A55)</f>
        <v>61</v>
      </c>
      <c r="S55" s="2">
        <f>SUMIFS('OB History'!G:G,'OB History'!B:B,'Old Bow v2'!A55)-R55</f>
        <v>53</v>
      </c>
      <c r="T55" s="88">
        <f>LOOKUP(2, 1/('OB History'!$B:$B=A55), 'OB History'!$AC:$AC)</f>
        <v>0.54500000000000004</v>
      </c>
      <c r="U55" s="2">
        <f>COUNTIFS('OB History'!$B:$B,$A$55,'OB History'!K:K, 1)</f>
        <v>1</v>
      </c>
      <c r="V55" s="2">
        <f>COUNTIFS('OB History'!$B:$B,$A$55,'OB History'!L:L, 1)</f>
        <v>0</v>
      </c>
      <c r="W55" s="2">
        <f>COUNTIFS('OB History'!$B:$B,$A$55,'OB History'!M:M, 1)</f>
        <v>0</v>
      </c>
      <c r="X55" s="2">
        <f>COUNTIFS('OB History'!$B:$B,$A$55,'OB History'!N:N, 1)</f>
        <v>2</v>
      </c>
      <c r="Y55" s="2">
        <f>COUNTIFS('OB History'!$B:$B,$A$55,'OB History'!O:O, 1)</f>
        <v>2</v>
      </c>
      <c r="Z55" s="2">
        <f>COUNTIFS('OB History'!$B:$B,$A$55,'OB History'!P:P, 1)</f>
        <v>0</v>
      </c>
      <c r="AA55" s="2">
        <f>COUNTIFS('OB History'!$B:$B,$A$55,'OB History'!Q:Q, 1)</f>
        <v>0</v>
      </c>
      <c r="AB55" s="2">
        <f>COUNTIFS('OB History'!$B:$B,$A$55,'OB History'!R:R, 1)</f>
        <v>2</v>
      </c>
      <c r="AC55" s="2">
        <f>COUNTIFS('OB History'!$B:$B,$A$55,'OB History'!S:S, 1)</f>
        <v>0</v>
      </c>
      <c r="AD55" s="2">
        <f>COUNTIFS('OB History'!$B:$B,$A$55,'OB History'!T:T, 1)</f>
        <v>0</v>
      </c>
      <c r="AE55" s="2">
        <f>COUNTIFS('OB History'!$B:$B,$A$55,'OB History'!U:U, 1)</f>
        <v>0</v>
      </c>
      <c r="AF55" s="2">
        <f>COUNTIFS('OB History'!$B:$B,$A$55,'OB History'!V:V, 1)</f>
        <v>1</v>
      </c>
      <c r="AG55" s="2">
        <f>COUNTIFS('OB History'!$B:$B,$A$55,'OB History'!W:W, 1)</f>
        <v>0</v>
      </c>
      <c r="AH55" s="2">
        <f>COUNTIFS('OB History'!$B:$B,$A$55,'OB History'!X:X, 1)</f>
        <v>4</v>
      </c>
      <c r="AI55" s="2">
        <f>COUNTIFS('OB History'!$B:$B,$A$55,'OB History'!Y:Y, 1)</f>
        <v>1</v>
      </c>
      <c r="AJ55" s="2">
        <f>COUNTIFS('OB History'!$B:$B,$A$55,'OB History'!Z:Z, 1)</f>
        <v>3</v>
      </c>
    </row>
    <row r="56" spans="1:36" x14ac:dyDescent="0.25">
      <c r="A56" s="2" t="s">
        <v>4</v>
      </c>
      <c r="B56" s="6" t="s">
        <v>60</v>
      </c>
      <c r="C56" s="2" t="s">
        <v>79</v>
      </c>
      <c r="D56" s="3">
        <v>2</v>
      </c>
      <c r="E56" s="3"/>
      <c r="F56" s="3"/>
      <c r="G56" s="3"/>
      <c r="H56" s="34">
        <f>SUMIFS('OB History'!C:C,'OB History'!B:B,A56)</f>
        <v>317</v>
      </c>
      <c r="I56" s="4">
        <f>AVERAGEIFS('OB History'!C:C,'OB History'!B:B,A56)</f>
        <v>21.133333333333333</v>
      </c>
      <c r="J56" s="4">
        <f t="array" ref="J56">MEDIAN(IF('OB History'!B:B=A56, 'OB History'!C:C))</f>
        <v>19</v>
      </c>
      <c r="K56" s="35">
        <f t="array" ref="K56">MAX(IF('OB History'!B:B=A56, 'OB History'!C:C))</f>
        <v>46</v>
      </c>
      <c r="L56" s="34">
        <f>COUNTIFS('OB History'!B:B,A56,'OB History'!D:D, 1)</f>
        <v>9</v>
      </c>
      <c r="M56" s="2">
        <f>COUNTIFS('OB History'!B:B,A56,'OB History'!D:D, 0)</f>
        <v>6</v>
      </c>
      <c r="N56" s="88">
        <f>LOOKUP(2, 1/('OB History'!$B:$B=A56), 'OB History'!$AD:$AD)</f>
        <v>0.6</v>
      </c>
      <c r="O56" s="34">
        <f>SUMIFS('OB History'!F:F,'OB History'!B:B,A56)</f>
        <v>30</v>
      </c>
      <c r="P56" s="2">
        <f>SUMIFS('OB History'!E:E,'OB History'!B:B,A56)-O56</f>
        <v>29</v>
      </c>
      <c r="Q56" s="88">
        <f>LOOKUP(2, 1/('OB History'!$B:$B=A56), 'OB History'!$AB:$AB)</f>
        <v>0.5033333333333333</v>
      </c>
      <c r="R56" s="34">
        <f>SUMIFS('OB History'!H:H,'OB History'!B:B,'Old Bow v2'!A56)</f>
        <v>121</v>
      </c>
      <c r="S56" s="2">
        <f>SUMIFS('OB History'!G:G,'OB History'!B:B,'Old Bow v2'!A56)-R56</f>
        <v>120</v>
      </c>
      <c r="T56" s="88">
        <f>LOOKUP(2, 1/('OB History'!$B:$B=A56), 'OB History'!$AC:$AC)</f>
        <v>0.49266666666666664</v>
      </c>
      <c r="U56" s="2">
        <f>COUNTIFS('OB History'!$B:$B,$A$56,'OB History'!K:K, 1)</f>
        <v>2</v>
      </c>
      <c r="V56" s="2">
        <f>COUNTIFS('OB History'!$B:$B,$A$56,'OB History'!L:L, 1)</f>
        <v>6</v>
      </c>
      <c r="W56" s="2">
        <f>COUNTIFS('OB History'!$B:$B,$A$56,'OB History'!M:M, 1)</f>
        <v>3</v>
      </c>
      <c r="X56" s="2">
        <f>COUNTIFS('OB History'!$B:$B,$A$56,'OB History'!N:N, 1)</f>
        <v>1</v>
      </c>
      <c r="Y56" s="2">
        <f>COUNTIFS('OB History'!$B:$B,$A$56,'OB History'!O:O, 1)</f>
        <v>3</v>
      </c>
      <c r="Z56" s="2">
        <f>COUNTIFS('OB History'!$B:$B,$A$56,'OB History'!P:P, 1)</f>
        <v>3</v>
      </c>
      <c r="AA56" s="2">
        <f>COUNTIFS('OB History'!$B:$B,$A$56,'OB History'!Q:Q, 1)</f>
        <v>1</v>
      </c>
      <c r="AB56" s="2">
        <f>COUNTIFS('OB History'!$B:$B,$A$56,'OB History'!R:R, 1)</f>
        <v>0</v>
      </c>
      <c r="AC56" s="2">
        <f>COUNTIFS('OB History'!$B:$B,$A$56,'OB History'!S:S, 1)</f>
        <v>0</v>
      </c>
      <c r="AD56" s="2">
        <f>COUNTIFS('OB History'!$B:$B,$A$56,'OB History'!T:T, 1)</f>
        <v>0</v>
      </c>
      <c r="AE56" s="2">
        <f>COUNTIFS('OB History'!$B:$B,$A$56,'OB History'!U:U, 1)</f>
        <v>0</v>
      </c>
      <c r="AF56" s="2">
        <f>COUNTIFS('OB History'!$B:$B,$A$56,'OB History'!V:V, 1)</f>
        <v>0</v>
      </c>
      <c r="AG56" s="2">
        <f>COUNTIFS('OB History'!$B:$B,$A$56,'OB History'!W:W, 1)</f>
        <v>2</v>
      </c>
      <c r="AH56" s="2">
        <f>COUNTIFS('OB History'!$B:$B,$A$56,'OB History'!X:X, 1)</f>
        <v>4</v>
      </c>
      <c r="AI56" s="2">
        <f>COUNTIFS('OB History'!$B:$B,$A$56,'OB History'!Y:Y, 1)</f>
        <v>3</v>
      </c>
      <c r="AJ56" s="2">
        <f>COUNTIFS('OB History'!$B:$B,$A$56,'OB History'!Z:Z, 1)</f>
        <v>2</v>
      </c>
    </row>
    <row r="57" spans="1:36" x14ac:dyDescent="0.25">
      <c r="A57" s="2" t="s">
        <v>55</v>
      </c>
      <c r="B57" s="2" t="s">
        <v>79</v>
      </c>
      <c r="C57" s="2" t="s">
        <v>79</v>
      </c>
      <c r="D57" s="3"/>
      <c r="E57" s="3"/>
      <c r="F57" s="3"/>
      <c r="G57" s="3"/>
      <c r="H57" s="34">
        <f>SUMIFS('OB History'!C:C,'OB History'!B:B,A57)</f>
        <v>156</v>
      </c>
      <c r="I57" s="4">
        <f>AVERAGEIFS('OB History'!C:C,'OB History'!B:B,A57)</f>
        <v>10.4</v>
      </c>
      <c r="J57" s="4">
        <f t="array" ref="J57">MEDIAN(IF('OB History'!B:B=A57, 'OB History'!C:C))</f>
        <v>10</v>
      </c>
      <c r="K57" s="35">
        <f t="array" ref="K57">MAX(IF('OB History'!B:B=A57, 'OB History'!C:C))</f>
        <v>20</v>
      </c>
      <c r="L57" s="34">
        <f>COUNTIFS('OB History'!B:B,A57,'OB History'!D:D, 1)</f>
        <v>9</v>
      </c>
      <c r="M57" s="2">
        <f>COUNTIFS('OB History'!B:B,A57,'OB History'!D:D, 0)</f>
        <v>6</v>
      </c>
      <c r="N57" s="88">
        <f>LOOKUP(2, 1/('OB History'!$B:$B=A57), 'OB History'!$AD:$AD)</f>
        <v>0.6</v>
      </c>
      <c r="O57" s="34">
        <f>SUMIFS('OB History'!F:F,'OB History'!B:B,A57)</f>
        <v>35</v>
      </c>
      <c r="P57" s="2">
        <f>SUMIFS('OB History'!E:E,'OB History'!B:B,A57)-O57</f>
        <v>27</v>
      </c>
      <c r="Q57" s="88">
        <f>LOOKUP(2, 1/('OB History'!$B:$B=A57), 'OB History'!$AB:$AB)</f>
        <v>0.58333333333333337</v>
      </c>
      <c r="R57" s="34">
        <f>SUMIFS('OB History'!H:H,'OB History'!B:B,'Old Bow v2'!A57)</f>
        <v>137</v>
      </c>
      <c r="S57" s="2">
        <f>SUMIFS('OB History'!G:G,'OB History'!B:B,'Old Bow v2'!A57)-R57</f>
        <v>116</v>
      </c>
      <c r="T57" s="88">
        <f>LOOKUP(2, 1/('OB History'!$B:$B=A57), 'OB History'!$AC:$AC)</f>
        <v>0.54600000000000004</v>
      </c>
      <c r="U57" s="2">
        <f>COUNTIFS('OB History'!$B:$B,$A$57,'OB History'!K:K, 1)</f>
        <v>3</v>
      </c>
      <c r="V57" s="2">
        <f>COUNTIFS('OB History'!$B:$B,$A$57,'OB History'!L:L, 1)</f>
        <v>1</v>
      </c>
      <c r="W57" s="2">
        <f>COUNTIFS('OB History'!$B:$B,$A$57,'OB History'!M:M, 1)</f>
        <v>1</v>
      </c>
      <c r="X57" s="2">
        <f>COUNTIFS('OB History'!$B:$B,$A$57,'OB History'!N:N, 1)</f>
        <v>6</v>
      </c>
      <c r="Y57" s="2">
        <f>COUNTIFS('OB History'!$B:$B,$A$57,'OB History'!O:O, 1)</f>
        <v>1</v>
      </c>
      <c r="Z57" s="2">
        <f>COUNTIFS('OB History'!$B:$B,$A$57,'OB History'!P:P, 1)</f>
        <v>1</v>
      </c>
      <c r="AA57" s="2">
        <f>COUNTIFS('OB History'!$B:$B,$A$57,'OB History'!Q:Q, 1)</f>
        <v>2</v>
      </c>
      <c r="AB57" s="2">
        <f>COUNTIFS('OB History'!$B:$B,$A$57,'OB History'!R:R, 1)</f>
        <v>1</v>
      </c>
      <c r="AC57" s="2">
        <f>COUNTIFS('OB History'!$B:$B,$A$57,'OB History'!S:S, 1)</f>
        <v>0</v>
      </c>
      <c r="AD57" s="2">
        <f>COUNTIFS('OB History'!$B:$B,$A$57,'OB History'!T:T, 1)</f>
        <v>0</v>
      </c>
      <c r="AE57" s="2">
        <f>COUNTIFS('OB History'!$B:$B,$A$57,'OB History'!U:U, 1)</f>
        <v>1</v>
      </c>
      <c r="AF57" s="2">
        <f>COUNTIFS('OB History'!$B:$B,$A$57,'OB History'!V:V, 1)</f>
        <v>0</v>
      </c>
      <c r="AG57" s="2">
        <f>COUNTIFS('OB History'!$B:$B,$A$57,'OB History'!W:W, 1)</f>
        <v>3</v>
      </c>
      <c r="AH57" s="2">
        <f>COUNTIFS('OB History'!$B:$B,$A$57,'OB History'!X:X, 1)</f>
        <v>8</v>
      </c>
      <c r="AI57" s="2">
        <f>COUNTIFS('OB History'!$B:$B,$A$57,'OB History'!Y:Y, 1)</f>
        <v>3</v>
      </c>
      <c r="AJ57" s="2">
        <f>COUNTIFS('OB History'!$B:$B,$A$57,'OB History'!Z:Z, 1)</f>
        <v>4</v>
      </c>
    </row>
  </sheetData>
  <autoFilter ref="A1:AJ57" xr:uid="{EEC03B8F-669F-4FC0-BA62-50F3D395660C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49F3A-41D8-4DA9-BFC4-DDE1AD24595A}">
  <dimension ref="A1:AD1123"/>
  <sheetViews>
    <sheetView workbookViewId="0">
      <pane ySplit="1" topLeftCell="A1096" activePane="bottomLeft" state="frozen"/>
      <selection pane="bottomLeft" activeCell="A1111" sqref="A1111:Z1123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10" max="10" width="10" bestFit="1" customWidth="1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46023</v>
      </c>
      <c r="B2" t="s">
        <v>17</v>
      </c>
      <c r="C2">
        <v>30</v>
      </c>
      <c r="D2">
        <v>1</v>
      </c>
      <c r="E2">
        <v>4</v>
      </c>
      <c r="F2">
        <v>3</v>
      </c>
      <c r="G2">
        <v>16</v>
      </c>
      <c r="H2">
        <v>10</v>
      </c>
      <c r="I2">
        <v>0.75</v>
      </c>
      <c r="J2">
        <v>0.63</v>
      </c>
      <c r="K2">
        <v>1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1</v>
      </c>
      <c r="X2">
        <v>0</v>
      </c>
      <c r="Y2">
        <v>1</v>
      </c>
      <c r="Z2">
        <v>0</v>
      </c>
      <c r="AA2" s="86">
        <f>AVERAGEIFS($C$2:C2, $B$2:B2, B2)</f>
        <v>30</v>
      </c>
      <c r="AB2" s="86">
        <f>AVERAGEIFS($I$2:I2, $B$2:B2, B2)</f>
        <v>0.75</v>
      </c>
      <c r="AC2" s="86">
        <f>AVERAGEIFS($J$2:J2, $B$2:B2, B2)</f>
        <v>0.63</v>
      </c>
      <c r="AD2" s="86">
        <f>AVERAGEIFS($D$2:D2, $B$2:B2, B2)</f>
        <v>1</v>
      </c>
    </row>
    <row r="3" spans="1:30" x14ac:dyDescent="0.25">
      <c r="A3" s="85">
        <v>46023</v>
      </c>
      <c r="B3" t="s">
        <v>2</v>
      </c>
      <c r="C3">
        <v>28</v>
      </c>
      <c r="D3">
        <v>1</v>
      </c>
      <c r="E3">
        <v>4</v>
      </c>
      <c r="F3">
        <v>3</v>
      </c>
      <c r="G3">
        <v>16</v>
      </c>
      <c r="H3">
        <v>10</v>
      </c>
      <c r="I3">
        <v>0.75</v>
      </c>
      <c r="J3">
        <v>0.63</v>
      </c>
      <c r="K3">
        <v>1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1</v>
      </c>
      <c r="X3">
        <v>0</v>
      </c>
      <c r="Y3">
        <v>1</v>
      </c>
      <c r="Z3">
        <v>0</v>
      </c>
      <c r="AA3" s="86">
        <f>AVERAGEIFS($C$2:C3, $B$2:B3, B3)</f>
        <v>28</v>
      </c>
      <c r="AB3" s="86">
        <f>AVERAGEIFS($I$2:I3, $B$2:B3, B3)</f>
        <v>0.75</v>
      </c>
      <c r="AC3" s="86">
        <f>AVERAGEIFS($J$2:J3, $B$2:B3, B3)</f>
        <v>0.63</v>
      </c>
      <c r="AD3" s="86">
        <f>AVERAGEIFS($D$2:D3, $B$2:B3, B3)</f>
        <v>1</v>
      </c>
    </row>
    <row r="4" spans="1:30" x14ac:dyDescent="0.25">
      <c r="A4" s="85">
        <v>46023</v>
      </c>
      <c r="B4" t="s">
        <v>3</v>
      </c>
      <c r="C4">
        <v>26</v>
      </c>
      <c r="D4">
        <v>1</v>
      </c>
      <c r="E4">
        <v>4</v>
      </c>
      <c r="F4">
        <v>3</v>
      </c>
      <c r="G4">
        <v>16</v>
      </c>
      <c r="H4">
        <v>10</v>
      </c>
      <c r="I4">
        <v>0.75</v>
      </c>
      <c r="J4">
        <v>0.63</v>
      </c>
      <c r="K4">
        <v>1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1</v>
      </c>
      <c r="X4">
        <v>0</v>
      </c>
      <c r="Y4">
        <v>1</v>
      </c>
      <c r="Z4">
        <v>0</v>
      </c>
      <c r="AA4" s="86">
        <f>AVERAGEIFS($C$2:C4, $B$2:B4, B4)</f>
        <v>26</v>
      </c>
      <c r="AB4" s="86">
        <f>AVERAGEIFS($I$2:I4, $B$2:B4, B4)</f>
        <v>0.75</v>
      </c>
      <c r="AC4" s="86">
        <f>AVERAGEIFS($J$2:J4, $B$2:B4, B4)</f>
        <v>0.63</v>
      </c>
      <c r="AD4" s="86">
        <f>AVERAGEIFS($D$2:D4, $B$2:B4, B4)</f>
        <v>1</v>
      </c>
    </row>
    <row r="5" spans="1:30" x14ac:dyDescent="0.25">
      <c r="A5" s="85">
        <v>46023</v>
      </c>
      <c r="B5" t="s">
        <v>14</v>
      </c>
      <c r="C5">
        <v>25</v>
      </c>
      <c r="D5">
        <v>1</v>
      </c>
      <c r="E5">
        <v>4</v>
      </c>
      <c r="F5">
        <v>3</v>
      </c>
      <c r="G5">
        <v>16</v>
      </c>
      <c r="H5">
        <v>10</v>
      </c>
      <c r="I5">
        <v>0.75</v>
      </c>
      <c r="J5">
        <v>0.63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1</v>
      </c>
      <c r="X5">
        <v>0</v>
      </c>
      <c r="Y5">
        <v>1</v>
      </c>
      <c r="Z5">
        <v>0</v>
      </c>
      <c r="AA5" s="86">
        <f>AVERAGEIFS($C$2:C5, $B$2:B5, B5)</f>
        <v>25</v>
      </c>
      <c r="AB5" s="86">
        <f>AVERAGEIFS($I$2:I5, $B$2:B5, B5)</f>
        <v>0.75</v>
      </c>
      <c r="AC5" s="86">
        <f>AVERAGEIFS($J$2:J5, $B$2:B5, B5)</f>
        <v>0.63</v>
      </c>
      <c r="AD5" s="86">
        <f>AVERAGEIFS($D$2:D5, $B$2:B5, B5)</f>
        <v>1</v>
      </c>
    </row>
    <row r="6" spans="1:30" x14ac:dyDescent="0.25">
      <c r="A6" s="85">
        <v>46023</v>
      </c>
      <c r="B6" t="s">
        <v>35</v>
      </c>
      <c r="C6">
        <v>21</v>
      </c>
      <c r="D6">
        <v>1</v>
      </c>
      <c r="E6">
        <v>4</v>
      </c>
      <c r="F6">
        <v>3</v>
      </c>
      <c r="G6">
        <v>16</v>
      </c>
      <c r="H6">
        <v>10</v>
      </c>
      <c r="I6">
        <v>0.75</v>
      </c>
      <c r="J6">
        <v>0.63</v>
      </c>
      <c r="K6">
        <v>1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1</v>
      </c>
      <c r="X6">
        <v>0</v>
      </c>
      <c r="Y6">
        <v>1</v>
      </c>
      <c r="Z6">
        <v>0</v>
      </c>
      <c r="AA6" s="86">
        <f>AVERAGEIFS($C$2:C6, $B$2:B6, B6)</f>
        <v>21</v>
      </c>
      <c r="AB6" s="86">
        <f>AVERAGEIFS($I$2:I6, $B$2:B6, B6)</f>
        <v>0.75</v>
      </c>
      <c r="AC6" s="86">
        <f>AVERAGEIFS($J$2:J6, $B$2:B6, B6)</f>
        <v>0.63</v>
      </c>
      <c r="AD6" s="86">
        <f>AVERAGEIFS($D$2:D6, $B$2:B6, B6)</f>
        <v>1</v>
      </c>
    </row>
    <row r="7" spans="1:30" x14ac:dyDescent="0.25">
      <c r="A7" s="85">
        <v>46023</v>
      </c>
      <c r="B7" t="s">
        <v>51</v>
      </c>
      <c r="C7">
        <v>14</v>
      </c>
      <c r="D7">
        <v>1</v>
      </c>
      <c r="E7">
        <v>4</v>
      </c>
      <c r="F7">
        <v>3</v>
      </c>
      <c r="G7">
        <v>16</v>
      </c>
      <c r="H7">
        <v>10</v>
      </c>
      <c r="I7">
        <v>0.75</v>
      </c>
      <c r="J7">
        <v>0.63</v>
      </c>
      <c r="K7">
        <v>1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1</v>
      </c>
      <c r="X7">
        <v>0</v>
      </c>
      <c r="Y7">
        <v>1</v>
      </c>
      <c r="Z7">
        <v>0</v>
      </c>
      <c r="AA7" s="86">
        <f>AVERAGEIFS($C$2:C7, $B$2:B7, B7)</f>
        <v>14</v>
      </c>
      <c r="AB7" s="86">
        <f>AVERAGEIFS($I$2:I7, $B$2:B7, B7)</f>
        <v>0.75</v>
      </c>
      <c r="AC7" s="86">
        <f>AVERAGEIFS($J$2:J7, $B$2:B7, B7)</f>
        <v>0.63</v>
      </c>
      <c r="AD7" s="86">
        <f>AVERAGEIFS($D$2:D7, $B$2:B7, B7)</f>
        <v>1</v>
      </c>
    </row>
    <row r="8" spans="1:30" x14ac:dyDescent="0.25">
      <c r="A8" s="85">
        <v>46023</v>
      </c>
      <c r="B8" t="s">
        <v>29</v>
      </c>
      <c r="C8">
        <v>12</v>
      </c>
      <c r="D8">
        <v>1</v>
      </c>
      <c r="E8">
        <v>4</v>
      </c>
      <c r="F8">
        <v>3</v>
      </c>
      <c r="G8">
        <v>16</v>
      </c>
      <c r="H8">
        <v>10</v>
      </c>
      <c r="I8">
        <v>0.75</v>
      </c>
      <c r="J8">
        <v>0.63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1</v>
      </c>
      <c r="Z8">
        <v>0</v>
      </c>
      <c r="AA8" s="86">
        <f>AVERAGEIFS($C$2:C8, $B$2:B8, B8)</f>
        <v>12</v>
      </c>
      <c r="AB8" s="86">
        <f>AVERAGEIFS($I$2:I8, $B$2:B8, B8)</f>
        <v>0.75</v>
      </c>
      <c r="AC8" s="86">
        <f>AVERAGEIFS($J$2:J8, $B$2:B8, B8)</f>
        <v>0.63</v>
      </c>
      <c r="AD8" s="86">
        <f>AVERAGEIFS($D$2:D8, $B$2:B8, B8)</f>
        <v>1</v>
      </c>
    </row>
    <row r="9" spans="1:30" x14ac:dyDescent="0.25">
      <c r="A9" s="85">
        <v>46023</v>
      </c>
      <c r="B9" t="s">
        <v>55</v>
      </c>
      <c r="C9">
        <v>10</v>
      </c>
      <c r="D9">
        <v>1</v>
      </c>
      <c r="E9">
        <v>4</v>
      </c>
      <c r="F9">
        <v>3</v>
      </c>
      <c r="G9">
        <v>16</v>
      </c>
      <c r="H9">
        <v>10</v>
      </c>
      <c r="I9">
        <v>0.75</v>
      </c>
      <c r="J9">
        <v>0.63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1</v>
      </c>
      <c r="Z9">
        <v>0</v>
      </c>
      <c r="AA9" s="86">
        <f>AVERAGEIFS($C$2:C9, $B$2:B9, B9)</f>
        <v>10</v>
      </c>
      <c r="AB9" s="86">
        <f>AVERAGEIFS($I$2:I9, $B$2:B9, B9)</f>
        <v>0.75</v>
      </c>
      <c r="AC9" s="86">
        <f>AVERAGEIFS($J$2:J9, $B$2:B9, B9)</f>
        <v>0.63</v>
      </c>
      <c r="AD9" s="86">
        <f>AVERAGEIFS($D$2:D9, $B$2:B9, B9)</f>
        <v>1</v>
      </c>
    </row>
    <row r="10" spans="1:30" x14ac:dyDescent="0.25">
      <c r="A10" s="85">
        <v>46023</v>
      </c>
      <c r="B10" t="s">
        <v>15</v>
      </c>
      <c r="C10">
        <v>35</v>
      </c>
      <c r="D10">
        <v>0</v>
      </c>
      <c r="E10">
        <v>4</v>
      </c>
      <c r="F10">
        <v>1</v>
      </c>
      <c r="G10">
        <v>16</v>
      </c>
      <c r="H10">
        <v>6</v>
      </c>
      <c r="I10">
        <v>0.25</v>
      </c>
      <c r="J10">
        <v>0.38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 s="86">
        <f>AVERAGEIFS($C$2:C10, $B$2:B10, B10)</f>
        <v>35</v>
      </c>
      <c r="AB10" s="86">
        <f>AVERAGEIFS($I$2:I10, $B$2:B10, B10)</f>
        <v>0.25</v>
      </c>
      <c r="AC10" s="86">
        <f>AVERAGEIFS($J$2:J10, $B$2:B10, B10)</f>
        <v>0.38</v>
      </c>
      <c r="AD10" s="86">
        <f>AVERAGEIFS($D$2:D10, $B$2:B10, B10)</f>
        <v>0</v>
      </c>
    </row>
    <row r="11" spans="1:30" x14ac:dyDescent="0.25">
      <c r="A11" s="85">
        <v>46023</v>
      </c>
      <c r="B11" t="s">
        <v>5</v>
      </c>
      <c r="C11">
        <v>23</v>
      </c>
      <c r="D11">
        <v>0</v>
      </c>
      <c r="E11">
        <v>4</v>
      </c>
      <c r="F11">
        <v>1</v>
      </c>
      <c r="G11">
        <v>16</v>
      </c>
      <c r="H11">
        <v>6</v>
      </c>
      <c r="I11">
        <v>0.25</v>
      </c>
      <c r="J11">
        <v>0.38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 s="86">
        <f>AVERAGEIFS($C$2:C11, $B$2:B11, B11)</f>
        <v>23</v>
      </c>
      <c r="AB11" s="86">
        <f>AVERAGEIFS($I$2:I11, $B$2:B11, B11)</f>
        <v>0.25</v>
      </c>
      <c r="AC11" s="86">
        <f>AVERAGEIFS($J$2:J11, $B$2:B11, B11)</f>
        <v>0.38</v>
      </c>
      <c r="AD11" s="86">
        <f>AVERAGEIFS($D$2:D11, $B$2:B11, B11)</f>
        <v>0</v>
      </c>
    </row>
    <row r="12" spans="1:30" x14ac:dyDescent="0.25">
      <c r="A12" s="85">
        <v>46023</v>
      </c>
      <c r="B12" t="s">
        <v>37</v>
      </c>
      <c r="C12">
        <v>20</v>
      </c>
      <c r="D12">
        <v>0</v>
      </c>
      <c r="E12">
        <v>4</v>
      </c>
      <c r="F12">
        <v>1</v>
      </c>
      <c r="G12">
        <v>16</v>
      </c>
      <c r="H12">
        <v>6</v>
      </c>
      <c r="I12">
        <v>0.25</v>
      </c>
      <c r="J12">
        <v>0.38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 s="86">
        <f>AVERAGEIFS($C$2:C12, $B$2:B12, B12)</f>
        <v>20</v>
      </c>
      <c r="AB12" s="86">
        <f>AVERAGEIFS($I$2:I12, $B$2:B12, B12)</f>
        <v>0.25</v>
      </c>
      <c r="AC12" s="86">
        <f>AVERAGEIFS($J$2:J12, $B$2:B12, B12)</f>
        <v>0.38</v>
      </c>
      <c r="AD12" s="86">
        <f>AVERAGEIFS($D$2:D12, $B$2:B12, B12)</f>
        <v>0</v>
      </c>
    </row>
    <row r="13" spans="1:30" x14ac:dyDescent="0.25">
      <c r="A13" s="85">
        <v>46023</v>
      </c>
      <c r="B13" t="s">
        <v>1</v>
      </c>
      <c r="C13">
        <v>19</v>
      </c>
      <c r="D13">
        <v>0</v>
      </c>
      <c r="E13">
        <v>4</v>
      </c>
      <c r="F13">
        <v>1</v>
      </c>
      <c r="G13">
        <v>16</v>
      </c>
      <c r="H13">
        <v>6</v>
      </c>
      <c r="I13">
        <v>0.25</v>
      </c>
      <c r="J13">
        <v>0.38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 s="86">
        <f>AVERAGEIFS($C$2:C13, $B$2:B13, B13)</f>
        <v>19</v>
      </c>
      <c r="AB13" s="86">
        <f>AVERAGEIFS($I$2:I13, $B$2:B13, B13)</f>
        <v>0.25</v>
      </c>
      <c r="AC13" s="86">
        <f>AVERAGEIFS($J$2:J13, $B$2:B13, B13)</f>
        <v>0.38</v>
      </c>
      <c r="AD13" s="86">
        <f>AVERAGEIFS($D$2:D13, $B$2:B13, B13)</f>
        <v>0</v>
      </c>
    </row>
    <row r="14" spans="1:30" x14ac:dyDescent="0.25">
      <c r="A14" s="85">
        <v>46023</v>
      </c>
      <c r="B14" t="s">
        <v>13</v>
      </c>
      <c r="C14">
        <v>19</v>
      </c>
      <c r="D14">
        <v>0</v>
      </c>
      <c r="E14">
        <v>4</v>
      </c>
      <c r="F14">
        <v>1</v>
      </c>
      <c r="G14">
        <v>16</v>
      </c>
      <c r="H14">
        <v>6</v>
      </c>
      <c r="I14">
        <v>0.25</v>
      </c>
      <c r="J14">
        <v>0.38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 s="86">
        <f>AVERAGEIFS($C$2:C14, $B$2:B14, B14)</f>
        <v>19</v>
      </c>
      <c r="AB14" s="86">
        <f>AVERAGEIFS($I$2:I14, $B$2:B14, B14)</f>
        <v>0.25</v>
      </c>
      <c r="AC14" s="86">
        <f>AVERAGEIFS($J$2:J14, $B$2:B14, B14)</f>
        <v>0.38</v>
      </c>
      <c r="AD14" s="86">
        <f>AVERAGEIFS($D$2:D14, $B$2:B14, B14)</f>
        <v>0</v>
      </c>
    </row>
    <row r="15" spans="1:30" x14ac:dyDescent="0.25">
      <c r="A15" s="85">
        <v>46023</v>
      </c>
      <c r="B15" t="s">
        <v>28</v>
      </c>
      <c r="C15">
        <v>11</v>
      </c>
      <c r="D15">
        <v>0</v>
      </c>
      <c r="E15">
        <v>4</v>
      </c>
      <c r="F15">
        <v>1</v>
      </c>
      <c r="G15">
        <v>16</v>
      </c>
      <c r="H15">
        <v>6</v>
      </c>
      <c r="I15">
        <v>0.25</v>
      </c>
      <c r="J15">
        <v>0.38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 s="86">
        <f>AVERAGEIFS($C$2:C15, $B$2:B15, B15)</f>
        <v>11</v>
      </c>
      <c r="AB15" s="86">
        <f>AVERAGEIFS($I$2:I15, $B$2:B15, B15)</f>
        <v>0.25</v>
      </c>
      <c r="AC15" s="86">
        <f>AVERAGEIFS($J$2:J15, $B$2:B15, B15)</f>
        <v>0.38</v>
      </c>
      <c r="AD15" s="86">
        <f>AVERAGEIFS($D$2:D15, $B$2:B15, B15)</f>
        <v>0</v>
      </c>
    </row>
    <row r="16" spans="1:30" x14ac:dyDescent="0.25">
      <c r="A16" s="85">
        <v>46023</v>
      </c>
      <c r="B16" t="s">
        <v>19</v>
      </c>
      <c r="C16">
        <v>6</v>
      </c>
      <c r="D16">
        <v>0</v>
      </c>
      <c r="E16">
        <v>4</v>
      </c>
      <c r="F16">
        <v>1</v>
      </c>
      <c r="G16">
        <v>16</v>
      </c>
      <c r="H16">
        <v>6</v>
      </c>
      <c r="I16">
        <v>0.25</v>
      </c>
      <c r="J16">
        <v>0.38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 s="86">
        <f>AVERAGEIFS($C$2:C16, $B$2:B16, B16)</f>
        <v>6</v>
      </c>
      <c r="AB16" s="86">
        <f>AVERAGEIFS($I$2:I16, $B$2:B16, B16)</f>
        <v>0.25</v>
      </c>
      <c r="AC16" s="86">
        <f>AVERAGEIFS($J$2:J16, $B$2:B16, B16)</f>
        <v>0.38</v>
      </c>
      <c r="AD16" s="86">
        <f>AVERAGEIFS($D$2:D16, $B$2:B16, B16)</f>
        <v>0</v>
      </c>
    </row>
    <row r="17" spans="1:30" x14ac:dyDescent="0.25">
      <c r="A17" s="85">
        <v>46025</v>
      </c>
      <c r="B17" t="s">
        <v>5</v>
      </c>
      <c r="C17">
        <v>29</v>
      </c>
      <c r="D17">
        <v>1</v>
      </c>
      <c r="E17">
        <v>5</v>
      </c>
      <c r="F17">
        <v>3</v>
      </c>
      <c r="G17">
        <v>19</v>
      </c>
      <c r="H17">
        <v>10</v>
      </c>
      <c r="I17">
        <v>0.6</v>
      </c>
      <c r="J17">
        <v>0.53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86">
        <f>AVERAGEIFS($C$2:C17, $B$2:B17, B17)</f>
        <v>26</v>
      </c>
      <c r="AB17" s="86">
        <f>AVERAGEIFS($I$2:I17, $B$2:B17, B17)</f>
        <v>0.42499999999999999</v>
      </c>
      <c r="AC17" s="86">
        <f>AVERAGEIFS($J$2:J17, $B$2:B17, B17)</f>
        <v>0.45500000000000002</v>
      </c>
      <c r="AD17" s="86">
        <f>AVERAGEIFS($D$2:D17, $B$2:B17, B17)</f>
        <v>0.5</v>
      </c>
    </row>
    <row r="18" spans="1:30" x14ac:dyDescent="0.25">
      <c r="A18" s="85">
        <v>46025</v>
      </c>
      <c r="B18" t="s">
        <v>14</v>
      </c>
      <c r="C18">
        <v>19</v>
      </c>
      <c r="D18">
        <v>1</v>
      </c>
      <c r="E18">
        <v>5</v>
      </c>
      <c r="F18">
        <v>3</v>
      </c>
      <c r="G18">
        <v>19</v>
      </c>
      <c r="H18">
        <v>10</v>
      </c>
      <c r="I18">
        <v>0.6</v>
      </c>
      <c r="J18">
        <v>0.53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86">
        <f>AVERAGEIFS($C$2:C18, $B$2:B18, B18)</f>
        <v>22</v>
      </c>
      <c r="AB18" s="86">
        <f>AVERAGEIFS($I$2:I18, $B$2:B18, B18)</f>
        <v>0.67500000000000004</v>
      </c>
      <c r="AC18" s="86">
        <f>AVERAGEIFS($J$2:J18, $B$2:B18, B18)</f>
        <v>0.58000000000000007</v>
      </c>
      <c r="AD18" s="86">
        <f>AVERAGEIFS($D$2:D18, $B$2:B18, B18)</f>
        <v>1</v>
      </c>
    </row>
    <row r="19" spans="1:30" x14ac:dyDescent="0.25">
      <c r="A19" s="85">
        <v>46025</v>
      </c>
      <c r="B19" t="s">
        <v>51</v>
      </c>
      <c r="C19">
        <v>14</v>
      </c>
      <c r="D19">
        <v>1</v>
      </c>
      <c r="E19">
        <v>5</v>
      </c>
      <c r="F19">
        <v>3</v>
      </c>
      <c r="G19">
        <v>19</v>
      </c>
      <c r="H19">
        <v>10</v>
      </c>
      <c r="I19">
        <v>0.6</v>
      </c>
      <c r="J19">
        <v>0.53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86">
        <f>AVERAGEIFS($C$2:C19, $B$2:B19, B19)</f>
        <v>14</v>
      </c>
      <c r="AB19" s="86">
        <f>AVERAGEIFS($I$2:I19, $B$2:B19, B19)</f>
        <v>0.67500000000000004</v>
      </c>
      <c r="AC19" s="86">
        <f>AVERAGEIFS($J$2:J19, $B$2:B19, B19)</f>
        <v>0.58000000000000007</v>
      </c>
      <c r="AD19" s="86">
        <f>AVERAGEIFS($D$2:D19, $B$2:B19, B19)</f>
        <v>1</v>
      </c>
    </row>
    <row r="20" spans="1:30" x14ac:dyDescent="0.25">
      <c r="A20" s="85">
        <v>46025</v>
      </c>
      <c r="B20" t="s">
        <v>37</v>
      </c>
      <c r="C20">
        <v>10</v>
      </c>
      <c r="D20">
        <v>1</v>
      </c>
      <c r="E20">
        <v>5</v>
      </c>
      <c r="F20">
        <v>3</v>
      </c>
      <c r="G20">
        <v>19</v>
      </c>
      <c r="H20">
        <v>10</v>
      </c>
      <c r="I20">
        <v>0.6</v>
      </c>
      <c r="J20">
        <v>0.53</v>
      </c>
      <c r="K20">
        <v>1</v>
      </c>
      <c r="L20">
        <v>0</v>
      </c>
      <c r="M20">
        <v>0</v>
      </c>
      <c r="N20">
        <v>1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1</v>
      </c>
      <c r="Y20">
        <v>0</v>
      </c>
      <c r="Z20">
        <v>0</v>
      </c>
      <c r="AA20" s="86">
        <f>AVERAGEIFS($C$2:C20, $B$2:B20, B20)</f>
        <v>15</v>
      </c>
      <c r="AB20" s="86">
        <f>AVERAGEIFS($I$2:I20, $B$2:B20, B20)</f>
        <v>0.42499999999999999</v>
      </c>
      <c r="AC20" s="86">
        <f>AVERAGEIFS($J$2:J20, $B$2:B20, B20)</f>
        <v>0.45500000000000002</v>
      </c>
      <c r="AD20" s="86">
        <f>AVERAGEIFS($D$2:D20, $B$2:B20, B20)</f>
        <v>0.5</v>
      </c>
    </row>
    <row r="21" spans="1:30" x14ac:dyDescent="0.25">
      <c r="A21" s="85">
        <v>46025</v>
      </c>
      <c r="B21" t="s">
        <v>35</v>
      </c>
      <c r="C21">
        <v>8</v>
      </c>
      <c r="D21">
        <v>1</v>
      </c>
      <c r="E21">
        <v>5</v>
      </c>
      <c r="F21">
        <v>3</v>
      </c>
      <c r="G21">
        <v>19</v>
      </c>
      <c r="H21">
        <v>10</v>
      </c>
      <c r="I21">
        <v>0.6</v>
      </c>
      <c r="J21">
        <v>0.53</v>
      </c>
      <c r="K21">
        <v>1</v>
      </c>
      <c r="L21">
        <v>0</v>
      </c>
      <c r="M21">
        <v>0</v>
      </c>
      <c r="N21">
        <v>1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86">
        <f>AVERAGEIFS($C$2:C21, $B$2:B21, B21)</f>
        <v>14.5</v>
      </c>
      <c r="AB21" s="86">
        <f>AVERAGEIFS($I$2:I21, $B$2:B21, B21)</f>
        <v>0.67500000000000004</v>
      </c>
      <c r="AC21" s="86">
        <f>AVERAGEIFS($J$2:J21, $B$2:B21, B21)</f>
        <v>0.58000000000000007</v>
      </c>
      <c r="AD21" s="86">
        <f>AVERAGEIFS($D$2:D21, $B$2:B21, B21)</f>
        <v>1</v>
      </c>
    </row>
    <row r="22" spans="1:30" x14ac:dyDescent="0.25">
      <c r="A22" s="85">
        <v>46025</v>
      </c>
      <c r="B22" t="s">
        <v>13</v>
      </c>
      <c r="C22">
        <v>24</v>
      </c>
      <c r="D22">
        <v>0</v>
      </c>
      <c r="E22">
        <v>5</v>
      </c>
      <c r="F22">
        <v>2</v>
      </c>
      <c r="G22">
        <v>19</v>
      </c>
      <c r="H22">
        <v>9</v>
      </c>
      <c r="I22">
        <v>0.4</v>
      </c>
      <c r="J22">
        <v>0.47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1</v>
      </c>
      <c r="T22">
        <v>0</v>
      </c>
      <c r="U22">
        <v>1</v>
      </c>
      <c r="V22">
        <v>0</v>
      </c>
      <c r="W22">
        <v>0</v>
      </c>
      <c r="X22">
        <v>0</v>
      </c>
      <c r="Y22">
        <v>0</v>
      </c>
      <c r="Z22">
        <v>0</v>
      </c>
      <c r="AA22" s="86">
        <f>AVERAGEIFS($C$2:C22, $B$2:B22, B22)</f>
        <v>21.5</v>
      </c>
      <c r="AB22" s="86">
        <f>AVERAGEIFS($I$2:I22, $B$2:B22, B22)</f>
        <v>0.32500000000000001</v>
      </c>
      <c r="AC22" s="86">
        <f>AVERAGEIFS($J$2:J22, $B$2:B22, B22)</f>
        <v>0.42499999999999999</v>
      </c>
      <c r="AD22" s="86">
        <f>AVERAGEIFS($D$2:D22, $B$2:B22, B22)</f>
        <v>0</v>
      </c>
    </row>
    <row r="23" spans="1:30" x14ac:dyDescent="0.25">
      <c r="A23" s="85">
        <v>46025</v>
      </c>
      <c r="B23" t="s">
        <v>17</v>
      </c>
      <c r="C23">
        <v>18</v>
      </c>
      <c r="D23">
        <v>0</v>
      </c>
      <c r="E23">
        <v>5</v>
      </c>
      <c r="F23">
        <v>2</v>
      </c>
      <c r="G23">
        <v>19</v>
      </c>
      <c r="H23">
        <v>9</v>
      </c>
      <c r="I23">
        <v>0.4</v>
      </c>
      <c r="J23">
        <v>0.47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1</v>
      </c>
      <c r="T23">
        <v>0</v>
      </c>
      <c r="U23">
        <v>1</v>
      </c>
      <c r="V23">
        <v>0</v>
      </c>
      <c r="W23">
        <v>0</v>
      </c>
      <c r="X23">
        <v>0</v>
      </c>
      <c r="Y23">
        <v>0</v>
      </c>
      <c r="Z23">
        <v>0</v>
      </c>
      <c r="AA23" s="86">
        <f>AVERAGEIFS($C$2:C23, $B$2:B23, B23)</f>
        <v>24</v>
      </c>
      <c r="AB23" s="86">
        <f>AVERAGEIFS($I$2:I23, $B$2:B23, B23)</f>
        <v>0.57499999999999996</v>
      </c>
      <c r="AC23" s="86">
        <f>AVERAGEIFS($J$2:J23, $B$2:B23, B23)</f>
        <v>0.55000000000000004</v>
      </c>
      <c r="AD23" s="86">
        <f>AVERAGEIFS($D$2:D23, $B$2:B23, B23)</f>
        <v>0.5</v>
      </c>
    </row>
    <row r="24" spans="1:30" x14ac:dyDescent="0.25">
      <c r="A24" s="85">
        <v>46025</v>
      </c>
      <c r="B24" t="s">
        <v>26</v>
      </c>
      <c r="C24">
        <v>14</v>
      </c>
      <c r="D24">
        <v>0</v>
      </c>
      <c r="E24">
        <v>5</v>
      </c>
      <c r="F24">
        <v>2</v>
      </c>
      <c r="G24">
        <v>19</v>
      </c>
      <c r="H24">
        <v>9</v>
      </c>
      <c r="I24">
        <v>0.4</v>
      </c>
      <c r="J24">
        <v>0.47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1</v>
      </c>
      <c r="T24">
        <v>0</v>
      </c>
      <c r="U24">
        <v>1</v>
      </c>
      <c r="V24">
        <v>0</v>
      </c>
      <c r="W24">
        <v>0</v>
      </c>
      <c r="X24">
        <v>0</v>
      </c>
      <c r="Y24">
        <v>0</v>
      </c>
      <c r="Z24">
        <v>0</v>
      </c>
      <c r="AA24" s="86">
        <f>AVERAGEIFS($C$2:C24, $B$2:B24, B24)</f>
        <v>14</v>
      </c>
      <c r="AB24" s="86">
        <f>AVERAGEIFS($I$2:I24, $B$2:B24, B24)</f>
        <v>0.4</v>
      </c>
      <c r="AC24" s="86">
        <f>AVERAGEIFS($J$2:J24, $B$2:B24, B24)</f>
        <v>0.47</v>
      </c>
      <c r="AD24" s="86">
        <f>AVERAGEIFS($D$2:D24, $B$2:B24, B24)</f>
        <v>0</v>
      </c>
    </row>
    <row r="25" spans="1:30" x14ac:dyDescent="0.25">
      <c r="A25" s="85">
        <v>46025</v>
      </c>
      <c r="B25" t="s">
        <v>19</v>
      </c>
      <c r="C25">
        <v>9</v>
      </c>
      <c r="D25">
        <v>0</v>
      </c>
      <c r="E25">
        <v>5</v>
      </c>
      <c r="F25">
        <v>2</v>
      </c>
      <c r="G25">
        <v>19</v>
      </c>
      <c r="H25">
        <v>9</v>
      </c>
      <c r="I25">
        <v>0.4</v>
      </c>
      <c r="J25">
        <v>0.47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1</v>
      </c>
      <c r="T25">
        <v>0</v>
      </c>
      <c r="U25">
        <v>1</v>
      </c>
      <c r="V25">
        <v>0</v>
      </c>
      <c r="W25">
        <v>0</v>
      </c>
      <c r="X25">
        <v>0</v>
      </c>
      <c r="Y25">
        <v>0</v>
      </c>
      <c r="Z25">
        <v>0</v>
      </c>
      <c r="AA25" s="86">
        <f>AVERAGEIFS($C$2:C25, $B$2:B25, B25)</f>
        <v>7.5</v>
      </c>
      <c r="AB25" s="86">
        <f>AVERAGEIFS($I$2:I25, $B$2:B25, B25)</f>
        <v>0.32500000000000001</v>
      </c>
      <c r="AC25" s="86">
        <f>AVERAGEIFS($J$2:J25, $B$2:B25, B25)</f>
        <v>0.42499999999999999</v>
      </c>
      <c r="AD25" s="86">
        <f>AVERAGEIFS($D$2:D25, $B$2:B25, B25)</f>
        <v>0</v>
      </c>
    </row>
    <row r="26" spans="1:30" x14ac:dyDescent="0.25">
      <c r="A26" s="85">
        <v>46025</v>
      </c>
      <c r="B26" t="s">
        <v>28</v>
      </c>
      <c r="C26">
        <v>9</v>
      </c>
      <c r="D26">
        <v>0</v>
      </c>
      <c r="E26">
        <v>5</v>
      </c>
      <c r="F26">
        <v>2</v>
      </c>
      <c r="G26">
        <v>19</v>
      </c>
      <c r="H26">
        <v>9</v>
      </c>
      <c r="I26">
        <v>0.4</v>
      </c>
      <c r="J26">
        <v>0.47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1</v>
      </c>
      <c r="T26">
        <v>0</v>
      </c>
      <c r="U26">
        <v>1</v>
      </c>
      <c r="V26">
        <v>0</v>
      </c>
      <c r="W26">
        <v>0</v>
      </c>
      <c r="X26">
        <v>0</v>
      </c>
      <c r="Y26">
        <v>0</v>
      </c>
      <c r="Z26">
        <v>0</v>
      </c>
      <c r="AA26" s="86">
        <f>AVERAGEIFS($C$2:C26, $B$2:B26, B26)</f>
        <v>10</v>
      </c>
      <c r="AB26" s="86">
        <f>AVERAGEIFS($I$2:I26, $B$2:B26, B26)</f>
        <v>0.32500000000000001</v>
      </c>
      <c r="AC26" s="86">
        <f>AVERAGEIFS($J$2:J26, $B$2:B26, B26)</f>
        <v>0.42499999999999999</v>
      </c>
      <c r="AD26" s="86">
        <f>AVERAGEIFS($D$2:D26, $B$2:B26, B26)</f>
        <v>0</v>
      </c>
    </row>
    <row r="27" spans="1:30" x14ac:dyDescent="0.25">
      <c r="A27" s="85">
        <v>46026</v>
      </c>
      <c r="B27" t="s">
        <v>13</v>
      </c>
      <c r="C27">
        <v>32</v>
      </c>
      <c r="D27">
        <v>1</v>
      </c>
      <c r="E27">
        <v>4</v>
      </c>
      <c r="F27">
        <v>3</v>
      </c>
      <c r="G27">
        <v>16</v>
      </c>
      <c r="H27">
        <v>11</v>
      </c>
      <c r="I27">
        <v>0.75</v>
      </c>
      <c r="J27">
        <v>0.69</v>
      </c>
      <c r="K27">
        <v>1</v>
      </c>
      <c r="L27">
        <v>0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86">
        <f>AVERAGEIFS($C$2:C27, $B$2:B27, B27)</f>
        <v>25</v>
      </c>
      <c r="AB27" s="86">
        <f>AVERAGEIFS($I$2:I27, $B$2:B27, B27)</f>
        <v>0.46666666666666662</v>
      </c>
      <c r="AC27" s="86">
        <f>AVERAGEIFS($J$2:J27, $B$2:B27, B27)</f>
        <v>0.51333333333333331</v>
      </c>
      <c r="AD27" s="86">
        <f>AVERAGEIFS($D$2:D27, $B$2:B27, B27)</f>
        <v>0.33333333333333331</v>
      </c>
    </row>
    <row r="28" spans="1:30" x14ac:dyDescent="0.25">
      <c r="A28" s="85">
        <v>46026</v>
      </c>
      <c r="B28" t="s">
        <v>17</v>
      </c>
      <c r="C28">
        <v>23</v>
      </c>
      <c r="D28">
        <v>1</v>
      </c>
      <c r="E28">
        <v>4</v>
      </c>
      <c r="F28">
        <v>3</v>
      </c>
      <c r="G28">
        <v>16</v>
      </c>
      <c r="H28">
        <v>11</v>
      </c>
      <c r="I28">
        <v>0.75</v>
      </c>
      <c r="J28">
        <v>0.69</v>
      </c>
      <c r="K28">
        <v>1</v>
      </c>
      <c r="L28">
        <v>0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86">
        <f>AVERAGEIFS($C$2:C28, $B$2:B28, B28)</f>
        <v>23.666666666666668</v>
      </c>
      <c r="AB28" s="86">
        <f>AVERAGEIFS($I$2:I28, $B$2:B28, B28)</f>
        <v>0.6333333333333333</v>
      </c>
      <c r="AC28" s="86">
        <f>AVERAGEIFS($J$2:J28, $B$2:B28, B28)</f>
        <v>0.59666666666666668</v>
      </c>
      <c r="AD28" s="86">
        <f>AVERAGEIFS($D$2:D28, $B$2:B28, B28)</f>
        <v>0.66666666666666663</v>
      </c>
    </row>
    <row r="29" spans="1:30" x14ac:dyDescent="0.25">
      <c r="A29" s="85">
        <v>46026</v>
      </c>
      <c r="B29" t="s">
        <v>25</v>
      </c>
      <c r="C29">
        <v>21</v>
      </c>
      <c r="D29">
        <v>1</v>
      </c>
      <c r="E29">
        <v>4</v>
      </c>
      <c r="F29">
        <v>3</v>
      </c>
      <c r="G29">
        <v>16</v>
      </c>
      <c r="H29">
        <v>11</v>
      </c>
      <c r="I29">
        <v>0.75</v>
      </c>
      <c r="J29">
        <v>0.69</v>
      </c>
      <c r="K29">
        <v>1</v>
      </c>
      <c r="L29">
        <v>0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86">
        <f>AVERAGEIFS($C$2:C29, $B$2:B29, B29)</f>
        <v>21</v>
      </c>
      <c r="AB29" s="86">
        <f>AVERAGEIFS($I$2:I29, $B$2:B29, B29)</f>
        <v>0.75</v>
      </c>
      <c r="AC29" s="86">
        <f>AVERAGEIFS($J$2:J29, $B$2:B29, B29)</f>
        <v>0.69</v>
      </c>
      <c r="AD29" s="86">
        <f>AVERAGEIFS($D$2:D29, $B$2:B29, B29)</f>
        <v>1</v>
      </c>
    </row>
    <row r="30" spans="1:30" x14ac:dyDescent="0.25">
      <c r="A30" s="85">
        <v>46026</v>
      </c>
      <c r="B30" t="s">
        <v>3</v>
      </c>
      <c r="C30">
        <v>20</v>
      </c>
      <c r="D30">
        <v>1</v>
      </c>
      <c r="E30">
        <v>4</v>
      </c>
      <c r="F30">
        <v>3</v>
      </c>
      <c r="G30">
        <v>16</v>
      </c>
      <c r="H30">
        <v>11</v>
      </c>
      <c r="I30">
        <v>0.75</v>
      </c>
      <c r="J30">
        <v>0.69</v>
      </c>
      <c r="K30">
        <v>1</v>
      </c>
      <c r="L30">
        <v>0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86">
        <f>AVERAGEIFS($C$2:C30, $B$2:B30, B30)</f>
        <v>23</v>
      </c>
      <c r="AB30" s="86">
        <f>AVERAGEIFS($I$2:I30, $B$2:B30, B30)</f>
        <v>0.75</v>
      </c>
      <c r="AC30" s="86">
        <f>AVERAGEIFS($J$2:J30, $B$2:B30, B30)</f>
        <v>0.65999999999999992</v>
      </c>
      <c r="AD30" s="86">
        <f>AVERAGEIFS($D$2:D30, $B$2:B30, B30)</f>
        <v>1</v>
      </c>
    </row>
    <row r="31" spans="1:30" x14ac:dyDescent="0.25">
      <c r="A31" s="85">
        <v>46026</v>
      </c>
      <c r="B31" t="s">
        <v>28</v>
      </c>
      <c r="C31">
        <v>16</v>
      </c>
      <c r="D31">
        <v>1</v>
      </c>
      <c r="E31">
        <v>4</v>
      </c>
      <c r="F31">
        <v>3</v>
      </c>
      <c r="G31">
        <v>16</v>
      </c>
      <c r="H31">
        <v>11</v>
      </c>
      <c r="I31">
        <v>0.75</v>
      </c>
      <c r="J31">
        <v>0.69</v>
      </c>
      <c r="K31">
        <v>1</v>
      </c>
      <c r="L31">
        <v>0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86">
        <f>AVERAGEIFS($C$2:C31, $B$2:B31, B31)</f>
        <v>12</v>
      </c>
      <c r="AB31" s="86">
        <f>AVERAGEIFS($I$2:I31, $B$2:B31, B31)</f>
        <v>0.46666666666666662</v>
      </c>
      <c r="AC31" s="86">
        <f>AVERAGEIFS($J$2:J31, $B$2:B31, B31)</f>
        <v>0.51333333333333331</v>
      </c>
      <c r="AD31" s="86">
        <f>AVERAGEIFS($D$2:D31, $B$2:B31, B31)</f>
        <v>0.33333333333333331</v>
      </c>
    </row>
    <row r="32" spans="1:30" x14ac:dyDescent="0.25">
      <c r="A32" s="85">
        <v>46026</v>
      </c>
      <c r="B32" t="s">
        <v>19</v>
      </c>
      <c r="C32">
        <v>15</v>
      </c>
      <c r="D32">
        <v>1</v>
      </c>
      <c r="E32">
        <v>4</v>
      </c>
      <c r="F32">
        <v>3</v>
      </c>
      <c r="G32">
        <v>16</v>
      </c>
      <c r="H32">
        <v>11</v>
      </c>
      <c r="I32">
        <v>0.75</v>
      </c>
      <c r="J32">
        <v>0.69</v>
      </c>
      <c r="K32">
        <v>1</v>
      </c>
      <c r="L32">
        <v>0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86">
        <f>AVERAGEIFS($C$2:C32, $B$2:B32, B32)</f>
        <v>10</v>
      </c>
      <c r="AB32" s="86">
        <f>AVERAGEIFS($I$2:I32, $B$2:B32, B32)</f>
        <v>0.46666666666666662</v>
      </c>
      <c r="AC32" s="86">
        <f>AVERAGEIFS($J$2:J32, $B$2:B32, B32)</f>
        <v>0.51333333333333331</v>
      </c>
      <c r="AD32" s="86">
        <f>AVERAGEIFS($D$2:D32, $B$2:B32, B32)</f>
        <v>0.33333333333333331</v>
      </c>
    </row>
    <row r="33" spans="1:30" x14ac:dyDescent="0.25">
      <c r="A33" s="85">
        <v>46026</v>
      </c>
      <c r="B33" t="s">
        <v>29</v>
      </c>
      <c r="C33">
        <v>14</v>
      </c>
      <c r="D33">
        <v>1</v>
      </c>
      <c r="E33">
        <v>4</v>
      </c>
      <c r="F33">
        <v>3</v>
      </c>
      <c r="G33">
        <v>16</v>
      </c>
      <c r="H33">
        <v>11</v>
      </c>
      <c r="I33">
        <v>0.75</v>
      </c>
      <c r="J33">
        <v>0.69</v>
      </c>
      <c r="K33">
        <v>1</v>
      </c>
      <c r="L33">
        <v>0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86">
        <f>AVERAGEIFS($C$2:C33, $B$2:B33, B33)</f>
        <v>13</v>
      </c>
      <c r="AB33" s="86">
        <f>AVERAGEIFS($I$2:I33, $B$2:B33, B33)</f>
        <v>0.75</v>
      </c>
      <c r="AC33" s="86">
        <f>AVERAGEIFS($J$2:J33, $B$2:B33, B33)</f>
        <v>0.65999999999999992</v>
      </c>
      <c r="AD33" s="86">
        <f>AVERAGEIFS($D$2:D33, $B$2:B33, B33)</f>
        <v>1</v>
      </c>
    </row>
    <row r="34" spans="1:30" x14ac:dyDescent="0.25">
      <c r="A34" s="85">
        <v>46026</v>
      </c>
      <c r="B34" t="s">
        <v>26</v>
      </c>
      <c r="C34">
        <v>10</v>
      </c>
      <c r="D34">
        <v>1</v>
      </c>
      <c r="E34">
        <v>4</v>
      </c>
      <c r="F34">
        <v>3</v>
      </c>
      <c r="G34">
        <v>16</v>
      </c>
      <c r="H34">
        <v>11</v>
      </c>
      <c r="I34">
        <v>0.75</v>
      </c>
      <c r="J34">
        <v>0.69</v>
      </c>
      <c r="K34">
        <v>1</v>
      </c>
      <c r="L34">
        <v>0</v>
      </c>
      <c r="M34">
        <v>0</v>
      </c>
      <c r="N34">
        <v>0</v>
      </c>
      <c r="O34">
        <v>0</v>
      </c>
      <c r="P34">
        <v>0</v>
      </c>
      <c r="Q34">
        <v>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1</v>
      </c>
      <c r="AA34" s="86">
        <f>AVERAGEIFS($C$2:C34, $B$2:B34, B34)</f>
        <v>12</v>
      </c>
      <c r="AB34" s="86">
        <f>AVERAGEIFS($I$2:I34, $B$2:B34, B34)</f>
        <v>0.57499999999999996</v>
      </c>
      <c r="AC34" s="86">
        <f>AVERAGEIFS($J$2:J34, $B$2:B34, B34)</f>
        <v>0.57999999999999996</v>
      </c>
      <c r="AD34" s="86">
        <f>AVERAGEIFS($D$2:D34, $B$2:B34, B34)</f>
        <v>0.5</v>
      </c>
    </row>
    <row r="35" spans="1:30" x14ac:dyDescent="0.25">
      <c r="A35" s="85">
        <v>46026</v>
      </c>
      <c r="B35" t="s">
        <v>2</v>
      </c>
      <c r="C35">
        <v>27</v>
      </c>
      <c r="D35">
        <v>0</v>
      </c>
      <c r="E35">
        <v>4</v>
      </c>
      <c r="F35">
        <v>1</v>
      </c>
      <c r="G35">
        <v>16</v>
      </c>
      <c r="H35">
        <v>5</v>
      </c>
      <c r="I35">
        <v>0.25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1</v>
      </c>
      <c r="X35">
        <v>0</v>
      </c>
      <c r="Y35">
        <v>0</v>
      </c>
      <c r="Z35">
        <v>0</v>
      </c>
      <c r="AA35" s="86">
        <f>AVERAGEIFS($C$2:C35, $B$2:B35, B35)</f>
        <v>27.5</v>
      </c>
      <c r="AB35" s="86">
        <f>AVERAGEIFS($I$2:I35, $B$2:B35, B35)</f>
        <v>0.5</v>
      </c>
      <c r="AC35" s="86">
        <f>AVERAGEIFS($J$2:J35, $B$2:B35, B35)</f>
        <v>0.47</v>
      </c>
      <c r="AD35" s="86">
        <f>AVERAGEIFS($D$2:D35, $B$2:B35, B35)</f>
        <v>0.5</v>
      </c>
    </row>
    <row r="36" spans="1:30" x14ac:dyDescent="0.25">
      <c r="A36" s="85">
        <v>46026</v>
      </c>
      <c r="B36" t="s">
        <v>15</v>
      </c>
      <c r="C36">
        <v>24</v>
      </c>
      <c r="D36">
        <v>0</v>
      </c>
      <c r="E36">
        <v>4</v>
      </c>
      <c r="F36">
        <v>1</v>
      </c>
      <c r="G36">
        <v>16</v>
      </c>
      <c r="H36">
        <v>5</v>
      </c>
      <c r="I36">
        <v>0.25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1</v>
      </c>
      <c r="X36">
        <v>0</v>
      </c>
      <c r="Y36">
        <v>0</v>
      </c>
      <c r="Z36">
        <v>0</v>
      </c>
      <c r="AA36" s="86">
        <f>AVERAGEIFS($C$2:C36, $B$2:B36, B36)</f>
        <v>29.5</v>
      </c>
      <c r="AB36" s="86">
        <f>AVERAGEIFS($I$2:I36, $B$2:B36, B36)</f>
        <v>0.25</v>
      </c>
      <c r="AC36" s="86">
        <f>AVERAGEIFS($J$2:J36, $B$2:B36, B36)</f>
        <v>0.34499999999999997</v>
      </c>
      <c r="AD36" s="86">
        <f>AVERAGEIFS($D$2:D36, $B$2:B36, B36)</f>
        <v>0</v>
      </c>
    </row>
    <row r="37" spans="1:30" x14ac:dyDescent="0.25">
      <c r="A37" s="85">
        <v>46026</v>
      </c>
      <c r="B37" t="s">
        <v>27</v>
      </c>
      <c r="C37">
        <v>20</v>
      </c>
      <c r="D37">
        <v>0</v>
      </c>
      <c r="E37">
        <v>4</v>
      </c>
      <c r="F37">
        <v>1</v>
      </c>
      <c r="G37">
        <v>16</v>
      </c>
      <c r="H37">
        <v>5</v>
      </c>
      <c r="I37">
        <v>0.25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1</v>
      </c>
      <c r="X37">
        <v>0</v>
      </c>
      <c r="Y37">
        <v>0</v>
      </c>
      <c r="Z37">
        <v>0</v>
      </c>
      <c r="AA37" s="86">
        <f>AVERAGEIFS($C$2:C37, $B$2:B37, B37)</f>
        <v>20</v>
      </c>
      <c r="AB37" s="86">
        <f>AVERAGEIFS($I$2:I37, $B$2:B37, B37)</f>
        <v>0.25</v>
      </c>
      <c r="AC37" s="86">
        <f>AVERAGEIFS($J$2:J37, $B$2:B37, B37)</f>
        <v>0.31</v>
      </c>
      <c r="AD37" s="86">
        <f>AVERAGEIFS($D$2:D37, $B$2:B37, B37)</f>
        <v>0</v>
      </c>
    </row>
    <row r="38" spans="1:30" x14ac:dyDescent="0.25">
      <c r="A38" s="85">
        <v>46026</v>
      </c>
      <c r="B38" t="s">
        <v>18</v>
      </c>
      <c r="C38">
        <v>16</v>
      </c>
      <c r="D38">
        <v>0</v>
      </c>
      <c r="E38">
        <v>4</v>
      </c>
      <c r="F38">
        <v>1</v>
      </c>
      <c r="G38">
        <v>16</v>
      </c>
      <c r="H38">
        <v>5</v>
      </c>
      <c r="I38">
        <v>0.25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0</v>
      </c>
      <c r="Y38">
        <v>0</v>
      </c>
      <c r="Z38">
        <v>0</v>
      </c>
      <c r="AA38" s="86">
        <f>AVERAGEIFS($C$2:C38, $B$2:B38, B38)</f>
        <v>16</v>
      </c>
      <c r="AB38" s="86">
        <f>AVERAGEIFS($I$2:I38, $B$2:B38, B38)</f>
        <v>0.25</v>
      </c>
      <c r="AC38" s="86">
        <f>AVERAGEIFS($J$2:J38, $B$2:B38, B38)</f>
        <v>0.31</v>
      </c>
      <c r="AD38" s="86">
        <f>AVERAGEIFS($D$2:D38, $B$2:B38, B38)</f>
        <v>0</v>
      </c>
    </row>
    <row r="39" spans="1:30" x14ac:dyDescent="0.25">
      <c r="A39" s="85">
        <v>46026</v>
      </c>
      <c r="B39" t="s">
        <v>20</v>
      </c>
      <c r="C39">
        <v>15</v>
      </c>
      <c r="D39">
        <v>0</v>
      </c>
      <c r="E39">
        <v>4</v>
      </c>
      <c r="F39">
        <v>1</v>
      </c>
      <c r="G39">
        <v>16</v>
      </c>
      <c r="H39">
        <v>5</v>
      </c>
      <c r="I39">
        <v>0.25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0</v>
      </c>
      <c r="Y39">
        <v>0</v>
      </c>
      <c r="Z39">
        <v>0</v>
      </c>
      <c r="AA39" s="86">
        <f>AVERAGEIFS($C$2:C39, $B$2:B39, B39)</f>
        <v>15</v>
      </c>
      <c r="AB39" s="86">
        <f>AVERAGEIFS($I$2:I39, $B$2:B39, B39)</f>
        <v>0.25</v>
      </c>
      <c r="AC39" s="86">
        <f>AVERAGEIFS($J$2:J39, $B$2:B39, B39)</f>
        <v>0.31</v>
      </c>
      <c r="AD39" s="86">
        <f>AVERAGEIFS($D$2:D39, $B$2:B39, B39)</f>
        <v>0</v>
      </c>
    </row>
    <row r="40" spans="1:30" x14ac:dyDescent="0.25">
      <c r="A40" s="85">
        <v>46026</v>
      </c>
      <c r="B40" t="s">
        <v>50</v>
      </c>
      <c r="C40">
        <v>12</v>
      </c>
      <c r="D40">
        <v>0</v>
      </c>
      <c r="E40">
        <v>4</v>
      </c>
      <c r="F40">
        <v>1</v>
      </c>
      <c r="G40">
        <v>16</v>
      </c>
      <c r="H40">
        <v>5</v>
      </c>
      <c r="I40">
        <v>0.25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0</v>
      </c>
      <c r="Y40">
        <v>0</v>
      </c>
      <c r="Z40">
        <v>0</v>
      </c>
      <c r="AA40" s="86">
        <f>AVERAGEIFS($C$2:C40, $B$2:B40, B40)</f>
        <v>12</v>
      </c>
      <c r="AB40" s="86">
        <f>AVERAGEIFS($I$2:I40, $B$2:B40, B40)</f>
        <v>0.25</v>
      </c>
      <c r="AC40" s="86">
        <f>AVERAGEIFS($J$2:J40, $B$2:B40, B40)</f>
        <v>0.31</v>
      </c>
      <c r="AD40" s="86">
        <f>AVERAGEIFS($D$2:D40, $B$2:B40, B40)</f>
        <v>0</v>
      </c>
    </row>
    <row r="41" spans="1:30" x14ac:dyDescent="0.25">
      <c r="A41" s="85">
        <v>46026</v>
      </c>
      <c r="B41" t="s">
        <v>51</v>
      </c>
      <c r="C41">
        <v>12</v>
      </c>
      <c r="D41">
        <v>0</v>
      </c>
      <c r="E41">
        <v>4</v>
      </c>
      <c r="F41">
        <v>1</v>
      </c>
      <c r="G41">
        <v>16</v>
      </c>
      <c r="H41">
        <v>5</v>
      </c>
      <c r="I41">
        <v>0.25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0</v>
      </c>
      <c r="Y41">
        <v>0</v>
      </c>
      <c r="Z41">
        <v>0</v>
      </c>
      <c r="AA41" s="86">
        <f>AVERAGEIFS($C$2:C41, $B$2:B41, B41)</f>
        <v>13.333333333333334</v>
      </c>
      <c r="AB41" s="86">
        <f>AVERAGEIFS($I$2:I41, $B$2:B41, B41)</f>
        <v>0.53333333333333333</v>
      </c>
      <c r="AC41" s="86">
        <f>AVERAGEIFS($J$2:J41, $B$2:B41, B41)</f>
        <v>0.49000000000000005</v>
      </c>
      <c r="AD41" s="86">
        <f>AVERAGEIFS($D$2:D41, $B$2:B41, B41)</f>
        <v>0.66666666666666663</v>
      </c>
    </row>
    <row r="42" spans="1:30" x14ac:dyDescent="0.25">
      <c r="A42" s="85">
        <v>46026</v>
      </c>
      <c r="B42" t="s">
        <v>55</v>
      </c>
      <c r="C42">
        <v>6</v>
      </c>
      <c r="D42">
        <v>0</v>
      </c>
      <c r="E42">
        <v>4</v>
      </c>
      <c r="F42">
        <v>1</v>
      </c>
      <c r="G42">
        <v>16</v>
      </c>
      <c r="H42">
        <v>5</v>
      </c>
      <c r="I42">
        <v>0.25</v>
      </c>
      <c r="J42">
        <v>0.31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0</v>
      </c>
      <c r="Y42">
        <v>0</v>
      </c>
      <c r="Z42">
        <v>0</v>
      </c>
      <c r="AA42" s="86">
        <f>AVERAGEIFS($C$2:C42, $B$2:B42, B42)</f>
        <v>8</v>
      </c>
      <c r="AB42" s="86">
        <f>AVERAGEIFS($I$2:I42, $B$2:B42, B42)</f>
        <v>0.5</v>
      </c>
      <c r="AC42" s="86">
        <f>AVERAGEIFS($J$2:J42, $B$2:B42, B42)</f>
        <v>0.47</v>
      </c>
      <c r="AD42" s="86">
        <f>AVERAGEIFS($D$2:D42, $B$2:B42, B42)</f>
        <v>0.5</v>
      </c>
    </row>
    <row r="43" spans="1:30" x14ac:dyDescent="0.25">
      <c r="A43" s="85">
        <v>46027</v>
      </c>
      <c r="B43" t="s">
        <v>18</v>
      </c>
      <c r="C43">
        <v>24</v>
      </c>
      <c r="D43">
        <v>1</v>
      </c>
      <c r="E43">
        <v>5</v>
      </c>
      <c r="F43">
        <v>3</v>
      </c>
      <c r="G43">
        <v>21</v>
      </c>
      <c r="H43">
        <v>12</v>
      </c>
      <c r="I43">
        <v>0.6</v>
      </c>
      <c r="J43">
        <v>0.56999999999999995</v>
      </c>
      <c r="K43">
        <v>1</v>
      </c>
      <c r="L43">
        <v>0</v>
      </c>
      <c r="M43">
        <v>0</v>
      </c>
      <c r="N43">
        <v>0</v>
      </c>
      <c r="O43">
        <v>0</v>
      </c>
      <c r="P43">
        <v>1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0</v>
      </c>
      <c r="Z43">
        <v>0</v>
      </c>
      <c r="AA43" s="86">
        <f>AVERAGEIFS($C$2:C43, $B$2:B43, B43)</f>
        <v>20</v>
      </c>
      <c r="AB43" s="86">
        <f>AVERAGEIFS($I$2:I43, $B$2:B43, B43)</f>
        <v>0.42499999999999999</v>
      </c>
      <c r="AC43" s="86">
        <f>AVERAGEIFS($J$2:J43, $B$2:B43, B43)</f>
        <v>0.43999999999999995</v>
      </c>
      <c r="AD43" s="86">
        <f>AVERAGEIFS($D$2:D43, $B$2:B43, B43)</f>
        <v>0.5</v>
      </c>
    </row>
    <row r="44" spans="1:30" x14ac:dyDescent="0.25">
      <c r="A44" s="85">
        <v>46027</v>
      </c>
      <c r="B44" t="s">
        <v>17</v>
      </c>
      <c r="C44">
        <v>20</v>
      </c>
      <c r="D44">
        <v>1</v>
      </c>
      <c r="E44">
        <v>5</v>
      </c>
      <c r="F44">
        <v>3</v>
      </c>
      <c r="G44">
        <v>21</v>
      </c>
      <c r="H44">
        <v>12</v>
      </c>
      <c r="I44">
        <v>0.6</v>
      </c>
      <c r="J44">
        <v>0.56999999999999995</v>
      </c>
      <c r="K44">
        <v>1</v>
      </c>
      <c r="L44">
        <v>0</v>
      </c>
      <c r="M44">
        <v>0</v>
      </c>
      <c r="N44">
        <v>0</v>
      </c>
      <c r="O44">
        <v>0</v>
      </c>
      <c r="P44">
        <v>1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0</v>
      </c>
      <c r="Z44">
        <v>0</v>
      </c>
      <c r="AA44" s="86">
        <f>AVERAGEIFS($C$2:C44, $B$2:B44, B44)</f>
        <v>22.75</v>
      </c>
      <c r="AB44" s="86">
        <f>AVERAGEIFS($I$2:I44, $B$2:B44, B44)</f>
        <v>0.625</v>
      </c>
      <c r="AC44" s="86">
        <f>AVERAGEIFS($J$2:J44, $B$2:B44, B44)</f>
        <v>0.59</v>
      </c>
      <c r="AD44" s="86">
        <f>AVERAGEIFS($D$2:D44, $B$2:B44, B44)</f>
        <v>0.75</v>
      </c>
    </row>
    <row r="45" spans="1:30" x14ac:dyDescent="0.25">
      <c r="A45" s="85">
        <v>46027</v>
      </c>
      <c r="B45" t="s">
        <v>15</v>
      </c>
      <c r="C45">
        <v>17</v>
      </c>
      <c r="D45">
        <v>1</v>
      </c>
      <c r="E45">
        <v>5</v>
      </c>
      <c r="F45">
        <v>3</v>
      </c>
      <c r="G45">
        <v>21</v>
      </c>
      <c r="H45">
        <v>12</v>
      </c>
      <c r="I45">
        <v>0.6</v>
      </c>
      <c r="J45">
        <v>0.56999999999999995</v>
      </c>
      <c r="K45">
        <v>1</v>
      </c>
      <c r="L45">
        <v>0</v>
      </c>
      <c r="M45">
        <v>0</v>
      </c>
      <c r="N45">
        <v>0</v>
      </c>
      <c r="O45">
        <v>0</v>
      </c>
      <c r="P45">
        <v>1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0</v>
      </c>
      <c r="Z45">
        <v>0</v>
      </c>
      <c r="AA45" s="86">
        <f>AVERAGEIFS($C$2:C45, $B$2:B45, B45)</f>
        <v>25.333333333333332</v>
      </c>
      <c r="AB45" s="86">
        <f>AVERAGEIFS($I$2:I45, $B$2:B45, B45)</f>
        <v>0.3666666666666667</v>
      </c>
      <c r="AC45" s="86">
        <f>AVERAGEIFS($J$2:J45, $B$2:B45, B45)</f>
        <v>0.41999999999999993</v>
      </c>
      <c r="AD45" s="86">
        <f>AVERAGEIFS($D$2:D45, $B$2:B45, B45)</f>
        <v>0.33333333333333331</v>
      </c>
    </row>
    <row r="46" spans="1:30" x14ac:dyDescent="0.25">
      <c r="A46" s="85">
        <v>46027</v>
      </c>
      <c r="B46" t="s">
        <v>25</v>
      </c>
      <c r="C46">
        <v>12</v>
      </c>
      <c r="D46">
        <v>1</v>
      </c>
      <c r="E46">
        <v>5</v>
      </c>
      <c r="F46">
        <v>3</v>
      </c>
      <c r="G46">
        <v>21</v>
      </c>
      <c r="H46">
        <v>12</v>
      </c>
      <c r="I46">
        <v>0.6</v>
      </c>
      <c r="J46">
        <v>0.56999999999999995</v>
      </c>
      <c r="K46">
        <v>1</v>
      </c>
      <c r="L46">
        <v>0</v>
      </c>
      <c r="M46">
        <v>0</v>
      </c>
      <c r="N46">
        <v>0</v>
      </c>
      <c r="O46">
        <v>0</v>
      </c>
      <c r="P46">
        <v>1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0</v>
      </c>
      <c r="Z46">
        <v>0</v>
      </c>
      <c r="AA46" s="86">
        <f>AVERAGEIFS($C$2:C46, $B$2:B46, B46)</f>
        <v>16.5</v>
      </c>
      <c r="AB46" s="86">
        <f>AVERAGEIFS($I$2:I46, $B$2:B46, B46)</f>
        <v>0.67500000000000004</v>
      </c>
      <c r="AC46" s="86">
        <f>AVERAGEIFS($J$2:J46, $B$2:B46, B46)</f>
        <v>0.62999999999999989</v>
      </c>
      <c r="AD46" s="86">
        <f>AVERAGEIFS($D$2:D46, $B$2:B46, B46)</f>
        <v>1</v>
      </c>
    </row>
    <row r="47" spans="1:30" x14ac:dyDescent="0.25">
      <c r="A47" s="85">
        <v>46027</v>
      </c>
      <c r="B47" t="s">
        <v>19</v>
      </c>
      <c r="C47">
        <v>11</v>
      </c>
      <c r="D47">
        <v>1</v>
      </c>
      <c r="E47">
        <v>5</v>
      </c>
      <c r="F47">
        <v>3</v>
      </c>
      <c r="G47">
        <v>21</v>
      </c>
      <c r="H47">
        <v>12</v>
      </c>
      <c r="I47">
        <v>0.6</v>
      </c>
      <c r="J47">
        <v>0.56999999999999995</v>
      </c>
      <c r="K47">
        <v>1</v>
      </c>
      <c r="L47">
        <v>0</v>
      </c>
      <c r="M47">
        <v>0</v>
      </c>
      <c r="N47">
        <v>0</v>
      </c>
      <c r="O47">
        <v>0</v>
      </c>
      <c r="P47">
        <v>1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0</v>
      </c>
      <c r="Z47">
        <v>0</v>
      </c>
      <c r="AA47" s="86">
        <f>AVERAGEIFS($C$2:C47, $B$2:B47, B47)</f>
        <v>10.25</v>
      </c>
      <c r="AB47" s="86">
        <f>AVERAGEIFS($I$2:I47, $B$2:B47, B47)</f>
        <v>0.5</v>
      </c>
      <c r="AC47" s="86">
        <f>AVERAGEIFS($J$2:J47, $B$2:B47, B47)</f>
        <v>0.52749999999999997</v>
      </c>
      <c r="AD47" s="86">
        <f>AVERAGEIFS($D$2:D47, $B$2:B47, B47)</f>
        <v>0.5</v>
      </c>
    </row>
    <row r="48" spans="1:30" x14ac:dyDescent="0.25">
      <c r="A48" s="85">
        <v>46027</v>
      </c>
      <c r="B48" t="s">
        <v>13</v>
      </c>
      <c r="C48">
        <v>27</v>
      </c>
      <c r="D48">
        <v>0</v>
      </c>
      <c r="E48">
        <v>5</v>
      </c>
      <c r="F48">
        <v>2</v>
      </c>
      <c r="G48">
        <v>21</v>
      </c>
      <c r="H48">
        <v>9</v>
      </c>
      <c r="I48">
        <v>0.4</v>
      </c>
      <c r="J48">
        <v>0.43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1</v>
      </c>
      <c r="W48">
        <v>0</v>
      </c>
      <c r="X48">
        <v>0</v>
      </c>
      <c r="Y48">
        <v>0</v>
      </c>
      <c r="Z48">
        <v>0</v>
      </c>
      <c r="AA48" s="86">
        <f>AVERAGEIFS($C$2:C48, $B$2:B48, B48)</f>
        <v>25.5</v>
      </c>
      <c r="AB48" s="86">
        <f>AVERAGEIFS($I$2:I48, $B$2:B48, B48)</f>
        <v>0.44999999999999996</v>
      </c>
      <c r="AC48" s="86">
        <f>AVERAGEIFS($J$2:J48, $B$2:B48, B48)</f>
        <v>0.49249999999999999</v>
      </c>
      <c r="AD48" s="86">
        <f>AVERAGEIFS($D$2:D48, $B$2:B48, B48)</f>
        <v>0.25</v>
      </c>
    </row>
    <row r="49" spans="1:30" x14ac:dyDescent="0.25">
      <c r="A49" s="85">
        <v>46027</v>
      </c>
      <c r="B49" t="s">
        <v>14</v>
      </c>
      <c r="C49">
        <v>22</v>
      </c>
      <c r="D49">
        <v>0</v>
      </c>
      <c r="E49">
        <v>5</v>
      </c>
      <c r="F49">
        <v>2</v>
      </c>
      <c r="G49">
        <v>21</v>
      </c>
      <c r="H49">
        <v>9</v>
      </c>
      <c r="I49">
        <v>0.4</v>
      </c>
      <c r="J49">
        <v>0.43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1</v>
      </c>
      <c r="W49">
        <v>0</v>
      </c>
      <c r="X49">
        <v>0</v>
      </c>
      <c r="Y49">
        <v>0</v>
      </c>
      <c r="Z49">
        <v>0</v>
      </c>
      <c r="AA49" s="86">
        <f>AVERAGEIFS($C$2:C49, $B$2:B49, B49)</f>
        <v>22</v>
      </c>
      <c r="AB49" s="86">
        <f>AVERAGEIFS($I$2:I49, $B$2:B49, B49)</f>
        <v>0.58333333333333337</v>
      </c>
      <c r="AC49" s="86">
        <f>AVERAGEIFS($J$2:J49, $B$2:B49, B49)</f>
        <v>0.53</v>
      </c>
      <c r="AD49" s="86">
        <f>AVERAGEIFS($D$2:D49, $B$2:B49, B49)</f>
        <v>0.66666666666666663</v>
      </c>
    </row>
    <row r="50" spans="1:30" x14ac:dyDescent="0.25">
      <c r="A50" s="85">
        <v>46027</v>
      </c>
      <c r="B50" t="s">
        <v>3</v>
      </c>
      <c r="C50">
        <v>21</v>
      </c>
      <c r="D50">
        <v>0</v>
      </c>
      <c r="E50">
        <v>5</v>
      </c>
      <c r="F50">
        <v>2</v>
      </c>
      <c r="G50">
        <v>21</v>
      </c>
      <c r="H50">
        <v>9</v>
      </c>
      <c r="I50">
        <v>0.4</v>
      </c>
      <c r="J50">
        <v>0.43</v>
      </c>
      <c r="K50">
        <v>0</v>
      </c>
      <c r="L50">
        <v>1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1</v>
      </c>
      <c r="W50">
        <v>0</v>
      </c>
      <c r="X50">
        <v>0</v>
      </c>
      <c r="Y50">
        <v>0</v>
      </c>
      <c r="Z50">
        <v>0</v>
      </c>
      <c r="AA50" s="86">
        <f>AVERAGEIFS($C$2:C50, $B$2:B50, B50)</f>
        <v>22.333333333333332</v>
      </c>
      <c r="AB50" s="86">
        <f>AVERAGEIFS($I$2:I50, $B$2:B50, B50)</f>
        <v>0.6333333333333333</v>
      </c>
      <c r="AC50" s="86">
        <f>AVERAGEIFS($J$2:J50, $B$2:B50, B50)</f>
        <v>0.58333333333333326</v>
      </c>
      <c r="AD50" s="86">
        <f>AVERAGEIFS($D$2:D50, $B$2:B50, B50)</f>
        <v>0.66666666666666663</v>
      </c>
    </row>
    <row r="51" spans="1:30" x14ac:dyDescent="0.25">
      <c r="A51" s="85">
        <v>46027</v>
      </c>
      <c r="B51" t="s">
        <v>29</v>
      </c>
      <c r="C51">
        <v>5</v>
      </c>
      <c r="D51">
        <v>0</v>
      </c>
      <c r="E51">
        <v>5</v>
      </c>
      <c r="F51">
        <v>2</v>
      </c>
      <c r="G51">
        <v>21</v>
      </c>
      <c r="H51">
        <v>9</v>
      </c>
      <c r="I51">
        <v>0.4</v>
      </c>
      <c r="J51">
        <v>0.43</v>
      </c>
      <c r="K51">
        <v>0</v>
      </c>
      <c r="L51">
        <v>1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1</v>
      </c>
      <c r="W51">
        <v>0</v>
      </c>
      <c r="X51">
        <v>0</v>
      </c>
      <c r="Y51">
        <v>0</v>
      </c>
      <c r="Z51">
        <v>0</v>
      </c>
      <c r="AA51" s="86">
        <f>AVERAGEIFS($C$2:C51, $B$2:B51, B51)</f>
        <v>10.333333333333334</v>
      </c>
      <c r="AB51" s="86">
        <f>AVERAGEIFS($I$2:I51, $B$2:B51, B51)</f>
        <v>0.6333333333333333</v>
      </c>
      <c r="AC51" s="86">
        <f>AVERAGEIFS($J$2:J51, $B$2:B51, B51)</f>
        <v>0.58333333333333326</v>
      </c>
      <c r="AD51" s="86">
        <f>AVERAGEIFS($D$2:D51, $B$2:B51, B51)</f>
        <v>0.66666666666666663</v>
      </c>
    </row>
    <row r="52" spans="1:30" x14ac:dyDescent="0.25">
      <c r="A52" s="85">
        <v>46027</v>
      </c>
      <c r="B52" t="s">
        <v>20</v>
      </c>
      <c r="C52">
        <v>5</v>
      </c>
      <c r="D52">
        <v>0</v>
      </c>
      <c r="E52">
        <v>5</v>
      </c>
      <c r="F52">
        <v>2</v>
      </c>
      <c r="G52">
        <v>21</v>
      </c>
      <c r="H52">
        <v>9</v>
      </c>
      <c r="I52">
        <v>0.4</v>
      </c>
      <c r="J52">
        <v>0.43</v>
      </c>
      <c r="K52">
        <v>0</v>
      </c>
      <c r="L52">
        <v>1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1</v>
      </c>
      <c r="W52">
        <v>0</v>
      </c>
      <c r="X52">
        <v>0</v>
      </c>
      <c r="Y52">
        <v>0</v>
      </c>
      <c r="Z52">
        <v>0</v>
      </c>
      <c r="AA52" s="86">
        <f>AVERAGEIFS($C$2:C52, $B$2:B52, B52)</f>
        <v>10</v>
      </c>
      <c r="AB52" s="86">
        <f>AVERAGEIFS($I$2:I52, $B$2:B52, B52)</f>
        <v>0.32500000000000001</v>
      </c>
      <c r="AC52" s="86">
        <f>AVERAGEIFS($J$2:J52, $B$2:B52, B52)</f>
        <v>0.37</v>
      </c>
      <c r="AD52" s="86">
        <f>AVERAGEIFS($D$2:D52, $B$2:B52, B52)</f>
        <v>0</v>
      </c>
    </row>
    <row r="53" spans="1:30" x14ac:dyDescent="0.25">
      <c r="A53" s="85">
        <v>46029</v>
      </c>
      <c r="B53" t="s">
        <v>14</v>
      </c>
      <c r="C53">
        <v>30</v>
      </c>
      <c r="D53">
        <v>1</v>
      </c>
      <c r="E53">
        <v>5</v>
      </c>
      <c r="F53">
        <v>3</v>
      </c>
      <c r="G53">
        <v>22</v>
      </c>
      <c r="H53">
        <v>13</v>
      </c>
      <c r="I53">
        <v>0.6</v>
      </c>
      <c r="J53">
        <v>0.59</v>
      </c>
      <c r="K53">
        <v>0</v>
      </c>
      <c r="L53">
        <v>1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1</v>
      </c>
      <c r="X53">
        <v>0</v>
      </c>
      <c r="Y53">
        <v>0</v>
      </c>
      <c r="Z53">
        <v>0</v>
      </c>
      <c r="AA53" s="86">
        <f>AVERAGEIFS($C$2:C53, $B$2:B53, B53)</f>
        <v>24</v>
      </c>
      <c r="AB53" s="86">
        <f>AVERAGEIFS($I$2:I53, $B$2:B53, B53)</f>
        <v>0.58750000000000002</v>
      </c>
      <c r="AC53" s="86">
        <f>AVERAGEIFS($J$2:J53, $B$2:B53, B53)</f>
        <v>0.54500000000000004</v>
      </c>
      <c r="AD53" s="86">
        <f>AVERAGEIFS($D$2:D53, $B$2:B53, B53)</f>
        <v>0.75</v>
      </c>
    </row>
    <row r="54" spans="1:30" x14ac:dyDescent="0.25">
      <c r="A54" s="85">
        <v>46029</v>
      </c>
      <c r="B54" t="s">
        <v>13</v>
      </c>
      <c r="C54">
        <v>26</v>
      </c>
      <c r="D54">
        <v>1</v>
      </c>
      <c r="E54">
        <v>5</v>
      </c>
      <c r="F54">
        <v>3</v>
      </c>
      <c r="G54">
        <v>22</v>
      </c>
      <c r="H54">
        <v>13</v>
      </c>
      <c r="I54">
        <v>0.6</v>
      </c>
      <c r="J54">
        <v>0.59</v>
      </c>
      <c r="K54">
        <v>0</v>
      </c>
      <c r="L54">
        <v>1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1</v>
      </c>
      <c r="X54">
        <v>0</v>
      </c>
      <c r="Y54">
        <v>0</v>
      </c>
      <c r="Z54">
        <v>0</v>
      </c>
      <c r="AA54" s="86">
        <f>AVERAGEIFS($C$2:C54, $B$2:B54, B54)</f>
        <v>25.6</v>
      </c>
      <c r="AB54" s="86">
        <f>AVERAGEIFS($I$2:I54, $B$2:B54, B54)</f>
        <v>0.48</v>
      </c>
      <c r="AC54" s="86">
        <f>AVERAGEIFS($J$2:J54, $B$2:B54, B54)</f>
        <v>0.51200000000000001</v>
      </c>
      <c r="AD54" s="86">
        <f>AVERAGEIFS($D$2:D54, $B$2:B54, B54)</f>
        <v>0.4</v>
      </c>
    </row>
    <row r="55" spans="1:30" x14ac:dyDescent="0.25">
      <c r="A55" s="85">
        <v>46029</v>
      </c>
      <c r="B55" t="s">
        <v>20</v>
      </c>
      <c r="C55">
        <v>17</v>
      </c>
      <c r="D55">
        <v>1</v>
      </c>
      <c r="E55">
        <v>5</v>
      </c>
      <c r="F55">
        <v>3</v>
      </c>
      <c r="G55">
        <v>22</v>
      </c>
      <c r="H55">
        <v>13</v>
      </c>
      <c r="I55">
        <v>0.6</v>
      </c>
      <c r="J55">
        <v>0.59</v>
      </c>
      <c r="K55">
        <v>0</v>
      </c>
      <c r="L55">
        <v>1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1</v>
      </c>
      <c r="X55">
        <v>0</v>
      </c>
      <c r="Y55">
        <v>0</v>
      </c>
      <c r="Z55">
        <v>0</v>
      </c>
      <c r="AA55" s="86">
        <f>AVERAGEIFS($C$2:C55, $B$2:B55, B55)</f>
        <v>12.333333333333334</v>
      </c>
      <c r="AB55" s="86">
        <f>AVERAGEIFS($I$2:I55, $B$2:B55, B55)</f>
        <v>0.41666666666666669</v>
      </c>
      <c r="AC55" s="86">
        <f>AVERAGEIFS($J$2:J55, $B$2:B55, B55)</f>
        <v>0.44333333333333336</v>
      </c>
      <c r="AD55" s="86">
        <f>AVERAGEIFS($D$2:D55, $B$2:B55, B55)</f>
        <v>0.33333333333333331</v>
      </c>
    </row>
    <row r="56" spans="1:30" x14ac:dyDescent="0.25">
      <c r="A56" s="85">
        <v>46029</v>
      </c>
      <c r="B56" t="s">
        <v>51</v>
      </c>
      <c r="C56">
        <v>14</v>
      </c>
      <c r="D56">
        <v>1</v>
      </c>
      <c r="E56">
        <v>5</v>
      </c>
      <c r="F56">
        <v>3</v>
      </c>
      <c r="G56">
        <v>22</v>
      </c>
      <c r="H56">
        <v>13</v>
      </c>
      <c r="I56">
        <v>0.6</v>
      </c>
      <c r="J56">
        <v>0.59</v>
      </c>
      <c r="K56">
        <v>0</v>
      </c>
      <c r="L56">
        <v>1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1</v>
      </c>
      <c r="X56">
        <v>0</v>
      </c>
      <c r="Y56">
        <v>0</v>
      </c>
      <c r="Z56">
        <v>0</v>
      </c>
      <c r="AA56" s="86">
        <f>AVERAGEIFS($C$2:C56, $B$2:B56, B56)</f>
        <v>13.5</v>
      </c>
      <c r="AB56" s="86">
        <f>AVERAGEIFS($I$2:I56, $B$2:B56, B56)</f>
        <v>0.55000000000000004</v>
      </c>
      <c r="AC56" s="86">
        <f>AVERAGEIFS($J$2:J56, $B$2:B56, B56)</f>
        <v>0.51500000000000001</v>
      </c>
      <c r="AD56" s="86">
        <f>AVERAGEIFS($D$2:D56, $B$2:B56, B56)</f>
        <v>0.75</v>
      </c>
    </row>
    <row r="57" spans="1:30" x14ac:dyDescent="0.25">
      <c r="A57" s="85">
        <v>46029</v>
      </c>
      <c r="B57" t="s">
        <v>6</v>
      </c>
      <c r="C57">
        <v>13</v>
      </c>
      <c r="D57">
        <v>1</v>
      </c>
      <c r="E57">
        <v>5</v>
      </c>
      <c r="F57">
        <v>3</v>
      </c>
      <c r="G57">
        <v>22</v>
      </c>
      <c r="H57">
        <v>13</v>
      </c>
      <c r="I57">
        <v>0.6</v>
      </c>
      <c r="J57">
        <v>0.59</v>
      </c>
      <c r="K57">
        <v>0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1</v>
      </c>
      <c r="X57">
        <v>0</v>
      </c>
      <c r="Y57">
        <v>0</v>
      </c>
      <c r="Z57">
        <v>0</v>
      </c>
      <c r="AA57" s="86">
        <f>AVERAGEIFS($C$2:C57, $B$2:B57, B57)</f>
        <v>13</v>
      </c>
      <c r="AB57" s="86">
        <f>AVERAGEIFS($I$2:I57, $B$2:B57, B57)</f>
        <v>0.6</v>
      </c>
      <c r="AC57" s="86">
        <f>AVERAGEIFS($J$2:J57, $B$2:B57, B57)</f>
        <v>0.59</v>
      </c>
      <c r="AD57" s="86">
        <f>AVERAGEIFS($D$2:D57, $B$2:B57, B57)</f>
        <v>1</v>
      </c>
    </row>
    <row r="58" spans="1:30" x14ac:dyDescent="0.25">
      <c r="A58" s="85">
        <v>46029</v>
      </c>
      <c r="B58" t="s">
        <v>54</v>
      </c>
      <c r="C58">
        <v>12</v>
      </c>
      <c r="D58">
        <v>1</v>
      </c>
      <c r="E58">
        <v>5</v>
      </c>
      <c r="F58">
        <v>3</v>
      </c>
      <c r="G58">
        <v>22</v>
      </c>
      <c r="H58">
        <v>13</v>
      </c>
      <c r="I58">
        <v>0.6</v>
      </c>
      <c r="J58">
        <v>0.59</v>
      </c>
      <c r="K58">
        <v>0</v>
      </c>
      <c r="L58">
        <v>1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1</v>
      </c>
      <c r="X58">
        <v>0</v>
      </c>
      <c r="Y58">
        <v>0</v>
      </c>
      <c r="Z58">
        <v>0</v>
      </c>
      <c r="AA58" s="86">
        <f>AVERAGEIFS($C$2:C58, $B$2:B58, B58)</f>
        <v>12</v>
      </c>
      <c r="AB58" s="86">
        <f>AVERAGEIFS($I$2:I58, $B$2:B58, B58)</f>
        <v>0.6</v>
      </c>
      <c r="AC58" s="86">
        <f>AVERAGEIFS($J$2:J58, $B$2:B58, B58)</f>
        <v>0.59</v>
      </c>
      <c r="AD58" s="86">
        <f>AVERAGEIFS($D$2:D58, $B$2:B58, B58)</f>
        <v>1</v>
      </c>
    </row>
    <row r="59" spans="1:30" x14ac:dyDescent="0.25">
      <c r="A59" s="85">
        <v>46029</v>
      </c>
      <c r="B59" t="s">
        <v>46</v>
      </c>
      <c r="C59">
        <v>30</v>
      </c>
      <c r="D59">
        <v>0</v>
      </c>
      <c r="E59">
        <v>5</v>
      </c>
      <c r="F59">
        <v>2</v>
      </c>
      <c r="G59">
        <v>22</v>
      </c>
      <c r="H59">
        <v>9</v>
      </c>
      <c r="I59">
        <v>0.4</v>
      </c>
      <c r="J59">
        <v>0.41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1</v>
      </c>
      <c r="Y59">
        <v>0</v>
      </c>
      <c r="Z59">
        <v>0</v>
      </c>
      <c r="AA59" s="86">
        <f>AVERAGEIFS($C$2:C59, $B$2:B59, B59)</f>
        <v>30</v>
      </c>
      <c r="AB59" s="86">
        <f>AVERAGEIFS($I$2:I59, $B$2:B59, B59)</f>
        <v>0.4</v>
      </c>
      <c r="AC59" s="86">
        <f>AVERAGEIFS($J$2:J59, $B$2:B59, B59)</f>
        <v>0.41</v>
      </c>
      <c r="AD59" s="86">
        <f>AVERAGEIFS($D$2:D59, $B$2:B59, B59)</f>
        <v>0</v>
      </c>
    </row>
    <row r="60" spans="1:30" x14ac:dyDescent="0.25">
      <c r="A60" s="85">
        <v>46029</v>
      </c>
      <c r="B60" t="s">
        <v>17</v>
      </c>
      <c r="C60">
        <v>23</v>
      </c>
      <c r="D60">
        <v>0</v>
      </c>
      <c r="E60">
        <v>5</v>
      </c>
      <c r="F60">
        <v>2</v>
      </c>
      <c r="G60">
        <v>22</v>
      </c>
      <c r="H60">
        <v>9</v>
      </c>
      <c r="I60">
        <v>0.4</v>
      </c>
      <c r="J60">
        <v>0.41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1</v>
      </c>
      <c r="Y60">
        <v>0</v>
      </c>
      <c r="Z60">
        <v>0</v>
      </c>
      <c r="AA60" s="86">
        <f>AVERAGEIFS($C$2:C60, $B$2:B60, B60)</f>
        <v>22.8</v>
      </c>
      <c r="AB60" s="86">
        <f>AVERAGEIFS($I$2:I60, $B$2:B60, B60)</f>
        <v>0.57999999999999996</v>
      </c>
      <c r="AC60" s="86">
        <f>AVERAGEIFS($J$2:J60, $B$2:B60, B60)</f>
        <v>0.55400000000000005</v>
      </c>
      <c r="AD60" s="86">
        <f>AVERAGEIFS($D$2:D60, $B$2:B60, B60)</f>
        <v>0.6</v>
      </c>
    </row>
    <row r="61" spans="1:30" x14ac:dyDescent="0.25">
      <c r="A61" s="85">
        <v>46029</v>
      </c>
      <c r="B61" t="s">
        <v>15</v>
      </c>
      <c r="C61">
        <v>21</v>
      </c>
      <c r="D61">
        <v>0</v>
      </c>
      <c r="E61">
        <v>5</v>
      </c>
      <c r="F61">
        <v>2</v>
      </c>
      <c r="G61">
        <v>22</v>
      </c>
      <c r="H61">
        <v>9</v>
      </c>
      <c r="I61">
        <v>0.4</v>
      </c>
      <c r="J61">
        <v>0.41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1</v>
      </c>
      <c r="Y61">
        <v>0</v>
      </c>
      <c r="Z61">
        <v>0</v>
      </c>
      <c r="AA61" s="86">
        <f>AVERAGEIFS($C$2:C61, $B$2:B61, B61)</f>
        <v>24.25</v>
      </c>
      <c r="AB61" s="86">
        <f>AVERAGEIFS($I$2:I61, $B$2:B61, B61)</f>
        <v>0.375</v>
      </c>
      <c r="AC61" s="86">
        <f>AVERAGEIFS($J$2:J61, $B$2:B61, B61)</f>
        <v>0.41749999999999993</v>
      </c>
      <c r="AD61" s="86">
        <f>AVERAGEIFS($D$2:D61, $B$2:B61, B61)</f>
        <v>0.25</v>
      </c>
    </row>
    <row r="62" spans="1:30" x14ac:dyDescent="0.25">
      <c r="A62" s="85">
        <v>46029</v>
      </c>
      <c r="B62" t="s">
        <v>29</v>
      </c>
      <c r="C62">
        <v>12</v>
      </c>
      <c r="D62">
        <v>0</v>
      </c>
      <c r="E62">
        <v>5</v>
      </c>
      <c r="F62">
        <v>2</v>
      </c>
      <c r="G62">
        <v>22</v>
      </c>
      <c r="H62">
        <v>9</v>
      </c>
      <c r="I62">
        <v>0.4</v>
      </c>
      <c r="J62">
        <v>0.41</v>
      </c>
      <c r="K62">
        <v>0</v>
      </c>
      <c r="L62">
        <v>0</v>
      </c>
      <c r="M62">
        <v>0</v>
      </c>
      <c r="N62">
        <v>0</v>
      </c>
      <c r="O62">
        <v>0</v>
      </c>
      <c r="P62">
        <v>1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10.75</v>
      </c>
      <c r="AB62" s="86">
        <f>AVERAGEIFS($I$2:I62, $B$2:B62, B62)</f>
        <v>0.57499999999999996</v>
      </c>
      <c r="AC62" s="86">
        <f>AVERAGEIFS($J$2:J62, $B$2:B62, B62)</f>
        <v>0.53999999999999992</v>
      </c>
      <c r="AD62" s="86">
        <f>AVERAGEIFS($D$2:D62, $B$2:B62, B62)</f>
        <v>0.5</v>
      </c>
    </row>
    <row r="63" spans="1:30" x14ac:dyDescent="0.25">
      <c r="A63" s="85">
        <v>46029</v>
      </c>
      <c r="B63" t="s">
        <v>19</v>
      </c>
      <c r="C63">
        <v>8</v>
      </c>
      <c r="D63">
        <v>0</v>
      </c>
      <c r="E63">
        <v>5</v>
      </c>
      <c r="F63">
        <v>2</v>
      </c>
      <c r="G63">
        <v>22</v>
      </c>
      <c r="H63">
        <v>9</v>
      </c>
      <c r="I63">
        <v>0.4</v>
      </c>
      <c r="J63">
        <v>0.41</v>
      </c>
      <c r="K63">
        <v>0</v>
      </c>
      <c r="L63">
        <v>0</v>
      </c>
      <c r="M63">
        <v>0</v>
      </c>
      <c r="N63">
        <v>0</v>
      </c>
      <c r="O63">
        <v>0</v>
      </c>
      <c r="P63">
        <v>1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9.8000000000000007</v>
      </c>
      <c r="AB63" s="86">
        <f>AVERAGEIFS($I$2:I63, $B$2:B63, B63)</f>
        <v>0.48</v>
      </c>
      <c r="AC63" s="86">
        <f>AVERAGEIFS($J$2:J63, $B$2:B63, B63)</f>
        <v>0.504</v>
      </c>
      <c r="AD63" s="86">
        <f>AVERAGEIFS($D$2:D63, $B$2:B63, B63)</f>
        <v>0.4</v>
      </c>
    </row>
    <row r="64" spans="1:30" x14ac:dyDescent="0.25">
      <c r="A64" s="85">
        <v>46029</v>
      </c>
      <c r="B64" t="s">
        <v>45</v>
      </c>
      <c r="C64">
        <v>8</v>
      </c>
      <c r="D64" s="86">
        <v>0</v>
      </c>
      <c r="E64">
        <v>5</v>
      </c>
      <c r="F64">
        <v>2</v>
      </c>
      <c r="G64">
        <v>22</v>
      </c>
      <c r="H64">
        <v>9</v>
      </c>
      <c r="I64">
        <v>0.4</v>
      </c>
      <c r="J64">
        <v>0.41</v>
      </c>
      <c r="K64">
        <v>0</v>
      </c>
      <c r="L64">
        <v>0</v>
      </c>
      <c r="M64">
        <v>0</v>
      </c>
      <c r="N64">
        <v>0</v>
      </c>
      <c r="O64">
        <v>0</v>
      </c>
      <c r="P64">
        <v>1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8</v>
      </c>
      <c r="AB64" s="86">
        <f>AVERAGEIFS($I$2:I64, $B$2:B64, B64)</f>
        <v>0.4</v>
      </c>
      <c r="AC64" s="86">
        <f>AVERAGEIFS($J$2:J64, $B$2:B64, B64)</f>
        <v>0.41</v>
      </c>
      <c r="AD64" s="86">
        <f>AVERAGEIFS($D$2:D64, $B$2:B64, B64)</f>
        <v>0</v>
      </c>
    </row>
    <row r="65" spans="1:30" x14ac:dyDescent="0.25">
      <c r="A65" s="85">
        <v>46030</v>
      </c>
      <c r="B65" t="s">
        <v>13</v>
      </c>
      <c r="C65">
        <v>22</v>
      </c>
      <c r="D65">
        <v>1</v>
      </c>
      <c r="E65">
        <v>4</v>
      </c>
      <c r="F65">
        <v>3</v>
      </c>
      <c r="G65">
        <v>15</v>
      </c>
      <c r="H65">
        <v>10</v>
      </c>
      <c r="I65">
        <v>0.75</v>
      </c>
      <c r="J65">
        <v>0.67</v>
      </c>
      <c r="K65">
        <v>1</v>
      </c>
      <c r="L65">
        <v>0</v>
      </c>
      <c r="M65">
        <v>0</v>
      </c>
      <c r="N65">
        <v>0</v>
      </c>
      <c r="O65">
        <v>0</v>
      </c>
      <c r="P65">
        <v>1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1</v>
      </c>
      <c r="AA65" s="86">
        <f>AVERAGEIFS($C$2:C65, $B$2:B65, B65)</f>
        <v>25</v>
      </c>
      <c r="AB65" s="86">
        <f>AVERAGEIFS($I$2:I65, $B$2:B65, B65)</f>
        <v>0.52500000000000002</v>
      </c>
      <c r="AC65" s="86">
        <f>AVERAGEIFS($J$2:J65, $B$2:B65, B65)</f>
        <v>0.53833333333333333</v>
      </c>
      <c r="AD65" s="86">
        <f>AVERAGEIFS($D$2:D65, $B$2:B65, B65)</f>
        <v>0.5</v>
      </c>
    </row>
    <row r="66" spans="1:30" x14ac:dyDescent="0.25">
      <c r="A66" s="85">
        <v>46030</v>
      </c>
      <c r="B66" t="s">
        <v>28</v>
      </c>
      <c r="C66">
        <v>13</v>
      </c>
      <c r="D66">
        <v>1</v>
      </c>
      <c r="E66">
        <v>4</v>
      </c>
      <c r="F66">
        <v>3</v>
      </c>
      <c r="G66">
        <v>15</v>
      </c>
      <c r="H66">
        <v>10</v>
      </c>
      <c r="I66">
        <v>0.75</v>
      </c>
      <c r="J66">
        <v>0.67</v>
      </c>
      <c r="K66">
        <v>1</v>
      </c>
      <c r="L66">
        <v>0</v>
      </c>
      <c r="M66">
        <v>0</v>
      </c>
      <c r="N66">
        <v>0</v>
      </c>
      <c r="O66">
        <v>0</v>
      </c>
      <c r="P66">
        <v>1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86">
        <f>AVERAGEIFS($C$2:C66, $B$2:B66, B66)</f>
        <v>12.25</v>
      </c>
      <c r="AB66" s="86">
        <f>AVERAGEIFS($I$2:I66, $B$2:B66, B66)</f>
        <v>0.53749999999999998</v>
      </c>
      <c r="AC66" s="86">
        <f>AVERAGEIFS($J$2:J66, $B$2:B66, B66)</f>
        <v>0.55249999999999999</v>
      </c>
      <c r="AD66" s="86">
        <f>AVERAGEIFS($D$2:D66, $B$2:B66, B66)</f>
        <v>0.5</v>
      </c>
    </row>
    <row r="67" spans="1:30" x14ac:dyDescent="0.25">
      <c r="A67" s="85">
        <v>46030</v>
      </c>
      <c r="B67" t="s">
        <v>6</v>
      </c>
      <c r="C67">
        <v>11</v>
      </c>
      <c r="D67">
        <v>1</v>
      </c>
      <c r="E67">
        <v>4</v>
      </c>
      <c r="F67">
        <v>3</v>
      </c>
      <c r="G67">
        <v>15</v>
      </c>
      <c r="H67">
        <v>10</v>
      </c>
      <c r="I67">
        <v>0.75</v>
      </c>
      <c r="J67">
        <v>0.67</v>
      </c>
      <c r="K67">
        <v>1</v>
      </c>
      <c r="L67">
        <v>0</v>
      </c>
      <c r="M67">
        <v>0</v>
      </c>
      <c r="N67">
        <v>0</v>
      </c>
      <c r="O67">
        <v>0</v>
      </c>
      <c r="P67">
        <v>1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86">
        <f>AVERAGEIFS($C$2:C67, $B$2:B67, B67)</f>
        <v>12</v>
      </c>
      <c r="AB67" s="86">
        <f>AVERAGEIFS($I$2:I67, $B$2:B67, B67)</f>
        <v>0.67500000000000004</v>
      </c>
      <c r="AC67" s="86">
        <f>AVERAGEIFS($J$2:J67, $B$2:B67, B67)</f>
        <v>0.63</v>
      </c>
      <c r="AD67" s="86">
        <f>AVERAGEIFS($D$2:D67, $B$2:B67, B67)</f>
        <v>1</v>
      </c>
    </row>
    <row r="68" spans="1:30" x14ac:dyDescent="0.25">
      <c r="A68" s="85">
        <v>46030</v>
      </c>
      <c r="B68" t="s">
        <v>2</v>
      </c>
      <c r="C68">
        <v>9</v>
      </c>
      <c r="D68">
        <v>1</v>
      </c>
      <c r="E68">
        <v>4</v>
      </c>
      <c r="F68">
        <v>3</v>
      </c>
      <c r="G68">
        <v>15</v>
      </c>
      <c r="H68">
        <v>10</v>
      </c>
      <c r="I68">
        <v>0.75</v>
      </c>
      <c r="J68">
        <v>0.67</v>
      </c>
      <c r="K68">
        <v>1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86">
        <f>AVERAGEIFS($C$2:C68, $B$2:B68, B68)</f>
        <v>21.333333333333332</v>
      </c>
      <c r="AB68" s="86">
        <f>AVERAGEIFS($I$2:I68, $B$2:B68, B68)</f>
        <v>0.58333333333333337</v>
      </c>
      <c r="AC68" s="86">
        <f>AVERAGEIFS($J$2:J68, $B$2:B68, B68)</f>
        <v>0.53666666666666663</v>
      </c>
      <c r="AD68" s="86">
        <f>AVERAGEIFS($D$2:D68, $B$2:B68, B68)</f>
        <v>0.66666666666666663</v>
      </c>
    </row>
    <row r="69" spans="1:30" x14ac:dyDescent="0.25">
      <c r="A69" s="85">
        <v>46030</v>
      </c>
      <c r="B69" t="s">
        <v>17</v>
      </c>
      <c r="C69">
        <v>8</v>
      </c>
      <c r="D69">
        <v>1</v>
      </c>
      <c r="E69">
        <v>4</v>
      </c>
      <c r="F69">
        <v>3</v>
      </c>
      <c r="G69">
        <v>15</v>
      </c>
      <c r="H69">
        <v>10</v>
      </c>
      <c r="I69">
        <v>0.75</v>
      </c>
      <c r="J69">
        <v>0.67</v>
      </c>
      <c r="K69">
        <v>1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86">
        <f>AVERAGEIFS($C$2:C69, $B$2:B69, B69)</f>
        <v>20.333333333333332</v>
      </c>
      <c r="AB69" s="86">
        <f>AVERAGEIFS($I$2:I69, $B$2:B69, B69)</f>
        <v>0.60833333333333328</v>
      </c>
      <c r="AC69" s="86">
        <f>AVERAGEIFS($J$2:J69, $B$2:B69, B69)</f>
        <v>0.57333333333333336</v>
      </c>
      <c r="AD69" s="86">
        <f>AVERAGEIFS($D$2:D69, $B$2:B69, B69)</f>
        <v>0.66666666666666663</v>
      </c>
    </row>
    <row r="70" spans="1:30" x14ac:dyDescent="0.25">
      <c r="A70" s="85">
        <v>46030</v>
      </c>
      <c r="B70" t="s">
        <v>51</v>
      </c>
      <c r="C70">
        <v>7</v>
      </c>
      <c r="D70">
        <v>1</v>
      </c>
      <c r="E70">
        <v>4</v>
      </c>
      <c r="F70">
        <v>3</v>
      </c>
      <c r="G70">
        <v>15</v>
      </c>
      <c r="H70">
        <v>10</v>
      </c>
      <c r="I70">
        <v>0.75</v>
      </c>
      <c r="J70">
        <v>0.67</v>
      </c>
      <c r="K70">
        <v>1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86">
        <f>AVERAGEIFS($C$2:C70, $B$2:B70, B70)</f>
        <v>12.2</v>
      </c>
      <c r="AB70" s="86">
        <f>AVERAGEIFS($I$2:I70, $B$2:B70, B70)</f>
        <v>0.59000000000000008</v>
      </c>
      <c r="AC70" s="86">
        <f>AVERAGEIFS($J$2:J70, $B$2:B70, B70)</f>
        <v>0.54600000000000004</v>
      </c>
      <c r="AD70" s="86">
        <f>AVERAGEIFS($D$2:D70, $B$2:B70, B70)</f>
        <v>0.8</v>
      </c>
    </row>
    <row r="71" spans="1:30" x14ac:dyDescent="0.25">
      <c r="A71" s="85">
        <v>46030</v>
      </c>
      <c r="B71" t="s">
        <v>15</v>
      </c>
      <c r="C71">
        <v>17</v>
      </c>
      <c r="D71">
        <v>0</v>
      </c>
      <c r="E71">
        <v>4</v>
      </c>
      <c r="F71">
        <v>1</v>
      </c>
      <c r="G71">
        <v>15</v>
      </c>
      <c r="H71">
        <v>5</v>
      </c>
      <c r="I71">
        <v>0.25</v>
      </c>
      <c r="J71">
        <v>0.33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1</v>
      </c>
      <c r="Y71">
        <v>0</v>
      </c>
      <c r="Z71">
        <v>0</v>
      </c>
      <c r="AA71" s="86">
        <f>AVERAGEIFS($C$2:C71, $B$2:B71, B71)</f>
        <v>22.8</v>
      </c>
      <c r="AB71" s="86">
        <f>AVERAGEIFS($I$2:I71, $B$2:B71, B71)</f>
        <v>0.35</v>
      </c>
      <c r="AC71" s="86">
        <f>AVERAGEIFS($J$2:J71, $B$2:B71, B71)</f>
        <v>0.39999999999999997</v>
      </c>
      <c r="AD71" s="86">
        <f>AVERAGEIFS($D$2:D71, $B$2:B71, B71)</f>
        <v>0.2</v>
      </c>
    </row>
    <row r="72" spans="1:30" x14ac:dyDescent="0.25">
      <c r="A72" s="85">
        <v>46030</v>
      </c>
      <c r="B72" t="s">
        <v>14</v>
      </c>
      <c r="C72">
        <v>14</v>
      </c>
      <c r="D72">
        <v>0</v>
      </c>
      <c r="E72">
        <v>4</v>
      </c>
      <c r="F72">
        <v>1</v>
      </c>
      <c r="G72">
        <v>15</v>
      </c>
      <c r="H72">
        <v>5</v>
      </c>
      <c r="I72">
        <v>0.25</v>
      </c>
      <c r="J72">
        <v>0.33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1</v>
      </c>
      <c r="Y72">
        <v>0</v>
      </c>
      <c r="Z72">
        <v>0</v>
      </c>
      <c r="AA72" s="86">
        <f>AVERAGEIFS($C$2:C72, $B$2:B72, B72)</f>
        <v>22</v>
      </c>
      <c r="AB72" s="86">
        <f>AVERAGEIFS($I$2:I72, $B$2:B72, B72)</f>
        <v>0.52</v>
      </c>
      <c r="AC72" s="86">
        <f>AVERAGEIFS($J$2:J72, $B$2:B72, B72)</f>
        <v>0.502</v>
      </c>
      <c r="AD72" s="86">
        <f>AVERAGEIFS($D$2:D72, $B$2:B72, B72)</f>
        <v>0.6</v>
      </c>
    </row>
    <row r="73" spans="1:30" x14ac:dyDescent="0.25">
      <c r="A73" s="85">
        <v>46030</v>
      </c>
      <c r="B73" t="s">
        <v>3</v>
      </c>
      <c r="C73">
        <v>12</v>
      </c>
      <c r="D73">
        <v>0</v>
      </c>
      <c r="E73">
        <v>4</v>
      </c>
      <c r="F73">
        <v>1</v>
      </c>
      <c r="G73">
        <v>15</v>
      </c>
      <c r="H73">
        <v>5</v>
      </c>
      <c r="I73">
        <v>0.25</v>
      </c>
      <c r="J73">
        <v>0.33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1</v>
      </c>
      <c r="Y73">
        <v>0</v>
      </c>
      <c r="Z73">
        <v>0</v>
      </c>
      <c r="AA73" s="86">
        <f>AVERAGEIFS($C$2:C73, $B$2:B73, B73)</f>
        <v>19.75</v>
      </c>
      <c r="AB73" s="86">
        <f>AVERAGEIFS($I$2:I73, $B$2:B73, B73)</f>
        <v>0.53749999999999998</v>
      </c>
      <c r="AC73" s="86">
        <f>AVERAGEIFS($J$2:J73, $B$2:B73, B73)</f>
        <v>0.51999999999999991</v>
      </c>
      <c r="AD73" s="86">
        <f>AVERAGEIFS($D$2:D73, $B$2:B73, B73)</f>
        <v>0.5</v>
      </c>
    </row>
    <row r="74" spans="1:30" x14ac:dyDescent="0.25">
      <c r="A74" s="85">
        <v>46030</v>
      </c>
      <c r="B74" t="s">
        <v>19</v>
      </c>
      <c r="C74">
        <v>9</v>
      </c>
      <c r="D74">
        <v>0</v>
      </c>
      <c r="E74">
        <v>4</v>
      </c>
      <c r="F74">
        <v>1</v>
      </c>
      <c r="G74">
        <v>15</v>
      </c>
      <c r="H74">
        <v>5</v>
      </c>
      <c r="I74">
        <v>0.25</v>
      </c>
      <c r="J74">
        <v>0.33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1</v>
      </c>
      <c r="Y74">
        <v>0</v>
      </c>
      <c r="Z74">
        <v>0</v>
      </c>
      <c r="AA74" s="86">
        <f>AVERAGEIFS($C$2:C74, $B$2:B74, B74)</f>
        <v>9.6666666666666661</v>
      </c>
      <c r="AB74" s="86">
        <f>AVERAGEIFS($I$2:I74, $B$2:B74, B74)</f>
        <v>0.44166666666666665</v>
      </c>
      <c r="AC74" s="86">
        <f>AVERAGEIFS($J$2:J74, $B$2:B74, B74)</f>
        <v>0.47500000000000003</v>
      </c>
      <c r="AD74" s="86">
        <f>AVERAGEIFS($D$2:D74, $B$2:B74, B74)</f>
        <v>0.33333333333333331</v>
      </c>
    </row>
    <row r="75" spans="1:30" x14ac:dyDescent="0.25">
      <c r="A75" s="85">
        <v>46030</v>
      </c>
      <c r="B75" t="s">
        <v>20</v>
      </c>
      <c r="C75">
        <v>7</v>
      </c>
      <c r="D75">
        <v>0</v>
      </c>
      <c r="E75">
        <v>4</v>
      </c>
      <c r="F75">
        <v>1</v>
      </c>
      <c r="G75">
        <v>15</v>
      </c>
      <c r="H75">
        <v>5</v>
      </c>
      <c r="I75">
        <v>0.25</v>
      </c>
      <c r="J75">
        <v>0.33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1</v>
      </c>
      <c r="Y75">
        <v>0</v>
      </c>
      <c r="Z75">
        <v>0</v>
      </c>
      <c r="AA75" s="86">
        <f>AVERAGEIFS($C$2:C75, $B$2:B75, B75)</f>
        <v>11</v>
      </c>
      <c r="AB75" s="86">
        <f>AVERAGEIFS($I$2:I75, $B$2:B75, B75)</f>
        <v>0.375</v>
      </c>
      <c r="AC75" s="86">
        <f>AVERAGEIFS($J$2:J75, $B$2:B75, B75)</f>
        <v>0.41500000000000004</v>
      </c>
      <c r="AD75" s="86">
        <f>AVERAGEIFS($D$2:D75, $B$2:B75, B75)</f>
        <v>0.25</v>
      </c>
    </row>
    <row r="76" spans="1:30" x14ac:dyDescent="0.25">
      <c r="A76" s="85">
        <v>46030</v>
      </c>
      <c r="B76" t="s">
        <v>45</v>
      </c>
      <c r="C76">
        <v>5</v>
      </c>
      <c r="D76" s="86">
        <v>0</v>
      </c>
      <c r="E76">
        <v>4</v>
      </c>
      <c r="F76">
        <v>1</v>
      </c>
      <c r="G76">
        <v>15</v>
      </c>
      <c r="H76">
        <v>5</v>
      </c>
      <c r="I76">
        <v>0.25</v>
      </c>
      <c r="J76">
        <v>0.33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1</v>
      </c>
      <c r="Y76">
        <v>0</v>
      </c>
      <c r="Z76">
        <v>0</v>
      </c>
      <c r="AA76" s="86">
        <f>AVERAGEIFS($C$2:C76, $B$2:B76, B76)</f>
        <v>6.5</v>
      </c>
      <c r="AB76" s="86">
        <f>AVERAGEIFS($I$2:I76, $B$2:B76, B76)</f>
        <v>0.32500000000000001</v>
      </c>
      <c r="AC76" s="86">
        <f>AVERAGEIFS($J$2:J76, $B$2:B76, B76)</f>
        <v>0.37</v>
      </c>
      <c r="AD76" s="86">
        <f>AVERAGEIFS($D$2:D76, $B$2:B76, B76)</f>
        <v>0</v>
      </c>
    </row>
    <row r="77" spans="1:30" x14ac:dyDescent="0.25">
      <c r="A77" s="85">
        <v>46032</v>
      </c>
      <c r="B77" t="s">
        <v>13</v>
      </c>
      <c r="C77">
        <v>25</v>
      </c>
      <c r="D77">
        <v>1</v>
      </c>
      <c r="E77">
        <v>4</v>
      </c>
      <c r="F77">
        <v>3</v>
      </c>
      <c r="G77">
        <v>17</v>
      </c>
      <c r="H77">
        <v>9</v>
      </c>
      <c r="I77">
        <v>0.75</v>
      </c>
      <c r="J77">
        <v>0.53</v>
      </c>
      <c r="K77">
        <v>0</v>
      </c>
      <c r="L77">
        <v>0</v>
      </c>
      <c r="M77">
        <v>0</v>
      </c>
      <c r="N77">
        <v>1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1</v>
      </c>
      <c r="Y77">
        <v>0</v>
      </c>
      <c r="Z77">
        <v>1</v>
      </c>
      <c r="AA77" s="86">
        <f>AVERAGEIFS($C$2:C77, $B$2:B77, B77)</f>
        <v>25</v>
      </c>
      <c r="AB77" s="86">
        <f>AVERAGEIFS($I$2:I77, $B$2:B77, B77)</f>
        <v>0.55714285714285716</v>
      </c>
      <c r="AC77" s="86">
        <f>AVERAGEIFS($J$2:J77, $B$2:B77, B77)</f>
        <v>0.53714285714285714</v>
      </c>
      <c r="AD77" s="86">
        <f>AVERAGEIFS($D$2:D77, $B$2:B77, B77)</f>
        <v>0.5714285714285714</v>
      </c>
    </row>
    <row r="78" spans="1:30" x14ac:dyDescent="0.25">
      <c r="A78" s="85">
        <v>46032</v>
      </c>
      <c r="B78" t="s">
        <v>18</v>
      </c>
      <c r="C78">
        <v>19</v>
      </c>
      <c r="D78">
        <v>1</v>
      </c>
      <c r="E78">
        <v>4</v>
      </c>
      <c r="F78">
        <v>3</v>
      </c>
      <c r="G78">
        <v>17</v>
      </c>
      <c r="H78">
        <v>9</v>
      </c>
      <c r="I78">
        <v>0.75</v>
      </c>
      <c r="J78">
        <v>0.53</v>
      </c>
      <c r="K78">
        <v>0</v>
      </c>
      <c r="L78">
        <v>0</v>
      </c>
      <c r="M78">
        <v>0</v>
      </c>
      <c r="N78">
        <v>1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1</v>
      </c>
      <c r="Y78">
        <v>0</v>
      </c>
      <c r="Z78">
        <v>1</v>
      </c>
      <c r="AA78" s="86">
        <f>AVERAGEIFS($C$2:C78, $B$2:B78, B78)</f>
        <v>19.666666666666668</v>
      </c>
      <c r="AB78" s="86">
        <f>AVERAGEIFS($I$2:I78, $B$2:B78, B78)</f>
        <v>0.53333333333333333</v>
      </c>
      <c r="AC78" s="86">
        <f>AVERAGEIFS($J$2:J78, $B$2:B78, B78)</f>
        <v>0.47</v>
      </c>
      <c r="AD78" s="86">
        <f>AVERAGEIFS($D$2:D78, $B$2:B78, B78)</f>
        <v>0.66666666666666663</v>
      </c>
    </row>
    <row r="79" spans="1:30" x14ac:dyDescent="0.25">
      <c r="A79" s="85">
        <v>46032</v>
      </c>
      <c r="B79" t="s">
        <v>55</v>
      </c>
      <c r="C79">
        <v>13</v>
      </c>
      <c r="D79">
        <v>1</v>
      </c>
      <c r="E79">
        <v>4</v>
      </c>
      <c r="F79">
        <v>3</v>
      </c>
      <c r="G79">
        <v>17</v>
      </c>
      <c r="H79">
        <v>9</v>
      </c>
      <c r="I79">
        <v>0.75</v>
      </c>
      <c r="J79">
        <v>0.53</v>
      </c>
      <c r="K79">
        <v>0</v>
      </c>
      <c r="L79">
        <v>0</v>
      </c>
      <c r="M79">
        <v>0</v>
      </c>
      <c r="N79">
        <v>1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1</v>
      </c>
      <c r="Y79">
        <v>0</v>
      </c>
      <c r="Z79">
        <v>1</v>
      </c>
      <c r="AA79" s="86">
        <f>AVERAGEIFS($C$2:C79, $B$2:B79, B79)</f>
        <v>9.6666666666666661</v>
      </c>
      <c r="AB79" s="86">
        <f>AVERAGEIFS($I$2:I79, $B$2:B79, B79)</f>
        <v>0.58333333333333337</v>
      </c>
      <c r="AC79" s="86">
        <f>AVERAGEIFS($J$2:J79, $B$2:B79, B79)</f>
        <v>0.49</v>
      </c>
      <c r="AD79" s="86">
        <f>AVERAGEIFS($D$2:D79, $B$2:B79, B79)</f>
        <v>0.66666666666666663</v>
      </c>
    </row>
    <row r="80" spans="1:30" x14ac:dyDescent="0.25">
      <c r="A80" s="85">
        <v>46032</v>
      </c>
      <c r="B80" t="s">
        <v>14</v>
      </c>
      <c r="C80">
        <v>12</v>
      </c>
      <c r="D80">
        <v>1</v>
      </c>
      <c r="E80">
        <v>4</v>
      </c>
      <c r="F80">
        <v>3</v>
      </c>
      <c r="G80">
        <v>17</v>
      </c>
      <c r="H80">
        <v>9</v>
      </c>
      <c r="I80">
        <v>0.75</v>
      </c>
      <c r="J80">
        <v>0.53</v>
      </c>
      <c r="K80">
        <v>0</v>
      </c>
      <c r="L80">
        <v>0</v>
      </c>
      <c r="M80">
        <v>0</v>
      </c>
      <c r="N80">
        <v>1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1</v>
      </c>
      <c r="Y80">
        <v>0</v>
      </c>
      <c r="Z80">
        <v>1</v>
      </c>
      <c r="AA80" s="86">
        <f>AVERAGEIFS($C$2:C80, $B$2:B80, B80)</f>
        <v>20.333333333333332</v>
      </c>
      <c r="AB80" s="86">
        <f>AVERAGEIFS($I$2:I80, $B$2:B80, B80)</f>
        <v>0.55833333333333335</v>
      </c>
      <c r="AC80" s="86">
        <f>AVERAGEIFS($J$2:J80, $B$2:B80, B80)</f>
        <v>0.50666666666666671</v>
      </c>
      <c r="AD80" s="86">
        <f>AVERAGEIFS($D$2:D80, $B$2:B80, B80)</f>
        <v>0.66666666666666663</v>
      </c>
    </row>
    <row r="81" spans="1:30" x14ac:dyDescent="0.25">
      <c r="A81" s="85">
        <v>46032</v>
      </c>
      <c r="B81" t="s">
        <v>29</v>
      </c>
      <c r="C81">
        <v>10</v>
      </c>
      <c r="D81">
        <v>1</v>
      </c>
      <c r="E81">
        <v>4</v>
      </c>
      <c r="F81">
        <v>3</v>
      </c>
      <c r="G81">
        <v>17</v>
      </c>
      <c r="H81">
        <v>9</v>
      </c>
      <c r="I81">
        <v>0.75</v>
      </c>
      <c r="J81">
        <v>0.53</v>
      </c>
      <c r="K81">
        <v>0</v>
      </c>
      <c r="L81">
        <v>0</v>
      </c>
      <c r="M81">
        <v>0</v>
      </c>
      <c r="N81">
        <v>1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1</v>
      </c>
      <c r="Y81">
        <v>0</v>
      </c>
      <c r="Z81">
        <v>1</v>
      </c>
      <c r="AA81" s="86">
        <f>AVERAGEIFS($C$2:C81, $B$2:B81, B81)</f>
        <v>10.6</v>
      </c>
      <c r="AB81" s="86">
        <f>AVERAGEIFS($I$2:I81, $B$2:B81, B81)</f>
        <v>0.61</v>
      </c>
      <c r="AC81" s="86">
        <f>AVERAGEIFS($J$2:J81, $B$2:B81, B81)</f>
        <v>0.53799999999999992</v>
      </c>
      <c r="AD81" s="86">
        <f>AVERAGEIFS($D$2:D81, $B$2:B81, B81)</f>
        <v>0.6</v>
      </c>
    </row>
    <row r="82" spans="1:30" x14ac:dyDescent="0.25">
      <c r="A82" s="85">
        <v>46032</v>
      </c>
      <c r="B82" t="s">
        <v>26</v>
      </c>
      <c r="C82">
        <v>10</v>
      </c>
      <c r="D82">
        <v>1</v>
      </c>
      <c r="E82">
        <v>4</v>
      </c>
      <c r="F82">
        <v>3</v>
      </c>
      <c r="G82">
        <v>17</v>
      </c>
      <c r="H82">
        <v>9</v>
      </c>
      <c r="I82">
        <v>0.75</v>
      </c>
      <c r="J82">
        <v>0.53</v>
      </c>
      <c r="K82">
        <v>0</v>
      </c>
      <c r="L82">
        <v>0</v>
      </c>
      <c r="M82">
        <v>0</v>
      </c>
      <c r="N82">
        <v>1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1</v>
      </c>
      <c r="AA82" s="86">
        <f>AVERAGEIFS($C$2:C82, $B$2:B82, B82)</f>
        <v>11.333333333333334</v>
      </c>
      <c r="AB82" s="86">
        <f>AVERAGEIFS($I$2:I82, $B$2:B82, B82)</f>
        <v>0.6333333333333333</v>
      </c>
      <c r="AC82" s="86">
        <f>AVERAGEIFS($J$2:J82, $B$2:B82, B82)</f>
        <v>0.56333333333333335</v>
      </c>
      <c r="AD82" s="86">
        <f>AVERAGEIFS($D$2:D82, $B$2:B82, B82)</f>
        <v>0.66666666666666663</v>
      </c>
    </row>
    <row r="83" spans="1:30" x14ac:dyDescent="0.25">
      <c r="A83" s="85">
        <v>46032</v>
      </c>
      <c r="B83" t="s">
        <v>17</v>
      </c>
      <c r="C83">
        <v>36</v>
      </c>
      <c r="D83">
        <v>0</v>
      </c>
      <c r="E83">
        <v>4</v>
      </c>
      <c r="F83">
        <v>1</v>
      </c>
      <c r="G83">
        <v>17</v>
      </c>
      <c r="H83">
        <v>8</v>
      </c>
      <c r="I83">
        <v>0.25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1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 s="86">
        <f>AVERAGEIFS($C$2:C83, $B$2:B83, B83)</f>
        <v>22.571428571428573</v>
      </c>
      <c r="AB83" s="86">
        <f>AVERAGEIFS($I$2:I83, $B$2:B83, B83)</f>
        <v>0.55714285714285716</v>
      </c>
      <c r="AC83" s="86">
        <f>AVERAGEIFS($J$2:J83, $B$2:B83, B83)</f>
        <v>0.55857142857142861</v>
      </c>
      <c r="AD83" s="86">
        <f>AVERAGEIFS($D$2:D83, $B$2:B83, B83)</f>
        <v>0.5714285714285714</v>
      </c>
    </row>
    <row r="84" spans="1:30" x14ac:dyDescent="0.25">
      <c r="A84" s="85">
        <v>46032</v>
      </c>
      <c r="B84" t="s">
        <v>2</v>
      </c>
      <c r="C84">
        <v>18</v>
      </c>
      <c r="D84">
        <v>0</v>
      </c>
      <c r="E84">
        <v>4</v>
      </c>
      <c r="F84">
        <v>1</v>
      </c>
      <c r="G84">
        <v>17</v>
      </c>
      <c r="H84">
        <v>8</v>
      </c>
      <c r="I84">
        <v>0.25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1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 s="86">
        <f>AVERAGEIFS($C$2:C84, $B$2:B84, B84)</f>
        <v>20.5</v>
      </c>
      <c r="AB84" s="86">
        <f>AVERAGEIFS($I$2:I84, $B$2:B84, B84)</f>
        <v>0.5</v>
      </c>
      <c r="AC84" s="86">
        <f>AVERAGEIFS($J$2:J84, $B$2:B84, B84)</f>
        <v>0.52</v>
      </c>
      <c r="AD84" s="86">
        <f>AVERAGEIFS($D$2:D84, $B$2:B84, B84)</f>
        <v>0.5</v>
      </c>
    </row>
    <row r="85" spans="1:30" x14ac:dyDescent="0.25">
      <c r="A85" s="85">
        <v>46032</v>
      </c>
      <c r="B85" t="s">
        <v>51</v>
      </c>
      <c r="C85">
        <v>10</v>
      </c>
      <c r="D85">
        <v>0</v>
      </c>
      <c r="E85">
        <v>4</v>
      </c>
      <c r="F85">
        <v>1</v>
      </c>
      <c r="G85">
        <v>17</v>
      </c>
      <c r="H85">
        <v>8</v>
      </c>
      <c r="I85">
        <v>0.25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1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 s="86">
        <f>AVERAGEIFS($C$2:C85, $B$2:B85, B85)</f>
        <v>11.833333333333334</v>
      </c>
      <c r="AB85" s="86">
        <f>AVERAGEIFS($I$2:I85, $B$2:B85, B85)</f>
        <v>0.53333333333333333</v>
      </c>
      <c r="AC85" s="86">
        <f>AVERAGEIFS($J$2:J85, $B$2:B85, B85)</f>
        <v>0.53333333333333333</v>
      </c>
      <c r="AD85" s="86">
        <f>AVERAGEIFS($D$2:D85, $B$2:B85, B85)</f>
        <v>0.66666666666666663</v>
      </c>
    </row>
    <row r="86" spans="1:30" x14ac:dyDescent="0.25">
      <c r="A86" s="85">
        <v>46032</v>
      </c>
      <c r="B86" t="s">
        <v>19</v>
      </c>
      <c r="C86">
        <v>10</v>
      </c>
      <c r="D86">
        <v>0</v>
      </c>
      <c r="E86">
        <v>4</v>
      </c>
      <c r="F86">
        <v>1</v>
      </c>
      <c r="G86">
        <v>17</v>
      </c>
      <c r="H86">
        <v>8</v>
      </c>
      <c r="I86">
        <v>0.25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1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 s="86">
        <f>AVERAGEIFS($C$2:C86, $B$2:B86, B86)</f>
        <v>9.7142857142857135</v>
      </c>
      <c r="AB86" s="86">
        <f>AVERAGEIFS($I$2:I86, $B$2:B86, B86)</f>
        <v>0.41428571428571426</v>
      </c>
      <c r="AC86" s="86">
        <f>AVERAGEIFS($J$2:J86, $B$2:B86, B86)</f>
        <v>0.47428571428571431</v>
      </c>
      <c r="AD86" s="86">
        <f>AVERAGEIFS($D$2:D86, $B$2:B86, B86)</f>
        <v>0.2857142857142857</v>
      </c>
    </row>
    <row r="87" spans="1:30" x14ac:dyDescent="0.25">
      <c r="A87" s="85">
        <v>46032</v>
      </c>
      <c r="B87" t="s">
        <v>35</v>
      </c>
      <c r="C87">
        <v>5</v>
      </c>
      <c r="D87">
        <v>0</v>
      </c>
      <c r="E87">
        <v>4</v>
      </c>
      <c r="F87">
        <v>1</v>
      </c>
      <c r="G87">
        <v>17</v>
      </c>
      <c r="H87">
        <v>8</v>
      </c>
      <c r="I87">
        <v>0.25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1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 s="86">
        <f>AVERAGEIFS($C$2:C87, $B$2:B87, B87)</f>
        <v>11.333333333333334</v>
      </c>
      <c r="AB87" s="86">
        <f>AVERAGEIFS($I$2:I87, $B$2:B87, B87)</f>
        <v>0.53333333333333333</v>
      </c>
      <c r="AC87" s="86">
        <f>AVERAGEIFS($J$2:J87, $B$2:B87, B87)</f>
        <v>0.54333333333333333</v>
      </c>
      <c r="AD87" s="86">
        <f>AVERAGEIFS($D$2:D87, $B$2:B87, B87)</f>
        <v>0.66666666666666663</v>
      </c>
    </row>
    <row r="88" spans="1:30" x14ac:dyDescent="0.25">
      <c r="A88" s="85">
        <v>46032</v>
      </c>
      <c r="B88" t="s">
        <v>27</v>
      </c>
      <c r="C88">
        <v>5</v>
      </c>
      <c r="D88">
        <v>0</v>
      </c>
      <c r="E88">
        <v>4</v>
      </c>
      <c r="F88">
        <v>1</v>
      </c>
      <c r="G88">
        <v>17</v>
      </c>
      <c r="H88">
        <v>8</v>
      </c>
      <c r="I88">
        <v>0.25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 s="86">
        <f>AVERAGEIFS($C$2:C88, $B$2:B88, B88)</f>
        <v>12.5</v>
      </c>
      <c r="AB88" s="86">
        <f>AVERAGEIFS($I$2:I88, $B$2:B88, B88)</f>
        <v>0.25</v>
      </c>
      <c r="AC88" s="86">
        <f>AVERAGEIFS($J$2:J88, $B$2:B88, B88)</f>
        <v>0.39</v>
      </c>
      <c r="AD88" s="86">
        <f>AVERAGEIFS($D$2:D88, $B$2:B88, B88)</f>
        <v>0</v>
      </c>
    </row>
    <row r="89" spans="1:30" x14ac:dyDescent="0.25">
      <c r="A89" s="85">
        <v>46033</v>
      </c>
      <c r="B89" t="s">
        <v>13</v>
      </c>
      <c r="C89">
        <v>50</v>
      </c>
      <c r="D89">
        <v>1</v>
      </c>
      <c r="E89">
        <v>5</v>
      </c>
      <c r="F89">
        <v>3</v>
      </c>
      <c r="G89">
        <v>21</v>
      </c>
      <c r="H89">
        <v>12</v>
      </c>
      <c r="I89">
        <v>0.6</v>
      </c>
      <c r="J89">
        <v>0.56999999999999995</v>
      </c>
      <c r="K89">
        <v>0</v>
      </c>
      <c r="L89">
        <v>0</v>
      </c>
      <c r="M89">
        <v>0</v>
      </c>
      <c r="N89">
        <v>1</v>
      </c>
      <c r="O89">
        <v>1</v>
      </c>
      <c r="P89">
        <v>0</v>
      </c>
      <c r="Q89">
        <v>1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 s="86">
        <f>AVERAGEIFS($C$2:C89, $B$2:B89, B89)</f>
        <v>28.125</v>
      </c>
      <c r="AB89" s="86">
        <f>AVERAGEIFS($I$2:I89, $B$2:B89, B89)</f>
        <v>0.5625</v>
      </c>
      <c r="AC89" s="86">
        <f>AVERAGEIFS($J$2:J89, $B$2:B89, B89)</f>
        <v>0.54125000000000001</v>
      </c>
      <c r="AD89" s="86">
        <f>AVERAGEIFS($D$2:D89, $B$2:B89, B89)</f>
        <v>0.625</v>
      </c>
    </row>
    <row r="90" spans="1:30" x14ac:dyDescent="0.25">
      <c r="A90" s="85">
        <v>46033</v>
      </c>
      <c r="B90" t="s">
        <v>54</v>
      </c>
      <c r="C90">
        <v>29</v>
      </c>
      <c r="D90">
        <v>1</v>
      </c>
      <c r="E90">
        <v>5</v>
      </c>
      <c r="F90">
        <v>3</v>
      </c>
      <c r="G90">
        <v>21</v>
      </c>
      <c r="H90">
        <v>12</v>
      </c>
      <c r="I90">
        <v>0.6</v>
      </c>
      <c r="J90">
        <v>0.56999999999999995</v>
      </c>
      <c r="K90">
        <v>0</v>
      </c>
      <c r="L90">
        <v>0</v>
      </c>
      <c r="M90">
        <v>0</v>
      </c>
      <c r="N90">
        <v>1</v>
      </c>
      <c r="O90">
        <v>1</v>
      </c>
      <c r="P90">
        <v>0</v>
      </c>
      <c r="Q90">
        <v>1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 s="86">
        <f>AVERAGEIFS($C$2:C90, $B$2:B90, B90)</f>
        <v>20.5</v>
      </c>
      <c r="AB90" s="86">
        <f>AVERAGEIFS($I$2:I90, $B$2:B90, B90)</f>
        <v>0.6</v>
      </c>
      <c r="AC90" s="86">
        <f>AVERAGEIFS($J$2:J90, $B$2:B90, B90)</f>
        <v>0.57999999999999996</v>
      </c>
      <c r="AD90" s="86">
        <f>AVERAGEIFS($D$2:D90, $B$2:B90, B90)</f>
        <v>1</v>
      </c>
    </row>
    <row r="91" spans="1:30" x14ac:dyDescent="0.25">
      <c r="A91" s="85">
        <v>46033</v>
      </c>
      <c r="B91" t="s">
        <v>3</v>
      </c>
      <c r="C91">
        <v>26</v>
      </c>
      <c r="D91">
        <v>1</v>
      </c>
      <c r="E91">
        <v>5</v>
      </c>
      <c r="F91">
        <v>3</v>
      </c>
      <c r="G91">
        <v>21</v>
      </c>
      <c r="H91">
        <v>12</v>
      </c>
      <c r="I91">
        <v>0.6</v>
      </c>
      <c r="J91">
        <v>0.56999999999999995</v>
      </c>
      <c r="K91">
        <v>0</v>
      </c>
      <c r="L91">
        <v>0</v>
      </c>
      <c r="M91">
        <v>0</v>
      </c>
      <c r="N91">
        <v>1</v>
      </c>
      <c r="O91">
        <v>1</v>
      </c>
      <c r="P91">
        <v>0</v>
      </c>
      <c r="Q91">
        <v>1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 s="86">
        <f>AVERAGEIFS($C$2:C91, $B$2:B91, B91)</f>
        <v>21</v>
      </c>
      <c r="AB91" s="86">
        <f>AVERAGEIFS($I$2:I91, $B$2:B91, B91)</f>
        <v>0.55000000000000004</v>
      </c>
      <c r="AC91" s="86">
        <f>AVERAGEIFS($J$2:J91, $B$2:B91, B91)</f>
        <v>0.52999999999999992</v>
      </c>
      <c r="AD91" s="86">
        <f>AVERAGEIFS($D$2:D91, $B$2:B91, B91)</f>
        <v>0.6</v>
      </c>
    </row>
    <row r="92" spans="1:30" x14ac:dyDescent="0.25">
      <c r="A92" s="85">
        <v>46033</v>
      </c>
      <c r="B92" t="s">
        <v>53</v>
      </c>
      <c r="C92">
        <v>25</v>
      </c>
      <c r="D92">
        <v>1</v>
      </c>
      <c r="E92">
        <v>5</v>
      </c>
      <c r="F92">
        <v>3</v>
      </c>
      <c r="G92">
        <v>21</v>
      </c>
      <c r="H92">
        <v>12</v>
      </c>
      <c r="I92">
        <v>0.6</v>
      </c>
      <c r="J92">
        <v>0.56999999999999995</v>
      </c>
      <c r="K92">
        <v>0</v>
      </c>
      <c r="L92">
        <v>0</v>
      </c>
      <c r="M92">
        <v>0</v>
      </c>
      <c r="N92">
        <v>1</v>
      </c>
      <c r="O92">
        <v>1</v>
      </c>
      <c r="P92">
        <v>0</v>
      </c>
      <c r="Q92">
        <v>1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 s="86">
        <f>AVERAGEIFS($C$2:C92, $B$2:B92, B92)</f>
        <v>25</v>
      </c>
      <c r="AB92" s="86">
        <f>AVERAGEIFS($I$2:I92, $B$2:B92, B92)</f>
        <v>0.6</v>
      </c>
      <c r="AC92" s="86">
        <f>AVERAGEIFS($J$2:J92, $B$2:B92, B92)</f>
        <v>0.56999999999999995</v>
      </c>
      <c r="AD92" s="86">
        <f>AVERAGEIFS($D$2:D92, $B$2:B92, B92)</f>
        <v>1</v>
      </c>
    </row>
    <row r="93" spans="1:30" x14ac:dyDescent="0.25">
      <c r="A93" s="85">
        <v>46033</v>
      </c>
      <c r="B93" t="s">
        <v>55</v>
      </c>
      <c r="C93">
        <v>12</v>
      </c>
      <c r="D93">
        <v>1</v>
      </c>
      <c r="E93">
        <v>5</v>
      </c>
      <c r="F93">
        <v>3</v>
      </c>
      <c r="G93">
        <v>21</v>
      </c>
      <c r="H93">
        <v>12</v>
      </c>
      <c r="I93">
        <v>0.6</v>
      </c>
      <c r="J93">
        <v>0.56999999999999995</v>
      </c>
      <c r="K93">
        <v>0</v>
      </c>
      <c r="L93">
        <v>0</v>
      </c>
      <c r="M93">
        <v>0</v>
      </c>
      <c r="N93">
        <v>1</v>
      </c>
      <c r="O93">
        <v>1</v>
      </c>
      <c r="P93">
        <v>0</v>
      </c>
      <c r="Q93">
        <v>1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 s="86">
        <f>AVERAGEIFS($C$2:C93, $B$2:B93, B93)</f>
        <v>10.25</v>
      </c>
      <c r="AB93" s="86">
        <f>AVERAGEIFS($I$2:I93, $B$2:B93, B93)</f>
        <v>0.58750000000000002</v>
      </c>
      <c r="AC93" s="86">
        <f>AVERAGEIFS($J$2:J93, $B$2:B93, B93)</f>
        <v>0.51</v>
      </c>
      <c r="AD93" s="86">
        <f>AVERAGEIFS($D$2:D93, $B$2:B93, B93)</f>
        <v>0.75</v>
      </c>
    </row>
    <row r="94" spans="1:30" x14ac:dyDescent="0.25">
      <c r="A94" s="85">
        <v>46033</v>
      </c>
      <c r="B94" t="s">
        <v>26</v>
      </c>
      <c r="C94">
        <v>8</v>
      </c>
      <c r="D94">
        <v>1</v>
      </c>
      <c r="E94">
        <v>5</v>
      </c>
      <c r="F94">
        <v>3</v>
      </c>
      <c r="G94">
        <v>21</v>
      </c>
      <c r="H94">
        <v>12</v>
      </c>
      <c r="I94">
        <v>0.6</v>
      </c>
      <c r="J94">
        <v>0.56999999999999995</v>
      </c>
      <c r="K94">
        <v>0</v>
      </c>
      <c r="L94">
        <v>0</v>
      </c>
      <c r="M94">
        <v>0</v>
      </c>
      <c r="N94">
        <v>1</v>
      </c>
      <c r="O94">
        <v>1</v>
      </c>
      <c r="P94">
        <v>0</v>
      </c>
      <c r="Q94">
        <v>1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 s="86">
        <f>AVERAGEIFS($C$2:C94, $B$2:B94, B94)</f>
        <v>10.5</v>
      </c>
      <c r="AB94" s="86">
        <f>AVERAGEIFS($I$2:I94, $B$2:B94, B94)</f>
        <v>0.625</v>
      </c>
      <c r="AC94" s="86">
        <f>AVERAGEIFS($J$2:J94, $B$2:B94, B94)</f>
        <v>0.56499999999999995</v>
      </c>
      <c r="AD94" s="86">
        <f>AVERAGEIFS($D$2:D94, $B$2:B94, B94)</f>
        <v>0.75</v>
      </c>
    </row>
    <row r="95" spans="1:30" x14ac:dyDescent="0.25">
      <c r="A95" s="85">
        <v>46033</v>
      </c>
      <c r="B95" t="s">
        <v>17</v>
      </c>
      <c r="C95">
        <v>33</v>
      </c>
      <c r="D95">
        <v>0</v>
      </c>
      <c r="E95">
        <v>5</v>
      </c>
      <c r="F95">
        <v>2</v>
      </c>
      <c r="G95">
        <v>21</v>
      </c>
      <c r="H95">
        <v>9</v>
      </c>
      <c r="I95">
        <v>0.4</v>
      </c>
      <c r="J95">
        <v>0.43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1</v>
      </c>
      <c r="Z95">
        <v>1</v>
      </c>
      <c r="AA95" s="86">
        <f>AVERAGEIFS($C$2:C95, $B$2:B95, B95)</f>
        <v>23.875</v>
      </c>
      <c r="AB95" s="86">
        <f>AVERAGEIFS($I$2:I95, $B$2:B95, B95)</f>
        <v>0.53749999999999998</v>
      </c>
      <c r="AC95" s="86">
        <f>AVERAGEIFS($J$2:J95, $B$2:B95, B95)</f>
        <v>0.54249999999999998</v>
      </c>
      <c r="AD95" s="86">
        <f>AVERAGEIFS($D$2:D95, $B$2:B95, B95)</f>
        <v>0.5</v>
      </c>
    </row>
    <row r="96" spans="1:30" x14ac:dyDescent="0.25">
      <c r="A96" s="85">
        <v>46033</v>
      </c>
      <c r="B96" t="s">
        <v>2</v>
      </c>
      <c r="C96">
        <v>32</v>
      </c>
      <c r="D96">
        <v>0</v>
      </c>
      <c r="E96">
        <v>5</v>
      </c>
      <c r="F96">
        <v>2</v>
      </c>
      <c r="G96">
        <v>21</v>
      </c>
      <c r="H96">
        <v>9</v>
      </c>
      <c r="I96">
        <v>0.4</v>
      </c>
      <c r="J96">
        <v>0.43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1</v>
      </c>
      <c r="Z96">
        <v>1</v>
      </c>
      <c r="AA96" s="86">
        <f>AVERAGEIFS($C$2:C96, $B$2:B96, B96)</f>
        <v>22.8</v>
      </c>
      <c r="AB96" s="86">
        <f>AVERAGEIFS($I$2:I96, $B$2:B96, B96)</f>
        <v>0.48</v>
      </c>
      <c r="AC96" s="86">
        <f>AVERAGEIFS($J$2:J96, $B$2:B96, B96)</f>
        <v>0.502</v>
      </c>
      <c r="AD96" s="86">
        <f>AVERAGEIFS($D$2:D96, $B$2:B96, B96)</f>
        <v>0.4</v>
      </c>
    </row>
    <row r="97" spans="1:30" x14ac:dyDescent="0.25">
      <c r="A97" s="85">
        <v>46033</v>
      </c>
      <c r="B97" t="s">
        <v>1</v>
      </c>
      <c r="C97">
        <v>24</v>
      </c>
      <c r="D97">
        <v>0</v>
      </c>
      <c r="E97">
        <v>5</v>
      </c>
      <c r="F97">
        <v>2</v>
      </c>
      <c r="G97">
        <v>21</v>
      </c>
      <c r="H97">
        <v>9</v>
      </c>
      <c r="I97">
        <v>0.4</v>
      </c>
      <c r="J97">
        <v>0.43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1</v>
      </c>
      <c r="Z97">
        <v>1</v>
      </c>
      <c r="AA97" s="86">
        <f>AVERAGEIFS($C$2:C97, $B$2:B97, B97)</f>
        <v>21.5</v>
      </c>
      <c r="AB97" s="86">
        <f>AVERAGEIFS($I$2:I97, $B$2:B97, B97)</f>
        <v>0.32500000000000001</v>
      </c>
      <c r="AC97" s="86">
        <f>AVERAGEIFS($J$2:J97, $B$2:B97, B97)</f>
        <v>0.40500000000000003</v>
      </c>
      <c r="AD97" s="86">
        <f>AVERAGEIFS($D$2:D97, $B$2:B97, B97)</f>
        <v>0</v>
      </c>
    </row>
    <row r="98" spans="1:30" x14ac:dyDescent="0.25">
      <c r="A98" s="85">
        <v>46033</v>
      </c>
      <c r="B98" t="s">
        <v>25</v>
      </c>
      <c r="C98">
        <v>20</v>
      </c>
      <c r="D98">
        <v>0</v>
      </c>
      <c r="E98">
        <v>5</v>
      </c>
      <c r="F98">
        <v>2</v>
      </c>
      <c r="G98">
        <v>21</v>
      </c>
      <c r="H98">
        <v>9</v>
      </c>
      <c r="I98">
        <v>0.4</v>
      </c>
      <c r="J98">
        <v>0.43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1</v>
      </c>
      <c r="Z98">
        <v>1</v>
      </c>
      <c r="AA98" s="86">
        <f>AVERAGEIFS($C$2:C98, $B$2:B98, B98)</f>
        <v>17.666666666666668</v>
      </c>
      <c r="AB98" s="86">
        <f>AVERAGEIFS($I$2:I98, $B$2:B98, B98)</f>
        <v>0.58333333333333337</v>
      </c>
      <c r="AC98" s="86">
        <f>AVERAGEIFS($J$2:J98, $B$2:B98, B98)</f>
        <v>0.56333333333333324</v>
      </c>
      <c r="AD98" s="86">
        <f>AVERAGEIFS($D$2:D98, $B$2:B98, B98)</f>
        <v>0.66666666666666663</v>
      </c>
    </row>
    <row r="99" spans="1:30" x14ac:dyDescent="0.25">
      <c r="A99" s="85">
        <v>46033</v>
      </c>
      <c r="B99" t="s">
        <v>28</v>
      </c>
      <c r="C99">
        <v>17</v>
      </c>
      <c r="D99">
        <v>0</v>
      </c>
      <c r="E99">
        <v>5</v>
      </c>
      <c r="F99">
        <v>2</v>
      </c>
      <c r="G99">
        <v>21</v>
      </c>
      <c r="H99">
        <v>9</v>
      </c>
      <c r="I99">
        <v>0.4</v>
      </c>
      <c r="J99">
        <v>0.43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1</v>
      </c>
      <c r="Z99">
        <v>1</v>
      </c>
      <c r="AA99" s="86">
        <f>AVERAGEIFS($C$2:C99, $B$2:B99, B99)</f>
        <v>13.2</v>
      </c>
      <c r="AB99" s="86">
        <f>AVERAGEIFS($I$2:I99, $B$2:B99, B99)</f>
        <v>0.51</v>
      </c>
      <c r="AC99" s="86">
        <f>AVERAGEIFS($J$2:J99, $B$2:B99, B99)</f>
        <v>0.52800000000000002</v>
      </c>
      <c r="AD99" s="86">
        <f>AVERAGEIFS($D$2:D99, $B$2:B99, B99)</f>
        <v>0.4</v>
      </c>
    </row>
    <row r="100" spans="1:30" x14ac:dyDescent="0.25">
      <c r="A100" s="85">
        <v>46033</v>
      </c>
      <c r="B100" t="s">
        <v>27</v>
      </c>
      <c r="C100">
        <v>7</v>
      </c>
      <c r="D100">
        <v>0</v>
      </c>
      <c r="E100">
        <v>5</v>
      </c>
      <c r="F100">
        <v>2</v>
      </c>
      <c r="G100">
        <v>21</v>
      </c>
      <c r="H100">
        <v>9</v>
      </c>
      <c r="I100">
        <v>0.4</v>
      </c>
      <c r="J100">
        <v>0.43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1</v>
      </c>
      <c r="Z100">
        <v>1</v>
      </c>
      <c r="AA100" s="86">
        <f>AVERAGEIFS($C$2:C100, $B$2:B100, B100)</f>
        <v>10.666666666666666</v>
      </c>
      <c r="AB100" s="86">
        <f>AVERAGEIFS($I$2:I100, $B$2:B100, B100)</f>
        <v>0.3</v>
      </c>
      <c r="AC100" s="86">
        <f>AVERAGEIFS($J$2:J100, $B$2:B100, B100)</f>
        <v>0.40333333333333332</v>
      </c>
      <c r="AD100" s="86">
        <f>AVERAGEIFS($D$2:D100, $B$2:B100, B100)</f>
        <v>0</v>
      </c>
    </row>
    <row r="101" spans="1:30" x14ac:dyDescent="0.25">
      <c r="A101" s="85">
        <v>46034</v>
      </c>
      <c r="B101" t="s">
        <v>18</v>
      </c>
      <c r="C101">
        <v>24</v>
      </c>
      <c r="D101">
        <v>1</v>
      </c>
      <c r="E101">
        <v>4</v>
      </c>
      <c r="F101">
        <v>3</v>
      </c>
      <c r="G101">
        <v>15</v>
      </c>
      <c r="H101">
        <v>9</v>
      </c>
      <c r="I101">
        <v>0.75</v>
      </c>
      <c r="J101">
        <v>0.6</v>
      </c>
      <c r="K101">
        <v>1</v>
      </c>
      <c r="L101">
        <v>0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86">
        <f>AVERAGEIFS($C$2:C101, $B$2:B101, B101)</f>
        <v>20.75</v>
      </c>
      <c r="AB101" s="86">
        <f>AVERAGEIFS($I$2:I101, $B$2:B101, B101)</f>
        <v>0.58750000000000002</v>
      </c>
      <c r="AC101" s="86">
        <f>AVERAGEIFS($J$2:J101, $B$2:B101, B101)</f>
        <v>0.50249999999999995</v>
      </c>
      <c r="AD101" s="86">
        <f>AVERAGEIFS($D$2:D101, $B$2:B101, B101)</f>
        <v>0.75</v>
      </c>
    </row>
    <row r="102" spans="1:30" x14ac:dyDescent="0.25">
      <c r="A102" s="85">
        <v>46034</v>
      </c>
      <c r="B102" t="s">
        <v>37</v>
      </c>
      <c r="C102">
        <v>21</v>
      </c>
      <c r="D102">
        <v>1</v>
      </c>
      <c r="E102">
        <v>4</v>
      </c>
      <c r="F102">
        <v>3</v>
      </c>
      <c r="G102">
        <v>15</v>
      </c>
      <c r="H102">
        <v>9</v>
      </c>
      <c r="I102">
        <v>0.75</v>
      </c>
      <c r="J102">
        <v>0.6</v>
      </c>
      <c r="K102">
        <v>1</v>
      </c>
      <c r="L102">
        <v>0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86">
        <f>AVERAGEIFS($C$2:C102, $B$2:B102, B102)</f>
        <v>17</v>
      </c>
      <c r="AB102" s="86">
        <f>AVERAGEIFS($I$2:I102, $B$2:B102, B102)</f>
        <v>0.53333333333333333</v>
      </c>
      <c r="AC102" s="86">
        <f>AVERAGEIFS($J$2:J102, $B$2:B102, B102)</f>
        <v>0.5033333333333333</v>
      </c>
      <c r="AD102" s="86">
        <f>AVERAGEIFS($D$2:D102, $B$2:B102, B102)</f>
        <v>0.66666666666666663</v>
      </c>
    </row>
    <row r="103" spans="1:30" x14ac:dyDescent="0.25">
      <c r="A103" s="85">
        <v>46034</v>
      </c>
      <c r="B103" t="s">
        <v>15</v>
      </c>
      <c r="C103">
        <v>20</v>
      </c>
      <c r="D103">
        <v>1</v>
      </c>
      <c r="E103">
        <v>4</v>
      </c>
      <c r="F103">
        <v>3</v>
      </c>
      <c r="G103">
        <v>15</v>
      </c>
      <c r="H103">
        <v>9</v>
      </c>
      <c r="I103">
        <v>0.75</v>
      </c>
      <c r="J103">
        <v>0.6</v>
      </c>
      <c r="K103">
        <v>1</v>
      </c>
      <c r="L103">
        <v>0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86">
        <f>AVERAGEIFS($C$2:C103, $B$2:B103, B103)</f>
        <v>22.333333333333332</v>
      </c>
      <c r="AB103" s="86">
        <f>AVERAGEIFS($I$2:I103, $B$2:B103, B103)</f>
        <v>0.41666666666666669</v>
      </c>
      <c r="AC103" s="86">
        <f>AVERAGEIFS($J$2:J103, $B$2:B103, B103)</f>
        <v>0.43333333333333329</v>
      </c>
      <c r="AD103" s="86">
        <f>AVERAGEIFS($D$2:D103, $B$2:B103, B103)</f>
        <v>0.33333333333333331</v>
      </c>
    </row>
    <row r="104" spans="1:30" x14ac:dyDescent="0.25">
      <c r="A104" s="85">
        <v>46034</v>
      </c>
      <c r="B104" t="s">
        <v>51</v>
      </c>
      <c r="C104">
        <v>18</v>
      </c>
      <c r="D104">
        <v>1</v>
      </c>
      <c r="E104">
        <v>4</v>
      </c>
      <c r="F104">
        <v>3</v>
      </c>
      <c r="G104">
        <v>15</v>
      </c>
      <c r="H104">
        <v>9</v>
      </c>
      <c r="I104">
        <v>0.75</v>
      </c>
      <c r="J104">
        <v>0.6</v>
      </c>
      <c r="K104">
        <v>1</v>
      </c>
      <c r="L104">
        <v>0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1</v>
      </c>
      <c r="Y104">
        <v>0</v>
      </c>
      <c r="Z104">
        <v>0</v>
      </c>
      <c r="AA104" s="86">
        <f>AVERAGEIFS($C$2:C104, $B$2:B104, B104)</f>
        <v>12.714285714285714</v>
      </c>
      <c r="AB104" s="86">
        <f>AVERAGEIFS($I$2:I104, $B$2:B104, B104)</f>
        <v>0.56428571428571428</v>
      </c>
      <c r="AC104" s="86">
        <f>AVERAGEIFS($J$2:J104, $B$2:B104, B104)</f>
        <v>0.54285714285714293</v>
      </c>
      <c r="AD104" s="86">
        <f>AVERAGEIFS($D$2:D104, $B$2:B104, B104)</f>
        <v>0.7142857142857143</v>
      </c>
    </row>
    <row r="105" spans="1:30" x14ac:dyDescent="0.25">
      <c r="A105" s="85">
        <v>46034</v>
      </c>
      <c r="B105" t="s">
        <v>19</v>
      </c>
      <c r="C105">
        <v>13</v>
      </c>
      <c r="D105">
        <v>1</v>
      </c>
      <c r="E105">
        <v>4</v>
      </c>
      <c r="F105">
        <v>3</v>
      </c>
      <c r="G105">
        <v>15</v>
      </c>
      <c r="H105">
        <v>9</v>
      </c>
      <c r="I105">
        <v>0.75</v>
      </c>
      <c r="J105">
        <v>0.6</v>
      </c>
      <c r="K105">
        <v>1</v>
      </c>
      <c r="L105">
        <v>0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1</v>
      </c>
      <c r="Y105">
        <v>0</v>
      </c>
      <c r="Z105">
        <v>0</v>
      </c>
      <c r="AA105" s="86">
        <f>AVERAGEIFS($C$2:C105, $B$2:B105, B105)</f>
        <v>10.125</v>
      </c>
      <c r="AB105" s="86">
        <f>AVERAGEIFS($I$2:I105, $B$2:B105, B105)</f>
        <v>0.45624999999999999</v>
      </c>
      <c r="AC105" s="86">
        <f>AVERAGEIFS($J$2:J105, $B$2:B105, B105)</f>
        <v>0.49000000000000005</v>
      </c>
      <c r="AD105" s="86">
        <f>AVERAGEIFS($D$2:D105, $B$2:B105, B105)</f>
        <v>0.375</v>
      </c>
    </row>
    <row r="106" spans="1:30" x14ac:dyDescent="0.25">
      <c r="A106" s="85">
        <v>46034</v>
      </c>
      <c r="B106" t="s">
        <v>20</v>
      </c>
      <c r="C106">
        <v>7</v>
      </c>
      <c r="D106">
        <v>1</v>
      </c>
      <c r="E106">
        <v>4</v>
      </c>
      <c r="F106">
        <v>3</v>
      </c>
      <c r="G106">
        <v>15</v>
      </c>
      <c r="H106">
        <v>9</v>
      </c>
      <c r="I106">
        <v>0.75</v>
      </c>
      <c r="J106">
        <v>0.6</v>
      </c>
      <c r="K106">
        <v>1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86">
        <f>AVERAGEIFS($C$2:C106, $B$2:B106, B106)</f>
        <v>10.199999999999999</v>
      </c>
      <c r="AB106" s="86">
        <f>AVERAGEIFS($I$2:I106, $B$2:B106, B106)</f>
        <v>0.45</v>
      </c>
      <c r="AC106" s="86">
        <f>AVERAGEIFS($J$2:J106, $B$2:B106, B106)</f>
        <v>0.45200000000000007</v>
      </c>
      <c r="AD106" s="86">
        <f>AVERAGEIFS($D$2:D106, $B$2:B106, B106)</f>
        <v>0.4</v>
      </c>
    </row>
    <row r="107" spans="1:30" x14ac:dyDescent="0.25">
      <c r="A107" s="85">
        <v>46034</v>
      </c>
      <c r="B107" t="s">
        <v>14</v>
      </c>
      <c r="C107">
        <v>24</v>
      </c>
      <c r="D107">
        <v>0</v>
      </c>
      <c r="E107">
        <v>4</v>
      </c>
      <c r="F107">
        <v>1</v>
      </c>
      <c r="G107">
        <v>15</v>
      </c>
      <c r="H107">
        <v>6</v>
      </c>
      <c r="I107">
        <v>0.25</v>
      </c>
      <c r="J107">
        <v>0.4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 s="86">
        <f>AVERAGEIFS($C$2:C107, $B$2:B107, B107)</f>
        <v>20.857142857142858</v>
      </c>
      <c r="AB107" s="86">
        <f>AVERAGEIFS($I$2:I107, $B$2:B107, B107)</f>
        <v>0.51428571428571435</v>
      </c>
      <c r="AC107" s="86">
        <f>AVERAGEIFS($J$2:J107, $B$2:B107, B107)</f>
        <v>0.49142857142857144</v>
      </c>
      <c r="AD107" s="86">
        <f>AVERAGEIFS($D$2:D107, $B$2:B107, B107)</f>
        <v>0.5714285714285714</v>
      </c>
    </row>
    <row r="108" spans="1:30" x14ac:dyDescent="0.25">
      <c r="A108" s="85">
        <v>46034</v>
      </c>
      <c r="B108" t="s">
        <v>5</v>
      </c>
      <c r="C108">
        <v>24</v>
      </c>
      <c r="D108">
        <v>0</v>
      </c>
      <c r="E108">
        <v>4</v>
      </c>
      <c r="F108">
        <v>1</v>
      </c>
      <c r="G108">
        <v>15</v>
      </c>
      <c r="H108">
        <v>6</v>
      </c>
      <c r="I108">
        <v>0.25</v>
      </c>
      <c r="J108">
        <v>0.4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 s="86">
        <f>AVERAGEIFS($C$2:C108, $B$2:B108, B108)</f>
        <v>25.333333333333332</v>
      </c>
      <c r="AB108" s="86">
        <f>AVERAGEIFS($I$2:I108, $B$2:B108, B108)</f>
        <v>0.3666666666666667</v>
      </c>
      <c r="AC108" s="86">
        <f>AVERAGEIFS($J$2:J108, $B$2:B108, B108)</f>
        <v>0.4366666666666667</v>
      </c>
      <c r="AD108" s="86">
        <f>AVERAGEIFS($D$2:D108, $B$2:B108, B108)</f>
        <v>0.33333333333333331</v>
      </c>
    </row>
    <row r="109" spans="1:30" x14ac:dyDescent="0.25">
      <c r="A109" s="85">
        <v>46034</v>
      </c>
      <c r="B109" t="s">
        <v>46</v>
      </c>
      <c r="C109">
        <v>16</v>
      </c>
      <c r="D109">
        <v>0</v>
      </c>
      <c r="E109">
        <v>4</v>
      </c>
      <c r="F109">
        <v>1</v>
      </c>
      <c r="G109">
        <v>15</v>
      </c>
      <c r="H109">
        <v>6</v>
      </c>
      <c r="I109">
        <v>0.25</v>
      </c>
      <c r="J109">
        <v>0.4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 s="86">
        <f>AVERAGEIFS($C$2:C109, $B$2:B109, B109)</f>
        <v>23</v>
      </c>
      <c r="AB109" s="86">
        <f>AVERAGEIFS($I$2:I109, $B$2:B109, B109)</f>
        <v>0.32500000000000001</v>
      </c>
      <c r="AC109" s="86">
        <f>AVERAGEIFS($J$2:J109, $B$2:B109, B109)</f>
        <v>0.40500000000000003</v>
      </c>
      <c r="AD109" s="86">
        <f>AVERAGEIFS($D$2:D109, $B$2:B109, B109)</f>
        <v>0</v>
      </c>
    </row>
    <row r="110" spans="1:30" x14ac:dyDescent="0.25">
      <c r="A110" s="85">
        <v>46034</v>
      </c>
      <c r="B110" t="s">
        <v>45</v>
      </c>
      <c r="C110">
        <v>14</v>
      </c>
      <c r="D110" s="86">
        <v>0</v>
      </c>
      <c r="E110">
        <v>4</v>
      </c>
      <c r="F110">
        <v>1</v>
      </c>
      <c r="G110">
        <v>15</v>
      </c>
      <c r="H110">
        <v>6</v>
      </c>
      <c r="I110">
        <v>0.25</v>
      </c>
      <c r="J110">
        <v>0.4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 s="86">
        <f>AVERAGEIFS($C$2:C110, $B$2:B110, B110)</f>
        <v>9</v>
      </c>
      <c r="AB110" s="86">
        <f>AVERAGEIFS($I$2:I110, $B$2:B110, B110)</f>
        <v>0.3</v>
      </c>
      <c r="AC110" s="86">
        <f>AVERAGEIFS($J$2:J110, $B$2:B110, B110)</f>
        <v>0.38000000000000006</v>
      </c>
      <c r="AD110" s="86">
        <f>AVERAGEIFS($D$2:D110, $B$2:B110, B110)</f>
        <v>0</v>
      </c>
    </row>
    <row r="111" spans="1:30" x14ac:dyDescent="0.25">
      <c r="A111" s="85">
        <v>46034</v>
      </c>
      <c r="B111" t="s">
        <v>29</v>
      </c>
      <c r="C111">
        <v>8</v>
      </c>
      <c r="D111">
        <v>0</v>
      </c>
      <c r="E111">
        <v>4</v>
      </c>
      <c r="F111">
        <v>1</v>
      </c>
      <c r="G111">
        <v>15</v>
      </c>
      <c r="H111">
        <v>6</v>
      </c>
      <c r="I111">
        <v>0.25</v>
      </c>
      <c r="J111">
        <v>0.4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1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 s="86">
        <f>AVERAGEIFS($C$2:C111, $B$2:B111, B111)</f>
        <v>10.166666666666666</v>
      </c>
      <c r="AB111" s="86">
        <f>AVERAGEIFS($I$2:I111, $B$2:B111, B111)</f>
        <v>0.54999999999999993</v>
      </c>
      <c r="AC111" s="86">
        <f>AVERAGEIFS($J$2:J111, $B$2:B111, B111)</f>
        <v>0.5149999999999999</v>
      </c>
      <c r="AD111" s="86">
        <f>AVERAGEIFS($D$2:D111, $B$2:B111, B111)</f>
        <v>0.5</v>
      </c>
    </row>
    <row r="112" spans="1:30" x14ac:dyDescent="0.25">
      <c r="A112" s="85">
        <v>46034</v>
      </c>
      <c r="B112" t="s">
        <v>35</v>
      </c>
      <c r="C112">
        <v>6</v>
      </c>
      <c r="D112">
        <v>0</v>
      </c>
      <c r="E112">
        <v>4</v>
      </c>
      <c r="F112">
        <v>1</v>
      </c>
      <c r="G112">
        <v>15</v>
      </c>
      <c r="H112">
        <v>6</v>
      </c>
      <c r="I112">
        <v>0.25</v>
      </c>
      <c r="J112">
        <v>0.4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 s="86">
        <f>AVERAGEIFS($C$2:C112, $B$2:B112, B112)</f>
        <v>10</v>
      </c>
      <c r="AB112" s="86">
        <f>AVERAGEIFS($I$2:I112, $B$2:B112, B112)</f>
        <v>0.46250000000000002</v>
      </c>
      <c r="AC112" s="86">
        <f>AVERAGEIFS($J$2:J112, $B$2:B112, B112)</f>
        <v>0.50750000000000006</v>
      </c>
      <c r="AD112" s="86">
        <f>AVERAGEIFS($D$2:D112, $B$2:B112, B112)</f>
        <v>0.5</v>
      </c>
    </row>
    <row r="113" spans="1:30" x14ac:dyDescent="0.25">
      <c r="A113" s="85">
        <v>46037</v>
      </c>
      <c r="B113" t="s">
        <v>17</v>
      </c>
      <c r="C113">
        <v>36</v>
      </c>
      <c r="D113" s="86">
        <v>1</v>
      </c>
      <c r="E113">
        <v>4</v>
      </c>
      <c r="F113">
        <v>3</v>
      </c>
      <c r="G113">
        <v>17</v>
      </c>
      <c r="H113">
        <v>10</v>
      </c>
      <c r="I113">
        <v>0.75</v>
      </c>
      <c r="J113">
        <v>0.59</v>
      </c>
      <c r="K113">
        <v>0</v>
      </c>
      <c r="L113">
        <v>0</v>
      </c>
      <c r="M113">
        <v>1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0</v>
      </c>
      <c r="AA113" s="86">
        <f>AVERAGEIFS($C$2:C113, $B$2:B113, B113)</f>
        <v>25.222222222222221</v>
      </c>
      <c r="AB113" s="86">
        <f>AVERAGEIFS($I$2:I113, $B$2:B113, B113)</f>
        <v>0.56111111111111112</v>
      </c>
      <c r="AC113" s="86">
        <f>AVERAGEIFS($J$2:J113, $B$2:B113, B113)</f>
        <v>0.5477777777777777</v>
      </c>
      <c r="AD113" s="86">
        <f>AVERAGEIFS($D$2:D113, $B$2:B113, B113)</f>
        <v>0.55555555555555558</v>
      </c>
    </row>
    <row r="114" spans="1:30" x14ac:dyDescent="0.25">
      <c r="A114" s="85">
        <v>46037</v>
      </c>
      <c r="B114" t="s">
        <v>13</v>
      </c>
      <c r="C114">
        <v>23</v>
      </c>
      <c r="D114" s="86">
        <v>1</v>
      </c>
      <c r="E114">
        <v>4</v>
      </c>
      <c r="F114">
        <v>3</v>
      </c>
      <c r="G114">
        <v>17</v>
      </c>
      <c r="H114">
        <v>10</v>
      </c>
      <c r="I114">
        <v>0.75</v>
      </c>
      <c r="J114">
        <v>0.59</v>
      </c>
      <c r="K114">
        <v>0</v>
      </c>
      <c r="L114">
        <v>0</v>
      </c>
      <c r="M114">
        <v>1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0</v>
      </c>
      <c r="AA114" s="86">
        <f>AVERAGEIFS($C$2:C114, $B$2:B114, B114)</f>
        <v>27.555555555555557</v>
      </c>
      <c r="AB114" s="86">
        <f>AVERAGEIFS($I$2:I114, $B$2:B114, B114)</f>
        <v>0.58333333333333337</v>
      </c>
      <c r="AC114" s="86">
        <f>AVERAGEIFS($J$2:J114, $B$2:B114, B114)</f>
        <v>0.54666666666666663</v>
      </c>
      <c r="AD114" s="86">
        <f>AVERAGEIFS($D$2:D114, $B$2:B114, B114)</f>
        <v>0.66666666666666663</v>
      </c>
    </row>
    <row r="115" spans="1:30" x14ac:dyDescent="0.25">
      <c r="A115" s="85">
        <v>46037</v>
      </c>
      <c r="B115" t="s">
        <v>27</v>
      </c>
      <c r="C115">
        <v>20</v>
      </c>
      <c r="D115" s="86">
        <v>1</v>
      </c>
      <c r="E115">
        <v>4</v>
      </c>
      <c r="F115">
        <v>3</v>
      </c>
      <c r="G115">
        <v>17</v>
      </c>
      <c r="H115">
        <v>10</v>
      </c>
      <c r="I115">
        <v>0.75</v>
      </c>
      <c r="J115">
        <v>0.59</v>
      </c>
      <c r="K115">
        <v>0</v>
      </c>
      <c r="L115">
        <v>0</v>
      </c>
      <c r="M115">
        <v>1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0</v>
      </c>
      <c r="AA115" s="86">
        <f>AVERAGEIFS($C$2:C115, $B$2:B115, B115)</f>
        <v>13</v>
      </c>
      <c r="AB115" s="86">
        <f>AVERAGEIFS($I$2:I115, $B$2:B115, B115)</f>
        <v>0.41249999999999998</v>
      </c>
      <c r="AC115" s="86">
        <f>AVERAGEIFS($J$2:J115, $B$2:B115, B115)</f>
        <v>0.44999999999999996</v>
      </c>
      <c r="AD115" s="86">
        <f>AVERAGEIFS($D$2:D115, $B$2:B115, B115)</f>
        <v>0.25</v>
      </c>
    </row>
    <row r="116" spans="1:30" x14ac:dyDescent="0.25">
      <c r="A116" s="85">
        <v>46037</v>
      </c>
      <c r="B116" t="s">
        <v>55</v>
      </c>
      <c r="C116">
        <v>18</v>
      </c>
      <c r="D116" s="86">
        <v>1</v>
      </c>
      <c r="E116">
        <v>4</v>
      </c>
      <c r="F116">
        <v>3</v>
      </c>
      <c r="G116">
        <v>17</v>
      </c>
      <c r="H116">
        <v>10</v>
      </c>
      <c r="I116">
        <v>0.75</v>
      </c>
      <c r="J116">
        <v>0.59</v>
      </c>
      <c r="K116">
        <v>0</v>
      </c>
      <c r="L116">
        <v>0</v>
      </c>
      <c r="M116">
        <v>1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0</v>
      </c>
      <c r="AA116" s="86">
        <f>AVERAGEIFS($C$2:C116, $B$2:B116, B116)</f>
        <v>11.8</v>
      </c>
      <c r="AB116" s="86">
        <f>AVERAGEIFS($I$2:I116, $B$2:B116, B116)</f>
        <v>0.62</v>
      </c>
      <c r="AC116" s="86">
        <f>AVERAGEIFS($J$2:J116, $B$2:B116, B116)</f>
        <v>0.52600000000000002</v>
      </c>
      <c r="AD116" s="86">
        <f>AVERAGEIFS($D$2:D116, $B$2:B116, B116)</f>
        <v>0.8</v>
      </c>
    </row>
    <row r="117" spans="1:30" x14ac:dyDescent="0.25">
      <c r="A117" s="85">
        <v>46037</v>
      </c>
      <c r="B117" t="s">
        <v>2</v>
      </c>
      <c r="C117">
        <v>17</v>
      </c>
      <c r="D117" s="86">
        <v>1</v>
      </c>
      <c r="E117">
        <v>4</v>
      </c>
      <c r="F117">
        <v>3</v>
      </c>
      <c r="G117">
        <v>17</v>
      </c>
      <c r="H117">
        <v>10</v>
      </c>
      <c r="I117">
        <v>0.75</v>
      </c>
      <c r="J117">
        <v>0.59</v>
      </c>
      <c r="K117">
        <v>0</v>
      </c>
      <c r="L117">
        <v>0</v>
      </c>
      <c r="M117">
        <v>1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0</v>
      </c>
      <c r="AA117" s="86">
        <f>AVERAGEIFS($C$2:C117, $B$2:B117, B117)</f>
        <v>21.833333333333332</v>
      </c>
      <c r="AB117" s="86">
        <f>AVERAGEIFS($I$2:I117, $B$2:B117, B117)</f>
        <v>0.52500000000000002</v>
      </c>
      <c r="AC117" s="86">
        <f>AVERAGEIFS($J$2:J117, $B$2:B117, B117)</f>
        <v>0.51666666666666672</v>
      </c>
      <c r="AD117" s="86">
        <f>AVERAGEIFS($D$2:D117, $B$2:B117, B117)</f>
        <v>0.5</v>
      </c>
    </row>
    <row r="118" spans="1:30" x14ac:dyDescent="0.25">
      <c r="A118" s="85">
        <v>46037</v>
      </c>
      <c r="B118" t="s">
        <v>26</v>
      </c>
      <c r="C118">
        <v>10</v>
      </c>
      <c r="D118" s="86">
        <v>1</v>
      </c>
      <c r="E118">
        <v>4</v>
      </c>
      <c r="F118">
        <v>3</v>
      </c>
      <c r="G118">
        <v>17</v>
      </c>
      <c r="H118">
        <v>10</v>
      </c>
      <c r="I118">
        <v>0.75</v>
      </c>
      <c r="J118">
        <v>0.59</v>
      </c>
      <c r="K118">
        <v>0</v>
      </c>
      <c r="L118">
        <v>0</v>
      </c>
      <c r="M118">
        <v>1</v>
      </c>
      <c r="N118">
        <v>1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1</v>
      </c>
      <c r="X118">
        <v>0</v>
      </c>
      <c r="Y118">
        <v>0</v>
      </c>
      <c r="Z118">
        <v>0</v>
      </c>
      <c r="AA118" s="86">
        <f>AVERAGEIFS($C$2:C118, $B$2:B118, B118)</f>
        <v>10.4</v>
      </c>
      <c r="AB118" s="86">
        <f>AVERAGEIFS($I$2:I118, $B$2:B118, B118)</f>
        <v>0.65</v>
      </c>
      <c r="AC118" s="86">
        <f>AVERAGEIFS($J$2:J118, $B$2:B118, B118)</f>
        <v>0.56999999999999995</v>
      </c>
      <c r="AD118" s="86">
        <f>AVERAGEIFS($D$2:D118, $B$2:B118, B118)</f>
        <v>0.8</v>
      </c>
    </row>
    <row r="119" spans="1:30" x14ac:dyDescent="0.25">
      <c r="A119" s="85">
        <v>46037</v>
      </c>
      <c r="B119" t="s">
        <v>19</v>
      </c>
      <c r="C119">
        <v>10</v>
      </c>
      <c r="D119" s="86">
        <v>1</v>
      </c>
      <c r="E119">
        <v>4</v>
      </c>
      <c r="F119">
        <v>3</v>
      </c>
      <c r="G119">
        <v>17</v>
      </c>
      <c r="H119">
        <v>10</v>
      </c>
      <c r="I119">
        <v>0.75</v>
      </c>
      <c r="J119">
        <v>0.59</v>
      </c>
      <c r="K119">
        <v>0</v>
      </c>
      <c r="L119">
        <v>0</v>
      </c>
      <c r="M119">
        <v>1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1</v>
      </c>
      <c r="X119">
        <v>0</v>
      </c>
      <c r="Y119">
        <v>0</v>
      </c>
      <c r="Z119">
        <v>0</v>
      </c>
      <c r="AA119" s="86">
        <f>AVERAGEIFS($C$2:C119, $B$2:B119, B119)</f>
        <v>10.111111111111111</v>
      </c>
      <c r="AB119" s="86">
        <f>AVERAGEIFS($I$2:I119, $B$2:B119, B119)</f>
        <v>0.48888888888888893</v>
      </c>
      <c r="AC119" s="86">
        <f>AVERAGEIFS($J$2:J119, $B$2:B119, B119)</f>
        <v>0.50111111111111117</v>
      </c>
      <c r="AD119" s="86">
        <f>AVERAGEIFS($D$2:D119, $B$2:B119, B119)</f>
        <v>0.44444444444444442</v>
      </c>
    </row>
    <row r="120" spans="1:30" x14ac:dyDescent="0.25">
      <c r="A120" s="85">
        <v>46037</v>
      </c>
      <c r="B120" t="s">
        <v>137</v>
      </c>
      <c r="C120">
        <v>3</v>
      </c>
      <c r="D120" s="86">
        <v>1</v>
      </c>
      <c r="E120">
        <v>4</v>
      </c>
      <c r="F120">
        <v>3</v>
      </c>
      <c r="G120">
        <v>17</v>
      </c>
      <c r="H120">
        <v>10</v>
      </c>
      <c r="I120">
        <v>0.75</v>
      </c>
      <c r="J120">
        <v>0.59</v>
      </c>
      <c r="K120">
        <v>0</v>
      </c>
      <c r="L120">
        <v>0</v>
      </c>
      <c r="M120">
        <v>1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1</v>
      </c>
      <c r="X120">
        <v>0</v>
      </c>
      <c r="Y120">
        <v>0</v>
      </c>
      <c r="Z120">
        <v>0</v>
      </c>
      <c r="AA120" s="86">
        <f>AVERAGEIFS($C$2:C120, $B$2:B120, B120)</f>
        <v>3</v>
      </c>
      <c r="AB120" s="86">
        <f>AVERAGEIFS($I$2:I120, $B$2:B120, B120)</f>
        <v>0.75</v>
      </c>
      <c r="AC120" s="86">
        <f>AVERAGEIFS($J$2:J120, $B$2:B120, B120)</f>
        <v>0.59</v>
      </c>
      <c r="AD120" s="86">
        <f>AVERAGEIFS($D$2:D120, $B$2:B120, B120)</f>
        <v>1</v>
      </c>
    </row>
    <row r="121" spans="1:30" x14ac:dyDescent="0.25">
      <c r="A121" s="85">
        <v>46037</v>
      </c>
      <c r="B121" t="s">
        <v>15</v>
      </c>
      <c r="C121">
        <v>24</v>
      </c>
      <c r="D121" s="86">
        <v>0</v>
      </c>
      <c r="E121">
        <v>4</v>
      </c>
      <c r="F121">
        <v>1</v>
      </c>
      <c r="G121">
        <v>17</v>
      </c>
      <c r="H121">
        <v>7</v>
      </c>
      <c r="I121">
        <v>0.25</v>
      </c>
      <c r="J121">
        <v>0.41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1</v>
      </c>
      <c r="Z121">
        <v>0</v>
      </c>
      <c r="AA121" s="86">
        <f>AVERAGEIFS($C$2:C121, $B$2:B121, B121)</f>
        <v>22.571428571428573</v>
      </c>
      <c r="AB121" s="86">
        <f>AVERAGEIFS($I$2:I121, $B$2:B121, B121)</f>
        <v>0.39285714285714285</v>
      </c>
      <c r="AC121" s="86">
        <f>AVERAGEIFS($J$2:J121, $B$2:B121, B121)</f>
        <v>0.43</v>
      </c>
      <c r="AD121" s="86">
        <f>AVERAGEIFS($D$2:D121, $B$2:B121, B121)</f>
        <v>0.2857142857142857</v>
      </c>
    </row>
    <row r="122" spans="1:30" x14ac:dyDescent="0.25">
      <c r="A122" s="85">
        <v>46037</v>
      </c>
      <c r="B122" t="s">
        <v>5</v>
      </c>
      <c r="C122">
        <v>21</v>
      </c>
      <c r="D122" s="86">
        <v>0</v>
      </c>
      <c r="E122">
        <v>4</v>
      </c>
      <c r="F122">
        <v>1</v>
      </c>
      <c r="G122">
        <v>17</v>
      </c>
      <c r="H122">
        <v>7</v>
      </c>
      <c r="I122">
        <v>0.25</v>
      </c>
      <c r="J122">
        <v>0.41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1</v>
      </c>
      <c r="Z122">
        <v>0</v>
      </c>
      <c r="AA122" s="86">
        <f>AVERAGEIFS($C$2:C122, $B$2:B122, B122)</f>
        <v>24.25</v>
      </c>
      <c r="AB122" s="86">
        <f>AVERAGEIFS($I$2:I122, $B$2:B122, B122)</f>
        <v>0.33750000000000002</v>
      </c>
      <c r="AC122" s="86">
        <f>AVERAGEIFS($J$2:J122, $B$2:B122, B122)</f>
        <v>0.43</v>
      </c>
      <c r="AD122" s="86">
        <f>AVERAGEIFS($D$2:D122, $B$2:B122, B122)</f>
        <v>0.25</v>
      </c>
    </row>
    <row r="123" spans="1:30" x14ac:dyDescent="0.25">
      <c r="A123" s="85">
        <v>46037</v>
      </c>
      <c r="B123" t="s">
        <v>14</v>
      </c>
      <c r="C123">
        <v>17</v>
      </c>
      <c r="D123" s="86">
        <v>0</v>
      </c>
      <c r="E123">
        <v>4</v>
      </c>
      <c r="F123">
        <v>1</v>
      </c>
      <c r="G123">
        <v>17</v>
      </c>
      <c r="H123">
        <v>7</v>
      </c>
      <c r="I123">
        <v>0.25</v>
      </c>
      <c r="J123">
        <v>0.41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1</v>
      </c>
      <c r="Z123">
        <v>0</v>
      </c>
      <c r="AA123" s="86">
        <f>AVERAGEIFS($C$2:C123, $B$2:B123, B123)</f>
        <v>20.375</v>
      </c>
      <c r="AB123" s="86">
        <f>AVERAGEIFS($I$2:I123, $B$2:B123, B123)</f>
        <v>0.48125000000000001</v>
      </c>
      <c r="AC123" s="86">
        <f>AVERAGEIFS($J$2:J123, $B$2:B123, B123)</f>
        <v>0.48125000000000001</v>
      </c>
      <c r="AD123" s="86">
        <f>AVERAGEIFS($D$2:D123, $B$2:B123, B123)</f>
        <v>0.5</v>
      </c>
    </row>
    <row r="124" spans="1:30" x14ac:dyDescent="0.25">
      <c r="A124" s="85">
        <v>46037</v>
      </c>
      <c r="B124" t="s">
        <v>6</v>
      </c>
      <c r="C124">
        <v>17</v>
      </c>
      <c r="D124" s="86">
        <v>0</v>
      </c>
      <c r="E124">
        <v>4</v>
      </c>
      <c r="F124">
        <v>1</v>
      </c>
      <c r="G124">
        <v>17</v>
      </c>
      <c r="H124">
        <v>7</v>
      </c>
      <c r="I124">
        <v>0.25</v>
      </c>
      <c r="J124">
        <v>0.41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86">
        <f>AVERAGEIFS($C$2:C124, $B$2:B124, B124)</f>
        <v>13.666666666666666</v>
      </c>
      <c r="AB124" s="86">
        <f>AVERAGEIFS($I$2:I124, $B$2:B124, B124)</f>
        <v>0.53333333333333333</v>
      </c>
      <c r="AC124" s="86">
        <f>AVERAGEIFS($J$2:J124, $B$2:B124, B124)</f>
        <v>0.55666666666666664</v>
      </c>
      <c r="AD124" s="86">
        <f>AVERAGEIFS($D$2:D124, $B$2:B124, B124)</f>
        <v>0.66666666666666663</v>
      </c>
    </row>
    <row r="125" spans="1:30" x14ac:dyDescent="0.25">
      <c r="A125" s="85">
        <v>46037</v>
      </c>
      <c r="B125" t="s">
        <v>51</v>
      </c>
      <c r="C125">
        <v>12</v>
      </c>
      <c r="D125" s="86">
        <v>0</v>
      </c>
      <c r="E125">
        <v>4</v>
      </c>
      <c r="F125">
        <v>1</v>
      </c>
      <c r="G125">
        <v>17</v>
      </c>
      <c r="H125">
        <v>7</v>
      </c>
      <c r="I125">
        <v>0.25</v>
      </c>
      <c r="J125">
        <v>0.41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86">
        <f>AVERAGEIFS($C$2:C125, $B$2:B125, B125)</f>
        <v>12.625</v>
      </c>
      <c r="AB125" s="86">
        <f>AVERAGEIFS($I$2:I125, $B$2:B125, B125)</f>
        <v>0.52500000000000002</v>
      </c>
      <c r="AC125" s="86">
        <f>AVERAGEIFS($J$2:J125, $B$2:B125, B125)</f>
        <v>0.52625</v>
      </c>
      <c r="AD125" s="86">
        <f>AVERAGEIFS($D$2:D125, $B$2:B125, B125)</f>
        <v>0.625</v>
      </c>
    </row>
    <row r="126" spans="1:30" x14ac:dyDescent="0.25">
      <c r="A126" s="85">
        <v>46037</v>
      </c>
      <c r="B126" t="s">
        <v>45</v>
      </c>
      <c r="C126">
        <v>11</v>
      </c>
      <c r="D126" s="86">
        <v>0</v>
      </c>
      <c r="E126">
        <v>4</v>
      </c>
      <c r="F126">
        <v>1</v>
      </c>
      <c r="G126">
        <v>17</v>
      </c>
      <c r="H126">
        <v>7</v>
      </c>
      <c r="I126">
        <v>0.25</v>
      </c>
      <c r="J126">
        <v>0.41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86">
        <f>AVERAGEIFS($C$2:C126, $B$2:B126, B126)</f>
        <v>9.5</v>
      </c>
      <c r="AB126" s="86">
        <f>AVERAGEIFS($I$2:I126, $B$2:B126, B126)</f>
        <v>0.28749999999999998</v>
      </c>
      <c r="AC126" s="86">
        <f>AVERAGEIFS($J$2:J126, $B$2:B126, B126)</f>
        <v>0.38750000000000001</v>
      </c>
      <c r="AD126" s="86">
        <f>AVERAGEIFS($D$2:D126, $B$2:B126, B126)</f>
        <v>0</v>
      </c>
    </row>
    <row r="127" spans="1:30" x14ac:dyDescent="0.25">
      <c r="A127" s="85">
        <v>46037</v>
      </c>
      <c r="B127" t="s">
        <v>28</v>
      </c>
      <c r="C127">
        <v>9</v>
      </c>
      <c r="D127" s="86">
        <v>0</v>
      </c>
      <c r="E127">
        <v>4</v>
      </c>
      <c r="F127">
        <v>1</v>
      </c>
      <c r="G127">
        <v>17</v>
      </c>
      <c r="H127">
        <v>7</v>
      </c>
      <c r="I127">
        <v>0.25</v>
      </c>
      <c r="J127">
        <v>0.41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86">
        <f>AVERAGEIFS($C$2:C127, $B$2:B127, B127)</f>
        <v>12.5</v>
      </c>
      <c r="AB127" s="86">
        <f>AVERAGEIFS($I$2:I127, $B$2:B127, B127)</f>
        <v>0.46666666666666662</v>
      </c>
      <c r="AC127" s="86">
        <f>AVERAGEIFS($J$2:J127, $B$2:B127, B127)</f>
        <v>0.50833333333333341</v>
      </c>
      <c r="AD127" s="86">
        <f>AVERAGEIFS($D$2:D127, $B$2:B127, B127)</f>
        <v>0.33333333333333331</v>
      </c>
    </row>
    <row r="128" spans="1:30" x14ac:dyDescent="0.25">
      <c r="A128" s="85">
        <v>46037</v>
      </c>
      <c r="B128" t="s">
        <v>29</v>
      </c>
      <c r="C128">
        <v>7</v>
      </c>
      <c r="D128" s="86">
        <v>0</v>
      </c>
      <c r="E128">
        <v>4</v>
      </c>
      <c r="F128">
        <v>1</v>
      </c>
      <c r="G128">
        <v>17</v>
      </c>
      <c r="H128">
        <v>7</v>
      </c>
      <c r="I128">
        <v>0.25</v>
      </c>
      <c r="J128">
        <v>0.41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86">
        <f>AVERAGEIFS($C$2:C128, $B$2:B128, B128)</f>
        <v>9.7142857142857135</v>
      </c>
      <c r="AB128" s="86">
        <f>AVERAGEIFS($I$2:I128, $B$2:B128, B128)</f>
        <v>0.50714285714285712</v>
      </c>
      <c r="AC128" s="86">
        <f>AVERAGEIFS($J$2:J128, $B$2:B128, B128)</f>
        <v>0.49999999999999994</v>
      </c>
      <c r="AD128" s="86">
        <f>AVERAGEIFS($D$2:D128, $B$2:B128, B128)</f>
        <v>0.42857142857142855</v>
      </c>
    </row>
    <row r="129" spans="1:30" x14ac:dyDescent="0.25">
      <c r="A129" s="85">
        <v>46040</v>
      </c>
      <c r="B129" t="s">
        <v>3</v>
      </c>
      <c r="C129">
        <v>44</v>
      </c>
      <c r="D129" s="86">
        <v>1</v>
      </c>
      <c r="E129">
        <v>5</v>
      </c>
      <c r="F129">
        <v>3</v>
      </c>
      <c r="G129">
        <v>19</v>
      </c>
      <c r="H129">
        <v>11</v>
      </c>
      <c r="I129">
        <v>0.6</v>
      </c>
      <c r="J129">
        <v>0.57999999999999996</v>
      </c>
      <c r="K129">
        <v>0</v>
      </c>
      <c r="L129">
        <v>0</v>
      </c>
      <c r="M129">
        <v>0</v>
      </c>
      <c r="N129">
        <v>0</v>
      </c>
      <c r="O129">
        <v>1</v>
      </c>
      <c r="P129">
        <v>1</v>
      </c>
      <c r="Q129">
        <v>1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 s="86">
        <f>AVERAGEIFS($C$2:C129, $B$2:B129, B129)</f>
        <v>24.833333333333332</v>
      </c>
      <c r="AB129" s="86">
        <f>AVERAGEIFS($I$2:I129, $B$2:B129, B129)</f>
        <v>0.55833333333333335</v>
      </c>
      <c r="AC129" s="86">
        <f>AVERAGEIFS($J$2:J129, $B$2:B129, B129)</f>
        <v>0.53833333333333322</v>
      </c>
      <c r="AD129" s="86">
        <f>AVERAGEIFS($D$2:D129, $B$2:B129, B129)</f>
        <v>0.66666666666666663</v>
      </c>
    </row>
    <row r="130" spans="1:30" x14ac:dyDescent="0.25">
      <c r="A130" s="85">
        <v>46040</v>
      </c>
      <c r="B130" t="s">
        <v>13</v>
      </c>
      <c r="C130">
        <v>29</v>
      </c>
      <c r="D130" s="86">
        <v>1</v>
      </c>
      <c r="E130">
        <v>5</v>
      </c>
      <c r="F130">
        <v>3</v>
      </c>
      <c r="G130">
        <v>19</v>
      </c>
      <c r="H130">
        <v>11</v>
      </c>
      <c r="I130">
        <v>0.6</v>
      </c>
      <c r="J130">
        <v>0.57999999999999996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1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 s="86">
        <f>AVERAGEIFS($C$2:C130, $B$2:B130, B130)</f>
        <v>27.7</v>
      </c>
      <c r="AB130" s="86">
        <f>AVERAGEIFS($I$2:I130, $B$2:B130, B130)</f>
        <v>0.58499999999999996</v>
      </c>
      <c r="AC130" s="86">
        <f>AVERAGEIFS($J$2:J130, $B$2:B130, B130)</f>
        <v>0.55000000000000004</v>
      </c>
      <c r="AD130" s="86">
        <f>AVERAGEIFS($D$2:D130, $B$2:B130, B130)</f>
        <v>0.7</v>
      </c>
    </row>
    <row r="131" spans="1:30" x14ac:dyDescent="0.25">
      <c r="A131" s="85">
        <v>46040</v>
      </c>
      <c r="B131" t="s">
        <v>54</v>
      </c>
      <c r="C131">
        <v>24</v>
      </c>
      <c r="D131" s="86">
        <v>1</v>
      </c>
      <c r="E131">
        <v>5</v>
      </c>
      <c r="F131">
        <v>3</v>
      </c>
      <c r="G131">
        <v>19</v>
      </c>
      <c r="H131">
        <v>11</v>
      </c>
      <c r="I131">
        <v>0.6</v>
      </c>
      <c r="J131">
        <v>0.57999999999999996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1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 s="86">
        <f>AVERAGEIFS($C$2:C131, $B$2:B131, B131)</f>
        <v>21.666666666666668</v>
      </c>
      <c r="AB131" s="86">
        <f>AVERAGEIFS($I$2:I131, $B$2:B131, B131)</f>
        <v>0.6</v>
      </c>
      <c r="AC131" s="86">
        <f>AVERAGEIFS($J$2:J131, $B$2:B131, B131)</f>
        <v>0.57999999999999996</v>
      </c>
      <c r="AD131" s="86">
        <f>AVERAGEIFS($D$2:D131, $B$2:B131, B131)</f>
        <v>1</v>
      </c>
    </row>
    <row r="132" spans="1:30" x14ac:dyDescent="0.25">
      <c r="A132" s="85">
        <v>46040</v>
      </c>
      <c r="B132" t="s">
        <v>26</v>
      </c>
      <c r="C132">
        <v>19</v>
      </c>
      <c r="D132" s="86">
        <v>1</v>
      </c>
      <c r="E132">
        <v>5</v>
      </c>
      <c r="F132">
        <v>3</v>
      </c>
      <c r="G132">
        <v>19</v>
      </c>
      <c r="H132">
        <v>11</v>
      </c>
      <c r="I132">
        <v>0.6</v>
      </c>
      <c r="J132">
        <v>0.57999999999999996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1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 s="86">
        <f>AVERAGEIFS($C$2:C132, $B$2:B132, B132)</f>
        <v>11.833333333333334</v>
      </c>
      <c r="AB132" s="86">
        <f>AVERAGEIFS($I$2:I132, $B$2:B132, B132)</f>
        <v>0.64166666666666672</v>
      </c>
      <c r="AC132" s="86">
        <f>AVERAGEIFS($J$2:J132, $B$2:B132, B132)</f>
        <v>0.57166666666666666</v>
      </c>
      <c r="AD132" s="86">
        <f>AVERAGEIFS($D$2:D132, $B$2:B132, B132)</f>
        <v>0.83333333333333337</v>
      </c>
    </row>
    <row r="133" spans="1:30" x14ac:dyDescent="0.25">
      <c r="A133" s="85">
        <v>46040</v>
      </c>
      <c r="B133" t="s">
        <v>27</v>
      </c>
      <c r="C133">
        <v>17</v>
      </c>
      <c r="D133" s="86">
        <v>1</v>
      </c>
      <c r="E133">
        <v>5</v>
      </c>
      <c r="F133">
        <v>3</v>
      </c>
      <c r="G133">
        <v>19</v>
      </c>
      <c r="H133">
        <v>11</v>
      </c>
      <c r="I133">
        <v>0.6</v>
      </c>
      <c r="J133">
        <v>0.57999999999999996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1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 s="86">
        <f>AVERAGEIFS($C$2:C133, $B$2:B133, B133)</f>
        <v>13.8</v>
      </c>
      <c r="AB133" s="86">
        <f>AVERAGEIFS($I$2:I133, $B$2:B133, B133)</f>
        <v>0.45</v>
      </c>
      <c r="AC133" s="86">
        <f>AVERAGEIFS($J$2:J133, $B$2:B133, B133)</f>
        <v>0.47599999999999998</v>
      </c>
      <c r="AD133" s="86">
        <f>AVERAGEIFS($D$2:D133, $B$2:B133, B133)</f>
        <v>0.4</v>
      </c>
    </row>
    <row r="134" spans="1:30" x14ac:dyDescent="0.25">
      <c r="A134" s="85">
        <v>46040</v>
      </c>
      <c r="B134" t="s">
        <v>53</v>
      </c>
      <c r="C134">
        <v>11</v>
      </c>
      <c r="D134" s="86">
        <v>1</v>
      </c>
      <c r="E134">
        <v>5</v>
      </c>
      <c r="F134">
        <v>3</v>
      </c>
      <c r="G134">
        <v>19</v>
      </c>
      <c r="H134">
        <v>11</v>
      </c>
      <c r="I134">
        <v>0.6</v>
      </c>
      <c r="J134">
        <v>0.57999999999999996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1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 s="86">
        <f>AVERAGEIFS($C$2:C134, $B$2:B134, B134)</f>
        <v>18</v>
      </c>
      <c r="AB134" s="86">
        <f>AVERAGEIFS($I$2:I134, $B$2:B134, B134)</f>
        <v>0.6</v>
      </c>
      <c r="AC134" s="86">
        <f>AVERAGEIFS($J$2:J134, $B$2:B134, B134)</f>
        <v>0.57499999999999996</v>
      </c>
      <c r="AD134" s="86">
        <f>AVERAGEIFS($D$2:D134, $B$2:B134, B134)</f>
        <v>1</v>
      </c>
    </row>
    <row r="135" spans="1:30" x14ac:dyDescent="0.25">
      <c r="A135" s="85">
        <v>46040</v>
      </c>
      <c r="B135" t="s">
        <v>18</v>
      </c>
      <c r="C135">
        <v>35</v>
      </c>
      <c r="D135" s="86">
        <v>0</v>
      </c>
      <c r="E135">
        <v>5</v>
      </c>
      <c r="F135">
        <v>2</v>
      </c>
      <c r="G135">
        <v>19</v>
      </c>
      <c r="H135">
        <v>8</v>
      </c>
      <c r="I135">
        <v>0.4</v>
      </c>
      <c r="J135">
        <v>0.42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0</v>
      </c>
      <c r="Z135">
        <v>1</v>
      </c>
      <c r="AA135" s="86">
        <f>AVERAGEIFS($C$2:C135, $B$2:B135, B135)</f>
        <v>23.6</v>
      </c>
      <c r="AB135" s="86">
        <f>AVERAGEIFS($I$2:I135, $B$2:B135, B135)</f>
        <v>0.55000000000000004</v>
      </c>
      <c r="AC135" s="86">
        <f>AVERAGEIFS($J$2:J135, $B$2:B135, B135)</f>
        <v>0.48599999999999993</v>
      </c>
      <c r="AD135" s="86">
        <f>AVERAGEIFS($D$2:D135, $B$2:B135, B135)</f>
        <v>0.6</v>
      </c>
    </row>
    <row r="136" spans="1:30" x14ac:dyDescent="0.25">
      <c r="A136" s="85">
        <v>46040</v>
      </c>
      <c r="B136" t="s">
        <v>15</v>
      </c>
      <c r="C136">
        <v>33</v>
      </c>
      <c r="D136" s="86">
        <v>0</v>
      </c>
      <c r="E136">
        <v>5</v>
      </c>
      <c r="F136">
        <v>2</v>
      </c>
      <c r="G136">
        <v>19</v>
      </c>
      <c r="H136">
        <v>8</v>
      </c>
      <c r="I136">
        <v>0.4</v>
      </c>
      <c r="J136">
        <v>0.42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1</v>
      </c>
      <c r="Y136">
        <v>0</v>
      </c>
      <c r="Z136">
        <v>1</v>
      </c>
      <c r="AA136" s="86">
        <f>AVERAGEIFS($C$2:C136, $B$2:B136, B136)</f>
        <v>23.875</v>
      </c>
      <c r="AB136" s="86">
        <f>AVERAGEIFS($I$2:I136, $B$2:B136, B136)</f>
        <v>0.39374999999999999</v>
      </c>
      <c r="AC136" s="86">
        <f>AVERAGEIFS($J$2:J136, $B$2:B136, B136)</f>
        <v>0.42874999999999996</v>
      </c>
      <c r="AD136" s="86">
        <f>AVERAGEIFS($D$2:D136, $B$2:B136, B136)</f>
        <v>0.25</v>
      </c>
    </row>
    <row r="137" spans="1:30" x14ac:dyDescent="0.25">
      <c r="A137" s="85">
        <v>46040</v>
      </c>
      <c r="B137" t="s">
        <v>51</v>
      </c>
      <c r="C137">
        <v>19</v>
      </c>
      <c r="D137" s="86">
        <v>0</v>
      </c>
      <c r="E137">
        <v>5</v>
      </c>
      <c r="F137">
        <v>2</v>
      </c>
      <c r="G137">
        <v>19</v>
      </c>
      <c r="H137">
        <v>8</v>
      </c>
      <c r="I137">
        <v>0.4</v>
      </c>
      <c r="J137">
        <v>0.42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1</v>
      </c>
      <c r="Y137">
        <v>0</v>
      </c>
      <c r="Z137">
        <v>1</v>
      </c>
      <c r="AA137" s="86">
        <f>AVERAGEIFS($C$2:C137, $B$2:B137, B137)</f>
        <v>13.333333333333334</v>
      </c>
      <c r="AB137" s="86">
        <f>AVERAGEIFS($I$2:I137, $B$2:B137, B137)</f>
        <v>0.51111111111111118</v>
      </c>
      <c r="AC137" s="86">
        <f>AVERAGEIFS($J$2:J137, $B$2:B137, B137)</f>
        <v>0.51444444444444448</v>
      </c>
      <c r="AD137" s="86">
        <f>AVERAGEIFS($D$2:D137, $B$2:B137, B137)</f>
        <v>0.55555555555555558</v>
      </c>
    </row>
    <row r="138" spans="1:30" x14ac:dyDescent="0.25">
      <c r="A138" s="85">
        <v>46040</v>
      </c>
      <c r="B138" t="s">
        <v>37</v>
      </c>
      <c r="C138">
        <v>17</v>
      </c>
      <c r="D138" s="86">
        <v>0</v>
      </c>
      <c r="E138">
        <v>5</v>
      </c>
      <c r="F138">
        <v>2</v>
      </c>
      <c r="G138">
        <v>19</v>
      </c>
      <c r="H138">
        <v>8</v>
      </c>
      <c r="I138">
        <v>0.4</v>
      </c>
      <c r="J138">
        <v>0.42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1</v>
      </c>
      <c r="Y138">
        <v>0</v>
      </c>
      <c r="Z138">
        <v>1</v>
      </c>
      <c r="AA138" s="86">
        <f>AVERAGEIFS($C$2:C138, $B$2:B138, B138)</f>
        <v>17</v>
      </c>
      <c r="AB138" s="86">
        <f>AVERAGEIFS($I$2:I138, $B$2:B138, B138)</f>
        <v>0.5</v>
      </c>
      <c r="AC138" s="86">
        <f>AVERAGEIFS($J$2:J138, $B$2:B138, B138)</f>
        <v>0.48249999999999998</v>
      </c>
      <c r="AD138" s="86">
        <f>AVERAGEIFS($D$2:D138, $B$2:B138, B138)</f>
        <v>0.5</v>
      </c>
    </row>
    <row r="139" spans="1:30" x14ac:dyDescent="0.25">
      <c r="A139" s="85">
        <v>46040</v>
      </c>
      <c r="B139" t="s">
        <v>20</v>
      </c>
      <c r="C139">
        <v>17</v>
      </c>
      <c r="D139" s="86">
        <v>0</v>
      </c>
      <c r="E139">
        <v>5</v>
      </c>
      <c r="F139">
        <v>2</v>
      </c>
      <c r="G139">
        <v>19</v>
      </c>
      <c r="H139">
        <v>8</v>
      </c>
      <c r="I139">
        <v>0.4</v>
      </c>
      <c r="J139">
        <v>0.42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1</v>
      </c>
      <c r="Y139">
        <v>0</v>
      </c>
      <c r="Z139">
        <v>1</v>
      </c>
      <c r="AA139" s="86">
        <f>AVERAGEIFS($C$2:C139, $B$2:B139, B139)</f>
        <v>11.333333333333334</v>
      </c>
      <c r="AB139" s="86">
        <f>AVERAGEIFS($I$2:I139, $B$2:B139, B139)</f>
        <v>0.44166666666666665</v>
      </c>
      <c r="AC139" s="86">
        <f>AVERAGEIFS($J$2:J139, $B$2:B139, B139)</f>
        <v>0.44666666666666671</v>
      </c>
      <c r="AD139" s="86">
        <f>AVERAGEIFS($D$2:D139, $B$2:B139, B139)</f>
        <v>0.33333333333333331</v>
      </c>
    </row>
    <row r="140" spans="1:30" x14ac:dyDescent="0.25">
      <c r="A140" s="85">
        <v>46040</v>
      </c>
      <c r="B140" t="s">
        <v>19</v>
      </c>
      <c r="C140">
        <v>16</v>
      </c>
      <c r="D140" s="86">
        <v>0</v>
      </c>
      <c r="E140">
        <v>5</v>
      </c>
      <c r="F140">
        <v>2</v>
      </c>
      <c r="G140">
        <v>19</v>
      </c>
      <c r="H140">
        <v>8</v>
      </c>
      <c r="I140">
        <v>0.4</v>
      </c>
      <c r="J140">
        <v>0.42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1</v>
      </c>
      <c r="Y140">
        <v>0</v>
      </c>
      <c r="Z140">
        <v>1</v>
      </c>
      <c r="AA140" s="86">
        <f>AVERAGEIFS($C$2:C140, $B$2:B140, B140)</f>
        <v>10.7</v>
      </c>
      <c r="AB140" s="86">
        <f>AVERAGEIFS($I$2:I140, $B$2:B140, B140)</f>
        <v>0.48000000000000009</v>
      </c>
      <c r="AC140" s="86">
        <f>AVERAGEIFS($J$2:J140, $B$2:B140, B140)</f>
        <v>0.49300000000000005</v>
      </c>
      <c r="AD140" s="86">
        <f>AVERAGEIFS($D$2:D140, $B$2:B140, B140)</f>
        <v>0.4</v>
      </c>
    </row>
    <row r="141" spans="1:30" x14ac:dyDescent="0.25">
      <c r="A141" s="85">
        <v>46044</v>
      </c>
      <c r="B141" t="s">
        <v>13</v>
      </c>
      <c r="C141">
        <v>57</v>
      </c>
      <c r="D141" s="86">
        <v>1</v>
      </c>
      <c r="E141">
        <v>5</v>
      </c>
      <c r="F141">
        <v>3</v>
      </c>
      <c r="G141">
        <v>22</v>
      </c>
      <c r="H141">
        <v>11</v>
      </c>
      <c r="I141">
        <v>0.6</v>
      </c>
      <c r="J141">
        <v>0.5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1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1</v>
      </c>
      <c r="Y141">
        <v>0</v>
      </c>
      <c r="Z141">
        <v>1</v>
      </c>
      <c r="AA141" s="86">
        <f>AVERAGEIFS($C$2:C141, $B$2:B141, B141)</f>
        <v>30.363636363636363</v>
      </c>
      <c r="AB141" s="86">
        <f>AVERAGEIFS($I$2:I141, $B$2:B141, B141)</f>
        <v>0.58636363636363631</v>
      </c>
      <c r="AC141" s="86">
        <f>AVERAGEIFS($J$2:J141, $B$2:B141, B141)</f>
        <v>0.54545454545454541</v>
      </c>
      <c r="AD141" s="86">
        <f>AVERAGEIFS($D$2:D141, $B$2:B141, B141)</f>
        <v>0.72727272727272729</v>
      </c>
    </row>
    <row r="142" spans="1:30" x14ac:dyDescent="0.25">
      <c r="A142" s="85">
        <v>46044</v>
      </c>
      <c r="B142" t="s">
        <v>6</v>
      </c>
      <c r="C142">
        <v>43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1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1</v>
      </c>
      <c r="Y142">
        <v>0</v>
      </c>
      <c r="Z142">
        <v>1</v>
      </c>
      <c r="AA142" s="86">
        <f>AVERAGEIFS($C$2:C142, $B$2:B142, B142)</f>
        <v>21</v>
      </c>
      <c r="AB142" s="86">
        <f>AVERAGEIFS($I$2:I142, $B$2:B142, B142)</f>
        <v>0.55000000000000004</v>
      </c>
      <c r="AC142" s="86">
        <f>AVERAGEIFS($J$2:J142, $B$2:B142, B142)</f>
        <v>0.54249999999999998</v>
      </c>
      <c r="AD142" s="86">
        <f>AVERAGEIFS($D$2:D142, $B$2:B142, B142)</f>
        <v>0.75</v>
      </c>
    </row>
    <row r="143" spans="1:30" x14ac:dyDescent="0.25">
      <c r="A143" s="85">
        <v>46044</v>
      </c>
      <c r="B143" t="s">
        <v>14</v>
      </c>
      <c r="C143">
        <v>41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1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1</v>
      </c>
      <c r="Y143">
        <v>0</v>
      </c>
      <c r="Z143">
        <v>1</v>
      </c>
      <c r="AA143" s="86">
        <f>AVERAGEIFS($C$2:C143, $B$2:B143, B143)</f>
        <v>22.666666666666668</v>
      </c>
      <c r="AB143" s="86">
        <f>AVERAGEIFS($I$2:I143, $B$2:B143, B143)</f>
        <v>0.49444444444444446</v>
      </c>
      <c r="AC143" s="86">
        <f>AVERAGEIFS($J$2:J143, $B$2:B143, B143)</f>
        <v>0.48333333333333328</v>
      </c>
      <c r="AD143" s="86">
        <f>AVERAGEIFS($D$2:D143, $B$2:B143, B143)</f>
        <v>0.55555555555555558</v>
      </c>
    </row>
    <row r="144" spans="1:30" x14ac:dyDescent="0.25">
      <c r="A144" s="85">
        <v>46044</v>
      </c>
      <c r="B144" t="s">
        <v>1</v>
      </c>
      <c r="C144">
        <v>37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1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1</v>
      </c>
      <c r="Y144">
        <v>0</v>
      </c>
      <c r="Z144">
        <v>1</v>
      </c>
      <c r="AA144" s="86">
        <f>AVERAGEIFS($C$2:C144, $B$2:B144, B144)</f>
        <v>26.666666666666668</v>
      </c>
      <c r="AB144" s="86">
        <f>AVERAGEIFS($I$2:I144, $B$2:B144, B144)</f>
        <v>0.41666666666666669</v>
      </c>
      <c r="AC144" s="86">
        <f>AVERAGEIFS($J$2:J144, $B$2:B144, B144)</f>
        <v>0.4366666666666667</v>
      </c>
      <c r="AD144" s="86">
        <f>AVERAGEIFS($D$2:D144, $B$2:B144, B144)</f>
        <v>0.33333333333333331</v>
      </c>
    </row>
    <row r="145" spans="1:30" x14ac:dyDescent="0.25">
      <c r="A145" s="85">
        <v>46044</v>
      </c>
      <c r="B145" t="s">
        <v>28</v>
      </c>
      <c r="C145">
        <v>20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1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1</v>
      </c>
      <c r="Y145">
        <v>0</v>
      </c>
      <c r="Z145">
        <v>1</v>
      </c>
      <c r="AA145" s="86">
        <f>AVERAGEIFS($C$2:C145, $B$2:B145, B145)</f>
        <v>13.571428571428571</v>
      </c>
      <c r="AB145" s="86">
        <f>AVERAGEIFS($I$2:I145, $B$2:B145, B145)</f>
        <v>0.48571428571428571</v>
      </c>
      <c r="AC145" s="86">
        <f>AVERAGEIFS($J$2:J145, $B$2:B145, B145)</f>
        <v>0.50714285714285723</v>
      </c>
      <c r="AD145" s="86">
        <f>AVERAGEIFS($D$2:D145, $B$2:B145, B145)</f>
        <v>0.42857142857142855</v>
      </c>
    </row>
    <row r="146" spans="1:30" x14ac:dyDescent="0.25">
      <c r="A146" s="85">
        <v>46044</v>
      </c>
      <c r="B146" t="s">
        <v>46</v>
      </c>
      <c r="C146">
        <v>20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1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1</v>
      </c>
      <c r="Y146">
        <v>0</v>
      </c>
      <c r="Z146">
        <v>1</v>
      </c>
      <c r="AA146" s="86">
        <f>AVERAGEIFS($C$2:C146, $B$2:B146, B146)</f>
        <v>22</v>
      </c>
      <c r="AB146" s="86">
        <f>AVERAGEIFS($I$2:I146, $B$2:B146, B146)</f>
        <v>0.41666666666666669</v>
      </c>
      <c r="AC146" s="86">
        <f>AVERAGEIFS($J$2:J146, $B$2:B146, B146)</f>
        <v>0.4366666666666667</v>
      </c>
      <c r="AD146" s="86">
        <f>AVERAGEIFS($D$2:D146, $B$2:B146, B146)</f>
        <v>0.33333333333333331</v>
      </c>
    </row>
    <row r="147" spans="1:30" x14ac:dyDescent="0.25">
      <c r="A147" s="85">
        <v>46044</v>
      </c>
      <c r="B147" t="s">
        <v>19</v>
      </c>
      <c r="C147">
        <v>14</v>
      </c>
      <c r="D147" s="86">
        <v>1</v>
      </c>
      <c r="E147">
        <v>5</v>
      </c>
      <c r="F147">
        <v>3</v>
      </c>
      <c r="G147">
        <v>22</v>
      </c>
      <c r="H147">
        <v>11</v>
      </c>
      <c r="I147">
        <v>0.6</v>
      </c>
      <c r="J147">
        <v>0.5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1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1</v>
      </c>
      <c r="Y147">
        <v>0</v>
      </c>
      <c r="Z147">
        <v>1</v>
      </c>
      <c r="AA147" s="86">
        <f>AVERAGEIFS($C$2:C147, $B$2:B147, B147)</f>
        <v>11</v>
      </c>
      <c r="AB147" s="86">
        <f>AVERAGEIFS($I$2:I147, $B$2:B147, B147)</f>
        <v>0.49090909090909096</v>
      </c>
      <c r="AC147" s="86">
        <f>AVERAGEIFS($J$2:J147, $B$2:B147, B147)</f>
        <v>0.49363636363636371</v>
      </c>
      <c r="AD147" s="86">
        <f>AVERAGEIFS($D$2:D147, $B$2:B147, B147)</f>
        <v>0.45454545454545453</v>
      </c>
    </row>
    <row r="148" spans="1:30" x14ac:dyDescent="0.25">
      <c r="A148" s="85">
        <v>46044</v>
      </c>
      <c r="B148" t="s">
        <v>17</v>
      </c>
      <c r="C148">
        <v>49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0</v>
      </c>
      <c r="N148">
        <v>1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1</v>
      </c>
      <c r="Z148">
        <v>0</v>
      </c>
      <c r="AA148" s="86">
        <f>AVERAGEIFS($C$2:C148, $B$2:B148, B148)</f>
        <v>27.6</v>
      </c>
      <c r="AB148" s="86">
        <f>AVERAGEIFS($I$2:I148, $B$2:B148, B148)</f>
        <v>0.54500000000000004</v>
      </c>
      <c r="AC148" s="86">
        <f>AVERAGEIFS($J$2:J148, $B$2:B148, B148)</f>
        <v>0.54299999999999993</v>
      </c>
      <c r="AD148" s="86">
        <f>AVERAGEIFS($D$2:D148, $B$2:B148, B148)</f>
        <v>0.5</v>
      </c>
    </row>
    <row r="149" spans="1:30" x14ac:dyDescent="0.25">
      <c r="A149" s="85">
        <v>46044</v>
      </c>
      <c r="B149" t="s">
        <v>2</v>
      </c>
      <c r="C149">
        <v>42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0</v>
      </c>
      <c r="N149">
        <v>1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1</v>
      </c>
      <c r="Z149">
        <v>0</v>
      </c>
      <c r="AA149" s="86">
        <f>AVERAGEIFS($C$2:C149, $B$2:B149, B149)</f>
        <v>24.714285714285715</v>
      </c>
      <c r="AB149" s="86">
        <f>AVERAGEIFS($I$2:I149, $B$2:B149, B149)</f>
        <v>0.50714285714285712</v>
      </c>
      <c r="AC149" s="86">
        <f>AVERAGEIFS($J$2:J149, $B$2:B149, B149)</f>
        <v>0.51428571428571435</v>
      </c>
      <c r="AD149" s="86">
        <f>AVERAGEIFS($D$2:D149, $B$2:B149, B149)</f>
        <v>0.42857142857142855</v>
      </c>
    </row>
    <row r="150" spans="1:30" x14ac:dyDescent="0.25">
      <c r="A150" s="85">
        <v>46044</v>
      </c>
      <c r="B150" t="s">
        <v>5</v>
      </c>
      <c r="C150">
        <v>36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0</v>
      </c>
      <c r="N150">
        <v>1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1</v>
      </c>
      <c r="Z150">
        <v>0</v>
      </c>
      <c r="AA150" s="86">
        <f>AVERAGEIFS($C$2:C150, $B$2:B150, B150)</f>
        <v>26.6</v>
      </c>
      <c r="AB150" s="86">
        <f>AVERAGEIFS($I$2:I150, $B$2:B150, B150)</f>
        <v>0.35</v>
      </c>
      <c r="AC150" s="86">
        <f>AVERAGEIFS($J$2:J150, $B$2:B150, B150)</f>
        <v>0.44399999999999995</v>
      </c>
      <c r="AD150" s="86">
        <f>AVERAGEIFS($D$2:D150, $B$2:B150, B150)</f>
        <v>0.2</v>
      </c>
    </row>
    <row r="151" spans="1:30" x14ac:dyDescent="0.25">
      <c r="A151" s="85">
        <v>46044</v>
      </c>
      <c r="B151" t="s">
        <v>15</v>
      </c>
      <c r="C151">
        <v>31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0</v>
      </c>
      <c r="N151">
        <v>1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1</v>
      </c>
      <c r="Z151">
        <v>0</v>
      </c>
      <c r="AA151" s="86">
        <f>AVERAGEIFS($C$2:C151, $B$2:B151, B151)</f>
        <v>24.666666666666668</v>
      </c>
      <c r="AB151" s="86">
        <f>AVERAGEIFS($I$2:I151, $B$2:B151, B151)</f>
        <v>0.39444444444444443</v>
      </c>
      <c r="AC151" s="86">
        <f>AVERAGEIFS($J$2:J151, $B$2:B151, B151)</f>
        <v>0.43666666666666665</v>
      </c>
      <c r="AD151" s="86">
        <f>AVERAGEIFS($D$2:D151, $B$2:B151, B151)</f>
        <v>0.22222222222222221</v>
      </c>
    </row>
    <row r="152" spans="1:30" x14ac:dyDescent="0.25">
      <c r="A152" s="85">
        <v>46044</v>
      </c>
      <c r="B152" t="s">
        <v>37</v>
      </c>
      <c r="C152">
        <v>25</v>
      </c>
      <c r="D152" s="86">
        <v>0</v>
      </c>
      <c r="E152">
        <v>5</v>
      </c>
      <c r="F152">
        <v>2</v>
      </c>
      <c r="G152">
        <v>22</v>
      </c>
      <c r="H152">
        <v>11</v>
      </c>
      <c r="I152">
        <v>0.4</v>
      </c>
      <c r="J152">
        <v>0.5</v>
      </c>
      <c r="K152">
        <v>0</v>
      </c>
      <c r="L152">
        <v>0</v>
      </c>
      <c r="M152">
        <v>0</v>
      </c>
      <c r="N152">
        <v>1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1</v>
      </c>
      <c r="Z152">
        <v>0</v>
      </c>
      <c r="AA152" s="86">
        <f>AVERAGEIFS($C$2:C152, $B$2:B152, B152)</f>
        <v>18.600000000000001</v>
      </c>
      <c r="AB152" s="86">
        <f>AVERAGEIFS($I$2:I152, $B$2:B152, B152)</f>
        <v>0.48</v>
      </c>
      <c r="AC152" s="86">
        <f>AVERAGEIFS($J$2:J152, $B$2:B152, B152)</f>
        <v>0.48599999999999993</v>
      </c>
      <c r="AD152" s="86">
        <f>AVERAGEIFS($D$2:D152, $B$2:B152, B152)</f>
        <v>0.4</v>
      </c>
    </row>
    <row r="153" spans="1:30" x14ac:dyDescent="0.25">
      <c r="A153" s="85">
        <v>46044</v>
      </c>
      <c r="B153" t="s">
        <v>20</v>
      </c>
      <c r="C153">
        <v>20</v>
      </c>
      <c r="D153" s="86">
        <v>0</v>
      </c>
      <c r="E153">
        <v>5</v>
      </c>
      <c r="F153">
        <v>2</v>
      </c>
      <c r="G153">
        <v>22</v>
      </c>
      <c r="H153">
        <v>11</v>
      </c>
      <c r="I153">
        <v>0.4</v>
      </c>
      <c r="J153">
        <v>0.5</v>
      </c>
      <c r="K153">
        <v>0</v>
      </c>
      <c r="L153">
        <v>0</v>
      </c>
      <c r="M153">
        <v>0</v>
      </c>
      <c r="N153">
        <v>1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1</v>
      </c>
      <c r="Z153">
        <v>0</v>
      </c>
      <c r="AA153" s="86">
        <f>AVERAGEIFS($C$2:C153, $B$2:B153, B153)</f>
        <v>12.571428571428571</v>
      </c>
      <c r="AB153" s="86">
        <f>AVERAGEIFS($I$2:I153, $B$2:B153, B153)</f>
        <v>0.43571428571428567</v>
      </c>
      <c r="AC153" s="86">
        <f>AVERAGEIFS($J$2:J153, $B$2:B153, B153)</f>
        <v>0.45428571428571429</v>
      </c>
      <c r="AD153" s="86">
        <f>AVERAGEIFS($D$2:D153, $B$2:B153, B153)</f>
        <v>0.2857142857142857</v>
      </c>
    </row>
    <row r="154" spans="1:30" x14ac:dyDescent="0.25">
      <c r="A154" s="85">
        <v>46044</v>
      </c>
      <c r="B154" t="s">
        <v>26</v>
      </c>
      <c r="C154">
        <v>19</v>
      </c>
      <c r="D154" s="86">
        <v>0</v>
      </c>
      <c r="E154">
        <v>5</v>
      </c>
      <c r="F154">
        <v>2</v>
      </c>
      <c r="G154">
        <v>22</v>
      </c>
      <c r="H154">
        <v>11</v>
      </c>
      <c r="I154">
        <v>0.4</v>
      </c>
      <c r="J154">
        <v>0.5</v>
      </c>
      <c r="K154">
        <v>0</v>
      </c>
      <c r="L154">
        <v>0</v>
      </c>
      <c r="M154">
        <v>0</v>
      </c>
      <c r="N154">
        <v>1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1</v>
      </c>
      <c r="Z154">
        <v>0</v>
      </c>
      <c r="AA154" s="86">
        <f>AVERAGEIFS($C$2:C154, $B$2:B154, B154)</f>
        <v>12.857142857142858</v>
      </c>
      <c r="AB154" s="86">
        <f>AVERAGEIFS($I$2:I154, $B$2:B154, B154)</f>
        <v>0.6071428571428571</v>
      </c>
      <c r="AC154" s="86">
        <f>AVERAGEIFS($J$2:J154, $B$2:B154, B154)</f>
        <v>0.56142857142857139</v>
      </c>
      <c r="AD154" s="86">
        <f>AVERAGEIFS($D$2:D154, $B$2:B154, B154)</f>
        <v>0.7142857142857143</v>
      </c>
    </row>
    <row r="155" spans="1:30" x14ac:dyDescent="0.25">
      <c r="A155" s="85">
        <v>46047</v>
      </c>
      <c r="B155" t="s">
        <v>15</v>
      </c>
      <c r="C155">
        <v>24</v>
      </c>
      <c r="D155" s="86">
        <v>1</v>
      </c>
      <c r="E155">
        <v>3</v>
      </c>
      <c r="F155">
        <v>3</v>
      </c>
      <c r="G155">
        <v>13</v>
      </c>
      <c r="H155">
        <v>9</v>
      </c>
      <c r="I155">
        <v>1</v>
      </c>
      <c r="J155">
        <v>0.69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1</v>
      </c>
      <c r="X155">
        <v>1</v>
      </c>
      <c r="Y155">
        <v>0</v>
      </c>
      <c r="Z155">
        <v>1</v>
      </c>
      <c r="AA155" s="86">
        <f>AVERAGEIFS($C$2:C155, $B$2:B155, B155)</f>
        <v>24.6</v>
      </c>
      <c r="AB155" s="86">
        <f>AVERAGEIFS($I$2:I155, $B$2:B155, B155)</f>
        <v>0.45499999999999996</v>
      </c>
      <c r="AC155" s="86">
        <f>AVERAGEIFS($J$2:J155, $B$2:B155, B155)</f>
        <v>0.46199999999999991</v>
      </c>
      <c r="AD155" s="86">
        <f>AVERAGEIFS($D$2:D155, $B$2:B155, B155)</f>
        <v>0.3</v>
      </c>
    </row>
    <row r="156" spans="1:30" x14ac:dyDescent="0.25">
      <c r="A156" s="85">
        <v>46047</v>
      </c>
      <c r="B156" t="s">
        <v>17</v>
      </c>
      <c r="C156">
        <v>22</v>
      </c>
      <c r="D156" s="86">
        <v>1</v>
      </c>
      <c r="E156">
        <v>3</v>
      </c>
      <c r="F156">
        <v>3</v>
      </c>
      <c r="G156">
        <v>13</v>
      </c>
      <c r="H156">
        <v>9</v>
      </c>
      <c r="I156">
        <v>1</v>
      </c>
      <c r="J156">
        <v>0.69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1</v>
      </c>
      <c r="X156">
        <v>1</v>
      </c>
      <c r="Y156">
        <v>0</v>
      </c>
      <c r="Z156">
        <v>1</v>
      </c>
      <c r="AA156" s="86">
        <f>AVERAGEIFS($C$2:C156, $B$2:B156, B156)</f>
        <v>27.09090909090909</v>
      </c>
      <c r="AB156" s="86">
        <f>AVERAGEIFS($I$2:I156, $B$2:B156, B156)</f>
        <v>0.58636363636363642</v>
      </c>
      <c r="AC156" s="86">
        <f>AVERAGEIFS($J$2:J156, $B$2:B156, B156)</f>
        <v>0.55636363636363628</v>
      </c>
      <c r="AD156" s="86">
        <f>AVERAGEIFS($D$2:D156, $B$2:B156, B156)</f>
        <v>0.54545454545454541</v>
      </c>
    </row>
    <row r="157" spans="1:30" x14ac:dyDescent="0.25">
      <c r="A157" s="85">
        <v>46047</v>
      </c>
      <c r="B157" t="s">
        <v>6</v>
      </c>
      <c r="C157">
        <v>17</v>
      </c>
      <c r="D157" s="86">
        <v>1</v>
      </c>
      <c r="E157">
        <v>3</v>
      </c>
      <c r="F157">
        <v>3</v>
      </c>
      <c r="G157">
        <v>13</v>
      </c>
      <c r="H157">
        <v>9</v>
      </c>
      <c r="I157">
        <v>1</v>
      </c>
      <c r="J157">
        <v>0.69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1</v>
      </c>
      <c r="X157">
        <v>1</v>
      </c>
      <c r="Y157">
        <v>0</v>
      </c>
      <c r="Z157">
        <v>1</v>
      </c>
      <c r="AA157" s="86">
        <f>AVERAGEIFS($C$2:C157, $B$2:B157, B157)</f>
        <v>20.2</v>
      </c>
      <c r="AB157" s="86">
        <f>AVERAGEIFS($I$2:I157, $B$2:B157, B157)</f>
        <v>0.64</v>
      </c>
      <c r="AC157" s="86">
        <f>AVERAGEIFS($J$2:J157, $B$2:B157, B157)</f>
        <v>0.57199999999999995</v>
      </c>
      <c r="AD157" s="86">
        <f>AVERAGEIFS($D$2:D157, $B$2:B157, B157)</f>
        <v>0.8</v>
      </c>
    </row>
    <row r="158" spans="1:30" x14ac:dyDescent="0.25">
      <c r="A158" s="85">
        <v>46047</v>
      </c>
      <c r="B158" t="s">
        <v>19</v>
      </c>
      <c r="C158">
        <v>11</v>
      </c>
      <c r="D158" s="86">
        <v>1</v>
      </c>
      <c r="E158">
        <v>3</v>
      </c>
      <c r="F158">
        <v>3</v>
      </c>
      <c r="G158">
        <v>13</v>
      </c>
      <c r="H158">
        <v>9</v>
      </c>
      <c r="I158">
        <v>1</v>
      </c>
      <c r="J158">
        <v>0.69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1</v>
      </c>
      <c r="X158">
        <v>1</v>
      </c>
      <c r="Y158">
        <v>0</v>
      </c>
      <c r="Z158">
        <v>1</v>
      </c>
      <c r="AA158" s="86">
        <f>AVERAGEIFS($C$2:C158, $B$2:B158, B158)</f>
        <v>11</v>
      </c>
      <c r="AB158" s="86">
        <f>AVERAGEIFS($I$2:I158, $B$2:B158, B158)</f>
        <v>0.53333333333333333</v>
      </c>
      <c r="AC158" s="86">
        <f>AVERAGEIFS($J$2:J158, $B$2:B158, B158)</f>
        <v>0.51000000000000012</v>
      </c>
      <c r="AD158" s="86">
        <f>AVERAGEIFS($D$2:D158, $B$2:B158, B158)</f>
        <v>0.5</v>
      </c>
    </row>
    <row r="159" spans="1:30" x14ac:dyDescent="0.25">
      <c r="A159" s="85">
        <v>46047</v>
      </c>
      <c r="B159" t="s">
        <v>51</v>
      </c>
      <c r="C159">
        <v>8</v>
      </c>
      <c r="D159" s="86">
        <v>1</v>
      </c>
      <c r="E159">
        <v>3</v>
      </c>
      <c r="F159">
        <v>3</v>
      </c>
      <c r="G159">
        <v>13</v>
      </c>
      <c r="H159">
        <v>9</v>
      </c>
      <c r="I159">
        <v>1</v>
      </c>
      <c r="J159">
        <v>0.69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1</v>
      </c>
      <c r="X159">
        <v>1</v>
      </c>
      <c r="Y159">
        <v>0</v>
      </c>
      <c r="Z159">
        <v>1</v>
      </c>
      <c r="AA159" s="86">
        <f>AVERAGEIFS($C$2:C159, $B$2:B159, B159)</f>
        <v>12.8</v>
      </c>
      <c r="AB159" s="86">
        <f>AVERAGEIFS($I$2:I159, $B$2:B159, B159)</f>
        <v>0.56000000000000005</v>
      </c>
      <c r="AC159" s="86">
        <f>AVERAGEIFS($J$2:J159, $B$2:B159, B159)</f>
        <v>0.53200000000000003</v>
      </c>
      <c r="AD159" s="86">
        <f>AVERAGEIFS($D$2:D159, $B$2:B159, B159)</f>
        <v>0.6</v>
      </c>
    </row>
    <row r="160" spans="1:30" x14ac:dyDescent="0.25">
      <c r="A160" s="85">
        <v>46047</v>
      </c>
      <c r="B160" t="s">
        <v>137</v>
      </c>
      <c r="C160">
        <v>7</v>
      </c>
      <c r="D160" s="86">
        <v>1</v>
      </c>
      <c r="E160">
        <v>3</v>
      </c>
      <c r="F160">
        <v>3</v>
      </c>
      <c r="G160">
        <v>13</v>
      </c>
      <c r="H160">
        <v>9</v>
      </c>
      <c r="I160">
        <v>1</v>
      </c>
      <c r="J160">
        <v>0.69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1</v>
      </c>
      <c r="X160">
        <v>1</v>
      </c>
      <c r="Y160">
        <v>0</v>
      </c>
      <c r="Z160">
        <v>1</v>
      </c>
      <c r="AA160" s="86">
        <f>AVERAGEIFS($C$2:C160, $B$2:B160, B160)</f>
        <v>5</v>
      </c>
      <c r="AB160" s="86">
        <f>AVERAGEIFS($I$2:I160, $B$2:B160, B160)</f>
        <v>0.875</v>
      </c>
      <c r="AC160" s="86">
        <f>AVERAGEIFS($J$2:J160, $B$2:B160, B160)</f>
        <v>0.6399999999999999</v>
      </c>
      <c r="AD160" s="86">
        <f>AVERAGEIFS($D$2:D160, $B$2:B160, B160)</f>
        <v>1</v>
      </c>
    </row>
    <row r="161" spans="1:30" x14ac:dyDescent="0.25">
      <c r="A161" s="85">
        <v>46047</v>
      </c>
      <c r="B161" t="s">
        <v>13</v>
      </c>
      <c r="C161">
        <v>26</v>
      </c>
      <c r="D161" s="86">
        <v>0</v>
      </c>
      <c r="E161">
        <v>3</v>
      </c>
      <c r="F161">
        <v>0</v>
      </c>
      <c r="G161">
        <v>13</v>
      </c>
      <c r="H161">
        <v>4</v>
      </c>
      <c r="I161">
        <v>0</v>
      </c>
      <c r="J161">
        <v>0.31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 s="86">
        <f>AVERAGEIFS($C$2:C161, $B$2:B161, B161)</f>
        <v>30</v>
      </c>
      <c r="AB161" s="86">
        <f>AVERAGEIFS($I$2:I161, $B$2:B161, B161)</f>
        <v>0.53749999999999998</v>
      </c>
      <c r="AC161" s="86">
        <f>AVERAGEIFS($J$2:J161, $B$2:B161, B161)</f>
        <v>0.52583333333333326</v>
      </c>
      <c r="AD161" s="86">
        <f>AVERAGEIFS($D$2:D161, $B$2:B161, B161)</f>
        <v>0.66666666666666663</v>
      </c>
    </row>
    <row r="162" spans="1:30" x14ac:dyDescent="0.25">
      <c r="A162" s="85">
        <v>46047</v>
      </c>
      <c r="B162" t="s">
        <v>46</v>
      </c>
      <c r="C162">
        <v>17</v>
      </c>
      <c r="D162" s="86">
        <v>0</v>
      </c>
      <c r="E162">
        <v>3</v>
      </c>
      <c r="F162">
        <v>0</v>
      </c>
      <c r="G162">
        <v>13</v>
      </c>
      <c r="H162">
        <v>4</v>
      </c>
      <c r="I162">
        <v>0</v>
      </c>
      <c r="J162">
        <v>0.31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 s="86">
        <f>AVERAGEIFS($C$2:C162, $B$2:B162, B162)</f>
        <v>20.75</v>
      </c>
      <c r="AB162" s="86">
        <f>AVERAGEIFS($I$2:I162, $B$2:B162, B162)</f>
        <v>0.3125</v>
      </c>
      <c r="AC162" s="86">
        <f>AVERAGEIFS($J$2:J162, $B$2:B162, B162)</f>
        <v>0.40500000000000003</v>
      </c>
      <c r="AD162" s="86">
        <f>AVERAGEIFS($D$2:D162, $B$2:B162, B162)</f>
        <v>0.25</v>
      </c>
    </row>
    <row r="163" spans="1:30" x14ac:dyDescent="0.25">
      <c r="A163" s="85">
        <v>46047</v>
      </c>
      <c r="B163" t="s">
        <v>45</v>
      </c>
      <c r="C163">
        <v>10</v>
      </c>
      <c r="D163" s="86">
        <v>0</v>
      </c>
      <c r="E163">
        <v>3</v>
      </c>
      <c r="F163">
        <v>0</v>
      </c>
      <c r="G163">
        <v>13</v>
      </c>
      <c r="H163">
        <v>4</v>
      </c>
      <c r="I163">
        <v>0</v>
      </c>
      <c r="J163">
        <v>0.31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 s="86">
        <f>AVERAGEIFS($C$2:C163, $B$2:B163, B163)</f>
        <v>9.6</v>
      </c>
      <c r="AB163" s="86">
        <f>AVERAGEIFS($I$2:I163, $B$2:B163, B163)</f>
        <v>0.22999999999999998</v>
      </c>
      <c r="AC163" s="86">
        <f>AVERAGEIFS($J$2:J163, $B$2:B163, B163)</f>
        <v>0.372</v>
      </c>
      <c r="AD163" s="86">
        <f>AVERAGEIFS($D$2:D163, $B$2:B163, B163)</f>
        <v>0</v>
      </c>
    </row>
    <row r="164" spans="1:30" x14ac:dyDescent="0.25">
      <c r="A164" s="85">
        <v>46047</v>
      </c>
      <c r="B164" t="s">
        <v>53</v>
      </c>
      <c r="C164">
        <v>7</v>
      </c>
      <c r="D164" s="86">
        <v>0</v>
      </c>
      <c r="E164">
        <v>3</v>
      </c>
      <c r="F164">
        <v>0</v>
      </c>
      <c r="G164">
        <v>13</v>
      </c>
      <c r="H164">
        <v>4</v>
      </c>
      <c r="I164">
        <v>0</v>
      </c>
      <c r="J164">
        <v>0.31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 s="86">
        <f>AVERAGEIFS($C$2:C164, $B$2:B164, B164)</f>
        <v>14.333333333333334</v>
      </c>
      <c r="AB164" s="86">
        <f>AVERAGEIFS($I$2:I164, $B$2:B164, B164)</f>
        <v>0.39999999999999997</v>
      </c>
      <c r="AC164" s="86">
        <f>AVERAGEIFS($J$2:J164, $B$2:B164, B164)</f>
        <v>0.48666666666666664</v>
      </c>
      <c r="AD164" s="86">
        <f>AVERAGEIFS($D$2:D164, $B$2:B164, B164)</f>
        <v>0.66666666666666663</v>
      </c>
    </row>
    <row r="165" spans="1:30" x14ac:dyDescent="0.25">
      <c r="A165" s="85">
        <v>46047</v>
      </c>
      <c r="B165" t="s">
        <v>35</v>
      </c>
      <c r="C165">
        <v>5</v>
      </c>
      <c r="D165" s="86">
        <v>0</v>
      </c>
      <c r="E165">
        <v>3</v>
      </c>
      <c r="F165">
        <v>0</v>
      </c>
      <c r="G165">
        <v>13</v>
      </c>
      <c r="H165">
        <v>4</v>
      </c>
      <c r="I165">
        <v>0</v>
      </c>
      <c r="J165">
        <v>0.31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 s="86">
        <f>AVERAGEIFS($C$2:C165, $B$2:B165, B165)</f>
        <v>9</v>
      </c>
      <c r="AB165" s="86">
        <f>AVERAGEIFS($I$2:I165, $B$2:B165, B165)</f>
        <v>0.37</v>
      </c>
      <c r="AC165" s="86">
        <f>AVERAGEIFS($J$2:J165, $B$2:B165, B165)</f>
        <v>0.46800000000000008</v>
      </c>
      <c r="AD165" s="86">
        <f>AVERAGEIFS($D$2:D165, $B$2:B165, B165)</f>
        <v>0.4</v>
      </c>
    </row>
    <row r="166" spans="1:30" x14ac:dyDescent="0.25">
      <c r="A166" s="85">
        <v>46047</v>
      </c>
      <c r="B166" t="s">
        <v>52</v>
      </c>
      <c r="C166">
        <v>5</v>
      </c>
      <c r="D166" s="86">
        <v>0</v>
      </c>
      <c r="E166">
        <v>3</v>
      </c>
      <c r="F166">
        <v>0</v>
      </c>
      <c r="G166">
        <v>13</v>
      </c>
      <c r="H166">
        <v>4</v>
      </c>
      <c r="I166">
        <v>0</v>
      </c>
      <c r="J166">
        <v>0.31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86">
        <f>AVERAGEIFS($C$2:C166, $B$2:B166, B166)</f>
        <v>5</v>
      </c>
      <c r="AB166" s="86">
        <f>AVERAGEIFS($I$2:I166, $B$2:B166, B166)</f>
        <v>0</v>
      </c>
      <c r="AC166" s="86">
        <f>AVERAGEIFS($J$2:J166, $B$2:B166, B166)</f>
        <v>0.31</v>
      </c>
      <c r="AD166" s="86">
        <f>AVERAGEIFS($D$2:D166, $B$2:B166, B166)</f>
        <v>0</v>
      </c>
    </row>
    <row r="167" spans="1:30" x14ac:dyDescent="0.25">
      <c r="A167" s="85">
        <v>46047</v>
      </c>
      <c r="B167" t="s">
        <v>14</v>
      </c>
      <c r="C167">
        <v>47</v>
      </c>
      <c r="D167" s="86">
        <v>1</v>
      </c>
      <c r="E167">
        <v>4</v>
      </c>
      <c r="F167">
        <v>3</v>
      </c>
      <c r="G167">
        <v>19</v>
      </c>
      <c r="H167">
        <v>11</v>
      </c>
      <c r="I167">
        <v>0.75</v>
      </c>
      <c r="J167">
        <v>0.57999999999999996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1</v>
      </c>
      <c r="Y167">
        <v>0</v>
      </c>
      <c r="Z167">
        <v>1</v>
      </c>
      <c r="AA167" s="86">
        <f>AVERAGEIFS($C$2:C167, $B$2:B167, B167)</f>
        <v>25.1</v>
      </c>
      <c r="AB167" s="86">
        <f>AVERAGEIFS($I$2:I167, $B$2:B167, B167)</f>
        <v>0.52</v>
      </c>
      <c r="AC167" s="86">
        <f>AVERAGEIFS($J$2:J167, $B$2:B167, B167)</f>
        <v>0.49299999999999999</v>
      </c>
      <c r="AD167" s="86">
        <f>AVERAGEIFS($D$2:D167, $B$2:B167, B167)</f>
        <v>0.6</v>
      </c>
    </row>
    <row r="168" spans="1:30" x14ac:dyDescent="0.25">
      <c r="A168" s="85">
        <v>46047</v>
      </c>
      <c r="B168" t="s">
        <v>1</v>
      </c>
      <c r="C168">
        <v>22</v>
      </c>
      <c r="D168" s="86">
        <v>1</v>
      </c>
      <c r="E168">
        <v>4</v>
      </c>
      <c r="F168">
        <v>3</v>
      </c>
      <c r="G168">
        <v>19</v>
      </c>
      <c r="H168">
        <v>11</v>
      </c>
      <c r="I168">
        <v>0.75</v>
      </c>
      <c r="J168">
        <v>0.57999999999999996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1</v>
      </c>
      <c r="Y168">
        <v>0</v>
      </c>
      <c r="Z168">
        <v>1</v>
      </c>
      <c r="AA168" s="86">
        <f>AVERAGEIFS($C$2:C168, $B$2:B168, B168)</f>
        <v>25.5</v>
      </c>
      <c r="AB168" s="86">
        <f>AVERAGEIFS($I$2:I168, $B$2:B168, B168)</f>
        <v>0.5</v>
      </c>
      <c r="AC168" s="86">
        <f>AVERAGEIFS($J$2:J168, $B$2:B168, B168)</f>
        <v>0.47250000000000003</v>
      </c>
      <c r="AD168" s="86">
        <f>AVERAGEIFS($D$2:D168, $B$2:B168, B168)</f>
        <v>0.5</v>
      </c>
    </row>
    <row r="169" spans="1:30" x14ac:dyDescent="0.25">
      <c r="A169" s="85">
        <v>46047</v>
      </c>
      <c r="B169" t="s">
        <v>5</v>
      </c>
      <c r="C169">
        <v>21</v>
      </c>
      <c r="D169" s="86">
        <v>1</v>
      </c>
      <c r="E169">
        <v>4</v>
      </c>
      <c r="F169">
        <v>3</v>
      </c>
      <c r="G169">
        <v>19</v>
      </c>
      <c r="H169">
        <v>11</v>
      </c>
      <c r="I169">
        <v>0.75</v>
      </c>
      <c r="J169">
        <v>0.57999999999999996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1</v>
      </c>
      <c r="Y169">
        <v>0</v>
      </c>
      <c r="Z169">
        <v>1</v>
      </c>
      <c r="AA169" s="86">
        <f>AVERAGEIFS($C$2:C169, $B$2:B169, B169)</f>
        <v>25.666666666666668</v>
      </c>
      <c r="AB169" s="86">
        <f>AVERAGEIFS($I$2:I169, $B$2:B169, B169)</f>
        <v>0.41666666666666669</v>
      </c>
      <c r="AC169" s="86">
        <f>AVERAGEIFS($J$2:J169, $B$2:B169, B169)</f>
        <v>0.46666666666666662</v>
      </c>
      <c r="AD169" s="86">
        <f>AVERAGEIFS($D$2:D169, $B$2:B169, B169)</f>
        <v>0.33333333333333331</v>
      </c>
    </row>
    <row r="170" spans="1:30" x14ac:dyDescent="0.25">
      <c r="A170" s="85">
        <v>46047</v>
      </c>
      <c r="B170" t="s">
        <v>28</v>
      </c>
      <c r="C170">
        <v>18</v>
      </c>
      <c r="D170" s="86">
        <v>1</v>
      </c>
      <c r="E170">
        <v>4</v>
      </c>
      <c r="F170">
        <v>3</v>
      </c>
      <c r="G170">
        <v>19</v>
      </c>
      <c r="H170">
        <v>11</v>
      </c>
      <c r="I170">
        <v>0.75</v>
      </c>
      <c r="J170">
        <v>0.57999999999999996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1</v>
      </c>
      <c r="Y170">
        <v>0</v>
      </c>
      <c r="Z170">
        <v>1</v>
      </c>
      <c r="AA170" s="86">
        <f>AVERAGEIFS($C$2:C170, $B$2:B170, B170)</f>
        <v>14.125</v>
      </c>
      <c r="AB170" s="86">
        <f>AVERAGEIFS($I$2:I170, $B$2:B170, B170)</f>
        <v>0.51875000000000004</v>
      </c>
      <c r="AC170" s="86">
        <f>AVERAGEIFS($J$2:J170, $B$2:B170, B170)</f>
        <v>0.51624999999999999</v>
      </c>
      <c r="AD170" s="86">
        <f>AVERAGEIFS($D$2:D170, $B$2:B170, B170)</f>
        <v>0.5</v>
      </c>
    </row>
    <row r="171" spans="1:30" x14ac:dyDescent="0.25">
      <c r="A171" s="85">
        <v>46047</v>
      </c>
      <c r="B171" t="s">
        <v>29</v>
      </c>
      <c r="C171">
        <v>13</v>
      </c>
      <c r="D171" s="86">
        <v>1</v>
      </c>
      <c r="E171">
        <v>4</v>
      </c>
      <c r="F171">
        <v>3</v>
      </c>
      <c r="G171">
        <v>19</v>
      </c>
      <c r="H171">
        <v>11</v>
      </c>
      <c r="I171">
        <v>0.75</v>
      </c>
      <c r="J171">
        <v>0.57999999999999996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1</v>
      </c>
      <c r="Y171">
        <v>0</v>
      </c>
      <c r="Z171">
        <v>1</v>
      </c>
      <c r="AA171" s="86">
        <f>AVERAGEIFS($C$2:C171, $B$2:B171, B171)</f>
        <v>10.125</v>
      </c>
      <c r="AB171" s="86">
        <f>AVERAGEIFS($I$2:I171, $B$2:B171, B171)</f>
        <v>0.53749999999999998</v>
      </c>
      <c r="AC171" s="86">
        <f>AVERAGEIFS($J$2:J171, $B$2:B171, B171)</f>
        <v>0.5099999999999999</v>
      </c>
      <c r="AD171" s="86">
        <f>AVERAGEIFS($D$2:D171, $B$2:B171, B171)</f>
        <v>0.5</v>
      </c>
    </row>
    <row r="172" spans="1:30" x14ac:dyDescent="0.25">
      <c r="A172" s="85">
        <v>46047</v>
      </c>
      <c r="B172" t="s">
        <v>27</v>
      </c>
      <c r="C172">
        <v>12</v>
      </c>
      <c r="D172" s="86">
        <v>1</v>
      </c>
      <c r="E172">
        <v>4</v>
      </c>
      <c r="F172">
        <v>3</v>
      </c>
      <c r="G172">
        <v>19</v>
      </c>
      <c r="H172">
        <v>11</v>
      </c>
      <c r="I172">
        <v>0.75</v>
      </c>
      <c r="J172">
        <v>0.57999999999999996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1</v>
      </c>
      <c r="Y172">
        <v>0</v>
      </c>
      <c r="Z172">
        <v>1</v>
      </c>
      <c r="AA172" s="86">
        <f>AVERAGEIFS($C$2:C172, $B$2:B172, B172)</f>
        <v>13.5</v>
      </c>
      <c r="AB172" s="86">
        <f>AVERAGEIFS($I$2:I172, $B$2:B172, B172)</f>
        <v>0.5</v>
      </c>
      <c r="AC172" s="86">
        <f>AVERAGEIFS($J$2:J172, $B$2:B172, B172)</f>
        <v>0.49333333333333335</v>
      </c>
      <c r="AD172" s="86">
        <f>AVERAGEIFS($D$2:D172, $B$2:B172, B172)</f>
        <v>0.5</v>
      </c>
    </row>
    <row r="173" spans="1:30" x14ac:dyDescent="0.25">
      <c r="A173" s="85">
        <v>46047</v>
      </c>
      <c r="B173" t="s">
        <v>18</v>
      </c>
      <c r="C173">
        <v>41</v>
      </c>
      <c r="D173" s="86">
        <v>0</v>
      </c>
      <c r="E173">
        <v>4</v>
      </c>
      <c r="F173">
        <v>1</v>
      </c>
      <c r="G173">
        <v>19</v>
      </c>
      <c r="H173">
        <v>8</v>
      </c>
      <c r="I173">
        <v>0.25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 s="86">
        <f>AVERAGEIFS($C$2:C173, $B$2:B173, B173)</f>
        <v>26.5</v>
      </c>
      <c r="AB173" s="86">
        <f>AVERAGEIFS($I$2:I173, $B$2:B173, B173)</f>
        <v>0.5</v>
      </c>
      <c r="AC173" s="86">
        <f>AVERAGEIFS($J$2:J173, $B$2:B173, B173)</f>
        <v>0.47499999999999992</v>
      </c>
      <c r="AD173" s="86">
        <f>AVERAGEIFS($D$2:D173, $B$2:B173, B173)</f>
        <v>0.5</v>
      </c>
    </row>
    <row r="174" spans="1:30" x14ac:dyDescent="0.25">
      <c r="A174" s="85">
        <v>46047</v>
      </c>
      <c r="B174" t="s">
        <v>2</v>
      </c>
      <c r="C174">
        <v>26</v>
      </c>
      <c r="D174" s="86">
        <v>0</v>
      </c>
      <c r="E174">
        <v>4</v>
      </c>
      <c r="F174">
        <v>1</v>
      </c>
      <c r="G174">
        <v>19</v>
      </c>
      <c r="H174">
        <v>8</v>
      </c>
      <c r="I174">
        <v>0.25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 s="86">
        <f>AVERAGEIFS($C$2:C174, $B$2:B174, B174)</f>
        <v>24.875</v>
      </c>
      <c r="AB174" s="86">
        <f>AVERAGEIFS($I$2:I174, $B$2:B174, B174)</f>
        <v>0.47499999999999998</v>
      </c>
      <c r="AC174" s="86">
        <f>AVERAGEIFS($J$2:J174, $B$2:B174, B174)</f>
        <v>0.50250000000000006</v>
      </c>
      <c r="AD174" s="86">
        <f>AVERAGEIFS($D$2:D174, $B$2:B174, B174)</f>
        <v>0.375</v>
      </c>
    </row>
    <row r="175" spans="1:30" x14ac:dyDescent="0.25">
      <c r="A175" s="85">
        <v>46047</v>
      </c>
      <c r="B175" t="s">
        <v>37</v>
      </c>
      <c r="C175">
        <v>25</v>
      </c>
      <c r="D175" s="86">
        <v>0</v>
      </c>
      <c r="E175">
        <v>4</v>
      </c>
      <c r="F175">
        <v>1</v>
      </c>
      <c r="G175">
        <v>19</v>
      </c>
      <c r="H175">
        <v>8</v>
      </c>
      <c r="I175">
        <v>0.25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 s="86">
        <f>AVERAGEIFS($C$2:C175, $B$2:B175, B175)</f>
        <v>19.666666666666668</v>
      </c>
      <c r="AB175" s="86">
        <f>AVERAGEIFS($I$2:I175, $B$2:B175, B175)</f>
        <v>0.44166666666666665</v>
      </c>
      <c r="AC175" s="86">
        <f>AVERAGEIFS($J$2:J175, $B$2:B175, B175)</f>
        <v>0.47499999999999992</v>
      </c>
      <c r="AD175" s="86">
        <f>AVERAGEIFS($D$2:D175, $B$2:B175, B175)</f>
        <v>0.33333333333333331</v>
      </c>
    </row>
    <row r="176" spans="1:30" x14ac:dyDescent="0.25">
      <c r="A176" s="85">
        <v>46047</v>
      </c>
      <c r="B176" t="s">
        <v>26</v>
      </c>
      <c r="C176">
        <v>16</v>
      </c>
      <c r="D176" s="86">
        <v>0</v>
      </c>
      <c r="E176">
        <v>4</v>
      </c>
      <c r="F176">
        <v>1</v>
      </c>
      <c r="G176">
        <v>19</v>
      </c>
      <c r="H176">
        <v>8</v>
      </c>
      <c r="I176">
        <v>0.25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 s="86">
        <f>AVERAGEIFS($C$2:C176, $B$2:B176, B176)</f>
        <v>13.25</v>
      </c>
      <c r="AB176" s="86">
        <f>AVERAGEIFS($I$2:I176, $B$2:B176, B176)</f>
        <v>0.5625</v>
      </c>
      <c r="AC176" s="86">
        <f>AVERAGEIFS($J$2:J176, $B$2:B176, B176)</f>
        <v>0.54374999999999996</v>
      </c>
      <c r="AD176" s="86">
        <f>AVERAGEIFS($D$2:D176, $B$2:B176, B176)</f>
        <v>0.625</v>
      </c>
    </row>
    <row r="177" spans="1:30" x14ac:dyDescent="0.25">
      <c r="A177" s="85">
        <v>46047</v>
      </c>
      <c r="B177" t="s">
        <v>20</v>
      </c>
      <c r="C177">
        <v>14</v>
      </c>
      <c r="D177" s="86">
        <v>0</v>
      </c>
      <c r="E177">
        <v>4</v>
      </c>
      <c r="F177">
        <v>1</v>
      </c>
      <c r="G177">
        <v>19</v>
      </c>
      <c r="H177">
        <v>8</v>
      </c>
      <c r="I177">
        <v>0.25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 s="86">
        <f>AVERAGEIFS($C$2:C177, $B$2:B177, B177)</f>
        <v>12.75</v>
      </c>
      <c r="AB177" s="86">
        <f>AVERAGEIFS($I$2:I177, $B$2:B177, B177)</f>
        <v>0.41249999999999998</v>
      </c>
      <c r="AC177" s="86">
        <f>AVERAGEIFS($J$2:J177, $B$2:B177, B177)</f>
        <v>0.45</v>
      </c>
      <c r="AD177" s="86">
        <f>AVERAGEIFS($D$2:D177, $B$2:B177, B177)</f>
        <v>0.25</v>
      </c>
    </row>
    <row r="178" spans="1:30" x14ac:dyDescent="0.25">
      <c r="A178" s="85">
        <v>46047</v>
      </c>
      <c r="B178" t="s">
        <v>50</v>
      </c>
      <c r="C178">
        <v>14</v>
      </c>
      <c r="D178" s="86">
        <v>0</v>
      </c>
      <c r="E178">
        <v>4</v>
      </c>
      <c r="F178">
        <v>1</v>
      </c>
      <c r="G178">
        <v>19</v>
      </c>
      <c r="H178">
        <v>8</v>
      </c>
      <c r="I178">
        <v>0.25</v>
      </c>
      <c r="J178">
        <v>0.42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1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86">
        <f>AVERAGEIFS($C$2:C178, $B$2:B178, B178)</f>
        <v>13</v>
      </c>
      <c r="AB178" s="86">
        <f>AVERAGEIFS($I$2:I178, $B$2:B178, B178)</f>
        <v>0.25</v>
      </c>
      <c r="AC178" s="86">
        <f>AVERAGEIFS($J$2:J178, $B$2:B178, B178)</f>
        <v>0.36499999999999999</v>
      </c>
      <c r="AD178" s="86">
        <f>AVERAGEIFS($D$2:D178, $B$2:B178, B178)</f>
        <v>0</v>
      </c>
    </row>
    <row r="179" spans="1:30" x14ac:dyDescent="0.25">
      <c r="A179" s="85">
        <v>46055</v>
      </c>
      <c r="B179" t="s">
        <v>14</v>
      </c>
      <c r="C179">
        <v>56</v>
      </c>
      <c r="D179" s="86">
        <v>1</v>
      </c>
      <c r="E179">
        <v>5</v>
      </c>
      <c r="F179">
        <v>3</v>
      </c>
      <c r="G179">
        <v>24</v>
      </c>
      <c r="H179">
        <v>13</v>
      </c>
      <c r="I179">
        <v>0.6</v>
      </c>
      <c r="J179">
        <v>0.54</v>
      </c>
      <c r="K179">
        <v>0</v>
      </c>
      <c r="L179">
        <v>0</v>
      </c>
      <c r="M179">
        <v>1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1</v>
      </c>
      <c r="Y179">
        <v>0</v>
      </c>
      <c r="Z179">
        <v>0</v>
      </c>
      <c r="AA179" s="86">
        <f>AVERAGEIFS($C$2:C179, $B$2:B179, B179)</f>
        <v>27.90909090909091</v>
      </c>
      <c r="AB179" s="86">
        <f>AVERAGEIFS($I$2:I179, $B$2:B179, B179)</f>
        <v>0.52727272727272723</v>
      </c>
      <c r="AC179" s="86">
        <f>AVERAGEIFS($J$2:J179, $B$2:B179, B179)</f>
        <v>0.49727272727272726</v>
      </c>
      <c r="AD179" s="86">
        <f>AVERAGEIFS($D$2:D179, $B$2:B179, B179)</f>
        <v>0.63636363636363635</v>
      </c>
    </row>
    <row r="180" spans="1:30" x14ac:dyDescent="0.25">
      <c r="A180" s="85">
        <v>46055</v>
      </c>
      <c r="B180" t="s">
        <v>1</v>
      </c>
      <c r="C180">
        <v>33</v>
      </c>
      <c r="D180" s="86">
        <v>1</v>
      </c>
      <c r="E180">
        <v>5</v>
      </c>
      <c r="F180">
        <v>3</v>
      </c>
      <c r="G180">
        <v>24</v>
      </c>
      <c r="H180">
        <v>13</v>
      </c>
      <c r="I180">
        <v>0.6</v>
      </c>
      <c r="J180">
        <v>0.54</v>
      </c>
      <c r="K180">
        <v>0</v>
      </c>
      <c r="L180">
        <v>0</v>
      </c>
      <c r="M180">
        <v>1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1</v>
      </c>
      <c r="Y180">
        <v>0</v>
      </c>
      <c r="Z180">
        <v>0</v>
      </c>
      <c r="AA180" s="86">
        <f>AVERAGEIFS($C$2:C180, $B$2:B180, B180)</f>
        <v>27</v>
      </c>
      <c r="AB180" s="86">
        <f>AVERAGEIFS($I$2:I180, $B$2:B180, B180)</f>
        <v>0.52</v>
      </c>
      <c r="AC180" s="86">
        <f>AVERAGEIFS($J$2:J180, $B$2:B180, B180)</f>
        <v>0.48600000000000004</v>
      </c>
      <c r="AD180" s="86">
        <f>AVERAGEIFS($D$2:D180, $B$2:B180, B180)</f>
        <v>0.6</v>
      </c>
    </row>
    <row r="181" spans="1:30" x14ac:dyDescent="0.25">
      <c r="A181" s="85">
        <v>46055</v>
      </c>
      <c r="B181" t="s">
        <v>5</v>
      </c>
      <c r="C181">
        <v>33</v>
      </c>
      <c r="D181" s="86">
        <v>1</v>
      </c>
      <c r="E181">
        <v>5</v>
      </c>
      <c r="F181">
        <v>3</v>
      </c>
      <c r="G181">
        <v>24</v>
      </c>
      <c r="H181">
        <v>13</v>
      </c>
      <c r="I181">
        <v>0.6</v>
      </c>
      <c r="J181">
        <v>0.54</v>
      </c>
      <c r="K181">
        <v>0</v>
      </c>
      <c r="L181">
        <v>0</v>
      </c>
      <c r="M181">
        <v>1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1</v>
      </c>
      <c r="Y181">
        <v>0</v>
      </c>
      <c r="Z181">
        <v>0</v>
      </c>
      <c r="AA181" s="86">
        <f>AVERAGEIFS($C$2:C181, $B$2:B181, B181)</f>
        <v>26.714285714285715</v>
      </c>
      <c r="AB181" s="86">
        <f>AVERAGEIFS($I$2:I181, $B$2:B181, B181)</f>
        <v>0.44285714285714289</v>
      </c>
      <c r="AC181" s="86">
        <f>AVERAGEIFS($J$2:J181, $B$2:B181, B181)</f>
        <v>0.47714285714285715</v>
      </c>
      <c r="AD181" s="86">
        <f>AVERAGEIFS($D$2:D181, $B$2:B181, B181)</f>
        <v>0.42857142857142855</v>
      </c>
    </row>
    <row r="182" spans="1:30" x14ac:dyDescent="0.25">
      <c r="A182" s="85">
        <v>46055</v>
      </c>
      <c r="B182" t="s">
        <v>27</v>
      </c>
      <c r="C182">
        <v>24</v>
      </c>
      <c r="D182" s="86">
        <v>1</v>
      </c>
      <c r="E182">
        <v>5</v>
      </c>
      <c r="F182">
        <v>3</v>
      </c>
      <c r="G182">
        <v>24</v>
      </c>
      <c r="H182">
        <v>13</v>
      </c>
      <c r="I182">
        <v>0.6</v>
      </c>
      <c r="J182">
        <v>0.54</v>
      </c>
      <c r="K182">
        <v>0</v>
      </c>
      <c r="L182">
        <v>0</v>
      </c>
      <c r="M182">
        <v>1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1</v>
      </c>
      <c r="Y182">
        <v>0</v>
      </c>
      <c r="Z182">
        <v>0</v>
      </c>
      <c r="AA182" s="86">
        <f>AVERAGEIFS($C$2:C182, $B$2:B182, B182)</f>
        <v>15</v>
      </c>
      <c r="AB182" s="86">
        <f>AVERAGEIFS($I$2:I182, $B$2:B182, B182)</f>
        <v>0.51428571428571435</v>
      </c>
      <c r="AC182" s="86">
        <f>AVERAGEIFS($J$2:J182, $B$2:B182, B182)</f>
        <v>0.5</v>
      </c>
      <c r="AD182" s="86">
        <f>AVERAGEIFS($D$2:D182, $B$2:B182, B182)</f>
        <v>0.5714285714285714</v>
      </c>
    </row>
    <row r="183" spans="1:30" x14ac:dyDescent="0.25">
      <c r="A183" s="85">
        <v>46055</v>
      </c>
      <c r="B183" t="s">
        <v>28</v>
      </c>
      <c r="C183">
        <v>23</v>
      </c>
      <c r="D183" s="86">
        <v>1</v>
      </c>
      <c r="E183">
        <v>5</v>
      </c>
      <c r="F183">
        <v>3</v>
      </c>
      <c r="G183">
        <v>24</v>
      </c>
      <c r="H183">
        <v>13</v>
      </c>
      <c r="I183">
        <v>0.6</v>
      </c>
      <c r="J183">
        <v>0.54</v>
      </c>
      <c r="K183">
        <v>0</v>
      </c>
      <c r="L183">
        <v>0</v>
      </c>
      <c r="M183">
        <v>1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1</v>
      </c>
      <c r="Y183">
        <v>0</v>
      </c>
      <c r="Z183">
        <v>0</v>
      </c>
      <c r="AA183" s="86">
        <f>AVERAGEIFS($C$2:C183, $B$2:B183, B183)</f>
        <v>15.111111111111111</v>
      </c>
      <c r="AB183" s="86">
        <f>AVERAGEIFS($I$2:I183, $B$2:B183, B183)</f>
        <v>0.52777777777777779</v>
      </c>
      <c r="AC183" s="86">
        <f>AVERAGEIFS($J$2:J183, $B$2:B183, B183)</f>
        <v>0.51888888888888884</v>
      </c>
      <c r="AD183" s="86">
        <f>AVERAGEIFS($D$2:D183, $B$2:B183, B183)</f>
        <v>0.55555555555555558</v>
      </c>
    </row>
    <row r="184" spans="1:30" x14ac:dyDescent="0.25">
      <c r="A184" s="85">
        <v>46055</v>
      </c>
      <c r="B184" t="s">
        <v>29</v>
      </c>
      <c r="C184">
        <v>21</v>
      </c>
      <c r="D184" s="86">
        <v>1</v>
      </c>
      <c r="E184">
        <v>5</v>
      </c>
      <c r="F184">
        <v>3</v>
      </c>
      <c r="G184">
        <v>24</v>
      </c>
      <c r="H184">
        <v>13</v>
      </c>
      <c r="I184">
        <v>0.6</v>
      </c>
      <c r="J184">
        <v>0.54</v>
      </c>
      <c r="K184">
        <v>0</v>
      </c>
      <c r="L184">
        <v>0</v>
      </c>
      <c r="M184">
        <v>1</v>
      </c>
      <c r="N184">
        <v>0</v>
      </c>
      <c r="O184">
        <v>1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1</v>
      </c>
      <c r="Y184">
        <v>0</v>
      </c>
      <c r="Z184">
        <v>0</v>
      </c>
      <c r="AA184" s="86">
        <f>AVERAGEIFS($C$2:C184, $B$2:B184, B184)</f>
        <v>11.333333333333334</v>
      </c>
      <c r="AB184" s="86">
        <f>AVERAGEIFS($I$2:I184, $B$2:B184, B184)</f>
        <v>0.5444444444444444</v>
      </c>
      <c r="AC184" s="86">
        <f>AVERAGEIFS($J$2:J184, $B$2:B184, B184)</f>
        <v>0.5133333333333332</v>
      </c>
      <c r="AD184" s="86">
        <f>AVERAGEIFS($D$2:D184, $B$2:B184, B184)</f>
        <v>0.55555555555555558</v>
      </c>
    </row>
    <row r="185" spans="1:30" x14ac:dyDescent="0.25">
      <c r="A185" s="85">
        <v>46055</v>
      </c>
      <c r="B185" t="s">
        <v>15</v>
      </c>
      <c r="C185">
        <v>55</v>
      </c>
      <c r="D185" s="86">
        <v>0</v>
      </c>
      <c r="E185">
        <v>5</v>
      </c>
      <c r="F185">
        <v>2</v>
      </c>
      <c r="G185">
        <v>24</v>
      </c>
      <c r="H185">
        <v>11</v>
      </c>
      <c r="I185">
        <v>0.4</v>
      </c>
      <c r="J185">
        <v>0.46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1</v>
      </c>
      <c r="X185">
        <v>0</v>
      </c>
      <c r="Y185">
        <v>0</v>
      </c>
      <c r="Z185">
        <v>0</v>
      </c>
      <c r="AA185" s="86">
        <f>AVERAGEIFS($C$2:C185, $B$2:B185, B185)</f>
        <v>27.363636363636363</v>
      </c>
      <c r="AB185" s="86">
        <f>AVERAGEIFS($I$2:I185, $B$2:B185, B185)</f>
        <v>0.45</v>
      </c>
      <c r="AC185" s="86">
        <f>AVERAGEIFS($J$2:J185, $B$2:B185, B185)</f>
        <v>0.46181818181818174</v>
      </c>
      <c r="AD185" s="86">
        <f>AVERAGEIFS($D$2:D185, $B$2:B185, B185)</f>
        <v>0.27272727272727271</v>
      </c>
    </row>
    <row r="186" spans="1:30" x14ac:dyDescent="0.25">
      <c r="A186" s="85">
        <v>46055</v>
      </c>
      <c r="B186" t="s">
        <v>17</v>
      </c>
      <c r="C186">
        <v>36</v>
      </c>
      <c r="D186" s="86">
        <v>0</v>
      </c>
      <c r="E186">
        <v>5</v>
      </c>
      <c r="F186">
        <v>2</v>
      </c>
      <c r="G186">
        <v>24</v>
      </c>
      <c r="H186">
        <v>11</v>
      </c>
      <c r="I186">
        <v>0.4</v>
      </c>
      <c r="J186">
        <v>0.46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1</v>
      </c>
      <c r="X186">
        <v>0</v>
      </c>
      <c r="Y186">
        <v>0</v>
      </c>
      <c r="Z186">
        <v>0</v>
      </c>
      <c r="AA186" s="86">
        <f>AVERAGEIFS($C$2:C186, $B$2:B186, B186)</f>
        <v>27.833333333333332</v>
      </c>
      <c r="AB186" s="86">
        <f>AVERAGEIFS($I$2:I186, $B$2:B186, B186)</f>
        <v>0.57083333333333341</v>
      </c>
      <c r="AC186" s="86">
        <f>AVERAGEIFS($J$2:J186, $B$2:B186, B186)</f>
        <v>0.54833333333333323</v>
      </c>
      <c r="AD186" s="86">
        <f>AVERAGEIFS($D$2:D186, $B$2:B186, B186)</f>
        <v>0.5</v>
      </c>
    </row>
    <row r="187" spans="1:30" x14ac:dyDescent="0.25">
      <c r="A187" s="85">
        <v>46055</v>
      </c>
      <c r="B187" t="s">
        <v>6</v>
      </c>
      <c r="C187">
        <v>33</v>
      </c>
      <c r="D187" s="86">
        <v>0</v>
      </c>
      <c r="E187">
        <v>5</v>
      </c>
      <c r="F187">
        <v>2</v>
      </c>
      <c r="G187">
        <v>24</v>
      </c>
      <c r="H187">
        <v>11</v>
      </c>
      <c r="I187">
        <v>0.4</v>
      </c>
      <c r="J187">
        <v>0.46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1</v>
      </c>
      <c r="X187">
        <v>0</v>
      </c>
      <c r="Y187">
        <v>0</v>
      </c>
      <c r="Z187">
        <v>0</v>
      </c>
      <c r="AA187" s="86">
        <f>AVERAGEIFS($C$2:C187, $B$2:B187, B187)</f>
        <v>22.333333333333332</v>
      </c>
      <c r="AB187" s="86">
        <f>AVERAGEIFS($I$2:I187, $B$2:B187, B187)</f>
        <v>0.6</v>
      </c>
      <c r="AC187" s="86">
        <f>AVERAGEIFS($J$2:J187, $B$2:B187, B187)</f>
        <v>0.55333333333333334</v>
      </c>
      <c r="AD187" s="86">
        <f>AVERAGEIFS($D$2:D187, $B$2:B187, B187)</f>
        <v>0.66666666666666663</v>
      </c>
    </row>
    <row r="188" spans="1:30" x14ac:dyDescent="0.25">
      <c r="A188" s="85">
        <v>46055</v>
      </c>
      <c r="B188" t="s">
        <v>20</v>
      </c>
      <c r="C188">
        <v>28</v>
      </c>
      <c r="D188" s="86">
        <v>0</v>
      </c>
      <c r="E188">
        <v>5</v>
      </c>
      <c r="F188">
        <v>2</v>
      </c>
      <c r="G188">
        <v>24</v>
      </c>
      <c r="H188">
        <v>11</v>
      </c>
      <c r="I188">
        <v>0.4</v>
      </c>
      <c r="J188">
        <v>0.46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1</v>
      </c>
      <c r="X188">
        <v>0</v>
      </c>
      <c r="Y188">
        <v>0</v>
      </c>
      <c r="Z188">
        <v>0</v>
      </c>
      <c r="AA188" s="86">
        <f>AVERAGEIFS($C$2:C188, $B$2:B188, B188)</f>
        <v>14.444444444444445</v>
      </c>
      <c r="AB188" s="86">
        <f>AVERAGEIFS($I$2:I188, $B$2:B188, B188)</f>
        <v>0.41111111111111109</v>
      </c>
      <c r="AC188" s="86">
        <f>AVERAGEIFS($J$2:J188, $B$2:B188, B188)</f>
        <v>0.45111111111111118</v>
      </c>
      <c r="AD188" s="86">
        <f>AVERAGEIFS($D$2:D188, $B$2:B188, B188)</f>
        <v>0.22222222222222221</v>
      </c>
    </row>
    <row r="189" spans="1:30" x14ac:dyDescent="0.25">
      <c r="A189" s="85">
        <v>46055</v>
      </c>
      <c r="B189" t="s">
        <v>19</v>
      </c>
      <c r="C189">
        <v>26</v>
      </c>
      <c r="D189" s="86">
        <v>0</v>
      </c>
      <c r="E189">
        <v>5</v>
      </c>
      <c r="F189">
        <v>2</v>
      </c>
      <c r="G189">
        <v>24</v>
      </c>
      <c r="H189">
        <v>11</v>
      </c>
      <c r="I189">
        <v>0.4</v>
      </c>
      <c r="J189">
        <v>0.46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1</v>
      </c>
      <c r="X189">
        <v>0</v>
      </c>
      <c r="Y189">
        <v>0</v>
      </c>
      <c r="Z189">
        <v>0</v>
      </c>
      <c r="AA189" s="86">
        <f>AVERAGEIFS($C$2:C189, $B$2:B189, B189)</f>
        <v>12.153846153846153</v>
      </c>
      <c r="AB189" s="86">
        <f>AVERAGEIFS($I$2:I189, $B$2:B189, B189)</f>
        <v>0.52307692307692311</v>
      </c>
      <c r="AC189" s="86">
        <f>AVERAGEIFS($J$2:J189, $B$2:B189, B189)</f>
        <v>0.50615384615384618</v>
      </c>
      <c r="AD189" s="86">
        <f>AVERAGEIFS($D$2:D189, $B$2:B189, B189)</f>
        <v>0.46153846153846156</v>
      </c>
    </row>
    <row r="190" spans="1:30" x14ac:dyDescent="0.25">
      <c r="A190" s="85">
        <v>46055</v>
      </c>
      <c r="B190" t="s">
        <v>137</v>
      </c>
      <c r="C190">
        <v>13</v>
      </c>
      <c r="D190" s="86">
        <v>0</v>
      </c>
      <c r="E190">
        <v>5</v>
      </c>
      <c r="F190">
        <v>2</v>
      </c>
      <c r="G190">
        <v>24</v>
      </c>
      <c r="H190">
        <v>11</v>
      </c>
      <c r="I190">
        <v>0.4</v>
      </c>
      <c r="J190">
        <v>0.46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1</v>
      </c>
      <c r="X190">
        <v>0</v>
      </c>
      <c r="Y190">
        <v>0</v>
      </c>
      <c r="Z190">
        <v>0</v>
      </c>
      <c r="AA190" s="86">
        <f>AVERAGEIFS($C$2:C190, $B$2:B190, B190)</f>
        <v>7.666666666666667</v>
      </c>
      <c r="AB190" s="86">
        <f>AVERAGEIFS($I$2:I190, $B$2:B190, B190)</f>
        <v>0.71666666666666667</v>
      </c>
      <c r="AC190" s="86">
        <f>AVERAGEIFS($J$2:J190, $B$2:B190, B190)</f>
        <v>0.57999999999999996</v>
      </c>
      <c r="AD190" s="86">
        <f>AVERAGEIFS($D$2:D190, $B$2:B190, B190)</f>
        <v>0.66666666666666663</v>
      </c>
    </row>
    <row r="191" spans="1:30" x14ac:dyDescent="0.25">
      <c r="A191" s="85">
        <v>46061</v>
      </c>
      <c r="B191" t="s">
        <v>17</v>
      </c>
      <c r="C191">
        <v>25</v>
      </c>
      <c r="D191" s="86">
        <v>1</v>
      </c>
      <c r="E191">
        <v>3</v>
      </c>
      <c r="F191">
        <v>3</v>
      </c>
      <c r="G191">
        <v>13</v>
      </c>
      <c r="H191">
        <v>9</v>
      </c>
      <c r="I191">
        <v>1</v>
      </c>
      <c r="J191">
        <v>0.69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1</v>
      </c>
      <c r="AA191" s="86">
        <f>AVERAGEIFS($C$2:C191, $B$2:B191, B191)</f>
        <v>27.615384615384617</v>
      </c>
      <c r="AB191" s="86">
        <f>AVERAGEIFS($I$2:I191, $B$2:B191, B191)</f>
        <v>0.60384615384615392</v>
      </c>
      <c r="AC191" s="86">
        <f>AVERAGEIFS($J$2:J191, $B$2:B191, B191)</f>
        <v>0.5592307692307692</v>
      </c>
      <c r="AD191" s="86">
        <f>AVERAGEIFS($D$2:D191, $B$2:B191, B191)</f>
        <v>0.53846153846153844</v>
      </c>
    </row>
    <row r="192" spans="1:30" x14ac:dyDescent="0.25">
      <c r="A192" s="85">
        <v>46061</v>
      </c>
      <c r="B192" t="s">
        <v>6</v>
      </c>
      <c r="C192">
        <v>22</v>
      </c>
      <c r="D192" s="86">
        <v>1</v>
      </c>
      <c r="E192">
        <v>3</v>
      </c>
      <c r="F192">
        <v>3</v>
      </c>
      <c r="G192">
        <v>13</v>
      </c>
      <c r="H192">
        <v>9</v>
      </c>
      <c r="I192">
        <v>1</v>
      </c>
      <c r="J192">
        <v>0.69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1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1</v>
      </c>
      <c r="AA192" s="86">
        <f>AVERAGEIFS($C$2:C192, $B$2:B192, B192)</f>
        <v>22.285714285714285</v>
      </c>
      <c r="AB192" s="86">
        <f>AVERAGEIFS($I$2:I192, $B$2:B192, B192)</f>
        <v>0.65714285714285714</v>
      </c>
      <c r="AC192" s="86">
        <f>AVERAGEIFS($J$2:J192, $B$2:B192, B192)</f>
        <v>0.57285714285714284</v>
      </c>
      <c r="AD192" s="86">
        <f>AVERAGEIFS($D$2:D192, $B$2:B192, B192)</f>
        <v>0.7142857142857143</v>
      </c>
    </row>
    <row r="193" spans="1:30" x14ac:dyDescent="0.25">
      <c r="A193" s="85">
        <v>46061</v>
      </c>
      <c r="B193" t="s">
        <v>37</v>
      </c>
      <c r="C193">
        <v>18</v>
      </c>
      <c r="D193" s="86">
        <v>1</v>
      </c>
      <c r="E193">
        <v>3</v>
      </c>
      <c r="F193">
        <v>3</v>
      </c>
      <c r="G193">
        <v>13</v>
      </c>
      <c r="H193">
        <v>9</v>
      </c>
      <c r="I193">
        <v>1</v>
      </c>
      <c r="J193">
        <v>0.69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1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1</v>
      </c>
      <c r="AA193" s="86">
        <f>AVERAGEIFS($C$2:C193, $B$2:B193, B193)</f>
        <v>19.428571428571427</v>
      </c>
      <c r="AB193" s="86">
        <f>AVERAGEIFS($I$2:I193, $B$2:B193, B193)</f>
        <v>0.52142857142857146</v>
      </c>
      <c r="AC193" s="86">
        <f>AVERAGEIFS($J$2:J193, $B$2:B193, B193)</f>
        <v>0.50571428571428567</v>
      </c>
      <c r="AD193" s="86">
        <f>AVERAGEIFS($D$2:D193, $B$2:B193, B193)</f>
        <v>0.42857142857142855</v>
      </c>
    </row>
    <row r="194" spans="1:30" x14ac:dyDescent="0.25">
      <c r="A194" s="85">
        <v>46061</v>
      </c>
      <c r="B194" t="s">
        <v>44</v>
      </c>
      <c r="C194">
        <v>12</v>
      </c>
      <c r="D194" s="86">
        <v>1</v>
      </c>
      <c r="E194">
        <v>3</v>
      </c>
      <c r="F194">
        <v>3</v>
      </c>
      <c r="G194">
        <v>13</v>
      </c>
      <c r="H194">
        <v>9</v>
      </c>
      <c r="I194">
        <v>1</v>
      </c>
      <c r="J194">
        <v>0.69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1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1</v>
      </c>
      <c r="AA194" s="86">
        <f>AVERAGEIFS($C$2:C194, $B$2:B194, B194)</f>
        <v>12</v>
      </c>
      <c r="AB194" s="86">
        <f>AVERAGEIFS($I$2:I194, $B$2:B194, B194)</f>
        <v>1</v>
      </c>
      <c r="AC194" s="86">
        <f>AVERAGEIFS($J$2:J194, $B$2:B194, B194)</f>
        <v>0.69</v>
      </c>
      <c r="AD194" s="86">
        <f>AVERAGEIFS($D$2:D194, $B$2:B194, B194)</f>
        <v>1</v>
      </c>
    </row>
    <row r="195" spans="1:30" x14ac:dyDescent="0.25">
      <c r="A195" s="85">
        <v>46061</v>
      </c>
      <c r="B195" t="s">
        <v>43</v>
      </c>
      <c r="C195">
        <v>4</v>
      </c>
      <c r="D195" s="86">
        <v>1</v>
      </c>
      <c r="E195">
        <v>3</v>
      </c>
      <c r="F195">
        <v>3</v>
      </c>
      <c r="G195">
        <v>13</v>
      </c>
      <c r="H195">
        <v>9</v>
      </c>
      <c r="I195">
        <v>1</v>
      </c>
      <c r="J195">
        <v>0.69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1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1</v>
      </c>
      <c r="AA195" s="86">
        <f>AVERAGEIFS($C$2:C195, $B$2:B195, B195)</f>
        <v>4</v>
      </c>
      <c r="AB195" s="86">
        <f>AVERAGEIFS($I$2:I195, $B$2:B195, B195)</f>
        <v>1</v>
      </c>
      <c r="AC195" s="86">
        <f>AVERAGEIFS($J$2:J195, $B$2:B195, B195)</f>
        <v>0.69</v>
      </c>
      <c r="AD195" s="86">
        <f>AVERAGEIFS($D$2:D195, $B$2:B195, B195)</f>
        <v>1</v>
      </c>
    </row>
    <row r="196" spans="1:30" x14ac:dyDescent="0.25">
      <c r="A196" s="85">
        <v>46061</v>
      </c>
      <c r="B196" t="s">
        <v>45</v>
      </c>
      <c r="C196">
        <v>2</v>
      </c>
      <c r="D196" s="86">
        <v>1</v>
      </c>
      <c r="E196">
        <v>3</v>
      </c>
      <c r="F196">
        <v>3</v>
      </c>
      <c r="G196">
        <v>13</v>
      </c>
      <c r="H196">
        <v>9</v>
      </c>
      <c r="I196">
        <v>1</v>
      </c>
      <c r="J196">
        <v>0.69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1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1</v>
      </c>
      <c r="Y196">
        <v>0</v>
      </c>
      <c r="Z196">
        <v>1</v>
      </c>
      <c r="AA196" s="86">
        <f>AVERAGEIFS($C$2:C196, $B$2:B196, B196)</f>
        <v>8.3333333333333339</v>
      </c>
      <c r="AB196" s="86">
        <f>AVERAGEIFS($I$2:I196, $B$2:B196, B196)</f>
        <v>0.35833333333333334</v>
      </c>
      <c r="AC196" s="86">
        <f>AVERAGEIFS($J$2:J196, $B$2:B196, B196)</f>
        <v>0.42499999999999999</v>
      </c>
      <c r="AD196" s="86">
        <f>AVERAGEIFS($D$2:D196, $B$2:B196, B196)</f>
        <v>0.16666666666666666</v>
      </c>
    </row>
    <row r="197" spans="1:30" x14ac:dyDescent="0.25">
      <c r="A197" s="85">
        <v>46061</v>
      </c>
      <c r="B197" t="s">
        <v>13</v>
      </c>
      <c r="C197">
        <v>29</v>
      </c>
      <c r="D197" s="86">
        <v>0</v>
      </c>
      <c r="E197">
        <v>3</v>
      </c>
      <c r="F197">
        <v>0</v>
      </c>
      <c r="G197">
        <v>13</v>
      </c>
      <c r="H197">
        <v>4</v>
      </c>
      <c r="I197">
        <v>0</v>
      </c>
      <c r="J197">
        <v>0.31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29.923076923076923</v>
      </c>
      <c r="AB197" s="86">
        <f>AVERAGEIFS($I$2:I197, $B$2:B197, B197)</f>
        <v>0.49615384615384611</v>
      </c>
      <c r="AC197" s="86">
        <f>AVERAGEIFS($J$2:J197, $B$2:B197, B197)</f>
        <v>0.50923076923076915</v>
      </c>
      <c r="AD197" s="86">
        <f>AVERAGEIFS($D$2:D197, $B$2:B197, B197)</f>
        <v>0.61538461538461542</v>
      </c>
    </row>
    <row r="198" spans="1:30" x14ac:dyDescent="0.25">
      <c r="A198" s="85">
        <v>46061</v>
      </c>
      <c r="B198" t="s">
        <v>46</v>
      </c>
      <c r="C198">
        <v>16</v>
      </c>
      <c r="D198" s="86">
        <v>0</v>
      </c>
      <c r="E198">
        <v>3</v>
      </c>
      <c r="F198">
        <v>0</v>
      </c>
      <c r="G198">
        <v>13</v>
      </c>
      <c r="H198">
        <v>4</v>
      </c>
      <c r="I198">
        <v>0</v>
      </c>
      <c r="J198">
        <v>0.31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19.8</v>
      </c>
      <c r="AB198" s="86">
        <f>AVERAGEIFS($I$2:I198, $B$2:B198, B198)</f>
        <v>0.25</v>
      </c>
      <c r="AC198" s="86">
        <f>AVERAGEIFS($J$2:J198, $B$2:B198, B198)</f>
        <v>0.38600000000000001</v>
      </c>
      <c r="AD198" s="86">
        <f>AVERAGEIFS($D$2:D198, $B$2:B198, B198)</f>
        <v>0.2</v>
      </c>
    </row>
    <row r="199" spans="1:30" x14ac:dyDescent="0.25">
      <c r="A199" s="85">
        <v>46061</v>
      </c>
      <c r="B199" t="s">
        <v>35</v>
      </c>
      <c r="C199">
        <v>11</v>
      </c>
      <c r="D199" s="86">
        <v>0</v>
      </c>
      <c r="E199">
        <v>3</v>
      </c>
      <c r="F199">
        <v>0</v>
      </c>
      <c r="G199">
        <v>13</v>
      </c>
      <c r="H199">
        <v>4</v>
      </c>
      <c r="I199">
        <v>0</v>
      </c>
      <c r="J199">
        <v>0.31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9.3333333333333339</v>
      </c>
      <c r="AB199" s="86">
        <f>AVERAGEIFS($I$2:I199, $B$2:B199, B199)</f>
        <v>0.30833333333333335</v>
      </c>
      <c r="AC199" s="86">
        <f>AVERAGEIFS($J$2:J199, $B$2:B199, B199)</f>
        <v>0.44166666666666671</v>
      </c>
      <c r="AD199" s="86">
        <f>AVERAGEIFS($D$2:D199, $B$2:B199, B199)</f>
        <v>0.33333333333333331</v>
      </c>
    </row>
    <row r="200" spans="1:30" x14ac:dyDescent="0.25">
      <c r="A200" s="85">
        <v>46061</v>
      </c>
      <c r="B200" t="s">
        <v>14</v>
      </c>
      <c r="C200">
        <v>10</v>
      </c>
      <c r="D200" s="86">
        <v>0</v>
      </c>
      <c r="E200">
        <v>3</v>
      </c>
      <c r="F200">
        <v>0</v>
      </c>
      <c r="G200">
        <v>13</v>
      </c>
      <c r="H200">
        <v>4</v>
      </c>
      <c r="I200">
        <v>0</v>
      </c>
      <c r="J200">
        <v>0.31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26.416666666666668</v>
      </c>
      <c r="AB200" s="86">
        <f>AVERAGEIFS($I$2:I200, $B$2:B200, B200)</f>
        <v>0.48333333333333334</v>
      </c>
      <c r="AC200" s="86">
        <f>AVERAGEIFS($J$2:J200, $B$2:B200, B200)</f>
        <v>0.48166666666666663</v>
      </c>
      <c r="AD200" s="86">
        <f>AVERAGEIFS($D$2:D200, $B$2:B200, B200)</f>
        <v>0.58333333333333337</v>
      </c>
    </row>
    <row r="201" spans="1:30" x14ac:dyDescent="0.25">
      <c r="A201" s="85">
        <v>46061</v>
      </c>
      <c r="B201" t="s">
        <v>29</v>
      </c>
      <c r="C201">
        <v>5</v>
      </c>
      <c r="D201" s="86">
        <v>0</v>
      </c>
      <c r="E201">
        <v>3</v>
      </c>
      <c r="F201">
        <v>0</v>
      </c>
      <c r="G201">
        <v>13</v>
      </c>
      <c r="H201">
        <v>4</v>
      </c>
      <c r="I201">
        <v>0</v>
      </c>
      <c r="J201">
        <v>0.31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10.7</v>
      </c>
      <c r="AB201" s="86">
        <f>AVERAGEIFS($I$2:I201, $B$2:B201, B201)</f>
        <v>0.48999999999999994</v>
      </c>
      <c r="AC201" s="86">
        <f>AVERAGEIFS($J$2:J201, $B$2:B201, B201)</f>
        <v>0.49299999999999988</v>
      </c>
      <c r="AD201" s="86">
        <f>AVERAGEIFS($D$2:D201, $B$2:B201, B201)</f>
        <v>0.5</v>
      </c>
    </row>
    <row r="202" spans="1:30" x14ac:dyDescent="0.25">
      <c r="A202" s="85">
        <v>46061</v>
      </c>
      <c r="B202" t="s">
        <v>19</v>
      </c>
      <c r="C202">
        <v>5</v>
      </c>
      <c r="D202" s="86">
        <v>0</v>
      </c>
      <c r="E202">
        <v>3</v>
      </c>
      <c r="F202">
        <v>0</v>
      </c>
      <c r="G202">
        <v>13</v>
      </c>
      <c r="H202">
        <v>4</v>
      </c>
      <c r="I202">
        <v>0</v>
      </c>
      <c r="J202">
        <v>0.31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 s="86">
        <f>AVERAGEIFS($C$2:C202, $B$2:B202, B202)</f>
        <v>11.642857142857142</v>
      </c>
      <c r="AB202" s="86">
        <f>AVERAGEIFS($I$2:I202, $B$2:B202, B202)</f>
        <v>0.48571428571428577</v>
      </c>
      <c r="AC202" s="86">
        <f>AVERAGEIFS($J$2:J202, $B$2:B202, B202)</f>
        <v>0.49214285714285716</v>
      </c>
      <c r="AD202" s="86">
        <f>AVERAGEIFS($D$2:D202, $B$2:B202, B202)</f>
        <v>0.42857142857142855</v>
      </c>
    </row>
    <row r="203" spans="1:30" x14ac:dyDescent="0.25">
      <c r="A203" s="85">
        <v>46066</v>
      </c>
      <c r="B203" t="s">
        <v>13</v>
      </c>
      <c r="C203">
        <v>22</v>
      </c>
      <c r="D203" s="86">
        <v>1</v>
      </c>
      <c r="E203">
        <v>3</v>
      </c>
      <c r="F203">
        <v>3</v>
      </c>
      <c r="G203">
        <v>11</v>
      </c>
      <c r="H203">
        <v>9</v>
      </c>
      <c r="I203">
        <v>1</v>
      </c>
      <c r="J203">
        <v>0.82</v>
      </c>
      <c r="K203">
        <v>0</v>
      </c>
      <c r="L203">
        <v>1</v>
      </c>
      <c r="M203">
        <v>1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 s="86">
        <f>AVERAGEIFS($C$2:C203, $B$2:B203, B203)</f>
        <v>29.357142857142858</v>
      </c>
      <c r="AB203" s="86">
        <f>AVERAGEIFS($I$2:I203, $B$2:B203, B203)</f>
        <v>0.53214285714285714</v>
      </c>
      <c r="AC203" s="86">
        <f>AVERAGEIFS($J$2:J203, $B$2:B203, B203)</f>
        <v>0.53142857142857136</v>
      </c>
      <c r="AD203" s="86">
        <f>AVERAGEIFS($D$2:D203, $B$2:B203, B203)</f>
        <v>0.6428571428571429</v>
      </c>
    </row>
    <row r="204" spans="1:30" x14ac:dyDescent="0.25">
      <c r="A204" s="85">
        <v>46066</v>
      </c>
      <c r="B204" t="s">
        <v>14</v>
      </c>
      <c r="C204">
        <v>16</v>
      </c>
      <c r="D204" s="86">
        <v>1</v>
      </c>
      <c r="E204">
        <v>3</v>
      </c>
      <c r="F204">
        <v>3</v>
      </c>
      <c r="G204">
        <v>11</v>
      </c>
      <c r="H204">
        <v>9</v>
      </c>
      <c r="I204">
        <v>1</v>
      </c>
      <c r="J204">
        <v>0.82</v>
      </c>
      <c r="K204">
        <v>0</v>
      </c>
      <c r="L204">
        <v>1</v>
      </c>
      <c r="M204">
        <v>1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 s="86">
        <f>AVERAGEIFS($C$2:C204, $B$2:B204, B204)</f>
        <v>25.615384615384617</v>
      </c>
      <c r="AB204" s="86">
        <f>AVERAGEIFS($I$2:I204, $B$2:B204, B204)</f>
        <v>0.52307692307692311</v>
      </c>
      <c r="AC204" s="86">
        <f>AVERAGEIFS($J$2:J204, $B$2:B204, B204)</f>
        <v>0.50769230769230766</v>
      </c>
      <c r="AD204" s="86">
        <f>AVERAGEIFS($D$2:D204, $B$2:B204, B204)</f>
        <v>0.61538461538461542</v>
      </c>
    </row>
    <row r="205" spans="1:30" x14ac:dyDescent="0.25">
      <c r="A205" s="85">
        <v>46066</v>
      </c>
      <c r="B205" t="s">
        <v>4</v>
      </c>
      <c r="C205">
        <v>9</v>
      </c>
      <c r="D205" s="86">
        <v>1</v>
      </c>
      <c r="E205">
        <v>3</v>
      </c>
      <c r="F205">
        <v>3</v>
      </c>
      <c r="G205">
        <v>11</v>
      </c>
      <c r="H205">
        <v>9</v>
      </c>
      <c r="I205">
        <v>1</v>
      </c>
      <c r="J205">
        <v>0.82</v>
      </c>
      <c r="K205">
        <v>0</v>
      </c>
      <c r="L205">
        <v>1</v>
      </c>
      <c r="M205">
        <v>1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 s="86">
        <f>AVERAGEIFS($C$2:C205, $B$2:B205, B205)</f>
        <v>9</v>
      </c>
      <c r="AB205" s="86">
        <f>AVERAGEIFS($I$2:I205, $B$2:B205, B205)</f>
        <v>1</v>
      </c>
      <c r="AC205" s="86">
        <f>AVERAGEIFS($J$2:J205, $B$2:B205, B205)</f>
        <v>0.82</v>
      </c>
      <c r="AD205" s="86">
        <f>AVERAGEIFS($D$2:D205, $B$2:B205, B205)</f>
        <v>1</v>
      </c>
    </row>
    <row r="206" spans="1:30" x14ac:dyDescent="0.25">
      <c r="A206" s="85">
        <v>46066</v>
      </c>
      <c r="B206" t="s">
        <v>17</v>
      </c>
      <c r="C206">
        <v>9</v>
      </c>
      <c r="D206" s="86">
        <v>1</v>
      </c>
      <c r="E206">
        <v>3</v>
      </c>
      <c r="F206">
        <v>3</v>
      </c>
      <c r="G206">
        <v>11</v>
      </c>
      <c r="H206">
        <v>9</v>
      </c>
      <c r="I206">
        <v>1</v>
      </c>
      <c r="J206">
        <v>0.82</v>
      </c>
      <c r="K206">
        <v>0</v>
      </c>
      <c r="L206">
        <v>1</v>
      </c>
      <c r="M206">
        <v>1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 s="86">
        <f>AVERAGEIFS($C$2:C206, $B$2:B206, B206)</f>
        <v>26.285714285714285</v>
      </c>
      <c r="AB206" s="86">
        <f>AVERAGEIFS($I$2:I206, $B$2:B206, B206)</f>
        <v>0.63214285714285723</v>
      </c>
      <c r="AC206" s="86">
        <f>AVERAGEIFS($J$2:J206, $B$2:B206, B206)</f>
        <v>0.57785714285714285</v>
      </c>
      <c r="AD206" s="86">
        <f>AVERAGEIFS($D$2:D206, $B$2:B206, B206)</f>
        <v>0.5714285714285714</v>
      </c>
    </row>
    <row r="207" spans="1:30" x14ac:dyDescent="0.25">
      <c r="A207" s="85">
        <v>46066</v>
      </c>
      <c r="B207" t="s">
        <v>26</v>
      </c>
      <c r="C207">
        <v>7</v>
      </c>
      <c r="D207" s="86">
        <v>1</v>
      </c>
      <c r="E207">
        <v>3</v>
      </c>
      <c r="F207">
        <v>3</v>
      </c>
      <c r="G207">
        <v>11</v>
      </c>
      <c r="H207">
        <v>9</v>
      </c>
      <c r="I207">
        <v>1</v>
      </c>
      <c r="J207">
        <v>0.82</v>
      </c>
      <c r="K207">
        <v>0</v>
      </c>
      <c r="L207">
        <v>1</v>
      </c>
      <c r="M207">
        <v>1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 s="86">
        <f>AVERAGEIFS($C$2:C207, $B$2:B207, B207)</f>
        <v>12.555555555555555</v>
      </c>
      <c r="AB207" s="86">
        <f>AVERAGEIFS($I$2:I207, $B$2:B207, B207)</f>
        <v>0.61111111111111116</v>
      </c>
      <c r="AC207" s="86">
        <f>AVERAGEIFS($J$2:J207, $B$2:B207, B207)</f>
        <v>0.57444444444444442</v>
      </c>
      <c r="AD207" s="86">
        <f>AVERAGEIFS($D$2:D207, $B$2:B207, B207)</f>
        <v>0.66666666666666663</v>
      </c>
    </row>
    <row r="208" spans="1:30" x14ac:dyDescent="0.25">
      <c r="A208" s="85">
        <v>46066</v>
      </c>
      <c r="B208" t="s">
        <v>38</v>
      </c>
      <c r="C208">
        <v>5</v>
      </c>
      <c r="D208" s="86">
        <v>1</v>
      </c>
      <c r="E208">
        <v>3</v>
      </c>
      <c r="F208">
        <v>3</v>
      </c>
      <c r="G208">
        <v>11</v>
      </c>
      <c r="H208">
        <v>9</v>
      </c>
      <c r="I208">
        <v>1</v>
      </c>
      <c r="J208">
        <v>0.82</v>
      </c>
      <c r="K208">
        <v>0</v>
      </c>
      <c r="L208">
        <v>1</v>
      </c>
      <c r="M208">
        <v>1</v>
      </c>
      <c r="N208">
        <v>0</v>
      </c>
      <c r="O208">
        <v>0</v>
      </c>
      <c r="P208">
        <v>1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 s="86">
        <f>AVERAGEIFS($C$2:C208, $B$2:B208, B208)</f>
        <v>5</v>
      </c>
      <c r="AB208" s="86">
        <f>AVERAGEIFS($I$2:I208, $B$2:B208, B208)</f>
        <v>1</v>
      </c>
      <c r="AC208" s="86">
        <f>AVERAGEIFS($J$2:J208, $B$2:B208, B208)</f>
        <v>0.82</v>
      </c>
      <c r="AD208" s="86">
        <f>AVERAGEIFS($D$2:D208, $B$2:B208, B208)</f>
        <v>1</v>
      </c>
    </row>
    <row r="209" spans="1:30" x14ac:dyDescent="0.25">
      <c r="A209" s="85">
        <v>46066</v>
      </c>
      <c r="B209" t="s">
        <v>6</v>
      </c>
      <c r="C209">
        <v>16</v>
      </c>
      <c r="D209" s="86">
        <v>0</v>
      </c>
      <c r="E209">
        <v>3</v>
      </c>
      <c r="F209">
        <v>0</v>
      </c>
      <c r="G209">
        <v>11</v>
      </c>
      <c r="H209">
        <v>2</v>
      </c>
      <c r="I209">
        <v>0</v>
      </c>
      <c r="J209">
        <v>0.18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86">
        <f>AVERAGEIFS($C$2:C209, $B$2:B209, B209)</f>
        <v>21.5</v>
      </c>
      <c r="AB209" s="86">
        <f>AVERAGEIFS($I$2:I209, $B$2:B209, B209)</f>
        <v>0.57499999999999996</v>
      </c>
      <c r="AC209" s="86">
        <f>AVERAGEIFS($J$2:J209, $B$2:B209, B209)</f>
        <v>0.52374999999999994</v>
      </c>
      <c r="AD209" s="86">
        <f>AVERAGEIFS($D$2:D209, $B$2:B209, B209)</f>
        <v>0.625</v>
      </c>
    </row>
    <row r="210" spans="1:30" x14ac:dyDescent="0.25">
      <c r="A210" s="85">
        <v>46066</v>
      </c>
      <c r="B210" t="s">
        <v>37</v>
      </c>
      <c r="C210">
        <v>9</v>
      </c>
      <c r="D210" s="86">
        <v>0</v>
      </c>
      <c r="E210">
        <v>3</v>
      </c>
      <c r="F210">
        <v>0</v>
      </c>
      <c r="G210">
        <v>11</v>
      </c>
      <c r="H210">
        <v>2</v>
      </c>
      <c r="I210">
        <v>0</v>
      </c>
      <c r="J210">
        <v>0.18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86">
        <f>AVERAGEIFS($C$2:C210, $B$2:B210, B210)</f>
        <v>18.125</v>
      </c>
      <c r="AB210" s="86">
        <f>AVERAGEIFS($I$2:I210, $B$2:B210, B210)</f>
        <v>0.45624999999999999</v>
      </c>
      <c r="AC210" s="86">
        <f>AVERAGEIFS($J$2:J210, $B$2:B210, B210)</f>
        <v>0.46499999999999997</v>
      </c>
      <c r="AD210" s="86">
        <f>AVERAGEIFS($D$2:D210, $B$2:B210, B210)</f>
        <v>0.375</v>
      </c>
    </row>
    <row r="211" spans="1:30" x14ac:dyDescent="0.25">
      <c r="A211" s="85">
        <v>46066</v>
      </c>
      <c r="B211" t="s">
        <v>40</v>
      </c>
      <c r="C211">
        <v>7</v>
      </c>
      <c r="D211" s="86">
        <v>0</v>
      </c>
      <c r="E211">
        <v>3</v>
      </c>
      <c r="F211">
        <v>0</v>
      </c>
      <c r="G211">
        <v>11</v>
      </c>
      <c r="H211">
        <v>2</v>
      </c>
      <c r="I211">
        <v>0</v>
      </c>
      <c r="J211">
        <v>0.18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86">
        <f>AVERAGEIFS($C$2:C211, $B$2:B211, B211)</f>
        <v>7</v>
      </c>
      <c r="AB211" s="86">
        <f>AVERAGEIFS($I$2:I211, $B$2:B211, B211)</f>
        <v>0</v>
      </c>
      <c r="AC211" s="86">
        <f>AVERAGEIFS($J$2:J211, $B$2:B211, B211)</f>
        <v>0.18</v>
      </c>
      <c r="AD211" s="86">
        <f>AVERAGEIFS($D$2:D211, $B$2:B211, B211)</f>
        <v>0</v>
      </c>
    </row>
    <row r="212" spans="1:30" x14ac:dyDescent="0.25">
      <c r="A212" s="85">
        <v>46066</v>
      </c>
      <c r="B212" t="s">
        <v>19</v>
      </c>
      <c r="C212">
        <v>6</v>
      </c>
      <c r="D212" s="86">
        <v>0</v>
      </c>
      <c r="E212">
        <v>3</v>
      </c>
      <c r="F212">
        <v>0</v>
      </c>
      <c r="G212">
        <v>11</v>
      </c>
      <c r="H212">
        <v>2</v>
      </c>
      <c r="I212">
        <v>0</v>
      </c>
      <c r="J212">
        <v>0.18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86">
        <f>AVERAGEIFS($C$2:C212, $B$2:B212, B212)</f>
        <v>11.266666666666667</v>
      </c>
      <c r="AB212" s="86">
        <f>AVERAGEIFS($I$2:I212, $B$2:B212, B212)</f>
        <v>0.45333333333333337</v>
      </c>
      <c r="AC212" s="86">
        <f>AVERAGEIFS($J$2:J212, $B$2:B212, B212)</f>
        <v>0.47133333333333333</v>
      </c>
      <c r="AD212" s="86">
        <f>AVERAGEIFS($D$2:D212, $B$2:B212, B212)</f>
        <v>0.4</v>
      </c>
    </row>
    <row r="213" spans="1:30" x14ac:dyDescent="0.25">
      <c r="A213" s="85">
        <v>46066</v>
      </c>
      <c r="B213" t="s">
        <v>42</v>
      </c>
      <c r="C213">
        <v>5</v>
      </c>
      <c r="D213" s="86">
        <v>0</v>
      </c>
      <c r="E213">
        <v>3</v>
      </c>
      <c r="F213">
        <v>0</v>
      </c>
      <c r="G213">
        <v>11</v>
      </c>
      <c r="H213">
        <v>2</v>
      </c>
      <c r="I213">
        <v>0</v>
      </c>
      <c r="J213">
        <v>0.18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86">
        <f>AVERAGEIFS($C$2:C213, $B$2:B213, B213)</f>
        <v>5</v>
      </c>
      <c r="AB213" s="86">
        <f>AVERAGEIFS($I$2:I213, $B$2:B213, B213)</f>
        <v>0</v>
      </c>
      <c r="AC213" s="86">
        <f>AVERAGEIFS($J$2:J213, $B$2:B213, B213)</f>
        <v>0.18</v>
      </c>
      <c r="AD213" s="86">
        <f>AVERAGEIFS($D$2:D213, $B$2:B213, B213)</f>
        <v>0</v>
      </c>
    </row>
    <row r="214" spans="1:30" x14ac:dyDescent="0.25">
      <c r="A214" s="85">
        <v>46066</v>
      </c>
      <c r="B214" t="s">
        <v>28</v>
      </c>
      <c r="C214">
        <v>4</v>
      </c>
      <c r="D214" s="86">
        <v>0</v>
      </c>
      <c r="E214">
        <v>3</v>
      </c>
      <c r="F214">
        <v>0</v>
      </c>
      <c r="G214">
        <v>11</v>
      </c>
      <c r="H214">
        <v>2</v>
      </c>
      <c r="I214">
        <v>0</v>
      </c>
      <c r="J214">
        <v>0.18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14</v>
      </c>
      <c r="AB214" s="86">
        <f>AVERAGEIFS($I$2:I214, $B$2:B214, B214)</f>
        <v>0.47499999999999998</v>
      </c>
      <c r="AC214" s="86">
        <f>AVERAGEIFS($J$2:J214, $B$2:B214, B214)</f>
        <v>0.48499999999999999</v>
      </c>
      <c r="AD214" s="86">
        <f>AVERAGEIFS($D$2:D214, $B$2:B214, B214)</f>
        <v>0.5</v>
      </c>
    </row>
    <row r="215" spans="1:30" x14ac:dyDescent="0.25">
      <c r="A215" s="85">
        <v>46067</v>
      </c>
      <c r="B215" t="s">
        <v>6</v>
      </c>
      <c r="C215">
        <v>28</v>
      </c>
      <c r="D215" s="86">
        <v>1</v>
      </c>
      <c r="E215">
        <v>4</v>
      </c>
      <c r="F215">
        <v>3</v>
      </c>
      <c r="G215">
        <v>16</v>
      </c>
      <c r="H215">
        <v>11</v>
      </c>
      <c r="I215">
        <v>0.75</v>
      </c>
      <c r="J215">
        <v>0.69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1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1</v>
      </c>
      <c r="Y215">
        <v>0</v>
      </c>
      <c r="Z215">
        <v>1</v>
      </c>
      <c r="AA215" s="86">
        <f>AVERAGEIFS($C$2:C215, $B$2:B215, B215)</f>
        <v>22.222222222222221</v>
      </c>
      <c r="AB215" s="86">
        <f>AVERAGEIFS($I$2:I215, $B$2:B215, B215)</f>
        <v>0.59444444444444444</v>
      </c>
      <c r="AC215" s="86">
        <f>AVERAGEIFS($J$2:J215, $B$2:B215, B215)</f>
        <v>0.54222222222222216</v>
      </c>
      <c r="AD215" s="86">
        <f>AVERAGEIFS($D$2:D215, $B$2:B215, B215)</f>
        <v>0.66666666666666663</v>
      </c>
    </row>
    <row r="216" spans="1:30" x14ac:dyDescent="0.25">
      <c r="A216" s="85">
        <v>46067</v>
      </c>
      <c r="B216" t="s">
        <v>13</v>
      </c>
      <c r="C216">
        <v>20</v>
      </c>
      <c r="D216" s="86">
        <v>1</v>
      </c>
      <c r="E216">
        <v>4</v>
      </c>
      <c r="F216">
        <v>3</v>
      </c>
      <c r="G216">
        <v>16</v>
      </c>
      <c r="H216">
        <v>11</v>
      </c>
      <c r="I216">
        <v>0.75</v>
      </c>
      <c r="J216">
        <v>0.69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1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1</v>
      </c>
      <c r="Y216">
        <v>0</v>
      </c>
      <c r="Z216">
        <v>1</v>
      </c>
      <c r="AA216" s="86">
        <f>AVERAGEIFS($C$2:C216, $B$2:B216, B216)</f>
        <v>28.733333333333334</v>
      </c>
      <c r="AB216" s="86">
        <f>AVERAGEIFS($I$2:I216, $B$2:B216, B216)</f>
        <v>0.54666666666666663</v>
      </c>
      <c r="AC216" s="86">
        <f>AVERAGEIFS($J$2:J216, $B$2:B216, B216)</f>
        <v>0.54199999999999993</v>
      </c>
      <c r="AD216" s="86">
        <f>AVERAGEIFS($D$2:D216, $B$2:B216, B216)</f>
        <v>0.66666666666666663</v>
      </c>
    </row>
    <row r="217" spans="1:30" x14ac:dyDescent="0.25">
      <c r="A217" s="85">
        <v>46067</v>
      </c>
      <c r="B217" t="s">
        <v>46</v>
      </c>
      <c r="C217">
        <v>11</v>
      </c>
      <c r="D217" s="86">
        <v>1</v>
      </c>
      <c r="E217">
        <v>4</v>
      </c>
      <c r="F217">
        <v>3</v>
      </c>
      <c r="G217">
        <v>16</v>
      </c>
      <c r="H217">
        <v>11</v>
      </c>
      <c r="I217">
        <v>0.75</v>
      </c>
      <c r="J217">
        <v>0.69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1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1</v>
      </c>
      <c r="Y217">
        <v>0</v>
      </c>
      <c r="Z217">
        <v>1</v>
      </c>
      <c r="AA217" s="86">
        <f>AVERAGEIFS($C$2:C217, $B$2:B217, B217)</f>
        <v>18.333333333333332</v>
      </c>
      <c r="AB217" s="86">
        <f>AVERAGEIFS($I$2:I217, $B$2:B217, B217)</f>
        <v>0.33333333333333331</v>
      </c>
      <c r="AC217" s="86">
        <f>AVERAGEIFS($J$2:J217, $B$2:B217, B217)</f>
        <v>0.4366666666666667</v>
      </c>
      <c r="AD217" s="86">
        <f>AVERAGEIFS($D$2:D217, $B$2:B217, B217)</f>
        <v>0.33333333333333331</v>
      </c>
    </row>
    <row r="218" spans="1:30" x14ac:dyDescent="0.25">
      <c r="A218" s="85">
        <v>46067</v>
      </c>
      <c r="B218" t="s">
        <v>26</v>
      </c>
      <c r="C218">
        <v>11</v>
      </c>
      <c r="D218" s="86">
        <v>1</v>
      </c>
      <c r="E218">
        <v>4</v>
      </c>
      <c r="F218">
        <v>3</v>
      </c>
      <c r="G218">
        <v>16</v>
      </c>
      <c r="H218">
        <v>11</v>
      </c>
      <c r="I218">
        <v>0.75</v>
      </c>
      <c r="J218">
        <v>0.69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1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1</v>
      </c>
      <c r="Y218">
        <v>0</v>
      </c>
      <c r="Z218">
        <v>1</v>
      </c>
      <c r="AA218" s="86">
        <f>AVERAGEIFS($C$2:C218, $B$2:B218, B218)</f>
        <v>12.4</v>
      </c>
      <c r="AB218" s="86">
        <f>AVERAGEIFS($I$2:I218, $B$2:B218, B218)</f>
        <v>0.625</v>
      </c>
      <c r="AC218" s="86">
        <f>AVERAGEIFS($J$2:J218, $B$2:B218, B218)</f>
        <v>0.58599999999999997</v>
      </c>
      <c r="AD218" s="86">
        <f>AVERAGEIFS($D$2:D218, $B$2:B218, B218)</f>
        <v>0.7</v>
      </c>
    </row>
    <row r="219" spans="1:30" x14ac:dyDescent="0.25">
      <c r="A219" s="85">
        <v>46067</v>
      </c>
      <c r="B219" t="s">
        <v>35</v>
      </c>
      <c r="C219">
        <v>9</v>
      </c>
      <c r="D219" s="86">
        <v>1</v>
      </c>
      <c r="E219">
        <v>4</v>
      </c>
      <c r="F219">
        <v>3</v>
      </c>
      <c r="G219">
        <v>16</v>
      </c>
      <c r="H219">
        <v>11</v>
      </c>
      <c r="I219">
        <v>0.75</v>
      </c>
      <c r="J219">
        <v>0.69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1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1</v>
      </c>
      <c r="Y219">
        <v>0</v>
      </c>
      <c r="Z219">
        <v>1</v>
      </c>
      <c r="AA219" s="86">
        <f>AVERAGEIFS($C$2:C219, $B$2:B219, B219)</f>
        <v>9.2857142857142865</v>
      </c>
      <c r="AB219" s="86">
        <f>AVERAGEIFS($I$2:I219, $B$2:B219, B219)</f>
        <v>0.37142857142857144</v>
      </c>
      <c r="AC219" s="86">
        <f>AVERAGEIFS($J$2:J219, $B$2:B219, B219)</f>
        <v>0.4771428571428572</v>
      </c>
      <c r="AD219" s="86">
        <f>AVERAGEIFS($D$2:D219, $B$2:B219, B219)</f>
        <v>0.42857142857142855</v>
      </c>
    </row>
    <row r="220" spans="1:30" x14ac:dyDescent="0.25">
      <c r="A220" s="85">
        <v>46067</v>
      </c>
      <c r="B220" t="s">
        <v>29</v>
      </c>
      <c r="C220">
        <v>8</v>
      </c>
      <c r="D220" s="86">
        <v>1</v>
      </c>
      <c r="E220">
        <v>4</v>
      </c>
      <c r="F220">
        <v>3</v>
      </c>
      <c r="G220">
        <v>16</v>
      </c>
      <c r="H220">
        <v>11</v>
      </c>
      <c r="I220">
        <v>0.75</v>
      </c>
      <c r="J220">
        <v>0.69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1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1</v>
      </c>
      <c r="Y220">
        <v>0</v>
      </c>
      <c r="Z220">
        <v>1</v>
      </c>
      <c r="AA220" s="86">
        <f>AVERAGEIFS($C$2:C220, $B$2:B220, B220)</f>
        <v>10.454545454545455</v>
      </c>
      <c r="AB220" s="86">
        <f>AVERAGEIFS($I$2:I220, $B$2:B220, B220)</f>
        <v>0.51363636363636356</v>
      </c>
      <c r="AC220" s="86">
        <f>AVERAGEIFS($J$2:J220, $B$2:B220, B220)</f>
        <v>0.51090909090909087</v>
      </c>
      <c r="AD220" s="86">
        <f>AVERAGEIFS($D$2:D220, $B$2:B220, B220)</f>
        <v>0.54545454545454541</v>
      </c>
    </row>
    <row r="221" spans="1:30" x14ac:dyDescent="0.25">
      <c r="A221" s="85">
        <v>46067</v>
      </c>
      <c r="B221" t="s">
        <v>17</v>
      </c>
      <c r="C221">
        <v>22</v>
      </c>
      <c r="D221" s="86">
        <v>0</v>
      </c>
      <c r="E221">
        <v>4</v>
      </c>
      <c r="F221">
        <v>1</v>
      </c>
      <c r="G221">
        <v>16</v>
      </c>
      <c r="H221">
        <v>5</v>
      </c>
      <c r="I221">
        <v>0.25</v>
      </c>
      <c r="J221">
        <v>0.31</v>
      </c>
      <c r="K221">
        <v>1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 s="86">
        <f>AVERAGEIFS($C$2:C221, $B$2:B221, B221)</f>
        <v>26</v>
      </c>
      <c r="AB221" s="86">
        <f>AVERAGEIFS($I$2:I221, $B$2:B221, B221)</f>
        <v>0.6066666666666668</v>
      </c>
      <c r="AC221" s="86">
        <f>AVERAGEIFS($J$2:J221, $B$2:B221, B221)</f>
        <v>0.56000000000000005</v>
      </c>
      <c r="AD221" s="86">
        <f>AVERAGEIFS($D$2:D221, $B$2:B221, B221)</f>
        <v>0.53333333333333333</v>
      </c>
    </row>
    <row r="222" spans="1:30" x14ac:dyDescent="0.25">
      <c r="A222" s="85">
        <v>46067</v>
      </c>
      <c r="B222" t="s">
        <v>14</v>
      </c>
      <c r="C222">
        <v>18</v>
      </c>
      <c r="D222" s="86">
        <v>0</v>
      </c>
      <c r="E222">
        <v>4</v>
      </c>
      <c r="F222">
        <v>1</v>
      </c>
      <c r="G222">
        <v>16</v>
      </c>
      <c r="H222">
        <v>5</v>
      </c>
      <c r="I222">
        <v>0.25</v>
      </c>
      <c r="J222">
        <v>0.31</v>
      </c>
      <c r="K222">
        <v>1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 s="86">
        <f>AVERAGEIFS($C$2:C222, $B$2:B222, B222)</f>
        <v>25.071428571428573</v>
      </c>
      <c r="AB222" s="86">
        <f>AVERAGEIFS($I$2:I222, $B$2:B222, B222)</f>
        <v>0.50357142857142856</v>
      </c>
      <c r="AC222" s="86">
        <f>AVERAGEIFS($J$2:J222, $B$2:B222, B222)</f>
        <v>0.49357142857142849</v>
      </c>
      <c r="AD222" s="86">
        <f>AVERAGEIFS($D$2:D222, $B$2:B222, B222)</f>
        <v>0.5714285714285714</v>
      </c>
    </row>
    <row r="223" spans="1:30" x14ac:dyDescent="0.25">
      <c r="A223" s="85">
        <v>46067</v>
      </c>
      <c r="B223" t="s">
        <v>40</v>
      </c>
      <c r="C223">
        <v>14</v>
      </c>
      <c r="D223" s="86">
        <v>0</v>
      </c>
      <c r="E223">
        <v>4</v>
      </c>
      <c r="F223">
        <v>1</v>
      </c>
      <c r="G223">
        <v>16</v>
      </c>
      <c r="H223">
        <v>5</v>
      </c>
      <c r="I223">
        <v>0.25</v>
      </c>
      <c r="J223">
        <v>0.31</v>
      </c>
      <c r="K223">
        <v>1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86">
        <f>AVERAGEIFS($C$2:C223, $B$2:B223, B223)</f>
        <v>10.5</v>
      </c>
      <c r="AB223" s="86">
        <f>AVERAGEIFS($I$2:I223, $B$2:B223, B223)</f>
        <v>0.125</v>
      </c>
      <c r="AC223" s="86">
        <f>AVERAGEIFS($J$2:J223, $B$2:B223, B223)</f>
        <v>0.245</v>
      </c>
      <c r="AD223" s="86">
        <f>AVERAGEIFS($D$2:D223, $B$2:B223, B223)</f>
        <v>0</v>
      </c>
    </row>
    <row r="224" spans="1:30" x14ac:dyDescent="0.25">
      <c r="A224" s="85">
        <v>46067</v>
      </c>
      <c r="B224" t="s">
        <v>37</v>
      </c>
      <c r="C224">
        <v>12</v>
      </c>
      <c r="D224" s="86">
        <v>0</v>
      </c>
      <c r="E224">
        <v>4</v>
      </c>
      <c r="F224">
        <v>1</v>
      </c>
      <c r="G224">
        <v>16</v>
      </c>
      <c r="H224">
        <v>5</v>
      </c>
      <c r="I224">
        <v>0.25</v>
      </c>
      <c r="J224">
        <v>0.31</v>
      </c>
      <c r="K224">
        <v>1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86">
        <f>AVERAGEIFS($C$2:C224, $B$2:B224, B224)</f>
        <v>17.444444444444443</v>
      </c>
      <c r="AB224" s="86">
        <f>AVERAGEIFS($I$2:I224, $B$2:B224, B224)</f>
        <v>0.43333333333333335</v>
      </c>
      <c r="AC224" s="86">
        <f>AVERAGEIFS($J$2:J224, $B$2:B224, B224)</f>
        <v>0.44777777777777772</v>
      </c>
      <c r="AD224" s="86">
        <f>AVERAGEIFS($D$2:D224, $B$2:B224, B224)</f>
        <v>0.33333333333333331</v>
      </c>
    </row>
    <row r="225" spans="1:30" x14ac:dyDescent="0.25">
      <c r="A225" s="85">
        <v>46067</v>
      </c>
      <c r="B225" t="s">
        <v>28</v>
      </c>
      <c r="C225">
        <v>11</v>
      </c>
      <c r="D225" s="86">
        <v>0</v>
      </c>
      <c r="E225">
        <v>4</v>
      </c>
      <c r="F225">
        <v>1</v>
      </c>
      <c r="G225">
        <v>16</v>
      </c>
      <c r="H225">
        <v>5</v>
      </c>
      <c r="I225">
        <v>0.25</v>
      </c>
      <c r="J225">
        <v>0.31</v>
      </c>
      <c r="K225">
        <v>1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86">
        <f>AVERAGEIFS($C$2:C225, $B$2:B225, B225)</f>
        <v>13.727272727272727</v>
      </c>
      <c r="AB225" s="86">
        <f>AVERAGEIFS($I$2:I225, $B$2:B225, B225)</f>
        <v>0.45454545454545453</v>
      </c>
      <c r="AC225" s="86">
        <f>AVERAGEIFS($J$2:J225, $B$2:B225, B225)</f>
        <v>0.469090909090909</v>
      </c>
      <c r="AD225" s="86">
        <f>AVERAGEIFS($D$2:D225, $B$2:B225, B225)</f>
        <v>0.45454545454545453</v>
      </c>
    </row>
    <row r="226" spans="1:30" x14ac:dyDescent="0.25">
      <c r="A226" s="85">
        <v>46067</v>
      </c>
      <c r="B226" t="s">
        <v>38</v>
      </c>
      <c r="C226">
        <v>2</v>
      </c>
      <c r="D226" s="86">
        <v>0</v>
      </c>
      <c r="E226">
        <v>4</v>
      </c>
      <c r="F226">
        <v>1</v>
      </c>
      <c r="G226">
        <v>16</v>
      </c>
      <c r="H226">
        <v>5</v>
      </c>
      <c r="I226">
        <v>0.25</v>
      </c>
      <c r="J226">
        <v>0.31</v>
      </c>
      <c r="K226">
        <v>1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86">
        <f>AVERAGEIFS($C$2:C226, $B$2:B226, B226)</f>
        <v>3.5</v>
      </c>
      <c r="AB226" s="86">
        <f>AVERAGEIFS($I$2:I226, $B$2:B226, B226)</f>
        <v>0.625</v>
      </c>
      <c r="AC226" s="86">
        <f>AVERAGEIFS($J$2:J226, $B$2:B226, B226)</f>
        <v>0.56499999999999995</v>
      </c>
      <c r="AD226" s="86">
        <f>AVERAGEIFS($D$2:D226, $B$2:B226, B226)</f>
        <v>0.5</v>
      </c>
    </row>
    <row r="227" spans="1:30" x14ac:dyDescent="0.25">
      <c r="A227" s="85">
        <v>46068</v>
      </c>
      <c r="B227" t="s">
        <v>15</v>
      </c>
      <c r="C227">
        <v>22</v>
      </c>
      <c r="D227" s="86">
        <v>1</v>
      </c>
      <c r="E227">
        <v>3</v>
      </c>
      <c r="F227">
        <v>3</v>
      </c>
      <c r="G227">
        <v>12</v>
      </c>
      <c r="H227">
        <v>9</v>
      </c>
      <c r="I227">
        <v>1</v>
      </c>
      <c r="J227">
        <v>0.75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1</v>
      </c>
      <c r="X227">
        <v>0</v>
      </c>
      <c r="Y227">
        <v>0</v>
      </c>
      <c r="Z227">
        <v>1</v>
      </c>
      <c r="AA227" s="86">
        <f>AVERAGEIFS($C$2:C227, $B$2:B227, B227)</f>
        <v>26.916666666666668</v>
      </c>
      <c r="AB227" s="86">
        <f>AVERAGEIFS($I$2:I227, $B$2:B227, B227)</f>
        <v>0.49583333333333335</v>
      </c>
      <c r="AC227" s="86">
        <f>AVERAGEIFS($J$2:J227, $B$2:B227, B227)</f>
        <v>0.48583333333333328</v>
      </c>
      <c r="AD227" s="86">
        <f>AVERAGEIFS($D$2:D227, $B$2:B227, B227)</f>
        <v>0.33333333333333331</v>
      </c>
    </row>
    <row r="228" spans="1:30" x14ac:dyDescent="0.25">
      <c r="A228" s="85">
        <v>46068</v>
      </c>
      <c r="B228" t="s">
        <v>17</v>
      </c>
      <c r="C228">
        <v>20</v>
      </c>
      <c r="D228" s="86">
        <v>1</v>
      </c>
      <c r="E228">
        <v>3</v>
      </c>
      <c r="F228">
        <v>3</v>
      </c>
      <c r="G228">
        <v>12</v>
      </c>
      <c r="H228">
        <v>9</v>
      </c>
      <c r="I228">
        <v>1</v>
      </c>
      <c r="J228">
        <v>0.75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1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1</v>
      </c>
      <c r="X228">
        <v>0</v>
      </c>
      <c r="Y228">
        <v>0</v>
      </c>
      <c r="Z228">
        <v>1</v>
      </c>
      <c r="AA228" s="86">
        <f>AVERAGEIFS($C$2:C228, $B$2:B228, B228)</f>
        <v>25.625</v>
      </c>
      <c r="AB228" s="86">
        <f>AVERAGEIFS($I$2:I228, $B$2:B228, B228)</f>
        <v>0.63125000000000009</v>
      </c>
      <c r="AC228" s="86">
        <f>AVERAGEIFS($J$2:J228, $B$2:B228, B228)</f>
        <v>0.57187500000000002</v>
      </c>
      <c r="AD228" s="86">
        <f>AVERAGEIFS($D$2:D228, $B$2:B228, B228)</f>
        <v>0.5625</v>
      </c>
    </row>
    <row r="229" spans="1:30" x14ac:dyDescent="0.25">
      <c r="A229" s="85">
        <v>46068</v>
      </c>
      <c r="B229" t="s">
        <v>25</v>
      </c>
      <c r="C229">
        <v>17</v>
      </c>
      <c r="D229" s="86">
        <v>1</v>
      </c>
      <c r="E229">
        <v>3</v>
      </c>
      <c r="F229">
        <v>3</v>
      </c>
      <c r="G229">
        <v>12</v>
      </c>
      <c r="H229">
        <v>9</v>
      </c>
      <c r="I229">
        <v>1</v>
      </c>
      <c r="J229">
        <v>0.75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1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1</v>
      </c>
      <c r="X229">
        <v>0</v>
      </c>
      <c r="Y229">
        <v>0</v>
      </c>
      <c r="Z229">
        <v>1</v>
      </c>
      <c r="AA229" s="86">
        <f>AVERAGEIFS($C$2:C229, $B$2:B229, B229)</f>
        <v>17.5</v>
      </c>
      <c r="AB229" s="86">
        <f>AVERAGEIFS($I$2:I229, $B$2:B229, B229)</f>
        <v>0.6875</v>
      </c>
      <c r="AC229" s="86">
        <f>AVERAGEIFS($J$2:J229, $B$2:B229, B229)</f>
        <v>0.60999999999999988</v>
      </c>
      <c r="AD229" s="86">
        <f>AVERAGEIFS($D$2:D229, $B$2:B229, B229)</f>
        <v>0.75</v>
      </c>
    </row>
    <row r="230" spans="1:30" x14ac:dyDescent="0.25">
      <c r="A230" s="85">
        <v>46068</v>
      </c>
      <c r="B230" t="s">
        <v>37</v>
      </c>
      <c r="C230">
        <v>16</v>
      </c>
      <c r="D230" s="86">
        <v>1</v>
      </c>
      <c r="E230">
        <v>3</v>
      </c>
      <c r="F230">
        <v>3</v>
      </c>
      <c r="G230">
        <v>12</v>
      </c>
      <c r="H230">
        <v>9</v>
      </c>
      <c r="I230">
        <v>1</v>
      </c>
      <c r="J230">
        <v>0.75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0</v>
      </c>
      <c r="Z230">
        <v>1</v>
      </c>
      <c r="AA230" s="86">
        <f>AVERAGEIFS($C$2:C230, $B$2:B230, B230)</f>
        <v>17.3</v>
      </c>
      <c r="AB230" s="86">
        <f>AVERAGEIFS($I$2:I230, $B$2:B230, B230)</f>
        <v>0.49000000000000005</v>
      </c>
      <c r="AC230" s="86">
        <f>AVERAGEIFS($J$2:J230, $B$2:B230, B230)</f>
        <v>0.47799999999999992</v>
      </c>
      <c r="AD230" s="86">
        <f>AVERAGEIFS($D$2:D230, $B$2:B230, B230)</f>
        <v>0.4</v>
      </c>
    </row>
    <row r="231" spans="1:30" x14ac:dyDescent="0.25">
      <c r="A231" s="85">
        <v>46068</v>
      </c>
      <c r="B231" t="s">
        <v>35</v>
      </c>
      <c r="C231">
        <v>7</v>
      </c>
      <c r="D231" s="86">
        <v>1</v>
      </c>
      <c r="E231">
        <v>3</v>
      </c>
      <c r="F231">
        <v>3</v>
      </c>
      <c r="G231">
        <v>12</v>
      </c>
      <c r="H231">
        <v>9</v>
      </c>
      <c r="I231">
        <v>1</v>
      </c>
      <c r="J231">
        <v>0.75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0</v>
      </c>
      <c r="Z231">
        <v>1</v>
      </c>
      <c r="AA231" s="86">
        <f>AVERAGEIFS($C$2:C231, $B$2:B231, B231)</f>
        <v>9</v>
      </c>
      <c r="AB231" s="86">
        <f>AVERAGEIFS($I$2:I231, $B$2:B231, B231)</f>
        <v>0.45</v>
      </c>
      <c r="AC231" s="86">
        <f>AVERAGEIFS($J$2:J231, $B$2:B231, B231)</f>
        <v>0.51124999999999998</v>
      </c>
      <c r="AD231" s="86">
        <f>AVERAGEIFS($D$2:D231, $B$2:B231, B231)</f>
        <v>0.5</v>
      </c>
    </row>
    <row r="232" spans="1:30" x14ac:dyDescent="0.25">
      <c r="A232" s="85">
        <v>46068</v>
      </c>
      <c r="B232" t="s">
        <v>27</v>
      </c>
      <c r="C232">
        <v>6</v>
      </c>
      <c r="D232" s="86">
        <v>1</v>
      </c>
      <c r="E232">
        <v>3</v>
      </c>
      <c r="F232">
        <v>3</v>
      </c>
      <c r="G232">
        <v>12</v>
      </c>
      <c r="H232">
        <v>9</v>
      </c>
      <c r="I232">
        <v>1</v>
      </c>
      <c r="J232">
        <v>0.75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0</v>
      </c>
      <c r="Z232">
        <v>1</v>
      </c>
      <c r="AA232" s="86">
        <f>AVERAGEIFS($C$2:C232, $B$2:B232, B232)</f>
        <v>13.875</v>
      </c>
      <c r="AB232" s="86">
        <f>AVERAGEIFS($I$2:I232, $B$2:B232, B232)</f>
        <v>0.57499999999999996</v>
      </c>
      <c r="AC232" s="86">
        <f>AVERAGEIFS($J$2:J232, $B$2:B232, B232)</f>
        <v>0.53125</v>
      </c>
      <c r="AD232" s="86">
        <f>AVERAGEIFS($D$2:D232, $B$2:B232, B232)</f>
        <v>0.625</v>
      </c>
    </row>
    <row r="233" spans="1:30" x14ac:dyDescent="0.25">
      <c r="A233" s="85">
        <v>46068</v>
      </c>
      <c r="B233" t="s">
        <v>18</v>
      </c>
      <c r="C233">
        <v>25</v>
      </c>
      <c r="D233" s="86">
        <v>0</v>
      </c>
      <c r="E233">
        <v>3</v>
      </c>
      <c r="F233">
        <v>0</v>
      </c>
      <c r="G233">
        <v>12</v>
      </c>
      <c r="H233">
        <v>3</v>
      </c>
      <c r="I233">
        <v>0</v>
      </c>
      <c r="J233">
        <v>0.25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 s="86">
        <f>AVERAGEIFS($C$2:C233, $B$2:B233, B233)</f>
        <v>26.285714285714285</v>
      </c>
      <c r="AB233" s="86">
        <f>AVERAGEIFS($I$2:I233, $B$2:B233, B233)</f>
        <v>0.42857142857142855</v>
      </c>
      <c r="AC233" s="86">
        <f>AVERAGEIFS($J$2:J233, $B$2:B233, B233)</f>
        <v>0.44285714285714278</v>
      </c>
      <c r="AD233" s="86">
        <f>AVERAGEIFS($D$2:D233, $B$2:B233, B233)</f>
        <v>0.42857142857142855</v>
      </c>
    </row>
    <row r="234" spans="1:30" x14ac:dyDescent="0.25">
      <c r="A234" s="85">
        <v>46068</v>
      </c>
      <c r="B234" t="s">
        <v>13</v>
      </c>
      <c r="C234">
        <v>18</v>
      </c>
      <c r="D234" s="86">
        <v>0</v>
      </c>
      <c r="E234">
        <v>3</v>
      </c>
      <c r="F234">
        <v>0</v>
      </c>
      <c r="G234">
        <v>12</v>
      </c>
      <c r="H234">
        <v>3</v>
      </c>
      <c r="I234">
        <v>0</v>
      </c>
      <c r="J234">
        <v>0.25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 s="86">
        <f>AVERAGEIFS($C$2:C234, $B$2:B234, B234)</f>
        <v>28.0625</v>
      </c>
      <c r="AB234" s="86">
        <f>AVERAGEIFS($I$2:I234, $B$2:B234, B234)</f>
        <v>0.51249999999999996</v>
      </c>
      <c r="AC234" s="86">
        <f>AVERAGEIFS($J$2:J234, $B$2:B234, B234)</f>
        <v>0.52374999999999994</v>
      </c>
      <c r="AD234" s="86">
        <f>AVERAGEIFS($D$2:D234, $B$2:B234, B234)</f>
        <v>0.625</v>
      </c>
    </row>
    <row r="235" spans="1:30" x14ac:dyDescent="0.25">
      <c r="A235" s="85">
        <v>46068</v>
      </c>
      <c r="B235" t="s">
        <v>3</v>
      </c>
      <c r="C235">
        <v>15</v>
      </c>
      <c r="D235" s="86">
        <v>0</v>
      </c>
      <c r="E235">
        <v>3</v>
      </c>
      <c r="F235">
        <v>0</v>
      </c>
      <c r="G235">
        <v>12</v>
      </c>
      <c r="H235">
        <v>3</v>
      </c>
      <c r="I235">
        <v>0</v>
      </c>
      <c r="J235">
        <v>0.25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 s="86">
        <f>AVERAGEIFS($C$2:C235, $B$2:B235, B235)</f>
        <v>23.428571428571427</v>
      </c>
      <c r="AB235" s="86">
        <f>AVERAGEIFS($I$2:I235, $B$2:B235, B235)</f>
        <v>0.47857142857142859</v>
      </c>
      <c r="AC235" s="86">
        <f>AVERAGEIFS($J$2:J235, $B$2:B235, B235)</f>
        <v>0.49714285714285705</v>
      </c>
      <c r="AD235" s="86">
        <f>AVERAGEIFS($D$2:D235, $B$2:B235, B235)</f>
        <v>0.5714285714285714</v>
      </c>
    </row>
    <row r="236" spans="1:30" x14ac:dyDescent="0.25">
      <c r="A236" s="85">
        <v>46068</v>
      </c>
      <c r="B236" t="s">
        <v>19</v>
      </c>
      <c r="C236">
        <v>9</v>
      </c>
      <c r="D236" s="86">
        <v>0</v>
      </c>
      <c r="E236">
        <v>3</v>
      </c>
      <c r="F236">
        <v>0</v>
      </c>
      <c r="G236">
        <v>12</v>
      </c>
      <c r="H236">
        <v>3</v>
      </c>
      <c r="I236">
        <v>0</v>
      </c>
      <c r="J236">
        <v>0.25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86">
        <f>AVERAGEIFS($C$2:C236, $B$2:B236, B236)</f>
        <v>11.125</v>
      </c>
      <c r="AB236" s="86">
        <f>AVERAGEIFS($I$2:I236, $B$2:B236, B236)</f>
        <v>0.42500000000000004</v>
      </c>
      <c r="AC236" s="86">
        <f>AVERAGEIFS($J$2:J236, $B$2:B236, B236)</f>
        <v>0.45750000000000002</v>
      </c>
      <c r="AD236" s="86">
        <f>AVERAGEIFS($D$2:D236, $B$2:B236, B236)</f>
        <v>0.375</v>
      </c>
    </row>
    <row r="237" spans="1:30" x14ac:dyDescent="0.25">
      <c r="A237" s="85">
        <v>46068</v>
      </c>
      <c r="B237" t="s">
        <v>20</v>
      </c>
      <c r="C237">
        <v>7</v>
      </c>
      <c r="D237" s="86">
        <v>0</v>
      </c>
      <c r="E237">
        <v>3</v>
      </c>
      <c r="F237">
        <v>0</v>
      </c>
      <c r="G237">
        <v>12</v>
      </c>
      <c r="H237">
        <v>3</v>
      </c>
      <c r="I237">
        <v>0</v>
      </c>
      <c r="J237">
        <v>0.25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86">
        <f>AVERAGEIFS($C$2:C237, $B$2:B237, B237)</f>
        <v>13.7</v>
      </c>
      <c r="AB237" s="86">
        <f>AVERAGEIFS($I$2:I237, $B$2:B237, B237)</f>
        <v>0.37</v>
      </c>
      <c r="AC237" s="86">
        <f>AVERAGEIFS($J$2:J237, $B$2:B237, B237)</f>
        <v>0.43100000000000005</v>
      </c>
      <c r="AD237" s="86">
        <f>AVERAGEIFS($D$2:D237, $B$2:B237, B237)</f>
        <v>0.2</v>
      </c>
    </row>
    <row r="238" spans="1:30" x14ac:dyDescent="0.25">
      <c r="A238" s="85">
        <v>46068</v>
      </c>
      <c r="B238" t="s">
        <v>38</v>
      </c>
      <c r="C238">
        <v>0</v>
      </c>
      <c r="D238" s="86">
        <v>0</v>
      </c>
      <c r="E238">
        <v>3</v>
      </c>
      <c r="F238">
        <v>0</v>
      </c>
      <c r="G238">
        <v>12</v>
      </c>
      <c r="H238">
        <v>3</v>
      </c>
      <c r="I238">
        <v>0</v>
      </c>
      <c r="J238">
        <v>0.25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86">
        <f>AVERAGEIFS($C$2:C238, $B$2:B238, B238)</f>
        <v>2.3333333333333335</v>
      </c>
      <c r="AB238" s="86">
        <f>AVERAGEIFS($I$2:I238, $B$2:B238, B238)</f>
        <v>0.41666666666666669</v>
      </c>
      <c r="AC238" s="86">
        <f>AVERAGEIFS($J$2:J238, $B$2:B238, B238)</f>
        <v>0.45999999999999996</v>
      </c>
      <c r="AD238" s="86">
        <f>AVERAGEIFS($D$2:D238, $B$2:B238, B238)</f>
        <v>0.33333333333333331</v>
      </c>
    </row>
    <row r="239" spans="1:30" x14ac:dyDescent="0.25">
      <c r="A239" s="85">
        <v>46069</v>
      </c>
      <c r="B239" t="s">
        <v>6</v>
      </c>
      <c r="C239">
        <v>30</v>
      </c>
      <c r="D239" s="86">
        <v>1</v>
      </c>
      <c r="E239">
        <v>5</v>
      </c>
      <c r="F239">
        <v>3</v>
      </c>
      <c r="G239">
        <v>21</v>
      </c>
      <c r="H239">
        <v>10</v>
      </c>
      <c r="I239">
        <v>0.6</v>
      </c>
      <c r="J239">
        <v>0.48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1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1</v>
      </c>
      <c r="Y239">
        <v>0</v>
      </c>
      <c r="Z239">
        <v>0</v>
      </c>
      <c r="AA239" s="86">
        <f>AVERAGEIFS($C$2:C239, $B$2:B239, B239)</f>
        <v>23</v>
      </c>
      <c r="AB239" s="86">
        <f>AVERAGEIFS($I$2:I239, $B$2:B239, B239)</f>
        <v>0.59499999999999997</v>
      </c>
      <c r="AC239" s="86">
        <f>AVERAGEIFS($J$2:J239, $B$2:B239, B239)</f>
        <v>0.53599999999999992</v>
      </c>
      <c r="AD239" s="86">
        <f>AVERAGEIFS($D$2:D239, $B$2:B239, B239)</f>
        <v>0.7</v>
      </c>
    </row>
    <row r="240" spans="1:30" x14ac:dyDescent="0.25">
      <c r="A240" s="85">
        <v>46069</v>
      </c>
      <c r="B240" t="s">
        <v>13</v>
      </c>
      <c r="C240">
        <v>27</v>
      </c>
      <c r="D240" s="86">
        <v>1</v>
      </c>
      <c r="E240">
        <v>5</v>
      </c>
      <c r="F240">
        <v>3</v>
      </c>
      <c r="G240">
        <v>21</v>
      </c>
      <c r="H240">
        <v>10</v>
      </c>
      <c r="I240">
        <v>0.6</v>
      </c>
      <c r="J240">
        <v>0.48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1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1</v>
      </c>
      <c r="Y240">
        <v>0</v>
      </c>
      <c r="Z240">
        <v>0</v>
      </c>
      <c r="AA240" s="86">
        <f>AVERAGEIFS($C$2:C240, $B$2:B240, B240)</f>
        <v>28</v>
      </c>
      <c r="AB240" s="86">
        <f>AVERAGEIFS($I$2:I240, $B$2:B240, B240)</f>
        <v>0.51764705882352935</v>
      </c>
      <c r="AC240" s="86">
        <f>AVERAGEIFS($J$2:J240, $B$2:B240, B240)</f>
        <v>0.52117647058823524</v>
      </c>
      <c r="AD240" s="86">
        <f>AVERAGEIFS($D$2:D240, $B$2:B240, B240)</f>
        <v>0.6470588235294118</v>
      </c>
    </row>
    <row r="241" spans="1:30" x14ac:dyDescent="0.25">
      <c r="A241" s="85">
        <v>46069</v>
      </c>
      <c r="B241" t="s">
        <v>3</v>
      </c>
      <c r="C241">
        <v>19</v>
      </c>
      <c r="D241" s="86">
        <v>1</v>
      </c>
      <c r="E241">
        <v>5</v>
      </c>
      <c r="F241">
        <v>3</v>
      </c>
      <c r="G241">
        <v>21</v>
      </c>
      <c r="H241">
        <v>10</v>
      </c>
      <c r="I241">
        <v>0.6</v>
      </c>
      <c r="J241">
        <v>0.48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1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1</v>
      </c>
      <c r="Y241">
        <v>0</v>
      </c>
      <c r="Z241">
        <v>0</v>
      </c>
      <c r="AA241" s="86">
        <f>AVERAGEIFS($C$2:C241, $B$2:B241, B241)</f>
        <v>22.875</v>
      </c>
      <c r="AB241" s="86">
        <f>AVERAGEIFS($I$2:I241, $B$2:B241, B241)</f>
        <v>0.49375000000000002</v>
      </c>
      <c r="AC241" s="86">
        <f>AVERAGEIFS($J$2:J241, $B$2:B241, B241)</f>
        <v>0.49499999999999994</v>
      </c>
      <c r="AD241" s="86">
        <f>AVERAGEIFS($D$2:D241, $B$2:B241, B241)</f>
        <v>0.625</v>
      </c>
    </row>
    <row r="242" spans="1:30" x14ac:dyDescent="0.25">
      <c r="A242" s="85">
        <v>46069</v>
      </c>
      <c r="B242" t="s">
        <v>27</v>
      </c>
      <c r="C242">
        <v>19</v>
      </c>
      <c r="D242" s="86">
        <v>1</v>
      </c>
      <c r="E242">
        <v>5</v>
      </c>
      <c r="F242">
        <v>3</v>
      </c>
      <c r="G242">
        <v>21</v>
      </c>
      <c r="H242">
        <v>10</v>
      </c>
      <c r="I242">
        <v>0.6</v>
      </c>
      <c r="J242">
        <v>0.48</v>
      </c>
      <c r="K242">
        <v>0</v>
      </c>
      <c r="L242">
        <v>1</v>
      </c>
      <c r="M242">
        <v>0</v>
      </c>
      <c r="N242">
        <v>0</v>
      </c>
      <c r="O242">
        <v>0</v>
      </c>
      <c r="P242">
        <v>1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0</v>
      </c>
      <c r="AA242" s="86">
        <f>AVERAGEIFS($C$2:C242, $B$2:B242, B242)</f>
        <v>14.444444444444445</v>
      </c>
      <c r="AB242" s="86">
        <f>AVERAGEIFS($I$2:I242, $B$2:B242, B242)</f>
        <v>0.57777777777777772</v>
      </c>
      <c r="AC242" s="86">
        <f>AVERAGEIFS($J$2:J242, $B$2:B242, B242)</f>
        <v>0.52555555555555555</v>
      </c>
      <c r="AD242" s="86">
        <f>AVERAGEIFS($D$2:D242, $B$2:B242, B242)</f>
        <v>0.66666666666666663</v>
      </c>
    </row>
    <row r="243" spans="1:30" x14ac:dyDescent="0.25">
      <c r="A243" s="85">
        <v>46069</v>
      </c>
      <c r="B243" t="s">
        <v>35</v>
      </c>
      <c r="C243">
        <v>13</v>
      </c>
      <c r="D243" s="86">
        <v>1</v>
      </c>
      <c r="E243">
        <v>5</v>
      </c>
      <c r="F243">
        <v>3</v>
      </c>
      <c r="G243">
        <v>21</v>
      </c>
      <c r="H243">
        <v>10</v>
      </c>
      <c r="I243">
        <v>0.6</v>
      </c>
      <c r="J243">
        <v>0.48</v>
      </c>
      <c r="K243">
        <v>0</v>
      </c>
      <c r="L243">
        <v>1</v>
      </c>
      <c r="M243">
        <v>0</v>
      </c>
      <c r="N243">
        <v>0</v>
      </c>
      <c r="O243">
        <v>0</v>
      </c>
      <c r="P243">
        <v>1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0</v>
      </c>
      <c r="AA243" s="86">
        <f>AVERAGEIFS($C$2:C243, $B$2:B243, B243)</f>
        <v>9.4444444444444446</v>
      </c>
      <c r="AB243" s="86">
        <f>AVERAGEIFS($I$2:I243, $B$2:B243, B243)</f>
        <v>0.46666666666666667</v>
      </c>
      <c r="AC243" s="86">
        <f>AVERAGEIFS($J$2:J243, $B$2:B243, B243)</f>
        <v>0.50777777777777777</v>
      </c>
      <c r="AD243" s="86">
        <f>AVERAGEIFS($D$2:D243, $B$2:B243, B243)</f>
        <v>0.55555555555555558</v>
      </c>
    </row>
    <row r="244" spans="1:30" x14ac:dyDescent="0.25">
      <c r="A244" s="85">
        <v>46069</v>
      </c>
      <c r="B244" t="s">
        <v>17</v>
      </c>
      <c r="C244">
        <v>33</v>
      </c>
      <c r="D244" s="86">
        <v>0</v>
      </c>
      <c r="E244">
        <v>5</v>
      </c>
      <c r="F244">
        <v>2</v>
      </c>
      <c r="G244">
        <v>21</v>
      </c>
      <c r="H244">
        <v>11</v>
      </c>
      <c r="I244">
        <v>0.4</v>
      </c>
      <c r="J244">
        <v>0.52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1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 s="86">
        <f>AVERAGEIFS($C$2:C244, $B$2:B244, B244)</f>
        <v>26.058823529411764</v>
      </c>
      <c r="AB244" s="86">
        <f>AVERAGEIFS($I$2:I244, $B$2:B244, B244)</f>
        <v>0.61764705882352955</v>
      </c>
      <c r="AC244" s="86">
        <f>AVERAGEIFS($J$2:J244, $B$2:B244, B244)</f>
        <v>0.56882352941176473</v>
      </c>
      <c r="AD244" s="86">
        <f>AVERAGEIFS($D$2:D244, $B$2:B244, B244)</f>
        <v>0.52941176470588236</v>
      </c>
    </row>
    <row r="245" spans="1:30" x14ac:dyDescent="0.25">
      <c r="A245" s="85">
        <v>46069</v>
      </c>
      <c r="B245" t="s">
        <v>18</v>
      </c>
      <c r="C245">
        <v>28</v>
      </c>
      <c r="D245" s="86">
        <v>0</v>
      </c>
      <c r="E245">
        <v>5</v>
      </c>
      <c r="F245">
        <v>2</v>
      </c>
      <c r="G245">
        <v>21</v>
      </c>
      <c r="H245">
        <v>11</v>
      </c>
      <c r="I245">
        <v>0.4</v>
      </c>
      <c r="J245">
        <v>0.52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1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 s="86">
        <f>AVERAGEIFS($C$2:C245, $B$2:B245, B245)</f>
        <v>26.5</v>
      </c>
      <c r="AB245" s="86">
        <f>AVERAGEIFS($I$2:I245, $B$2:B245, B245)</f>
        <v>0.42499999999999999</v>
      </c>
      <c r="AC245" s="86">
        <f>AVERAGEIFS($J$2:J245, $B$2:B245, B245)</f>
        <v>0.45249999999999996</v>
      </c>
      <c r="AD245" s="86">
        <f>AVERAGEIFS($D$2:D245, $B$2:B245, B245)</f>
        <v>0.375</v>
      </c>
    </row>
    <row r="246" spans="1:30" x14ac:dyDescent="0.25">
      <c r="A246" s="85">
        <v>46069</v>
      </c>
      <c r="B246" t="s">
        <v>15</v>
      </c>
      <c r="C246">
        <v>27</v>
      </c>
      <c r="D246" s="86">
        <v>0</v>
      </c>
      <c r="E246">
        <v>5</v>
      </c>
      <c r="F246">
        <v>2</v>
      </c>
      <c r="G246">
        <v>21</v>
      </c>
      <c r="H246">
        <v>11</v>
      </c>
      <c r="I246">
        <v>0.4</v>
      </c>
      <c r="J246">
        <v>0.52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1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 s="86">
        <f>AVERAGEIFS($C$2:C246, $B$2:B246, B246)</f>
        <v>26.923076923076923</v>
      </c>
      <c r="AB246" s="86">
        <f>AVERAGEIFS($I$2:I246, $B$2:B246, B246)</f>
        <v>0.4884615384615385</v>
      </c>
      <c r="AC246" s="86">
        <f>AVERAGEIFS($J$2:J246, $B$2:B246, B246)</f>
        <v>0.48846153846153845</v>
      </c>
      <c r="AD246" s="86">
        <f>AVERAGEIFS($D$2:D246, $B$2:B246, B246)</f>
        <v>0.30769230769230771</v>
      </c>
    </row>
    <row r="247" spans="1:30" x14ac:dyDescent="0.25">
      <c r="A247" s="85">
        <v>46069</v>
      </c>
      <c r="B247" t="s">
        <v>25</v>
      </c>
      <c r="C247">
        <v>16</v>
      </c>
      <c r="D247" s="86">
        <v>0</v>
      </c>
      <c r="E247">
        <v>5</v>
      </c>
      <c r="F247">
        <v>2</v>
      </c>
      <c r="G247">
        <v>21</v>
      </c>
      <c r="H247">
        <v>11</v>
      </c>
      <c r="I247">
        <v>0.4</v>
      </c>
      <c r="J247">
        <v>0.52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1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 s="86">
        <f>AVERAGEIFS($C$2:C247, $B$2:B247, B247)</f>
        <v>17.2</v>
      </c>
      <c r="AB247" s="86">
        <f>AVERAGEIFS($I$2:I247, $B$2:B247, B247)</f>
        <v>0.63</v>
      </c>
      <c r="AC247" s="86">
        <f>AVERAGEIFS($J$2:J247, $B$2:B247, B247)</f>
        <v>0.59199999999999986</v>
      </c>
      <c r="AD247" s="86">
        <f>AVERAGEIFS($D$2:D247, $B$2:B247, B247)</f>
        <v>0.6</v>
      </c>
    </row>
    <row r="248" spans="1:30" x14ac:dyDescent="0.25">
      <c r="A248" s="85">
        <v>46069</v>
      </c>
      <c r="B248" t="s">
        <v>20</v>
      </c>
      <c r="C248">
        <v>11</v>
      </c>
      <c r="D248" s="86">
        <v>0</v>
      </c>
      <c r="E248">
        <v>5</v>
      </c>
      <c r="F248">
        <v>2</v>
      </c>
      <c r="G248">
        <v>21</v>
      </c>
      <c r="H248">
        <v>11</v>
      </c>
      <c r="I248">
        <v>0.4</v>
      </c>
      <c r="J248">
        <v>0.52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1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 s="86">
        <f>AVERAGEIFS($C$2:C248, $B$2:B248, B248)</f>
        <v>13.454545454545455</v>
      </c>
      <c r="AB248" s="86">
        <f>AVERAGEIFS($I$2:I248, $B$2:B248, B248)</f>
        <v>0.37272727272727268</v>
      </c>
      <c r="AC248" s="86">
        <f>AVERAGEIFS($J$2:J248, $B$2:B248, B248)</f>
        <v>0.43909090909090909</v>
      </c>
      <c r="AD248" s="86">
        <f>AVERAGEIFS($D$2:D248, $B$2:B248, B248)</f>
        <v>0.18181818181818182</v>
      </c>
    </row>
    <row r="249" spans="1:30" x14ac:dyDescent="0.25">
      <c r="A249" s="85">
        <v>46070</v>
      </c>
      <c r="B249" t="s">
        <v>14</v>
      </c>
      <c r="C249">
        <v>27</v>
      </c>
      <c r="D249" s="86">
        <v>1</v>
      </c>
      <c r="E249">
        <v>3</v>
      </c>
      <c r="F249">
        <v>3</v>
      </c>
      <c r="G249">
        <v>12</v>
      </c>
      <c r="H249">
        <v>9</v>
      </c>
      <c r="I249">
        <v>1</v>
      </c>
      <c r="J249">
        <v>0.75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1</v>
      </c>
      <c r="X249">
        <v>1</v>
      </c>
      <c r="Y249">
        <v>0</v>
      </c>
      <c r="Z249">
        <v>0</v>
      </c>
      <c r="AA249" s="86">
        <f>AVERAGEIFS($C$2:C249, $B$2:B249, B249)</f>
        <v>25.2</v>
      </c>
      <c r="AB249" s="86">
        <f>AVERAGEIFS($I$2:I249, $B$2:B249, B249)</f>
        <v>0.53666666666666674</v>
      </c>
      <c r="AC249" s="86">
        <f>AVERAGEIFS($J$2:J249, $B$2:B249, B249)</f>
        <v>0.5106666666666666</v>
      </c>
      <c r="AD249" s="86">
        <f>AVERAGEIFS($D$2:D249, $B$2:B249, B249)</f>
        <v>0.6</v>
      </c>
    </row>
    <row r="250" spans="1:30" x14ac:dyDescent="0.25">
      <c r="A250" s="85">
        <v>46070</v>
      </c>
      <c r="B250" t="s">
        <v>13</v>
      </c>
      <c r="C250">
        <v>12</v>
      </c>
      <c r="D250" s="86">
        <v>1</v>
      </c>
      <c r="E250">
        <v>3</v>
      </c>
      <c r="F250">
        <v>3</v>
      </c>
      <c r="G250">
        <v>12</v>
      </c>
      <c r="H250">
        <v>9</v>
      </c>
      <c r="I250">
        <v>1</v>
      </c>
      <c r="J250">
        <v>0.75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1</v>
      </c>
      <c r="X250">
        <v>1</v>
      </c>
      <c r="Y250">
        <v>0</v>
      </c>
      <c r="Z250">
        <v>0</v>
      </c>
      <c r="AA250" s="86">
        <f>AVERAGEIFS($C$2:C250, $B$2:B250, B250)</f>
        <v>27.111111111111111</v>
      </c>
      <c r="AB250" s="86">
        <f>AVERAGEIFS($I$2:I250, $B$2:B250, B250)</f>
        <v>0.5444444444444444</v>
      </c>
      <c r="AC250" s="86">
        <f>AVERAGEIFS($J$2:J250, $B$2:B250, B250)</f>
        <v>0.53388888888888886</v>
      </c>
      <c r="AD250" s="86">
        <f>AVERAGEIFS($D$2:D250, $B$2:B250, B250)</f>
        <v>0.66666666666666663</v>
      </c>
    </row>
    <row r="251" spans="1:30" x14ac:dyDescent="0.25">
      <c r="A251" s="85">
        <v>46070</v>
      </c>
      <c r="B251" t="s">
        <v>20</v>
      </c>
      <c r="C251">
        <v>9</v>
      </c>
      <c r="D251" s="86">
        <v>1</v>
      </c>
      <c r="E251">
        <v>3</v>
      </c>
      <c r="F251">
        <v>3</v>
      </c>
      <c r="G251">
        <v>12</v>
      </c>
      <c r="H251">
        <v>9</v>
      </c>
      <c r="I251">
        <v>1</v>
      </c>
      <c r="J251">
        <v>0.75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1</v>
      </c>
      <c r="X251">
        <v>1</v>
      </c>
      <c r="Y251">
        <v>0</v>
      </c>
      <c r="Z251">
        <v>0</v>
      </c>
      <c r="AA251" s="86">
        <f>AVERAGEIFS($C$2:C251, $B$2:B251, B251)</f>
        <v>13.083333333333334</v>
      </c>
      <c r="AB251" s="86">
        <f>AVERAGEIFS($I$2:I251, $B$2:B251, B251)</f>
        <v>0.42499999999999999</v>
      </c>
      <c r="AC251" s="86">
        <f>AVERAGEIFS($J$2:J251, $B$2:B251, B251)</f>
        <v>0.46500000000000002</v>
      </c>
      <c r="AD251" s="86">
        <f>AVERAGEIFS($D$2:D251, $B$2:B251, B251)</f>
        <v>0.25</v>
      </c>
    </row>
    <row r="252" spans="1:30" x14ac:dyDescent="0.25">
      <c r="A252" s="85">
        <v>46070</v>
      </c>
      <c r="B252" t="s">
        <v>26</v>
      </c>
      <c r="C252">
        <v>7</v>
      </c>
      <c r="D252" s="86">
        <v>1</v>
      </c>
      <c r="E252">
        <v>3</v>
      </c>
      <c r="F252">
        <v>3</v>
      </c>
      <c r="G252">
        <v>12</v>
      </c>
      <c r="H252">
        <v>9</v>
      </c>
      <c r="I252">
        <v>1</v>
      </c>
      <c r="J252">
        <v>0.75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1</v>
      </c>
      <c r="X252">
        <v>1</v>
      </c>
      <c r="Y252">
        <v>0</v>
      </c>
      <c r="Z252">
        <v>0</v>
      </c>
      <c r="AA252" s="86">
        <f>AVERAGEIFS($C$2:C252, $B$2:B252, B252)</f>
        <v>11.909090909090908</v>
      </c>
      <c r="AB252" s="86">
        <f>AVERAGEIFS($I$2:I252, $B$2:B252, B252)</f>
        <v>0.65909090909090906</v>
      </c>
      <c r="AC252" s="86">
        <f>AVERAGEIFS($J$2:J252, $B$2:B252, B252)</f>
        <v>0.60090909090909084</v>
      </c>
      <c r="AD252" s="86">
        <f>AVERAGEIFS($D$2:D252, $B$2:B252, B252)</f>
        <v>0.72727272727272729</v>
      </c>
    </row>
    <row r="253" spans="1:30" x14ac:dyDescent="0.25">
      <c r="A253" s="85">
        <v>46070</v>
      </c>
      <c r="B253" t="s">
        <v>34</v>
      </c>
      <c r="C253">
        <v>5</v>
      </c>
      <c r="D253" s="86">
        <v>1</v>
      </c>
      <c r="E253">
        <v>3</v>
      </c>
      <c r="F253">
        <v>3</v>
      </c>
      <c r="G253">
        <v>12</v>
      </c>
      <c r="H253">
        <v>9</v>
      </c>
      <c r="I253">
        <v>1</v>
      </c>
      <c r="J253">
        <v>0.75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1</v>
      </c>
      <c r="X253">
        <v>1</v>
      </c>
      <c r="Y253">
        <v>0</v>
      </c>
      <c r="Z253">
        <v>0</v>
      </c>
      <c r="AA253" s="86">
        <f>AVERAGEIFS($C$2:C253, $B$2:B253, B253)</f>
        <v>5</v>
      </c>
      <c r="AB253" s="86">
        <f>AVERAGEIFS($I$2:I253, $B$2:B253, B253)</f>
        <v>1</v>
      </c>
      <c r="AC253" s="86">
        <f>AVERAGEIFS($J$2:J253, $B$2:B253, B253)</f>
        <v>0.75</v>
      </c>
      <c r="AD253" s="86">
        <f>AVERAGEIFS($D$2:D253, $B$2:B253, B253)</f>
        <v>1</v>
      </c>
    </row>
    <row r="254" spans="1:30" x14ac:dyDescent="0.25">
      <c r="A254" s="85">
        <v>46070</v>
      </c>
      <c r="B254" t="s">
        <v>25</v>
      </c>
      <c r="C254">
        <v>3</v>
      </c>
      <c r="D254" s="86">
        <v>1</v>
      </c>
      <c r="E254">
        <v>3</v>
      </c>
      <c r="F254">
        <v>3</v>
      </c>
      <c r="G254">
        <v>12</v>
      </c>
      <c r="H254">
        <v>9</v>
      </c>
      <c r="I254">
        <v>1</v>
      </c>
      <c r="J254">
        <v>0.75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1</v>
      </c>
      <c r="X254">
        <v>1</v>
      </c>
      <c r="Y254">
        <v>0</v>
      </c>
      <c r="Z254">
        <v>0</v>
      </c>
      <c r="AA254" s="86">
        <f>AVERAGEIFS($C$2:C254, $B$2:B254, B254)</f>
        <v>14.833333333333334</v>
      </c>
      <c r="AB254" s="86">
        <f>AVERAGEIFS($I$2:I254, $B$2:B254, B254)</f>
        <v>0.69166666666666676</v>
      </c>
      <c r="AC254" s="86">
        <f>AVERAGEIFS($J$2:J254, $B$2:B254, B254)</f>
        <v>0.61833333333333329</v>
      </c>
      <c r="AD254" s="86">
        <f>AVERAGEIFS($D$2:D254, $B$2:B254, B254)</f>
        <v>0.66666666666666663</v>
      </c>
    </row>
    <row r="255" spans="1:30" x14ac:dyDescent="0.25">
      <c r="A255" s="85">
        <v>46070</v>
      </c>
      <c r="B255" t="s">
        <v>15</v>
      </c>
      <c r="C255">
        <v>11</v>
      </c>
      <c r="D255" s="86">
        <v>0</v>
      </c>
      <c r="E255">
        <v>3</v>
      </c>
      <c r="F255">
        <v>0</v>
      </c>
      <c r="G255">
        <v>12</v>
      </c>
      <c r="H255">
        <v>3</v>
      </c>
      <c r="I255">
        <v>0</v>
      </c>
      <c r="J255">
        <v>0.25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86">
        <f>AVERAGEIFS($C$2:C255, $B$2:B255, B255)</f>
        <v>25.785714285714285</v>
      </c>
      <c r="AB255" s="86">
        <f>AVERAGEIFS($I$2:I255, $B$2:B255, B255)</f>
        <v>0.45357142857142863</v>
      </c>
      <c r="AC255" s="86">
        <f>AVERAGEIFS($J$2:J255, $B$2:B255, B255)</f>
        <v>0.47142857142857142</v>
      </c>
      <c r="AD255" s="86">
        <f>AVERAGEIFS($D$2:D255, $B$2:B255, B255)</f>
        <v>0.2857142857142857</v>
      </c>
    </row>
    <row r="256" spans="1:30" x14ac:dyDescent="0.25">
      <c r="A256" s="85">
        <v>46070</v>
      </c>
      <c r="B256" t="s">
        <v>17</v>
      </c>
      <c r="C256">
        <v>11</v>
      </c>
      <c r="D256" s="86">
        <v>0</v>
      </c>
      <c r="E256">
        <v>3</v>
      </c>
      <c r="F256">
        <v>0</v>
      </c>
      <c r="G256">
        <v>12</v>
      </c>
      <c r="H256">
        <v>3</v>
      </c>
      <c r="I256">
        <v>0</v>
      </c>
      <c r="J256">
        <v>0.25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86">
        <f>AVERAGEIFS($C$2:C256, $B$2:B256, B256)</f>
        <v>25.222222222222221</v>
      </c>
      <c r="AB256" s="86">
        <f>AVERAGEIFS($I$2:I256, $B$2:B256, B256)</f>
        <v>0.58333333333333348</v>
      </c>
      <c r="AC256" s="86">
        <f>AVERAGEIFS($J$2:J256, $B$2:B256, B256)</f>
        <v>0.55111111111111111</v>
      </c>
      <c r="AD256" s="86">
        <f>AVERAGEIFS($D$2:D256, $B$2:B256, B256)</f>
        <v>0.5</v>
      </c>
    </row>
    <row r="257" spans="1:30" x14ac:dyDescent="0.25">
      <c r="A257" s="85">
        <v>46070</v>
      </c>
      <c r="B257" t="s">
        <v>19</v>
      </c>
      <c r="C257">
        <v>9</v>
      </c>
      <c r="D257" s="86">
        <v>0</v>
      </c>
      <c r="E257">
        <v>3</v>
      </c>
      <c r="F257">
        <v>0</v>
      </c>
      <c r="G257">
        <v>12</v>
      </c>
      <c r="H257">
        <v>3</v>
      </c>
      <c r="I257">
        <v>0</v>
      </c>
      <c r="J257">
        <v>0.25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86">
        <f>AVERAGEIFS($C$2:C257, $B$2:B257, B257)</f>
        <v>11</v>
      </c>
      <c r="AB257" s="86">
        <f>AVERAGEIFS($I$2:I257, $B$2:B257, B257)</f>
        <v>0.4</v>
      </c>
      <c r="AC257" s="86">
        <f>AVERAGEIFS($J$2:J257, $B$2:B257, B257)</f>
        <v>0.44529411764705884</v>
      </c>
      <c r="AD257" s="86">
        <f>AVERAGEIFS($D$2:D257, $B$2:B257, B257)</f>
        <v>0.35294117647058826</v>
      </c>
    </row>
    <row r="258" spans="1:30" x14ac:dyDescent="0.25">
      <c r="A258" s="85">
        <v>46070</v>
      </c>
      <c r="B258" t="s">
        <v>29</v>
      </c>
      <c r="C258">
        <v>6</v>
      </c>
      <c r="D258" s="86">
        <v>0</v>
      </c>
      <c r="E258">
        <v>3</v>
      </c>
      <c r="F258">
        <v>0</v>
      </c>
      <c r="G258">
        <v>12</v>
      </c>
      <c r="H258">
        <v>3</v>
      </c>
      <c r="I258">
        <v>0</v>
      </c>
      <c r="J258">
        <v>0.25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 s="86">
        <f>AVERAGEIFS($C$2:C258, $B$2:B258, B258)</f>
        <v>10.083333333333334</v>
      </c>
      <c r="AB258" s="86">
        <f>AVERAGEIFS($I$2:I258, $B$2:B258, B258)</f>
        <v>0.47083333333333327</v>
      </c>
      <c r="AC258" s="86">
        <f>AVERAGEIFS($J$2:J258, $B$2:B258, B258)</f>
        <v>0.48916666666666658</v>
      </c>
      <c r="AD258" s="86">
        <f>AVERAGEIFS($D$2:D258, $B$2:B258, B258)</f>
        <v>0.5</v>
      </c>
    </row>
    <row r="259" spans="1:30" x14ac:dyDescent="0.25">
      <c r="A259" s="85">
        <v>46070</v>
      </c>
      <c r="B259" t="s">
        <v>27</v>
      </c>
      <c r="C259">
        <v>4</v>
      </c>
      <c r="D259" s="86">
        <v>0</v>
      </c>
      <c r="E259">
        <v>3</v>
      </c>
      <c r="F259">
        <v>0</v>
      </c>
      <c r="G259">
        <v>12</v>
      </c>
      <c r="H259">
        <v>3</v>
      </c>
      <c r="I259">
        <v>0</v>
      </c>
      <c r="J259">
        <v>0.25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 s="86">
        <f>AVERAGEIFS($C$2:C259, $B$2:B259, B259)</f>
        <v>13.4</v>
      </c>
      <c r="AB259" s="86">
        <f>AVERAGEIFS($I$2:I259, $B$2:B259, B259)</f>
        <v>0.51999999999999991</v>
      </c>
      <c r="AC259" s="86">
        <f>AVERAGEIFS($J$2:J259, $B$2:B259, B259)</f>
        <v>0.49800000000000005</v>
      </c>
      <c r="AD259" s="86">
        <f>AVERAGEIFS($D$2:D259, $B$2:B259, B259)</f>
        <v>0.6</v>
      </c>
    </row>
    <row r="260" spans="1:30" x14ac:dyDescent="0.25">
      <c r="A260" s="85">
        <v>46070</v>
      </c>
      <c r="B260" t="s">
        <v>28</v>
      </c>
      <c r="C260">
        <v>4</v>
      </c>
      <c r="D260" s="86">
        <v>0</v>
      </c>
      <c r="E260">
        <v>3</v>
      </c>
      <c r="F260">
        <v>0</v>
      </c>
      <c r="G260">
        <v>12</v>
      </c>
      <c r="H260">
        <v>3</v>
      </c>
      <c r="I260">
        <v>0</v>
      </c>
      <c r="J260">
        <v>0.25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 s="86">
        <f>AVERAGEIFS($C$2:C260, $B$2:B260, B260)</f>
        <v>12.916666666666666</v>
      </c>
      <c r="AB260" s="86">
        <f>AVERAGEIFS($I$2:I260, $B$2:B260, B260)</f>
        <v>0.41666666666666669</v>
      </c>
      <c r="AC260" s="86">
        <f>AVERAGEIFS($J$2:J260, $B$2:B260, B260)</f>
        <v>0.45083333333333325</v>
      </c>
      <c r="AD260" s="86">
        <f>AVERAGEIFS($D$2:D260, $B$2:B260, B260)</f>
        <v>0.41666666666666669</v>
      </c>
    </row>
    <row r="261" spans="1:30" x14ac:dyDescent="0.25">
      <c r="A261" s="85">
        <v>46071</v>
      </c>
      <c r="B261" t="s">
        <v>13</v>
      </c>
      <c r="C261">
        <v>20</v>
      </c>
      <c r="D261" s="86">
        <v>1</v>
      </c>
      <c r="E261">
        <v>3</v>
      </c>
      <c r="F261">
        <v>3</v>
      </c>
      <c r="G261">
        <v>14</v>
      </c>
      <c r="H261">
        <v>9</v>
      </c>
      <c r="I261">
        <v>1</v>
      </c>
      <c r="J261">
        <v>0.64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1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1</v>
      </c>
      <c r="Y261">
        <v>0</v>
      </c>
      <c r="Z261">
        <v>0</v>
      </c>
      <c r="AA261" s="86">
        <f>AVERAGEIFS($C$2:C261, $B$2:B261, B261)</f>
        <v>26.736842105263158</v>
      </c>
      <c r="AB261" s="86">
        <f>AVERAGEIFS($I$2:I261, $B$2:B261, B261)</f>
        <v>0.56842105263157894</v>
      </c>
      <c r="AC261" s="86">
        <f>AVERAGEIFS($J$2:J261, $B$2:B261, B261)</f>
        <v>0.53947368421052633</v>
      </c>
      <c r="AD261" s="86">
        <f>AVERAGEIFS($D$2:D261, $B$2:B261, B261)</f>
        <v>0.68421052631578949</v>
      </c>
    </row>
    <row r="262" spans="1:30" x14ac:dyDescent="0.25">
      <c r="A262" s="85">
        <v>46071</v>
      </c>
      <c r="B262" t="s">
        <v>14</v>
      </c>
      <c r="C262">
        <v>14</v>
      </c>
      <c r="D262" s="86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1</v>
      </c>
      <c r="Q262">
        <v>0</v>
      </c>
      <c r="R262">
        <v>1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1</v>
      </c>
      <c r="Y262">
        <v>0</v>
      </c>
      <c r="Z262">
        <v>0</v>
      </c>
      <c r="AA262" s="86">
        <f>AVERAGEIFS($C$2:C262, $B$2:B262, B262)</f>
        <v>24.5</v>
      </c>
      <c r="AB262" s="86">
        <f>AVERAGEIFS($I$2:I262, $B$2:B262, B262)</f>
        <v>0.56562500000000004</v>
      </c>
      <c r="AC262" s="86">
        <f>AVERAGEIFS($J$2:J262, $B$2:B262, B262)</f>
        <v>0.51874999999999993</v>
      </c>
      <c r="AD262" s="86">
        <f>AVERAGEIFS($D$2:D262, $B$2:B262, B262)</f>
        <v>0.625</v>
      </c>
    </row>
    <row r="263" spans="1:30" x14ac:dyDescent="0.25">
      <c r="A263" s="85">
        <v>46071</v>
      </c>
      <c r="B263" t="s">
        <v>25</v>
      </c>
      <c r="C263">
        <v>12</v>
      </c>
      <c r="D263" s="86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1</v>
      </c>
      <c r="Q263">
        <v>0</v>
      </c>
      <c r="R263">
        <v>1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1</v>
      </c>
      <c r="Y263">
        <v>0</v>
      </c>
      <c r="Z263">
        <v>0</v>
      </c>
      <c r="AA263" s="86">
        <f>AVERAGEIFS($C$2:C263, $B$2:B263, B263)</f>
        <v>14.428571428571429</v>
      </c>
      <c r="AB263" s="86">
        <f>AVERAGEIFS($I$2:I263, $B$2:B263, B263)</f>
        <v>0.73571428571428577</v>
      </c>
      <c r="AC263" s="86">
        <f>AVERAGEIFS($J$2:J263, $B$2:B263, B263)</f>
        <v>0.62142857142857133</v>
      </c>
      <c r="AD263" s="86">
        <f>AVERAGEIFS($D$2:D263, $B$2:B263, B263)</f>
        <v>0.7142857142857143</v>
      </c>
    </row>
    <row r="264" spans="1:30" x14ac:dyDescent="0.25">
      <c r="A264" s="85">
        <v>46071</v>
      </c>
      <c r="B264" t="s">
        <v>20</v>
      </c>
      <c r="C264">
        <v>10</v>
      </c>
      <c r="D264" s="86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1</v>
      </c>
      <c r="Q264">
        <v>0</v>
      </c>
      <c r="R264">
        <v>1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1</v>
      </c>
      <c r="Y264">
        <v>0</v>
      </c>
      <c r="Z264">
        <v>0</v>
      </c>
      <c r="AA264" s="86">
        <f>AVERAGEIFS($C$2:C264, $B$2:B264, B264)</f>
        <v>12.846153846153847</v>
      </c>
      <c r="AB264" s="86">
        <f>AVERAGEIFS($I$2:I264, $B$2:B264, B264)</f>
        <v>0.46923076923076923</v>
      </c>
      <c r="AC264" s="86">
        <f>AVERAGEIFS($J$2:J264, $B$2:B264, B264)</f>
        <v>0.47846153846153844</v>
      </c>
      <c r="AD264" s="86">
        <f>AVERAGEIFS($D$2:D264, $B$2:B264, B264)</f>
        <v>0.30769230769230771</v>
      </c>
    </row>
    <row r="265" spans="1:30" x14ac:dyDescent="0.25">
      <c r="A265" s="85">
        <v>46071</v>
      </c>
      <c r="B265" t="s">
        <v>26</v>
      </c>
      <c r="C265">
        <v>5</v>
      </c>
      <c r="D265" s="86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1</v>
      </c>
      <c r="Q265">
        <v>0</v>
      </c>
      <c r="R265">
        <v>1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1</v>
      </c>
      <c r="Y265">
        <v>0</v>
      </c>
      <c r="Z265">
        <v>0</v>
      </c>
      <c r="AA265" s="86">
        <f>AVERAGEIFS($C$2:C265, $B$2:B265, B265)</f>
        <v>11.333333333333334</v>
      </c>
      <c r="AB265" s="86">
        <f>AVERAGEIFS($I$2:I265, $B$2:B265, B265)</f>
        <v>0.6875</v>
      </c>
      <c r="AC265" s="86">
        <f>AVERAGEIFS($J$2:J265, $B$2:B265, B265)</f>
        <v>0.60416666666666663</v>
      </c>
      <c r="AD265" s="86">
        <f>AVERAGEIFS($D$2:D265, $B$2:B265, B265)</f>
        <v>0.75</v>
      </c>
    </row>
    <row r="266" spans="1:30" x14ac:dyDescent="0.25">
      <c r="A266" s="85">
        <v>46071</v>
      </c>
      <c r="B266" t="s">
        <v>15</v>
      </c>
      <c r="C266">
        <v>18</v>
      </c>
      <c r="D266" s="86">
        <v>0</v>
      </c>
      <c r="E266">
        <v>3</v>
      </c>
      <c r="F266">
        <v>0</v>
      </c>
      <c r="G266">
        <v>14</v>
      </c>
      <c r="H266">
        <v>5</v>
      </c>
      <c r="I266">
        <v>0</v>
      </c>
      <c r="J266">
        <v>0.36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86">
        <f>AVERAGEIFS($C$2:C266, $B$2:B266, B266)</f>
        <v>25.266666666666666</v>
      </c>
      <c r="AB266" s="86">
        <f>AVERAGEIFS($I$2:I266, $B$2:B266, B266)</f>
        <v>0.42333333333333339</v>
      </c>
      <c r="AC266" s="86">
        <f>AVERAGEIFS($J$2:J266, $B$2:B266, B266)</f>
        <v>0.46400000000000002</v>
      </c>
      <c r="AD266" s="86">
        <f>AVERAGEIFS($D$2:D266, $B$2:B266, B266)</f>
        <v>0.26666666666666666</v>
      </c>
    </row>
    <row r="267" spans="1:30" x14ac:dyDescent="0.25">
      <c r="A267" s="85">
        <v>46071</v>
      </c>
      <c r="B267" t="s">
        <v>17</v>
      </c>
      <c r="C267">
        <v>11</v>
      </c>
      <c r="D267" s="86">
        <v>0</v>
      </c>
      <c r="E267">
        <v>3</v>
      </c>
      <c r="F267">
        <v>0</v>
      </c>
      <c r="G267">
        <v>14</v>
      </c>
      <c r="H267">
        <v>5</v>
      </c>
      <c r="I267">
        <v>0</v>
      </c>
      <c r="J267">
        <v>0.36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86">
        <f>AVERAGEIFS($C$2:C267, $B$2:B267, B267)</f>
        <v>24.473684210526315</v>
      </c>
      <c r="AB267" s="86">
        <f>AVERAGEIFS($I$2:I267, $B$2:B267, B267)</f>
        <v>0.55263157894736847</v>
      </c>
      <c r="AC267" s="86">
        <f>AVERAGEIFS($J$2:J267, $B$2:B267, B267)</f>
        <v>0.54105263157894734</v>
      </c>
      <c r="AD267" s="86">
        <f>AVERAGEIFS($D$2:D267, $B$2:B267, B267)</f>
        <v>0.47368421052631576</v>
      </c>
    </row>
    <row r="268" spans="1:30" x14ac:dyDescent="0.25">
      <c r="A268" s="85">
        <v>46071</v>
      </c>
      <c r="B268" t="s">
        <v>27</v>
      </c>
      <c r="C268">
        <v>9</v>
      </c>
      <c r="D268" s="86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86">
        <f>AVERAGEIFS($C$2:C268, $B$2:B268, B268)</f>
        <v>13</v>
      </c>
      <c r="AB268" s="86">
        <f>AVERAGEIFS($I$2:I268, $B$2:B268, B268)</f>
        <v>0.47272727272727266</v>
      </c>
      <c r="AC268" s="86">
        <f>AVERAGEIFS($J$2:J268, $B$2:B268, B268)</f>
        <v>0.48545454545454553</v>
      </c>
      <c r="AD268" s="86">
        <f>AVERAGEIFS($D$2:D268, $B$2:B268, B268)</f>
        <v>0.54545454545454541</v>
      </c>
    </row>
    <row r="269" spans="1:30" x14ac:dyDescent="0.25">
      <c r="A269" s="85">
        <v>46071</v>
      </c>
      <c r="B269" t="s">
        <v>28</v>
      </c>
      <c r="C269">
        <v>5</v>
      </c>
      <c r="D269" s="86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86">
        <f>AVERAGEIFS($C$2:C269, $B$2:B269, B269)</f>
        <v>12.307692307692308</v>
      </c>
      <c r="AB269" s="86">
        <f>AVERAGEIFS($I$2:I269, $B$2:B269, B269)</f>
        <v>0.38461538461538464</v>
      </c>
      <c r="AC269" s="86">
        <f>AVERAGEIFS($J$2:J269, $B$2:B269, B269)</f>
        <v>0.44384615384615383</v>
      </c>
      <c r="AD269" s="86">
        <f>AVERAGEIFS($D$2:D269, $B$2:B269, B269)</f>
        <v>0.38461538461538464</v>
      </c>
    </row>
    <row r="270" spans="1:30" x14ac:dyDescent="0.25">
      <c r="A270" s="85">
        <v>46071</v>
      </c>
      <c r="B270" t="s">
        <v>29</v>
      </c>
      <c r="C270">
        <v>2</v>
      </c>
      <c r="D270" s="86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 s="86">
        <f>AVERAGEIFS($C$2:C270, $B$2:B270, B270)</f>
        <v>9.4615384615384617</v>
      </c>
      <c r="AB270" s="86">
        <f>AVERAGEIFS($I$2:I270, $B$2:B270, B270)</f>
        <v>0.43461538461538457</v>
      </c>
      <c r="AC270" s="86">
        <f>AVERAGEIFS($J$2:J270, $B$2:B270, B270)</f>
        <v>0.47923076923076918</v>
      </c>
      <c r="AD270" s="86">
        <f>AVERAGEIFS($D$2:D270, $B$2:B270, B270)</f>
        <v>0.46153846153846156</v>
      </c>
    </row>
    <row r="271" spans="1:30" x14ac:dyDescent="0.25">
      <c r="A271" s="85">
        <v>46074</v>
      </c>
      <c r="B271" t="s">
        <v>1</v>
      </c>
      <c r="C271">
        <v>32</v>
      </c>
      <c r="D271" s="86">
        <v>1</v>
      </c>
      <c r="E271">
        <v>4</v>
      </c>
      <c r="F271">
        <v>3</v>
      </c>
      <c r="G271">
        <v>18</v>
      </c>
      <c r="H271">
        <v>10</v>
      </c>
      <c r="I271">
        <v>0.75</v>
      </c>
      <c r="J271">
        <v>0.56000000000000005</v>
      </c>
      <c r="K271">
        <v>0</v>
      </c>
      <c r="L271">
        <v>1</v>
      </c>
      <c r="M271">
        <v>1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 s="86">
        <f>AVERAGEIFS($C$2:C271, $B$2:B271, B271)</f>
        <v>27.833333333333332</v>
      </c>
      <c r="AB271" s="86">
        <f>AVERAGEIFS($I$2:I271, $B$2:B271, B271)</f>
        <v>0.55833333333333335</v>
      </c>
      <c r="AC271" s="86">
        <f>AVERAGEIFS($J$2:J271, $B$2:B271, B271)</f>
        <v>0.49833333333333335</v>
      </c>
      <c r="AD271" s="86">
        <f>AVERAGEIFS($D$2:D271, $B$2:B271, B271)</f>
        <v>0.66666666666666663</v>
      </c>
    </row>
    <row r="272" spans="1:30" x14ac:dyDescent="0.25">
      <c r="A272" s="85">
        <v>46074</v>
      </c>
      <c r="B272" t="s">
        <v>2</v>
      </c>
      <c r="C272">
        <v>32</v>
      </c>
      <c r="D272" s="86">
        <v>1</v>
      </c>
      <c r="E272">
        <v>4</v>
      </c>
      <c r="F272">
        <v>3</v>
      </c>
      <c r="G272">
        <v>18</v>
      </c>
      <c r="H272">
        <v>10</v>
      </c>
      <c r="I272">
        <v>0.75</v>
      </c>
      <c r="J272">
        <v>0.56000000000000005</v>
      </c>
      <c r="K272">
        <v>0</v>
      </c>
      <c r="L272">
        <v>1</v>
      </c>
      <c r="M272">
        <v>1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 s="86">
        <f>AVERAGEIFS($C$2:C272, $B$2:B272, B272)</f>
        <v>25.666666666666668</v>
      </c>
      <c r="AB272" s="86">
        <f>AVERAGEIFS($I$2:I272, $B$2:B272, B272)</f>
        <v>0.50555555555555554</v>
      </c>
      <c r="AC272" s="86">
        <f>AVERAGEIFS($J$2:J272, $B$2:B272, B272)</f>
        <v>0.50888888888888895</v>
      </c>
      <c r="AD272" s="86">
        <f>AVERAGEIFS($D$2:D272, $B$2:B272, B272)</f>
        <v>0.44444444444444442</v>
      </c>
    </row>
    <row r="273" spans="1:30" x14ac:dyDescent="0.25">
      <c r="A273" s="85">
        <v>46074</v>
      </c>
      <c r="B273" t="s">
        <v>3</v>
      </c>
      <c r="C273">
        <v>29</v>
      </c>
      <c r="D273" s="86">
        <v>1</v>
      </c>
      <c r="E273">
        <v>4</v>
      </c>
      <c r="F273">
        <v>3</v>
      </c>
      <c r="G273">
        <v>18</v>
      </c>
      <c r="H273">
        <v>10</v>
      </c>
      <c r="I273">
        <v>0.75</v>
      </c>
      <c r="J273">
        <v>0.56000000000000005</v>
      </c>
      <c r="K273">
        <v>0</v>
      </c>
      <c r="L273">
        <v>1</v>
      </c>
      <c r="M273">
        <v>1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 s="86">
        <f>AVERAGEIFS($C$2:C273, $B$2:B273, B273)</f>
        <v>23.555555555555557</v>
      </c>
      <c r="AB273" s="86">
        <f>AVERAGEIFS($I$2:I273, $B$2:B273, B273)</f>
        <v>0.52222222222222225</v>
      </c>
      <c r="AC273" s="86">
        <f>AVERAGEIFS($J$2:J273, $B$2:B273, B273)</f>
        <v>0.50222222222222213</v>
      </c>
      <c r="AD273" s="86">
        <f>AVERAGEIFS($D$2:D273, $B$2:B273, B273)</f>
        <v>0.66666666666666663</v>
      </c>
    </row>
    <row r="274" spans="1:30" x14ac:dyDescent="0.25">
      <c r="A274" s="85">
        <v>46074</v>
      </c>
      <c r="B274" t="s">
        <v>4</v>
      </c>
      <c r="C274">
        <v>24</v>
      </c>
      <c r="D274" s="86">
        <v>1</v>
      </c>
      <c r="E274">
        <v>4</v>
      </c>
      <c r="F274">
        <v>3</v>
      </c>
      <c r="G274">
        <v>18</v>
      </c>
      <c r="H274">
        <v>10</v>
      </c>
      <c r="I274">
        <v>0.75</v>
      </c>
      <c r="J274">
        <v>0.56000000000000005</v>
      </c>
      <c r="K274">
        <v>0</v>
      </c>
      <c r="L274">
        <v>1</v>
      </c>
      <c r="M274">
        <v>1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 s="86">
        <f>AVERAGEIFS($C$2:C274, $B$2:B274, B274)</f>
        <v>16.5</v>
      </c>
      <c r="AB274" s="86">
        <f>AVERAGEIFS($I$2:I274, $B$2:B274, B274)</f>
        <v>0.875</v>
      </c>
      <c r="AC274" s="86">
        <f>AVERAGEIFS($J$2:J274, $B$2:B274, B274)</f>
        <v>0.69</v>
      </c>
      <c r="AD274" s="86">
        <f>AVERAGEIFS($D$2:D274, $B$2:B274, B274)</f>
        <v>1</v>
      </c>
    </row>
    <row r="275" spans="1:30" x14ac:dyDescent="0.25">
      <c r="A275" s="85">
        <v>46074</v>
      </c>
      <c r="B275" t="s">
        <v>5</v>
      </c>
      <c r="C275">
        <v>23</v>
      </c>
      <c r="D275" s="86">
        <v>1</v>
      </c>
      <c r="E275">
        <v>4</v>
      </c>
      <c r="F275">
        <v>3</v>
      </c>
      <c r="G275">
        <v>18</v>
      </c>
      <c r="H275">
        <v>10</v>
      </c>
      <c r="I275">
        <v>0.75</v>
      </c>
      <c r="J275">
        <v>0.56000000000000005</v>
      </c>
      <c r="K275">
        <v>0</v>
      </c>
      <c r="L275">
        <v>1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1</v>
      </c>
      <c r="Z275">
        <v>0</v>
      </c>
      <c r="AA275" s="86">
        <f>AVERAGEIFS($C$2:C275, $B$2:B275, B275)</f>
        <v>26.25</v>
      </c>
      <c r="AB275" s="86">
        <f>AVERAGEIFS($I$2:I275, $B$2:B275, B275)</f>
        <v>0.48125000000000001</v>
      </c>
      <c r="AC275" s="86">
        <f>AVERAGEIFS($J$2:J275, $B$2:B275, B275)</f>
        <v>0.48749999999999999</v>
      </c>
      <c r="AD275" s="86">
        <f>AVERAGEIFS($D$2:D275, $B$2:B275, B275)</f>
        <v>0.5</v>
      </c>
    </row>
    <row r="276" spans="1:30" x14ac:dyDescent="0.25">
      <c r="A276" s="85">
        <v>46074</v>
      </c>
      <c r="B276" t="s">
        <v>6</v>
      </c>
      <c r="C276">
        <v>19</v>
      </c>
      <c r="D276" s="86">
        <v>1</v>
      </c>
      <c r="E276">
        <v>4</v>
      </c>
      <c r="F276">
        <v>3</v>
      </c>
      <c r="G276">
        <v>18</v>
      </c>
      <c r="H276">
        <v>10</v>
      </c>
      <c r="I276">
        <v>0.75</v>
      </c>
      <c r="J276">
        <v>0.56000000000000005</v>
      </c>
      <c r="K276">
        <v>0</v>
      </c>
      <c r="L276">
        <v>1</v>
      </c>
      <c r="M276">
        <v>1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1</v>
      </c>
      <c r="Z276">
        <v>0</v>
      </c>
      <c r="AA276" s="86">
        <f>AVERAGEIFS($C$2:C276, $B$2:B276, B276)</f>
        <v>22.636363636363637</v>
      </c>
      <c r="AB276" s="86">
        <f>AVERAGEIFS($I$2:I276, $B$2:B276, B276)</f>
        <v>0.60909090909090902</v>
      </c>
      <c r="AC276" s="86">
        <f>AVERAGEIFS($J$2:J276, $B$2:B276, B276)</f>
        <v>0.53818181818181821</v>
      </c>
      <c r="AD276" s="86">
        <f>AVERAGEIFS($D$2:D276, $B$2:B276, B276)</f>
        <v>0.72727272727272729</v>
      </c>
    </row>
    <row r="277" spans="1:30" x14ac:dyDescent="0.25">
      <c r="A277" s="85">
        <v>46074</v>
      </c>
      <c r="B277" t="s">
        <v>46</v>
      </c>
      <c r="C277">
        <v>14</v>
      </c>
      <c r="D277" s="86">
        <v>1</v>
      </c>
      <c r="E277">
        <v>4</v>
      </c>
      <c r="F277">
        <v>3</v>
      </c>
      <c r="G277">
        <v>18</v>
      </c>
      <c r="H277">
        <v>10</v>
      </c>
      <c r="I277">
        <v>0.75</v>
      </c>
      <c r="J277">
        <v>0.56000000000000005</v>
      </c>
      <c r="K277">
        <v>0</v>
      </c>
      <c r="L277">
        <v>1</v>
      </c>
      <c r="M277">
        <v>1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1</v>
      </c>
      <c r="Z277">
        <v>0</v>
      </c>
      <c r="AA277" s="86">
        <f>AVERAGEIFS($C$2:C277, $B$2:B277, B277)</f>
        <v>17.714285714285715</v>
      </c>
      <c r="AB277" s="86">
        <f>AVERAGEIFS($I$2:I277, $B$2:B277, B277)</f>
        <v>0.39285714285714285</v>
      </c>
      <c r="AC277" s="86">
        <f>AVERAGEIFS($J$2:J277, $B$2:B277, B277)</f>
        <v>0.45428571428571429</v>
      </c>
      <c r="AD277" s="86">
        <f>AVERAGEIFS($D$2:D277, $B$2:B277, B277)</f>
        <v>0.42857142857142855</v>
      </c>
    </row>
    <row r="278" spans="1:30" x14ac:dyDescent="0.25">
      <c r="A278" s="85">
        <v>46074</v>
      </c>
      <c r="B278" t="s">
        <v>13</v>
      </c>
      <c r="C278">
        <v>35</v>
      </c>
      <c r="D278" s="86">
        <v>0</v>
      </c>
      <c r="E278">
        <v>4</v>
      </c>
      <c r="F278">
        <v>1</v>
      </c>
      <c r="G278">
        <v>18</v>
      </c>
      <c r="H278">
        <v>8</v>
      </c>
      <c r="I278">
        <v>0.25</v>
      </c>
      <c r="J278">
        <v>0.44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1</v>
      </c>
      <c r="X278">
        <v>0</v>
      </c>
      <c r="Y278">
        <v>0</v>
      </c>
      <c r="Z278">
        <v>0</v>
      </c>
      <c r="AA278" s="86">
        <f>AVERAGEIFS($C$2:C278, $B$2:B278, B278)</f>
        <v>27.15</v>
      </c>
      <c r="AB278" s="86">
        <f>AVERAGEIFS($I$2:I278, $B$2:B278, B278)</f>
        <v>0.55249999999999999</v>
      </c>
      <c r="AC278" s="86">
        <f>AVERAGEIFS($J$2:J278, $B$2:B278, B278)</f>
        <v>0.53449999999999998</v>
      </c>
      <c r="AD278" s="86">
        <f>AVERAGEIFS($D$2:D278, $B$2:B278, B278)</f>
        <v>0.65</v>
      </c>
    </row>
    <row r="279" spans="1:30" x14ac:dyDescent="0.25">
      <c r="A279" s="85">
        <v>46074</v>
      </c>
      <c r="B279" t="s">
        <v>14</v>
      </c>
      <c r="C279">
        <v>32</v>
      </c>
      <c r="D279" s="86">
        <v>0</v>
      </c>
      <c r="E279">
        <v>4</v>
      </c>
      <c r="F279">
        <v>1</v>
      </c>
      <c r="G279">
        <v>18</v>
      </c>
      <c r="H279">
        <v>8</v>
      </c>
      <c r="I279">
        <v>0.25</v>
      </c>
      <c r="J279">
        <v>0.44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1</v>
      </c>
      <c r="X279">
        <v>0</v>
      </c>
      <c r="Y279">
        <v>0</v>
      </c>
      <c r="Z279">
        <v>0</v>
      </c>
      <c r="AA279" s="86">
        <f>AVERAGEIFS($C$2:C279, $B$2:B279, B279)</f>
        <v>24.941176470588236</v>
      </c>
      <c r="AB279" s="86">
        <f>AVERAGEIFS($I$2:I279, $B$2:B279, B279)</f>
        <v>0.54705882352941182</v>
      </c>
      <c r="AC279" s="86">
        <f>AVERAGEIFS($J$2:J279, $B$2:B279, B279)</f>
        <v>0.51411764705882346</v>
      </c>
      <c r="AD279" s="86">
        <f>AVERAGEIFS($D$2:D279, $B$2:B279, B279)</f>
        <v>0.58823529411764708</v>
      </c>
    </row>
    <row r="280" spans="1:30" x14ac:dyDescent="0.25">
      <c r="A280" s="85">
        <v>46074</v>
      </c>
      <c r="B280" t="s">
        <v>15</v>
      </c>
      <c r="C280">
        <v>31</v>
      </c>
      <c r="D280" s="86">
        <v>0</v>
      </c>
      <c r="E280">
        <v>4</v>
      </c>
      <c r="F280">
        <v>1</v>
      </c>
      <c r="G280">
        <v>18</v>
      </c>
      <c r="H280">
        <v>8</v>
      </c>
      <c r="I280">
        <v>0.25</v>
      </c>
      <c r="J280">
        <v>0.44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1</v>
      </c>
      <c r="X280">
        <v>0</v>
      </c>
      <c r="Y280">
        <v>0</v>
      </c>
      <c r="Z280">
        <v>0</v>
      </c>
      <c r="AA280" s="86">
        <f>AVERAGEIFS($C$2:C280, $B$2:B280, B280)</f>
        <v>25.625</v>
      </c>
      <c r="AB280" s="86">
        <f>AVERAGEIFS($I$2:I280, $B$2:B280, B280)</f>
        <v>0.41250000000000003</v>
      </c>
      <c r="AC280" s="86">
        <f>AVERAGEIFS($J$2:J280, $B$2:B280, B280)</f>
        <v>0.46250000000000002</v>
      </c>
      <c r="AD280" s="86">
        <f>AVERAGEIFS($D$2:D280, $B$2:B280, B280)</f>
        <v>0.25</v>
      </c>
    </row>
    <row r="281" spans="1:30" x14ac:dyDescent="0.25">
      <c r="A281" s="85">
        <v>46074</v>
      </c>
      <c r="B281" t="s">
        <v>17</v>
      </c>
      <c r="C281">
        <v>27</v>
      </c>
      <c r="D281" s="86">
        <v>0</v>
      </c>
      <c r="E281">
        <v>4</v>
      </c>
      <c r="F281">
        <v>1</v>
      </c>
      <c r="G281">
        <v>18</v>
      </c>
      <c r="H281">
        <v>8</v>
      </c>
      <c r="I281">
        <v>0.25</v>
      </c>
      <c r="J281">
        <v>0.44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1</v>
      </c>
      <c r="X281">
        <v>0</v>
      </c>
      <c r="Y281">
        <v>0</v>
      </c>
      <c r="Z281">
        <v>0</v>
      </c>
      <c r="AA281" s="86">
        <f>AVERAGEIFS($C$2:C281, $B$2:B281, B281)</f>
        <v>24.6</v>
      </c>
      <c r="AB281" s="86">
        <f>AVERAGEIFS($I$2:I281, $B$2:B281, B281)</f>
        <v>0.53750000000000009</v>
      </c>
      <c r="AC281" s="86">
        <f>AVERAGEIFS($J$2:J281, $B$2:B281, B281)</f>
        <v>0.53599999999999992</v>
      </c>
      <c r="AD281" s="86">
        <f>AVERAGEIFS($D$2:D281, $B$2:B281, B281)</f>
        <v>0.45</v>
      </c>
    </row>
    <row r="282" spans="1:30" x14ac:dyDescent="0.25">
      <c r="A282" s="85">
        <v>46074</v>
      </c>
      <c r="B282" t="s">
        <v>18</v>
      </c>
      <c r="C282">
        <v>20</v>
      </c>
      <c r="D282" s="86">
        <v>0</v>
      </c>
      <c r="E282">
        <v>4</v>
      </c>
      <c r="F282">
        <v>1</v>
      </c>
      <c r="G282">
        <v>18</v>
      </c>
      <c r="H282">
        <v>8</v>
      </c>
      <c r="I282">
        <v>0.25</v>
      </c>
      <c r="J282">
        <v>0.44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1</v>
      </c>
      <c r="X282">
        <v>0</v>
      </c>
      <c r="Y282">
        <v>0</v>
      </c>
      <c r="Z282">
        <v>0</v>
      </c>
      <c r="AA282" s="86">
        <f>AVERAGEIFS($C$2:C282, $B$2:B282, B282)</f>
        <v>25.777777777777779</v>
      </c>
      <c r="AB282" s="86">
        <f>AVERAGEIFS($I$2:I282, $B$2:B282, B282)</f>
        <v>0.40555555555555556</v>
      </c>
      <c r="AC282" s="86">
        <f>AVERAGEIFS($J$2:J282, $B$2:B282, B282)</f>
        <v>0.45111111111111107</v>
      </c>
      <c r="AD282" s="86">
        <f>AVERAGEIFS($D$2:D282, $B$2:B282, B282)</f>
        <v>0.33333333333333331</v>
      </c>
    </row>
    <row r="283" spans="1:30" x14ac:dyDescent="0.25">
      <c r="A283" s="85">
        <v>46074</v>
      </c>
      <c r="B283" t="s">
        <v>19</v>
      </c>
      <c r="C283">
        <v>15</v>
      </c>
      <c r="D283" s="86">
        <v>0</v>
      </c>
      <c r="E283">
        <v>4</v>
      </c>
      <c r="F283">
        <v>1</v>
      </c>
      <c r="G283">
        <v>18</v>
      </c>
      <c r="H283">
        <v>8</v>
      </c>
      <c r="I283">
        <v>0.25</v>
      </c>
      <c r="J283">
        <v>0.44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1</v>
      </c>
      <c r="X283">
        <v>0</v>
      </c>
      <c r="Y283">
        <v>0</v>
      </c>
      <c r="Z283">
        <v>0</v>
      </c>
      <c r="AA283" s="86">
        <f>AVERAGEIFS($C$2:C283, $B$2:B283, B283)</f>
        <v>11.222222222222221</v>
      </c>
      <c r="AB283" s="86">
        <f>AVERAGEIFS($I$2:I283, $B$2:B283, B283)</f>
        <v>0.39166666666666672</v>
      </c>
      <c r="AC283" s="86">
        <f>AVERAGEIFS($J$2:J283, $B$2:B283, B283)</f>
        <v>0.44500000000000001</v>
      </c>
      <c r="AD283" s="86">
        <f>AVERAGEIFS($D$2:D283, $B$2:B283, B283)</f>
        <v>0.33333333333333331</v>
      </c>
    </row>
    <row r="284" spans="1:30" x14ac:dyDescent="0.25">
      <c r="A284" s="85">
        <v>46074</v>
      </c>
      <c r="B284" t="s">
        <v>20</v>
      </c>
      <c r="C284">
        <v>14</v>
      </c>
      <c r="D284" s="86">
        <v>0</v>
      </c>
      <c r="E284">
        <v>4</v>
      </c>
      <c r="F284">
        <v>1</v>
      </c>
      <c r="G284">
        <v>18</v>
      </c>
      <c r="H284">
        <v>8</v>
      </c>
      <c r="I284">
        <v>0.25</v>
      </c>
      <c r="J284">
        <v>0.44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1</v>
      </c>
      <c r="X284">
        <v>0</v>
      </c>
      <c r="Y284">
        <v>0</v>
      </c>
      <c r="Z284">
        <v>0</v>
      </c>
      <c r="AA284" s="86">
        <f>AVERAGEIFS($C$2:C284, $B$2:B284, B284)</f>
        <v>12.928571428571429</v>
      </c>
      <c r="AB284" s="86">
        <f>AVERAGEIFS($I$2:I284, $B$2:B284, B284)</f>
        <v>0.45357142857142857</v>
      </c>
      <c r="AC284" s="86">
        <f>AVERAGEIFS($J$2:J284, $B$2:B284, B284)</f>
        <v>0.4757142857142857</v>
      </c>
      <c r="AD284" s="86">
        <f>AVERAGEIFS($D$2:D284, $B$2:B284, B284)</f>
        <v>0.2857142857142857</v>
      </c>
    </row>
    <row r="285" spans="1:30" x14ac:dyDescent="0.25">
      <c r="A285" s="85">
        <v>46075</v>
      </c>
      <c r="B285" t="s">
        <v>18</v>
      </c>
      <c r="C285">
        <v>36</v>
      </c>
      <c r="D285" s="86">
        <v>1</v>
      </c>
      <c r="E285">
        <v>4</v>
      </c>
      <c r="F285">
        <v>3</v>
      </c>
      <c r="G285">
        <v>18</v>
      </c>
      <c r="H285">
        <v>10</v>
      </c>
      <c r="I285">
        <v>0.75</v>
      </c>
      <c r="J285">
        <v>0.56000000000000005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1</v>
      </c>
      <c r="X285">
        <v>0</v>
      </c>
      <c r="Y285">
        <v>0</v>
      </c>
      <c r="Z285">
        <v>0</v>
      </c>
      <c r="AA285" s="86">
        <f>AVERAGEIFS($C$2:C285, $B$2:B285, B285)</f>
        <v>26.8</v>
      </c>
      <c r="AB285" s="86">
        <f>AVERAGEIFS($I$2:I285, $B$2:B285, B285)</f>
        <v>0.44000000000000006</v>
      </c>
      <c r="AC285" s="86">
        <f>AVERAGEIFS($J$2:J285, $B$2:B285, B285)</f>
        <v>0.46199999999999991</v>
      </c>
      <c r="AD285" s="86">
        <f>AVERAGEIFS($D$2:D285, $B$2:B285, B285)</f>
        <v>0.4</v>
      </c>
    </row>
    <row r="286" spans="1:30" x14ac:dyDescent="0.25">
      <c r="A286" s="85">
        <v>46075</v>
      </c>
      <c r="B286" t="s">
        <v>46</v>
      </c>
      <c r="C286">
        <v>36</v>
      </c>
      <c r="D286" s="86">
        <v>1</v>
      </c>
      <c r="E286">
        <v>4</v>
      </c>
      <c r="F286">
        <v>3</v>
      </c>
      <c r="G286">
        <v>18</v>
      </c>
      <c r="H286">
        <v>10</v>
      </c>
      <c r="I286">
        <v>0.75</v>
      </c>
      <c r="J286">
        <v>0.56000000000000005</v>
      </c>
      <c r="K286">
        <v>0</v>
      </c>
      <c r="L286">
        <v>0</v>
      </c>
      <c r="M286">
        <v>0</v>
      </c>
      <c r="N286">
        <v>1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1</v>
      </c>
      <c r="X286">
        <v>0</v>
      </c>
      <c r="Y286">
        <v>0</v>
      </c>
      <c r="Z286">
        <v>0</v>
      </c>
      <c r="AA286" s="86">
        <f>AVERAGEIFS($C$2:C286, $B$2:B286, B286)</f>
        <v>20</v>
      </c>
      <c r="AB286" s="86">
        <f>AVERAGEIFS($I$2:I286, $B$2:B286, B286)</f>
        <v>0.4375</v>
      </c>
      <c r="AC286" s="86">
        <f>AVERAGEIFS($J$2:J286, $B$2:B286, B286)</f>
        <v>0.46750000000000003</v>
      </c>
      <c r="AD286" s="86">
        <f>AVERAGEIFS($D$2:D286, $B$2:B286, B286)</f>
        <v>0.5</v>
      </c>
    </row>
    <row r="287" spans="1:30" x14ac:dyDescent="0.25">
      <c r="A287" s="85">
        <v>46075</v>
      </c>
      <c r="B287" t="s">
        <v>6</v>
      </c>
      <c r="C287">
        <v>25</v>
      </c>
      <c r="D287" s="86">
        <v>1</v>
      </c>
      <c r="E287">
        <v>4</v>
      </c>
      <c r="F287">
        <v>3</v>
      </c>
      <c r="G287">
        <v>18</v>
      </c>
      <c r="H287">
        <v>10</v>
      </c>
      <c r="I287">
        <v>0.75</v>
      </c>
      <c r="J287">
        <v>0.56000000000000005</v>
      </c>
      <c r="K287">
        <v>0</v>
      </c>
      <c r="L287">
        <v>0</v>
      </c>
      <c r="M287">
        <v>0</v>
      </c>
      <c r="N287">
        <v>1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 s="86">
        <f>AVERAGEIFS($C$2:C287, $B$2:B287, B287)</f>
        <v>22.833333333333332</v>
      </c>
      <c r="AB287" s="86">
        <f>AVERAGEIFS($I$2:I287, $B$2:B287, B287)</f>
        <v>0.62083333333333324</v>
      </c>
      <c r="AC287" s="86">
        <f>AVERAGEIFS($J$2:J287, $B$2:B287, B287)</f>
        <v>0.54</v>
      </c>
      <c r="AD287" s="86">
        <f>AVERAGEIFS($D$2:D287, $B$2:B287, B287)</f>
        <v>0.75</v>
      </c>
    </row>
    <row r="288" spans="1:30" x14ac:dyDescent="0.25">
      <c r="A288" s="85">
        <v>46075</v>
      </c>
      <c r="B288" t="s">
        <v>51</v>
      </c>
      <c r="C288">
        <v>22</v>
      </c>
      <c r="D288" s="86">
        <v>1</v>
      </c>
      <c r="E288">
        <v>4</v>
      </c>
      <c r="F288">
        <v>3</v>
      </c>
      <c r="G288">
        <v>18</v>
      </c>
      <c r="H288">
        <v>10</v>
      </c>
      <c r="I288">
        <v>0.75</v>
      </c>
      <c r="J288">
        <v>0.56000000000000005</v>
      </c>
      <c r="K288">
        <v>0</v>
      </c>
      <c r="L288">
        <v>0</v>
      </c>
      <c r="M288">
        <v>0</v>
      </c>
      <c r="N288">
        <v>1</v>
      </c>
      <c r="O288">
        <v>0</v>
      </c>
      <c r="P288">
        <v>1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 s="86">
        <f>AVERAGEIFS($C$2:C288, $B$2:B288, B288)</f>
        <v>13.636363636363637</v>
      </c>
      <c r="AB288" s="86">
        <f>AVERAGEIFS($I$2:I288, $B$2:B288, B288)</f>
        <v>0.57727272727272727</v>
      </c>
      <c r="AC288" s="86">
        <f>AVERAGEIFS($J$2:J288, $B$2:B288, B288)</f>
        <v>0.53454545454545466</v>
      </c>
      <c r="AD288" s="86">
        <f>AVERAGEIFS($D$2:D288, $B$2:B288, B288)</f>
        <v>0.63636363636363635</v>
      </c>
    </row>
    <row r="289" spans="1:30" x14ac:dyDescent="0.25">
      <c r="A289" s="85">
        <v>46075</v>
      </c>
      <c r="B289" t="s">
        <v>26</v>
      </c>
      <c r="C289">
        <v>17</v>
      </c>
      <c r="D289" s="86">
        <v>1</v>
      </c>
      <c r="E289">
        <v>4</v>
      </c>
      <c r="F289">
        <v>3</v>
      </c>
      <c r="G289">
        <v>18</v>
      </c>
      <c r="H289">
        <v>10</v>
      </c>
      <c r="I289">
        <v>0.75</v>
      </c>
      <c r="J289">
        <v>0.56000000000000005</v>
      </c>
      <c r="K289">
        <v>0</v>
      </c>
      <c r="L289">
        <v>0</v>
      </c>
      <c r="M289">
        <v>0</v>
      </c>
      <c r="N289">
        <v>1</v>
      </c>
      <c r="O289">
        <v>0</v>
      </c>
      <c r="P289">
        <v>1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 s="86">
        <f>AVERAGEIFS($C$2:C289, $B$2:B289, B289)</f>
        <v>11.76923076923077</v>
      </c>
      <c r="AB289" s="86">
        <f>AVERAGEIFS($I$2:I289, $B$2:B289, B289)</f>
        <v>0.69230769230769229</v>
      </c>
      <c r="AC289" s="86">
        <f>AVERAGEIFS($J$2:J289, $B$2:B289, B289)</f>
        <v>0.60076923076923072</v>
      </c>
      <c r="AD289" s="86">
        <f>AVERAGEIFS($D$2:D289, $B$2:B289, B289)</f>
        <v>0.76923076923076927</v>
      </c>
    </row>
    <row r="290" spans="1:30" x14ac:dyDescent="0.25">
      <c r="A290" s="85">
        <v>46075</v>
      </c>
      <c r="B290" t="s">
        <v>38</v>
      </c>
      <c r="C290">
        <v>6</v>
      </c>
      <c r="D290" s="86">
        <v>1</v>
      </c>
      <c r="E290">
        <v>4</v>
      </c>
      <c r="F290">
        <v>3</v>
      </c>
      <c r="G290">
        <v>18</v>
      </c>
      <c r="H290">
        <v>10</v>
      </c>
      <c r="I290">
        <v>0.75</v>
      </c>
      <c r="J290">
        <v>0.56000000000000005</v>
      </c>
      <c r="K290">
        <v>0</v>
      </c>
      <c r="L290">
        <v>0</v>
      </c>
      <c r="M290">
        <v>0</v>
      </c>
      <c r="N290">
        <v>1</v>
      </c>
      <c r="O290">
        <v>0</v>
      </c>
      <c r="P290">
        <v>1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 s="86">
        <f>AVERAGEIFS($C$2:C290, $B$2:B290, B290)</f>
        <v>3.25</v>
      </c>
      <c r="AB290" s="86">
        <f>AVERAGEIFS($I$2:I290, $B$2:B290, B290)</f>
        <v>0.5</v>
      </c>
      <c r="AC290" s="86">
        <f>AVERAGEIFS($J$2:J290, $B$2:B290, B290)</f>
        <v>0.48499999999999999</v>
      </c>
      <c r="AD290" s="86">
        <f>AVERAGEIFS($D$2:D290, $B$2:B290, B290)</f>
        <v>0.5</v>
      </c>
    </row>
    <row r="291" spans="1:30" x14ac:dyDescent="0.25">
      <c r="A291" s="85">
        <v>46075</v>
      </c>
      <c r="B291" t="s">
        <v>17</v>
      </c>
      <c r="C291">
        <v>42</v>
      </c>
      <c r="D291" s="86">
        <v>0</v>
      </c>
      <c r="E291">
        <v>4</v>
      </c>
      <c r="F291">
        <v>1</v>
      </c>
      <c r="G291">
        <v>18</v>
      </c>
      <c r="H291">
        <v>8</v>
      </c>
      <c r="I291">
        <v>0.25</v>
      </c>
      <c r="J291">
        <v>0.44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1</v>
      </c>
      <c r="AA291" s="86">
        <f>AVERAGEIFS($C$2:C291, $B$2:B291, B291)</f>
        <v>25.428571428571427</v>
      </c>
      <c r="AB291" s="86">
        <f>AVERAGEIFS($I$2:I291, $B$2:B291, B291)</f>
        <v>0.52380952380952395</v>
      </c>
      <c r="AC291" s="86">
        <f>AVERAGEIFS($J$2:J291, $B$2:B291, B291)</f>
        <v>0.53142857142857136</v>
      </c>
      <c r="AD291" s="86">
        <f>AVERAGEIFS($D$2:D291, $B$2:B291, B291)</f>
        <v>0.42857142857142855</v>
      </c>
    </row>
    <row r="292" spans="1:30" x14ac:dyDescent="0.25">
      <c r="A292" s="85">
        <v>46075</v>
      </c>
      <c r="B292" t="s">
        <v>15</v>
      </c>
      <c r="C292">
        <v>35</v>
      </c>
      <c r="D292" s="86">
        <v>0</v>
      </c>
      <c r="E292">
        <v>4</v>
      </c>
      <c r="F292">
        <v>1</v>
      </c>
      <c r="G292">
        <v>18</v>
      </c>
      <c r="H292">
        <v>8</v>
      </c>
      <c r="I292">
        <v>0.25</v>
      </c>
      <c r="J292">
        <v>0.44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1</v>
      </c>
      <c r="AA292" s="86">
        <f>AVERAGEIFS($C$2:C292, $B$2:B292, B292)</f>
        <v>26.176470588235293</v>
      </c>
      <c r="AB292" s="86">
        <f>AVERAGEIFS($I$2:I292, $B$2:B292, B292)</f>
        <v>0.40294117647058825</v>
      </c>
      <c r="AC292" s="86">
        <f>AVERAGEIFS($J$2:J292, $B$2:B292, B292)</f>
        <v>0.46117647058823535</v>
      </c>
      <c r="AD292" s="86">
        <f>AVERAGEIFS($D$2:D292, $B$2:B292, B292)</f>
        <v>0.23529411764705882</v>
      </c>
    </row>
    <row r="293" spans="1:30" x14ac:dyDescent="0.25">
      <c r="A293" s="85">
        <v>46075</v>
      </c>
      <c r="B293" t="s">
        <v>28</v>
      </c>
      <c r="C293">
        <v>18</v>
      </c>
      <c r="D293" s="86">
        <v>0</v>
      </c>
      <c r="E293">
        <v>4</v>
      </c>
      <c r="F293">
        <v>1</v>
      </c>
      <c r="G293">
        <v>18</v>
      </c>
      <c r="H293">
        <v>8</v>
      </c>
      <c r="I293">
        <v>0.25</v>
      </c>
      <c r="J293">
        <v>0.44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 s="86">
        <f>AVERAGEIFS($C$2:C293, $B$2:B293, B293)</f>
        <v>12.714285714285714</v>
      </c>
      <c r="AB293" s="86">
        <f>AVERAGEIFS($I$2:I293, $B$2:B293, B293)</f>
        <v>0.375</v>
      </c>
      <c r="AC293" s="86">
        <f>AVERAGEIFS($J$2:J293, $B$2:B293, B293)</f>
        <v>0.44357142857142856</v>
      </c>
      <c r="AD293" s="86">
        <f>AVERAGEIFS($D$2:D293, $B$2:B293, B293)</f>
        <v>0.35714285714285715</v>
      </c>
    </row>
    <row r="294" spans="1:30" x14ac:dyDescent="0.25">
      <c r="A294" s="85">
        <v>46075</v>
      </c>
      <c r="B294" t="s">
        <v>25</v>
      </c>
      <c r="C294">
        <v>16</v>
      </c>
      <c r="D294" s="86">
        <v>0</v>
      </c>
      <c r="E294">
        <v>4</v>
      </c>
      <c r="F294">
        <v>1</v>
      </c>
      <c r="G294">
        <v>18</v>
      </c>
      <c r="H294">
        <v>8</v>
      </c>
      <c r="I294">
        <v>0.25</v>
      </c>
      <c r="J294">
        <v>0.44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 s="86">
        <f>AVERAGEIFS($C$2:C294, $B$2:B294, B294)</f>
        <v>14.625</v>
      </c>
      <c r="AB294" s="86">
        <f>AVERAGEIFS($I$2:I294, $B$2:B294, B294)</f>
        <v>0.67500000000000004</v>
      </c>
      <c r="AC294" s="86">
        <f>AVERAGEIFS($J$2:J294, $B$2:B294, B294)</f>
        <v>0.59875</v>
      </c>
      <c r="AD294" s="86">
        <f>AVERAGEIFS($D$2:D294, $B$2:B294, B294)</f>
        <v>0.625</v>
      </c>
    </row>
    <row r="295" spans="1:30" x14ac:dyDescent="0.25">
      <c r="A295" s="85">
        <v>46075</v>
      </c>
      <c r="B295" t="s">
        <v>40</v>
      </c>
      <c r="C295">
        <v>16</v>
      </c>
      <c r="D295" s="86">
        <v>0</v>
      </c>
      <c r="E295">
        <v>4</v>
      </c>
      <c r="F295">
        <v>1</v>
      </c>
      <c r="G295">
        <v>18</v>
      </c>
      <c r="H295">
        <v>8</v>
      </c>
      <c r="I295">
        <v>0.25</v>
      </c>
      <c r="J295">
        <v>0.44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 s="86">
        <f>AVERAGEIFS($C$2:C295, $B$2:B295, B295)</f>
        <v>12.333333333333334</v>
      </c>
      <c r="AB295" s="86">
        <f>AVERAGEIFS($I$2:I295, $B$2:B295, B295)</f>
        <v>0.16666666666666666</v>
      </c>
      <c r="AC295" s="86">
        <f>AVERAGEIFS($J$2:J295, $B$2:B295, B295)</f>
        <v>0.31</v>
      </c>
      <c r="AD295" s="86">
        <f>AVERAGEIFS($D$2:D295, $B$2:B295, B295)</f>
        <v>0</v>
      </c>
    </row>
    <row r="296" spans="1:30" x14ac:dyDescent="0.25">
      <c r="A296" s="85">
        <v>46075</v>
      </c>
      <c r="B296" t="s">
        <v>137</v>
      </c>
      <c r="C296">
        <v>13</v>
      </c>
      <c r="D296" s="86">
        <v>0</v>
      </c>
      <c r="E296">
        <v>4</v>
      </c>
      <c r="F296">
        <v>1</v>
      </c>
      <c r="G296">
        <v>18</v>
      </c>
      <c r="H296">
        <v>8</v>
      </c>
      <c r="I296">
        <v>0.25</v>
      </c>
      <c r="J296">
        <v>0.44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 s="86">
        <f>AVERAGEIFS($C$2:C296, $B$2:B296, B296)</f>
        <v>9</v>
      </c>
      <c r="AB296" s="86">
        <f>AVERAGEIFS($I$2:I296, $B$2:B296, B296)</f>
        <v>0.6</v>
      </c>
      <c r="AC296" s="86">
        <f>AVERAGEIFS($J$2:J296, $B$2:B296, B296)</f>
        <v>0.54499999999999993</v>
      </c>
      <c r="AD296" s="86">
        <f>AVERAGEIFS($D$2:D296, $B$2:B296, B296)</f>
        <v>0.5</v>
      </c>
    </row>
    <row r="297" spans="1:30" x14ac:dyDescent="0.25">
      <c r="A297" s="85">
        <v>46075</v>
      </c>
      <c r="B297" t="s">
        <v>13</v>
      </c>
      <c r="C297">
        <v>38</v>
      </c>
      <c r="D297" s="86">
        <v>1</v>
      </c>
      <c r="E297">
        <v>4</v>
      </c>
      <c r="F297">
        <v>3</v>
      </c>
      <c r="G297">
        <v>16</v>
      </c>
      <c r="H297">
        <v>10</v>
      </c>
      <c r="I297">
        <v>0.75</v>
      </c>
      <c r="J297">
        <v>0.63</v>
      </c>
      <c r="K297">
        <v>0</v>
      </c>
      <c r="L297">
        <v>1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1</v>
      </c>
      <c r="X297">
        <v>0</v>
      </c>
      <c r="Y297">
        <v>0</v>
      </c>
      <c r="Z297">
        <v>0</v>
      </c>
      <c r="AA297" s="86">
        <f>AVERAGEIFS($C$2:C297, $B$2:B297, B297)</f>
        <v>27.666666666666668</v>
      </c>
      <c r="AB297" s="86">
        <f>AVERAGEIFS($I$2:I297, $B$2:B297, B297)</f>
        <v>0.56190476190476191</v>
      </c>
      <c r="AC297" s="86">
        <f>AVERAGEIFS($J$2:J297, $B$2:B297, B297)</f>
        <v>0.53904761904761911</v>
      </c>
      <c r="AD297" s="86">
        <f>AVERAGEIFS($D$2:D297, $B$2:B297, B297)</f>
        <v>0.66666666666666663</v>
      </c>
    </row>
    <row r="298" spans="1:30" x14ac:dyDescent="0.25">
      <c r="A298" s="85">
        <v>46075</v>
      </c>
      <c r="B298" t="s">
        <v>2</v>
      </c>
      <c r="C298">
        <v>29</v>
      </c>
      <c r="D298" s="86">
        <v>1</v>
      </c>
      <c r="E298">
        <v>4</v>
      </c>
      <c r="F298">
        <v>3</v>
      </c>
      <c r="G298">
        <v>16</v>
      </c>
      <c r="H298">
        <v>10</v>
      </c>
      <c r="I298">
        <v>0.75</v>
      </c>
      <c r="J298">
        <v>0.63</v>
      </c>
      <c r="K298">
        <v>0</v>
      </c>
      <c r="L298">
        <v>1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1</v>
      </c>
      <c r="X298">
        <v>0</v>
      </c>
      <c r="Y298">
        <v>0</v>
      </c>
      <c r="Z298">
        <v>0</v>
      </c>
      <c r="AA298" s="86">
        <f>AVERAGEIFS($C$2:C298, $B$2:B298, B298)</f>
        <v>26</v>
      </c>
      <c r="AB298" s="86">
        <f>AVERAGEIFS($I$2:I298, $B$2:B298, B298)</f>
        <v>0.53</v>
      </c>
      <c r="AC298" s="86">
        <f>AVERAGEIFS($J$2:J298, $B$2:B298, B298)</f>
        <v>0.52100000000000002</v>
      </c>
      <c r="AD298" s="86">
        <f>AVERAGEIFS($D$2:D298, $B$2:B298, B298)</f>
        <v>0.5</v>
      </c>
    </row>
    <row r="299" spans="1:30" x14ac:dyDescent="0.25">
      <c r="A299" s="85">
        <v>46075</v>
      </c>
      <c r="B299" t="s">
        <v>45</v>
      </c>
      <c r="C299">
        <v>17</v>
      </c>
      <c r="D299" s="86">
        <v>1</v>
      </c>
      <c r="E299">
        <v>4</v>
      </c>
      <c r="F299">
        <v>3</v>
      </c>
      <c r="G299">
        <v>16</v>
      </c>
      <c r="H299">
        <v>10</v>
      </c>
      <c r="I299">
        <v>0.75</v>
      </c>
      <c r="J299">
        <v>0.63</v>
      </c>
      <c r="K299">
        <v>0</v>
      </c>
      <c r="L299">
        <v>1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1</v>
      </c>
      <c r="X299">
        <v>0</v>
      </c>
      <c r="Y299">
        <v>0</v>
      </c>
      <c r="Z299">
        <v>0</v>
      </c>
      <c r="AA299" s="86">
        <f>AVERAGEIFS($C$2:C299, $B$2:B299, B299)</f>
        <v>9.5714285714285712</v>
      </c>
      <c r="AB299" s="86">
        <f>AVERAGEIFS($I$2:I299, $B$2:B299, B299)</f>
        <v>0.41428571428571426</v>
      </c>
      <c r="AC299" s="86">
        <f>AVERAGEIFS($J$2:J299, $B$2:B299, B299)</f>
        <v>0.45428571428571424</v>
      </c>
      <c r="AD299" s="86">
        <f>AVERAGEIFS($D$2:D299, $B$2:B299, B299)</f>
        <v>0.2857142857142857</v>
      </c>
    </row>
    <row r="300" spans="1:30" x14ac:dyDescent="0.25">
      <c r="A300" s="85">
        <v>46075</v>
      </c>
      <c r="B300" t="s">
        <v>20</v>
      </c>
      <c r="C300">
        <v>15</v>
      </c>
      <c r="D300" s="86">
        <v>1</v>
      </c>
      <c r="E300">
        <v>4</v>
      </c>
      <c r="F300">
        <v>3</v>
      </c>
      <c r="G300">
        <v>16</v>
      </c>
      <c r="H300">
        <v>10</v>
      </c>
      <c r="I300">
        <v>0.75</v>
      </c>
      <c r="J300">
        <v>0.63</v>
      </c>
      <c r="K300">
        <v>0</v>
      </c>
      <c r="L300">
        <v>1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1</v>
      </c>
      <c r="X300">
        <v>0</v>
      </c>
      <c r="Y300">
        <v>0</v>
      </c>
      <c r="Z300">
        <v>0</v>
      </c>
      <c r="AA300" s="86">
        <f>AVERAGEIFS($C$2:C300, $B$2:B300, B300)</f>
        <v>13.066666666666666</v>
      </c>
      <c r="AB300" s="86">
        <f>AVERAGEIFS($I$2:I300, $B$2:B300, B300)</f>
        <v>0.47333333333333333</v>
      </c>
      <c r="AC300" s="86">
        <f>AVERAGEIFS($J$2:J300, $B$2:B300, B300)</f>
        <v>0.48599999999999999</v>
      </c>
      <c r="AD300" s="86">
        <f>AVERAGEIFS($D$2:D300, $B$2:B300, B300)</f>
        <v>0.33333333333333331</v>
      </c>
    </row>
    <row r="301" spans="1:30" x14ac:dyDescent="0.25">
      <c r="A301" s="85">
        <v>46075</v>
      </c>
      <c r="B301" t="s">
        <v>35</v>
      </c>
      <c r="C301">
        <v>13</v>
      </c>
      <c r="D301" s="86">
        <v>1</v>
      </c>
      <c r="E301">
        <v>4</v>
      </c>
      <c r="F301">
        <v>3</v>
      </c>
      <c r="G301">
        <v>16</v>
      </c>
      <c r="H301">
        <v>10</v>
      </c>
      <c r="I301">
        <v>0.75</v>
      </c>
      <c r="J301">
        <v>0.63</v>
      </c>
      <c r="K301">
        <v>0</v>
      </c>
      <c r="L301">
        <v>1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1</v>
      </c>
      <c r="X301">
        <v>0</v>
      </c>
      <c r="Y301">
        <v>0</v>
      </c>
      <c r="Z301">
        <v>0</v>
      </c>
      <c r="AA301" s="86">
        <f>AVERAGEIFS($C$2:C301, $B$2:B301, B301)</f>
        <v>9.8000000000000007</v>
      </c>
      <c r="AB301" s="86">
        <f>AVERAGEIFS($I$2:I301, $B$2:B301, B301)</f>
        <v>0.495</v>
      </c>
      <c r="AC301" s="86">
        <f>AVERAGEIFS($J$2:J301, $B$2:B301, B301)</f>
        <v>0.52</v>
      </c>
      <c r="AD301" s="86">
        <f>AVERAGEIFS($D$2:D301, $B$2:B301, B301)</f>
        <v>0.6</v>
      </c>
    </row>
    <row r="302" spans="1:30" x14ac:dyDescent="0.25">
      <c r="A302" s="85">
        <v>46075</v>
      </c>
      <c r="B302" t="s">
        <v>29</v>
      </c>
      <c r="C302">
        <v>9</v>
      </c>
      <c r="D302" s="86">
        <v>1</v>
      </c>
      <c r="E302">
        <v>4</v>
      </c>
      <c r="F302">
        <v>3</v>
      </c>
      <c r="G302">
        <v>16</v>
      </c>
      <c r="H302">
        <v>10</v>
      </c>
      <c r="I302">
        <v>0.75</v>
      </c>
      <c r="J302">
        <v>0.63</v>
      </c>
      <c r="K302">
        <v>0</v>
      </c>
      <c r="L302">
        <v>1</v>
      </c>
      <c r="M302">
        <v>0</v>
      </c>
      <c r="N302">
        <v>1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0</v>
      </c>
      <c r="Z302">
        <v>0</v>
      </c>
      <c r="AA302" s="86">
        <f>AVERAGEIFS($C$2:C302, $B$2:B302, B302)</f>
        <v>9.4285714285714288</v>
      </c>
      <c r="AB302" s="86">
        <f>AVERAGEIFS($I$2:I302, $B$2:B302, B302)</f>
        <v>0.45714285714285713</v>
      </c>
      <c r="AC302" s="86">
        <f>AVERAGEIFS($J$2:J302, $B$2:B302, B302)</f>
        <v>0.48999999999999994</v>
      </c>
      <c r="AD302" s="86">
        <f>AVERAGEIFS($D$2:D302, $B$2:B302, B302)</f>
        <v>0.5</v>
      </c>
    </row>
    <row r="303" spans="1:30" x14ac:dyDescent="0.25">
      <c r="A303" s="85">
        <v>46075</v>
      </c>
      <c r="B303" t="s">
        <v>14</v>
      </c>
      <c r="C303">
        <v>33</v>
      </c>
      <c r="D303" s="86">
        <v>0</v>
      </c>
      <c r="E303">
        <v>4</v>
      </c>
      <c r="F303">
        <v>1</v>
      </c>
      <c r="G303">
        <v>16</v>
      </c>
      <c r="H303">
        <v>6</v>
      </c>
      <c r="I303">
        <v>0.25</v>
      </c>
      <c r="J303">
        <v>0.38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1</v>
      </c>
      <c r="Y303">
        <v>0</v>
      </c>
      <c r="Z303">
        <v>0</v>
      </c>
      <c r="AA303" s="86">
        <f>AVERAGEIFS($C$2:C303, $B$2:B303, B303)</f>
        <v>25.388888888888889</v>
      </c>
      <c r="AB303" s="86">
        <f>AVERAGEIFS($I$2:I303, $B$2:B303, B303)</f>
        <v>0.53055555555555556</v>
      </c>
      <c r="AC303" s="86">
        <f>AVERAGEIFS($J$2:J303, $B$2:B303, B303)</f>
        <v>0.5066666666666666</v>
      </c>
      <c r="AD303" s="86">
        <f>AVERAGEIFS($D$2:D303, $B$2:B303, B303)</f>
        <v>0.55555555555555558</v>
      </c>
    </row>
    <row r="304" spans="1:30" x14ac:dyDescent="0.25">
      <c r="A304" s="85">
        <v>46075</v>
      </c>
      <c r="B304" t="s">
        <v>3</v>
      </c>
      <c r="C304">
        <v>18</v>
      </c>
      <c r="D304" s="86">
        <v>0</v>
      </c>
      <c r="E304">
        <v>4</v>
      </c>
      <c r="F304">
        <v>1</v>
      </c>
      <c r="G304">
        <v>16</v>
      </c>
      <c r="H304">
        <v>6</v>
      </c>
      <c r="I304">
        <v>0.25</v>
      </c>
      <c r="J304">
        <v>0.38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1</v>
      </c>
      <c r="Y304">
        <v>0</v>
      </c>
      <c r="Z304">
        <v>0</v>
      </c>
      <c r="AA304" s="86">
        <f>AVERAGEIFS($C$2:C304, $B$2:B304, B304)</f>
        <v>23</v>
      </c>
      <c r="AB304" s="86">
        <f>AVERAGEIFS($I$2:I304, $B$2:B304, B304)</f>
        <v>0.495</v>
      </c>
      <c r="AC304" s="86">
        <f>AVERAGEIFS($J$2:J304, $B$2:B304, B304)</f>
        <v>0.48999999999999994</v>
      </c>
      <c r="AD304" s="86">
        <f>AVERAGEIFS($D$2:D304, $B$2:B304, B304)</f>
        <v>0.6</v>
      </c>
    </row>
    <row r="305" spans="1:30" x14ac:dyDescent="0.25">
      <c r="A305" s="85">
        <v>46075</v>
      </c>
      <c r="B305" t="s">
        <v>27</v>
      </c>
      <c r="C305">
        <v>18</v>
      </c>
      <c r="D305" s="86">
        <v>0</v>
      </c>
      <c r="E305">
        <v>4</v>
      </c>
      <c r="F305">
        <v>1</v>
      </c>
      <c r="G305">
        <v>16</v>
      </c>
      <c r="H305">
        <v>6</v>
      </c>
      <c r="I305">
        <v>0.25</v>
      </c>
      <c r="J305">
        <v>0.38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1</v>
      </c>
      <c r="Y305">
        <v>0</v>
      </c>
      <c r="Z305">
        <v>0</v>
      </c>
      <c r="AA305" s="86">
        <f>AVERAGEIFS($C$2:C305, $B$2:B305, B305)</f>
        <v>13.416666666666666</v>
      </c>
      <c r="AB305" s="86">
        <f>AVERAGEIFS($I$2:I305, $B$2:B305, B305)</f>
        <v>0.45416666666666661</v>
      </c>
      <c r="AC305" s="86">
        <f>AVERAGEIFS($J$2:J305, $B$2:B305, B305)</f>
        <v>0.47666666666666674</v>
      </c>
      <c r="AD305" s="86">
        <f>AVERAGEIFS($D$2:D305, $B$2:B305, B305)</f>
        <v>0.5</v>
      </c>
    </row>
    <row r="306" spans="1:30" x14ac:dyDescent="0.25">
      <c r="A306" s="85">
        <v>46075</v>
      </c>
      <c r="B306" t="s">
        <v>37</v>
      </c>
      <c r="C306">
        <v>17</v>
      </c>
      <c r="D306" s="86">
        <v>0</v>
      </c>
      <c r="E306">
        <v>4</v>
      </c>
      <c r="F306">
        <v>1</v>
      </c>
      <c r="G306">
        <v>16</v>
      </c>
      <c r="H306">
        <v>6</v>
      </c>
      <c r="I306">
        <v>0.25</v>
      </c>
      <c r="J306">
        <v>0.38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1</v>
      </c>
      <c r="Y306">
        <v>0</v>
      </c>
      <c r="Z306">
        <v>0</v>
      </c>
      <c r="AA306" s="86">
        <f>AVERAGEIFS($C$2:C306, $B$2:B306, B306)</f>
        <v>17.272727272727273</v>
      </c>
      <c r="AB306" s="86">
        <f>AVERAGEIFS($I$2:I306, $B$2:B306, B306)</f>
        <v>0.4681818181818182</v>
      </c>
      <c r="AC306" s="86">
        <f>AVERAGEIFS($J$2:J306, $B$2:B306, B306)</f>
        <v>0.469090909090909</v>
      </c>
      <c r="AD306" s="86">
        <f>AVERAGEIFS($D$2:D306, $B$2:B306, B306)</f>
        <v>0.36363636363636365</v>
      </c>
    </row>
    <row r="307" spans="1:30" x14ac:dyDescent="0.25">
      <c r="A307" s="85">
        <v>46075</v>
      </c>
      <c r="B307" t="s">
        <v>19</v>
      </c>
      <c r="C307">
        <v>11</v>
      </c>
      <c r="D307" s="86">
        <v>0</v>
      </c>
      <c r="E307">
        <v>4</v>
      </c>
      <c r="F307">
        <v>1</v>
      </c>
      <c r="G307">
        <v>16</v>
      </c>
      <c r="H307">
        <v>6</v>
      </c>
      <c r="I307">
        <v>0.25</v>
      </c>
      <c r="J307">
        <v>0.38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1</v>
      </c>
      <c r="Y307">
        <v>0</v>
      </c>
      <c r="Z307">
        <v>0</v>
      </c>
      <c r="AA307" s="86">
        <f>AVERAGEIFS($C$2:C307, $B$2:B307, B307)</f>
        <v>11.210526315789474</v>
      </c>
      <c r="AB307" s="86">
        <f>AVERAGEIFS($I$2:I307, $B$2:B307, B307)</f>
        <v>0.3842105263157895</v>
      </c>
      <c r="AC307" s="86">
        <f>AVERAGEIFS($J$2:J307, $B$2:B307, B307)</f>
        <v>0.44157894736842107</v>
      </c>
      <c r="AD307" s="86">
        <f>AVERAGEIFS($D$2:D307, $B$2:B307, B307)</f>
        <v>0.31578947368421051</v>
      </c>
    </row>
    <row r="308" spans="1:30" x14ac:dyDescent="0.25">
      <c r="A308" s="85">
        <v>46075</v>
      </c>
      <c r="B308" t="s">
        <v>55</v>
      </c>
      <c r="C308">
        <v>6</v>
      </c>
      <c r="D308" s="86">
        <v>0</v>
      </c>
      <c r="E308">
        <v>4</v>
      </c>
      <c r="F308">
        <v>1</v>
      </c>
      <c r="G308">
        <v>16</v>
      </c>
      <c r="H308">
        <v>6</v>
      </c>
      <c r="I308">
        <v>0.25</v>
      </c>
      <c r="J308">
        <v>0.38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1</v>
      </c>
      <c r="Y308">
        <v>0</v>
      </c>
      <c r="Z308">
        <v>0</v>
      </c>
      <c r="AA308" s="86">
        <f>AVERAGEIFS($C$2:C308, $B$2:B308, B308)</f>
        <v>10.833333333333334</v>
      </c>
      <c r="AB308" s="86">
        <f>AVERAGEIFS($I$2:I308, $B$2:B308, B308)</f>
        <v>0.55833333333333335</v>
      </c>
      <c r="AC308" s="86">
        <f>AVERAGEIFS($J$2:J308, $B$2:B308, B308)</f>
        <v>0.50166666666666659</v>
      </c>
      <c r="AD308" s="86">
        <f>AVERAGEIFS($D$2:D308, $B$2:B308, B308)</f>
        <v>0.66666666666666663</v>
      </c>
    </row>
    <row r="309" spans="1:30" x14ac:dyDescent="0.25">
      <c r="A309" s="85">
        <v>46083</v>
      </c>
      <c r="B309" t="s">
        <v>13</v>
      </c>
      <c r="C309">
        <v>43</v>
      </c>
      <c r="D309" s="86">
        <v>1</v>
      </c>
      <c r="E309">
        <v>4</v>
      </c>
      <c r="F309">
        <v>3</v>
      </c>
      <c r="G309">
        <v>16</v>
      </c>
      <c r="H309">
        <v>11</v>
      </c>
      <c r="I309">
        <v>0.75</v>
      </c>
      <c r="J309">
        <v>0.69</v>
      </c>
      <c r="K309">
        <v>0</v>
      </c>
      <c r="L309">
        <v>0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1</v>
      </c>
      <c r="AA309" s="86">
        <f>AVERAGEIFS($C$2:C309, $B$2:B309, B309)</f>
        <v>28.363636363636363</v>
      </c>
      <c r="AB309" s="86">
        <f>AVERAGEIFS($I$2:I309, $B$2:B309, B309)</f>
        <v>0.57045454545454544</v>
      </c>
      <c r="AC309" s="86">
        <f>AVERAGEIFS($J$2:J309, $B$2:B309, B309)</f>
        <v>0.5459090909090909</v>
      </c>
      <c r="AD309" s="86">
        <f>AVERAGEIFS($D$2:D309, $B$2:B309, B309)</f>
        <v>0.68181818181818177</v>
      </c>
    </row>
    <row r="310" spans="1:30" x14ac:dyDescent="0.25">
      <c r="A310" s="85">
        <v>46083</v>
      </c>
      <c r="B310" t="s">
        <v>2</v>
      </c>
      <c r="C310">
        <v>37</v>
      </c>
      <c r="D310" s="86">
        <v>1</v>
      </c>
      <c r="E310">
        <v>4</v>
      </c>
      <c r="F310">
        <v>3</v>
      </c>
      <c r="G310">
        <v>16</v>
      </c>
      <c r="H310">
        <v>11</v>
      </c>
      <c r="I310">
        <v>0.75</v>
      </c>
      <c r="J310">
        <v>0.69</v>
      </c>
      <c r="K310">
        <v>0</v>
      </c>
      <c r="L310">
        <v>0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1</v>
      </c>
      <c r="X310">
        <v>0</v>
      </c>
      <c r="Y310">
        <v>0</v>
      </c>
      <c r="Z310">
        <v>1</v>
      </c>
      <c r="AA310" s="86">
        <f>AVERAGEIFS($C$2:C310, $B$2:B310, B310)</f>
        <v>27</v>
      </c>
      <c r="AB310" s="86">
        <f>AVERAGEIFS($I$2:I310, $B$2:B310, B310)</f>
        <v>0.54999999999999993</v>
      </c>
      <c r="AC310" s="86">
        <f>AVERAGEIFS($J$2:J310, $B$2:B310, B310)</f>
        <v>0.53636363636363638</v>
      </c>
      <c r="AD310" s="86">
        <f>AVERAGEIFS($D$2:D310, $B$2:B310, B310)</f>
        <v>0.54545454545454541</v>
      </c>
    </row>
    <row r="311" spans="1:30" x14ac:dyDescent="0.25">
      <c r="A311" s="85">
        <v>46083</v>
      </c>
      <c r="B311" t="s">
        <v>20</v>
      </c>
      <c r="C311">
        <v>17</v>
      </c>
      <c r="D311" s="86">
        <v>1</v>
      </c>
      <c r="E311">
        <v>4</v>
      </c>
      <c r="F311">
        <v>3</v>
      </c>
      <c r="G311">
        <v>16</v>
      </c>
      <c r="H311">
        <v>11</v>
      </c>
      <c r="I311">
        <v>0.75</v>
      </c>
      <c r="J311">
        <v>0.69</v>
      </c>
      <c r="K311">
        <v>0</v>
      </c>
      <c r="L311">
        <v>0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1</v>
      </c>
      <c r="X311">
        <v>0</v>
      </c>
      <c r="Y311">
        <v>0</v>
      </c>
      <c r="Z311">
        <v>1</v>
      </c>
      <c r="AA311" s="86">
        <f>AVERAGEIFS($C$2:C311, $B$2:B311, B311)</f>
        <v>13.3125</v>
      </c>
      <c r="AB311" s="86">
        <f>AVERAGEIFS($I$2:I311, $B$2:B311, B311)</f>
        <v>0.49062499999999998</v>
      </c>
      <c r="AC311" s="86">
        <f>AVERAGEIFS($J$2:J311, $B$2:B311, B311)</f>
        <v>0.49875000000000003</v>
      </c>
      <c r="AD311" s="86">
        <f>AVERAGEIFS($D$2:D311, $B$2:B311, B311)</f>
        <v>0.375</v>
      </c>
    </row>
    <row r="312" spans="1:30" x14ac:dyDescent="0.25">
      <c r="A312" s="85">
        <v>46083</v>
      </c>
      <c r="B312" t="s">
        <v>35</v>
      </c>
      <c r="C312">
        <v>17</v>
      </c>
      <c r="D312" s="86">
        <v>1</v>
      </c>
      <c r="E312">
        <v>4</v>
      </c>
      <c r="F312">
        <v>3</v>
      </c>
      <c r="G312">
        <v>16</v>
      </c>
      <c r="H312">
        <v>11</v>
      </c>
      <c r="I312">
        <v>0.75</v>
      </c>
      <c r="J312">
        <v>0.69</v>
      </c>
      <c r="K312">
        <v>0</v>
      </c>
      <c r="L312">
        <v>0</v>
      </c>
      <c r="M312">
        <v>0</v>
      </c>
      <c r="N312">
        <v>1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1</v>
      </c>
      <c r="X312">
        <v>0</v>
      </c>
      <c r="Y312">
        <v>0</v>
      </c>
      <c r="Z312">
        <v>1</v>
      </c>
      <c r="AA312" s="86">
        <f>AVERAGEIFS($C$2:C312, $B$2:B312, B312)</f>
        <v>10.454545454545455</v>
      </c>
      <c r="AB312" s="86">
        <f>AVERAGEIFS($I$2:I312, $B$2:B312, B312)</f>
        <v>0.51818181818181819</v>
      </c>
      <c r="AC312" s="86">
        <f>AVERAGEIFS($J$2:J312, $B$2:B312, B312)</f>
        <v>0.53545454545454552</v>
      </c>
      <c r="AD312" s="86">
        <f>AVERAGEIFS($D$2:D312, $B$2:B312, B312)</f>
        <v>0.63636363636363635</v>
      </c>
    </row>
    <row r="313" spans="1:30" x14ac:dyDescent="0.25">
      <c r="A313" s="85">
        <v>46083</v>
      </c>
      <c r="B313" t="s">
        <v>29</v>
      </c>
      <c r="C313">
        <v>14</v>
      </c>
      <c r="D313" s="86">
        <v>1</v>
      </c>
      <c r="E313">
        <v>4</v>
      </c>
      <c r="F313">
        <v>3</v>
      </c>
      <c r="G313">
        <v>16</v>
      </c>
      <c r="H313">
        <v>11</v>
      </c>
      <c r="I313">
        <v>0.75</v>
      </c>
      <c r="J313">
        <v>0.69</v>
      </c>
      <c r="K313">
        <v>0</v>
      </c>
      <c r="L313">
        <v>0</v>
      </c>
      <c r="M313">
        <v>0</v>
      </c>
      <c r="N313">
        <v>1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1</v>
      </c>
      <c r="X313">
        <v>0</v>
      </c>
      <c r="Y313">
        <v>0</v>
      </c>
      <c r="Z313">
        <v>1</v>
      </c>
      <c r="AA313" s="86">
        <f>AVERAGEIFS($C$2:C313, $B$2:B313, B313)</f>
        <v>9.7333333333333325</v>
      </c>
      <c r="AB313" s="86">
        <f>AVERAGEIFS($I$2:I313, $B$2:B313, B313)</f>
        <v>0.47666666666666663</v>
      </c>
      <c r="AC313" s="86">
        <f>AVERAGEIFS($J$2:J313, $B$2:B313, B313)</f>
        <v>0.5033333333333333</v>
      </c>
      <c r="AD313" s="86">
        <f>AVERAGEIFS($D$2:D313, $B$2:B313, B313)</f>
        <v>0.53333333333333333</v>
      </c>
    </row>
    <row r="314" spans="1:30" x14ac:dyDescent="0.25">
      <c r="A314" s="85">
        <v>46083</v>
      </c>
      <c r="B314" t="s">
        <v>45</v>
      </c>
      <c r="C314">
        <v>13</v>
      </c>
      <c r="D314" s="86">
        <v>1</v>
      </c>
      <c r="E314">
        <v>4</v>
      </c>
      <c r="F314">
        <v>3</v>
      </c>
      <c r="G314">
        <v>16</v>
      </c>
      <c r="H314">
        <v>11</v>
      </c>
      <c r="I314">
        <v>0.75</v>
      </c>
      <c r="J314">
        <v>0.69</v>
      </c>
      <c r="K314">
        <v>0</v>
      </c>
      <c r="L314">
        <v>0</v>
      </c>
      <c r="M314">
        <v>0</v>
      </c>
      <c r="N314">
        <v>1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1</v>
      </c>
      <c r="X314">
        <v>0</v>
      </c>
      <c r="Y314">
        <v>0</v>
      </c>
      <c r="Z314">
        <v>1</v>
      </c>
      <c r="AA314" s="86">
        <f>AVERAGEIFS($C$2:C314, $B$2:B314, B314)</f>
        <v>10</v>
      </c>
      <c r="AB314" s="86">
        <f>AVERAGEIFS($I$2:I314, $B$2:B314, B314)</f>
        <v>0.45624999999999999</v>
      </c>
      <c r="AC314" s="86">
        <f>AVERAGEIFS($J$2:J314, $B$2:B314, B314)</f>
        <v>0.48374999999999996</v>
      </c>
      <c r="AD314" s="86">
        <f>AVERAGEIFS($D$2:D314, $B$2:B314, B314)</f>
        <v>0.375</v>
      </c>
    </row>
    <row r="315" spans="1:30" x14ac:dyDescent="0.25">
      <c r="A315" s="85">
        <v>46083</v>
      </c>
      <c r="B315" t="s">
        <v>6</v>
      </c>
      <c r="C315">
        <v>32</v>
      </c>
      <c r="D315" s="86">
        <v>0</v>
      </c>
      <c r="E315">
        <v>4</v>
      </c>
      <c r="F315">
        <v>1</v>
      </c>
      <c r="G315">
        <v>16</v>
      </c>
      <c r="H315">
        <v>5</v>
      </c>
      <c r="I315">
        <v>0.25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1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 s="86">
        <f>AVERAGEIFS($C$2:C315, $B$2:B315, B315)</f>
        <v>23.53846153846154</v>
      </c>
      <c r="AB315" s="86">
        <f>AVERAGEIFS($I$2:I315, $B$2:B315, B315)</f>
        <v>0.5923076923076922</v>
      </c>
      <c r="AC315" s="86">
        <f>AVERAGEIFS($J$2:J315, $B$2:B315, B315)</f>
        <v>0.52230769230769236</v>
      </c>
      <c r="AD315" s="86">
        <f>AVERAGEIFS($D$2:D315, $B$2:B315, B315)</f>
        <v>0.69230769230769229</v>
      </c>
    </row>
    <row r="316" spans="1:30" x14ac:dyDescent="0.25">
      <c r="A316" s="85">
        <v>46083</v>
      </c>
      <c r="B316" t="s">
        <v>18</v>
      </c>
      <c r="C316">
        <v>25</v>
      </c>
      <c r="D316" s="86">
        <v>0</v>
      </c>
      <c r="E316">
        <v>4</v>
      </c>
      <c r="F316">
        <v>1</v>
      </c>
      <c r="G316">
        <v>16</v>
      </c>
      <c r="H316">
        <v>5</v>
      </c>
      <c r="I316">
        <v>0.25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1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 s="86">
        <f>AVERAGEIFS($C$2:C316, $B$2:B316, B316)</f>
        <v>26.636363636363637</v>
      </c>
      <c r="AB316" s="86">
        <f>AVERAGEIFS($I$2:I316, $B$2:B316, B316)</f>
        <v>0.42272727272727278</v>
      </c>
      <c r="AC316" s="86">
        <f>AVERAGEIFS($J$2:J316, $B$2:B316, B316)</f>
        <v>0.44818181818181807</v>
      </c>
      <c r="AD316" s="86">
        <f>AVERAGEIFS($D$2:D316, $B$2:B316, B316)</f>
        <v>0.36363636363636365</v>
      </c>
    </row>
    <row r="317" spans="1:30" x14ac:dyDescent="0.25">
      <c r="A317" s="85">
        <v>46083</v>
      </c>
      <c r="B317" t="s">
        <v>26</v>
      </c>
      <c r="C317">
        <v>24</v>
      </c>
      <c r="D317" s="86">
        <v>0</v>
      </c>
      <c r="E317">
        <v>4</v>
      </c>
      <c r="F317">
        <v>1</v>
      </c>
      <c r="G317">
        <v>16</v>
      </c>
      <c r="H317">
        <v>5</v>
      </c>
      <c r="I317">
        <v>0.25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1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 s="86">
        <f>AVERAGEIFS($C$2:C317, $B$2:B317, B317)</f>
        <v>12.642857142857142</v>
      </c>
      <c r="AB317" s="86">
        <f>AVERAGEIFS($I$2:I317, $B$2:B317, B317)</f>
        <v>0.6607142857142857</v>
      </c>
      <c r="AC317" s="86">
        <f>AVERAGEIFS($J$2:J317, $B$2:B317, B317)</f>
        <v>0.57999999999999996</v>
      </c>
      <c r="AD317" s="86">
        <f>AVERAGEIFS($D$2:D317, $B$2:B317, B317)</f>
        <v>0.7142857142857143</v>
      </c>
    </row>
    <row r="318" spans="1:30" x14ac:dyDescent="0.25">
      <c r="A318" s="85">
        <v>46083</v>
      </c>
      <c r="B318" t="s">
        <v>46</v>
      </c>
      <c r="C318">
        <v>23</v>
      </c>
      <c r="D318" s="86">
        <v>0</v>
      </c>
      <c r="E318">
        <v>4</v>
      </c>
      <c r="F318">
        <v>1</v>
      </c>
      <c r="G318">
        <v>16</v>
      </c>
      <c r="H318">
        <v>5</v>
      </c>
      <c r="I318">
        <v>0.25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1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 s="86">
        <f>AVERAGEIFS($C$2:C318, $B$2:B318, B318)</f>
        <v>20.333333333333332</v>
      </c>
      <c r="AB318" s="86">
        <f>AVERAGEIFS($I$2:I318, $B$2:B318, B318)</f>
        <v>0.41666666666666669</v>
      </c>
      <c r="AC318" s="86">
        <f>AVERAGEIFS($J$2:J318, $B$2:B318, B318)</f>
        <v>0.44999999999999996</v>
      </c>
      <c r="AD318" s="86">
        <f>AVERAGEIFS($D$2:D318, $B$2:B318, B318)</f>
        <v>0.44444444444444442</v>
      </c>
    </row>
    <row r="319" spans="1:30" x14ac:dyDescent="0.25">
      <c r="A319" s="85">
        <v>46083</v>
      </c>
      <c r="B319" t="s">
        <v>51</v>
      </c>
      <c r="C319">
        <v>17</v>
      </c>
      <c r="D319" s="86">
        <v>0</v>
      </c>
      <c r="E319">
        <v>4</v>
      </c>
      <c r="F319">
        <v>1</v>
      </c>
      <c r="G319">
        <v>16</v>
      </c>
      <c r="H319">
        <v>5</v>
      </c>
      <c r="I319">
        <v>0.25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1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 s="86">
        <f>AVERAGEIFS($C$2:C319, $B$2:B319, B319)</f>
        <v>13.916666666666666</v>
      </c>
      <c r="AB319" s="86">
        <f>AVERAGEIFS($I$2:I319, $B$2:B319, B319)</f>
        <v>0.55000000000000004</v>
      </c>
      <c r="AC319" s="86">
        <f>AVERAGEIFS($J$2:J319, $B$2:B319, B319)</f>
        <v>0.51583333333333337</v>
      </c>
      <c r="AD319" s="86">
        <f>AVERAGEIFS($D$2:D319, $B$2:B319, B319)</f>
        <v>0.58333333333333337</v>
      </c>
    </row>
    <row r="320" spans="1:30" x14ac:dyDescent="0.25">
      <c r="A320" s="85">
        <v>46083</v>
      </c>
      <c r="B320" t="s">
        <v>38</v>
      </c>
      <c r="C320">
        <v>4</v>
      </c>
      <c r="D320" s="86">
        <v>0</v>
      </c>
      <c r="E320">
        <v>4</v>
      </c>
      <c r="F320">
        <v>1</v>
      </c>
      <c r="G320">
        <v>16</v>
      </c>
      <c r="H320">
        <v>5</v>
      </c>
      <c r="I320">
        <v>0.25</v>
      </c>
      <c r="J320">
        <v>0.31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1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86">
        <f>AVERAGEIFS($C$2:C320, $B$2:B320, B320)</f>
        <v>3.4</v>
      </c>
      <c r="AB320" s="86">
        <f>AVERAGEIFS($I$2:I320, $B$2:B320, B320)</f>
        <v>0.45</v>
      </c>
      <c r="AC320" s="86">
        <f>AVERAGEIFS($J$2:J320, $B$2:B320, B320)</f>
        <v>0.45</v>
      </c>
      <c r="AD320" s="86">
        <f>AVERAGEIFS($D$2:D320, $B$2:B320, B320)</f>
        <v>0.4</v>
      </c>
    </row>
    <row r="321" spans="1:30" x14ac:dyDescent="0.25">
      <c r="A321" s="85">
        <v>46086</v>
      </c>
      <c r="B321" t="s">
        <v>17</v>
      </c>
      <c r="C321">
        <v>21</v>
      </c>
      <c r="D321" s="86">
        <v>1</v>
      </c>
      <c r="E321">
        <v>4</v>
      </c>
      <c r="F321">
        <v>3</v>
      </c>
      <c r="G321">
        <v>15</v>
      </c>
      <c r="H321">
        <v>10</v>
      </c>
      <c r="I321">
        <v>0.75</v>
      </c>
      <c r="J321">
        <v>0.67</v>
      </c>
      <c r="K321">
        <v>0</v>
      </c>
      <c r="L321">
        <v>1</v>
      </c>
      <c r="M321">
        <v>0</v>
      </c>
      <c r="N321">
        <v>1</v>
      </c>
      <c r="O321">
        <v>0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86">
        <f>AVERAGEIFS($C$2:C321, $B$2:B321, B321)</f>
        <v>25.227272727272727</v>
      </c>
      <c r="AB321" s="86">
        <f>AVERAGEIFS($I$2:I321, $B$2:B321, B321)</f>
        <v>0.53409090909090917</v>
      </c>
      <c r="AC321" s="86">
        <f>AVERAGEIFS($J$2:J321, $B$2:B321, B321)</f>
        <v>0.53772727272727261</v>
      </c>
      <c r="AD321" s="86">
        <f>AVERAGEIFS($D$2:D321, $B$2:B321, B321)</f>
        <v>0.45454545454545453</v>
      </c>
    </row>
    <row r="322" spans="1:30" x14ac:dyDescent="0.25">
      <c r="A322" s="85">
        <v>46086</v>
      </c>
      <c r="B322" t="s">
        <v>13</v>
      </c>
      <c r="C322">
        <v>16</v>
      </c>
      <c r="D322" s="86">
        <v>1</v>
      </c>
      <c r="E322">
        <v>4</v>
      </c>
      <c r="F322">
        <v>3</v>
      </c>
      <c r="G322">
        <v>15</v>
      </c>
      <c r="H322">
        <v>10</v>
      </c>
      <c r="I322">
        <v>0.75</v>
      </c>
      <c r="J322">
        <v>0.67</v>
      </c>
      <c r="K322">
        <v>0</v>
      </c>
      <c r="L322">
        <v>1</v>
      </c>
      <c r="M322">
        <v>0</v>
      </c>
      <c r="N322">
        <v>1</v>
      </c>
      <c r="O322">
        <v>0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86">
        <f>AVERAGEIFS($C$2:C322, $B$2:B322, B322)</f>
        <v>27.826086956521738</v>
      </c>
      <c r="AB322" s="86">
        <f>AVERAGEIFS($I$2:I322, $B$2:B322, B322)</f>
        <v>0.57826086956521738</v>
      </c>
      <c r="AC322" s="86">
        <f>AVERAGEIFS($J$2:J322, $B$2:B322, B322)</f>
        <v>0.55130434782608695</v>
      </c>
      <c r="AD322" s="86">
        <f>AVERAGEIFS($D$2:D322, $B$2:B322, B322)</f>
        <v>0.69565217391304346</v>
      </c>
    </row>
    <row r="323" spans="1:30" x14ac:dyDescent="0.25">
      <c r="A323" s="85">
        <v>46086</v>
      </c>
      <c r="B323" t="s">
        <v>26</v>
      </c>
      <c r="C323">
        <v>11</v>
      </c>
      <c r="D323" s="86">
        <v>1</v>
      </c>
      <c r="E323">
        <v>4</v>
      </c>
      <c r="F323">
        <v>3</v>
      </c>
      <c r="G323">
        <v>15</v>
      </c>
      <c r="H323">
        <v>10</v>
      </c>
      <c r="I323">
        <v>0.75</v>
      </c>
      <c r="J323">
        <v>0.67</v>
      </c>
      <c r="K323">
        <v>0</v>
      </c>
      <c r="L323">
        <v>1</v>
      </c>
      <c r="M323">
        <v>0</v>
      </c>
      <c r="N323">
        <v>1</v>
      </c>
      <c r="O323">
        <v>0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86">
        <f>AVERAGEIFS($C$2:C323, $B$2:B323, B323)</f>
        <v>12.533333333333333</v>
      </c>
      <c r="AB323" s="86">
        <f>AVERAGEIFS($I$2:I323, $B$2:B323, B323)</f>
        <v>0.66666666666666663</v>
      </c>
      <c r="AC323" s="86">
        <f>AVERAGEIFS($J$2:J323, $B$2:B323, B323)</f>
        <v>0.58599999999999997</v>
      </c>
      <c r="AD323" s="86">
        <f>AVERAGEIFS($D$2:D323, $B$2:B323, B323)</f>
        <v>0.73333333333333328</v>
      </c>
    </row>
    <row r="324" spans="1:30" x14ac:dyDescent="0.25">
      <c r="A324" s="85">
        <v>46086</v>
      </c>
      <c r="B324" t="s">
        <v>45</v>
      </c>
      <c r="C324">
        <v>9</v>
      </c>
      <c r="D324" s="86">
        <v>1</v>
      </c>
      <c r="E324">
        <v>4</v>
      </c>
      <c r="F324">
        <v>3</v>
      </c>
      <c r="G324">
        <v>15</v>
      </c>
      <c r="H324">
        <v>10</v>
      </c>
      <c r="I324">
        <v>0.75</v>
      </c>
      <c r="J324">
        <v>0.67</v>
      </c>
      <c r="K324">
        <v>0</v>
      </c>
      <c r="L324">
        <v>1</v>
      </c>
      <c r="M324">
        <v>0</v>
      </c>
      <c r="N324">
        <v>1</v>
      </c>
      <c r="O324">
        <v>0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86">
        <f>AVERAGEIFS($C$2:C324, $B$2:B324, B324)</f>
        <v>9.8888888888888893</v>
      </c>
      <c r="AB324" s="86">
        <f>AVERAGEIFS($I$2:I324, $B$2:B324, B324)</f>
        <v>0.48888888888888893</v>
      </c>
      <c r="AC324" s="86">
        <f>AVERAGEIFS($J$2:J324, $B$2:B324, B324)</f>
        <v>0.50444444444444447</v>
      </c>
      <c r="AD324" s="86">
        <f>AVERAGEIFS($D$2:D324, $B$2:B324, B324)</f>
        <v>0.44444444444444442</v>
      </c>
    </row>
    <row r="325" spans="1:30" x14ac:dyDescent="0.25">
      <c r="A325" s="85">
        <v>46086</v>
      </c>
      <c r="B325" t="s">
        <v>34</v>
      </c>
      <c r="C325">
        <v>6</v>
      </c>
      <c r="D325" s="86">
        <v>1</v>
      </c>
      <c r="E325">
        <v>4</v>
      </c>
      <c r="F325">
        <v>3</v>
      </c>
      <c r="G325">
        <v>15</v>
      </c>
      <c r="H325">
        <v>10</v>
      </c>
      <c r="I325">
        <v>0.75</v>
      </c>
      <c r="J325">
        <v>0.67</v>
      </c>
      <c r="K325">
        <v>0</v>
      </c>
      <c r="L325">
        <v>1</v>
      </c>
      <c r="M325">
        <v>0</v>
      </c>
      <c r="N325">
        <v>1</v>
      </c>
      <c r="O325">
        <v>0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86">
        <f>AVERAGEIFS($C$2:C325, $B$2:B325, B325)</f>
        <v>5.5</v>
      </c>
      <c r="AB325" s="86">
        <f>AVERAGEIFS($I$2:I325, $B$2:B325, B325)</f>
        <v>0.875</v>
      </c>
      <c r="AC325" s="86">
        <f>AVERAGEIFS($J$2:J325, $B$2:B325, B325)</f>
        <v>0.71</v>
      </c>
      <c r="AD325" s="86">
        <f>AVERAGEIFS($D$2:D325, $B$2:B325, B325)</f>
        <v>1</v>
      </c>
    </row>
    <row r="326" spans="1:30" x14ac:dyDescent="0.25">
      <c r="A326" s="85">
        <v>46086</v>
      </c>
      <c r="B326" t="s">
        <v>14</v>
      </c>
      <c r="C326">
        <v>21</v>
      </c>
      <c r="D326" s="86">
        <v>0</v>
      </c>
      <c r="E326">
        <v>4</v>
      </c>
      <c r="F326">
        <v>1</v>
      </c>
      <c r="G326">
        <v>15</v>
      </c>
      <c r="H326">
        <v>5</v>
      </c>
      <c r="I326">
        <v>0.25</v>
      </c>
      <c r="J326">
        <v>0.33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86">
        <f>AVERAGEIFS($C$2:C326, $B$2:B326, B326)</f>
        <v>25.157894736842106</v>
      </c>
      <c r="AB326" s="86">
        <f>AVERAGEIFS($I$2:I326, $B$2:B326, B326)</f>
        <v>0.51578947368421058</v>
      </c>
      <c r="AC326" s="86">
        <f>AVERAGEIFS($J$2:J326, $B$2:B326, B326)</f>
        <v>0.49736842105263152</v>
      </c>
      <c r="AD326" s="86">
        <f>AVERAGEIFS($D$2:D326, $B$2:B326, B326)</f>
        <v>0.52631578947368418</v>
      </c>
    </row>
    <row r="327" spans="1:30" x14ac:dyDescent="0.25">
      <c r="A327" s="85">
        <v>46086</v>
      </c>
      <c r="B327" t="s">
        <v>19</v>
      </c>
      <c r="C327">
        <v>17</v>
      </c>
      <c r="D327" s="86">
        <v>0</v>
      </c>
      <c r="E327">
        <v>4</v>
      </c>
      <c r="F327">
        <v>1</v>
      </c>
      <c r="G327">
        <v>15</v>
      </c>
      <c r="H327">
        <v>5</v>
      </c>
      <c r="I327">
        <v>0.25</v>
      </c>
      <c r="J327">
        <v>0.33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86">
        <f>AVERAGEIFS($C$2:C327, $B$2:B327, B327)</f>
        <v>11.5</v>
      </c>
      <c r="AB327" s="86">
        <f>AVERAGEIFS($I$2:I327, $B$2:B327, B327)</f>
        <v>0.37750000000000006</v>
      </c>
      <c r="AC327" s="86">
        <f>AVERAGEIFS($J$2:J327, $B$2:B327, B327)</f>
        <v>0.43600000000000005</v>
      </c>
      <c r="AD327" s="86">
        <f>AVERAGEIFS($D$2:D327, $B$2:B327, B327)</f>
        <v>0.3</v>
      </c>
    </row>
    <row r="328" spans="1:30" x14ac:dyDescent="0.25">
      <c r="A328" s="85">
        <v>46086</v>
      </c>
      <c r="B328" t="s">
        <v>5</v>
      </c>
      <c r="C328">
        <v>6</v>
      </c>
      <c r="D328" s="86">
        <v>0</v>
      </c>
      <c r="E328">
        <v>4</v>
      </c>
      <c r="F328">
        <v>1</v>
      </c>
      <c r="G328">
        <v>15</v>
      </c>
      <c r="H328">
        <v>5</v>
      </c>
      <c r="I328">
        <v>0.25</v>
      </c>
      <c r="J328">
        <v>0.33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86">
        <f>AVERAGEIFS($C$2:C328, $B$2:B328, B328)</f>
        <v>24</v>
      </c>
      <c r="AB328" s="86">
        <f>AVERAGEIFS($I$2:I328, $B$2:B328, B328)</f>
        <v>0.45555555555555549</v>
      </c>
      <c r="AC328" s="86">
        <f>AVERAGEIFS($J$2:J328, $B$2:B328, B328)</f>
        <v>0.47</v>
      </c>
      <c r="AD328" s="86">
        <f>AVERAGEIFS($D$2:D328, $B$2:B328, B328)</f>
        <v>0.44444444444444442</v>
      </c>
    </row>
    <row r="329" spans="1:30" x14ac:dyDescent="0.25">
      <c r="A329" s="85">
        <v>46086</v>
      </c>
      <c r="B329" t="s">
        <v>29</v>
      </c>
      <c r="C329">
        <v>6</v>
      </c>
      <c r="D329" s="86">
        <v>0</v>
      </c>
      <c r="E329">
        <v>4</v>
      </c>
      <c r="F329">
        <v>1</v>
      </c>
      <c r="G329">
        <v>15</v>
      </c>
      <c r="H329">
        <v>5</v>
      </c>
      <c r="I329">
        <v>0.25</v>
      </c>
      <c r="J329">
        <v>0.33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86">
        <f>AVERAGEIFS($C$2:C329, $B$2:B329, B329)</f>
        <v>9.5</v>
      </c>
      <c r="AB329" s="86">
        <f>AVERAGEIFS($I$2:I329, $B$2:B329, B329)</f>
        <v>0.46249999999999997</v>
      </c>
      <c r="AC329" s="86">
        <f>AVERAGEIFS($J$2:J329, $B$2:B329, B329)</f>
        <v>0.49249999999999994</v>
      </c>
      <c r="AD329" s="86">
        <f>AVERAGEIFS($D$2:D329, $B$2:B329, B329)</f>
        <v>0.5</v>
      </c>
    </row>
    <row r="330" spans="1:30" x14ac:dyDescent="0.25">
      <c r="A330" s="85">
        <v>46086</v>
      </c>
      <c r="B330" t="s">
        <v>55</v>
      </c>
      <c r="C330">
        <v>4</v>
      </c>
      <c r="D330" s="86">
        <v>0</v>
      </c>
      <c r="E330">
        <v>4</v>
      </c>
      <c r="F330">
        <v>1</v>
      </c>
      <c r="G330">
        <v>15</v>
      </c>
      <c r="H330">
        <v>5</v>
      </c>
      <c r="I330">
        <v>0.25</v>
      </c>
      <c r="J330">
        <v>0.33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86">
        <f>AVERAGEIFS($C$2:C330, $B$2:B330, B330)</f>
        <v>9.8571428571428577</v>
      </c>
      <c r="AB330" s="86">
        <f>AVERAGEIFS($I$2:I330, $B$2:B330, B330)</f>
        <v>0.51428571428571435</v>
      </c>
      <c r="AC330" s="86">
        <f>AVERAGEIFS($J$2:J330, $B$2:B330, B330)</f>
        <v>0.47714285714285715</v>
      </c>
      <c r="AD330" s="86">
        <f>AVERAGEIFS($D$2:D330, $B$2:B330, B330)</f>
        <v>0.5714285714285714</v>
      </c>
    </row>
    <row r="331" spans="1:30" x14ac:dyDescent="0.25">
      <c r="A331" s="85">
        <v>46089</v>
      </c>
      <c r="B331" t="s">
        <v>42</v>
      </c>
      <c r="C331">
        <v>10</v>
      </c>
      <c r="D331" s="86">
        <v>0</v>
      </c>
      <c r="E331">
        <v>5</v>
      </c>
      <c r="F331">
        <v>2</v>
      </c>
      <c r="G331">
        <v>19</v>
      </c>
      <c r="H331">
        <v>7</v>
      </c>
      <c r="I331">
        <v>0.4</v>
      </c>
      <c r="J331">
        <v>0.37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1</v>
      </c>
      <c r="Z331">
        <v>0</v>
      </c>
      <c r="AA331" s="86">
        <f>AVERAGEIFS($C$2:C331, $B$2:B331, B331)</f>
        <v>7.5</v>
      </c>
      <c r="AB331" s="86">
        <f>AVERAGEIFS($I$2:I331, $B$2:B331, B331)</f>
        <v>0.2</v>
      </c>
      <c r="AC331" s="86">
        <f>AVERAGEIFS($J$2:J331, $B$2:B331, B331)</f>
        <v>0.27500000000000002</v>
      </c>
      <c r="AD331" s="86">
        <f>AVERAGEIFS($D$2:D331, $B$2:B331, B331)</f>
        <v>0</v>
      </c>
    </row>
    <row r="332" spans="1:30" x14ac:dyDescent="0.25">
      <c r="A332" s="85">
        <v>46089</v>
      </c>
      <c r="B332" t="s">
        <v>25</v>
      </c>
      <c r="C332">
        <v>22</v>
      </c>
      <c r="D332" s="86">
        <v>0</v>
      </c>
      <c r="E332">
        <v>5</v>
      </c>
      <c r="F332">
        <v>2</v>
      </c>
      <c r="G332">
        <v>19</v>
      </c>
      <c r="H332">
        <v>7</v>
      </c>
      <c r="I332">
        <v>0.4</v>
      </c>
      <c r="J332">
        <v>0.37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1</v>
      </c>
      <c r="W332">
        <v>0</v>
      </c>
      <c r="X332">
        <v>0</v>
      </c>
      <c r="Y332">
        <v>1</v>
      </c>
      <c r="Z332">
        <v>0</v>
      </c>
      <c r="AA332" s="86">
        <f>AVERAGEIFS($C$2:C332, $B$2:B332, B332)</f>
        <v>15.444444444444445</v>
      </c>
      <c r="AB332" s="86">
        <f>AVERAGEIFS($I$2:I332, $B$2:B332, B332)</f>
        <v>0.64444444444444449</v>
      </c>
      <c r="AC332" s="86">
        <f>AVERAGEIFS($J$2:J332, $B$2:B332, B332)</f>
        <v>0.57333333333333336</v>
      </c>
      <c r="AD332" s="86">
        <f>AVERAGEIFS($D$2:D332, $B$2:B332, B332)</f>
        <v>0.55555555555555558</v>
      </c>
    </row>
    <row r="333" spans="1:30" x14ac:dyDescent="0.25">
      <c r="A333" s="85">
        <v>46089</v>
      </c>
      <c r="B333" t="s">
        <v>27</v>
      </c>
      <c r="C333">
        <v>13</v>
      </c>
      <c r="D333" s="86">
        <v>0</v>
      </c>
      <c r="E333">
        <v>5</v>
      </c>
      <c r="F333">
        <v>2</v>
      </c>
      <c r="G333">
        <v>19</v>
      </c>
      <c r="H333">
        <v>7</v>
      </c>
      <c r="I333">
        <v>0.4</v>
      </c>
      <c r="J333">
        <v>0.37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1</v>
      </c>
      <c r="W333">
        <v>0</v>
      </c>
      <c r="X333">
        <v>0</v>
      </c>
      <c r="Y333">
        <v>1</v>
      </c>
      <c r="Z333">
        <v>0</v>
      </c>
      <c r="AA333" s="86">
        <f>AVERAGEIFS($C$2:C333, $B$2:B333, B333)</f>
        <v>13.384615384615385</v>
      </c>
      <c r="AB333" s="86">
        <f>AVERAGEIFS($I$2:I333, $B$2:B333, B333)</f>
        <v>0.44999999999999996</v>
      </c>
      <c r="AC333" s="86">
        <f>AVERAGEIFS($J$2:J333, $B$2:B333, B333)</f>
        <v>0.46846153846153854</v>
      </c>
      <c r="AD333" s="86">
        <f>AVERAGEIFS($D$2:D333, $B$2:B333, B333)</f>
        <v>0.46153846153846156</v>
      </c>
    </row>
    <row r="334" spans="1:30" x14ac:dyDescent="0.25">
      <c r="A334" s="85">
        <v>46089</v>
      </c>
      <c r="B334" t="s">
        <v>139</v>
      </c>
      <c r="C334">
        <v>12</v>
      </c>
      <c r="D334" s="86">
        <v>0</v>
      </c>
      <c r="E334">
        <v>5</v>
      </c>
      <c r="F334">
        <v>2</v>
      </c>
      <c r="G334">
        <v>19</v>
      </c>
      <c r="H334">
        <v>7</v>
      </c>
      <c r="I334">
        <v>0.4</v>
      </c>
      <c r="J334">
        <v>0.37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1</v>
      </c>
      <c r="W334">
        <v>0</v>
      </c>
      <c r="X334">
        <v>0</v>
      </c>
      <c r="Y334">
        <v>1</v>
      </c>
      <c r="Z334">
        <v>0</v>
      </c>
      <c r="AA334" s="86">
        <f>AVERAGEIFS($C$2:C334, $B$2:B334, B334)</f>
        <v>12</v>
      </c>
      <c r="AB334" s="86">
        <f>AVERAGEIFS($I$2:I334, $B$2:B334, B334)</f>
        <v>0.4</v>
      </c>
      <c r="AC334" s="86">
        <f>AVERAGEIFS($J$2:J334, $B$2:B334, B334)</f>
        <v>0.37</v>
      </c>
      <c r="AD334" s="86">
        <f>AVERAGEIFS($D$2:D334, $B$2:B334, B334)</f>
        <v>0</v>
      </c>
    </row>
    <row r="335" spans="1:30" x14ac:dyDescent="0.25">
      <c r="A335" s="85">
        <v>46089</v>
      </c>
      <c r="B335" t="s">
        <v>51</v>
      </c>
      <c r="C335">
        <v>13</v>
      </c>
      <c r="D335" s="86">
        <v>0</v>
      </c>
      <c r="E335">
        <v>5</v>
      </c>
      <c r="F335">
        <v>2</v>
      </c>
      <c r="G335">
        <v>19</v>
      </c>
      <c r="H335">
        <v>7</v>
      </c>
      <c r="I335">
        <v>0.4</v>
      </c>
      <c r="J335">
        <v>0.37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1</v>
      </c>
      <c r="W335">
        <v>0</v>
      </c>
      <c r="X335">
        <v>0</v>
      </c>
      <c r="Y335">
        <v>1</v>
      </c>
      <c r="Z335">
        <v>0</v>
      </c>
      <c r="AA335" s="86">
        <f>AVERAGEIFS($C$2:C335, $B$2:B335, B335)</f>
        <v>13.846153846153847</v>
      </c>
      <c r="AB335" s="86">
        <f>AVERAGEIFS($I$2:I335, $B$2:B335, B335)</f>
        <v>0.53846153846153855</v>
      </c>
      <c r="AC335" s="86">
        <f>AVERAGEIFS($J$2:J335, $B$2:B335, B335)</f>
        <v>0.50461538461538469</v>
      </c>
      <c r="AD335" s="86">
        <f>AVERAGEIFS($D$2:D335, $B$2:B335, B335)</f>
        <v>0.53846153846153844</v>
      </c>
    </row>
    <row r="336" spans="1:30" x14ac:dyDescent="0.25">
      <c r="A336" s="85">
        <v>46089</v>
      </c>
      <c r="B336" t="s">
        <v>13</v>
      </c>
      <c r="C336">
        <v>31</v>
      </c>
      <c r="D336" s="86">
        <v>0</v>
      </c>
      <c r="E336">
        <v>5</v>
      </c>
      <c r="F336">
        <v>2</v>
      </c>
      <c r="G336">
        <v>19</v>
      </c>
      <c r="H336">
        <v>7</v>
      </c>
      <c r="I336">
        <v>0.4</v>
      </c>
      <c r="J336">
        <v>0.37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1</v>
      </c>
      <c r="W336">
        <v>0</v>
      </c>
      <c r="X336">
        <v>0</v>
      </c>
      <c r="Y336">
        <v>1</v>
      </c>
      <c r="Z336">
        <v>0</v>
      </c>
      <c r="AA336" s="86">
        <f>AVERAGEIFS($C$2:C336, $B$2:B336, B336)</f>
        <v>27.958333333333332</v>
      </c>
      <c r="AB336" s="86">
        <f>AVERAGEIFS($I$2:I336, $B$2:B336, B336)</f>
        <v>0.5708333333333333</v>
      </c>
      <c r="AC336" s="86">
        <f>AVERAGEIFS($J$2:J336, $B$2:B336, B336)</f>
        <v>0.54374999999999996</v>
      </c>
      <c r="AD336" s="86">
        <f>AVERAGEIFS($D$2:D336, $B$2:B336, B336)</f>
        <v>0.66666666666666663</v>
      </c>
    </row>
    <row r="337" spans="1:30" x14ac:dyDescent="0.25">
      <c r="A337" s="85">
        <v>46089</v>
      </c>
      <c r="B337" t="s">
        <v>17</v>
      </c>
      <c r="C337">
        <v>29</v>
      </c>
      <c r="D337" s="86">
        <v>0</v>
      </c>
      <c r="E337">
        <v>5</v>
      </c>
      <c r="F337">
        <v>2</v>
      </c>
      <c r="G337">
        <v>19</v>
      </c>
      <c r="H337">
        <v>7</v>
      </c>
      <c r="I337">
        <v>0.4</v>
      </c>
      <c r="J337">
        <v>0.37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1</v>
      </c>
      <c r="W337">
        <v>0</v>
      </c>
      <c r="X337">
        <v>0</v>
      </c>
      <c r="Y337">
        <v>1</v>
      </c>
      <c r="Z337">
        <v>0</v>
      </c>
      <c r="AA337" s="86">
        <f>AVERAGEIFS($C$2:C337, $B$2:B337, B337)</f>
        <v>25.391304347826086</v>
      </c>
      <c r="AB337" s="86">
        <f>AVERAGEIFS($I$2:I337, $B$2:B337, B337)</f>
        <v>0.52826086956521745</v>
      </c>
      <c r="AC337" s="86">
        <f>AVERAGEIFS($J$2:J337, $B$2:B337, B337)</f>
        <v>0.53043478260869559</v>
      </c>
      <c r="AD337" s="86">
        <f>AVERAGEIFS($D$2:D337, $B$2:B337, B337)</f>
        <v>0.43478260869565216</v>
      </c>
    </row>
    <row r="338" spans="1:30" x14ac:dyDescent="0.25">
      <c r="A338" s="85">
        <v>46089</v>
      </c>
      <c r="B338" t="s">
        <v>26</v>
      </c>
      <c r="C338">
        <v>12</v>
      </c>
      <c r="D338" s="86">
        <v>0</v>
      </c>
      <c r="E338">
        <v>5</v>
      </c>
      <c r="F338">
        <v>2</v>
      </c>
      <c r="G338">
        <v>19</v>
      </c>
      <c r="H338">
        <v>7</v>
      </c>
      <c r="I338">
        <v>0.4</v>
      </c>
      <c r="J338">
        <v>0.37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1</v>
      </c>
      <c r="W338">
        <v>0</v>
      </c>
      <c r="X338">
        <v>0</v>
      </c>
      <c r="Y338">
        <v>1</v>
      </c>
      <c r="Z338">
        <v>0</v>
      </c>
      <c r="AA338" s="86">
        <f>AVERAGEIFS($C$2:C338, $B$2:B338, B338)</f>
        <v>12.5</v>
      </c>
      <c r="AB338" s="86">
        <f>AVERAGEIFS($I$2:I338, $B$2:B338, B338)</f>
        <v>0.65</v>
      </c>
      <c r="AC338" s="86">
        <f>AVERAGEIFS($J$2:J338, $B$2:B338, B338)</f>
        <v>0.5724999999999999</v>
      </c>
      <c r="AD338" s="86">
        <f>AVERAGEIFS($D$2:D338, $B$2:B338, B338)</f>
        <v>0.6875</v>
      </c>
    </row>
    <row r="339" spans="1:30" x14ac:dyDescent="0.25">
      <c r="A339" s="85">
        <v>46089</v>
      </c>
      <c r="B339" t="s">
        <v>37</v>
      </c>
      <c r="C339">
        <v>30</v>
      </c>
      <c r="D339" s="86">
        <v>1</v>
      </c>
      <c r="E339">
        <v>5</v>
      </c>
      <c r="F339">
        <v>3</v>
      </c>
      <c r="G339">
        <v>19</v>
      </c>
      <c r="H339">
        <v>12</v>
      </c>
      <c r="I339">
        <v>0.6</v>
      </c>
      <c r="J339">
        <v>0.63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1</v>
      </c>
      <c r="Y339">
        <v>0</v>
      </c>
      <c r="Z339">
        <v>1</v>
      </c>
      <c r="AA339" s="86">
        <f>AVERAGEIFS($C$2:C339, $B$2:B339, B339)</f>
        <v>18.333333333333332</v>
      </c>
      <c r="AB339" s="86">
        <f>AVERAGEIFS($I$2:I339, $B$2:B339, B339)</f>
        <v>0.47916666666666669</v>
      </c>
      <c r="AC339" s="86">
        <f>AVERAGEIFS($J$2:J339, $B$2:B339, B339)</f>
        <v>0.48249999999999993</v>
      </c>
      <c r="AD339" s="86">
        <f>AVERAGEIFS($D$2:D339, $B$2:B339, B339)</f>
        <v>0.41666666666666669</v>
      </c>
    </row>
    <row r="340" spans="1:30" x14ac:dyDescent="0.25">
      <c r="A340" s="85">
        <v>46089</v>
      </c>
      <c r="B340" t="s">
        <v>19</v>
      </c>
      <c r="C340">
        <v>17</v>
      </c>
      <c r="D340" s="86">
        <v>1</v>
      </c>
      <c r="E340">
        <v>5</v>
      </c>
      <c r="F340">
        <v>3</v>
      </c>
      <c r="G340">
        <v>19</v>
      </c>
      <c r="H340">
        <v>12</v>
      </c>
      <c r="I340">
        <v>0.6</v>
      </c>
      <c r="J340">
        <v>0.63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1</v>
      </c>
      <c r="Y340">
        <v>0</v>
      </c>
      <c r="Z340">
        <v>1</v>
      </c>
      <c r="AA340" s="86">
        <f>AVERAGEIFS($C$2:C340, $B$2:B340, B340)</f>
        <v>11.761904761904763</v>
      </c>
      <c r="AB340" s="86">
        <f>AVERAGEIFS($I$2:I340, $B$2:B340, B340)</f>
        <v>0.3880952380952381</v>
      </c>
      <c r="AC340" s="86">
        <f>AVERAGEIFS($J$2:J340, $B$2:B340, B340)</f>
        <v>0.44523809523809532</v>
      </c>
      <c r="AD340" s="86">
        <f>AVERAGEIFS($D$2:D340, $B$2:B340, B340)</f>
        <v>0.33333333333333331</v>
      </c>
    </row>
    <row r="341" spans="1:30" x14ac:dyDescent="0.25">
      <c r="A341" s="85">
        <v>46089</v>
      </c>
      <c r="B341" t="s">
        <v>45</v>
      </c>
      <c r="C341">
        <v>12</v>
      </c>
      <c r="D341" s="86">
        <v>1</v>
      </c>
      <c r="E341">
        <v>5</v>
      </c>
      <c r="F341">
        <v>3</v>
      </c>
      <c r="G341">
        <v>19</v>
      </c>
      <c r="H341">
        <v>12</v>
      </c>
      <c r="I341">
        <v>0.6</v>
      </c>
      <c r="J341">
        <v>0.63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1</v>
      </c>
      <c r="Y341">
        <v>0</v>
      </c>
      <c r="Z341">
        <v>1</v>
      </c>
      <c r="AA341" s="86">
        <f>AVERAGEIFS($C$2:C341, $B$2:B341, B341)</f>
        <v>10.1</v>
      </c>
      <c r="AB341" s="86">
        <f>AVERAGEIFS($I$2:I341, $B$2:B341, B341)</f>
        <v>0.5</v>
      </c>
      <c r="AC341" s="86">
        <f>AVERAGEIFS($J$2:J341, $B$2:B341, B341)</f>
        <v>0.51700000000000002</v>
      </c>
      <c r="AD341" s="86">
        <f>AVERAGEIFS($D$2:D341, $B$2:B341, B341)</f>
        <v>0.5</v>
      </c>
    </row>
    <row r="342" spans="1:30" x14ac:dyDescent="0.25">
      <c r="A342" s="85">
        <v>46089</v>
      </c>
      <c r="B342" t="s">
        <v>20</v>
      </c>
      <c r="C342">
        <v>16</v>
      </c>
      <c r="D342" s="86">
        <v>1</v>
      </c>
      <c r="E342">
        <v>5</v>
      </c>
      <c r="F342">
        <v>3</v>
      </c>
      <c r="G342">
        <v>19</v>
      </c>
      <c r="H342">
        <v>12</v>
      </c>
      <c r="I342">
        <v>0.6</v>
      </c>
      <c r="J342">
        <v>0.63</v>
      </c>
      <c r="K342">
        <v>0</v>
      </c>
      <c r="L342">
        <v>0</v>
      </c>
      <c r="M342">
        <v>0</v>
      </c>
      <c r="N342">
        <v>1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 s="86">
        <f>AVERAGEIFS($C$2:C342, $B$2:B342, B342)</f>
        <v>13.470588235294118</v>
      </c>
      <c r="AB342" s="86">
        <f>AVERAGEIFS($I$2:I342, $B$2:B342, B342)</f>
        <v>0.49705882352941172</v>
      </c>
      <c r="AC342" s="86">
        <f>AVERAGEIFS($J$2:J342, $B$2:B342, B342)</f>
        <v>0.50647058823529423</v>
      </c>
      <c r="AD342" s="86">
        <f>AVERAGEIFS($D$2:D342, $B$2:B342, B342)</f>
        <v>0.41176470588235292</v>
      </c>
    </row>
    <row r="343" spans="1:30" x14ac:dyDescent="0.25">
      <c r="A343" s="85">
        <v>46089</v>
      </c>
      <c r="B343" t="s">
        <v>15</v>
      </c>
      <c r="C343">
        <v>20</v>
      </c>
      <c r="D343" s="86">
        <v>1</v>
      </c>
      <c r="E343">
        <v>5</v>
      </c>
      <c r="F343">
        <v>3</v>
      </c>
      <c r="G343">
        <v>19</v>
      </c>
      <c r="H343">
        <v>12</v>
      </c>
      <c r="I343">
        <v>0.6</v>
      </c>
      <c r="J343">
        <v>0.63</v>
      </c>
      <c r="K343">
        <v>0</v>
      </c>
      <c r="L343">
        <v>0</v>
      </c>
      <c r="M343">
        <v>0</v>
      </c>
      <c r="N343">
        <v>1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 s="86">
        <f>AVERAGEIFS($C$2:C343, $B$2:B343, B343)</f>
        <v>25.833333333333332</v>
      </c>
      <c r="AB343" s="86">
        <f>AVERAGEIFS($I$2:I343, $B$2:B343, B343)</f>
        <v>0.41388888888888892</v>
      </c>
      <c r="AC343" s="86">
        <f>AVERAGEIFS($J$2:J343, $B$2:B343, B343)</f>
        <v>0.47055555555555562</v>
      </c>
      <c r="AD343" s="86">
        <f>AVERAGEIFS($D$2:D343, $B$2:B343, B343)</f>
        <v>0.27777777777777779</v>
      </c>
    </row>
    <row r="344" spans="1:30" x14ac:dyDescent="0.25">
      <c r="A344" s="85">
        <v>46089</v>
      </c>
      <c r="B344" t="s">
        <v>2</v>
      </c>
      <c r="C344">
        <v>24</v>
      </c>
      <c r="D344" s="86">
        <v>1</v>
      </c>
      <c r="E344">
        <v>5</v>
      </c>
      <c r="F344">
        <v>3</v>
      </c>
      <c r="G344">
        <v>19</v>
      </c>
      <c r="H344">
        <v>12</v>
      </c>
      <c r="I344">
        <v>0.6</v>
      </c>
      <c r="J344">
        <v>0.63</v>
      </c>
      <c r="K344">
        <v>0</v>
      </c>
      <c r="L344">
        <v>0</v>
      </c>
      <c r="M344">
        <v>0</v>
      </c>
      <c r="N344">
        <v>1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 s="86">
        <f>AVERAGEIFS($C$2:C344, $B$2:B344, B344)</f>
        <v>26.75</v>
      </c>
      <c r="AB344" s="86">
        <f>AVERAGEIFS($I$2:I344, $B$2:B344, B344)</f>
        <v>0.55416666666666659</v>
      </c>
      <c r="AC344" s="86">
        <f>AVERAGEIFS($J$2:J344, $B$2:B344, B344)</f>
        <v>0.54416666666666669</v>
      </c>
      <c r="AD344" s="86">
        <f>AVERAGEIFS($D$2:D344, $B$2:B344, B344)</f>
        <v>0.58333333333333337</v>
      </c>
    </row>
    <row r="345" spans="1:30" x14ac:dyDescent="0.25">
      <c r="A345" s="85">
        <v>46089</v>
      </c>
      <c r="B345" t="s">
        <v>14</v>
      </c>
      <c r="C345">
        <v>42</v>
      </c>
      <c r="D345" s="86">
        <v>1</v>
      </c>
      <c r="E345">
        <v>5</v>
      </c>
      <c r="F345">
        <v>3</v>
      </c>
      <c r="G345">
        <v>19</v>
      </c>
      <c r="H345">
        <v>12</v>
      </c>
      <c r="I345">
        <v>0.6</v>
      </c>
      <c r="J345">
        <v>0.63</v>
      </c>
      <c r="K345">
        <v>0</v>
      </c>
      <c r="L345">
        <v>0</v>
      </c>
      <c r="M345">
        <v>0</v>
      </c>
      <c r="N345">
        <v>1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 s="86">
        <f>AVERAGEIFS($C$2:C345, $B$2:B345, B345)</f>
        <v>26</v>
      </c>
      <c r="AB345" s="86">
        <f>AVERAGEIFS($I$2:I345, $B$2:B345, B345)</f>
        <v>0.52</v>
      </c>
      <c r="AC345" s="86">
        <f>AVERAGEIFS($J$2:J345, $B$2:B345, B345)</f>
        <v>0.504</v>
      </c>
      <c r="AD345" s="86">
        <f>AVERAGEIFS($D$2:D345, $B$2:B345, B345)</f>
        <v>0.55000000000000004</v>
      </c>
    </row>
    <row r="346" spans="1:30" x14ac:dyDescent="0.25">
      <c r="A346" s="85">
        <v>46089</v>
      </c>
      <c r="B346" t="s">
        <v>55</v>
      </c>
      <c r="C346">
        <v>14</v>
      </c>
      <c r="D346" s="86">
        <v>1</v>
      </c>
      <c r="E346">
        <v>5</v>
      </c>
      <c r="F346">
        <v>3</v>
      </c>
      <c r="G346">
        <v>19</v>
      </c>
      <c r="H346">
        <v>12</v>
      </c>
      <c r="I346">
        <v>0.6</v>
      </c>
      <c r="J346">
        <v>0.63</v>
      </c>
      <c r="K346">
        <v>0</v>
      </c>
      <c r="L346">
        <v>0</v>
      </c>
      <c r="M346">
        <v>0</v>
      </c>
      <c r="N346">
        <v>1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 s="86">
        <f>AVERAGEIFS($C$2:C346, $B$2:B346, B346)</f>
        <v>10.375</v>
      </c>
      <c r="AB346" s="86">
        <f>AVERAGEIFS($I$2:I346, $B$2:B346, B346)</f>
        <v>0.52500000000000002</v>
      </c>
      <c r="AC346" s="86">
        <f>AVERAGEIFS($J$2:J346, $B$2:B346, B346)</f>
        <v>0.49624999999999997</v>
      </c>
      <c r="AD346" s="86">
        <f>AVERAGEIFS($D$2:D346, $B$2:B346, B346)</f>
        <v>0.625</v>
      </c>
    </row>
    <row r="347" spans="1:30" x14ac:dyDescent="0.25">
      <c r="A347" s="85">
        <v>46093</v>
      </c>
      <c r="B347" t="s">
        <v>13</v>
      </c>
      <c r="C347">
        <v>38</v>
      </c>
      <c r="D347" s="86">
        <v>1</v>
      </c>
      <c r="E347">
        <v>5</v>
      </c>
      <c r="F347">
        <v>3</v>
      </c>
      <c r="G347">
        <v>21</v>
      </c>
      <c r="H347">
        <v>12</v>
      </c>
      <c r="I347">
        <v>0.6</v>
      </c>
      <c r="J347">
        <v>0.56999999999999995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1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1</v>
      </c>
      <c r="W347">
        <v>0</v>
      </c>
      <c r="X347">
        <v>1</v>
      </c>
      <c r="Y347">
        <v>0</v>
      </c>
      <c r="Z347">
        <v>0</v>
      </c>
      <c r="AA347" s="86">
        <f>AVERAGEIFS($C$2:C347, $B$2:B347, B347)</f>
        <v>28.36</v>
      </c>
      <c r="AB347" s="86">
        <f>AVERAGEIFS($I$2:I347, $B$2:B347, B347)</f>
        <v>0.57199999999999995</v>
      </c>
      <c r="AC347" s="86">
        <f>AVERAGEIFS($J$2:J347, $B$2:B347, B347)</f>
        <v>0.54479999999999995</v>
      </c>
      <c r="AD347" s="86">
        <f>AVERAGEIFS($D$2:D347, $B$2:B347, B347)</f>
        <v>0.68</v>
      </c>
    </row>
    <row r="348" spans="1:30" x14ac:dyDescent="0.25">
      <c r="A348" s="85">
        <v>46093</v>
      </c>
      <c r="B348" t="s">
        <v>28</v>
      </c>
      <c r="C348">
        <v>27</v>
      </c>
      <c r="D348" s="86">
        <v>1</v>
      </c>
      <c r="E348">
        <v>5</v>
      </c>
      <c r="F348">
        <v>3</v>
      </c>
      <c r="G348">
        <v>21</v>
      </c>
      <c r="H348">
        <v>12</v>
      </c>
      <c r="I348">
        <v>0.6</v>
      </c>
      <c r="J348">
        <v>0.56999999999999995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1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1</v>
      </c>
      <c r="W348">
        <v>0</v>
      </c>
      <c r="X348">
        <v>1</v>
      </c>
      <c r="Y348">
        <v>0</v>
      </c>
      <c r="Z348">
        <v>0</v>
      </c>
      <c r="AA348" s="86">
        <f>AVERAGEIFS($C$2:C348, $B$2:B348, B348)</f>
        <v>13.666666666666666</v>
      </c>
      <c r="AB348" s="86">
        <f>AVERAGEIFS($I$2:I348, $B$2:B348, B348)</f>
        <v>0.38999999999999996</v>
      </c>
      <c r="AC348" s="86">
        <f>AVERAGEIFS($J$2:J348, $B$2:B348, B348)</f>
        <v>0.45200000000000001</v>
      </c>
      <c r="AD348" s="86">
        <f>AVERAGEIFS($D$2:D348, $B$2:B348, B348)</f>
        <v>0.4</v>
      </c>
    </row>
    <row r="349" spans="1:30" x14ac:dyDescent="0.25">
      <c r="A349" s="85">
        <v>46093</v>
      </c>
      <c r="B349" t="s">
        <v>14</v>
      </c>
      <c r="C349">
        <v>25</v>
      </c>
      <c r="D349" s="86">
        <v>1</v>
      </c>
      <c r="E349">
        <v>5</v>
      </c>
      <c r="F349">
        <v>3</v>
      </c>
      <c r="G349">
        <v>21</v>
      </c>
      <c r="H349">
        <v>12</v>
      </c>
      <c r="I349">
        <v>0.6</v>
      </c>
      <c r="J349">
        <v>0.56999999999999995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1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1</v>
      </c>
      <c r="W349">
        <v>0</v>
      </c>
      <c r="X349">
        <v>1</v>
      </c>
      <c r="Y349">
        <v>0</v>
      </c>
      <c r="Z349">
        <v>0</v>
      </c>
      <c r="AA349" s="86">
        <f>AVERAGEIFS($C$2:C349, $B$2:B349, B349)</f>
        <v>25.952380952380953</v>
      </c>
      <c r="AB349" s="86">
        <f>AVERAGEIFS($I$2:I349, $B$2:B349, B349)</f>
        <v>0.52380952380952384</v>
      </c>
      <c r="AC349" s="86">
        <f>AVERAGEIFS($J$2:J349, $B$2:B349, B349)</f>
        <v>0.50714285714285712</v>
      </c>
      <c r="AD349" s="86">
        <f>AVERAGEIFS($D$2:D349, $B$2:B349, B349)</f>
        <v>0.5714285714285714</v>
      </c>
    </row>
    <row r="350" spans="1:30" x14ac:dyDescent="0.25">
      <c r="A350" s="85">
        <v>46093</v>
      </c>
      <c r="B350" t="s">
        <v>19</v>
      </c>
      <c r="C350">
        <v>20</v>
      </c>
      <c r="D350" s="86">
        <v>1</v>
      </c>
      <c r="E350">
        <v>5</v>
      </c>
      <c r="F350">
        <v>3</v>
      </c>
      <c r="G350">
        <v>21</v>
      </c>
      <c r="H350">
        <v>12</v>
      </c>
      <c r="I350">
        <v>0.6</v>
      </c>
      <c r="J350">
        <v>0.56999999999999995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1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1</v>
      </c>
      <c r="W350">
        <v>0</v>
      </c>
      <c r="X350">
        <v>1</v>
      </c>
      <c r="Y350">
        <v>0</v>
      </c>
      <c r="Z350">
        <v>0</v>
      </c>
      <c r="AA350" s="86">
        <f>AVERAGEIFS($C$2:C350, $B$2:B350, B350)</f>
        <v>12.136363636363637</v>
      </c>
      <c r="AB350" s="86">
        <f>AVERAGEIFS($I$2:I350, $B$2:B350, B350)</f>
        <v>0.39772727272727271</v>
      </c>
      <c r="AC350" s="86">
        <f>AVERAGEIFS($J$2:J350, $B$2:B350, B350)</f>
        <v>0.45090909090909098</v>
      </c>
      <c r="AD350" s="86">
        <f>AVERAGEIFS($D$2:D350, $B$2:B350, B350)</f>
        <v>0.36363636363636365</v>
      </c>
    </row>
    <row r="351" spans="1:30" x14ac:dyDescent="0.25">
      <c r="A351" s="85">
        <v>46093</v>
      </c>
      <c r="B351" t="s">
        <v>139</v>
      </c>
      <c r="C351">
        <v>13</v>
      </c>
      <c r="D351" s="86">
        <v>1</v>
      </c>
      <c r="E351">
        <v>5</v>
      </c>
      <c r="F351">
        <v>3</v>
      </c>
      <c r="G351">
        <v>21</v>
      </c>
      <c r="H351">
        <v>12</v>
      </c>
      <c r="I351">
        <v>0.6</v>
      </c>
      <c r="J351">
        <v>0.56999999999999995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1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1</v>
      </c>
      <c r="W351">
        <v>0</v>
      </c>
      <c r="X351">
        <v>1</v>
      </c>
      <c r="Y351">
        <v>0</v>
      </c>
      <c r="Z351">
        <v>0</v>
      </c>
      <c r="AA351" s="86">
        <f>AVERAGEIFS($C$2:C351, $B$2:B351, B351)</f>
        <v>12.5</v>
      </c>
      <c r="AB351" s="86">
        <f>AVERAGEIFS($I$2:I351, $B$2:B351, B351)</f>
        <v>0.5</v>
      </c>
      <c r="AC351" s="86">
        <f>AVERAGEIFS($J$2:J351, $B$2:B351, B351)</f>
        <v>0.47</v>
      </c>
      <c r="AD351" s="86">
        <f>AVERAGEIFS($D$2:D351, $B$2:B351, B351)</f>
        <v>0.5</v>
      </c>
    </row>
    <row r="352" spans="1:30" x14ac:dyDescent="0.25">
      <c r="A352" s="85">
        <v>46093</v>
      </c>
      <c r="B352" t="s">
        <v>26</v>
      </c>
      <c r="C352">
        <v>13</v>
      </c>
      <c r="D352" s="86">
        <v>1</v>
      </c>
      <c r="E352">
        <v>5</v>
      </c>
      <c r="F352">
        <v>3</v>
      </c>
      <c r="G352">
        <v>21</v>
      </c>
      <c r="H352">
        <v>12</v>
      </c>
      <c r="I352">
        <v>0.6</v>
      </c>
      <c r="J352">
        <v>0.56999999999999995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1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1</v>
      </c>
      <c r="W352">
        <v>0</v>
      </c>
      <c r="X352">
        <v>1</v>
      </c>
      <c r="Y352">
        <v>0</v>
      </c>
      <c r="Z352">
        <v>0</v>
      </c>
      <c r="AA352" s="86">
        <f>AVERAGEIFS($C$2:C352, $B$2:B352, B352)</f>
        <v>12.529411764705882</v>
      </c>
      <c r="AB352" s="86">
        <f>AVERAGEIFS($I$2:I352, $B$2:B352, B352)</f>
        <v>0.6470588235294118</v>
      </c>
      <c r="AC352" s="86">
        <f>AVERAGEIFS($J$2:J352, $B$2:B352, B352)</f>
        <v>0.57235294117647051</v>
      </c>
      <c r="AD352" s="86">
        <f>AVERAGEIFS($D$2:D352, $B$2:B352, B352)</f>
        <v>0.70588235294117652</v>
      </c>
    </row>
    <row r="353" spans="1:30" x14ac:dyDescent="0.25">
      <c r="A353" s="85">
        <v>46093</v>
      </c>
      <c r="B353" t="s">
        <v>140</v>
      </c>
      <c r="C353">
        <v>4</v>
      </c>
      <c r="D353" s="86">
        <v>1</v>
      </c>
      <c r="E353">
        <v>5</v>
      </c>
      <c r="F353">
        <v>3</v>
      </c>
      <c r="G353">
        <v>21</v>
      </c>
      <c r="H353">
        <v>12</v>
      </c>
      <c r="I353">
        <v>0.6</v>
      </c>
      <c r="J353">
        <v>0.56999999999999995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1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1</v>
      </c>
      <c r="W353">
        <v>0</v>
      </c>
      <c r="X353">
        <v>1</v>
      </c>
      <c r="Y353">
        <v>0</v>
      </c>
      <c r="Z353">
        <v>0</v>
      </c>
      <c r="AA353" s="86">
        <f>AVERAGEIFS($C$2:C353, $B$2:B353, B353)</f>
        <v>4</v>
      </c>
      <c r="AB353" s="86">
        <f>AVERAGEIFS($I$2:I353, $B$2:B353, B353)</f>
        <v>0.6</v>
      </c>
      <c r="AC353" s="86">
        <f>AVERAGEIFS($J$2:J353, $B$2:B353, B353)</f>
        <v>0.56999999999999995</v>
      </c>
      <c r="AD353" s="86">
        <f>AVERAGEIFS($D$2:D353, $B$2:B353, B353)</f>
        <v>1</v>
      </c>
    </row>
    <row r="354" spans="1:30" x14ac:dyDescent="0.25">
      <c r="A354" s="85">
        <v>46093</v>
      </c>
      <c r="B354" t="s">
        <v>17</v>
      </c>
      <c r="C354">
        <v>39</v>
      </c>
      <c r="D354" s="86">
        <v>0</v>
      </c>
      <c r="E354">
        <v>5</v>
      </c>
      <c r="F354">
        <v>2</v>
      </c>
      <c r="G354">
        <v>21</v>
      </c>
      <c r="H354">
        <v>9</v>
      </c>
      <c r="I354">
        <v>0.4</v>
      </c>
      <c r="J354">
        <v>0.43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1</v>
      </c>
      <c r="AA354" s="86">
        <f>AVERAGEIFS($C$2:C354, $B$2:B354, B354)</f>
        <v>25.958333333333332</v>
      </c>
      <c r="AB354" s="86">
        <f>AVERAGEIFS($I$2:I354, $B$2:B354, B354)</f>
        <v>0.52291666666666681</v>
      </c>
      <c r="AC354" s="86">
        <f>AVERAGEIFS($J$2:J354, $B$2:B354, B354)</f>
        <v>0.52624999999999988</v>
      </c>
      <c r="AD354" s="86">
        <f>AVERAGEIFS($D$2:D354, $B$2:B354, B354)</f>
        <v>0.41666666666666669</v>
      </c>
    </row>
    <row r="355" spans="1:30" x14ac:dyDescent="0.25">
      <c r="A355" s="85">
        <v>46093</v>
      </c>
      <c r="B355" t="s">
        <v>18</v>
      </c>
      <c r="C355">
        <v>34</v>
      </c>
      <c r="D355" s="86">
        <v>0</v>
      </c>
      <c r="E355">
        <v>5</v>
      </c>
      <c r="F355">
        <v>2</v>
      </c>
      <c r="G355">
        <v>21</v>
      </c>
      <c r="H355">
        <v>9</v>
      </c>
      <c r="I355">
        <v>0.4</v>
      </c>
      <c r="J355">
        <v>0.43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 s="86">
        <f>AVERAGEIFS($C$2:C355, $B$2:B355, B355)</f>
        <v>27.25</v>
      </c>
      <c r="AB355" s="86">
        <f>AVERAGEIFS($I$2:I355, $B$2:B355, B355)</f>
        <v>0.42083333333333339</v>
      </c>
      <c r="AC355" s="86">
        <f>AVERAGEIFS($J$2:J355, $B$2:B355, B355)</f>
        <v>0.44666666666666655</v>
      </c>
      <c r="AD355" s="86">
        <f>AVERAGEIFS($D$2:D355, $B$2:B355, B355)</f>
        <v>0.33333333333333331</v>
      </c>
    </row>
    <row r="356" spans="1:30" x14ac:dyDescent="0.25">
      <c r="A356" s="85">
        <v>46093</v>
      </c>
      <c r="B356" t="s">
        <v>37</v>
      </c>
      <c r="C356">
        <v>22</v>
      </c>
      <c r="D356" s="86">
        <v>0</v>
      </c>
      <c r="E356">
        <v>5</v>
      </c>
      <c r="F356">
        <v>2</v>
      </c>
      <c r="G356">
        <v>21</v>
      </c>
      <c r="H356">
        <v>9</v>
      </c>
      <c r="I356">
        <v>0.4</v>
      </c>
      <c r="J356">
        <v>0.43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 s="86">
        <f>AVERAGEIFS($C$2:C356, $B$2:B356, B356)</f>
        <v>18.615384615384617</v>
      </c>
      <c r="AB356" s="86">
        <f>AVERAGEIFS($I$2:I356, $B$2:B356, B356)</f>
        <v>0.47307692307692312</v>
      </c>
      <c r="AC356" s="86">
        <f>AVERAGEIFS($J$2:J356, $B$2:B356, B356)</f>
        <v>0.47846153846153838</v>
      </c>
      <c r="AD356" s="86">
        <f>AVERAGEIFS($D$2:D356, $B$2:B356, B356)</f>
        <v>0.38461538461538464</v>
      </c>
    </row>
    <row r="357" spans="1:30" x14ac:dyDescent="0.25">
      <c r="A357" s="85">
        <v>46093</v>
      </c>
      <c r="B357" t="s">
        <v>20</v>
      </c>
      <c r="C357">
        <v>17</v>
      </c>
      <c r="D357" s="86">
        <v>0</v>
      </c>
      <c r="E357">
        <v>5</v>
      </c>
      <c r="F357">
        <v>2</v>
      </c>
      <c r="G357">
        <v>21</v>
      </c>
      <c r="H357">
        <v>9</v>
      </c>
      <c r="I357">
        <v>0.4</v>
      </c>
      <c r="J357">
        <v>0.43</v>
      </c>
      <c r="K357">
        <v>0</v>
      </c>
      <c r="L357">
        <v>0</v>
      </c>
      <c r="M357">
        <v>0</v>
      </c>
      <c r="N357">
        <v>1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 s="86">
        <f>AVERAGEIFS($C$2:C357, $B$2:B357, B357)</f>
        <v>13.666666666666666</v>
      </c>
      <c r="AB357" s="86">
        <f>AVERAGEIFS($I$2:I357, $B$2:B357, B357)</f>
        <v>0.49166666666666664</v>
      </c>
      <c r="AC357" s="86">
        <f>AVERAGEIFS($J$2:J357, $B$2:B357, B357)</f>
        <v>0.50222222222222224</v>
      </c>
      <c r="AD357" s="86">
        <f>AVERAGEIFS($D$2:D357, $B$2:B357, B357)</f>
        <v>0.3888888888888889</v>
      </c>
    </row>
    <row r="358" spans="1:30" x14ac:dyDescent="0.25">
      <c r="A358" s="85">
        <v>46093</v>
      </c>
      <c r="B358" t="s">
        <v>45</v>
      </c>
      <c r="C358">
        <v>13</v>
      </c>
      <c r="D358" s="86">
        <v>0</v>
      </c>
      <c r="E358">
        <v>5</v>
      </c>
      <c r="F358">
        <v>2</v>
      </c>
      <c r="G358">
        <v>21</v>
      </c>
      <c r="H358">
        <v>9</v>
      </c>
      <c r="I358">
        <v>0.4</v>
      </c>
      <c r="J358">
        <v>0.43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 s="86">
        <f>AVERAGEIFS($C$2:C358, $B$2:B358, B358)</f>
        <v>10.363636363636363</v>
      </c>
      <c r="AB358" s="86">
        <f>AVERAGEIFS($I$2:I358, $B$2:B358, B358)</f>
        <v>0.49090909090909096</v>
      </c>
      <c r="AC358" s="86">
        <f>AVERAGEIFS($J$2:J358, $B$2:B358, B358)</f>
        <v>0.50909090909090904</v>
      </c>
      <c r="AD358" s="86">
        <f>AVERAGEIFS($D$2:D358, $B$2:B358, B358)</f>
        <v>0.45454545454545453</v>
      </c>
    </row>
    <row r="359" spans="1:30" x14ac:dyDescent="0.25">
      <c r="A359" s="85">
        <v>46093</v>
      </c>
      <c r="B359" t="s">
        <v>29</v>
      </c>
      <c r="C359">
        <v>13</v>
      </c>
      <c r="D359" s="86">
        <v>0</v>
      </c>
      <c r="E359">
        <v>5</v>
      </c>
      <c r="F359">
        <v>2</v>
      </c>
      <c r="G359">
        <v>21</v>
      </c>
      <c r="H359">
        <v>9</v>
      </c>
      <c r="I359">
        <v>0.4</v>
      </c>
      <c r="J359">
        <v>0.43</v>
      </c>
      <c r="K359">
        <v>0</v>
      </c>
      <c r="L359">
        <v>0</v>
      </c>
      <c r="M359">
        <v>0</v>
      </c>
      <c r="N359">
        <v>1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 s="86">
        <f>AVERAGEIFS($C$2:C359, $B$2:B359, B359)</f>
        <v>9.7058823529411757</v>
      </c>
      <c r="AB359" s="86">
        <f>AVERAGEIFS($I$2:I359, $B$2:B359, B359)</f>
        <v>0.45882352941176469</v>
      </c>
      <c r="AC359" s="86">
        <f>AVERAGEIFS($J$2:J359, $B$2:B359, B359)</f>
        <v>0.48882352941176466</v>
      </c>
      <c r="AD359" s="86">
        <f>AVERAGEIFS($D$2:D359, $B$2:B359, B359)</f>
        <v>0.47058823529411764</v>
      </c>
    </row>
    <row r="360" spans="1:30" x14ac:dyDescent="0.25">
      <c r="A360" s="85">
        <v>46093</v>
      </c>
      <c r="B360" t="s">
        <v>137</v>
      </c>
      <c r="C360">
        <v>2</v>
      </c>
      <c r="D360" s="86">
        <v>0</v>
      </c>
      <c r="E360">
        <v>5</v>
      </c>
      <c r="F360">
        <v>2</v>
      </c>
      <c r="G360">
        <v>21</v>
      </c>
      <c r="H360">
        <v>9</v>
      </c>
      <c r="I360">
        <v>0.4</v>
      </c>
      <c r="J360">
        <v>0.43</v>
      </c>
      <c r="K360">
        <v>0</v>
      </c>
      <c r="L360">
        <v>0</v>
      </c>
      <c r="M360">
        <v>0</v>
      </c>
      <c r="N360">
        <v>1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1</v>
      </c>
      <c r="AA360" s="86">
        <f>AVERAGEIFS($C$2:C360, $B$2:B360, B360)</f>
        <v>7.6</v>
      </c>
      <c r="AB360" s="86">
        <f>AVERAGEIFS($I$2:I360, $B$2:B360, B360)</f>
        <v>0.55999999999999994</v>
      </c>
      <c r="AC360" s="86">
        <f>AVERAGEIFS($J$2:J360, $B$2:B360, B360)</f>
        <v>0.52200000000000002</v>
      </c>
      <c r="AD360" s="86">
        <f>AVERAGEIFS($D$2:D360, $B$2:B360, B360)</f>
        <v>0.4</v>
      </c>
    </row>
    <row r="361" spans="1:30" x14ac:dyDescent="0.25">
      <c r="A361" s="85">
        <v>46096</v>
      </c>
      <c r="B361" t="s">
        <v>38</v>
      </c>
      <c r="C361">
        <v>7</v>
      </c>
      <c r="D361" s="86">
        <v>0</v>
      </c>
      <c r="E361">
        <v>3</v>
      </c>
      <c r="F361">
        <v>0</v>
      </c>
      <c r="G361">
        <v>12</v>
      </c>
      <c r="H361">
        <v>3</v>
      </c>
      <c r="I361">
        <v>0</v>
      </c>
      <c r="J361">
        <v>0.25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 s="86">
        <f>AVERAGEIFS($C$2:C361, $B$2:B361, B361)</f>
        <v>4</v>
      </c>
      <c r="AB361" s="86">
        <f>AVERAGEIFS($I$2:I361, $B$2:B361, B361)</f>
        <v>0.375</v>
      </c>
      <c r="AC361" s="86">
        <f>AVERAGEIFS($J$2:J361, $B$2:B361, B361)</f>
        <v>0.41666666666666669</v>
      </c>
      <c r="AD361" s="86">
        <f>AVERAGEIFS($D$2:D361, $B$2:B361, B361)</f>
        <v>0.33333333333333331</v>
      </c>
    </row>
    <row r="362" spans="1:30" x14ac:dyDescent="0.25">
      <c r="A362" s="85">
        <v>46096</v>
      </c>
      <c r="B362" t="s">
        <v>13</v>
      </c>
      <c r="C362">
        <v>24</v>
      </c>
      <c r="D362" s="86">
        <v>0</v>
      </c>
      <c r="E362">
        <v>3</v>
      </c>
      <c r="F362">
        <v>0</v>
      </c>
      <c r="G362">
        <v>12</v>
      </c>
      <c r="H362">
        <v>3</v>
      </c>
      <c r="I362">
        <v>0</v>
      </c>
      <c r="J362">
        <v>0.25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 s="86">
        <f>AVERAGEIFS($C$2:C362, $B$2:B362, B362)</f>
        <v>28.192307692307693</v>
      </c>
      <c r="AB362" s="86">
        <f>AVERAGEIFS($I$2:I362, $B$2:B362, B362)</f>
        <v>0.54999999999999993</v>
      </c>
      <c r="AC362" s="86">
        <f>AVERAGEIFS($J$2:J362, $B$2:B362, B362)</f>
        <v>0.53346153846153843</v>
      </c>
      <c r="AD362" s="86">
        <f>AVERAGEIFS($D$2:D362, $B$2:B362, B362)</f>
        <v>0.65384615384615385</v>
      </c>
    </row>
    <row r="363" spans="1:30" x14ac:dyDescent="0.25">
      <c r="A363" s="85">
        <v>46096</v>
      </c>
      <c r="B363" t="s">
        <v>18</v>
      </c>
      <c r="C363">
        <v>20</v>
      </c>
      <c r="D363" s="86">
        <v>0</v>
      </c>
      <c r="E363">
        <v>3</v>
      </c>
      <c r="F363">
        <v>0</v>
      </c>
      <c r="G363">
        <v>12</v>
      </c>
      <c r="H363">
        <v>3</v>
      </c>
      <c r="I363">
        <v>0</v>
      </c>
      <c r="J363">
        <v>0.25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 s="86">
        <f>AVERAGEIFS($C$2:C363, $B$2:B363, B363)</f>
        <v>26.692307692307693</v>
      </c>
      <c r="AB363" s="86">
        <f>AVERAGEIFS($I$2:I363, $B$2:B363, B363)</f>
        <v>0.38846153846153852</v>
      </c>
      <c r="AC363" s="86">
        <f>AVERAGEIFS($J$2:J363, $B$2:B363, B363)</f>
        <v>0.43153846153846143</v>
      </c>
      <c r="AD363" s="86">
        <f>AVERAGEIFS($D$2:D363, $B$2:B363, B363)</f>
        <v>0.30769230769230771</v>
      </c>
    </row>
    <row r="364" spans="1:30" x14ac:dyDescent="0.25">
      <c r="A364" s="85">
        <v>46096</v>
      </c>
      <c r="B364" t="s">
        <v>20</v>
      </c>
      <c r="C364">
        <v>15</v>
      </c>
      <c r="D364" s="86">
        <v>0</v>
      </c>
      <c r="E364">
        <v>3</v>
      </c>
      <c r="F364">
        <v>0</v>
      </c>
      <c r="G364">
        <v>12</v>
      </c>
      <c r="H364">
        <v>3</v>
      </c>
      <c r="I364">
        <v>0</v>
      </c>
      <c r="J364">
        <v>0.25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 s="86">
        <f>AVERAGEIFS($C$2:C364, $B$2:B364, B364)</f>
        <v>13.736842105263158</v>
      </c>
      <c r="AB364" s="86">
        <f>AVERAGEIFS($I$2:I364, $B$2:B364, B364)</f>
        <v>0.46578947368421053</v>
      </c>
      <c r="AC364" s="86">
        <f>AVERAGEIFS($J$2:J364, $B$2:B364, B364)</f>
        <v>0.48894736842105269</v>
      </c>
      <c r="AD364" s="86">
        <f>AVERAGEIFS($D$2:D364, $B$2:B364, B364)</f>
        <v>0.36842105263157893</v>
      </c>
    </row>
    <row r="365" spans="1:30" x14ac:dyDescent="0.25">
      <c r="A365" s="85">
        <v>46096</v>
      </c>
      <c r="B365" t="s">
        <v>19</v>
      </c>
      <c r="C365">
        <v>7</v>
      </c>
      <c r="D365" s="86">
        <v>0</v>
      </c>
      <c r="E365">
        <v>3</v>
      </c>
      <c r="F365">
        <v>0</v>
      </c>
      <c r="G365">
        <v>12</v>
      </c>
      <c r="H365">
        <v>3</v>
      </c>
      <c r="I365">
        <v>0</v>
      </c>
      <c r="J365">
        <v>0.25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 s="86">
        <f>AVERAGEIFS($C$2:C365, $B$2:B365, B365)</f>
        <v>11.913043478260869</v>
      </c>
      <c r="AB365" s="86">
        <f>AVERAGEIFS($I$2:I365, $B$2:B365, B365)</f>
        <v>0.38043478260869568</v>
      </c>
      <c r="AC365" s="86">
        <f>AVERAGEIFS($J$2:J365, $B$2:B365, B365)</f>
        <v>0.44217391304347836</v>
      </c>
      <c r="AD365" s="86">
        <f>AVERAGEIFS($D$2:D365, $B$2:B365, B365)</f>
        <v>0.34782608695652173</v>
      </c>
    </row>
    <row r="366" spans="1:30" x14ac:dyDescent="0.25">
      <c r="A366" s="85">
        <v>46096</v>
      </c>
      <c r="B366" t="s">
        <v>28</v>
      </c>
      <c r="C366">
        <v>16</v>
      </c>
      <c r="D366" s="86">
        <v>0</v>
      </c>
      <c r="E366">
        <v>3</v>
      </c>
      <c r="F366">
        <v>0</v>
      </c>
      <c r="G366">
        <v>12</v>
      </c>
      <c r="H366">
        <v>3</v>
      </c>
      <c r="I366">
        <v>0</v>
      </c>
      <c r="J366">
        <v>0.25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 s="86">
        <f>AVERAGEIFS($C$2:C366, $B$2:B366, B366)</f>
        <v>13.8125</v>
      </c>
      <c r="AB366" s="86">
        <f>AVERAGEIFS($I$2:I366, $B$2:B366, B366)</f>
        <v>0.36562499999999998</v>
      </c>
      <c r="AC366" s="86">
        <f>AVERAGEIFS($J$2:J366, $B$2:B366, B366)</f>
        <v>0.43937500000000002</v>
      </c>
      <c r="AD366" s="86">
        <f>AVERAGEIFS($D$2:D366, $B$2:B366, B366)</f>
        <v>0.375</v>
      </c>
    </row>
    <row r="367" spans="1:30" x14ac:dyDescent="0.25">
      <c r="A367" s="85">
        <v>46096</v>
      </c>
      <c r="B367" t="s">
        <v>37</v>
      </c>
      <c r="C367">
        <v>18</v>
      </c>
      <c r="D367" s="86">
        <v>0</v>
      </c>
      <c r="E367">
        <v>3</v>
      </c>
      <c r="F367">
        <v>0</v>
      </c>
      <c r="G367">
        <v>12</v>
      </c>
      <c r="H367">
        <v>3</v>
      </c>
      <c r="I367">
        <v>0</v>
      </c>
      <c r="J367">
        <v>0.25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 s="86">
        <f>AVERAGEIFS($C$2:C367, $B$2:B367, B367)</f>
        <v>18.571428571428573</v>
      </c>
      <c r="AB367" s="86">
        <f>AVERAGEIFS($I$2:I367, $B$2:B367, B367)</f>
        <v>0.43928571428571433</v>
      </c>
      <c r="AC367" s="86">
        <f>AVERAGEIFS($J$2:J367, $B$2:B367, B367)</f>
        <v>0.46214285714285708</v>
      </c>
      <c r="AD367" s="86">
        <f>AVERAGEIFS($D$2:D367, $B$2:B367, B367)</f>
        <v>0.35714285714285715</v>
      </c>
    </row>
    <row r="368" spans="1:30" x14ac:dyDescent="0.25">
      <c r="A368" s="85">
        <v>46096</v>
      </c>
      <c r="B368" t="s">
        <v>45</v>
      </c>
      <c r="C368">
        <v>16</v>
      </c>
      <c r="D368" s="86">
        <v>0</v>
      </c>
      <c r="E368">
        <v>3</v>
      </c>
      <c r="F368">
        <v>0</v>
      </c>
      <c r="G368">
        <v>12</v>
      </c>
      <c r="H368">
        <v>3</v>
      </c>
      <c r="I368">
        <v>0</v>
      </c>
      <c r="J368">
        <v>0.25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 s="86">
        <f>AVERAGEIFS($C$2:C368, $B$2:B368, B368)</f>
        <v>10.833333333333334</v>
      </c>
      <c r="AB368" s="86">
        <f>AVERAGEIFS($I$2:I368, $B$2:B368, B368)</f>
        <v>0.45</v>
      </c>
      <c r="AC368" s="86">
        <f>AVERAGEIFS($J$2:J368, $B$2:B368, B368)</f>
        <v>0.48749999999999999</v>
      </c>
      <c r="AD368" s="86">
        <f>AVERAGEIFS($D$2:D368, $B$2:B368, B368)</f>
        <v>0.41666666666666669</v>
      </c>
    </row>
    <row r="369" spans="1:30" x14ac:dyDescent="0.25">
      <c r="A369" s="85">
        <v>46096</v>
      </c>
      <c r="B369" t="s">
        <v>29</v>
      </c>
      <c r="C369">
        <v>14</v>
      </c>
      <c r="D369" s="86">
        <v>1</v>
      </c>
      <c r="E369">
        <v>3</v>
      </c>
      <c r="F369">
        <v>3</v>
      </c>
      <c r="G369">
        <v>12</v>
      </c>
      <c r="H369">
        <v>9</v>
      </c>
      <c r="I369">
        <v>1</v>
      </c>
      <c r="J369">
        <v>0.75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1</v>
      </c>
      <c r="Y369">
        <v>0</v>
      </c>
      <c r="Z369">
        <v>1</v>
      </c>
      <c r="AA369" s="86">
        <f>AVERAGEIFS($C$2:C369, $B$2:B369, B369)</f>
        <v>9.9444444444444446</v>
      </c>
      <c r="AB369" s="86">
        <f>AVERAGEIFS($I$2:I369, $B$2:B369, B369)</f>
        <v>0.48888888888888893</v>
      </c>
      <c r="AC369" s="86">
        <f>AVERAGEIFS($J$2:J369, $B$2:B369, B369)</f>
        <v>0.5033333333333333</v>
      </c>
      <c r="AD369" s="86">
        <f>AVERAGEIFS($D$2:D369, $B$2:B369, B369)</f>
        <v>0.5</v>
      </c>
    </row>
    <row r="370" spans="1:30" x14ac:dyDescent="0.25">
      <c r="A370" s="85">
        <v>46096</v>
      </c>
      <c r="B370" t="s">
        <v>17</v>
      </c>
      <c r="C370">
        <v>40</v>
      </c>
      <c r="D370" s="86">
        <v>1</v>
      </c>
      <c r="E370">
        <v>3</v>
      </c>
      <c r="F370">
        <v>3</v>
      </c>
      <c r="G370">
        <v>12</v>
      </c>
      <c r="H370">
        <v>9</v>
      </c>
      <c r="I370">
        <v>1</v>
      </c>
      <c r="J370">
        <v>0.75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1</v>
      </c>
      <c r="Y370">
        <v>0</v>
      </c>
      <c r="Z370">
        <v>1</v>
      </c>
      <c r="AA370" s="86">
        <f>AVERAGEIFS($C$2:C370, $B$2:B370, B370)</f>
        <v>26.52</v>
      </c>
      <c r="AB370" s="86">
        <f>AVERAGEIFS($I$2:I370, $B$2:B370, B370)</f>
        <v>0.54200000000000015</v>
      </c>
      <c r="AC370" s="86">
        <f>AVERAGEIFS($J$2:J370, $B$2:B370, B370)</f>
        <v>0.5351999999999999</v>
      </c>
      <c r="AD370" s="86">
        <f>AVERAGEIFS($D$2:D370, $B$2:B370, B370)</f>
        <v>0.44</v>
      </c>
    </row>
    <row r="371" spans="1:30" x14ac:dyDescent="0.25">
      <c r="A371" s="85">
        <v>46096</v>
      </c>
      <c r="B371" t="s">
        <v>14</v>
      </c>
      <c r="C371">
        <v>12</v>
      </c>
      <c r="D371" s="86">
        <v>1</v>
      </c>
      <c r="E371">
        <v>3</v>
      </c>
      <c r="F371">
        <v>3</v>
      </c>
      <c r="G371">
        <v>12</v>
      </c>
      <c r="H371">
        <v>9</v>
      </c>
      <c r="I371">
        <v>1</v>
      </c>
      <c r="J371">
        <v>0.75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1</v>
      </c>
      <c r="Y371">
        <v>0</v>
      </c>
      <c r="Z371">
        <v>1</v>
      </c>
      <c r="AA371" s="86">
        <f>AVERAGEIFS($C$2:C371, $B$2:B371, B371)</f>
        <v>25.318181818181817</v>
      </c>
      <c r="AB371" s="86">
        <f>AVERAGEIFS($I$2:I371, $B$2:B371, B371)</f>
        <v>0.54545454545454541</v>
      </c>
      <c r="AC371" s="86">
        <f>AVERAGEIFS($J$2:J371, $B$2:B371, B371)</f>
        <v>0.51818181818181819</v>
      </c>
      <c r="AD371" s="86">
        <f>AVERAGEIFS($D$2:D371, $B$2:B371, B371)</f>
        <v>0.59090909090909094</v>
      </c>
    </row>
    <row r="372" spans="1:30" x14ac:dyDescent="0.25">
      <c r="A372" s="85">
        <v>46096</v>
      </c>
      <c r="B372" t="s">
        <v>6</v>
      </c>
      <c r="C372">
        <v>18</v>
      </c>
      <c r="D372" s="86">
        <v>1</v>
      </c>
      <c r="E372">
        <v>3</v>
      </c>
      <c r="F372">
        <v>3</v>
      </c>
      <c r="G372">
        <v>12</v>
      </c>
      <c r="H372">
        <v>9</v>
      </c>
      <c r="I372">
        <v>1</v>
      </c>
      <c r="J372">
        <v>0.75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1</v>
      </c>
      <c r="Y372">
        <v>0</v>
      </c>
      <c r="Z372">
        <v>1</v>
      </c>
      <c r="AA372" s="86">
        <f>AVERAGEIFS($C$2:C372, $B$2:B372, B372)</f>
        <v>23.142857142857142</v>
      </c>
      <c r="AB372" s="86">
        <f>AVERAGEIFS($I$2:I372, $B$2:B372, B372)</f>
        <v>0.62142857142857133</v>
      </c>
      <c r="AC372" s="86">
        <f>AVERAGEIFS($J$2:J372, $B$2:B372, B372)</f>
        <v>0.53857142857142859</v>
      </c>
      <c r="AD372" s="86">
        <f>AVERAGEIFS($D$2:D372, $B$2:B372, B372)</f>
        <v>0.7142857142857143</v>
      </c>
    </row>
    <row r="373" spans="1:30" x14ac:dyDescent="0.25">
      <c r="A373" s="85">
        <v>46096</v>
      </c>
      <c r="B373" t="s">
        <v>27</v>
      </c>
      <c r="C373">
        <v>17</v>
      </c>
      <c r="D373" s="86">
        <v>1</v>
      </c>
      <c r="E373">
        <v>3</v>
      </c>
      <c r="F373">
        <v>3</v>
      </c>
      <c r="G373">
        <v>12</v>
      </c>
      <c r="H373">
        <v>9</v>
      </c>
      <c r="I373">
        <v>1</v>
      </c>
      <c r="J373">
        <v>0.75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1</v>
      </c>
      <c r="Y373">
        <v>0</v>
      </c>
      <c r="Z373">
        <v>1</v>
      </c>
      <c r="AA373" s="86">
        <f>AVERAGEIFS($C$2:C373, $B$2:B373, B373)</f>
        <v>13.642857142857142</v>
      </c>
      <c r="AB373" s="86">
        <f>AVERAGEIFS($I$2:I373, $B$2:B373, B373)</f>
        <v>0.48928571428571427</v>
      </c>
      <c r="AC373" s="86">
        <f>AVERAGEIFS($J$2:J373, $B$2:B373, B373)</f>
        <v>0.4885714285714286</v>
      </c>
      <c r="AD373" s="86">
        <f>AVERAGEIFS($D$2:D373, $B$2:B373, B373)</f>
        <v>0.5</v>
      </c>
    </row>
    <row r="374" spans="1:30" x14ac:dyDescent="0.25">
      <c r="A374" s="85">
        <v>46096</v>
      </c>
      <c r="B374" t="s">
        <v>26</v>
      </c>
      <c r="C374">
        <v>13</v>
      </c>
      <c r="D374" s="86">
        <v>1</v>
      </c>
      <c r="E374">
        <v>3</v>
      </c>
      <c r="F374">
        <v>3</v>
      </c>
      <c r="G374">
        <v>12</v>
      </c>
      <c r="H374">
        <v>9</v>
      </c>
      <c r="I374">
        <v>1</v>
      </c>
      <c r="J374">
        <v>0.75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1</v>
      </c>
      <c r="Y374">
        <v>0</v>
      </c>
      <c r="Z374">
        <v>1</v>
      </c>
      <c r="AA374" s="86">
        <f>AVERAGEIFS($C$2:C374, $B$2:B374, B374)</f>
        <v>12.555555555555555</v>
      </c>
      <c r="AB374" s="86">
        <f>AVERAGEIFS($I$2:I374, $B$2:B374, B374)</f>
        <v>0.66666666666666663</v>
      </c>
      <c r="AC374" s="86">
        <f>AVERAGEIFS($J$2:J374, $B$2:B374, B374)</f>
        <v>0.5822222222222222</v>
      </c>
      <c r="AD374" s="86">
        <f>AVERAGEIFS($D$2:D374, $B$2:B374, B374)</f>
        <v>0.72222222222222221</v>
      </c>
    </row>
    <row r="375" spans="1:30" x14ac:dyDescent="0.25">
      <c r="A375" s="85">
        <v>46096</v>
      </c>
      <c r="B375" t="s">
        <v>25</v>
      </c>
      <c r="C375">
        <v>13</v>
      </c>
      <c r="D375" s="86">
        <v>1</v>
      </c>
      <c r="E375">
        <v>3</v>
      </c>
      <c r="F375">
        <v>3</v>
      </c>
      <c r="G375">
        <v>12</v>
      </c>
      <c r="H375">
        <v>9</v>
      </c>
      <c r="I375">
        <v>1</v>
      </c>
      <c r="J375">
        <v>0.75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1</v>
      </c>
      <c r="Y375">
        <v>0</v>
      </c>
      <c r="Z375">
        <v>1</v>
      </c>
      <c r="AA375" s="86">
        <f>AVERAGEIFS($C$2:C375, $B$2:B375, B375)</f>
        <v>15.2</v>
      </c>
      <c r="AB375" s="86">
        <f>AVERAGEIFS($I$2:I375, $B$2:B375, B375)</f>
        <v>0.68</v>
      </c>
      <c r="AC375" s="86">
        <f>AVERAGEIFS($J$2:J375, $B$2:B375, B375)</f>
        <v>0.59099999999999997</v>
      </c>
      <c r="AD375" s="86">
        <f>AVERAGEIFS($D$2:D375, $B$2:B375, B375)</f>
        <v>0.6</v>
      </c>
    </row>
    <row r="376" spans="1:30" x14ac:dyDescent="0.25">
      <c r="A376" s="85">
        <v>46096</v>
      </c>
      <c r="B376" t="s">
        <v>139</v>
      </c>
      <c r="C376">
        <v>8</v>
      </c>
      <c r="D376" s="86">
        <v>1</v>
      </c>
      <c r="E376">
        <v>3</v>
      </c>
      <c r="F376">
        <v>3</v>
      </c>
      <c r="G376">
        <v>12</v>
      </c>
      <c r="H376">
        <v>9</v>
      </c>
      <c r="I376">
        <v>1</v>
      </c>
      <c r="J376">
        <v>0.75</v>
      </c>
      <c r="K376">
        <v>0</v>
      </c>
      <c r="L376">
        <v>0</v>
      </c>
      <c r="M376">
        <v>0</v>
      </c>
      <c r="N376">
        <v>1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1</v>
      </c>
      <c r="Y376">
        <v>0</v>
      </c>
      <c r="Z376">
        <v>1</v>
      </c>
      <c r="AA376" s="86">
        <f>AVERAGEIFS($C$2:C376, $B$2:B376, B376)</f>
        <v>11</v>
      </c>
      <c r="AB376" s="86">
        <f>AVERAGEIFS($I$2:I376, $B$2:B376, B376)</f>
        <v>0.66666666666666663</v>
      </c>
      <c r="AC376" s="86">
        <f>AVERAGEIFS($J$2:J376, $B$2:B376, B376)</f>
        <v>0.56333333333333335</v>
      </c>
      <c r="AD376" s="86">
        <f>AVERAGEIFS($D$2:D376, $B$2:B376, B376)</f>
        <v>0.66666666666666663</v>
      </c>
    </row>
    <row r="377" spans="1:30" x14ac:dyDescent="0.25">
      <c r="A377" s="85">
        <v>46096</v>
      </c>
      <c r="B377" t="s">
        <v>15</v>
      </c>
      <c r="C377">
        <v>11</v>
      </c>
      <c r="D377" s="86">
        <v>1</v>
      </c>
      <c r="E377">
        <v>3</v>
      </c>
      <c r="F377">
        <v>3</v>
      </c>
      <c r="G377">
        <v>12</v>
      </c>
      <c r="H377">
        <v>9</v>
      </c>
      <c r="I377">
        <v>1</v>
      </c>
      <c r="J377">
        <v>0.75</v>
      </c>
      <c r="K377">
        <v>0</v>
      </c>
      <c r="L377">
        <v>0</v>
      </c>
      <c r="M377">
        <v>0</v>
      </c>
      <c r="N377">
        <v>1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1</v>
      </c>
      <c r="Y377">
        <v>0</v>
      </c>
      <c r="Z377">
        <v>1</v>
      </c>
      <c r="AA377" s="86">
        <f>AVERAGEIFS($C$2:C377, $B$2:B377, B377)</f>
        <v>25.05263157894737</v>
      </c>
      <c r="AB377" s="86">
        <f>AVERAGEIFS($I$2:I377, $B$2:B377, B377)</f>
        <v>0.4447368421052631</v>
      </c>
      <c r="AC377" s="86">
        <f>AVERAGEIFS($J$2:J377, $B$2:B377, B377)</f>
        <v>0.4852631578947369</v>
      </c>
      <c r="AD377" s="86">
        <f>AVERAGEIFS($D$2:D377, $B$2:B377, B377)</f>
        <v>0.31578947368421051</v>
      </c>
    </row>
    <row r="378" spans="1:30" x14ac:dyDescent="0.25">
      <c r="A378" s="85">
        <v>46096</v>
      </c>
      <c r="B378" t="s">
        <v>13</v>
      </c>
      <c r="C378">
        <v>25</v>
      </c>
      <c r="D378" s="86">
        <v>1</v>
      </c>
      <c r="E378">
        <v>4</v>
      </c>
      <c r="F378">
        <v>3</v>
      </c>
      <c r="G378">
        <v>18</v>
      </c>
      <c r="H378">
        <v>11</v>
      </c>
      <c r="I378">
        <v>0.75</v>
      </c>
      <c r="J378">
        <v>0.61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1</v>
      </c>
      <c r="R378">
        <v>0</v>
      </c>
      <c r="S378">
        <v>0</v>
      </c>
      <c r="T378">
        <v>1</v>
      </c>
      <c r="U378">
        <v>0</v>
      </c>
      <c r="V378">
        <v>0</v>
      </c>
      <c r="W378">
        <v>1</v>
      </c>
      <c r="X378">
        <v>0</v>
      </c>
      <c r="Y378">
        <v>0</v>
      </c>
      <c r="Z378">
        <v>0</v>
      </c>
      <c r="AA378" s="86">
        <f>AVERAGEIFS($C$2:C378, $B$2:B378, B378)</f>
        <v>28.074074074074073</v>
      </c>
      <c r="AB378" s="86">
        <f>AVERAGEIFS($I$2:I378, $B$2:B378, B378)</f>
        <v>0.55740740740740735</v>
      </c>
      <c r="AC378" s="86">
        <f>AVERAGEIFS($J$2:J378, $B$2:B378, B378)</f>
        <v>0.53629629629629627</v>
      </c>
      <c r="AD378" s="86">
        <f>AVERAGEIFS($D$2:D378, $B$2:B378, B378)</f>
        <v>0.66666666666666663</v>
      </c>
    </row>
    <row r="379" spans="1:30" x14ac:dyDescent="0.25">
      <c r="A379" s="85">
        <v>46096</v>
      </c>
      <c r="B379" t="s">
        <v>25</v>
      </c>
      <c r="C379">
        <v>16</v>
      </c>
      <c r="D379" s="86">
        <v>1</v>
      </c>
      <c r="E379">
        <v>4</v>
      </c>
      <c r="F379">
        <v>3</v>
      </c>
      <c r="G379">
        <v>18</v>
      </c>
      <c r="H379">
        <v>11</v>
      </c>
      <c r="I379">
        <v>0.75</v>
      </c>
      <c r="J379">
        <v>0.61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1</v>
      </c>
      <c r="R379">
        <v>0</v>
      </c>
      <c r="S379">
        <v>0</v>
      </c>
      <c r="T379">
        <v>1</v>
      </c>
      <c r="U379">
        <v>0</v>
      </c>
      <c r="V379">
        <v>0</v>
      </c>
      <c r="W379">
        <v>1</v>
      </c>
      <c r="X379">
        <v>0</v>
      </c>
      <c r="Y379">
        <v>0</v>
      </c>
      <c r="Z379">
        <v>0</v>
      </c>
      <c r="AA379" s="86">
        <f>AVERAGEIFS($C$2:C379, $B$2:B379, B379)</f>
        <v>15.272727272727273</v>
      </c>
      <c r="AB379" s="86">
        <f>AVERAGEIFS($I$2:I379, $B$2:B379, B379)</f>
        <v>0.6863636363636364</v>
      </c>
      <c r="AC379" s="86">
        <f>AVERAGEIFS($J$2:J379, $B$2:B379, B379)</f>
        <v>0.59272727272727277</v>
      </c>
      <c r="AD379" s="86">
        <f>AVERAGEIFS($D$2:D379, $B$2:B379, B379)</f>
        <v>0.63636363636363635</v>
      </c>
    </row>
    <row r="380" spans="1:30" x14ac:dyDescent="0.25">
      <c r="A380" s="85">
        <v>46096</v>
      </c>
      <c r="B380" t="s">
        <v>26</v>
      </c>
      <c r="C380">
        <v>9</v>
      </c>
      <c r="D380" s="86">
        <v>1</v>
      </c>
      <c r="E380">
        <v>4</v>
      </c>
      <c r="F380">
        <v>3</v>
      </c>
      <c r="G380">
        <v>18</v>
      </c>
      <c r="H380">
        <v>11</v>
      </c>
      <c r="I380">
        <v>0.75</v>
      </c>
      <c r="J380">
        <v>0.61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1</v>
      </c>
      <c r="R380">
        <v>0</v>
      </c>
      <c r="S380">
        <v>0</v>
      </c>
      <c r="T380">
        <v>1</v>
      </c>
      <c r="U380">
        <v>0</v>
      </c>
      <c r="V380">
        <v>0</v>
      </c>
      <c r="W380">
        <v>1</v>
      </c>
      <c r="X380">
        <v>0</v>
      </c>
      <c r="Y380">
        <v>0</v>
      </c>
      <c r="Z380">
        <v>0</v>
      </c>
      <c r="AA380" s="86">
        <f>AVERAGEIFS($C$2:C380, $B$2:B380, B380)</f>
        <v>12.368421052631579</v>
      </c>
      <c r="AB380" s="86">
        <f>AVERAGEIFS($I$2:I380, $B$2:B380, B380)</f>
        <v>0.67105263157894735</v>
      </c>
      <c r="AC380" s="86">
        <f>AVERAGEIFS($J$2:J380, $B$2:B380, B380)</f>
        <v>0.58368421052631569</v>
      </c>
      <c r="AD380" s="86">
        <f>AVERAGEIFS($D$2:D380, $B$2:B380, B380)</f>
        <v>0.73684210526315785</v>
      </c>
    </row>
    <row r="381" spans="1:30" x14ac:dyDescent="0.25">
      <c r="A381" s="85">
        <v>46096</v>
      </c>
      <c r="B381" t="s">
        <v>20</v>
      </c>
      <c r="C381">
        <v>13</v>
      </c>
      <c r="D381" s="86">
        <v>1</v>
      </c>
      <c r="E381">
        <v>4</v>
      </c>
      <c r="F381">
        <v>3</v>
      </c>
      <c r="G381">
        <v>18</v>
      </c>
      <c r="H381">
        <v>11</v>
      </c>
      <c r="I381">
        <v>0.75</v>
      </c>
      <c r="J381">
        <v>0.61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1</v>
      </c>
      <c r="R381">
        <v>0</v>
      </c>
      <c r="S381">
        <v>0</v>
      </c>
      <c r="T381">
        <v>1</v>
      </c>
      <c r="U381">
        <v>0</v>
      </c>
      <c r="V381">
        <v>0</v>
      </c>
      <c r="W381">
        <v>1</v>
      </c>
      <c r="X381">
        <v>0</v>
      </c>
      <c r="Y381">
        <v>0</v>
      </c>
      <c r="Z381">
        <v>0</v>
      </c>
      <c r="AA381" s="86">
        <f>AVERAGEIFS($C$2:C381, $B$2:B381, B381)</f>
        <v>13.7</v>
      </c>
      <c r="AB381" s="86">
        <f>AVERAGEIFS($I$2:I381, $B$2:B381, B381)</f>
        <v>0.48</v>
      </c>
      <c r="AC381" s="86">
        <f>AVERAGEIFS($J$2:J381, $B$2:B381, B381)</f>
        <v>0.495</v>
      </c>
      <c r="AD381" s="86">
        <f>AVERAGEIFS($D$2:D381, $B$2:B381, B381)</f>
        <v>0.4</v>
      </c>
    </row>
    <row r="382" spans="1:30" x14ac:dyDescent="0.25">
      <c r="A382" s="85">
        <v>46096</v>
      </c>
      <c r="B382" t="s">
        <v>18</v>
      </c>
      <c r="C382">
        <v>28</v>
      </c>
      <c r="D382" s="86">
        <v>1</v>
      </c>
      <c r="E382">
        <v>4</v>
      </c>
      <c r="F382">
        <v>3</v>
      </c>
      <c r="G382">
        <v>18</v>
      </c>
      <c r="H382">
        <v>11</v>
      </c>
      <c r="I382">
        <v>0.75</v>
      </c>
      <c r="J382">
        <v>0.61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0</v>
      </c>
      <c r="S382">
        <v>0</v>
      </c>
      <c r="T382">
        <v>1</v>
      </c>
      <c r="U382">
        <v>0</v>
      </c>
      <c r="V382">
        <v>0</v>
      </c>
      <c r="W382">
        <v>1</v>
      </c>
      <c r="X382">
        <v>0</v>
      </c>
      <c r="Y382">
        <v>0</v>
      </c>
      <c r="Z382">
        <v>0</v>
      </c>
      <c r="AA382" s="86">
        <f>AVERAGEIFS($C$2:C382, $B$2:B382, B382)</f>
        <v>26.785714285714285</v>
      </c>
      <c r="AB382" s="86">
        <f>AVERAGEIFS($I$2:I382, $B$2:B382, B382)</f>
        <v>0.41428571428571431</v>
      </c>
      <c r="AC382" s="86">
        <f>AVERAGEIFS($J$2:J382, $B$2:B382, B382)</f>
        <v>0.44428571428571423</v>
      </c>
      <c r="AD382" s="86">
        <f>AVERAGEIFS($D$2:D382, $B$2:B382, B382)</f>
        <v>0.35714285714285715</v>
      </c>
    </row>
    <row r="383" spans="1:30" x14ac:dyDescent="0.25">
      <c r="A383" s="85">
        <v>46096</v>
      </c>
      <c r="B383" t="s">
        <v>6</v>
      </c>
      <c r="C383">
        <v>17</v>
      </c>
      <c r="D383" s="86">
        <v>1</v>
      </c>
      <c r="E383">
        <v>4</v>
      </c>
      <c r="F383">
        <v>3</v>
      </c>
      <c r="G383">
        <v>18</v>
      </c>
      <c r="H383">
        <v>11</v>
      </c>
      <c r="I383">
        <v>0.75</v>
      </c>
      <c r="J383">
        <v>0.61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0</v>
      </c>
      <c r="S383">
        <v>0</v>
      </c>
      <c r="T383">
        <v>1</v>
      </c>
      <c r="U383">
        <v>0</v>
      </c>
      <c r="V383">
        <v>0</v>
      </c>
      <c r="W383">
        <v>1</v>
      </c>
      <c r="X383">
        <v>0</v>
      </c>
      <c r="Y383">
        <v>0</v>
      </c>
      <c r="Z383">
        <v>0</v>
      </c>
      <c r="AA383" s="86">
        <f>AVERAGEIFS($C$2:C383, $B$2:B383, B383)</f>
        <v>22.733333333333334</v>
      </c>
      <c r="AB383" s="86">
        <f>AVERAGEIFS($I$2:I383, $B$2:B383, B383)</f>
        <v>0.63</v>
      </c>
      <c r="AC383" s="86">
        <f>AVERAGEIFS($J$2:J383, $B$2:B383, B383)</f>
        <v>0.54333333333333333</v>
      </c>
      <c r="AD383" s="86">
        <f>AVERAGEIFS($D$2:D383, $B$2:B383, B383)</f>
        <v>0.73333333333333328</v>
      </c>
    </row>
    <row r="384" spans="1:30" x14ac:dyDescent="0.25">
      <c r="A384" s="85">
        <v>46096</v>
      </c>
      <c r="B384" t="s">
        <v>27</v>
      </c>
      <c r="C384">
        <v>11</v>
      </c>
      <c r="D384" s="86">
        <v>0</v>
      </c>
      <c r="E384">
        <v>4</v>
      </c>
      <c r="F384">
        <v>1</v>
      </c>
      <c r="G384">
        <v>18</v>
      </c>
      <c r="H384">
        <v>7</v>
      </c>
      <c r="I384">
        <v>0.25</v>
      </c>
      <c r="J384">
        <v>0.39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1</v>
      </c>
      <c r="Y384">
        <v>0</v>
      </c>
      <c r="Z384">
        <v>0</v>
      </c>
      <c r="AA384" s="86">
        <f>AVERAGEIFS($C$2:C384, $B$2:B384, B384)</f>
        <v>13.466666666666667</v>
      </c>
      <c r="AB384" s="86">
        <f>AVERAGEIFS($I$2:I384, $B$2:B384, B384)</f>
        <v>0.47333333333333333</v>
      </c>
      <c r="AC384" s="86">
        <f>AVERAGEIFS($J$2:J384, $B$2:B384, B384)</f>
        <v>0.48200000000000004</v>
      </c>
      <c r="AD384" s="86">
        <f>AVERAGEIFS($D$2:D384, $B$2:B384, B384)</f>
        <v>0.46666666666666667</v>
      </c>
    </row>
    <row r="385" spans="1:30" x14ac:dyDescent="0.25">
      <c r="A385" s="85">
        <v>46096</v>
      </c>
      <c r="B385" t="s">
        <v>29</v>
      </c>
      <c r="C385">
        <v>6</v>
      </c>
      <c r="D385" s="86">
        <v>0</v>
      </c>
      <c r="E385">
        <v>4</v>
      </c>
      <c r="F385">
        <v>1</v>
      </c>
      <c r="G385">
        <v>18</v>
      </c>
      <c r="H385">
        <v>7</v>
      </c>
      <c r="I385">
        <v>0.25</v>
      </c>
      <c r="J385">
        <v>0.39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1</v>
      </c>
      <c r="Y385">
        <v>0</v>
      </c>
      <c r="Z385">
        <v>0</v>
      </c>
      <c r="AA385" s="86">
        <f>AVERAGEIFS($C$2:C385, $B$2:B385, B385)</f>
        <v>9.7368421052631575</v>
      </c>
      <c r="AB385" s="86">
        <f>AVERAGEIFS($I$2:I385, $B$2:B385, B385)</f>
        <v>0.47631578947368425</v>
      </c>
      <c r="AC385" s="86">
        <f>AVERAGEIFS($J$2:J385, $B$2:B385, B385)</f>
        <v>0.49736842105263152</v>
      </c>
      <c r="AD385" s="86">
        <f>AVERAGEIFS($D$2:D385, $B$2:B385, B385)</f>
        <v>0.47368421052631576</v>
      </c>
    </row>
    <row r="386" spans="1:30" x14ac:dyDescent="0.25">
      <c r="A386" s="85">
        <v>46096</v>
      </c>
      <c r="B386" t="s">
        <v>15</v>
      </c>
      <c r="C386">
        <v>27</v>
      </c>
      <c r="D386" s="86">
        <v>0</v>
      </c>
      <c r="E386">
        <v>4</v>
      </c>
      <c r="F386">
        <v>1</v>
      </c>
      <c r="G386">
        <v>18</v>
      </c>
      <c r="H386">
        <v>7</v>
      </c>
      <c r="I386">
        <v>0.25</v>
      </c>
      <c r="J386">
        <v>0.39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1</v>
      </c>
      <c r="Y386">
        <v>0</v>
      </c>
      <c r="Z386">
        <v>0</v>
      </c>
      <c r="AA386" s="86">
        <f>AVERAGEIFS($C$2:C386, $B$2:B386, B386)</f>
        <v>25.15</v>
      </c>
      <c r="AB386" s="86">
        <f>AVERAGEIFS($I$2:I386, $B$2:B386, B386)</f>
        <v>0.43499999999999994</v>
      </c>
      <c r="AC386" s="86">
        <f>AVERAGEIFS($J$2:J386, $B$2:B386, B386)</f>
        <v>0.48050000000000004</v>
      </c>
      <c r="AD386" s="86">
        <f>AVERAGEIFS($D$2:D386, $B$2:B386, B386)</f>
        <v>0.3</v>
      </c>
    </row>
    <row r="387" spans="1:30" x14ac:dyDescent="0.25">
      <c r="A387" s="85">
        <v>46096</v>
      </c>
      <c r="B387" t="s">
        <v>17</v>
      </c>
      <c r="C387">
        <v>29</v>
      </c>
      <c r="D387" s="86">
        <v>0</v>
      </c>
      <c r="E387">
        <v>4</v>
      </c>
      <c r="F387">
        <v>1</v>
      </c>
      <c r="G387">
        <v>18</v>
      </c>
      <c r="H387">
        <v>7</v>
      </c>
      <c r="I387">
        <v>0.25</v>
      </c>
      <c r="J387">
        <v>0.39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1</v>
      </c>
      <c r="Y387">
        <v>0</v>
      </c>
      <c r="Z387">
        <v>0</v>
      </c>
      <c r="AA387" s="86">
        <f>AVERAGEIFS($C$2:C387, $B$2:B387, B387)</f>
        <v>26.615384615384617</v>
      </c>
      <c r="AB387" s="86">
        <f>AVERAGEIFS($I$2:I387, $B$2:B387, B387)</f>
        <v>0.53076923076923088</v>
      </c>
      <c r="AC387" s="86">
        <f>AVERAGEIFS($J$2:J387, $B$2:B387, B387)</f>
        <v>0.52961538461538449</v>
      </c>
      <c r="AD387" s="86">
        <f>AVERAGEIFS($D$2:D387, $B$2:B387, B387)</f>
        <v>0.42307692307692307</v>
      </c>
    </row>
    <row r="388" spans="1:30" x14ac:dyDescent="0.25">
      <c r="A388" s="85">
        <v>46096</v>
      </c>
      <c r="B388" t="s">
        <v>14</v>
      </c>
      <c r="C388">
        <v>17</v>
      </c>
      <c r="D388" s="86">
        <v>0</v>
      </c>
      <c r="E388">
        <v>4</v>
      </c>
      <c r="F388">
        <v>1</v>
      </c>
      <c r="G388">
        <v>18</v>
      </c>
      <c r="H388">
        <v>7</v>
      </c>
      <c r="I388">
        <v>0.25</v>
      </c>
      <c r="J388">
        <v>0.39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1</v>
      </c>
      <c r="Y388">
        <v>0</v>
      </c>
      <c r="Z388">
        <v>0</v>
      </c>
      <c r="AA388" s="86">
        <f>AVERAGEIFS($C$2:C388, $B$2:B388, B388)</f>
        <v>24.956521739130434</v>
      </c>
      <c r="AB388" s="86">
        <f>AVERAGEIFS($I$2:I388, $B$2:B388, B388)</f>
        <v>0.53260869565217395</v>
      </c>
      <c r="AC388" s="86">
        <f>AVERAGEIFS($J$2:J388, $B$2:B388, B388)</f>
        <v>0.51260869565217393</v>
      </c>
      <c r="AD388" s="86">
        <f>AVERAGEIFS($D$2:D388, $B$2:B388, B388)</f>
        <v>0.56521739130434778</v>
      </c>
    </row>
    <row r="389" spans="1:30" x14ac:dyDescent="0.25">
      <c r="A389" s="85">
        <v>46096</v>
      </c>
      <c r="B389" t="s">
        <v>146</v>
      </c>
      <c r="C389">
        <v>17</v>
      </c>
      <c r="D389" s="86">
        <v>0</v>
      </c>
      <c r="E389">
        <v>4</v>
      </c>
      <c r="F389">
        <v>1</v>
      </c>
      <c r="G389">
        <v>18</v>
      </c>
      <c r="H389">
        <v>7</v>
      </c>
      <c r="I389">
        <v>0.25</v>
      </c>
      <c r="J389">
        <v>0.39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1</v>
      </c>
      <c r="Y389">
        <v>0</v>
      </c>
      <c r="Z389">
        <v>0</v>
      </c>
      <c r="AA389" s="86">
        <f>AVERAGEIFS($C$2:C389, $B$2:B389, B389)</f>
        <v>17</v>
      </c>
      <c r="AB389" s="86">
        <f>AVERAGEIFS($I$2:I389, $B$2:B389, B389)</f>
        <v>0.25</v>
      </c>
      <c r="AC389" s="86">
        <f>AVERAGEIFS($J$2:J389, $B$2:B389, B389)</f>
        <v>0.39</v>
      </c>
      <c r="AD389" s="86">
        <f>AVERAGEIFS($D$2:D389, $B$2:B389, B389)</f>
        <v>0</v>
      </c>
    </row>
    <row r="390" spans="1:30" x14ac:dyDescent="0.25">
      <c r="A390" s="85">
        <v>46099</v>
      </c>
      <c r="B390" t="s">
        <v>1</v>
      </c>
      <c r="C390">
        <v>30</v>
      </c>
      <c r="D390" s="86">
        <v>1</v>
      </c>
      <c r="E390">
        <v>5</v>
      </c>
      <c r="F390">
        <v>3</v>
      </c>
      <c r="G390">
        <v>21</v>
      </c>
      <c r="H390">
        <v>12</v>
      </c>
      <c r="I390">
        <v>0.6</v>
      </c>
      <c r="J390">
        <v>0.56999999999999995</v>
      </c>
      <c r="K390">
        <v>0</v>
      </c>
      <c r="L390">
        <v>0</v>
      </c>
      <c r="M390">
        <v>1</v>
      </c>
      <c r="N390">
        <v>0</v>
      </c>
      <c r="O390">
        <v>0</v>
      </c>
      <c r="P390">
        <v>0</v>
      </c>
      <c r="Q390">
        <v>0</v>
      </c>
      <c r="R390">
        <v>1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1</v>
      </c>
      <c r="Y390">
        <v>0</v>
      </c>
      <c r="Z390">
        <v>0</v>
      </c>
      <c r="AA390" s="86">
        <f>AVERAGEIFS($C$2:C390, $B$2:B390, B390)</f>
        <v>28.142857142857142</v>
      </c>
      <c r="AB390" s="86">
        <f>AVERAGEIFS($I$2:I390, $B$2:B390, B390)</f>
        <v>0.56428571428571428</v>
      </c>
      <c r="AC390" s="86">
        <f>AVERAGEIFS($J$2:J390, $B$2:B390, B390)</f>
        <v>0.50857142857142856</v>
      </c>
      <c r="AD390" s="86">
        <f>AVERAGEIFS($D$2:D390, $B$2:B390, B390)</f>
        <v>0.7142857142857143</v>
      </c>
    </row>
    <row r="391" spans="1:30" x14ac:dyDescent="0.25">
      <c r="A391" s="85">
        <v>46099</v>
      </c>
      <c r="B391" t="s">
        <v>6</v>
      </c>
      <c r="C391">
        <v>21</v>
      </c>
      <c r="D391" s="86">
        <v>1</v>
      </c>
      <c r="E391">
        <v>5</v>
      </c>
      <c r="F391">
        <v>3</v>
      </c>
      <c r="G391">
        <v>21</v>
      </c>
      <c r="H391">
        <v>12</v>
      </c>
      <c r="I391">
        <v>0.6</v>
      </c>
      <c r="J391">
        <v>0.56999999999999995</v>
      </c>
      <c r="K391">
        <v>0</v>
      </c>
      <c r="L391">
        <v>0</v>
      </c>
      <c r="M391">
        <v>1</v>
      </c>
      <c r="N391">
        <v>0</v>
      </c>
      <c r="O391">
        <v>0</v>
      </c>
      <c r="P391">
        <v>0</v>
      </c>
      <c r="Q391">
        <v>0</v>
      </c>
      <c r="R391">
        <v>1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1</v>
      </c>
      <c r="Y391">
        <v>0</v>
      </c>
      <c r="Z391">
        <v>0</v>
      </c>
      <c r="AA391" s="86">
        <f>AVERAGEIFS($C$2:C391, $B$2:B391, B391)</f>
        <v>22.625</v>
      </c>
      <c r="AB391" s="86">
        <f>AVERAGEIFS($I$2:I391, $B$2:B391, B391)</f>
        <v>0.62812499999999993</v>
      </c>
      <c r="AC391" s="86">
        <f>AVERAGEIFS($J$2:J391, $B$2:B391, B391)</f>
        <v>0.54500000000000004</v>
      </c>
      <c r="AD391" s="86">
        <f>AVERAGEIFS($D$2:D391, $B$2:B391, B391)</f>
        <v>0.75</v>
      </c>
    </row>
    <row r="392" spans="1:30" x14ac:dyDescent="0.25">
      <c r="A392" s="85">
        <v>46099</v>
      </c>
      <c r="B392" t="s">
        <v>5</v>
      </c>
      <c r="C392">
        <v>20</v>
      </c>
      <c r="D392" s="86">
        <v>1</v>
      </c>
      <c r="E392">
        <v>5</v>
      </c>
      <c r="F392">
        <v>3</v>
      </c>
      <c r="G392">
        <v>21</v>
      </c>
      <c r="H392">
        <v>12</v>
      </c>
      <c r="I392">
        <v>0.6</v>
      </c>
      <c r="J392">
        <v>0.56999999999999995</v>
      </c>
      <c r="K392">
        <v>0</v>
      </c>
      <c r="L392">
        <v>0</v>
      </c>
      <c r="M392">
        <v>1</v>
      </c>
      <c r="N392">
        <v>0</v>
      </c>
      <c r="O392">
        <v>0</v>
      </c>
      <c r="P392">
        <v>0</v>
      </c>
      <c r="Q392">
        <v>0</v>
      </c>
      <c r="R392">
        <v>1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1</v>
      </c>
      <c r="Y392">
        <v>0</v>
      </c>
      <c r="Z392">
        <v>0</v>
      </c>
      <c r="AA392" s="86">
        <f>AVERAGEIFS($C$2:C392, $B$2:B392, B392)</f>
        <v>23.6</v>
      </c>
      <c r="AB392" s="86">
        <f>AVERAGEIFS($I$2:I392, $B$2:B392, B392)</f>
        <v>0.46999999999999992</v>
      </c>
      <c r="AC392" s="86">
        <f>AVERAGEIFS($J$2:J392, $B$2:B392, B392)</f>
        <v>0.48</v>
      </c>
      <c r="AD392" s="86">
        <f>AVERAGEIFS($D$2:D392, $B$2:B392, B392)</f>
        <v>0.5</v>
      </c>
    </row>
    <row r="393" spans="1:30" x14ac:dyDescent="0.25">
      <c r="A393" s="85">
        <v>46099</v>
      </c>
      <c r="B393" t="s">
        <v>44</v>
      </c>
      <c r="C393">
        <v>17</v>
      </c>
      <c r="D393" s="86">
        <v>1</v>
      </c>
      <c r="E393">
        <v>5</v>
      </c>
      <c r="F393">
        <v>3</v>
      </c>
      <c r="G393">
        <v>21</v>
      </c>
      <c r="H393">
        <v>12</v>
      </c>
      <c r="I393">
        <v>0.6</v>
      </c>
      <c r="J393">
        <v>0.56999999999999995</v>
      </c>
      <c r="K393">
        <v>0</v>
      </c>
      <c r="L393">
        <v>0</v>
      </c>
      <c r="M393">
        <v>1</v>
      </c>
      <c r="N393">
        <v>0</v>
      </c>
      <c r="O393">
        <v>0</v>
      </c>
      <c r="P393">
        <v>0</v>
      </c>
      <c r="Q393">
        <v>0</v>
      </c>
      <c r="R393">
        <v>1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1</v>
      </c>
      <c r="Y393">
        <v>0</v>
      </c>
      <c r="Z393">
        <v>0</v>
      </c>
      <c r="AA393" s="86">
        <f>AVERAGEIFS($C$2:C393, $B$2:B393, B393)</f>
        <v>14.5</v>
      </c>
      <c r="AB393" s="86">
        <f>AVERAGEIFS($I$2:I393, $B$2:B393, B393)</f>
        <v>0.8</v>
      </c>
      <c r="AC393" s="86">
        <f>AVERAGEIFS($J$2:J393, $B$2:B393, B393)</f>
        <v>0.62999999999999989</v>
      </c>
      <c r="AD393" s="86">
        <f>AVERAGEIFS($D$2:D393, $B$2:B393, B393)</f>
        <v>1</v>
      </c>
    </row>
    <row r="394" spans="1:30" x14ac:dyDescent="0.25">
      <c r="A394" s="85">
        <v>46099</v>
      </c>
      <c r="B394" t="s">
        <v>35</v>
      </c>
      <c r="C394">
        <v>12</v>
      </c>
      <c r="D394" s="86">
        <v>1</v>
      </c>
      <c r="E394">
        <v>5</v>
      </c>
      <c r="F394">
        <v>3</v>
      </c>
      <c r="G394">
        <v>21</v>
      </c>
      <c r="H394">
        <v>12</v>
      </c>
      <c r="I394">
        <v>0.6</v>
      </c>
      <c r="J394">
        <v>0.56999999999999995</v>
      </c>
      <c r="K394">
        <v>0</v>
      </c>
      <c r="L394">
        <v>0</v>
      </c>
      <c r="M394">
        <v>1</v>
      </c>
      <c r="N394">
        <v>0</v>
      </c>
      <c r="O394">
        <v>0</v>
      </c>
      <c r="P394">
        <v>0</v>
      </c>
      <c r="Q394">
        <v>0</v>
      </c>
      <c r="R394">
        <v>1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1</v>
      </c>
      <c r="Y394">
        <v>0</v>
      </c>
      <c r="Z394">
        <v>0</v>
      </c>
      <c r="AA394" s="86">
        <f>AVERAGEIFS($C$2:C394, $B$2:B394, B394)</f>
        <v>10.583333333333334</v>
      </c>
      <c r="AB394" s="86">
        <f>AVERAGEIFS($I$2:I394, $B$2:B394, B394)</f>
        <v>0.52500000000000002</v>
      </c>
      <c r="AC394" s="86">
        <f>AVERAGEIFS($J$2:J394, $B$2:B394, B394)</f>
        <v>0.53833333333333344</v>
      </c>
      <c r="AD394" s="86">
        <f>AVERAGEIFS($D$2:D394, $B$2:B394, B394)</f>
        <v>0.66666666666666663</v>
      </c>
    </row>
    <row r="395" spans="1:30" x14ac:dyDescent="0.25">
      <c r="A395" s="85">
        <v>46099</v>
      </c>
      <c r="B395" t="s">
        <v>139</v>
      </c>
      <c r="C395">
        <v>11</v>
      </c>
      <c r="D395" s="86">
        <v>1</v>
      </c>
      <c r="E395">
        <v>5</v>
      </c>
      <c r="F395">
        <v>3</v>
      </c>
      <c r="G395">
        <v>21</v>
      </c>
      <c r="H395">
        <v>12</v>
      </c>
      <c r="I395">
        <v>0.6</v>
      </c>
      <c r="J395">
        <v>0.56999999999999995</v>
      </c>
      <c r="K395">
        <v>0</v>
      </c>
      <c r="L395">
        <v>0</v>
      </c>
      <c r="M395">
        <v>1</v>
      </c>
      <c r="N395">
        <v>0</v>
      </c>
      <c r="O395">
        <v>0</v>
      </c>
      <c r="P395">
        <v>0</v>
      </c>
      <c r="Q395">
        <v>0</v>
      </c>
      <c r="R395">
        <v>1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1</v>
      </c>
      <c r="Y395">
        <v>0</v>
      </c>
      <c r="Z395">
        <v>0</v>
      </c>
      <c r="AA395" s="86">
        <f>AVERAGEIFS($C$2:C395, $B$2:B395, B395)</f>
        <v>11</v>
      </c>
      <c r="AB395" s="86">
        <f>AVERAGEIFS($I$2:I395, $B$2:B395, B395)</f>
        <v>0.65</v>
      </c>
      <c r="AC395" s="86">
        <f>AVERAGEIFS($J$2:J395, $B$2:B395, B395)</f>
        <v>0.56499999999999995</v>
      </c>
      <c r="AD395" s="86">
        <f>AVERAGEIFS($D$2:D395, $B$2:B395, B395)</f>
        <v>0.75</v>
      </c>
    </row>
    <row r="396" spans="1:30" x14ac:dyDescent="0.25">
      <c r="A396" s="85">
        <v>46099</v>
      </c>
      <c r="B396" t="s">
        <v>113</v>
      </c>
      <c r="C396">
        <v>8</v>
      </c>
      <c r="D396" s="86">
        <v>1</v>
      </c>
      <c r="E396">
        <v>5</v>
      </c>
      <c r="F396">
        <v>3</v>
      </c>
      <c r="G396">
        <v>21</v>
      </c>
      <c r="H396">
        <v>12</v>
      </c>
      <c r="I396">
        <v>0.6</v>
      </c>
      <c r="J396">
        <v>0.56999999999999995</v>
      </c>
      <c r="K396">
        <v>0</v>
      </c>
      <c r="L396">
        <v>0</v>
      </c>
      <c r="M396">
        <v>1</v>
      </c>
      <c r="N396">
        <v>0</v>
      </c>
      <c r="O396">
        <v>0</v>
      </c>
      <c r="P396">
        <v>0</v>
      </c>
      <c r="Q396">
        <v>0</v>
      </c>
      <c r="R396">
        <v>1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1</v>
      </c>
      <c r="Y396">
        <v>0</v>
      </c>
      <c r="Z396">
        <v>0</v>
      </c>
      <c r="AA396" s="86">
        <f>AVERAGEIFS($C$2:C396, $B$2:B396, B396)</f>
        <v>8</v>
      </c>
      <c r="AB396" s="86">
        <f>AVERAGEIFS($I$2:I396, $B$2:B396, B396)</f>
        <v>0.6</v>
      </c>
      <c r="AC396" s="86">
        <f>AVERAGEIFS($J$2:J396, $B$2:B396, B396)</f>
        <v>0.56999999999999995</v>
      </c>
      <c r="AD396" s="86">
        <f>AVERAGEIFS($D$2:D396, $B$2:B396, B396)</f>
        <v>1</v>
      </c>
    </row>
    <row r="397" spans="1:30" x14ac:dyDescent="0.25">
      <c r="A397" s="85">
        <v>46099</v>
      </c>
      <c r="B397" t="s">
        <v>146</v>
      </c>
      <c r="C397">
        <v>7</v>
      </c>
      <c r="D397" s="86">
        <v>1</v>
      </c>
      <c r="E397">
        <v>5</v>
      </c>
      <c r="F397">
        <v>3</v>
      </c>
      <c r="G397">
        <v>21</v>
      </c>
      <c r="H397">
        <v>12</v>
      </c>
      <c r="I397">
        <v>0.6</v>
      </c>
      <c r="J397">
        <v>0.56999999999999995</v>
      </c>
      <c r="K397">
        <v>0</v>
      </c>
      <c r="L397">
        <v>0</v>
      </c>
      <c r="M397">
        <v>1</v>
      </c>
      <c r="N397">
        <v>0</v>
      </c>
      <c r="O397">
        <v>0</v>
      </c>
      <c r="P397">
        <v>0</v>
      </c>
      <c r="Q397">
        <v>0</v>
      </c>
      <c r="R397">
        <v>1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1</v>
      </c>
      <c r="Y397">
        <v>0</v>
      </c>
      <c r="Z397">
        <v>0</v>
      </c>
      <c r="AA397" s="86">
        <f>AVERAGEIFS($C$2:C397, $B$2:B397, B397)</f>
        <v>12</v>
      </c>
      <c r="AB397" s="86">
        <f>AVERAGEIFS($I$2:I397, $B$2:B397, B397)</f>
        <v>0.42499999999999999</v>
      </c>
      <c r="AC397" s="86">
        <f>AVERAGEIFS($J$2:J397, $B$2:B397, B397)</f>
        <v>0.48</v>
      </c>
      <c r="AD397" s="86">
        <f>AVERAGEIFS($D$2:D397, $B$2:B397, B397)</f>
        <v>0.5</v>
      </c>
    </row>
    <row r="398" spans="1:30" x14ac:dyDescent="0.25">
      <c r="A398" s="85">
        <v>46099</v>
      </c>
      <c r="B398" t="s">
        <v>17</v>
      </c>
      <c r="C398">
        <v>33</v>
      </c>
      <c r="D398" s="86">
        <v>0</v>
      </c>
      <c r="E398">
        <v>5</v>
      </c>
      <c r="F398">
        <v>2</v>
      </c>
      <c r="G398">
        <v>21</v>
      </c>
      <c r="H398">
        <v>9</v>
      </c>
      <c r="I398">
        <v>0.4</v>
      </c>
      <c r="J398">
        <v>0.43</v>
      </c>
      <c r="K398">
        <v>0</v>
      </c>
      <c r="L398">
        <v>0</v>
      </c>
      <c r="M398">
        <v>0</v>
      </c>
      <c r="N398">
        <v>1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1</v>
      </c>
      <c r="AA398" s="86">
        <f>AVERAGEIFS($C$2:C398, $B$2:B398, B398)</f>
        <v>26.851851851851851</v>
      </c>
      <c r="AB398" s="86">
        <f>AVERAGEIFS($I$2:I398, $B$2:B398, B398)</f>
        <v>0.52592592592592602</v>
      </c>
      <c r="AC398" s="86">
        <f>AVERAGEIFS($J$2:J398, $B$2:B398, B398)</f>
        <v>0.5259259259259258</v>
      </c>
      <c r="AD398" s="86">
        <f>AVERAGEIFS($D$2:D398, $B$2:B398, B398)</f>
        <v>0.40740740740740738</v>
      </c>
    </row>
    <row r="399" spans="1:30" x14ac:dyDescent="0.25">
      <c r="A399" s="85">
        <v>46099</v>
      </c>
      <c r="B399" t="s">
        <v>13</v>
      </c>
      <c r="C399">
        <v>24</v>
      </c>
      <c r="D399" s="86">
        <v>0</v>
      </c>
      <c r="E399">
        <v>5</v>
      </c>
      <c r="F399">
        <v>2</v>
      </c>
      <c r="G399">
        <v>21</v>
      </c>
      <c r="H399">
        <v>9</v>
      </c>
      <c r="I399">
        <v>0.4</v>
      </c>
      <c r="J399">
        <v>0.43</v>
      </c>
      <c r="K399">
        <v>0</v>
      </c>
      <c r="L399">
        <v>0</v>
      </c>
      <c r="M399">
        <v>0</v>
      </c>
      <c r="N399">
        <v>1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1</v>
      </c>
      <c r="AA399" s="86">
        <f>AVERAGEIFS($C$2:C399, $B$2:B399, B399)</f>
        <v>27.928571428571427</v>
      </c>
      <c r="AB399" s="86">
        <f>AVERAGEIFS($I$2:I399, $B$2:B399, B399)</f>
        <v>0.55178571428571421</v>
      </c>
      <c r="AC399" s="86">
        <f>AVERAGEIFS($J$2:J399, $B$2:B399, B399)</f>
        <v>0.53249999999999997</v>
      </c>
      <c r="AD399" s="86">
        <f>AVERAGEIFS($D$2:D399, $B$2:B399, B399)</f>
        <v>0.6428571428571429</v>
      </c>
    </row>
    <row r="400" spans="1:30" x14ac:dyDescent="0.25">
      <c r="A400" s="85">
        <v>46099</v>
      </c>
      <c r="B400" t="s">
        <v>45</v>
      </c>
      <c r="C400">
        <v>17</v>
      </c>
      <c r="D400" s="86">
        <v>0</v>
      </c>
      <c r="E400">
        <v>5</v>
      </c>
      <c r="F400">
        <v>2</v>
      </c>
      <c r="G400">
        <v>21</v>
      </c>
      <c r="H400">
        <v>9</v>
      </c>
      <c r="I400">
        <v>0.4</v>
      </c>
      <c r="J400">
        <v>0.43</v>
      </c>
      <c r="K400">
        <v>0</v>
      </c>
      <c r="L400">
        <v>0</v>
      </c>
      <c r="M400">
        <v>0</v>
      </c>
      <c r="N400">
        <v>1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1</v>
      </c>
      <c r="AA400" s="86">
        <f>AVERAGEIFS($C$2:C400, $B$2:B400, B400)</f>
        <v>11.307692307692308</v>
      </c>
      <c r="AB400" s="86">
        <f>AVERAGEIFS($I$2:I400, $B$2:B400, B400)</f>
        <v>0.44615384615384623</v>
      </c>
      <c r="AC400" s="86">
        <f>AVERAGEIFS($J$2:J400, $B$2:B400, B400)</f>
        <v>0.48307692307692301</v>
      </c>
      <c r="AD400" s="86">
        <f>AVERAGEIFS($D$2:D400, $B$2:B400, B400)</f>
        <v>0.38461538461538464</v>
      </c>
    </row>
    <row r="401" spans="1:30" x14ac:dyDescent="0.25">
      <c r="A401" s="85">
        <v>46099</v>
      </c>
      <c r="B401" t="s">
        <v>14</v>
      </c>
      <c r="C401">
        <v>15</v>
      </c>
      <c r="D401" s="86">
        <v>0</v>
      </c>
      <c r="E401">
        <v>5</v>
      </c>
      <c r="F401">
        <v>2</v>
      </c>
      <c r="G401">
        <v>21</v>
      </c>
      <c r="H401">
        <v>9</v>
      </c>
      <c r="I401">
        <v>0.4</v>
      </c>
      <c r="J401">
        <v>0.43</v>
      </c>
      <c r="K401">
        <v>0</v>
      </c>
      <c r="L401">
        <v>0</v>
      </c>
      <c r="M401">
        <v>0</v>
      </c>
      <c r="N401">
        <v>1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1</v>
      </c>
      <c r="AA401" s="86">
        <f>AVERAGEIFS($C$2:C401, $B$2:B401, B401)</f>
        <v>24.541666666666668</v>
      </c>
      <c r="AB401" s="86">
        <f>AVERAGEIFS($I$2:I401, $B$2:B401, B401)</f>
        <v>0.52708333333333335</v>
      </c>
      <c r="AC401" s="86">
        <f>AVERAGEIFS($J$2:J401, $B$2:B401, B401)</f>
        <v>0.50916666666666666</v>
      </c>
      <c r="AD401" s="86">
        <f>AVERAGEIFS($D$2:D401, $B$2:B401, B401)</f>
        <v>0.54166666666666663</v>
      </c>
    </row>
    <row r="402" spans="1:30" x14ac:dyDescent="0.25">
      <c r="A402" s="85">
        <v>46099</v>
      </c>
      <c r="B402" t="s">
        <v>19</v>
      </c>
      <c r="C402">
        <v>13</v>
      </c>
      <c r="D402" s="86">
        <v>0</v>
      </c>
      <c r="E402">
        <v>5</v>
      </c>
      <c r="F402">
        <v>2</v>
      </c>
      <c r="G402">
        <v>21</v>
      </c>
      <c r="H402">
        <v>9</v>
      </c>
      <c r="I402">
        <v>0.4</v>
      </c>
      <c r="J402">
        <v>0.43</v>
      </c>
      <c r="K402">
        <v>0</v>
      </c>
      <c r="L402">
        <v>0</v>
      </c>
      <c r="M402">
        <v>0</v>
      </c>
      <c r="N402">
        <v>1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1</v>
      </c>
      <c r="AA402" s="86">
        <f>AVERAGEIFS($C$2:C402, $B$2:B402, B402)</f>
        <v>11.958333333333334</v>
      </c>
      <c r="AB402" s="86">
        <f>AVERAGEIFS($I$2:I402, $B$2:B402, B402)</f>
        <v>0.38125000000000003</v>
      </c>
      <c r="AC402" s="86">
        <f>AVERAGEIFS($J$2:J402, $B$2:B402, B402)</f>
        <v>0.44166666666666671</v>
      </c>
      <c r="AD402" s="86">
        <f>AVERAGEIFS($D$2:D402, $B$2:B402, B402)</f>
        <v>0.33333333333333331</v>
      </c>
    </row>
    <row r="403" spans="1:30" x14ac:dyDescent="0.25">
      <c r="A403" s="85">
        <v>46099</v>
      </c>
      <c r="B403" t="s">
        <v>20</v>
      </c>
      <c r="C403">
        <v>12</v>
      </c>
      <c r="D403" s="86">
        <v>0</v>
      </c>
      <c r="E403">
        <v>5</v>
      </c>
      <c r="F403">
        <v>2</v>
      </c>
      <c r="G403">
        <v>21</v>
      </c>
      <c r="H403">
        <v>9</v>
      </c>
      <c r="I403">
        <v>0.4</v>
      </c>
      <c r="J403">
        <v>0.43</v>
      </c>
      <c r="K403">
        <v>0</v>
      </c>
      <c r="L403">
        <v>0</v>
      </c>
      <c r="M403">
        <v>0</v>
      </c>
      <c r="N403">
        <v>1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1</v>
      </c>
      <c r="AA403" s="86">
        <f>AVERAGEIFS($C$2:C403, $B$2:B403, B403)</f>
        <v>13.619047619047619</v>
      </c>
      <c r="AB403" s="86">
        <f>AVERAGEIFS($I$2:I403, $B$2:B403, B403)</f>
        <v>0.47619047619047616</v>
      </c>
      <c r="AC403" s="86">
        <f>AVERAGEIFS($J$2:J403, $B$2:B403, B403)</f>
        <v>0.4919047619047619</v>
      </c>
      <c r="AD403" s="86">
        <f>AVERAGEIFS($D$2:D403, $B$2:B403, B403)</f>
        <v>0.38095238095238093</v>
      </c>
    </row>
    <row r="404" spans="1:30" x14ac:dyDescent="0.25">
      <c r="A404" s="85">
        <v>46099</v>
      </c>
      <c r="B404" t="s">
        <v>29</v>
      </c>
      <c r="C404">
        <v>7</v>
      </c>
      <c r="D404" s="86">
        <v>0</v>
      </c>
      <c r="E404">
        <v>5</v>
      </c>
      <c r="F404">
        <v>2</v>
      </c>
      <c r="G404">
        <v>21</v>
      </c>
      <c r="H404">
        <v>9</v>
      </c>
      <c r="I404">
        <v>0.4</v>
      </c>
      <c r="J404">
        <v>0.43</v>
      </c>
      <c r="K404">
        <v>0</v>
      </c>
      <c r="L404">
        <v>0</v>
      </c>
      <c r="M404">
        <v>0</v>
      </c>
      <c r="N404">
        <v>1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1</v>
      </c>
      <c r="AA404" s="86">
        <f>AVERAGEIFS($C$2:C404, $B$2:B404, B404)</f>
        <v>9.6</v>
      </c>
      <c r="AB404" s="86">
        <f>AVERAGEIFS($I$2:I404, $B$2:B404, B404)</f>
        <v>0.47250000000000003</v>
      </c>
      <c r="AC404" s="86">
        <f>AVERAGEIFS($J$2:J404, $B$2:B404, B404)</f>
        <v>0.49399999999999994</v>
      </c>
      <c r="AD404" s="86">
        <f>AVERAGEIFS($D$2:D404, $B$2:B404, B404)</f>
        <v>0.45</v>
      </c>
    </row>
    <row r="405" spans="1:30" x14ac:dyDescent="0.25">
      <c r="A405" s="85">
        <v>46101</v>
      </c>
      <c r="B405" t="s">
        <v>70</v>
      </c>
      <c r="C405">
        <v>21</v>
      </c>
      <c r="D405" s="86">
        <v>1</v>
      </c>
      <c r="E405">
        <v>5</v>
      </c>
      <c r="F405">
        <v>3</v>
      </c>
      <c r="G405">
        <v>18</v>
      </c>
      <c r="H405">
        <v>10</v>
      </c>
      <c r="I405">
        <v>0.6</v>
      </c>
      <c r="J405">
        <v>0.56000000000000005</v>
      </c>
      <c r="K405">
        <v>0</v>
      </c>
      <c r="L405">
        <v>0</v>
      </c>
      <c r="M405">
        <v>0</v>
      </c>
      <c r="N405">
        <v>1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1</v>
      </c>
      <c r="W405">
        <v>0</v>
      </c>
      <c r="X405">
        <v>1</v>
      </c>
      <c r="Y405">
        <v>0</v>
      </c>
      <c r="Z405">
        <v>0</v>
      </c>
      <c r="AA405" s="86">
        <f>AVERAGEIFS($C$2:C405, $B$2:B405, B405)</f>
        <v>21</v>
      </c>
      <c r="AB405" s="86">
        <f>AVERAGEIFS($I$2:I405, $B$2:B405, B405)</f>
        <v>0.6</v>
      </c>
      <c r="AC405" s="86">
        <f>AVERAGEIFS($J$2:J405, $B$2:B405, B405)</f>
        <v>0.56000000000000005</v>
      </c>
      <c r="AD405" s="86">
        <f>AVERAGEIFS($D$2:D405, $B$2:B405, B405)</f>
        <v>1</v>
      </c>
    </row>
    <row r="406" spans="1:30" x14ac:dyDescent="0.25">
      <c r="A406" s="85">
        <v>46101</v>
      </c>
      <c r="B406" t="s">
        <v>17</v>
      </c>
      <c r="C406">
        <v>19</v>
      </c>
      <c r="D406" s="86">
        <v>1</v>
      </c>
      <c r="E406">
        <v>5</v>
      </c>
      <c r="F406">
        <v>3</v>
      </c>
      <c r="G406">
        <v>18</v>
      </c>
      <c r="H406">
        <v>10</v>
      </c>
      <c r="I406">
        <v>0.6</v>
      </c>
      <c r="J406">
        <v>0.56000000000000005</v>
      </c>
      <c r="K406">
        <v>0</v>
      </c>
      <c r="L406">
        <v>0</v>
      </c>
      <c r="M406">
        <v>0</v>
      </c>
      <c r="N406">
        <v>1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1</v>
      </c>
      <c r="W406">
        <v>0</v>
      </c>
      <c r="X406">
        <v>1</v>
      </c>
      <c r="Y406">
        <v>0</v>
      </c>
      <c r="Z406">
        <v>0</v>
      </c>
      <c r="AA406" s="86">
        <f>AVERAGEIFS($C$2:C406, $B$2:B406, B406)</f>
        <v>26.571428571428573</v>
      </c>
      <c r="AB406" s="86">
        <f>AVERAGEIFS($I$2:I406, $B$2:B406, B406)</f>
        <v>0.52857142857142869</v>
      </c>
      <c r="AC406" s="86">
        <f>AVERAGEIFS($J$2:J406, $B$2:B406, B406)</f>
        <v>0.52714285714285702</v>
      </c>
      <c r="AD406" s="86">
        <f>AVERAGEIFS($D$2:D406, $B$2:B406, B406)</f>
        <v>0.42857142857142855</v>
      </c>
    </row>
    <row r="407" spans="1:30" x14ac:dyDescent="0.25">
      <c r="A407" s="85">
        <v>46101</v>
      </c>
      <c r="B407" t="s">
        <v>29</v>
      </c>
      <c r="C407">
        <v>14</v>
      </c>
      <c r="D407" s="86">
        <v>1</v>
      </c>
      <c r="E407">
        <v>5</v>
      </c>
      <c r="F407">
        <v>3</v>
      </c>
      <c r="G407">
        <v>18</v>
      </c>
      <c r="H407">
        <v>10</v>
      </c>
      <c r="I407">
        <v>0.6</v>
      </c>
      <c r="J407">
        <v>0.56000000000000005</v>
      </c>
      <c r="K407">
        <v>0</v>
      </c>
      <c r="L407">
        <v>0</v>
      </c>
      <c r="M407">
        <v>0</v>
      </c>
      <c r="N407">
        <v>1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1</v>
      </c>
      <c r="W407">
        <v>0</v>
      </c>
      <c r="X407">
        <v>1</v>
      </c>
      <c r="Y407">
        <v>0</v>
      </c>
      <c r="Z407">
        <v>0</v>
      </c>
      <c r="AA407" s="86">
        <f>AVERAGEIFS($C$2:C407, $B$2:B407, B407)</f>
        <v>9.8095238095238102</v>
      </c>
      <c r="AB407" s="86">
        <f>AVERAGEIFS($I$2:I407, $B$2:B407, B407)</f>
        <v>0.47857142857142859</v>
      </c>
      <c r="AC407" s="86">
        <f>AVERAGEIFS($J$2:J407, $B$2:B407, B407)</f>
        <v>0.49714285714285711</v>
      </c>
      <c r="AD407" s="86">
        <f>AVERAGEIFS($D$2:D407, $B$2:B407, B407)</f>
        <v>0.47619047619047616</v>
      </c>
    </row>
    <row r="408" spans="1:30" x14ac:dyDescent="0.25">
      <c r="A408" s="85">
        <v>46101</v>
      </c>
      <c r="B408" t="s">
        <v>146</v>
      </c>
      <c r="C408">
        <v>12</v>
      </c>
      <c r="D408" s="86">
        <v>1</v>
      </c>
      <c r="E408">
        <v>5</v>
      </c>
      <c r="F408">
        <v>3</v>
      </c>
      <c r="G408">
        <v>18</v>
      </c>
      <c r="H408">
        <v>10</v>
      </c>
      <c r="I408">
        <v>0.6</v>
      </c>
      <c r="J408">
        <v>0.56000000000000005</v>
      </c>
      <c r="K408">
        <v>0</v>
      </c>
      <c r="L408">
        <v>0</v>
      </c>
      <c r="M408">
        <v>0</v>
      </c>
      <c r="N408">
        <v>1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1</v>
      </c>
      <c r="W408">
        <v>0</v>
      </c>
      <c r="X408">
        <v>1</v>
      </c>
      <c r="Y408">
        <v>0</v>
      </c>
      <c r="Z408">
        <v>0</v>
      </c>
      <c r="AA408" s="86">
        <f>AVERAGEIFS($C$2:C408, $B$2:B408, B408)</f>
        <v>12</v>
      </c>
      <c r="AB408" s="86">
        <f>AVERAGEIFS($I$2:I408, $B$2:B408, B408)</f>
        <v>0.48333333333333334</v>
      </c>
      <c r="AC408" s="86">
        <f>AVERAGEIFS($J$2:J408, $B$2:B408, B408)</f>
        <v>0.50666666666666671</v>
      </c>
      <c r="AD408" s="86">
        <f>AVERAGEIFS($D$2:D408, $B$2:B408, B408)</f>
        <v>0.66666666666666663</v>
      </c>
    </row>
    <row r="409" spans="1:30" x14ac:dyDescent="0.25">
      <c r="A409" s="85">
        <v>46101</v>
      </c>
      <c r="B409" t="s">
        <v>137</v>
      </c>
      <c r="C409">
        <v>2</v>
      </c>
      <c r="D409" s="86">
        <v>1</v>
      </c>
      <c r="E409">
        <v>5</v>
      </c>
      <c r="F409">
        <v>3</v>
      </c>
      <c r="G409">
        <v>18</v>
      </c>
      <c r="H409">
        <v>10</v>
      </c>
      <c r="I409">
        <v>0.6</v>
      </c>
      <c r="J409">
        <v>0.56000000000000005</v>
      </c>
      <c r="K409">
        <v>0</v>
      </c>
      <c r="L409">
        <v>0</v>
      </c>
      <c r="M409">
        <v>0</v>
      </c>
      <c r="N409">
        <v>1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1</v>
      </c>
      <c r="W409">
        <v>0</v>
      </c>
      <c r="X409">
        <v>1</v>
      </c>
      <c r="Y409">
        <v>0</v>
      </c>
      <c r="Z409">
        <v>0</v>
      </c>
      <c r="AA409" s="86">
        <f>AVERAGEIFS($C$2:C409, $B$2:B409, B409)</f>
        <v>6.666666666666667</v>
      </c>
      <c r="AB409" s="86">
        <f>AVERAGEIFS($I$2:I409, $B$2:B409, B409)</f>
        <v>0.56666666666666665</v>
      </c>
      <c r="AC409" s="86">
        <f>AVERAGEIFS($J$2:J409, $B$2:B409, B409)</f>
        <v>0.52833333333333332</v>
      </c>
      <c r="AD409" s="86">
        <f>AVERAGEIFS($D$2:D409, $B$2:B409, B409)</f>
        <v>0.5</v>
      </c>
    </row>
    <row r="410" spans="1:30" x14ac:dyDescent="0.25">
      <c r="A410" s="85">
        <v>46101</v>
      </c>
      <c r="B410" t="s">
        <v>13</v>
      </c>
      <c r="C410">
        <v>26</v>
      </c>
      <c r="D410" s="86">
        <v>0</v>
      </c>
      <c r="E410">
        <v>5</v>
      </c>
      <c r="F410">
        <v>2</v>
      </c>
      <c r="G410">
        <v>18</v>
      </c>
      <c r="H410">
        <v>8</v>
      </c>
      <c r="I410">
        <v>0.4</v>
      </c>
      <c r="J410">
        <v>0.44</v>
      </c>
      <c r="K410">
        <v>1</v>
      </c>
      <c r="L410">
        <v>0</v>
      </c>
      <c r="M410">
        <v>0</v>
      </c>
      <c r="N410">
        <v>0</v>
      </c>
      <c r="O410">
        <v>0</v>
      </c>
      <c r="P410">
        <v>1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 s="86">
        <f>AVERAGEIFS($C$2:C410, $B$2:B410, B410)</f>
        <v>27.862068965517242</v>
      </c>
      <c r="AB410" s="86">
        <f>AVERAGEIFS($I$2:I410, $B$2:B410, B410)</f>
        <v>0.54655172413793107</v>
      </c>
      <c r="AC410" s="86">
        <f>AVERAGEIFS($J$2:J410, $B$2:B410, B410)</f>
        <v>0.5293103448275861</v>
      </c>
      <c r="AD410" s="86">
        <f>AVERAGEIFS($D$2:D410, $B$2:B410, B410)</f>
        <v>0.62068965517241381</v>
      </c>
    </row>
    <row r="411" spans="1:30" x14ac:dyDescent="0.25">
      <c r="A411" s="85">
        <v>46101</v>
      </c>
      <c r="B411" t="s">
        <v>147</v>
      </c>
      <c r="C411">
        <v>15</v>
      </c>
      <c r="D411" s="86">
        <v>0</v>
      </c>
      <c r="E411">
        <v>5</v>
      </c>
      <c r="F411">
        <v>2</v>
      </c>
      <c r="G411">
        <v>18</v>
      </c>
      <c r="H411">
        <v>8</v>
      </c>
      <c r="I411">
        <v>0.4</v>
      </c>
      <c r="J411">
        <v>0.44</v>
      </c>
      <c r="K411">
        <v>1</v>
      </c>
      <c r="L411">
        <v>0</v>
      </c>
      <c r="M411">
        <v>0</v>
      </c>
      <c r="N411">
        <v>0</v>
      </c>
      <c r="O411">
        <v>0</v>
      </c>
      <c r="P411">
        <v>1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 s="86">
        <f>AVERAGEIFS($C$2:C411, $B$2:B411, B411)</f>
        <v>15</v>
      </c>
      <c r="AB411" s="86">
        <f>AVERAGEIFS($I$2:I411, $B$2:B411, B411)</f>
        <v>0.4</v>
      </c>
      <c r="AC411" s="86">
        <f>AVERAGEIFS($J$2:J411, $B$2:B411, B411)</f>
        <v>0.44</v>
      </c>
      <c r="AD411" s="86">
        <f>AVERAGEIFS($D$2:D411, $B$2:B411, B411)</f>
        <v>0</v>
      </c>
    </row>
    <row r="412" spans="1:30" x14ac:dyDescent="0.25">
      <c r="A412" s="85">
        <v>46101</v>
      </c>
      <c r="B412" t="s">
        <v>28</v>
      </c>
      <c r="C412">
        <v>13</v>
      </c>
      <c r="D412" s="86">
        <v>0</v>
      </c>
      <c r="E412">
        <v>5</v>
      </c>
      <c r="F412">
        <v>2</v>
      </c>
      <c r="G412">
        <v>18</v>
      </c>
      <c r="H412">
        <v>8</v>
      </c>
      <c r="I412">
        <v>0.4</v>
      </c>
      <c r="J412">
        <v>0.44</v>
      </c>
      <c r="K412">
        <v>1</v>
      </c>
      <c r="L412">
        <v>0</v>
      </c>
      <c r="M412">
        <v>0</v>
      </c>
      <c r="N412">
        <v>0</v>
      </c>
      <c r="O412">
        <v>0</v>
      </c>
      <c r="P412">
        <v>1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86">
        <f>AVERAGEIFS($C$2:C412, $B$2:B412, B412)</f>
        <v>13.764705882352942</v>
      </c>
      <c r="AB412" s="86">
        <f>AVERAGEIFS($I$2:I412, $B$2:B412, B412)</f>
        <v>0.36764705882352944</v>
      </c>
      <c r="AC412" s="86">
        <f>AVERAGEIFS($J$2:J412, $B$2:B412, B412)</f>
        <v>0.43941176470588239</v>
      </c>
      <c r="AD412" s="86">
        <f>AVERAGEIFS($D$2:D412, $B$2:B412, B412)</f>
        <v>0.35294117647058826</v>
      </c>
    </row>
    <row r="413" spans="1:30" x14ac:dyDescent="0.25">
      <c r="A413" s="85">
        <v>46101</v>
      </c>
      <c r="B413" t="s">
        <v>148</v>
      </c>
      <c r="C413">
        <v>11</v>
      </c>
      <c r="D413" s="86">
        <v>0</v>
      </c>
      <c r="E413">
        <v>5</v>
      </c>
      <c r="F413">
        <v>2</v>
      </c>
      <c r="G413">
        <v>18</v>
      </c>
      <c r="H413">
        <v>8</v>
      </c>
      <c r="I413">
        <v>0.4</v>
      </c>
      <c r="J413">
        <v>0.44</v>
      </c>
      <c r="K413">
        <v>1</v>
      </c>
      <c r="L413">
        <v>0</v>
      </c>
      <c r="M413">
        <v>0</v>
      </c>
      <c r="N413">
        <v>0</v>
      </c>
      <c r="O413">
        <v>0</v>
      </c>
      <c r="P413">
        <v>1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86">
        <f>AVERAGEIFS($C$2:C413, $B$2:B413, B413)</f>
        <v>11</v>
      </c>
      <c r="AB413" s="86">
        <f>AVERAGEIFS($I$2:I413, $B$2:B413, B413)</f>
        <v>0.4</v>
      </c>
      <c r="AC413" s="86">
        <f>AVERAGEIFS($J$2:J413, $B$2:B413, B413)</f>
        <v>0.44</v>
      </c>
      <c r="AD413" s="86">
        <f>AVERAGEIFS($D$2:D413, $B$2:B413, B413)</f>
        <v>0</v>
      </c>
    </row>
    <row r="414" spans="1:30" x14ac:dyDescent="0.25">
      <c r="A414" s="85">
        <v>46101</v>
      </c>
      <c r="B414" t="s">
        <v>149</v>
      </c>
      <c r="C414">
        <v>4</v>
      </c>
      <c r="D414" s="86">
        <v>0</v>
      </c>
      <c r="E414">
        <v>5</v>
      </c>
      <c r="F414">
        <v>2</v>
      </c>
      <c r="G414">
        <v>18</v>
      </c>
      <c r="H414">
        <v>8</v>
      </c>
      <c r="I414">
        <v>0.4</v>
      </c>
      <c r="J414">
        <v>0.44</v>
      </c>
      <c r="K414">
        <v>1</v>
      </c>
      <c r="L414">
        <v>0</v>
      </c>
      <c r="M414">
        <v>0</v>
      </c>
      <c r="N414">
        <v>0</v>
      </c>
      <c r="O414">
        <v>0</v>
      </c>
      <c r="P414">
        <v>1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86">
        <f>AVERAGEIFS($C$2:C414, $B$2:B414, B414)</f>
        <v>4</v>
      </c>
      <c r="AB414" s="86">
        <f>AVERAGEIFS($I$2:I414, $B$2:B414, B414)</f>
        <v>0.4</v>
      </c>
      <c r="AC414" s="86">
        <f>AVERAGEIFS($J$2:J414, $B$2:B414, B414)</f>
        <v>0.44</v>
      </c>
      <c r="AD414" s="86">
        <f>AVERAGEIFS($D$2:D414, $B$2:B414, B414)</f>
        <v>0</v>
      </c>
    </row>
    <row r="415" spans="1:30" x14ac:dyDescent="0.25">
      <c r="A415" s="85">
        <v>46103</v>
      </c>
      <c r="B415" t="s">
        <v>40</v>
      </c>
      <c r="C415">
        <v>28</v>
      </c>
      <c r="D415" s="86">
        <v>0</v>
      </c>
      <c r="E415">
        <v>5</v>
      </c>
      <c r="F415">
        <v>2</v>
      </c>
      <c r="G415">
        <v>20</v>
      </c>
      <c r="H415">
        <v>8</v>
      </c>
      <c r="I415">
        <v>0.4</v>
      </c>
      <c r="J415">
        <v>0.4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1</v>
      </c>
      <c r="Y415">
        <v>1</v>
      </c>
      <c r="Z415">
        <v>0</v>
      </c>
      <c r="AA415" s="86">
        <f>AVERAGEIFS($C$2:C415, $B$2:B415, B415)</f>
        <v>16.25</v>
      </c>
      <c r="AB415" s="86">
        <f>AVERAGEIFS($I$2:I415, $B$2:B415, B415)</f>
        <v>0.22500000000000001</v>
      </c>
      <c r="AC415" s="86">
        <f>AVERAGEIFS($J$2:J415, $B$2:B415, B415)</f>
        <v>0.33250000000000002</v>
      </c>
      <c r="AD415" s="86">
        <f>AVERAGEIFS($D$2:D415, $B$2:B415, B415)</f>
        <v>0</v>
      </c>
    </row>
    <row r="416" spans="1:30" x14ac:dyDescent="0.25">
      <c r="A416" s="85">
        <v>46103</v>
      </c>
      <c r="B416" t="s">
        <v>17</v>
      </c>
      <c r="C416">
        <v>31</v>
      </c>
      <c r="D416" s="86">
        <v>0</v>
      </c>
      <c r="E416">
        <v>5</v>
      </c>
      <c r="F416">
        <v>2</v>
      </c>
      <c r="G416">
        <v>20</v>
      </c>
      <c r="H416">
        <v>8</v>
      </c>
      <c r="I416">
        <v>0.4</v>
      </c>
      <c r="J416">
        <v>0.4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1</v>
      </c>
      <c r="Y416">
        <v>1</v>
      </c>
      <c r="Z416">
        <v>0</v>
      </c>
      <c r="AA416" s="86">
        <f>AVERAGEIFS($C$2:C416, $B$2:B416, B416)</f>
        <v>26.724137931034484</v>
      </c>
      <c r="AB416" s="86">
        <f>AVERAGEIFS($I$2:I416, $B$2:B416, B416)</f>
        <v>0.52413793103448281</v>
      </c>
      <c r="AC416" s="86">
        <f>AVERAGEIFS($J$2:J416, $B$2:B416, B416)</f>
        <v>0.52275862068965506</v>
      </c>
      <c r="AD416" s="86">
        <f>AVERAGEIFS($D$2:D416, $B$2:B416, B416)</f>
        <v>0.41379310344827586</v>
      </c>
    </row>
    <row r="417" spans="1:30" x14ac:dyDescent="0.25">
      <c r="A417" s="85">
        <v>46103</v>
      </c>
      <c r="B417" t="s">
        <v>147</v>
      </c>
      <c r="C417">
        <v>22</v>
      </c>
      <c r="D417" s="86">
        <v>0</v>
      </c>
      <c r="E417">
        <v>5</v>
      </c>
      <c r="F417">
        <v>2</v>
      </c>
      <c r="G417">
        <v>20</v>
      </c>
      <c r="H417">
        <v>8</v>
      </c>
      <c r="I417">
        <v>0.4</v>
      </c>
      <c r="J417">
        <v>0.4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1</v>
      </c>
      <c r="Y417">
        <v>1</v>
      </c>
      <c r="Z417">
        <v>0</v>
      </c>
      <c r="AA417" s="86">
        <f>AVERAGEIFS($C$2:C417, $B$2:B417, B417)</f>
        <v>18.5</v>
      </c>
      <c r="AB417" s="86">
        <f>AVERAGEIFS($I$2:I417, $B$2:B417, B417)</f>
        <v>0.4</v>
      </c>
      <c r="AC417" s="86">
        <f>AVERAGEIFS($J$2:J417, $B$2:B417, B417)</f>
        <v>0.42000000000000004</v>
      </c>
      <c r="AD417" s="86">
        <f>AVERAGEIFS($D$2:D417, $B$2:B417, B417)</f>
        <v>0</v>
      </c>
    </row>
    <row r="418" spans="1:30" x14ac:dyDescent="0.25">
      <c r="A418" s="85">
        <v>46103</v>
      </c>
      <c r="B418" t="s">
        <v>45</v>
      </c>
      <c r="C418">
        <v>17</v>
      </c>
      <c r="D418" s="86">
        <v>0</v>
      </c>
      <c r="E418">
        <v>5</v>
      </c>
      <c r="F418">
        <v>2</v>
      </c>
      <c r="G418">
        <v>20</v>
      </c>
      <c r="H418">
        <v>8</v>
      </c>
      <c r="I418">
        <v>0.4</v>
      </c>
      <c r="J418">
        <v>0.4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1</v>
      </c>
      <c r="Y418">
        <v>1</v>
      </c>
      <c r="Z418">
        <v>0</v>
      </c>
      <c r="AA418" s="86">
        <f>AVERAGEIFS($C$2:C418, $B$2:B418, B418)</f>
        <v>11.714285714285714</v>
      </c>
      <c r="AB418" s="86">
        <f>AVERAGEIFS($I$2:I418, $B$2:B418, B418)</f>
        <v>0.44285714285714295</v>
      </c>
      <c r="AC418" s="86">
        <f>AVERAGEIFS($J$2:J418, $B$2:B418, B418)</f>
        <v>0.47714285714285715</v>
      </c>
      <c r="AD418" s="86">
        <f>AVERAGEIFS($D$2:D418, $B$2:B418, B418)</f>
        <v>0.35714285714285715</v>
      </c>
    </row>
    <row r="419" spans="1:30" x14ac:dyDescent="0.25">
      <c r="A419" s="85">
        <v>46103</v>
      </c>
      <c r="B419" t="s">
        <v>146</v>
      </c>
      <c r="C419">
        <v>21</v>
      </c>
      <c r="D419" s="86">
        <v>0</v>
      </c>
      <c r="E419">
        <v>5</v>
      </c>
      <c r="F419">
        <v>2</v>
      </c>
      <c r="G419">
        <v>20</v>
      </c>
      <c r="H419">
        <v>8</v>
      </c>
      <c r="I419">
        <v>0.4</v>
      </c>
      <c r="J419">
        <v>0.4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1</v>
      </c>
      <c r="Y419">
        <v>1</v>
      </c>
      <c r="Z419">
        <v>0</v>
      </c>
      <c r="AA419" s="86">
        <f>AVERAGEIFS($C$2:C419, $B$2:B419, B419)</f>
        <v>14.25</v>
      </c>
      <c r="AB419" s="86">
        <f>AVERAGEIFS($I$2:I419, $B$2:B419, B419)</f>
        <v>0.46250000000000002</v>
      </c>
      <c r="AC419" s="86">
        <f>AVERAGEIFS($J$2:J419, $B$2:B419, B419)</f>
        <v>0.48</v>
      </c>
      <c r="AD419" s="86">
        <f>AVERAGEIFS($D$2:D419, $B$2:B419, B419)</f>
        <v>0.5</v>
      </c>
    </row>
    <row r="420" spans="1:30" x14ac:dyDescent="0.25">
      <c r="A420" s="85">
        <v>46103</v>
      </c>
      <c r="B420" t="s">
        <v>15</v>
      </c>
      <c r="C420">
        <v>33</v>
      </c>
      <c r="D420" s="86">
        <v>0</v>
      </c>
      <c r="E420">
        <v>5</v>
      </c>
      <c r="F420">
        <v>2</v>
      </c>
      <c r="G420">
        <v>20</v>
      </c>
      <c r="H420">
        <v>8</v>
      </c>
      <c r="I420">
        <v>0.4</v>
      </c>
      <c r="J420">
        <v>0.4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1</v>
      </c>
      <c r="Y420">
        <v>1</v>
      </c>
      <c r="Z420">
        <v>0</v>
      </c>
      <c r="AA420" s="86">
        <f>AVERAGEIFS($C$2:C420, $B$2:B420, B420)</f>
        <v>25.523809523809526</v>
      </c>
      <c r="AB420" s="86">
        <f>AVERAGEIFS($I$2:I420, $B$2:B420, B420)</f>
        <v>0.43333333333333329</v>
      </c>
      <c r="AC420" s="86">
        <f>AVERAGEIFS($J$2:J420, $B$2:B420, B420)</f>
        <v>0.47666666666666674</v>
      </c>
      <c r="AD420" s="86">
        <f>AVERAGEIFS($D$2:D420, $B$2:B420, B420)</f>
        <v>0.2857142857142857</v>
      </c>
    </row>
    <row r="421" spans="1:30" x14ac:dyDescent="0.25">
      <c r="A421" s="85">
        <v>46103</v>
      </c>
      <c r="B421" t="s">
        <v>19</v>
      </c>
      <c r="C421">
        <v>10</v>
      </c>
      <c r="D421" s="86">
        <v>1</v>
      </c>
      <c r="E421">
        <v>5</v>
      </c>
      <c r="F421">
        <v>3</v>
      </c>
      <c r="G421">
        <v>20</v>
      </c>
      <c r="H421">
        <v>12</v>
      </c>
      <c r="I421">
        <v>0.6</v>
      </c>
      <c r="J421">
        <v>0.6</v>
      </c>
      <c r="K421">
        <v>0</v>
      </c>
      <c r="L421">
        <v>0</v>
      </c>
      <c r="M421">
        <v>0</v>
      </c>
      <c r="N421">
        <v>0</v>
      </c>
      <c r="O421">
        <v>1</v>
      </c>
      <c r="P421">
        <v>1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1</v>
      </c>
      <c r="AA421" s="86">
        <f>AVERAGEIFS($C$2:C421, $B$2:B421, B421)</f>
        <v>11.88</v>
      </c>
      <c r="AB421" s="86">
        <f>AVERAGEIFS($I$2:I421, $B$2:B421, B421)</f>
        <v>0.39</v>
      </c>
      <c r="AC421" s="86">
        <f>AVERAGEIFS($J$2:J421, $B$2:B421, B421)</f>
        <v>0.44800000000000006</v>
      </c>
      <c r="AD421" s="86">
        <f>AVERAGEIFS($D$2:D421, $B$2:B421, B421)</f>
        <v>0.36</v>
      </c>
    </row>
    <row r="422" spans="1:30" x14ac:dyDescent="0.25">
      <c r="A422" s="85">
        <v>46103</v>
      </c>
      <c r="B422" t="s">
        <v>37</v>
      </c>
      <c r="C422">
        <v>33</v>
      </c>
      <c r="D422" s="86">
        <v>1</v>
      </c>
      <c r="E422">
        <v>5</v>
      </c>
      <c r="F422">
        <v>3</v>
      </c>
      <c r="G422">
        <v>20</v>
      </c>
      <c r="H422">
        <v>12</v>
      </c>
      <c r="I422">
        <v>0.6</v>
      </c>
      <c r="J422">
        <v>0.6</v>
      </c>
      <c r="K422">
        <v>0</v>
      </c>
      <c r="L422">
        <v>0</v>
      </c>
      <c r="M422">
        <v>0</v>
      </c>
      <c r="N422">
        <v>0</v>
      </c>
      <c r="O422">
        <v>1</v>
      </c>
      <c r="P422">
        <v>1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1</v>
      </c>
      <c r="AA422" s="86">
        <f>AVERAGEIFS($C$2:C422, $B$2:B422, B422)</f>
        <v>19.533333333333335</v>
      </c>
      <c r="AB422" s="86">
        <f>AVERAGEIFS($I$2:I422, $B$2:B422, B422)</f>
        <v>0.45</v>
      </c>
      <c r="AC422" s="86">
        <f>AVERAGEIFS($J$2:J422, $B$2:B422, B422)</f>
        <v>0.47133333333333322</v>
      </c>
      <c r="AD422" s="86">
        <f>AVERAGEIFS($D$2:D422, $B$2:B422, B422)</f>
        <v>0.4</v>
      </c>
    </row>
    <row r="423" spans="1:30" x14ac:dyDescent="0.25">
      <c r="A423" s="85">
        <v>46103</v>
      </c>
      <c r="B423" t="s">
        <v>13</v>
      </c>
      <c r="C423">
        <v>35</v>
      </c>
      <c r="D423" s="86">
        <v>1</v>
      </c>
      <c r="E423">
        <v>5</v>
      </c>
      <c r="F423">
        <v>3</v>
      </c>
      <c r="G423">
        <v>20</v>
      </c>
      <c r="H423">
        <v>12</v>
      </c>
      <c r="I423">
        <v>0.6</v>
      </c>
      <c r="J423">
        <v>0.6</v>
      </c>
      <c r="K423">
        <v>0</v>
      </c>
      <c r="L423">
        <v>0</v>
      </c>
      <c r="M423">
        <v>0</v>
      </c>
      <c r="N423">
        <v>0</v>
      </c>
      <c r="O423">
        <v>1</v>
      </c>
      <c r="P423">
        <v>1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1</v>
      </c>
      <c r="AA423" s="86">
        <f>AVERAGEIFS($C$2:C423, $B$2:B423, B423)</f>
        <v>28.1</v>
      </c>
      <c r="AB423" s="86">
        <f>AVERAGEIFS($I$2:I423, $B$2:B423, B423)</f>
        <v>0.54833333333333334</v>
      </c>
      <c r="AC423" s="86">
        <f>AVERAGEIFS($J$2:J423, $B$2:B423, B423)</f>
        <v>0.53166666666666662</v>
      </c>
      <c r="AD423" s="86">
        <f>AVERAGEIFS($D$2:D423, $B$2:B423, B423)</f>
        <v>0.6333333333333333</v>
      </c>
    </row>
    <row r="424" spans="1:30" x14ac:dyDescent="0.25">
      <c r="A424" s="85">
        <v>46103</v>
      </c>
      <c r="B424" t="s">
        <v>27</v>
      </c>
      <c r="C424">
        <v>29</v>
      </c>
      <c r="D424" s="86">
        <v>1</v>
      </c>
      <c r="E424">
        <v>5</v>
      </c>
      <c r="F424">
        <v>3</v>
      </c>
      <c r="G424">
        <v>20</v>
      </c>
      <c r="H424">
        <v>12</v>
      </c>
      <c r="I424">
        <v>0.6</v>
      </c>
      <c r="J424">
        <v>0.6</v>
      </c>
      <c r="K424">
        <v>0</v>
      </c>
      <c r="L424">
        <v>0</v>
      </c>
      <c r="M424">
        <v>0</v>
      </c>
      <c r="N424">
        <v>0</v>
      </c>
      <c r="O424">
        <v>1</v>
      </c>
      <c r="P424">
        <v>1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1</v>
      </c>
      <c r="AA424" s="86">
        <f>AVERAGEIFS($C$2:C424, $B$2:B424, B424)</f>
        <v>14.4375</v>
      </c>
      <c r="AB424" s="86">
        <f>AVERAGEIFS($I$2:I424, $B$2:B424, B424)</f>
        <v>0.48124999999999996</v>
      </c>
      <c r="AC424" s="86">
        <f>AVERAGEIFS($J$2:J424, $B$2:B424, B424)</f>
        <v>0.489375</v>
      </c>
      <c r="AD424" s="86">
        <f>AVERAGEIFS($D$2:D424, $B$2:B424, B424)</f>
        <v>0.5</v>
      </c>
    </row>
    <row r="425" spans="1:30" x14ac:dyDescent="0.25">
      <c r="A425" s="85">
        <v>46103</v>
      </c>
      <c r="B425" t="s">
        <v>4</v>
      </c>
      <c r="C425">
        <v>20</v>
      </c>
      <c r="D425" s="86">
        <v>1</v>
      </c>
      <c r="E425">
        <v>5</v>
      </c>
      <c r="F425">
        <v>3</v>
      </c>
      <c r="G425">
        <v>20</v>
      </c>
      <c r="H425">
        <v>12</v>
      </c>
      <c r="I425">
        <v>0.6</v>
      </c>
      <c r="J425">
        <v>0.6</v>
      </c>
      <c r="K425">
        <v>0</v>
      </c>
      <c r="L425">
        <v>0</v>
      </c>
      <c r="M425">
        <v>0</v>
      </c>
      <c r="N425">
        <v>0</v>
      </c>
      <c r="O425">
        <v>1</v>
      </c>
      <c r="P425">
        <v>1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1</v>
      </c>
      <c r="AA425" s="86">
        <f>AVERAGEIFS($C$2:C425, $B$2:B425, B425)</f>
        <v>17.666666666666668</v>
      </c>
      <c r="AB425" s="86">
        <f>AVERAGEIFS($I$2:I425, $B$2:B425, B425)</f>
        <v>0.78333333333333333</v>
      </c>
      <c r="AC425" s="86">
        <f>AVERAGEIFS($J$2:J425, $B$2:B425, B425)</f>
        <v>0.66</v>
      </c>
      <c r="AD425" s="86">
        <f>AVERAGEIFS($D$2:D425, $B$2:B425, B425)</f>
        <v>1</v>
      </c>
    </row>
    <row r="426" spans="1:30" x14ac:dyDescent="0.25">
      <c r="A426" s="85">
        <v>46103</v>
      </c>
      <c r="B426" t="s">
        <v>137</v>
      </c>
      <c r="C426">
        <v>11</v>
      </c>
      <c r="D426" s="86">
        <v>1</v>
      </c>
      <c r="E426">
        <v>5</v>
      </c>
      <c r="F426">
        <v>3</v>
      </c>
      <c r="G426">
        <v>20</v>
      </c>
      <c r="H426">
        <v>12</v>
      </c>
      <c r="I426">
        <v>0.6</v>
      </c>
      <c r="J426">
        <v>0.6</v>
      </c>
      <c r="K426">
        <v>0</v>
      </c>
      <c r="L426">
        <v>0</v>
      </c>
      <c r="M426">
        <v>0</v>
      </c>
      <c r="N426">
        <v>0</v>
      </c>
      <c r="O426">
        <v>1</v>
      </c>
      <c r="P426">
        <v>1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1</v>
      </c>
      <c r="AA426" s="86">
        <f>AVERAGEIFS($C$2:C426, $B$2:B426, B426)</f>
        <v>7.2857142857142856</v>
      </c>
      <c r="AB426" s="86">
        <f>AVERAGEIFS($I$2:I426, $B$2:B426, B426)</f>
        <v>0.5714285714285714</v>
      </c>
      <c r="AC426" s="86">
        <f>AVERAGEIFS($J$2:J426, $B$2:B426, B426)</f>
        <v>0.53857142857142859</v>
      </c>
      <c r="AD426" s="86">
        <f>AVERAGEIFS($D$2:D426, $B$2:B426, B426)</f>
        <v>0.5714285714285714</v>
      </c>
    </row>
    <row r="427" spans="1:30" x14ac:dyDescent="0.25">
      <c r="A427" s="85">
        <v>46103</v>
      </c>
      <c r="B427" t="s">
        <v>26</v>
      </c>
      <c r="C427">
        <v>5</v>
      </c>
      <c r="D427" s="86">
        <v>1</v>
      </c>
      <c r="E427">
        <v>5</v>
      </c>
      <c r="F427">
        <v>3</v>
      </c>
      <c r="G427">
        <v>20</v>
      </c>
      <c r="H427">
        <v>12</v>
      </c>
      <c r="I427">
        <v>0.6</v>
      </c>
      <c r="J427">
        <v>0.6</v>
      </c>
      <c r="K427">
        <v>0</v>
      </c>
      <c r="L427">
        <v>0</v>
      </c>
      <c r="M427">
        <v>0</v>
      </c>
      <c r="N427">
        <v>0</v>
      </c>
      <c r="O427">
        <v>1</v>
      </c>
      <c r="P427">
        <v>1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1</v>
      </c>
      <c r="AA427" s="86">
        <f>AVERAGEIFS($C$2:C427, $B$2:B427, B427)</f>
        <v>12</v>
      </c>
      <c r="AB427" s="86">
        <f>AVERAGEIFS($I$2:I427, $B$2:B427, B427)</f>
        <v>0.66749999999999998</v>
      </c>
      <c r="AC427" s="86">
        <f>AVERAGEIFS($J$2:J427, $B$2:B427, B427)</f>
        <v>0.58449999999999991</v>
      </c>
      <c r="AD427" s="86">
        <f>AVERAGEIFS($D$2:D427, $B$2:B427, B427)</f>
        <v>0.75</v>
      </c>
    </row>
    <row r="428" spans="1:30" x14ac:dyDescent="0.25">
      <c r="A428" s="85">
        <v>46103</v>
      </c>
      <c r="B428" t="s">
        <v>18</v>
      </c>
      <c r="C428">
        <v>8</v>
      </c>
      <c r="D428" s="86">
        <v>1</v>
      </c>
      <c r="E428">
        <v>5</v>
      </c>
      <c r="F428">
        <v>3</v>
      </c>
      <c r="G428">
        <v>20</v>
      </c>
      <c r="H428">
        <v>12</v>
      </c>
      <c r="I428">
        <v>0.6</v>
      </c>
      <c r="J428">
        <v>0.6</v>
      </c>
      <c r="K428">
        <v>0</v>
      </c>
      <c r="L428">
        <v>0</v>
      </c>
      <c r="M428">
        <v>0</v>
      </c>
      <c r="N428">
        <v>0</v>
      </c>
      <c r="O428">
        <v>1</v>
      </c>
      <c r="P428">
        <v>1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1</v>
      </c>
      <c r="AA428" s="86">
        <f>AVERAGEIFS($C$2:C428, $B$2:B428, B428)</f>
        <v>25.533333333333335</v>
      </c>
      <c r="AB428" s="86">
        <f>AVERAGEIFS($I$2:I428, $B$2:B428, B428)</f>
        <v>0.42666666666666669</v>
      </c>
      <c r="AC428" s="86">
        <f>AVERAGEIFS($J$2:J428, $B$2:B428, B428)</f>
        <v>0.45466666666666655</v>
      </c>
      <c r="AD428" s="86">
        <f>AVERAGEIFS($D$2:D428, $B$2:B428, B428)</f>
        <v>0.4</v>
      </c>
    </row>
    <row r="429" spans="1:30" x14ac:dyDescent="0.25">
      <c r="A429" s="85">
        <v>46103</v>
      </c>
      <c r="B429" t="s">
        <v>14</v>
      </c>
      <c r="C429">
        <v>35</v>
      </c>
      <c r="D429" s="86">
        <v>1</v>
      </c>
      <c r="E429">
        <v>5</v>
      </c>
      <c r="F429">
        <v>3</v>
      </c>
      <c r="G429">
        <v>21</v>
      </c>
      <c r="H429">
        <v>11</v>
      </c>
      <c r="I429">
        <v>0.6</v>
      </c>
      <c r="J429">
        <v>0.52</v>
      </c>
      <c r="K429">
        <v>0</v>
      </c>
      <c r="L429">
        <v>1</v>
      </c>
      <c r="M429">
        <v>0</v>
      </c>
      <c r="N429">
        <v>0</v>
      </c>
      <c r="O429">
        <v>1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1</v>
      </c>
      <c r="X429">
        <v>0</v>
      </c>
      <c r="Y429">
        <v>0</v>
      </c>
      <c r="Z429">
        <v>0</v>
      </c>
      <c r="AA429" s="86">
        <f>AVERAGEIFS($C$2:C429, $B$2:B429, B429)</f>
        <v>24.96</v>
      </c>
      <c r="AB429" s="86">
        <f>AVERAGEIFS($I$2:I429, $B$2:B429, B429)</f>
        <v>0.53</v>
      </c>
      <c r="AC429" s="86">
        <f>AVERAGEIFS($J$2:J429, $B$2:B429, B429)</f>
        <v>0.50960000000000005</v>
      </c>
      <c r="AD429" s="86">
        <f>AVERAGEIFS($D$2:D429, $B$2:B429, B429)</f>
        <v>0.56000000000000005</v>
      </c>
    </row>
    <row r="430" spans="1:30" x14ac:dyDescent="0.25">
      <c r="A430" s="85">
        <v>46103</v>
      </c>
      <c r="B430" t="s">
        <v>6</v>
      </c>
      <c r="C430">
        <v>33</v>
      </c>
      <c r="D430" s="86">
        <v>1</v>
      </c>
      <c r="E430">
        <v>5</v>
      </c>
      <c r="F430">
        <v>3</v>
      </c>
      <c r="G430">
        <v>21</v>
      </c>
      <c r="H430">
        <v>11</v>
      </c>
      <c r="I430">
        <v>0.6</v>
      </c>
      <c r="J430">
        <v>0.52</v>
      </c>
      <c r="K430">
        <v>0</v>
      </c>
      <c r="L430">
        <v>1</v>
      </c>
      <c r="M430">
        <v>0</v>
      </c>
      <c r="N430">
        <v>0</v>
      </c>
      <c r="O430">
        <v>1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1</v>
      </c>
      <c r="X430">
        <v>0</v>
      </c>
      <c r="Y430">
        <v>0</v>
      </c>
      <c r="Z430">
        <v>0</v>
      </c>
      <c r="AA430" s="86">
        <f>AVERAGEIFS($C$2:C430, $B$2:B430, B430)</f>
        <v>23.235294117647058</v>
      </c>
      <c r="AB430" s="86">
        <f>AVERAGEIFS($I$2:I430, $B$2:B430, B430)</f>
        <v>0.626470588235294</v>
      </c>
      <c r="AC430" s="86">
        <f>AVERAGEIFS($J$2:J430, $B$2:B430, B430)</f>
        <v>0.54352941176470593</v>
      </c>
      <c r="AD430" s="86">
        <f>AVERAGEIFS($D$2:D430, $B$2:B430, B430)</f>
        <v>0.76470588235294112</v>
      </c>
    </row>
    <row r="431" spans="1:30" x14ac:dyDescent="0.25">
      <c r="A431" s="85">
        <v>46103</v>
      </c>
      <c r="B431" t="s">
        <v>1</v>
      </c>
      <c r="C431">
        <v>32</v>
      </c>
      <c r="D431" s="86">
        <v>1</v>
      </c>
      <c r="E431">
        <v>5</v>
      </c>
      <c r="F431">
        <v>3</v>
      </c>
      <c r="G431">
        <v>21</v>
      </c>
      <c r="H431">
        <v>11</v>
      </c>
      <c r="I431">
        <v>0.6</v>
      </c>
      <c r="J431">
        <v>0.52</v>
      </c>
      <c r="K431">
        <v>0</v>
      </c>
      <c r="L431">
        <v>1</v>
      </c>
      <c r="M431">
        <v>0</v>
      </c>
      <c r="N431">
        <v>0</v>
      </c>
      <c r="O431">
        <v>1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1</v>
      </c>
      <c r="X431">
        <v>0</v>
      </c>
      <c r="Y431">
        <v>0</v>
      </c>
      <c r="Z431">
        <v>0</v>
      </c>
      <c r="AA431" s="86">
        <f>AVERAGEIFS($C$2:C431, $B$2:B431, B431)</f>
        <v>28.625</v>
      </c>
      <c r="AB431" s="86">
        <f>AVERAGEIFS($I$2:I431, $B$2:B431, B431)</f>
        <v>0.56874999999999998</v>
      </c>
      <c r="AC431" s="86">
        <f>AVERAGEIFS($J$2:J431, $B$2:B431, B431)</f>
        <v>0.51</v>
      </c>
      <c r="AD431" s="86">
        <f>AVERAGEIFS($D$2:D431, $B$2:B431, B431)</f>
        <v>0.75</v>
      </c>
    </row>
    <row r="432" spans="1:30" x14ac:dyDescent="0.25">
      <c r="A432" s="85">
        <v>46103</v>
      </c>
      <c r="B432" t="s">
        <v>26</v>
      </c>
      <c r="C432">
        <v>16</v>
      </c>
      <c r="D432" s="86">
        <v>1</v>
      </c>
      <c r="E432">
        <v>5</v>
      </c>
      <c r="F432">
        <v>3</v>
      </c>
      <c r="G432">
        <v>21</v>
      </c>
      <c r="H432">
        <v>11</v>
      </c>
      <c r="I432">
        <v>0.6</v>
      </c>
      <c r="J432">
        <v>0.52</v>
      </c>
      <c r="K432">
        <v>0</v>
      </c>
      <c r="L432">
        <v>1</v>
      </c>
      <c r="M432">
        <v>0</v>
      </c>
      <c r="N432">
        <v>0</v>
      </c>
      <c r="O432">
        <v>1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1</v>
      </c>
      <c r="X432">
        <v>0</v>
      </c>
      <c r="Y432">
        <v>0</v>
      </c>
      <c r="Z432">
        <v>0</v>
      </c>
      <c r="AA432" s="86">
        <f>AVERAGEIFS($C$2:C432, $B$2:B432, B432)</f>
        <v>12.19047619047619</v>
      </c>
      <c r="AB432" s="86">
        <f>AVERAGEIFS($I$2:I432, $B$2:B432, B432)</f>
        <v>0.66428571428571426</v>
      </c>
      <c r="AC432" s="86">
        <f>AVERAGEIFS($J$2:J432, $B$2:B432, B432)</f>
        <v>0.58142857142857129</v>
      </c>
      <c r="AD432" s="86">
        <f>AVERAGEIFS($D$2:D432, $B$2:B432, B432)</f>
        <v>0.76190476190476186</v>
      </c>
    </row>
    <row r="433" spans="1:30" x14ac:dyDescent="0.25">
      <c r="A433" s="85">
        <v>46103</v>
      </c>
      <c r="B433" t="s">
        <v>42</v>
      </c>
      <c r="C433">
        <v>12</v>
      </c>
      <c r="D433" s="86">
        <v>1</v>
      </c>
      <c r="E433">
        <v>5</v>
      </c>
      <c r="F433">
        <v>3</v>
      </c>
      <c r="G433">
        <v>21</v>
      </c>
      <c r="H433">
        <v>11</v>
      </c>
      <c r="I433">
        <v>0.6</v>
      </c>
      <c r="J433">
        <v>0.52</v>
      </c>
      <c r="K433">
        <v>0</v>
      </c>
      <c r="L433">
        <v>1</v>
      </c>
      <c r="M433">
        <v>0</v>
      </c>
      <c r="N433">
        <v>0</v>
      </c>
      <c r="O433">
        <v>1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1</v>
      </c>
      <c r="X433">
        <v>0</v>
      </c>
      <c r="Y433">
        <v>0</v>
      </c>
      <c r="Z433">
        <v>0</v>
      </c>
      <c r="AA433" s="86">
        <f>AVERAGEIFS($C$2:C433, $B$2:B433, B433)</f>
        <v>9</v>
      </c>
      <c r="AB433" s="86">
        <f>AVERAGEIFS($I$2:I433, $B$2:B433, B433)</f>
        <v>0.33333333333333331</v>
      </c>
      <c r="AC433" s="86">
        <f>AVERAGEIFS($J$2:J433, $B$2:B433, B433)</f>
        <v>0.35666666666666669</v>
      </c>
      <c r="AD433" s="86">
        <f>AVERAGEIFS($D$2:D433, $B$2:B433, B433)</f>
        <v>0.33333333333333331</v>
      </c>
    </row>
    <row r="434" spans="1:30" x14ac:dyDescent="0.25">
      <c r="A434" s="85">
        <v>46103</v>
      </c>
      <c r="B434" t="s">
        <v>29</v>
      </c>
      <c r="C434">
        <v>12</v>
      </c>
      <c r="D434" s="86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0</v>
      </c>
      <c r="L434">
        <v>1</v>
      </c>
      <c r="M434">
        <v>0</v>
      </c>
      <c r="N434">
        <v>0</v>
      </c>
      <c r="O434">
        <v>1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1</v>
      </c>
      <c r="X434">
        <v>0</v>
      </c>
      <c r="Y434">
        <v>0</v>
      </c>
      <c r="Z434">
        <v>0</v>
      </c>
      <c r="AA434" s="86">
        <f>AVERAGEIFS($C$2:C434, $B$2:B434, B434)</f>
        <v>9.9090909090909083</v>
      </c>
      <c r="AB434" s="86">
        <f>AVERAGEIFS($I$2:I434, $B$2:B434, B434)</f>
        <v>0.48409090909090913</v>
      </c>
      <c r="AC434" s="86">
        <f>AVERAGEIFS($J$2:J434, $B$2:B434, B434)</f>
        <v>0.49818181818181811</v>
      </c>
      <c r="AD434" s="86">
        <f>AVERAGEIFS($D$2:D434, $B$2:B434, B434)</f>
        <v>0.5</v>
      </c>
    </row>
    <row r="435" spans="1:30" x14ac:dyDescent="0.25">
      <c r="A435" s="85">
        <v>46103</v>
      </c>
      <c r="B435" t="s">
        <v>2</v>
      </c>
      <c r="C435">
        <v>33</v>
      </c>
      <c r="D435" s="86">
        <v>0</v>
      </c>
      <c r="E435">
        <v>5</v>
      </c>
      <c r="F435">
        <v>2</v>
      </c>
      <c r="G435">
        <v>21</v>
      </c>
      <c r="H435">
        <v>10</v>
      </c>
      <c r="I435">
        <v>0.4</v>
      </c>
      <c r="J435">
        <v>0.48</v>
      </c>
      <c r="K435">
        <v>0</v>
      </c>
      <c r="L435">
        <v>0</v>
      </c>
      <c r="M435">
        <v>0</v>
      </c>
      <c r="N435">
        <v>1</v>
      </c>
      <c r="O435">
        <v>0</v>
      </c>
      <c r="P435">
        <v>0</v>
      </c>
      <c r="Q435">
        <v>0</v>
      </c>
      <c r="R435">
        <v>1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 s="86">
        <f>AVERAGEIFS($C$2:C435, $B$2:B435, B435)</f>
        <v>27.23076923076923</v>
      </c>
      <c r="AB435" s="86">
        <f>AVERAGEIFS($I$2:I435, $B$2:B435, B435)</f>
        <v>0.54230769230769227</v>
      </c>
      <c r="AC435" s="86">
        <f>AVERAGEIFS($J$2:J435, $B$2:B435, B435)</f>
        <v>0.53923076923076918</v>
      </c>
      <c r="AD435" s="86">
        <f>AVERAGEIFS($D$2:D435, $B$2:B435, B435)</f>
        <v>0.53846153846153844</v>
      </c>
    </row>
    <row r="436" spans="1:30" x14ac:dyDescent="0.25">
      <c r="A436" s="85">
        <v>46103</v>
      </c>
      <c r="B436" t="s">
        <v>18</v>
      </c>
      <c r="C436">
        <v>31</v>
      </c>
      <c r="D436" s="86">
        <v>0</v>
      </c>
      <c r="E436">
        <v>5</v>
      </c>
      <c r="F436">
        <v>2</v>
      </c>
      <c r="G436">
        <v>21</v>
      </c>
      <c r="H436">
        <v>10</v>
      </c>
      <c r="I436">
        <v>0.4</v>
      </c>
      <c r="J436">
        <v>0.48</v>
      </c>
      <c r="K436">
        <v>0</v>
      </c>
      <c r="L436">
        <v>0</v>
      </c>
      <c r="M436">
        <v>0</v>
      </c>
      <c r="N436">
        <v>1</v>
      </c>
      <c r="O436">
        <v>0</v>
      </c>
      <c r="P436">
        <v>0</v>
      </c>
      <c r="Q436">
        <v>0</v>
      </c>
      <c r="R436">
        <v>1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 s="86">
        <f>AVERAGEIFS($C$2:C436, $B$2:B436, B436)</f>
        <v>25.875</v>
      </c>
      <c r="AB436" s="86">
        <f>AVERAGEIFS($I$2:I436, $B$2:B436, B436)</f>
        <v>0.42500000000000004</v>
      </c>
      <c r="AC436" s="86">
        <f>AVERAGEIFS($J$2:J436, $B$2:B436, B436)</f>
        <v>0.45624999999999993</v>
      </c>
      <c r="AD436" s="86">
        <f>AVERAGEIFS($D$2:D436, $B$2:B436, B436)</f>
        <v>0.375</v>
      </c>
    </row>
    <row r="437" spans="1:30" x14ac:dyDescent="0.25">
      <c r="A437" s="85">
        <v>46103</v>
      </c>
      <c r="B437" t="s">
        <v>25</v>
      </c>
      <c r="C437">
        <v>31</v>
      </c>
      <c r="D437" s="86">
        <v>0</v>
      </c>
      <c r="E437">
        <v>5</v>
      </c>
      <c r="F437">
        <v>2</v>
      </c>
      <c r="G437">
        <v>21</v>
      </c>
      <c r="H437">
        <v>10</v>
      </c>
      <c r="I437">
        <v>0.4</v>
      </c>
      <c r="J437">
        <v>0.48</v>
      </c>
      <c r="K437">
        <v>0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1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 s="86">
        <f>AVERAGEIFS($C$2:C437, $B$2:B437, B437)</f>
        <v>16.583333333333332</v>
      </c>
      <c r="AB437" s="86">
        <f>AVERAGEIFS($I$2:I437, $B$2:B437, B437)</f>
        <v>0.66250000000000009</v>
      </c>
      <c r="AC437" s="86">
        <f>AVERAGEIFS($J$2:J437, $B$2:B437, B437)</f>
        <v>0.58333333333333337</v>
      </c>
      <c r="AD437" s="86">
        <f>AVERAGEIFS($D$2:D437, $B$2:B437, B437)</f>
        <v>0.58333333333333337</v>
      </c>
    </row>
    <row r="438" spans="1:30" x14ac:dyDescent="0.25">
      <c r="A438" s="85">
        <v>46103</v>
      </c>
      <c r="B438" t="s">
        <v>70</v>
      </c>
      <c r="C438">
        <v>25</v>
      </c>
      <c r="D438" s="86">
        <v>0</v>
      </c>
      <c r="E438">
        <v>5</v>
      </c>
      <c r="F438">
        <v>2</v>
      </c>
      <c r="G438">
        <v>21</v>
      </c>
      <c r="H438">
        <v>10</v>
      </c>
      <c r="I438">
        <v>0.4</v>
      </c>
      <c r="J438">
        <v>0.48</v>
      </c>
      <c r="K438">
        <v>0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1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 s="86">
        <f>AVERAGEIFS($C$2:C438, $B$2:B438, B438)</f>
        <v>23</v>
      </c>
      <c r="AB438" s="86">
        <f>AVERAGEIFS($I$2:I438, $B$2:B438, B438)</f>
        <v>0.5</v>
      </c>
      <c r="AC438" s="86">
        <f>AVERAGEIFS($J$2:J438, $B$2:B438, B438)</f>
        <v>0.52</v>
      </c>
      <c r="AD438" s="86">
        <f>AVERAGEIFS($D$2:D438, $B$2:B438, B438)</f>
        <v>0.5</v>
      </c>
    </row>
    <row r="439" spans="1:30" x14ac:dyDescent="0.25">
      <c r="A439" s="85">
        <v>46103</v>
      </c>
      <c r="B439" t="s">
        <v>20</v>
      </c>
      <c r="C439">
        <v>15</v>
      </c>
      <c r="D439" s="86">
        <v>0</v>
      </c>
      <c r="E439">
        <v>5</v>
      </c>
      <c r="F439">
        <v>2</v>
      </c>
      <c r="G439">
        <v>21</v>
      </c>
      <c r="H439">
        <v>10</v>
      </c>
      <c r="I439">
        <v>0.4</v>
      </c>
      <c r="J439">
        <v>0.48</v>
      </c>
      <c r="K439">
        <v>0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1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 s="86">
        <f>AVERAGEIFS($C$2:C439, $B$2:B439, B439)</f>
        <v>13.681818181818182</v>
      </c>
      <c r="AB439" s="86">
        <f>AVERAGEIFS($I$2:I439, $B$2:B439, B439)</f>
        <v>0.47272727272727272</v>
      </c>
      <c r="AC439" s="86">
        <f>AVERAGEIFS($J$2:J439, $B$2:B439, B439)</f>
        <v>0.49136363636363639</v>
      </c>
      <c r="AD439" s="86">
        <f>AVERAGEIFS($D$2:D439, $B$2:B439, B439)</f>
        <v>0.36363636363636365</v>
      </c>
    </row>
    <row r="440" spans="1:30" x14ac:dyDescent="0.25">
      <c r="A440" s="85">
        <v>46103</v>
      </c>
      <c r="B440" t="s">
        <v>28</v>
      </c>
      <c r="C440">
        <v>14</v>
      </c>
      <c r="D440" s="86">
        <v>0</v>
      </c>
      <c r="E440">
        <v>5</v>
      </c>
      <c r="F440">
        <v>2</v>
      </c>
      <c r="G440">
        <v>21</v>
      </c>
      <c r="H440">
        <v>10</v>
      </c>
      <c r="I440">
        <v>0.4</v>
      </c>
      <c r="J440">
        <v>0.48</v>
      </c>
      <c r="K440">
        <v>0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1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 s="86">
        <f>AVERAGEIFS($C$2:C440, $B$2:B440, B440)</f>
        <v>13.777777777777779</v>
      </c>
      <c r="AB440" s="86">
        <f>AVERAGEIFS($I$2:I440, $B$2:B440, B440)</f>
        <v>0.36944444444444446</v>
      </c>
      <c r="AC440" s="86">
        <f>AVERAGEIFS($J$2:J440, $B$2:B440, B440)</f>
        <v>0.44166666666666671</v>
      </c>
      <c r="AD440" s="86">
        <f>AVERAGEIFS($D$2:D440, $B$2:B440, B440)</f>
        <v>0.33333333333333331</v>
      </c>
    </row>
    <row r="441" spans="1:30" x14ac:dyDescent="0.25">
      <c r="A441" s="85">
        <v>46109</v>
      </c>
      <c r="B441" t="s">
        <v>14</v>
      </c>
      <c r="C441">
        <v>39</v>
      </c>
      <c r="D441" s="86">
        <v>1</v>
      </c>
      <c r="E441">
        <v>5</v>
      </c>
      <c r="F441">
        <v>3</v>
      </c>
      <c r="G441">
        <v>24</v>
      </c>
      <c r="H441">
        <v>12</v>
      </c>
      <c r="I441">
        <v>0.6</v>
      </c>
      <c r="J441">
        <v>0.5</v>
      </c>
      <c r="K441">
        <v>0</v>
      </c>
      <c r="L441">
        <v>1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1</v>
      </c>
      <c r="AA441" s="86">
        <f>AVERAGEIFS($C$2:C441, $B$2:B441, B441)</f>
        <v>25.5</v>
      </c>
      <c r="AB441" s="86">
        <f>AVERAGEIFS($I$2:I441, $B$2:B441, B441)</f>
        <v>0.53269230769230769</v>
      </c>
      <c r="AC441" s="86">
        <f>AVERAGEIFS($J$2:J441, $B$2:B441, B441)</f>
        <v>0.50923076923076926</v>
      </c>
      <c r="AD441" s="86">
        <f>AVERAGEIFS($D$2:D441, $B$2:B441, B441)</f>
        <v>0.57692307692307687</v>
      </c>
    </row>
    <row r="442" spans="1:30" x14ac:dyDescent="0.25">
      <c r="A442" s="85">
        <v>46109</v>
      </c>
      <c r="B442" t="s">
        <v>35</v>
      </c>
      <c r="C442">
        <v>18</v>
      </c>
      <c r="D442" s="86">
        <v>1</v>
      </c>
      <c r="E442">
        <v>5</v>
      </c>
      <c r="F442">
        <v>3</v>
      </c>
      <c r="G442">
        <v>24</v>
      </c>
      <c r="H442">
        <v>12</v>
      </c>
      <c r="I442">
        <v>0.6</v>
      </c>
      <c r="J442">
        <v>0.5</v>
      </c>
      <c r="K442">
        <v>0</v>
      </c>
      <c r="L442">
        <v>1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1</v>
      </c>
      <c r="AA442" s="86">
        <f>AVERAGEIFS($C$2:C442, $B$2:B442, B442)</f>
        <v>11.153846153846153</v>
      </c>
      <c r="AB442" s="86">
        <f>AVERAGEIFS($I$2:I442, $B$2:B442, B442)</f>
        <v>0.53076923076923077</v>
      </c>
      <c r="AC442" s="86">
        <f>AVERAGEIFS($J$2:J442, $B$2:B442, B442)</f>
        <v>0.53538461538461546</v>
      </c>
      <c r="AD442" s="86">
        <f>AVERAGEIFS($D$2:D442, $B$2:B442, B442)</f>
        <v>0.69230769230769229</v>
      </c>
    </row>
    <row r="443" spans="1:30" x14ac:dyDescent="0.25">
      <c r="A443" s="85">
        <v>46109</v>
      </c>
      <c r="B443" t="s">
        <v>19</v>
      </c>
      <c r="C443">
        <v>17</v>
      </c>
      <c r="D443" s="86">
        <v>1</v>
      </c>
      <c r="E443">
        <v>5</v>
      </c>
      <c r="F443">
        <v>3</v>
      </c>
      <c r="G443">
        <v>24</v>
      </c>
      <c r="H443">
        <v>12</v>
      </c>
      <c r="I443">
        <v>0.6</v>
      </c>
      <c r="J443">
        <v>0.5</v>
      </c>
      <c r="K443">
        <v>0</v>
      </c>
      <c r="L443">
        <v>1</v>
      </c>
      <c r="M443">
        <v>0</v>
      </c>
      <c r="N443">
        <v>1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1</v>
      </c>
      <c r="AA443" s="86">
        <f>AVERAGEIFS($C$2:C443, $B$2:B443, B443)</f>
        <v>12.076923076923077</v>
      </c>
      <c r="AB443" s="86">
        <f>AVERAGEIFS($I$2:I443, $B$2:B443, B443)</f>
        <v>0.39807692307692305</v>
      </c>
      <c r="AC443" s="86">
        <f>AVERAGEIFS($J$2:J443, $B$2:B443, B443)</f>
        <v>0.45000000000000007</v>
      </c>
      <c r="AD443" s="86">
        <f>AVERAGEIFS($D$2:D443, $B$2:B443, B443)</f>
        <v>0.38461538461538464</v>
      </c>
    </row>
    <row r="444" spans="1:30" x14ac:dyDescent="0.25">
      <c r="A444" s="85">
        <v>46109</v>
      </c>
      <c r="B444" t="s">
        <v>137</v>
      </c>
      <c r="C444">
        <v>14</v>
      </c>
      <c r="D444" s="86">
        <v>1</v>
      </c>
      <c r="E444">
        <v>5</v>
      </c>
      <c r="F444">
        <v>3</v>
      </c>
      <c r="G444">
        <v>24</v>
      </c>
      <c r="H444">
        <v>12</v>
      </c>
      <c r="I444">
        <v>0.6</v>
      </c>
      <c r="J444">
        <v>0.5</v>
      </c>
      <c r="K444">
        <v>0</v>
      </c>
      <c r="L444">
        <v>1</v>
      </c>
      <c r="M444">
        <v>0</v>
      </c>
      <c r="N444">
        <v>1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1</v>
      </c>
      <c r="AA444" s="86">
        <f>AVERAGEIFS($C$2:C444, $B$2:B444, B444)</f>
        <v>8.125</v>
      </c>
      <c r="AB444" s="86">
        <f>AVERAGEIFS($I$2:I444, $B$2:B444, B444)</f>
        <v>0.57499999999999996</v>
      </c>
      <c r="AC444" s="86">
        <f>AVERAGEIFS($J$2:J444, $B$2:B444, B444)</f>
        <v>0.53374999999999995</v>
      </c>
      <c r="AD444" s="86">
        <f>AVERAGEIFS($D$2:D444, $B$2:B444, B444)</f>
        <v>0.625</v>
      </c>
    </row>
    <row r="445" spans="1:30" x14ac:dyDescent="0.25">
      <c r="A445" s="85">
        <v>46109</v>
      </c>
      <c r="B445" t="s">
        <v>28</v>
      </c>
      <c r="C445">
        <v>13</v>
      </c>
      <c r="D445" s="86">
        <v>1</v>
      </c>
      <c r="E445">
        <v>5</v>
      </c>
      <c r="F445">
        <v>3</v>
      </c>
      <c r="G445">
        <v>24</v>
      </c>
      <c r="H445">
        <v>12</v>
      </c>
      <c r="I445">
        <v>0.6</v>
      </c>
      <c r="J445">
        <v>0.5</v>
      </c>
      <c r="K445">
        <v>0</v>
      </c>
      <c r="L445">
        <v>1</v>
      </c>
      <c r="M445">
        <v>0</v>
      </c>
      <c r="N445">
        <v>1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1</v>
      </c>
      <c r="AA445" s="86">
        <f>AVERAGEIFS($C$2:C445, $B$2:B445, B445)</f>
        <v>13.736842105263158</v>
      </c>
      <c r="AB445" s="86">
        <f>AVERAGEIFS($I$2:I445, $B$2:B445, B445)</f>
        <v>0.38157894736842107</v>
      </c>
      <c r="AC445" s="86">
        <f>AVERAGEIFS($J$2:J445, $B$2:B445, B445)</f>
        <v>0.44473684210526321</v>
      </c>
      <c r="AD445" s="86">
        <f>AVERAGEIFS($D$2:D445, $B$2:B445, B445)</f>
        <v>0.36842105263157893</v>
      </c>
    </row>
    <row r="446" spans="1:30" x14ac:dyDescent="0.25">
      <c r="A446" s="85">
        <v>46109</v>
      </c>
      <c r="B446" t="s">
        <v>13</v>
      </c>
      <c r="C446">
        <v>44</v>
      </c>
      <c r="D446" s="86">
        <v>0</v>
      </c>
      <c r="E446">
        <v>5</v>
      </c>
      <c r="F446">
        <v>2</v>
      </c>
      <c r="G446">
        <v>24</v>
      </c>
      <c r="H446">
        <v>12</v>
      </c>
      <c r="I446">
        <v>0.4</v>
      </c>
      <c r="J446">
        <v>0.5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1</v>
      </c>
      <c r="Y446">
        <v>1</v>
      </c>
      <c r="Z446">
        <v>0</v>
      </c>
      <c r="AA446" s="86">
        <f>AVERAGEIFS($C$2:C446, $B$2:B446, B446)</f>
        <v>28.612903225806452</v>
      </c>
      <c r="AB446" s="86">
        <f>AVERAGEIFS($I$2:I446, $B$2:B446, B446)</f>
        <v>0.54354838709677411</v>
      </c>
      <c r="AC446" s="86">
        <f>AVERAGEIFS($J$2:J446, $B$2:B446, B446)</f>
        <v>0.53064516129032246</v>
      </c>
      <c r="AD446" s="86">
        <f>AVERAGEIFS($D$2:D446, $B$2:B446, B446)</f>
        <v>0.61290322580645162</v>
      </c>
    </row>
    <row r="447" spans="1:30" x14ac:dyDescent="0.25">
      <c r="A447" s="85">
        <v>46109</v>
      </c>
      <c r="B447" t="s">
        <v>45</v>
      </c>
      <c r="C447">
        <v>19</v>
      </c>
      <c r="D447" s="86">
        <v>0</v>
      </c>
      <c r="E447">
        <v>5</v>
      </c>
      <c r="F447">
        <v>2</v>
      </c>
      <c r="G447">
        <v>24</v>
      </c>
      <c r="H447">
        <v>12</v>
      </c>
      <c r="I447">
        <v>0.4</v>
      </c>
      <c r="J447">
        <v>0.5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1</v>
      </c>
      <c r="Y447">
        <v>1</v>
      </c>
      <c r="Z447">
        <v>0</v>
      </c>
      <c r="AA447" s="86">
        <f>AVERAGEIFS($C$2:C447, $B$2:B447, B447)</f>
        <v>12.2</v>
      </c>
      <c r="AB447" s="86">
        <f>AVERAGEIFS($I$2:I447, $B$2:B447, B447)</f>
        <v>0.44000000000000011</v>
      </c>
      <c r="AC447" s="86">
        <f>AVERAGEIFS($J$2:J447, $B$2:B447, B447)</f>
        <v>0.47866666666666663</v>
      </c>
      <c r="AD447" s="86">
        <f>AVERAGEIFS($D$2:D447, $B$2:B447, B447)</f>
        <v>0.33333333333333331</v>
      </c>
    </row>
    <row r="448" spans="1:30" x14ac:dyDescent="0.25">
      <c r="A448" s="85">
        <v>46109</v>
      </c>
      <c r="B448" t="s">
        <v>148</v>
      </c>
      <c r="C448">
        <v>11</v>
      </c>
      <c r="D448" s="86">
        <v>0</v>
      </c>
      <c r="E448">
        <v>5</v>
      </c>
      <c r="F448">
        <v>2</v>
      </c>
      <c r="G448">
        <v>24</v>
      </c>
      <c r="H448">
        <v>12</v>
      </c>
      <c r="I448">
        <v>0.4</v>
      </c>
      <c r="J448">
        <v>0.5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1</v>
      </c>
      <c r="Y448">
        <v>1</v>
      </c>
      <c r="Z448">
        <v>0</v>
      </c>
      <c r="AA448" s="86">
        <f>AVERAGEIFS($C$2:C448, $B$2:B448, B448)</f>
        <v>11</v>
      </c>
      <c r="AB448" s="86">
        <f>AVERAGEIFS($I$2:I448, $B$2:B448, B448)</f>
        <v>0.4</v>
      </c>
      <c r="AC448" s="86">
        <f>AVERAGEIFS($J$2:J448, $B$2:B448, B448)</f>
        <v>0.47</v>
      </c>
      <c r="AD448" s="86">
        <f>AVERAGEIFS($D$2:D448, $B$2:B448, B448)</f>
        <v>0</v>
      </c>
    </row>
    <row r="449" spans="1:30" x14ac:dyDescent="0.25">
      <c r="A449" s="85">
        <v>46109</v>
      </c>
      <c r="B449" t="s">
        <v>29</v>
      </c>
      <c r="C449">
        <v>10</v>
      </c>
      <c r="D449" s="86">
        <v>0</v>
      </c>
      <c r="E449">
        <v>5</v>
      </c>
      <c r="F449">
        <v>2</v>
      </c>
      <c r="G449">
        <v>24</v>
      </c>
      <c r="H449">
        <v>12</v>
      </c>
      <c r="I449">
        <v>0.4</v>
      </c>
      <c r="J449">
        <v>0.5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1</v>
      </c>
      <c r="Y449">
        <v>1</v>
      </c>
      <c r="Z449">
        <v>0</v>
      </c>
      <c r="AA449" s="86">
        <f>AVERAGEIFS($C$2:C449, $B$2:B449, B449)</f>
        <v>9.9130434782608692</v>
      </c>
      <c r="AB449" s="86">
        <f>AVERAGEIFS($I$2:I449, $B$2:B449, B449)</f>
        <v>0.48043478260869571</v>
      </c>
      <c r="AC449" s="86">
        <f>AVERAGEIFS($J$2:J449, $B$2:B449, B449)</f>
        <v>0.49826086956521737</v>
      </c>
      <c r="AD449" s="86">
        <f>AVERAGEIFS($D$2:D449, $B$2:B449, B449)</f>
        <v>0.47826086956521741</v>
      </c>
    </row>
    <row r="450" spans="1:30" x14ac:dyDescent="0.25">
      <c r="A450" s="85">
        <v>46109</v>
      </c>
      <c r="B450" t="s">
        <v>139</v>
      </c>
      <c r="C450">
        <v>10</v>
      </c>
      <c r="D450" s="86">
        <v>0</v>
      </c>
      <c r="E450">
        <v>5</v>
      </c>
      <c r="F450">
        <v>2</v>
      </c>
      <c r="G450">
        <v>24</v>
      </c>
      <c r="H450">
        <v>12</v>
      </c>
      <c r="I450">
        <v>0.4</v>
      </c>
      <c r="J450">
        <v>0.5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1</v>
      </c>
      <c r="Y450">
        <v>1</v>
      </c>
      <c r="Z450">
        <v>0</v>
      </c>
      <c r="AA450" s="86">
        <f>AVERAGEIFS($C$2:C450, $B$2:B450, B450)</f>
        <v>10.8</v>
      </c>
      <c r="AB450" s="86">
        <f>AVERAGEIFS($I$2:I450, $B$2:B450, B450)</f>
        <v>0.6</v>
      </c>
      <c r="AC450" s="86">
        <f>AVERAGEIFS($J$2:J450, $B$2:B450, B450)</f>
        <v>0.55199999999999994</v>
      </c>
      <c r="AD450" s="86">
        <f>AVERAGEIFS($D$2:D450, $B$2:B450, B450)</f>
        <v>0.6</v>
      </c>
    </row>
    <row r="451" spans="1:30" x14ac:dyDescent="0.25">
      <c r="A451" s="85">
        <v>46110</v>
      </c>
      <c r="B451" t="s">
        <v>14</v>
      </c>
      <c r="C451">
        <v>34</v>
      </c>
      <c r="D451" s="86">
        <v>1</v>
      </c>
      <c r="E451">
        <v>3</v>
      </c>
      <c r="F451">
        <v>3</v>
      </c>
      <c r="G451">
        <v>11</v>
      </c>
      <c r="H451">
        <v>9</v>
      </c>
      <c r="I451">
        <v>1</v>
      </c>
      <c r="J451">
        <v>0.82</v>
      </c>
      <c r="K451">
        <v>0</v>
      </c>
      <c r="L451">
        <v>1</v>
      </c>
      <c r="M451">
        <v>1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1</v>
      </c>
      <c r="AA451" s="86">
        <f>AVERAGEIFS($C$2:C451, $B$2:B451, B451)</f>
        <v>25.814814814814813</v>
      </c>
      <c r="AB451" s="86">
        <f>AVERAGEIFS($I$2:I451, $B$2:B451, B451)</f>
        <v>0.54999999999999993</v>
      </c>
      <c r="AC451" s="86">
        <f>AVERAGEIFS($J$2:J451, $B$2:B451, B451)</f>
        <v>0.52074074074074073</v>
      </c>
      <c r="AD451" s="86">
        <f>AVERAGEIFS($D$2:D451, $B$2:B451, B451)</f>
        <v>0.59259259259259256</v>
      </c>
    </row>
    <row r="452" spans="1:30" x14ac:dyDescent="0.25">
      <c r="A452" s="85">
        <v>46110</v>
      </c>
      <c r="B452" t="s">
        <v>1</v>
      </c>
      <c r="C452">
        <v>17</v>
      </c>
      <c r="D452" s="86">
        <v>1</v>
      </c>
      <c r="E452">
        <v>3</v>
      </c>
      <c r="F452">
        <v>3</v>
      </c>
      <c r="G452">
        <v>11</v>
      </c>
      <c r="H452">
        <v>9</v>
      </c>
      <c r="I452">
        <v>1</v>
      </c>
      <c r="J452">
        <v>0.82</v>
      </c>
      <c r="K452">
        <v>0</v>
      </c>
      <c r="L452">
        <v>1</v>
      </c>
      <c r="M452">
        <v>1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1</v>
      </c>
      <c r="AA452" s="86">
        <f>AVERAGEIFS($C$2:C452, $B$2:B452, B452)</f>
        <v>27.333333333333332</v>
      </c>
      <c r="AB452" s="86">
        <f>AVERAGEIFS($I$2:I452, $B$2:B452, B452)</f>
        <v>0.6166666666666667</v>
      </c>
      <c r="AC452" s="86">
        <f>AVERAGEIFS($J$2:J452, $B$2:B452, B452)</f>
        <v>0.54444444444444451</v>
      </c>
      <c r="AD452" s="86">
        <f>AVERAGEIFS($D$2:D452, $B$2:B452, B452)</f>
        <v>0.77777777777777779</v>
      </c>
    </row>
    <row r="453" spans="1:30" x14ac:dyDescent="0.25">
      <c r="A453" s="85">
        <v>46110</v>
      </c>
      <c r="B453" t="s">
        <v>6</v>
      </c>
      <c r="C453">
        <v>17</v>
      </c>
      <c r="D453" s="86">
        <v>1</v>
      </c>
      <c r="E453">
        <v>3</v>
      </c>
      <c r="F453">
        <v>3</v>
      </c>
      <c r="G453">
        <v>11</v>
      </c>
      <c r="H453">
        <v>9</v>
      </c>
      <c r="I453">
        <v>1</v>
      </c>
      <c r="J453">
        <v>0.82</v>
      </c>
      <c r="K453">
        <v>0</v>
      </c>
      <c r="L453">
        <v>1</v>
      </c>
      <c r="M453">
        <v>1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1</v>
      </c>
      <c r="AA453" s="86">
        <f>AVERAGEIFS($C$2:C453, $B$2:B453, B453)</f>
        <v>22.888888888888889</v>
      </c>
      <c r="AB453" s="86">
        <f>AVERAGEIFS($I$2:I453, $B$2:B453, B453)</f>
        <v>0.64722222222222214</v>
      </c>
      <c r="AC453" s="86">
        <f>AVERAGEIFS($J$2:J453, $B$2:B453, B453)</f>
        <v>0.55888888888888888</v>
      </c>
      <c r="AD453" s="86">
        <f>AVERAGEIFS($D$2:D453, $B$2:B453, B453)</f>
        <v>0.77777777777777779</v>
      </c>
    </row>
    <row r="454" spans="1:30" x14ac:dyDescent="0.25">
      <c r="A454" s="85">
        <v>46110</v>
      </c>
      <c r="B454" t="s">
        <v>26</v>
      </c>
      <c r="C454">
        <v>8</v>
      </c>
      <c r="D454" s="86">
        <v>1</v>
      </c>
      <c r="E454">
        <v>3</v>
      </c>
      <c r="F454">
        <v>3</v>
      </c>
      <c r="G454">
        <v>11</v>
      </c>
      <c r="H454">
        <v>9</v>
      </c>
      <c r="I454">
        <v>1</v>
      </c>
      <c r="J454">
        <v>0.82</v>
      </c>
      <c r="K454">
        <v>0</v>
      </c>
      <c r="L454">
        <v>1</v>
      </c>
      <c r="M454">
        <v>1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1</v>
      </c>
      <c r="AA454" s="86">
        <f>AVERAGEIFS($C$2:C454, $B$2:B454, B454)</f>
        <v>12</v>
      </c>
      <c r="AB454" s="86">
        <f>AVERAGEIFS($I$2:I454, $B$2:B454, B454)</f>
        <v>0.67954545454545456</v>
      </c>
      <c r="AC454" s="86">
        <f>AVERAGEIFS($J$2:J454, $B$2:B454, B454)</f>
        <v>0.59227272727272717</v>
      </c>
      <c r="AD454" s="86">
        <f>AVERAGEIFS($D$2:D454, $B$2:B454, B454)</f>
        <v>0.77272727272727271</v>
      </c>
    </row>
    <row r="455" spans="1:30" x14ac:dyDescent="0.25">
      <c r="A455" s="85">
        <v>46110</v>
      </c>
      <c r="B455" t="s">
        <v>29</v>
      </c>
      <c r="C455">
        <v>6</v>
      </c>
      <c r="D455" s="86">
        <v>1</v>
      </c>
      <c r="E455">
        <v>3</v>
      </c>
      <c r="F455">
        <v>3</v>
      </c>
      <c r="G455">
        <v>11</v>
      </c>
      <c r="H455">
        <v>9</v>
      </c>
      <c r="I455">
        <v>1</v>
      </c>
      <c r="J455">
        <v>0.82</v>
      </c>
      <c r="K455">
        <v>0</v>
      </c>
      <c r="L455">
        <v>1</v>
      </c>
      <c r="M455">
        <v>1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1</v>
      </c>
      <c r="AA455" s="86">
        <f>AVERAGEIFS($C$2:C455, $B$2:B455, B455)</f>
        <v>9.75</v>
      </c>
      <c r="AB455" s="86">
        <f>AVERAGEIFS($I$2:I455, $B$2:B455, B455)</f>
        <v>0.50208333333333333</v>
      </c>
      <c r="AC455" s="86">
        <f>AVERAGEIFS($J$2:J455, $B$2:B455, B455)</f>
        <v>0.5116666666666666</v>
      </c>
      <c r="AD455" s="86">
        <f>AVERAGEIFS($D$2:D455, $B$2:B455, B455)</f>
        <v>0.5</v>
      </c>
    </row>
    <row r="456" spans="1:30" x14ac:dyDescent="0.25">
      <c r="A456" s="85">
        <v>46110</v>
      </c>
      <c r="B456" t="s">
        <v>42</v>
      </c>
      <c r="C456">
        <v>6</v>
      </c>
      <c r="D456" s="86">
        <v>1</v>
      </c>
      <c r="E456">
        <v>3</v>
      </c>
      <c r="F456">
        <v>3</v>
      </c>
      <c r="G456">
        <v>11</v>
      </c>
      <c r="H456">
        <v>9</v>
      </c>
      <c r="I456">
        <v>1</v>
      </c>
      <c r="J456">
        <v>0.82</v>
      </c>
      <c r="K456">
        <v>0</v>
      </c>
      <c r="L456">
        <v>1</v>
      </c>
      <c r="M456">
        <v>1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1</v>
      </c>
      <c r="AA456" s="86">
        <f>AVERAGEIFS($C$2:C456, $B$2:B456, B456)</f>
        <v>8.25</v>
      </c>
      <c r="AB456" s="86">
        <f>AVERAGEIFS($I$2:I456, $B$2:B456, B456)</f>
        <v>0.5</v>
      </c>
      <c r="AC456" s="86">
        <f>AVERAGEIFS($J$2:J456, $B$2:B456, B456)</f>
        <v>0.47250000000000003</v>
      </c>
      <c r="AD456" s="86">
        <f>AVERAGEIFS($D$2:D456, $B$2:B456, B456)</f>
        <v>0.5</v>
      </c>
    </row>
    <row r="457" spans="1:30" x14ac:dyDescent="0.25">
      <c r="A457" s="85">
        <v>46110</v>
      </c>
      <c r="B457" t="s">
        <v>4</v>
      </c>
      <c r="C457">
        <v>17</v>
      </c>
      <c r="D457" s="86">
        <v>0</v>
      </c>
      <c r="E457">
        <v>3</v>
      </c>
      <c r="F457">
        <v>0</v>
      </c>
      <c r="G457">
        <v>11</v>
      </c>
      <c r="H457">
        <v>2</v>
      </c>
      <c r="I457">
        <v>0</v>
      </c>
      <c r="J457">
        <v>0.18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 s="86">
        <f>AVERAGEIFS($C$2:C457, $B$2:B457, B457)</f>
        <v>17.5</v>
      </c>
      <c r="AB457" s="86">
        <f>AVERAGEIFS($I$2:I457, $B$2:B457, B457)</f>
        <v>0.58750000000000002</v>
      </c>
      <c r="AC457" s="86">
        <f>AVERAGEIFS($J$2:J457, $B$2:B457, B457)</f>
        <v>0.54</v>
      </c>
      <c r="AD457" s="86">
        <f>AVERAGEIFS($D$2:D457, $B$2:B457, B457)</f>
        <v>0.75</v>
      </c>
    </row>
    <row r="458" spans="1:30" x14ac:dyDescent="0.25">
      <c r="A458" s="85">
        <v>46110</v>
      </c>
      <c r="B458" t="s">
        <v>37</v>
      </c>
      <c r="C458">
        <v>13</v>
      </c>
      <c r="D458" s="86">
        <v>0</v>
      </c>
      <c r="E458">
        <v>3</v>
      </c>
      <c r="F458">
        <v>0</v>
      </c>
      <c r="G458">
        <v>11</v>
      </c>
      <c r="H458">
        <v>2</v>
      </c>
      <c r="I458">
        <v>0</v>
      </c>
      <c r="J458">
        <v>0.18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 s="86">
        <f>AVERAGEIFS($C$2:C458, $B$2:B458, B458)</f>
        <v>19.125</v>
      </c>
      <c r="AB458" s="86">
        <f>AVERAGEIFS($I$2:I458, $B$2:B458, B458)</f>
        <v>0.421875</v>
      </c>
      <c r="AC458" s="86">
        <f>AVERAGEIFS($J$2:J458, $B$2:B458, B458)</f>
        <v>0.45312499999999989</v>
      </c>
      <c r="AD458" s="86">
        <f>AVERAGEIFS($D$2:D458, $B$2:B458, B458)</f>
        <v>0.375</v>
      </c>
    </row>
    <row r="459" spans="1:30" x14ac:dyDescent="0.25">
      <c r="A459" s="85">
        <v>46110</v>
      </c>
      <c r="B459" t="s">
        <v>13</v>
      </c>
      <c r="C459">
        <v>11</v>
      </c>
      <c r="D459" s="86">
        <v>0</v>
      </c>
      <c r="E459">
        <v>3</v>
      </c>
      <c r="F459">
        <v>0</v>
      </c>
      <c r="G459">
        <v>11</v>
      </c>
      <c r="H459">
        <v>2</v>
      </c>
      <c r="I459">
        <v>0</v>
      </c>
      <c r="J459">
        <v>0.18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 s="86">
        <f>AVERAGEIFS($C$2:C459, $B$2:B459, B459)</f>
        <v>28.0625</v>
      </c>
      <c r="AB459" s="86">
        <f>AVERAGEIFS($I$2:I459, $B$2:B459, B459)</f>
        <v>0.52656249999999993</v>
      </c>
      <c r="AC459" s="86">
        <f>AVERAGEIFS($J$2:J459, $B$2:B459, B459)</f>
        <v>0.51968749999999986</v>
      </c>
      <c r="AD459" s="86">
        <f>AVERAGEIFS($D$2:D459, $B$2:B459, B459)</f>
        <v>0.59375</v>
      </c>
    </row>
    <row r="460" spans="1:30" x14ac:dyDescent="0.25">
      <c r="A460" s="85">
        <v>46110</v>
      </c>
      <c r="B460" t="s">
        <v>19</v>
      </c>
      <c r="C460">
        <v>9</v>
      </c>
      <c r="D460" s="86">
        <v>0</v>
      </c>
      <c r="E460">
        <v>3</v>
      </c>
      <c r="F460">
        <v>0</v>
      </c>
      <c r="G460">
        <v>11</v>
      </c>
      <c r="H460">
        <v>2</v>
      </c>
      <c r="I460">
        <v>0</v>
      </c>
      <c r="J460">
        <v>0.18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 s="86">
        <f>AVERAGEIFS($C$2:C460, $B$2:B460, B460)</f>
        <v>11.962962962962964</v>
      </c>
      <c r="AB460" s="86">
        <f>AVERAGEIFS($I$2:I460, $B$2:B460, B460)</f>
        <v>0.3833333333333333</v>
      </c>
      <c r="AC460" s="86">
        <f>AVERAGEIFS($J$2:J460, $B$2:B460, B460)</f>
        <v>0.44</v>
      </c>
      <c r="AD460" s="86">
        <f>AVERAGEIFS($D$2:D460, $B$2:B460, B460)</f>
        <v>0.37037037037037035</v>
      </c>
    </row>
    <row r="461" spans="1:30" x14ac:dyDescent="0.25">
      <c r="A461" s="85">
        <v>46110</v>
      </c>
      <c r="B461" t="s">
        <v>27</v>
      </c>
      <c r="C461">
        <v>5</v>
      </c>
      <c r="D461" s="86">
        <v>0</v>
      </c>
      <c r="E461">
        <v>3</v>
      </c>
      <c r="F461">
        <v>0</v>
      </c>
      <c r="G461">
        <v>11</v>
      </c>
      <c r="H461">
        <v>2</v>
      </c>
      <c r="I461">
        <v>0</v>
      </c>
      <c r="J461">
        <v>0.18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 s="86">
        <f>AVERAGEIFS($C$2:C461, $B$2:B461, B461)</f>
        <v>13.882352941176471</v>
      </c>
      <c r="AB461" s="86">
        <f>AVERAGEIFS($I$2:I461, $B$2:B461, B461)</f>
        <v>0.45294117647058818</v>
      </c>
      <c r="AC461" s="86">
        <f>AVERAGEIFS($J$2:J461, $B$2:B461, B461)</f>
        <v>0.47117647058823531</v>
      </c>
      <c r="AD461" s="86">
        <f>AVERAGEIFS($D$2:D461, $B$2:B461, B461)</f>
        <v>0.47058823529411764</v>
      </c>
    </row>
    <row r="462" spans="1:30" x14ac:dyDescent="0.25">
      <c r="A462" s="85">
        <v>46110</v>
      </c>
      <c r="B462" t="s">
        <v>137</v>
      </c>
      <c r="C462">
        <v>4</v>
      </c>
      <c r="D462" s="86">
        <v>0</v>
      </c>
      <c r="E462">
        <v>3</v>
      </c>
      <c r="F462">
        <v>0</v>
      </c>
      <c r="G462">
        <v>11</v>
      </c>
      <c r="H462">
        <v>2</v>
      </c>
      <c r="I462">
        <v>0</v>
      </c>
      <c r="J462">
        <v>0.18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 s="86">
        <f>AVERAGEIFS($C$2:C462, $B$2:B462, B462)</f>
        <v>7.666666666666667</v>
      </c>
      <c r="AB462" s="86">
        <f>AVERAGEIFS($I$2:I462, $B$2:B462, B462)</f>
        <v>0.51111111111111107</v>
      </c>
      <c r="AC462" s="86">
        <f>AVERAGEIFS($J$2:J462, $B$2:B462, B462)</f>
        <v>0.49444444444444435</v>
      </c>
      <c r="AD462" s="86">
        <f>AVERAGEIFS($D$2:D462, $B$2:B462, B462)</f>
        <v>0.55555555555555558</v>
      </c>
    </row>
    <row r="463" spans="1:30" x14ac:dyDescent="0.25">
      <c r="A463" s="85">
        <v>46110</v>
      </c>
      <c r="B463" t="s">
        <v>15</v>
      </c>
      <c r="C463">
        <v>24</v>
      </c>
      <c r="D463" s="86">
        <v>1</v>
      </c>
      <c r="E463">
        <v>5</v>
      </c>
      <c r="F463">
        <v>3</v>
      </c>
      <c r="G463">
        <v>21</v>
      </c>
      <c r="H463">
        <v>10</v>
      </c>
      <c r="I463">
        <v>0.6</v>
      </c>
      <c r="J463">
        <v>0.48</v>
      </c>
      <c r="K463">
        <v>0</v>
      </c>
      <c r="L463">
        <v>0</v>
      </c>
      <c r="M463">
        <v>0</v>
      </c>
      <c r="N463">
        <v>1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1</v>
      </c>
      <c r="Y463">
        <v>1</v>
      </c>
      <c r="Z463">
        <v>0</v>
      </c>
      <c r="AA463" s="86">
        <f>AVERAGEIFS($C$2:C463, $B$2:B463, B463)</f>
        <v>25.454545454545453</v>
      </c>
      <c r="AB463" s="86">
        <f>AVERAGEIFS($I$2:I463, $B$2:B463, B463)</f>
        <v>0.44090909090909086</v>
      </c>
      <c r="AC463" s="86">
        <f>AVERAGEIFS($J$2:J463, $B$2:B463, B463)</f>
        <v>0.47681818181818192</v>
      </c>
      <c r="AD463" s="86">
        <f>AVERAGEIFS($D$2:D463, $B$2:B463, B463)</f>
        <v>0.31818181818181818</v>
      </c>
    </row>
    <row r="464" spans="1:30" x14ac:dyDescent="0.25">
      <c r="A464" s="85">
        <v>46110</v>
      </c>
      <c r="B464" t="s">
        <v>20</v>
      </c>
      <c r="C464">
        <v>22</v>
      </c>
      <c r="D464" s="86">
        <v>1</v>
      </c>
      <c r="E464">
        <v>5</v>
      </c>
      <c r="F464">
        <v>3</v>
      </c>
      <c r="G464">
        <v>21</v>
      </c>
      <c r="H464">
        <v>10</v>
      </c>
      <c r="I464">
        <v>0.6</v>
      </c>
      <c r="J464">
        <v>0.48</v>
      </c>
      <c r="K464">
        <v>0</v>
      </c>
      <c r="L464">
        <v>0</v>
      </c>
      <c r="M464">
        <v>0</v>
      </c>
      <c r="N464">
        <v>1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1</v>
      </c>
      <c r="Y464">
        <v>1</v>
      </c>
      <c r="Z464">
        <v>0</v>
      </c>
      <c r="AA464" s="86">
        <f>AVERAGEIFS($C$2:C464, $B$2:B464, B464)</f>
        <v>14.043478260869565</v>
      </c>
      <c r="AB464" s="86">
        <f>AVERAGEIFS($I$2:I464, $B$2:B464, B464)</f>
        <v>0.47826086956521741</v>
      </c>
      <c r="AC464" s="86">
        <f>AVERAGEIFS($J$2:J464, $B$2:B464, B464)</f>
        <v>0.49086956521739133</v>
      </c>
      <c r="AD464" s="86">
        <f>AVERAGEIFS($D$2:D464, $B$2:B464, B464)</f>
        <v>0.39130434782608697</v>
      </c>
    </row>
    <row r="465" spans="1:30" x14ac:dyDescent="0.25">
      <c r="A465" s="85">
        <v>46110</v>
      </c>
      <c r="B465" t="s">
        <v>154</v>
      </c>
      <c r="C465">
        <v>22</v>
      </c>
      <c r="D465" s="86">
        <v>1</v>
      </c>
      <c r="E465">
        <v>5</v>
      </c>
      <c r="F465">
        <v>3</v>
      </c>
      <c r="G465">
        <v>21</v>
      </c>
      <c r="H465">
        <v>10</v>
      </c>
      <c r="I465">
        <v>0.6</v>
      </c>
      <c r="J465">
        <v>0.48</v>
      </c>
      <c r="K465">
        <v>0</v>
      </c>
      <c r="L465">
        <v>0</v>
      </c>
      <c r="M465">
        <v>0</v>
      </c>
      <c r="N465">
        <v>1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1</v>
      </c>
      <c r="Y465">
        <v>1</v>
      </c>
      <c r="Z465">
        <v>0</v>
      </c>
      <c r="AA465" s="86">
        <f>AVERAGEIFS($C$2:C465, $B$2:B465, B465)</f>
        <v>22</v>
      </c>
      <c r="AB465" s="86">
        <f>AVERAGEIFS($I$2:I465, $B$2:B465, B465)</f>
        <v>0.6</v>
      </c>
      <c r="AC465" s="86">
        <f>AVERAGEIFS($J$2:J465, $B$2:B465, B465)</f>
        <v>0.48</v>
      </c>
      <c r="AD465" s="86">
        <f>AVERAGEIFS($D$2:D465, $B$2:B465, B465)</f>
        <v>1</v>
      </c>
    </row>
    <row r="466" spans="1:30" x14ac:dyDescent="0.25">
      <c r="A466" s="85">
        <v>46110</v>
      </c>
      <c r="B466" t="s">
        <v>148</v>
      </c>
      <c r="C466">
        <v>21</v>
      </c>
      <c r="D466" s="86">
        <v>1</v>
      </c>
      <c r="E466">
        <v>5</v>
      </c>
      <c r="F466">
        <v>3</v>
      </c>
      <c r="G466">
        <v>21</v>
      </c>
      <c r="H466">
        <v>10</v>
      </c>
      <c r="I466">
        <v>0.6</v>
      </c>
      <c r="J466">
        <v>0.48</v>
      </c>
      <c r="K466">
        <v>0</v>
      </c>
      <c r="L466">
        <v>0</v>
      </c>
      <c r="M466">
        <v>0</v>
      </c>
      <c r="N466">
        <v>1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1</v>
      </c>
      <c r="Y466">
        <v>1</v>
      </c>
      <c r="Z466">
        <v>0</v>
      </c>
      <c r="AA466" s="86">
        <f>AVERAGEIFS($C$2:C466, $B$2:B466, B466)</f>
        <v>14.333333333333334</v>
      </c>
      <c r="AB466" s="86">
        <f>AVERAGEIFS($I$2:I466, $B$2:B466, B466)</f>
        <v>0.46666666666666662</v>
      </c>
      <c r="AC466" s="86">
        <f>AVERAGEIFS($J$2:J466, $B$2:B466, B466)</f>
        <v>0.47333333333333333</v>
      </c>
      <c r="AD466" s="86">
        <f>AVERAGEIFS($D$2:D466, $B$2:B466, B466)</f>
        <v>0.33333333333333331</v>
      </c>
    </row>
    <row r="467" spans="1:30" x14ac:dyDescent="0.25">
      <c r="A467" s="85">
        <v>46110</v>
      </c>
      <c r="B467" t="s">
        <v>140</v>
      </c>
      <c r="C467">
        <v>17</v>
      </c>
      <c r="D467" s="86">
        <v>1</v>
      </c>
      <c r="E467">
        <v>5</v>
      </c>
      <c r="F467">
        <v>3</v>
      </c>
      <c r="G467">
        <v>21</v>
      </c>
      <c r="H467">
        <v>10</v>
      </c>
      <c r="I467">
        <v>0.6</v>
      </c>
      <c r="J467">
        <v>0.48</v>
      </c>
      <c r="K467">
        <v>0</v>
      </c>
      <c r="L467">
        <v>0</v>
      </c>
      <c r="M467">
        <v>0</v>
      </c>
      <c r="N467">
        <v>1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1</v>
      </c>
      <c r="Y467">
        <v>1</v>
      </c>
      <c r="Z467">
        <v>0</v>
      </c>
      <c r="AA467" s="86">
        <f>AVERAGEIFS($C$2:C467, $B$2:B467, B467)</f>
        <v>10.5</v>
      </c>
      <c r="AB467" s="86">
        <f>AVERAGEIFS($I$2:I467, $B$2:B467, B467)</f>
        <v>0.6</v>
      </c>
      <c r="AC467" s="86">
        <f>AVERAGEIFS($J$2:J467, $B$2:B467, B467)</f>
        <v>0.52499999999999991</v>
      </c>
      <c r="AD467" s="86">
        <f>AVERAGEIFS($D$2:D467, $B$2:B467, B467)</f>
        <v>1</v>
      </c>
    </row>
    <row r="468" spans="1:30" x14ac:dyDescent="0.25">
      <c r="A468" s="85">
        <v>46110</v>
      </c>
      <c r="B468" t="s">
        <v>25</v>
      </c>
      <c r="C468">
        <v>13</v>
      </c>
      <c r="D468" s="86">
        <v>1</v>
      </c>
      <c r="E468">
        <v>5</v>
      </c>
      <c r="F468">
        <v>3</v>
      </c>
      <c r="G468">
        <v>21</v>
      </c>
      <c r="H468">
        <v>10</v>
      </c>
      <c r="I468">
        <v>0.6</v>
      </c>
      <c r="J468">
        <v>0.48</v>
      </c>
      <c r="K468">
        <v>0</v>
      </c>
      <c r="L468">
        <v>0</v>
      </c>
      <c r="M468">
        <v>0</v>
      </c>
      <c r="N468">
        <v>1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1</v>
      </c>
      <c r="Y468">
        <v>1</v>
      </c>
      <c r="Z468">
        <v>0</v>
      </c>
      <c r="AA468" s="86">
        <f>AVERAGEIFS($C$2:C468, $B$2:B468, B468)</f>
        <v>16.307692307692307</v>
      </c>
      <c r="AB468" s="86">
        <f>AVERAGEIFS($I$2:I468, $B$2:B468, B468)</f>
        <v>0.6576923076923078</v>
      </c>
      <c r="AC468" s="86">
        <f>AVERAGEIFS($J$2:J468, $B$2:B468, B468)</f>
        <v>0.57538461538461538</v>
      </c>
      <c r="AD468" s="86">
        <f>AVERAGEIFS($D$2:D468, $B$2:B468, B468)</f>
        <v>0.61538461538461542</v>
      </c>
    </row>
    <row r="469" spans="1:30" x14ac:dyDescent="0.25">
      <c r="A469" s="85">
        <v>46110</v>
      </c>
      <c r="B469" t="s">
        <v>17</v>
      </c>
      <c r="C469">
        <v>41</v>
      </c>
      <c r="D469" s="86">
        <v>0</v>
      </c>
      <c r="E469">
        <v>5</v>
      </c>
      <c r="F469">
        <v>2</v>
      </c>
      <c r="G469">
        <v>21</v>
      </c>
      <c r="H469">
        <v>11</v>
      </c>
      <c r="I469">
        <v>0.4</v>
      </c>
      <c r="J469">
        <v>0.52</v>
      </c>
      <c r="K469">
        <v>1</v>
      </c>
      <c r="L469">
        <v>0</v>
      </c>
      <c r="M469">
        <v>0</v>
      </c>
      <c r="N469">
        <v>0</v>
      </c>
      <c r="O469">
        <v>0</v>
      </c>
      <c r="P469">
        <v>1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 s="86">
        <f>AVERAGEIFS($C$2:C469, $B$2:B469, B469)</f>
        <v>27.2</v>
      </c>
      <c r="AB469" s="86">
        <f>AVERAGEIFS($I$2:I469, $B$2:B469, B469)</f>
        <v>0.52000000000000013</v>
      </c>
      <c r="AC469" s="86">
        <f>AVERAGEIFS($J$2:J469, $B$2:B469, B469)</f>
        <v>0.52266666666666661</v>
      </c>
      <c r="AD469" s="86">
        <f>AVERAGEIFS($D$2:D469, $B$2:B469, B469)</f>
        <v>0.4</v>
      </c>
    </row>
    <row r="470" spans="1:30" x14ac:dyDescent="0.25">
      <c r="A470" s="85">
        <v>46110</v>
      </c>
      <c r="B470" t="s">
        <v>147</v>
      </c>
      <c r="C470">
        <v>24</v>
      </c>
      <c r="D470" s="86">
        <v>0</v>
      </c>
      <c r="E470">
        <v>5</v>
      </c>
      <c r="F470">
        <v>2</v>
      </c>
      <c r="G470">
        <v>21</v>
      </c>
      <c r="H470">
        <v>11</v>
      </c>
      <c r="I470">
        <v>0.4</v>
      </c>
      <c r="J470">
        <v>0.52</v>
      </c>
      <c r="K470">
        <v>1</v>
      </c>
      <c r="L470">
        <v>0</v>
      </c>
      <c r="M470">
        <v>0</v>
      </c>
      <c r="N470">
        <v>0</v>
      </c>
      <c r="O470">
        <v>0</v>
      </c>
      <c r="P470">
        <v>1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 s="86">
        <f>AVERAGEIFS($C$2:C470, $B$2:B470, B470)</f>
        <v>20.333333333333332</v>
      </c>
      <c r="AB470" s="86">
        <f>AVERAGEIFS($I$2:I470, $B$2:B470, B470)</f>
        <v>0.40000000000000008</v>
      </c>
      <c r="AC470" s="86">
        <f>AVERAGEIFS($J$2:J470, $B$2:B470, B470)</f>
        <v>0.45333333333333337</v>
      </c>
      <c r="AD470" s="86">
        <f>AVERAGEIFS($D$2:D470, $B$2:B470, B470)</f>
        <v>0</v>
      </c>
    </row>
    <row r="471" spans="1:30" x14ac:dyDescent="0.25">
      <c r="A471" s="85">
        <v>46110</v>
      </c>
      <c r="B471" t="s">
        <v>50</v>
      </c>
      <c r="C471">
        <v>17</v>
      </c>
      <c r="D471" s="86">
        <v>0</v>
      </c>
      <c r="E471">
        <v>5</v>
      </c>
      <c r="F471">
        <v>2</v>
      </c>
      <c r="G471">
        <v>21</v>
      </c>
      <c r="H471">
        <v>11</v>
      </c>
      <c r="I471">
        <v>0.4</v>
      </c>
      <c r="J471">
        <v>0.52</v>
      </c>
      <c r="K471">
        <v>1</v>
      </c>
      <c r="L471">
        <v>0</v>
      </c>
      <c r="M471">
        <v>0</v>
      </c>
      <c r="N471">
        <v>0</v>
      </c>
      <c r="O471">
        <v>0</v>
      </c>
      <c r="P471">
        <v>1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 s="86">
        <f>AVERAGEIFS($C$2:C471, $B$2:B471, B471)</f>
        <v>14.333333333333334</v>
      </c>
      <c r="AB471" s="86">
        <f>AVERAGEIFS($I$2:I471, $B$2:B471, B471)</f>
        <v>0.3</v>
      </c>
      <c r="AC471" s="86">
        <f>AVERAGEIFS($J$2:J471, $B$2:B471, B471)</f>
        <v>0.41666666666666669</v>
      </c>
      <c r="AD471" s="86">
        <f>AVERAGEIFS($D$2:D471, $B$2:B471, B471)</f>
        <v>0</v>
      </c>
    </row>
    <row r="472" spans="1:30" x14ac:dyDescent="0.25">
      <c r="A472" s="85">
        <v>46110</v>
      </c>
      <c r="B472" t="s">
        <v>146</v>
      </c>
      <c r="C472">
        <v>17</v>
      </c>
      <c r="D472" s="86">
        <v>0</v>
      </c>
      <c r="E472">
        <v>5</v>
      </c>
      <c r="F472">
        <v>2</v>
      </c>
      <c r="G472">
        <v>21</v>
      </c>
      <c r="H472">
        <v>11</v>
      </c>
      <c r="I472">
        <v>0.4</v>
      </c>
      <c r="J472">
        <v>0.52</v>
      </c>
      <c r="K472">
        <v>1</v>
      </c>
      <c r="L472">
        <v>0</v>
      </c>
      <c r="M472">
        <v>0</v>
      </c>
      <c r="N472">
        <v>0</v>
      </c>
      <c r="O472">
        <v>0</v>
      </c>
      <c r="P472">
        <v>1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 s="86">
        <f>AVERAGEIFS($C$2:C472, $B$2:B472, B472)</f>
        <v>14.8</v>
      </c>
      <c r="AB472" s="86">
        <f>AVERAGEIFS($I$2:I472, $B$2:B472, B472)</f>
        <v>0.45</v>
      </c>
      <c r="AC472" s="86">
        <f>AVERAGEIFS($J$2:J472, $B$2:B472, B472)</f>
        <v>0.48799999999999999</v>
      </c>
      <c r="AD472" s="86">
        <f>AVERAGEIFS($D$2:D472, $B$2:B472, B472)</f>
        <v>0.4</v>
      </c>
    </row>
    <row r="473" spans="1:30" x14ac:dyDescent="0.25">
      <c r="A473" s="85">
        <v>46110</v>
      </c>
      <c r="B473" t="s">
        <v>155</v>
      </c>
      <c r="C473">
        <v>10</v>
      </c>
      <c r="D473" s="86">
        <v>0</v>
      </c>
      <c r="E473">
        <v>5</v>
      </c>
      <c r="F473">
        <v>2</v>
      </c>
      <c r="G473">
        <v>21</v>
      </c>
      <c r="H473">
        <v>11</v>
      </c>
      <c r="I473">
        <v>0.4</v>
      </c>
      <c r="J473">
        <v>0.52</v>
      </c>
      <c r="K473">
        <v>1</v>
      </c>
      <c r="L473">
        <v>0</v>
      </c>
      <c r="M473">
        <v>0</v>
      </c>
      <c r="N473">
        <v>0</v>
      </c>
      <c r="O473">
        <v>0</v>
      </c>
      <c r="P473">
        <v>1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 s="86">
        <f>AVERAGEIFS($C$2:C473, $B$2:B473, B473)</f>
        <v>10</v>
      </c>
      <c r="AB473" s="86">
        <f>AVERAGEIFS($I$2:I473, $B$2:B473, B473)</f>
        <v>0.4</v>
      </c>
      <c r="AC473" s="86">
        <f>AVERAGEIFS($J$2:J473, $B$2:B473, B473)</f>
        <v>0.52</v>
      </c>
      <c r="AD473" s="86">
        <f>AVERAGEIFS($D$2:D473, $B$2:B473, B473)</f>
        <v>0</v>
      </c>
    </row>
    <row r="474" spans="1:30" x14ac:dyDescent="0.25">
      <c r="A474" s="85">
        <v>46110</v>
      </c>
      <c r="B474" t="s">
        <v>55</v>
      </c>
      <c r="C474">
        <v>8</v>
      </c>
      <c r="D474" s="86">
        <v>0</v>
      </c>
      <c r="E474">
        <v>5</v>
      </c>
      <c r="F474">
        <v>2</v>
      </c>
      <c r="G474">
        <v>21</v>
      </c>
      <c r="H474">
        <v>11</v>
      </c>
      <c r="I474">
        <v>0.4</v>
      </c>
      <c r="J474">
        <v>0.52</v>
      </c>
      <c r="K474">
        <v>1</v>
      </c>
      <c r="L474">
        <v>0</v>
      </c>
      <c r="M474">
        <v>0</v>
      </c>
      <c r="N474">
        <v>0</v>
      </c>
      <c r="O474">
        <v>0</v>
      </c>
      <c r="P474">
        <v>1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 s="86">
        <f>AVERAGEIFS($C$2:C474, $B$2:B474, B474)</f>
        <v>10.111111111111111</v>
      </c>
      <c r="AB474" s="86">
        <f>AVERAGEIFS($I$2:I474, $B$2:B474, B474)</f>
        <v>0.51111111111111118</v>
      </c>
      <c r="AC474" s="86">
        <f>AVERAGEIFS($J$2:J474, $B$2:B474, B474)</f>
        <v>0.49888888888888894</v>
      </c>
      <c r="AD474" s="86">
        <f>AVERAGEIFS($D$2:D474, $B$2:B474, B474)</f>
        <v>0.55555555555555558</v>
      </c>
    </row>
    <row r="475" spans="1:30" x14ac:dyDescent="0.25">
      <c r="A475" s="85">
        <v>46110</v>
      </c>
      <c r="B475" t="s">
        <v>13</v>
      </c>
      <c r="C475">
        <v>20</v>
      </c>
      <c r="D475" s="86">
        <v>1</v>
      </c>
      <c r="E475">
        <v>4</v>
      </c>
      <c r="F475">
        <v>3</v>
      </c>
      <c r="G475">
        <v>17</v>
      </c>
      <c r="H475">
        <v>11</v>
      </c>
      <c r="I475">
        <v>0.75</v>
      </c>
      <c r="J475">
        <v>0.65</v>
      </c>
      <c r="K475">
        <v>0</v>
      </c>
      <c r="L475">
        <v>1</v>
      </c>
      <c r="M475">
        <v>0</v>
      </c>
      <c r="N475">
        <v>1</v>
      </c>
      <c r="O475">
        <v>0</v>
      </c>
      <c r="P475">
        <v>1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 s="86">
        <f>AVERAGEIFS($C$2:C475, $B$2:B475, B475)</f>
        <v>27.818181818181817</v>
      </c>
      <c r="AB475" s="86">
        <f>AVERAGEIFS($I$2:I475, $B$2:B475, B475)</f>
        <v>0.53333333333333321</v>
      </c>
      <c r="AC475" s="86">
        <f>AVERAGEIFS($J$2:J475, $B$2:B475, B475)</f>
        <v>0.52363636363636346</v>
      </c>
      <c r="AD475" s="86">
        <f>AVERAGEIFS($D$2:D475, $B$2:B475, B475)</f>
        <v>0.60606060606060608</v>
      </c>
    </row>
    <row r="476" spans="1:30" x14ac:dyDescent="0.25">
      <c r="A476" s="85">
        <v>46110</v>
      </c>
      <c r="B476" t="s">
        <v>140</v>
      </c>
      <c r="C476">
        <v>19</v>
      </c>
      <c r="D476" s="86">
        <v>1</v>
      </c>
      <c r="E476">
        <v>4</v>
      </c>
      <c r="F476">
        <v>3</v>
      </c>
      <c r="G476">
        <v>17</v>
      </c>
      <c r="H476">
        <v>11</v>
      </c>
      <c r="I476">
        <v>0.75</v>
      </c>
      <c r="J476">
        <v>0.65</v>
      </c>
      <c r="K476">
        <v>0</v>
      </c>
      <c r="L476">
        <v>1</v>
      </c>
      <c r="M476">
        <v>0</v>
      </c>
      <c r="N476">
        <v>1</v>
      </c>
      <c r="O476">
        <v>0</v>
      </c>
      <c r="P476">
        <v>1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 s="86">
        <f>AVERAGEIFS($C$2:C476, $B$2:B476, B476)</f>
        <v>13.333333333333334</v>
      </c>
      <c r="AB476" s="86">
        <f>AVERAGEIFS($I$2:I476, $B$2:B476, B476)</f>
        <v>0.65</v>
      </c>
      <c r="AC476" s="86">
        <f>AVERAGEIFS($J$2:J476, $B$2:B476, B476)</f>
        <v>0.56666666666666654</v>
      </c>
      <c r="AD476" s="86">
        <f>AVERAGEIFS($D$2:D476, $B$2:B476, B476)</f>
        <v>1</v>
      </c>
    </row>
    <row r="477" spans="1:30" x14ac:dyDescent="0.25">
      <c r="A477" s="85">
        <v>46110</v>
      </c>
      <c r="B477" t="s">
        <v>20</v>
      </c>
      <c r="C477">
        <v>18</v>
      </c>
      <c r="D477" s="86">
        <v>1</v>
      </c>
      <c r="E477">
        <v>4</v>
      </c>
      <c r="F477">
        <v>3</v>
      </c>
      <c r="G477">
        <v>17</v>
      </c>
      <c r="H477">
        <v>11</v>
      </c>
      <c r="I477">
        <v>0.75</v>
      </c>
      <c r="J477">
        <v>0.65</v>
      </c>
      <c r="K477">
        <v>0</v>
      </c>
      <c r="L477">
        <v>1</v>
      </c>
      <c r="M477">
        <v>0</v>
      </c>
      <c r="N477">
        <v>1</v>
      </c>
      <c r="O477">
        <v>0</v>
      </c>
      <c r="P477">
        <v>1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 s="86">
        <f>AVERAGEIFS($C$2:C477, $B$2:B477, B477)</f>
        <v>14.208333333333334</v>
      </c>
      <c r="AB477" s="86">
        <f>AVERAGEIFS($I$2:I477, $B$2:B477, B477)</f>
        <v>0.48958333333333331</v>
      </c>
      <c r="AC477" s="86">
        <f>AVERAGEIFS($J$2:J477, $B$2:B477, B477)</f>
        <v>0.49750000000000005</v>
      </c>
      <c r="AD477" s="86">
        <f>AVERAGEIFS($D$2:D477, $B$2:B477, B477)</f>
        <v>0.41666666666666669</v>
      </c>
    </row>
    <row r="478" spans="1:30" x14ac:dyDescent="0.25">
      <c r="A478" s="85">
        <v>46110</v>
      </c>
      <c r="B478" t="s">
        <v>26</v>
      </c>
      <c r="C478">
        <v>13</v>
      </c>
      <c r="D478" s="86">
        <v>1</v>
      </c>
      <c r="E478">
        <v>4</v>
      </c>
      <c r="F478">
        <v>3</v>
      </c>
      <c r="G478">
        <v>17</v>
      </c>
      <c r="H478">
        <v>11</v>
      </c>
      <c r="I478">
        <v>0.75</v>
      </c>
      <c r="J478">
        <v>0.65</v>
      </c>
      <c r="K478">
        <v>0</v>
      </c>
      <c r="L478">
        <v>1</v>
      </c>
      <c r="M478">
        <v>0</v>
      </c>
      <c r="N478">
        <v>1</v>
      </c>
      <c r="O478">
        <v>0</v>
      </c>
      <c r="P478">
        <v>1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 s="86">
        <f>AVERAGEIFS($C$2:C478, $B$2:B478, B478)</f>
        <v>12.043478260869565</v>
      </c>
      <c r="AB478" s="86">
        <f>AVERAGEIFS($I$2:I478, $B$2:B478, B478)</f>
        <v>0.68260869565217386</v>
      </c>
      <c r="AC478" s="86">
        <f>AVERAGEIFS($J$2:J478, $B$2:B478, B478)</f>
        <v>0.59478260869565214</v>
      </c>
      <c r="AD478" s="86">
        <f>AVERAGEIFS($D$2:D478, $B$2:B478, B478)</f>
        <v>0.78260869565217395</v>
      </c>
    </row>
    <row r="479" spans="1:30" x14ac:dyDescent="0.25">
      <c r="A479" s="85">
        <v>46110</v>
      </c>
      <c r="B479" t="s">
        <v>29</v>
      </c>
      <c r="C479">
        <v>10</v>
      </c>
      <c r="D479" s="86">
        <v>1</v>
      </c>
      <c r="E479">
        <v>4</v>
      </c>
      <c r="F479">
        <v>3</v>
      </c>
      <c r="G479">
        <v>17</v>
      </c>
      <c r="H479">
        <v>11</v>
      </c>
      <c r="I479">
        <v>0.75</v>
      </c>
      <c r="J479">
        <v>0.65</v>
      </c>
      <c r="K479">
        <v>0</v>
      </c>
      <c r="L479">
        <v>1</v>
      </c>
      <c r="M479">
        <v>0</v>
      </c>
      <c r="N479">
        <v>1</v>
      </c>
      <c r="O479">
        <v>0</v>
      </c>
      <c r="P479">
        <v>1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 s="86">
        <f>AVERAGEIFS($C$2:C479, $B$2:B479, B479)</f>
        <v>9.76</v>
      </c>
      <c r="AB479" s="86">
        <f>AVERAGEIFS($I$2:I479, $B$2:B479, B479)</f>
        <v>0.51200000000000001</v>
      </c>
      <c r="AC479" s="86">
        <f>AVERAGEIFS($J$2:J479, $B$2:B479, B479)</f>
        <v>0.51719999999999999</v>
      </c>
      <c r="AD479" s="86">
        <f>AVERAGEIFS($D$2:D479, $B$2:B479, B479)</f>
        <v>0.52</v>
      </c>
    </row>
    <row r="480" spans="1:30" x14ac:dyDescent="0.25">
      <c r="A480" s="85">
        <v>46110</v>
      </c>
      <c r="B480" t="s">
        <v>155</v>
      </c>
      <c r="C480">
        <v>5</v>
      </c>
      <c r="D480" s="86">
        <v>1</v>
      </c>
      <c r="E480">
        <v>4</v>
      </c>
      <c r="F480">
        <v>3</v>
      </c>
      <c r="G480">
        <v>17</v>
      </c>
      <c r="H480">
        <v>11</v>
      </c>
      <c r="I480">
        <v>0.75</v>
      </c>
      <c r="J480">
        <v>0.65</v>
      </c>
      <c r="K480">
        <v>0</v>
      </c>
      <c r="L480">
        <v>1</v>
      </c>
      <c r="M480">
        <v>0</v>
      </c>
      <c r="N480">
        <v>1</v>
      </c>
      <c r="O480">
        <v>0</v>
      </c>
      <c r="P480">
        <v>1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 s="86">
        <f>AVERAGEIFS($C$2:C480, $B$2:B480, B480)</f>
        <v>7.5</v>
      </c>
      <c r="AB480" s="86">
        <f>AVERAGEIFS($I$2:I480, $B$2:B480, B480)</f>
        <v>0.57499999999999996</v>
      </c>
      <c r="AC480" s="86">
        <f>AVERAGEIFS($J$2:J480, $B$2:B480, B480)</f>
        <v>0.58499999999999996</v>
      </c>
      <c r="AD480" s="86">
        <f>AVERAGEIFS($D$2:D480, $B$2:B480, B480)</f>
        <v>0.5</v>
      </c>
    </row>
    <row r="481" spans="1:30" x14ac:dyDescent="0.25">
      <c r="A481" s="85">
        <v>46110</v>
      </c>
      <c r="B481" t="s">
        <v>15</v>
      </c>
      <c r="C481">
        <v>21</v>
      </c>
      <c r="D481" s="86">
        <v>0</v>
      </c>
      <c r="E481">
        <v>4</v>
      </c>
      <c r="F481">
        <v>1</v>
      </c>
      <c r="G481">
        <v>17</v>
      </c>
      <c r="H481">
        <v>6</v>
      </c>
      <c r="I481">
        <v>0.25</v>
      </c>
      <c r="J481">
        <v>0.35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1</v>
      </c>
      <c r="Y481">
        <v>0</v>
      </c>
      <c r="Z481">
        <v>0</v>
      </c>
      <c r="AA481" s="86">
        <f>AVERAGEIFS($C$2:C481, $B$2:B481, B481)</f>
        <v>25.260869565217391</v>
      </c>
      <c r="AB481" s="86">
        <f>AVERAGEIFS($I$2:I481, $B$2:B481, B481)</f>
        <v>0.43260869565217386</v>
      </c>
      <c r="AC481" s="86">
        <f>AVERAGEIFS($J$2:J481, $B$2:B481, B481)</f>
        <v>0.47130434782608704</v>
      </c>
      <c r="AD481" s="86">
        <f>AVERAGEIFS($D$2:D481, $B$2:B481, B481)</f>
        <v>0.30434782608695654</v>
      </c>
    </row>
    <row r="482" spans="1:30" x14ac:dyDescent="0.25">
      <c r="A482" s="85">
        <v>46110</v>
      </c>
      <c r="B482" t="s">
        <v>17</v>
      </c>
      <c r="C482">
        <v>16</v>
      </c>
      <c r="D482" s="86">
        <v>0</v>
      </c>
      <c r="E482">
        <v>4</v>
      </c>
      <c r="F482">
        <v>1</v>
      </c>
      <c r="G482">
        <v>17</v>
      </c>
      <c r="H482">
        <v>6</v>
      </c>
      <c r="I482">
        <v>0.25</v>
      </c>
      <c r="J482">
        <v>0.35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1</v>
      </c>
      <c r="Y482">
        <v>0</v>
      </c>
      <c r="Z482">
        <v>0</v>
      </c>
      <c r="AA482" s="86">
        <f>AVERAGEIFS($C$2:C482, $B$2:B482, B482)</f>
        <v>26.838709677419356</v>
      </c>
      <c r="AB482" s="86">
        <f>AVERAGEIFS($I$2:I482, $B$2:B482, B482)</f>
        <v>0.51129032258064522</v>
      </c>
      <c r="AC482" s="86">
        <f>AVERAGEIFS($J$2:J482, $B$2:B482, B482)</f>
        <v>0.51709677419354827</v>
      </c>
      <c r="AD482" s="86">
        <f>AVERAGEIFS($D$2:D482, $B$2:B482, B482)</f>
        <v>0.38709677419354838</v>
      </c>
    </row>
    <row r="483" spans="1:30" x14ac:dyDescent="0.25">
      <c r="A483" s="85">
        <v>46110</v>
      </c>
      <c r="B483" t="s">
        <v>25</v>
      </c>
      <c r="C483">
        <v>11</v>
      </c>
      <c r="D483" s="86">
        <v>0</v>
      </c>
      <c r="E483">
        <v>4</v>
      </c>
      <c r="F483">
        <v>1</v>
      </c>
      <c r="G483">
        <v>17</v>
      </c>
      <c r="H483">
        <v>6</v>
      </c>
      <c r="I483">
        <v>0.25</v>
      </c>
      <c r="J483">
        <v>0.35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1</v>
      </c>
      <c r="Y483">
        <v>0</v>
      </c>
      <c r="Z483">
        <v>0</v>
      </c>
      <c r="AA483" s="86">
        <f>AVERAGEIFS($C$2:C483, $B$2:B483, B483)</f>
        <v>15.928571428571429</v>
      </c>
      <c r="AB483" s="86">
        <f>AVERAGEIFS($I$2:I483, $B$2:B483, B483)</f>
        <v>0.62857142857142867</v>
      </c>
      <c r="AC483" s="86">
        <f>AVERAGEIFS($J$2:J483, $B$2:B483, B483)</f>
        <v>0.55928571428571427</v>
      </c>
      <c r="AD483" s="86">
        <f>AVERAGEIFS($D$2:D483, $B$2:B483, B483)</f>
        <v>0.5714285714285714</v>
      </c>
    </row>
    <row r="484" spans="1:30" x14ac:dyDescent="0.25">
      <c r="A484" s="85">
        <v>46110</v>
      </c>
      <c r="B484" t="s">
        <v>146</v>
      </c>
      <c r="C484">
        <v>8</v>
      </c>
      <c r="D484" s="86">
        <v>0</v>
      </c>
      <c r="E484">
        <v>4</v>
      </c>
      <c r="F484">
        <v>1</v>
      </c>
      <c r="G484">
        <v>17</v>
      </c>
      <c r="H484">
        <v>6</v>
      </c>
      <c r="I484">
        <v>0.25</v>
      </c>
      <c r="J484">
        <v>0.35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1</v>
      </c>
      <c r="Y484">
        <v>0</v>
      </c>
      <c r="Z484">
        <v>0</v>
      </c>
      <c r="AA484" s="86">
        <f>AVERAGEIFS($C$2:C484, $B$2:B484, B484)</f>
        <v>13.666666666666666</v>
      </c>
      <c r="AB484" s="86">
        <f>AVERAGEIFS($I$2:I484, $B$2:B484, B484)</f>
        <v>0.41666666666666669</v>
      </c>
      <c r="AC484" s="86">
        <f>AVERAGEIFS($J$2:J484, $B$2:B484, B484)</f>
        <v>0.46500000000000002</v>
      </c>
      <c r="AD484" s="86">
        <f>AVERAGEIFS($D$2:D484, $B$2:B484, B484)</f>
        <v>0.33333333333333331</v>
      </c>
    </row>
    <row r="485" spans="1:30" x14ac:dyDescent="0.25">
      <c r="A485" s="85">
        <v>46110</v>
      </c>
      <c r="B485" t="s">
        <v>148</v>
      </c>
      <c r="C485">
        <v>7</v>
      </c>
      <c r="D485" s="86">
        <v>0</v>
      </c>
      <c r="E485">
        <v>4</v>
      </c>
      <c r="F485">
        <v>1</v>
      </c>
      <c r="G485">
        <v>17</v>
      </c>
      <c r="H485">
        <v>6</v>
      </c>
      <c r="I485">
        <v>0.25</v>
      </c>
      <c r="J485">
        <v>0.35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1</v>
      </c>
      <c r="Y485">
        <v>0</v>
      </c>
      <c r="Z485">
        <v>0</v>
      </c>
      <c r="AA485" s="86">
        <f>AVERAGEIFS($C$2:C485, $B$2:B485, B485)</f>
        <v>12.5</v>
      </c>
      <c r="AB485" s="86">
        <f>AVERAGEIFS($I$2:I485, $B$2:B485, B485)</f>
        <v>0.41249999999999998</v>
      </c>
      <c r="AC485" s="86">
        <f>AVERAGEIFS($J$2:J485, $B$2:B485, B485)</f>
        <v>0.4425</v>
      </c>
      <c r="AD485" s="86">
        <f>AVERAGEIFS($D$2:D485, $B$2:B485, B485)</f>
        <v>0.25</v>
      </c>
    </row>
    <row r="486" spans="1:30" x14ac:dyDescent="0.25">
      <c r="A486" s="85">
        <v>46110</v>
      </c>
      <c r="B486" t="s">
        <v>154</v>
      </c>
      <c r="C486">
        <v>7</v>
      </c>
      <c r="D486" s="86">
        <v>0</v>
      </c>
      <c r="E486">
        <v>4</v>
      </c>
      <c r="F486">
        <v>1</v>
      </c>
      <c r="G486">
        <v>17</v>
      </c>
      <c r="H486">
        <v>6</v>
      </c>
      <c r="I486">
        <v>0.25</v>
      </c>
      <c r="J486">
        <v>0.35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1</v>
      </c>
      <c r="Y486">
        <v>0</v>
      </c>
      <c r="Z486">
        <v>0</v>
      </c>
      <c r="AA486" s="86">
        <f>AVERAGEIFS($C$2:C486, $B$2:B486, B486)</f>
        <v>14.5</v>
      </c>
      <c r="AB486" s="86">
        <f>AVERAGEIFS($I$2:I486, $B$2:B486, B486)</f>
        <v>0.42499999999999999</v>
      </c>
      <c r="AC486" s="86">
        <f>AVERAGEIFS($J$2:J486, $B$2:B486, B486)</f>
        <v>0.41499999999999998</v>
      </c>
      <c r="AD486" s="86">
        <f>AVERAGEIFS($D$2:D486, $B$2:B486, B486)</f>
        <v>0.5</v>
      </c>
    </row>
    <row r="487" spans="1:30" x14ac:dyDescent="0.25">
      <c r="A487" s="85">
        <v>46116</v>
      </c>
      <c r="B487" t="s">
        <v>4</v>
      </c>
      <c r="C487">
        <v>31</v>
      </c>
      <c r="D487" s="86">
        <v>1</v>
      </c>
      <c r="E487">
        <v>5</v>
      </c>
      <c r="F487">
        <v>3</v>
      </c>
      <c r="G487">
        <v>21</v>
      </c>
      <c r="H487">
        <v>11</v>
      </c>
      <c r="I487">
        <v>0.6</v>
      </c>
      <c r="J487">
        <v>0.52</v>
      </c>
      <c r="K487">
        <v>0</v>
      </c>
      <c r="L487">
        <v>1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1</v>
      </c>
      <c r="Y487">
        <v>1</v>
      </c>
      <c r="Z487">
        <v>0</v>
      </c>
      <c r="AA487" s="86">
        <f>AVERAGEIFS($C$2:C487, $B$2:B487, B487)</f>
        <v>20.2</v>
      </c>
      <c r="AB487" s="86">
        <f>AVERAGEIFS($I$2:I487, $B$2:B487, B487)</f>
        <v>0.59000000000000008</v>
      </c>
      <c r="AC487" s="86">
        <f>AVERAGEIFS($J$2:J487, $B$2:B487, B487)</f>
        <v>0.53600000000000003</v>
      </c>
      <c r="AD487" s="86">
        <f>AVERAGEIFS($D$2:D487, $B$2:B487, B487)</f>
        <v>0.8</v>
      </c>
    </row>
    <row r="488" spans="1:30" x14ac:dyDescent="0.25">
      <c r="A488" s="85">
        <v>46116</v>
      </c>
      <c r="B488" t="s">
        <v>40</v>
      </c>
      <c r="C488">
        <v>17</v>
      </c>
      <c r="D488" s="86">
        <v>1</v>
      </c>
      <c r="E488">
        <v>5</v>
      </c>
      <c r="F488">
        <v>3</v>
      </c>
      <c r="G488">
        <v>21</v>
      </c>
      <c r="H488">
        <v>11</v>
      </c>
      <c r="I488">
        <v>0.6</v>
      </c>
      <c r="J488">
        <v>0.52</v>
      </c>
      <c r="K488">
        <v>0</v>
      </c>
      <c r="L488">
        <v>1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1</v>
      </c>
      <c r="Y488">
        <v>1</v>
      </c>
      <c r="Z488">
        <v>0</v>
      </c>
      <c r="AA488" s="86">
        <f>AVERAGEIFS($C$2:C488, $B$2:B488, B488)</f>
        <v>16.399999999999999</v>
      </c>
      <c r="AB488" s="86">
        <f>AVERAGEIFS($I$2:I488, $B$2:B488, B488)</f>
        <v>0.3</v>
      </c>
      <c r="AC488" s="86">
        <f>AVERAGEIFS($J$2:J488, $B$2:B488, B488)</f>
        <v>0.37</v>
      </c>
      <c r="AD488" s="86">
        <f>AVERAGEIFS($D$2:D488, $B$2:B488, B488)</f>
        <v>0.2</v>
      </c>
    </row>
    <row r="489" spans="1:30" x14ac:dyDescent="0.25">
      <c r="A489" s="85">
        <v>46116</v>
      </c>
      <c r="B489" t="s">
        <v>113</v>
      </c>
      <c r="C489">
        <v>19</v>
      </c>
      <c r="D489" s="86">
        <v>1</v>
      </c>
      <c r="E489">
        <v>5</v>
      </c>
      <c r="F489">
        <v>3</v>
      </c>
      <c r="G489">
        <v>21</v>
      </c>
      <c r="H489">
        <v>11</v>
      </c>
      <c r="I489">
        <v>0.6</v>
      </c>
      <c r="J489">
        <v>0.52</v>
      </c>
      <c r="K489">
        <v>0</v>
      </c>
      <c r="L489">
        <v>1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1</v>
      </c>
      <c r="Y489">
        <v>1</v>
      </c>
      <c r="Z489">
        <v>0</v>
      </c>
      <c r="AA489" s="86">
        <f>AVERAGEIFS($C$2:C489, $B$2:B489, B489)</f>
        <v>13.5</v>
      </c>
      <c r="AB489" s="86">
        <f>AVERAGEIFS($I$2:I489, $B$2:B489, B489)</f>
        <v>0.6</v>
      </c>
      <c r="AC489" s="86">
        <f>AVERAGEIFS($J$2:J489, $B$2:B489, B489)</f>
        <v>0.54499999999999993</v>
      </c>
      <c r="AD489" s="86">
        <f>AVERAGEIFS($D$2:D489, $B$2:B489, B489)</f>
        <v>1</v>
      </c>
    </row>
    <row r="490" spans="1:30" x14ac:dyDescent="0.25">
      <c r="A490" s="85">
        <v>46116</v>
      </c>
      <c r="B490" t="s">
        <v>148</v>
      </c>
      <c r="C490">
        <v>23</v>
      </c>
      <c r="D490" s="86">
        <v>1</v>
      </c>
      <c r="E490">
        <v>5</v>
      </c>
      <c r="F490">
        <v>3</v>
      </c>
      <c r="G490">
        <v>21</v>
      </c>
      <c r="H490">
        <v>11</v>
      </c>
      <c r="I490">
        <v>0.6</v>
      </c>
      <c r="J490">
        <v>0.52</v>
      </c>
      <c r="K490">
        <v>0</v>
      </c>
      <c r="L490">
        <v>1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1</v>
      </c>
      <c r="Y490">
        <v>1</v>
      </c>
      <c r="Z490">
        <v>0</v>
      </c>
      <c r="AA490" s="86">
        <f>AVERAGEIFS($C$2:C490, $B$2:B490, B490)</f>
        <v>14.6</v>
      </c>
      <c r="AB490" s="86">
        <f>AVERAGEIFS($I$2:I490, $B$2:B490, B490)</f>
        <v>0.45</v>
      </c>
      <c r="AC490" s="86">
        <f>AVERAGEIFS($J$2:J490, $B$2:B490, B490)</f>
        <v>0.45800000000000002</v>
      </c>
      <c r="AD490" s="86">
        <f>AVERAGEIFS($D$2:D490, $B$2:B490, B490)</f>
        <v>0.4</v>
      </c>
    </row>
    <row r="491" spans="1:30" x14ac:dyDescent="0.25">
      <c r="A491" s="85">
        <v>46116</v>
      </c>
      <c r="B491" t="s">
        <v>44</v>
      </c>
      <c r="C491">
        <v>28</v>
      </c>
      <c r="D491" s="86">
        <v>1</v>
      </c>
      <c r="E491">
        <v>5</v>
      </c>
      <c r="F491">
        <v>3</v>
      </c>
      <c r="G491">
        <v>21</v>
      </c>
      <c r="H491">
        <v>11</v>
      </c>
      <c r="I491">
        <v>0.6</v>
      </c>
      <c r="J491">
        <v>0.52</v>
      </c>
      <c r="K491">
        <v>0</v>
      </c>
      <c r="L491">
        <v>1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1</v>
      </c>
      <c r="Y491">
        <v>1</v>
      </c>
      <c r="Z491">
        <v>0</v>
      </c>
      <c r="AA491" s="86">
        <f>AVERAGEIFS($C$2:C491, $B$2:B491, B491)</f>
        <v>19</v>
      </c>
      <c r="AB491" s="86">
        <f>AVERAGEIFS($I$2:I491, $B$2:B491, B491)</f>
        <v>0.73333333333333339</v>
      </c>
      <c r="AC491" s="86">
        <f>AVERAGEIFS($J$2:J491, $B$2:B491, B491)</f>
        <v>0.59333333333333327</v>
      </c>
      <c r="AD491" s="86">
        <f>AVERAGEIFS($D$2:D491, $B$2:B491, B491)</f>
        <v>1</v>
      </c>
    </row>
    <row r="492" spans="1:30" x14ac:dyDescent="0.25">
      <c r="A492" s="85">
        <v>46116</v>
      </c>
      <c r="B492" t="s">
        <v>34</v>
      </c>
      <c r="C492">
        <v>18</v>
      </c>
      <c r="D492" s="86">
        <v>1</v>
      </c>
      <c r="E492">
        <v>5</v>
      </c>
      <c r="F492">
        <v>3</v>
      </c>
      <c r="G492">
        <v>21</v>
      </c>
      <c r="H492">
        <v>11</v>
      </c>
      <c r="I492">
        <v>0.6</v>
      </c>
      <c r="J492">
        <v>0.52</v>
      </c>
      <c r="K492">
        <v>0</v>
      </c>
      <c r="L492">
        <v>1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1</v>
      </c>
      <c r="Y492">
        <v>1</v>
      </c>
      <c r="Z492">
        <v>0</v>
      </c>
      <c r="AA492" s="86">
        <f>AVERAGEIFS($C$2:C492, $B$2:B492, B492)</f>
        <v>9.6666666666666661</v>
      </c>
      <c r="AB492" s="86">
        <f>AVERAGEIFS($I$2:I492, $B$2:B492, B492)</f>
        <v>0.78333333333333333</v>
      </c>
      <c r="AC492" s="86">
        <f>AVERAGEIFS($J$2:J492, $B$2:B492, B492)</f>
        <v>0.64666666666666661</v>
      </c>
      <c r="AD492" s="86">
        <f>AVERAGEIFS($D$2:D492, $B$2:B492, B492)</f>
        <v>1</v>
      </c>
    </row>
    <row r="493" spans="1:30" x14ac:dyDescent="0.25">
      <c r="A493" s="85">
        <v>46116</v>
      </c>
      <c r="B493" t="s">
        <v>13</v>
      </c>
      <c r="C493">
        <v>32</v>
      </c>
      <c r="D493" s="86">
        <v>0</v>
      </c>
      <c r="E493">
        <v>5</v>
      </c>
      <c r="F493">
        <v>2</v>
      </c>
      <c r="G493">
        <v>21</v>
      </c>
      <c r="H493">
        <v>10</v>
      </c>
      <c r="I493">
        <v>0.4</v>
      </c>
      <c r="J493">
        <v>0.48</v>
      </c>
      <c r="K493">
        <v>1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1</v>
      </c>
      <c r="X493">
        <v>0</v>
      </c>
      <c r="Y493">
        <v>0</v>
      </c>
      <c r="Z493">
        <v>0</v>
      </c>
      <c r="AA493" s="86">
        <f>AVERAGEIFS($C$2:C493, $B$2:B493, B493)</f>
        <v>27.941176470588236</v>
      </c>
      <c r="AB493" s="86">
        <f>AVERAGEIFS($I$2:I493, $B$2:B493, B493)</f>
        <v>0.52941176470588225</v>
      </c>
      <c r="AC493" s="86">
        <f>AVERAGEIFS($J$2:J493, $B$2:B493, B493)</f>
        <v>0.52235294117647046</v>
      </c>
      <c r="AD493" s="86">
        <f>AVERAGEIFS($D$2:D493, $B$2:B493, B493)</f>
        <v>0.58823529411764708</v>
      </c>
    </row>
    <row r="494" spans="1:30" x14ac:dyDescent="0.25">
      <c r="A494" s="85">
        <v>46116</v>
      </c>
      <c r="B494" t="s">
        <v>29</v>
      </c>
      <c r="C494">
        <v>20</v>
      </c>
      <c r="D494" s="86">
        <v>0</v>
      </c>
      <c r="E494">
        <v>5</v>
      </c>
      <c r="F494">
        <v>2</v>
      </c>
      <c r="G494">
        <v>21</v>
      </c>
      <c r="H494">
        <v>10</v>
      </c>
      <c r="I494">
        <v>0.4</v>
      </c>
      <c r="J494">
        <v>0.48</v>
      </c>
      <c r="K494">
        <v>1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1</v>
      </c>
      <c r="X494">
        <v>0</v>
      </c>
      <c r="Y494">
        <v>0</v>
      </c>
      <c r="Z494">
        <v>0</v>
      </c>
      <c r="AA494" s="86">
        <f>AVERAGEIFS($C$2:C494, $B$2:B494, B494)</f>
        <v>10.153846153846153</v>
      </c>
      <c r="AB494" s="86">
        <f>AVERAGEIFS($I$2:I494, $B$2:B494, B494)</f>
        <v>0.50769230769230778</v>
      </c>
      <c r="AC494" s="86">
        <f>AVERAGEIFS($J$2:J494, $B$2:B494, B494)</f>
        <v>0.51576923076923076</v>
      </c>
      <c r="AD494" s="86">
        <f>AVERAGEIFS($D$2:D494, $B$2:B494, B494)</f>
        <v>0.5</v>
      </c>
    </row>
    <row r="495" spans="1:30" x14ac:dyDescent="0.25">
      <c r="A495" s="85">
        <v>46116</v>
      </c>
      <c r="B495" t="s">
        <v>141</v>
      </c>
      <c r="C495">
        <v>20</v>
      </c>
      <c r="D495" s="86">
        <v>0</v>
      </c>
      <c r="E495">
        <v>5</v>
      </c>
      <c r="F495">
        <v>2</v>
      </c>
      <c r="G495">
        <v>21</v>
      </c>
      <c r="H495">
        <v>10</v>
      </c>
      <c r="I495">
        <v>0.4</v>
      </c>
      <c r="J495">
        <v>0.48</v>
      </c>
      <c r="K495">
        <v>1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1</v>
      </c>
      <c r="X495">
        <v>0</v>
      </c>
      <c r="Y495">
        <v>0</v>
      </c>
      <c r="Z495">
        <v>0</v>
      </c>
      <c r="AA495" s="86">
        <f>AVERAGEIFS($C$2:C495, $B$2:B495, B495)</f>
        <v>20</v>
      </c>
      <c r="AB495" s="86">
        <f>AVERAGEIFS($I$2:I495, $B$2:B495, B495)</f>
        <v>0.4</v>
      </c>
      <c r="AC495" s="86">
        <f>AVERAGEIFS($J$2:J495, $B$2:B495, B495)</f>
        <v>0.48</v>
      </c>
      <c r="AD495" s="86">
        <f>AVERAGEIFS($D$2:D495, $B$2:B495, B495)</f>
        <v>0</v>
      </c>
    </row>
    <row r="496" spans="1:30" x14ac:dyDescent="0.25">
      <c r="A496" s="85">
        <v>46116</v>
      </c>
      <c r="B496" t="s">
        <v>137</v>
      </c>
      <c r="C496">
        <v>9</v>
      </c>
      <c r="D496" s="86">
        <v>0</v>
      </c>
      <c r="E496">
        <v>5</v>
      </c>
      <c r="F496">
        <v>2</v>
      </c>
      <c r="G496">
        <v>21</v>
      </c>
      <c r="H496">
        <v>10</v>
      </c>
      <c r="I496">
        <v>0.4</v>
      </c>
      <c r="J496">
        <v>0.48</v>
      </c>
      <c r="K496">
        <v>1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1</v>
      </c>
      <c r="X496">
        <v>0</v>
      </c>
      <c r="Y496">
        <v>0</v>
      </c>
      <c r="Z496">
        <v>0</v>
      </c>
      <c r="AA496" s="86">
        <f>AVERAGEIFS($C$2:C496, $B$2:B496, B496)</f>
        <v>7.8</v>
      </c>
      <c r="AB496" s="86">
        <f>AVERAGEIFS($I$2:I496, $B$2:B496, B496)</f>
        <v>0.5</v>
      </c>
      <c r="AC496" s="86">
        <f>AVERAGEIFS($J$2:J496, $B$2:B496, B496)</f>
        <v>0.49299999999999999</v>
      </c>
      <c r="AD496" s="86">
        <f>AVERAGEIFS($D$2:D496, $B$2:B496, B496)</f>
        <v>0.5</v>
      </c>
    </row>
    <row r="497" spans="1:30" x14ac:dyDescent="0.25">
      <c r="A497" s="85">
        <v>46116</v>
      </c>
      <c r="B497" t="s">
        <v>35</v>
      </c>
      <c r="C497">
        <v>20</v>
      </c>
      <c r="D497" s="86">
        <v>0</v>
      </c>
      <c r="E497">
        <v>5</v>
      </c>
      <c r="F497">
        <v>2</v>
      </c>
      <c r="G497">
        <v>21</v>
      </c>
      <c r="H497">
        <v>10</v>
      </c>
      <c r="I497">
        <v>0.4</v>
      </c>
      <c r="J497">
        <v>0.48</v>
      </c>
      <c r="K497">
        <v>1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1</v>
      </c>
      <c r="X497">
        <v>0</v>
      </c>
      <c r="Y497">
        <v>0</v>
      </c>
      <c r="Z497">
        <v>0</v>
      </c>
      <c r="AA497" s="86">
        <f>AVERAGEIFS($C$2:C497, $B$2:B497, B497)</f>
        <v>11.785714285714286</v>
      </c>
      <c r="AB497" s="86">
        <f>AVERAGEIFS($I$2:I497, $B$2:B497, B497)</f>
        <v>0.52142857142857146</v>
      </c>
      <c r="AC497" s="86">
        <f>AVERAGEIFS($J$2:J497, $B$2:B497, B497)</f>
        <v>0.53142857142857147</v>
      </c>
      <c r="AD497" s="86">
        <f>AVERAGEIFS($D$2:D497, $B$2:B497, B497)</f>
        <v>0.6428571428571429</v>
      </c>
    </row>
    <row r="498" spans="1:30" x14ac:dyDescent="0.25">
      <c r="A498" s="85">
        <v>46116</v>
      </c>
      <c r="B498" t="s">
        <v>42</v>
      </c>
      <c r="C498">
        <v>29</v>
      </c>
      <c r="D498" s="86">
        <v>0</v>
      </c>
      <c r="E498">
        <v>5</v>
      </c>
      <c r="F498">
        <v>2</v>
      </c>
      <c r="G498">
        <v>21</v>
      </c>
      <c r="H498">
        <v>10</v>
      </c>
      <c r="I498">
        <v>0.4</v>
      </c>
      <c r="J498">
        <v>0.48</v>
      </c>
      <c r="K498">
        <v>1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1</v>
      </c>
      <c r="X498">
        <v>0</v>
      </c>
      <c r="Y498">
        <v>0</v>
      </c>
      <c r="Z498">
        <v>0</v>
      </c>
      <c r="AA498" s="86">
        <f>AVERAGEIFS($C$2:C498, $B$2:B498, B498)</f>
        <v>12.4</v>
      </c>
      <c r="AB498" s="86">
        <f>AVERAGEIFS($I$2:I498, $B$2:B498, B498)</f>
        <v>0.48</v>
      </c>
      <c r="AC498" s="86">
        <f>AVERAGEIFS($J$2:J498, $B$2:B498, B498)</f>
        <v>0.47400000000000003</v>
      </c>
      <c r="AD498" s="86">
        <f>AVERAGEIFS($D$2:D498, $B$2:B498, B498)</f>
        <v>0.4</v>
      </c>
    </row>
    <row r="499" spans="1:30" x14ac:dyDescent="0.25">
      <c r="A499" s="85">
        <v>46117</v>
      </c>
      <c r="B499" t="s">
        <v>6</v>
      </c>
      <c r="C499">
        <v>42</v>
      </c>
      <c r="D499" s="86">
        <v>1</v>
      </c>
      <c r="E499">
        <v>5</v>
      </c>
      <c r="F499">
        <v>3</v>
      </c>
      <c r="G499">
        <v>21</v>
      </c>
      <c r="H499">
        <v>13</v>
      </c>
      <c r="I499">
        <v>0.6</v>
      </c>
      <c r="J499">
        <v>0.62</v>
      </c>
      <c r="K499">
        <v>0</v>
      </c>
      <c r="L499">
        <v>0</v>
      </c>
      <c r="M499">
        <v>1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1</v>
      </c>
      <c r="U499">
        <v>0</v>
      </c>
      <c r="V499">
        <v>0</v>
      </c>
      <c r="W499">
        <v>0</v>
      </c>
      <c r="X499">
        <v>0</v>
      </c>
      <c r="Y499">
        <v>1</v>
      </c>
      <c r="Z499">
        <v>0</v>
      </c>
      <c r="AA499" s="86">
        <f>AVERAGEIFS($C$2:C499, $B$2:B499, B499)</f>
        <v>23.894736842105264</v>
      </c>
      <c r="AB499" s="86">
        <f>AVERAGEIFS($I$2:I499, $B$2:B499, B499)</f>
        <v>0.64473684210526305</v>
      </c>
      <c r="AC499" s="86">
        <f>AVERAGEIFS($J$2:J499, $B$2:B499, B499)</f>
        <v>0.56210526315789477</v>
      </c>
      <c r="AD499" s="86">
        <f>AVERAGEIFS($D$2:D499, $B$2:B499, B499)</f>
        <v>0.78947368421052633</v>
      </c>
    </row>
    <row r="500" spans="1:30" x14ac:dyDescent="0.25">
      <c r="A500" s="85">
        <v>46117</v>
      </c>
      <c r="B500" t="s">
        <v>37</v>
      </c>
      <c r="C500">
        <v>36</v>
      </c>
      <c r="D500" s="86">
        <v>1</v>
      </c>
      <c r="E500">
        <v>5</v>
      </c>
      <c r="F500">
        <v>3</v>
      </c>
      <c r="G500">
        <v>21</v>
      </c>
      <c r="H500">
        <v>13</v>
      </c>
      <c r="I500">
        <v>0.6</v>
      </c>
      <c r="J500">
        <v>0.62</v>
      </c>
      <c r="K500">
        <v>0</v>
      </c>
      <c r="L500">
        <v>0</v>
      </c>
      <c r="M500">
        <v>1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1</v>
      </c>
      <c r="U500">
        <v>0</v>
      </c>
      <c r="V500">
        <v>0</v>
      </c>
      <c r="W500">
        <v>0</v>
      </c>
      <c r="X500">
        <v>0</v>
      </c>
      <c r="Y500">
        <v>1</v>
      </c>
      <c r="Z500">
        <v>0</v>
      </c>
      <c r="AA500" s="86">
        <f>AVERAGEIFS($C$2:C500, $B$2:B500, B500)</f>
        <v>20.117647058823529</v>
      </c>
      <c r="AB500" s="86">
        <f>AVERAGEIFS($I$2:I500, $B$2:B500, B500)</f>
        <v>0.43235294117647055</v>
      </c>
      <c r="AC500" s="86">
        <f>AVERAGEIFS($J$2:J500, $B$2:B500, B500)</f>
        <v>0.46294117647058813</v>
      </c>
      <c r="AD500" s="86">
        <f>AVERAGEIFS($D$2:D500, $B$2:B500, B500)</f>
        <v>0.41176470588235292</v>
      </c>
    </row>
    <row r="501" spans="1:30" x14ac:dyDescent="0.25">
      <c r="A501" s="85">
        <v>46117</v>
      </c>
      <c r="B501" t="s">
        <v>13</v>
      </c>
      <c r="C501">
        <v>35</v>
      </c>
      <c r="D501" s="86">
        <v>1</v>
      </c>
      <c r="E501">
        <v>5</v>
      </c>
      <c r="F501">
        <v>3</v>
      </c>
      <c r="G501">
        <v>21</v>
      </c>
      <c r="H501">
        <v>13</v>
      </c>
      <c r="I501">
        <v>0.6</v>
      </c>
      <c r="J501">
        <v>0.62</v>
      </c>
      <c r="K501">
        <v>0</v>
      </c>
      <c r="L501">
        <v>0</v>
      </c>
      <c r="M501">
        <v>1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1</v>
      </c>
      <c r="U501">
        <v>0</v>
      </c>
      <c r="V501">
        <v>0</v>
      </c>
      <c r="W501">
        <v>0</v>
      </c>
      <c r="X501">
        <v>0</v>
      </c>
      <c r="Y501">
        <v>1</v>
      </c>
      <c r="Z501">
        <v>0</v>
      </c>
      <c r="AA501" s="86">
        <f>AVERAGEIFS($C$2:C501, $B$2:B501, B501)</f>
        <v>28.142857142857142</v>
      </c>
      <c r="AB501" s="86">
        <f>AVERAGEIFS($I$2:I501, $B$2:B501, B501)</f>
        <v>0.53142857142857136</v>
      </c>
      <c r="AC501" s="86">
        <f>AVERAGEIFS($J$2:J501, $B$2:B501, B501)</f>
        <v>0.52514285714285702</v>
      </c>
      <c r="AD501" s="86">
        <f>AVERAGEIFS($D$2:D501, $B$2:B501, B501)</f>
        <v>0.6</v>
      </c>
    </row>
    <row r="502" spans="1:30" x14ac:dyDescent="0.25">
      <c r="A502" s="85">
        <v>46117</v>
      </c>
      <c r="B502" t="s">
        <v>155</v>
      </c>
      <c r="C502">
        <v>27</v>
      </c>
      <c r="D502" s="86">
        <v>1</v>
      </c>
      <c r="E502">
        <v>5</v>
      </c>
      <c r="F502">
        <v>3</v>
      </c>
      <c r="G502">
        <v>21</v>
      </c>
      <c r="H502">
        <v>13</v>
      </c>
      <c r="I502">
        <v>0.6</v>
      </c>
      <c r="J502">
        <v>0.62</v>
      </c>
      <c r="K502">
        <v>0</v>
      </c>
      <c r="L502">
        <v>0</v>
      </c>
      <c r="M502">
        <v>1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1</v>
      </c>
      <c r="U502">
        <v>0</v>
      </c>
      <c r="V502">
        <v>0</v>
      </c>
      <c r="W502">
        <v>0</v>
      </c>
      <c r="X502">
        <v>0</v>
      </c>
      <c r="Y502">
        <v>1</v>
      </c>
      <c r="Z502">
        <v>0</v>
      </c>
      <c r="AA502" s="86">
        <f>AVERAGEIFS($C$2:C502, $B$2:B502, B502)</f>
        <v>14</v>
      </c>
      <c r="AB502" s="86">
        <f>AVERAGEIFS($I$2:I502, $B$2:B502, B502)</f>
        <v>0.58333333333333337</v>
      </c>
      <c r="AC502" s="86">
        <f>AVERAGEIFS($J$2:J502, $B$2:B502, B502)</f>
        <v>0.59666666666666668</v>
      </c>
      <c r="AD502" s="86">
        <f>AVERAGEIFS($D$2:D502, $B$2:B502, B502)</f>
        <v>0.66666666666666663</v>
      </c>
    </row>
    <row r="503" spans="1:30" x14ac:dyDescent="0.25">
      <c r="A503" s="85">
        <v>46117</v>
      </c>
      <c r="B503" t="s">
        <v>148</v>
      </c>
      <c r="C503">
        <v>17</v>
      </c>
      <c r="D503" s="86">
        <v>1</v>
      </c>
      <c r="E503">
        <v>5</v>
      </c>
      <c r="F503">
        <v>3</v>
      </c>
      <c r="G503">
        <v>21</v>
      </c>
      <c r="H503">
        <v>13</v>
      </c>
      <c r="I503">
        <v>0.6</v>
      </c>
      <c r="J503">
        <v>0.62</v>
      </c>
      <c r="K503">
        <v>0</v>
      </c>
      <c r="L503">
        <v>0</v>
      </c>
      <c r="M503">
        <v>1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1</v>
      </c>
      <c r="U503">
        <v>0</v>
      </c>
      <c r="V503">
        <v>0</v>
      </c>
      <c r="W503">
        <v>0</v>
      </c>
      <c r="X503">
        <v>0</v>
      </c>
      <c r="Y503">
        <v>1</v>
      </c>
      <c r="Z503">
        <v>0</v>
      </c>
      <c r="AA503" s="86">
        <f>AVERAGEIFS($C$2:C503, $B$2:B503, B503)</f>
        <v>15</v>
      </c>
      <c r="AB503" s="86">
        <f>AVERAGEIFS($I$2:I503, $B$2:B503, B503)</f>
        <v>0.47500000000000003</v>
      </c>
      <c r="AC503" s="86">
        <f>AVERAGEIFS($J$2:J503, $B$2:B503, B503)</f>
        <v>0.48500000000000004</v>
      </c>
      <c r="AD503" s="86">
        <f>AVERAGEIFS($D$2:D503, $B$2:B503, B503)</f>
        <v>0.5</v>
      </c>
    </row>
    <row r="504" spans="1:30" x14ac:dyDescent="0.25">
      <c r="A504" s="85">
        <v>46117</v>
      </c>
      <c r="B504" t="s">
        <v>45</v>
      </c>
      <c r="C504">
        <v>13</v>
      </c>
      <c r="D504" s="86">
        <v>1</v>
      </c>
      <c r="E504">
        <v>5</v>
      </c>
      <c r="F504">
        <v>3</v>
      </c>
      <c r="G504">
        <v>21</v>
      </c>
      <c r="H504">
        <v>13</v>
      </c>
      <c r="I504">
        <v>0.6</v>
      </c>
      <c r="J504">
        <v>0.62</v>
      </c>
      <c r="K504">
        <v>0</v>
      </c>
      <c r="L504">
        <v>0</v>
      </c>
      <c r="M504">
        <v>1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1</v>
      </c>
      <c r="U504">
        <v>0</v>
      </c>
      <c r="V504">
        <v>0</v>
      </c>
      <c r="W504">
        <v>0</v>
      </c>
      <c r="X504">
        <v>0</v>
      </c>
      <c r="Y504">
        <v>1</v>
      </c>
      <c r="Z504">
        <v>0</v>
      </c>
      <c r="AA504" s="86">
        <f>AVERAGEIFS($C$2:C504, $B$2:B504, B504)</f>
        <v>12.25</v>
      </c>
      <c r="AB504" s="86">
        <f>AVERAGEIFS($I$2:I504, $B$2:B504, B504)</f>
        <v>0.45000000000000007</v>
      </c>
      <c r="AC504" s="86">
        <f>AVERAGEIFS($J$2:J504, $B$2:B504, B504)</f>
        <v>0.48749999999999999</v>
      </c>
      <c r="AD504" s="86">
        <f>AVERAGEIFS($D$2:D504, $B$2:B504, B504)</f>
        <v>0.375</v>
      </c>
    </row>
    <row r="505" spans="1:30" x14ac:dyDescent="0.25">
      <c r="A505" s="85">
        <v>46117</v>
      </c>
      <c r="B505" t="s">
        <v>17</v>
      </c>
      <c r="C505">
        <v>11</v>
      </c>
      <c r="D505" s="86">
        <v>1</v>
      </c>
      <c r="E505">
        <v>5</v>
      </c>
      <c r="F505">
        <v>3</v>
      </c>
      <c r="G505">
        <v>21</v>
      </c>
      <c r="H505">
        <v>13</v>
      </c>
      <c r="I505">
        <v>0.6</v>
      </c>
      <c r="J505">
        <v>0.62</v>
      </c>
      <c r="K505">
        <v>0</v>
      </c>
      <c r="L505">
        <v>0</v>
      </c>
      <c r="M505">
        <v>1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1</v>
      </c>
      <c r="U505">
        <v>0</v>
      </c>
      <c r="V505">
        <v>0</v>
      </c>
      <c r="W505">
        <v>0</v>
      </c>
      <c r="X505">
        <v>0</v>
      </c>
      <c r="Y505">
        <v>1</v>
      </c>
      <c r="Z505">
        <v>0</v>
      </c>
      <c r="AA505" s="86">
        <f>AVERAGEIFS($C$2:C505, $B$2:B505, B505)</f>
        <v>26.34375</v>
      </c>
      <c r="AB505" s="86">
        <f>AVERAGEIFS($I$2:I505, $B$2:B505, B505)</f>
        <v>0.51406250000000009</v>
      </c>
      <c r="AC505" s="86">
        <f>AVERAGEIFS($J$2:J505, $B$2:B505, B505)</f>
        <v>0.52031249999999996</v>
      </c>
      <c r="AD505" s="86">
        <f>AVERAGEIFS($D$2:D505, $B$2:B505, B505)</f>
        <v>0.40625</v>
      </c>
    </row>
    <row r="506" spans="1:30" x14ac:dyDescent="0.25">
      <c r="A506" s="85">
        <v>46117</v>
      </c>
      <c r="B506" t="s">
        <v>15</v>
      </c>
      <c r="C506">
        <v>39</v>
      </c>
      <c r="D506" s="86">
        <v>0</v>
      </c>
      <c r="E506">
        <v>5</v>
      </c>
      <c r="F506">
        <v>2</v>
      </c>
      <c r="G506">
        <v>21</v>
      </c>
      <c r="H506">
        <v>8</v>
      </c>
      <c r="I506">
        <v>0.4</v>
      </c>
      <c r="J506">
        <v>0.38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1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1</v>
      </c>
      <c r="Y506">
        <v>0</v>
      </c>
      <c r="Z506">
        <v>0</v>
      </c>
      <c r="AA506" s="86">
        <f>AVERAGEIFS($C$2:C506, $B$2:B506, B506)</f>
        <v>25.833333333333332</v>
      </c>
      <c r="AB506" s="86">
        <f>AVERAGEIFS($I$2:I506, $B$2:B506, B506)</f>
        <v>0.43124999999999997</v>
      </c>
      <c r="AC506" s="86">
        <f>AVERAGEIFS($J$2:J506, $B$2:B506, B506)</f>
        <v>0.46750000000000008</v>
      </c>
      <c r="AD506" s="86">
        <f>AVERAGEIFS($D$2:D506, $B$2:B506, B506)</f>
        <v>0.29166666666666669</v>
      </c>
    </row>
    <row r="507" spans="1:30" x14ac:dyDescent="0.25">
      <c r="A507" s="85">
        <v>46117</v>
      </c>
      <c r="B507" t="s">
        <v>14</v>
      </c>
      <c r="C507">
        <v>37</v>
      </c>
      <c r="D507" s="86">
        <v>0</v>
      </c>
      <c r="E507">
        <v>5</v>
      </c>
      <c r="F507">
        <v>2</v>
      </c>
      <c r="G507">
        <v>21</v>
      </c>
      <c r="H507">
        <v>8</v>
      </c>
      <c r="I507">
        <v>0.4</v>
      </c>
      <c r="J507">
        <v>0.38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1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1</v>
      </c>
      <c r="Y507">
        <v>0</v>
      </c>
      <c r="Z507">
        <v>0</v>
      </c>
      <c r="AA507" s="86">
        <f>AVERAGEIFS($C$2:C507, $B$2:B507, B507)</f>
        <v>26.214285714285715</v>
      </c>
      <c r="AB507" s="86">
        <f>AVERAGEIFS($I$2:I507, $B$2:B507, B507)</f>
        <v>0.5446428571428571</v>
      </c>
      <c r="AC507" s="86">
        <f>AVERAGEIFS($J$2:J507, $B$2:B507, B507)</f>
        <v>0.51571428571428579</v>
      </c>
      <c r="AD507" s="86">
        <f>AVERAGEIFS($D$2:D507, $B$2:B507, B507)</f>
        <v>0.5714285714285714</v>
      </c>
    </row>
    <row r="508" spans="1:30" x14ac:dyDescent="0.25">
      <c r="A508" s="85">
        <v>46117</v>
      </c>
      <c r="B508" t="s">
        <v>52</v>
      </c>
      <c r="C508">
        <v>34</v>
      </c>
      <c r="D508" s="86">
        <v>0</v>
      </c>
      <c r="E508">
        <v>5</v>
      </c>
      <c r="F508">
        <v>2</v>
      </c>
      <c r="G508">
        <v>21</v>
      </c>
      <c r="H508">
        <v>8</v>
      </c>
      <c r="I508">
        <v>0.4</v>
      </c>
      <c r="J508">
        <v>0.38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1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1</v>
      </c>
      <c r="Y508">
        <v>0</v>
      </c>
      <c r="Z508">
        <v>0</v>
      </c>
      <c r="AA508" s="86">
        <f>AVERAGEIFS($C$2:C508, $B$2:B508, B508)</f>
        <v>19.5</v>
      </c>
      <c r="AB508" s="86">
        <f>AVERAGEIFS($I$2:I508, $B$2:B508, B508)</f>
        <v>0.2</v>
      </c>
      <c r="AC508" s="86">
        <f>AVERAGEIFS($J$2:J508, $B$2:B508, B508)</f>
        <v>0.34499999999999997</v>
      </c>
      <c r="AD508" s="86">
        <f>AVERAGEIFS($D$2:D508, $B$2:B508, B508)</f>
        <v>0</v>
      </c>
    </row>
    <row r="509" spans="1:30" x14ac:dyDescent="0.25">
      <c r="A509" s="85">
        <v>46117</v>
      </c>
      <c r="B509" t="s">
        <v>40</v>
      </c>
      <c r="C509">
        <v>24</v>
      </c>
      <c r="D509" s="86">
        <v>0</v>
      </c>
      <c r="E509">
        <v>5</v>
      </c>
      <c r="F509">
        <v>2</v>
      </c>
      <c r="G509">
        <v>21</v>
      </c>
      <c r="H509">
        <v>8</v>
      </c>
      <c r="I509">
        <v>0.4</v>
      </c>
      <c r="J509">
        <v>0.38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1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1</v>
      </c>
      <c r="Y509">
        <v>0</v>
      </c>
      <c r="Z509">
        <v>0</v>
      </c>
      <c r="AA509" s="86">
        <f>AVERAGEIFS($C$2:C509, $B$2:B509, B509)</f>
        <v>17.666666666666668</v>
      </c>
      <c r="AB509" s="86">
        <f>AVERAGEIFS($I$2:I509, $B$2:B509, B509)</f>
        <v>0.31666666666666665</v>
      </c>
      <c r="AC509" s="86">
        <f>AVERAGEIFS($J$2:J509, $B$2:B509, B509)</f>
        <v>0.37166666666666665</v>
      </c>
      <c r="AD509" s="86">
        <f>AVERAGEIFS($D$2:D509, $B$2:B509, B509)</f>
        <v>0.16666666666666666</v>
      </c>
    </row>
    <row r="510" spans="1:30" x14ac:dyDescent="0.25">
      <c r="A510" s="85">
        <v>46117</v>
      </c>
      <c r="B510" t="s">
        <v>152</v>
      </c>
      <c r="C510">
        <v>19</v>
      </c>
      <c r="D510" s="86">
        <v>0</v>
      </c>
      <c r="E510">
        <v>5</v>
      </c>
      <c r="F510">
        <v>2</v>
      </c>
      <c r="G510">
        <v>21</v>
      </c>
      <c r="H510">
        <v>8</v>
      </c>
      <c r="I510">
        <v>0.4</v>
      </c>
      <c r="J510">
        <v>0.38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1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1</v>
      </c>
      <c r="Y510">
        <v>0</v>
      </c>
      <c r="Z510">
        <v>0</v>
      </c>
      <c r="AA510" s="86">
        <f>AVERAGEIFS($C$2:C510, $B$2:B510, B510)</f>
        <v>19</v>
      </c>
      <c r="AB510" s="86">
        <f>AVERAGEIFS($I$2:I510, $B$2:B510, B510)</f>
        <v>0.4</v>
      </c>
      <c r="AC510" s="86">
        <f>AVERAGEIFS($J$2:J510, $B$2:B510, B510)</f>
        <v>0.38</v>
      </c>
      <c r="AD510" s="86">
        <f>AVERAGEIFS($D$2:D510, $B$2:B510, B510)</f>
        <v>0</v>
      </c>
    </row>
    <row r="511" spans="1:30" x14ac:dyDescent="0.25">
      <c r="A511" s="85">
        <v>46117</v>
      </c>
      <c r="B511" t="s">
        <v>141</v>
      </c>
      <c r="C511">
        <v>14</v>
      </c>
      <c r="D511" s="86">
        <v>0</v>
      </c>
      <c r="E511">
        <v>5</v>
      </c>
      <c r="F511">
        <v>2</v>
      </c>
      <c r="G511">
        <v>21</v>
      </c>
      <c r="H511">
        <v>8</v>
      </c>
      <c r="I511">
        <v>0.4</v>
      </c>
      <c r="J511">
        <v>0.38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1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1</v>
      </c>
      <c r="Y511">
        <v>0</v>
      </c>
      <c r="Z511">
        <v>0</v>
      </c>
      <c r="AA511" s="86">
        <f>AVERAGEIFS($C$2:C511, $B$2:B511, B511)</f>
        <v>17</v>
      </c>
      <c r="AB511" s="86">
        <f>AVERAGEIFS($I$2:I511, $B$2:B511, B511)</f>
        <v>0.4</v>
      </c>
      <c r="AC511" s="86">
        <f>AVERAGEIFS($J$2:J511, $B$2:B511, B511)</f>
        <v>0.43</v>
      </c>
      <c r="AD511" s="86">
        <f>AVERAGEIFS($D$2:D511, $B$2:B511, B511)</f>
        <v>0</v>
      </c>
    </row>
    <row r="512" spans="1:30" x14ac:dyDescent="0.25">
      <c r="A512" s="85">
        <v>46117</v>
      </c>
      <c r="B512" t="s">
        <v>17</v>
      </c>
      <c r="C512">
        <v>18</v>
      </c>
      <c r="D512" s="86">
        <v>1</v>
      </c>
      <c r="E512">
        <v>3</v>
      </c>
      <c r="F512">
        <v>3</v>
      </c>
      <c r="G512">
        <v>11</v>
      </c>
      <c r="H512">
        <v>9</v>
      </c>
      <c r="I512">
        <v>1</v>
      </c>
      <c r="J512">
        <v>0.82</v>
      </c>
      <c r="K512">
        <v>0</v>
      </c>
      <c r="L512">
        <v>1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1</v>
      </c>
      <c r="Y512">
        <v>1</v>
      </c>
      <c r="Z512">
        <v>0</v>
      </c>
      <c r="AA512" s="86">
        <f>AVERAGEIFS($C$2:C512, $B$2:B512, B512)</f>
        <v>26.09090909090909</v>
      </c>
      <c r="AB512" s="86">
        <f>AVERAGEIFS($I$2:I512, $B$2:B512, B512)</f>
        <v>0.52878787878787892</v>
      </c>
      <c r="AC512" s="86">
        <f>AVERAGEIFS($J$2:J512, $B$2:B512, B512)</f>
        <v>0.52939393939393931</v>
      </c>
      <c r="AD512" s="86">
        <f>AVERAGEIFS($D$2:D512, $B$2:B512, B512)</f>
        <v>0.42424242424242425</v>
      </c>
    </row>
    <row r="513" spans="1:30" x14ac:dyDescent="0.25">
      <c r="A513" s="85">
        <v>46117</v>
      </c>
      <c r="B513" t="s">
        <v>18</v>
      </c>
      <c r="C513">
        <v>17</v>
      </c>
      <c r="D513" s="86">
        <v>1</v>
      </c>
      <c r="E513">
        <v>3</v>
      </c>
      <c r="F513">
        <v>3</v>
      </c>
      <c r="G513">
        <v>11</v>
      </c>
      <c r="H513">
        <v>9</v>
      </c>
      <c r="I513">
        <v>1</v>
      </c>
      <c r="J513">
        <v>0.82</v>
      </c>
      <c r="K513">
        <v>0</v>
      </c>
      <c r="L513">
        <v>1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1</v>
      </c>
      <c r="Y513">
        <v>1</v>
      </c>
      <c r="Z513">
        <v>0</v>
      </c>
      <c r="AA513" s="86">
        <f>AVERAGEIFS($C$2:C513, $B$2:B513, B513)</f>
        <v>25.352941176470587</v>
      </c>
      <c r="AB513" s="86">
        <f>AVERAGEIFS($I$2:I513, $B$2:B513, B513)</f>
        <v>0.45882352941176474</v>
      </c>
      <c r="AC513" s="86">
        <f>AVERAGEIFS($J$2:J513, $B$2:B513, B513)</f>
        <v>0.47764705882352937</v>
      </c>
      <c r="AD513" s="86">
        <f>AVERAGEIFS($D$2:D513, $B$2:B513, B513)</f>
        <v>0.41176470588235292</v>
      </c>
    </row>
    <row r="514" spans="1:30" x14ac:dyDescent="0.25">
      <c r="A514" s="85">
        <v>46117</v>
      </c>
      <c r="B514" t="s">
        <v>14</v>
      </c>
      <c r="C514">
        <v>16</v>
      </c>
      <c r="D514" s="86">
        <v>1</v>
      </c>
      <c r="E514">
        <v>3</v>
      </c>
      <c r="F514">
        <v>3</v>
      </c>
      <c r="G514">
        <v>11</v>
      </c>
      <c r="H514">
        <v>9</v>
      </c>
      <c r="I514">
        <v>1</v>
      </c>
      <c r="J514">
        <v>0.82</v>
      </c>
      <c r="K514">
        <v>0</v>
      </c>
      <c r="L514">
        <v>1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1</v>
      </c>
      <c r="Y514">
        <v>1</v>
      </c>
      <c r="Z514">
        <v>0</v>
      </c>
      <c r="AA514" s="86">
        <f>AVERAGEIFS($C$2:C514, $B$2:B514, B514)</f>
        <v>25.862068965517242</v>
      </c>
      <c r="AB514" s="86">
        <f>AVERAGEIFS($I$2:I514, $B$2:B514, B514)</f>
        <v>0.56034482758620685</v>
      </c>
      <c r="AC514" s="86">
        <f>AVERAGEIFS($J$2:J514, $B$2:B514, B514)</f>
        <v>0.52620689655172415</v>
      </c>
      <c r="AD514" s="86">
        <f>AVERAGEIFS($D$2:D514, $B$2:B514, B514)</f>
        <v>0.58620689655172409</v>
      </c>
    </row>
    <row r="515" spans="1:30" x14ac:dyDescent="0.25">
      <c r="A515" s="85">
        <v>46117</v>
      </c>
      <c r="B515" t="s">
        <v>13</v>
      </c>
      <c r="C515">
        <v>15</v>
      </c>
      <c r="D515" s="86">
        <v>1</v>
      </c>
      <c r="E515">
        <v>3</v>
      </c>
      <c r="F515">
        <v>3</v>
      </c>
      <c r="G515">
        <v>11</v>
      </c>
      <c r="H515">
        <v>9</v>
      </c>
      <c r="I515">
        <v>1</v>
      </c>
      <c r="J515">
        <v>0.82</v>
      </c>
      <c r="K515">
        <v>0</v>
      </c>
      <c r="L515">
        <v>1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1</v>
      </c>
      <c r="Y515">
        <v>1</v>
      </c>
      <c r="Z515">
        <v>0</v>
      </c>
      <c r="AA515" s="86">
        <f>AVERAGEIFS($C$2:C515, $B$2:B515, B515)</f>
        <v>27.777777777777779</v>
      </c>
      <c r="AB515" s="86">
        <f>AVERAGEIFS($I$2:I515, $B$2:B515, B515)</f>
        <v>0.5444444444444444</v>
      </c>
      <c r="AC515" s="86">
        <f>AVERAGEIFS($J$2:J515, $B$2:B515, B515)</f>
        <v>0.53333333333333321</v>
      </c>
      <c r="AD515" s="86">
        <f>AVERAGEIFS($D$2:D515, $B$2:B515, B515)</f>
        <v>0.61111111111111116</v>
      </c>
    </row>
    <row r="516" spans="1:30" x14ac:dyDescent="0.25">
      <c r="A516" s="85">
        <v>46117</v>
      </c>
      <c r="B516" t="s">
        <v>29</v>
      </c>
      <c r="C516">
        <v>15</v>
      </c>
      <c r="D516" s="86">
        <v>1</v>
      </c>
      <c r="E516">
        <v>3</v>
      </c>
      <c r="F516">
        <v>3</v>
      </c>
      <c r="G516">
        <v>11</v>
      </c>
      <c r="H516">
        <v>9</v>
      </c>
      <c r="I516">
        <v>1</v>
      </c>
      <c r="J516">
        <v>0.82</v>
      </c>
      <c r="K516">
        <v>0</v>
      </c>
      <c r="L516">
        <v>1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1</v>
      </c>
      <c r="Y516">
        <v>1</v>
      </c>
      <c r="Z516">
        <v>0</v>
      </c>
      <c r="AA516" s="86">
        <f>AVERAGEIFS($C$2:C516, $B$2:B516, B516)</f>
        <v>10.333333333333334</v>
      </c>
      <c r="AB516" s="86">
        <f>AVERAGEIFS($I$2:I516, $B$2:B516, B516)</f>
        <v>0.52592592592592602</v>
      </c>
      <c r="AC516" s="86">
        <f>AVERAGEIFS($J$2:J516, $B$2:B516, B516)</f>
        <v>0.52703703703703708</v>
      </c>
      <c r="AD516" s="86">
        <f>AVERAGEIFS($D$2:D516, $B$2:B516, B516)</f>
        <v>0.51851851851851849</v>
      </c>
    </row>
    <row r="517" spans="1:30" x14ac:dyDescent="0.25">
      <c r="A517" s="85">
        <v>46117</v>
      </c>
      <c r="B517" t="s">
        <v>34</v>
      </c>
      <c r="C517">
        <v>11</v>
      </c>
      <c r="D517" s="86">
        <v>1</v>
      </c>
      <c r="E517">
        <v>3</v>
      </c>
      <c r="F517">
        <v>3</v>
      </c>
      <c r="G517">
        <v>11</v>
      </c>
      <c r="H517">
        <v>9</v>
      </c>
      <c r="I517">
        <v>1</v>
      </c>
      <c r="J517">
        <v>0.82</v>
      </c>
      <c r="K517">
        <v>0</v>
      </c>
      <c r="L517">
        <v>1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1</v>
      </c>
      <c r="Y517">
        <v>1</v>
      </c>
      <c r="Z517">
        <v>0</v>
      </c>
      <c r="AA517" s="86">
        <f>AVERAGEIFS($C$2:C517, $B$2:B517, B517)</f>
        <v>10</v>
      </c>
      <c r="AB517" s="86">
        <f>AVERAGEIFS($I$2:I517, $B$2:B517, B517)</f>
        <v>0.83750000000000002</v>
      </c>
      <c r="AC517" s="86">
        <f>AVERAGEIFS($J$2:J517, $B$2:B517, B517)</f>
        <v>0.69</v>
      </c>
      <c r="AD517" s="86">
        <f>AVERAGEIFS($D$2:D517, $B$2:B517, B517)</f>
        <v>1</v>
      </c>
    </row>
    <row r="518" spans="1:30" x14ac:dyDescent="0.25">
      <c r="A518" s="85">
        <v>46117</v>
      </c>
      <c r="B518" t="s">
        <v>148</v>
      </c>
      <c r="C518">
        <v>8</v>
      </c>
      <c r="D518" s="86">
        <v>1</v>
      </c>
      <c r="E518">
        <v>3</v>
      </c>
      <c r="F518">
        <v>3</v>
      </c>
      <c r="G518">
        <v>11</v>
      </c>
      <c r="H518">
        <v>9</v>
      </c>
      <c r="I518">
        <v>1</v>
      </c>
      <c r="J518">
        <v>0.82</v>
      </c>
      <c r="K518">
        <v>0</v>
      </c>
      <c r="L518">
        <v>1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1</v>
      </c>
      <c r="Y518">
        <v>1</v>
      </c>
      <c r="Z518">
        <v>0</v>
      </c>
      <c r="AA518" s="86">
        <f>AVERAGEIFS($C$2:C518, $B$2:B518, B518)</f>
        <v>14</v>
      </c>
      <c r="AB518" s="86">
        <f>AVERAGEIFS($I$2:I518, $B$2:B518, B518)</f>
        <v>0.55000000000000004</v>
      </c>
      <c r="AC518" s="86">
        <f>AVERAGEIFS($J$2:J518, $B$2:B518, B518)</f>
        <v>0.53285714285714281</v>
      </c>
      <c r="AD518" s="86">
        <f>AVERAGEIFS($D$2:D518, $B$2:B518, B518)</f>
        <v>0.5714285714285714</v>
      </c>
    </row>
    <row r="519" spans="1:30" x14ac:dyDescent="0.25">
      <c r="A519" s="85">
        <v>46117</v>
      </c>
      <c r="B519" t="s">
        <v>55</v>
      </c>
      <c r="C519">
        <v>4</v>
      </c>
      <c r="D519" s="86">
        <v>1</v>
      </c>
      <c r="E519">
        <v>3</v>
      </c>
      <c r="F519">
        <v>3</v>
      </c>
      <c r="G519">
        <v>11</v>
      </c>
      <c r="H519">
        <v>9</v>
      </c>
      <c r="I519">
        <v>1</v>
      </c>
      <c r="J519">
        <v>0.82</v>
      </c>
      <c r="K519">
        <v>0</v>
      </c>
      <c r="L519">
        <v>1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1</v>
      </c>
      <c r="Y519">
        <v>1</v>
      </c>
      <c r="Z519">
        <v>0</v>
      </c>
      <c r="AA519" s="86">
        <f>AVERAGEIFS($C$2:C519, $B$2:B519, B519)</f>
        <v>9.5</v>
      </c>
      <c r="AB519" s="86">
        <f>AVERAGEIFS($I$2:I519, $B$2:B519, B519)</f>
        <v>0.56000000000000005</v>
      </c>
      <c r="AC519" s="86">
        <f>AVERAGEIFS($J$2:J519, $B$2:B519, B519)</f>
        <v>0.53100000000000003</v>
      </c>
      <c r="AD519" s="86">
        <f>AVERAGEIFS($D$2:D519, $B$2:B519, B519)</f>
        <v>0.6</v>
      </c>
    </row>
    <row r="520" spans="1:30" x14ac:dyDescent="0.25">
      <c r="A520" s="85">
        <v>46117</v>
      </c>
      <c r="B520" t="s">
        <v>4</v>
      </c>
      <c r="C520">
        <v>17</v>
      </c>
      <c r="D520" s="86">
        <v>0</v>
      </c>
      <c r="E520">
        <v>3</v>
      </c>
      <c r="F520">
        <v>0</v>
      </c>
      <c r="G520">
        <v>11</v>
      </c>
      <c r="H520">
        <v>2</v>
      </c>
      <c r="I520">
        <v>0</v>
      </c>
      <c r="J520">
        <v>0.18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 s="86">
        <f>AVERAGEIFS($C$2:C520, $B$2:B520, B520)</f>
        <v>19.666666666666668</v>
      </c>
      <c r="AB520" s="86">
        <f>AVERAGEIFS($I$2:I520, $B$2:B520, B520)</f>
        <v>0.4916666666666667</v>
      </c>
      <c r="AC520" s="86">
        <f>AVERAGEIFS($J$2:J520, $B$2:B520, B520)</f>
        <v>0.47666666666666674</v>
      </c>
      <c r="AD520" s="86">
        <f>AVERAGEIFS($D$2:D520, $B$2:B520, B520)</f>
        <v>0.66666666666666663</v>
      </c>
    </row>
    <row r="521" spans="1:30" x14ac:dyDescent="0.25">
      <c r="A521" s="85">
        <v>46117</v>
      </c>
      <c r="B521" t="s">
        <v>113</v>
      </c>
      <c r="C521">
        <v>14</v>
      </c>
      <c r="D521" s="86">
        <v>0</v>
      </c>
      <c r="E521">
        <v>3</v>
      </c>
      <c r="F521">
        <v>0</v>
      </c>
      <c r="G521">
        <v>11</v>
      </c>
      <c r="H521">
        <v>2</v>
      </c>
      <c r="I521">
        <v>0</v>
      </c>
      <c r="J521">
        <v>0.18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 s="86">
        <f>AVERAGEIFS($C$2:C521, $B$2:B521, B521)</f>
        <v>13.666666666666666</v>
      </c>
      <c r="AB521" s="86">
        <f>AVERAGEIFS($I$2:I521, $B$2:B521, B521)</f>
        <v>0.39999999999999997</v>
      </c>
      <c r="AC521" s="86">
        <f>AVERAGEIFS($J$2:J521, $B$2:B521, B521)</f>
        <v>0.42333333333333328</v>
      </c>
      <c r="AD521" s="86">
        <f>AVERAGEIFS($D$2:D521, $B$2:B521, B521)</f>
        <v>0.66666666666666663</v>
      </c>
    </row>
    <row r="522" spans="1:30" x14ac:dyDescent="0.25">
      <c r="A522" s="85">
        <v>46117</v>
      </c>
      <c r="B522" t="s">
        <v>1</v>
      </c>
      <c r="C522">
        <v>14</v>
      </c>
      <c r="D522" s="86">
        <v>0</v>
      </c>
      <c r="E522">
        <v>3</v>
      </c>
      <c r="F522">
        <v>0</v>
      </c>
      <c r="G522">
        <v>11</v>
      </c>
      <c r="H522">
        <v>2</v>
      </c>
      <c r="I522">
        <v>0</v>
      </c>
      <c r="J522">
        <v>0.18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 s="86">
        <f>AVERAGEIFS($C$2:C522, $B$2:B522, B522)</f>
        <v>26</v>
      </c>
      <c r="AB522" s="86">
        <f>AVERAGEIFS($I$2:I522, $B$2:B522, B522)</f>
        <v>0.55499999999999994</v>
      </c>
      <c r="AC522" s="86">
        <f>AVERAGEIFS($J$2:J522, $B$2:B522, B522)</f>
        <v>0.50800000000000001</v>
      </c>
      <c r="AD522" s="86">
        <f>AVERAGEIFS($D$2:D522, $B$2:B522, B522)</f>
        <v>0.7</v>
      </c>
    </row>
    <row r="523" spans="1:30" x14ac:dyDescent="0.25">
      <c r="A523" s="85">
        <v>46117</v>
      </c>
      <c r="B523" t="s">
        <v>40</v>
      </c>
      <c r="C523">
        <v>12</v>
      </c>
      <c r="D523" s="86">
        <v>0</v>
      </c>
      <c r="E523">
        <v>3</v>
      </c>
      <c r="F523">
        <v>0</v>
      </c>
      <c r="G523">
        <v>11</v>
      </c>
      <c r="H523">
        <v>2</v>
      </c>
      <c r="I523">
        <v>0</v>
      </c>
      <c r="J523">
        <v>0.18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 s="86">
        <f>AVERAGEIFS($C$2:C523, $B$2:B523, B523)</f>
        <v>16.857142857142858</v>
      </c>
      <c r="AB523" s="86">
        <f>AVERAGEIFS($I$2:I523, $B$2:B523, B523)</f>
        <v>0.27142857142857141</v>
      </c>
      <c r="AC523" s="86">
        <f>AVERAGEIFS($J$2:J523, $B$2:B523, B523)</f>
        <v>0.34428571428571431</v>
      </c>
      <c r="AD523" s="86">
        <f>AVERAGEIFS($D$2:D523, $B$2:B523, B523)</f>
        <v>0.14285714285714285</v>
      </c>
    </row>
    <row r="524" spans="1:30" x14ac:dyDescent="0.25">
      <c r="A524" s="85">
        <v>46117</v>
      </c>
      <c r="B524" t="s">
        <v>147</v>
      </c>
      <c r="C524">
        <v>7</v>
      </c>
      <c r="D524" s="86">
        <v>0</v>
      </c>
      <c r="E524">
        <v>3</v>
      </c>
      <c r="F524">
        <v>0</v>
      </c>
      <c r="G524">
        <v>11</v>
      </c>
      <c r="H524">
        <v>2</v>
      </c>
      <c r="I524">
        <v>0</v>
      </c>
      <c r="J524">
        <v>0.18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 s="86">
        <f>AVERAGEIFS($C$2:C524, $B$2:B524, B524)</f>
        <v>17</v>
      </c>
      <c r="AB524" s="86">
        <f>AVERAGEIFS($I$2:I524, $B$2:B524, B524)</f>
        <v>0.30000000000000004</v>
      </c>
      <c r="AC524" s="86">
        <f>AVERAGEIFS($J$2:J524, $B$2:B524, B524)</f>
        <v>0.38500000000000001</v>
      </c>
      <c r="AD524" s="86">
        <f>AVERAGEIFS($D$2:D524, $B$2:B524, B524)</f>
        <v>0</v>
      </c>
    </row>
    <row r="525" spans="1:30" x14ac:dyDescent="0.25">
      <c r="A525" s="85">
        <v>46117</v>
      </c>
      <c r="B525" t="s">
        <v>42</v>
      </c>
      <c r="C525">
        <v>7</v>
      </c>
      <c r="D525" s="86">
        <v>0</v>
      </c>
      <c r="E525">
        <v>3</v>
      </c>
      <c r="F525">
        <v>0</v>
      </c>
      <c r="G525">
        <v>11</v>
      </c>
      <c r="H525">
        <v>2</v>
      </c>
      <c r="I525">
        <v>0</v>
      </c>
      <c r="J525">
        <v>0.18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 s="86">
        <f>AVERAGEIFS($C$2:C525, $B$2:B525, B525)</f>
        <v>11.5</v>
      </c>
      <c r="AB525" s="86">
        <f>AVERAGEIFS($I$2:I525, $B$2:B525, B525)</f>
        <v>0.39999999999999997</v>
      </c>
      <c r="AC525" s="86">
        <f>AVERAGEIFS($J$2:J525, $B$2:B525, B525)</f>
        <v>0.42500000000000004</v>
      </c>
      <c r="AD525" s="86">
        <f>AVERAGEIFS($D$2:D525, $B$2:B525, B525)</f>
        <v>0.33333333333333331</v>
      </c>
    </row>
    <row r="526" spans="1:30" x14ac:dyDescent="0.25">
      <c r="A526" s="85">
        <v>46117</v>
      </c>
      <c r="B526" t="s">
        <v>35</v>
      </c>
      <c r="C526">
        <v>7</v>
      </c>
      <c r="D526" s="86">
        <v>0</v>
      </c>
      <c r="E526">
        <v>3</v>
      </c>
      <c r="F526">
        <v>0</v>
      </c>
      <c r="G526">
        <v>11</v>
      </c>
      <c r="H526">
        <v>2</v>
      </c>
      <c r="I526">
        <v>0</v>
      </c>
      <c r="J526">
        <v>0.18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 s="86">
        <f>AVERAGEIFS($C$2:C526, $B$2:B526, B526)</f>
        <v>11.466666666666667</v>
      </c>
      <c r="AB526" s="86">
        <f>AVERAGEIFS($I$2:I526, $B$2:B526, B526)</f>
        <v>0.48666666666666664</v>
      </c>
      <c r="AC526" s="86">
        <f>AVERAGEIFS($J$2:J526, $B$2:B526, B526)</f>
        <v>0.50800000000000012</v>
      </c>
      <c r="AD526" s="86">
        <f>AVERAGEIFS($D$2:D526, $B$2:B526, B526)</f>
        <v>0.6</v>
      </c>
    </row>
    <row r="527" spans="1:30" x14ac:dyDescent="0.25">
      <c r="A527" s="85">
        <v>46117</v>
      </c>
      <c r="B527" t="s">
        <v>140</v>
      </c>
      <c r="C527">
        <v>2</v>
      </c>
      <c r="D527" s="86">
        <v>0</v>
      </c>
      <c r="E527">
        <v>3</v>
      </c>
      <c r="F527">
        <v>0</v>
      </c>
      <c r="G527">
        <v>11</v>
      </c>
      <c r="H527">
        <v>2</v>
      </c>
      <c r="I527">
        <v>0</v>
      </c>
      <c r="J527">
        <v>0.18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 s="86">
        <f>AVERAGEIFS($C$2:C527, $B$2:B527, B527)</f>
        <v>10.5</v>
      </c>
      <c r="AB527" s="86">
        <f>AVERAGEIFS($I$2:I527, $B$2:B527, B527)</f>
        <v>0.48749999999999999</v>
      </c>
      <c r="AC527" s="86">
        <f>AVERAGEIFS($J$2:J527, $B$2:B527, B527)</f>
        <v>0.46999999999999992</v>
      </c>
      <c r="AD527" s="86">
        <f>AVERAGEIFS($D$2:D527, $B$2:B527, B527)</f>
        <v>0.75</v>
      </c>
    </row>
    <row r="528" spans="1:30" x14ac:dyDescent="0.25">
      <c r="A528" s="85">
        <v>46117</v>
      </c>
      <c r="B528" t="s">
        <v>40</v>
      </c>
      <c r="C528">
        <v>25</v>
      </c>
      <c r="D528" s="86">
        <v>1</v>
      </c>
      <c r="E528">
        <v>3</v>
      </c>
      <c r="F528">
        <v>3</v>
      </c>
      <c r="G528">
        <v>13</v>
      </c>
      <c r="H528">
        <v>9</v>
      </c>
      <c r="I528">
        <v>1</v>
      </c>
      <c r="J528">
        <v>0.69</v>
      </c>
      <c r="K528">
        <v>0</v>
      </c>
      <c r="L528">
        <v>1</v>
      </c>
      <c r="M528">
        <v>0</v>
      </c>
      <c r="N528">
        <v>0</v>
      </c>
      <c r="O528">
        <v>0</v>
      </c>
      <c r="P528">
        <v>0</v>
      </c>
      <c r="Q528">
        <v>1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1</v>
      </c>
      <c r="AA528" s="86">
        <f>AVERAGEIFS($C$2:C528, $B$2:B528, B528)</f>
        <v>17.875</v>
      </c>
      <c r="AB528" s="86">
        <f>AVERAGEIFS($I$2:I528, $B$2:B528, B528)</f>
        <v>0.36249999999999999</v>
      </c>
      <c r="AC528" s="86">
        <f>AVERAGEIFS($J$2:J528, $B$2:B528, B528)</f>
        <v>0.38750000000000001</v>
      </c>
      <c r="AD528" s="86">
        <f>AVERAGEIFS($D$2:D528, $B$2:B528, B528)</f>
        <v>0.25</v>
      </c>
    </row>
    <row r="529" spans="1:30" x14ac:dyDescent="0.25">
      <c r="A529" s="85">
        <v>46117</v>
      </c>
      <c r="B529" t="s">
        <v>113</v>
      </c>
      <c r="C529">
        <v>21</v>
      </c>
      <c r="D529" s="86">
        <v>1</v>
      </c>
      <c r="E529">
        <v>3</v>
      </c>
      <c r="F529">
        <v>3</v>
      </c>
      <c r="G529">
        <v>13</v>
      </c>
      <c r="H529">
        <v>9</v>
      </c>
      <c r="I529">
        <v>1</v>
      </c>
      <c r="J529">
        <v>0.69</v>
      </c>
      <c r="K529">
        <v>0</v>
      </c>
      <c r="L529">
        <v>1</v>
      </c>
      <c r="M529">
        <v>0</v>
      </c>
      <c r="N529">
        <v>0</v>
      </c>
      <c r="O529">
        <v>0</v>
      </c>
      <c r="P529">
        <v>0</v>
      </c>
      <c r="Q529">
        <v>1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1</v>
      </c>
      <c r="AA529" s="86">
        <f>AVERAGEIFS($C$2:C529, $B$2:B529, B529)</f>
        <v>15.5</v>
      </c>
      <c r="AB529" s="86">
        <f>AVERAGEIFS($I$2:I529, $B$2:B529, B529)</f>
        <v>0.55000000000000004</v>
      </c>
      <c r="AC529" s="86">
        <f>AVERAGEIFS($J$2:J529, $B$2:B529, B529)</f>
        <v>0.48999999999999994</v>
      </c>
      <c r="AD529" s="86">
        <f>AVERAGEIFS($D$2:D529, $B$2:B529, B529)</f>
        <v>0.75</v>
      </c>
    </row>
    <row r="530" spans="1:30" x14ac:dyDescent="0.25">
      <c r="A530" s="85">
        <v>46117</v>
      </c>
      <c r="B530" t="s">
        <v>15</v>
      </c>
      <c r="C530">
        <v>18</v>
      </c>
      <c r="D530" s="86">
        <v>1</v>
      </c>
      <c r="E530">
        <v>3</v>
      </c>
      <c r="F530">
        <v>3</v>
      </c>
      <c r="G530">
        <v>13</v>
      </c>
      <c r="H530">
        <v>9</v>
      </c>
      <c r="I530">
        <v>1</v>
      </c>
      <c r="J530">
        <v>0.69</v>
      </c>
      <c r="K530">
        <v>0</v>
      </c>
      <c r="L530">
        <v>1</v>
      </c>
      <c r="M530">
        <v>0</v>
      </c>
      <c r="N530">
        <v>0</v>
      </c>
      <c r="O530">
        <v>0</v>
      </c>
      <c r="P530">
        <v>0</v>
      </c>
      <c r="Q530">
        <v>1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1</v>
      </c>
      <c r="AA530" s="86">
        <f>AVERAGEIFS($C$2:C530, $B$2:B530, B530)</f>
        <v>25.52</v>
      </c>
      <c r="AB530" s="86">
        <f>AVERAGEIFS($I$2:I530, $B$2:B530, B530)</f>
        <v>0.45399999999999996</v>
      </c>
      <c r="AC530" s="86">
        <f>AVERAGEIFS($J$2:J530, $B$2:B530, B530)</f>
        <v>0.4764000000000001</v>
      </c>
      <c r="AD530" s="86">
        <f>AVERAGEIFS($D$2:D530, $B$2:B530, B530)</f>
        <v>0.32</v>
      </c>
    </row>
    <row r="531" spans="1:30" x14ac:dyDescent="0.25">
      <c r="A531" s="85">
        <v>46117</v>
      </c>
      <c r="B531" t="s">
        <v>18</v>
      </c>
      <c r="C531">
        <v>17</v>
      </c>
      <c r="D531" s="86">
        <v>1</v>
      </c>
      <c r="E531">
        <v>3</v>
      </c>
      <c r="F531">
        <v>3</v>
      </c>
      <c r="G531">
        <v>13</v>
      </c>
      <c r="H531">
        <v>9</v>
      </c>
      <c r="I531">
        <v>1</v>
      </c>
      <c r="J531">
        <v>0.69</v>
      </c>
      <c r="K531">
        <v>0</v>
      </c>
      <c r="L531">
        <v>1</v>
      </c>
      <c r="M531">
        <v>0</v>
      </c>
      <c r="N531">
        <v>0</v>
      </c>
      <c r="O531">
        <v>0</v>
      </c>
      <c r="P531">
        <v>0</v>
      </c>
      <c r="Q531">
        <v>1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1</v>
      </c>
      <c r="AA531" s="86">
        <f>AVERAGEIFS($C$2:C531, $B$2:B531, B531)</f>
        <v>24.888888888888889</v>
      </c>
      <c r="AB531" s="86">
        <f>AVERAGEIFS($I$2:I531, $B$2:B531, B531)</f>
        <v>0.48888888888888893</v>
      </c>
      <c r="AC531" s="86">
        <f>AVERAGEIFS($J$2:J531, $B$2:B531, B531)</f>
        <v>0.48944444444444435</v>
      </c>
      <c r="AD531" s="86">
        <f>AVERAGEIFS($D$2:D531, $B$2:B531, B531)</f>
        <v>0.44444444444444442</v>
      </c>
    </row>
    <row r="532" spans="1:30" x14ac:dyDescent="0.25">
      <c r="A532" s="85">
        <v>46117</v>
      </c>
      <c r="B532" t="s">
        <v>141</v>
      </c>
      <c r="C532">
        <v>17</v>
      </c>
      <c r="D532" s="86">
        <v>1</v>
      </c>
      <c r="E532">
        <v>3</v>
      </c>
      <c r="F532">
        <v>3</v>
      </c>
      <c r="G532">
        <v>13</v>
      </c>
      <c r="H532">
        <v>9</v>
      </c>
      <c r="I532">
        <v>1</v>
      </c>
      <c r="J532">
        <v>0.69</v>
      </c>
      <c r="K532">
        <v>0</v>
      </c>
      <c r="L532">
        <v>1</v>
      </c>
      <c r="M532">
        <v>0</v>
      </c>
      <c r="N532">
        <v>0</v>
      </c>
      <c r="O532">
        <v>0</v>
      </c>
      <c r="P532">
        <v>0</v>
      </c>
      <c r="Q532">
        <v>1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1</v>
      </c>
      <c r="AA532" s="86">
        <f>AVERAGEIFS($C$2:C532, $B$2:B532, B532)</f>
        <v>17</v>
      </c>
      <c r="AB532" s="86">
        <f>AVERAGEIFS($I$2:I532, $B$2:B532, B532)</f>
        <v>0.6</v>
      </c>
      <c r="AC532" s="86">
        <f>AVERAGEIFS($J$2:J532, $B$2:B532, B532)</f>
        <v>0.51666666666666661</v>
      </c>
      <c r="AD532" s="86">
        <f>AVERAGEIFS($D$2:D532, $B$2:B532, B532)</f>
        <v>0.33333333333333331</v>
      </c>
    </row>
    <row r="533" spans="1:30" x14ac:dyDescent="0.25">
      <c r="A533" s="85">
        <v>46117</v>
      </c>
      <c r="B533" t="s">
        <v>148</v>
      </c>
      <c r="C533">
        <v>16</v>
      </c>
      <c r="D533" s="86">
        <v>1</v>
      </c>
      <c r="E533">
        <v>3</v>
      </c>
      <c r="F533">
        <v>3</v>
      </c>
      <c r="G533">
        <v>13</v>
      </c>
      <c r="H533">
        <v>9</v>
      </c>
      <c r="I533">
        <v>1</v>
      </c>
      <c r="J533">
        <v>0.69</v>
      </c>
      <c r="K533">
        <v>0</v>
      </c>
      <c r="L533">
        <v>1</v>
      </c>
      <c r="M533">
        <v>0</v>
      </c>
      <c r="N533">
        <v>0</v>
      </c>
      <c r="O533">
        <v>0</v>
      </c>
      <c r="P533">
        <v>0</v>
      </c>
      <c r="Q533">
        <v>1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1</v>
      </c>
      <c r="AA533" s="86">
        <f>AVERAGEIFS($C$2:C533, $B$2:B533, B533)</f>
        <v>14.25</v>
      </c>
      <c r="AB533" s="86">
        <f>AVERAGEIFS($I$2:I533, $B$2:B533, B533)</f>
        <v>0.60624999999999996</v>
      </c>
      <c r="AC533" s="86">
        <f>AVERAGEIFS($J$2:J533, $B$2:B533, B533)</f>
        <v>0.55249999999999999</v>
      </c>
      <c r="AD533" s="86">
        <f>AVERAGEIFS($D$2:D533, $B$2:B533, B533)</f>
        <v>0.625</v>
      </c>
    </row>
    <row r="534" spans="1:30" x14ac:dyDescent="0.25">
      <c r="A534" s="85">
        <v>46117</v>
      </c>
      <c r="B534" t="s">
        <v>13</v>
      </c>
      <c r="C534">
        <v>14</v>
      </c>
      <c r="D534" s="86">
        <v>1</v>
      </c>
      <c r="E534">
        <v>3</v>
      </c>
      <c r="F534">
        <v>3</v>
      </c>
      <c r="G534">
        <v>13</v>
      </c>
      <c r="H534">
        <v>9</v>
      </c>
      <c r="I534">
        <v>1</v>
      </c>
      <c r="J534">
        <v>0.69</v>
      </c>
      <c r="K534">
        <v>0</v>
      </c>
      <c r="L534">
        <v>1</v>
      </c>
      <c r="M534">
        <v>0</v>
      </c>
      <c r="N534">
        <v>0</v>
      </c>
      <c r="O534">
        <v>0</v>
      </c>
      <c r="P534">
        <v>0</v>
      </c>
      <c r="Q534">
        <v>1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1</v>
      </c>
      <c r="AA534" s="86">
        <f>AVERAGEIFS($C$2:C534, $B$2:B534, B534)</f>
        <v>27.405405405405407</v>
      </c>
      <c r="AB534" s="86">
        <f>AVERAGEIFS($I$2:I534, $B$2:B534, B534)</f>
        <v>0.55675675675675673</v>
      </c>
      <c r="AC534" s="86">
        <f>AVERAGEIFS($J$2:J534, $B$2:B534, B534)</f>
        <v>0.53756756756756752</v>
      </c>
      <c r="AD534" s="86">
        <f>AVERAGEIFS($D$2:D534, $B$2:B534, B534)</f>
        <v>0.6216216216216216</v>
      </c>
    </row>
    <row r="535" spans="1:30" x14ac:dyDescent="0.25">
      <c r="A535" s="85">
        <v>46117</v>
      </c>
      <c r="B535" t="s">
        <v>17</v>
      </c>
      <c r="C535">
        <v>20</v>
      </c>
      <c r="D535" s="86">
        <v>0</v>
      </c>
      <c r="E535">
        <v>3</v>
      </c>
      <c r="F535">
        <v>0</v>
      </c>
      <c r="G535">
        <v>13</v>
      </c>
      <c r="H535">
        <v>4</v>
      </c>
      <c r="I535">
        <v>0</v>
      </c>
      <c r="J535">
        <v>0.31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 s="86">
        <f>AVERAGEIFS($C$2:C535, $B$2:B535, B535)</f>
        <v>25.911764705882351</v>
      </c>
      <c r="AB535" s="86">
        <f>AVERAGEIFS($I$2:I535, $B$2:B535, B535)</f>
        <v>0.51323529411764712</v>
      </c>
      <c r="AC535" s="86">
        <f>AVERAGEIFS($J$2:J535, $B$2:B535, B535)</f>
        <v>0.52294117647058813</v>
      </c>
      <c r="AD535" s="86">
        <f>AVERAGEIFS($D$2:D535, $B$2:B535, B535)</f>
        <v>0.41176470588235292</v>
      </c>
    </row>
    <row r="536" spans="1:30" x14ac:dyDescent="0.25">
      <c r="A536" s="85">
        <v>46117</v>
      </c>
      <c r="B536" t="s">
        <v>14</v>
      </c>
      <c r="C536">
        <v>17</v>
      </c>
      <c r="D536" s="86">
        <v>0</v>
      </c>
      <c r="E536">
        <v>3</v>
      </c>
      <c r="F536">
        <v>0</v>
      </c>
      <c r="G536">
        <v>13</v>
      </c>
      <c r="H536">
        <v>4</v>
      </c>
      <c r="I536">
        <v>0</v>
      </c>
      <c r="J536">
        <v>0.31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 s="86">
        <f>AVERAGEIFS($C$2:C536, $B$2:B536, B536)</f>
        <v>25.566666666666666</v>
      </c>
      <c r="AB536" s="86">
        <f>AVERAGEIFS($I$2:I536, $B$2:B536, B536)</f>
        <v>0.54166666666666663</v>
      </c>
      <c r="AC536" s="86">
        <f>AVERAGEIFS($J$2:J536, $B$2:B536, B536)</f>
        <v>0.51900000000000002</v>
      </c>
      <c r="AD536" s="86">
        <f>AVERAGEIFS($D$2:D536, $B$2:B536, B536)</f>
        <v>0.56666666666666665</v>
      </c>
    </row>
    <row r="537" spans="1:30" x14ac:dyDescent="0.25">
      <c r="A537" s="85">
        <v>46117</v>
      </c>
      <c r="B537" t="s">
        <v>147</v>
      </c>
      <c r="C537">
        <v>17</v>
      </c>
      <c r="D537" s="86">
        <v>0</v>
      </c>
      <c r="E537">
        <v>3</v>
      </c>
      <c r="F537">
        <v>0</v>
      </c>
      <c r="G537">
        <v>13</v>
      </c>
      <c r="H537">
        <v>4</v>
      </c>
      <c r="I537">
        <v>0</v>
      </c>
      <c r="J537">
        <v>0.31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 s="86">
        <f>AVERAGEIFS($C$2:C537, $B$2:B537, B537)</f>
        <v>17</v>
      </c>
      <c r="AB537" s="86">
        <f>AVERAGEIFS($I$2:I537, $B$2:B537, B537)</f>
        <v>0.24000000000000005</v>
      </c>
      <c r="AC537" s="86">
        <f>AVERAGEIFS($J$2:J537, $B$2:B537, B537)</f>
        <v>0.37</v>
      </c>
      <c r="AD537" s="86">
        <f>AVERAGEIFS($D$2:D537, $B$2:B537, B537)</f>
        <v>0</v>
      </c>
    </row>
    <row r="538" spans="1:30" x14ac:dyDescent="0.25">
      <c r="A538" s="85">
        <v>46117</v>
      </c>
      <c r="B538" t="s">
        <v>20</v>
      </c>
      <c r="C538">
        <v>10</v>
      </c>
      <c r="D538" s="86">
        <v>0</v>
      </c>
      <c r="E538">
        <v>3</v>
      </c>
      <c r="F538">
        <v>0</v>
      </c>
      <c r="G538">
        <v>13</v>
      </c>
      <c r="H538">
        <v>4</v>
      </c>
      <c r="I538">
        <v>0</v>
      </c>
      <c r="J538">
        <v>0.31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 s="86">
        <f>AVERAGEIFS($C$2:C538, $B$2:B538, B538)</f>
        <v>14.04</v>
      </c>
      <c r="AB538" s="86">
        <f>AVERAGEIFS($I$2:I538, $B$2:B538, B538)</f>
        <v>0.47</v>
      </c>
      <c r="AC538" s="86">
        <f>AVERAGEIFS($J$2:J538, $B$2:B538, B538)</f>
        <v>0.49000000000000005</v>
      </c>
      <c r="AD538" s="86">
        <f>AVERAGEIFS($D$2:D538, $B$2:B538, B538)</f>
        <v>0.4</v>
      </c>
    </row>
    <row r="539" spans="1:30" x14ac:dyDescent="0.25">
      <c r="A539" s="85">
        <v>46117</v>
      </c>
      <c r="B539" t="s">
        <v>29</v>
      </c>
      <c r="C539">
        <v>10</v>
      </c>
      <c r="D539" s="86">
        <v>0</v>
      </c>
      <c r="E539">
        <v>3</v>
      </c>
      <c r="F539">
        <v>0</v>
      </c>
      <c r="G539">
        <v>13</v>
      </c>
      <c r="H539">
        <v>4</v>
      </c>
      <c r="I539">
        <v>0</v>
      </c>
      <c r="J539">
        <v>0.31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 s="86">
        <f>AVERAGEIFS($C$2:C539, $B$2:B539, B539)</f>
        <v>10.321428571428571</v>
      </c>
      <c r="AB539" s="86">
        <f>AVERAGEIFS($I$2:I539, $B$2:B539, B539)</f>
        <v>0.50714285714285723</v>
      </c>
      <c r="AC539" s="86">
        <f>AVERAGEIFS($J$2:J539, $B$2:B539, B539)</f>
        <v>0.51928571428571435</v>
      </c>
      <c r="AD539" s="86">
        <f>AVERAGEIFS($D$2:D539, $B$2:B539, B539)</f>
        <v>0.5</v>
      </c>
    </row>
    <row r="540" spans="1:30" x14ac:dyDescent="0.25">
      <c r="A540" s="85">
        <v>46117</v>
      </c>
      <c r="B540" t="s">
        <v>6</v>
      </c>
      <c r="C540">
        <v>10</v>
      </c>
      <c r="D540" s="86">
        <v>0</v>
      </c>
      <c r="E540">
        <v>3</v>
      </c>
      <c r="F540">
        <v>0</v>
      </c>
      <c r="G540">
        <v>13</v>
      </c>
      <c r="H540">
        <v>4</v>
      </c>
      <c r="I540">
        <v>0</v>
      </c>
      <c r="J540">
        <v>0.31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 s="86">
        <f>AVERAGEIFS($C$2:C540, $B$2:B540, B540)</f>
        <v>23.2</v>
      </c>
      <c r="AB540" s="86">
        <f>AVERAGEIFS($I$2:I540, $B$2:B540, B540)</f>
        <v>0.61249999999999993</v>
      </c>
      <c r="AC540" s="86">
        <f>AVERAGEIFS($J$2:J540, $B$2:B540, B540)</f>
        <v>0.54949999999999999</v>
      </c>
      <c r="AD540" s="86">
        <f>AVERAGEIFS($D$2:D540, $B$2:B540, B540)</f>
        <v>0.75</v>
      </c>
    </row>
    <row r="541" spans="1:30" x14ac:dyDescent="0.25">
      <c r="A541" s="85">
        <v>46117</v>
      </c>
      <c r="B541" t="s">
        <v>146</v>
      </c>
      <c r="C541">
        <v>6</v>
      </c>
      <c r="D541" s="86">
        <v>0</v>
      </c>
      <c r="E541">
        <v>3</v>
      </c>
      <c r="F541">
        <v>0</v>
      </c>
      <c r="G541">
        <v>13</v>
      </c>
      <c r="H541">
        <v>4</v>
      </c>
      <c r="I541">
        <v>0</v>
      </c>
      <c r="J541">
        <v>0.31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 s="86">
        <f>AVERAGEIFS($C$2:C541, $B$2:B541, B541)</f>
        <v>12.571428571428571</v>
      </c>
      <c r="AB541" s="86">
        <f>AVERAGEIFS($I$2:I541, $B$2:B541, B541)</f>
        <v>0.35714285714285715</v>
      </c>
      <c r="AC541" s="86">
        <f>AVERAGEIFS($J$2:J541, $B$2:B541, B541)</f>
        <v>0.44285714285714289</v>
      </c>
      <c r="AD541" s="86">
        <f>AVERAGEIFS($D$2:D541, $B$2:B541, B541)</f>
        <v>0.2857142857142857</v>
      </c>
    </row>
    <row r="542" spans="1:30" x14ac:dyDescent="0.25">
      <c r="A542" s="85">
        <v>46117</v>
      </c>
      <c r="B542" t="s">
        <v>42</v>
      </c>
      <c r="C542">
        <v>5</v>
      </c>
      <c r="D542" s="86">
        <v>0</v>
      </c>
      <c r="E542">
        <v>3</v>
      </c>
      <c r="F542">
        <v>0</v>
      </c>
      <c r="G542">
        <v>13</v>
      </c>
      <c r="H542">
        <v>4</v>
      </c>
      <c r="I542">
        <v>0</v>
      </c>
      <c r="J542">
        <v>0.31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 s="86">
        <f>AVERAGEIFS($C$2:C542, $B$2:B542, B542)</f>
        <v>10.571428571428571</v>
      </c>
      <c r="AB542" s="86">
        <f>AVERAGEIFS($I$2:I542, $B$2:B542, B542)</f>
        <v>0.34285714285714286</v>
      </c>
      <c r="AC542" s="86">
        <f>AVERAGEIFS($J$2:J542, $B$2:B542, B542)</f>
        <v>0.40857142857142864</v>
      </c>
      <c r="AD542" s="86">
        <f>AVERAGEIFS($D$2:D542, $B$2:B542, B542)</f>
        <v>0.2857142857142857</v>
      </c>
    </row>
    <row r="543" spans="1:30" x14ac:dyDescent="0.25">
      <c r="A543" s="85">
        <v>46117</v>
      </c>
      <c r="B543" t="s">
        <v>154</v>
      </c>
      <c r="C543">
        <v>8</v>
      </c>
      <c r="D543" s="86">
        <v>1</v>
      </c>
      <c r="E543">
        <v>4</v>
      </c>
      <c r="F543">
        <v>3</v>
      </c>
      <c r="G543">
        <v>15</v>
      </c>
      <c r="H543">
        <v>11</v>
      </c>
      <c r="I543">
        <v>0.75</v>
      </c>
      <c r="J543">
        <v>0.73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1</v>
      </c>
      <c r="V543">
        <v>0</v>
      </c>
      <c r="W543">
        <v>0</v>
      </c>
      <c r="X543">
        <v>1</v>
      </c>
      <c r="Y543">
        <v>0</v>
      </c>
      <c r="Z543">
        <v>0</v>
      </c>
      <c r="AA543" s="86">
        <f>AVERAGEIFS($C$2:C543, $B$2:B543, B543)</f>
        <v>12.333333333333334</v>
      </c>
      <c r="AB543" s="86">
        <f>AVERAGEIFS($I$2:I543, $B$2:B543, B543)</f>
        <v>0.53333333333333333</v>
      </c>
      <c r="AC543" s="86">
        <f>AVERAGEIFS($J$2:J543, $B$2:B543, B543)</f>
        <v>0.52</v>
      </c>
      <c r="AD543" s="86">
        <f>AVERAGEIFS($D$2:D543, $B$2:B543, B543)</f>
        <v>0.66666666666666663</v>
      </c>
    </row>
    <row r="544" spans="1:30" x14ac:dyDescent="0.25">
      <c r="A544" s="85">
        <v>46117</v>
      </c>
      <c r="B544" t="s">
        <v>13</v>
      </c>
      <c r="C544">
        <v>24</v>
      </c>
      <c r="D544" s="86">
        <v>1</v>
      </c>
      <c r="E544">
        <v>4</v>
      </c>
      <c r="F544">
        <v>3</v>
      </c>
      <c r="G544">
        <v>15</v>
      </c>
      <c r="H544">
        <v>11</v>
      </c>
      <c r="I544">
        <v>0.75</v>
      </c>
      <c r="J544">
        <v>0.73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1</v>
      </c>
      <c r="V544">
        <v>0</v>
      </c>
      <c r="W544">
        <v>0</v>
      </c>
      <c r="X544">
        <v>1</v>
      </c>
      <c r="Y544">
        <v>0</v>
      </c>
      <c r="Z544">
        <v>0</v>
      </c>
      <c r="AA544" s="86">
        <f>AVERAGEIFS($C$2:C544, $B$2:B544, B544)</f>
        <v>27.315789473684209</v>
      </c>
      <c r="AB544" s="86">
        <f>AVERAGEIFS($I$2:I544, $B$2:B544, B544)</f>
        <v>0.56184210526315781</v>
      </c>
      <c r="AC544" s="86">
        <f>AVERAGEIFS($J$2:J544, $B$2:B544, B544)</f>
        <v>0.54263157894736835</v>
      </c>
      <c r="AD544" s="86">
        <f>AVERAGEIFS($D$2:D544, $B$2:B544, B544)</f>
        <v>0.63157894736842102</v>
      </c>
    </row>
    <row r="545" spans="1:30" x14ac:dyDescent="0.25">
      <c r="A545" s="85">
        <v>46117</v>
      </c>
      <c r="B545" t="s">
        <v>18</v>
      </c>
      <c r="C545">
        <v>28</v>
      </c>
      <c r="D545" s="86">
        <v>1</v>
      </c>
      <c r="E545">
        <v>4</v>
      </c>
      <c r="F545">
        <v>3</v>
      </c>
      <c r="G545">
        <v>15</v>
      </c>
      <c r="H545">
        <v>11</v>
      </c>
      <c r="I545">
        <v>0.75</v>
      </c>
      <c r="J545">
        <v>0.73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1</v>
      </c>
      <c r="V545">
        <v>0</v>
      </c>
      <c r="W545">
        <v>0</v>
      </c>
      <c r="X545">
        <v>1</v>
      </c>
      <c r="Y545">
        <v>0</v>
      </c>
      <c r="Z545">
        <v>0</v>
      </c>
      <c r="AA545" s="86">
        <f>AVERAGEIFS($C$2:C545, $B$2:B545, B545)</f>
        <v>25.05263157894737</v>
      </c>
      <c r="AB545" s="86">
        <f>AVERAGEIFS($I$2:I545, $B$2:B545, B545)</f>
        <v>0.50263157894736843</v>
      </c>
      <c r="AC545" s="86">
        <f>AVERAGEIFS($J$2:J545, $B$2:B545, B545)</f>
        <v>0.50210526315789472</v>
      </c>
      <c r="AD545" s="86">
        <f>AVERAGEIFS($D$2:D545, $B$2:B545, B545)</f>
        <v>0.47368421052631576</v>
      </c>
    </row>
    <row r="546" spans="1:30" x14ac:dyDescent="0.25">
      <c r="A546" s="85">
        <v>46117</v>
      </c>
      <c r="B546" t="s">
        <v>27</v>
      </c>
      <c r="C546">
        <v>14</v>
      </c>
      <c r="D546" s="86">
        <v>1</v>
      </c>
      <c r="E546">
        <v>4</v>
      </c>
      <c r="F546">
        <v>3</v>
      </c>
      <c r="G546">
        <v>15</v>
      </c>
      <c r="H546">
        <v>11</v>
      </c>
      <c r="I546">
        <v>0.75</v>
      </c>
      <c r="J546">
        <v>0.73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1</v>
      </c>
      <c r="V546">
        <v>0</v>
      </c>
      <c r="W546">
        <v>0</v>
      </c>
      <c r="X546">
        <v>1</v>
      </c>
      <c r="Y546">
        <v>0</v>
      </c>
      <c r="Z546">
        <v>0</v>
      </c>
      <c r="AA546" s="86">
        <f>AVERAGEIFS($C$2:C546, $B$2:B546, B546)</f>
        <v>13.888888888888889</v>
      </c>
      <c r="AB546" s="86">
        <f>AVERAGEIFS($I$2:I546, $B$2:B546, B546)</f>
        <v>0.46944444444444439</v>
      </c>
      <c r="AC546" s="86">
        <f>AVERAGEIFS($J$2:J546, $B$2:B546, B546)</f>
        <v>0.48555555555555557</v>
      </c>
      <c r="AD546" s="86">
        <f>AVERAGEIFS($D$2:D546, $B$2:B546, B546)</f>
        <v>0.5</v>
      </c>
    </row>
    <row r="547" spans="1:30" x14ac:dyDescent="0.25">
      <c r="A547" s="85">
        <v>46117</v>
      </c>
      <c r="B547" t="s">
        <v>15</v>
      </c>
      <c r="C547">
        <v>19</v>
      </c>
      <c r="D547" s="86">
        <v>1</v>
      </c>
      <c r="E547">
        <v>4</v>
      </c>
      <c r="F547">
        <v>3</v>
      </c>
      <c r="G547">
        <v>15</v>
      </c>
      <c r="H547">
        <v>11</v>
      </c>
      <c r="I547">
        <v>0.75</v>
      </c>
      <c r="J547">
        <v>0.73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1</v>
      </c>
      <c r="V547">
        <v>0</v>
      </c>
      <c r="W547">
        <v>0</v>
      </c>
      <c r="X547">
        <v>1</v>
      </c>
      <c r="Y547">
        <v>0</v>
      </c>
      <c r="Z547">
        <v>0</v>
      </c>
      <c r="AA547" s="86">
        <f>AVERAGEIFS($C$2:C547, $B$2:B547, B547)</f>
        <v>25.26923076923077</v>
      </c>
      <c r="AB547" s="86">
        <f>AVERAGEIFS($I$2:I547, $B$2:B547, B547)</f>
        <v>0.4653846153846154</v>
      </c>
      <c r="AC547" s="86">
        <f>AVERAGEIFS($J$2:J547, $B$2:B547, B547)</f>
        <v>0.48615384615384627</v>
      </c>
      <c r="AD547" s="86">
        <f>AVERAGEIFS($D$2:D547, $B$2:B547, B547)</f>
        <v>0.34615384615384615</v>
      </c>
    </row>
    <row r="548" spans="1:30" x14ac:dyDescent="0.25">
      <c r="A548" s="85">
        <v>46117</v>
      </c>
      <c r="B548" t="s">
        <v>150</v>
      </c>
      <c r="C548">
        <v>9</v>
      </c>
      <c r="D548" s="86">
        <v>1</v>
      </c>
      <c r="E548">
        <v>4</v>
      </c>
      <c r="F548">
        <v>3</v>
      </c>
      <c r="G548">
        <v>15</v>
      </c>
      <c r="H548">
        <v>11</v>
      </c>
      <c r="I548">
        <v>0.75</v>
      </c>
      <c r="J548">
        <v>0.73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1</v>
      </c>
      <c r="V548">
        <v>0</v>
      </c>
      <c r="W548">
        <v>0</v>
      </c>
      <c r="X548">
        <v>1</v>
      </c>
      <c r="Y548">
        <v>0</v>
      </c>
      <c r="Z548">
        <v>0</v>
      </c>
      <c r="AA548" s="86">
        <f>AVERAGEIFS($C$2:C548, $B$2:B548, B548)</f>
        <v>9</v>
      </c>
      <c r="AB548" s="86">
        <f>AVERAGEIFS($I$2:I548, $B$2:B548, B548)</f>
        <v>0.75</v>
      </c>
      <c r="AC548" s="86">
        <f>AVERAGEIFS($J$2:J548, $B$2:B548, B548)</f>
        <v>0.73</v>
      </c>
      <c r="AD548" s="86">
        <f>AVERAGEIFS($D$2:D548, $B$2:B548, B548)</f>
        <v>1</v>
      </c>
    </row>
    <row r="549" spans="1:30" x14ac:dyDescent="0.25">
      <c r="A549" s="85">
        <v>46117</v>
      </c>
      <c r="B549" t="s">
        <v>55</v>
      </c>
      <c r="C549">
        <v>5</v>
      </c>
      <c r="D549" s="86">
        <v>1</v>
      </c>
      <c r="E549">
        <v>4</v>
      </c>
      <c r="F549">
        <v>3</v>
      </c>
      <c r="G549">
        <v>15</v>
      </c>
      <c r="H549">
        <v>11</v>
      </c>
      <c r="I549">
        <v>0.75</v>
      </c>
      <c r="J549">
        <v>0.73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1</v>
      </c>
      <c r="V549">
        <v>0</v>
      </c>
      <c r="W549">
        <v>0</v>
      </c>
      <c r="X549">
        <v>1</v>
      </c>
      <c r="Y549">
        <v>0</v>
      </c>
      <c r="Z549">
        <v>0</v>
      </c>
      <c r="AA549" s="86">
        <f>AVERAGEIFS($C$2:C549, $B$2:B549, B549)</f>
        <v>9.0909090909090917</v>
      </c>
      <c r="AB549" s="86">
        <f>AVERAGEIFS($I$2:I549, $B$2:B549, B549)</f>
        <v>0.57727272727272727</v>
      </c>
      <c r="AC549" s="86">
        <f>AVERAGEIFS($J$2:J549, $B$2:B549, B549)</f>
        <v>0.54909090909090918</v>
      </c>
      <c r="AD549" s="86">
        <f>AVERAGEIFS($D$2:D549, $B$2:B549, B549)</f>
        <v>0.63636363636363635</v>
      </c>
    </row>
    <row r="550" spans="1:30" x14ac:dyDescent="0.25">
      <c r="A550" s="85">
        <v>46117</v>
      </c>
      <c r="B550" t="s">
        <v>148</v>
      </c>
      <c r="C550">
        <v>11</v>
      </c>
      <c r="D550" s="86">
        <v>1</v>
      </c>
      <c r="E550">
        <v>4</v>
      </c>
      <c r="F550">
        <v>3</v>
      </c>
      <c r="G550">
        <v>15</v>
      </c>
      <c r="H550">
        <v>11</v>
      </c>
      <c r="I550">
        <v>0.75</v>
      </c>
      <c r="J550">
        <v>0.73</v>
      </c>
      <c r="K550">
        <v>0</v>
      </c>
      <c r="L550">
        <v>0</v>
      </c>
      <c r="M550">
        <v>0</v>
      </c>
      <c r="N550">
        <v>1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1</v>
      </c>
      <c r="V550">
        <v>0</v>
      </c>
      <c r="W550">
        <v>0</v>
      </c>
      <c r="X550">
        <v>1</v>
      </c>
      <c r="Y550">
        <v>0</v>
      </c>
      <c r="Z550">
        <v>0</v>
      </c>
      <c r="AA550" s="86">
        <f>AVERAGEIFS($C$2:C550, $B$2:B550, B550)</f>
        <v>13.888888888888889</v>
      </c>
      <c r="AB550" s="86">
        <f>AVERAGEIFS($I$2:I550, $B$2:B550, B550)</f>
        <v>0.62222222222222223</v>
      </c>
      <c r="AC550" s="86">
        <f>AVERAGEIFS($J$2:J550, $B$2:B550, B550)</f>
        <v>0.5722222222222223</v>
      </c>
      <c r="AD550" s="86">
        <f>AVERAGEIFS($D$2:D550, $B$2:B550, B550)</f>
        <v>0.66666666666666663</v>
      </c>
    </row>
    <row r="551" spans="1:30" x14ac:dyDescent="0.25">
      <c r="A551" s="85">
        <v>46117</v>
      </c>
      <c r="B551" t="s">
        <v>35</v>
      </c>
      <c r="C551">
        <v>9</v>
      </c>
      <c r="D551" s="86">
        <v>0</v>
      </c>
      <c r="E551">
        <v>4</v>
      </c>
      <c r="F551">
        <v>1</v>
      </c>
      <c r="G551">
        <v>15</v>
      </c>
      <c r="H551">
        <v>4</v>
      </c>
      <c r="I551">
        <v>0.25</v>
      </c>
      <c r="J551">
        <v>0.27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1</v>
      </c>
      <c r="AA551" s="86">
        <f>AVERAGEIFS($C$2:C551, $B$2:B551, B551)</f>
        <v>11.3125</v>
      </c>
      <c r="AB551" s="86">
        <f>AVERAGEIFS($I$2:I551, $B$2:B551, B551)</f>
        <v>0.47187499999999999</v>
      </c>
      <c r="AC551" s="86">
        <f>AVERAGEIFS($J$2:J551, $B$2:B551, B551)</f>
        <v>0.49312500000000004</v>
      </c>
      <c r="AD551" s="86">
        <f>AVERAGEIFS($D$2:D551, $B$2:B551, B551)</f>
        <v>0.5625</v>
      </c>
    </row>
    <row r="552" spans="1:30" x14ac:dyDescent="0.25">
      <c r="A552" s="85">
        <v>46117</v>
      </c>
      <c r="B552" t="s">
        <v>25</v>
      </c>
      <c r="C552">
        <v>19</v>
      </c>
      <c r="D552" s="86">
        <v>0</v>
      </c>
      <c r="E552">
        <v>4</v>
      </c>
      <c r="F552">
        <v>1</v>
      </c>
      <c r="G552">
        <v>15</v>
      </c>
      <c r="H552">
        <v>4</v>
      </c>
      <c r="I552">
        <v>0.25</v>
      </c>
      <c r="J552">
        <v>0.27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1</v>
      </c>
      <c r="AA552" s="86">
        <f>AVERAGEIFS($C$2:C552, $B$2:B552, B552)</f>
        <v>16.133333333333333</v>
      </c>
      <c r="AB552" s="86">
        <f>AVERAGEIFS($I$2:I552, $B$2:B552, B552)</f>
        <v>0.60333333333333339</v>
      </c>
      <c r="AC552" s="86">
        <f>AVERAGEIFS($J$2:J552, $B$2:B552, B552)</f>
        <v>0.53999999999999992</v>
      </c>
      <c r="AD552" s="86">
        <f>AVERAGEIFS($D$2:D552, $B$2:B552, B552)</f>
        <v>0.53333333333333333</v>
      </c>
    </row>
    <row r="553" spans="1:30" x14ac:dyDescent="0.25">
      <c r="A553" s="85">
        <v>46117</v>
      </c>
      <c r="B553" t="s">
        <v>26</v>
      </c>
      <c r="C553">
        <v>6</v>
      </c>
      <c r="D553" s="86">
        <v>0</v>
      </c>
      <c r="E553">
        <v>4</v>
      </c>
      <c r="F553">
        <v>1</v>
      </c>
      <c r="G553">
        <v>15</v>
      </c>
      <c r="H553">
        <v>4</v>
      </c>
      <c r="I553">
        <v>0.25</v>
      </c>
      <c r="J553">
        <v>0.27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1</v>
      </c>
      <c r="AA553" s="86">
        <f>AVERAGEIFS($C$2:C553, $B$2:B553, B553)</f>
        <v>11.791666666666666</v>
      </c>
      <c r="AB553" s="86">
        <f>AVERAGEIFS($I$2:I553, $B$2:B553, B553)</f>
        <v>0.6645833333333333</v>
      </c>
      <c r="AC553" s="86">
        <f>AVERAGEIFS($J$2:J553, $B$2:B553, B553)</f>
        <v>0.58124999999999993</v>
      </c>
      <c r="AD553" s="86">
        <f>AVERAGEIFS($D$2:D553, $B$2:B553, B553)</f>
        <v>0.75</v>
      </c>
    </row>
    <row r="554" spans="1:30" x14ac:dyDescent="0.25">
      <c r="A554" s="85">
        <v>46117</v>
      </c>
      <c r="B554" t="s">
        <v>45</v>
      </c>
      <c r="C554">
        <v>11</v>
      </c>
      <c r="D554" s="86">
        <v>0</v>
      </c>
      <c r="E554">
        <v>4</v>
      </c>
      <c r="F554">
        <v>1</v>
      </c>
      <c r="G554">
        <v>15</v>
      </c>
      <c r="H554">
        <v>4</v>
      </c>
      <c r="I554">
        <v>0.25</v>
      </c>
      <c r="J554">
        <v>0.27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1</v>
      </c>
      <c r="AA554" s="86">
        <f>AVERAGEIFS($C$2:C554, $B$2:B554, B554)</f>
        <v>12.176470588235293</v>
      </c>
      <c r="AB554" s="86">
        <f>AVERAGEIFS($I$2:I554, $B$2:B554, B554)</f>
        <v>0.43823529411764711</v>
      </c>
      <c r="AC554" s="86">
        <f>AVERAGEIFS($J$2:J554, $B$2:B554, B554)</f>
        <v>0.4747058823529412</v>
      </c>
      <c r="AD554" s="86">
        <f>AVERAGEIFS($D$2:D554, $B$2:B554, B554)</f>
        <v>0.35294117647058826</v>
      </c>
    </row>
    <row r="555" spans="1:30" x14ac:dyDescent="0.25">
      <c r="A555" s="85">
        <v>46117</v>
      </c>
      <c r="B555" t="s">
        <v>155</v>
      </c>
      <c r="C555">
        <v>18</v>
      </c>
      <c r="D555" s="86">
        <v>0</v>
      </c>
      <c r="E555">
        <v>4</v>
      </c>
      <c r="F555">
        <v>1</v>
      </c>
      <c r="G555">
        <v>15</v>
      </c>
      <c r="H555">
        <v>4</v>
      </c>
      <c r="I555">
        <v>0.25</v>
      </c>
      <c r="J555">
        <v>0.27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1</v>
      </c>
      <c r="AA555" s="86">
        <f>AVERAGEIFS($C$2:C555, $B$2:B555, B555)</f>
        <v>15</v>
      </c>
      <c r="AB555" s="86">
        <f>AVERAGEIFS($I$2:I555, $B$2:B555, B555)</f>
        <v>0.5</v>
      </c>
      <c r="AC555" s="86">
        <f>AVERAGEIFS($J$2:J555, $B$2:B555, B555)</f>
        <v>0.51500000000000001</v>
      </c>
      <c r="AD555" s="86">
        <f>AVERAGEIFS($D$2:D555, $B$2:B555, B555)</f>
        <v>0.5</v>
      </c>
    </row>
    <row r="556" spans="1:30" x14ac:dyDescent="0.25">
      <c r="A556" s="85">
        <v>46117</v>
      </c>
      <c r="B556" t="s">
        <v>19</v>
      </c>
      <c r="C556">
        <v>10</v>
      </c>
      <c r="D556" s="86">
        <v>0</v>
      </c>
      <c r="E556">
        <v>4</v>
      </c>
      <c r="F556">
        <v>1</v>
      </c>
      <c r="G556">
        <v>15</v>
      </c>
      <c r="H556">
        <v>4</v>
      </c>
      <c r="I556">
        <v>0.25</v>
      </c>
      <c r="J556">
        <v>0.27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1</v>
      </c>
      <c r="AA556" s="86">
        <f>AVERAGEIFS($C$2:C556, $B$2:B556, B556)</f>
        <v>11.892857142857142</v>
      </c>
      <c r="AB556" s="86">
        <f>AVERAGEIFS($I$2:I556, $B$2:B556, B556)</f>
        <v>0.37857142857142856</v>
      </c>
      <c r="AC556" s="86">
        <f>AVERAGEIFS($J$2:J556, $B$2:B556, B556)</f>
        <v>0.43392857142857144</v>
      </c>
      <c r="AD556" s="86">
        <f>AVERAGEIFS($D$2:D556, $B$2:B556, B556)</f>
        <v>0.35714285714285715</v>
      </c>
    </row>
    <row r="557" spans="1:30" x14ac:dyDescent="0.25">
      <c r="A557" s="85">
        <v>46117</v>
      </c>
      <c r="B557" t="s">
        <v>139</v>
      </c>
      <c r="C557">
        <v>7</v>
      </c>
      <c r="D557" s="86">
        <v>0</v>
      </c>
      <c r="E557">
        <v>4</v>
      </c>
      <c r="F557">
        <v>1</v>
      </c>
      <c r="G557">
        <v>15</v>
      </c>
      <c r="H557">
        <v>4</v>
      </c>
      <c r="I557">
        <v>0.25</v>
      </c>
      <c r="J557">
        <v>0.27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1</v>
      </c>
      <c r="AA557" s="86">
        <f>AVERAGEIFS($C$2:C557, $B$2:B557, B557)</f>
        <v>10.166666666666666</v>
      </c>
      <c r="AB557" s="86">
        <f>AVERAGEIFS($I$2:I557, $B$2:B557, B557)</f>
        <v>0.54166666666666663</v>
      </c>
      <c r="AC557" s="86">
        <f>AVERAGEIFS($J$2:J557, $B$2:B557, B557)</f>
        <v>0.505</v>
      </c>
      <c r="AD557" s="86">
        <f>AVERAGEIFS($D$2:D557, $B$2:B557, B557)</f>
        <v>0.5</v>
      </c>
    </row>
    <row r="558" spans="1:30" x14ac:dyDescent="0.25">
      <c r="A558" s="85">
        <v>46117</v>
      </c>
      <c r="B558" t="s">
        <v>17</v>
      </c>
      <c r="C558">
        <v>10</v>
      </c>
      <c r="D558" s="86">
        <v>0</v>
      </c>
      <c r="E558">
        <v>4</v>
      </c>
      <c r="F558">
        <v>1</v>
      </c>
      <c r="G558">
        <v>15</v>
      </c>
      <c r="H558">
        <v>4</v>
      </c>
      <c r="I558">
        <v>0.25</v>
      </c>
      <c r="J558">
        <v>0.27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1</v>
      </c>
      <c r="AA558" s="86">
        <f>AVERAGEIFS($C$2:C558, $B$2:B558, B558)</f>
        <v>25.457142857142856</v>
      </c>
      <c r="AB558" s="86">
        <f>AVERAGEIFS($I$2:I558, $B$2:B558, B558)</f>
        <v>0.50571428571428578</v>
      </c>
      <c r="AC558" s="86">
        <f>AVERAGEIFS($J$2:J558, $B$2:B558, B558)</f>
        <v>0.51571428571428568</v>
      </c>
      <c r="AD558" s="86">
        <f>AVERAGEIFS($D$2:D558, $B$2:B558, B558)</f>
        <v>0.4</v>
      </c>
    </row>
    <row r="559" spans="1:30" x14ac:dyDescent="0.25">
      <c r="A559" s="85">
        <v>46118</v>
      </c>
      <c r="B559" t="s">
        <v>154</v>
      </c>
      <c r="C559">
        <v>8</v>
      </c>
      <c r="D559" s="86">
        <v>1</v>
      </c>
      <c r="E559">
        <v>4</v>
      </c>
      <c r="F559">
        <v>3</v>
      </c>
      <c r="G559">
        <v>14</v>
      </c>
      <c r="H559">
        <v>9</v>
      </c>
      <c r="I559">
        <v>0.75</v>
      </c>
      <c r="J559">
        <v>0.64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1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1</v>
      </c>
      <c r="X559">
        <v>0</v>
      </c>
      <c r="Y559">
        <v>1</v>
      </c>
      <c r="Z559">
        <v>0</v>
      </c>
      <c r="AA559" s="86">
        <f>AVERAGEIFS($C$2:C559, $B$2:B559, B559)</f>
        <v>11.25</v>
      </c>
      <c r="AB559" s="86">
        <f>AVERAGEIFS($I$2:I559, $B$2:B559, B559)</f>
        <v>0.58750000000000002</v>
      </c>
      <c r="AC559" s="86">
        <f>AVERAGEIFS($J$2:J559, $B$2:B559, B559)</f>
        <v>0.55000000000000004</v>
      </c>
      <c r="AD559" s="86">
        <f>AVERAGEIFS($D$2:D559, $B$2:B559, B559)</f>
        <v>0.75</v>
      </c>
    </row>
    <row r="560" spans="1:30" x14ac:dyDescent="0.25">
      <c r="A560" s="85">
        <v>46118</v>
      </c>
      <c r="B560" t="s">
        <v>13</v>
      </c>
      <c r="C560">
        <v>31</v>
      </c>
      <c r="D560" s="86">
        <v>1</v>
      </c>
      <c r="E560">
        <v>4</v>
      </c>
      <c r="F560">
        <v>3</v>
      </c>
      <c r="G560">
        <v>14</v>
      </c>
      <c r="H560">
        <v>9</v>
      </c>
      <c r="I560">
        <v>0.75</v>
      </c>
      <c r="J560">
        <v>0.64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1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1</v>
      </c>
      <c r="X560">
        <v>0</v>
      </c>
      <c r="Y560">
        <v>1</v>
      </c>
      <c r="Z560">
        <v>0</v>
      </c>
      <c r="AA560" s="86">
        <f>AVERAGEIFS($C$2:C560, $B$2:B560, B560)</f>
        <v>27.410256410256409</v>
      </c>
      <c r="AB560" s="86">
        <f>AVERAGEIFS($I$2:I560, $B$2:B560, B560)</f>
        <v>0.56666666666666665</v>
      </c>
      <c r="AC560" s="86">
        <f>AVERAGEIFS($J$2:J560, $B$2:B560, B560)</f>
        <v>0.54512820512820503</v>
      </c>
      <c r="AD560" s="86">
        <f>AVERAGEIFS($D$2:D560, $B$2:B560, B560)</f>
        <v>0.64102564102564108</v>
      </c>
    </row>
    <row r="561" spans="1:30" x14ac:dyDescent="0.25">
      <c r="A561" s="85">
        <v>46118</v>
      </c>
      <c r="B561" t="s">
        <v>18</v>
      </c>
      <c r="C561">
        <v>28</v>
      </c>
      <c r="D561" s="86">
        <v>1</v>
      </c>
      <c r="E561">
        <v>4</v>
      </c>
      <c r="F561">
        <v>3</v>
      </c>
      <c r="G561">
        <v>14</v>
      </c>
      <c r="H561">
        <v>9</v>
      </c>
      <c r="I561">
        <v>0.75</v>
      </c>
      <c r="J561">
        <v>0.64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1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1</v>
      </c>
      <c r="X561">
        <v>0</v>
      </c>
      <c r="Y561">
        <v>1</v>
      </c>
      <c r="Z561">
        <v>0</v>
      </c>
      <c r="AA561" s="86">
        <f>AVERAGEIFS($C$2:C561, $B$2:B561, B561)</f>
        <v>25.2</v>
      </c>
      <c r="AB561" s="86">
        <f>AVERAGEIFS($I$2:I561, $B$2:B561, B561)</f>
        <v>0.51500000000000001</v>
      </c>
      <c r="AC561" s="86">
        <f>AVERAGEIFS($J$2:J561, $B$2:B561, B561)</f>
        <v>0.50900000000000001</v>
      </c>
      <c r="AD561" s="86">
        <f>AVERAGEIFS($D$2:D561, $B$2:B561, B561)</f>
        <v>0.5</v>
      </c>
    </row>
    <row r="562" spans="1:30" x14ac:dyDescent="0.25">
      <c r="A562" s="85">
        <v>46118</v>
      </c>
      <c r="B562" t="s">
        <v>27</v>
      </c>
      <c r="C562">
        <v>10</v>
      </c>
      <c r="D562" s="86">
        <v>1</v>
      </c>
      <c r="E562">
        <v>4</v>
      </c>
      <c r="F562">
        <v>3</v>
      </c>
      <c r="G562">
        <v>14</v>
      </c>
      <c r="H562">
        <v>9</v>
      </c>
      <c r="I562">
        <v>0.75</v>
      </c>
      <c r="J562">
        <v>0.64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1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1</v>
      </c>
      <c r="X562">
        <v>0</v>
      </c>
      <c r="Y562">
        <v>1</v>
      </c>
      <c r="Z562">
        <v>0</v>
      </c>
      <c r="AA562" s="86">
        <f>AVERAGEIFS($C$2:C562, $B$2:B562, B562)</f>
        <v>13.684210526315789</v>
      </c>
      <c r="AB562" s="86">
        <f>AVERAGEIFS($I$2:I562, $B$2:B562, B562)</f>
        <v>0.48421052631578942</v>
      </c>
      <c r="AC562" s="86">
        <f>AVERAGEIFS($J$2:J562, $B$2:B562, B562)</f>
        <v>0.49368421052631584</v>
      </c>
      <c r="AD562" s="86">
        <f>AVERAGEIFS($D$2:D562, $B$2:B562, B562)</f>
        <v>0.52631578947368418</v>
      </c>
    </row>
    <row r="563" spans="1:30" x14ac:dyDescent="0.25">
      <c r="A563" s="85">
        <v>46118</v>
      </c>
      <c r="B563" t="s">
        <v>148</v>
      </c>
      <c r="C563">
        <v>14</v>
      </c>
      <c r="D563" s="86">
        <v>1</v>
      </c>
      <c r="E563">
        <v>4</v>
      </c>
      <c r="F563">
        <v>3</v>
      </c>
      <c r="G563">
        <v>14</v>
      </c>
      <c r="H563">
        <v>9</v>
      </c>
      <c r="I563">
        <v>0.75</v>
      </c>
      <c r="J563">
        <v>0.64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1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1</v>
      </c>
      <c r="X563">
        <v>0</v>
      </c>
      <c r="Y563">
        <v>1</v>
      </c>
      <c r="Z563">
        <v>0</v>
      </c>
      <c r="AA563" s="86">
        <f>AVERAGEIFS($C$2:C563, $B$2:B563, B563)</f>
        <v>13.9</v>
      </c>
      <c r="AB563" s="86">
        <f>AVERAGEIFS($I$2:I563, $B$2:B563, B563)</f>
        <v>0.63500000000000001</v>
      </c>
      <c r="AC563" s="86">
        <f>AVERAGEIFS($J$2:J563, $B$2:B563, B563)</f>
        <v>0.57899999999999996</v>
      </c>
      <c r="AD563" s="86">
        <f>AVERAGEIFS($D$2:D563, $B$2:B563, B563)</f>
        <v>0.7</v>
      </c>
    </row>
    <row r="564" spans="1:30" x14ac:dyDescent="0.25">
      <c r="A564" s="85">
        <v>46118</v>
      </c>
      <c r="B564" t="s">
        <v>35</v>
      </c>
      <c r="C564">
        <v>19</v>
      </c>
      <c r="D564" s="86">
        <v>1</v>
      </c>
      <c r="E564">
        <v>4</v>
      </c>
      <c r="F564">
        <v>3</v>
      </c>
      <c r="G564">
        <v>14</v>
      </c>
      <c r="H564">
        <v>9</v>
      </c>
      <c r="I564">
        <v>0.75</v>
      </c>
      <c r="J564">
        <v>0.64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1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1</v>
      </c>
      <c r="X564">
        <v>0</v>
      </c>
      <c r="Y564">
        <v>1</v>
      </c>
      <c r="Z564">
        <v>0</v>
      </c>
      <c r="AA564" s="86">
        <f>AVERAGEIFS($C$2:C564, $B$2:B564, B564)</f>
        <v>11.764705882352942</v>
      </c>
      <c r="AB564" s="86">
        <f>AVERAGEIFS($I$2:I564, $B$2:B564, B564)</f>
        <v>0.4882352941176471</v>
      </c>
      <c r="AC564" s="86">
        <f>AVERAGEIFS($J$2:J564, $B$2:B564, B564)</f>
        <v>0.501764705882353</v>
      </c>
      <c r="AD564" s="86">
        <f>AVERAGEIFS($D$2:D564, $B$2:B564, B564)</f>
        <v>0.58823529411764708</v>
      </c>
    </row>
    <row r="565" spans="1:30" x14ac:dyDescent="0.25">
      <c r="A565" s="85">
        <v>46118</v>
      </c>
      <c r="B565" t="s">
        <v>29</v>
      </c>
      <c r="C565">
        <v>13</v>
      </c>
      <c r="D565" s="86">
        <v>1</v>
      </c>
      <c r="E565">
        <v>4</v>
      </c>
      <c r="F565">
        <v>3</v>
      </c>
      <c r="G565">
        <v>14</v>
      </c>
      <c r="H565">
        <v>9</v>
      </c>
      <c r="I565">
        <v>0.75</v>
      </c>
      <c r="J565">
        <v>0.64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1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1</v>
      </c>
      <c r="X565">
        <v>0</v>
      </c>
      <c r="Y565">
        <v>1</v>
      </c>
      <c r="Z565">
        <v>0</v>
      </c>
      <c r="AA565" s="86">
        <f>AVERAGEIFS($C$2:C565, $B$2:B565, B565)</f>
        <v>10.413793103448276</v>
      </c>
      <c r="AB565" s="86">
        <f>AVERAGEIFS($I$2:I565, $B$2:B565, B565)</f>
        <v>0.51551724137931043</v>
      </c>
      <c r="AC565" s="86">
        <f>AVERAGEIFS($J$2:J565, $B$2:B565, B565)</f>
        <v>0.52344827586206899</v>
      </c>
      <c r="AD565" s="86">
        <f>AVERAGEIFS($D$2:D565, $B$2:B565, B565)</f>
        <v>0.51724137931034486</v>
      </c>
    </row>
    <row r="566" spans="1:30" x14ac:dyDescent="0.25">
      <c r="A566" s="85">
        <v>46118</v>
      </c>
      <c r="B566" t="s">
        <v>150</v>
      </c>
      <c r="C566">
        <v>14</v>
      </c>
      <c r="D566" s="86">
        <v>1</v>
      </c>
      <c r="E566">
        <v>4</v>
      </c>
      <c r="F566">
        <v>3</v>
      </c>
      <c r="G566">
        <v>14</v>
      </c>
      <c r="H566">
        <v>9</v>
      </c>
      <c r="I566">
        <v>0.75</v>
      </c>
      <c r="J566">
        <v>0.64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1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1</v>
      </c>
      <c r="X566">
        <v>0</v>
      </c>
      <c r="Y566">
        <v>1</v>
      </c>
      <c r="Z566">
        <v>0</v>
      </c>
      <c r="AA566" s="86">
        <f>AVERAGEIFS($C$2:C566, $B$2:B566, B566)</f>
        <v>11.5</v>
      </c>
      <c r="AB566" s="86">
        <f>AVERAGEIFS($I$2:I566, $B$2:B566, B566)</f>
        <v>0.75</v>
      </c>
      <c r="AC566" s="86">
        <f>AVERAGEIFS($J$2:J566, $B$2:B566, B566)</f>
        <v>0.68500000000000005</v>
      </c>
      <c r="AD566" s="86">
        <f>AVERAGEIFS($D$2:D566, $B$2:B566, B566)</f>
        <v>1</v>
      </c>
    </row>
    <row r="567" spans="1:30" x14ac:dyDescent="0.25">
      <c r="A567" s="85">
        <v>46118</v>
      </c>
      <c r="B567" t="s">
        <v>17</v>
      </c>
      <c r="C567">
        <v>27</v>
      </c>
      <c r="D567" s="86">
        <v>0</v>
      </c>
      <c r="E567">
        <v>4</v>
      </c>
      <c r="F567">
        <v>1</v>
      </c>
      <c r="G567">
        <v>14</v>
      </c>
      <c r="H567">
        <v>5</v>
      </c>
      <c r="I567">
        <v>0.25</v>
      </c>
      <c r="J567">
        <v>0.36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1</v>
      </c>
      <c r="Y567">
        <v>0</v>
      </c>
      <c r="Z567">
        <v>0</v>
      </c>
      <c r="AA567" s="86">
        <f>AVERAGEIFS($C$2:C567, $B$2:B567, B567)</f>
        <v>25.5</v>
      </c>
      <c r="AB567" s="86">
        <f>AVERAGEIFS($I$2:I567, $B$2:B567, B567)</f>
        <v>0.49861111111111117</v>
      </c>
      <c r="AC567" s="86">
        <f>AVERAGEIFS($J$2:J567, $B$2:B567, B567)</f>
        <v>0.51138888888888878</v>
      </c>
      <c r="AD567" s="86">
        <f>AVERAGEIFS($D$2:D567, $B$2:B567, B567)</f>
        <v>0.3888888888888889</v>
      </c>
    </row>
    <row r="568" spans="1:30" x14ac:dyDescent="0.25">
      <c r="A568" s="85">
        <v>46118</v>
      </c>
      <c r="B568" t="s">
        <v>15</v>
      </c>
      <c r="C568">
        <v>32</v>
      </c>
      <c r="D568" s="86">
        <v>0</v>
      </c>
      <c r="E568">
        <v>4</v>
      </c>
      <c r="F568">
        <v>1</v>
      </c>
      <c r="G568">
        <v>14</v>
      </c>
      <c r="H568">
        <v>5</v>
      </c>
      <c r="I568">
        <v>0.25</v>
      </c>
      <c r="J568">
        <v>0.36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1</v>
      </c>
      <c r="Y568">
        <v>0</v>
      </c>
      <c r="Z568">
        <v>0</v>
      </c>
      <c r="AA568" s="86">
        <f>AVERAGEIFS($C$2:C568, $B$2:B568, B568)</f>
        <v>25.518518518518519</v>
      </c>
      <c r="AB568" s="86">
        <f>AVERAGEIFS($I$2:I568, $B$2:B568, B568)</f>
        <v>0.45740740740740737</v>
      </c>
      <c r="AC568" s="86">
        <f>AVERAGEIFS($J$2:J568, $B$2:B568, B568)</f>
        <v>0.48148148148148157</v>
      </c>
      <c r="AD568" s="86">
        <f>AVERAGEIFS($D$2:D568, $B$2:B568, B568)</f>
        <v>0.33333333333333331</v>
      </c>
    </row>
    <row r="569" spans="1:30" x14ac:dyDescent="0.25">
      <c r="A569" s="85">
        <v>46118</v>
      </c>
      <c r="B569" t="s">
        <v>25</v>
      </c>
      <c r="C569">
        <v>18</v>
      </c>
      <c r="D569" s="86">
        <v>0</v>
      </c>
      <c r="E569">
        <v>4</v>
      </c>
      <c r="F569">
        <v>1</v>
      </c>
      <c r="G569">
        <v>14</v>
      </c>
      <c r="H569">
        <v>5</v>
      </c>
      <c r="I569">
        <v>0.25</v>
      </c>
      <c r="J569">
        <v>0.36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1</v>
      </c>
      <c r="Y569">
        <v>0</v>
      </c>
      <c r="Z569">
        <v>0</v>
      </c>
      <c r="AA569" s="86">
        <f>AVERAGEIFS($C$2:C569, $B$2:B569, B569)</f>
        <v>16.25</v>
      </c>
      <c r="AB569" s="86">
        <f>AVERAGEIFS($I$2:I569, $B$2:B569, B569)</f>
        <v>0.58125000000000004</v>
      </c>
      <c r="AC569" s="86">
        <f>AVERAGEIFS($J$2:J569, $B$2:B569, B569)</f>
        <v>0.52874999999999994</v>
      </c>
      <c r="AD569" s="86">
        <f>AVERAGEIFS($D$2:D569, $B$2:B569, B569)</f>
        <v>0.5</v>
      </c>
    </row>
    <row r="570" spans="1:30" x14ac:dyDescent="0.25">
      <c r="A570" s="85">
        <v>46118</v>
      </c>
      <c r="B570" t="s">
        <v>155</v>
      </c>
      <c r="C570">
        <v>19</v>
      </c>
      <c r="D570" s="86">
        <v>0</v>
      </c>
      <c r="E570">
        <v>4</v>
      </c>
      <c r="F570">
        <v>1</v>
      </c>
      <c r="G570">
        <v>14</v>
      </c>
      <c r="H570">
        <v>5</v>
      </c>
      <c r="I570">
        <v>0.25</v>
      </c>
      <c r="J570">
        <v>0.36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1</v>
      </c>
      <c r="Y570">
        <v>0</v>
      </c>
      <c r="Z570">
        <v>0</v>
      </c>
      <c r="AA570" s="86">
        <f>AVERAGEIFS($C$2:C570, $B$2:B570, B570)</f>
        <v>15.8</v>
      </c>
      <c r="AB570" s="86">
        <f>AVERAGEIFS($I$2:I570, $B$2:B570, B570)</f>
        <v>0.45</v>
      </c>
      <c r="AC570" s="86">
        <f>AVERAGEIFS($J$2:J570, $B$2:B570, B570)</f>
        <v>0.48399999999999999</v>
      </c>
      <c r="AD570" s="86">
        <f>AVERAGEIFS($D$2:D570, $B$2:B570, B570)</f>
        <v>0.4</v>
      </c>
    </row>
    <row r="571" spans="1:30" x14ac:dyDescent="0.25">
      <c r="A571" s="85">
        <v>46118</v>
      </c>
      <c r="B571" t="s">
        <v>45</v>
      </c>
      <c r="C571">
        <v>16</v>
      </c>
      <c r="D571" s="86">
        <v>0</v>
      </c>
      <c r="E571">
        <v>4</v>
      </c>
      <c r="F571">
        <v>1</v>
      </c>
      <c r="G571">
        <v>14</v>
      </c>
      <c r="H571">
        <v>5</v>
      </c>
      <c r="I571">
        <v>0.25</v>
      </c>
      <c r="J571">
        <v>0.36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1</v>
      </c>
      <c r="Y571">
        <v>0</v>
      </c>
      <c r="Z571">
        <v>0</v>
      </c>
      <c r="AA571" s="86">
        <f>AVERAGEIFS($C$2:C571, $B$2:B571, B571)</f>
        <v>12.388888888888889</v>
      </c>
      <c r="AB571" s="86">
        <f>AVERAGEIFS($I$2:I571, $B$2:B571, B571)</f>
        <v>0.42777777777777781</v>
      </c>
      <c r="AC571" s="86">
        <f>AVERAGEIFS($J$2:J571, $B$2:B571, B571)</f>
        <v>0.46833333333333332</v>
      </c>
      <c r="AD571" s="86">
        <f>AVERAGEIFS($D$2:D571, $B$2:B571, B571)</f>
        <v>0.33333333333333331</v>
      </c>
    </row>
    <row r="572" spans="1:30" x14ac:dyDescent="0.25">
      <c r="A572" s="85">
        <v>46118</v>
      </c>
      <c r="B572" t="s">
        <v>26</v>
      </c>
      <c r="C572">
        <v>8</v>
      </c>
      <c r="D572" s="86">
        <v>0</v>
      </c>
      <c r="E572">
        <v>4</v>
      </c>
      <c r="F572">
        <v>1</v>
      </c>
      <c r="G572">
        <v>14</v>
      </c>
      <c r="H572">
        <v>5</v>
      </c>
      <c r="I572">
        <v>0.25</v>
      </c>
      <c r="J572">
        <v>0.36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1</v>
      </c>
      <c r="Y572">
        <v>0</v>
      </c>
      <c r="Z572">
        <v>0</v>
      </c>
      <c r="AA572" s="86">
        <f>AVERAGEIFS($C$2:C572, $B$2:B572, B572)</f>
        <v>11.64</v>
      </c>
      <c r="AB572" s="86">
        <f>AVERAGEIFS($I$2:I572, $B$2:B572, B572)</f>
        <v>0.64800000000000002</v>
      </c>
      <c r="AC572" s="86">
        <f>AVERAGEIFS($J$2:J572, $B$2:B572, B572)</f>
        <v>0.57239999999999991</v>
      </c>
      <c r="AD572" s="86">
        <f>AVERAGEIFS($D$2:D572, $B$2:B572, B572)</f>
        <v>0.72</v>
      </c>
    </row>
    <row r="573" spans="1:30" x14ac:dyDescent="0.25">
      <c r="A573" s="85">
        <v>46118</v>
      </c>
      <c r="B573" t="s">
        <v>139</v>
      </c>
      <c r="C573">
        <v>8</v>
      </c>
      <c r="D573" s="86">
        <v>0</v>
      </c>
      <c r="E573">
        <v>4</v>
      </c>
      <c r="F573">
        <v>1</v>
      </c>
      <c r="G573">
        <v>14</v>
      </c>
      <c r="H573">
        <v>5</v>
      </c>
      <c r="I573">
        <v>0.25</v>
      </c>
      <c r="J573">
        <v>0.36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1</v>
      </c>
      <c r="Y573">
        <v>0</v>
      </c>
      <c r="Z573">
        <v>0</v>
      </c>
      <c r="AA573" s="86">
        <f>AVERAGEIFS($C$2:C573, $B$2:B573, B573)</f>
        <v>9.8571428571428577</v>
      </c>
      <c r="AB573" s="86">
        <f>AVERAGEIFS($I$2:I573, $B$2:B573, B573)</f>
        <v>0.5</v>
      </c>
      <c r="AC573" s="86">
        <f>AVERAGEIFS($J$2:J573, $B$2:B573, B573)</f>
        <v>0.48428571428571426</v>
      </c>
      <c r="AD573" s="86">
        <f>AVERAGEIFS($D$2:D573, $B$2:B573, B573)</f>
        <v>0.42857142857142855</v>
      </c>
    </row>
    <row r="574" spans="1:30" x14ac:dyDescent="0.25">
      <c r="A574" s="85">
        <v>46118</v>
      </c>
      <c r="B574" t="s">
        <v>55</v>
      </c>
      <c r="C574">
        <v>7</v>
      </c>
      <c r="D574" s="86">
        <v>0</v>
      </c>
      <c r="E574">
        <v>4</v>
      </c>
      <c r="F574">
        <v>1</v>
      </c>
      <c r="G574">
        <v>14</v>
      </c>
      <c r="H574">
        <v>5</v>
      </c>
      <c r="I574">
        <v>0.25</v>
      </c>
      <c r="J574">
        <v>0.36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1</v>
      </c>
      <c r="Y574">
        <v>0</v>
      </c>
      <c r="Z574">
        <v>0</v>
      </c>
      <c r="AA574" s="86">
        <f>AVERAGEIFS($C$2:C574, $B$2:B574, B574)</f>
        <v>8.9166666666666661</v>
      </c>
      <c r="AB574" s="86">
        <f>AVERAGEIFS($I$2:I574, $B$2:B574, B574)</f>
        <v>0.55000000000000004</v>
      </c>
      <c r="AC574" s="86">
        <f>AVERAGEIFS($J$2:J574, $B$2:B574, B574)</f>
        <v>0.53333333333333344</v>
      </c>
      <c r="AD574" s="86">
        <f>AVERAGEIFS($D$2:D574, $B$2:B574, B574)</f>
        <v>0.58333333333333337</v>
      </c>
    </row>
    <row r="575" spans="1:30" x14ac:dyDescent="0.25">
      <c r="A575" s="85">
        <v>46120</v>
      </c>
      <c r="B575" t="s">
        <v>37</v>
      </c>
      <c r="C575">
        <v>21</v>
      </c>
      <c r="D575" s="86">
        <v>1</v>
      </c>
      <c r="E575">
        <v>4</v>
      </c>
      <c r="F575">
        <v>3</v>
      </c>
      <c r="G575">
        <v>15</v>
      </c>
      <c r="H575">
        <v>10</v>
      </c>
      <c r="I575">
        <v>0.75</v>
      </c>
      <c r="J575">
        <v>0.67</v>
      </c>
      <c r="K575">
        <v>0</v>
      </c>
      <c r="L575">
        <v>1</v>
      </c>
      <c r="M575">
        <v>0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1</v>
      </c>
      <c r="AA575" s="86">
        <f>AVERAGEIFS($C$2:C575, $B$2:B575, B575)</f>
        <v>20.166666666666668</v>
      </c>
      <c r="AB575" s="86">
        <f>AVERAGEIFS($I$2:I575, $B$2:B575, B575)</f>
        <v>0.44999999999999996</v>
      </c>
      <c r="AC575" s="86">
        <f>AVERAGEIFS($J$2:J575, $B$2:B575, B575)</f>
        <v>0.47444444444444439</v>
      </c>
      <c r="AD575" s="86">
        <f>AVERAGEIFS($D$2:D575, $B$2:B575, B575)</f>
        <v>0.44444444444444442</v>
      </c>
    </row>
    <row r="576" spans="1:30" x14ac:dyDescent="0.25">
      <c r="A576" s="85">
        <v>46120</v>
      </c>
      <c r="B576" t="s">
        <v>25</v>
      </c>
      <c r="C576">
        <v>19</v>
      </c>
      <c r="D576" s="86">
        <v>1</v>
      </c>
      <c r="E576">
        <v>4</v>
      </c>
      <c r="F576">
        <v>3</v>
      </c>
      <c r="G576">
        <v>15</v>
      </c>
      <c r="H576">
        <v>10</v>
      </c>
      <c r="I576">
        <v>0.75</v>
      </c>
      <c r="J576">
        <v>0.67</v>
      </c>
      <c r="K576">
        <v>0</v>
      </c>
      <c r="L576">
        <v>1</v>
      </c>
      <c r="M576">
        <v>0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1</v>
      </c>
      <c r="AA576" s="86">
        <f>AVERAGEIFS($C$2:C576, $B$2:B576, B576)</f>
        <v>16.411764705882351</v>
      </c>
      <c r="AB576" s="86">
        <f>AVERAGEIFS($I$2:I576, $B$2:B576, B576)</f>
        <v>0.5911764705882353</v>
      </c>
      <c r="AC576" s="86">
        <f>AVERAGEIFS($J$2:J576, $B$2:B576, B576)</f>
        <v>0.5370588235294117</v>
      </c>
      <c r="AD576" s="86">
        <f>AVERAGEIFS($D$2:D576, $B$2:B576, B576)</f>
        <v>0.52941176470588236</v>
      </c>
    </row>
    <row r="577" spans="1:30" x14ac:dyDescent="0.25">
      <c r="A577" s="85">
        <v>46120</v>
      </c>
      <c r="B577" t="s">
        <v>13</v>
      </c>
      <c r="C577">
        <v>14</v>
      </c>
      <c r="D577" s="86">
        <v>1</v>
      </c>
      <c r="E577">
        <v>4</v>
      </c>
      <c r="F577">
        <v>3</v>
      </c>
      <c r="G577">
        <v>15</v>
      </c>
      <c r="H577">
        <v>10</v>
      </c>
      <c r="I577">
        <v>0.75</v>
      </c>
      <c r="J577">
        <v>0.67</v>
      </c>
      <c r="K577">
        <v>0</v>
      </c>
      <c r="L577">
        <v>1</v>
      </c>
      <c r="M577">
        <v>0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1</v>
      </c>
      <c r="AA577" s="86">
        <f>AVERAGEIFS($C$2:C577, $B$2:B577, B577)</f>
        <v>27.074999999999999</v>
      </c>
      <c r="AB577" s="86">
        <f>AVERAGEIFS($I$2:I577, $B$2:B577, B577)</f>
        <v>0.57124999999999992</v>
      </c>
      <c r="AC577" s="86">
        <f>AVERAGEIFS($J$2:J577, $B$2:B577, B577)</f>
        <v>0.54825000000000002</v>
      </c>
      <c r="AD577" s="86">
        <f>AVERAGEIFS($D$2:D577, $B$2:B577, B577)</f>
        <v>0.65</v>
      </c>
    </row>
    <row r="578" spans="1:30" x14ac:dyDescent="0.25">
      <c r="A578" s="85">
        <v>46120</v>
      </c>
      <c r="B578" t="s">
        <v>20</v>
      </c>
      <c r="C578">
        <v>10</v>
      </c>
      <c r="D578" s="86">
        <v>1</v>
      </c>
      <c r="E578">
        <v>4</v>
      </c>
      <c r="F578">
        <v>3</v>
      </c>
      <c r="G578">
        <v>15</v>
      </c>
      <c r="H578">
        <v>10</v>
      </c>
      <c r="I578">
        <v>0.75</v>
      </c>
      <c r="J578">
        <v>0.67</v>
      </c>
      <c r="K578">
        <v>0</v>
      </c>
      <c r="L578">
        <v>1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1</v>
      </c>
      <c r="AA578" s="86">
        <f>AVERAGEIFS($C$2:C578, $B$2:B578, B578)</f>
        <v>13.884615384615385</v>
      </c>
      <c r="AB578" s="86">
        <f>AVERAGEIFS($I$2:I578, $B$2:B578, B578)</f>
        <v>0.48076923076923078</v>
      </c>
      <c r="AC578" s="86">
        <f>AVERAGEIFS($J$2:J578, $B$2:B578, B578)</f>
        <v>0.49692307692307697</v>
      </c>
      <c r="AD578" s="86">
        <f>AVERAGEIFS($D$2:D578, $B$2:B578, B578)</f>
        <v>0.42307692307692307</v>
      </c>
    </row>
    <row r="579" spans="1:30" x14ac:dyDescent="0.25">
      <c r="A579" s="85">
        <v>46120</v>
      </c>
      <c r="B579" t="s">
        <v>45</v>
      </c>
      <c r="C579">
        <v>9</v>
      </c>
      <c r="D579" s="86">
        <v>1</v>
      </c>
      <c r="E579">
        <v>4</v>
      </c>
      <c r="F579">
        <v>3</v>
      </c>
      <c r="G579">
        <v>15</v>
      </c>
      <c r="H579">
        <v>10</v>
      </c>
      <c r="I579">
        <v>0.75</v>
      </c>
      <c r="J579">
        <v>0.67</v>
      </c>
      <c r="K579">
        <v>0</v>
      </c>
      <c r="L579">
        <v>1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1</v>
      </c>
      <c r="AA579" s="86">
        <f>AVERAGEIFS($C$2:C579, $B$2:B579, B579)</f>
        <v>12.210526315789474</v>
      </c>
      <c r="AB579" s="86">
        <f>AVERAGEIFS($I$2:I579, $B$2:B579, B579)</f>
        <v>0.44473684210526321</v>
      </c>
      <c r="AC579" s="86">
        <f>AVERAGEIFS($J$2:J579, $B$2:B579, B579)</f>
        <v>0.47894736842105262</v>
      </c>
      <c r="AD579" s="86">
        <f>AVERAGEIFS($D$2:D579, $B$2:B579, B579)</f>
        <v>0.36842105263157893</v>
      </c>
    </row>
    <row r="580" spans="1:30" x14ac:dyDescent="0.25">
      <c r="A580" s="85">
        <v>46120</v>
      </c>
      <c r="B580" t="s">
        <v>19</v>
      </c>
      <c r="C580">
        <v>6</v>
      </c>
      <c r="D580" s="86">
        <v>1</v>
      </c>
      <c r="E580">
        <v>4</v>
      </c>
      <c r="F580">
        <v>3</v>
      </c>
      <c r="G580">
        <v>15</v>
      </c>
      <c r="H580">
        <v>10</v>
      </c>
      <c r="I580">
        <v>0.75</v>
      </c>
      <c r="J580">
        <v>0.67</v>
      </c>
      <c r="K580">
        <v>0</v>
      </c>
      <c r="L580">
        <v>1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1</v>
      </c>
      <c r="AA580" s="86">
        <f>AVERAGEIFS($C$2:C580, $B$2:B580, B580)</f>
        <v>11.689655172413794</v>
      </c>
      <c r="AB580" s="86">
        <f>AVERAGEIFS($I$2:I580, $B$2:B580, B580)</f>
        <v>0.39137931034482759</v>
      </c>
      <c r="AC580" s="86">
        <f>AVERAGEIFS($J$2:J580, $B$2:B580, B580)</f>
        <v>0.4420689655172414</v>
      </c>
      <c r="AD580" s="86">
        <f>AVERAGEIFS($D$2:D580, $B$2:B580, B580)</f>
        <v>0.37931034482758619</v>
      </c>
    </row>
    <row r="581" spans="1:30" x14ac:dyDescent="0.25">
      <c r="A581" s="85">
        <v>46120</v>
      </c>
      <c r="B581" t="s">
        <v>139</v>
      </c>
      <c r="C581">
        <v>5</v>
      </c>
      <c r="D581" s="86">
        <v>1</v>
      </c>
      <c r="E581">
        <v>4</v>
      </c>
      <c r="F581">
        <v>3</v>
      </c>
      <c r="G581">
        <v>15</v>
      </c>
      <c r="H581">
        <v>10</v>
      </c>
      <c r="I581">
        <v>0.75</v>
      </c>
      <c r="J581">
        <v>0.67</v>
      </c>
      <c r="K581">
        <v>0</v>
      </c>
      <c r="L581">
        <v>1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1</v>
      </c>
      <c r="AA581" s="86">
        <f>AVERAGEIFS($C$2:C581, $B$2:B581, B581)</f>
        <v>9.25</v>
      </c>
      <c r="AB581" s="86">
        <f>AVERAGEIFS($I$2:I581, $B$2:B581, B581)</f>
        <v>0.53125</v>
      </c>
      <c r="AC581" s="86">
        <f>AVERAGEIFS($J$2:J581, $B$2:B581, B581)</f>
        <v>0.50749999999999995</v>
      </c>
      <c r="AD581" s="86">
        <f>AVERAGEIFS($D$2:D581, $B$2:B581, B581)</f>
        <v>0.5</v>
      </c>
    </row>
    <row r="582" spans="1:30" x14ac:dyDescent="0.25">
      <c r="A582" s="85">
        <v>46120</v>
      </c>
      <c r="B582" t="s">
        <v>17</v>
      </c>
      <c r="C582">
        <v>22</v>
      </c>
      <c r="D582" s="86">
        <v>0</v>
      </c>
      <c r="E582">
        <v>4</v>
      </c>
      <c r="F582">
        <v>1</v>
      </c>
      <c r="G582">
        <v>15</v>
      </c>
      <c r="H582">
        <v>5</v>
      </c>
      <c r="I582">
        <v>0.25</v>
      </c>
      <c r="J582">
        <v>0.33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1</v>
      </c>
      <c r="Y582">
        <v>0</v>
      </c>
      <c r="Z582">
        <v>0</v>
      </c>
      <c r="AA582" s="86">
        <f>AVERAGEIFS($C$2:C582, $B$2:B582, B582)</f>
        <v>25.405405405405407</v>
      </c>
      <c r="AB582" s="86">
        <f>AVERAGEIFS($I$2:I582, $B$2:B582, B582)</f>
        <v>0.49189189189189197</v>
      </c>
      <c r="AC582" s="86">
        <f>AVERAGEIFS($J$2:J582, $B$2:B582, B582)</f>
        <v>0.50648648648648631</v>
      </c>
      <c r="AD582" s="86">
        <f>AVERAGEIFS($D$2:D582, $B$2:B582, B582)</f>
        <v>0.3783783783783784</v>
      </c>
    </row>
    <row r="583" spans="1:30" x14ac:dyDescent="0.25">
      <c r="A583" s="85">
        <v>46120</v>
      </c>
      <c r="B583" t="s">
        <v>15</v>
      </c>
      <c r="C583">
        <v>14</v>
      </c>
      <c r="D583" s="86">
        <v>0</v>
      </c>
      <c r="E583">
        <v>4</v>
      </c>
      <c r="F583">
        <v>1</v>
      </c>
      <c r="G583">
        <v>15</v>
      </c>
      <c r="H583">
        <v>5</v>
      </c>
      <c r="I583">
        <v>0.25</v>
      </c>
      <c r="J583">
        <v>0.33</v>
      </c>
      <c r="K583">
        <v>0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1</v>
      </c>
      <c r="Y583">
        <v>0</v>
      </c>
      <c r="Z583">
        <v>0</v>
      </c>
      <c r="AA583" s="86">
        <f>AVERAGEIFS($C$2:C583, $B$2:B583, B583)</f>
        <v>25.107142857142858</v>
      </c>
      <c r="AB583" s="86">
        <f>AVERAGEIFS($I$2:I583, $B$2:B583, B583)</f>
        <v>0.45</v>
      </c>
      <c r="AC583" s="86">
        <f>AVERAGEIFS($J$2:J583, $B$2:B583, B583)</f>
        <v>0.47607142857142865</v>
      </c>
      <c r="AD583" s="86">
        <f>AVERAGEIFS($D$2:D583, $B$2:B583, B583)</f>
        <v>0.32142857142857145</v>
      </c>
    </row>
    <row r="584" spans="1:30" x14ac:dyDescent="0.25">
      <c r="A584" s="85">
        <v>46120</v>
      </c>
      <c r="B584" t="s">
        <v>14</v>
      </c>
      <c r="C584">
        <v>10</v>
      </c>
      <c r="D584" s="86">
        <v>0</v>
      </c>
      <c r="E584">
        <v>4</v>
      </c>
      <c r="F584">
        <v>1</v>
      </c>
      <c r="G584">
        <v>15</v>
      </c>
      <c r="H584">
        <v>5</v>
      </c>
      <c r="I584">
        <v>0.25</v>
      </c>
      <c r="J584">
        <v>0.33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1</v>
      </c>
      <c r="Y584">
        <v>0</v>
      </c>
      <c r="Z584">
        <v>0</v>
      </c>
      <c r="AA584" s="86">
        <f>AVERAGEIFS($C$2:C584, $B$2:B584, B584)</f>
        <v>25.06451612903226</v>
      </c>
      <c r="AB584" s="86">
        <f>AVERAGEIFS($I$2:I584, $B$2:B584, B584)</f>
        <v>0.532258064516129</v>
      </c>
      <c r="AC584" s="86">
        <f>AVERAGEIFS($J$2:J584, $B$2:B584, B584)</f>
        <v>0.51290322580645165</v>
      </c>
      <c r="AD584" s="86">
        <f>AVERAGEIFS($D$2:D584, $B$2:B584, B584)</f>
        <v>0.54838709677419351</v>
      </c>
    </row>
    <row r="585" spans="1:30" x14ac:dyDescent="0.25">
      <c r="A585" s="85">
        <v>46120</v>
      </c>
      <c r="B585" t="s">
        <v>155</v>
      </c>
      <c r="C585">
        <v>8</v>
      </c>
      <c r="D585" s="86">
        <v>0</v>
      </c>
      <c r="E585">
        <v>4</v>
      </c>
      <c r="F585">
        <v>1</v>
      </c>
      <c r="G585">
        <v>15</v>
      </c>
      <c r="H585">
        <v>5</v>
      </c>
      <c r="I585">
        <v>0.25</v>
      </c>
      <c r="J585">
        <v>0.33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1</v>
      </c>
      <c r="Y585">
        <v>0</v>
      </c>
      <c r="Z585">
        <v>0</v>
      </c>
      <c r="AA585" s="86">
        <f>AVERAGEIFS($C$2:C585, $B$2:B585, B585)</f>
        <v>14.5</v>
      </c>
      <c r="AB585" s="86">
        <f>AVERAGEIFS($I$2:I585, $B$2:B585, B585)</f>
        <v>0.41666666666666669</v>
      </c>
      <c r="AC585" s="86">
        <f>AVERAGEIFS($J$2:J585, $B$2:B585, B585)</f>
        <v>0.45833333333333331</v>
      </c>
      <c r="AD585" s="86">
        <f>AVERAGEIFS($D$2:D585, $B$2:B585, B585)</f>
        <v>0.33333333333333331</v>
      </c>
    </row>
    <row r="586" spans="1:30" x14ac:dyDescent="0.25">
      <c r="A586" s="85">
        <v>46120</v>
      </c>
      <c r="B586" t="s">
        <v>29</v>
      </c>
      <c r="C586">
        <v>6</v>
      </c>
      <c r="D586" s="86">
        <v>0</v>
      </c>
      <c r="E586">
        <v>4</v>
      </c>
      <c r="F586">
        <v>1</v>
      </c>
      <c r="G586">
        <v>15</v>
      </c>
      <c r="H586">
        <v>5</v>
      </c>
      <c r="I586">
        <v>0.25</v>
      </c>
      <c r="J586">
        <v>0.33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1</v>
      </c>
      <c r="Y586">
        <v>0</v>
      </c>
      <c r="Z586">
        <v>0</v>
      </c>
      <c r="AA586" s="86">
        <f>AVERAGEIFS($C$2:C586, $B$2:B586, B586)</f>
        <v>10.266666666666667</v>
      </c>
      <c r="AB586" s="86">
        <f>AVERAGEIFS($I$2:I586, $B$2:B586, B586)</f>
        <v>0.50666666666666671</v>
      </c>
      <c r="AC586" s="86">
        <f>AVERAGEIFS($J$2:J586, $B$2:B586, B586)</f>
        <v>0.51700000000000002</v>
      </c>
      <c r="AD586" s="86">
        <f>AVERAGEIFS($D$2:D586, $B$2:B586, B586)</f>
        <v>0.5</v>
      </c>
    </row>
    <row r="587" spans="1:30" x14ac:dyDescent="0.25">
      <c r="A587" s="85">
        <v>46120</v>
      </c>
      <c r="B587" t="s">
        <v>35</v>
      </c>
      <c r="C587">
        <v>4</v>
      </c>
      <c r="D587" s="86">
        <v>0</v>
      </c>
      <c r="E587">
        <v>4</v>
      </c>
      <c r="F587">
        <v>1</v>
      </c>
      <c r="G587">
        <v>15</v>
      </c>
      <c r="H587">
        <v>5</v>
      </c>
      <c r="I587">
        <v>0.25</v>
      </c>
      <c r="J587">
        <v>0.33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1</v>
      </c>
      <c r="Y587">
        <v>0</v>
      </c>
      <c r="Z587">
        <v>0</v>
      </c>
      <c r="AA587" s="86">
        <f>AVERAGEIFS($C$2:C587, $B$2:B587, B587)</f>
        <v>11.333333333333334</v>
      </c>
      <c r="AB587" s="86">
        <f>AVERAGEIFS($I$2:I587, $B$2:B587, B587)</f>
        <v>0.47500000000000003</v>
      </c>
      <c r="AC587" s="86">
        <f>AVERAGEIFS($J$2:J587, $B$2:B587, B587)</f>
        <v>0.49222222222222228</v>
      </c>
      <c r="AD587" s="86">
        <f>AVERAGEIFS($D$2:D587, $B$2:B587, B587)</f>
        <v>0.55555555555555558</v>
      </c>
    </row>
    <row r="588" spans="1:30" x14ac:dyDescent="0.25">
      <c r="A588" s="85">
        <v>46120</v>
      </c>
      <c r="B588" t="s">
        <v>148</v>
      </c>
      <c r="C588">
        <v>2</v>
      </c>
      <c r="D588" s="86">
        <v>0</v>
      </c>
      <c r="E588">
        <v>4</v>
      </c>
      <c r="F588">
        <v>1</v>
      </c>
      <c r="G588">
        <v>15</v>
      </c>
      <c r="H588">
        <v>5</v>
      </c>
      <c r="I588">
        <v>0.25</v>
      </c>
      <c r="J588">
        <v>0.33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1</v>
      </c>
      <c r="Y588">
        <v>0</v>
      </c>
      <c r="Z588">
        <v>0</v>
      </c>
      <c r="AA588" s="86">
        <f>AVERAGEIFS($C$2:C588, $B$2:B588, B588)</f>
        <v>12.818181818181818</v>
      </c>
      <c r="AB588" s="86">
        <f>AVERAGEIFS($I$2:I588, $B$2:B588, B588)</f>
        <v>0.6</v>
      </c>
      <c r="AC588" s="86">
        <f>AVERAGEIFS($J$2:J588, $B$2:B588, B588)</f>
        <v>0.55636363636363639</v>
      </c>
      <c r="AD588" s="86">
        <f>AVERAGEIFS($D$2:D588, $B$2:B588, B588)</f>
        <v>0.63636363636363635</v>
      </c>
    </row>
    <row r="589" spans="1:30" x14ac:dyDescent="0.25">
      <c r="A589" s="85">
        <v>46120</v>
      </c>
      <c r="B589" t="s">
        <v>13</v>
      </c>
      <c r="C589">
        <v>31</v>
      </c>
      <c r="D589" s="86">
        <v>1</v>
      </c>
      <c r="E589">
        <v>4</v>
      </c>
      <c r="F589">
        <v>3</v>
      </c>
      <c r="G589">
        <v>16</v>
      </c>
      <c r="H589">
        <v>10</v>
      </c>
      <c r="I589">
        <v>0.75</v>
      </c>
      <c r="J589">
        <v>0.63</v>
      </c>
      <c r="K589">
        <v>1</v>
      </c>
      <c r="L589">
        <v>0</v>
      </c>
      <c r="M589">
        <v>0</v>
      </c>
      <c r="N589">
        <v>0</v>
      </c>
      <c r="O589">
        <v>0</v>
      </c>
      <c r="P589">
        <v>1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1</v>
      </c>
      <c r="Z589">
        <v>0</v>
      </c>
      <c r="AA589" s="86">
        <f>AVERAGEIFS($C$2:C589, $B$2:B589, B589)</f>
        <v>27.170731707317074</v>
      </c>
      <c r="AB589" s="86">
        <f>AVERAGEIFS($I$2:I589, $B$2:B589, B589)</f>
        <v>0.57560975609756093</v>
      </c>
      <c r="AC589" s="86">
        <f>AVERAGEIFS($J$2:J589, $B$2:B589, B589)</f>
        <v>0.55024390243902432</v>
      </c>
      <c r="AD589" s="86">
        <f>AVERAGEIFS($D$2:D589, $B$2:B589, B589)</f>
        <v>0.65853658536585369</v>
      </c>
    </row>
    <row r="590" spans="1:30" x14ac:dyDescent="0.25">
      <c r="A590" s="85">
        <v>46120</v>
      </c>
      <c r="B590" t="s">
        <v>15</v>
      </c>
      <c r="C590">
        <v>28</v>
      </c>
      <c r="D590" s="86">
        <v>1</v>
      </c>
      <c r="E590">
        <v>4</v>
      </c>
      <c r="F590">
        <v>3</v>
      </c>
      <c r="G590">
        <v>16</v>
      </c>
      <c r="H590">
        <v>10</v>
      </c>
      <c r="I590">
        <v>0.75</v>
      </c>
      <c r="J590">
        <v>0.63</v>
      </c>
      <c r="K590">
        <v>1</v>
      </c>
      <c r="L590">
        <v>0</v>
      </c>
      <c r="M590">
        <v>0</v>
      </c>
      <c r="N590">
        <v>0</v>
      </c>
      <c r="O590">
        <v>0</v>
      </c>
      <c r="P590">
        <v>1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1</v>
      </c>
      <c r="Z590">
        <v>0</v>
      </c>
      <c r="AA590" s="86">
        <f>AVERAGEIFS($C$2:C590, $B$2:B590, B590)</f>
        <v>25.206896551724139</v>
      </c>
      <c r="AB590" s="86">
        <f>AVERAGEIFS($I$2:I590, $B$2:B590, B590)</f>
        <v>0.46034482758620687</v>
      </c>
      <c r="AC590" s="86">
        <f>AVERAGEIFS($J$2:J590, $B$2:B590, B590)</f>
        <v>0.48137931034482767</v>
      </c>
      <c r="AD590" s="86">
        <f>AVERAGEIFS($D$2:D590, $B$2:B590, B590)</f>
        <v>0.34482758620689657</v>
      </c>
    </row>
    <row r="591" spans="1:30" x14ac:dyDescent="0.25">
      <c r="A591" s="85">
        <v>46120</v>
      </c>
      <c r="B591" t="s">
        <v>45</v>
      </c>
      <c r="C591">
        <v>26</v>
      </c>
      <c r="D591" s="86">
        <v>1</v>
      </c>
      <c r="E591">
        <v>4</v>
      </c>
      <c r="F591">
        <v>3</v>
      </c>
      <c r="G591">
        <v>16</v>
      </c>
      <c r="H591">
        <v>10</v>
      </c>
      <c r="I591">
        <v>0.75</v>
      </c>
      <c r="J591">
        <v>0.63</v>
      </c>
      <c r="K591">
        <v>1</v>
      </c>
      <c r="L591">
        <v>0</v>
      </c>
      <c r="M591">
        <v>0</v>
      </c>
      <c r="N591">
        <v>0</v>
      </c>
      <c r="O591">
        <v>0</v>
      </c>
      <c r="P591">
        <v>1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1</v>
      </c>
      <c r="Z591">
        <v>0</v>
      </c>
      <c r="AA591" s="86">
        <f>AVERAGEIFS($C$2:C591, $B$2:B591, B591)</f>
        <v>12.9</v>
      </c>
      <c r="AB591" s="86">
        <f>AVERAGEIFS($I$2:I591, $B$2:B591, B591)</f>
        <v>0.46000000000000008</v>
      </c>
      <c r="AC591" s="86">
        <f>AVERAGEIFS($J$2:J591, $B$2:B591, B591)</f>
        <v>0.48650000000000004</v>
      </c>
      <c r="AD591" s="86">
        <f>AVERAGEIFS($D$2:D591, $B$2:B591, B591)</f>
        <v>0.4</v>
      </c>
    </row>
    <row r="592" spans="1:30" x14ac:dyDescent="0.25">
      <c r="A592" s="85">
        <v>46120</v>
      </c>
      <c r="B592" t="s">
        <v>139</v>
      </c>
      <c r="C592">
        <v>17</v>
      </c>
      <c r="D592" s="86">
        <v>1</v>
      </c>
      <c r="E592">
        <v>4</v>
      </c>
      <c r="F592">
        <v>3</v>
      </c>
      <c r="G592">
        <v>16</v>
      </c>
      <c r="H592">
        <v>10</v>
      </c>
      <c r="I592">
        <v>0.75</v>
      </c>
      <c r="J592">
        <v>0.63</v>
      </c>
      <c r="K592">
        <v>1</v>
      </c>
      <c r="L592">
        <v>0</v>
      </c>
      <c r="M592">
        <v>0</v>
      </c>
      <c r="N592">
        <v>0</v>
      </c>
      <c r="O592">
        <v>0</v>
      </c>
      <c r="P592">
        <v>1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1</v>
      </c>
      <c r="Z592">
        <v>0</v>
      </c>
      <c r="AA592" s="86">
        <f>AVERAGEIFS($C$2:C592, $B$2:B592, B592)</f>
        <v>10.111111111111111</v>
      </c>
      <c r="AB592" s="86">
        <f>AVERAGEIFS($I$2:I592, $B$2:B592, B592)</f>
        <v>0.55555555555555558</v>
      </c>
      <c r="AC592" s="86">
        <f>AVERAGEIFS($J$2:J592, $B$2:B592, B592)</f>
        <v>0.52111111111111108</v>
      </c>
      <c r="AD592" s="86">
        <f>AVERAGEIFS($D$2:D592, $B$2:B592, B592)</f>
        <v>0.55555555555555558</v>
      </c>
    </row>
    <row r="593" spans="1:30" x14ac:dyDescent="0.25">
      <c r="A593" s="85">
        <v>46120</v>
      </c>
      <c r="B593" t="s">
        <v>25</v>
      </c>
      <c r="C593">
        <v>15</v>
      </c>
      <c r="D593" s="86">
        <v>1</v>
      </c>
      <c r="E593">
        <v>4</v>
      </c>
      <c r="F593">
        <v>3</v>
      </c>
      <c r="G593">
        <v>16</v>
      </c>
      <c r="H593">
        <v>10</v>
      </c>
      <c r="I593">
        <v>0.75</v>
      </c>
      <c r="J593">
        <v>0.63</v>
      </c>
      <c r="K593">
        <v>1</v>
      </c>
      <c r="L593">
        <v>0</v>
      </c>
      <c r="M593">
        <v>0</v>
      </c>
      <c r="N593">
        <v>0</v>
      </c>
      <c r="O593">
        <v>0</v>
      </c>
      <c r="P593">
        <v>1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1</v>
      </c>
      <c r="Z593">
        <v>0</v>
      </c>
      <c r="AA593" s="86">
        <f>AVERAGEIFS($C$2:C593, $B$2:B593, B593)</f>
        <v>16.333333333333332</v>
      </c>
      <c r="AB593" s="86">
        <f>AVERAGEIFS($I$2:I593, $B$2:B593, B593)</f>
        <v>0.60000000000000009</v>
      </c>
      <c r="AC593" s="86">
        <f>AVERAGEIFS($J$2:J593, $B$2:B593, B593)</f>
        <v>0.54222222222222216</v>
      </c>
      <c r="AD593" s="86">
        <f>AVERAGEIFS($D$2:D593, $B$2:B593, B593)</f>
        <v>0.55555555555555558</v>
      </c>
    </row>
    <row r="594" spans="1:30" x14ac:dyDescent="0.25">
      <c r="A594" s="85">
        <v>46120</v>
      </c>
      <c r="B594" t="s">
        <v>20</v>
      </c>
      <c r="C594">
        <v>10</v>
      </c>
      <c r="D594" s="86">
        <v>1</v>
      </c>
      <c r="E594">
        <v>4</v>
      </c>
      <c r="F594">
        <v>3</v>
      </c>
      <c r="G594">
        <v>16</v>
      </c>
      <c r="H594">
        <v>10</v>
      </c>
      <c r="I594">
        <v>0.75</v>
      </c>
      <c r="J594">
        <v>0.63</v>
      </c>
      <c r="K594">
        <v>1</v>
      </c>
      <c r="L594">
        <v>0</v>
      </c>
      <c r="M594">
        <v>0</v>
      </c>
      <c r="N594">
        <v>0</v>
      </c>
      <c r="O594">
        <v>0</v>
      </c>
      <c r="P594">
        <v>1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1</v>
      </c>
      <c r="Z594">
        <v>0</v>
      </c>
      <c r="AA594" s="86">
        <f>AVERAGEIFS($C$2:C594, $B$2:B594, B594)</f>
        <v>13.74074074074074</v>
      </c>
      <c r="AB594" s="86">
        <f>AVERAGEIFS($I$2:I594, $B$2:B594, B594)</f>
        <v>0.49074074074074076</v>
      </c>
      <c r="AC594" s="86">
        <f>AVERAGEIFS($J$2:J594, $B$2:B594, B594)</f>
        <v>0.50185185185185199</v>
      </c>
      <c r="AD594" s="86">
        <f>AVERAGEIFS($D$2:D594, $B$2:B594, B594)</f>
        <v>0.44444444444444442</v>
      </c>
    </row>
    <row r="595" spans="1:30" x14ac:dyDescent="0.25">
      <c r="A595" s="85">
        <v>46120</v>
      </c>
      <c r="B595" t="s">
        <v>19</v>
      </c>
      <c r="C595">
        <v>6</v>
      </c>
      <c r="D595" s="86">
        <v>1</v>
      </c>
      <c r="E595">
        <v>4</v>
      </c>
      <c r="F595">
        <v>3</v>
      </c>
      <c r="G595">
        <v>16</v>
      </c>
      <c r="H595">
        <v>10</v>
      </c>
      <c r="I595">
        <v>0.75</v>
      </c>
      <c r="J595">
        <v>0.63</v>
      </c>
      <c r="K595">
        <v>1</v>
      </c>
      <c r="L595">
        <v>0</v>
      </c>
      <c r="M595">
        <v>0</v>
      </c>
      <c r="N595">
        <v>0</v>
      </c>
      <c r="O595">
        <v>0</v>
      </c>
      <c r="P595">
        <v>1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1</v>
      </c>
      <c r="Z595">
        <v>0</v>
      </c>
      <c r="AA595" s="86">
        <f>AVERAGEIFS($C$2:C595, $B$2:B595, B595)</f>
        <v>11.5</v>
      </c>
      <c r="AB595" s="86">
        <f>AVERAGEIFS($I$2:I595, $B$2:B595, B595)</f>
        <v>0.40333333333333332</v>
      </c>
      <c r="AC595" s="86">
        <f>AVERAGEIFS($J$2:J595, $B$2:B595, B595)</f>
        <v>0.44833333333333336</v>
      </c>
      <c r="AD595" s="86">
        <f>AVERAGEIFS($D$2:D595, $B$2:B595, B595)</f>
        <v>0.4</v>
      </c>
    </row>
    <row r="596" spans="1:30" x14ac:dyDescent="0.25">
      <c r="A596" s="85">
        <v>46120</v>
      </c>
      <c r="B596" t="s">
        <v>17</v>
      </c>
      <c r="C596">
        <v>43</v>
      </c>
      <c r="D596" s="86">
        <v>0</v>
      </c>
      <c r="E596">
        <v>4</v>
      </c>
      <c r="F596">
        <v>1</v>
      </c>
      <c r="G596">
        <v>16</v>
      </c>
      <c r="H596">
        <v>6</v>
      </c>
      <c r="I596">
        <v>0.25</v>
      </c>
      <c r="J596">
        <v>0.38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1</v>
      </c>
      <c r="Y596">
        <v>0</v>
      </c>
      <c r="Z596">
        <v>0</v>
      </c>
      <c r="AA596" s="86">
        <f>AVERAGEIFS($C$2:C596, $B$2:B596, B596)</f>
        <v>25.868421052631579</v>
      </c>
      <c r="AB596" s="86">
        <f>AVERAGEIFS($I$2:I596, $B$2:B596, B596)</f>
        <v>0.48552631578947375</v>
      </c>
      <c r="AC596" s="86">
        <f>AVERAGEIFS($J$2:J596, $B$2:B596, B596)</f>
        <v>0.50315789473684192</v>
      </c>
      <c r="AD596" s="86">
        <f>AVERAGEIFS($D$2:D596, $B$2:B596, B596)</f>
        <v>0.36842105263157893</v>
      </c>
    </row>
    <row r="597" spans="1:30" x14ac:dyDescent="0.25">
      <c r="A597" s="85">
        <v>46120</v>
      </c>
      <c r="B597" t="s">
        <v>14</v>
      </c>
      <c r="C597">
        <v>27</v>
      </c>
      <c r="D597" s="86">
        <v>0</v>
      </c>
      <c r="E597">
        <v>4</v>
      </c>
      <c r="F597">
        <v>1</v>
      </c>
      <c r="G597">
        <v>16</v>
      </c>
      <c r="H597">
        <v>6</v>
      </c>
      <c r="I597">
        <v>0.25</v>
      </c>
      <c r="J597">
        <v>0.38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1</v>
      </c>
      <c r="Y597">
        <v>0</v>
      </c>
      <c r="Z597">
        <v>0</v>
      </c>
      <c r="AA597" s="86">
        <f>AVERAGEIFS($C$2:C597, $B$2:B597, B597)</f>
        <v>25.125</v>
      </c>
      <c r="AB597" s="86">
        <f>AVERAGEIFS($I$2:I597, $B$2:B597, B597)</f>
        <v>0.5234375</v>
      </c>
      <c r="AC597" s="86">
        <f>AVERAGEIFS($J$2:J597, $B$2:B597, B597)</f>
        <v>0.50875000000000004</v>
      </c>
      <c r="AD597" s="86">
        <f>AVERAGEIFS($D$2:D597, $B$2:B597, B597)</f>
        <v>0.53125</v>
      </c>
    </row>
    <row r="598" spans="1:30" x14ac:dyDescent="0.25">
      <c r="A598" s="85">
        <v>46120</v>
      </c>
      <c r="B598" t="s">
        <v>35</v>
      </c>
      <c r="C598">
        <v>20</v>
      </c>
      <c r="D598" s="86">
        <v>0</v>
      </c>
      <c r="E598">
        <v>4</v>
      </c>
      <c r="F598">
        <v>1</v>
      </c>
      <c r="G598">
        <v>16</v>
      </c>
      <c r="H598">
        <v>6</v>
      </c>
      <c r="I598">
        <v>0.25</v>
      </c>
      <c r="J598">
        <v>0.38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1</v>
      </c>
      <c r="Y598">
        <v>0</v>
      </c>
      <c r="Z598">
        <v>0</v>
      </c>
      <c r="AA598" s="86">
        <f>AVERAGEIFS($C$2:C598, $B$2:B598, B598)</f>
        <v>11.789473684210526</v>
      </c>
      <c r="AB598" s="86">
        <f>AVERAGEIFS($I$2:I598, $B$2:B598, B598)</f>
        <v>0.46315789473684216</v>
      </c>
      <c r="AC598" s="86">
        <f>AVERAGEIFS($J$2:J598, $B$2:B598, B598)</f>
        <v>0.48631578947368431</v>
      </c>
      <c r="AD598" s="86">
        <f>AVERAGEIFS($D$2:D598, $B$2:B598, B598)</f>
        <v>0.52631578947368418</v>
      </c>
    </row>
    <row r="599" spans="1:30" x14ac:dyDescent="0.25">
      <c r="A599" s="85">
        <v>46120</v>
      </c>
      <c r="B599" t="s">
        <v>28</v>
      </c>
      <c r="C599">
        <v>16</v>
      </c>
      <c r="D599" s="86">
        <v>0</v>
      </c>
      <c r="E599">
        <v>4</v>
      </c>
      <c r="F599">
        <v>1</v>
      </c>
      <c r="G599">
        <v>16</v>
      </c>
      <c r="H599">
        <v>6</v>
      </c>
      <c r="I599">
        <v>0.25</v>
      </c>
      <c r="J599">
        <v>0.38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1</v>
      </c>
      <c r="Y599">
        <v>0</v>
      </c>
      <c r="Z599">
        <v>0</v>
      </c>
      <c r="AA599" s="86">
        <f>AVERAGEIFS($C$2:C599, $B$2:B599, B599)</f>
        <v>13.85</v>
      </c>
      <c r="AB599" s="86">
        <f>AVERAGEIFS($I$2:I599, $B$2:B599, B599)</f>
        <v>0.375</v>
      </c>
      <c r="AC599" s="86">
        <f>AVERAGEIFS($J$2:J599, $B$2:B599, B599)</f>
        <v>0.44150000000000011</v>
      </c>
      <c r="AD599" s="86">
        <f>AVERAGEIFS($D$2:D599, $B$2:B599, B599)</f>
        <v>0.35</v>
      </c>
    </row>
    <row r="600" spans="1:30" x14ac:dyDescent="0.25">
      <c r="A600" s="85">
        <v>46120</v>
      </c>
      <c r="B600" t="s">
        <v>148</v>
      </c>
      <c r="C600">
        <v>14</v>
      </c>
      <c r="D600" s="86">
        <v>0</v>
      </c>
      <c r="E600">
        <v>4</v>
      </c>
      <c r="F600">
        <v>1</v>
      </c>
      <c r="G600">
        <v>16</v>
      </c>
      <c r="H600">
        <v>6</v>
      </c>
      <c r="I600">
        <v>0.25</v>
      </c>
      <c r="J600">
        <v>0.38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1</v>
      </c>
      <c r="Y600">
        <v>0</v>
      </c>
      <c r="Z600">
        <v>0</v>
      </c>
      <c r="AA600" s="86">
        <f>AVERAGEIFS($C$2:C600, $B$2:B600, B600)</f>
        <v>12.916666666666666</v>
      </c>
      <c r="AB600" s="86">
        <f>AVERAGEIFS($I$2:I600, $B$2:B600, B600)</f>
        <v>0.5708333333333333</v>
      </c>
      <c r="AC600" s="86">
        <f>AVERAGEIFS($J$2:J600, $B$2:B600, B600)</f>
        <v>0.54166666666666663</v>
      </c>
      <c r="AD600" s="86">
        <f>AVERAGEIFS($D$2:D600, $B$2:B600, B600)</f>
        <v>0.58333333333333337</v>
      </c>
    </row>
    <row r="601" spans="1:30" x14ac:dyDescent="0.25">
      <c r="A601" s="85">
        <v>46120</v>
      </c>
      <c r="B601" t="s">
        <v>29</v>
      </c>
      <c r="C601">
        <v>12</v>
      </c>
      <c r="D601" s="86">
        <v>0</v>
      </c>
      <c r="E601">
        <v>4</v>
      </c>
      <c r="F601">
        <v>1</v>
      </c>
      <c r="G601">
        <v>16</v>
      </c>
      <c r="H601">
        <v>6</v>
      </c>
      <c r="I601">
        <v>0.25</v>
      </c>
      <c r="J601">
        <v>0.38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1</v>
      </c>
      <c r="Y601">
        <v>0</v>
      </c>
      <c r="Z601">
        <v>0</v>
      </c>
      <c r="AA601" s="86">
        <f>AVERAGEIFS($C$2:C601, $B$2:B601, B601)</f>
        <v>10.32258064516129</v>
      </c>
      <c r="AB601" s="86">
        <f>AVERAGEIFS($I$2:I601, $B$2:B601, B601)</f>
        <v>0.49838709677419357</v>
      </c>
      <c r="AC601" s="86">
        <f>AVERAGEIFS($J$2:J601, $B$2:B601, B601)</f>
        <v>0.51258064516129043</v>
      </c>
      <c r="AD601" s="86">
        <f>AVERAGEIFS($D$2:D601, $B$2:B601, B601)</f>
        <v>0.4838709677419355</v>
      </c>
    </row>
    <row r="602" spans="1:30" x14ac:dyDescent="0.25">
      <c r="A602" s="85">
        <v>46120</v>
      </c>
      <c r="B602" t="s">
        <v>155</v>
      </c>
      <c r="C602">
        <v>10</v>
      </c>
      <c r="D602" s="86">
        <v>0</v>
      </c>
      <c r="E602">
        <v>4</v>
      </c>
      <c r="F602">
        <v>1</v>
      </c>
      <c r="G602">
        <v>16</v>
      </c>
      <c r="H602">
        <v>6</v>
      </c>
      <c r="I602">
        <v>0.25</v>
      </c>
      <c r="J602">
        <v>0.38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1</v>
      </c>
      <c r="Y602">
        <v>0</v>
      </c>
      <c r="Z602">
        <v>0</v>
      </c>
      <c r="AA602" s="86">
        <f>AVERAGEIFS($C$2:C602, $B$2:B602, B602)</f>
        <v>13.857142857142858</v>
      </c>
      <c r="AB602" s="86">
        <f>AVERAGEIFS($I$2:I602, $B$2:B602, B602)</f>
        <v>0.39285714285714285</v>
      </c>
      <c r="AC602" s="86">
        <f>AVERAGEIFS($J$2:J602, $B$2:B602, B602)</f>
        <v>0.44714285714285712</v>
      </c>
      <c r="AD602" s="86">
        <f>AVERAGEIFS($D$2:D602, $B$2:B602, B602)</f>
        <v>0.2857142857142857</v>
      </c>
    </row>
    <row r="603" spans="1:30" x14ac:dyDescent="0.25">
      <c r="A603" s="85">
        <v>46120</v>
      </c>
      <c r="B603" t="s">
        <v>27</v>
      </c>
      <c r="C603">
        <v>10</v>
      </c>
      <c r="D603" s="86">
        <v>1</v>
      </c>
      <c r="E603">
        <v>4</v>
      </c>
      <c r="F603">
        <v>3</v>
      </c>
      <c r="G603">
        <v>14</v>
      </c>
      <c r="H603">
        <v>9</v>
      </c>
      <c r="I603">
        <v>0.75</v>
      </c>
      <c r="J603">
        <v>0.64</v>
      </c>
      <c r="K603">
        <v>0</v>
      </c>
      <c r="L603">
        <v>1</v>
      </c>
      <c r="M603">
        <v>0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1</v>
      </c>
      <c r="Y603">
        <v>0</v>
      </c>
      <c r="Z603">
        <v>0</v>
      </c>
      <c r="AA603" s="86">
        <f>AVERAGEIFS($C$2:C603, $B$2:B603, B603)</f>
        <v>13.5</v>
      </c>
      <c r="AB603" s="86">
        <f>AVERAGEIFS($I$2:I603, $B$2:B603, B603)</f>
        <v>0.49749999999999994</v>
      </c>
      <c r="AC603" s="86">
        <f>AVERAGEIFS($J$2:J603, $B$2:B603, B603)</f>
        <v>0.50100000000000011</v>
      </c>
      <c r="AD603" s="86">
        <f>AVERAGEIFS($D$2:D603, $B$2:B603, B603)</f>
        <v>0.55000000000000004</v>
      </c>
    </row>
    <row r="604" spans="1:30" x14ac:dyDescent="0.25">
      <c r="A604" s="85">
        <v>46120</v>
      </c>
      <c r="B604" t="s">
        <v>139</v>
      </c>
      <c r="C604">
        <v>7</v>
      </c>
      <c r="D604" s="86">
        <v>1</v>
      </c>
      <c r="E604">
        <v>4</v>
      </c>
      <c r="F604">
        <v>3</v>
      </c>
      <c r="G604">
        <v>14</v>
      </c>
      <c r="H604">
        <v>9</v>
      </c>
      <c r="I604">
        <v>0.75</v>
      </c>
      <c r="J604">
        <v>0.64</v>
      </c>
      <c r="K604">
        <v>0</v>
      </c>
      <c r="L604">
        <v>1</v>
      </c>
      <c r="M604">
        <v>0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1</v>
      </c>
      <c r="Y604">
        <v>0</v>
      </c>
      <c r="Z604">
        <v>0</v>
      </c>
      <c r="AA604" s="86">
        <f>AVERAGEIFS($C$2:C604, $B$2:B604, B604)</f>
        <v>9.8000000000000007</v>
      </c>
      <c r="AB604" s="86">
        <f>AVERAGEIFS($I$2:I604, $B$2:B604, B604)</f>
        <v>0.57499999999999996</v>
      </c>
      <c r="AC604" s="86">
        <f>AVERAGEIFS($J$2:J604, $B$2:B604, B604)</f>
        <v>0.53299999999999992</v>
      </c>
      <c r="AD604" s="86">
        <f>AVERAGEIFS($D$2:D604, $B$2:B604, B604)</f>
        <v>0.6</v>
      </c>
    </row>
    <row r="605" spans="1:30" x14ac:dyDescent="0.25">
      <c r="A605" s="85">
        <v>46120</v>
      </c>
      <c r="B605" t="s">
        <v>17</v>
      </c>
      <c r="C605">
        <v>14</v>
      </c>
      <c r="D605" s="86">
        <v>1</v>
      </c>
      <c r="E605">
        <v>4</v>
      </c>
      <c r="F605">
        <v>3</v>
      </c>
      <c r="G605">
        <v>14</v>
      </c>
      <c r="H605">
        <v>9</v>
      </c>
      <c r="I605">
        <v>0.75</v>
      </c>
      <c r="J605">
        <v>0.64</v>
      </c>
      <c r="K605">
        <v>0</v>
      </c>
      <c r="L605">
        <v>1</v>
      </c>
      <c r="M605">
        <v>0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1</v>
      </c>
      <c r="Y605">
        <v>0</v>
      </c>
      <c r="Z605">
        <v>0</v>
      </c>
      <c r="AA605" s="86">
        <f>AVERAGEIFS($C$2:C605, $B$2:B605, B605)</f>
        <v>25.564102564102566</v>
      </c>
      <c r="AB605" s="86">
        <f>AVERAGEIFS($I$2:I605, $B$2:B605, B605)</f>
        <v>0.49230769230769239</v>
      </c>
      <c r="AC605" s="86">
        <f>AVERAGEIFS($J$2:J605, $B$2:B605, B605)</f>
        <v>0.50666666666666649</v>
      </c>
      <c r="AD605" s="86">
        <f>AVERAGEIFS($D$2:D605, $B$2:B605, B605)</f>
        <v>0.38461538461538464</v>
      </c>
    </row>
    <row r="606" spans="1:30" x14ac:dyDescent="0.25">
      <c r="A606" s="85">
        <v>46120</v>
      </c>
      <c r="B606" t="s">
        <v>14</v>
      </c>
      <c r="C606">
        <v>18</v>
      </c>
      <c r="D606" s="86">
        <v>1</v>
      </c>
      <c r="E606">
        <v>4</v>
      </c>
      <c r="F606">
        <v>3</v>
      </c>
      <c r="G606">
        <v>14</v>
      </c>
      <c r="H606">
        <v>9</v>
      </c>
      <c r="I606">
        <v>0.75</v>
      </c>
      <c r="J606">
        <v>0.64</v>
      </c>
      <c r="K606">
        <v>0</v>
      </c>
      <c r="L606">
        <v>1</v>
      </c>
      <c r="M606">
        <v>0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1</v>
      </c>
      <c r="Y606">
        <v>0</v>
      </c>
      <c r="Z606">
        <v>0</v>
      </c>
      <c r="AA606" s="86">
        <f>AVERAGEIFS($C$2:C606, $B$2:B606, B606)</f>
        <v>24.90909090909091</v>
      </c>
      <c r="AB606" s="86">
        <f>AVERAGEIFS($I$2:I606, $B$2:B606, B606)</f>
        <v>0.53030303030303028</v>
      </c>
      <c r="AC606" s="86">
        <f>AVERAGEIFS($J$2:J606, $B$2:B606, B606)</f>
        <v>0.51272727272727281</v>
      </c>
      <c r="AD606" s="86">
        <f>AVERAGEIFS($D$2:D606, $B$2:B606, B606)</f>
        <v>0.54545454545454541</v>
      </c>
    </row>
    <row r="607" spans="1:30" x14ac:dyDescent="0.25">
      <c r="A607" s="85">
        <v>46120</v>
      </c>
      <c r="B607" t="s">
        <v>113</v>
      </c>
      <c r="C607">
        <v>15</v>
      </c>
      <c r="D607" s="86">
        <v>1</v>
      </c>
      <c r="E607">
        <v>4</v>
      </c>
      <c r="F607">
        <v>3</v>
      </c>
      <c r="G607">
        <v>14</v>
      </c>
      <c r="H607">
        <v>9</v>
      </c>
      <c r="I607">
        <v>0.75</v>
      </c>
      <c r="J607">
        <v>0.64</v>
      </c>
      <c r="K607">
        <v>0</v>
      </c>
      <c r="L607">
        <v>1</v>
      </c>
      <c r="M607">
        <v>0</v>
      </c>
      <c r="N607">
        <v>0</v>
      </c>
      <c r="O607">
        <v>0</v>
      </c>
      <c r="P607">
        <v>0</v>
      </c>
      <c r="Q607">
        <v>1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1</v>
      </c>
      <c r="Y607">
        <v>0</v>
      </c>
      <c r="Z607">
        <v>0</v>
      </c>
      <c r="AA607" s="86">
        <f>AVERAGEIFS($C$2:C607, $B$2:B607, B607)</f>
        <v>15.4</v>
      </c>
      <c r="AB607" s="86">
        <f>AVERAGEIFS($I$2:I607, $B$2:B607, B607)</f>
        <v>0.59000000000000008</v>
      </c>
      <c r="AC607" s="86">
        <f>AVERAGEIFS($J$2:J607, $B$2:B607, B607)</f>
        <v>0.51999999999999991</v>
      </c>
      <c r="AD607" s="86">
        <f>AVERAGEIFS($D$2:D607, $B$2:B607, B607)</f>
        <v>0.8</v>
      </c>
    </row>
    <row r="608" spans="1:30" x14ac:dyDescent="0.25">
      <c r="A608" s="85">
        <v>46120</v>
      </c>
      <c r="B608" t="s">
        <v>28</v>
      </c>
      <c r="C608">
        <v>2</v>
      </c>
      <c r="D608" s="86">
        <v>1</v>
      </c>
      <c r="E608">
        <v>4</v>
      </c>
      <c r="F608">
        <v>3</v>
      </c>
      <c r="G608">
        <v>14</v>
      </c>
      <c r="H608">
        <v>9</v>
      </c>
      <c r="I608">
        <v>0.75</v>
      </c>
      <c r="J608">
        <v>0.64</v>
      </c>
      <c r="K608">
        <v>0</v>
      </c>
      <c r="L608">
        <v>1</v>
      </c>
      <c r="M608">
        <v>0</v>
      </c>
      <c r="N608">
        <v>0</v>
      </c>
      <c r="O608">
        <v>0</v>
      </c>
      <c r="P608">
        <v>0</v>
      </c>
      <c r="Q608">
        <v>1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1</v>
      </c>
      <c r="Y608">
        <v>0</v>
      </c>
      <c r="Z608">
        <v>0</v>
      </c>
      <c r="AA608" s="86">
        <f>AVERAGEIFS($C$2:C608, $B$2:B608, B608)</f>
        <v>13.285714285714286</v>
      </c>
      <c r="AB608" s="86">
        <f>AVERAGEIFS($I$2:I608, $B$2:B608, B608)</f>
        <v>0.39285714285714285</v>
      </c>
      <c r="AC608" s="86">
        <f>AVERAGEIFS($J$2:J608, $B$2:B608, B608)</f>
        <v>0.45095238095238105</v>
      </c>
      <c r="AD608" s="86">
        <f>AVERAGEIFS($D$2:D608, $B$2:B608, B608)</f>
        <v>0.38095238095238093</v>
      </c>
    </row>
    <row r="609" spans="1:30" x14ac:dyDescent="0.25">
      <c r="A609" s="85">
        <v>46120</v>
      </c>
      <c r="B609" t="s">
        <v>13</v>
      </c>
      <c r="C609">
        <v>7</v>
      </c>
      <c r="D609" s="86">
        <v>0</v>
      </c>
      <c r="E609">
        <v>4</v>
      </c>
      <c r="F609">
        <v>1</v>
      </c>
      <c r="G609">
        <v>14</v>
      </c>
      <c r="H609">
        <v>5</v>
      </c>
      <c r="I609">
        <v>0.25</v>
      </c>
      <c r="J609">
        <v>0.36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1</v>
      </c>
      <c r="Z609">
        <v>0</v>
      </c>
      <c r="AA609" s="86">
        <f>AVERAGEIFS($C$2:C609, $B$2:B609, B609)</f>
        <v>26.69047619047619</v>
      </c>
      <c r="AB609" s="86">
        <f>AVERAGEIFS($I$2:I609, $B$2:B609, B609)</f>
        <v>0.56785714285714284</v>
      </c>
      <c r="AC609" s="86">
        <f>AVERAGEIFS($J$2:J609, $B$2:B609, B609)</f>
        <v>0.54571428571428571</v>
      </c>
      <c r="AD609" s="86">
        <f>AVERAGEIFS($D$2:D609, $B$2:B609, B609)</f>
        <v>0.6428571428571429</v>
      </c>
    </row>
    <row r="610" spans="1:30" x14ac:dyDescent="0.25">
      <c r="A610" s="85">
        <v>46120</v>
      </c>
      <c r="B610" t="s">
        <v>155</v>
      </c>
      <c r="C610">
        <v>8</v>
      </c>
      <c r="D610" s="86">
        <v>0</v>
      </c>
      <c r="E610">
        <v>4</v>
      </c>
      <c r="F610">
        <v>1</v>
      </c>
      <c r="G610">
        <v>14</v>
      </c>
      <c r="H610">
        <v>5</v>
      </c>
      <c r="I610">
        <v>0.25</v>
      </c>
      <c r="J610">
        <v>0.36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1</v>
      </c>
      <c r="Z610">
        <v>0</v>
      </c>
      <c r="AA610" s="86">
        <f>AVERAGEIFS($C$2:C610, $B$2:B610, B610)</f>
        <v>13.125</v>
      </c>
      <c r="AB610" s="86">
        <f>AVERAGEIFS($I$2:I610, $B$2:B610, B610)</f>
        <v>0.375</v>
      </c>
      <c r="AC610" s="86">
        <f>AVERAGEIFS($J$2:J610, $B$2:B610, B610)</f>
        <v>0.43624999999999997</v>
      </c>
      <c r="AD610" s="86">
        <f>AVERAGEIFS($D$2:D610, $B$2:B610, B610)</f>
        <v>0.25</v>
      </c>
    </row>
    <row r="611" spans="1:30" x14ac:dyDescent="0.25">
      <c r="A611" s="85">
        <v>46120</v>
      </c>
      <c r="B611" t="s">
        <v>1</v>
      </c>
      <c r="C611">
        <v>12</v>
      </c>
      <c r="D611" s="86">
        <v>0</v>
      </c>
      <c r="E611">
        <v>4</v>
      </c>
      <c r="F611">
        <v>1</v>
      </c>
      <c r="G611">
        <v>14</v>
      </c>
      <c r="H611">
        <v>5</v>
      </c>
      <c r="I611">
        <v>0.25</v>
      </c>
      <c r="J611">
        <v>0.36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1</v>
      </c>
      <c r="Z611">
        <v>0</v>
      </c>
      <c r="AA611" s="86">
        <f>AVERAGEIFS($C$2:C611, $B$2:B611, B611)</f>
        <v>24.727272727272727</v>
      </c>
      <c r="AB611" s="86">
        <f>AVERAGEIFS($I$2:I611, $B$2:B611, B611)</f>
        <v>0.52727272727272723</v>
      </c>
      <c r="AC611" s="86">
        <f>AVERAGEIFS($J$2:J611, $B$2:B611, B611)</f>
        <v>0.49454545454545457</v>
      </c>
      <c r="AD611" s="86">
        <f>AVERAGEIFS($D$2:D611, $B$2:B611, B611)</f>
        <v>0.63636363636363635</v>
      </c>
    </row>
    <row r="612" spans="1:30" x14ac:dyDescent="0.25">
      <c r="A612" s="85">
        <v>46120</v>
      </c>
      <c r="B612" t="s">
        <v>40</v>
      </c>
      <c r="C612">
        <v>7</v>
      </c>
      <c r="D612" s="86">
        <v>0</v>
      </c>
      <c r="E612">
        <v>4</v>
      </c>
      <c r="F612">
        <v>1</v>
      </c>
      <c r="G612">
        <v>14</v>
      </c>
      <c r="H612">
        <v>5</v>
      </c>
      <c r="I612">
        <v>0.25</v>
      </c>
      <c r="J612">
        <v>0.36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1</v>
      </c>
      <c r="Z612">
        <v>0</v>
      </c>
      <c r="AA612" s="86">
        <f>AVERAGEIFS($C$2:C612, $B$2:B612, B612)</f>
        <v>16.666666666666668</v>
      </c>
      <c r="AB612" s="86">
        <f>AVERAGEIFS($I$2:I612, $B$2:B612, B612)</f>
        <v>0.35</v>
      </c>
      <c r="AC612" s="86">
        <f>AVERAGEIFS($J$2:J612, $B$2:B612, B612)</f>
        <v>0.38444444444444442</v>
      </c>
      <c r="AD612" s="86">
        <f>AVERAGEIFS($D$2:D612, $B$2:B612, B612)</f>
        <v>0.22222222222222221</v>
      </c>
    </row>
    <row r="613" spans="1:30" x14ac:dyDescent="0.25">
      <c r="A613" s="85">
        <v>46120</v>
      </c>
      <c r="B613" t="s">
        <v>38</v>
      </c>
      <c r="C613">
        <v>8</v>
      </c>
      <c r="D613" s="86">
        <v>0</v>
      </c>
      <c r="E613">
        <v>4</v>
      </c>
      <c r="F613">
        <v>1</v>
      </c>
      <c r="G613">
        <v>14</v>
      </c>
      <c r="H613">
        <v>5</v>
      </c>
      <c r="I613">
        <v>0.25</v>
      </c>
      <c r="J613">
        <v>0.36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1</v>
      </c>
      <c r="Z613">
        <v>0</v>
      </c>
      <c r="AA613" s="86">
        <f>AVERAGEIFS($C$2:C613, $B$2:B613, B613)</f>
        <v>4.5714285714285712</v>
      </c>
      <c r="AB613" s="86">
        <f>AVERAGEIFS($I$2:I613, $B$2:B613, B613)</f>
        <v>0.35714285714285715</v>
      </c>
      <c r="AC613" s="86">
        <f>AVERAGEIFS($J$2:J613, $B$2:B613, B613)</f>
        <v>0.40857142857142853</v>
      </c>
      <c r="AD613" s="86">
        <f>AVERAGEIFS($D$2:D613, $B$2:B613, B613)</f>
        <v>0.2857142857142857</v>
      </c>
    </row>
    <row r="614" spans="1:30" x14ac:dyDescent="0.25">
      <c r="A614" s="85">
        <v>46120</v>
      </c>
      <c r="B614" t="s">
        <v>148</v>
      </c>
      <c r="C614">
        <v>13</v>
      </c>
      <c r="D614" s="86">
        <v>0</v>
      </c>
      <c r="E614">
        <v>4</v>
      </c>
      <c r="F614">
        <v>1</v>
      </c>
      <c r="G614">
        <v>14</v>
      </c>
      <c r="H614">
        <v>5</v>
      </c>
      <c r="I614">
        <v>0.25</v>
      </c>
      <c r="J614">
        <v>0.36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1</v>
      </c>
      <c r="Z614">
        <v>0</v>
      </c>
      <c r="AA614" s="86">
        <f>AVERAGEIFS($C$2:C614, $B$2:B614, B614)</f>
        <v>12.923076923076923</v>
      </c>
      <c r="AB614" s="86">
        <f>AVERAGEIFS($I$2:I614, $B$2:B614, B614)</f>
        <v>0.5461538461538461</v>
      </c>
      <c r="AC614" s="86">
        <f>AVERAGEIFS($J$2:J614, $B$2:B614, B614)</f>
        <v>0.52769230769230768</v>
      </c>
      <c r="AD614" s="86">
        <f>AVERAGEIFS($D$2:D614, $B$2:B614, B614)</f>
        <v>0.53846153846153844</v>
      </c>
    </row>
    <row r="615" spans="1:30" x14ac:dyDescent="0.25">
      <c r="A615" s="85">
        <v>46121</v>
      </c>
      <c r="B615" t="s">
        <v>27</v>
      </c>
      <c r="C615">
        <v>15</v>
      </c>
      <c r="D615" s="86">
        <v>1</v>
      </c>
      <c r="E615">
        <v>5</v>
      </c>
      <c r="F615">
        <v>3</v>
      </c>
      <c r="G615">
        <v>17</v>
      </c>
      <c r="H615">
        <v>11</v>
      </c>
      <c r="I615">
        <v>0.6</v>
      </c>
      <c r="J615">
        <v>0.65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1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1</v>
      </c>
      <c r="Y615">
        <v>1</v>
      </c>
      <c r="Z615">
        <v>0</v>
      </c>
      <c r="AA615" s="86">
        <f>AVERAGEIFS($C$2:C615, $B$2:B615, B615)</f>
        <v>13.571428571428571</v>
      </c>
      <c r="AB615" s="86">
        <f>AVERAGEIFS($I$2:I615, $B$2:B615, B615)</f>
        <v>0.50238095238095237</v>
      </c>
      <c r="AC615" s="86">
        <f>AVERAGEIFS($J$2:J615, $B$2:B615, B615)</f>
        <v>0.50809523809523816</v>
      </c>
      <c r="AD615" s="86">
        <f>AVERAGEIFS($D$2:D615, $B$2:B615, B615)</f>
        <v>0.5714285714285714</v>
      </c>
    </row>
    <row r="616" spans="1:30" x14ac:dyDescent="0.25">
      <c r="A616" s="85">
        <v>46121</v>
      </c>
      <c r="B616" t="s">
        <v>139</v>
      </c>
      <c r="C616">
        <v>13</v>
      </c>
      <c r="D616" s="86">
        <v>1</v>
      </c>
      <c r="E616">
        <v>5</v>
      </c>
      <c r="F616">
        <v>3</v>
      </c>
      <c r="G616">
        <v>17</v>
      </c>
      <c r="H616">
        <v>11</v>
      </c>
      <c r="I616">
        <v>0.6</v>
      </c>
      <c r="J616">
        <v>0.65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1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1</v>
      </c>
      <c r="Y616">
        <v>1</v>
      </c>
      <c r="Z616">
        <v>0</v>
      </c>
      <c r="AA616" s="86">
        <f>AVERAGEIFS($C$2:C616, $B$2:B616, B616)</f>
        <v>10.090909090909092</v>
      </c>
      <c r="AB616" s="86">
        <f>AVERAGEIFS($I$2:I616, $B$2:B616, B616)</f>
        <v>0.57727272727272727</v>
      </c>
      <c r="AC616" s="86">
        <f>AVERAGEIFS($J$2:J616, $B$2:B616, B616)</f>
        <v>0.54363636363636358</v>
      </c>
      <c r="AD616" s="86">
        <f>AVERAGEIFS($D$2:D616, $B$2:B616, B616)</f>
        <v>0.63636363636363635</v>
      </c>
    </row>
    <row r="617" spans="1:30" x14ac:dyDescent="0.25">
      <c r="A617" s="85">
        <v>46121</v>
      </c>
      <c r="B617" t="s">
        <v>13</v>
      </c>
      <c r="C617">
        <v>21</v>
      </c>
      <c r="D617" s="86">
        <v>1</v>
      </c>
      <c r="E617">
        <v>5</v>
      </c>
      <c r="F617">
        <v>3</v>
      </c>
      <c r="G617">
        <v>17</v>
      </c>
      <c r="H617">
        <v>11</v>
      </c>
      <c r="I617">
        <v>0.6</v>
      </c>
      <c r="J617">
        <v>0.65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1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1</v>
      </c>
      <c r="Y617">
        <v>1</v>
      </c>
      <c r="Z617">
        <v>0</v>
      </c>
      <c r="AA617" s="86">
        <f>AVERAGEIFS($C$2:C617, $B$2:B617, B617)</f>
        <v>26.558139534883722</v>
      </c>
      <c r="AB617" s="86">
        <f>AVERAGEIFS($I$2:I617, $B$2:B617, B617)</f>
        <v>0.56860465116279069</v>
      </c>
      <c r="AC617" s="86">
        <f>AVERAGEIFS($J$2:J617, $B$2:B617, B617)</f>
        <v>0.5481395348837208</v>
      </c>
      <c r="AD617" s="86">
        <f>AVERAGEIFS($D$2:D617, $B$2:B617, B617)</f>
        <v>0.65116279069767447</v>
      </c>
    </row>
    <row r="618" spans="1:30" x14ac:dyDescent="0.25">
      <c r="A618" s="85">
        <v>46121</v>
      </c>
      <c r="B618" t="s">
        <v>17</v>
      </c>
      <c r="C618">
        <v>38</v>
      </c>
      <c r="D618" s="86">
        <v>1</v>
      </c>
      <c r="E618">
        <v>5</v>
      </c>
      <c r="F618">
        <v>3</v>
      </c>
      <c r="G618">
        <v>17</v>
      </c>
      <c r="H618">
        <v>11</v>
      </c>
      <c r="I618">
        <v>0.6</v>
      </c>
      <c r="J618">
        <v>0.65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1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1</v>
      </c>
      <c r="Y618">
        <v>1</v>
      </c>
      <c r="Z618">
        <v>0</v>
      </c>
      <c r="AA618" s="86">
        <f>AVERAGEIFS($C$2:C618, $B$2:B618, B618)</f>
        <v>25.875</v>
      </c>
      <c r="AB618" s="86">
        <f>AVERAGEIFS($I$2:I618, $B$2:B618, B618)</f>
        <v>0.49500000000000011</v>
      </c>
      <c r="AC618" s="86">
        <f>AVERAGEIFS($J$2:J618, $B$2:B618, B618)</f>
        <v>0.51024999999999987</v>
      </c>
      <c r="AD618" s="86">
        <f>AVERAGEIFS($D$2:D618, $B$2:B618, B618)</f>
        <v>0.4</v>
      </c>
    </row>
    <row r="619" spans="1:30" x14ac:dyDescent="0.25">
      <c r="A619" s="85">
        <v>46121</v>
      </c>
      <c r="B619" t="s">
        <v>150</v>
      </c>
      <c r="C619">
        <v>15</v>
      </c>
      <c r="D619" s="86">
        <v>1</v>
      </c>
      <c r="E619">
        <v>5</v>
      </c>
      <c r="F619">
        <v>3</v>
      </c>
      <c r="G619">
        <v>17</v>
      </c>
      <c r="H619">
        <v>11</v>
      </c>
      <c r="I619">
        <v>0.6</v>
      </c>
      <c r="J619">
        <v>0.65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1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1</v>
      </c>
      <c r="Y619">
        <v>1</v>
      </c>
      <c r="Z619">
        <v>0</v>
      </c>
      <c r="AA619" s="86">
        <f>AVERAGEIFS($C$2:C619, $B$2:B619, B619)</f>
        <v>12.666666666666666</v>
      </c>
      <c r="AB619" s="86">
        <f>AVERAGEIFS($I$2:I619, $B$2:B619, B619)</f>
        <v>0.70000000000000007</v>
      </c>
      <c r="AC619" s="86">
        <f>AVERAGEIFS($J$2:J619, $B$2:B619, B619)</f>
        <v>0.67333333333333334</v>
      </c>
      <c r="AD619" s="86">
        <f>AVERAGEIFS($D$2:D619, $B$2:B619, B619)</f>
        <v>1</v>
      </c>
    </row>
    <row r="620" spans="1:30" x14ac:dyDescent="0.25">
      <c r="A620" s="85">
        <v>46121</v>
      </c>
      <c r="B620" t="s">
        <v>38</v>
      </c>
      <c r="C620">
        <v>11</v>
      </c>
      <c r="D620" s="86">
        <v>1</v>
      </c>
      <c r="E620">
        <v>5</v>
      </c>
      <c r="F620">
        <v>3</v>
      </c>
      <c r="G620">
        <v>17</v>
      </c>
      <c r="H620">
        <v>11</v>
      </c>
      <c r="I620">
        <v>0.6</v>
      </c>
      <c r="J620">
        <v>0.65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1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1</v>
      </c>
      <c r="Y620">
        <v>1</v>
      </c>
      <c r="Z620">
        <v>0</v>
      </c>
      <c r="AA620" s="86">
        <f>AVERAGEIFS($C$2:C620, $B$2:B620, B620)</f>
        <v>5.375</v>
      </c>
      <c r="AB620" s="86">
        <f>AVERAGEIFS($I$2:I620, $B$2:B620, B620)</f>
        <v>0.38750000000000001</v>
      </c>
      <c r="AC620" s="86">
        <f>AVERAGEIFS($J$2:J620, $B$2:B620, B620)</f>
        <v>0.43874999999999997</v>
      </c>
      <c r="AD620" s="86">
        <f>AVERAGEIFS($D$2:D620, $B$2:B620, B620)</f>
        <v>0.375</v>
      </c>
    </row>
    <row r="621" spans="1:30" x14ac:dyDescent="0.25">
      <c r="A621" s="85">
        <v>46121</v>
      </c>
      <c r="B621" t="s">
        <v>1</v>
      </c>
      <c r="C621">
        <v>13</v>
      </c>
      <c r="D621" s="86">
        <v>0</v>
      </c>
      <c r="E621">
        <v>5</v>
      </c>
      <c r="F621">
        <v>2</v>
      </c>
      <c r="G621">
        <v>17</v>
      </c>
      <c r="H621">
        <v>6</v>
      </c>
      <c r="I621">
        <v>0.4</v>
      </c>
      <c r="J621">
        <v>0.35</v>
      </c>
      <c r="K621">
        <v>0</v>
      </c>
      <c r="L621">
        <v>0</v>
      </c>
      <c r="M621">
        <v>0</v>
      </c>
      <c r="N621">
        <v>1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1</v>
      </c>
      <c r="X621">
        <v>0</v>
      </c>
      <c r="Y621">
        <v>0</v>
      </c>
      <c r="Z621">
        <v>0</v>
      </c>
      <c r="AA621" s="86">
        <f>AVERAGEIFS($C$2:C621, $B$2:B621, B621)</f>
        <v>23.75</v>
      </c>
      <c r="AB621" s="86">
        <f>AVERAGEIFS($I$2:I621, $B$2:B621, B621)</f>
        <v>0.51666666666666672</v>
      </c>
      <c r="AC621" s="86">
        <f>AVERAGEIFS($J$2:J621, $B$2:B621, B621)</f>
        <v>0.48249999999999998</v>
      </c>
      <c r="AD621" s="86">
        <f>AVERAGEIFS($D$2:D621, $B$2:B621, B621)</f>
        <v>0.58333333333333337</v>
      </c>
    </row>
    <row r="622" spans="1:30" x14ac:dyDescent="0.25">
      <c r="A622" s="85">
        <v>46121</v>
      </c>
      <c r="B622" t="s">
        <v>29</v>
      </c>
      <c r="C622">
        <v>13</v>
      </c>
      <c r="D622" s="86">
        <v>0</v>
      </c>
      <c r="E622">
        <v>5</v>
      </c>
      <c r="F622">
        <v>2</v>
      </c>
      <c r="G622">
        <v>17</v>
      </c>
      <c r="H622">
        <v>6</v>
      </c>
      <c r="I622">
        <v>0.4</v>
      </c>
      <c r="J622">
        <v>0.35</v>
      </c>
      <c r="K622">
        <v>0</v>
      </c>
      <c r="L622">
        <v>0</v>
      </c>
      <c r="M622">
        <v>0</v>
      </c>
      <c r="N622">
        <v>1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1</v>
      </c>
      <c r="X622">
        <v>0</v>
      </c>
      <c r="Y622">
        <v>0</v>
      </c>
      <c r="Z622">
        <v>0</v>
      </c>
      <c r="AA622" s="86">
        <f>AVERAGEIFS($C$2:C622, $B$2:B622, B622)</f>
        <v>10.40625</v>
      </c>
      <c r="AB622" s="86">
        <f>AVERAGEIFS($I$2:I622, $B$2:B622, B622)</f>
        <v>0.49531250000000004</v>
      </c>
      <c r="AC622" s="86">
        <f>AVERAGEIFS($J$2:J622, $B$2:B622, B622)</f>
        <v>0.50750000000000006</v>
      </c>
      <c r="AD622" s="86">
        <f>AVERAGEIFS($D$2:D622, $B$2:B622, B622)</f>
        <v>0.46875</v>
      </c>
    </row>
    <row r="623" spans="1:30" x14ac:dyDescent="0.25">
      <c r="A623" s="85">
        <v>46121</v>
      </c>
      <c r="B623" t="s">
        <v>14</v>
      </c>
      <c r="C623">
        <v>30</v>
      </c>
      <c r="D623" s="86">
        <v>0</v>
      </c>
      <c r="E623">
        <v>5</v>
      </c>
      <c r="F623">
        <v>2</v>
      </c>
      <c r="G623">
        <v>17</v>
      </c>
      <c r="H623">
        <v>6</v>
      </c>
      <c r="I623">
        <v>0.4</v>
      </c>
      <c r="J623">
        <v>0.35</v>
      </c>
      <c r="K623">
        <v>0</v>
      </c>
      <c r="L623">
        <v>0</v>
      </c>
      <c r="M623">
        <v>0</v>
      </c>
      <c r="N623">
        <v>1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1</v>
      </c>
      <c r="X623">
        <v>0</v>
      </c>
      <c r="Y623">
        <v>0</v>
      </c>
      <c r="Z623">
        <v>0</v>
      </c>
      <c r="AA623" s="86">
        <f>AVERAGEIFS($C$2:C623, $B$2:B623, B623)</f>
        <v>25.058823529411764</v>
      </c>
      <c r="AB623" s="86">
        <f>AVERAGEIFS($I$2:I623, $B$2:B623, B623)</f>
        <v>0.52647058823529402</v>
      </c>
      <c r="AC623" s="86">
        <f>AVERAGEIFS($J$2:J623, $B$2:B623, B623)</f>
        <v>0.50794117647058834</v>
      </c>
      <c r="AD623" s="86">
        <f>AVERAGEIFS($D$2:D623, $B$2:B623, B623)</f>
        <v>0.52941176470588236</v>
      </c>
    </row>
    <row r="624" spans="1:30" x14ac:dyDescent="0.25">
      <c r="A624" s="85">
        <v>46121</v>
      </c>
      <c r="B624" t="s">
        <v>40</v>
      </c>
      <c r="C624">
        <v>18</v>
      </c>
      <c r="D624" s="86">
        <v>0</v>
      </c>
      <c r="E624">
        <v>5</v>
      </c>
      <c r="F624">
        <v>2</v>
      </c>
      <c r="G624">
        <v>17</v>
      </c>
      <c r="H624">
        <v>6</v>
      </c>
      <c r="I624">
        <v>0.4</v>
      </c>
      <c r="J624">
        <v>0.35</v>
      </c>
      <c r="K624">
        <v>0</v>
      </c>
      <c r="L624">
        <v>0</v>
      </c>
      <c r="M624">
        <v>0</v>
      </c>
      <c r="N624">
        <v>1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1</v>
      </c>
      <c r="X624">
        <v>0</v>
      </c>
      <c r="Y624">
        <v>0</v>
      </c>
      <c r="Z624">
        <v>0</v>
      </c>
      <c r="AA624" s="86">
        <f>AVERAGEIFS($C$2:C624, $B$2:B624, B624)</f>
        <v>16.8</v>
      </c>
      <c r="AB624" s="86">
        <f>AVERAGEIFS($I$2:I624, $B$2:B624, B624)</f>
        <v>0.35499999999999998</v>
      </c>
      <c r="AC624" s="86">
        <f>AVERAGEIFS($J$2:J624, $B$2:B624, B624)</f>
        <v>0.38100000000000001</v>
      </c>
      <c r="AD624" s="86">
        <f>AVERAGEIFS($D$2:D624, $B$2:B624, B624)</f>
        <v>0.2</v>
      </c>
    </row>
    <row r="625" spans="1:30" x14ac:dyDescent="0.25">
      <c r="A625" s="85">
        <v>46121</v>
      </c>
      <c r="B625" t="s">
        <v>155</v>
      </c>
      <c r="C625">
        <v>20</v>
      </c>
      <c r="D625" s="86">
        <v>0</v>
      </c>
      <c r="E625">
        <v>5</v>
      </c>
      <c r="F625">
        <v>2</v>
      </c>
      <c r="G625">
        <v>17</v>
      </c>
      <c r="H625">
        <v>6</v>
      </c>
      <c r="I625">
        <v>0.4</v>
      </c>
      <c r="J625">
        <v>0.35</v>
      </c>
      <c r="K625">
        <v>0</v>
      </c>
      <c r="L625">
        <v>0</v>
      </c>
      <c r="M625">
        <v>0</v>
      </c>
      <c r="N625">
        <v>1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1</v>
      </c>
      <c r="X625">
        <v>0</v>
      </c>
      <c r="Y625">
        <v>0</v>
      </c>
      <c r="Z625">
        <v>0</v>
      </c>
      <c r="AA625" s="86">
        <f>AVERAGEIFS($C$2:C625, $B$2:B625, B625)</f>
        <v>13.888888888888889</v>
      </c>
      <c r="AB625" s="86">
        <f>AVERAGEIFS($I$2:I625, $B$2:B625, B625)</f>
        <v>0.37777777777777777</v>
      </c>
      <c r="AC625" s="86">
        <f>AVERAGEIFS($J$2:J625, $B$2:B625, B625)</f>
        <v>0.42666666666666664</v>
      </c>
      <c r="AD625" s="86">
        <f>AVERAGEIFS($D$2:D625, $B$2:B625, B625)</f>
        <v>0.22222222222222221</v>
      </c>
    </row>
    <row r="626" spans="1:30" x14ac:dyDescent="0.25">
      <c r="A626" s="85">
        <v>46121</v>
      </c>
      <c r="B626" t="s">
        <v>148</v>
      </c>
      <c r="C626">
        <v>21</v>
      </c>
      <c r="D626" s="86">
        <v>0</v>
      </c>
      <c r="E626">
        <v>5</v>
      </c>
      <c r="F626">
        <v>2</v>
      </c>
      <c r="G626">
        <v>17</v>
      </c>
      <c r="H626">
        <v>6</v>
      </c>
      <c r="I626">
        <v>0.4</v>
      </c>
      <c r="J626">
        <v>0.35</v>
      </c>
      <c r="K626">
        <v>0</v>
      </c>
      <c r="L626">
        <v>0</v>
      </c>
      <c r="M626">
        <v>0</v>
      </c>
      <c r="N626">
        <v>1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1</v>
      </c>
      <c r="X626">
        <v>0</v>
      </c>
      <c r="Y626">
        <v>0</v>
      </c>
      <c r="Z626">
        <v>0</v>
      </c>
      <c r="AA626" s="86">
        <f>AVERAGEIFS($C$2:C626, $B$2:B626, B626)</f>
        <v>13.5</v>
      </c>
      <c r="AB626" s="86">
        <f>AVERAGEIFS($I$2:I626, $B$2:B626, B626)</f>
        <v>0.5357142857142857</v>
      </c>
      <c r="AC626" s="86">
        <f>AVERAGEIFS($J$2:J626, $B$2:B626, B626)</f>
        <v>0.51500000000000001</v>
      </c>
      <c r="AD626" s="86">
        <f>AVERAGEIFS($D$2:D626, $B$2:B626, B626)</f>
        <v>0.5</v>
      </c>
    </row>
    <row r="627" spans="1:30" x14ac:dyDescent="0.25">
      <c r="A627" s="85">
        <v>46122</v>
      </c>
      <c r="B627" t="s">
        <v>37</v>
      </c>
      <c r="C627">
        <v>25</v>
      </c>
      <c r="D627" s="86">
        <v>1</v>
      </c>
      <c r="E627">
        <v>5</v>
      </c>
      <c r="F627">
        <v>3</v>
      </c>
      <c r="G627">
        <v>22</v>
      </c>
      <c r="H627">
        <v>11</v>
      </c>
      <c r="I627">
        <v>0.6</v>
      </c>
      <c r="J627">
        <v>0.5</v>
      </c>
      <c r="K627">
        <v>0</v>
      </c>
      <c r="L627">
        <v>1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1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1</v>
      </c>
      <c r="Z627">
        <v>0</v>
      </c>
      <c r="AA627" s="86">
        <f>AVERAGEIFS($C$2:C627, $B$2:B627, B627)</f>
        <v>20.421052631578949</v>
      </c>
      <c r="AB627" s="86">
        <f>AVERAGEIFS($I$2:I627, $B$2:B627, B627)</f>
        <v>0.45789473684210524</v>
      </c>
      <c r="AC627" s="86">
        <f>AVERAGEIFS($J$2:J627, $B$2:B627, B627)</f>
        <v>0.47578947368421048</v>
      </c>
      <c r="AD627" s="86">
        <f>AVERAGEIFS($D$2:D627, $B$2:B627, B627)</f>
        <v>0.47368421052631576</v>
      </c>
    </row>
    <row r="628" spans="1:30" x14ac:dyDescent="0.25">
      <c r="A628" s="85">
        <v>46122</v>
      </c>
      <c r="B628" t="s">
        <v>13</v>
      </c>
      <c r="C628">
        <v>17</v>
      </c>
      <c r="D628" s="86">
        <v>1</v>
      </c>
      <c r="E628">
        <v>5</v>
      </c>
      <c r="F628">
        <v>3</v>
      </c>
      <c r="G628">
        <v>22</v>
      </c>
      <c r="H628">
        <v>11</v>
      </c>
      <c r="I628">
        <v>0.6</v>
      </c>
      <c r="J628">
        <v>0.5</v>
      </c>
      <c r="K628">
        <v>0</v>
      </c>
      <c r="L628">
        <v>1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1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1</v>
      </c>
      <c r="Z628">
        <v>0</v>
      </c>
      <c r="AA628" s="86">
        <f>AVERAGEIFS($C$2:C628, $B$2:B628, B628)</f>
        <v>26.34090909090909</v>
      </c>
      <c r="AB628" s="86">
        <f>AVERAGEIFS($I$2:I628, $B$2:B628, B628)</f>
        <v>0.56931818181818183</v>
      </c>
      <c r="AC628" s="86">
        <f>AVERAGEIFS($J$2:J628, $B$2:B628, B628)</f>
        <v>0.5470454545454545</v>
      </c>
      <c r="AD628" s="86">
        <f>AVERAGEIFS($D$2:D628, $B$2:B628, B628)</f>
        <v>0.65909090909090906</v>
      </c>
    </row>
    <row r="629" spans="1:30" x14ac:dyDescent="0.25">
      <c r="A629" s="85">
        <v>46122</v>
      </c>
      <c r="B629" t="s">
        <v>35</v>
      </c>
      <c r="C629">
        <v>14</v>
      </c>
      <c r="D629" s="86">
        <v>1</v>
      </c>
      <c r="E629">
        <v>5</v>
      </c>
      <c r="F629">
        <v>3</v>
      </c>
      <c r="G629">
        <v>22</v>
      </c>
      <c r="H629">
        <v>11</v>
      </c>
      <c r="I629">
        <v>0.6</v>
      </c>
      <c r="J629">
        <v>0.5</v>
      </c>
      <c r="K629">
        <v>0</v>
      </c>
      <c r="L629">
        <v>1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1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1</v>
      </c>
      <c r="Z629">
        <v>0</v>
      </c>
      <c r="AA629" s="86">
        <f>AVERAGEIFS($C$2:C629, $B$2:B629, B629)</f>
        <v>11.9</v>
      </c>
      <c r="AB629" s="86">
        <f>AVERAGEIFS($I$2:I629, $B$2:B629, B629)</f>
        <v>0.47000000000000003</v>
      </c>
      <c r="AC629" s="86">
        <f>AVERAGEIFS($J$2:J629, $B$2:B629, B629)</f>
        <v>0.4870000000000001</v>
      </c>
      <c r="AD629" s="86">
        <f>AVERAGEIFS($D$2:D629, $B$2:B629, B629)</f>
        <v>0.55000000000000004</v>
      </c>
    </row>
    <row r="630" spans="1:30" x14ac:dyDescent="0.25">
      <c r="A630" s="85">
        <v>46122</v>
      </c>
      <c r="B630" t="s">
        <v>154</v>
      </c>
      <c r="C630">
        <v>11</v>
      </c>
      <c r="D630" s="86">
        <v>1</v>
      </c>
      <c r="E630">
        <v>5</v>
      </c>
      <c r="F630">
        <v>3</v>
      </c>
      <c r="G630">
        <v>22</v>
      </c>
      <c r="H630">
        <v>11</v>
      </c>
      <c r="I630">
        <v>0.6</v>
      </c>
      <c r="J630">
        <v>0.5</v>
      </c>
      <c r="K630">
        <v>0</v>
      </c>
      <c r="L630">
        <v>1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1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1</v>
      </c>
      <c r="Z630">
        <v>0</v>
      </c>
      <c r="AA630" s="86">
        <f>AVERAGEIFS($C$2:C630, $B$2:B630, B630)</f>
        <v>11.2</v>
      </c>
      <c r="AB630" s="86">
        <f>AVERAGEIFS($I$2:I630, $B$2:B630, B630)</f>
        <v>0.59000000000000008</v>
      </c>
      <c r="AC630" s="86">
        <f>AVERAGEIFS($J$2:J630, $B$2:B630, B630)</f>
        <v>0.54</v>
      </c>
      <c r="AD630" s="86">
        <f>AVERAGEIFS($D$2:D630, $B$2:B630, B630)</f>
        <v>0.8</v>
      </c>
    </row>
    <row r="631" spans="1:30" x14ac:dyDescent="0.25">
      <c r="A631" s="85">
        <v>46122</v>
      </c>
      <c r="B631" t="s">
        <v>148</v>
      </c>
      <c r="C631">
        <v>12</v>
      </c>
      <c r="D631" s="86">
        <v>1</v>
      </c>
      <c r="E631">
        <v>5</v>
      </c>
      <c r="F631">
        <v>3</v>
      </c>
      <c r="G631">
        <v>22</v>
      </c>
      <c r="H631">
        <v>11</v>
      </c>
      <c r="I631">
        <v>0.6</v>
      </c>
      <c r="J631">
        <v>0.5</v>
      </c>
      <c r="K631">
        <v>0</v>
      </c>
      <c r="L631">
        <v>1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1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1</v>
      </c>
      <c r="Z631">
        <v>0</v>
      </c>
      <c r="AA631" s="86">
        <f>AVERAGEIFS($C$2:C631, $B$2:B631, B631)</f>
        <v>13.4</v>
      </c>
      <c r="AB631" s="86">
        <f>AVERAGEIFS($I$2:I631, $B$2:B631, B631)</f>
        <v>0.53999999999999992</v>
      </c>
      <c r="AC631" s="86">
        <f>AVERAGEIFS($J$2:J631, $B$2:B631, B631)</f>
        <v>0.51400000000000001</v>
      </c>
      <c r="AD631" s="86">
        <f>AVERAGEIFS($D$2:D631, $B$2:B631, B631)</f>
        <v>0.53333333333333333</v>
      </c>
    </row>
    <row r="632" spans="1:30" x14ac:dyDescent="0.25">
      <c r="A632" s="85">
        <v>46122</v>
      </c>
      <c r="B632" t="s">
        <v>4</v>
      </c>
      <c r="C632">
        <v>17</v>
      </c>
      <c r="D632" s="86">
        <v>0</v>
      </c>
      <c r="E632">
        <v>5</v>
      </c>
      <c r="F632">
        <v>2</v>
      </c>
      <c r="G632">
        <v>22</v>
      </c>
      <c r="H632">
        <v>11</v>
      </c>
      <c r="I632">
        <v>0.4</v>
      </c>
      <c r="J632">
        <v>0.5</v>
      </c>
      <c r="K632">
        <v>0</v>
      </c>
      <c r="L632">
        <v>0</v>
      </c>
      <c r="M632">
        <v>1</v>
      </c>
      <c r="N632">
        <v>0</v>
      </c>
      <c r="O632">
        <v>0</v>
      </c>
      <c r="P632">
        <v>0</v>
      </c>
      <c r="Q632">
        <v>1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 s="86">
        <f>AVERAGEIFS($C$2:C632, $B$2:B632, B632)</f>
        <v>19.285714285714285</v>
      </c>
      <c r="AB632" s="86">
        <f>AVERAGEIFS($I$2:I632, $B$2:B632, B632)</f>
        <v>0.47857142857142859</v>
      </c>
      <c r="AC632" s="86">
        <f>AVERAGEIFS($J$2:J632, $B$2:B632, B632)</f>
        <v>0.48000000000000004</v>
      </c>
      <c r="AD632" s="86">
        <f>AVERAGEIFS($D$2:D632, $B$2:B632, B632)</f>
        <v>0.5714285714285714</v>
      </c>
    </row>
    <row r="633" spans="1:30" x14ac:dyDescent="0.25">
      <c r="A633" s="85">
        <v>46122</v>
      </c>
      <c r="B633" t="s">
        <v>152</v>
      </c>
      <c r="C633">
        <v>18</v>
      </c>
      <c r="D633" s="86">
        <v>0</v>
      </c>
      <c r="E633">
        <v>5</v>
      </c>
      <c r="F633">
        <v>2</v>
      </c>
      <c r="G633">
        <v>22</v>
      </c>
      <c r="H633">
        <v>11</v>
      </c>
      <c r="I633">
        <v>0.4</v>
      </c>
      <c r="J633">
        <v>0.5</v>
      </c>
      <c r="K633">
        <v>0</v>
      </c>
      <c r="L633">
        <v>0</v>
      </c>
      <c r="M633">
        <v>1</v>
      </c>
      <c r="N633">
        <v>0</v>
      </c>
      <c r="O633">
        <v>0</v>
      </c>
      <c r="P633">
        <v>0</v>
      </c>
      <c r="Q633">
        <v>1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 s="86">
        <f>AVERAGEIFS($C$2:C633, $B$2:B633, B633)</f>
        <v>18.5</v>
      </c>
      <c r="AB633" s="86">
        <f>AVERAGEIFS($I$2:I633, $B$2:B633, B633)</f>
        <v>0.4</v>
      </c>
      <c r="AC633" s="86">
        <f>AVERAGEIFS($J$2:J633, $B$2:B633, B633)</f>
        <v>0.44</v>
      </c>
      <c r="AD633" s="86">
        <f>AVERAGEIFS($D$2:D633, $B$2:B633, B633)</f>
        <v>0</v>
      </c>
    </row>
    <row r="634" spans="1:30" x14ac:dyDescent="0.25">
      <c r="A634" s="85">
        <v>46122</v>
      </c>
      <c r="B634" t="s">
        <v>155</v>
      </c>
      <c r="C634">
        <v>16</v>
      </c>
      <c r="D634" s="86">
        <v>0</v>
      </c>
      <c r="E634">
        <v>5</v>
      </c>
      <c r="F634">
        <v>2</v>
      </c>
      <c r="G634">
        <v>22</v>
      </c>
      <c r="H634">
        <v>11</v>
      </c>
      <c r="I634">
        <v>0.4</v>
      </c>
      <c r="J634">
        <v>0.5</v>
      </c>
      <c r="K634">
        <v>0</v>
      </c>
      <c r="L634">
        <v>0</v>
      </c>
      <c r="M634">
        <v>1</v>
      </c>
      <c r="N634">
        <v>0</v>
      </c>
      <c r="O634">
        <v>0</v>
      </c>
      <c r="P634">
        <v>0</v>
      </c>
      <c r="Q634">
        <v>1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 s="86">
        <f>AVERAGEIFS($C$2:C634, $B$2:B634, B634)</f>
        <v>14.1</v>
      </c>
      <c r="AB634" s="86">
        <f>AVERAGEIFS($I$2:I634, $B$2:B634, B634)</f>
        <v>0.38</v>
      </c>
      <c r="AC634" s="86">
        <f>AVERAGEIFS($J$2:J634, $B$2:B634, B634)</f>
        <v>0.434</v>
      </c>
      <c r="AD634" s="86">
        <f>AVERAGEIFS($D$2:D634, $B$2:B634, B634)</f>
        <v>0.2</v>
      </c>
    </row>
    <row r="635" spans="1:30" x14ac:dyDescent="0.25">
      <c r="A635" s="85">
        <v>46122</v>
      </c>
      <c r="B635" t="s">
        <v>40</v>
      </c>
      <c r="C635">
        <v>14</v>
      </c>
      <c r="D635" s="86">
        <v>0</v>
      </c>
      <c r="E635">
        <v>5</v>
      </c>
      <c r="F635">
        <v>2</v>
      </c>
      <c r="G635">
        <v>22</v>
      </c>
      <c r="H635">
        <v>11</v>
      </c>
      <c r="I635">
        <v>0.4</v>
      </c>
      <c r="J635">
        <v>0.5</v>
      </c>
      <c r="K635">
        <v>0</v>
      </c>
      <c r="L635">
        <v>0</v>
      </c>
      <c r="M635">
        <v>1</v>
      </c>
      <c r="N635">
        <v>0</v>
      </c>
      <c r="O635">
        <v>0</v>
      </c>
      <c r="P635">
        <v>0</v>
      </c>
      <c r="Q635">
        <v>1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 s="86">
        <f>AVERAGEIFS($C$2:C635, $B$2:B635, B635)</f>
        <v>16.545454545454547</v>
      </c>
      <c r="AB635" s="86">
        <f>AVERAGEIFS($I$2:I635, $B$2:B635, B635)</f>
        <v>0.35909090909090907</v>
      </c>
      <c r="AC635" s="86">
        <f>AVERAGEIFS($J$2:J635, $B$2:B635, B635)</f>
        <v>0.39181818181818184</v>
      </c>
      <c r="AD635" s="86">
        <f>AVERAGEIFS($D$2:D635, $B$2:B635, B635)</f>
        <v>0.18181818181818182</v>
      </c>
    </row>
    <row r="636" spans="1:30" x14ac:dyDescent="0.25">
      <c r="A636" s="85">
        <v>46122</v>
      </c>
      <c r="B636" t="s">
        <v>6</v>
      </c>
      <c r="C636">
        <v>19</v>
      </c>
      <c r="D636" s="86">
        <v>0</v>
      </c>
      <c r="E636">
        <v>5</v>
      </c>
      <c r="F636">
        <v>2</v>
      </c>
      <c r="G636">
        <v>22</v>
      </c>
      <c r="H636">
        <v>11</v>
      </c>
      <c r="I636">
        <v>0.4</v>
      </c>
      <c r="J636">
        <v>0.5</v>
      </c>
      <c r="K636">
        <v>0</v>
      </c>
      <c r="L636">
        <v>0</v>
      </c>
      <c r="M636">
        <v>1</v>
      </c>
      <c r="N636">
        <v>0</v>
      </c>
      <c r="O636">
        <v>0</v>
      </c>
      <c r="P636">
        <v>0</v>
      </c>
      <c r="Q636">
        <v>1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 s="86">
        <f>AVERAGEIFS($C$2:C636, $B$2:B636, B636)</f>
        <v>23</v>
      </c>
      <c r="AB636" s="86">
        <f>AVERAGEIFS($I$2:I636, $B$2:B636, B636)</f>
        <v>0.60238095238095235</v>
      </c>
      <c r="AC636" s="86">
        <f>AVERAGEIFS($J$2:J636, $B$2:B636, B636)</f>
        <v>0.54714285714285715</v>
      </c>
      <c r="AD636" s="86">
        <f>AVERAGEIFS($D$2:D636, $B$2:B636, B636)</f>
        <v>0.7142857142857143</v>
      </c>
    </row>
    <row r="637" spans="1:30" x14ac:dyDescent="0.25">
      <c r="A637" s="85">
        <v>46123</v>
      </c>
      <c r="B637" t="s">
        <v>14</v>
      </c>
      <c r="C637">
        <v>10</v>
      </c>
      <c r="D637" s="86">
        <v>0</v>
      </c>
      <c r="E637">
        <v>3</v>
      </c>
      <c r="F637">
        <v>0</v>
      </c>
      <c r="G637">
        <v>12</v>
      </c>
      <c r="H637">
        <v>3</v>
      </c>
      <c r="I637">
        <v>0</v>
      </c>
      <c r="J637">
        <v>0.25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 s="86">
        <f>AVERAGEIFS($C$2:C637, $B$2:B637, B637)</f>
        <v>24.62857142857143</v>
      </c>
      <c r="AB637" s="86">
        <f>AVERAGEIFS($I$2:I637, $B$2:B637, B637)</f>
        <v>0.51142857142857134</v>
      </c>
      <c r="AC637" s="86">
        <f>AVERAGEIFS($J$2:J637, $B$2:B637, B637)</f>
        <v>0.50057142857142867</v>
      </c>
      <c r="AD637" s="86">
        <f>AVERAGEIFS($D$2:D637, $B$2:B637, B637)</f>
        <v>0.51428571428571423</v>
      </c>
    </row>
    <row r="638" spans="1:30" x14ac:dyDescent="0.25">
      <c r="A638" s="85">
        <v>46123</v>
      </c>
      <c r="B638" t="s">
        <v>37</v>
      </c>
      <c r="C638">
        <v>14</v>
      </c>
      <c r="D638" s="86">
        <v>0</v>
      </c>
      <c r="E638">
        <v>3</v>
      </c>
      <c r="F638">
        <v>0</v>
      </c>
      <c r="G638">
        <v>12</v>
      </c>
      <c r="H638">
        <v>3</v>
      </c>
      <c r="I638">
        <v>0</v>
      </c>
      <c r="J638">
        <v>0.25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 s="86">
        <f>AVERAGEIFS($C$2:C638, $B$2:B638, B638)</f>
        <v>20.100000000000001</v>
      </c>
      <c r="AB638" s="86">
        <f>AVERAGEIFS($I$2:I638, $B$2:B638, B638)</f>
        <v>0.43499999999999994</v>
      </c>
      <c r="AC638" s="86">
        <f>AVERAGEIFS($J$2:J638, $B$2:B638, B638)</f>
        <v>0.46449999999999997</v>
      </c>
      <c r="AD638" s="86">
        <f>AVERAGEIFS($D$2:D638, $B$2:B638, B638)</f>
        <v>0.45</v>
      </c>
    </row>
    <row r="639" spans="1:30" x14ac:dyDescent="0.25">
      <c r="A639" s="85">
        <v>46123</v>
      </c>
      <c r="B639" t="s">
        <v>4</v>
      </c>
      <c r="C639">
        <v>18</v>
      </c>
      <c r="D639" s="86">
        <v>0</v>
      </c>
      <c r="E639">
        <v>3</v>
      </c>
      <c r="F639">
        <v>0</v>
      </c>
      <c r="G639">
        <v>12</v>
      </c>
      <c r="H639">
        <v>3</v>
      </c>
      <c r="I639">
        <v>0</v>
      </c>
      <c r="J639">
        <v>0.25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 s="86">
        <f>AVERAGEIFS($C$2:C639, $B$2:B639, B639)</f>
        <v>19.125</v>
      </c>
      <c r="AB639" s="86">
        <f>AVERAGEIFS($I$2:I639, $B$2:B639, B639)</f>
        <v>0.41875000000000001</v>
      </c>
      <c r="AC639" s="86">
        <f>AVERAGEIFS($J$2:J639, $B$2:B639, B639)</f>
        <v>0.45125000000000004</v>
      </c>
      <c r="AD639" s="86">
        <f>AVERAGEIFS($D$2:D639, $B$2:B639, B639)</f>
        <v>0.5</v>
      </c>
    </row>
    <row r="640" spans="1:30" x14ac:dyDescent="0.25">
      <c r="A640" s="85">
        <v>46123</v>
      </c>
      <c r="B640" t="s">
        <v>113</v>
      </c>
      <c r="C640">
        <v>15</v>
      </c>
      <c r="D640" s="86">
        <v>0</v>
      </c>
      <c r="E640">
        <v>3</v>
      </c>
      <c r="F640">
        <v>0</v>
      </c>
      <c r="G640">
        <v>12</v>
      </c>
      <c r="H640">
        <v>3</v>
      </c>
      <c r="I640">
        <v>0</v>
      </c>
      <c r="J640">
        <v>0.25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 s="86">
        <f>AVERAGEIFS($C$2:C640, $B$2:B640, B640)</f>
        <v>15.333333333333334</v>
      </c>
      <c r="AB640" s="86">
        <f>AVERAGEIFS($I$2:I640, $B$2:B640, B640)</f>
        <v>0.4916666666666667</v>
      </c>
      <c r="AC640" s="86">
        <f>AVERAGEIFS($J$2:J640, $B$2:B640, B640)</f>
        <v>0.47499999999999992</v>
      </c>
      <c r="AD640" s="86">
        <f>AVERAGEIFS($D$2:D640, $B$2:B640, B640)</f>
        <v>0.66666666666666663</v>
      </c>
    </row>
    <row r="641" spans="1:30" x14ac:dyDescent="0.25">
      <c r="A641" s="85">
        <v>46123</v>
      </c>
      <c r="B641" t="s">
        <v>152</v>
      </c>
      <c r="C641">
        <v>10</v>
      </c>
      <c r="D641" s="86">
        <v>0</v>
      </c>
      <c r="E641">
        <v>3</v>
      </c>
      <c r="F641">
        <v>0</v>
      </c>
      <c r="G641">
        <v>12</v>
      </c>
      <c r="H641">
        <v>3</v>
      </c>
      <c r="I641">
        <v>0</v>
      </c>
      <c r="J641">
        <v>0.25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 s="86">
        <f>AVERAGEIFS($C$2:C641, $B$2:B641, B641)</f>
        <v>15.666666666666666</v>
      </c>
      <c r="AB641" s="86">
        <f>AVERAGEIFS($I$2:I641, $B$2:B641, B641)</f>
        <v>0.26666666666666666</v>
      </c>
      <c r="AC641" s="86">
        <f>AVERAGEIFS($J$2:J641, $B$2:B641, B641)</f>
        <v>0.37666666666666665</v>
      </c>
      <c r="AD641" s="86">
        <f>AVERAGEIFS($D$2:D641, $B$2:B641, B641)</f>
        <v>0</v>
      </c>
    </row>
    <row r="642" spans="1:30" x14ac:dyDescent="0.25">
      <c r="A642" s="85">
        <v>46123</v>
      </c>
      <c r="B642" t="s">
        <v>35</v>
      </c>
      <c r="C642">
        <v>7</v>
      </c>
      <c r="D642" s="86">
        <v>0</v>
      </c>
      <c r="E642">
        <v>3</v>
      </c>
      <c r="F642">
        <v>0</v>
      </c>
      <c r="G642">
        <v>12</v>
      </c>
      <c r="H642">
        <v>3</v>
      </c>
      <c r="I642">
        <v>0</v>
      </c>
      <c r="J642">
        <v>0.25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 s="86">
        <f>AVERAGEIFS($C$2:C642, $B$2:B642, B642)</f>
        <v>11.666666666666666</v>
      </c>
      <c r="AB642" s="86">
        <f>AVERAGEIFS($I$2:I642, $B$2:B642, B642)</f>
        <v>0.44761904761904764</v>
      </c>
      <c r="AC642" s="86">
        <f>AVERAGEIFS($J$2:J642, $B$2:B642, B642)</f>
        <v>0.47571428571428581</v>
      </c>
      <c r="AD642" s="86">
        <f>AVERAGEIFS($D$2:D642, $B$2:B642, B642)</f>
        <v>0.52380952380952384</v>
      </c>
    </row>
    <row r="643" spans="1:30" x14ac:dyDescent="0.25">
      <c r="A643" s="85">
        <v>46123</v>
      </c>
      <c r="B643" t="s">
        <v>13</v>
      </c>
      <c r="C643">
        <v>30</v>
      </c>
      <c r="D643" s="86">
        <v>1</v>
      </c>
      <c r="E643">
        <v>3</v>
      </c>
      <c r="F643">
        <v>3</v>
      </c>
      <c r="G643">
        <v>12</v>
      </c>
      <c r="H643">
        <v>9</v>
      </c>
      <c r="I643">
        <v>1</v>
      </c>
      <c r="J643">
        <v>0.75</v>
      </c>
      <c r="K643">
        <v>1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1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1</v>
      </c>
      <c r="AA643" s="86">
        <f>AVERAGEIFS($C$2:C643, $B$2:B643, B643)</f>
        <v>26.422222222222221</v>
      </c>
      <c r="AB643" s="86">
        <f>AVERAGEIFS($I$2:I643, $B$2:B643, B643)</f>
        <v>0.5788888888888889</v>
      </c>
      <c r="AC643" s="86">
        <f>AVERAGEIFS($J$2:J643, $B$2:B643, B643)</f>
        <v>0.55155555555555547</v>
      </c>
      <c r="AD643" s="86">
        <f>AVERAGEIFS($D$2:D643, $B$2:B643, B643)</f>
        <v>0.66666666666666663</v>
      </c>
    </row>
    <row r="644" spans="1:30" x14ac:dyDescent="0.25">
      <c r="A644" s="85">
        <v>46123</v>
      </c>
      <c r="B644" t="s">
        <v>6</v>
      </c>
      <c r="C644">
        <v>18</v>
      </c>
      <c r="D644" s="86">
        <v>1</v>
      </c>
      <c r="E644">
        <v>3</v>
      </c>
      <c r="F644">
        <v>3</v>
      </c>
      <c r="G644">
        <v>12</v>
      </c>
      <c r="H644">
        <v>9</v>
      </c>
      <c r="I644">
        <v>1</v>
      </c>
      <c r="J644">
        <v>0.75</v>
      </c>
      <c r="K644">
        <v>1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1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1</v>
      </c>
      <c r="AA644" s="86">
        <f>AVERAGEIFS($C$2:C644, $B$2:B644, B644)</f>
        <v>22.772727272727273</v>
      </c>
      <c r="AB644" s="86">
        <f>AVERAGEIFS($I$2:I644, $B$2:B644, B644)</f>
        <v>0.62045454545454537</v>
      </c>
      <c r="AC644" s="86">
        <f>AVERAGEIFS($J$2:J644, $B$2:B644, B644)</f>
        <v>0.55636363636363639</v>
      </c>
      <c r="AD644" s="86">
        <f>AVERAGEIFS($D$2:D644, $B$2:B644, B644)</f>
        <v>0.72727272727272729</v>
      </c>
    </row>
    <row r="645" spans="1:30" x14ac:dyDescent="0.25">
      <c r="A645" s="85">
        <v>46123</v>
      </c>
      <c r="B645" t="s">
        <v>40</v>
      </c>
      <c r="C645">
        <v>13</v>
      </c>
      <c r="D645" s="86">
        <v>1</v>
      </c>
      <c r="E645">
        <v>3</v>
      </c>
      <c r="F645">
        <v>3</v>
      </c>
      <c r="G645">
        <v>12</v>
      </c>
      <c r="H645">
        <v>9</v>
      </c>
      <c r="I645">
        <v>1</v>
      </c>
      <c r="J645">
        <v>0.75</v>
      </c>
      <c r="K645">
        <v>1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1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1</v>
      </c>
      <c r="AA645" s="86">
        <f>AVERAGEIFS($C$2:C645, $B$2:B645, B645)</f>
        <v>16.25</v>
      </c>
      <c r="AB645" s="86">
        <f>AVERAGEIFS($I$2:I645, $B$2:B645, B645)</f>
        <v>0.41249999999999992</v>
      </c>
      <c r="AC645" s="86">
        <f>AVERAGEIFS($J$2:J645, $B$2:B645, B645)</f>
        <v>0.42166666666666669</v>
      </c>
      <c r="AD645" s="86">
        <f>AVERAGEIFS($D$2:D645, $B$2:B645, B645)</f>
        <v>0.25</v>
      </c>
    </row>
    <row r="646" spans="1:30" x14ac:dyDescent="0.25">
      <c r="A646" s="85">
        <v>46123</v>
      </c>
      <c r="B646" t="s">
        <v>154</v>
      </c>
      <c r="C646">
        <v>10</v>
      </c>
      <c r="D646" s="86">
        <v>1</v>
      </c>
      <c r="E646">
        <v>3</v>
      </c>
      <c r="F646">
        <v>3</v>
      </c>
      <c r="G646">
        <v>12</v>
      </c>
      <c r="H646">
        <v>9</v>
      </c>
      <c r="I646">
        <v>1</v>
      </c>
      <c r="J646">
        <v>0.75</v>
      </c>
      <c r="K646">
        <v>1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1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1</v>
      </c>
      <c r="AA646" s="86">
        <f>AVERAGEIFS($C$2:C646, $B$2:B646, B646)</f>
        <v>11</v>
      </c>
      <c r="AB646" s="86">
        <f>AVERAGEIFS($I$2:I646, $B$2:B646, B646)</f>
        <v>0.65833333333333333</v>
      </c>
      <c r="AC646" s="86">
        <f>AVERAGEIFS($J$2:J646, $B$2:B646, B646)</f>
        <v>0.57500000000000007</v>
      </c>
      <c r="AD646" s="86">
        <f>AVERAGEIFS($D$2:D646, $B$2:B646, B646)</f>
        <v>0.83333333333333337</v>
      </c>
    </row>
    <row r="647" spans="1:30" x14ac:dyDescent="0.25">
      <c r="A647" s="85">
        <v>46123</v>
      </c>
      <c r="B647" t="s">
        <v>148</v>
      </c>
      <c r="C647">
        <v>4</v>
      </c>
      <c r="D647" s="86">
        <v>1</v>
      </c>
      <c r="E647">
        <v>3</v>
      </c>
      <c r="F647">
        <v>3</v>
      </c>
      <c r="G647">
        <v>12</v>
      </c>
      <c r="H647">
        <v>9</v>
      </c>
      <c r="I647">
        <v>1</v>
      </c>
      <c r="J647">
        <v>0.75</v>
      </c>
      <c r="K647">
        <v>1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1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1</v>
      </c>
      <c r="AA647" s="86">
        <f>AVERAGEIFS($C$2:C647, $B$2:B647, B647)</f>
        <v>12.8125</v>
      </c>
      <c r="AB647" s="86">
        <f>AVERAGEIFS($I$2:I647, $B$2:B647, B647)</f>
        <v>0.56874999999999998</v>
      </c>
      <c r="AC647" s="86">
        <f>AVERAGEIFS($J$2:J647, $B$2:B647, B647)</f>
        <v>0.52875000000000005</v>
      </c>
      <c r="AD647" s="86">
        <f>AVERAGEIFS($D$2:D647, $B$2:B647, B647)</f>
        <v>0.5625</v>
      </c>
    </row>
    <row r="648" spans="1:30" x14ac:dyDescent="0.25">
      <c r="A648" s="85">
        <v>46123</v>
      </c>
      <c r="B648" t="s">
        <v>147</v>
      </c>
      <c r="C648">
        <v>13</v>
      </c>
      <c r="D648" s="86">
        <v>1</v>
      </c>
      <c r="E648">
        <v>3</v>
      </c>
      <c r="F648">
        <v>3</v>
      </c>
      <c r="G648">
        <v>12</v>
      </c>
      <c r="H648">
        <v>9</v>
      </c>
      <c r="I648">
        <v>1</v>
      </c>
      <c r="J648">
        <v>0.75</v>
      </c>
      <c r="K648">
        <v>1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1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1</v>
      </c>
      <c r="AA648" s="86">
        <f>AVERAGEIFS($C$2:C648, $B$2:B648, B648)</f>
        <v>16.333333333333332</v>
      </c>
      <c r="AB648" s="86">
        <f>AVERAGEIFS($I$2:I648, $B$2:B648, B648)</f>
        <v>0.3666666666666667</v>
      </c>
      <c r="AC648" s="86">
        <f>AVERAGEIFS($J$2:J648, $B$2:B648, B648)</f>
        <v>0.43333333333333335</v>
      </c>
      <c r="AD648" s="86">
        <f>AVERAGEIFS($D$2:D648, $B$2:B648, B648)</f>
        <v>0.16666666666666666</v>
      </c>
    </row>
    <row r="649" spans="1:30" x14ac:dyDescent="0.25">
      <c r="A649" s="85">
        <v>46124</v>
      </c>
      <c r="B649" t="s">
        <v>18</v>
      </c>
      <c r="C649">
        <v>29</v>
      </c>
      <c r="D649" s="86">
        <v>1</v>
      </c>
      <c r="E649">
        <v>5</v>
      </c>
      <c r="F649">
        <v>3</v>
      </c>
      <c r="G649">
        <v>23</v>
      </c>
      <c r="H649">
        <v>11</v>
      </c>
      <c r="I649">
        <v>0.6</v>
      </c>
      <c r="J649">
        <v>0.48</v>
      </c>
      <c r="K649">
        <v>0</v>
      </c>
      <c r="L649">
        <v>0</v>
      </c>
      <c r="M649">
        <v>0</v>
      </c>
      <c r="N649">
        <v>1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1</v>
      </c>
      <c r="Y649">
        <v>0</v>
      </c>
      <c r="Z649">
        <v>1</v>
      </c>
      <c r="AA649" s="86">
        <f>AVERAGEIFS($C$2:C649, $B$2:B649, B649)</f>
        <v>25.38095238095238</v>
      </c>
      <c r="AB649" s="86">
        <f>AVERAGEIFS($I$2:I649, $B$2:B649, B649)</f>
        <v>0.51904761904761909</v>
      </c>
      <c r="AC649" s="86">
        <f>AVERAGEIFS($J$2:J649, $B$2:B649, B649)</f>
        <v>0.50761904761904764</v>
      </c>
      <c r="AD649" s="86">
        <f>AVERAGEIFS($D$2:D649, $B$2:B649, B649)</f>
        <v>0.52380952380952384</v>
      </c>
    </row>
    <row r="650" spans="1:30" x14ac:dyDescent="0.25">
      <c r="A650" s="85">
        <v>46124</v>
      </c>
      <c r="B650" t="s">
        <v>37</v>
      </c>
      <c r="C650">
        <v>26</v>
      </c>
      <c r="D650" s="86">
        <v>1</v>
      </c>
      <c r="E650">
        <v>5</v>
      </c>
      <c r="F650">
        <v>3</v>
      </c>
      <c r="G650">
        <v>23</v>
      </c>
      <c r="H650">
        <v>11</v>
      </c>
      <c r="I650">
        <v>0.6</v>
      </c>
      <c r="J650">
        <v>0.48</v>
      </c>
      <c r="K650">
        <v>0</v>
      </c>
      <c r="L650">
        <v>0</v>
      </c>
      <c r="M650">
        <v>0</v>
      </c>
      <c r="N650">
        <v>1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1</v>
      </c>
      <c r="Y650">
        <v>0</v>
      </c>
      <c r="Z650">
        <v>1</v>
      </c>
      <c r="AA650" s="86">
        <f>AVERAGEIFS($C$2:C650, $B$2:B650, B650)</f>
        <v>20.38095238095238</v>
      </c>
      <c r="AB650" s="86">
        <f>AVERAGEIFS($I$2:I650, $B$2:B650, B650)</f>
        <v>0.44285714285714278</v>
      </c>
      <c r="AC650" s="86">
        <f>AVERAGEIFS($J$2:J650, $B$2:B650, B650)</f>
        <v>0.46523809523809523</v>
      </c>
      <c r="AD650" s="86">
        <f>AVERAGEIFS($D$2:D650, $B$2:B650, B650)</f>
        <v>0.47619047619047616</v>
      </c>
    </row>
    <row r="651" spans="1:30" x14ac:dyDescent="0.25">
      <c r="A651" s="85">
        <v>46124</v>
      </c>
      <c r="B651" t="s">
        <v>25</v>
      </c>
      <c r="C651">
        <v>25</v>
      </c>
      <c r="D651" s="86">
        <v>1</v>
      </c>
      <c r="E651">
        <v>5</v>
      </c>
      <c r="F651">
        <v>3</v>
      </c>
      <c r="G651">
        <v>23</v>
      </c>
      <c r="H651">
        <v>11</v>
      </c>
      <c r="I651">
        <v>0.6</v>
      </c>
      <c r="J651">
        <v>0.48</v>
      </c>
      <c r="K651">
        <v>0</v>
      </c>
      <c r="L651">
        <v>0</v>
      </c>
      <c r="M651">
        <v>0</v>
      </c>
      <c r="N651">
        <v>1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1</v>
      </c>
      <c r="Y651">
        <v>0</v>
      </c>
      <c r="Z651">
        <v>1</v>
      </c>
      <c r="AA651" s="86">
        <f>AVERAGEIFS($C$2:C651, $B$2:B651, B651)</f>
        <v>16.789473684210527</v>
      </c>
      <c r="AB651" s="86">
        <f>AVERAGEIFS($I$2:I651, $B$2:B651, B651)</f>
        <v>0.6</v>
      </c>
      <c r="AC651" s="86">
        <f>AVERAGEIFS($J$2:J651, $B$2:B651, B651)</f>
        <v>0.53894736842105262</v>
      </c>
      <c r="AD651" s="86">
        <f>AVERAGEIFS($D$2:D651, $B$2:B651, B651)</f>
        <v>0.57894736842105265</v>
      </c>
    </row>
    <row r="652" spans="1:30" x14ac:dyDescent="0.25">
      <c r="A652" s="85">
        <v>46124</v>
      </c>
      <c r="B652" t="s">
        <v>17</v>
      </c>
      <c r="C652">
        <v>24</v>
      </c>
      <c r="D652" s="86">
        <v>1</v>
      </c>
      <c r="E652">
        <v>5</v>
      </c>
      <c r="F652">
        <v>3</v>
      </c>
      <c r="G652">
        <v>23</v>
      </c>
      <c r="H652">
        <v>11</v>
      </c>
      <c r="I652">
        <v>0.6</v>
      </c>
      <c r="J652">
        <v>0.48</v>
      </c>
      <c r="K652">
        <v>0</v>
      </c>
      <c r="L652">
        <v>0</v>
      </c>
      <c r="M652">
        <v>0</v>
      </c>
      <c r="N652">
        <v>1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1</v>
      </c>
      <c r="Y652">
        <v>0</v>
      </c>
      <c r="Z652">
        <v>1</v>
      </c>
      <c r="AA652" s="86">
        <f>AVERAGEIFS($C$2:C652, $B$2:B652, B652)</f>
        <v>25.829268292682926</v>
      </c>
      <c r="AB652" s="86">
        <f>AVERAGEIFS($I$2:I652, $B$2:B652, B652)</f>
        <v>0.49756097560975626</v>
      </c>
      <c r="AC652" s="86">
        <f>AVERAGEIFS($J$2:J652, $B$2:B652, B652)</f>
        <v>0.50951219512195101</v>
      </c>
      <c r="AD652" s="86">
        <f>AVERAGEIFS($D$2:D652, $B$2:B652, B652)</f>
        <v>0.41463414634146339</v>
      </c>
    </row>
    <row r="653" spans="1:30" x14ac:dyDescent="0.25">
      <c r="A653" s="85">
        <v>46124</v>
      </c>
      <c r="B653" t="s">
        <v>35</v>
      </c>
      <c r="C653">
        <v>19</v>
      </c>
      <c r="D653" s="86">
        <v>1</v>
      </c>
      <c r="E653">
        <v>5</v>
      </c>
      <c r="F653">
        <v>3</v>
      </c>
      <c r="G653">
        <v>23</v>
      </c>
      <c r="H653">
        <v>11</v>
      </c>
      <c r="I653">
        <v>0.6</v>
      </c>
      <c r="J653">
        <v>0.48</v>
      </c>
      <c r="K653">
        <v>0</v>
      </c>
      <c r="L653">
        <v>0</v>
      </c>
      <c r="M653">
        <v>0</v>
      </c>
      <c r="N653">
        <v>1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1</v>
      </c>
      <c r="Y653">
        <v>0</v>
      </c>
      <c r="Z653">
        <v>1</v>
      </c>
      <c r="AA653" s="86">
        <f>AVERAGEIFS($C$2:C653, $B$2:B653, B653)</f>
        <v>12</v>
      </c>
      <c r="AB653" s="86">
        <f>AVERAGEIFS($I$2:I653, $B$2:B653, B653)</f>
        <v>0.45454545454545453</v>
      </c>
      <c r="AC653" s="86">
        <f>AVERAGEIFS($J$2:J653, $B$2:B653, B653)</f>
        <v>0.475909090909091</v>
      </c>
      <c r="AD653" s="86">
        <f>AVERAGEIFS($D$2:D653, $B$2:B653, B653)</f>
        <v>0.54545454545454541</v>
      </c>
    </row>
    <row r="654" spans="1:30" x14ac:dyDescent="0.25">
      <c r="A654" s="85">
        <v>46124</v>
      </c>
      <c r="B654" t="s">
        <v>148</v>
      </c>
      <c r="C654">
        <v>18</v>
      </c>
      <c r="D654" s="86">
        <v>1</v>
      </c>
      <c r="E654">
        <v>5</v>
      </c>
      <c r="F654">
        <v>3</v>
      </c>
      <c r="G654">
        <v>23</v>
      </c>
      <c r="H654">
        <v>11</v>
      </c>
      <c r="I654">
        <v>0.6</v>
      </c>
      <c r="J654">
        <v>0.48</v>
      </c>
      <c r="K654">
        <v>0</v>
      </c>
      <c r="L654">
        <v>0</v>
      </c>
      <c r="M654">
        <v>0</v>
      </c>
      <c r="N654">
        <v>1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1</v>
      </c>
      <c r="Y654">
        <v>0</v>
      </c>
      <c r="Z654">
        <v>1</v>
      </c>
      <c r="AA654" s="86">
        <f>AVERAGEIFS($C$2:C654, $B$2:B654, B654)</f>
        <v>13.117647058823529</v>
      </c>
      <c r="AB654" s="86">
        <f>AVERAGEIFS($I$2:I654, $B$2:B654, B654)</f>
        <v>0.57058823529411762</v>
      </c>
      <c r="AC654" s="86">
        <f>AVERAGEIFS($J$2:J654, $B$2:B654, B654)</f>
        <v>0.52588235294117658</v>
      </c>
      <c r="AD654" s="86">
        <f>AVERAGEIFS($D$2:D654, $B$2:B654, B654)</f>
        <v>0.58823529411764708</v>
      </c>
    </row>
    <row r="655" spans="1:30" x14ac:dyDescent="0.25">
      <c r="A655" s="85">
        <v>46124</v>
      </c>
      <c r="B655" t="s">
        <v>139</v>
      </c>
      <c r="C655">
        <v>15</v>
      </c>
      <c r="D655" s="86">
        <v>1</v>
      </c>
      <c r="E655">
        <v>5</v>
      </c>
      <c r="F655">
        <v>3</v>
      </c>
      <c r="G655">
        <v>23</v>
      </c>
      <c r="H655">
        <v>11</v>
      </c>
      <c r="I655">
        <v>0.6</v>
      </c>
      <c r="J655">
        <v>0.48</v>
      </c>
      <c r="K655">
        <v>0</v>
      </c>
      <c r="L655">
        <v>0</v>
      </c>
      <c r="M655">
        <v>0</v>
      </c>
      <c r="N655">
        <v>1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1</v>
      </c>
      <c r="Y655">
        <v>0</v>
      </c>
      <c r="Z655">
        <v>1</v>
      </c>
      <c r="AA655" s="86">
        <f>AVERAGEIFS($C$2:C655, $B$2:B655, B655)</f>
        <v>10.5</v>
      </c>
      <c r="AB655" s="86">
        <f>AVERAGEIFS($I$2:I655, $B$2:B655, B655)</f>
        <v>0.57916666666666661</v>
      </c>
      <c r="AC655" s="86">
        <f>AVERAGEIFS($J$2:J655, $B$2:B655, B655)</f>
        <v>0.53833333333333322</v>
      </c>
      <c r="AD655" s="86">
        <f>AVERAGEIFS($D$2:D655, $B$2:B655, B655)</f>
        <v>0.66666666666666663</v>
      </c>
    </row>
    <row r="656" spans="1:30" x14ac:dyDescent="0.25">
      <c r="A656" s="85">
        <v>46124</v>
      </c>
      <c r="B656" t="s">
        <v>38</v>
      </c>
      <c r="C656">
        <v>13</v>
      </c>
      <c r="D656" s="86">
        <v>1</v>
      </c>
      <c r="E656">
        <v>5</v>
      </c>
      <c r="F656">
        <v>3</v>
      </c>
      <c r="G656">
        <v>23</v>
      </c>
      <c r="H656">
        <v>11</v>
      </c>
      <c r="I656">
        <v>0.6</v>
      </c>
      <c r="J656">
        <v>0.48</v>
      </c>
      <c r="K656">
        <v>0</v>
      </c>
      <c r="L656">
        <v>0</v>
      </c>
      <c r="M656">
        <v>0</v>
      </c>
      <c r="N656">
        <v>1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1</v>
      </c>
      <c r="Y656">
        <v>0</v>
      </c>
      <c r="Z656">
        <v>1</v>
      </c>
      <c r="AA656" s="86">
        <f>AVERAGEIFS($C$2:C656, $B$2:B656, B656)</f>
        <v>6.2222222222222223</v>
      </c>
      <c r="AB656" s="86">
        <f>AVERAGEIFS($I$2:I656, $B$2:B656, B656)</f>
        <v>0.41111111111111115</v>
      </c>
      <c r="AC656" s="86">
        <f>AVERAGEIFS($J$2:J656, $B$2:B656, B656)</f>
        <v>0.4433333333333333</v>
      </c>
      <c r="AD656" s="86">
        <f>AVERAGEIFS($D$2:D656, $B$2:B656, B656)</f>
        <v>0.44444444444444442</v>
      </c>
    </row>
    <row r="657" spans="1:30" x14ac:dyDescent="0.25">
      <c r="A657" s="85">
        <v>46124</v>
      </c>
      <c r="B657" t="s">
        <v>13</v>
      </c>
      <c r="C657">
        <v>33</v>
      </c>
      <c r="D657" s="86">
        <v>0</v>
      </c>
      <c r="E657">
        <v>5</v>
      </c>
      <c r="F657">
        <v>2</v>
      </c>
      <c r="G657">
        <v>23</v>
      </c>
      <c r="H657">
        <v>12</v>
      </c>
      <c r="I657">
        <v>0.4</v>
      </c>
      <c r="J657">
        <v>0.52</v>
      </c>
      <c r="K657">
        <v>1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1</v>
      </c>
      <c r="Z657">
        <v>0</v>
      </c>
      <c r="AA657" s="86">
        <f>AVERAGEIFS($C$2:C657, $B$2:B657, B657)</f>
        <v>26.565217391304348</v>
      </c>
      <c r="AB657" s="86">
        <f>AVERAGEIFS($I$2:I657, $B$2:B657, B657)</f>
        <v>0.57499999999999996</v>
      </c>
      <c r="AC657" s="86">
        <f>AVERAGEIFS($J$2:J657, $B$2:B657, B657)</f>
        <v>0.55086956521739128</v>
      </c>
      <c r="AD657" s="86">
        <f>AVERAGEIFS($D$2:D657, $B$2:B657, B657)</f>
        <v>0.65217391304347827</v>
      </c>
    </row>
    <row r="658" spans="1:30" x14ac:dyDescent="0.25">
      <c r="A658" s="85">
        <v>46124</v>
      </c>
      <c r="B658" t="s">
        <v>20</v>
      </c>
      <c r="C658">
        <v>28</v>
      </c>
      <c r="D658" s="86">
        <v>0</v>
      </c>
      <c r="E658">
        <v>5</v>
      </c>
      <c r="F658">
        <v>2</v>
      </c>
      <c r="G658">
        <v>23</v>
      </c>
      <c r="H658">
        <v>12</v>
      </c>
      <c r="I658">
        <v>0.4</v>
      </c>
      <c r="J658">
        <v>0.52</v>
      </c>
      <c r="K658">
        <v>1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1</v>
      </c>
      <c r="Z658">
        <v>0</v>
      </c>
      <c r="AA658" s="86">
        <f>AVERAGEIFS($C$2:C658, $B$2:B658, B658)</f>
        <v>14.25</v>
      </c>
      <c r="AB658" s="86">
        <f>AVERAGEIFS($I$2:I658, $B$2:B658, B658)</f>
        <v>0.48749999999999999</v>
      </c>
      <c r="AC658" s="86">
        <f>AVERAGEIFS($J$2:J658, $B$2:B658, B658)</f>
        <v>0.50250000000000006</v>
      </c>
      <c r="AD658" s="86">
        <f>AVERAGEIFS($D$2:D658, $B$2:B658, B658)</f>
        <v>0.42857142857142855</v>
      </c>
    </row>
    <row r="659" spans="1:30" x14ac:dyDescent="0.25">
      <c r="A659" s="85">
        <v>46124</v>
      </c>
      <c r="B659" t="s">
        <v>155</v>
      </c>
      <c r="C659">
        <v>28</v>
      </c>
      <c r="D659" s="86">
        <v>0</v>
      </c>
      <c r="E659">
        <v>5</v>
      </c>
      <c r="F659">
        <v>2</v>
      </c>
      <c r="G659">
        <v>23</v>
      </c>
      <c r="H659">
        <v>12</v>
      </c>
      <c r="I659">
        <v>0.4</v>
      </c>
      <c r="J659">
        <v>0.52</v>
      </c>
      <c r="K659">
        <v>1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1</v>
      </c>
      <c r="Z659">
        <v>0</v>
      </c>
      <c r="AA659" s="86">
        <f>AVERAGEIFS($C$2:C659, $B$2:B659, B659)</f>
        <v>15.363636363636363</v>
      </c>
      <c r="AB659" s="86">
        <f>AVERAGEIFS($I$2:I659, $B$2:B659, B659)</f>
        <v>0.38181818181818183</v>
      </c>
      <c r="AC659" s="86">
        <f>AVERAGEIFS($J$2:J659, $B$2:B659, B659)</f>
        <v>0.44181818181818178</v>
      </c>
      <c r="AD659" s="86">
        <f>AVERAGEIFS($D$2:D659, $B$2:B659, B659)</f>
        <v>0.18181818181818182</v>
      </c>
    </row>
    <row r="660" spans="1:30" x14ac:dyDescent="0.25">
      <c r="A660" s="85">
        <v>46124</v>
      </c>
      <c r="B660" t="s">
        <v>15</v>
      </c>
      <c r="C660">
        <v>25</v>
      </c>
      <c r="D660" s="86">
        <v>0</v>
      </c>
      <c r="E660">
        <v>5</v>
      </c>
      <c r="F660">
        <v>2</v>
      </c>
      <c r="G660">
        <v>23</v>
      </c>
      <c r="H660">
        <v>12</v>
      </c>
      <c r="I660">
        <v>0.4</v>
      </c>
      <c r="J660">
        <v>0.52</v>
      </c>
      <c r="K660">
        <v>1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1</v>
      </c>
      <c r="Z660">
        <v>0</v>
      </c>
      <c r="AA660" s="86">
        <f>AVERAGEIFS($C$2:C660, $B$2:B660, B660)</f>
        <v>25.2</v>
      </c>
      <c r="AB660" s="86">
        <f>AVERAGEIFS($I$2:I660, $B$2:B660, B660)</f>
        <v>0.45833333333333331</v>
      </c>
      <c r="AC660" s="86">
        <f>AVERAGEIFS($J$2:J660, $B$2:B660, B660)</f>
        <v>0.48266666666666674</v>
      </c>
      <c r="AD660" s="86">
        <f>AVERAGEIFS($D$2:D660, $B$2:B660, B660)</f>
        <v>0.33333333333333331</v>
      </c>
    </row>
    <row r="661" spans="1:30" x14ac:dyDescent="0.25">
      <c r="A661" s="85">
        <v>46124</v>
      </c>
      <c r="B661" t="s">
        <v>26</v>
      </c>
      <c r="C661">
        <v>22</v>
      </c>
      <c r="D661" s="86">
        <v>0</v>
      </c>
      <c r="E661">
        <v>5</v>
      </c>
      <c r="F661">
        <v>2</v>
      </c>
      <c r="G661">
        <v>23</v>
      </c>
      <c r="H661">
        <v>12</v>
      </c>
      <c r="I661">
        <v>0.4</v>
      </c>
      <c r="J661">
        <v>0.52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1</v>
      </c>
      <c r="Z661">
        <v>0</v>
      </c>
      <c r="AA661" s="86">
        <f>AVERAGEIFS($C$2:C661, $B$2:B661, B661)</f>
        <v>12.038461538461538</v>
      </c>
      <c r="AB661" s="86">
        <f>AVERAGEIFS($I$2:I661, $B$2:B661, B661)</f>
        <v>0.63846153846153841</v>
      </c>
      <c r="AC661" s="86">
        <f>AVERAGEIFS($J$2:J661, $B$2:B661, B661)</f>
        <v>0.57038461538461527</v>
      </c>
      <c r="AD661" s="86">
        <f>AVERAGEIFS($D$2:D661, $B$2:B661, B661)</f>
        <v>0.69230769230769229</v>
      </c>
    </row>
    <row r="662" spans="1:30" x14ac:dyDescent="0.25">
      <c r="A662" s="85">
        <v>46124</v>
      </c>
      <c r="B662" t="s">
        <v>29</v>
      </c>
      <c r="C662">
        <v>17</v>
      </c>
      <c r="D662" s="86">
        <v>0</v>
      </c>
      <c r="E662">
        <v>5</v>
      </c>
      <c r="F662">
        <v>2</v>
      </c>
      <c r="G662">
        <v>23</v>
      </c>
      <c r="H662">
        <v>12</v>
      </c>
      <c r="I662">
        <v>0.4</v>
      </c>
      <c r="J662">
        <v>0.52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1</v>
      </c>
      <c r="Z662">
        <v>0</v>
      </c>
      <c r="AA662" s="86">
        <f>AVERAGEIFS($C$2:C662, $B$2:B662, B662)</f>
        <v>10.606060606060606</v>
      </c>
      <c r="AB662" s="86">
        <f>AVERAGEIFS($I$2:I662, $B$2:B662, B662)</f>
        <v>0.49242424242424243</v>
      </c>
      <c r="AC662" s="86">
        <f>AVERAGEIFS($J$2:J662, $B$2:B662, B662)</f>
        <v>0.50787878787878793</v>
      </c>
      <c r="AD662" s="86">
        <f>AVERAGEIFS($D$2:D662, $B$2:B662, B662)</f>
        <v>0.45454545454545453</v>
      </c>
    </row>
    <row r="663" spans="1:30" x14ac:dyDescent="0.25">
      <c r="A663" s="85">
        <v>46124</v>
      </c>
      <c r="B663" t="s">
        <v>19</v>
      </c>
      <c r="C663">
        <v>17</v>
      </c>
      <c r="D663" s="86">
        <v>0</v>
      </c>
      <c r="E663">
        <v>5</v>
      </c>
      <c r="F663">
        <v>2</v>
      </c>
      <c r="G663">
        <v>23</v>
      </c>
      <c r="H663">
        <v>12</v>
      </c>
      <c r="I663">
        <v>0.4</v>
      </c>
      <c r="J663">
        <v>0.52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1</v>
      </c>
      <c r="Z663">
        <v>0</v>
      </c>
      <c r="AA663" s="86">
        <f>AVERAGEIFS($C$2:C663, $B$2:B663, B663)</f>
        <v>11.67741935483871</v>
      </c>
      <c r="AB663" s="86">
        <f>AVERAGEIFS($I$2:I663, $B$2:B663, B663)</f>
        <v>0.40322580645161288</v>
      </c>
      <c r="AC663" s="86">
        <f>AVERAGEIFS($J$2:J663, $B$2:B663, B663)</f>
        <v>0.45064516129032262</v>
      </c>
      <c r="AD663" s="86">
        <f>AVERAGEIFS($D$2:D663, $B$2:B663, B663)</f>
        <v>0.38709677419354838</v>
      </c>
    </row>
    <row r="664" spans="1:30" x14ac:dyDescent="0.25">
      <c r="A664" s="85">
        <v>46124</v>
      </c>
      <c r="B664" t="s">
        <v>55</v>
      </c>
      <c r="C664">
        <v>12</v>
      </c>
      <c r="D664" s="86">
        <v>0</v>
      </c>
      <c r="E664">
        <v>5</v>
      </c>
      <c r="F664">
        <v>2</v>
      </c>
      <c r="G664">
        <v>23</v>
      </c>
      <c r="H664">
        <v>12</v>
      </c>
      <c r="I664">
        <v>0.4</v>
      </c>
      <c r="J664">
        <v>0.52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1</v>
      </c>
      <c r="Z664">
        <v>0</v>
      </c>
      <c r="AA664" s="86">
        <f>AVERAGEIFS($C$2:C664, $B$2:B664, B664)</f>
        <v>9.1538461538461533</v>
      </c>
      <c r="AB664" s="86">
        <f>AVERAGEIFS($I$2:I664, $B$2:B664, B664)</f>
        <v>0.53846153846153855</v>
      </c>
      <c r="AC664" s="86">
        <f>AVERAGEIFS($J$2:J664, $B$2:B664, B664)</f>
        <v>0.53230769230769248</v>
      </c>
      <c r="AD664" s="86">
        <f>AVERAGEIFS($D$2:D664, $B$2:B664, B664)</f>
        <v>0.53846153846153844</v>
      </c>
    </row>
    <row r="665" spans="1:30" x14ac:dyDescent="0.25">
      <c r="A665" s="85">
        <v>46125</v>
      </c>
      <c r="B665" t="s">
        <v>17</v>
      </c>
      <c r="C665">
        <v>21</v>
      </c>
      <c r="D665" s="86">
        <v>1</v>
      </c>
      <c r="E665">
        <v>4</v>
      </c>
      <c r="F665">
        <v>3</v>
      </c>
      <c r="G665">
        <v>15</v>
      </c>
      <c r="H665">
        <v>9</v>
      </c>
      <c r="I665">
        <v>0.75</v>
      </c>
      <c r="J665">
        <v>0.6</v>
      </c>
      <c r="K665">
        <v>0</v>
      </c>
      <c r="L665">
        <v>1</v>
      </c>
      <c r="M665">
        <v>0</v>
      </c>
      <c r="N665">
        <v>0</v>
      </c>
      <c r="O665">
        <v>0</v>
      </c>
      <c r="P665">
        <v>0</v>
      </c>
      <c r="Q665">
        <v>1</v>
      </c>
      <c r="R665">
        <v>1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 s="86">
        <f>AVERAGEIFS($C$2:C665, $B$2:B665, B665)</f>
        <v>25.714285714285715</v>
      </c>
      <c r="AB665" s="86">
        <f>AVERAGEIFS($I$2:I665, $B$2:B665, B665)</f>
        <v>0.50357142857142867</v>
      </c>
      <c r="AC665" s="86">
        <f>AVERAGEIFS($J$2:J665, $B$2:B665, B665)</f>
        <v>0.51166666666666649</v>
      </c>
      <c r="AD665" s="86">
        <f>AVERAGEIFS($D$2:D665, $B$2:B665, B665)</f>
        <v>0.42857142857142855</v>
      </c>
    </row>
    <row r="666" spans="1:30" x14ac:dyDescent="0.25">
      <c r="A666" s="85">
        <v>46125</v>
      </c>
      <c r="B666" t="s">
        <v>27</v>
      </c>
      <c r="C666">
        <v>13</v>
      </c>
      <c r="D666" s="86">
        <v>1</v>
      </c>
      <c r="E666">
        <v>4</v>
      </c>
      <c r="F666">
        <v>3</v>
      </c>
      <c r="G666">
        <v>15</v>
      </c>
      <c r="H666">
        <v>9</v>
      </c>
      <c r="I666">
        <v>0.75</v>
      </c>
      <c r="J666">
        <v>0.6</v>
      </c>
      <c r="K666">
        <v>0</v>
      </c>
      <c r="L666">
        <v>1</v>
      </c>
      <c r="M666">
        <v>0</v>
      </c>
      <c r="N666">
        <v>0</v>
      </c>
      <c r="O666">
        <v>0</v>
      </c>
      <c r="P666">
        <v>0</v>
      </c>
      <c r="Q666">
        <v>1</v>
      </c>
      <c r="R666">
        <v>1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 s="86">
        <f>AVERAGEIFS($C$2:C666, $B$2:B666, B666)</f>
        <v>13.545454545454545</v>
      </c>
      <c r="AB666" s="86">
        <f>AVERAGEIFS($I$2:I666, $B$2:B666, B666)</f>
        <v>0.51363636363636356</v>
      </c>
      <c r="AC666" s="86">
        <f>AVERAGEIFS($J$2:J666, $B$2:B666, B666)</f>
        <v>0.51227272727272732</v>
      </c>
      <c r="AD666" s="86">
        <f>AVERAGEIFS($D$2:D666, $B$2:B666, B666)</f>
        <v>0.59090909090909094</v>
      </c>
    </row>
    <row r="667" spans="1:30" x14ac:dyDescent="0.25">
      <c r="A667" s="85">
        <v>46125</v>
      </c>
      <c r="B667" t="s">
        <v>15</v>
      </c>
      <c r="C667">
        <v>13</v>
      </c>
      <c r="D667" s="86">
        <v>1</v>
      </c>
      <c r="E667">
        <v>4</v>
      </c>
      <c r="F667">
        <v>3</v>
      </c>
      <c r="G667">
        <v>15</v>
      </c>
      <c r="H667">
        <v>9</v>
      </c>
      <c r="I667">
        <v>0.75</v>
      </c>
      <c r="J667">
        <v>0.6</v>
      </c>
      <c r="K667">
        <v>0</v>
      </c>
      <c r="L667">
        <v>1</v>
      </c>
      <c r="M667">
        <v>0</v>
      </c>
      <c r="N667">
        <v>0</v>
      </c>
      <c r="O667">
        <v>0</v>
      </c>
      <c r="P667">
        <v>0</v>
      </c>
      <c r="Q667">
        <v>1</v>
      </c>
      <c r="R667">
        <v>1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 s="86">
        <f>AVERAGEIFS($C$2:C667, $B$2:B667, B667)</f>
        <v>24.806451612903224</v>
      </c>
      <c r="AB667" s="86">
        <f>AVERAGEIFS($I$2:I667, $B$2:B667, B667)</f>
        <v>0.46774193548387094</v>
      </c>
      <c r="AC667" s="86">
        <f>AVERAGEIFS($J$2:J667, $B$2:B667, B667)</f>
        <v>0.48645161290322586</v>
      </c>
      <c r="AD667" s="86">
        <f>AVERAGEIFS($D$2:D667, $B$2:B667, B667)</f>
        <v>0.35483870967741937</v>
      </c>
    </row>
    <row r="668" spans="1:30" x14ac:dyDescent="0.25">
      <c r="A668" s="85">
        <v>46125</v>
      </c>
      <c r="B668" t="s">
        <v>25</v>
      </c>
      <c r="C668">
        <v>12</v>
      </c>
      <c r="D668" s="86">
        <v>1</v>
      </c>
      <c r="E668">
        <v>4</v>
      </c>
      <c r="F668">
        <v>3</v>
      </c>
      <c r="G668">
        <v>15</v>
      </c>
      <c r="H668">
        <v>9</v>
      </c>
      <c r="I668">
        <v>0.75</v>
      </c>
      <c r="J668">
        <v>0.6</v>
      </c>
      <c r="K668">
        <v>0</v>
      </c>
      <c r="L668">
        <v>1</v>
      </c>
      <c r="M668">
        <v>0</v>
      </c>
      <c r="N668">
        <v>0</v>
      </c>
      <c r="O668">
        <v>0</v>
      </c>
      <c r="P668">
        <v>0</v>
      </c>
      <c r="Q668">
        <v>1</v>
      </c>
      <c r="R668">
        <v>1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 s="86">
        <f>AVERAGEIFS($C$2:C668, $B$2:B668, B668)</f>
        <v>16.55</v>
      </c>
      <c r="AB668" s="86">
        <f>AVERAGEIFS($I$2:I668, $B$2:B668, B668)</f>
        <v>0.60750000000000004</v>
      </c>
      <c r="AC668" s="86">
        <f>AVERAGEIFS($J$2:J668, $B$2:B668, B668)</f>
        <v>0.54200000000000004</v>
      </c>
      <c r="AD668" s="86">
        <f>AVERAGEIFS($D$2:D668, $B$2:B668, B668)</f>
        <v>0.6</v>
      </c>
    </row>
    <row r="669" spans="1:30" x14ac:dyDescent="0.25">
      <c r="A669" s="85">
        <v>46125</v>
      </c>
      <c r="B669" t="s">
        <v>139</v>
      </c>
      <c r="C669">
        <v>10</v>
      </c>
      <c r="D669" s="86">
        <v>1</v>
      </c>
      <c r="E669">
        <v>4</v>
      </c>
      <c r="F669">
        <v>3</v>
      </c>
      <c r="G669">
        <v>15</v>
      </c>
      <c r="H669">
        <v>9</v>
      </c>
      <c r="I669">
        <v>0.75</v>
      </c>
      <c r="J669">
        <v>0.6</v>
      </c>
      <c r="K669">
        <v>0</v>
      </c>
      <c r="L669">
        <v>1</v>
      </c>
      <c r="M669">
        <v>0</v>
      </c>
      <c r="N669">
        <v>0</v>
      </c>
      <c r="O669">
        <v>0</v>
      </c>
      <c r="P669">
        <v>0</v>
      </c>
      <c r="Q669">
        <v>1</v>
      </c>
      <c r="R669">
        <v>1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 s="86">
        <f>AVERAGEIFS($C$2:C669, $B$2:B669, B669)</f>
        <v>10.461538461538462</v>
      </c>
      <c r="AB669" s="86">
        <f>AVERAGEIFS($I$2:I669, $B$2:B669, B669)</f>
        <v>0.5923076923076922</v>
      </c>
      <c r="AC669" s="86">
        <f>AVERAGEIFS($J$2:J669, $B$2:B669, B669)</f>
        <v>0.54307692307692301</v>
      </c>
      <c r="AD669" s="86">
        <f>AVERAGEIFS($D$2:D669, $B$2:B669, B669)</f>
        <v>0.69230769230769229</v>
      </c>
    </row>
    <row r="670" spans="1:30" x14ac:dyDescent="0.25">
      <c r="A670" s="85">
        <v>46125</v>
      </c>
      <c r="B670" t="s">
        <v>26</v>
      </c>
      <c r="C670">
        <v>9</v>
      </c>
      <c r="D670" s="86">
        <v>1</v>
      </c>
      <c r="E670">
        <v>4</v>
      </c>
      <c r="F670">
        <v>3</v>
      </c>
      <c r="G670">
        <v>15</v>
      </c>
      <c r="H670">
        <v>9</v>
      </c>
      <c r="I670">
        <v>0.75</v>
      </c>
      <c r="J670">
        <v>0.6</v>
      </c>
      <c r="K670">
        <v>0</v>
      </c>
      <c r="L670">
        <v>1</v>
      </c>
      <c r="M670">
        <v>0</v>
      </c>
      <c r="N670">
        <v>0</v>
      </c>
      <c r="O670">
        <v>0</v>
      </c>
      <c r="P670">
        <v>0</v>
      </c>
      <c r="Q670">
        <v>1</v>
      </c>
      <c r="R670">
        <v>1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 s="86">
        <f>AVERAGEIFS($C$2:C670, $B$2:B670, B670)</f>
        <v>11.925925925925926</v>
      </c>
      <c r="AB670" s="86">
        <f>AVERAGEIFS($I$2:I670, $B$2:B670, B670)</f>
        <v>0.64259259259259249</v>
      </c>
      <c r="AC670" s="86">
        <f>AVERAGEIFS($J$2:J670, $B$2:B670, B670)</f>
        <v>0.57148148148148137</v>
      </c>
      <c r="AD670" s="86">
        <f>AVERAGEIFS($D$2:D670, $B$2:B670, B670)</f>
        <v>0.70370370370370372</v>
      </c>
    </row>
    <row r="671" spans="1:30" x14ac:dyDescent="0.25">
      <c r="A671" s="85">
        <v>46125</v>
      </c>
      <c r="B671" t="s">
        <v>18</v>
      </c>
      <c r="C671">
        <v>18</v>
      </c>
      <c r="D671" s="86">
        <v>0</v>
      </c>
      <c r="E671">
        <v>4</v>
      </c>
      <c r="F671">
        <v>1</v>
      </c>
      <c r="G671">
        <v>15</v>
      </c>
      <c r="H671">
        <v>6</v>
      </c>
      <c r="I671">
        <v>0.25</v>
      </c>
      <c r="J671">
        <v>0.4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1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 s="86">
        <f>AVERAGEIFS($C$2:C671, $B$2:B671, B671)</f>
        <v>25.045454545454547</v>
      </c>
      <c r="AB671" s="86">
        <f>AVERAGEIFS($I$2:I671, $B$2:B671, B671)</f>
        <v>0.50681818181818183</v>
      </c>
      <c r="AC671" s="86">
        <f>AVERAGEIFS($J$2:J671, $B$2:B671, B671)</f>
        <v>0.5027272727272728</v>
      </c>
      <c r="AD671" s="86">
        <f>AVERAGEIFS($D$2:D671, $B$2:B671, B671)</f>
        <v>0.5</v>
      </c>
    </row>
    <row r="672" spans="1:30" x14ac:dyDescent="0.25">
      <c r="A672" s="85">
        <v>46125</v>
      </c>
      <c r="B672" t="s">
        <v>13</v>
      </c>
      <c r="C672">
        <v>18</v>
      </c>
      <c r="D672" s="86">
        <v>0</v>
      </c>
      <c r="E672">
        <v>4</v>
      </c>
      <c r="F672">
        <v>1</v>
      </c>
      <c r="G672">
        <v>15</v>
      </c>
      <c r="H672">
        <v>6</v>
      </c>
      <c r="I672">
        <v>0.25</v>
      </c>
      <c r="J672">
        <v>0.4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1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 s="86">
        <f>AVERAGEIFS($C$2:C672, $B$2:B672, B672)</f>
        <v>26.382978723404257</v>
      </c>
      <c r="AB672" s="86">
        <f>AVERAGEIFS($I$2:I672, $B$2:B672, B672)</f>
        <v>0.56808510638297871</v>
      </c>
      <c r="AC672" s="86">
        <f>AVERAGEIFS($J$2:J672, $B$2:B672, B672)</f>
        <v>0.547659574468085</v>
      </c>
      <c r="AD672" s="86">
        <f>AVERAGEIFS($D$2:D672, $B$2:B672, B672)</f>
        <v>0.63829787234042556</v>
      </c>
    </row>
    <row r="673" spans="1:30" x14ac:dyDescent="0.25">
      <c r="A673" s="85">
        <v>46125</v>
      </c>
      <c r="B673" t="s">
        <v>148</v>
      </c>
      <c r="C673">
        <v>14</v>
      </c>
      <c r="D673" s="86">
        <v>0</v>
      </c>
      <c r="E673">
        <v>4</v>
      </c>
      <c r="F673">
        <v>1</v>
      </c>
      <c r="G673">
        <v>15</v>
      </c>
      <c r="H673">
        <v>6</v>
      </c>
      <c r="I673">
        <v>0.25</v>
      </c>
      <c r="J673">
        <v>0.4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1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 s="86">
        <f>AVERAGEIFS($C$2:C673, $B$2:B673, B673)</f>
        <v>13.166666666666666</v>
      </c>
      <c r="AB673" s="86">
        <f>AVERAGEIFS($I$2:I673, $B$2:B673, B673)</f>
        <v>0.5527777777777777</v>
      </c>
      <c r="AC673" s="86">
        <f>AVERAGEIFS($J$2:J673, $B$2:B673, B673)</f>
        <v>0.51888888888888896</v>
      </c>
      <c r="AD673" s="86">
        <f>AVERAGEIFS($D$2:D673, $B$2:B673, B673)</f>
        <v>0.55555555555555558</v>
      </c>
    </row>
    <row r="674" spans="1:30" x14ac:dyDescent="0.25">
      <c r="A674" s="85">
        <v>46125</v>
      </c>
      <c r="B674" t="s">
        <v>20</v>
      </c>
      <c r="C674">
        <v>7</v>
      </c>
      <c r="D674" s="86">
        <v>0</v>
      </c>
      <c r="E674">
        <v>4</v>
      </c>
      <c r="F674">
        <v>1</v>
      </c>
      <c r="G674">
        <v>15</v>
      </c>
      <c r="H674">
        <v>6</v>
      </c>
      <c r="I674">
        <v>0.25</v>
      </c>
      <c r="J674">
        <v>0.4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1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 s="86">
        <f>AVERAGEIFS($C$2:C674, $B$2:B674, B674)</f>
        <v>14</v>
      </c>
      <c r="AB674" s="86">
        <f>AVERAGEIFS($I$2:I674, $B$2:B674, B674)</f>
        <v>0.47931034482758622</v>
      </c>
      <c r="AC674" s="86">
        <f>AVERAGEIFS($J$2:J674, $B$2:B674, B674)</f>
        <v>0.49896551724137939</v>
      </c>
      <c r="AD674" s="86">
        <f>AVERAGEIFS($D$2:D674, $B$2:B674, B674)</f>
        <v>0.41379310344827586</v>
      </c>
    </row>
    <row r="675" spans="1:30" x14ac:dyDescent="0.25">
      <c r="A675" s="85">
        <v>46125</v>
      </c>
      <c r="B675" t="s">
        <v>29</v>
      </c>
      <c r="C675">
        <v>7</v>
      </c>
      <c r="D675" s="86">
        <v>0</v>
      </c>
      <c r="E675">
        <v>4</v>
      </c>
      <c r="F675">
        <v>1</v>
      </c>
      <c r="G675">
        <v>15</v>
      </c>
      <c r="H675">
        <v>6</v>
      </c>
      <c r="I675">
        <v>0.25</v>
      </c>
      <c r="J675">
        <v>0.4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1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 s="86">
        <f>AVERAGEIFS($C$2:C675, $B$2:B675, B675)</f>
        <v>10.5</v>
      </c>
      <c r="AB675" s="86">
        <f>AVERAGEIFS($I$2:I675, $B$2:B675, B675)</f>
        <v>0.48529411764705882</v>
      </c>
      <c r="AC675" s="86">
        <f>AVERAGEIFS($J$2:J675, $B$2:B675, B675)</f>
        <v>0.50470588235294123</v>
      </c>
      <c r="AD675" s="86">
        <f>AVERAGEIFS($D$2:D675, $B$2:B675, B675)</f>
        <v>0.44117647058823528</v>
      </c>
    </row>
    <row r="676" spans="1:30" x14ac:dyDescent="0.25">
      <c r="A676" s="85">
        <v>46125</v>
      </c>
      <c r="B676" t="s">
        <v>155</v>
      </c>
      <c r="C676">
        <v>5</v>
      </c>
      <c r="D676" s="86">
        <v>0</v>
      </c>
      <c r="E676">
        <v>4</v>
      </c>
      <c r="F676">
        <v>1</v>
      </c>
      <c r="G676">
        <v>15</v>
      </c>
      <c r="H676">
        <v>6</v>
      </c>
      <c r="I676">
        <v>0.25</v>
      </c>
      <c r="J676">
        <v>0.4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1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 s="86">
        <f>AVERAGEIFS($C$2:C676, $B$2:B676, B676)</f>
        <v>14.5</v>
      </c>
      <c r="AB676" s="86">
        <f>AVERAGEIFS($I$2:I676, $B$2:B676, B676)</f>
        <v>0.37083333333333335</v>
      </c>
      <c r="AC676" s="86">
        <f>AVERAGEIFS($J$2:J676, $B$2:B676, B676)</f>
        <v>0.4383333333333333</v>
      </c>
      <c r="AD676" s="86">
        <f>AVERAGEIFS($D$2:D676, $B$2:B676, B676)</f>
        <v>0.16666666666666666</v>
      </c>
    </row>
    <row r="677" spans="1:30" x14ac:dyDescent="0.25">
      <c r="A677" s="85">
        <v>46125</v>
      </c>
      <c r="B677" t="s">
        <v>18</v>
      </c>
      <c r="C677">
        <v>36</v>
      </c>
      <c r="D677" s="86">
        <v>0</v>
      </c>
      <c r="E677">
        <v>5</v>
      </c>
      <c r="F677">
        <v>2</v>
      </c>
      <c r="G677">
        <v>23</v>
      </c>
      <c r="H677">
        <v>11</v>
      </c>
      <c r="I677">
        <v>0.4</v>
      </c>
      <c r="J677">
        <v>0.48</v>
      </c>
      <c r="K677">
        <v>0</v>
      </c>
      <c r="L677">
        <v>0</v>
      </c>
      <c r="M677">
        <v>1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</v>
      </c>
      <c r="AA677" s="86">
        <f>AVERAGEIFS($C$2:C677, $B$2:B677, B677)</f>
        <v>25.521739130434781</v>
      </c>
      <c r="AB677" s="86">
        <f>AVERAGEIFS($I$2:I677, $B$2:B677, B677)</f>
        <v>0.50217391304347825</v>
      </c>
      <c r="AC677" s="86">
        <f>AVERAGEIFS($J$2:J677, $B$2:B677, B677)</f>
        <v>0.50173913043478269</v>
      </c>
      <c r="AD677" s="86">
        <f>AVERAGEIFS($D$2:D677, $B$2:B677, B677)</f>
        <v>0.47826086956521741</v>
      </c>
    </row>
    <row r="678" spans="1:30" x14ac:dyDescent="0.25">
      <c r="A678" s="85">
        <v>46125</v>
      </c>
      <c r="B678" t="s">
        <v>6</v>
      </c>
      <c r="C678">
        <v>30</v>
      </c>
      <c r="D678" s="86">
        <v>0</v>
      </c>
      <c r="E678">
        <v>5</v>
      </c>
      <c r="F678">
        <v>2</v>
      </c>
      <c r="G678">
        <v>23</v>
      </c>
      <c r="H678">
        <v>11</v>
      </c>
      <c r="I678">
        <v>0.4</v>
      </c>
      <c r="J678">
        <v>0.48</v>
      </c>
      <c r="K678">
        <v>0</v>
      </c>
      <c r="L678">
        <v>0</v>
      </c>
      <c r="M678">
        <v>1</v>
      </c>
      <c r="N678">
        <v>1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</v>
      </c>
      <c r="AA678" s="86">
        <f>AVERAGEIFS($C$2:C678, $B$2:B678, B678)</f>
        <v>23.086956521739129</v>
      </c>
      <c r="AB678" s="86">
        <f>AVERAGEIFS($I$2:I678, $B$2:B678, B678)</f>
        <v>0.61086956521739122</v>
      </c>
      <c r="AC678" s="86">
        <f>AVERAGEIFS($J$2:J678, $B$2:B678, B678)</f>
        <v>0.55304347826086964</v>
      </c>
      <c r="AD678" s="86">
        <f>AVERAGEIFS($D$2:D678, $B$2:B678, B678)</f>
        <v>0.69565217391304346</v>
      </c>
    </row>
    <row r="679" spans="1:30" x14ac:dyDescent="0.25">
      <c r="A679" s="85">
        <v>46125</v>
      </c>
      <c r="B679" t="s">
        <v>20</v>
      </c>
      <c r="C679">
        <v>13</v>
      </c>
      <c r="D679" s="86">
        <v>0</v>
      </c>
      <c r="E679">
        <v>5</v>
      </c>
      <c r="F679">
        <v>2</v>
      </c>
      <c r="G679">
        <v>23</v>
      </c>
      <c r="H679">
        <v>11</v>
      </c>
      <c r="I679">
        <v>0.4</v>
      </c>
      <c r="J679">
        <v>0.48</v>
      </c>
      <c r="K679">
        <v>0</v>
      </c>
      <c r="L679">
        <v>0</v>
      </c>
      <c r="M679">
        <v>1</v>
      </c>
      <c r="N679">
        <v>1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 s="86">
        <f>AVERAGEIFS($C$2:C679, $B$2:B679, B679)</f>
        <v>13.966666666666667</v>
      </c>
      <c r="AB679" s="86">
        <f>AVERAGEIFS($I$2:I679, $B$2:B679, B679)</f>
        <v>0.47666666666666668</v>
      </c>
      <c r="AC679" s="86">
        <f>AVERAGEIFS($J$2:J679, $B$2:B679, B679)</f>
        <v>0.49833333333333341</v>
      </c>
      <c r="AD679" s="86">
        <f>AVERAGEIFS($D$2:D679, $B$2:B679, B679)</f>
        <v>0.4</v>
      </c>
    </row>
    <row r="680" spans="1:30" x14ac:dyDescent="0.25">
      <c r="A680" s="85">
        <v>46125</v>
      </c>
      <c r="B680" t="s">
        <v>150</v>
      </c>
      <c r="C680">
        <v>26</v>
      </c>
      <c r="D680" s="86">
        <v>0</v>
      </c>
      <c r="E680">
        <v>5</v>
      </c>
      <c r="F680">
        <v>2</v>
      </c>
      <c r="G680">
        <v>23</v>
      </c>
      <c r="H680">
        <v>11</v>
      </c>
      <c r="I680">
        <v>0.4</v>
      </c>
      <c r="J680">
        <v>0.48</v>
      </c>
      <c r="K680">
        <v>0</v>
      </c>
      <c r="L680">
        <v>0</v>
      </c>
      <c r="M680">
        <v>1</v>
      </c>
      <c r="N680">
        <v>1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 s="86">
        <f>AVERAGEIFS($C$2:C680, $B$2:B680, B680)</f>
        <v>16</v>
      </c>
      <c r="AB680" s="86">
        <f>AVERAGEIFS($I$2:I680, $B$2:B680, B680)</f>
        <v>0.625</v>
      </c>
      <c r="AC680" s="86">
        <f>AVERAGEIFS($J$2:J680, $B$2:B680, B680)</f>
        <v>0.625</v>
      </c>
      <c r="AD680" s="86">
        <f>AVERAGEIFS($D$2:D680, $B$2:B680, B680)</f>
        <v>0.75</v>
      </c>
    </row>
    <row r="681" spans="1:30" x14ac:dyDescent="0.25">
      <c r="A681" s="85">
        <v>46125</v>
      </c>
      <c r="B681" t="s">
        <v>146</v>
      </c>
      <c r="C681">
        <v>12</v>
      </c>
      <c r="D681" s="86">
        <v>0</v>
      </c>
      <c r="E681">
        <v>5</v>
      </c>
      <c r="F681">
        <v>2</v>
      </c>
      <c r="G681">
        <v>23</v>
      </c>
      <c r="H681">
        <v>11</v>
      </c>
      <c r="I681">
        <v>0.4</v>
      </c>
      <c r="J681">
        <v>0.48</v>
      </c>
      <c r="K681">
        <v>0</v>
      </c>
      <c r="L681">
        <v>0</v>
      </c>
      <c r="M681">
        <v>1</v>
      </c>
      <c r="N681">
        <v>1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 s="86">
        <f>AVERAGEIFS($C$2:C681, $B$2:B681, B681)</f>
        <v>12.5</v>
      </c>
      <c r="AB681" s="86">
        <f>AVERAGEIFS($I$2:I681, $B$2:B681, B681)</f>
        <v>0.36249999999999999</v>
      </c>
      <c r="AC681" s="86">
        <f>AVERAGEIFS($J$2:J681, $B$2:B681, B681)</f>
        <v>0.44750000000000001</v>
      </c>
      <c r="AD681" s="86">
        <f>AVERAGEIFS($D$2:D681, $B$2:B681, B681)</f>
        <v>0.25</v>
      </c>
    </row>
    <row r="682" spans="1:30" x14ac:dyDescent="0.25">
      <c r="A682" s="85">
        <v>46125</v>
      </c>
      <c r="B682" t="s">
        <v>15</v>
      </c>
      <c r="C682">
        <v>26</v>
      </c>
      <c r="D682" s="86">
        <v>1</v>
      </c>
      <c r="E682">
        <v>5</v>
      </c>
      <c r="F682">
        <v>3</v>
      </c>
      <c r="G682">
        <v>23</v>
      </c>
      <c r="H682">
        <v>12</v>
      </c>
      <c r="I682">
        <v>0.6</v>
      </c>
      <c r="J682">
        <v>0.52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1</v>
      </c>
      <c r="Q682">
        <v>0</v>
      </c>
      <c r="R682">
        <v>0</v>
      </c>
      <c r="S682">
        <v>1</v>
      </c>
      <c r="T682">
        <v>0</v>
      </c>
      <c r="U682">
        <v>0</v>
      </c>
      <c r="V682">
        <v>1</v>
      </c>
      <c r="W682">
        <v>0</v>
      </c>
      <c r="X682">
        <v>0</v>
      </c>
      <c r="Y682">
        <v>0</v>
      </c>
      <c r="Z682">
        <v>0</v>
      </c>
      <c r="AA682" s="86">
        <f>AVERAGEIFS($C$2:C682, $B$2:B682, B682)</f>
        <v>24.84375</v>
      </c>
      <c r="AB682" s="86">
        <f>AVERAGEIFS($I$2:I682, $B$2:B682, B682)</f>
        <v>0.47187499999999999</v>
      </c>
      <c r="AC682" s="86">
        <f>AVERAGEIFS($J$2:J682, $B$2:B682, B682)</f>
        <v>0.48750000000000004</v>
      </c>
      <c r="AD682" s="86">
        <f>AVERAGEIFS($D$2:D682, $B$2:B682, B682)</f>
        <v>0.375</v>
      </c>
    </row>
    <row r="683" spans="1:30" x14ac:dyDescent="0.25">
      <c r="A683" s="85">
        <v>46125</v>
      </c>
      <c r="B683" t="s">
        <v>140</v>
      </c>
      <c r="C683">
        <v>14</v>
      </c>
      <c r="D683" s="86">
        <v>1</v>
      </c>
      <c r="E683">
        <v>5</v>
      </c>
      <c r="F683">
        <v>3</v>
      </c>
      <c r="G683">
        <v>23</v>
      </c>
      <c r="H683">
        <v>12</v>
      </c>
      <c r="I683">
        <v>0.6</v>
      </c>
      <c r="J683">
        <v>0.52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1</v>
      </c>
      <c r="Q683">
        <v>0</v>
      </c>
      <c r="R683">
        <v>0</v>
      </c>
      <c r="S683">
        <v>1</v>
      </c>
      <c r="T683">
        <v>0</v>
      </c>
      <c r="U683">
        <v>0</v>
      </c>
      <c r="V683">
        <v>1</v>
      </c>
      <c r="W683">
        <v>0</v>
      </c>
      <c r="X683">
        <v>0</v>
      </c>
      <c r="Y683">
        <v>0</v>
      </c>
      <c r="Z683">
        <v>0</v>
      </c>
      <c r="AA683" s="86">
        <f>AVERAGEIFS($C$2:C683, $B$2:B683, B683)</f>
        <v>11.2</v>
      </c>
      <c r="AB683" s="86">
        <f>AVERAGEIFS($I$2:I683, $B$2:B683, B683)</f>
        <v>0.51</v>
      </c>
      <c r="AC683" s="86">
        <f>AVERAGEIFS($J$2:J683, $B$2:B683, B683)</f>
        <v>0.47999999999999987</v>
      </c>
      <c r="AD683" s="86">
        <f>AVERAGEIFS($D$2:D683, $B$2:B683, B683)</f>
        <v>0.8</v>
      </c>
    </row>
    <row r="684" spans="1:30" x14ac:dyDescent="0.25">
      <c r="A684" s="85">
        <v>46125</v>
      </c>
      <c r="B684" t="s">
        <v>25</v>
      </c>
      <c r="C684">
        <v>21</v>
      </c>
      <c r="D684" s="86">
        <v>1</v>
      </c>
      <c r="E684">
        <v>5</v>
      </c>
      <c r="F684">
        <v>3</v>
      </c>
      <c r="G684">
        <v>23</v>
      </c>
      <c r="H684">
        <v>12</v>
      </c>
      <c r="I684">
        <v>0.6</v>
      </c>
      <c r="J684">
        <v>0.52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1</v>
      </c>
      <c r="Q684">
        <v>0</v>
      </c>
      <c r="R684">
        <v>0</v>
      </c>
      <c r="S684">
        <v>1</v>
      </c>
      <c r="T684">
        <v>0</v>
      </c>
      <c r="U684">
        <v>0</v>
      </c>
      <c r="V684">
        <v>1</v>
      </c>
      <c r="W684">
        <v>0</v>
      </c>
      <c r="X684">
        <v>0</v>
      </c>
      <c r="Y684">
        <v>0</v>
      </c>
      <c r="Z684">
        <v>0</v>
      </c>
      <c r="AA684" s="86">
        <f>AVERAGEIFS($C$2:C684, $B$2:B684, B684)</f>
        <v>16.761904761904763</v>
      </c>
      <c r="AB684" s="86">
        <f>AVERAGEIFS($I$2:I684, $B$2:B684, B684)</f>
        <v>0.6071428571428571</v>
      </c>
      <c r="AC684" s="86">
        <f>AVERAGEIFS($J$2:J684, $B$2:B684, B684)</f>
        <v>0.54095238095238096</v>
      </c>
      <c r="AD684" s="86">
        <f>AVERAGEIFS($D$2:D684, $B$2:B684, B684)</f>
        <v>0.61904761904761907</v>
      </c>
    </row>
    <row r="685" spans="1:30" x14ac:dyDescent="0.25">
      <c r="A685" s="85">
        <v>46125</v>
      </c>
      <c r="B685" t="s">
        <v>155</v>
      </c>
      <c r="C685">
        <v>24</v>
      </c>
      <c r="D685" s="86">
        <v>1</v>
      </c>
      <c r="E685">
        <v>5</v>
      </c>
      <c r="F685">
        <v>3</v>
      </c>
      <c r="G685">
        <v>23</v>
      </c>
      <c r="H685">
        <v>12</v>
      </c>
      <c r="I685">
        <v>0.6</v>
      </c>
      <c r="J685">
        <v>0.52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1</v>
      </c>
      <c r="Q685">
        <v>0</v>
      </c>
      <c r="R685">
        <v>0</v>
      </c>
      <c r="S685">
        <v>1</v>
      </c>
      <c r="T685">
        <v>0</v>
      </c>
      <c r="U685">
        <v>0</v>
      </c>
      <c r="V685">
        <v>1</v>
      </c>
      <c r="W685">
        <v>0</v>
      </c>
      <c r="X685">
        <v>0</v>
      </c>
      <c r="Y685">
        <v>0</v>
      </c>
      <c r="Z685">
        <v>0</v>
      </c>
      <c r="AA685" s="86">
        <f>AVERAGEIFS($C$2:C685, $B$2:B685, B685)</f>
        <v>15.23076923076923</v>
      </c>
      <c r="AB685" s="86">
        <f>AVERAGEIFS($I$2:I685, $B$2:B685, B685)</f>
        <v>0.38846153846153847</v>
      </c>
      <c r="AC685" s="86">
        <f>AVERAGEIFS($J$2:J685, $B$2:B685, B685)</f>
        <v>0.44461538461538458</v>
      </c>
      <c r="AD685" s="86">
        <f>AVERAGEIFS($D$2:D685, $B$2:B685, B685)</f>
        <v>0.23076923076923078</v>
      </c>
    </row>
    <row r="686" spans="1:30" x14ac:dyDescent="0.25">
      <c r="A686" s="85">
        <v>46125</v>
      </c>
      <c r="B686" t="s">
        <v>26</v>
      </c>
      <c r="C686">
        <v>19</v>
      </c>
      <c r="D686" s="86">
        <v>1</v>
      </c>
      <c r="E686">
        <v>5</v>
      </c>
      <c r="F686">
        <v>3</v>
      </c>
      <c r="G686">
        <v>23</v>
      </c>
      <c r="H686">
        <v>12</v>
      </c>
      <c r="I686">
        <v>0.6</v>
      </c>
      <c r="J686">
        <v>0.52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1</v>
      </c>
      <c r="Q686">
        <v>0</v>
      </c>
      <c r="R686">
        <v>0</v>
      </c>
      <c r="S686">
        <v>1</v>
      </c>
      <c r="T686">
        <v>0</v>
      </c>
      <c r="U686">
        <v>0</v>
      </c>
      <c r="V686">
        <v>1</v>
      </c>
      <c r="W686">
        <v>0</v>
      </c>
      <c r="X686">
        <v>0</v>
      </c>
      <c r="Y686">
        <v>0</v>
      </c>
      <c r="Z686">
        <v>0</v>
      </c>
      <c r="AA686" s="86">
        <f>AVERAGEIFS($C$2:C686, $B$2:B686, B686)</f>
        <v>12.178571428571429</v>
      </c>
      <c r="AB686" s="86">
        <f>AVERAGEIFS($I$2:I686, $B$2:B686, B686)</f>
        <v>0.64107142857142851</v>
      </c>
      <c r="AC686" s="86">
        <f>AVERAGEIFS($J$2:J686, $B$2:B686, B686)</f>
        <v>0.56964285714285701</v>
      </c>
      <c r="AD686" s="86">
        <f>AVERAGEIFS($D$2:D686, $B$2:B686, B686)</f>
        <v>0.7142857142857143</v>
      </c>
    </row>
    <row r="687" spans="1:30" x14ac:dyDescent="0.25">
      <c r="A687" s="85">
        <v>46126</v>
      </c>
      <c r="B687" t="s">
        <v>13</v>
      </c>
      <c r="C687">
        <v>21</v>
      </c>
      <c r="D687" s="86">
        <v>1</v>
      </c>
      <c r="E687">
        <v>3</v>
      </c>
      <c r="F687">
        <v>3</v>
      </c>
      <c r="G687">
        <v>14</v>
      </c>
      <c r="H687">
        <v>9</v>
      </c>
      <c r="I687">
        <v>1</v>
      </c>
      <c r="J687">
        <v>0.64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1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1</v>
      </c>
      <c r="Y687">
        <v>0</v>
      </c>
      <c r="Z687">
        <v>1</v>
      </c>
      <c r="AA687" s="86">
        <f>AVERAGEIFS($C$2:C687, $B$2:B687, B687)</f>
        <v>26.270833333333332</v>
      </c>
      <c r="AB687" s="86">
        <f>AVERAGEIFS($I$2:I687, $B$2:B687, B687)</f>
        <v>0.57708333333333328</v>
      </c>
      <c r="AC687" s="86">
        <f>AVERAGEIFS($J$2:J687, $B$2:B687, B687)</f>
        <v>0.5495833333333332</v>
      </c>
      <c r="AD687" s="86">
        <f>AVERAGEIFS($D$2:D687, $B$2:B687, B687)</f>
        <v>0.64583333333333337</v>
      </c>
    </row>
    <row r="688" spans="1:30" x14ac:dyDescent="0.25">
      <c r="A688" s="85">
        <v>46126</v>
      </c>
      <c r="B688" t="s">
        <v>17</v>
      </c>
      <c r="C688">
        <v>19</v>
      </c>
      <c r="D688" s="86">
        <v>1</v>
      </c>
      <c r="E688">
        <v>3</v>
      </c>
      <c r="F688">
        <v>3</v>
      </c>
      <c r="G688">
        <v>14</v>
      </c>
      <c r="H688">
        <v>9</v>
      </c>
      <c r="I688">
        <v>1</v>
      </c>
      <c r="J688">
        <v>0.64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1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1</v>
      </c>
      <c r="Y688">
        <v>0</v>
      </c>
      <c r="Z688">
        <v>1</v>
      </c>
      <c r="AA688" s="86">
        <f>AVERAGEIFS($C$2:C688, $B$2:B688, B688)</f>
        <v>25.558139534883722</v>
      </c>
      <c r="AB688" s="86">
        <f>AVERAGEIFS($I$2:I688, $B$2:B688, B688)</f>
        <v>0.51511627906976754</v>
      </c>
      <c r="AC688" s="86">
        <f>AVERAGEIFS($J$2:J688, $B$2:B688, B688)</f>
        <v>0.51465116279069756</v>
      </c>
      <c r="AD688" s="86">
        <f>AVERAGEIFS($D$2:D688, $B$2:B688, B688)</f>
        <v>0.44186046511627908</v>
      </c>
    </row>
    <row r="689" spans="1:30" x14ac:dyDescent="0.25">
      <c r="A689" s="85">
        <v>46126</v>
      </c>
      <c r="B689" t="s">
        <v>19</v>
      </c>
      <c r="C689">
        <v>14</v>
      </c>
      <c r="D689" s="86">
        <v>1</v>
      </c>
      <c r="E689">
        <v>3</v>
      </c>
      <c r="F689">
        <v>3</v>
      </c>
      <c r="G689">
        <v>14</v>
      </c>
      <c r="H689">
        <v>9</v>
      </c>
      <c r="I689">
        <v>1</v>
      </c>
      <c r="J689">
        <v>0.64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1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1</v>
      </c>
      <c r="Y689">
        <v>0</v>
      </c>
      <c r="Z689">
        <v>1</v>
      </c>
      <c r="AA689" s="86">
        <f>AVERAGEIFS($C$2:C689, $B$2:B689, B689)</f>
        <v>11.75</v>
      </c>
      <c r="AB689" s="86">
        <f>AVERAGEIFS($I$2:I689, $B$2:B689, B689)</f>
        <v>0.421875</v>
      </c>
      <c r="AC689" s="86">
        <f>AVERAGEIFS($J$2:J689, $B$2:B689, B689)</f>
        <v>0.45656250000000004</v>
      </c>
      <c r="AD689" s="86">
        <f>AVERAGEIFS($D$2:D689, $B$2:B689, B689)</f>
        <v>0.40625</v>
      </c>
    </row>
    <row r="690" spans="1:30" x14ac:dyDescent="0.25">
      <c r="A690" s="85">
        <v>46126</v>
      </c>
      <c r="B690" t="s">
        <v>148</v>
      </c>
      <c r="C690">
        <v>13</v>
      </c>
      <c r="D690" s="86">
        <v>1</v>
      </c>
      <c r="E690">
        <v>3</v>
      </c>
      <c r="F690">
        <v>3</v>
      </c>
      <c r="G690">
        <v>14</v>
      </c>
      <c r="H690">
        <v>9</v>
      </c>
      <c r="I690">
        <v>1</v>
      </c>
      <c r="J690">
        <v>0.64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1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1</v>
      </c>
      <c r="Y690">
        <v>0</v>
      </c>
      <c r="Z690">
        <v>1</v>
      </c>
      <c r="AA690" s="86">
        <f>AVERAGEIFS($C$2:C690, $B$2:B690, B690)</f>
        <v>13.157894736842104</v>
      </c>
      <c r="AB690" s="86">
        <f>AVERAGEIFS($I$2:I690, $B$2:B690, B690)</f>
        <v>0.57631578947368423</v>
      </c>
      <c r="AC690" s="86">
        <f>AVERAGEIFS($J$2:J690, $B$2:B690, B690)</f>
        <v>0.52526315789473699</v>
      </c>
      <c r="AD690" s="86">
        <f>AVERAGEIFS($D$2:D690, $B$2:B690, B690)</f>
        <v>0.57894736842105265</v>
      </c>
    </row>
    <row r="691" spans="1:30" x14ac:dyDescent="0.25">
      <c r="A691" s="85">
        <v>46126</v>
      </c>
      <c r="B691" t="s">
        <v>26</v>
      </c>
      <c r="C691">
        <v>9</v>
      </c>
      <c r="D691" s="86">
        <v>1</v>
      </c>
      <c r="E691">
        <v>3</v>
      </c>
      <c r="F691">
        <v>3</v>
      </c>
      <c r="G691">
        <v>14</v>
      </c>
      <c r="H691">
        <v>9</v>
      </c>
      <c r="I691">
        <v>1</v>
      </c>
      <c r="J691">
        <v>0.64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1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1</v>
      </c>
      <c r="Y691">
        <v>0</v>
      </c>
      <c r="Z691">
        <v>1</v>
      </c>
      <c r="AA691" s="86">
        <f>AVERAGEIFS($C$2:C691, $B$2:B691, B691)</f>
        <v>12.068965517241379</v>
      </c>
      <c r="AB691" s="86">
        <f>AVERAGEIFS($I$2:I691, $B$2:B691, B691)</f>
        <v>0.65344827586206899</v>
      </c>
      <c r="AC691" s="86">
        <f>AVERAGEIFS($J$2:J691, $B$2:B691, B691)</f>
        <v>0.57206896551724129</v>
      </c>
      <c r="AD691" s="86">
        <f>AVERAGEIFS($D$2:D691, $B$2:B691, B691)</f>
        <v>0.72413793103448276</v>
      </c>
    </row>
    <row r="692" spans="1:30" x14ac:dyDescent="0.25">
      <c r="A692" s="85">
        <v>46126</v>
      </c>
      <c r="B692" t="s">
        <v>70</v>
      </c>
      <c r="C692">
        <v>7</v>
      </c>
      <c r="D692" s="86">
        <v>1</v>
      </c>
      <c r="E692">
        <v>3</v>
      </c>
      <c r="F692">
        <v>3</v>
      </c>
      <c r="G692">
        <v>14</v>
      </c>
      <c r="H692">
        <v>9</v>
      </c>
      <c r="I692">
        <v>1</v>
      </c>
      <c r="J692">
        <v>0.64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1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1</v>
      </c>
      <c r="Y692">
        <v>0</v>
      </c>
      <c r="Z692">
        <v>1</v>
      </c>
      <c r="AA692" s="86">
        <f>AVERAGEIFS($C$2:C692, $B$2:B692, B692)</f>
        <v>17.666666666666668</v>
      </c>
      <c r="AB692" s="86">
        <f>AVERAGEIFS($I$2:I692, $B$2:B692, B692)</f>
        <v>0.66666666666666663</v>
      </c>
      <c r="AC692" s="86">
        <f>AVERAGEIFS($J$2:J692, $B$2:B692, B692)</f>
        <v>0.56000000000000005</v>
      </c>
      <c r="AD692" s="86">
        <f>AVERAGEIFS($D$2:D692, $B$2:B692, B692)</f>
        <v>0.66666666666666663</v>
      </c>
    </row>
    <row r="693" spans="1:30" x14ac:dyDescent="0.25">
      <c r="A693" s="85">
        <v>46126</v>
      </c>
      <c r="B693" t="s">
        <v>20</v>
      </c>
      <c r="C693">
        <v>7</v>
      </c>
      <c r="D693" s="86">
        <v>1</v>
      </c>
      <c r="E693">
        <v>3</v>
      </c>
      <c r="F693">
        <v>3</v>
      </c>
      <c r="G693">
        <v>14</v>
      </c>
      <c r="H693">
        <v>9</v>
      </c>
      <c r="I693">
        <v>1</v>
      </c>
      <c r="J693">
        <v>0.64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1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1</v>
      </c>
      <c r="Y693">
        <v>0</v>
      </c>
      <c r="Z693">
        <v>1</v>
      </c>
      <c r="AA693" s="86">
        <f>AVERAGEIFS($C$2:C693, $B$2:B693, B693)</f>
        <v>13.741935483870968</v>
      </c>
      <c r="AB693" s="86">
        <f>AVERAGEIFS($I$2:I693, $B$2:B693, B693)</f>
        <v>0.49354838709677423</v>
      </c>
      <c r="AC693" s="86">
        <f>AVERAGEIFS($J$2:J693, $B$2:B693, B693)</f>
        <v>0.50290322580645175</v>
      </c>
      <c r="AD693" s="86">
        <f>AVERAGEIFS($D$2:D693, $B$2:B693, B693)</f>
        <v>0.41935483870967744</v>
      </c>
    </row>
    <row r="694" spans="1:30" x14ac:dyDescent="0.25">
      <c r="A694" s="85">
        <v>46126</v>
      </c>
      <c r="B694" t="s">
        <v>14</v>
      </c>
      <c r="C694">
        <v>24</v>
      </c>
      <c r="D694" s="86">
        <v>0</v>
      </c>
      <c r="E694">
        <v>3</v>
      </c>
      <c r="F694">
        <v>0</v>
      </c>
      <c r="G694">
        <v>14</v>
      </c>
      <c r="H694">
        <v>5</v>
      </c>
      <c r="I694">
        <v>0</v>
      </c>
      <c r="J694">
        <v>0.36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0</v>
      </c>
      <c r="AA694" s="86">
        <f>AVERAGEIFS($C$2:C694, $B$2:B694, B694)</f>
        <v>24.611111111111111</v>
      </c>
      <c r="AB694" s="86">
        <f>AVERAGEIFS($I$2:I694, $B$2:B694, B694)</f>
        <v>0.49722222222222218</v>
      </c>
      <c r="AC694" s="86">
        <f>AVERAGEIFS($J$2:J694, $B$2:B694, B694)</f>
        <v>0.49666666666666676</v>
      </c>
      <c r="AD694" s="86">
        <f>AVERAGEIFS($D$2:D694, $B$2:B694, B694)</f>
        <v>0.5</v>
      </c>
    </row>
    <row r="695" spans="1:30" x14ac:dyDescent="0.25">
      <c r="A695" s="85">
        <v>46126</v>
      </c>
      <c r="B695" t="s">
        <v>25</v>
      </c>
      <c r="C695">
        <v>13</v>
      </c>
      <c r="D695" s="86">
        <v>0</v>
      </c>
      <c r="E695">
        <v>3</v>
      </c>
      <c r="F695">
        <v>0</v>
      </c>
      <c r="G695">
        <v>14</v>
      </c>
      <c r="H695">
        <v>5</v>
      </c>
      <c r="I695">
        <v>0</v>
      </c>
      <c r="J695">
        <v>0.36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 s="86">
        <f>AVERAGEIFS($C$2:C695, $B$2:B695, B695)</f>
        <v>16.59090909090909</v>
      </c>
      <c r="AB695" s="86">
        <f>AVERAGEIFS($I$2:I695, $B$2:B695, B695)</f>
        <v>0.57954545454545459</v>
      </c>
      <c r="AC695" s="86">
        <f>AVERAGEIFS($J$2:J695, $B$2:B695, B695)</f>
        <v>0.53272727272727272</v>
      </c>
      <c r="AD695" s="86">
        <f>AVERAGEIFS($D$2:D695, $B$2:B695, B695)</f>
        <v>0.59090909090909094</v>
      </c>
    </row>
    <row r="696" spans="1:30" x14ac:dyDescent="0.25">
      <c r="A696" s="85">
        <v>46126</v>
      </c>
      <c r="B696" t="s">
        <v>155</v>
      </c>
      <c r="C696">
        <v>11</v>
      </c>
      <c r="D696" s="86">
        <v>0</v>
      </c>
      <c r="E696">
        <v>3</v>
      </c>
      <c r="F696">
        <v>0</v>
      </c>
      <c r="G696">
        <v>14</v>
      </c>
      <c r="H696">
        <v>5</v>
      </c>
      <c r="I696">
        <v>0</v>
      </c>
      <c r="J696">
        <v>0.36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 s="86">
        <f>AVERAGEIFS($C$2:C696, $B$2:B696, B696)</f>
        <v>14.928571428571429</v>
      </c>
      <c r="AB696" s="86">
        <f>AVERAGEIFS($I$2:I696, $B$2:B696, B696)</f>
        <v>0.36071428571428571</v>
      </c>
      <c r="AC696" s="86">
        <f>AVERAGEIFS($J$2:J696, $B$2:B696, B696)</f>
        <v>0.43857142857142856</v>
      </c>
      <c r="AD696" s="86">
        <f>AVERAGEIFS($D$2:D696, $B$2:B696, B696)</f>
        <v>0.21428571428571427</v>
      </c>
    </row>
    <row r="697" spans="1:30" x14ac:dyDescent="0.25">
      <c r="A697" s="85">
        <v>46126</v>
      </c>
      <c r="B697" t="s">
        <v>37</v>
      </c>
      <c r="C697">
        <v>9</v>
      </c>
      <c r="D697" s="86">
        <v>0</v>
      </c>
      <c r="E697">
        <v>3</v>
      </c>
      <c r="F697">
        <v>0</v>
      </c>
      <c r="G697">
        <v>14</v>
      </c>
      <c r="H697">
        <v>5</v>
      </c>
      <c r="I697">
        <v>0</v>
      </c>
      <c r="J697">
        <v>0.36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 s="86">
        <f>AVERAGEIFS($C$2:C697, $B$2:B697, B697)</f>
        <v>19.863636363636363</v>
      </c>
      <c r="AB697" s="86">
        <f>AVERAGEIFS($I$2:I697, $B$2:B697, B697)</f>
        <v>0.42272727272727267</v>
      </c>
      <c r="AC697" s="86">
        <f>AVERAGEIFS($J$2:J697, $B$2:B697, B697)</f>
        <v>0.46045454545454539</v>
      </c>
      <c r="AD697" s="86">
        <f>AVERAGEIFS($D$2:D697, $B$2:B697, B697)</f>
        <v>0.45454545454545453</v>
      </c>
    </row>
    <row r="698" spans="1:30" x14ac:dyDescent="0.25">
      <c r="A698" s="85">
        <v>46126</v>
      </c>
      <c r="B698" t="s">
        <v>15</v>
      </c>
      <c r="C698">
        <v>7</v>
      </c>
      <c r="D698" s="86">
        <v>0</v>
      </c>
      <c r="E698">
        <v>3</v>
      </c>
      <c r="F698">
        <v>0</v>
      </c>
      <c r="G698">
        <v>14</v>
      </c>
      <c r="H698">
        <v>5</v>
      </c>
      <c r="I698">
        <v>0</v>
      </c>
      <c r="J698">
        <v>0.36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 s="86">
        <f>AVERAGEIFS($C$2:C698, $B$2:B698, B698)</f>
        <v>24.303030303030305</v>
      </c>
      <c r="AB698" s="86">
        <f>AVERAGEIFS($I$2:I698, $B$2:B698, B698)</f>
        <v>0.45757575757575758</v>
      </c>
      <c r="AC698" s="86">
        <f>AVERAGEIFS($J$2:J698, $B$2:B698, B698)</f>
        <v>0.48363636363636364</v>
      </c>
      <c r="AD698" s="86">
        <f>AVERAGEIFS($D$2:D698, $B$2:B698, B698)</f>
        <v>0.36363636363636365</v>
      </c>
    </row>
    <row r="699" spans="1:30" x14ac:dyDescent="0.25">
      <c r="A699" s="85">
        <v>46126</v>
      </c>
      <c r="B699" t="s">
        <v>140</v>
      </c>
      <c r="C699">
        <v>5</v>
      </c>
      <c r="D699" s="86">
        <v>0</v>
      </c>
      <c r="E699">
        <v>3</v>
      </c>
      <c r="F699">
        <v>0</v>
      </c>
      <c r="G699">
        <v>14</v>
      </c>
      <c r="H699">
        <v>5</v>
      </c>
      <c r="I699">
        <v>0</v>
      </c>
      <c r="J699">
        <v>0.36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 s="86">
        <f>AVERAGEIFS($C$2:C699, $B$2:B699, B699)</f>
        <v>10.166666666666666</v>
      </c>
      <c r="AB699" s="86">
        <f>AVERAGEIFS($I$2:I699, $B$2:B699, B699)</f>
        <v>0.42499999999999999</v>
      </c>
      <c r="AC699" s="86">
        <f>AVERAGEIFS($J$2:J699, $B$2:B699, B699)</f>
        <v>0.45999999999999991</v>
      </c>
      <c r="AD699" s="86">
        <f>AVERAGEIFS($D$2:D699, $B$2:B699, B699)</f>
        <v>0.66666666666666663</v>
      </c>
    </row>
    <row r="700" spans="1:30" x14ac:dyDescent="0.25">
      <c r="A700" s="85">
        <v>46126</v>
      </c>
      <c r="B700" t="s">
        <v>29</v>
      </c>
      <c r="C700">
        <v>4</v>
      </c>
      <c r="D700" s="86">
        <v>0</v>
      </c>
      <c r="E700">
        <v>3</v>
      </c>
      <c r="F700">
        <v>0</v>
      </c>
      <c r="G700">
        <v>14</v>
      </c>
      <c r="H700">
        <v>5</v>
      </c>
      <c r="I700">
        <v>0</v>
      </c>
      <c r="J700">
        <v>0.36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 s="86">
        <f>AVERAGEIFS($C$2:C700, $B$2:B700, B700)</f>
        <v>10.314285714285715</v>
      </c>
      <c r="AB700" s="86">
        <f>AVERAGEIFS($I$2:I700, $B$2:B700, B700)</f>
        <v>0.47142857142857142</v>
      </c>
      <c r="AC700" s="86">
        <f>AVERAGEIFS($J$2:J700, $B$2:B700, B700)</f>
        <v>0.50057142857142856</v>
      </c>
      <c r="AD700" s="86">
        <f>AVERAGEIFS($D$2:D700, $B$2:B700, B700)</f>
        <v>0.42857142857142855</v>
      </c>
    </row>
    <row r="701" spans="1:30" x14ac:dyDescent="0.25">
      <c r="A701" s="85">
        <v>46126</v>
      </c>
      <c r="B701" t="s">
        <v>150</v>
      </c>
      <c r="C701">
        <v>24</v>
      </c>
      <c r="D701" s="86">
        <v>1</v>
      </c>
      <c r="E701">
        <v>3</v>
      </c>
      <c r="F701">
        <v>3</v>
      </c>
      <c r="G701">
        <v>12</v>
      </c>
      <c r="H701">
        <v>9</v>
      </c>
      <c r="I701">
        <v>1</v>
      </c>
      <c r="J701">
        <v>0.75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1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1</v>
      </c>
      <c r="X701">
        <v>0</v>
      </c>
      <c r="Y701">
        <v>1</v>
      </c>
      <c r="Z701">
        <v>0</v>
      </c>
      <c r="AA701" s="86">
        <f>AVERAGEIFS($C$2:C701, $B$2:B701, B701)</f>
        <v>17.600000000000001</v>
      </c>
      <c r="AB701" s="86">
        <f>AVERAGEIFS($I$2:I701, $B$2:B701, B701)</f>
        <v>0.7</v>
      </c>
      <c r="AC701" s="86">
        <f>AVERAGEIFS($J$2:J701, $B$2:B701, B701)</f>
        <v>0.65</v>
      </c>
      <c r="AD701" s="86">
        <f>AVERAGEIFS($D$2:D701, $B$2:B701, B701)</f>
        <v>0.8</v>
      </c>
    </row>
    <row r="702" spans="1:30" x14ac:dyDescent="0.25">
      <c r="A702" s="85">
        <v>46126</v>
      </c>
      <c r="B702" t="s">
        <v>15</v>
      </c>
      <c r="C702">
        <v>17</v>
      </c>
      <c r="D702" s="86">
        <v>1</v>
      </c>
      <c r="E702">
        <v>3</v>
      </c>
      <c r="F702">
        <v>3</v>
      </c>
      <c r="G702">
        <v>12</v>
      </c>
      <c r="H702">
        <v>9</v>
      </c>
      <c r="I702">
        <v>1</v>
      </c>
      <c r="J702">
        <v>0.75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1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1</v>
      </c>
      <c r="X702">
        <v>0</v>
      </c>
      <c r="Y702">
        <v>1</v>
      </c>
      <c r="Z702">
        <v>0</v>
      </c>
      <c r="AA702" s="86">
        <f>AVERAGEIFS($C$2:C702, $B$2:B702, B702)</f>
        <v>24.088235294117649</v>
      </c>
      <c r="AB702" s="86">
        <f>AVERAGEIFS($I$2:I702, $B$2:B702, B702)</f>
        <v>0.47352941176470592</v>
      </c>
      <c r="AC702" s="86">
        <f>AVERAGEIFS($J$2:J702, $B$2:B702, B702)</f>
        <v>0.49147058823529416</v>
      </c>
      <c r="AD702" s="86">
        <f>AVERAGEIFS($D$2:D702, $B$2:B702, B702)</f>
        <v>0.38235294117647056</v>
      </c>
    </row>
    <row r="703" spans="1:30" x14ac:dyDescent="0.25">
      <c r="A703" s="85">
        <v>46126</v>
      </c>
      <c r="B703" t="s">
        <v>6</v>
      </c>
      <c r="C703">
        <v>14</v>
      </c>
      <c r="D703" s="86">
        <v>1</v>
      </c>
      <c r="E703">
        <v>3</v>
      </c>
      <c r="F703">
        <v>3</v>
      </c>
      <c r="G703">
        <v>12</v>
      </c>
      <c r="H703">
        <v>9</v>
      </c>
      <c r="I703">
        <v>1</v>
      </c>
      <c r="J703">
        <v>0.75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1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1</v>
      </c>
      <c r="X703">
        <v>0</v>
      </c>
      <c r="Y703">
        <v>1</v>
      </c>
      <c r="Z703">
        <v>0</v>
      </c>
      <c r="AA703" s="86">
        <f>AVERAGEIFS($C$2:C703, $B$2:B703, B703)</f>
        <v>22.708333333333332</v>
      </c>
      <c r="AB703" s="86">
        <f>AVERAGEIFS($I$2:I703, $B$2:B703, B703)</f>
        <v>0.62708333333333333</v>
      </c>
      <c r="AC703" s="86">
        <f>AVERAGEIFS($J$2:J703, $B$2:B703, B703)</f>
        <v>0.56125000000000003</v>
      </c>
      <c r="AD703" s="86">
        <f>AVERAGEIFS($D$2:D703, $B$2:B703, B703)</f>
        <v>0.70833333333333337</v>
      </c>
    </row>
    <row r="704" spans="1:30" x14ac:dyDescent="0.25">
      <c r="A704" s="85">
        <v>46126</v>
      </c>
      <c r="B704" t="s">
        <v>44</v>
      </c>
      <c r="C704">
        <v>10</v>
      </c>
      <c r="D704" s="86">
        <v>1</v>
      </c>
      <c r="E704">
        <v>3</v>
      </c>
      <c r="F704">
        <v>3</v>
      </c>
      <c r="G704">
        <v>12</v>
      </c>
      <c r="H704">
        <v>9</v>
      </c>
      <c r="I704">
        <v>1</v>
      </c>
      <c r="J704">
        <v>0.75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1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1</v>
      </c>
      <c r="X704">
        <v>0</v>
      </c>
      <c r="Y704">
        <v>1</v>
      </c>
      <c r="Z704">
        <v>0</v>
      </c>
      <c r="AA704" s="86">
        <f>AVERAGEIFS($C$2:C704, $B$2:B704, B704)</f>
        <v>16.75</v>
      </c>
      <c r="AB704" s="86">
        <f>AVERAGEIFS($I$2:I704, $B$2:B704, B704)</f>
        <v>0.8</v>
      </c>
      <c r="AC704" s="86">
        <f>AVERAGEIFS($J$2:J704, $B$2:B704, B704)</f>
        <v>0.63249999999999995</v>
      </c>
      <c r="AD704" s="86">
        <f>AVERAGEIFS($D$2:D704, $B$2:B704, B704)</f>
        <v>1</v>
      </c>
    </row>
    <row r="705" spans="1:30" x14ac:dyDescent="0.25">
      <c r="A705" s="85">
        <v>46126</v>
      </c>
      <c r="B705" t="s">
        <v>25</v>
      </c>
      <c r="C705">
        <v>9</v>
      </c>
      <c r="D705" s="86">
        <v>1</v>
      </c>
      <c r="E705">
        <v>3</v>
      </c>
      <c r="F705">
        <v>3</v>
      </c>
      <c r="G705">
        <v>12</v>
      </c>
      <c r="H705">
        <v>9</v>
      </c>
      <c r="I705">
        <v>1</v>
      </c>
      <c r="J705">
        <v>0.75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1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1</v>
      </c>
      <c r="X705">
        <v>0</v>
      </c>
      <c r="Y705">
        <v>1</v>
      </c>
      <c r="Z705">
        <v>0</v>
      </c>
      <c r="AA705" s="86">
        <f>AVERAGEIFS($C$2:C705, $B$2:B705, B705)</f>
        <v>16.260869565217391</v>
      </c>
      <c r="AB705" s="86">
        <f>AVERAGEIFS($I$2:I705, $B$2:B705, B705)</f>
        <v>0.59782608695652173</v>
      </c>
      <c r="AC705" s="86">
        <f>AVERAGEIFS($J$2:J705, $B$2:B705, B705)</f>
        <v>0.54217391304347817</v>
      </c>
      <c r="AD705" s="86">
        <f>AVERAGEIFS($D$2:D705, $B$2:B705, B705)</f>
        <v>0.60869565217391308</v>
      </c>
    </row>
    <row r="706" spans="1:30" x14ac:dyDescent="0.25">
      <c r="A706" s="85">
        <v>46126</v>
      </c>
      <c r="B706" t="s">
        <v>140</v>
      </c>
      <c r="C706">
        <v>4</v>
      </c>
      <c r="D706" s="86">
        <v>1</v>
      </c>
      <c r="E706">
        <v>3</v>
      </c>
      <c r="F706">
        <v>3</v>
      </c>
      <c r="G706">
        <v>12</v>
      </c>
      <c r="H706">
        <v>9</v>
      </c>
      <c r="I706">
        <v>1</v>
      </c>
      <c r="J706">
        <v>0.75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1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1</v>
      </c>
      <c r="X706">
        <v>0</v>
      </c>
      <c r="Y706">
        <v>1</v>
      </c>
      <c r="Z706">
        <v>0</v>
      </c>
      <c r="AA706" s="86">
        <f>AVERAGEIFS($C$2:C706, $B$2:B706, B706)</f>
        <v>9.2857142857142865</v>
      </c>
      <c r="AB706" s="86">
        <f>AVERAGEIFS($I$2:I706, $B$2:B706, B706)</f>
        <v>0.50714285714285712</v>
      </c>
      <c r="AC706" s="86">
        <f>AVERAGEIFS($J$2:J706, $B$2:B706, B706)</f>
        <v>0.50142857142857133</v>
      </c>
      <c r="AD706" s="86">
        <f>AVERAGEIFS($D$2:D706, $B$2:B706, B706)</f>
        <v>0.7142857142857143</v>
      </c>
    </row>
    <row r="707" spans="1:30" x14ac:dyDescent="0.25">
      <c r="A707" s="85">
        <v>46126</v>
      </c>
      <c r="B707" t="s">
        <v>146</v>
      </c>
      <c r="C707">
        <v>4</v>
      </c>
      <c r="D707" s="86">
        <v>1</v>
      </c>
      <c r="E707">
        <v>3</v>
      </c>
      <c r="F707">
        <v>3</v>
      </c>
      <c r="G707">
        <v>12</v>
      </c>
      <c r="H707">
        <v>9</v>
      </c>
      <c r="I707">
        <v>1</v>
      </c>
      <c r="J707">
        <v>0.75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1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1</v>
      </c>
      <c r="X707">
        <v>0</v>
      </c>
      <c r="Y707">
        <v>1</v>
      </c>
      <c r="Z707">
        <v>0</v>
      </c>
      <c r="AA707" s="86">
        <f>AVERAGEIFS($C$2:C707, $B$2:B707, B707)</f>
        <v>11.555555555555555</v>
      </c>
      <c r="AB707" s="86">
        <f>AVERAGEIFS($I$2:I707, $B$2:B707, B707)</f>
        <v>0.43333333333333335</v>
      </c>
      <c r="AC707" s="86">
        <f>AVERAGEIFS($J$2:J707, $B$2:B707, B707)</f>
        <v>0.4811111111111111</v>
      </c>
      <c r="AD707" s="86">
        <f>AVERAGEIFS($D$2:D707, $B$2:B707, B707)</f>
        <v>0.33333333333333331</v>
      </c>
    </row>
    <row r="708" spans="1:30" x14ac:dyDescent="0.25">
      <c r="A708" s="85">
        <v>46126</v>
      </c>
      <c r="B708" t="s">
        <v>13</v>
      </c>
      <c r="C708">
        <v>15</v>
      </c>
      <c r="D708" s="86">
        <v>0</v>
      </c>
      <c r="E708">
        <v>3</v>
      </c>
      <c r="F708">
        <v>0</v>
      </c>
      <c r="G708">
        <v>12</v>
      </c>
      <c r="H708">
        <v>3</v>
      </c>
      <c r="I708">
        <v>0</v>
      </c>
      <c r="J708">
        <v>0.25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 s="86">
        <f>AVERAGEIFS($C$2:C708, $B$2:B708, B708)</f>
        <v>26.040816326530614</v>
      </c>
      <c r="AB708" s="86">
        <f>AVERAGEIFS($I$2:I708, $B$2:B708, B708)</f>
        <v>0.5653061224489796</v>
      </c>
      <c r="AC708" s="86">
        <f>AVERAGEIFS($J$2:J708, $B$2:B708, B708)</f>
        <v>0.5434693877551019</v>
      </c>
      <c r="AD708" s="86">
        <f>AVERAGEIFS($D$2:D708, $B$2:B708, B708)</f>
        <v>0.63265306122448983</v>
      </c>
    </row>
    <row r="709" spans="1:30" x14ac:dyDescent="0.25">
      <c r="A709" s="85">
        <v>46126</v>
      </c>
      <c r="B709" t="s">
        <v>5</v>
      </c>
      <c r="C709">
        <v>12</v>
      </c>
      <c r="D709" s="86">
        <v>0</v>
      </c>
      <c r="E709">
        <v>3</v>
      </c>
      <c r="F709">
        <v>0</v>
      </c>
      <c r="G709">
        <v>12</v>
      </c>
      <c r="H709">
        <v>3</v>
      </c>
      <c r="I709">
        <v>0</v>
      </c>
      <c r="J709">
        <v>0.25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 s="86">
        <f>AVERAGEIFS($C$2:C709, $B$2:B709, B709)</f>
        <v>22.545454545454547</v>
      </c>
      <c r="AB709" s="86">
        <f>AVERAGEIFS($I$2:I709, $B$2:B709, B709)</f>
        <v>0.42727272727272719</v>
      </c>
      <c r="AC709" s="86">
        <f>AVERAGEIFS($J$2:J709, $B$2:B709, B709)</f>
        <v>0.45909090909090905</v>
      </c>
      <c r="AD709" s="86">
        <f>AVERAGEIFS($D$2:D709, $B$2:B709, B709)</f>
        <v>0.45454545454545453</v>
      </c>
    </row>
    <row r="710" spans="1:30" x14ac:dyDescent="0.25">
      <c r="A710" s="85">
        <v>46126</v>
      </c>
      <c r="B710" t="s">
        <v>26</v>
      </c>
      <c r="C710">
        <v>12</v>
      </c>
      <c r="D710" s="86">
        <v>0</v>
      </c>
      <c r="E710">
        <v>3</v>
      </c>
      <c r="F710">
        <v>0</v>
      </c>
      <c r="G710">
        <v>12</v>
      </c>
      <c r="H710">
        <v>3</v>
      </c>
      <c r="I710">
        <v>0</v>
      </c>
      <c r="J710">
        <v>0.25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 s="86">
        <f>AVERAGEIFS($C$2:C710, $B$2:B710, B710)</f>
        <v>12.066666666666666</v>
      </c>
      <c r="AB710" s="86">
        <f>AVERAGEIFS($I$2:I710, $B$2:B710, B710)</f>
        <v>0.6316666666666666</v>
      </c>
      <c r="AC710" s="86">
        <f>AVERAGEIFS($J$2:J710, $B$2:B710, B710)</f>
        <v>0.56133333333333324</v>
      </c>
      <c r="AD710" s="86">
        <f>AVERAGEIFS($D$2:D710, $B$2:B710, B710)</f>
        <v>0.7</v>
      </c>
    </row>
    <row r="711" spans="1:30" x14ac:dyDescent="0.25">
      <c r="A711" s="85">
        <v>46126</v>
      </c>
      <c r="B711" t="s">
        <v>148</v>
      </c>
      <c r="C711">
        <v>11</v>
      </c>
      <c r="D711" s="86">
        <v>0</v>
      </c>
      <c r="E711">
        <v>3</v>
      </c>
      <c r="F711">
        <v>0</v>
      </c>
      <c r="G711">
        <v>12</v>
      </c>
      <c r="H711">
        <v>3</v>
      </c>
      <c r="I711">
        <v>0</v>
      </c>
      <c r="J711">
        <v>0.25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 s="86">
        <f>AVERAGEIFS($C$2:C711, $B$2:B711, B711)</f>
        <v>13.05</v>
      </c>
      <c r="AB711" s="86">
        <f>AVERAGEIFS($I$2:I711, $B$2:B711, B711)</f>
        <v>0.54749999999999999</v>
      </c>
      <c r="AC711" s="86">
        <f>AVERAGEIFS($J$2:J711, $B$2:B711, B711)</f>
        <v>0.51150000000000007</v>
      </c>
      <c r="AD711" s="86">
        <f>AVERAGEIFS($D$2:D711, $B$2:B711, B711)</f>
        <v>0.55000000000000004</v>
      </c>
    </row>
    <row r="712" spans="1:30" x14ac:dyDescent="0.25">
      <c r="A712" s="85">
        <v>46126</v>
      </c>
      <c r="B712" t="s">
        <v>155</v>
      </c>
      <c r="C712">
        <v>11</v>
      </c>
      <c r="D712" s="86">
        <v>0</v>
      </c>
      <c r="E712">
        <v>3</v>
      </c>
      <c r="F712">
        <v>0</v>
      </c>
      <c r="G712">
        <v>12</v>
      </c>
      <c r="H712">
        <v>3</v>
      </c>
      <c r="I712">
        <v>0</v>
      </c>
      <c r="J712">
        <v>0.25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 s="86">
        <f>AVERAGEIFS($C$2:C712, $B$2:B712, B712)</f>
        <v>14.666666666666666</v>
      </c>
      <c r="AB712" s="86">
        <f>AVERAGEIFS($I$2:I712, $B$2:B712, B712)</f>
        <v>0.33666666666666667</v>
      </c>
      <c r="AC712" s="86">
        <f>AVERAGEIFS($J$2:J712, $B$2:B712, B712)</f>
        <v>0.42599999999999999</v>
      </c>
      <c r="AD712" s="86">
        <f>AVERAGEIFS($D$2:D712, $B$2:B712, B712)</f>
        <v>0.2</v>
      </c>
    </row>
    <row r="713" spans="1:30" x14ac:dyDescent="0.25">
      <c r="A713" s="85">
        <v>46126</v>
      </c>
      <c r="B713" t="s">
        <v>35</v>
      </c>
      <c r="C713">
        <v>4</v>
      </c>
      <c r="D713" s="86">
        <v>0</v>
      </c>
      <c r="E713">
        <v>3</v>
      </c>
      <c r="F713">
        <v>0</v>
      </c>
      <c r="G713">
        <v>12</v>
      </c>
      <c r="H713">
        <v>3</v>
      </c>
      <c r="I713">
        <v>0</v>
      </c>
      <c r="J713">
        <v>0.25</v>
      </c>
      <c r="K713">
        <v>0</v>
      </c>
      <c r="L713">
        <v>0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 s="86">
        <f>AVERAGEIFS($C$2:C713, $B$2:B713, B713)</f>
        <v>11.652173913043478</v>
      </c>
      <c r="AB713" s="86">
        <f>AVERAGEIFS($I$2:I713, $B$2:B713, B713)</f>
        <v>0.43478260869565216</v>
      </c>
      <c r="AC713" s="86">
        <f>AVERAGEIFS($J$2:J713, $B$2:B713, B713)</f>
        <v>0.46608695652173926</v>
      </c>
      <c r="AD713" s="86">
        <f>AVERAGEIFS($D$2:D713, $B$2:B713, B713)</f>
        <v>0.52173913043478259</v>
      </c>
    </row>
    <row r="714" spans="1:30" ht="14.25" customHeight="1" x14ac:dyDescent="0.25">
      <c r="A714" s="85">
        <v>46126</v>
      </c>
      <c r="B714" t="s">
        <v>29</v>
      </c>
      <c r="C714">
        <v>3</v>
      </c>
      <c r="D714" s="86">
        <v>0</v>
      </c>
      <c r="E714">
        <v>3</v>
      </c>
      <c r="F714">
        <v>0</v>
      </c>
      <c r="G714">
        <v>12</v>
      </c>
      <c r="H714">
        <v>3</v>
      </c>
      <c r="I714">
        <v>0</v>
      </c>
      <c r="J714">
        <v>0.25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 s="86">
        <f>AVERAGEIFS($C$2:C714, $B$2:B714, B714)</f>
        <v>10.111111111111111</v>
      </c>
      <c r="AB714" s="86">
        <f>AVERAGEIFS($I$2:I714, $B$2:B714, B714)</f>
        <v>0.45833333333333331</v>
      </c>
      <c r="AC714" s="86">
        <f>AVERAGEIFS($J$2:J714, $B$2:B714, B714)</f>
        <v>0.49361111111111111</v>
      </c>
      <c r="AD714" s="86">
        <f>AVERAGEIFS($D$2:D714, $B$2:B714, B714)</f>
        <v>0.41666666666666669</v>
      </c>
    </row>
    <row r="715" spans="1:30" x14ac:dyDescent="0.25">
      <c r="A715" s="85">
        <v>46129</v>
      </c>
      <c r="B715" t="s">
        <v>13</v>
      </c>
      <c r="C715">
        <v>36</v>
      </c>
      <c r="D715" s="86">
        <v>1</v>
      </c>
      <c r="E715">
        <v>4</v>
      </c>
      <c r="F715">
        <v>3</v>
      </c>
      <c r="G715">
        <v>18</v>
      </c>
      <c r="H715">
        <v>11</v>
      </c>
      <c r="I715">
        <v>0.75</v>
      </c>
      <c r="J715">
        <v>0.61</v>
      </c>
      <c r="K715">
        <v>0</v>
      </c>
      <c r="L715">
        <v>0</v>
      </c>
      <c r="M715">
        <v>0</v>
      </c>
      <c r="N715">
        <v>0</v>
      </c>
      <c r="O715">
        <v>0</v>
      </c>
      <c r="P715">
        <v>1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1</v>
      </c>
      <c r="X715">
        <v>0</v>
      </c>
      <c r="Y715">
        <v>1</v>
      </c>
      <c r="Z715">
        <v>0</v>
      </c>
      <c r="AA715" s="86">
        <f>AVERAGEIFS($C$2:C715, $B$2:B715, B715)</f>
        <v>26.24</v>
      </c>
      <c r="AB715" s="86">
        <f>AVERAGEIFS($I$2:I715, $B$2:B715, B715)</f>
        <v>0.56899999999999995</v>
      </c>
      <c r="AC715" s="86">
        <f>AVERAGEIFS($J$2:J715, $B$2:B715, B715)</f>
        <v>0.54479999999999995</v>
      </c>
      <c r="AD715" s="86">
        <f>AVERAGEIFS($D$2:D715, $B$2:B715, B715)</f>
        <v>0.64</v>
      </c>
    </row>
    <row r="716" spans="1:30" x14ac:dyDescent="0.25">
      <c r="A716" s="85">
        <v>46129</v>
      </c>
      <c r="B716" t="s">
        <v>1</v>
      </c>
      <c r="C716">
        <v>24</v>
      </c>
      <c r="D716" s="86">
        <v>1</v>
      </c>
      <c r="E716">
        <v>4</v>
      </c>
      <c r="F716">
        <v>3</v>
      </c>
      <c r="G716">
        <v>18</v>
      </c>
      <c r="H716">
        <v>11</v>
      </c>
      <c r="I716">
        <v>0.75</v>
      </c>
      <c r="J716">
        <v>0.61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1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1</v>
      </c>
      <c r="X716">
        <v>0</v>
      </c>
      <c r="Y716">
        <v>1</v>
      </c>
      <c r="Z716">
        <v>0</v>
      </c>
      <c r="AA716" s="86">
        <f>AVERAGEIFS($C$2:C716, $B$2:B716, B716)</f>
        <v>23.76923076923077</v>
      </c>
      <c r="AB716" s="86">
        <f>AVERAGEIFS($I$2:I716, $B$2:B716, B716)</f>
        <v>0.5346153846153846</v>
      </c>
      <c r="AC716" s="86">
        <f>AVERAGEIFS($J$2:J716, $B$2:B716, B716)</f>
        <v>0.49230769230769234</v>
      </c>
      <c r="AD716" s="86">
        <f>AVERAGEIFS($D$2:D716, $B$2:B716, B716)</f>
        <v>0.61538461538461542</v>
      </c>
    </row>
    <row r="717" spans="1:30" x14ac:dyDescent="0.25">
      <c r="A717" s="85">
        <v>46129</v>
      </c>
      <c r="B717" t="s">
        <v>26</v>
      </c>
      <c r="C717">
        <v>23</v>
      </c>
      <c r="D717" s="86">
        <v>1</v>
      </c>
      <c r="E717">
        <v>4</v>
      </c>
      <c r="F717">
        <v>3</v>
      </c>
      <c r="G717">
        <v>18</v>
      </c>
      <c r="H717">
        <v>11</v>
      </c>
      <c r="I717">
        <v>0.75</v>
      </c>
      <c r="J717">
        <v>0.61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1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1</v>
      </c>
      <c r="X717">
        <v>0</v>
      </c>
      <c r="Y717">
        <v>1</v>
      </c>
      <c r="Z717">
        <v>0</v>
      </c>
      <c r="AA717" s="86">
        <f>AVERAGEIFS($C$2:C717, $B$2:B717, B717)</f>
        <v>12.419354838709678</v>
      </c>
      <c r="AB717" s="86">
        <f>AVERAGEIFS($I$2:I717, $B$2:B717, B717)</f>
        <v>0.63548387096774195</v>
      </c>
      <c r="AC717" s="86">
        <f>AVERAGEIFS($J$2:J717, $B$2:B717, B717)</f>
        <v>0.56290322580645147</v>
      </c>
      <c r="AD717" s="86">
        <f>AVERAGEIFS($D$2:D717, $B$2:B717, B717)</f>
        <v>0.70967741935483875</v>
      </c>
    </row>
    <row r="718" spans="1:30" x14ac:dyDescent="0.25">
      <c r="A718" s="85">
        <v>46129</v>
      </c>
      <c r="B718" t="s">
        <v>150</v>
      </c>
      <c r="C718">
        <v>21</v>
      </c>
      <c r="D718" s="86">
        <v>1</v>
      </c>
      <c r="E718">
        <v>4</v>
      </c>
      <c r="F718">
        <v>3</v>
      </c>
      <c r="G718">
        <v>18</v>
      </c>
      <c r="H718">
        <v>11</v>
      </c>
      <c r="I718">
        <v>0.75</v>
      </c>
      <c r="J718">
        <v>0.61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1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1</v>
      </c>
      <c r="X718">
        <v>0</v>
      </c>
      <c r="Y718">
        <v>1</v>
      </c>
      <c r="Z718">
        <v>0</v>
      </c>
      <c r="AA718" s="86">
        <f>AVERAGEIFS($C$2:C718, $B$2:B718, B718)</f>
        <v>18.166666666666668</v>
      </c>
      <c r="AB718" s="86">
        <f>AVERAGEIFS($I$2:I718, $B$2:B718, B718)</f>
        <v>0.70833333333333337</v>
      </c>
      <c r="AC718" s="86">
        <f>AVERAGEIFS($J$2:J718, $B$2:B718, B718)</f>
        <v>0.64333333333333331</v>
      </c>
      <c r="AD718" s="86">
        <f>AVERAGEIFS($D$2:D718, $B$2:B718, B718)</f>
        <v>0.83333333333333337</v>
      </c>
    </row>
    <row r="719" spans="1:30" x14ac:dyDescent="0.25">
      <c r="A719" s="85">
        <v>46129</v>
      </c>
      <c r="B719" t="s">
        <v>113</v>
      </c>
      <c r="C719">
        <v>14</v>
      </c>
      <c r="D719" s="86">
        <v>1</v>
      </c>
      <c r="E719">
        <v>4</v>
      </c>
      <c r="F719">
        <v>3</v>
      </c>
      <c r="G719">
        <v>18</v>
      </c>
      <c r="H719">
        <v>11</v>
      </c>
      <c r="I719">
        <v>0.75</v>
      </c>
      <c r="J719">
        <v>0.61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1</v>
      </c>
      <c r="Q719">
        <v>0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1</v>
      </c>
      <c r="X719">
        <v>0</v>
      </c>
      <c r="Y719">
        <v>1</v>
      </c>
      <c r="Z719">
        <v>0</v>
      </c>
      <c r="AA719" s="86">
        <f>AVERAGEIFS($C$2:C719, $B$2:B719, B719)</f>
        <v>15.142857142857142</v>
      </c>
      <c r="AB719" s="86">
        <f>AVERAGEIFS($I$2:I719, $B$2:B719, B719)</f>
        <v>0.52857142857142858</v>
      </c>
      <c r="AC719" s="86">
        <f>AVERAGEIFS($J$2:J719, $B$2:B719, B719)</f>
        <v>0.49428571428571422</v>
      </c>
      <c r="AD719" s="86">
        <f>AVERAGEIFS($D$2:D719, $B$2:B719, B719)</f>
        <v>0.7142857142857143</v>
      </c>
    </row>
    <row r="720" spans="1:30" x14ac:dyDescent="0.25">
      <c r="A720" s="85">
        <v>46129</v>
      </c>
      <c r="B720" t="s">
        <v>29</v>
      </c>
      <c r="C720">
        <v>14</v>
      </c>
      <c r="D720" s="86">
        <v>1</v>
      </c>
      <c r="E720">
        <v>4</v>
      </c>
      <c r="F720">
        <v>3</v>
      </c>
      <c r="G720">
        <v>18</v>
      </c>
      <c r="H720">
        <v>11</v>
      </c>
      <c r="I720">
        <v>0.75</v>
      </c>
      <c r="J720">
        <v>0.61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1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1</v>
      </c>
      <c r="X720">
        <v>0</v>
      </c>
      <c r="Y720">
        <v>1</v>
      </c>
      <c r="Z720">
        <v>0</v>
      </c>
      <c r="AA720" s="86">
        <f>AVERAGEIFS($C$2:C720, $B$2:B720, B720)</f>
        <v>10.216216216216216</v>
      </c>
      <c r="AB720" s="86">
        <f>AVERAGEIFS($I$2:I720, $B$2:B720, B720)</f>
        <v>0.46621621621621623</v>
      </c>
      <c r="AC720" s="86">
        <f>AVERAGEIFS($J$2:J720, $B$2:B720, B720)</f>
        <v>0.49675675675675673</v>
      </c>
      <c r="AD720" s="86">
        <f>AVERAGEIFS($D$2:D720, $B$2:B720, B720)</f>
        <v>0.43243243243243246</v>
      </c>
    </row>
    <row r="721" spans="1:30" x14ac:dyDescent="0.25">
      <c r="A721" s="85">
        <v>46129</v>
      </c>
      <c r="B721" t="s">
        <v>17</v>
      </c>
      <c r="C721">
        <v>31</v>
      </c>
      <c r="D721" s="86">
        <v>0</v>
      </c>
      <c r="E721">
        <v>4</v>
      </c>
      <c r="F721">
        <v>1</v>
      </c>
      <c r="G721">
        <v>18</v>
      </c>
      <c r="H721">
        <v>7</v>
      </c>
      <c r="I721">
        <v>0.25</v>
      </c>
      <c r="J721">
        <v>0.39</v>
      </c>
      <c r="K721">
        <v>0</v>
      </c>
      <c r="L721">
        <v>1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 s="86">
        <f>AVERAGEIFS($C$2:C721, $B$2:B721, B721)</f>
        <v>25.681818181818183</v>
      </c>
      <c r="AB721" s="86">
        <f>AVERAGEIFS($I$2:I721, $B$2:B721, B721)</f>
        <v>0.50909090909090926</v>
      </c>
      <c r="AC721" s="86">
        <f>AVERAGEIFS($J$2:J721, $B$2:B721, B721)</f>
        <v>0.51181818181818173</v>
      </c>
      <c r="AD721" s="86">
        <f>AVERAGEIFS($D$2:D721, $B$2:B721, B721)</f>
        <v>0.43181818181818182</v>
      </c>
    </row>
    <row r="722" spans="1:30" x14ac:dyDescent="0.25">
      <c r="A722" s="85">
        <v>46129</v>
      </c>
      <c r="B722" t="s">
        <v>4</v>
      </c>
      <c r="C722">
        <v>21</v>
      </c>
      <c r="D722" s="86">
        <v>0</v>
      </c>
      <c r="E722">
        <v>4</v>
      </c>
      <c r="F722">
        <v>1</v>
      </c>
      <c r="G722">
        <v>18</v>
      </c>
      <c r="H722">
        <v>7</v>
      </c>
      <c r="I722">
        <v>0.25</v>
      </c>
      <c r="J722">
        <v>0.39</v>
      </c>
      <c r="K722">
        <v>0</v>
      </c>
      <c r="L722">
        <v>1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 s="86">
        <f>AVERAGEIFS($C$2:C722, $B$2:B722, B722)</f>
        <v>19.333333333333332</v>
      </c>
      <c r="AB722" s="86">
        <f>AVERAGEIFS($I$2:I722, $B$2:B722, B722)</f>
        <v>0.4</v>
      </c>
      <c r="AC722" s="86">
        <f>AVERAGEIFS($J$2:J722, $B$2:B722, B722)</f>
        <v>0.44444444444444442</v>
      </c>
      <c r="AD722" s="86">
        <f>AVERAGEIFS($D$2:D722, $B$2:B722, B722)</f>
        <v>0.44444444444444442</v>
      </c>
    </row>
    <row r="723" spans="1:30" x14ac:dyDescent="0.25">
      <c r="A723" s="85">
        <v>46129</v>
      </c>
      <c r="B723" t="s">
        <v>5</v>
      </c>
      <c r="C723">
        <v>18</v>
      </c>
      <c r="D723" s="86">
        <v>0</v>
      </c>
      <c r="E723">
        <v>4</v>
      </c>
      <c r="F723">
        <v>1</v>
      </c>
      <c r="G723">
        <v>18</v>
      </c>
      <c r="H723">
        <v>7</v>
      </c>
      <c r="I723">
        <v>0.25</v>
      </c>
      <c r="J723">
        <v>0.39</v>
      </c>
      <c r="K723">
        <v>0</v>
      </c>
      <c r="L723">
        <v>1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 s="86">
        <f>AVERAGEIFS($C$2:C723, $B$2:B723, B723)</f>
        <v>22.166666666666668</v>
      </c>
      <c r="AB723" s="86">
        <f>AVERAGEIFS($I$2:I723, $B$2:B723, B723)</f>
        <v>0.41249999999999992</v>
      </c>
      <c r="AC723" s="86">
        <f>AVERAGEIFS($J$2:J723, $B$2:B723, B723)</f>
        <v>0.45333333333333331</v>
      </c>
      <c r="AD723" s="86">
        <f>AVERAGEIFS($D$2:D723, $B$2:B723, B723)</f>
        <v>0.41666666666666669</v>
      </c>
    </row>
    <row r="724" spans="1:30" x14ac:dyDescent="0.25">
      <c r="A724" s="85">
        <v>46129</v>
      </c>
      <c r="B724" t="s">
        <v>14</v>
      </c>
      <c r="C724">
        <v>16</v>
      </c>
      <c r="D724" s="86">
        <v>0</v>
      </c>
      <c r="E724">
        <v>4</v>
      </c>
      <c r="F724">
        <v>1</v>
      </c>
      <c r="G724">
        <v>18</v>
      </c>
      <c r="H724">
        <v>7</v>
      </c>
      <c r="I724">
        <v>0.25</v>
      </c>
      <c r="J724">
        <v>0.39</v>
      </c>
      <c r="K724">
        <v>0</v>
      </c>
      <c r="L724">
        <v>1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 s="86">
        <f>AVERAGEIFS($C$2:C724, $B$2:B724, B724)</f>
        <v>24.378378378378379</v>
      </c>
      <c r="AB724" s="86">
        <f>AVERAGEIFS($I$2:I724, $B$2:B724, B724)</f>
        <v>0.49054054054054053</v>
      </c>
      <c r="AC724" s="86">
        <f>AVERAGEIFS($J$2:J724, $B$2:B724, B724)</f>
        <v>0.49378378378378385</v>
      </c>
      <c r="AD724" s="86">
        <f>AVERAGEIFS($D$2:D724, $B$2:B724, B724)</f>
        <v>0.48648648648648651</v>
      </c>
    </row>
    <row r="725" spans="1:30" x14ac:dyDescent="0.25">
      <c r="A725" s="85">
        <v>46129</v>
      </c>
      <c r="B725" t="s">
        <v>148</v>
      </c>
      <c r="C725">
        <v>13</v>
      </c>
      <c r="D725" s="86">
        <v>0</v>
      </c>
      <c r="E725">
        <v>4</v>
      </c>
      <c r="F725">
        <v>1</v>
      </c>
      <c r="G725">
        <v>18</v>
      </c>
      <c r="H725">
        <v>7</v>
      </c>
      <c r="I725">
        <v>0.25</v>
      </c>
      <c r="J725">
        <v>0.39</v>
      </c>
      <c r="K725">
        <v>0</v>
      </c>
      <c r="L725">
        <v>1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 s="86">
        <f>AVERAGEIFS($C$2:C725, $B$2:B725, B725)</f>
        <v>13.047619047619047</v>
      </c>
      <c r="AB725" s="86">
        <f>AVERAGEIFS($I$2:I725, $B$2:B725, B725)</f>
        <v>0.53333333333333333</v>
      </c>
      <c r="AC725" s="86">
        <f>AVERAGEIFS($J$2:J725, $B$2:B725, B725)</f>
        <v>0.50571428571428589</v>
      </c>
      <c r="AD725" s="86">
        <f>AVERAGEIFS($D$2:D725, $B$2:B725, B725)</f>
        <v>0.52380952380952384</v>
      </c>
    </row>
    <row r="726" spans="1:30" x14ac:dyDescent="0.25">
      <c r="A726" s="85">
        <v>46129</v>
      </c>
      <c r="B726" t="s">
        <v>139</v>
      </c>
      <c r="C726">
        <v>11</v>
      </c>
      <c r="D726" s="86">
        <v>0</v>
      </c>
      <c r="E726">
        <v>4</v>
      </c>
      <c r="F726">
        <v>1</v>
      </c>
      <c r="G726">
        <v>18</v>
      </c>
      <c r="H726">
        <v>7</v>
      </c>
      <c r="I726">
        <v>0.25</v>
      </c>
      <c r="J726">
        <v>0.39</v>
      </c>
      <c r="K726">
        <v>0</v>
      </c>
      <c r="L726">
        <v>1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 s="86">
        <f>AVERAGEIFS($C$2:C726, $B$2:B726, B726)</f>
        <v>10.5</v>
      </c>
      <c r="AB726" s="86">
        <f>AVERAGEIFS($I$2:I726, $B$2:B726, B726)</f>
        <v>0.56785714285714284</v>
      </c>
      <c r="AC726" s="86">
        <f>AVERAGEIFS($J$2:J726, $B$2:B726, B726)</f>
        <v>0.53214285714285703</v>
      </c>
      <c r="AD726" s="86">
        <f>AVERAGEIFS($D$2:D726, $B$2:B726, B726)</f>
        <v>0.6428571428571429</v>
      </c>
    </row>
    <row r="727" spans="1:30" x14ac:dyDescent="0.25">
      <c r="A727" s="85">
        <v>46130</v>
      </c>
      <c r="B727" t="s">
        <v>113</v>
      </c>
      <c r="C727">
        <v>26</v>
      </c>
      <c r="D727" s="86">
        <v>1</v>
      </c>
      <c r="E727">
        <v>3</v>
      </c>
      <c r="F727">
        <v>3</v>
      </c>
      <c r="G727">
        <v>13</v>
      </c>
      <c r="H727">
        <v>9</v>
      </c>
      <c r="I727">
        <v>1</v>
      </c>
      <c r="J727">
        <v>0.69</v>
      </c>
      <c r="K727">
        <v>0</v>
      </c>
      <c r="L727">
        <v>0</v>
      </c>
      <c r="M727">
        <v>0</v>
      </c>
      <c r="N727">
        <v>1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1</v>
      </c>
      <c r="Y727">
        <v>0</v>
      </c>
      <c r="Z727">
        <v>1</v>
      </c>
      <c r="AA727" s="86">
        <f>AVERAGEIFS($C$2:C727, $B$2:B727, B727)</f>
        <v>16.5</v>
      </c>
      <c r="AB727" s="86">
        <f>AVERAGEIFS($I$2:I727, $B$2:B727, B727)</f>
        <v>0.58750000000000002</v>
      </c>
      <c r="AC727" s="86">
        <f>AVERAGEIFS($J$2:J727, $B$2:B727, B727)</f>
        <v>0.51874999999999993</v>
      </c>
      <c r="AD727" s="86">
        <f>AVERAGEIFS($D$2:D727, $B$2:B727, B727)</f>
        <v>0.75</v>
      </c>
    </row>
    <row r="728" spans="1:30" x14ac:dyDescent="0.25">
      <c r="A728" s="85">
        <v>46130</v>
      </c>
      <c r="B728" t="s">
        <v>13</v>
      </c>
      <c r="C728">
        <v>23</v>
      </c>
      <c r="D728" s="86">
        <v>1</v>
      </c>
      <c r="E728">
        <v>3</v>
      </c>
      <c r="F728">
        <v>3</v>
      </c>
      <c r="G728">
        <v>13</v>
      </c>
      <c r="H728">
        <v>9</v>
      </c>
      <c r="I728">
        <v>1</v>
      </c>
      <c r="J728">
        <v>0.69</v>
      </c>
      <c r="K728">
        <v>0</v>
      </c>
      <c r="L728">
        <v>0</v>
      </c>
      <c r="M728">
        <v>0</v>
      </c>
      <c r="N728">
        <v>1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1</v>
      </c>
      <c r="Y728">
        <v>0</v>
      </c>
      <c r="Z728">
        <v>1</v>
      </c>
      <c r="AA728" s="86">
        <f>AVERAGEIFS($C$2:C728, $B$2:B728, B728)</f>
        <v>26.176470588235293</v>
      </c>
      <c r="AB728" s="86">
        <f>AVERAGEIFS($I$2:I728, $B$2:B728, B728)</f>
        <v>0.57745098039215681</v>
      </c>
      <c r="AC728" s="86">
        <f>AVERAGEIFS($J$2:J728, $B$2:B728, B728)</f>
        <v>0.54764705882352938</v>
      </c>
      <c r="AD728" s="86">
        <f>AVERAGEIFS($D$2:D728, $B$2:B728, B728)</f>
        <v>0.6470588235294118</v>
      </c>
    </row>
    <row r="729" spans="1:30" x14ac:dyDescent="0.25">
      <c r="A729" s="85">
        <v>46130</v>
      </c>
      <c r="B729" t="s">
        <v>55</v>
      </c>
      <c r="C729">
        <v>20</v>
      </c>
      <c r="D729" s="86">
        <v>1</v>
      </c>
      <c r="E729">
        <v>3</v>
      </c>
      <c r="F729">
        <v>3</v>
      </c>
      <c r="G729">
        <v>13</v>
      </c>
      <c r="H729">
        <v>9</v>
      </c>
      <c r="I729">
        <v>1</v>
      </c>
      <c r="J729">
        <v>0.69</v>
      </c>
      <c r="K729">
        <v>0</v>
      </c>
      <c r="L729">
        <v>0</v>
      </c>
      <c r="M729">
        <v>0</v>
      </c>
      <c r="N729">
        <v>1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1</v>
      </c>
      <c r="Y729">
        <v>0</v>
      </c>
      <c r="Z729">
        <v>1</v>
      </c>
      <c r="AA729" s="86">
        <f>AVERAGEIFS($C$2:C729, $B$2:B729, B729)</f>
        <v>9.9285714285714288</v>
      </c>
      <c r="AB729" s="86">
        <f>AVERAGEIFS($I$2:I729, $B$2:B729, B729)</f>
        <v>0.5714285714285714</v>
      </c>
      <c r="AC729" s="86">
        <f>AVERAGEIFS($J$2:J729, $B$2:B729, B729)</f>
        <v>0.54357142857142871</v>
      </c>
      <c r="AD729" s="86">
        <f>AVERAGEIFS($D$2:D729, $B$2:B729, B729)</f>
        <v>0.5714285714285714</v>
      </c>
    </row>
    <row r="730" spans="1:30" x14ac:dyDescent="0.25">
      <c r="A730" s="85">
        <v>46130</v>
      </c>
      <c r="B730" t="s">
        <v>148</v>
      </c>
      <c r="C730">
        <v>18</v>
      </c>
      <c r="D730" s="86">
        <v>1</v>
      </c>
      <c r="E730">
        <v>3</v>
      </c>
      <c r="F730">
        <v>3</v>
      </c>
      <c r="G730">
        <v>13</v>
      </c>
      <c r="H730">
        <v>9</v>
      </c>
      <c r="I730">
        <v>1</v>
      </c>
      <c r="J730">
        <v>0.69</v>
      </c>
      <c r="K730">
        <v>0</v>
      </c>
      <c r="L730">
        <v>0</v>
      </c>
      <c r="M730">
        <v>0</v>
      </c>
      <c r="N730">
        <v>1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1</v>
      </c>
      <c r="Y730">
        <v>0</v>
      </c>
      <c r="Z730">
        <v>1</v>
      </c>
      <c r="AA730" s="86">
        <f>AVERAGEIFS($C$2:C730, $B$2:B730, B730)</f>
        <v>13.272727272727273</v>
      </c>
      <c r="AB730" s="86">
        <f>AVERAGEIFS($I$2:I730, $B$2:B730, B730)</f>
        <v>0.55454545454545456</v>
      </c>
      <c r="AC730" s="86">
        <f>AVERAGEIFS($J$2:J730, $B$2:B730, B730)</f>
        <v>0.51409090909090915</v>
      </c>
      <c r="AD730" s="86">
        <f>AVERAGEIFS($D$2:D730, $B$2:B730, B730)</f>
        <v>0.54545454545454541</v>
      </c>
    </row>
    <row r="731" spans="1:30" x14ac:dyDescent="0.25">
      <c r="A731" s="85">
        <v>46130</v>
      </c>
      <c r="B731" t="s">
        <v>2</v>
      </c>
      <c r="C731">
        <v>18</v>
      </c>
      <c r="D731" s="86">
        <v>1</v>
      </c>
      <c r="E731">
        <v>3</v>
      </c>
      <c r="F731">
        <v>3</v>
      </c>
      <c r="G731">
        <v>13</v>
      </c>
      <c r="H731">
        <v>9</v>
      </c>
      <c r="I731">
        <v>1</v>
      </c>
      <c r="J731">
        <v>0.69</v>
      </c>
      <c r="K731">
        <v>0</v>
      </c>
      <c r="L731">
        <v>0</v>
      </c>
      <c r="M731">
        <v>0</v>
      </c>
      <c r="N731">
        <v>1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1</v>
      </c>
      <c r="Y731">
        <v>0</v>
      </c>
      <c r="Z731">
        <v>1</v>
      </c>
      <c r="AA731" s="86">
        <f>AVERAGEIFS($C$2:C731, $B$2:B731, B731)</f>
        <v>26.571428571428573</v>
      </c>
      <c r="AB731" s="86">
        <f>AVERAGEIFS($I$2:I731, $B$2:B731, B731)</f>
        <v>0.57500000000000007</v>
      </c>
      <c r="AC731" s="86">
        <f>AVERAGEIFS($J$2:J731, $B$2:B731, B731)</f>
        <v>0.54999999999999993</v>
      </c>
      <c r="AD731" s="86">
        <f>AVERAGEIFS($D$2:D731, $B$2:B731, B731)</f>
        <v>0.5714285714285714</v>
      </c>
    </row>
    <row r="732" spans="1:30" x14ac:dyDescent="0.25">
      <c r="A732" s="85">
        <v>46130</v>
      </c>
      <c r="B732" t="s">
        <v>37</v>
      </c>
      <c r="C732">
        <v>16</v>
      </c>
      <c r="D732" s="86">
        <v>1</v>
      </c>
      <c r="E732">
        <v>3</v>
      </c>
      <c r="F732">
        <v>3</v>
      </c>
      <c r="G732">
        <v>13</v>
      </c>
      <c r="H732">
        <v>9</v>
      </c>
      <c r="I732">
        <v>1</v>
      </c>
      <c r="J732">
        <v>0.69</v>
      </c>
      <c r="K732">
        <v>0</v>
      </c>
      <c r="L732">
        <v>0</v>
      </c>
      <c r="M732">
        <v>0</v>
      </c>
      <c r="N732">
        <v>1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1</v>
      </c>
      <c r="Y732">
        <v>0</v>
      </c>
      <c r="Z732">
        <v>1</v>
      </c>
      <c r="AA732" s="86">
        <f>AVERAGEIFS($C$2:C732, $B$2:B732, B732)</f>
        <v>19.695652173913043</v>
      </c>
      <c r="AB732" s="86">
        <f>AVERAGEIFS($I$2:I732, $B$2:B732, B732)</f>
        <v>0.44782608695652171</v>
      </c>
      <c r="AC732" s="86">
        <f>AVERAGEIFS($J$2:J732, $B$2:B732, B732)</f>
        <v>0.47043478260869559</v>
      </c>
      <c r="AD732" s="86">
        <f>AVERAGEIFS($D$2:D732, $B$2:B732, B732)</f>
        <v>0.47826086956521741</v>
      </c>
    </row>
    <row r="733" spans="1:30" x14ac:dyDescent="0.25">
      <c r="A733" s="85">
        <v>46130</v>
      </c>
      <c r="B733" t="s">
        <v>35</v>
      </c>
      <c r="C733">
        <v>5</v>
      </c>
      <c r="D733" s="86">
        <v>1</v>
      </c>
      <c r="E733">
        <v>3</v>
      </c>
      <c r="F733">
        <v>3</v>
      </c>
      <c r="G733">
        <v>13</v>
      </c>
      <c r="H733">
        <v>9</v>
      </c>
      <c r="I733">
        <v>1</v>
      </c>
      <c r="J733">
        <v>0.69</v>
      </c>
      <c r="K733">
        <v>0</v>
      </c>
      <c r="L733">
        <v>0</v>
      </c>
      <c r="M733">
        <v>0</v>
      </c>
      <c r="N733">
        <v>1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1</v>
      </c>
      <c r="Y733">
        <v>0</v>
      </c>
      <c r="Z733">
        <v>1</v>
      </c>
      <c r="AA733" s="86">
        <f>AVERAGEIFS($C$2:C733, $B$2:B733, B733)</f>
        <v>11.375</v>
      </c>
      <c r="AB733" s="86">
        <f>AVERAGEIFS($I$2:I733, $B$2:B733, B733)</f>
        <v>0.45833333333333331</v>
      </c>
      <c r="AC733" s="86">
        <f>AVERAGEIFS($J$2:J733, $B$2:B733, B733)</f>
        <v>0.47541666666666677</v>
      </c>
      <c r="AD733" s="86">
        <f>AVERAGEIFS($D$2:D733, $B$2:B733, B733)</f>
        <v>0.54166666666666663</v>
      </c>
    </row>
    <row r="734" spans="1:30" x14ac:dyDescent="0.25">
      <c r="A734" s="85">
        <v>46130</v>
      </c>
      <c r="B734" t="s">
        <v>140</v>
      </c>
      <c r="C734">
        <v>3</v>
      </c>
      <c r="D734" s="86">
        <v>1</v>
      </c>
      <c r="E734">
        <v>3</v>
      </c>
      <c r="F734">
        <v>3</v>
      </c>
      <c r="G734">
        <v>13</v>
      </c>
      <c r="H734">
        <v>9</v>
      </c>
      <c r="I734">
        <v>1</v>
      </c>
      <c r="J734">
        <v>0.69</v>
      </c>
      <c r="K734">
        <v>0</v>
      </c>
      <c r="L734">
        <v>0</v>
      </c>
      <c r="M734">
        <v>0</v>
      </c>
      <c r="N734">
        <v>1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1</v>
      </c>
      <c r="Y734">
        <v>0</v>
      </c>
      <c r="Z734">
        <v>1</v>
      </c>
      <c r="AA734" s="86">
        <f>AVERAGEIFS($C$2:C734, $B$2:B734, B734)</f>
        <v>8.5</v>
      </c>
      <c r="AB734" s="86">
        <f>AVERAGEIFS($I$2:I734, $B$2:B734, B734)</f>
        <v>0.56874999999999998</v>
      </c>
      <c r="AC734" s="86">
        <f>AVERAGEIFS($J$2:J734, $B$2:B734, B734)</f>
        <v>0.52499999999999991</v>
      </c>
      <c r="AD734" s="86">
        <f>AVERAGEIFS($D$2:D734, $B$2:B734, B734)</f>
        <v>0.75</v>
      </c>
    </row>
    <row r="735" spans="1:30" x14ac:dyDescent="0.25">
      <c r="A735" s="85">
        <v>46130</v>
      </c>
      <c r="B735" t="s">
        <v>17</v>
      </c>
      <c r="C735">
        <v>19</v>
      </c>
      <c r="D735" s="86">
        <v>0</v>
      </c>
      <c r="E735">
        <v>3</v>
      </c>
      <c r="F735">
        <v>0</v>
      </c>
      <c r="G735">
        <v>13</v>
      </c>
      <c r="H735">
        <v>4</v>
      </c>
      <c r="I735">
        <v>0</v>
      </c>
      <c r="J735">
        <v>0.31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0</v>
      </c>
      <c r="Y735">
        <v>0</v>
      </c>
      <c r="Z735">
        <v>0</v>
      </c>
      <c r="AA735" s="86">
        <f>AVERAGEIFS($C$2:C735, $B$2:B735, B735)</f>
        <v>25.533333333333335</v>
      </c>
      <c r="AB735" s="86">
        <f>AVERAGEIFS($I$2:I735, $B$2:B735, B735)</f>
        <v>0.49777777777777793</v>
      </c>
      <c r="AC735" s="86">
        <f>AVERAGEIFS($J$2:J735, $B$2:B735, B735)</f>
        <v>0.50733333333333319</v>
      </c>
      <c r="AD735" s="86">
        <f>AVERAGEIFS($D$2:D735, $B$2:B735, B735)</f>
        <v>0.42222222222222222</v>
      </c>
    </row>
    <row r="736" spans="1:30" x14ac:dyDescent="0.25">
      <c r="A736" s="85">
        <v>46130</v>
      </c>
      <c r="B736" t="s">
        <v>152</v>
      </c>
      <c r="C736">
        <v>18</v>
      </c>
      <c r="D736" s="86">
        <v>0</v>
      </c>
      <c r="E736">
        <v>3</v>
      </c>
      <c r="F736">
        <v>0</v>
      </c>
      <c r="G736">
        <v>13</v>
      </c>
      <c r="H736">
        <v>4</v>
      </c>
      <c r="I736">
        <v>0</v>
      </c>
      <c r="J736">
        <v>0.31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0</v>
      </c>
      <c r="Y736">
        <v>0</v>
      </c>
      <c r="Z736">
        <v>0</v>
      </c>
      <c r="AA736" s="86">
        <f>AVERAGEIFS($C$2:C736, $B$2:B736, B736)</f>
        <v>16.25</v>
      </c>
      <c r="AB736" s="86">
        <f>AVERAGEIFS($I$2:I736, $B$2:B736, B736)</f>
        <v>0.2</v>
      </c>
      <c r="AC736" s="86">
        <f>AVERAGEIFS($J$2:J736, $B$2:B736, B736)</f>
        <v>0.36</v>
      </c>
      <c r="AD736" s="86">
        <f>AVERAGEIFS($D$2:D736, $B$2:B736, B736)</f>
        <v>0</v>
      </c>
    </row>
    <row r="737" spans="1:30" x14ac:dyDescent="0.25">
      <c r="A737" s="85">
        <v>46130</v>
      </c>
      <c r="B737" t="s">
        <v>18</v>
      </c>
      <c r="C737">
        <v>17</v>
      </c>
      <c r="D737" s="86">
        <v>0</v>
      </c>
      <c r="E737">
        <v>3</v>
      </c>
      <c r="F737">
        <v>0</v>
      </c>
      <c r="G737">
        <v>13</v>
      </c>
      <c r="H737">
        <v>4</v>
      </c>
      <c r="I737">
        <v>0</v>
      </c>
      <c r="J737">
        <v>0.31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0</v>
      </c>
      <c r="Y737">
        <v>0</v>
      </c>
      <c r="Z737">
        <v>0</v>
      </c>
      <c r="AA737" s="86">
        <f>AVERAGEIFS($C$2:C737, $B$2:B737, B737)</f>
        <v>25.166666666666668</v>
      </c>
      <c r="AB737" s="86">
        <f>AVERAGEIFS($I$2:I737, $B$2:B737, B737)</f>
        <v>0.48125000000000001</v>
      </c>
      <c r="AC737" s="86">
        <f>AVERAGEIFS($J$2:J737, $B$2:B737, B737)</f>
        <v>0.49375000000000008</v>
      </c>
      <c r="AD737" s="86">
        <f>AVERAGEIFS($D$2:D737, $B$2:B737, B737)</f>
        <v>0.45833333333333331</v>
      </c>
    </row>
    <row r="738" spans="1:30" x14ac:dyDescent="0.25">
      <c r="A738" s="85">
        <v>46130</v>
      </c>
      <c r="B738" t="s">
        <v>14</v>
      </c>
      <c r="C738">
        <v>15</v>
      </c>
      <c r="D738" s="86">
        <v>0</v>
      </c>
      <c r="E738">
        <v>3</v>
      </c>
      <c r="F738">
        <v>0</v>
      </c>
      <c r="G738">
        <v>13</v>
      </c>
      <c r="H738">
        <v>4</v>
      </c>
      <c r="I738">
        <v>0</v>
      </c>
      <c r="J738">
        <v>0.31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 s="86">
        <f>AVERAGEIFS($C$2:C738, $B$2:B738, B738)</f>
        <v>24.131578947368421</v>
      </c>
      <c r="AB738" s="86">
        <f>AVERAGEIFS($I$2:I738, $B$2:B738, B738)</f>
        <v>0.47763157894736841</v>
      </c>
      <c r="AC738" s="86">
        <f>AVERAGEIFS($J$2:J738, $B$2:B738, B738)</f>
        <v>0.48894736842105269</v>
      </c>
      <c r="AD738" s="86">
        <f>AVERAGEIFS($D$2:D738, $B$2:B738, B738)</f>
        <v>0.47368421052631576</v>
      </c>
    </row>
    <row r="739" spans="1:30" x14ac:dyDescent="0.25">
      <c r="A739" s="85">
        <v>46130</v>
      </c>
      <c r="B739" t="s">
        <v>29</v>
      </c>
      <c r="C739">
        <v>10</v>
      </c>
      <c r="D739" s="86">
        <v>0</v>
      </c>
      <c r="E739">
        <v>3</v>
      </c>
      <c r="F739">
        <v>0</v>
      </c>
      <c r="G739">
        <v>13</v>
      </c>
      <c r="H739">
        <v>4</v>
      </c>
      <c r="I739">
        <v>0</v>
      </c>
      <c r="J739">
        <v>0.31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 s="86">
        <f>AVERAGEIFS($C$2:C739, $B$2:B739, B739)</f>
        <v>10.210526315789474</v>
      </c>
      <c r="AB739" s="86">
        <f>AVERAGEIFS($I$2:I739, $B$2:B739, B739)</f>
        <v>0.45394736842105265</v>
      </c>
      <c r="AC739" s="86">
        <f>AVERAGEIFS($J$2:J739, $B$2:B739, B739)</f>
        <v>0.49184210526315786</v>
      </c>
      <c r="AD739" s="86">
        <f>AVERAGEIFS($D$2:D739, $B$2:B739, B739)</f>
        <v>0.42105263157894735</v>
      </c>
    </row>
    <row r="740" spans="1:30" x14ac:dyDescent="0.25">
      <c r="A740" s="85">
        <v>46130</v>
      </c>
      <c r="B740" t="s">
        <v>154</v>
      </c>
      <c r="C740">
        <v>9</v>
      </c>
      <c r="D740" s="86">
        <v>0</v>
      </c>
      <c r="E740">
        <v>3</v>
      </c>
      <c r="F740">
        <v>0</v>
      </c>
      <c r="G740">
        <v>13</v>
      </c>
      <c r="H740">
        <v>4</v>
      </c>
      <c r="I740">
        <v>0</v>
      </c>
      <c r="J740">
        <v>0.31</v>
      </c>
      <c r="K740">
        <v>0</v>
      </c>
      <c r="L740">
        <v>0</v>
      </c>
      <c r="M740">
        <v>0</v>
      </c>
      <c r="N740">
        <v>0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 s="86">
        <f>AVERAGEIFS($C$2:C740, $B$2:B740, B740)</f>
        <v>10.714285714285714</v>
      </c>
      <c r="AB740" s="86">
        <f>AVERAGEIFS($I$2:I740, $B$2:B740, B740)</f>
        <v>0.56428571428571428</v>
      </c>
      <c r="AC740" s="86">
        <f>AVERAGEIFS($J$2:J740, $B$2:B740, B740)</f>
        <v>0.53714285714285714</v>
      </c>
      <c r="AD740" s="86">
        <f>AVERAGEIFS($D$2:D740, $B$2:B740, B740)</f>
        <v>0.7142857142857143</v>
      </c>
    </row>
    <row r="741" spans="1:30" x14ac:dyDescent="0.25">
      <c r="A741" s="85">
        <v>46130</v>
      </c>
      <c r="B741" t="s">
        <v>147</v>
      </c>
      <c r="C741">
        <v>9</v>
      </c>
      <c r="D741" s="86">
        <v>0</v>
      </c>
      <c r="E741">
        <v>3</v>
      </c>
      <c r="F741">
        <v>0</v>
      </c>
      <c r="G741">
        <v>13</v>
      </c>
      <c r="H741">
        <v>4</v>
      </c>
      <c r="I741">
        <v>0</v>
      </c>
      <c r="J741">
        <v>0.31</v>
      </c>
      <c r="K741">
        <v>0</v>
      </c>
      <c r="L741">
        <v>0</v>
      </c>
      <c r="M741">
        <v>0</v>
      </c>
      <c r="N741">
        <v>0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 s="86">
        <f>AVERAGEIFS($C$2:C741, $B$2:B741, B741)</f>
        <v>15.285714285714286</v>
      </c>
      <c r="AB741" s="86">
        <f>AVERAGEIFS($I$2:I741, $B$2:B741, B741)</f>
        <v>0.31428571428571433</v>
      </c>
      <c r="AC741" s="86">
        <f>AVERAGEIFS($J$2:J741, $B$2:B741, B741)</f>
        <v>0.41571428571428576</v>
      </c>
      <c r="AD741" s="86">
        <f>AVERAGEIFS($D$2:D741, $B$2:B741, B741)</f>
        <v>0.14285714285714285</v>
      </c>
    </row>
    <row r="742" spans="1:30" x14ac:dyDescent="0.25">
      <c r="A742" s="85">
        <v>46130</v>
      </c>
      <c r="B742" t="s">
        <v>38</v>
      </c>
      <c r="C742">
        <v>4</v>
      </c>
      <c r="D742" s="86">
        <v>0</v>
      </c>
      <c r="E742">
        <v>3</v>
      </c>
      <c r="F742">
        <v>0</v>
      </c>
      <c r="G742">
        <v>13</v>
      </c>
      <c r="H742">
        <v>4</v>
      </c>
      <c r="I742">
        <v>0</v>
      </c>
      <c r="J742">
        <v>0.31</v>
      </c>
      <c r="K742">
        <v>0</v>
      </c>
      <c r="L742">
        <v>0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 s="86">
        <f>AVERAGEIFS($C$2:C742, $B$2:B742, B742)</f>
        <v>6</v>
      </c>
      <c r="AB742" s="86">
        <f>AVERAGEIFS($I$2:I742, $B$2:B742, B742)</f>
        <v>0.37</v>
      </c>
      <c r="AC742" s="86">
        <f>AVERAGEIFS($J$2:J742, $B$2:B742, B742)</f>
        <v>0.43</v>
      </c>
      <c r="AD742" s="86">
        <f>AVERAGEIFS($D$2:D742, $B$2:B742, B742)</f>
        <v>0.4</v>
      </c>
    </row>
    <row r="743" spans="1:30" x14ac:dyDescent="0.25">
      <c r="A743" s="85">
        <v>46131</v>
      </c>
      <c r="B743" t="s">
        <v>13</v>
      </c>
      <c r="C743">
        <v>23</v>
      </c>
      <c r="D743" s="86">
        <v>1</v>
      </c>
      <c r="E743">
        <v>3</v>
      </c>
      <c r="F743">
        <v>3</v>
      </c>
      <c r="G743">
        <v>12</v>
      </c>
      <c r="H743">
        <v>9</v>
      </c>
      <c r="I743">
        <v>1</v>
      </c>
      <c r="J743">
        <v>0.75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1</v>
      </c>
      <c r="W743">
        <v>1</v>
      </c>
      <c r="X743">
        <v>0</v>
      </c>
      <c r="Y743">
        <v>0</v>
      </c>
      <c r="Z743">
        <v>1</v>
      </c>
      <c r="AA743" s="86">
        <f>AVERAGEIFS($C$2:C743, $B$2:B743, B743)</f>
        <v>26.115384615384617</v>
      </c>
      <c r="AB743" s="86">
        <f>AVERAGEIFS($I$2:I743, $B$2:B743, B743)</f>
        <v>0.58557692307692311</v>
      </c>
      <c r="AC743" s="86">
        <f>AVERAGEIFS($J$2:J743, $B$2:B743, B743)</f>
        <v>0.55153846153846142</v>
      </c>
      <c r="AD743" s="86">
        <f>AVERAGEIFS($D$2:D743, $B$2:B743, B743)</f>
        <v>0.65384615384615385</v>
      </c>
    </row>
    <row r="744" spans="1:30" x14ac:dyDescent="0.25">
      <c r="A744" s="85">
        <v>46131</v>
      </c>
      <c r="B744" t="s">
        <v>17</v>
      </c>
      <c r="C744">
        <v>17</v>
      </c>
      <c r="D744" s="86">
        <v>1</v>
      </c>
      <c r="E744">
        <v>3</v>
      </c>
      <c r="F744">
        <v>3</v>
      </c>
      <c r="G744">
        <v>12</v>
      </c>
      <c r="H744">
        <v>9</v>
      </c>
      <c r="I744">
        <v>1</v>
      </c>
      <c r="J744">
        <v>0.75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1</v>
      </c>
      <c r="W744">
        <v>1</v>
      </c>
      <c r="X744">
        <v>0</v>
      </c>
      <c r="Y744">
        <v>0</v>
      </c>
      <c r="Z744">
        <v>1</v>
      </c>
      <c r="AA744" s="86">
        <f>AVERAGEIFS($C$2:C744, $B$2:B744, B744)</f>
        <v>25.347826086956523</v>
      </c>
      <c r="AB744" s="86">
        <f>AVERAGEIFS($I$2:I744, $B$2:B744, B744)</f>
        <v>0.50869565217391322</v>
      </c>
      <c r="AC744" s="86">
        <f>AVERAGEIFS($J$2:J744, $B$2:B744, B744)</f>
        <v>0.51260869565217382</v>
      </c>
      <c r="AD744" s="86">
        <f>AVERAGEIFS($D$2:D744, $B$2:B744, B744)</f>
        <v>0.43478260869565216</v>
      </c>
    </row>
    <row r="745" spans="1:30" x14ac:dyDescent="0.25">
      <c r="A745" s="85">
        <v>46131</v>
      </c>
      <c r="B745" t="s">
        <v>29</v>
      </c>
      <c r="C745">
        <v>15</v>
      </c>
      <c r="D745" s="86">
        <v>1</v>
      </c>
      <c r="E745">
        <v>3</v>
      </c>
      <c r="F745">
        <v>3</v>
      </c>
      <c r="G745">
        <v>12</v>
      </c>
      <c r="H745">
        <v>9</v>
      </c>
      <c r="I745">
        <v>1</v>
      </c>
      <c r="J745">
        <v>0.75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1</v>
      </c>
      <c r="W745">
        <v>1</v>
      </c>
      <c r="X745">
        <v>0</v>
      </c>
      <c r="Y745">
        <v>0</v>
      </c>
      <c r="Z745">
        <v>1</v>
      </c>
      <c r="AA745" s="86">
        <f>AVERAGEIFS($C$2:C745, $B$2:B745, B745)</f>
        <v>10.333333333333334</v>
      </c>
      <c r="AB745" s="86">
        <f>AVERAGEIFS($I$2:I745, $B$2:B745, B745)</f>
        <v>0.46794871794871795</v>
      </c>
      <c r="AC745" s="86">
        <f>AVERAGEIFS($J$2:J745, $B$2:B745, B745)</f>
        <v>0.4984615384615384</v>
      </c>
      <c r="AD745" s="86">
        <f>AVERAGEIFS($D$2:D745, $B$2:B745, B745)</f>
        <v>0.4358974358974359</v>
      </c>
    </row>
    <row r="746" spans="1:30" x14ac:dyDescent="0.25">
      <c r="A746" s="85">
        <v>46131</v>
      </c>
      <c r="B746" t="s">
        <v>148</v>
      </c>
      <c r="C746">
        <v>15</v>
      </c>
      <c r="D746" s="86">
        <v>1</v>
      </c>
      <c r="E746">
        <v>3</v>
      </c>
      <c r="F746">
        <v>3</v>
      </c>
      <c r="G746">
        <v>12</v>
      </c>
      <c r="H746">
        <v>9</v>
      </c>
      <c r="I746">
        <v>1</v>
      </c>
      <c r="J746">
        <v>0.75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1</v>
      </c>
      <c r="W746">
        <v>1</v>
      </c>
      <c r="X746">
        <v>0</v>
      </c>
      <c r="Y746">
        <v>0</v>
      </c>
      <c r="Z746">
        <v>1</v>
      </c>
      <c r="AA746" s="86">
        <f>AVERAGEIFS($C$2:C746, $B$2:B746, B746)</f>
        <v>13.347826086956522</v>
      </c>
      <c r="AB746" s="86">
        <f>AVERAGEIFS($I$2:I746, $B$2:B746, B746)</f>
        <v>0.57391304347826089</v>
      </c>
      <c r="AC746" s="86">
        <f>AVERAGEIFS($J$2:J746, $B$2:B746, B746)</f>
        <v>0.52434782608695663</v>
      </c>
      <c r="AD746" s="86">
        <f>AVERAGEIFS($D$2:D746, $B$2:B746, B746)</f>
        <v>0.56521739130434778</v>
      </c>
    </row>
    <row r="747" spans="1:30" x14ac:dyDescent="0.25">
      <c r="A747" s="85">
        <v>46131</v>
      </c>
      <c r="B747" t="s">
        <v>113</v>
      </c>
      <c r="C747">
        <v>11</v>
      </c>
      <c r="D747" s="86">
        <v>1</v>
      </c>
      <c r="E747">
        <v>3</v>
      </c>
      <c r="F747">
        <v>3</v>
      </c>
      <c r="G747">
        <v>12</v>
      </c>
      <c r="H747">
        <v>9</v>
      </c>
      <c r="I747">
        <v>1</v>
      </c>
      <c r="J747">
        <v>0.75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1</v>
      </c>
      <c r="W747">
        <v>1</v>
      </c>
      <c r="X747">
        <v>0</v>
      </c>
      <c r="Y747">
        <v>0</v>
      </c>
      <c r="Z747">
        <v>1</v>
      </c>
      <c r="AA747" s="86">
        <f>AVERAGEIFS($C$2:C747, $B$2:B747, B747)</f>
        <v>15.888888888888889</v>
      </c>
      <c r="AB747" s="86">
        <f>AVERAGEIFS($I$2:I747, $B$2:B747, B747)</f>
        <v>0.6333333333333333</v>
      </c>
      <c r="AC747" s="86">
        <f>AVERAGEIFS($J$2:J747, $B$2:B747, B747)</f>
        <v>0.5444444444444444</v>
      </c>
      <c r="AD747" s="86">
        <f>AVERAGEIFS($D$2:D747, $B$2:B747, B747)</f>
        <v>0.77777777777777779</v>
      </c>
    </row>
    <row r="748" spans="1:30" x14ac:dyDescent="0.25">
      <c r="A748" s="85">
        <v>46131</v>
      </c>
      <c r="B748" t="s">
        <v>154</v>
      </c>
      <c r="C748">
        <v>6</v>
      </c>
      <c r="D748" s="86">
        <v>1</v>
      </c>
      <c r="E748">
        <v>3</v>
      </c>
      <c r="F748">
        <v>3</v>
      </c>
      <c r="G748">
        <v>12</v>
      </c>
      <c r="H748">
        <v>9</v>
      </c>
      <c r="I748">
        <v>1</v>
      </c>
      <c r="J748">
        <v>0.75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1</v>
      </c>
      <c r="W748">
        <v>1</v>
      </c>
      <c r="X748">
        <v>0</v>
      </c>
      <c r="Y748">
        <v>0</v>
      </c>
      <c r="Z748">
        <v>1</v>
      </c>
      <c r="AA748" s="86">
        <f>AVERAGEIFS($C$2:C748, $B$2:B748, B748)</f>
        <v>10.125</v>
      </c>
      <c r="AB748" s="86">
        <f>AVERAGEIFS($I$2:I748, $B$2:B748, B748)</f>
        <v>0.61875000000000002</v>
      </c>
      <c r="AC748" s="86">
        <f>AVERAGEIFS($J$2:J748, $B$2:B748, B748)</f>
        <v>0.56374999999999997</v>
      </c>
      <c r="AD748" s="86">
        <f>AVERAGEIFS($D$2:D748, $B$2:B748, B748)</f>
        <v>0.75</v>
      </c>
    </row>
    <row r="749" spans="1:30" x14ac:dyDescent="0.25">
      <c r="A749" s="85">
        <v>46131</v>
      </c>
      <c r="B749" t="s">
        <v>147</v>
      </c>
      <c r="C749">
        <v>14</v>
      </c>
      <c r="D749" s="86">
        <v>0</v>
      </c>
      <c r="E749">
        <v>3</v>
      </c>
      <c r="F749">
        <v>0</v>
      </c>
      <c r="G749">
        <v>12</v>
      </c>
      <c r="H749">
        <v>3</v>
      </c>
      <c r="I749">
        <v>0</v>
      </c>
      <c r="J749">
        <v>0.25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0</v>
      </c>
      <c r="AA749" s="86">
        <f>AVERAGEIFS($C$2:C749, $B$2:B749, B749)</f>
        <v>15.125</v>
      </c>
      <c r="AB749" s="86">
        <f>AVERAGEIFS($I$2:I749, $B$2:B749, B749)</f>
        <v>0.27500000000000002</v>
      </c>
      <c r="AC749" s="86">
        <f>AVERAGEIFS($J$2:J749, $B$2:B749, B749)</f>
        <v>0.39500000000000002</v>
      </c>
      <c r="AD749" s="86">
        <f>AVERAGEIFS($D$2:D749, $B$2:B749, B749)</f>
        <v>0.125</v>
      </c>
    </row>
    <row r="750" spans="1:30" x14ac:dyDescent="0.25">
      <c r="A750" s="85">
        <v>46131</v>
      </c>
      <c r="B750" t="s">
        <v>18</v>
      </c>
      <c r="C750">
        <v>13</v>
      </c>
      <c r="D750" s="86">
        <v>0</v>
      </c>
      <c r="E750">
        <v>3</v>
      </c>
      <c r="F750">
        <v>0</v>
      </c>
      <c r="G750">
        <v>12</v>
      </c>
      <c r="H750">
        <v>3</v>
      </c>
      <c r="I750">
        <v>0</v>
      </c>
      <c r="J750">
        <v>0.25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0</v>
      </c>
      <c r="AA750" s="86">
        <f>AVERAGEIFS($C$2:C750, $B$2:B750, B750)</f>
        <v>24.68</v>
      </c>
      <c r="AB750" s="86">
        <f>AVERAGEIFS($I$2:I750, $B$2:B750, B750)</f>
        <v>0.46200000000000002</v>
      </c>
      <c r="AC750" s="86">
        <f>AVERAGEIFS($J$2:J750, $B$2:B750, B750)</f>
        <v>0.48400000000000004</v>
      </c>
      <c r="AD750" s="86">
        <f>AVERAGEIFS($D$2:D750, $B$2:B750, B750)</f>
        <v>0.44</v>
      </c>
    </row>
    <row r="751" spans="1:30" x14ac:dyDescent="0.25">
      <c r="A751" s="85">
        <v>46131</v>
      </c>
      <c r="B751" t="s">
        <v>152</v>
      </c>
      <c r="C751">
        <v>11</v>
      </c>
      <c r="D751" s="86">
        <v>0</v>
      </c>
      <c r="E751">
        <v>3</v>
      </c>
      <c r="F751">
        <v>0</v>
      </c>
      <c r="G751">
        <v>12</v>
      </c>
      <c r="H751">
        <v>3</v>
      </c>
      <c r="I751">
        <v>0</v>
      </c>
      <c r="J751">
        <v>0.25</v>
      </c>
      <c r="K751">
        <v>0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0</v>
      </c>
      <c r="AA751" s="86">
        <f>AVERAGEIFS($C$2:C751, $B$2:B751, B751)</f>
        <v>15.2</v>
      </c>
      <c r="AB751" s="86">
        <f>AVERAGEIFS($I$2:I751, $B$2:B751, B751)</f>
        <v>0.16</v>
      </c>
      <c r="AC751" s="86">
        <f>AVERAGEIFS($J$2:J751, $B$2:B751, B751)</f>
        <v>0.33799999999999997</v>
      </c>
      <c r="AD751" s="86">
        <f>AVERAGEIFS($D$2:D751, $B$2:B751, B751)</f>
        <v>0</v>
      </c>
    </row>
    <row r="752" spans="1:30" x14ac:dyDescent="0.25">
      <c r="A752" s="85">
        <v>46131</v>
      </c>
      <c r="B752" t="s">
        <v>146</v>
      </c>
      <c r="C752">
        <v>10</v>
      </c>
      <c r="D752" s="86">
        <v>0</v>
      </c>
      <c r="E752">
        <v>3</v>
      </c>
      <c r="F752">
        <v>0</v>
      </c>
      <c r="G752">
        <v>12</v>
      </c>
      <c r="H752">
        <v>3</v>
      </c>
      <c r="I752">
        <v>0</v>
      </c>
      <c r="J752">
        <v>0.25</v>
      </c>
      <c r="K752">
        <v>0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0</v>
      </c>
      <c r="AA752" s="86">
        <f>AVERAGEIFS($C$2:C752, $B$2:B752, B752)</f>
        <v>11.4</v>
      </c>
      <c r="AB752" s="86">
        <f>AVERAGEIFS($I$2:I752, $B$2:B752, B752)</f>
        <v>0.39</v>
      </c>
      <c r="AC752" s="86">
        <f>AVERAGEIFS($J$2:J752, $B$2:B752, B752)</f>
        <v>0.45800000000000002</v>
      </c>
      <c r="AD752" s="86">
        <f>AVERAGEIFS($D$2:D752, $B$2:B752, B752)</f>
        <v>0.3</v>
      </c>
    </row>
    <row r="753" spans="1:30" x14ac:dyDescent="0.25">
      <c r="A753" s="85">
        <v>46131</v>
      </c>
      <c r="B753" t="s">
        <v>37</v>
      </c>
      <c r="C753">
        <v>10</v>
      </c>
      <c r="D753" s="86">
        <v>0</v>
      </c>
      <c r="E753">
        <v>3</v>
      </c>
      <c r="F753">
        <v>0</v>
      </c>
      <c r="G753">
        <v>12</v>
      </c>
      <c r="H753">
        <v>3</v>
      </c>
      <c r="I753">
        <v>0</v>
      </c>
      <c r="J753">
        <v>0.25</v>
      </c>
      <c r="K753">
        <v>0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A753" s="86">
        <f>AVERAGEIFS($C$2:C753, $B$2:B753, B753)</f>
        <v>19.291666666666668</v>
      </c>
      <c r="AB753" s="86">
        <f>AVERAGEIFS($I$2:I753, $B$2:B753, B753)</f>
        <v>0.42916666666666664</v>
      </c>
      <c r="AC753" s="86">
        <f>AVERAGEIFS($J$2:J753, $B$2:B753, B753)</f>
        <v>0.46124999999999994</v>
      </c>
      <c r="AD753" s="86">
        <f>AVERAGEIFS($D$2:D753, $B$2:B753, B753)</f>
        <v>0.45833333333333331</v>
      </c>
    </row>
    <row r="754" spans="1:30" x14ac:dyDescent="0.25">
      <c r="A754" s="85">
        <v>46131</v>
      </c>
      <c r="B754" t="s">
        <v>35</v>
      </c>
      <c r="C754">
        <v>8</v>
      </c>
      <c r="D754" s="86">
        <v>0</v>
      </c>
      <c r="E754">
        <v>3</v>
      </c>
      <c r="F754">
        <v>0</v>
      </c>
      <c r="G754">
        <v>12</v>
      </c>
      <c r="H754">
        <v>3</v>
      </c>
      <c r="I754">
        <v>0</v>
      </c>
      <c r="J754">
        <v>0.25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 s="86">
        <f>AVERAGEIFS($C$2:C754, $B$2:B754, B754)</f>
        <v>11.24</v>
      </c>
      <c r="AB754" s="86">
        <f>AVERAGEIFS($I$2:I754, $B$2:B754, B754)</f>
        <v>0.44</v>
      </c>
      <c r="AC754" s="86">
        <f>AVERAGEIFS($J$2:J754, $B$2:B754, B754)</f>
        <v>0.46640000000000009</v>
      </c>
      <c r="AD754" s="86">
        <f>AVERAGEIFS($D$2:D754, $B$2:B754, B754)</f>
        <v>0.52</v>
      </c>
    </row>
    <row r="755" spans="1:30" x14ac:dyDescent="0.25">
      <c r="A755" s="85">
        <v>46131</v>
      </c>
      <c r="B755" t="s">
        <v>17</v>
      </c>
      <c r="C755">
        <v>58</v>
      </c>
      <c r="D755" s="86">
        <v>1</v>
      </c>
      <c r="E755">
        <v>5</v>
      </c>
      <c r="F755">
        <v>3</v>
      </c>
      <c r="G755">
        <v>23</v>
      </c>
      <c r="H755">
        <v>13</v>
      </c>
      <c r="I755">
        <v>0.6</v>
      </c>
      <c r="J755">
        <v>0.56999999999999995</v>
      </c>
      <c r="K755">
        <v>0</v>
      </c>
      <c r="L755">
        <v>0</v>
      </c>
      <c r="M755">
        <v>0</v>
      </c>
      <c r="N755">
        <v>0</v>
      </c>
      <c r="O755">
        <v>1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1</v>
      </c>
      <c r="Y755">
        <v>0</v>
      </c>
      <c r="Z755">
        <v>1</v>
      </c>
      <c r="AA755" s="86">
        <f>AVERAGEIFS($C$2:C755, $B$2:B755, B755)</f>
        <v>26.042553191489361</v>
      </c>
      <c r="AB755" s="86">
        <f>AVERAGEIFS($I$2:I755, $B$2:B755, B755)</f>
        <v>0.51063829787234061</v>
      </c>
      <c r="AC755" s="86">
        <f>AVERAGEIFS($J$2:J755, $B$2:B755, B755)</f>
        <v>0.51382978723404249</v>
      </c>
      <c r="AD755" s="86">
        <f>AVERAGEIFS($D$2:D755, $B$2:B755, B755)</f>
        <v>0.44680851063829785</v>
      </c>
    </row>
    <row r="756" spans="1:30" x14ac:dyDescent="0.25">
      <c r="A756" s="85">
        <v>46131</v>
      </c>
      <c r="B756" t="s">
        <v>14</v>
      </c>
      <c r="C756">
        <v>51</v>
      </c>
      <c r="D756" s="86">
        <v>1</v>
      </c>
      <c r="E756">
        <v>5</v>
      </c>
      <c r="F756">
        <v>3</v>
      </c>
      <c r="G756">
        <v>23</v>
      </c>
      <c r="H756">
        <v>13</v>
      </c>
      <c r="I756">
        <v>0.6</v>
      </c>
      <c r="J756">
        <v>0.56999999999999995</v>
      </c>
      <c r="K756">
        <v>0</v>
      </c>
      <c r="L756">
        <v>0</v>
      </c>
      <c r="M756">
        <v>0</v>
      </c>
      <c r="N756">
        <v>0</v>
      </c>
      <c r="O756">
        <v>1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1</v>
      </c>
      <c r="Y756">
        <v>0</v>
      </c>
      <c r="Z756">
        <v>1</v>
      </c>
      <c r="AA756" s="86">
        <f>AVERAGEIFS($C$2:C756, $B$2:B756, B756)</f>
        <v>24.820512820512821</v>
      </c>
      <c r="AB756" s="86">
        <f>AVERAGEIFS($I$2:I756, $B$2:B756, B756)</f>
        <v>0.48076923076923078</v>
      </c>
      <c r="AC756" s="86">
        <f>AVERAGEIFS($J$2:J756, $B$2:B756, B756)</f>
        <v>0.49102564102564106</v>
      </c>
      <c r="AD756" s="86">
        <f>AVERAGEIFS($D$2:D756, $B$2:B756, B756)</f>
        <v>0.48717948717948717</v>
      </c>
    </row>
    <row r="757" spans="1:30" x14ac:dyDescent="0.25">
      <c r="A757" s="85">
        <v>46131</v>
      </c>
      <c r="B757" t="s">
        <v>28</v>
      </c>
      <c r="C757">
        <v>43</v>
      </c>
      <c r="D757" s="86">
        <v>1</v>
      </c>
      <c r="E757">
        <v>5</v>
      </c>
      <c r="F757">
        <v>3</v>
      </c>
      <c r="G757">
        <v>23</v>
      </c>
      <c r="H757">
        <v>13</v>
      </c>
      <c r="I757">
        <v>0.6</v>
      </c>
      <c r="J757">
        <v>0.56999999999999995</v>
      </c>
      <c r="K757">
        <v>0</v>
      </c>
      <c r="L757">
        <v>0</v>
      </c>
      <c r="M757">
        <v>0</v>
      </c>
      <c r="N757">
        <v>0</v>
      </c>
      <c r="O757">
        <v>1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1</v>
      </c>
      <c r="Y757">
        <v>0</v>
      </c>
      <c r="Z757">
        <v>1</v>
      </c>
      <c r="AA757" s="86">
        <f>AVERAGEIFS($C$2:C757, $B$2:B757, B757)</f>
        <v>14.636363636363637</v>
      </c>
      <c r="AB757" s="86">
        <f>AVERAGEIFS($I$2:I757, $B$2:B757, B757)</f>
        <v>0.40227272727272728</v>
      </c>
      <c r="AC757" s="86">
        <f>AVERAGEIFS($J$2:J757, $B$2:B757, B757)</f>
        <v>0.45636363636363647</v>
      </c>
      <c r="AD757" s="86">
        <f>AVERAGEIFS($D$2:D757, $B$2:B757, B757)</f>
        <v>0.40909090909090912</v>
      </c>
    </row>
    <row r="758" spans="1:30" x14ac:dyDescent="0.25">
      <c r="A758" s="85">
        <v>46131</v>
      </c>
      <c r="B758" t="s">
        <v>25</v>
      </c>
      <c r="C758">
        <v>35</v>
      </c>
      <c r="D758" s="86">
        <v>1</v>
      </c>
      <c r="E758">
        <v>5</v>
      </c>
      <c r="F758">
        <v>3</v>
      </c>
      <c r="G758">
        <v>23</v>
      </c>
      <c r="H758">
        <v>13</v>
      </c>
      <c r="I758">
        <v>0.6</v>
      </c>
      <c r="J758">
        <v>0.56999999999999995</v>
      </c>
      <c r="K758">
        <v>0</v>
      </c>
      <c r="L758">
        <v>0</v>
      </c>
      <c r="M758">
        <v>0</v>
      </c>
      <c r="N758">
        <v>0</v>
      </c>
      <c r="O758">
        <v>1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1</v>
      </c>
      <c r="Y758">
        <v>0</v>
      </c>
      <c r="Z758">
        <v>1</v>
      </c>
      <c r="AA758" s="86">
        <f>AVERAGEIFS($C$2:C758, $B$2:B758, B758)</f>
        <v>17.041666666666668</v>
      </c>
      <c r="AB758" s="86">
        <f>AVERAGEIFS($I$2:I758, $B$2:B758, B758)</f>
        <v>0.59791666666666665</v>
      </c>
      <c r="AC758" s="86">
        <f>AVERAGEIFS($J$2:J758, $B$2:B758, B758)</f>
        <v>0.54333333333333333</v>
      </c>
      <c r="AD758" s="86">
        <f>AVERAGEIFS($D$2:D758, $B$2:B758, B758)</f>
        <v>0.625</v>
      </c>
    </row>
    <row r="759" spans="1:30" x14ac:dyDescent="0.25">
      <c r="A759" s="85">
        <v>46131</v>
      </c>
      <c r="B759" t="s">
        <v>70</v>
      </c>
      <c r="C759">
        <v>27</v>
      </c>
      <c r="D759" s="86">
        <v>1</v>
      </c>
      <c r="E759">
        <v>5</v>
      </c>
      <c r="F759">
        <v>3</v>
      </c>
      <c r="G759">
        <v>23</v>
      </c>
      <c r="H759">
        <v>13</v>
      </c>
      <c r="I759">
        <v>0.6</v>
      </c>
      <c r="J759">
        <v>0.56999999999999995</v>
      </c>
      <c r="K759">
        <v>0</v>
      </c>
      <c r="L759">
        <v>0</v>
      </c>
      <c r="M759">
        <v>0</v>
      </c>
      <c r="N759">
        <v>0</v>
      </c>
      <c r="O759">
        <v>1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1</v>
      </c>
      <c r="Y759">
        <v>0</v>
      </c>
      <c r="Z759">
        <v>1</v>
      </c>
      <c r="AA759" s="86">
        <f>AVERAGEIFS($C$2:C759, $B$2:B759, B759)</f>
        <v>20</v>
      </c>
      <c r="AB759" s="86">
        <f>AVERAGEIFS($I$2:I759, $B$2:B759, B759)</f>
        <v>0.65</v>
      </c>
      <c r="AC759" s="86">
        <f>AVERAGEIFS($J$2:J759, $B$2:B759, B759)</f>
        <v>0.5625</v>
      </c>
      <c r="AD759" s="86">
        <f>AVERAGEIFS($D$2:D759, $B$2:B759, B759)</f>
        <v>0.75</v>
      </c>
    </row>
    <row r="760" spans="1:30" x14ac:dyDescent="0.25">
      <c r="A760" s="85">
        <v>46131</v>
      </c>
      <c r="B760" t="s">
        <v>40</v>
      </c>
      <c r="C760">
        <v>22</v>
      </c>
      <c r="D760" s="86">
        <v>1</v>
      </c>
      <c r="E760">
        <v>5</v>
      </c>
      <c r="F760">
        <v>3</v>
      </c>
      <c r="G760">
        <v>23</v>
      </c>
      <c r="H760">
        <v>13</v>
      </c>
      <c r="I760">
        <v>0.6</v>
      </c>
      <c r="J760">
        <v>0.56999999999999995</v>
      </c>
      <c r="K760">
        <v>0</v>
      </c>
      <c r="L760">
        <v>0</v>
      </c>
      <c r="M760">
        <v>0</v>
      </c>
      <c r="N760">
        <v>0</v>
      </c>
      <c r="O760">
        <v>1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1</v>
      </c>
      <c r="Y760">
        <v>0</v>
      </c>
      <c r="Z760">
        <v>1</v>
      </c>
      <c r="AA760" s="86">
        <f>AVERAGEIFS($C$2:C760, $B$2:B760, B760)</f>
        <v>16.692307692307693</v>
      </c>
      <c r="AB760" s="86">
        <f>AVERAGEIFS($I$2:I760, $B$2:B760, B760)</f>
        <v>0.42692307692307685</v>
      </c>
      <c r="AC760" s="86">
        <f>AVERAGEIFS($J$2:J760, $B$2:B760, B760)</f>
        <v>0.43307692307692314</v>
      </c>
      <c r="AD760" s="86">
        <f>AVERAGEIFS($D$2:D760, $B$2:B760, B760)</f>
        <v>0.30769230769230771</v>
      </c>
    </row>
    <row r="761" spans="1:30" x14ac:dyDescent="0.25">
      <c r="A761" s="85">
        <v>46131</v>
      </c>
      <c r="B761" t="s">
        <v>2</v>
      </c>
      <c r="C761">
        <v>52</v>
      </c>
      <c r="D761" s="86">
        <v>0</v>
      </c>
      <c r="E761">
        <v>5</v>
      </c>
      <c r="F761">
        <v>2</v>
      </c>
      <c r="G761">
        <v>23</v>
      </c>
      <c r="H761">
        <v>10</v>
      </c>
      <c r="I761">
        <v>0.4</v>
      </c>
      <c r="J761">
        <v>0.43</v>
      </c>
      <c r="K761">
        <v>0</v>
      </c>
      <c r="L761">
        <v>1</v>
      </c>
      <c r="M761">
        <v>0</v>
      </c>
      <c r="N761">
        <v>1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 s="86">
        <f>AVERAGEIFS($C$2:C761, $B$2:B761, B761)</f>
        <v>28.266666666666666</v>
      </c>
      <c r="AB761" s="86">
        <f>AVERAGEIFS($I$2:I761, $B$2:B761, B761)</f>
        <v>0.56333333333333335</v>
      </c>
      <c r="AC761" s="86">
        <f>AVERAGEIFS($J$2:J761, $B$2:B761, B761)</f>
        <v>0.54199999999999993</v>
      </c>
      <c r="AD761" s="86">
        <f>AVERAGEIFS($D$2:D761, $B$2:B761, B761)</f>
        <v>0.53333333333333333</v>
      </c>
    </row>
    <row r="762" spans="1:30" x14ac:dyDescent="0.25">
      <c r="A762" s="85">
        <v>46131</v>
      </c>
      <c r="B762" t="s">
        <v>113</v>
      </c>
      <c r="C762">
        <v>49</v>
      </c>
      <c r="D762" s="86">
        <v>0</v>
      </c>
      <c r="E762">
        <v>5</v>
      </c>
      <c r="F762">
        <v>2</v>
      </c>
      <c r="G762">
        <v>23</v>
      </c>
      <c r="H762">
        <v>10</v>
      </c>
      <c r="I762">
        <v>0.4</v>
      </c>
      <c r="J762">
        <v>0.43</v>
      </c>
      <c r="K762">
        <v>0</v>
      </c>
      <c r="L762">
        <v>1</v>
      </c>
      <c r="M762">
        <v>0</v>
      </c>
      <c r="N762">
        <v>1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 s="86">
        <f>AVERAGEIFS($C$2:C762, $B$2:B762, B762)</f>
        <v>19.2</v>
      </c>
      <c r="AB762" s="86">
        <f>AVERAGEIFS($I$2:I762, $B$2:B762, B762)</f>
        <v>0.6100000000000001</v>
      </c>
      <c r="AC762" s="86">
        <f>AVERAGEIFS($J$2:J762, $B$2:B762, B762)</f>
        <v>0.53299999999999992</v>
      </c>
      <c r="AD762" s="86">
        <f>AVERAGEIFS($D$2:D762, $B$2:B762, B762)</f>
        <v>0.7</v>
      </c>
    </row>
    <row r="763" spans="1:30" x14ac:dyDescent="0.25">
      <c r="A763" s="85">
        <v>46131</v>
      </c>
      <c r="B763" t="s">
        <v>15</v>
      </c>
      <c r="C763">
        <v>37</v>
      </c>
      <c r="D763" s="86">
        <v>0</v>
      </c>
      <c r="E763">
        <v>5</v>
      </c>
      <c r="F763">
        <v>2</v>
      </c>
      <c r="G763">
        <v>23</v>
      </c>
      <c r="H763">
        <v>10</v>
      </c>
      <c r="I763">
        <v>0.4</v>
      </c>
      <c r="J763">
        <v>0.43</v>
      </c>
      <c r="K763">
        <v>0</v>
      </c>
      <c r="L763">
        <v>1</v>
      </c>
      <c r="M763">
        <v>0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 s="86">
        <f>AVERAGEIFS($C$2:C763, $B$2:B763, B763)</f>
        <v>24.457142857142856</v>
      </c>
      <c r="AB763" s="86">
        <f>AVERAGEIFS($I$2:I763, $B$2:B763, B763)</f>
        <v>0.47142857142857142</v>
      </c>
      <c r="AC763" s="86">
        <f>AVERAGEIFS($J$2:J763, $B$2:B763, B763)</f>
        <v>0.48971428571428571</v>
      </c>
      <c r="AD763" s="86">
        <f>AVERAGEIFS($D$2:D763, $B$2:B763, B763)</f>
        <v>0.37142857142857144</v>
      </c>
    </row>
    <row r="764" spans="1:30" x14ac:dyDescent="0.25">
      <c r="A764" s="85">
        <v>46131</v>
      </c>
      <c r="B764" t="s">
        <v>147</v>
      </c>
      <c r="C764">
        <v>34</v>
      </c>
      <c r="D764" s="86">
        <v>0</v>
      </c>
      <c r="E764">
        <v>5</v>
      </c>
      <c r="F764">
        <v>2</v>
      </c>
      <c r="G764">
        <v>23</v>
      </c>
      <c r="H764">
        <v>10</v>
      </c>
      <c r="I764">
        <v>0.4</v>
      </c>
      <c r="J764">
        <v>0.43</v>
      </c>
      <c r="K764">
        <v>0</v>
      </c>
      <c r="L764">
        <v>1</v>
      </c>
      <c r="M764">
        <v>0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 s="86">
        <f>AVERAGEIFS($C$2:C764, $B$2:B764, B764)</f>
        <v>17.222222222222221</v>
      </c>
      <c r="AB764" s="86">
        <f>AVERAGEIFS($I$2:I764, $B$2:B764, B764)</f>
        <v>0.28888888888888892</v>
      </c>
      <c r="AC764" s="86">
        <f>AVERAGEIFS($J$2:J764, $B$2:B764, B764)</f>
        <v>0.3988888888888889</v>
      </c>
      <c r="AD764" s="86">
        <f>AVERAGEIFS($D$2:D764, $B$2:B764, B764)</f>
        <v>0.1111111111111111</v>
      </c>
    </row>
    <row r="765" spans="1:30" x14ac:dyDescent="0.25">
      <c r="A765" s="85">
        <v>46131</v>
      </c>
      <c r="B765" t="s">
        <v>146</v>
      </c>
      <c r="C765">
        <v>27</v>
      </c>
      <c r="D765" s="86">
        <v>0</v>
      </c>
      <c r="E765">
        <v>5</v>
      </c>
      <c r="F765">
        <v>2</v>
      </c>
      <c r="G765">
        <v>23</v>
      </c>
      <c r="H765">
        <v>10</v>
      </c>
      <c r="I765">
        <v>0.4</v>
      </c>
      <c r="J765">
        <v>0.43</v>
      </c>
      <c r="K765">
        <v>0</v>
      </c>
      <c r="L765">
        <v>1</v>
      </c>
      <c r="M765">
        <v>0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 s="86">
        <f>AVERAGEIFS($C$2:C765, $B$2:B765, B765)</f>
        <v>12.818181818181818</v>
      </c>
      <c r="AB765" s="86">
        <f>AVERAGEIFS($I$2:I765, $B$2:B765, B765)</f>
        <v>0.39090909090909087</v>
      </c>
      <c r="AC765" s="86">
        <f>AVERAGEIFS($J$2:J765, $B$2:B765, B765)</f>
        <v>0.45545454545454545</v>
      </c>
      <c r="AD765" s="86">
        <f>AVERAGEIFS($D$2:D765, $B$2:B765, B765)</f>
        <v>0.27272727272727271</v>
      </c>
    </row>
    <row r="766" spans="1:30" x14ac:dyDescent="0.25">
      <c r="A766" s="85">
        <v>46131</v>
      </c>
      <c r="B766" t="s">
        <v>154</v>
      </c>
      <c r="C766">
        <v>22</v>
      </c>
      <c r="D766" s="86">
        <v>0</v>
      </c>
      <c r="E766">
        <v>5</v>
      </c>
      <c r="F766">
        <v>2</v>
      </c>
      <c r="G766">
        <v>23</v>
      </c>
      <c r="H766">
        <v>10</v>
      </c>
      <c r="I766">
        <v>0.4</v>
      </c>
      <c r="J766">
        <v>0.43</v>
      </c>
      <c r="K766">
        <v>0</v>
      </c>
      <c r="L766">
        <v>1</v>
      </c>
      <c r="M766">
        <v>0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 s="86">
        <f>AVERAGEIFS($C$2:C766, $B$2:B766, B766)</f>
        <v>11.444444444444445</v>
      </c>
      <c r="AB766" s="86">
        <f>AVERAGEIFS($I$2:I766, $B$2:B766, B766)</f>
        <v>0.59444444444444455</v>
      </c>
      <c r="AC766" s="86">
        <f>AVERAGEIFS($J$2:J766, $B$2:B766, B766)</f>
        <v>0.54888888888888887</v>
      </c>
      <c r="AD766" s="86">
        <f>AVERAGEIFS($D$2:D766, $B$2:B766, B766)</f>
        <v>0.66666666666666663</v>
      </c>
    </row>
    <row r="767" spans="1:30" x14ac:dyDescent="0.25">
      <c r="A767" s="85">
        <v>46131</v>
      </c>
      <c r="B767" t="s">
        <v>13</v>
      </c>
      <c r="C767">
        <v>58</v>
      </c>
      <c r="D767" s="86">
        <v>0</v>
      </c>
      <c r="E767">
        <v>5</v>
      </c>
      <c r="F767">
        <v>2</v>
      </c>
      <c r="G767">
        <v>19</v>
      </c>
      <c r="H767">
        <v>8</v>
      </c>
      <c r="I767">
        <v>0.4</v>
      </c>
      <c r="J767">
        <v>0.42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1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1</v>
      </c>
      <c r="Z767">
        <v>0</v>
      </c>
      <c r="AA767" s="86">
        <f>AVERAGEIFS($C$2:C767, $B$2:B767, B767)</f>
        <v>26.716981132075471</v>
      </c>
      <c r="AB767" s="86">
        <f>AVERAGEIFS($I$2:I767, $B$2:B767, B767)</f>
        <v>0.58207547169811313</v>
      </c>
      <c r="AC767" s="86">
        <f>AVERAGEIFS($J$2:J767, $B$2:B767, B767)</f>
        <v>0.54905660377358489</v>
      </c>
      <c r="AD767" s="86">
        <f>AVERAGEIFS($D$2:D767, $B$2:B767, B767)</f>
        <v>0.64150943396226412</v>
      </c>
    </row>
    <row r="768" spans="1:30" x14ac:dyDescent="0.25">
      <c r="A768" s="85">
        <v>46131</v>
      </c>
      <c r="B768" t="s">
        <v>6</v>
      </c>
      <c r="C768">
        <v>51</v>
      </c>
      <c r="D768" s="86">
        <v>0</v>
      </c>
      <c r="E768">
        <v>5</v>
      </c>
      <c r="F768">
        <v>2</v>
      </c>
      <c r="G768">
        <v>19</v>
      </c>
      <c r="H768">
        <v>8</v>
      </c>
      <c r="I768">
        <v>0.4</v>
      </c>
      <c r="J768">
        <v>0.42</v>
      </c>
      <c r="K768">
        <v>0</v>
      </c>
      <c r="L768">
        <v>0</v>
      </c>
      <c r="M768">
        <v>0</v>
      </c>
      <c r="N768">
        <v>0</v>
      </c>
      <c r="O768">
        <v>0</v>
      </c>
      <c r="P768">
        <v>1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1</v>
      </c>
      <c r="Z768">
        <v>0</v>
      </c>
      <c r="AA768" s="86">
        <f>AVERAGEIFS($C$2:C768, $B$2:B768, B768)</f>
        <v>23.84</v>
      </c>
      <c r="AB768" s="86">
        <f>AVERAGEIFS($I$2:I768, $B$2:B768, B768)</f>
        <v>0.61799999999999999</v>
      </c>
      <c r="AC768" s="86">
        <f>AVERAGEIFS($J$2:J768, $B$2:B768, B768)</f>
        <v>0.55559999999999998</v>
      </c>
      <c r="AD768" s="86">
        <f>AVERAGEIFS($D$2:D768, $B$2:B768, B768)</f>
        <v>0.68</v>
      </c>
    </row>
    <row r="769" spans="1:30" x14ac:dyDescent="0.25">
      <c r="A769" s="85">
        <v>46131</v>
      </c>
      <c r="B769" t="s">
        <v>27</v>
      </c>
      <c r="C769">
        <v>44</v>
      </c>
      <c r="D769" s="86">
        <v>0</v>
      </c>
      <c r="E769">
        <v>5</v>
      </c>
      <c r="F769">
        <v>2</v>
      </c>
      <c r="G769">
        <v>19</v>
      </c>
      <c r="H769">
        <v>8</v>
      </c>
      <c r="I769">
        <v>0.4</v>
      </c>
      <c r="J769">
        <v>0.42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1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1</v>
      </c>
      <c r="Z769">
        <v>0</v>
      </c>
      <c r="AA769" s="86">
        <f>AVERAGEIFS($C$2:C769, $B$2:B769, B769)</f>
        <v>14.869565217391305</v>
      </c>
      <c r="AB769" s="86">
        <f>AVERAGEIFS($I$2:I769, $B$2:B769, B769)</f>
        <v>0.50869565217391299</v>
      </c>
      <c r="AC769" s="86">
        <f>AVERAGEIFS($J$2:J769, $B$2:B769, B769)</f>
        <v>0.50826086956521743</v>
      </c>
      <c r="AD769" s="86">
        <f>AVERAGEIFS($D$2:D769, $B$2:B769, B769)</f>
        <v>0.56521739130434778</v>
      </c>
    </row>
    <row r="770" spans="1:30" x14ac:dyDescent="0.25">
      <c r="A770" s="85">
        <v>46131</v>
      </c>
      <c r="B770" t="s">
        <v>26</v>
      </c>
      <c r="C770">
        <v>41</v>
      </c>
      <c r="D770" s="86">
        <v>0</v>
      </c>
      <c r="E770">
        <v>5</v>
      </c>
      <c r="F770">
        <v>2</v>
      </c>
      <c r="G770">
        <v>19</v>
      </c>
      <c r="H770">
        <v>8</v>
      </c>
      <c r="I770">
        <v>0.4</v>
      </c>
      <c r="J770">
        <v>0.42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1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1</v>
      </c>
      <c r="Z770">
        <v>0</v>
      </c>
      <c r="AA770" s="86">
        <f>AVERAGEIFS($C$2:C770, $B$2:B770, B770)</f>
        <v>13.3125</v>
      </c>
      <c r="AB770" s="86">
        <f>AVERAGEIFS($I$2:I770, $B$2:B770, B770)</f>
        <v>0.62812499999999993</v>
      </c>
      <c r="AC770" s="86">
        <f>AVERAGEIFS($J$2:J770, $B$2:B770, B770)</f>
        <v>0.55843749999999992</v>
      </c>
      <c r="AD770" s="86">
        <f>AVERAGEIFS($D$2:D770, $B$2:B770, B770)</f>
        <v>0.6875</v>
      </c>
    </row>
    <row r="771" spans="1:30" x14ac:dyDescent="0.25">
      <c r="A771" s="85">
        <v>46131</v>
      </c>
      <c r="B771" t="s">
        <v>20</v>
      </c>
      <c r="C771">
        <v>37</v>
      </c>
      <c r="D771" s="86">
        <v>0</v>
      </c>
      <c r="E771">
        <v>5</v>
      </c>
      <c r="F771">
        <v>2</v>
      </c>
      <c r="G771">
        <v>19</v>
      </c>
      <c r="H771">
        <v>8</v>
      </c>
      <c r="I771">
        <v>0.4</v>
      </c>
      <c r="J771">
        <v>0.42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1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1</v>
      </c>
      <c r="Z771">
        <v>0</v>
      </c>
      <c r="AA771" s="86">
        <f>AVERAGEIFS($C$2:C771, $B$2:B771, B771)</f>
        <v>14.46875</v>
      </c>
      <c r="AB771" s="86">
        <f>AVERAGEIFS($I$2:I771, $B$2:B771, B771)</f>
        <v>0.49062500000000003</v>
      </c>
      <c r="AC771" s="86">
        <f>AVERAGEIFS($J$2:J771, $B$2:B771, B771)</f>
        <v>0.50031250000000016</v>
      </c>
      <c r="AD771" s="86">
        <f>AVERAGEIFS($D$2:D771, $B$2:B771, B771)</f>
        <v>0.40625</v>
      </c>
    </row>
    <row r="772" spans="1:30" x14ac:dyDescent="0.25">
      <c r="A772" s="85">
        <v>46131</v>
      </c>
      <c r="B772" t="s">
        <v>19</v>
      </c>
      <c r="C772">
        <v>24</v>
      </c>
      <c r="D772" s="86">
        <v>0</v>
      </c>
      <c r="E772">
        <v>5</v>
      </c>
      <c r="F772">
        <v>2</v>
      </c>
      <c r="G772">
        <v>19</v>
      </c>
      <c r="H772">
        <v>8</v>
      </c>
      <c r="I772">
        <v>0.4</v>
      </c>
      <c r="J772">
        <v>0.42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1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1</v>
      </c>
      <c r="Z772">
        <v>0</v>
      </c>
      <c r="AA772" s="86">
        <f>AVERAGEIFS($C$2:C772, $B$2:B772, B772)</f>
        <v>12.121212121212121</v>
      </c>
      <c r="AB772" s="86">
        <f>AVERAGEIFS($I$2:I772, $B$2:B772, B772)</f>
        <v>0.4212121212121212</v>
      </c>
      <c r="AC772" s="86">
        <f>AVERAGEIFS($J$2:J772, $B$2:B772, B772)</f>
        <v>0.4554545454545455</v>
      </c>
      <c r="AD772" s="86">
        <f>AVERAGEIFS($D$2:D772, $B$2:B772, B772)</f>
        <v>0.39393939393939392</v>
      </c>
    </row>
    <row r="773" spans="1:30" x14ac:dyDescent="0.25">
      <c r="A773" s="85">
        <v>46131</v>
      </c>
      <c r="B773" t="s">
        <v>29</v>
      </c>
      <c r="C773">
        <v>21</v>
      </c>
      <c r="D773" s="86">
        <v>1</v>
      </c>
      <c r="E773">
        <v>5</v>
      </c>
      <c r="F773">
        <v>3</v>
      </c>
      <c r="G773">
        <v>19</v>
      </c>
      <c r="H773">
        <v>11</v>
      </c>
      <c r="I773">
        <v>0.6</v>
      </c>
      <c r="J773">
        <v>0.57999999999999996</v>
      </c>
      <c r="K773">
        <v>1</v>
      </c>
      <c r="L773">
        <v>1</v>
      </c>
      <c r="M773">
        <v>0</v>
      </c>
      <c r="N773">
        <v>0</v>
      </c>
      <c r="O773">
        <v>1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 s="86">
        <f>AVERAGEIFS($C$2:C773, $B$2:B773, B773)</f>
        <v>10.6</v>
      </c>
      <c r="AB773" s="86">
        <f>AVERAGEIFS($I$2:I773, $B$2:B773, B773)</f>
        <v>0.47125000000000006</v>
      </c>
      <c r="AC773" s="86">
        <f>AVERAGEIFS($J$2:J773, $B$2:B773, B773)</f>
        <v>0.50049999999999994</v>
      </c>
      <c r="AD773" s="86">
        <f>AVERAGEIFS($D$2:D773, $B$2:B773, B773)</f>
        <v>0.45</v>
      </c>
    </row>
    <row r="774" spans="1:30" x14ac:dyDescent="0.25">
      <c r="A774" s="85">
        <v>46131</v>
      </c>
      <c r="B774" t="s">
        <v>18</v>
      </c>
      <c r="C774">
        <v>55</v>
      </c>
      <c r="D774" s="86">
        <v>1</v>
      </c>
      <c r="E774">
        <v>5</v>
      </c>
      <c r="F774">
        <v>3</v>
      </c>
      <c r="G774">
        <v>19</v>
      </c>
      <c r="H774">
        <v>11</v>
      </c>
      <c r="I774">
        <v>0.6</v>
      </c>
      <c r="J774">
        <v>0.57999999999999996</v>
      </c>
      <c r="K774">
        <v>1</v>
      </c>
      <c r="L774">
        <v>1</v>
      </c>
      <c r="M774">
        <v>0</v>
      </c>
      <c r="N774">
        <v>0</v>
      </c>
      <c r="O774">
        <v>1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 s="86">
        <f>AVERAGEIFS($C$2:C774, $B$2:B774, B774)</f>
        <v>25.846153846153847</v>
      </c>
      <c r="AB774" s="86">
        <f>AVERAGEIFS($I$2:I774, $B$2:B774, B774)</f>
        <v>0.46730769230769231</v>
      </c>
      <c r="AC774" s="86">
        <f>AVERAGEIFS($J$2:J774, $B$2:B774, B774)</f>
        <v>0.48769230769230776</v>
      </c>
      <c r="AD774" s="86">
        <f>AVERAGEIFS($D$2:D774, $B$2:B774, B774)</f>
        <v>0.46153846153846156</v>
      </c>
    </row>
    <row r="775" spans="1:30" x14ac:dyDescent="0.25">
      <c r="A775" s="85">
        <v>46131</v>
      </c>
      <c r="B775" t="s">
        <v>35</v>
      </c>
      <c r="C775">
        <v>32</v>
      </c>
      <c r="D775" s="86">
        <v>1</v>
      </c>
      <c r="E775">
        <v>5</v>
      </c>
      <c r="F775">
        <v>3</v>
      </c>
      <c r="G775">
        <v>19</v>
      </c>
      <c r="H775">
        <v>11</v>
      </c>
      <c r="I775">
        <v>0.6</v>
      </c>
      <c r="J775">
        <v>0.57999999999999996</v>
      </c>
      <c r="K775">
        <v>1</v>
      </c>
      <c r="L775">
        <v>1</v>
      </c>
      <c r="M775">
        <v>0</v>
      </c>
      <c r="N775">
        <v>0</v>
      </c>
      <c r="O775">
        <v>1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 s="86">
        <f>AVERAGEIFS($C$2:C775, $B$2:B775, B775)</f>
        <v>12.038461538461538</v>
      </c>
      <c r="AB775" s="86">
        <f>AVERAGEIFS($I$2:I775, $B$2:B775, B775)</f>
        <v>0.44615384615384612</v>
      </c>
      <c r="AC775" s="86">
        <f>AVERAGEIFS($J$2:J775, $B$2:B775, B775)</f>
        <v>0.47076923076923083</v>
      </c>
      <c r="AD775" s="86">
        <f>AVERAGEIFS($D$2:D775, $B$2:B775, B775)</f>
        <v>0.53846153846153844</v>
      </c>
    </row>
    <row r="776" spans="1:30" x14ac:dyDescent="0.25">
      <c r="A776" s="85">
        <v>46131</v>
      </c>
      <c r="B776" t="s">
        <v>4</v>
      </c>
      <c r="C776">
        <v>46</v>
      </c>
      <c r="D776" s="86">
        <v>1</v>
      </c>
      <c r="E776">
        <v>5</v>
      </c>
      <c r="F776">
        <v>3</v>
      </c>
      <c r="G776">
        <v>19</v>
      </c>
      <c r="H776">
        <v>11</v>
      </c>
      <c r="I776">
        <v>0.6</v>
      </c>
      <c r="J776">
        <v>0.57999999999999996</v>
      </c>
      <c r="K776">
        <v>1</v>
      </c>
      <c r="L776">
        <v>1</v>
      </c>
      <c r="M776">
        <v>0</v>
      </c>
      <c r="N776">
        <v>0</v>
      </c>
      <c r="O776">
        <v>1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 s="86">
        <f>AVERAGEIFS($C$2:C776, $B$2:B776, B776)</f>
        <v>22</v>
      </c>
      <c r="AB776" s="86">
        <f>AVERAGEIFS($I$2:I776, $B$2:B776, B776)</f>
        <v>0.42000000000000004</v>
      </c>
      <c r="AC776" s="86">
        <f>AVERAGEIFS($J$2:J776, $B$2:B776, B776)</f>
        <v>0.45800000000000002</v>
      </c>
      <c r="AD776" s="86">
        <f>AVERAGEIFS($D$2:D776, $B$2:B776, B776)</f>
        <v>0.5</v>
      </c>
    </row>
    <row r="777" spans="1:30" x14ac:dyDescent="0.25">
      <c r="A777" s="85">
        <v>46131</v>
      </c>
      <c r="B777" t="s">
        <v>155</v>
      </c>
      <c r="C777">
        <v>43</v>
      </c>
      <c r="D777" s="86">
        <v>1</v>
      </c>
      <c r="E777">
        <v>5</v>
      </c>
      <c r="F777">
        <v>3</v>
      </c>
      <c r="G777">
        <v>19</v>
      </c>
      <c r="H777">
        <v>11</v>
      </c>
      <c r="I777">
        <v>0.6</v>
      </c>
      <c r="J777">
        <v>0.57999999999999996</v>
      </c>
      <c r="K777">
        <v>1</v>
      </c>
      <c r="L777">
        <v>1</v>
      </c>
      <c r="M777">
        <v>0</v>
      </c>
      <c r="N777">
        <v>0</v>
      </c>
      <c r="O777">
        <v>1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 s="86">
        <f>AVERAGEIFS($C$2:C777, $B$2:B777, B777)</f>
        <v>16.4375</v>
      </c>
      <c r="AB777" s="86">
        <f>AVERAGEIFS($I$2:I777, $B$2:B777, B777)</f>
        <v>0.35312499999999997</v>
      </c>
      <c r="AC777" s="86">
        <f>AVERAGEIFS($J$2:J777, $B$2:B777, B777)</f>
        <v>0.43562499999999998</v>
      </c>
      <c r="AD777" s="86">
        <f>AVERAGEIFS($D$2:D777, $B$2:B777, B777)</f>
        <v>0.25</v>
      </c>
    </row>
    <row r="778" spans="1:30" x14ac:dyDescent="0.25">
      <c r="A778" s="85">
        <v>46131</v>
      </c>
      <c r="B778" t="s">
        <v>5</v>
      </c>
      <c r="C778">
        <v>51</v>
      </c>
      <c r="D778" s="86">
        <v>1</v>
      </c>
      <c r="E778">
        <v>5</v>
      </c>
      <c r="F778">
        <v>3</v>
      </c>
      <c r="G778">
        <v>19</v>
      </c>
      <c r="H778">
        <v>11</v>
      </c>
      <c r="I778">
        <v>0.6</v>
      </c>
      <c r="J778">
        <v>0.57999999999999996</v>
      </c>
      <c r="K778">
        <v>1</v>
      </c>
      <c r="L778">
        <v>1</v>
      </c>
      <c r="M778">
        <v>0</v>
      </c>
      <c r="N778">
        <v>0</v>
      </c>
      <c r="O778">
        <v>1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 s="86">
        <f>AVERAGEIFS($C$2:C778, $B$2:B778, B778)</f>
        <v>24.384615384615383</v>
      </c>
      <c r="AB778" s="86">
        <f>AVERAGEIFS($I$2:I778, $B$2:B778, B778)</f>
        <v>0.42692307692307685</v>
      </c>
      <c r="AC778" s="86">
        <f>AVERAGEIFS($J$2:J778, $B$2:B778, B778)</f>
        <v>0.46307692307692305</v>
      </c>
      <c r="AD778" s="86">
        <f>AVERAGEIFS($D$2:D778, $B$2:B778, B778)</f>
        <v>0.46153846153846156</v>
      </c>
    </row>
    <row r="779" spans="1:30" x14ac:dyDescent="0.25">
      <c r="A779" s="85">
        <v>46133</v>
      </c>
      <c r="B779" t="s">
        <v>15</v>
      </c>
      <c r="C779">
        <v>26</v>
      </c>
      <c r="D779" s="86">
        <v>1</v>
      </c>
      <c r="E779">
        <v>5</v>
      </c>
      <c r="F779">
        <v>3</v>
      </c>
      <c r="G779">
        <v>20</v>
      </c>
      <c r="H779">
        <v>14</v>
      </c>
      <c r="I779">
        <v>0.6</v>
      </c>
      <c r="J779">
        <v>0.7</v>
      </c>
      <c r="K779">
        <v>0</v>
      </c>
      <c r="L779">
        <v>0</v>
      </c>
      <c r="M779">
        <v>0</v>
      </c>
      <c r="N779">
        <v>1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1</v>
      </c>
      <c r="Y779">
        <v>0</v>
      </c>
      <c r="Z779">
        <v>1</v>
      </c>
      <c r="AA779" s="86">
        <f>AVERAGEIFS($C$2:C779, $B$2:B779, B779)</f>
        <v>24.5</v>
      </c>
      <c r="AB779" s="86">
        <f>AVERAGEIFS($I$2:I779, $B$2:B779, B779)</f>
        <v>0.47500000000000003</v>
      </c>
      <c r="AC779" s="86">
        <f>AVERAGEIFS($J$2:J779, $B$2:B779, B779)</f>
        <v>0.49555555555555553</v>
      </c>
      <c r="AD779" s="86">
        <f>AVERAGEIFS($D$2:D779, $B$2:B779, B779)</f>
        <v>0.3888888888888889</v>
      </c>
    </row>
    <row r="780" spans="1:30" x14ac:dyDescent="0.25">
      <c r="A780" s="85">
        <v>46133</v>
      </c>
      <c r="B780" t="s">
        <v>17</v>
      </c>
      <c r="C780">
        <v>20</v>
      </c>
      <c r="D780" s="86">
        <v>1</v>
      </c>
      <c r="E780">
        <v>5</v>
      </c>
      <c r="F780">
        <v>3</v>
      </c>
      <c r="G780">
        <v>20</v>
      </c>
      <c r="H780">
        <v>14</v>
      </c>
      <c r="I780">
        <v>0.6</v>
      </c>
      <c r="J780">
        <v>0.7</v>
      </c>
      <c r="K780">
        <v>0</v>
      </c>
      <c r="L780">
        <v>0</v>
      </c>
      <c r="M780">
        <v>0</v>
      </c>
      <c r="N780">
        <v>1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1</v>
      </c>
      <c r="Y780">
        <v>0</v>
      </c>
      <c r="Z780">
        <v>1</v>
      </c>
      <c r="AA780" s="86">
        <f>AVERAGEIFS($C$2:C780, $B$2:B780, B780)</f>
        <v>25.916666666666668</v>
      </c>
      <c r="AB780" s="86">
        <f>AVERAGEIFS($I$2:I780, $B$2:B780, B780)</f>
        <v>0.51250000000000018</v>
      </c>
      <c r="AC780" s="86">
        <f>AVERAGEIFS($J$2:J780, $B$2:B780, B780)</f>
        <v>0.51770833333333321</v>
      </c>
      <c r="AD780" s="86">
        <f>AVERAGEIFS($D$2:D780, $B$2:B780, B780)</f>
        <v>0.45833333333333331</v>
      </c>
    </row>
    <row r="781" spans="1:30" x14ac:dyDescent="0.25">
      <c r="A781" s="85">
        <v>46133</v>
      </c>
      <c r="B781" t="s">
        <v>13</v>
      </c>
      <c r="C781">
        <v>20</v>
      </c>
      <c r="D781" s="86">
        <v>1</v>
      </c>
      <c r="E781">
        <v>5</v>
      </c>
      <c r="F781">
        <v>3</v>
      </c>
      <c r="G781">
        <v>20</v>
      </c>
      <c r="H781">
        <v>14</v>
      </c>
      <c r="I781">
        <v>0.6</v>
      </c>
      <c r="J781">
        <v>0.7</v>
      </c>
      <c r="K781">
        <v>0</v>
      </c>
      <c r="L781">
        <v>0</v>
      </c>
      <c r="M781">
        <v>0</v>
      </c>
      <c r="N781">
        <v>1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1</v>
      </c>
      <c r="Y781">
        <v>0</v>
      </c>
      <c r="Z781">
        <v>1</v>
      </c>
      <c r="AA781" s="86">
        <f>AVERAGEIFS($C$2:C781, $B$2:B781, B781)</f>
        <v>26.592592592592592</v>
      </c>
      <c r="AB781" s="86">
        <f>AVERAGEIFS($I$2:I781, $B$2:B781, B781)</f>
        <v>0.58240740740740737</v>
      </c>
      <c r="AC781" s="86">
        <f>AVERAGEIFS($J$2:J781, $B$2:B781, B781)</f>
        <v>0.55185185185185182</v>
      </c>
      <c r="AD781" s="86">
        <f>AVERAGEIFS($D$2:D781, $B$2:B781, B781)</f>
        <v>0.64814814814814814</v>
      </c>
    </row>
    <row r="782" spans="1:30" x14ac:dyDescent="0.25">
      <c r="A782" s="85">
        <v>46133</v>
      </c>
      <c r="B782" t="s">
        <v>155</v>
      </c>
      <c r="C782">
        <v>16</v>
      </c>
      <c r="D782" s="86">
        <v>1</v>
      </c>
      <c r="E782">
        <v>5</v>
      </c>
      <c r="F782">
        <v>3</v>
      </c>
      <c r="G782">
        <v>20</v>
      </c>
      <c r="H782">
        <v>14</v>
      </c>
      <c r="I782">
        <v>0.6</v>
      </c>
      <c r="J782">
        <v>0.7</v>
      </c>
      <c r="K782">
        <v>0</v>
      </c>
      <c r="L782">
        <v>0</v>
      </c>
      <c r="M782">
        <v>0</v>
      </c>
      <c r="N782">
        <v>1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1</v>
      </c>
      <c r="Y782">
        <v>0</v>
      </c>
      <c r="Z782">
        <v>1</v>
      </c>
      <c r="AA782" s="86">
        <f>AVERAGEIFS($C$2:C782, $B$2:B782, B782)</f>
        <v>16.411764705882351</v>
      </c>
      <c r="AB782" s="86">
        <f>AVERAGEIFS($I$2:I782, $B$2:B782, B782)</f>
        <v>0.36764705882352938</v>
      </c>
      <c r="AC782" s="86">
        <f>AVERAGEIFS($J$2:J782, $B$2:B782, B782)</f>
        <v>0.45117647058823529</v>
      </c>
      <c r="AD782" s="86">
        <f>AVERAGEIFS($D$2:D782, $B$2:B782, B782)</f>
        <v>0.29411764705882354</v>
      </c>
    </row>
    <row r="783" spans="1:30" x14ac:dyDescent="0.25">
      <c r="A783" s="85">
        <v>46133</v>
      </c>
      <c r="B783" t="s">
        <v>139</v>
      </c>
      <c r="C783">
        <v>15</v>
      </c>
      <c r="D783" s="86">
        <v>1</v>
      </c>
      <c r="E783">
        <v>5</v>
      </c>
      <c r="F783">
        <v>3</v>
      </c>
      <c r="G783">
        <v>20</v>
      </c>
      <c r="H783">
        <v>14</v>
      </c>
      <c r="I783">
        <v>0.6</v>
      </c>
      <c r="J783">
        <v>0.7</v>
      </c>
      <c r="K783">
        <v>0</v>
      </c>
      <c r="L783">
        <v>0</v>
      </c>
      <c r="M783">
        <v>0</v>
      </c>
      <c r="N783">
        <v>1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1</v>
      </c>
      <c r="Y783">
        <v>0</v>
      </c>
      <c r="Z783">
        <v>1</v>
      </c>
      <c r="AA783" s="86">
        <f>AVERAGEIFS($C$2:C783, $B$2:B783, B783)</f>
        <v>10.8</v>
      </c>
      <c r="AB783" s="86">
        <f>AVERAGEIFS($I$2:I783, $B$2:B783, B783)</f>
        <v>0.56999999999999995</v>
      </c>
      <c r="AC783" s="86">
        <f>AVERAGEIFS($J$2:J783, $B$2:B783, B783)</f>
        <v>0.54333333333333322</v>
      </c>
      <c r="AD783" s="86">
        <f>AVERAGEIFS($D$2:D783, $B$2:B783, B783)</f>
        <v>0.66666666666666663</v>
      </c>
    </row>
    <row r="784" spans="1:30" x14ac:dyDescent="0.25">
      <c r="A784" s="85">
        <v>46133</v>
      </c>
      <c r="B784" t="s">
        <v>150</v>
      </c>
      <c r="C784">
        <v>12</v>
      </c>
      <c r="D784" s="86">
        <v>1</v>
      </c>
      <c r="E784">
        <v>5</v>
      </c>
      <c r="F784">
        <v>3</v>
      </c>
      <c r="G784">
        <v>20</v>
      </c>
      <c r="H784">
        <v>14</v>
      </c>
      <c r="I784">
        <v>0.6</v>
      </c>
      <c r="J784">
        <v>0.7</v>
      </c>
      <c r="K784">
        <v>0</v>
      </c>
      <c r="L784">
        <v>0</v>
      </c>
      <c r="M784">
        <v>0</v>
      </c>
      <c r="N784">
        <v>1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1</v>
      </c>
      <c r="Y784">
        <v>0</v>
      </c>
      <c r="Z784">
        <v>1</v>
      </c>
      <c r="AA784" s="86">
        <f>AVERAGEIFS($C$2:C784, $B$2:B784, B784)</f>
        <v>17.285714285714285</v>
      </c>
      <c r="AB784" s="86">
        <f>AVERAGEIFS($I$2:I784, $B$2:B784, B784)</f>
        <v>0.69285714285714284</v>
      </c>
      <c r="AC784" s="86">
        <f>AVERAGEIFS($J$2:J784, $B$2:B784, B784)</f>
        <v>0.65142857142857136</v>
      </c>
      <c r="AD784" s="86">
        <f>AVERAGEIFS($D$2:D784, $B$2:B784, B784)</f>
        <v>0.8571428571428571</v>
      </c>
    </row>
    <row r="785" spans="1:30" x14ac:dyDescent="0.25">
      <c r="A785" s="85">
        <v>46133</v>
      </c>
      <c r="B785" t="s">
        <v>148</v>
      </c>
      <c r="C785">
        <v>11</v>
      </c>
      <c r="D785" s="86">
        <v>1</v>
      </c>
      <c r="E785">
        <v>5</v>
      </c>
      <c r="F785">
        <v>3</v>
      </c>
      <c r="G785">
        <v>20</v>
      </c>
      <c r="H785">
        <v>14</v>
      </c>
      <c r="I785">
        <v>0.6</v>
      </c>
      <c r="J785">
        <v>0.7</v>
      </c>
      <c r="K785">
        <v>0</v>
      </c>
      <c r="L785">
        <v>0</v>
      </c>
      <c r="M785">
        <v>0</v>
      </c>
      <c r="N785">
        <v>1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1</v>
      </c>
      <c r="Y785">
        <v>0</v>
      </c>
      <c r="Z785">
        <v>1</v>
      </c>
      <c r="AA785" s="86">
        <f>AVERAGEIFS($C$2:C785, $B$2:B785, B785)</f>
        <v>13.25</v>
      </c>
      <c r="AB785" s="86">
        <f>AVERAGEIFS($I$2:I785, $B$2:B785, B785)</f>
        <v>0.57499999999999996</v>
      </c>
      <c r="AC785" s="86">
        <f>AVERAGEIFS($J$2:J785, $B$2:B785, B785)</f>
        <v>0.53166666666666673</v>
      </c>
      <c r="AD785" s="86">
        <f>AVERAGEIFS($D$2:D785, $B$2:B785, B785)</f>
        <v>0.58333333333333337</v>
      </c>
    </row>
    <row r="786" spans="1:30" x14ac:dyDescent="0.25">
      <c r="A786" s="85">
        <v>46133</v>
      </c>
      <c r="B786" t="s">
        <v>168</v>
      </c>
      <c r="C786">
        <v>2</v>
      </c>
      <c r="D786" s="86">
        <v>1</v>
      </c>
      <c r="E786">
        <v>5</v>
      </c>
      <c r="F786">
        <v>3</v>
      </c>
      <c r="G786">
        <v>20</v>
      </c>
      <c r="H786">
        <v>14</v>
      </c>
      <c r="I786">
        <v>0.6</v>
      </c>
      <c r="J786">
        <v>0.7</v>
      </c>
      <c r="K786">
        <v>0</v>
      </c>
      <c r="L786">
        <v>0</v>
      </c>
      <c r="M786">
        <v>0</v>
      </c>
      <c r="N786">
        <v>1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1</v>
      </c>
      <c r="Y786">
        <v>0</v>
      </c>
      <c r="Z786">
        <v>1</v>
      </c>
      <c r="AA786" s="86">
        <f>AVERAGEIFS($C$2:C786, $B$2:B786, B786)</f>
        <v>2</v>
      </c>
      <c r="AB786" s="86">
        <f>AVERAGEIFS($I$2:I786, $B$2:B786, B786)</f>
        <v>0.6</v>
      </c>
      <c r="AC786" s="86">
        <f>AVERAGEIFS($J$2:J786, $B$2:B786, B786)</f>
        <v>0.7</v>
      </c>
      <c r="AD786" s="86">
        <f>AVERAGEIFS($D$2:D786, $B$2:B786, B786)</f>
        <v>1</v>
      </c>
    </row>
    <row r="787" spans="1:30" x14ac:dyDescent="0.25">
      <c r="A787" s="85">
        <v>46133</v>
      </c>
      <c r="B787" t="s">
        <v>18</v>
      </c>
      <c r="C787">
        <v>35</v>
      </c>
      <c r="D787" s="86">
        <v>0</v>
      </c>
      <c r="E787">
        <v>5</v>
      </c>
      <c r="F787">
        <v>2</v>
      </c>
      <c r="G787">
        <v>20</v>
      </c>
      <c r="H787">
        <v>6</v>
      </c>
      <c r="I787">
        <v>0.4</v>
      </c>
      <c r="J787">
        <v>0.3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1</v>
      </c>
      <c r="X787">
        <v>0</v>
      </c>
      <c r="Y787">
        <v>1</v>
      </c>
      <c r="Z787">
        <v>0</v>
      </c>
      <c r="AA787" s="86">
        <f>AVERAGEIFS($C$2:C787, $B$2:B787, B787)</f>
        <v>26.185185185185187</v>
      </c>
      <c r="AB787" s="86">
        <f>AVERAGEIFS($I$2:I787, $B$2:B787, B787)</f>
        <v>0.46481481481481485</v>
      </c>
      <c r="AC787" s="86">
        <f>AVERAGEIFS($J$2:J787, $B$2:B787, B787)</f>
        <v>0.4807407407407408</v>
      </c>
      <c r="AD787" s="86">
        <f>AVERAGEIFS($D$2:D787, $B$2:B787, B787)</f>
        <v>0.44444444444444442</v>
      </c>
    </row>
    <row r="788" spans="1:30" x14ac:dyDescent="0.25">
      <c r="A788" s="85">
        <v>46133</v>
      </c>
      <c r="B788" t="s">
        <v>37</v>
      </c>
      <c r="C788">
        <v>16</v>
      </c>
      <c r="D788" s="86">
        <v>0</v>
      </c>
      <c r="E788">
        <v>5</v>
      </c>
      <c r="F788">
        <v>2</v>
      </c>
      <c r="G788">
        <v>20</v>
      </c>
      <c r="H788">
        <v>6</v>
      </c>
      <c r="I788">
        <v>0.4</v>
      </c>
      <c r="J788">
        <v>0.3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1</v>
      </c>
      <c r="X788">
        <v>0</v>
      </c>
      <c r="Y788">
        <v>1</v>
      </c>
      <c r="Z788">
        <v>0</v>
      </c>
      <c r="AA788" s="86">
        <f>AVERAGEIFS($C$2:C788, $B$2:B788, B788)</f>
        <v>19.16</v>
      </c>
      <c r="AB788" s="86">
        <f>AVERAGEIFS($I$2:I788, $B$2:B788, B788)</f>
        <v>0.42799999999999999</v>
      </c>
      <c r="AC788" s="86">
        <f>AVERAGEIFS($J$2:J788, $B$2:B788, B788)</f>
        <v>0.45479999999999998</v>
      </c>
      <c r="AD788" s="86">
        <f>AVERAGEIFS($D$2:D788, $B$2:B788, B788)</f>
        <v>0.44</v>
      </c>
    </row>
    <row r="789" spans="1:30" x14ac:dyDescent="0.25">
      <c r="A789" s="85">
        <v>46133</v>
      </c>
      <c r="B789" t="s">
        <v>25</v>
      </c>
      <c r="C789">
        <v>14</v>
      </c>
      <c r="D789" s="86">
        <v>0</v>
      </c>
      <c r="E789">
        <v>5</v>
      </c>
      <c r="F789">
        <v>2</v>
      </c>
      <c r="G789">
        <v>20</v>
      </c>
      <c r="H789">
        <v>6</v>
      </c>
      <c r="I789">
        <v>0.4</v>
      </c>
      <c r="J789">
        <v>0.3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1</v>
      </c>
      <c r="X789">
        <v>0</v>
      </c>
      <c r="Y789">
        <v>1</v>
      </c>
      <c r="Z789">
        <v>0</v>
      </c>
      <c r="AA789" s="86">
        <f>AVERAGEIFS($C$2:C789, $B$2:B789, B789)</f>
        <v>16.920000000000002</v>
      </c>
      <c r="AB789" s="86">
        <f>AVERAGEIFS($I$2:I789, $B$2:B789, B789)</f>
        <v>0.59</v>
      </c>
      <c r="AC789" s="86">
        <f>AVERAGEIFS($J$2:J789, $B$2:B789, B789)</f>
        <v>0.53359999999999996</v>
      </c>
      <c r="AD789" s="86">
        <f>AVERAGEIFS($D$2:D789, $B$2:B789, B789)</f>
        <v>0.6</v>
      </c>
    </row>
    <row r="790" spans="1:30" x14ac:dyDescent="0.25">
      <c r="A790" s="85">
        <v>46133</v>
      </c>
      <c r="B790" t="s">
        <v>29</v>
      </c>
      <c r="C790">
        <v>12</v>
      </c>
      <c r="D790" s="86">
        <v>0</v>
      </c>
      <c r="E790">
        <v>5</v>
      </c>
      <c r="F790">
        <v>2</v>
      </c>
      <c r="G790">
        <v>20</v>
      </c>
      <c r="H790">
        <v>6</v>
      </c>
      <c r="I790">
        <v>0.4</v>
      </c>
      <c r="J790">
        <v>0.3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1</v>
      </c>
      <c r="X790">
        <v>0</v>
      </c>
      <c r="Y790">
        <v>1</v>
      </c>
      <c r="Z790">
        <v>0</v>
      </c>
      <c r="AA790" s="86">
        <f>AVERAGEIFS($C$2:C790, $B$2:B790, B790)</f>
        <v>10.634146341463415</v>
      </c>
      <c r="AB790" s="86">
        <f>AVERAGEIFS($I$2:I790, $B$2:B790, B790)</f>
        <v>0.46951219512195119</v>
      </c>
      <c r="AC790" s="86">
        <f>AVERAGEIFS($J$2:J790, $B$2:B790, B790)</f>
        <v>0.49560975609756092</v>
      </c>
      <c r="AD790" s="86">
        <f>AVERAGEIFS($D$2:D790, $B$2:B790, B790)</f>
        <v>0.43902439024390244</v>
      </c>
    </row>
    <row r="791" spans="1:30" x14ac:dyDescent="0.25">
      <c r="A791" s="85">
        <v>46133</v>
      </c>
      <c r="B791" t="s">
        <v>74</v>
      </c>
      <c r="C791">
        <v>10</v>
      </c>
      <c r="D791" s="86">
        <v>0</v>
      </c>
      <c r="E791">
        <v>5</v>
      </c>
      <c r="F791">
        <v>2</v>
      </c>
      <c r="G791">
        <v>20</v>
      </c>
      <c r="H791">
        <v>6</v>
      </c>
      <c r="I791">
        <v>0.4</v>
      </c>
      <c r="J791">
        <v>0.3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1</v>
      </c>
      <c r="X791">
        <v>0</v>
      </c>
      <c r="Y791">
        <v>1</v>
      </c>
      <c r="Z791">
        <v>0</v>
      </c>
      <c r="AA791" s="86">
        <f>AVERAGEIFS($C$2:C791, $B$2:B791, B791)</f>
        <v>10</v>
      </c>
      <c r="AB791" s="86">
        <f>AVERAGEIFS($I$2:I791, $B$2:B791, B791)</f>
        <v>0.4</v>
      </c>
      <c r="AC791" s="86">
        <f>AVERAGEIFS($J$2:J791, $B$2:B791, B791)</f>
        <v>0.3</v>
      </c>
      <c r="AD791" s="86">
        <f>AVERAGEIFS($D$2:D791, $B$2:B791, B791)</f>
        <v>0</v>
      </c>
    </row>
    <row r="792" spans="1:30" x14ac:dyDescent="0.25">
      <c r="A792" s="85">
        <v>46133</v>
      </c>
      <c r="B792" t="s">
        <v>45</v>
      </c>
      <c r="C792">
        <v>10</v>
      </c>
      <c r="D792" s="86">
        <v>0</v>
      </c>
      <c r="E792">
        <v>5</v>
      </c>
      <c r="F792">
        <v>2</v>
      </c>
      <c r="G792">
        <v>20</v>
      </c>
      <c r="H792">
        <v>6</v>
      </c>
      <c r="I792">
        <v>0.4</v>
      </c>
      <c r="J792">
        <v>0.3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1</v>
      </c>
      <c r="X792">
        <v>0</v>
      </c>
      <c r="Y792">
        <v>1</v>
      </c>
      <c r="Z792">
        <v>0</v>
      </c>
      <c r="AA792" s="86">
        <f>AVERAGEIFS($C$2:C792, $B$2:B792, B792)</f>
        <v>12.761904761904763</v>
      </c>
      <c r="AB792" s="86">
        <f>AVERAGEIFS($I$2:I792, $B$2:B792, B792)</f>
        <v>0.45714285714285718</v>
      </c>
      <c r="AC792" s="86">
        <f>AVERAGEIFS($J$2:J792, $B$2:B792, B792)</f>
        <v>0.47761904761904767</v>
      </c>
      <c r="AD792" s="86">
        <f>AVERAGEIFS($D$2:D792, $B$2:B792, B792)</f>
        <v>0.38095238095238093</v>
      </c>
    </row>
    <row r="793" spans="1:30" x14ac:dyDescent="0.25">
      <c r="A793" s="85">
        <v>46133</v>
      </c>
      <c r="B793" t="s">
        <v>14</v>
      </c>
      <c r="C793">
        <v>4</v>
      </c>
      <c r="D793" s="86">
        <v>0</v>
      </c>
      <c r="E793">
        <v>5</v>
      </c>
      <c r="F793">
        <v>2</v>
      </c>
      <c r="G793">
        <v>20</v>
      </c>
      <c r="H793">
        <v>6</v>
      </c>
      <c r="I793">
        <v>0.4</v>
      </c>
      <c r="J793">
        <v>0.3</v>
      </c>
      <c r="K793">
        <v>0</v>
      </c>
      <c r="L793">
        <v>0</v>
      </c>
      <c r="M793">
        <v>0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1</v>
      </c>
      <c r="X793">
        <v>0</v>
      </c>
      <c r="Y793">
        <v>1</v>
      </c>
      <c r="Z793">
        <v>0</v>
      </c>
      <c r="AA793" s="86">
        <f>AVERAGEIFS($C$2:C793, $B$2:B793, B793)</f>
        <v>24.3</v>
      </c>
      <c r="AB793" s="86">
        <f>AVERAGEIFS($I$2:I793, $B$2:B793, B793)</f>
        <v>0.47874999999999995</v>
      </c>
      <c r="AC793" s="86">
        <f>AVERAGEIFS($J$2:J793, $B$2:B793, B793)</f>
        <v>0.48625000000000007</v>
      </c>
      <c r="AD793" s="86">
        <f>AVERAGEIFS($D$2:D793, $B$2:B793, B793)</f>
        <v>0.47499999999999998</v>
      </c>
    </row>
    <row r="794" spans="1:30" x14ac:dyDescent="0.25">
      <c r="A794" s="85">
        <v>46133</v>
      </c>
      <c r="B794" t="s">
        <v>169</v>
      </c>
      <c r="C794">
        <v>2</v>
      </c>
      <c r="D794" s="86">
        <v>0</v>
      </c>
      <c r="E794">
        <v>5</v>
      </c>
      <c r="F794">
        <v>2</v>
      </c>
      <c r="G794">
        <v>20</v>
      </c>
      <c r="H794">
        <v>6</v>
      </c>
      <c r="I794">
        <v>0.4</v>
      </c>
      <c r="J794">
        <v>0.3</v>
      </c>
      <c r="K794">
        <v>0</v>
      </c>
      <c r="L794">
        <v>0</v>
      </c>
      <c r="M794">
        <v>0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1</v>
      </c>
      <c r="X794">
        <v>0</v>
      </c>
      <c r="Y794">
        <v>1</v>
      </c>
      <c r="Z794">
        <v>0</v>
      </c>
      <c r="AA794" s="86">
        <f>AVERAGEIFS($C$2:C794, $B$2:B794, B794)</f>
        <v>2</v>
      </c>
      <c r="AB794" s="86">
        <f>AVERAGEIFS($I$2:I794, $B$2:B794, B794)</f>
        <v>0.4</v>
      </c>
      <c r="AC794" s="86">
        <f>AVERAGEIFS($J$2:J794, $B$2:B794, B794)</f>
        <v>0.3</v>
      </c>
      <c r="AD794" s="86">
        <f>AVERAGEIFS($D$2:D794, $B$2:B794, B794)</f>
        <v>0</v>
      </c>
    </row>
    <row r="795" spans="1:30" x14ac:dyDescent="0.25">
      <c r="A795" s="85">
        <v>46136</v>
      </c>
      <c r="B795" t="s">
        <v>13</v>
      </c>
      <c r="C795">
        <v>40</v>
      </c>
      <c r="D795" s="86">
        <v>1</v>
      </c>
      <c r="E795">
        <v>4</v>
      </c>
      <c r="F795">
        <v>3</v>
      </c>
      <c r="G795">
        <v>19</v>
      </c>
      <c r="H795">
        <v>11</v>
      </c>
      <c r="I795">
        <v>0.75</v>
      </c>
      <c r="J795">
        <v>0.57999999999999996</v>
      </c>
      <c r="K795">
        <v>0</v>
      </c>
      <c r="L795">
        <v>0</v>
      </c>
      <c r="M795">
        <v>0</v>
      </c>
      <c r="N795">
        <v>0</v>
      </c>
      <c r="O795">
        <v>0</v>
      </c>
      <c r="P795">
        <v>1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1</v>
      </c>
      <c r="Y795">
        <v>0</v>
      </c>
      <c r="Z795">
        <v>1</v>
      </c>
      <c r="AA795" s="86">
        <f>AVERAGEIFS($C$2:C795, $B$2:B795, B795)</f>
        <v>26.836363636363636</v>
      </c>
      <c r="AB795" s="86">
        <f>AVERAGEIFS($I$2:I795, $B$2:B795, B795)</f>
        <v>0.58545454545454556</v>
      </c>
      <c r="AC795" s="86">
        <f>AVERAGEIFS($J$2:J795, $B$2:B795, B795)</f>
        <v>0.55236363636363628</v>
      </c>
      <c r="AD795" s="86">
        <f>AVERAGEIFS($D$2:D795, $B$2:B795, B795)</f>
        <v>0.65454545454545454</v>
      </c>
    </row>
    <row r="796" spans="1:30" x14ac:dyDescent="0.25">
      <c r="A796" s="85">
        <v>46136</v>
      </c>
      <c r="B796" t="s">
        <v>148</v>
      </c>
      <c r="C796">
        <v>21</v>
      </c>
      <c r="D796" s="86">
        <v>1</v>
      </c>
      <c r="E796">
        <v>4</v>
      </c>
      <c r="F796">
        <v>3</v>
      </c>
      <c r="G796">
        <v>19</v>
      </c>
      <c r="H796">
        <v>11</v>
      </c>
      <c r="I796">
        <v>0.75</v>
      </c>
      <c r="J796">
        <v>0.57999999999999996</v>
      </c>
      <c r="K796">
        <v>0</v>
      </c>
      <c r="L796">
        <v>0</v>
      </c>
      <c r="M796">
        <v>0</v>
      </c>
      <c r="N796">
        <v>0</v>
      </c>
      <c r="O796">
        <v>0</v>
      </c>
      <c r="P796">
        <v>1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1</v>
      </c>
      <c r="Y796">
        <v>0</v>
      </c>
      <c r="Z796">
        <v>1</v>
      </c>
      <c r="AA796" s="86">
        <f>AVERAGEIFS($C$2:C796, $B$2:B796, B796)</f>
        <v>13.56</v>
      </c>
      <c r="AB796" s="86">
        <f>AVERAGEIFS($I$2:I796, $B$2:B796, B796)</f>
        <v>0.58199999999999996</v>
      </c>
      <c r="AC796" s="86">
        <f>AVERAGEIFS($J$2:J796, $B$2:B796, B796)</f>
        <v>0.53360000000000007</v>
      </c>
      <c r="AD796" s="86">
        <f>AVERAGEIFS($D$2:D796, $B$2:B796, B796)</f>
        <v>0.6</v>
      </c>
    </row>
    <row r="797" spans="1:30" x14ac:dyDescent="0.25">
      <c r="A797" s="85">
        <v>46136</v>
      </c>
      <c r="B797" t="s">
        <v>35</v>
      </c>
      <c r="C797">
        <v>14</v>
      </c>
      <c r="D797" s="86">
        <v>1</v>
      </c>
      <c r="E797">
        <v>4</v>
      </c>
      <c r="F797">
        <v>3</v>
      </c>
      <c r="G797">
        <v>19</v>
      </c>
      <c r="H797">
        <v>11</v>
      </c>
      <c r="I797">
        <v>0.75</v>
      </c>
      <c r="J797">
        <v>0.57999999999999996</v>
      </c>
      <c r="K797">
        <v>0</v>
      </c>
      <c r="L797">
        <v>0</v>
      </c>
      <c r="M797">
        <v>0</v>
      </c>
      <c r="N797">
        <v>0</v>
      </c>
      <c r="O797">
        <v>0</v>
      </c>
      <c r="P797">
        <v>1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1</v>
      </c>
      <c r="Y797">
        <v>0</v>
      </c>
      <c r="Z797">
        <v>1</v>
      </c>
      <c r="AA797" s="86">
        <f>AVERAGEIFS($C$2:C797, $B$2:B797, B797)</f>
        <v>12.111111111111111</v>
      </c>
      <c r="AB797" s="86">
        <f>AVERAGEIFS($I$2:I797, $B$2:B797, B797)</f>
        <v>0.45740740740740737</v>
      </c>
      <c r="AC797" s="86">
        <f>AVERAGEIFS($J$2:J797, $B$2:B797, B797)</f>
        <v>0.47481481481481491</v>
      </c>
      <c r="AD797" s="86">
        <f>AVERAGEIFS($D$2:D797, $B$2:B797, B797)</f>
        <v>0.55555555555555558</v>
      </c>
    </row>
    <row r="798" spans="1:30" x14ac:dyDescent="0.25">
      <c r="A798" s="85">
        <v>46136</v>
      </c>
      <c r="B798" t="s">
        <v>139</v>
      </c>
      <c r="C798">
        <v>16</v>
      </c>
      <c r="D798" s="86">
        <v>1</v>
      </c>
      <c r="E798">
        <v>4</v>
      </c>
      <c r="F798">
        <v>3</v>
      </c>
      <c r="G798">
        <v>19</v>
      </c>
      <c r="H798">
        <v>11</v>
      </c>
      <c r="I798">
        <v>0.75</v>
      </c>
      <c r="J798">
        <v>0.57999999999999996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1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1</v>
      </c>
      <c r="Y798">
        <v>0</v>
      </c>
      <c r="Z798">
        <v>1</v>
      </c>
      <c r="AA798" s="86">
        <f>AVERAGEIFS($C$2:C798, $B$2:B798, B798)</f>
        <v>11.125</v>
      </c>
      <c r="AB798" s="86">
        <f>AVERAGEIFS($I$2:I798, $B$2:B798, B798)</f>
        <v>0.58124999999999993</v>
      </c>
      <c r="AC798" s="86">
        <f>AVERAGEIFS($J$2:J798, $B$2:B798, B798)</f>
        <v>0.54562499999999992</v>
      </c>
      <c r="AD798" s="86">
        <f>AVERAGEIFS($D$2:D798, $B$2:B798, B798)</f>
        <v>0.6875</v>
      </c>
    </row>
    <row r="799" spans="1:30" x14ac:dyDescent="0.25">
      <c r="A799" s="85">
        <v>46136</v>
      </c>
      <c r="B799" t="s">
        <v>38</v>
      </c>
      <c r="C799">
        <v>28</v>
      </c>
      <c r="D799" s="86">
        <v>1</v>
      </c>
      <c r="E799">
        <v>4</v>
      </c>
      <c r="F799">
        <v>3</v>
      </c>
      <c r="G799">
        <v>19</v>
      </c>
      <c r="H799">
        <v>11</v>
      </c>
      <c r="I799">
        <v>0.75</v>
      </c>
      <c r="J799">
        <v>0.57999999999999996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1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1</v>
      </c>
      <c r="Y799">
        <v>0</v>
      </c>
      <c r="Z799">
        <v>1</v>
      </c>
      <c r="AA799" s="86">
        <f>AVERAGEIFS($C$2:C799, $B$2:B799, B799)</f>
        <v>8</v>
      </c>
      <c r="AB799" s="86">
        <f>AVERAGEIFS($I$2:I799, $B$2:B799, B799)</f>
        <v>0.40454545454545454</v>
      </c>
      <c r="AC799" s="86">
        <f>AVERAGEIFS($J$2:J799, $B$2:B799, B799)</f>
        <v>0.44363636363636361</v>
      </c>
      <c r="AD799" s="86">
        <f>AVERAGEIFS($D$2:D799, $B$2:B799, B799)</f>
        <v>0.45454545454545453</v>
      </c>
    </row>
    <row r="800" spans="1:30" x14ac:dyDescent="0.25">
      <c r="A800" s="85">
        <v>46136</v>
      </c>
      <c r="B800" t="s">
        <v>14</v>
      </c>
      <c r="C800">
        <v>20</v>
      </c>
      <c r="D800" s="86">
        <v>0</v>
      </c>
      <c r="E800">
        <v>4</v>
      </c>
      <c r="F800">
        <v>1</v>
      </c>
      <c r="G800">
        <v>19</v>
      </c>
      <c r="H800">
        <v>8</v>
      </c>
      <c r="I800">
        <v>0.25</v>
      </c>
      <c r="J800">
        <v>0.42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1</v>
      </c>
      <c r="X800">
        <v>0</v>
      </c>
      <c r="Y800">
        <v>0</v>
      </c>
      <c r="Z800">
        <v>0</v>
      </c>
      <c r="AA800" s="86">
        <f>AVERAGEIFS($C$2:C800, $B$2:B800, B800)</f>
        <v>24.195121951219512</v>
      </c>
      <c r="AB800" s="86">
        <f>AVERAGEIFS($I$2:I800, $B$2:B800, B800)</f>
        <v>0.47317073170731705</v>
      </c>
      <c r="AC800" s="86">
        <f>AVERAGEIFS($J$2:J800, $B$2:B800, B800)</f>
        <v>0.48463414634146351</v>
      </c>
      <c r="AD800" s="86">
        <f>AVERAGEIFS($D$2:D800, $B$2:B800, B800)</f>
        <v>0.46341463414634149</v>
      </c>
    </row>
    <row r="801" spans="1:30" x14ac:dyDescent="0.25">
      <c r="A801" s="85">
        <v>46136</v>
      </c>
      <c r="B801" t="s">
        <v>27</v>
      </c>
      <c r="C801">
        <v>21</v>
      </c>
      <c r="D801" s="86">
        <v>0</v>
      </c>
      <c r="E801">
        <v>4</v>
      </c>
      <c r="F801">
        <v>1</v>
      </c>
      <c r="G801">
        <v>19</v>
      </c>
      <c r="H801">
        <v>8</v>
      </c>
      <c r="I801">
        <v>0.25</v>
      </c>
      <c r="J801">
        <v>0.42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1</v>
      </c>
      <c r="X801">
        <v>0</v>
      </c>
      <c r="Y801">
        <v>0</v>
      </c>
      <c r="Z801">
        <v>0</v>
      </c>
      <c r="AA801" s="86">
        <f>AVERAGEIFS($C$2:C801, $B$2:B801, B801)</f>
        <v>15.125</v>
      </c>
      <c r="AB801" s="86">
        <f>AVERAGEIFS($I$2:I801, $B$2:B801, B801)</f>
        <v>0.49791666666666662</v>
      </c>
      <c r="AC801" s="86">
        <f>AVERAGEIFS($J$2:J801, $B$2:B801, B801)</f>
        <v>0.50458333333333338</v>
      </c>
      <c r="AD801" s="86">
        <f>AVERAGEIFS($D$2:D801, $B$2:B801, B801)</f>
        <v>0.54166666666666663</v>
      </c>
    </row>
    <row r="802" spans="1:30" x14ac:dyDescent="0.25">
      <c r="A802" s="85">
        <v>46136</v>
      </c>
      <c r="B802" t="s">
        <v>146</v>
      </c>
      <c r="C802">
        <v>21</v>
      </c>
      <c r="D802" s="86">
        <v>0</v>
      </c>
      <c r="E802">
        <v>4</v>
      </c>
      <c r="F802">
        <v>1</v>
      </c>
      <c r="G802">
        <v>19</v>
      </c>
      <c r="H802">
        <v>8</v>
      </c>
      <c r="I802">
        <v>0.25</v>
      </c>
      <c r="J802">
        <v>0.42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1</v>
      </c>
      <c r="X802">
        <v>0</v>
      </c>
      <c r="Y802">
        <v>0</v>
      </c>
      <c r="Z802">
        <v>0</v>
      </c>
      <c r="AA802" s="86">
        <f>AVERAGEIFS($C$2:C802, $B$2:B802, B802)</f>
        <v>13.5</v>
      </c>
      <c r="AB802" s="86">
        <f>AVERAGEIFS($I$2:I802, $B$2:B802, B802)</f>
        <v>0.37916666666666665</v>
      </c>
      <c r="AC802" s="86">
        <f>AVERAGEIFS($J$2:J802, $B$2:B802, B802)</f>
        <v>0.45249999999999996</v>
      </c>
      <c r="AD802" s="86">
        <f>AVERAGEIFS($D$2:D802, $B$2:B802, B802)</f>
        <v>0.25</v>
      </c>
    </row>
    <row r="803" spans="1:30" x14ac:dyDescent="0.25">
      <c r="A803" s="85">
        <v>46136</v>
      </c>
      <c r="B803" t="s">
        <v>29</v>
      </c>
      <c r="C803">
        <v>13</v>
      </c>
      <c r="D803" s="86">
        <v>0</v>
      </c>
      <c r="E803">
        <v>4</v>
      </c>
      <c r="F803">
        <v>1</v>
      </c>
      <c r="G803">
        <v>19</v>
      </c>
      <c r="H803">
        <v>8</v>
      </c>
      <c r="I803">
        <v>0.25</v>
      </c>
      <c r="J803">
        <v>0.42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1</v>
      </c>
      <c r="X803">
        <v>0</v>
      </c>
      <c r="Y803">
        <v>0</v>
      </c>
      <c r="Z803">
        <v>0</v>
      </c>
      <c r="AA803" s="86">
        <f>AVERAGEIFS($C$2:C803, $B$2:B803, B803)</f>
        <v>10.69047619047619</v>
      </c>
      <c r="AB803" s="86">
        <f>AVERAGEIFS($I$2:I803, $B$2:B803, B803)</f>
        <v>0.4642857142857143</v>
      </c>
      <c r="AC803" s="86">
        <f>AVERAGEIFS($J$2:J803, $B$2:B803, B803)</f>
        <v>0.49380952380952375</v>
      </c>
      <c r="AD803" s="86">
        <f>AVERAGEIFS($D$2:D803, $B$2:B803, B803)</f>
        <v>0.42857142857142855</v>
      </c>
    </row>
    <row r="804" spans="1:30" x14ac:dyDescent="0.25">
      <c r="A804" s="85">
        <v>46136</v>
      </c>
      <c r="B804" t="s">
        <v>161</v>
      </c>
      <c r="C804">
        <v>15</v>
      </c>
      <c r="D804" s="86">
        <v>0</v>
      </c>
      <c r="E804">
        <v>4</v>
      </c>
      <c r="F804">
        <v>1</v>
      </c>
      <c r="G804">
        <v>19</v>
      </c>
      <c r="H804">
        <v>8</v>
      </c>
      <c r="I804">
        <v>0.25</v>
      </c>
      <c r="J804">
        <v>0.42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1</v>
      </c>
      <c r="X804">
        <v>0</v>
      </c>
      <c r="Y804">
        <v>0</v>
      </c>
      <c r="Z804">
        <v>0</v>
      </c>
      <c r="AA804" s="86">
        <f>AVERAGEIFS($C$2:C804, $B$2:B804, B804)</f>
        <v>15</v>
      </c>
      <c r="AB804" s="86">
        <f>AVERAGEIFS($I$2:I804, $B$2:B804, B804)</f>
        <v>0.25</v>
      </c>
      <c r="AC804" s="86">
        <f>AVERAGEIFS($J$2:J804, $B$2:B804, B804)</f>
        <v>0.42</v>
      </c>
      <c r="AD804" s="86">
        <f>AVERAGEIFS($D$2:D804, $B$2:B804, B804)</f>
        <v>0</v>
      </c>
    </row>
    <row r="805" spans="1:30" x14ac:dyDescent="0.25">
      <c r="A805" s="85">
        <v>46138</v>
      </c>
      <c r="B805" t="s">
        <v>5</v>
      </c>
      <c r="C805">
        <v>47</v>
      </c>
      <c r="D805" s="86">
        <v>1</v>
      </c>
      <c r="E805">
        <v>5</v>
      </c>
      <c r="F805">
        <v>3</v>
      </c>
      <c r="G805">
        <v>21</v>
      </c>
      <c r="H805">
        <v>12</v>
      </c>
      <c r="I805">
        <v>0.6</v>
      </c>
      <c r="J805">
        <v>0.56999999999999995</v>
      </c>
      <c r="K805">
        <v>0</v>
      </c>
      <c r="L805">
        <v>0</v>
      </c>
      <c r="M805">
        <v>0</v>
      </c>
      <c r="N805">
        <v>1</v>
      </c>
      <c r="O805">
        <v>1</v>
      </c>
      <c r="P805">
        <v>1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 s="86">
        <f>AVERAGEIFS($C$2:C805, $B$2:B805, B805)</f>
        <v>26</v>
      </c>
      <c r="AB805" s="86">
        <f>AVERAGEIFS($I$2:I805, $B$2:B805, B805)</f>
        <v>0.43928571428571417</v>
      </c>
      <c r="AC805" s="86">
        <f>AVERAGEIFS($J$2:J805, $B$2:B805, B805)</f>
        <v>0.4707142857142857</v>
      </c>
      <c r="AD805" s="86">
        <f>AVERAGEIFS($D$2:D805, $B$2:B805, B805)</f>
        <v>0.5</v>
      </c>
    </row>
    <row r="806" spans="1:30" x14ac:dyDescent="0.25">
      <c r="A806" s="85">
        <v>46138</v>
      </c>
      <c r="B806" t="s">
        <v>18</v>
      </c>
      <c r="C806">
        <v>38</v>
      </c>
      <c r="D806" s="86">
        <v>1</v>
      </c>
      <c r="E806">
        <v>5</v>
      </c>
      <c r="F806">
        <v>3</v>
      </c>
      <c r="G806">
        <v>21</v>
      </c>
      <c r="H806">
        <v>12</v>
      </c>
      <c r="I806">
        <v>0.6</v>
      </c>
      <c r="J806">
        <v>0.56999999999999995</v>
      </c>
      <c r="K806">
        <v>0</v>
      </c>
      <c r="L806">
        <v>0</v>
      </c>
      <c r="M806">
        <v>0</v>
      </c>
      <c r="N806">
        <v>1</v>
      </c>
      <c r="O806">
        <v>1</v>
      </c>
      <c r="P806">
        <v>1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 s="86">
        <f>AVERAGEIFS($C$2:C806, $B$2:B806, B806)</f>
        <v>26.607142857142858</v>
      </c>
      <c r="AB806" s="86">
        <f>AVERAGEIFS($I$2:I806, $B$2:B806, B806)</f>
        <v>0.46964285714285714</v>
      </c>
      <c r="AC806" s="86">
        <f>AVERAGEIFS($J$2:J806, $B$2:B806, B806)</f>
        <v>0.48392857142857154</v>
      </c>
      <c r="AD806" s="86">
        <f>AVERAGEIFS($D$2:D806, $B$2:B806, B806)</f>
        <v>0.4642857142857143</v>
      </c>
    </row>
    <row r="807" spans="1:30" x14ac:dyDescent="0.25">
      <c r="A807" s="85">
        <v>46138</v>
      </c>
      <c r="B807" t="s">
        <v>155</v>
      </c>
      <c r="C807">
        <v>37</v>
      </c>
      <c r="D807" s="86">
        <v>1</v>
      </c>
      <c r="E807">
        <v>5</v>
      </c>
      <c r="F807">
        <v>3</v>
      </c>
      <c r="G807">
        <v>21</v>
      </c>
      <c r="H807">
        <v>12</v>
      </c>
      <c r="I807">
        <v>0.6</v>
      </c>
      <c r="J807">
        <v>0.56999999999999995</v>
      </c>
      <c r="K807">
        <v>0</v>
      </c>
      <c r="L807">
        <v>0</v>
      </c>
      <c r="M807">
        <v>0</v>
      </c>
      <c r="N807">
        <v>1</v>
      </c>
      <c r="O807">
        <v>1</v>
      </c>
      <c r="P807">
        <v>1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 s="86">
        <f>AVERAGEIFS($C$2:C807, $B$2:B807, B807)</f>
        <v>17.555555555555557</v>
      </c>
      <c r="AB807" s="86">
        <f>AVERAGEIFS($I$2:I807, $B$2:B807, B807)</f>
        <v>0.38055555555555548</v>
      </c>
      <c r="AC807" s="86">
        <f>AVERAGEIFS($J$2:J807, $B$2:B807, B807)</f>
        <v>0.45777777777777778</v>
      </c>
      <c r="AD807" s="86">
        <f>AVERAGEIFS($D$2:D807, $B$2:B807, B807)</f>
        <v>0.33333333333333331</v>
      </c>
    </row>
    <row r="808" spans="1:30" x14ac:dyDescent="0.25">
      <c r="A808" s="85">
        <v>46138</v>
      </c>
      <c r="B808" t="s">
        <v>4</v>
      </c>
      <c r="C808">
        <v>32</v>
      </c>
      <c r="D808" s="86">
        <v>1</v>
      </c>
      <c r="E808">
        <v>5</v>
      </c>
      <c r="F808">
        <v>3</v>
      </c>
      <c r="G808">
        <v>21</v>
      </c>
      <c r="H808">
        <v>12</v>
      </c>
      <c r="I808">
        <v>0.6</v>
      </c>
      <c r="J808">
        <v>0.56999999999999995</v>
      </c>
      <c r="K808">
        <v>0</v>
      </c>
      <c r="L808">
        <v>0</v>
      </c>
      <c r="M808">
        <v>0</v>
      </c>
      <c r="N808">
        <v>1</v>
      </c>
      <c r="O808">
        <v>1</v>
      </c>
      <c r="P808">
        <v>1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 s="86">
        <f>AVERAGEIFS($C$2:C808, $B$2:B808, B808)</f>
        <v>22.90909090909091</v>
      </c>
      <c r="AB808" s="86">
        <f>AVERAGEIFS($I$2:I808, $B$2:B808, B808)</f>
        <v>0.43636363636363634</v>
      </c>
      <c r="AC808" s="86">
        <f>AVERAGEIFS($J$2:J808, $B$2:B808, B808)</f>
        <v>0.4681818181818182</v>
      </c>
      <c r="AD808" s="86">
        <f>AVERAGEIFS($D$2:D808, $B$2:B808, B808)</f>
        <v>0.54545454545454541</v>
      </c>
    </row>
    <row r="809" spans="1:30" x14ac:dyDescent="0.25">
      <c r="A809" s="85">
        <v>46138</v>
      </c>
      <c r="B809" t="s">
        <v>35</v>
      </c>
      <c r="C809">
        <v>24</v>
      </c>
      <c r="D809" s="86">
        <v>1</v>
      </c>
      <c r="E809">
        <v>5</v>
      </c>
      <c r="F809">
        <v>3</v>
      </c>
      <c r="G809">
        <v>21</v>
      </c>
      <c r="H809">
        <v>12</v>
      </c>
      <c r="I809">
        <v>0.6</v>
      </c>
      <c r="J809">
        <v>0.56999999999999995</v>
      </c>
      <c r="K809">
        <v>0</v>
      </c>
      <c r="L809">
        <v>0</v>
      </c>
      <c r="M809">
        <v>0</v>
      </c>
      <c r="N809">
        <v>1</v>
      </c>
      <c r="O809">
        <v>1</v>
      </c>
      <c r="P809">
        <v>1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 s="86">
        <f>AVERAGEIFS($C$2:C809, $B$2:B809, B809)</f>
        <v>12.535714285714286</v>
      </c>
      <c r="AB809" s="86">
        <f>AVERAGEIFS($I$2:I809, $B$2:B809, B809)</f>
        <v>0.46249999999999997</v>
      </c>
      <c r="AC809" s="86">
        <f>AVERAGEIFS($J$2:J809, $B$2:B809, B809)</f>
        <v>0.47821428571428581</v>
      </c>
      <c r="AD809" s="86">
        <f>AVERAGEIFS($D$2:D809, $B$2:B809, B809)</f>
        <v>0.5714285714285714</v>
      </c>
    </row>
    <row r="810" spans="1:30" x14ac:dyDescent="0.25">
      <c r="A810" s="85">
        <v>46138</v>
      </c>
      <c r="B810" t="s">
        <v>29</v>
      </c>
      <c r="C810">
        <v>13</v>
      </c>
      <c r="D810" s="86">
        <v>1</v>
      </c>
      <c r="E810">
        <v>5</v>
      </c>
      <c r="F810">
        <v>3</v>
      </c>
      <c r="G810">
        <v>21</v>
      </c>
      <c r="H810">
        <v>12</v>
      </c>
      <c r="I810">
        <v>0.6</v>
      </c>
      <c r="J810">
        <v>0.56999999999999995</v>
      </c>
      <c r="K810">
        <v>0</v>
      </c>
      <c r="L810">
        <v>0</v>
      </c>
      <c r="M810">
        <v>0</v>
      </c>
      <c r="N810">
        <v>1</v>
      </c>
      <c r="O810">
        <v>1</v>
      </c>
      <c r="P810">
        <v>1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0</v>
      </c>
      <c r="AA810" s="86">
        <f>AVERAGEIFS($C$2:C810, $B$2:B810, B810)</f>
        <v>10.744186046511627</v>
      </c>
      <c r="AB810" s="86">
        <f>AVERAGEIFS($I$2:I810, $B$2:B810, B810)</f>
        <v>0.46744186046511632</v>
      </c>
      <c r="AC810" s="86">
        <f>AVERAGEIFS($J$2:J810, $B$2:B810, B810)</f>
        <v>0.49558139534883716</v>
      </c>
      <c r="AD810" s="86">
        <f>AVERAGEIFS($D$2:D810, $B$2:B810, B810)</f>
        <v>0.44186046511627908</v>
      </c>
    </row>
    <row r="811" spans="1:30" x14ac:dyDescent="0.25">
      <c r="A811" s="85">
        <v>46138</v>
      </c>
      <c r="B811" t="s">
        <v>14</v>
      </c>
      <c r="C811">
        <v>41</v>
      </c>
      <c r="D811" s="86">
        <v>0</v>
      </c>
      <c r="E811">
        <v>5</v>
      </c>
      <c r="F811">
        <v>2</v>
      </c>
      <c r="G811">
        <v>21</v>
      </c>
      <c r="H811">
        <v>9</v>
      </c>
      <c r="I811">
        <v>0.4</v>
      </c>
      <c r="J811">
        <v>0.43</v>
      </c>
      <c r="K811">
        <v>1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1</v>
      </c>
      <c r="Y811">
        <v>0</v>
      </c>
      <c r="Z811">
        <v>0</v>
      </c>
      <c r="AA811" s="86">
        <f>AVERAGEIFS($C$2:C811, $B$2:B811, B811)</f>
        <v>24.595238095238095</v>
      </c>
      <c r="AB811" s="86">
        <f>AVERAGEIFS($I$2:I811, $B$2:B811, B811)</f>
        <v>0.47142857142857136</v>
      </c>
      <c r="AC811" s="86">
        <f>AVERAGEIFS($J$2:J811, $B$2:B811, B811)</f>
        <v>0.48333333333333345</v>
      </c>
      <c r="AD811" s="86">
        <f>AVERAGEIFS($D$2:D811, $B$2:B811, B811)</f>
        <v>0.45238095238095238</v>
      </c>
    </row>
    <row r="812" spans="1:30" x14ac:dyDescent="0.25">
      <c r="A812" s="85">
        <v>46138</v>
      </c>
      <c r="B812" t="s">
        <v>28</v>
      </c>
      <c r="C812">
        <v>33</v>
      </c>
      <c r="D812" s="86">
        <v>0</v>
      </c>
      <c r="E812">
        <v>5</v>
      </c>
      <c r="F812">
        <v>2</v>
      </c>
      <c r="G812">
        <v>21</v>
      </c>
      <c r="H812">
        <v>9</v>
      </c>
      <c r="I812">
        <v>0.4</v>
      </c>
      <c r="J812">
        <v>0.43</v>
      </c>
      <c r="K812">
        <v>1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1</v>
      </c>
      <c r="Y812">
        <v>0</v>
      </c>
      <c r="Z812">
        <v>0</v>
      </c>
      <c r="AA812" s="86">
        <f>AVERAGEIFS($C$2:C812, $B$2:B812, B812)</f>
        <v>15.434782608695652</v>
      </c>
      <c r="AB812" s="86">
        <f>AVERAGEIFS($I$2:I812, $B$2:B812, B812)</f>
        <v>0.40217391304347827</v>
      </c>
      <c r="AC812" s="86">
        <f>AVERAGEIFS($J$2:J812, $B$2:B812, B812)</f>
        <v>0.45521739130434791</v>
      </c>
      <c r="AD812" s="86">
        <f>AVERAGEIFS($D$2:D812, $B$2:B812, B812)</f>
        <v>0.39130434782608697</v>
      </c>
    </row>
    <row r="813" spans="1:30" x14ac:dyDescent="0.25">
      <c r="A813" s="85">
        <v>46138</v>
      </c>
      <c r="B813" t="s">
        <v>17</v>
      </c>
      <c r="C813">
        <v>31</v>
      </c>
      <c r="D813" s="86">
        <v>0</v>
      </c>
      <c r="E813">
        <v>5</v>
      </c>
      <c r="F813">
        <v>2</v>
      </c>
      <c r="G813">
        <v>21</v>
      </c>
      <c r="H813">
        <v>9</v>
      </c>
      <c r="I813">
        <v>0.4</v>
      </c>
      <c r="J813">
        <v>0.43</v>
      </c>
      <c r="K813">
        <v>1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1</v>
      </c>
      <c r="Y813">
        <v>0</v>
      </c>
      <c r="Z813">
        <v>0</v>
      </c>
      <c r="AA813" s="86">
        <f>AVERAGEIFS($C$2:C813, $B$2:B813, B813)</f>
        <v>26.020408163265305</v>
      </c>
      <c r="AB813" s="86">
        <f>AVERAGEIFS($I$2:I813, $B$2:B813, B813)</f>
        <v>0.51020408163265318</v>
      </c>
      <c r="AC813" s="86">
        <f>AVERAGEIFS($J$2:J813, $B$2:B813, B813)</f>
        <v>0.51591836734693863</v>
      </c>
      <c r="AD813" s="86">
        <f>AVERAGEIFS($D$2:D813, $B$2:B813, B813)</f>
        <v>0.44897959183673469</v>
      </c>
    </row>
    <row r="814" spans="1:30" x14ac:dyDescent="0.25">
      <c r="A814" s="85">
        <v>46138</v>
      </c>
      <c r="B814" t="s">
        <v>40</v>
      </c>
      <c r="C814">
        <v>28</v>
      </c>
      <c r="D814" s="86">
        <v>0</v>
      </c>
      <c r="E814">
        <v>5</v>
      </c>
      <c r="F814">
        <v>2</v>
      </c>
      <c r="G814">
        <v>21</v>
      </c>
      <c r="H814">
        <v>9</v>
      </c>
      <c r="I814">
        <v>0.4</v>
      </c>
      <c r="J814">
        <v>0.43</v>
      </c>
      <c r="K814">
        <v>1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1</v>
      </c>
      <c r="Y814">
        <v>0</v>
      </c>
      <c r="Z814">
        <v>0</v>
      </c>
      <c r="AA814" s="86">
        <f>AVERAGEIFS($C$2:C814, $B$2:B814, B814)</f>
        <v>17.5</v>
      </c>
      <c r="AB814" s="86">
        <f>AVERAGEIFS($I$2:I814, $B$2:B814, B814)</f>
        <v>0.42499999999999993</v>
      </c>
      <c r="AC814" s="86">
        <f>AVERAGEIFS($J$2:J814, $B$2:B814, B814)</f>
        <v>0.43285714285714288</v>
      </c>
      <c r="AD814" s="86">
        <f>AVERAGEIFS($D$2:D814, $B$2:B814, B814)</f>
        <v>0.2857142857142857</v>
      </c>
    </row>
    <row r="815" spans="1:30" x14ac:dyDescent="0.25">
      <c r="A815" s="85">
        <v>46138</v>
      </c>
      <c r="B815" t="s">
        <v>25</v>
      </c>
      <c r="C815">
        <v>24</v>
      </c>
      <c r="D815" s="86">
        <v>0</v>
      </c>
      <c r="E815">
        <v>5</v>
      </c>
      <c r="F815">
        <v>2</v>
      </c>
      <c r="G815">
        <v>21</v>
      </c>
      <c r="H815">
        <v>9</v>
      </c>
      <c r="I815">
        <v>0.4</v>
      </c>
      <c r="J815">
        <v>0.43</v>
      </c>
      <c r="K815">
        <v>1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1</v>
      </c>
      <c r="Y815">
        <v>0</v>
      </c>
      <c r="Z815">
        <v>0</v>
      </c>
      <c r="AA815" s="86">
        <f>AVERAGEIFS($C$2:C815, $B$2:B815, B815)</f>
        <v>17.192307692307693</v>
      </c>
      <c r="AB815" s="86">
        <f>AVERAGEIFS($I$2:I815, $B$2:B815, B815)</f>
        <v>0.58269230769230773</v>
      </c>
      <c r="AC815" s="86">
        <f>AVERAGEIFS($J$2:J815, $B$2:B815, B815)</f>
        <v>0.5296153846153846</v>
      </c>
      <c r="AD815" s="86">
        <f>AVERAGEIFS($D$2:D815, $B$2:B815, B815)</f>
        <v>0.57692307692307687</v>
      </c>
    </row>
    <row r="816" spans="1:30" x14ac:dyDescent="0.25">
      <c r="A816" s="85">
        <v>46138</v>
      </c>
      <c r="B816" t="s">
        <v>70</v>
      </c>
      <c r="C816">
        <v>19</v>
      </c>
      <c r="D816" s="86">
        <v>0</v>
      </c>
      <c r="E816">
        <v>5</v>
      </c>
      <c r="F816">
        <v>2</v>
      </c>
      <c r="G816">
        <v>21</v>
      </c>
      <c r="H816">
        <v>9</v>
      </c>
      <c r="I816">
        <v>0.4</v>
      </c>
      <c r="J816">
        <v>0.43</v>
      </c>
      <c r="K816">
        <v>1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1</v>
      </c>
      <c r="Y816">
        <v>0</v>
      </c>
      <c r="Z816">
        <v>0</v>
      </c>
      <c r="AA816" s="86">
        <f>AVERAGEIFS($C$2:C816, $B$2:B816, B816)</f>
        <v>19.8</v>
      </c>
      <c r="AB816" s="86">
        <f>AVERAGEIFS($I$2:I816, $B$2:B816, B816)</f>
        <v>0.6</v>
      </c>
      <c r="AC816" s="86">
        <f>AVERAGEIFS($J$2:J816, $B$2:B816, B816)</f>
        <v>0.53600000000000003</v>
      </c>
      <c r="AD816" s="86">
        <f>AVERAGEIFS($D$2:D816, $B$2:B816, B816)</f>
        <v>0.6</v>
      </c>
    </row>
    <row r="817" spans="1:30" x14ac:dyDescent="0.25">
      <c r="A817" s="85">
        <v>46140</v>
      </c>
      <c r="B817" t="s">
        <v>14</v>
      </c>
      <c r="C817">
        <v>29</v>
      </c>
      <c r="D817" s="86">
        <v>1</v>
      </c>
      <c r="E817">
        <v>5</v>
      </c>
      <c r="F817">
        <v>3</v>
      </c>
      <c r="G817">
        <v>18</v>
      </c>
      <c r="H817">
        <v>10</v>
      </c>
      <c r="I817">
        <v>0.6</v>
      </c>
      <c r="J817">
        <v>0.56000000000000005</v>
      </c>
      <c r="K817">
        <v>0</v>
      </c>
      <c r="L817">
        <v>0</v>
      </c>
      <c r="M817">
        <v>1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1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0</v>
      </c>
      <c r="Z817">
        <v>1</v>
      </c>
      <c r="AA817" s="86">
        <f>AVERAGEIFS($C$2:C817, $B$2:B817, B817)</f>
        <v>24.697674418604652</v>
      </c>
      <c r="AB817" s="86">
        <f>AVERAGEIFS($I$2:I817, $B$2:B817, B817)</f>
        <v>0.47441860465116276</v>
      </c>
      <c r="AC817" s="86">
        <f>AVERAGEIFS($J$2:J817, $B$2:B817, B817)</f>
        <v>0.48511627906976751</v>
      </c>
      <c r="AD817" s="86">
        <f>AVERAGEIFS($D$2:D817, $B$2:B817, B817)</f>
        <v>0.46511627906976744</v>
      </c>
    </row>
    <row r="818" spans="1:30" x14ac:dyDescent="0.25">
      <c r="A818" s="85">
        <v>46140</v>
      </c>
      <c r="B818" t="s">
        <v>25</v>
      </c>
      <c r="C818">
        <v>24</v>
      </c>
      <c r="D818" s="86">
        <v>1</v>
      </c>
      <c r="E818">
        <v>5</v>
      </c>
      <c r="F818">
        <v>3</v>
      </c>
      <c r="G818">
        <v>18</v>
      </c>
      <c r="H818">
        <v>10</v>
      </c>
      <c r="I818">
        <v>0.6</v>
      </c>
      <c r="J818">
        <v>0.56000000000000005</v>
      </c>
      <c r="K818">
        <v>0</v>
      </c>
      <c r="L818">
        <v>0</v>
      </c>
      <c r="M818">
        <v>1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1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0</v>
      </c>
      <c r="Z818">
        <v>1</v>
      </c>
      <c r="AA818" s="86">
        <f>AVERAGEIFS($C$2:C818, $B$2:B818, B818)</f>
        <v>17.444444444444443</v>
      </c>
      <c r="AB818" s="86">
        <f>AVERAGEIFS($I$2:I818, $B$2:B818, B818)</f>
        <v>0.58333333333333337</v>
      </c>
      <c r="AC818" s="86">
        <f>AVERAGEIFS($J$2:J818, $B$2:B818, B818)</f>
        <v>0.53074074074074074</v>
      </c>
      <c r="AD818" s="86">
        <f>AVERAGEIFS($D$2:D818, $B$2:B818, B818)</f>
        <v>0.59259259259259256</v>
      </c>
    </row>
    <row r="819" spans="1:30" x14ac:dyDescent="0.25">
      <c r="A819" s="85">
        <v>46140</v>
      </c>
      <c r="B819" t="s">
        <v>37</v>
      </c>
      <c r="C819">
        <v>25</v>
      </c>
      <c r="D819" s="86">
        <v>1</v>
      </c>
      <c r="E819">
        <v>5</v>
      </c>
      <c r="F819">
        <v>3</v>
      </c>
      <c r="G819">
        <v>18</v>
      </c>
      <c r="H819">
        <v>10</v>
      </c>
      <c r="I819">
        <v>0.6</v>
      </c>
      <c r="J819">
        <v>0.56000000000000005</v>
      </c>
      <c r="K819">
        <v>0</v>
      </c>
      <c r="L819">
        <v>0</v>
      </c>
      <c r="M819">
        <v>1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1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0</v>
      </c>
      <c r="Z819">
        <v>1</v>
      </c>
      <c r="AA819" s="86">
        <f>AVERAGEIFS($C$2:C819, $B$2:B819, B819)</f>
        <v>19.384615384615383</v>
      </c>
      <c r="AB819" s="86">
        <f>AVERAGEIFS($I$2:I819, $B$2:B819, B819)</f>
        <v>0.43461538461538457</v>
      </c>
      <c r="AC819" s="86">
        <f>AVERAGEIFS($J$2:J819, $B$2:B819, B819)</f>
        <v>0.45884615384615385</v>
      </c>
      <c r="AD819" s="86">
        <f>AVERAGEIFS($D$2:D819, $B$2:B819, B819)</f>
        <v>0.46153846153846156</v>
      </c>
    </row>
    <row r="820" spans="1:30" x14ac:dyDescent="0.25">
      <c r="A820" s="85">
        <v>46140</v>
      </c>
      <c r="B820" t="s">
        <v>45</v>
      </c>
      <c r="C820">
        <v>12</v>
      </c>
      <c r="D820" s="86">
        <v>1</v>
      </c>
      <c r="E820">
        <v>5</v>
      </c>
      <c r="F820">
        <v>3</v>
      </c>
      <c r="G820">
        <v>18</v>
      </c>
      <c r="H820">
        <v>10</v>
      </c>
      <c r="I820">
        <v>0.6</v>
      </c>
      <c r="J820">
        <v>0.56000000000000005</v>
      </c>
      <c r="K820">
        <v>0</v>
      </c>
      <c r="L820">
        <v>0</v>
      </c>
      <c r="M820">
        <v>1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1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1</v>
      </c>
      <c r="AA820" s="86">
        <f>AVERAGEIFS($C$2:C820, $B$2:B820, B820)</f>
        <v>12.727272727272727</v>
      </c>
      <c r="AB820" s="86">
        <f>AVERAGEIFS($I$2:I820, $B$2:B820, B820)</f>
        <v>0.46363636363636368</v>
      </c>
      <c r="AC820" s="86">
        <f>AVERAGEIFS($J$2:J820, $B$2:B820, B820)</f>
        <v>0.48136363636363644</v>
      </c>
      <c r="AD820" s="86">
        <f>AVERAGEIFS($D$2:D820, $B$2:B820, B820)</f>
        <v>0.40909090909090912</v>
      </c>
    </row>
    <row r="821" spans="1:30" x14ac:dyDescent="0.25">
      <c r="A821" s="85">
        <v>46140</v>
      </c>
      <c r="B821" t="s">
        <v>148</v>
      </c>
      <c r="C821">
        <v>7</v>
      </c>
      <c r="D821" s="86">
        <v>1</v>
      </c>
      <c r="E821">
        <v>5</v>
      </c>
      <c r="F821">
        <v>3</v>
      </c>
      <c r="G821">
        <v>18</v>
      </c>
      <c r="H821">
        <v>10</v>
      </c>
      <c r="I821">
        <v>0.6</v>
      </c>
      <c r="J821">
        <v>0.56000000000000005</v>
      </c>
      <c r="K821">
        <v>0</v>
      </c>
      <c r="L821">
        <v>0</v>
      </c>
      <c r="M821">
        <v>1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1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0</v>
      </c>
      <c r="Z821">
        <v>1</v>
      </c>
      <c r="AA821" s="86">
        <f>AVERAGEIFS($C$2:C821, $B$2:B821, B821)</f>
        <v>13.307692307692308</v>
      </c>
      <c r="AB821" s="86">
        <f>AVERAGEIFS($I$2:I821, $B$2:B821, B821)</f>
        <v>0.58269230769230762</v>
      </c>
      <c r="AC821" s="86">
        <f>AVERAGEIFS($J$2:J821, $B$2:B821, B821)</f>
        <v>0.53461538461538471</v>
      </c>
      <c r="AD821" s="86">
        <f>AVERAGEIFS($D$2:D821, $B$2:B821, B821)</f>
        <v>0.61538461538461542</v>
      </c>
    </row>
    <row r="822" spans="1:30" x14ac:dyDescent="0.25">
      <c r="A822" s="85">
        <v>46140</v>
      </c>
      <c r="B822" t="s">
        <v>13</v>
      </c>
      <c r="C822">
        <v>30</v>
      </c>
      <c r="D822" s="86">
        <v>0</v>
      </c>
      <c r="E822">
        <v>5</v>
      </c>
      <c r="F822">
        <v>2</v>
      </c>
      <c r="G822">
        <v>18</v>
      </c>
      <c r="H822">
        <v>8</v>
      </c>
      <c r="I822">
        <v>0.4</v>
      </c>
      <c r="J822">
        <v>0.44</v>
      </c>
      <c r="K822">
        <v>0</v>
      </c>
      <c r="L822">
        <v>0</v>
      </c>
      <c r="M822">
        <v>0</v>
      </c>
      <c r="N822">
        <v>1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1</v>
      </c>
      <c r="X822">
        <v>0</v>
      </c>
      <c r="Y822">
        <v>0</v>
      </c>
      <c r="Z822">
        <v>0</v>
      </c>
      <c r="AA822" s="86">
        <f>AVERAGEIFS($C$2:C822, $B$2:B822, B822)</f>
        <v>26.892857142857142</v>
      </c>
      <c r="AB822" s="86">
        <f>AVERAGEIFS($I$2:I822, $B$2:B822, B822)</f>
        <v>0.58214285714285718</v>
      </c>
      <c r="AC822" s="86">
        <f>AVERAGEIFS($J$2:J822, $B$2:B822, B822)</f>
        <v>0.55035714285714277</v>
      </c>
      <c r="AD822" s="86">
        <f>AVERAGEIFS($D$2:D822, $B$2:B822, B822)</f>
        <v>0.6428571428571429</v>
      </c>
    </row>
    <row r="823" spans="1:30" x14ac:dyDescent="0.25">
      <c r="A823" s="85">
        <v>46140</v>
      </c>
      <c r="B823" t="s">
        <v>5</v>
      </c>
      <c r="C823">
        <v>25</v>
      </c>
      <c r="D823" s="86">
        <v>0</v>
      </c>
      <c r="E823">
        <v>5</v>
      </c>
      <c r="F823">
        <v>2</v>
      </c>
      <c r="G823">
        <v>18</v>
      </c>
      <c r="H823">
        <v>8</v>
      </c>
      <c r="I823">
        <v>0.4</v>
      </c>
      <c r="J823">
        <v>0.44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1</v>
      </c>
      <c r="X823">
        <v>0</v>
      </c>
      <c r="Y823">
        <v>0</v>
      </c>
      <c r="Z823">
        <v>0</v>
      </c>
      <c r="AA823" s="86">
        <f>AVERAGEIFS($C$2:C823, $B$2:B823, B823)</f>
        <v>25.933333333333334</v>
      </c>
      <c r="AB823" s="86">
        <f>AVERAGEIFS($I$2:I823, $B$2:B823, B823)</f>
        <v>0.43666666666666659</v>
      </c>
      <c r="AC823" s="86">
        <f>AVERAGEIFS($J$2:J823, $B$2:B823, B823)</f>
        <v>0.46866666666666668</v>
      </c>
      <c r="AD823" s="86">
        <f>AVERAGEIFS($D$2:D823, $B$2:B823, B823)</f>
        <v>0.46666666666666667</v>
      </c>
    </row>
    <row r="824" spans="1:30" x14ac:dyDescent="0.25">
      <c r="A824" s="85">
        <v>46140</v>
      </c>
      <c r="B824" t="s">
        <v>155</v>
      </c>
      <c r="C824">
        <v>20</v>
      </c>
      <c r="D824" s="86">
        <v>0</v>
      </c>
      <c r="E824">
        <v>5</v>
      </c>
      <c r="F824">
        <v>2</v>
      </c>
      <c r="G824">
        <v>18</v>
      </c>
      <c r="H824">
        <v>8</v>
      </c>
      <c r="I824">
        <v>0.4</v>
      </c>
      <c r="J824">
        <v>0.44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1</v>
      </c>
      <c r="X824">
        <v>0</v>
      </c>
      <c r="Y824">
        <v>0</v>
      </c>
      <c r="Z824">
        <v>0</v>
      </c>
      <c r="AA824" s="86">
        <f>AVERAGEIFS($C$2:C824, $B$2:B824, B824)</f>
        <v>17.684210526315791</v>
      </c>
      <c r="AB824" s="86">
        <f>AVERAGEIFS($I$2:I824, $B$2:B824, B824)</f>
        <v>0.38157894736842102</v>
      </c>
      <c r="AC824" s="86">
        <f>AVERAGEIFS($J$2:J824, $B$2:B824, B824)</f>
        <v>0.45684210526315788</v>
      </c>
      <c r="AD824" s="86">
        <f>AVERAGEIFS($D$2:D824, $B$2:B824, B824)</f>
        <v>0.31578947368421051</v>
      </c>
    </row>
    <row r="825" spans="1:30" x14ac:dyDescent="0.25">
      <c r="A825" s="85">
        <v>46140</v>
      </c>
      <c r="B825" t="s">
        <v>140</v>
      </c>
      <c r="C825">
        <v>9</v>
      </c>
      <c r="D825" s="86">
        <v>0</v>
      </c>
      <c r="E825">
        <v>5</v>
      </c>
      <c r="F825">
        <v>2</v>
      </c>
      <c r="G825">
        <v>18</v>
      </c>
      <c r="H825">
        <v>8</v>
      </c>
      <c r="I825">
        <v>0.4</v>
      </c>
      <c r="J825">
        <v>0.44</v>
      </c>
      <c r="K825">
        <v>0</v>
      </c>
      <c r="L825">
        <v>0</v>
      </c>
      <c r="M825">
        <v>0</v>
      </c>
      <c r="N825">
        <v>1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1</v>
      </c>
      <c r="X825">
        <v>0</v>
      </c>
      <c r="Y825">
        <v>0</v>
      </c>
      <c r="Z825">
        <v>0</v>
      </c>
      <c r="AA825" s="86">
        <f>AVERAGEIFS($C$2:C825, $B$2:B825, B825)</f>
        <v>8.5555555555555554</v>
      </c>
      <c r="AB825" s="86">
        <f>AVERAGEIFS($I$2:I825, $B$2:B825, B825)</f>
        <v>0.55000000000000004</v>
      </c>
      <c r="AC825" s="86">
        <f>AVERAGEIFS($J$2:J825, $B$2:B825, B825)</f>
        <v>0.51555555555555554</v>
      </c>
      <c r="AD825" s="86">
        <f>AVERAGEIFS($D$2:D825, $B$2:B825, B825)</f>
        <v>0.66666666666666663</v>
      </c>
    </row>
    <row r="826" spans="1:30" x14ac:dyDescent="0.25">
      <c r="A826" s="85">
        <v>46140</v>
      </c>
      <c r="B826" t="s">
        <v>38</v>
      </c>
      <c r="C826">
        <v>9</v>
      </c>
      <c r="D826" s="86">
        <v>0</v>
      </c>
      <c r="E826">
        <v>5</v>
      </c>
      <c r="F826">
        <v>2</v>
      </c>
      <c r="G826">
        <v>18</v>
      </c>
      <c r="H826">
        <v>8</v>
      </c>
      <c r="I826">
        <v>0.4</v>
      </c>
      <c r="J826">
        <v>0.44</v>
      </c>
      <c r="K826">
        <v>0</v>
      </c>
      <c r="L826">
        <v>0</v>
      </c>
      <c r="M826">
        <v>0</v>
      </c>
      <c r="N826">
        <v>1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1</v>
      </c>
      <c r="X826">
        <v>0</v>
      </c>
      <c r="Y826">
        <v>0</v>
      </c>
      <c r="Z826">
        <v>0</v>
      </c>
      <c r="AA826" s="86">
        <f>AVERAGEIFS($C$2:C826, $B$2:B826, B826)</f>
        <v>8.0833333333333339</v>
      </c>
      <c r="AB826" s="86">
        <f>AVERAGEIFS($I$2:I826, $B$2:B826, B826)</f>
        <v>0.40416666666666673</v>
      </c>
      <c r="AC826" s="86">
        <f>AVERAGEIFS($J$2:J826, $B$2:B826, B826)</f>
        <v>0.44333333333333336</v>
      </c>
      <c r="AD826" s="86">
        <f>AVERAGEIFS($D$2:D826, $B$2:B826, B826)</f>
        <v>0.41666666666666669</v>
      </c>
    </row>
    <row r="827" spans="1:30" x14ac:dyDescent="0.25">
      <c r="A827" s="85">
        <v>46144</v>
      </c>
      <c r="B827" t="s">
        <v>113</v>
      </c>
      <c r="C827">
        <v>25</v>
      </c>
      <c r="D827" s="86">
        <v>1</v>
      </c>
      <c r="E827">
        <v>3</v>
      </c>
      <c r="F827">
        <v>3</v>
      </c>
      <c r="G827">
        <v>14</v>
      </c>
      <c r="H827">
        <v>9</v>
      </c>
      <c r="I827">
        <v>1</v>
      </c>
      <c r="J827">
        <v>0.64</v>
      </c>
      <c r="K827">
        <v>0</v>
      </c>
      <c r="L827">
        <v>1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1</v>
      </c>
      <c r="Y827">
        <v>0</v>
      </c>
      <c r="Z827">
        <v>1</v>
      </c>
      <c r="AA827" s="86">
        <f>AVERAGEIFS($C$2:C827, $B$2:B827, B827)</f>
        <v>19.727272727272727</v>
      </c>
      <c r="AB827" s="86">
        <f>AVERAGEIFS($I$2:I827, $B$2:B827, B827)</f>
        <v>0.6454545454545455</v>
      </c>
      <c r="AC827" s="86">
        <f>AVERAGEIFS($J$2:J827, $B$2:B827, B827)</f>
        <v>0.54272727272727261</v>
      </c>
      <c r="AD827" s="86">
        <f>AVERAGEIFS($D$2:D827, $B$2:B827, B827)</f>
        <v>0.72727272727272729</v>
      </c>
    </row>
    <row r="828" spans="1:30" x14ac:dyDescent="0.25">
      <c r="A828" s="85">
        <v>46144</v>
      </c>
      <c r="B828" t="s">
        <v>150</v>
      </c>
      <c r="C828">
        <v>24</v>
      </c>
      <c r="D828" s="86">
        <v>1</v>
      </c>
      <c r="E828">
        <v>3</v>
      </c>
      <c r="F828">
        <v>3</v>
      </c>
      <c r="G828">
        <v>14</v>
      </c>
      <c r="H828">
        <v>9</v>
      </c>
      <c r="I828">
        <v>1</v>
      </c>
      <c r="J828">
        <v>0.64</v>
      </c>
      <c r="K828">
        <v>0</v>
      </c>
      <c r="L828">
        <v>1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1</v>
      </c>
      <c r="Y828">
        <v>0</v>
      </c>
      <c r="Z828">
        <v>1</v>
      </c>
      <c r="AA828" s="86">
        <f>AVERAGEIFS($C$2:C828, $B$2:B828, B828)</f>
        <v>18.125</v>
      </c>
      <c r="AB828" s="86">
        <f>AVERAGEIFS($I$2:I828, $B$2:B828, B828)</f>
        <v>0.73124999999999996</v>
      </c>
      <c r="AC828" s="86">
        <f>AVERAGEIFS($J$2:J828, $B$2:B828, B828)</f>
        <v>0.64999999999999991</v>
      </c>
      <c r="AD828" s="86">
        <f>AVERAGEIFS($D$2:D828, $B$2:B828, B828)</f>
        <v>0.875</v>
      </c>
    </row>
    <row r="829" spans="1:30" x14ac:dyDescent="0.25">
      <c r="A829" s="85">
        <v>46144</v>
      </c>
      <c r="B829" t="s">
        <v>4</v>
      </c>
      <c r="C829">
        <v>19</v>
      </c>
      <c r="D829" s="86">
        <v>1</v>
      </c>
      <c r="E829">
        <v>3</v>
      </c>
      <c r="F829">
        <v>3</v>
      </c>
      <c r="G829">
        <v>14</v>
      </c>
      <c r="H829">
        <v>9</v>
      </c>
      <c r="I829">
        <v>1</v>
      </c>
      <c r="J829">
        <v>0.64</v>
      </c>
      <c r="K829">
        <v>0</v>
      </c>
      <c r="L829">
        <v>1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1</v>
      </c>
      <c r="Y829">
        <v>0</v>
      </c>
      <c r="Z829">
        <v>1</v>
      </c>
      <c r="AA829" s="86">
        <f>AVERAGEIFS($C$2:C829, $B$2:B829, B829)</f>
        <v>22.583333333333332</v>
      </c>
      <c r="AB829" s="86">
        <f>AVERAGEIFS($I$2:I829, $B$2:B829, B829)</f>
        <v>0.48333333333333334</v>
      </c>
      <c r="AC829" s="86">
        <f>AVERAGEIFS($J$2:J829, $B$2:B829, B829)</f>
        <v>0.48249999999999998</v>
      </c>
      <c r="AD829" s="86">
        <f>AVERAGEIFS($D$2:D829, $B$2:B829, B829)</f>
        <v>0.58333333333333337</v>
      </c>
    </row>
    <row r="830" spans="1:30" x14ac:dyDescent="0.25">
      <c r="A830" s="85">
        <v>46144</v>
      </c>
      <c r="B830" t="s">
        <v>6</v>
      </c>
      <c r="C830">
        <v>17</v>
      </c>
      <c r="D830" s="86">
        <v>1</v>
      </c>
      <c r="E830">
        <v>3</v>
      </c>
      <c r="F830">
        <v>3</v>
      </c>
      <c r="G830">
        <v>14</v>
      </c>
      <c r="H830">
        <v>9</v>
      </c>
      <c r="I830">
        <v>1</v>
      </c>
      <c r="J830">
        <v>0.64</v>
      </c>
      <c r="K830">
        <v>0</v>
      </c>
      <c r="L830">
        <v>1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1</v>
      </c>
      <c r="Y830">
        <v>0</v>
      </c>
      <c r="Z830">
        <v>1</v>
      </c>
      <c r="AA830" s="86">
        <f>AVERAGEIFS($C$2:C830, $B$2:B830, B830)</f>
        <v>23.576923076923077</v>
      </c>
      <c r="AB830" s="86">
        <f>AVERAGEIFS($I$2:I830, $B$2:B830, B830)</f>
        <v>0.63269230769230766</v>
      </c>
      <c r="AC830" s="86">
        <f>AVERAGEIFS($J$2:J830, $B$2:B830, B830)</f>
        <v>0.55884615384615388</v>
      </c>
      <c r="AD830" s="86">
        <f>AVERAGEIFS($D$2:D830, $B$2:B830, B830)</f>
        <v>0.69230769230769229</v>
      </c>
    </row>
    <row r="831" spans="1:30" x14ac:dyDescent="0.25">
      <c r="A831" s="85">
        <v>46144</v>
      </c>
      <c r="B831" t="s">
        <v>5</v>
      </c>
      <c r="C831">
        <v>17</v>
      </c>
      <c r="D831" s="86">
        <v>1</v>
      </c>
      <c r="E831">
        <v>3</v>
      </c>
      <c r="F831">
        <v>3</v>
      </c>
      <c r="G831">
        <v>14</v>
      </c>
      <c r="H831">
        <v>9</v>
      </c>
      <c r="I831">
        <v>1</v>
      </c>
      <c r="J831">
        <v>0.64</v>
      </c>
      <c r="K831">
        <v>0</v>
      </c>
      <c r="L831">
        <v>1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1</v>
      </c>
      <c r="Y831">
        <v>0</v>
      </c>
      <c r="Z831">
        <v>1</v>
      </c>
      <c r="AA831" s="86">
        <f>AVERAGEIFS($C$2:C831, $B$2:B831, B831)</f>
        <v>25.375</v>
      </c>
      <c r="AB831" s="86">
        <f>AVERAGEIFS($I$2:I831, $B$2:B831, B831)</f>
        <v>0.47187499999999993</v>
      </c>
      <c r="AC831" s="86">
        <f>AVERAGEIFS($J$2:J831, $B$2:B831, B831)</f>
        <v>0.479375</v>
      </c>
      <c r="AD831" s="86">
        <f>AVERAGEIFS($D$2:D831, $B$2:B831, B831)</f>
        <v>0.5</v>
      </c>
    </row>
    <row r="832" spans="1:30" x14ac:dyDescent="0.25">
      <c r="A832" s="85">
        <v>46144</v>
      </c>
      <c r="B832" t="s">
        <v>2</v>
      </c>
      <c r="C832">
        <v>14</v>
      </c>
      <c r="D832" s="86">
        <v>1</v>
      </c>
      <c r="E832">
        <v>3</v>
      </c>
      <c r="F832">
        <v>3</v>
      </c>
      <c r="G832">
        <v>14</v>
      </c>
      <c r="H832">
        <v>9</v>
      </c>
      <c r="I832">
        <v>1</v>
      </c>
      <c r="J832">
        <v>0.64</v>
      </c>
      <c r="K832">
        <v>0</v>
      </c>
      <c r="L832">
        <v>1</v>
      </c>
      <c r="M832">
        <v>0</v>
      </c>
      <c r="N832">
        <v>0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1</v>
      </c>
      <c r="Y832">
        <v>0</v>
      </c>
      <c r="Z832">
        <v>1</v>
      </c>
      <c r="AA832" s="86">
        <f>AVERAGEIFS($C$2:C832, $B$2:B832, B832)</f>
        <v>27.375</v>
      </c>
      <c r="AB832" s="86">
        <f>AVERAGEIFS($I$2:I832, $B$2:B832, B832)</f>
        <v>0.59062500000000007</v>
      </c>
      <c r="AC832" s="86">
        <f>AVERAGEIFS($J$2:J832, $B$2:B832, B832)</f>
        <v>0.54812499999999997</v>
      </c>
      <c r="AD832" s="86">
        <f>AVERAGEIFS($D$2:D832, $B$2:B832, B832)</f>
        <v>0.5625</v>
      </c>
    </row>
    <row r="833" spans="1:30" x14ac:dyDescent="0.25">
      <c r="A833" s="85">
        <v>46144</v>
      </c>
      <c r="B833" t="s">
        <v>44</v>
      </c>
      <c r="C833">
        <v>13</v>
      </c>
      <c r="D833" s="86">
        <v>1</v>
      </c>
      <c r="E833">
        <v>3</v>
      </c>
      <c r="F833">
        <v>3</v>
      </c>
      <c r="G833">
        <v>14</v>
      </c>
      <c r="H833">
        <v>9</v>
      </c>
      <c r="I833">
        <v>1</v>
      </c>
      <c r="J833">
        <v>0.64</v>
      </c>
      <c r="K833">
        <v>0</v>
      </c>
      <c r="L833">
        <v>1</v>
      </c>
      <c r="M833">
        <v>0</v>
      </c>
      <c r="N833">
        <v>0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1</v>
      </c>
      <c r="Y833">
        <v>0</v>
      </c>
      <c r="Z833">
        <v>1</v>
      </c>
      <c r="AA833" s="86">
        <f>AVERAGEIFS($C$2:C833, $B$2:B833, B833)</f>
        <v>16</v>
      </c>
      <c r="AB833" s="86">
        <f>AVERAGEIFS($I$2:I833, $B$2:B833, B833)</f>
        <v>0.84000000000000008</v>
      </c>
      <c r="AC833" s="86">
        <f>AVERAGEIFS($J$2:J833, $B$2:B833, B833)</f>
        <v>0.63400000000000001</v>
      </c>
      <c r="AD833" s="86">
        <f>AVERAGEIFS($D$2:D833, $B$2:B833, B833)</f>
        <v>1</v>
      </c>
    </row>
    <row r="834" spans="1:30" x14ac:dyDescent="0.25">
      <c r="A834" s="85">
        <v>46144</v>
      </c>
      <c r="B834" t="s">
        <v>179</v>
      </c>
      <c r="C834">
        <v>8</v>
      </c>
      <c r="D834" s="86">
        <v>1</v>
      </c>
      <c r="E834">
        <v>3</v>
      </c>
      <c r="F834">
        <v>3</v>
      </c>
      <c r="G834">
        <v>14</v>
      </c>
      <c r="H834">
        <v>9</v>
      </c>
      <c r="I834">
        <v>1</v>
      </c>
      <c r="J834">
        <v>0.64</v>
      </c>
      <c r="K834">
        <v>0</v>
      </c>
      <c r="L834">
        <v>1</v>
      </c>
      <c r="M834">
        <v>0</v>
      </c>
      <c r="N834">
        <v>0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1</v>
      </c>
      <c r="Y834">
        <v>0</v>
      </c>
      <c r="Z834">
        <v>1</v>
      </c>
      <c r="AA834" s="86">
        <f>AVERAGEIFS($C$2:C834, $B$2:B834, B834)</f>
        <v>8</v>
      </c>
      <c r="AB834" s="86">
        <f>AVERAGEIFS($I$2:I834, $B$2:B834, B834)</f>
        <v>1</v>
      </c>
      <c r="AC834" s="86">
        <f>AVERAGEIFS($J$2:J834, $B$2:B834, B834)</f>
        <v>0.64</v>
      </c>
      <c r="AD834" s="86">
        <f>AVERAGEIFS($D$2:D834, $B$2:B834, B834)</f>
        <v>1</v>
      </c>
    </row>
    <row r="835" spans="1:30" x14ac:dyDescent="0.25">
      <c r="A835" s="85">
        <v>46144</v>
      </c>
      <c r="B835" t="s">
        <v>14</v>
      </c>
      <c r="C835">
        <v>26</v>
      </c>
      <c r="D835" s="86">
        <v>0</v>
      </c>
      <c r="E835">
        <v>3</v>
      </c>
      <c r="F835">
        <v>0</v>
      </c>
      <c r="G835">
        <v>14</v>
      </c>
      <c r="H835">
        <v>5</v>
      </c>
      <c r="I835">
        <v>0</v>
      </c>
      <c r="J835">
        <v>0.36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 s="86">
        <f>AVERAGEIFS($C$2:C835, $B$2:B835, B835)</f>
        <v>24.727272727272727</v>
      </c>
      <c r="AB835" s="86">
        <f>AVERAGEIFS($I$2:I835, $B$2:B835, B835)</f>
        <v>0.46363636363636362</v>
      </c>
      <c r="AC835" s="86">
        <f>AVERAGEIFS($J$2:J835, $B$2:B835, B835)</f>
        <v>0.48227272727272735</v>
      </c>
      <c r="AD835" s="86">
        <f>AVERAGEIFS($D$2:D835, $B$2:B835, B835)</f>
        <v>0.45454545454545453</v>
      </c>
    </row>
    <row r="836" spans="1:30" x14ac:dyDescent="0.25">
      <c r="A836" s="85">
        <v>46144</v>
      </c>
      <c r="B836" t="s">
        <v>17</v>
      </c>
      <c r="C836">
        <v>24</v>
      </c>
      <c r="D836" s="86">
        <v>0</v>
      </c>
      <c r="E836">
        <v>3</v>
      </c>
      <c r="F836">
        <v>0</v>
      </c>
      <c r="G836">
        <v>14</v>
      </c>
      <c r="H836">
        <v>5</v>
      </c>
      <c r="I836">
        <v>0</v>
      </c>
      <c r="J836">
        <v>0.36</v>
      </c>
      <c r="K836">
        <v>0</v>
      </c>
      <c r="L836">
        <v>0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0</v>
      </c>
      <c r="V836">
        <v>0</v>
      </c>
      <c r="W836">
        <v>0</v>
      </c>
      <c r="X836">
        <v>0</v>
      </c>
      <c r="Y836">
        <v>0</v>
      </c>
      <c r="Z836">
        <v>0</v>
      </c>
      <c r="AA836" s="86">
        <f>AVERAGEIFS($C$2:C836, $B$2:B836, B836)</f>
        <v>25.98</v>
      </c>
      <c r="AB836" s="86">
        <f>AVERAGEIFS($I$2:I836, $B$2:B836, B836)</f>
        <v>0.50000000000000011</v>
      </c>
      <c r="AC836" s="86">
        <f>AVERAGEIFS($J$2:J836, $B$2:B836, B836)</f>
        <v>0.51279999999999992</v>
      </c>
      <c r="AD836" s="86">
        <f>AVERAGEIFS($D$2:D836, $B$2:B836, B836)</f>
        <v>0.44</v>
      </c>
    </row>
    <row r="837" spans="1:30" x14ac:dyDescent="0.25">
      <c r="A837" s="85">
        <v>46144</v>
      </c>
      <c r="B837" t="s">
        <v>13</v>
      </c>
      <c r="C837">
        <v>24</v>
      </c>
      <c r="D837" s="86">
        <v>0</v>
      </c>
      <c r="E837">
        <v>3</v>
      </c>
      <c r="F837">
        <v>0</v>
      </c>
      <c r="G837">
        <v>14</v>
      </c>
      <c r="H837">
        <v>5</v>
      </c>
      <c r="I837">
        <v>0</v>
      </c>
      <c r="J837">
        <v>0.36</v>
      </c>
      <c r="K837">
        <v>0</v>
      </c>
      <c r="L837">
        <v>0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0</v>
      </c>
      <c r="W837">
        <v>0</v>
      </c>
      <c r="X837">
        <v>0</v>
      </c>
      <c r="Y837">
        <v>0</v>
      </c>
      <c r="Z837">
        <v>0</v>
      </c>
      <c r="AA837" s="86">
        <f>AVERAGEIFS($C$2:C837, $B$2:B837, B837)</f>
        <v>26.842105263157894</v>
      </c>
      <c r="AB837" s="86">
        <f>AVERAGEIFS($I$2:I837, $B$2:B837, B837)</f>
        <v>0.57192982456140351</v>
      </c>
      <c r="AC837" s="86">
        <f>AVERAGEIFS($J$2:J837, $B$2:B837, B837)</f>
        <v>0.54701754385964907</v>
      </c>
      <c r="AD837" s="86">
        <f>AVERAGEIFS($D$2:D837, $B$2:B837, B837)</f>
        <v>0.63157894736842102</v>
      </c>
    </row>
    <row r="838" spans="1:30" x14ac:dyDescent="0.25">
      <c r="A838" s="85">
        <v>46144</v>
      </c>
      <c r="B838" t="s">
        <v>148</v>
      </c>
      <c r="C838">
        <v>11</v>
      </c>
      <c r="D838" s="86">
        <v>0</v>
      </c>
      <c r="E838">
        <v>3</v>
      </c>
      <c r="F838">
        <v>0</v>
      </c>
      <c r="G838">
        <v>14</v>
      </c>
      <c r="H838">
        <v>5</v>
      </c>
      <c r="I838">
        <v>0</v>
      </c>
      <c r="J838">
        <v>0.36</v>
      </c>
      <c r="K838">
        <v>0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0</v>
      </c>
      <c r="V838">
        <v>0</v>
      </c>
      <c r="W838">
        <v>0</v>
      </c>
      <c r="X838">
        <v>0</v>
      </c>
      <c r="Y838">
        <v>0</v>
      </c>
      <c r="Z838">
        <v>0</v>
      </c>
      <c r="AA838" s="86">
        <f>AVERAGEIFS($C$2:C838, $B$2:B838, B838)</f>
        <v>13.222222222222221</v>
      </c>
      <c r="AB838" s="86">
        <f>AVERAGEIFS($I$2:I838, $B$2:B838, B838)</f>
        <v>0.56111111111111101</v>
      </c>
      <c r="AC838" s="86">
        <f>AVERAGEIFS($J$2:J838, $B$2:B838, B838)</f>
        <v>0.52814814814814826</v>
      </c>
      <c r="AD838" s="86">
        <f>AVERAGEIFS($D$2:D838, $B$2:B838, B838)</f>
        <v>0.59259259259259256</v>
      </c>
    </row>
    <row r="839" spans="1:30" x14ac:dyDescent="0.25">
      <c r="A839" s="85">
        <v>46144</v>
      </c>
      <c r="B839" t="s">
        <v>29</v>
      </c>
      <c r="C839">
        <v>11</v>
      </c>
      <c r="D839" s="86">
        <v>0</v>
      </c>
      <c r="E839">
        <v>3</v>
      </c>
      <c r="F839">
        <v>0</v>
      </c>
      <c r="G839">
        <v>14</v>
      </c>
      <c r="H839">
        <v>5</v>
      </c>
      <c r="I839">
        <v>0</v>
      </c>
      <c r="J839">
        <v>0.36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0</v>
      </c>
      <c r="W839">
        <v>0</v>
      </c>
      <c r="X839">
        <v>0</v>
      </c>
      <c r="Y839">
        <v>0</v>
      </c>
      <c r="Z839">
        <v>0</v>
      </c>
      <c r="AA839" s="86">
        <f>AVERAGEIFS($C$2:C839, $B$2:B839, B839)</f>
        <v>10.75</v>
      </c>
      <c r="AB839" s="86">
        <f>AVERAGEIFS($I$2:I839, $B$2:B839, B839)</f>
        <v>0.45681818181818185</v>
      </c>
      <c r="AC839" s="86">
        <f>AVERAGEIFS($J$2:J839, $B$2:B839, B839)</f>
        <v>0.49249999999999994</v>
      </c>
      <c r="AD839" s="86">
        <f>AVERAGEIFS($D$2:D839, $B$2:B839, B839)</f>
        <v>0.43181818181818182</v>
      </c>
    </row>
    <row r="840" spans="1:30" x14ac:dyDescent="0.25">
      <c r="A840" s="85">
        <v>46144</v>
      </c>
      <c r="B840" t="s">
        <v>155</v>
      </c>
      <c r="C840">
        <v>9</v>
      </c>
      <c r="D840" s="86">
        <v>0</v>
      </c>
      <c r="E840">
        <v>3</v>
      </c>
      <c r="F840">
        <v>0</v>
      </c>
      <c r="G840">
        <v>14</v>
      </c>
      <c r="H840">
        <v>5</v>
      </c>
      <c r="I840">
        <v>0</v>
      </c>
      <c r="J840">
        <v>0.36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0</v>
      </c>
      <c r="W840">
        <v>0</v>
      </c>
      <c r="X840">
        <v>0</v>
      </c>
      <c r="Y840">
        <v>0</v>
      </c>
      <c r="Z840">
        <v>0</v>
      </c>
      <c r="AA840" s="86">
        <f>AVERAGEIFS($C$2:C840, $B$2:B840, B840)</f>
        <v>17.25</v>
      </c>
      <c r="AB840" s="86">
        <f>AVERAGEIFS($I$2:I840, $B$2:B840, B840)</f>
        <v>0.36249999999999993</v>
      </c>
      <c r="AC840" s="86">
        <f>AVERAGEIFS($J$2:J840, $B$2:B840, B840)</f>
        <v>0.45199999999999996</v>
      </c>
      <c r="AD840" s="86">
        <f>AVERAGEIFS($D$2:D840, $B$2:B840, B840)</f>
        <v>0.3</v>
      </c>
    </row>
    <row r="841" spans="1:30" x14ac:dyDescent="0.25">
      <c r="A841" s="85">
        <v>46144</v>
      </c>
      <c r="B841" t="s">
        <v>140</v>
      </c>
      <c r="C841">
        <v>5</v>
      </c>
      <c r="D841" s="86">
        <v>0</v>
      </c>
      <c r="E841">
        <v>3</v>
      </c>
      <c r="F841">
        <v>0</v>
      </c>
      <c r="G841">
        <v>14</v>
      </c>
      <c r="H841">
        <v>5</v>
      </c>
      <c r="I841">
        <v>0</v>
      </c>
      <c r="J841">
        <v>0.36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0</v>
      </c>
      <c r="Y841">
        <v>0</v>
      </c>
      <c r="Z841">
        <v>0</v>
      </c>
      <c r="AA841" s="86">
        <f>AVERAGEIFS($C$2:C841, $B$2:B841, B841)</f>
        <v>8.1999999999999993</v>
      </c>
      <c r="AB841" s="86">
        <f>AVERAGEIFS($I$2:I841, $B$2:B841, B841)</f>
        <v>0.495</v>
      </c>
      <c r="AC841" s="86">
        <f>AVERAGEIFS($J$2:J841, $B$2:B841, B841)</f>
        <v>0.5</v>
      </c>
      <c r="AD841" s="86">
        <f>AVERAGEIFS($D$2:D841, $B$2:B841, B841)</f>
        <v>0.6</v>
      </c>
    </row>
    <row r="842" spans="1:30" x14ac:dyDescent="0.25">
      <c r="A842" s="85">
        <v>46144</v>
      </c>
      <c r="B842" t="s">
        <v>139</v>
      </c>
      <c r="C842">
        <v>3</v>
      </c>
      <c r="D842" s="86">
        <v>0</v>
      </c>
      <c r="E842">
        <v>3</v>
      </c>
      <c r="F842">
        <v>0</v>
      </c>
      <c r="G842">
        <v>14</v>
      </c>
      <c r="H842">
        <v>5</v>
      </c>
      <c r="I842">
        <v>0</v>
      </c>
      <c r="J842">
        <v>0.36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 s="86">
        <f>AVERAGEIFS($C$2:C842, $B$2:B842, B842)</f>
        <v>10.647058823529411</v>
      </c>
      <c r="AB842" s="86">
        <f>AVERAGEIFS($I$2:I842, $B$2:B842, B842)</f>
        <v>0.54705882352941171</v>
      </c>
      <c r="AC842" s="86">
        <f>AVERAGEIFS($J$2:J842, $B$2:B842, B842)</f>
        <v>0.53470588235294103</v>
      </c>
      <c r="AD842" s="86">
        <f>AVERAGEIFS($D$2:D842, $B$2:B842, B842)</f>
        <v>0.6470588235294118</v>
      </c>
    </row>
    <row r="843" spans="1:30" x14ac:dyDescent="0.25">
      <c r="A843" s="85">
        <v>46144</v>
      </c>
      <c r="B843" t="s">
        <v>6</v>
      </c>
      <c r="C843">
        <v>20</v>
      </c>
      <c r="D843" s="86">
        <v>1</v>
      </c>
      <c r="E843">
        <v>4</v>
      </c>
      <c r="F843">
        <v>3</v>
      </c>
      <c r="G843">
        <v>16</v>
      </c>
      <c r="H843">
        <v>11</v>
      </c>
      <c r="I843">
        <v>0.75</v>
      </c>
      <c r="J843">
        <v>0.69</v>
      </c>
      <c r="K843">
        <v>0</v>
      </c>
      <c r="L843">
        <v>0</v>
      </c>
      <c r="M843">
        <v>1</v>
      </c>
      <c r="N843">
        <v>0</v>
      </c>
      <c r="O843">
        <v>0</v>
      </c>
      <c r="P843">
        <v>1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1</v>
      </c>
      <c r="Z843">
        <v>0</v>
      </c>
      <c r="AA843" s="86">
        <f>AVERAGEIFS($C$2:C843, $B$2:B843, B843)</f>
        <v>23.444444444444443</v>
      </c>
      <c r="AB843" s="86">
        <f>AVERAGEIFS($I$2:I843, $B$2:B843, B843)</f>
        <v>0.63703703703703696</v>
      </c>
      <c r="AC843" s="86">
        <f>AVERAGEIFS($J$2:J843, $B$2:B843, B843)</f>
        <v>0.56370370370370371</v>
      </c>
      <c r="AD843" s="86">
        <f>AVERAGEIFS($D$2:D843, $B$2:B843, B843)</f>
        <v>0.70370370370370372</v>
      </c>
    </row>
    <row r="844" spans="1:30" x14ac:dyDescent="0.25">
      <c r="A844" s="85">
        <v>46144</v>
      </c>
      <c r="B844" t="s">
        <v>44</v>
      </c>
      <c r="C844">
        <v>16</v>
      </c>
      <c r="D844" s="86">
        <v>1</v>
      </c>
      <c r="E844">
        <v>4</v>
      </c>
      <c r="F844">
        <v>3</v>
      </c>
      <c r="G844">
        <v>16</v>
      </c>
      <c r="H844">
        <v>11</v>
      </c>
      <c r="I844">
        <v>0.75</v>
      </c>
      <c r="J844">
        <v>0.69</v>
      </c>
      <c r="K844">
        <v>0</v>
      </c>
      <c r="L844">
        <v>0</v>
      </c>
      <c r="M844">
        <v>1</v>
      </c>
      <c r="N844">
        <v>0</v>
      </c>
      <c r="O844">
        <v>0</v>
      </c>
      <c r="P844">
        <v>1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1</v>
      </c>
      <c r="Z844">
        <v>0</v>
      </c>
      <c r="AA844" s="86">
        <f>AVERAGEIFS($C$2:C844, $B$2:B844, B844)</f>
        <v>16</v>
      </c>
      <c r="AB844" s="86">
        <f>AVERAGEIFS($I$2:I844, $B$2:B844, B844)</f>
        <v>0.82500000000000007</v>
      </c>
      <c r="AC844" s="86">
        <f>AVERAGEIFS($J$2:J844, $B$2:B844, B844)</f>
        <v>0.64333333333333331</v>
      </c>
      <c r="AD844" s="86">
        <f>AVERAGEIFS($D$2:D844, $B$2:B844, B844)</f>
        <v>1</v>
      </c>
    </row>
    <row r="845" spans="1:30" x14ac:dyDescent="0.25">
      <c r="A845" s="85">
        <v>46144</v>
      </c>
      <c r="B845" t="s">
        <v>40</v>
      </c>
      <c r="C845">
        <v>25</v>
      </c>
      <c r="D845" s="86">
        <v>1</v>
      </c>
      <c r="E845">
        <v>4</v>
      </c>
      <c r="F845">
        <v>3</v>
      </c>
      <c r="G845">
        <v>16</v>
      </c>
      <c r="H845">
        <v>11</v>
      </c>
      <c r="I845">
        <v>0.75</v>
      </c>
      <c r="J845">
        <v>0.69</v>
      </c>
      <c r="K845">
        <v>0</v>
      </c>
      <c r="L845">
        <v>0</v>
      </c>
      <c r="M845">
        <v>1</v>
      </c>
      <c r="N845">
        <v>0</v>
      </c>
      <c r="O845">
        <v>0</v>
      </c>
      <c r="P845">
        <v>1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1</v>
      </c>
      <c r="Z845">
        <v>0</v>
      </c>
      <c r="AA845" s="86">
        <f>AVERAGEIFS($C$2:C845, $B$2:B845, B845)</f>
        <v>18</v>
      </c>
      <c r="AB845" s="86">
        <f>AVERAGEIFS($I$2:I845, $B$2:B845, B845)</f>
        <v>0.4466666666666666</v>
      </c>
      <c r="AC845" s="86">
        <f>AVERAGEIFS($J$2:J845, $B$2:B845, B845)</f>
        <v>0.45</v>
      </c>
      <c r="AD845" s="86">
        <f>AVERAGEIFS($D$2:D845, $B$2:B845, B845)</f>
        <v>0.33333333333333331</v>
      </c>
    </row>
    <row r="846" spans="1:30" x14ac:dyDescent="0.25">
      <c r="A846" s="85">
        <v>46144</v>
      </c>
      <c r="B846" t="s">
        <v>147</v>
      </c>
      <c r="C846">
        <v>16</v>
      </c>
      <c r="D846" s="86">
        <v>1</v>
      </c>
      <c r="E846">
        <v>4</v>
      </c>
      <c r="F846">
        <v>3</v>
      </c>
      <c r="G846">
        <v>16</v>
      </c>
      <c r="H846">
        <v>11</v>
      </c>
      <c r="I846">
        <v>0.75</v>
      </c>
      <c r="J846">
        <v>0.69</v>
      </c>
      <c r="K846">
        <v>0</v>
      </c>
      <c r="L846">
        <v>0</v>
      </c>
      <c r="M846">
        <v>1</v>
      </c>
      <c r="N846">
        <v>0</v>
      </c>
      <c r="O846">
        <v>0</v>
      </c>
      <c r="P846">
        <v>1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1</v>
      </c>
      <c r="Z846">
        <v>0</v>
      </c>
      <c r="AA846" s="86">
        <f>AVERAGEIFS($C$2:C846, $B$2:B846, B846)</f>
        <v>17.100000000000001</v>
      </c>
      <c r="AB846" s="86">
        <f>AVERAGEIFS($I$2:I846, $B$2:B846, B846)</f>
        <v>0.33500000000000002</v>
      </c>
      <c r="AC846" s="86">
        <f>AVERAGEIFS($J$2:J846, $B$2:B846, B846)</f>
        <v>0.42800000000000005</v>
      </c>
      <c r="AD846" s="86">
        <f>AVERAGEIFS($D$2:D846, $B$2:B846, B846)</f>
        <v>0.2</v>
      </c>
    </row>
    <row r="847" spans="1:30" x14ac:dyDescent="0.25">
      <c r="A847" s="85">
        <v>46144</v>
      </c>
      <c r="B847" t="s">
        <v>140</v>
      </c>
      <c r="C847">
        <v>11</v>
      </c>
      <c r="D847" s="86">
        <v>1</v>
      </c>
      <c r="E847">
        <v>4</v>
      </c>
      <c r="F847">
        <v>3</v>
      </c>
      <c r="G847">
        <v>16</v>
      </c>
      <c r="H847">
        <v>11</v>
      </c>
      <c r="I847">
        <v>0.75</v>
      </c>
      <c r="J847">
        <v>0.69</v>
      </c>
      <c r="K847">
        <v>0</v>
      </c>
      <c r="L847">
        <v>0</v>
      </c>
      <c r="M847">
        <v>1</v>
      </c>
      <c r="N847">
        <v>0</v>
      </c>
      <c r="O847">
        <v>0</v>
      </c>
      <c r="P847">
        <v>1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1</v>
      </c>
      <c r="Z847">
        <v>0</v>
      </c>
      <c r="AA847" s="86">
        <f>AVERAGEIFS($C$2:C847, $B$2:B847, B847)</f>
        <v>8.454545454545455</v>
      </c>
      <c r="AB847" s="86">
        <f>AVERAGEIFS($I$2:I847, $B$2:B847, B847)</f>
        <v>0.51818181818181819</v>
      </c>
      <c r="AC847" s="86">
        <f>AVERAGEIFS($J$2:J847, $B$2:B847, B847)</f>
        <v>0.51727272727272722</v>
      </c>
      <c r="AD847" s="86">
        <f>AVERAGEIFS($D$2:D847, $B$2:B847, B847)</f>
        <v>0.63636363636363635</v>
      </c>
    </row>
    <row r="848" spans="1:30" x14ac:dyDescent="0.25">
      <c r="A848" s="85">
        <v>46144</v>
      </c>
      <c r="B848" t="s">
        <v>5</v>
      </c>
      <c r="C848">
        <v>22</v>
      </c>
      <c r="D848" s="86">
        <v>1</v>
      </c>
      <c r="E848">
        <v>4</v>
      </c>
      <c r="F848">
        <v>3</v>
      </c>
      <c r="G848">
        <v>16</v>
      </c>
      <c r="H848">
        <v>11</v>
      </c>
      <c r="I848">
        <v>0.75</v>
      </c>
      <c r="J848">
        <v>0.69</v>
      </c>
      <c r="K848">
        <v>0</v>
      </c>
      <c r="L848">
        <v>0</v>
      </c>
      <c r="M848">
        <v>1</v>
      </c>
      <c r="N848">
        <v>0</v>
      </c>
      <c r="O848">
        <v>0</v>
      </c>
      <c r="P848">
        <v>1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1</v>
      </c>
      <c r="Z848">
        <v>0</v>
      </c>
      <c r="AA848" s="86">
        <f>AVERAGEIFS($C$2:C848, $B$2:B848, B848)</f>
        <v>25.176470588235293</v>
      </c>
      <c r="AB848" s="86">
        <f>AVERAGEIFS($I$2:I848, $B$2:B848, B848)</f>
        <v>0.48823529411764699</v>
      </c>
      <c r="AC848" s="86">
        <f>AVERAGEIFS($J$2:J848, $B$2:B848, B848)</f>
        <v>0.49176470588235288</v>
      </c>
      <c r="AD848" s="86">
        <f>AVERAGEIFS($D$2:D848, $B$2:B848, B848)</f>
        <v>0.52941176470588236</v>
      </c>
    </row>
    <row r="849" spans="1:30" x14ac:dyDescent="0.25">
      <c r="A849" s="85">
        <v>46144</v>
      </c>
      <c r="B849" t="s">
        <v>150</v>
      </c>
      <c r="C849">
        <v>22</v>
      </c>
      <c r="D849" s="86">
        <v>1</v>
      </c>
      <c r="E849">
        <v>4</v>
      </c>
      <c r="F849">
        <v>3</v>
      </c>
      <c r="G849">
        <v>16</v>
      </c>
      <c r="H849">
        <v>11</v>
      </c>
      <c r="I849">
        <v>0.75</v>
      </c>
      <c r="J849">
        <v>0.69</v>
      </c>
      <c r="K849">
        <v>0</v>
      </c>
      <c r="L849">
        <v>0</v>
      </c>
      <c r="M849">
        <v>1</v>
      </c>
      <c r="N849">
        <v>0</v>
      </c>
      <c r="O849">
        <v>0</v>
      </c>
      <c r="P849">
        <v>1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1</v>
      </c>
      <c r="Z849">
        <v>0</v>
      </c>
      <c r="AA849" s="86">
        <f>AVERAGEIFS($C$2:C849, $B$2:B849, B849)</f>
        <v>18.555555555555557</v>
      </c>
      <c r="AB849" s="86">
        <f>AVERAGEIFS($I$2:I849, $B$2:B849, B849)</f>
        <v>0.73333333333333328</v>
      </c>
      <c r="AC849" s="86">
        <f>AVERAGEIFS($J$2:J849, $B$2:B849, B849)</f>
        <v>0.65444444444444427</v>
      </c>
      <c r="AD849" s="86">
        <f>AVERAGEIFS($D$2:D849, $B$2:B849, B849)</f>
        <v>0.88888888888888884</v>
      </c>
    </row>
    <row r="850" spans="1:30" x14ac:dyDescent="0.25">
      <c r="A850" s="85">
        <v>46144</v>
      </c>
      <c r="B850" t="s">
        <v>113</v>
      </c>
      <c r="C850">
        <v>4</v>
      </c>
      <c r="D850" s="86">
        <v>1</v>
      </c>
      <c r="E850">
        <v>4</v>
      </c>
      <c r="F850">
        <v>3</v>
      </c>
      <c r="G850">
        <v>16</v>
      </c>
      <c r="H850">
        <v>11</v>
      </c>
      <c r="I850">
        <v>0.75</v>
      </c>
      <c r="J850">
        <v>0.69</v>
      </c>
      <c r="K850">
        <v>0</v>
      </c>
      <c r="L850">
        <v>0</v>
      </c>
      <c r="M850">
        <v>1</v>
      </c>
      <c r="N850">
        <v>0</v>
      </c>
      <c r="O850">
        <v>0</v>
      </c>
      <c r="P850">
        <v>1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1</v>
      </c>
      <c r="Z850">
        <v>0</v>
      </c>
      <c r="AA850" s="86">
        <f>AVERAGEIFS($C$2:C850, $B$2:B850, B850)</f>
        <v>18.416666666666668</v>
      </c>
      <c r="AB850" s="86">
        <f>AVERAGEIFS($I$2:I850, $B$2:B850, B850)</f>
        <v>0.65416666666666667</v>
      </c>
      <c r="AC850" s="86">
        <f>AVERAGEIFS($J$2:J850, $B$2:B850, B850)</f>
        <v>0.55499999999999983</v>
      </c>
      <c r="AD850" s="86">
        <f>AVERAGEIFS($D$2:D850, $B$2:B850, B850)</f>
        <v>0.75</v>
      </c>
    </row>
    <row r="851" spans="1:30" x14ac:dyDescent="0.25">
      <c r="A851" s="85">
        <v>46144</v>
      </c>
      <c r="B851" t="s">
        <v>17</v>
      </c>
      <c r="C851">
        <v>7</v>
      </c>
      <c r="D851" s="86">
        <v>0</v>
      </c>
      <c r="E851">
        <v>4</v>
      </c>
      <c r="F851">
        <v>1</v>
      </c>
      <c r="G851">
        <v>16</v>
      </c>
      <c r="H851">
        <v>5</v>
      </c>
      <c r="I851">
        <v>0.25</v>
      </c>
      <c r="J851">
        <v>0.31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1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 s="86">
        <f>AVERAGEIFS($C$2:C851, $B$2:B851, B851)</f>
        <v>25.607843137254903</v>
      </c>
      <c r="AB851" s="86">
        <f>AVERAGEIFS($I$2:I851, $B$2:B851, B851)</f>
        <v>0.4950980392156864</v>
      </c>
      <c r="AC851" s="86">
        <f>AVERAGEIFS($J$2:J851, $B$2:B851, B851)</f>
        <v>0.50882352941176456</v>
      </c>
      <c r="AD851" s="86">
        <f>AVERAGEIFS($D$2:D851, $B$2:B851, B851)</f>
        <v>0.43137254901960786</v>
      </c>
    </row>
    <row r="852" spans="1:30" x14ac:dyDescent="0.25">
      <c r="A852" s="85">
        <v>46144</v>
      </c>
      <c r="B852" t="s">
        <v>13</v>
      </c>
      <c r="C852">
        <v>19</v>
      </c>
      <c r="D852" s="86">
        <v>0</v>
      </c>
      <c r="E852">
        <v>4</v>
      </c>
      <c r="F852">
        <v>1</v>
      </c>
      <c r="G852">
        <v>16</v>
      </c>
      <c r="H852">
        <v>5</v>
      </c>
      <c r="I852">
        <v>0.25</v>
      </c>
      <c r="J852">
        <v>0.31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1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 s="86">
        <f>AVERAGEIFS($C$2:C852, $B$2:B852, B852)</f>
        <v>26.706896551724139</v>
      </c>
      <c r="AB852" s="86">
        <f>AVERAGEIFS($I$2:I852, $B$2:B852, B852)</f>
        <v>0.56637931034482758</v>
      </c>
      <c r="AC852" s="86">
        <f>AVERAGEIFS($J$2:J852, $B$2:B852, B852)</f>
        <v>0.54293103448275848</v>
      </c>
      <c r="AD852" s="86">
        <f>AVERAGEIFS($D$2:D852, $B$2:B852, B852)</f>
        <v>0.62068965517241381</v>
      </c>
    </row>
    <row r="853" spans="1:30" x14ac:dyDescent="0.25">
      <c r="A853" s="85">
        <v>46144</v>
      </c>
      <c r="B853" t="s">
        <v>141</v>
      </c>
      <c r="C853">
        <v>24</v>
      </c>
      <c r="D853" s="86">
        <v>0</v>
      </c>
      <c r="E853">
        <v>4</v>
      </c>
      <c r="F853">
        <v>1</v>
      </c>
      <c r="G853">
        <v>16</v>
      </c>
      <c r="H853">
        <v>5</v>
      </c>
      <c r="I853">
        <v>0.25</v>
      </c>
      <c r="J853">
        <v>0.31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1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 s="86">
        <f>AVERAGEIFS($C$2:C853, $B$2:B853, B853)</f>
        <v>18.75</v>
      </c>
      <c r="AB853" s="86">
        <f>AVERAGEIFS($I$2:I853, $B$2:B853, B853)</f>
        <v>0.51249999999999996</v>
      </c>
      <c r="AC853" s="86">
        <f>AVERAGEIFS($J$2:J853, $B$2:B853, B853)</f>
        <v>0.46499999999999997</v>
      </c>
      <c r="AD853" s="86">
        <f>AVERAGEIFS($D$2:D853, $B$2:B853, B853)</f>
        <v>0.25</v>
      </c>
    </row>
    <row r="854" spans="1:30" x14ac:dyDescent="0.25">
      <c r="A854" s="85">
        <v>46144</v>
      </c>
      <c r="B854" t="s">
        <v>155</v>
      </c>
      <c r="C854">
        <v>13</v>
      </c>
      <c r="D854" s="86">
        <v>0</v>
      </c>
      <c r="E854">
        <v>4</v>
      </c>
      <c r="F854">
        <v>1</v>
      </c>
      <c r="G854">
        <v>16</v>
      </c>
      <c r="H854">
        <v>5</v>
      </c>
      <c r="I854">
        <v>0.25</v>
      </c>
      <c r="J854">
        <v>0.31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1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0</v>
      </c>
      <c r="AA854" s="86">
        <f>AVERAGEIFS($C$2:C854, $B$2:B854, B854)</f>
        <v>17.047619047619047</v>
      </c>
      <c r="AB854" s="86">
        <f>AVERAGEIFS($I$2:I854, $B$2:B854, B854)</f>
        <v>0.3571428571428571</v>
      </c>
      <c r="AC854" s="86">
        <f>AVERAGEIFS($J$2:J854, $B$2:B854, B854)</f>
        <v>0.44523809523809521</v>
      </c>
      <c r="AD854" s="86">
        <f>AVERAGEIFS($D$2:D854, $B$2:B854, B854)</f>
        <v>0.2857142857142857</v>
      </c>
    </row>
    <row r="855" spans="1:30" x14ac:dyDescent="0.25">
      <c r="A855" s="85">
        <v>46144</v>
      </c>
      <c r="B855" t="s">
        <v>148</v>
      </c>
      <c r="C855">
        <v>11</v>
      </c>
      <c r="D855" s="86">
        <v>0</v>
      </c>
      <c r="E855">
        <v>4</v>
      </c>
      <c r="F855">
        <v>1</v>
      </c>
      <c r="G855">
        <v>16</v>
      </c>
      <c r="H855">
        <v>5</v>
      </c>
      <c r="I855">
        <v>0.25</v>
      </c>
      <c r="J855">
        <v>0.31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1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0</v>
      </c>
      <c r="AA855" s="86">
        <f>AVERAGEIFS($C$2:C855, $B$2:B855, B855)</f>
        <v>13.142857142857142</v>
      </c>
      <c r="AB855" s="86">
        <f>AVERAGEIFS($I$2:I855, $B$2:B855, B855)</f>
        <v>0.54999999999999993</v>
      </c>
      <c r="AC855" s="86">
        <f>AVERAGEIFS($J$2:J855, $B$2:B855, B855)</f>
        <v>0.52035714285714296</v>
      </c>
      <c r="AD855" s="86">
        <f>AVERAGEIFS($D$2:D855, $B$2:B855, B855)</f>
        <v>0.5714285714285714</v>
      </c>
    </row>
    <row r="856" spans="1:30" x14ac:dyDescent="0.25">
      <c r="A856" s="85">
        <v>46144</v>
      </c>
      <c r="B856" t="s">
        <v>37</v>
      </c>
      <c r="C856">
        <v>19</v>
      </c>
      <c r="D856" s="86">
        <v>0</v>
      </c>
      <c r="E856">
        <v>4</v>
      </c>
      <c r="F856">
        <v>1</v>
      </c>
      <c r="G856">
        <v>16</v>
      </c>
      <c r="H856">
        <v>5</v>
      </c>
      <c r="I856">
        <v>0.25</v>
      </c>
      <c r="J856">
        <v>0.31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1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0</v>
      </c>
      <c r="AA856" s="86">
        <f>AVERAGEIFS($C$2:C856, $B$2:B856, B856)</f>
        <v>19.37037037037037</v>
      </c>
      <c r="AB856" s="86">
        <f>AVERAGEIFS($I$2:I856, $B$2:B856, B856)</f>
        <v>0.42777777777777776</v>
      </c>
      <c r="AC856" s="86">
        <f>AVERAGEIFS($J$2:J856, $B$2:B856, B856)</f>
        <v>0.45333333333333337</v>
      </c>
      <c r="AD856" s="86">
        <f>AVERAGEIFS($D$2:D856, $B$2:B856, B856)</f>
        <v>0.44444444444444442</v>
      </c>
    </row>
    <row r="857" spans="1:30" x14ac:dyDescent="0.25">
      <c r="A857" s="85">
        <v>46144</v>
      </c>
      <c r="B857" t="s">
        <v>35</v>
      </c>
      <c r="C857">
        <v>13</v>
      </c>
      <c r="D857" s="86">
        <v>0</v>
      </c>
      <c r="E857">
        <v>4</v>
      </c>
      <c r="F857">
        <v>1</v>
      </c>
      <c r="G857">
        <v>16</v>
      </c>
      <c r="H857">
        <v>5</v>
      </c>
      <c r="I857">
        <v>0.25</v>
      </c>
      <c r="J857">
        <v>0.31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1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0</v>
      </c>
      <c r="AA857" s="86">
        <f>AVERAGEIFS($C$2:C857, $B$2:B857, B857)</f>
        <v>12.551724137931034</v>
      </c>
      <c r="AB857" s="86">
        <f>AVERAGEIFS($I$2:I857, $B$2:B857, B857)</f>
        <v>0.45517241379310341</v>
      </c>
      <c r="AC857" s="86">
        <f>AVERAGEIFS($J$2:J857, $B$2:B857, B857)</f>
        <v>0.47241379310344839</v>
      </c>
      <c r="AD857" s="86">
        <f>AVERAGEIFS($D$2:D857, $B$2:B857, B857)</f>
        <v>0.55172413793103448</v>
      </c>
    </row>
    <row r="858" spans="1:30" x14ac:dyDescent="0.25">
      <c r="A858" s="85">
        <v>46144</v>
      </c>
      <c r="B858" t="s">
        <v>179</v>
      </c>
      <c r="C858">
        <v>19</v>
      </c>
      <c r="D858" s="86">
        <v>0</v>
      </c>
      <c r="E858">
        <v>4</v>
      </c>
      <c r="F858">
        <v>1</v>
      </c>
      <c r="G858">
        <v>16</v>
      </c>
      <c r="H858">
        <v>5</v>
      </c>
      <c r="I858">
        <v>0.25</v>
      </c>
      <c r="J858">
        <v>0.31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1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0</v>
      </c>
      <c r="AA858" s="86">
        <f>AVERAGEIFS($C$2:C858, $B$2:B858, B858)</f>
        <v>13.5</v>
      </c>
      <c r="AB858" s="86">
        <f>AVERAGEIFS($I$2:I858, $B$2:B858, B858)</f>
        <v>0.625</v>
      </c>
      <c r="AC858" s="86">
        <f>AVERAGEIFS($J$2:J858, $B$2:B858, B858)</f>
        <v>0.47499999999999998</v>
      </c>
      <c r="AD858" s="86">
        <f>AVERAGEIFS($D$2:D858, $B$2:B858, B858)</f>
        <v>0.5</v>
      </c>
    </row>
    <row r="859" spans="1:30" x14ac:dyDescent="0.25">
      <c r="A859" s="85">
        <v>46145</v>
      </c>
      <c r="B859" t="s">
        <v>13</v>
      </c>
      <c r="C859">
        <v>28</v>
      </c>
      <c r="D859" s="86">
        <v>0</v>
      </c>
      <c r="E859">
        <v>4</v>
      </c>
      <c r="F859">
        <v>1</v>
      </c>
      <c r="G859">
        <v>19</v>
      </c>
      <c r="H859">
        <v>8</v>
      </c>
      <c r="I859">
        <v>0.25</v>
      </c>
      <c r="J859">
        <v>0.42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1</v>
      </c>
      <c r="Z859">
        <v>0</v>
      </c>
      <c r="AA859" s="86">
        <f>AVERAGEIFS($C$2:C859, $B$2:B859, B859)</f>
        <v>26.728813559322035</v>
      </c>
      <c r="AB859" s="86">
        <f>AVERAGEIFS($I$2:I859, $B$2:B859, B859)</f>
        <v>0.56101694915254241</v>
      </c>
      <c r="AC859" s="86">
        <f>AVERAGEIFS($J$2:J859, $B$2:B859, B859)</f>
        <v>0.54084745762711861</v>
      </c>
      <c r="AD859" s="86">
        <f>AVERAGEIFS($D$2:D859, $B$2:B859, B859)</f>
        <v>0.61016949152542377</v>
      </c>
    </row>
    <row r="860" spans="1:30" x14ac:dyDescent="0.25">
      <c r="A860" s="85">
        <v>46145</v>
      </c>
      <c r="B860" t="s">
        <v>37</v>
      </c>
      <c r="C860">
        <v>35</v>
      </c>
      <c r="D860" s="86">
        <v>0</v>
      </c>
      <c r="E860">
        <v>4</v>
      </c>
      <c r="F860">
        <v>1</v>
      </c>
      <c r="G860">
        <v>19</v>
      </c>
      <c r="H860">
        <v>8</v>
      </c>
      <c r="I860">
        <v>0.25</v>
      </c>
      <c r="J860">
        <v>0.42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1</v>
      </c>
      <c r="Z860">
        <v>0</v>
      </c>
      <c r="AA860" s="86">
        <f>AVERAGEIFS($C$2:C860, $B$2:B860, B860)</f>
        <v>19.928571428571427</v>
      </c>
      <c r="AB860" s="86">
        <f>AVERAGEIFS($I$2:I860, $B$2:B860, B860)</f>
        <v>0.42142857142857137</v>
      </c>
      <c r="AC860" s="86">
        <f>AVERAGEIFS($J$2:J860, $B$2:B860, B860)</f>
        <v>0.45214285714285712</v>
      </c>
      <c r="AD860" s="86">
        <f>AVERAGEIFS($D$2:D860, $B$2:B860, B860)</f>
        <v>0.42857142857142855</v>
      </c>
    </row>
    <row r="861" spans="1:30" x14ac:dyDescent="0.25">
      <c r="A861" s="85">
        <v>46145</v>
      </c>
      <c r="B861" t="s">
        <v>141</v>
      </c>
      <c r="C861">
        <v>16</v>
      </c>
      <c r="D861" s="86">
        <v>0</v>
      </c>
      <c r="E861">
        <v>4</v>
      </c>
      <c r="F861">
        <v>1</v>
      </c>
      <c r="G861">
        <v>19</v>
      </c>
      <c r="H861">
        <v>8</v>
      </c>
      <c r="I861">
        <v>0.25</v>
      </c>
      <c r="J861">
        <v>0.42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1</v>
      </c>
      <c r="Z861">
        <v>0</v>
      </c>
      <c r="AA861" s="86">
        <f>AVERAGEIFS($C$2:C861, $B$2:B861, B861)</f>
        <v>18.2</v>
      </c>
      <c r="AB861" s="86">
        <f>AVERAGEIFS($I$2:I861, $B$2:B861, B861)</f>
        <v>0.45999999999999996</v>
      </c>
      <c r="AC861" s="86">
        <f>AVERAGEIFS($J$2:J861, $B$2:B861, B861)</f>
        <v>0.45599999999999996</v>
      </c>
      <c r="AD861" s="86">
        <f>AVERAGEIFS($D$2:D861, $B$2:B861, B861)</f>
        <v>0.2</v>
      </c>
    </row>
    <row r="862" spans="1:30" x14ac:dyDescent="0.25">
      <c r="A862" s="85">
        <v>46145</v>
      </c>
      <c r="B862" t="s">
        <v>155</v>
      </c>
      <c r="C862">
        <v>20</v>
      </c>
      <c r="D862" s="86">
        <v>0</v>
      </c>
      <c r="E862">
        <v>4</v>
      </c>
      <c r="F862">
        <v>1</v>
      </c>
      <c r="G862">
        <v>19</v>
      </c>
      <c r="H862">
        <v>8</v>
      </c>
      <c r="I862">
        <v>0.25</v>
      </c>
      <c r="J862">
        <v>0.42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1</v>
      </c>
      <c r="Z862">
        <v>0</v>
      </c>
      <c r="AA862" s="86">
        <f>AVERAGEIFS($C$2:C862, $B$2:B862, B862)</f>
        <v>17.181818181818183</v>
      </c>
      <c r="AB862" s="86">
        <f>AVERAGEIFS($I$2:I862, $B$2:B862, B862)</f>
        <v>0.35227272727272724</v>
      </c>
      <c r="AC862" s="86">
        <f>AVERAGEIFS($J$2:J862, $B$2:B862, B862)</f>
        <v>0.44409090909090909</v>
      </c>
      <c r="AD862" s="86">
        <f>AVERAGEIFS($D$2:D862, $B$2:B862, B862)</f>
        <v>0.27272727272727271</v>
      </c>
    </row>
    <row r="863" spans="1:30" x14ac:dyDescent="0.25">
      <c r="A863" s="85">
        <v>46145</v>
      </c>
      <c r="B863" t="s">
        <v>161</v>
      </c>
      <c r="C863">
        <v>16</v>
      </c>
      <c r="D863" s="86">
        <v>0</v>
      </c>
      <c r="E863">
        <v>4</v>
      </c>
      <c r="F863">
        <v>1</v>
      </c>
      <c r="G863">
        <v>19</v>
      </c>
      <c r="H863">
        <v>8</v>
      </c>
      <c r="I863">
        <v>0.25</v>
      </c>
      <c r="J863">
        <v>0.42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1</v>
      </c>
      <c r="Z863">
        <v>0</v>
      </c>
      <c r="AA863" s="86">
        <f>AVERAGEIFS($C$2:C863, $B$2:B863, B863)</f>
        <v>15.5</v>
      </c>
      <c r="AB863" s="86">
        <f>AVERAGEIFS($I$2:I863, $B$2:B863, B863)</f>
        <v>0.25</v>
      </c>
      <c r="AC863" s="86">
        <f>AVERAGEIFS($J$2:J863, $B$2:B863, B863)</f>
        <v>0.42</v>
      </c>
      <c r="AD863" s="86">
        <f>AVERAGEIFS($D$2:D863, $B$2:B863, B863)</f>
        <v>0</v>
      </c>
    </row>
    <row r="864" spans="1:30" x14ac:dyDescent="0.25">
      <c r="A864" s="85">
        <v>46145</v>
      </c>
      <c r="B864" t="s">
        <v>26</v>
      </c>
      <c r="C864">
        <v>29</v>
      </c>
      <c r="D864" s="86">
        <v>0</v>
      </c>
      <c r="E864">
        <v>4</v>
      </c>
      <c r="F864">
        <v>1</v>
      </c>
      <c r="G864">
        <v>19</v>
      </c>
      <c r="H864">
        <v>8</v>
      </c>
      <c r="I864">
        <v>0.25</v>
      </c>
      <c r="J864">
        <v>0.42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1</v>
      </c>
      <c r="Z864">
        <v>0</v>
      </c>
      <c r="AA864" s="86">
        <f>AVERAGEIFS($C$2:C864, $B$2:B864, B864)</f>
        <v>13.787878787878787</v>
      </c>
      <c r="AB864" s="86">
        <f>AVERAGEIFS($I$2:I864, $B$2:B864, B864)</f>
        <v>0.61666666666666659</v>
      </c>
      <c r="AC864" s="86">
        <f>AVERAGEIFS($J$2:J864, $B$2:B864, B864)</f>
        <v>0.5542424242424242</v>
      </c>
      <c r="AD864" s="86">
        <f>AVERAGEIFS($D$2:D864, $B$2:B864, B864)</f>
        <v>0.66666666666666663</v>
      </c>
    </row>
    <row r="865" spans="1:30" x14ac:dyDescent="0.25">
      <c r="A865" s="85">
        <v>46145</v>
      </c>
      <c r="B865" t="s">
        <v>29</v>
      </c>
      <c r="C865">
        <v>13</v>
      </c>
      <c r="D865" s="86">
        <v>0</v>
      </c>
      <c r="E865">
        <v>4</v>
      </c>
      <c r="F865">
        <v>1</v>
      </c>
      <c r="G865">
        <v>19</v>
      </c>
      <c r="H865">
        <v>8</v>
      </c>
      <c r="I865">
        <v>0.25</v>
      </c>
      <c r="J865">
        <v>0.42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1</v>
      </c>
      <c r="Z865">
        <v>0</v>
      </c>
      <c r="AA865" s="86">
        <f>AVERAGEIFS($C$2:C865, $B$2:B865, B865)</f>
        <v>10.8</v>
      </c>
      <c r="AB865" s="86">
        <f>AVERAGEIFS($I$2:I865, $B$2:B865, B865)</f>
        <v>0.45222222222222225</v>
      </c>
      <c r="AC865" s="86">
        <f>AVERAGEIFS($J$2:J865, $B$2:B865, B865)</f>
        <v>0.49088888888888887</v>
      </c>
      <c r="AD865" s="86">
        <f>AVERAGEIFS($D$2:D865, $B$2:B865, B865)</f>
        <v>0.42222222222222222</v>
      </c>
    </row>
    <row r="866" spans="1:30" x14ac:dyDescent="0.25">
      <c r="A866" s="85">
        <v>46145</v>
      </c>
      <c r="B866" t="s">
        <v>140</v>
      </c>
      <c r="C866">
        <v>17</v>
      </c>
      <c r="D866" s="86">
        <v>0</v>
      </c>
      <c r="E866">
        <v>4</v>
      </c>
      <c r="F866">
        <v>1</v>
      </c>
      <c r="G866">
        <v>19</v>
      </c>
      <c r="H866">
        <v>8</v>
      </c>
      <c r="I866">
        <v>0.25</v>
      </c>
      <c r="J866">
        <v>0.42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1</v>
      </c>
      <c r="Z866">
        <v>0</v>
      </c>
      <c r="AA866" s="86">
        <f>AVERAGEIFS($C$2:C866, $B$2:B866, B866)</f>
        <v>9.1666666666666661</v>
      </c>
      <c r="AB866" s="86">
        <f>AVERAGEIFS($I$2:I866, $B$2:B866, B866)</f>
        <v>0.49583333333333335</v>
      </c>
      <c r="AC866" s="86">
        <f>AVERAGEIFS($J$2:J866, $B$2:B866, B866)</f>
        <v>0.50916666666666666</v>
      </c>
      <c r="AD866" s="86">
        <f>AVERAGEIFS($D$2:D866, $B$2:B866, B866)</f>
        <v>0.58333333333333337</v>
      </c>
    </row>
    <row r="867" spans="1:30" x14ac:dyDescent="0.25">
      <c r="A867" s="85">
        <v>46145</v>
      </c>
      <c r="B867" t="s">
        <v>18</v>
      </c>
      <c r="C867">
        <v>39</v>
      </c>
      <c r="D867" s="86">
        <v>1</v>
      </c>
      <c r="E867">
        <v>4</v>
      </c>
      <c r="F867">
        <v>3</v>
      </c>
      <c r="G867">
        <v>19</v>
      </c>
      <c r="H867">
        <v>11</v>
      </c>
      <c r="I867">
        <v>0.75</v>
      </c>
      <c r="J867">
        <v>0.57999999999999996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1</v>
      </c>
      <c r="R867">
        <v>1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1</v>
      </c>
      <c r="AA867" s="86">
        <f>AVERAGEIFS($C$2:C867, $B$2:B867, B867)</f>
        <v>27.03448275862069</v>
      </c>
      <c r="AB867" s="86">
        <f>AVERAGEIFS($I$2:I867, $B$2:B867, B867)</f>
        <v>0.47931034482758622</v>
      </c>
      <c r="AC867" s="86">
        <f>AVERAGEIFS($J$2:J867, $B$2:B867, B867)</f>
        <v>0.48724137931034489</v>
      </c>
      <c r="AD867" s="86">
        <f>AVERAGEIFS($D$2:D867, $B$2:B867, B867)</f>
        <v>0.48275862068965519</v>
      </c>
    </row>
    <row r="868" spans="1:30" x14ac:dyDescent="0.25">
      <c r="A868" s="85">
        <v>46145</v>
      </c>
      <c r="B868" t="s">
        <v>17</v>
      </c>
      <c r="C868">
        <v>27</v>
      </c>
      <c r="D868" s="86">
        <v>1</v>
      </c>
      <c r="E868">
        <v>4</v>
      </c>
      <c r="F868">
        <v>3</v>
      </c>
      <c r="G868">
        <v>19</v>
      </c>
      <c r="H868">
        <v>11</v>
      </c>
      <c r="I868">
        <v>0.75</v>
      </c>
      <c r="J868">
        <v>0.57999999999999996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1</v>
      </c>
      <c r="R868">
        <v>1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1</v>
      </c>
      <c r="AA868" s="86">
        <f>AVERAGEIFS($C$2:C868, $B$2:B868, B868)</f>
        <v>25.634615384615383</v>
      </c>
      <c r="AB868" s="86">
        <f>AVERAGEIFS($I$2:I868, $B$2:B868, B868)</f>
        <v>0.50000000000000011</v>
      </c>
      <c r="AC868" s="86">
        <f>AVERAGEIFS($J$2:J868, $B$2:B868, B868)</f>
        <v>0.5101923076923075</v>
      </c>
      <c r="AD868" s="86">
        <f>AVERAGEIFS($D$2:D868, $B$2:B868, B868)</f>
        <v>0.44230769230769229</v>
      </c>
    </row>
    <row r="869" spans="1:30" x14ac:dyDescent="0.25">
      <c r="A869" s="85">
        <v>46145</v>
      </c>
      <c r="B869" t="s">
        <v>25</v>
      </c>
      <c r="C869">
        <v>30</v>
      </c>
      <c r="D869" s="86">
        <v>1</v>
      </c>
      <c r="E869">
        <v>4</v>
      </c>
      <c r="F869">
        <v>3</v>
      </c>
      <c r="G869">
        <v>19</v>
      </c>
      <c r="H869">
        <v>11</v>
      </c>
      <c r="I869">
        <v>0.75</v>
      </c>
      <c r="J869">
        <v>0.57999999999999996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1</v>
      </c>
      <c r="R869">
        <v>1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1</v>
      </c>
      <c r="AA869" s="86">
        <f>AVERAGEIFS($C$2:C869, $B$2:B869, B869)</f>
        <v>17.892857142857142</v>
      </c>
      <c r="AB869" s="86">
        <f>AVERAGEIFS($I$2:I869, $B$2:B869, B869)</f>
        <v>0.5892857142857143</v>
      </c>
      <c r="AC869" s="86">
        <f>AVERAGEIFS($J$2:J869, $B$2:B869, B869)</f>
        <v>0.53249999999999997</v>
      </c>
      <c r="AD869" s="86">
        <f>AVERAGEIFS($D$2:D869, $B$2:B869, B869)</f>
        <v>0.6071428571428571</v>
      </c>
    </row>
    <row r="870" spans="1:30" x14ac:dyDescent="0.25">
      <c r="A870" s="85">
        <v>46145</v>
      </c>
      <c r="B870" t="s">
        <v>152</v>
      </c>
      <c r="C870">
        <v>16</v>
      </c>
      <c r="D870" s="86">
        <v>1</v>
      </c>
      <c r="E870">
        <v>4</v>
      </c>
      <c r="F870">
        <v>3</v>
      </c>
      <c r="G870">
        <v>19</v>
      </c>
      <c r="H870">
        <v>11</v>
      </c>
      <c r="I870">
        <v>0.75</v>
      </c>
      <c r="J870">
        <v>0.57999999999999996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1</v>
      </c>
      <c r="R870">
        <v>1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1</v>
      </c>
      <c r="AA870" s="86">
        <f>AVERAGEIFS($C$2:C870, $B$2:B870, B870)</f>
        <v>15.333333333333334</v>
      </c>
      <c r="AB870" s="86">
        <f>AVERAGEIFS($I$2:I870, $B$2:B870, B870)</f>
        <v>0.25833333333333336</v>
      </c>
      <c r="AC870" s="86">
        <f>AVERAGEIFS($J$2:J870, $B$2:B870, B870)</f>
        <v>0.37833333333333335</v>
      </c>
      <c r="AD870" s="86">
        <f>AVERAGEIFS($D$2:D870, $B$2:B870, B870)</f>
        <v>0.16666666666666666</v>
      </c>
    </row>
    <row r="871" spans="1:30" x14ac:dyDescent="0.25">
      <c r="A871" s="85">
        <v>46145</v>
      </c>
      <c r="B871" t="s">
        <v>27</v>
      </c>
      <c r="C871">
        <v>22</v>
      </c>
      <c r="D871" s="86">
        <v>1</v>
      </c>
      <c r="E871">
        <v>4</v>
      </c>
      <c r="F871">
        <v>3</v>
      </c>
      <c r="G871">
        <v>19</v>
      </c>
      <c r="H871">
        <v>11</v>
      </c>
      <c r="I871">
        <v>0.75</v>
      </c>
      <c r="J871">
        <v>0.57999999999999996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1</v>
      </c>
      <c r="R871">
        <v>1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1</v>
      </c>
      <c r="AA871" s="86">
        <f>AVERAGEIFS($C$2:C871, $B$2:B871, B871)</f>
        <v>15.4</v>
      </c>
      <c r="AB871" s="86">
        <f>AVERAGEIFS($I$2:I871, $B$2:B871, B871)</f>
        <v>0.50800000000000001</v>
      </c>
      <c r="AC871" s="86">
        <f>AVERAGEIFS($J$2:J871, $B$2:B871, B871)</f>
        <v>0.50760000000000005</v>
      </c>
      <c r="AD871" s="86">
        <f>AVERAGEIFS($D$2:D871, $B$2:B871, B871)</f>
        <v>0.56000000000000005</v>
      </c>
    </row>
    <row r="872" spans="1:30" x14ac:dyDescent="0.25">
      <c r="A872" s="85">
        <v>46145</v>
      </c>
      <c r="B872" t="s">
        <v>148</v>
      </c>
      <c r="C872">
        <v>21</v>
      </c>
      <c r="D872" s="86">
        <v>1</v>
      </c>
      <c r="E872">
        <v>4</v>
      </c>
      <c r="F872">
        <v>3</v>
      </c>
      <c r="G872">
        <v>19</v>
      </c>
      <c r="H872">
        <v>11</v>
      </c>
      <c r="I872">
        <v>0.75</v>
      </c>
      <c r="J872">
        <v>0.57999999999999996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1</v>
      </c>
      <c r="R872">
        <v>1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1</v>
      </c>
      <c r="AA872" s="86">
        <f>AVERAGEIFS($C$2:C872, $B$2:B872, B872)</f>
        <v>13.413793103448276</v>
      </c>
      <c r="AB872" s="86">
        <f>AVERAGEIFS($I$2:I872, $B$2:B872, B872)</f>
        <v>0.55689655172413788</v>
      </c>
      <c r="AC872" s="86">
        <f>AVERAGEIFS($J$2:J872, $B$2:B872, B872)</f>
        <v>0.52241379310344838</v>
      </c>
      <c r="AD872" s="86">
        <f>AVERAGEIFS($D$2:D872, $B$2:B872, B872)</f>
        <v>0.58620689655172409</v>
      </c>
    </row>
    <row r="873" spans="1:30" x14ac:dyDescent="0.25">
      <c r="A873" s="85">
        <v>46145</v>
      </c>
      <c r="B873" t="s">
        <v>55</v>
      </c>
      <c r="C873">
        <v>17</v>
      </c>
      <c r="D873" s="86">
        <v>1</v>
      </c>
      <c r="E873">
        <v>4</v>
      </c>
      <c r="F873">
        <v>3</v>
      </c>
      <c r="G873">
        <v>19</v>
      </c>
      <c r="H873">
        <v>11</v>
      </c>
      <c r="I873">
        <v>0.75</v>
      </c>
      <c r="J873">
        <v>0.57999999999999996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1</v>
      </c>
      <c r="R873">
        <v>1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1</v>
      </c>
      <c r="AA873" s="86">
        <f>AVERAGEIFS($C$2:C873, $B$2:B873, B873)</f>
        <v>10.4</v>
      </c>
      <c r="AB873" s="86">
        <f>AVERAGEIFS($I$2:I873, $B$2:B873, B873)</f>
        <v>0.58333333333333337</v>
      </c>
      <c r="AC873" s="86">
        <f>AVERAGEIFS($J$2:J873, $B$2:B873, B873)</f>
        <v>0.54600000000000004</v>
      </c>
      <c r="AD873" s="86">
        <f>AVERAGEIFS($D$2:D873, $B$2:B873, B873)</f>
        <v>0.6</v>
      </c>
    </row>
    <row r="874" spans="1:30" x14ac:dyDescent="0.25">
      <c r="A874" s="85">
        <v>46145</v>
      </c>
      <c r="B874" t="s">
        <v>38</v>
      </c>
      <c r="C874">
        <v>8</v>
      </c>
      <c r="D874" s="86">
        <v>1</v>
      </c>
      <c r="E874">
        <v>4</v>
      </c>
      <c r="F874">
        <v>3</v>
      </c>
      <c r="G874">
        <v>19</v>
      </c>
      <c r="H874">
        <v>11</v>
      </c>
      <c r="I874">
        <v>0.75</v>
      </c>
      <c r="J874">
        <v>0.57999999999999996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1</v>
      </c>
      <c r="R874">
        <v>1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1</v>
      </c>
      <c r="AA874" s="86">
        <f>AVERAGEIFS($C$2:C874, $B$2:B874, B874)</f>
        <v>8.0769230769230766</v>
      </c>
      <c r="AB874" s="86">
        <f>AVERAGEIFS($I$2:I874, $B$2:B874, B874)</f>
        <v>0.43076923076923079</v>
      </c>
      <c r="AC874" s="86">
        <f>AVERAGEIFS($J$2:J874, $B$2:B874, B874)</f>
        <v>0.4538461538461539</v>
      </c>
      <c r="AD874" s="86">
        <f>AVERAGEIFS($D$2:D874, $B$2:B874, B874)</f>
        <v>0.46153846153846156</v>
      </c>
    </row>
    <row r="875" spans="1:30" x14ac:dyDescent="0.25">
      <c r="A875" s="85">
        <v>46145</v>
      </c>
      <c r="B875" t="s">
        <v>13</v>
      </c>
      <c r="C875">
        <v>23</v>
      </c>
      <c r="D875" s="86">
        <v>1</v>
      </c>
      <c r="E875">
        <v>3</v>
      </c>
      <c r="F875">
        <v>3</v>
      </c>
      <c r="G875">
        <v>13</v>
      </c>
      <c r="H875">
        <v>9</v>
      </c>
      <c r="I875">
        <v>1</v>
      </c>
      <c r="J875">
        <v>0.69</v>
      </c>
      <c r="K875">
        <v>0</v>
      </c>
      <c r="L875">
        <v>0</v>
      </c>
      <c r="M875">
        <v>0</v>
      </c>
      <c r="N875">
        <v>1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1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1</v>
      </c>
      <c r="AA875" s="86">
        <f>AVERAGEIFS($C$2:C875, $B$2:B875, B875)</f>
        <v>26.666666666666668</v>
      </c>
      <c r="AB875" s="86">
        <f>AVERAGEIFS($I$2:I875, $B$2:B875, B875)</f>
        <v>0.56833333333333336</v>
      </c>
      <c r="AC875" s="86">
        <f>AVERAGEIFS($J$2:J875, $B$2:B875, B875)</f>
        <v>0.54333333333333322</v>
      </c>
      <c r="AD875" s="86">
        <f>AVERAGEIFS($D$2:D875, $B$2:B875, B875)</f>
        <v>0.6166666666666667</v>
      </c>
    </row>
    <row r="876" spans="1:30" x14ac:dyDescent="0.25">
      <c r="A876" s="85">
        <v>46145</v>
      </c>
      <c r="B876" t="s">
        <v>15</v>
      </c>
      <c r="C876">
        <v>13</v>
      </c>
      <c r="D876" s="86">
        <v>1</v>
      </c>
      <c r="E876">
        <v>3</v>
      </c>
      <c r="F876">
        <v>3</v>
      </c>
      <c r="G876">
        <v>13</v>
      </c>
      <c r="H876">
        <v>9</v>
      </c>
      <c r="I876">
        <v>1</v>
      </c>
      <c r="J876">
        <v>0.69</v>
      </c>
      <c r="K876">
        <v>0</v>
      </c>
      <c r="L876">
        <v>0</v>
      </c>
      <c r="M876">
        <v>0</v>
      </c>
      <c r="N876">
        <v>1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1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1</v>
      </c>
      <c r="AA876" s="86">
        <f>AVERAGEIFS($C$2:C876, $B$2:B876, B876)</f>
        <v>24.189189189189189</v>
      </c>
      <c r="AB876" s="86">
        <f>AVERAGEIFS($I$2:I876, $B$2:B876, B876)</f>
        <v>0.48918918918918924</v>
      </c>
      <c r="AC876" s="86">
        <f>AVERAGEIFS($J$2:J876, $B$2:B876, B876)</f>
        <v>0.5008108108108108</v>
      </c>
      <c r="AD876" s="86">
        <f>AVERAGEIFS($D$2:D876, $B$2:B876, B876)</f>
        <v>0.40540540540540543</v>
      </c>
    </row>
    <row r="877" spans="1:30" x14ac:dyDescent="0.25">
      <c r="A877" s="85">
        <v>46145</v>
      </c>
      <c r="B877" t="s">
        <v>6</v>
      </c>
      <c r="C877">
        <v>10</v>
      </c>
      <c r="D877" s="86">
        <v>1</v>
      </c>
      <c r="E877">
        <v>3</v>
      </c>
      <c r="F877">
        <v>3</v>
      </c>
      <c r="G877">
        <v>13</v>
      </c>
      <c r="H877">
        <v>9</v>
      </c>
      <c r="I877">
        <v>1</v>
      </c>
      <c r="J877">
        <v>0.69</v>
      </c>
      <c r="K877">
        <v>0</v>
      </c>
      <c r="L877">
        <v>0</v>
      </c>
      <c r="M877">
        <v>0</v>
      </c>
      <c r="N877">
        <v>1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1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1</v>
      </c>
      <c r="AA877" s="86">
        <f>AVERAGEIFS($C$2:C877, $B$2:B877, B877)</f>
        <v>22.964285714285715</v>
      </c>
      <c r="AB877" s="86">
        <f>AVERAGEIFS($I$2:I877, $B$2:B877, B877)</f>
        <v>0.65</v>
      </c>
      <c r="AC877" s="86">
        <f>AVERAGEIFS($J$2:J877, $B$2:B877, B877)</f>
        <v>0.56821428571428567</v>
      </c>
      <c r="AD877" s="86">
        <f>AVERAGEIFS($D$2:D877, $B$2:B877, B877)</f>
        <v>0.7142857142857143</v>
      </c>
    </row>
    <row r="878" spans="1:30" x14ac:dyDescent="0.25">
      <c r="A878" s="85">
        <v>46145</v>
      </c>
      <c r="B878" t="s">
        <v>155</v>
      </c>
      <c r="C878">
        <v>10</v>
      </c>
      <c r="D878" s="86">
        <v>1</v>
      </c>
      <c r="E878">
        <v>3</v>
      </c>
      <c r="F878">
        <v>3</v>
      </c>
      <c r="G878">
        <v>13</v>
      </c>
      <c r="H878">
        <v>9</v>
      </c>
      <c r="I878">
        <v>1</v>
      </c>
      <c r="J878">
        <v>0.69</v>
      </c>
      <c r="K878">
        <v>0</v>
      </c>
      <c r="L878">
        <v>0</v>
      </c>
      <c r="M878">
        <v>0</v>
      </c>
      <c r="N878">
        <v>1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1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1</v>
      </c>
      <c r="AA878" s="86">
        <f>AVERAGEIFS($C$2:C878, $B$2:B878, B878)</f>
        <v>16.869565217391305</v>
      </c>
      <c r="AB878" s="86">
        <f>AVERAGEIFS($I$2:I878, $B$2:B878, B878)</f>
        <v>0.38043478260869568</v>
      </c>
      <c r="AC878" s="86">
        <f>AVERAGEIFS($J$2:J878, $B$2:B878, B878)</f>
        <v>0.45478260869565212</v>
      </c>
      <c r="AD878" s="86">
        <f>AVERAGEIFS($D$2:D878, $B$2:B878, B878)</f>
        <v>0.30434782608695654</v>
      </c>
    </row>
    <row r="879" spans="1:30" x14ac:dyDescent="0.25">
      <c r="A879" s="85">
        <v>46145</v>
      </c>
      <c r="B879" t="s">
        <v>27</v>
      </c>
      <c r="C879">
        <v>9</v>
      </c>
      <c r="D879" s="86">
        <v>1</v>
      </c>
      <c r="E879">
        <v>3</v>
      </c>
      <c r="F879">
        <v>3</v>
      </c>
      <c r="G879">
        <v>13</v>
      </c>
      <c r="H879">
        <v>9</v>
      </c>
      <c r="I879">
        <v>1</v>
      </c>
      <c r="J879">
        <v>0.69</v>
      </c>
      <c r="K879">
        <v>0</v>
      </c>
      <c r="L879">
        <v>0</v>
      </c>
      <c r="M879">
        <v>0</v>
      </c>
      <c r="N879">
        <v>1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1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1</v>
      </c>
      <c r="AA879" s="86">
        <f>AVERAGEIFS($C$2:C879, $B$2:B879, B879)</f>
        <v>15.153846153846153</v>
      </c>
      <c r="AB879" s="86">
        <f>AVERAGEIFS($I$2:I879, $B$2:B879, B879)</f>
        <v>0.52692307692307694</v>
      </c>
      <c r="AC879" s="86">
        <f>AVERAGEIFS($J$2:J879, $B$2:B879, B879)</f>
        <v>0.5146153846153847</v>
      </c>
      <c r="AD879" s="86">
        <f>AVERAGEIFS($D$2:D879, $B$2:B879, B879)</f>
        <v>0.57692307692307687</v>
      </c>
    </row>
    <row r="880" spans="1:30" x14ac:dyDescent="0.25">
      <c r="A880" s="85">
        <v>46145</v>
      </c>
      <c r="B880" t="s">
        <v>179</v>
      </c>
      <c r="C880">
        <v>15</v>
      </c>
      <c r="D880" s="86">
        <v>1</v>
      </c>
      <c r="E880">
        <v>3</v>
      </c>
      <c r="F880">
        <v>3</v>
      </c>
      <c r="G880">
        <v>13</v>
      </c>
      <c r="H880">
        <v>9</v>
      </c>
      <c r="I880">
        <v>1</v>
      </c>
      <c r="J880">
        <v>0.69</v>
      </c>
      <c r="K880">
        <v>0</v>
      </c>
      <c r="L880">
        <v>0</v>
      </c>
      <c r="M880">
        <v>0</v>
      </c>
      <c r="N880">
        <v>1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1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1</v>
      </c>
      <c r="AA880" s="86">
        <f>AVERAGEIFS($C$2:C880, $B$2:B880, B880)</f>
        <v>14</v>
      </c>
      <c r="AB880" s="86">
        <f>AVERAGEIFS($I$2:I880, $B$2:B880, B880)</f>
        <v>0.75</v>
      </c>
      <c r="AC880" s="86">
        <f>AVERAGEIFS($J$2:J880, $B$2:B880, B880)</f>
        <v>0.54666666666666663</v>
      </c>
      <c r="AD880" s="86">
        <f>AVERAGEIFS($D$2:D880, $B$2:B880, B880)</f>
        <v>0.66666666666666663</v>
      </c>
    </row>
    <row r="881" spans="1:30" x14ac:dyDescent="0.25">
      <c r="A881" s="85">
        <v>46145</v>
      </c>
      <c r="B881" t="s">
        <v>26</v>
      </c>
      <c r="C881">
        <v>8</v>
      </c>
      <c r="D881" s="86">
        <v>1</v>
      </c>
      <c r="E881">
        <v>3</v>
      </c>
      <c r="F881">
        <v>3</v>
      </c>
      <c r="G881">
        <v>13</v>
      </c>
      <c r="H881">
        <v>9</v>
      </c>
      <c r="I881">
        <v>1</v>
      </c>
      <c r="J881">
        <v>0.69</v>
      </c>
      <c r="K881">
        <v>0</v>
      </c>
      <c r="L881">
        <v>0</v>
      </c>
      <c r="M881">
        <v>0</v>
      </c>
      <c r="N881">
        <v>1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1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1</v>
      </c>
      <c r="AA881" s="86">
        <f>AVERAGEIFS($C$2:C881, $B$2:B881, B881)</f>
        <v>13.617647058823529</v>
      </c>
      <c r="AB881" s="86">
        <f>AVERAGEIFS($I$2:I881, $B$2:B881, B881)</f>
        <v>0.62794117647058822</v>
      </c>
      <c r="AC881" s="86">
        <f>AVERAGEIFS($J$2:J881, $B$2:B881, B881)</f>
        <v>0.55823529411764705</v>
      </c>
      <c r="AD881" s="86">
        <f>AVERAGEIFS($D$2:D881, $B$2:B881, B881)</f>
        <v>0.67647058823529416</v>
      </c>
    </row>
    <row r="882" spans="1:30" x14ac:dyDescent="0.25">
      <c r="A882" s="85">
        <v>46145</v>
      </c>
      <c r="B882" t="s">
        <v>18</v>
      </c>
      <c r="C882">
        <v>9</v>
      </c>
      <c r="D882" s="86">
        <v>0</v>
      </c>
      <c r="E882">
        <v>3</v>
      </c>
      <c r="F882">
        <v>0</v>
      </c>
      <c r="G882">
        <v>13</v>
      </c>
      <c r="H882">
        <v>4</v>
      </c>
      <c r="I882">
        <v>0</v>
      </c>
      <c r="J882">
        <v>0.31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 s="86">
        <f>AVERAGEIFS($C$2:C882, $B$2:B882, B882)</f>
        <v>26.433333333333334</v>
      </c>
      <c r="AB882" s="86">
        <f>AVERAGEIFS($I$2:I882, $B$2:B882, B882)</f>
        <v>0.46333333333333332</v>
      </c>
      <c r="AC882" s="86">
        <f>AVERAGEIFS($J$2:J882, $B$2:B882, B882)</f>
        <v>0.48133333333333345</v>
      </c>
      <c r="AD882" s="86">
        <f>AVERAGEIFS($D$2:D882, $B$2:B882, B882)</f>
        <v>0.46666666666666667</v>
      </c>
    </row>
    <row r="883" spans="1:30" x14ac:dyDescent="0.25">
      <c r="A883" s="85">
        <v>46145</v>
      </c>
      <c r="B883" t="s">
        <v>17</v>
      </c>
      <c r="C883">
        <v>11</v>
      </c>
      <c r="D883" s="86">
        <v>0</v>
      </c>
      <c r="E883">
        <v>3</v>
      </c>
      <c r="F883">
        <v>0</v>
      </c>
      <c r="G883">
        <v>13</v>
      </c>
      <c r="H883">
        <v>4</v>
      </c>
      <c r="I883">
        <v>0</v>
      </c>
      <c r="J883">
        <v>0.31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 s="86">
        <f>AVERAGEIFS($C$2:C883, $B$2:B883, B883)</f>
        <v>25.358490566037737</v>
      </c>
      <c r="AB883" s="86">
        <f>AVERAGEIFS($I$2:I883, $B$2:B883, B883)</f>
        <v>0.49056603773584917</v>
      </c>
      <c r="AC883" s="86">
        <f>AVERAGEIFS($J$2:J883, $B$2:B883, B883)</f>
        <v>0.5064150943396224</v>
      </c>
      <c r="AD883" s="86">
        <f>AVERAGEIFS($D$2:D883, $B$2:B883, B883)</f>
        <v>0.43396226415094341</v>
      </c>
    </row>
    <row r="884" spans="1:30" x14ac:dyDescent="0.25">
      <c r="A884" s="85">
        <v>46145</v>
      </c>
      <c r="B884" t="s">
        <v>37</v>
      </c>
      <c r="C884">
        <v>18</v>
      </c>
      <c r="D884" s="86">
        <v>0</v>
      </c>
      <c r="E884">
        <v>3</v>
      </c>
      <c r="F884">
        <v>0</v>
      </c>
      <c r="G884">
        <v>13</v>
      </c>
      <c r="H884">
        <v>4</v>
      </c>
      <c r="I884">
        <v>0</v>
      </c>
      <c r="J884">
        <v>0.31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 s="86">
        <f>AVERAGEIFS($C$2:C884, $B$2:B884, B884)</f>
        <v>19.862068965517242</v>
      </c>
      <c r="AB884" s="86">
        <f>AVERAGEIFS($I$2:I884, $B$2:B884, B884)</f>
        <v>0.40689655172413791</v>
      </c>
      <c r="AC884" s="86">
        <f>AVERAGEIFS($J$2:J884, $B$2:B884, B884)</f>
        <v>0.44724137931034486</v>
      </c>
      <c r="AD884" s="86">
        <f>AVERAGEIFS($D$2:D884, $B$2:B884, B884)</f>
        <v>0.41379310344827586</v>
      </c>
    </row>
    <row r="885" spans="1:30" x14ac:dyDescent="0.25">
      <c r="A885" s="85">
        <v>46145</v>
      </c>
      <c r="B885" t="s">
        <v>141</v>
      </c>
      <c r="C885">
        <v>10</v>
      </c>
      <c r="D885" s="86">
        <v>0</v>
      </c>
      <c r="E885">
        <v>3</v>
      </c>
      <c r="F885">
        <v>0</v>
      </c>
      <c r="G885">
        <v>13</v>
      </c>
      <c r="H885">
        <v>4</v>
      </c>
      <c r="I885">
        <v>0</v>
      </c>
      <c r="J885">
        <v>0.31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 s="86">
        <f>AVERAGEIFS($C$2:C885, $B$2:B885, B885)</f>
        <v>16.833333333333332</v>
      </c>
      <c r="AB885" s="86">
        <f>AVERAGEIFS($I$2:I885, $B$2:B885, B885)</f>
        <v>0.3833333333333333</v>
      </c>
      <c r="AC885" s="86">
        <f>AVERAGEIFS($J$2:J885, $B$2:B885, B885)</f>
        <v>0.43166666666666664</v>
      </c>
      <c r="AD885" s="86">
        <f>AVERAGEIFS($D$2:D885, $B$2:B885, B885)</f>
        <v>0.16666666666666666</v>
      </c>
    </row>
    <row r="886" spans="1:30" x14ac:dyDescent="0.25">
      <c r="A886" s="85">
        <v>46145</v>
      </c>
      <c r="B886" t="s">
        <v>25</v>
      </c>
      <c r="C886">
        <v>6</v>
      </c>
      <c r="D886" s="86">
        <v>0</v>
      </c>
      <c r="E886">
        <v>3</v>
      </c>
      <c r="F886">
        <v>0</v>
      </c>
      <c r="G886">
        <v>13</v>
      </c>
      <c r="H886">
        <v>4</v>
      </c>
      <c r="I886">
        <v>0</v>
      </c>
      <c r="J886">
        <v>0.31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 s="86">
        <f>AVERAGEIFS($C$2:C886, $B$2:B886, B886)</f>
        <v>17.482758620689655</v>
      </c>
      <c r="AB886" s="86">
        <f>AVERAGEIFS($I$2:I886, $B$2:B886, B886)</f>
        <v>0.56896551724137934</v>
      </c>
      <c r="AC886" s="86">
        <f>AVERAGEIFS($J$2:J886, $B$2:B886, B886)</f>
        <v>0.52482758620689662</v>
      </c>
      <c r="AD886" s="86">
        <f>AVERAGEIFS($D$2:D886, $B$2:B886, B886)</f>
        <v>0.58620689655172409</v>
      </c>
    </row>
    <row r="887" spans="1:30" x14ac:dyDescent="0.25">
      <c r="A887" s="85">
        <v>46145</v>
      </c>
      <c r="B887" t="s">
        <v>146</v>
      </c>
      <c r="C887">
        <v>12</v>
      </c>
      <c r="D887" s="86">
        <v>0</v>
      </c>
      <c r="E887">
        <v>3</v>
      </c>
      <c r="F887">
        <v>0</v>
      </c>
      <c r="G887">
        <v>13</v>
      </c>
      <c r="H887">
        <v>4</v>
      </c>
      <c r="I887">
        <v>0</v>
      </c>
      <c r="J887">
        <v>0.31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 s="86">
        <f>AVERAGEIFS($C$2:C887, $B$2:B887, B887)</f>
        <v>13.384615384615385</v>
      </c>
      <c r="AB887" s="86">
        <f>AVERAGEIFS($I$2:I887, $B$2:B887, B887)</f>
        <v>0.35</v>
      </c>
      <c r="AC887" s="86">
        <f>AVERAGEIFS($J$2:J887, $B$2:B887, B887)</f>
        <v>0.44153846153846149</v>
      </c>
      <c r="AD887" s="86">
        <f>AVERAGEIFS($D$2:D887, $B$2:B887, B887)</f>
        <v>0.23076923076923078</v>
      </c>
    </row>
    <row r="888" spans="1:30" x14ac:dyDescent="0.25">
      <c r="A888" s="85">
        <v>46145</v>
      </c>
      <c r="B888" t="s">
        <v>140</v>
      </c>
      <c r="C888">
        <v>11</v>
      </c>
      <c r="D888" s="86">
        <v>0</v>
      </c>
      <c r="E888">
        <v>3</v>
      </c>
      <c r="F888">
        <v>0</v>
      </c>
      <c r="G888">
        <v>13</v>
      </c>
      <c r="H888">
        <v>4</v>
      </c>
      <c r="I888">
        <v>0</v>
      </c>
      <c r="J888">
        <v>0.31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 s="86">
        <f>AVERAGEIFS($C$2:C888, $B$2:B888, B888)</f>
        <v>9.3076923076923084</v>
      </c>
      <c r="AB888" s="86">
        <f>AVERAGEIFS($I$2:I888, $B$2:B888, B888)</f>
        <v>0.45769230769230773</v>
      </c>
      <c r="AC888" s="86">
        <f>AVERAGEIFS($J$2:J888, $B$2:B888, B888)</f>
        <v>0.49384615384615377</v>
      </c>
      <c r="AD888" s="86">
        <f>AVERAGEIFS($D$2:D888, $B$2:B888, B888)</f>
        <v>0.53846153846153844</v>
      </c>
    </row>
    <row r="889" spans="1:30" x14ac:dyDescent="0.25">
      <c r="A889" s="85">
        <v>46149</v>
      </c>
      <c r="B889" t="s">
        <v>14</v>
      </c>
      <c r="C889">
        <v>30</v>
      </c>
      <c r="D889" s="86">
        <v>1</v>
      </c>
      <c r="E889">
        <v>3</v>
      </c>
      <c r="F889">
        <v>3</v>
      </c>
      <c r="G889">
        <v>13</v>
      </c>
      <c r="H889">
        <v>9</v>
      </c>
      <c r="I889">
        <v>1</v>
      </c>
      <c r="J889">
        <v>0.69</v>
      </c>
      <c r="K889">
        <v>1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1</v>
      </c>
      <c r="Z889">
        <v>1</v>
      </c>
      <c r="AA889" s="86">
        <f>AVERAGEIFS($C$2:C889, $B$2:B889, B889)</f>
        <v>24.844444444444445</v>
      </c>
      <c r="AB889" s="86">
        <f>AVERAGEIFS($I$2:I889, $B$2:B889, B889)</f>
        <v>0.47555555555555551</v>
      </c>
      <c r="AC889" s="86">
        <f>AVERAGEIFS($J$2:J889, $B$2:B889, B889)</f>
        <v>0.48688888888888898</v>
      </c>
      <c r="AD889" s="86">
        <f>AVERAGEIFS($D$2:D889, $B$2:B889, B889)</f>
        <v>0.46666666666666667</v>
      </c>
    </row>
    <row r="890" spans="1:30" x14ac:dyDescent="0.25">
      <c r="A890" s="85">
        <v>46149</v>
      </c>
      <c r="B890" t="s">
        <v>18</v>
      </c>
      <c r="C890">
        <v>23</v>
      </c>
      <c r="D890" s="86">
        <v>1</v>
      </c>
      <c r="E890">
        <v>3</v>
      </c>
      <c r="F890">
        <v>3</v>
      </c>
      <c r="G890">
        <v>13</v>
      </c>
      <c r="H890">
        <v>9</v>
      </c>
      <c r="I890">
        <v>1</v>
      </c>
      <c r="J890">
        <v>0.69</v>
      </c>
      <c r="K890">
        <v>1</v>
      </c>
      <c r="L890">
        <v>0</v>
      </c>
      <c r="M890">
        <v>0</v>
      </c>
      <c r="N890">
        <v>0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1</v>
      </c>
      <c r="Z890">
        <v>1</v>
      </c>
      <c r="AA890" s="86">
        <f>AVERAGEIFS($C$2:C890, $B$2:B890, B890)</f>
        <v>26.322580645161292</v>
      </c>
      <c r="AB890" s="86">
        <f>AVERAGEIFS($I$2:I890, $B$2:B890, B890)</f>
        <v>0.48064516129032259</v>
      </c>
      <c r="AC890" s="86">
        <f>AVERAGEIFS($J$2:J890, $B$2:B890, B890)</f>
        <v>0.48806451612903234</v>
      </c>
      <c r="AD890" s="86">
        <f>AVERAGEIFS($D$2:D890, $B$2:B890, B890)</f>
        <v>0.4838709677419355</v>
      </c>
    </row>
    <row r="891" spans="1:30" x14ac:dyDescent="0.25">
      <c r="A891" s="85">
        <v>46149</v>
      </c>
      <c r="B891" t="s">
        <v>5</v>
      </c>
      <c r="C891">
        <v>21</v>
      </c>
      <c r="D891" s="86">
        <v>1</v>
      </c>
      <c r="E891">
        <v>3</v>
      </c>
      <c r="F891">
        <v>3</v>
      </c>
      <c r="G891">
        <v>13</v>
      </c>
      <c r="H891">
        <v>9</v>
      </c>
      <c r="I891">
        <v>1</v>
      </c>
      <c r="J891">
        <v>0.69</v>
      </c>
      <c r="K891">
        <v>1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1</v>
      </c>
      <c r="Z891">
        <v>1</v>
      </c>
      <c r="AA891" s="86">
        <f>AVERAGEIFS($C$2:C891, $B$2:B891, B891)</f>
        <v>24.944444444444443</v>
      </c>
      <c r="AB891" s="86">
        <f>AVERAGEIFS($I$2:I891, $B$2:B891, B891)</f>
        <v>0.51666666666666661</v>
      </c>
      <c r="AC891" s="86">
        <f>AVERAGEIFS($J$2:J891, $B$2:B891, B891)</f>
        <v>0.50277777777777777</v>
      </c>
      <c r="AD891" s="86">
        <f>AVERAGEIFS($D$2:D891, $B$2:B891, B891)</f>
        <v>0.55555555555555558</v>
      </c>
    </row>
    <row r="892" spans="1:30" x14ac:dyDescent="0.25">
      <c r="A892" s="85">
        <v>46149</v>
      </c>
      <c r="B892" t="s">
        <v>2</v>
      </c>
      <c r="C892">
        <v>19</v>
      </c>
      <c r="D892" s="86">
        <v>1</v>
      </c>
      <c r="E892">
        <v>3</v>
      </c>
      <c r="F892">
        <v>3</v>
      </c>
      <c r="G892">
        <v>13</v>
      </c>
      <c r="H892">
        <v>9</v>
      </c>
      <c r="I892">
        <v>1</v>
      </c>
      <c r="J892">
        <v>0.69</v>
      </c>
      <c r="K892">
        <v>1</v>
      </c>
      <c r="L892">
        <v>0</v>
      </c>
      <c r="M892">
        <v>0</v>
      </c>
      <c r="N892">
        <v>0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0</v>
      </c>
      <c r="Y892">
        <v>1</v>
      </c>
      <c r="Z892">
        <v>1</v>
      </c>
      <c r="AA892" s="86">
        <f>AVERAGEIFS($C$2:C892, $B$2:B892, B892)</f>
        <v>26.882352941176471</v>
      </c>
      <c r="AB892" s="86">
        <f>AVERAGEIFS($I$2:I892, $B$2:B892, B892)</f>
        <v>0.61470588235294121</v>
      </c>
      <c r="AC892" s="86">
        <f>AVERAGEIFS($J$2:J892, $B$2:B892, B892)</f>
        <v>0.55647058823529405</v>
      </c>
      <c r="AD892" s="86">
        <f>AVERAGEIFS($D$2:D892, $B$2:B892, B892)</f>
        <v>0.58823529411764708</v>
      </c>
    </row>
    <row r="893" spans="1:30" x14ac:dyDescent="0.25">
      <c r="A893" s="85">
        <v>46149</v>
      </c>
      <c r="B893" t="s">
        <v>150</v>
      </c>
      <c r="C893">
        <v>12</v>
      </c>
      <c r="D893" s="86">
        <v>1</v>
      </c>
      <c r="E893">
        <v>3</v>
      </c>
      <c r="F893">
        <v>3</v>
      </c>
      <c r="G893">
        <v>13</v>
      </c>
      <c r="H893">
        <v>9</v>
      </c>
      <c r="I893">
        <v>1</v>
      </c>
      <c r="J893">
        <v>0.69</v>
      </c>
      <c r="K893">
        <v>1</v>
      </c>
      <c r="L893">
        <v>0</v>
      </c>
      <c r="M893">
        <v>0</v>
      </c>
      <c r="N893">
        <v>0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0</v>
      </c>
      <c r="Y893">
        <v>1</v>
      </c>
      <c r="Z893">
        <v>1</v>
      </c>
      <c r="AA893" s="86">
        <f>AVERAGEIFS($C$2:C893, $B$2:B893, B893)</f>
        <v>17.899999999999999</v>
      </c>
      <c r="AB893" s="86">
        <f>AVERAGEIFS($I$2:I893, $B$2:B893, B893)</f>
        <v>0.76</v>
      </c>
      <c r="AC893" s="86">
        <f>AVERAGEIFS($J$2:J893, $B$2:B893, B893)</f>
        <v>0.65799999999999981</v>
      </c>
      <c r="AD893" s="86">
        <f>AVERAGEIFS($D$2:D893, $B$2:B893, B893)</f>
        <v>0.9</v>
      </c>
    </row>
    <row r="894" spans="1:30" x14ac:dyDescent="0.25">
      <c r="A894" s="85">
        <v>46149</v>
      </c>
      <c r="B894" t="s">
        <v>37</v>
      </c>
      <c r="C894">
        <v>12</v>
      </c>
      <c r="D894" s="86">
        <v>1</v>
      </c>
      <c r="E894">
        <v>3</v>
      </c>
      <c r="F894">
        <v>3</v>
      </c>
      <c r="G894">
        <v>13</v>
      </c>
      <c r="H894">
        <v>9</v>
      </c>
      <c r="I894">
        <v>1</v>
      </c>
      <c r="J894">
        <v>0.69</v>
      </c>
      <c r="K894">
        <v>1</v>
      </c>
      <c r="L894">
        <v>0</v>
      </c>
      <c r="M894">
        <v>0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0</v>
      </c>
      <c r="Y894">
        <v>1</v>
      </c>
      <c r="Z894">
        <v>1</v>
      </c>
      <c r="AA894" s="86">
        <f>AVERAGEIFS($C$2:C894, $B$2:B894, B894)</f>
        <v>19.600000000000001</v>
      </c>
      <c r="AB894" s="86">
        <f>AVERAGEIFS($I$2:I894, $B$2:B894, B894)</f>
        <v>0.42666666666666664</v>
      </c>
      <c r="AC894" s="86">
        <f>AVERAGEIFS($J$2:J894, $B$2:B894, B894)</f>
        <v>0.45533333333333331</v>
      </c>
      <c r="AD894" s="86">
        <f>AVERAGEIFS($D$2:D894, $B$2:B894, B894)</f>
        <v>0.43333333333333335</v>
      </c>
    </row>
    <row r="895" spans="1:30" x14ac:dyDescent="0.25">
      <c r="A895" s="85">
        <v>46149</v>
      </c>
      <c r="B895" t="s">
        <v>35</v>
      </c>
      <c r="C895">
        <v>5</v>
      </c>
      <c r="D895" s="86">
        <v>1</v>
      </c>
      <c r="E895">
        <v>3</v>
      </c>
      <c r="F895">
        <v>3</v>
      </c>
      <c r="G895">
        <v>13</v>
      </c>
      <c r="H895">
        <v>9</v>
      </c>
      <c r="I895">
        <v>1</v>
      </c>
      <c r="J895">
        <v>0.69</v>
      </c>
      <c r="K895">
        <v>1</v>
      </c>
      <c r="L895">
        <v>0</v>
      </c>
      <c r="M895">
        <v>0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0</v>
      </c>
      <c r="Y895">
        <v>1</v>
      </c>
      <c r="Z895">
        <v>1</v>
      </c>
      <c r="AA895" s="86">
        <f>AVERAGEIFS($C$2:C895, $B$2:B895, B895)</f>
        <v>12.3</v>
      </c>
      <c r="AB895" s="86">
        <f>AVERAGEIFS($I$2:I895, $B$2:B895, B895)</f>
        <v>0.47333333333333333</v>
      </c>
      <c r="AC895" s="86">
        <f>AVERAGEIFS($J$2:J895, $B$2:B895, B895)</f>
        <v>0.47966666666666674</v>
      </c>
      <c r="AD895" s="86">
        <f>AVERAGEIFS($D$2:D895, $B$2:B895, B895)</f>
        <v>0.56666666666666665</v>
      </c>
    </row>
    <row r="896" spans="1:30" x14ac:dyDescent="0.25">
      <c r="A896" s="85">
        <v>46149</v>
      </c>
      <c r="B896" t="s">
        <v>140</v>
      </c>
      <c r="C896">
        <v>3</v>
      </c>
      <c r="D896" s="86">
        <v>1</v>
      </c>
      <c r="E896">
        <v>3</v>
      </c>
      <c r="F896">
        <v>3</v>
      </c>
      <c r="G896">
        <v>13</v>
      </c>
      <c r="H896">
        <v>9</v>
      </c>
      <c r="I896">
        <v>1</v>
      </c>
      <c r="J896">
        <v>0.69</v>
      </c>
      <c r="K896">
        <v>1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1</v>
      </c>
      <c r="Z896">
        <v>1</v>
      </c>
      <c r="AA896" s="86">
        <f>AVERAGEIFS($C$2:C896, $B$2:B896, B896)</f>
        <v>8.8571428571428577</v>
      </c>
      <c r="AB896" s="86">
        <f>AVERAGEIFS($I$2:I896, $B$2:B896, B896)</f>
        <v>0.49642857142857144</v>
      </c>
      <c r="AC896" s="86">
        <f>AVERAGEIFS($J$2:J896, $B$2:B896, B896)</f>
        <v>0.50785714285714278</v>
      </c>
      <c r="AD896" s="86">
        <f>AVERAGEIFS($D$2:D896, $B$2:B896, B896)</f>
        <v>0.5714285714285714</v>
      </c>
    </row>
    <row r="897" spans="1:30" x14ac:dyDescent="0.25">
      <c r="A897" s="85">
        <v>46149</v>
      </c>
      <c r="B897" t="s">
        <v>13</v>
      </c>
      <c r="C897">
        <v>18</v>
      </c>
      <c r="D897" s="86">
        <v>0</v>
      </c>
      <c r="E897">
        <v>3</v>
      </c>
      <c r="F897">
        <v>0</v>
      </c>
      <c r="G897">
        <v>13</v>
      </c>
      <c r="H897">
        <v>4</v>
      </c>
      <c r="I897">
        <v>0</v>
      </c>
      <c r="J897">
        <v>0.31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 s="86">
        <f>AVERAGEIFS($C$2:C897, $B$2:B897, B897)</f>
        <v>26.524590163934427</v>
      </c>
      <c r="AB897" s="86">
        <f>AVERAGEIFS($I$2:I897, $B$2:B897, B897)</f>
        <v>0.55901639344262299</v>
      </c>
      <c r="AC897" s="86">
        <f>AVERAGEIFS($J$2:J897, $B$2:B897, B897)</f>
        <v>0.53950819672131145</v>
      </c>
      <c r="AD897" s="86">
        <f>AVERAGEIFS($D$2:D897, $B$2:B897, B897)</f>
        <v>0.60655737704918034</v>
      </c>
    </row>
    <row r="898" spans="1:30" x14ac:dyDescent="0.25">
      <c r="A898" s="85">
        <v>46149</v>
      </c>
      <c r="B898" t="s">
        <v>113</v>
      </c>
      <c r="C898">
        <v>18</v>
      </c>
      <c r="D898" s="86">
        <v>0</v>
      </c>
      <c r="E898">
        <v>3</v>
      </c>
      <c r="F898">
        <v>0</v>
      </c>
      <c r="G898">
        <v>13</v>
      </c>
      <c r="H898">
        <v>4</v>
      </c>
      <c r="I898">
        <v>0</v>
      </c>
      <c r="J898">
        <v>0.31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 s="86">
        <f>AVERAGEIFS($C$2:C898, $B$2:B898, B898)</f>
        <v>18.384615384615383</v>
      </c>
      <c r="AB898" s="86">
        <f>AVERAGEIFS($I$2:I898, $B$2:B898, B898)</f>
        <v>0.60384615384615392</v>
      </c>
      <c r="AC898" s="86">
        <f>AVERAGEIFS($J$2:J898, $B$2:B898, B898)</f>
        <v>0.53615384615384598</v>
      </c>
      <c r="AD898" s="86">
        <f>AVERAGEIFS($D$2:D898, $B$2:B898, B898)</f>
        <v>0.69230769230769229</v>
      </c>
    </row>
    <row r="899" spans="1:30" x14ac:dyDescent="0.25">
      <c r="A899" s="85">
        <v>46149</v>
      </c>
      <c r="B899" t="s">
        <v>15</v>
      </c>
      <c r="C899">
        <v>16</v>
      </c>
      <c r="D899" s="86">
        <v>0</v>
      </c>
      <c r="E899">
        <v>3</v>
      </c>
      <c r="F899">
        <v>0</v>
      </c>
      <c r="G899">
        <v>13</v>
      </c>
      <c r="H899">
        <v>4</v>
      </c>
      <c r="I899">
        <v>0</v>
      </c>
      <c r="J899">
        <v>0.31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</v>
      </c>
      <c r="AA899" s="86">
        <f>AVERAGEIFS($C$2:C899, $B$2:B899, B899)</f>
        <v>23.973684210526315</v>
      </c>
      <c r="AB899" s="86">
        <f>AVERAGEIFS($I$2:I899, $B$2:B899, B899)</f>
        <v>0.47631578947368425</v>
      </c>
      <c r="AC899" s="86">
        <f>AVERAGEIFS($J$2:J899, $B$2:B899, B899)</f>
        <v>0.4957894736842105</v>
      </c>
      <c r="AD899" s="86">
        <f>AVERAGEIFS($D$2:D899, $B$2:B899, B899)</f>
        <v>0.39473684210526316</v>
      </c>
    </row>
    <row r="900" spans="1:30" x14ac:dyDescent="0.25">
      <c r="A900" s="85">
        <v>46149</v>
      </c>
      <c r="B900" t="s">
        <v>155</v>
      </c>
      <c r="C900">
        <v>15</v>
      </c>
      <c r="D900" s="86">
        <v>0</v>
      </c>
      <c r="E900">
        <v>3</v>
      </c>
      <c r="F900">
        <v>0</v>
      </c>
      <c r="G900">
        <v>13</v>
      </c>
      <c r="H900">
        <v>4</v>
      </c>
      <c r="I900">
        <v>0</v>
      </c>
      <c r="J900">
        <v>0.31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</v>
      </c>
      <c r="AA900" s="86">
        <f>AVERAGEIFS($C$2:C900, $B$2:B900, B900)</f>
        <v>16.791666666666668</v>
      </c>
      <c r="AB900" s="86">
        <f>AVERAGEIFS($I$2:I900, $B$2:B900, B900)</f>
        <v>0.36458333333333331</v>
      </c>
      <c r="AC900" s="86">
        <f>AVERAGEIFS($J$2:J900, $B$2:B900, B900)</f>
        <v>0.44874999999999998</v>
      </c>
      <c r="AD900" s="86">
        <f>AVERAGEIFS($D$2:D900, $B$2:B900, B900)</f>
        <v>0.29166666666666669</v>
      </c>
    </row>
    <row r="901" spans="1:30" x14ac:dyDescent="0.25">
      <c r="A901" s="85">
        <v>46149</v>
      </c>
      <c r="B901" t="s">
        <v>154</v>
      </c>
      <c r="C901">
        <v>10</v>
      </c>
      <c r="D901" s="86">
        <v>0</v>
      </c>
      <c r="E901">
        <v>3</v>
      </c>
      <c r="F901">
        <v>0</v>
      </c>
      <c r="G901">
        <v>13</v>
      </c>
      <c r="H901">
        <v>4</v>
      </c>
      <c r="I901">
        <v>0</v>
      </c>
      <c r="J901">
        <v>0.31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0</v>
      </c>
      <c r="AA901" s="86">
        <f>AVERAGEIFS($C$2:C901, $B$2:B901, B901)</f>
        <v>11.3</v>
      </c>
      <c r="AB901" s="86">
        <f>AVERAGEIFS($I$2:I901, $B$2:B901, B901)</f>
        <v>0.53500000000000003</v>
      </c>
      <c r="AC901" s="86">
        <f>AVERAGEIFS($J$2:J901, $B$2:B901, B901)</f>
        <v>0.52499999999999991</v>
      </c>
      <c r="AD901" s="86">
        <f>AVERAGEIFS($D$2:D901, $B$2:B901, B901)</f>
        <v>0.6</v>
      </c>
    </row>
    <row r="902" spans="1:30" x14ac:dyDescent="0.25">
      <c r="A902" s="85">
        <v>46149</v>
      </c>
      <c r="B902" t="s">
        <v>148</v>
      </c>
      <c r="C902">
        <v>9</v>
      </c>
      <c r="D902" s="86">
        <v>0</v>
      </c>
      <c r="E902">
        <v>3</v>
      </c>
      <c r="F902">
        <v>0</v>
      </c>
      <c r="G902">
        <v>13</v>
      </c>
      <c r="H902">
        <v>4</v>
      </c>
      <c r="I902">
        <v>0</v>
      </c>
      <c r="J902">
        <v>0.31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0</v>
      </c>
      <c r="Z902">
        <v>0</v>
      </c>
      <c r="AA902" s="86">
        <f>AVERAGEIFS($C$2:C902, $B$2:B902, B902)</f>
        <v>13.266666666666667</v>
      </c>
      <c r="AB902" s="86">
        <f>AVERAGEIFS($I$2:I902, $B$2:B902, B902)</f>
        <v>0.53833333333333333</v>
      </c>
      <c r="AC902" s="86">
        <f>AVERAGEIFS($J$2:J902, $B$2:B902, B902)</f>
        <v>0.51533333333333342</v>
      </c>
      <c r="AD902" s="86">
        <f>AVERAGEIFS($D$2:D902, $B$2:B902, B902)</f>
        <v>0.56666666666666665</v>
      </c>
    </row>
    <row r="903" spans="1:30" x14ac:dyDescent="0.25">
      <c r="A903" s="85">
        <v>46149</v>
      </c>
      <c r="B903" t="s">
        <v>17</v>
      </c>
      <c r="C903">
        <v>9</v>
      </c>
      <c r="D903" s="86">
        <v>0</v>
      </c>
      <c r="E903">
        <v>3</v>
      </c>
      <c r="F903">
        <v>0</v>
      </c>
      <c r="G903">
        <v>13</v>
      </c>
      <c r="H903">
        <v>4</v>
      </c>
      <c r="I903">
        <v>0</v>
      </c>
      <c r="J903">
        <v>0.31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0</v>
      </c>
      <c r="AA903" s="86">
        <f>AVERAGEIFS($C$2:C903, $B$2:B903, B903)</f>
        <v>25.055555555555557</v>
      </c>
      <c r="AB903" s="86">
        <f>AVERAGEIFS($I$2:I903, $B$2:B903, B903)</f>
        <v>0.48148148148148162</v>
      </c>
      <c r="AC903" s="86">
        <f>AVERAGEIFS($J$2:J903, $B$2:B903, B903)</f>
        <v>0.50277777777777755</v>
      </c>
      <c r="AD903" s="86">
        <f>AVERAGEIFS($D$2:D903, $B$2:B903, B903)</f>
        <v>0.42592592592592593</v>
      </c>
    </row>
    <row r="904" spans="1:30" x14ac:dyDescent="0.25">
      <c r="A904" s="85">
        <v>46149</v>
      </c>
      <c r="B904" t="s">
        <v>139</v>
      </c>
      <c r="C904">
        <v>5</v>
      </c>
      <c r="D904" s="86">
        <v>0</v>
      </c>
      <c r="E904">
        <v>3</v>
      </c>
      <c r="F904">
        <v>0</v>
      </c>
      <c r="G904">
        <v>13</v>
      </c>
      <c r="H904">
        <v>4</v>
      </c>
      <c r="I904">
        <v>0</v>
      </c>
      <c r="J904">
        <v>0.31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0</v>
      </c>
      <c r="AA904" s="86">
        <f>AVERAGEIFS($C$2:C904, $B$2:B904, B904)</f>
        <v>10.333333333333334</v>
      </c>
      <c r="AB904" s="86">
        <f>AVERAGEIFS($I$2:I904, $B$2:B904, B904)</f>
        <v>0.51666666666666661</v>
      </c>
      <c r="AC904" s="86">
        <f>AVERAGEIFS($J$2:J904, $B$2:B904, B904)</f>
        <v>0.52222222222222214</v>
      </c>
      <c r="AD904" s="86">
        <f>AVERAGEIFS($D$2:D904, $B$2:B904, B904)</f>
        <v>0.61111111111111116</v>
      </c>
    </row>
    <row r="905" spans="1:30" x14ac:dyDescent="0.25">
      <c r="A905" s="85">
        <v>46149</v>
      </c>
      <c r="B905" t="s">
        <v>13</v>
      </c>
      <c r="C905">
        <v>16</v>
      </c>
      <c r="D905" s="86">
        <v>1</v>
      </c>
      <c r="E905">
        <v>4</v>
      </c>
      <c r="F905">
        <v>3</v>
      </c>
      <c r="G905">
        <v>16</v>
      </c>
      <c r="H905">
        <v>10</v>
      </c>
      <c r="I905">
        <v>0.75</v>
      </c>
      <c r="J905">
        <v>0.63</v>
      </c>
      <c r="K905">
        <v>1</v>
      </c>
      <c r="L905">
        <v>0</v>
      </c>
      <c r="M905">
        <v>0</v>
      </c>
      <c r="N905">
        <v>1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1</v>
      </c>
      <c r="X905">
        <v>0</v>
      </c>
      <c r="Y905">
        <v>0</v>
      </c>
      <c r="Z905">
        <v>0</v>
      </c>
      <c r="AA905" s="86">
        <f>AVERAGEIFS($C$2:C905, $B$2:B905, B905)</f>
        <v>26.35483870967742</v>
      </c>
      <c r="AB905" s="86">
        <f>AVERAGEIFS($I$2:I905, $B$2:B905, B905)</f>
        <v>0.56209677419354842</v>
      </c>
      <c r="AC905" s="86">
        <f>AVERAGEIFS($J$2:J905, $B$2:B905, B905)</f>
        <v>0.5409677419354838</v>
      </c>
      <c r="AD905" s="86">
        <f>AVERAGEIFS($D$2:D905, $B$2:B905, B905)</f>
        <v>0.61290322580645162</v>
      </c>
    </row>
    <row r="906" spans="1:30" x14ac:dyDescent="0.25">
      <c r="A906" s="85">
        <v>46149</v>
      </c>
      <c r="B906" t="s">
        <v>15</v>
      </c>
      <c r="C906">
        <v>14</v>
      </c>
      <c r="D906" s="86">
        <v>1</v>
      </c>
      <c r="E906">
        <v>4</v>
      </c>
      <c r="F906">
        <v>3</v>
      </c>
      <c r="G906">
        <v>16</v>
      </c>
      <c r="H906">
        <v>10</v>
      </c>
      <c r="I906">
        <v>0.75</v>
      </c>
      <c r="J906">
        <v>0.63</v>
      </c>
      <c r="K906">
        <v>1</v>
      </c>
      <c r="L906">
        <v>0</v>
      </c>
      <c r="M906">
        <v>0</v>
      </c>
      <c r="N906">
        <v>1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1</v>
      </c>
      <c r="X906">
        <v>0</v>
      </c>
      <c r="Y906">
        <v>0</v>
      </c>
      <c r="Z906">
        <v>0</v>
      </c>
      <c r="AA906" s="86">
        <f>AVERAGEIFS($C$2:C906, $B$2:B906, B906)</f>
        <v>23.717948717948719</v>
      </c>
      <c r="AB906" s="86">
        <f>AVERAGEIFS($I$2:I906, $B$2:B906, B906)</f>
        <v>0.48333333333333339</v>
      </c>
      <c r="AC906" s="86">
        <f>AVERAGEIFS($J$2:J906, $B$2:B906, B906)</f>
        <v>0.4992307692307692</v>
      </c>
      <c r="AD906" s="86">
        <f>AVERAGEIFS($D$2:D906, $B$2:B906, B906)</f>
        <v>0.41025641025641024</v>
      </c>
    </row>
    <row r="907" spans="1:30" x14ac:dyDescent="0.25">
      <c r="A907" s="85">
        <v>46149</v>
      </c>
      <c r="B907" t="s">
        <v>29</v>
      </c>
      <c r="C907">
        <v>9</v>
      </c>
      <c r="D907" s="86">
        <v>1</v>
      </c>
      <c r="E907">
        <v>4</v>
      </c>
      <c r="F907">
        <v>3</v>
      </c>
      <c r="G907">
        <v>16</v>
      </c>
      <c r="H907">
        <v>10</v>
      </c>
      <c r="I907">
        <v>0.75</v>
      </c>
      <c r="J907">
        <v>0.63</v>
      </c>
      <c r="K907">
        <v>1</v>
      </c>
      <c r="L907">
        <v>0</v>
      </c>
      <c r="M907">
        <v>0</v>
      </c>
      <c r="N907">
        <v>1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1</v>
      </c>
      <c r="X907">
        <v>0</v>
      </c>
      <c r="Y907">
        <v>0</v>
      </c>
      <c r="Z907">
        <v>0</v>
      </c>
      <c r="AA907" s="86">
        <f>AVERAGEIFS($C$2:C907, $B$2:B907, B907)</f>
        <v>10.760869565217391</v>
      </c>
      <c r="AB907" s="86">
        <f>AVERAGEIFS($I$2:I907, $B$2:B907, B907)</f>
        <v>0.45869565217391306</v>
      </c>
      <c r="AC907" s="86">
        <f>AVERAGEIFS($J$2:J907, $B$2:B907, B907)</f>
        <v>0.49391304347826087</v>
      </c>
      <c r="AD907" s="86">
        <f>AVERAGEIFS($D$2:D907, $B$2:B907, B907)</f>
        <v>0.43478260869565216</v>
      </c>
    </row>
    <row r="908" spans="1:30" x14ac:dyDescent="0.25">
      <c r="A908" s="85">
        <v>46149</v>
      </c>
      <c r="B908" t="s">
        <v>18</v>
      </c>
      <c r="C908">
        <v>30</v>
      </c>
      <c r="D908" s="86">
        <v>1</v>
      </c>
      <c r="E908">
        <v>4</v>
      </c>
      <c r="F908">
        <v>3</v>
      </c>
      <c r="G908">
        <v>16</v>
      </c>
      <c r="H908">
        <v>10</v>
      </c>
      <c r="I908">
        <v>0.75</v>
      </c>
      <c r="J908">
        <v>0.63</v>
      </c>
      <c r="K908">
        <v>1</v>
      </c>
      <c r="L908">
        <v>0</v>
      </c>
      <c r="M908">
        <v>0</v>
      </c>
      <c r="N908">
        <v>1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1</v>
      </c>
      <c r="X908">
        <v>0</v>
      </c>
      <c r="Y908">
        <v>0</v>
      </c>
      <c r="Z908">
        <v>0</v>
      </c>
      <c r="AA908" s="86">
        <f>AVERAGEIFS($C$2:C908, $B$2:B908, B908)</f>
        <v>26.4375</v>
      </c>
      <c r="AB908" s="86">
        <f>AVERAGEIFS($I$2:I908, $B$2:B908, B908)</f>
        <v>0.48906250000000001</v>
      </c>
      <c r="AC908" s="86">
        <f>AVERAGEIFS($J$2:J908, $B$2:B908, B908)</f>
        <v>0.4925000000000001</v>
      </c>
      <c r="AD908" s="86">
        <f>AVERAGEIFS($D$2:D908, $B$2:B908, B908)</f>
        <v>0.5</v>
      </c>
    </row>
    <row r="909" spans="1:30" x14ac:dyDescent="0.25">
      <c r="A909" s="85">
        <v>46149</v>
      </c>
      <c r="B909" t="s">
        <v>141</v>
      </c>
      <c r="C909">
        <v>17</v>
      </c>
      <c r="D909" s="86">
        <v>1</v>
      </c>
      <c r="E909">
        <v>4</v>
      </c>
      <c r="F909">
        <v>3</v>
      </c>
      <c r="G909">
        <v>16</v>
      </c>
      <c r="H909">
        <v>10</v>
      </c>
      <c r="I909">
        <v>0.75</v>
      </c>
      <c r="J909">
        <v>0.63</v>
      </c>
      <c r="K909">
        <v>1</v>
      </c>
      <c r="L909">
        <v>0</v>
      </c>
      <c r="M909">
        <v>0</v>
      </c>
      <c r="N909">
        <v>1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1</v>
      </c>
      <c r="X909">
        <v>0</v>
      </c>
      <c r="Y909">
        <v>0</v>
      </c>
      <c r="Z909">
        <v>0</v>
      </c>
      <c r="AA909" s="86">
        <f>AVERAGEIFS($C$2:C909, $B$2:B909, B909)</f>
        <v>16.857142857142858</v>
      </c>
      <c r="AB909" s="86">
        <f>AVERAGEIFS($I$2:I909, $B$2:B909, B909)</f>
        <v>0.43571428571428567</v>
      </c>
      <c r="AC909" s="86">
        <f>AVERAGEIFS($J$2:J909, $B$2:B909, B909)</f>
        <v>0.45999999999999996</v>
      </c>
      <c r="AD909" s="86">
        <f>AVERAGEIFS($D$2:D909, $B$2:B909, B909)</f>
        <v>0.2857142857142857</v>
      </c>
    </row>
    <row r="910" spans="1:30" x14ac:dyDescent="0.25">
      <c r="A910" s="85">
        <v>46149</v>
      </c>
      <c r="B910" t="s">
        <v>155</v>
      </c>
      <c r="C910">
        <v>18</v>
      </c>
      <c r="D910" s="86">
        <v>1</v>
      </c>
      <c r="E910">
        <v>4</v>
      </c>
      <c r="F910">
        <v>3</v>
      </c>
      <c r="G910">
        <v>16</v>
      </c>
      <c r="H910">
        <v>10</v>
      </c>
      <c r="I910">
        <v>0.75</v>
      </c>
      <c r="J910">
        <v>0.63</v>
      </c>
      <c r="K910">
        <v>1</v>
      </c>
      <c r="L910">
        <v>0</v>
      </c>
      <c r="M910">
        <v>0</v>
      </c>
      <c r="N910">
        <v>1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1</v>
      </c>
      <c r="X910">
        <v>0</v>
      </c>
      <c r="Y910">
        <v>0</v>
      </c>
      <c r="Z910">
        <v>0</v>
      </c>
      <c r="AA910" s="86">
        <f>AVERAGEIFS($C$2:C910, $B$2:B910, B910)</f>
        <v>16.84</v>
      </c>
      <c r="AB910" s="86">
        <f>AVERAGEIFS($I$2:I910, $B$2:B910, B910)</f>
        <v>0.38</v>
      </c>
      <c r="AC910" s="86">
        <f>AVERAGEIFS($J$2:J910, $B$2:B910, B910)</f>
        <v>0.45600000000000002</v>
      </c>
      <c r="AD910" s="86">
        <f>AVERAGEIFS($D$2:D910, $B$2:B910, B910)</f>
        <v>0.32</v>
      </c>
    </row>
    <row r="911" spans="1:30" x14ac:dyDescent="0.25">
      <c r="A911" s="85">
        <v>46149</v>
      </c>
      <c r="B911" t="s">
        <v>35</v>
      </c>
      <c r="C911">
        <v>13</v>
      </c>
      <c r="D911" s="86">
        <v>1</v>
      </c>
      <c r="E911">
        <v>4</v>
      </c>
      <c r="F911">
        <v>3</v>
      </c>
      <c r="G911">
        <v>16</v>
      </c>
      <c r="H911">
        <v>10</v>
      </c>
      <c r="I911">
        <v>0.75</v>
      </c>
      <c r="J911">
        <v>0.63</v>
      </c>
      <c r="K911">
        <v>1</v>
      </c>
      <c r="L911">
        <v>0</v>
      </c>
      <c r="M911">
        <v>0</v>
      </c>
      <c r="N911">
        <v>1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1</v>
      </c>
      <c r="X911">
        <v>0</v>
      </c>
      <c r="Y911">
        <v>0</v>
      </c>
      <c r="Z911">
        <v>0</v>
      </c>
      <c r="AA911" s="86">
        <f>AVERAGEIFS($C$2:C911, $B$2:B911, B911)</f>
        <v>12.32258064516129</v>
      </c>
      <c r="AB911" s="86">
        <f>AVERAGEIFS($I$2:I911, $B$2:B911, B911)</f>
        <v>0.48225806451612901</v>
      </c>
      <c r="AC911" s="86">
        <f>AVERAGEIFS($J$2:J911, $B$2:B911, B911)</f>
        <v>0.48451612903225816</v>
      </c>
      <c r="AD911" s="86">
        <f>AVERAGEIFS($D$2:D911, $B$2:B911, B911)</f>
        <v>0.58064516129032262</v>
      </c>
    </row>
    <row r="912" spans="1:30" x14ac:dyDescent="0.25">
      <c r="A912" s="85">
        <v>46149</v>
      </c>
      <c r="B912" t="s">
        <v>6</v>
      </c>
      <c r="C912">
        <v>16</v>
      </c>
      <c r="D912" s="86">
        <v>0</v>
      </c>
      <c r="E912">
        <v>4</v>
      </c>
      <c r="F912">
        <v>1</v>
      </c>
      <c r="G912">
        <v>16</v>
      </c>
      <c r="H912">
        <v>6</v>
      </c>
      <c r="I912">
        <v>0.25</v>
      </c>
      <c r="J912">
        <v>0.38</v>
      </c>
      <c r="K912">
        <v>0</v>
      </c>
      <c r="L912">
        <v>1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0</v>
      </c>
      <c r="AA912" s="86">
        <f>AVERAGEIFS($C$2:C912, $B$2:B912, B912)</f>
        <v>22.724137931034484</v>
      </c>
      <c r="AB912" s="86">
        <f>AVERAGEIFS($I$2:I912, $B$2:B912, B912)</f>
        <v>0.63620689655172413</v>
      </c>
      <c r="AC912" s="86">
        <f>AVERAGEIFS($J$2:J912, $B$2:B912, B912)</f>
        <v>0.56172413793103448</v>
      </c>
      <c r="AD912" s="86">
        <f>AVERAGEIFS($D$2:D912, $B$2:B912, B912)</f>
        <v>0.68965517241379315</v>
      </c>
    </row>
    <row r="913" spans="1:30" x14ac:dyDescent="0.25">
      <c r="A913" s="85">
        <v>46149</v>
      </c>
      <c r="B913" t="s">
        <v>146</v>
      </c>
      <c r="C913">
        <v>8</v>
      </c>
      <c r="D913" s="86">
        <v>0</v>
      </c>
      <c r="E913">
        <v>4</v>
      </c>
      <c r="F913">
        <v>1</v>
      </c>
      <c r="G913">
        <v>16</v>
      </c>
      <c r="H913">
        <v>6</v>
      </c>
      <c r="I913">
        <v>0.25</v>
      </c>
      <c r="J913">
        <v>0.38</v>
      </c>
      <c r="K913">
        <v>0</v>
      </c>
      <c r="L913">
        <v>1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 s="86">
        <f>AVERAGEIFS($C$2:C913, $B$2:B913, B913)</f>
        <v>13</v>
      </c>
      <c r="AB913" s="86">
        <f>AVERAGEIFS($I$2:I913, $B$2:B913, B913)</f>
        <v>0.34285714285714286</v>
      </c>
      <c r="AC913" s="86">
        <f>AVERAGEIFS($J$2:J913, $B$2:B913, B913)</f>
        <v>0.43714285714285711</v>
      </c>
      <c r="AD913" s="86">
        <f>AVERAGEIFS($D$2:D913, $B$2:B913, B913)</f>
        <v>0.21428571428571427</v>
      </c>
    </row>
    <row r="914" spans="1:30" x14ac:dyDescent="0.25">
      <c r="A914" s="85">
        <v>46149</v>
      </c>
      <c r="B914" t="s">
        <v>154</v>
      </c>
      <c r="C914">
        <v>12</v>
      </c>
      <c r="D914" s="86">
        <v>0</v>
      </c>
      <c r="E914">
        <v>4</v>
      </c>
      <c r="F914">
        <v>1</v>
      </c>
      <c r="G914">
        <v>16</v>
      </c>
      <c r="H914">
        <v>6</v>
      </c>
      <c r="I914">
        <v>0.25</v>
      </c>
      <c r="J914">
        <v>0.38</v>
      </c>
      <c r="K914">
        <v>0</v>
      </c>
      <c r="L914">
        <v>1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</v>
      </c>
      <c r="AA914" s="86">
        <f>AVERAGEIFS($C$2:C914, $B$2:B914, B914)</f>
        <v>11.363636363636363</v>
      </c>
      <c r="AB914" s="86">
        <f>AVERAGEIFS($I$2:I914, $B$2:B914, B914)</f>
        <v>0.50909090909090915</v>
      </c>
      <c r="AC914" s="86">
        <f>AVERAGEIFS($J$2:J914, $B$2:B914, B914)</f>
        <v>0.51181818181818173</v>
      </c>
      <c r="AD914" s="86">
        <f>AVERAGEIFS($D$2:D914, $B$2:B914, B914)</f>
        <v>0.54545454545454541</v>
      </c>
    </row>
    <row r="915" spans="1:30" x14ac:dyDescent="0.25">
      <c r="A915" s="85">
        <v>46149</v>
      </c>
      <c r="B915" t="s">
        <v>113</v>
      </c>
      <c r="C915">
        <v>16</v>
      </c>
      <c r="D915" s="86">
        <v>0</v>
      </c>
      <c r="E915">
        <v>4</v>
      </c>
      <c r="F915">
        <v>1</v>
      </c>
      <c r="G915">
        <v>16</v>
      </c>
      <c r="H915">
        <v>6</v>
      </c>
      <c r="I915">
        <v>0.25</v>
      </c>
      <c r="J915">
        <v>0.38</v>
      </c>
      <c r="K915">
        <v>0</v>
      </c>
      <c r="L915">
        <v>1</v>
      </c>
      <c r="M915">
        <v>0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0</v>
      </c>
      <c r="AA915" s="86">
        <f>AVERAGEIFS($C$2:C915, $B$2:B915, B915)</f>
        <v>18.214285714285715</v>
      </c>
      <c r="AB915" s="86">
        <f>AVERAGEIFS($I$2:I915, $B$2:B915, B915)</f>
        <v>0.57857142857142863</v>
      </c>
      <c r="AC915" s="86">
        <f>AVERAGEIFS($J$2:J915, $B$2:B915, B915)</f>
        <v>0.5249999999999998</v>
      </c>
      <c r="AD915" s="86">
        <f>AVERAGEIFS($D$2:D915, $B$2:B915, B915)</f>
        <v>0.6428571428571429</v>
      </c>
    </row>
    <row r="916" spans="1:30" x14ac:dyDescent="0.25">
      <c r="A916" s="85">
        <v>46149</v>
      </c>
      <c r="B916" t="s">
        <v>5</v>
      </c>
      <c r="C916">
        <v>18</v>
      </c>
      <c r="D916" s="86">
        <v>0</v>
      </c>
      <c r="E916">
        <v>4</v>
      </c>
      <c r="F916">
        <v>1</v>
      </c>
      <c r="G916">
        <v>16</v>
      </c>
      <c r="H916">
        <v>6</v>
      </c>
      <c r="I916">
        <v>0.25</v>
      </c>
      <c r="J916">
        <v>0.38</v>
      </c>
      <c r="K916">
        <v>0</v>
      </c>
      <c r="L916">
        <v>1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0</v>
      </c>
      <c r="Z916">
        <v>0</v>
      </c>
      <c r="AA916" s="86">
        <f>AVERAGEIFS($C$2:C916, $B$2:B916, B916)</f>
        <v>24.578947368421051</v>
      </c>
      <c r="AB916" s="86">
        <f>AVERAGEIFS($I$2:I916, $B$2:B916, B916)</f>
        <v>0.50263157894736832</v>
      </c>
      <c r="AC916" s="86">
        <f>AVERAGEIFS($J$2:J916, $B$2:B916, B916)</f>
        <v>0.49631578947368421</v>
      </c>
      <c r="AD916" s="86">
        <f>AVERAGEIFS($D$2:D916, $B$2:B916, B916)</f>
        <v>0.52631578947368418</v>
      </c>
    </row>
    <row r="917" spans="1:30" x14ac:dyDescent="0.25">
      <c r="A917" s="85">
        <v>46149</v>
      </c>
      <c r="B917" t="s">
        <v>150</v>
      </c>
      <c r="C917">
        <v>15</v>
      </c>
      <c r="D917" s="86">
        <v>0</v>
      </c>
      <c r="E917">
        <v>4</v>
      </c>
      <c r="F917">
        <v>1</v>
      </c>
      <c r="G917">
        <v>16</v>
      </c>
      <c r="H917">
        <v>6</v>
      </c>
      <c r="I917">
        <v>0.25</v>
      </c>
      <c r="J917">
        <v>0.38</v>
      </c>
      <c r="K917">
        <v>0</v>
      </c>
      <c r="L917">
        <v>1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0</v>
      </c>
      <c r="Z917">
        <v>0</v>
      </c>
      <c r="AA917" s="86">
        <f>AVERAGEIFS($C$2:C917, $B$2:B917, B917)</f>
        <v>17.636363636363637</v>
      </c>
      <c r="AB917" s="86">
        <f>AVERAGEIFS($I$2:I917, $B$2:B917, B917)</f>
        <v>0.71363636363636362</v>
      </c>
      <c r="AC917" s="86">
        <f>AVERAGEIFS($J$2:J917, $B$2:B917, B917)</f>
        <v>0.63272727272727258</v>
      </c>
      <c r="AD917" s="86">
        <f>AVERAGEIFS($D$2:D917, $B$2:B917, B917)</f>
        <v>0.81818181818181823</v>
      </c>
    </row>
    <row r="918" spans="1:30" x14ac:dyDescent="0.25">
      <c r="A918" s="85">
        <v>46149</v>
      </c>
      <c r="B918" t="s">
        <v>140</v>
      </c>
      <c r="C918">
        <v>12</v>
      </c>
      <c r="D918" s="86">
        <v>0</v>
      </c>
      <c r="E918">
        <v>4</v>
      </c>
      <c r="F918">
        <v>1</v>
      </c>
      <c r="G918">
        <v>16</v>
      </c>
      <c r="H918">
        <v>6</v>
      </c>
      <c r="I918">
        <v>0.25</v>
      </c>
      <c r="J918">
        <v>0.38</v>
      </c>
      <c r="K918">
        <v>0</v>
      </c>
      <c r="L918">
        <v>1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</v>
      </c>
      <c r="AA918" s="86">
        <f>AVERAGEIFS($C$2:C918, $B$2:B918, B918)</f>
        <v>9.0666666666666664</v>
      </c>
      <c r="AB918" s="86">
        <f>AVERAGEIFS($I$2:I918, $B$2:B918, B918)</f>
        <v>0.48000000000000004</v>
      </c>
      <c r="AC918" s="86">
        <f>AVERAGEIFS($J$2:J918, $B$2:B918, B918)</f>
        <v>0.4993333333333333</v>
      </c>
      <c r="AD918" s="86">
        <f>AVERAGEIFS($D$2:D918, $B$2:B918, B918)</f>
        <v>0.53333333333333333</v>
      </c>
    </row>
    <row r="919" spans="1:30" x14ac:dyDescent="0.25">
      <c r="A919" s="85">
        <v>46149</v>
      </c>
      <c r="B919" t="s">
        <v>6</v>
      </c>
      <c r="C919">
        <v>66</v>
      </c>
      <c r="D919" s="86">
        <v>1</v>
      </c>
      <c r="E919">
        <v>5</v>
      </c>
      <c r="F919">
        <v>3</v>
      </c>
      <c r="G919">
        <v>21</v>
      </c>
      <c r="H919">
        <v>11</v>
      </c>
      <c r="I919">
        <v>0.6</v>
      </c>
      <c r="J919">
        <v>0.52</v>
      </c>
      <c r="K919">
        <v>0</v>
      </c>
      <c r="L919">
        <v>0</v>
      </c>
      <c r="M919">
        <v>1</v>
      </c>
      <c r="N919">
        <v>1</v>
      </c>
      <c r="O919">
        <v>1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 s="86">
        <f>AVERAGEIFS($C$2:C919, $B$2:B919, B919)</f>
        <v>24.166666666666668</v>
      </c>
      <c r="AB919" s="86">
        <f>AVERAGEIFS($I$2:I919, $B$2:B919, B919)</f>
        <v>0.63500000000000001</v>
      </c>
      <c r="AC919" s="86">
        <f>AVERAGEIFS($J$2:J919, $B$2:B919, B919)</f>
        <v>0.56033333333333324</v>
      </c>
      <c r="AD919" s="86">
        <f>AVERAGEIFS($D$2:D919, $B$2:B919, B919)</f>
        <v>0.7</v>
      </c>
    </row>
    <row r="920" spans="1:30" x14ac:dyDescent="0.25">
      <c r="A920" s="85">
        <v>46149</v>
      </c>
      <c r="B920" t="s">
        <v>113</v>
      </c>
      <c r="C920">
        <v>50</v>
      </c>
      <c r="D920" s="86">
        <v>1</v>
      </c>
      <c r="E920">
        <v>5</v>
      </c>
      <c r="F920">
        <v>3</v>
      </c>
      <c r="G920">
        <v>21</v>
      </c>
      <c r="H920">
        <v>11</v>
      </c>
      <c r="I920">
        <v>0.6</v>
      </c>
      <c r="J920">
        <v>0.52</v>
      </c>
      <c r="K920">
        <v>0</v>
      </c>
      <c r="L920">
        <v>0</v>
      </c>
      <c r="M920">
        <v>1</v>
      </c>
      <c r="N920">
        <v>1</v>
      </c>
      <c r="O920">
        <v>1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0</v>
      </c>
      <c r="Z920">
        <v>0</v>
      </c>
      <c r="AA920" s="86">
        <f>AVERAGEIFS($C$2:C920, $B$2:B920, B920)</f>
        <v>20.333333333333332</v>
      </c>
      <c r="AB920" s="86">
        <f>AVERAGEIFS($I$2:I920, $B$2:B920, B920)</f>
        <v>0.58000000000000007</v>
      </c>
      <c r="AC920" s="86">
        <f>AVERAGEIFS($J$2:J920, $B$2:B920, B920)</f>
        <v>0.5246666666666665</v>
      </c>
      <c r="AD920" s="86">
        <f>AVERAGEIFS($D$2:D920, $B$2:B920, B920)</f>
        <v>0.66666666666666663</v>
      </c>
    </row>
    <row r="921" spans="1:30" x14ac:dyDescent="0.25">
      <c r="A921" s="85">
        <v>46149</v>
      </c>
      <c r="B921" t="s">
        <v>40</v>
      </c>
      <c r="C921">
        <v>40</v>
      </c>
      <c r="D921" s="86">
        <v>1</v>
      </c>
      <c r="E921">
        <v>5</v>
      </c>
      <c r="F921">
        <v>3</v>
      </c>
      <c r="G921">
        <v>21</v>
      </c>
      <c r="H921">
        <v>11</v>
      </c>
      <c r="I921">
        <v>0.6</v>
      </c>
      <c r="J921">
        <v>0.52</v>
      </c>
      <c r="K921">
        <v>0</v>
      </c>
      <c r="L921">
        <v>0</v>
      </c>
      <c r="M921">
        <v>1</v>
      </c>
      <c r="N921">
        <v>1</v>
      </c>
      <c r="O921">
        <v>1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0</v>
      </c>
      <c r="Z921">
        <v>0</v>
      </c>
      <c r="AA921" s="86">
        <f>AVERAGEIFS($C$2:C921, $B$2:B921, B921)</f>
        <v>19.375</v>
      </c>
      <c r="AB921" s="86">
        <f>AVERAGEIFS($I$2:I921, $B$2:B921, B921)</f>
        <v>0.45624999999999993</v>
      </c>
      <c r="AC921" s="86">
        <f>AVERAGEIFS($J$2:J921, $B$2:B921, B921)</f>
        <v>0.45437499999999997</v>
      </c>
      <c r="AD921" s="86">
        <f>AVERAGEIFS($D$2:D921, $B$2:B921, B921)</f>
        <v>0.375</v>
      </c>
    </row>
    <row r="922" spans="1:30" x14ac:dyDescent="0.25">
      <c r="A922" s="85">
        <v>46149</v>
      </c>
      <c r="B922" t="s">
        <v>147</v>
      </c>
      <c r="C922">
        <v>35</v>
      </c>
      <c r="D922" s="86">
        <v>1</v>
      </c>
      <c r="E922">
        <v>5</v>
      </c>
      <c r="F922">
        <v>3</v>
      </c>
      <c r="G922">
        <v>21</v>
      </c>
      <c r="H922">
        <v>11</v>
      </c>
      <c r="I922">
        <v>0.6</v>
      </c>
      <c r="J922">
        <v>0.52</v>
      </c>
      <c r="K922">
        <v>0</v>
      </c>
      <c r="L922">
        <v>0</v>
      </c>
      <c r="M922">
        <v>1</v>
      </c>
      <c r="N922">
        <v>1</v>
      </c>
      <c r="O922">
        <v>1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0</v>
      </c>
      <c r="Z922">
        <v>0</v>
      </c>
      <c r="AA922" s="86">
        <f>AVERAGEIFS($C$2:C922, $B$2:B922, B922)</f>
        <v>18.727272727272727</v>
      </c>
      <c r="AB922" s="86">
        <f>AVERAGEIFS($I$2:I922, $B$2:B922, B922)</f>
        <v>0.35909090909090913</v>
      </c>
      <c r="AC922" s="86">
        <f>AVERAGEIFS($J$2:J922, $B$2:B922, B922)</f>
        <v>0.43636363636363645</v>
      </c>
      <c r="AD922" s="86">
        <f>AVERAGEIFS($D$2:D922, $B$2:B922, B922)</f>
        <v>0.27272727272727271</v>
      </c>
    </row>
    <row r="923" spans="1:30" x14ac:dyDescent="0.25">
      <c r="A923" s="85">
        <v>46149</v>
      </c>
      <c r="B923" t="s">
        <v>154</v>
      </c>
      <c r="C923">
        <v>35</v>
      </c>
      <c r="D923" s="86">
        <v>1</v>
      </c>
      <c r="E923">
        <v>5</v>
      </c>
      <c r="F923">
        <v>3</v>
      </c>
      <c r="G923">
        <v>21</v>
      </c>
      <c r="H923">
        <v>11</v>
      </c>
      <c r="I923">
        <v>0.6</v>
      </c>
      <c r="J923">
        <v>0.52</v>
      </c>
      <c r="K923">
        <v>0</v>
      </c>
      <c r="L923">
        <v>0</v>
      </c>
      <c r="M923">
        <v>1</v>
      </c>
      <c r="N923">
        <v>1</v>
      </c>
      <c r="O923">
        <v>1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0</v>
      </c>
      <c r="Y923">
        <v>0</v>
      </c>
      <c r="Z923">
        <v>0</v>
      </c>
      <c r="AA923" s="86">
        <f>AVERAGEIFS($C$2:C923, $B$2:B923, B923)</f>
        <v>13.333333333333334</v>
      </c>
      <c r="AB923" s="86">
        <f>AVERAGEIFS($I$2:I923, $B$2:B923, B923)</f>
        <v>0.51666666666666672</v>
      </c>
      <c r="AC923" s="86">
        <f>AVERAGEIFS($J$2:J923, $B$2:B923, B923)</f>
        <v>0.51249999999999984</v>
      </c>
      <c r="AD923" s="86">
        <f>AVERAGEIFS($D$2:D923, $B$2:B923, B923)</f>
        <v>0.58333333333333337</v>
      </c>
    </row>
    <row r="924" spans="1:30" x14ac:dyDescent="0.25">
      <c r="A924" s="85">
        <v>46149</v>
      </c>
      <c r="B924" t="s">
        <v>146</v>
      </c>
      <c r="C924">
        <v>22</v>
      </c>
      <c r="D924" s="86">
        <v>1</v>
      </c>
      <c r="E924">
        <v>5</v>
      </c>
      <c r="F924">
        <v>3</v>
      </c>
      <c r="G924">
        <v>21</v>
      </c>
      <c r="H924">
        <v>11</v>
      </c>
      <c r="I924">
        <v>0.6</v>
      </c>
      <c r="J924">
        <v>0.52</v>
      </c>
      <c r="K924">
        <v>0</v>
      </c>
      <c r="L924">
        <v>0</v>
      </c>
      <c r="M924">
        <v>1</v>
      </c>
      <c r="N924">
        <v>1</v>
      </c>
      <c r="O924">
        <v>1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0</v>
      </c>
      <c r="Z924">
        <v>0</v>
      </c>
      <c r="AA924" s="86">
        <f>AVERAGEIFS($C$2:C924, $B$2:B924, B924)</f>
        <v>13.6</v>
      </c>
      <c r="AB924" s="86">
        <f>AVERAGEIFS($I$2:I924, $B$2:B924, B924)</f>
        <v>0.36</v>
      </c>
      <c r="AC924" s="86">
        <f>AVERAGEIFS($J$2:J924, $B$2:B924, B924)</f>
        <v>0.4426666666666666</v>
      </c>
      <c r="AD924" s="86">
        <f>AVERAGEIFS($D$2:D924, $B$2:B924, B924)</f>
        <v>0.26666666666666666</v>
      </c>
    </row>
    <row r="925" spans="1:30" x14ac:dyDescent="0.25">
      <c r="A925" s="85">
        <v>46149</v>
      </c>
      <c r="B925" t="s">
        <v>2</v>
      </c>
      <c r="C925">
        <v>68</v>
      </c>
      <c r="D925" s="86">
        <v>0</v>
      </c>
      <c r="E925">
        <v>5</v>
      </c>
      <c r="F925">
        <v>2</v>
      </c>
      <c r="G925">
        <v>21</v>
      </c>
      <c r="H925">
        <v>10</v>
      </c>
      <c r="I925">
        <v>0.4</v>
      </c>
      <c r="J925">
        <v>0.48</v>
      </c>
      <c r="K925">
        <v>0</v>
      </c>
      <c r="L925">
        <v>0</v>
      </c>
      <c r="M925">
        <v>0</v>
      </c>
      <c r="N925">
        <v>0</v>
      </c>
      <c r="O925">
        <v>0</v>
      </c>
      <c r="P925">
        <v>1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1</v>
      </c>
      <c r="Y925">
        <v>0</v>
      </c>
      <c r="Z925">
        <v>0</v>
      </c>
      <c r="AA925" s="86">
        <f>AVERAGEIFS($C$2:C925, $B$2:B925, B925)</f>
        <v>29.166666666666668</v>
      </c>
      <c r="AB925" s="86">
        <f>AVERAGEIFS($I$2:I925, $B$2:B925, B925)</f>
        <v>0.60277777777777786</v>
      </c>
      <c r="AC925" s="86">
        <f>AVERAGEIFS($J$2:J925, $B$2:B925, B925)</f>
        <v>0.55222222222222217</v>
      </c>
      <c r="AD925" s="86">
        <f>AVERAGEIFS($D$2:D925, $B$2:B925, B925)</f>
        <v>0.55555555555555558</v>
      </c>
    </row>
    <row r="926" spans="1:30" x14ac:dyDescent="0.25">
      <c r="A926" s="85">
        <v>46149</v>
      </c>
      <c r="B926" t="s">
        <v>18</v>
      </c>
      <c r="C926">
        <v>58</v>
      </c>
      <c r="D926" s="86">
        <v>0</v>
      </c>
      <c r="E926">
        <v>5</v>
      </c>
      <c r="F926">
        <v>2</v>
      </c>
      <c r="G926">
        <v>21</v>
      </c>
      <c r="H926">
        <v>10</v>
      </c>
      <c r="I926">
        <v>0.4</v>
      </c>
      <c r="J926">
        <v>0.48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1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1</v>
      </c>
      <c r="Y926">
        <v>0</v>
      </c>
      <c r="Z926">
        <v>0</v>
      </c>
      <c r="AA926" s="86">
        <f>AVERAGEIFS($C$2:C926, $B$2:B926, B926)</f>
        <v>27.393939393939394</v>
      </c>
      <c r="AB926" s="86">
        <f>AVERAGEIFS($I$2:I926, $B$2:B926, B926)</f>
        <v>0.48636363636363639</v>
      </c>
      <c r="AC926" s="86">
        <f>AVERAGEIFS($J$2:J926, $B$2:B926, B926)</f>
        <v>0.49212121212121218</v>
      </c>
      <c r="AD926" s="86">
        <f>AVERAGEIFS($D$2:D926, $B$2:B926, B926)</f>
        <v>0.48484848484848486</v>
      </c>
    </row>
    <row r="927" spans="1:30" x14ac:dyDescent="0.25">
      <c r="A927" s="85">
        <v>46149</v>
      </c>
      <c r="B927" t="s">
        <v>25</v>
      </c>
      <c r="C927">
        <v>50</v>
      </c>
      <c r="D927" s="86">
        <v>0</v>
      </c>
      <c r="E927">
        <v>5</v>
      </c>
      <c r="F927">
        <v>2</v>
      </c>
      <c r="G927">
        <v>21</v>
      </c>
      <c r="H927">
        <v>10</v>
      </c>
      <c r="I927">
        <v>0.4</v>
      </c>
      <c r="J927">
        <v>0.48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1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1</v>
      </c>
      <c r="Y927">
        <v>0</v>
      </c>
      <c r="Z927">
        <v>0</v>
      </c>
      <c r="AA927" s="86">
        <f>AVERAGEIFS($C$2:C927, $B$2:B927, B927)</f>
        <v>18.566666666666666</v>
      </c>
      <c r="AB927" s="86">
        <f>AVERAGEIFS($I$2:I927, $B$2:B927, B927)</f>
        <v>0.56333333333333324</v>
      </c>
      <c r="AC927" s="86">
        <f>AVERAGEIFS($J$2:J927, $B$2:B927, B927)</f>
        <v>0.52333333333333332</v>
      </c>
      <c r="AD927" s="86">
        <f>AVERAGEIFS($D$2:D927, $B$2:B927, B927)</f>
        <v>0.56666666666666665</v>
      </c>
    </row>
    <row r="928" spans="1:30" x14ac:dyDescent="0.25">
      <c r="A928" s="85">
        <v>46149</v>
      </c>
      <c r="B928" t="s">
        <v>150</v>
      </c>
      <c r="C928">
        <v>41</v>
      </c>
      <c r="D928" s="86">
        <v>0</v>
      </c>
      <c r="E928">
        <v>5</v>
      </c>
      <c r="F928">
        <v>2</v>
      </c>
      <c r="G928">
        <v>21</v>
      </c>
      <c r="H928">
        <v>10</v>
      </c>
      <c r="I928">
        <v>0.4</v>
      </c>
      <c r="J928">
        <v>0.48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1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1</v>
      </c>
      <c r="Y928">
        <v>0</v>
      </c>
      <c r="Z928">
        <v>0</v>
      </c>
      <c r="AA928" s="86">
        <f>AVERAGEIFS($C$2:C928, $B$2:B928, B928)</f>
        <v>19.583333333333332</v>
      </c>
      <c r="AB928" s="86">
        <f>AVERAGEIFS($I$2:I928, $B$2:B928, B928)</f>
        <v>0.6875</v>
      </c>
      <c r="AC928" s="86">
        <f>AVERAGEIFS($J$2:J928, $B$2:B928, B928)</f>
        <v>0.61999999999999977</v>
      </c>
      <c r="AD928" s="86">
        <f>AVERAGEIFS($D$2:D928, $B$2:B928, B928)</f>
        <v>0.75</v>
      </c>
    </row>
    <row r="929" spans="1:30" x14ac:dyDescent="0.25">
      <c r="A929" s="85">
        <v>46149</v>
      </c>
      <c r="B929" t="s">
        <v>45</v>
      </c>
      <c r="C929">
        <v>29</v>
      </c>
      <c r="D929" s="86">
        <v>0</v>
      </c>
      <c r="E929">
        <v>5</v>
      </c>
      <c r="F929">
        <v>2</v>
      </c>
      <c r="G929">
        <v>21</v>
      </c>
      <c r="H929">
        <v>10</v>
      </c>
      <c r="I929">
        <v>0.4</v>
      </c>
      <c r="J929">
        <v>0.48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1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1</v>
      </c>
      <c r="Y929">
        <v>0</v>
      </c>
      <c r="Z929">
        <v>0</v>
      </c>
      <c r="AA929" s="86">
        <f>AVERAGEIFS($C$2:C929, $B$2:B929, B929)</f>
        <v>13.434782608695652</v>
      </c>
      <c r="AB929" s="86">
        <f>AVERAGEIFS($I$2:I929, $B$2:B929, B929)</f>
        <v>0.46086956521739136</v>
      </c>
      <c r="AC929" s="86">
        <f>AVERAGEIFS($J$2:J929, $B$2:B929, B929)</f>
        <v>0.48130434782608705</v>
      </c>
      <c r="AD929" s="86">
        <f>AVERAGEIFS($D$2:D929, $B$2:B929, B929)</f>
        <v>0.39130434782608697</v>
      </c>
    </row>
    <row r="930" spans="1:30" x14ac:dyDescent="0.25">
      <c r="A930" s="85">
        <v>46149</v>
      </c>
      <c r="B930" t="s">
        <v>140</v>
      </c>
      <c r="C930">
        <v>18</v>
      </c>
      <c r="D930" s="86">
        <v>0</v>
      </c>
      <c r="E930">
        <v>5</v>
      </c>
      <c r="F930">
        <v>2</v>
      </c>
      <c r="G930">
        <v>21</v>
      </c>
      <c r="H930">
        <v>10</v>
      </c>
      <c r="I930">
        <v>0.4</v>
      </c>
      <c r="J930">
        <v>0.48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1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1</v>
      </c>
      <c r="Y930">
        <v>0</v>
      </c>
      <c r="Z930">
        <v>0</v>
      </c>
      <c r="AA930" s="86">
        <f>AVERAGEIFS($C$2:C930, $B$2:B930, B930)</f>
        <v>9.625</v>
      </c>
      <c r="AB930" s="86">
        <f>AVERAGEIFS($I$2:I930, $B$2:B930, B930)</f>
        <v>0.47500000000000003</v>
      </c>
      <c r="AC930" s="86">
        <f>AVERAGEIFS($J$2:J930, $B$2:B930, B930)</f>
        <v>0.49812499999999993</v>
      </c>
      <c r="AD930" s="86">
        <f>AVERAGEIFS($D$2:D930, $B$2:B930, B930)</f>
        <v>0.5</v>
      </c>
    </row>
    <row r="931" spans="1:30" x14ac:dyDescent="0.25">
      <c r="A931" s="85">
        <v>46150</v>
      </c>
      <c r="B931" t="s">
        <v>35</v>
      </c>
      <c r="C931">
        <v>17</v>
      </c>
      <c r="D931" s="86">
        <v>1</v>
      </c>
      <c r="E931">
        <v>4</v>
      </c>
      <c r="F931">
        <v>4</v>
      </c>
      <c r="G931">
        <v>16</v>
      </c>
      <c r="H931">
        <v>12</v>
      </c>
      <c r="I931">
        <v>1</v>
      </c>
      <c r="J931">
        <v>0.75</v>
      </c>
      <c r="K931">
        <v>0</v>
      </c>
      <c r="L931">
        <v>1</v>
      </c>
      <c r="M931">
        <v>0</v>
      </c>
      <c r="N931">
        <v>1</v>
      </c>
      <c r="O931">
        <v>0</v>
      </c>
      <c r="P931">
        <v>0</v>
      </c>
      <c r="Q931">
        <v>0</v>
      </c>
      <c r="R931">
        <v>1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1</v>
      </c>
      <c r="Y931">
        <v>0</v>
      </c>
      <c r="Z931">
        <v>0</v>
      </c>
      <c r="AA931" s="86">
        <f>AVERAGEIFS($C$2:C931, $B$2:B931, B931)</f>
        <v>12.46875</v>
      </c>
      <c r="AB931" s="86">
        <f>AVERAGEIFS($I$2:I931, $B$2:B931, B931)</f>
        <v>0.49843749999999998</v>
      </c>
      <c r="AC931" s="86">
        <f>AVERAGEIFS($J$2:J931, $B$2:B931, B931)</f>
        <v>0.4928125000000001</v>
      </c>
      <c r="AD931" s="86">
        <f>AVERAGEIFS($D$2:D931, $B$2:B931, B931)</f>
        <v>0.59375</v>
      </c>
    </row>
    <row r="932" spans="1:30" x14ac:dyDescent="0.25">
      <c r="A932" s="85">
        <v>46150</v>
      </c>
      <c r="B932" t="s">
        <v>17</v>
      </c>
      <c r="C932">
        <v>17</v>
      </c>
      <c r="D932" s="86">
        <v>1</v>
      </c>
      <c r="E932">
        <v>4</v>
      </c>
      <c r="F932">
        <v>4</v>
      </c>
      <c r="G932">
        <v>16</v>
      </c>
      <c r="H932">
        <v>12</v>
      </c>
      <c r="I932">
        <v>1</v>
      </c>
      <c r="J932">
        <v>0.75</v>
      </c>
      <c r="K932">
        <v>0</v>
      </c>
      <c r="L932">
        <v>1</v>
      </c>
      <c r="M932">
        <v>0</v>
      </c>
      <c r="N932">
        <v>1</v>
      </c>
      <c r="O932">
        <v>0</v>
      </c>
      <c r="P932">
        <v>0</v>
      </c>
      <c r="Q932">
        <v>0</v>
      </c>
      <c r="R932">
        <v>1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1</v>
      </c>
      <c r="Y932">
        <v>0</v>
      </c>
      <c r="Z932">
        <v>0</v>
      </c>
      <c r="AA932" s="86">
        <f>AVERAGEIFS($C$2:C932, $B$2:B932, B932)</f>
        <v>24.90909090909091</v>
      </c>
      <c r="AB932" s="86">
        <f>AVERAGEIFS($I$2:I932, $B$2:B932, B932)</f>
        <v>0.49090909090909102</v>
      </c>
      <c r="AC932" s="86">
        <f>AVERAGEIFS($J$2:J932, $B$2:B932, B932)</f>
        <v>0.5072727272727271</v>
      </c>
      <c r="AD932" s="86">
        <f>AVERAGEIFS($D$2:D932, $B$2:B932, B932)</f>
        <v>0.43636363636363634</v>
      </c>
    </row>
    <row r="933" spans="1:30" x14ac:dyDescent="0.25">
      <c r="A933" s="85">
        <v>46150</v>
      </c>
      <c r="B933" t="s">
        <v>179</v>
      </c>
      <c r="C933">
        <v>14</v>
      </c>
      <c r="D933" s="86">
        <v>1</v>
      </c>
      <c r="E933">
        <v>4</v>
      </c>
      <c r="F933">
        <v>4</v>
      </c>
      <c r="G933">
        <v>16</v>
      </c>
      <c r="H933">
        <v>12</v>
      </c>
      <c r="I933">
        <v>1</v>
      </c>
      <c r="J933">
        <v>0.75</v>
      </c>
      <c r="K933">
        <v>0</v>
      </c>
      <c r="L933">
        <v>1</v>
      </c>
      <c r="M933">
        <v>0</v>
      </c>
      <c r="N933">
        <v>1</v>
      </c>
      <c r="O933">
        <v>0</v>
      </c>
      <c r="P933">
        <v>0</v>
      </c>
      <c r="Q933">
        <v>0</v>
      </c>
      <c r="R933">
        <v>1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1</v>
      </c>
      <c r="Y933">
        <v>0</v>
      </c>
      <c r="Z933">
        <v>0</v>
      </c>
      <c r="AA933" s="86">
        <f>AVERAGEIFS($C$2:C933, $B$2:B933, B933)</f>
        <v>14</v>
      </c>
      <c r="AB933" s="86">
        <f>AVERAGEIFS($I$2:I933, $B$2:B933, B933)</f>
        <v>0.8125</v>
      </c>
      <c r="AC933" s="86">
        <f>AVERAGEIFS($J$2:J933, $B$2:B933, B933)</f>
        <v>0.59749999999999992</v>
      </c>
      <c r="AD933" s="86">
        <f>AVERAGEIFS($D$2:D933, $B$2:B933, B933)</f>
        <v>0.75</v>
      </c>
    </row>
    <row r="934" spans="1:30" x14ac:dyDescent="0.25">
      <c r="A934" s="85">
        <v>46150</v>
      </c>
      <c r="B934" t="s">
        <v>29</v>
      </c>
      <c r="C934">
        <v>11</v>
      </c>
      <c r="D934" s="86">
        <v>1</v>
      </c>
      <c r="E934">
        <v>4</v>
      </c>
      <c r="F934">
        <v>4</v>
      </c>
      <c r="G934">
        <v>16</v>
      </c>
      <c r="H934">
        <v>12</v>
      </c>
      <c r="I934">
        <v>1</v>
      </c>
      <c r="J934">
        <v>0.75</v>
      </c>
      <c r="K934">
        <v>0</v>
      </c>
      <c r="L934">
        <v>1</v>
      </c>
      <c r="M934">
        <v>0</v>
      </c>
      <c r="N934">
        <v>1</v>
      </c>
      <c r="O934">
        <v>0</v>
      </c>
      <c r="P934">
        <v>0</v>
      </c>
      <c r="Q934">
        <v>0</v>
      </c>
      <c r="R934">
        <v>1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1</v>
      </c>
      <c r="Y934">
        <v>0</v>
      </c>
      <c r="Z934">
        <v>0</v>
      </c>
      <c r="AA934" s="86">
        <f>AVERAGEIFS($C$2:C934, $B$2:B934, B934)</f>
        <v>10.76595744680851</v>
      </c>
      <c r="AB934" s="86">
        <f>AVERAGEIFS($I$2:I934, $B$2:B934, B934)</f>
        <v>0.47021276595744682</v>
      </c>
      <c r="AC934" s="86">
        <f>AVERAGEIFS($J$2:J934, $B$2:B934, B934)</f>
        <v>0.49936170212765957</v>
      </c>
      <c r="AD934" s="86">
        <f>AVERAGEIFS($D$2:D934, $B$2:B934, B934)</f>
        <v>0.44680851063829785</v>
      </c>
    </row>
    <row r="935" spans="1:30" x14ac:dyDescent="0.25">
      <c r="A935" s="85">
        <v>46150</v>
      </c>
      <c r="B935" t="s">
        <v>148</v>
      </c>
      <c r="C935">
        <v>11</v>
      </c>
      <c r="D935" s="86">
        <v>1</v>
      </c>
      <c r="E935">
        <v>4</v>
      </c>
      <c r="F935">
        <v>4</v>
      </c>
      <c r="G935">
        <v>16</v>
      </c>
      <c r="H935">
        <v>12</v>
      </c>
      <c r="I935">
        <v>1</v>
      </c>
      <c r="J935">
        <v>0.75</v>
      </c>
      <c r="K935">
        <v>0</v>
      </c>
      <c r="L935">
        <v>1</v>
      </c>
      <c r="M935">
        <v>0</v>
      </c>
      <c r="N935">
        <v>1</v>
      </c>
      <c r="O935">
        <v>0</v>
      </c>
      <c r="P935">
        <v>0</v>
      </c>
      <c r="Q935">
        <v>0</v>
      </c>
      <c r="R935">
        <v>1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1</v>
      </c>
      <c r="Y935">
        <v>0</v>
      </c>
      <c r="Z935">
        <v>0</v>
      </c>
      <c r="AA935" s="86">
        <f>AVERAGEIFS($C$2:C935, $B$2:B935, B935)</f>
        <v>13.193548387096774</v>
      </c>
      <c r="AB935" s="86">
        <f>AVERAGEIFS($I$2:I935, $B$2:B935, B935)</f>
        <v>0.5532258064516129</v>
      </c>
      <c r="AC935" s="86">
        <f>AVERAGEIFS($J$2:J935, $B$2:B935, B935)</f>
        <v>0.52290322580645165</v>
      </c>
      <c r="AD935" s="86">
        <f>AVERAGEIFS($D$2:D935, $B$2:B935, B935)</f>
        <v>0.58064516129032262</v>
      </c>
    </row>
    <row r="936" spans="1:30" x14ac:dyDescent="0.25">
      <c r="A936" s="85">
        <v>46150</v>
      </c>
      <c r="B936" t="s">
        <v>13</v>
      </c>
      <c r="C936">
        <v>10</v>
      </c>
      <c r="D936" s="86">
        <v>1</v>
      </c>
      <c r="E936">
        <v>4</v>
      </c>
      <c r="F936">
        <v>4</v>
      </c>
      <c r="G936">
        <v>16</v>
      </c>
      <c r="H936">
        <v>12</v>
      </c>
      <c r="I936">
        <v>1</v>
      </c>
      <c r="J936">
        <v>0.75</v>
      </c>
      <c r="K936">
        <v>0</v>
      </c>
      <c r="L936">
        <v>1</v>
      </c>
      <c r="M936">
        <v>0</v>
      </c>
      <c r="N936">
        <v>1</v>
      </c>
      <c r="O936">
        <v>0</v>
      </c>
      <c r="P936">
        <v>0</v>
      </c>
      <c r="Q936">
        <v>0</v>
      </c>
      <c r="R936">
        <v>1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1</v>
      </c>
      <c r="Y936">
        <v>0</v>
      </c>
      <c r="Z936">
        <v>0</v>
      </c>
      <c r="AA936" s="86">
        <f>AVERAGEIFS($C$2:C936, $B$2:B936, B936)</f>
        <v>26.095238095238095</v>
      </c>
      <c r="AB936" s="86">
        <f>AVERAGEIFS($I$2:I936, $B$2:B936, B936)</f>
        <v>0.56904761904761902</v>
      </c>
      <c r="AC936" s="86">
        <f>AVERAGEIFS($J$2:J936, $B$2:B936, B936)</f>
        <v>0.54428571428571426</v>
      </c>
      <c r="AD936" s="86">
        <f>AVERAGEIFS($D$2:D936, $B$2:B936, B936)</f>
        <v>0.61904761904761907</v>
      </c>
    </row>
    <row r="937" spans="1:30" x14ac:dyDescent="0.25">
      <c r="A937" s="85">
        <v>46150</v>
      </c>
      <c r="B937" t="s">
        <v>4</v>
      </c>
      <c r="C937">
        <v>17</v>
      </c>
      <c r="D937" s="86">
        <v>0</v>
      </c>
      <c r="E937">
        <v>4</v>
      </c>
      <c r="F937">
        <v>0</v>
      </c>
      <c r="G937">
        <v>16</v>
      </c>
      <c r="H937">
        <v>4</v>
      </c>
      <c r="I937">
        <v>0</v>
      </c>
      <c r="J937">
        <v>0.25</v>
      </c>
      <c r="K937">
        <v>0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 s="86">
        <f>AVERAGEIFS($C$2:C937, $B$2:B937, B937)</f>
        <v>22.153846153846153</v>
      </c>
      <c r="AB937" s="86">
        <f>AVERAGEIFS($I$2:I937, $B$2:B937, B937)</f>
        <v>0.44615384615384612</v>
      </c>
      <c r="AC937" s="86">
        <f>AVERAGEIFS($J$2:J937, $B$2:B937, B937)</f>
        <v>0.4646153846153846</v>
      </c>
      <c r="AD937" s="86">
        <f>AVERAGEIFS($D$2:D937, $B$2:B937, B937)</f>
        <v>0.53846153846153844</v>
      </c>
    </row>
    <row r="938" spans="1:30" x14ac:dyDescent="0.25">
      <c r="A938" s="85">
        <v>46150</v>
      </c>
      <c r="B938" t="s">
        <v>15</v>
      </c>
      <c r="C938">
        <v>14</v>
      </c>
      <c r="D938" s="86">
        <v>0</v>
      </c>
      <c r="E938">
        <v>4</v>
      </c>
      <c r="F938">
        <v>0</v>
      </c>
      <c r="G938">
        <v>16</v>
      </c>
      <c r="H938">
        <v>4</v>
      </c>
      <c r="I938">
        <v>0</v>
      </c>
      <c r="J938">
        <v>0.25</v>
      </c>
      <c r="K938">
        <v>0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0</v>
      </c>
      <c r="AA938" s="86">
        <f>AVERAGEIFS($C$2:C938, $B$2:B938, B938)</f>
        <v>23.475000000000001</v>
      </c>
      <c r="AB938" s="86">
        <f>AVERAGEIFS($I$2:I938, $B$2:B938, B938)</f>
        <v>0.47125000000000006</v>
      </c>
      <c r="AC938" s="86">
        <f>AVERAGEIFS($J$2:J938, $B$2:B938, B938)</f>
        <v>0.49299999999999999</v>
      </c>
      <c r="AD938" s="86">
        <f>AVERAGEIFS($D$2:D938, $B$2:B938, B938)</f>
        <v>0.4</v>
      </c>
    </row>
    <row r="939" spans="1:30" x14ac:dyDescent="0.25">
      <c r="A939" s="85">
        <v>46150</v>
      </c>
      <c r="B939" t="s">
        <v>141</v>
      </c>
      <c r="C939">
        <v>13</v>
      </c>
      <c r="D939" s="86">
        <v>0</v>
      </c>
      <c r="E939">
        <v>4</v>
      </c>
      <c r="F939">
        <v>0</v>
      </c>
      <c r="G939">
        <v>16</v>
      </c>
      <c r="H939">
        <v>4</v>
      </c>
      <c r="I939">
        <v>0</v>
      </c>
      <c r="J939">
        <v>0.25</v>
      </c>
      <c r="K939">
        <v>0</v>
      </c>
      <c r="L939">
        <v>0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0</v>
      </c>
      <c r="AA939" s="86">
        <f>AVERAGEIFS($C$2:C939, $B$2:B939, B939)</f>
        <v>16.375</v>
      </c>
      <c r="AB939" s="86">
        <f>AVERAGEIFS($I$2:I939, $B$2:B939, B939)</f>
        <v>0.38124999999999998</v>
      </c>
      <c r="AC939" s="86">
        <f>AVERAGEIFS($J$2:J939, $B$2:B939, B939)</f>
        <v>0.43374999999999997</v>
      </c>
      <c r="AD939" s="86">
        <f>AVERAGEIFS($D$2:D939, $B$2:B939, B939)</f>
        <v>0.25</v>
      </c>
    </row>
    <row r="940" spans="1:30" x14ac:dyDescent="0.25">
      <c r="A940" s="85">
        <v>46150</v>
      </c>
      <c r="B940" t="s">
        <v>150</v>
      </c>
      <c r="C940">
        <v>6</v>
      </c>
      <c r="D940" s="86">
        <v>0</v>
      </c>
      <c r="E940">
        <v>4</v>
      </c>
      <c r="F940">
        <v>0</v>
      </c>
      <c r="G940">
        <v>16</v>
      </c>
      <c r="H940">
        <v>4</v>
      </c>
      <c r="I940">
        <v>0</v>
      </c>
      <c r="J940">
        <v>0.25</v>
      </c>
      <c r="K940">
        <v>0</v>
      </c>
      <c r="L940">
        <v>0</v>
      </c>
      <c r="M940">
        <v>0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0</v>
      </c>
      <c r="AA940" s="86">
        <f>AVERAGEIFS($C$2:C940, $B$2:B940, B940)</f>
        <v>18.53846153846154</v>
      </c>
      <c r="AB940" s="86">
        <f>AVERAGEIFS($I$2:I940, $B$2:B940, B940)</f>
        <v>0.63461538461538458</v>
      </c>
      <c r="AC940" s="86">
        <f>AVERAGEIFS($J$2:J940, $B$2:B940, B940)</f>
        <v>0.59153846153846135</v>
      </c>
      <c r="AD940" s="86">
        <f>AVERAGEIFS($D$2:D940, $B$2:B940, B940)</f>
        <v>0.69230769230769229</v>
      </c>
    </row>
    <row r="941" spans="1:30" x14ac:dyDescent="0.25">
      <c r="A941" s="85">
        <v>46150</v>
      </c>
      <c r="B941" t="s">
        <v>152</v>
      </c>
      <c r="C941">
        <v>4</v>
      </c>
      <c r="D941" s="86">
        <v>0</v>
      </c>
      <c r="E941">
        <v>4</v>
      </c>
      <c r="F941">
        <v>0</v>
      </c>
      <c r="G941">
        <v>16</v>
      </c>
      <c r="H941">
        <v>4</v>
      </c>
      <c r="I941">
        <v>0</v>
      </c>
      <c r="J941">
        <v>0.25</v>
      </c>
      <c r="K941">
        <v>0</v>
      </c>
      <c r="L941">
        <v>0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0</v>
      </c>
      <c r="AA941" s="86">
        <f>AVERAGEIFS($C$2:C941, $B$2:B941, B941)</f>
        <v>13.714285714285714</v>
      </c>
      <c r="AB941" s="86">
        <f>AVERAGEIFS($I$2:I941, $B$2:B941, B941)</f>
        <v>0.22142857142857145</v>
      </c>
      <c r="AC941" s="86">
        <f>AVERAGEIFS($J$2:J941, $B$2:B941, B941)</f>
        <v>0.36</v>
      </c>
      <c r="AD941" s="86">
        <f>AVERAGEIFS($D$2:D941, $B$2:B941, B941)</f>
        <v>0.14285714285714285</v>
      </c>
    </row>
    <row r="942" spans="1:30" x14ac:dyDescent="0.25">
      <c r="A942" s="85">
        <v>46150</v>
      </c>
      <c r="B942" t="s">
        <v>140</v>
      </c>
      <c r="C942">
        <v>3</v>
      </c>
      <c r="D942" s="86">
        <v>0</v>
      </c>
      <c r="E942">
        <v>4</v>
      </c>
      <c r="F942">
        <v>0</v>
      </c>
      <c r="G942">
        <v>16</v>
      </c>
      <c r="H942">
        <v>4</v>
      </c>
      <c r="I942">
        <v>0</v>
      </c>
      <c r="J942">
        <v>0.25</v>
      </c>
      <c r="K942">
        <v>0</v>
      </c>
      <c r="L942">
        <v>0</v>
      </c>
      <c r="M942">
        <v>0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0</v>
      </c>
      <c r="Y942">
        <v>0</v>
      </c>
      <c r="Z942">
        <v>0</v>
      </c>
      <c r="AA942" s="86">
        <f>AVERAGEIFS($C$2:C942, $B$2:B942, B942)</f>
        <v>9.235294117647058</v>
      </c>
      <c r="AB942" s="86">
        <f>AVERAGEIFS($I$2:I942, $B$2:B942, B942)</f>
        <v>0.44705882352941179</v>
      </c>
      <c r="AC942" s="86">
        <f>AVERAGEIFS($J$2:J942, $B$2:B942, B942)</f>
        <v>0.48352941176470582</v>
      </c>
      <c r="AD942" s="86">
        <f>AVERAGEIFS($D$2:D942, $B$2:B942, B942)</f>
        <v>0.47058823529411764</v>
      </c>
    </row>
    <row r="943" spans="1:30" x14ac:dyDescent="0.25">
      <c r="A943" s="85">
        <v>46150</v>
      </c>
      <c r="B943" t="s">
        <v>179</v>
      </c>
      <c r="C943">
        <v>22</v>
      </c>
      <c r="D943" s="86">
        <v>1</v>
      </c>
      <c r="E943">
        <v>3</v>
      </c>
      <c r="F943">
        <v>3</v>
      </c>
      <c r="G943">
        <v>12</v>
      </c>
      <c r="H943">
        <v>9</v>
      </c>
      <c r="I943">
        <v>1</v>
      </c>
      <c r="J943">
        <v>0.75</v>
      </c>
      <c r="K943">
        <v>0</v>
      </c>
      <c r="L943">
        <v>0</v>
      </c>
      <c r="M943">
        <v>0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1</v>
      </c>
      <c r="X943">
        <v>1</v>
      </c>
      <c r="Y943">
        <v>1</v>
      </c>
      <c r="Z943">
        <v>0</v>
      </c>
      <c r="AA943" s="86">
        <f>AVERAGEIFS($C$2:C943, $B$2:B943, B943)</f>
        <v>15.6</v>
      </c>
      <c r="AB943" s="86">
        <f>AVERAGEIFS($I$2:I943, $B$2:B943, B943)</f>
        <v>0.85</v>
      </c>
      <c r="AC943" s="86">
        <f>AVERAGEIFS($J$2:J943, $B$2:B943, B943)</f>
        <v>0.62799999999999989</v>
      </c>
      <c r="AD943" s="86">
        <f>AVERAGEIFS($D$2:D943, $B$2:B943, B943)</f>
        <v>0.8</v>
      </c>
    </row>
    <row r="944" spans="1:30" x14ac:dyDescent="0.25">
      <c r="A944" s="85">
        <v>46150</v>
      </c>
      <c r="B944" t="s">
        <v>13</v>
      </c>
      <c r="C944">
        <v>19</v>
      </c>
      <c r="D944" s="86">
        <v>1</v>
      </c>
      <c r="E944">
        <v>3</v>
      </c>
      <c r="F944">
        <v>3</v>
      </c>
      <c r="G944">
        <v>12</v>
      </c>
      <c r="H944">
        <v>9</v>
      </c>
      <c r="I944">
        <v>1</v>
      </c>
      <c r="J944">
        <v>0.75</v>
      </c>
      <c r="K944">
        <v>0</v>
      </c>
      <c r="L944">
        <v>0</v>
      </c>
      <c r="M944">
        <v>0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1</v>
      </c>
      <c r="X944">
        <v>1</v>
      </c>
      <c r="Y944">
        <v>1</v>
      </c>
      <c r="Z944">
        <v>0</v>
      </c>
      <c r="AA944" s="86">
        <f>AVERAGEIFS($C$2:C944, $B$2:B944, B944)</f>
        <v>25.984375</v>
      </c>
      <c r="AB944" s="86">
        <f>AVERAGEIFS($I$2:I944, $B$2:B944, B944)</f>
        <v>0.57578125000000002</v>
      </c>
      <c r="AC944" s="86">
        <f>AVERAGEIFS($J$2:J944, $B$2:B944, B944)</f>
        <v>0.54749999999999999</v>
      </c>
      <c r="AD944" s="86">
        <f>AVERAGEIFS($D$2:D944, $B$2:B944, B944)</f>
        <v>0.625</v>
      </c>
    </row>
    <row r="945" spans="1:30" x14ac:dyDescent="0.25">
      <c r="A945" s="85">
        <v>46150</v>
      </c>
      <c r="B945" t="s">
        <v>150</v>
      </c>
      <c r="C945">
        <v>16</v>
      </c>
      <c r="D945" s="86">
        <v>1</v>
      </c>
      <c r="E945">
        <v>3</v>
      </c>
      <c r="F945">
        <v>3</v>
      </c>
      <c r="G945">
        <v>12</v>
      </c>
      <c r="H945">
        <v>9</v>
      </c>
      <c r="I945">
        <v>1</v>
      </c>
      <c r="J945">
        <v>0.75</v>
      </c>
      <c r="K945">
        <v>0</v>
      </c>
      <c r="L945">
        <v>0</v>
      </c>
      <c r="M945">
        <v>0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1</v>
      </c>
      <c r="X945">
        <v>1</v>
      </c>
      <c r="Y945">
        <v>1</v>
      </c>
      <c r="Z945">
        <v>0</v>
      </c>
      <c r="AA945" s="86">
        <f>AVERAGEIFS($C$2:C945, $B$2:B945, B945)</f>
        <v>18.357142857142858</v>
      </c>
      <c r="AB945" s="86">
        <f>AVERAGEIFS($I$2:I945, $B$2:B945, B945)</f>
        <v>0.6607142857142857</v>
      </c>
      <c r="AC945" s="86">
        <f>AVERAGEIFS($J$2:J945, $B$2:B945, B945)</f>
        <v>0.60285714285714265</v>
      </c>
      <c r="AD945" s="86">
        <f>AVERAGEIFS($D$2:D945, $B$2:B945, B945)</f>
        <v>0.7142857142857143</v>
      </c>
    </row>
    <row r="946" spans="1:30" x14ac:dyDescent="0.25">
      <c r="A946" s="85">
        <v>46150</v>
      </c>
      <c r="B946" t="s">
        <v>29</v>
      </c>
      <c r="C946">
        <v>14</v>
      </c>
      <c r="D946" s="86">
        <v>1</v>
      </c>
      <c r="E946">
        <v>3</v>
      </c>
      <c r="F946">
        <v>3</v>
      </c>
      <c r="G946">
        <v>12</v>
      </c>
      <c r="H946">
        <v>9</v>
      </c>
      <c r="I946">
        <v>1</v>
      </c>
      <c r="J946">
        <v>0.75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1</v>
      </c>
      <c r="X946">
        <v>1</v>
      </c>
      <c r="Y946">
        <v>1</v>
      </c>
      <c r="Z946">
        <v>0</v>
      </c>
      <c r="AA946" s="86">
        <f>AVERAGEIFS($C$2:C946, $B$2:B946, B946)</f>
        <v>10.833333333333334</v>
      </c>
      <c r="AB946" s="86">
        <f>AVERAGEIFS($I$2:I946, $B$2:B946, B946)</f>
        <v>0.48125000000000001</v>
      </c>
      <c r="AC946" s="86">
        <f>AVERAGEIFS($J$2:J946, $B$2:B946, B946)</f>
        <v>0.50458333333333327</v>
      </c>
      <c r="AD946" s="86">
        <f>AVERAGEIFS($D$2:D946, $B$2:B946, B946)</f>
        <v>0.45833333333333331</v>
      </c>
    </row>
    <row r="947" spans="1:30" x14ac:dyDescent="0.25">
      <c r="A947" s="85">
        <v>46150</v>
      </c>
      <c r="B947" t="s">
        <v>148</v>
      </c>
      <c r="C947">
        <v>13</v>
      </c>
      <c r="D947" s="86">
        <v>1</v>
      </c>
      <c r="E947">
        <v>3</v>
      </c>
      <c r="F947">
        <v>3</v>
      </c>
      <c r="G947">
        <v>12</v>
      </c>
      <c r="H947">
        <v>9</v>
      </c>
      <c r="I947">
        <v>1</v>
      </c>
      <c r="J947">
        <v>0.75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0</v>
      </c>
      <c r="W947">
        <v>1</v>
      </c>
      <c r="X947">
        <v>1</v>
      </c>
      <c r="Y947">
        <v>1</v>
      </c>
      <c r="Z947">
        <v>0</v>
      </c>
      <c r="AA947" s="86">
        <f>AVERAGEIFS($C$2:C947, $B$2:B947, B947)</f>
        <v>13.1875</v>
      </c>
      <c r="AB947" s="86">
        <f>AVERAGEIFS($I$2:I947, $B$2:B947, B947)</f>
        <v>0.56718749999999996</v>
      </c>
      <c r="AC947" s="86">
        <f>AVERAGEIFS($J$2:J947, $B$2:B947, B947)</f>
        <v>0.53</v>
      </c>
      <c r="AD947" s="86">
        <f>AVERAGEIFS($D$2:D947, $B$2:B947, B947)</f>
        <v>0.59375</v>
      </c>
    </row>
    <row r="948" spans="1:30" x14ac:dyDescent="0.25">
      <c r="A948" s="85">
        <v>46150</v>
      </c>
      <c r="B948" t="s">
        <v>4</v>
      </c>
      <c r="C948">
        <v>8</v>
      </c>
      <c r="D948" s="86">
        <v>1</v>
      </c>
      <c r="E948">
        <v>3</v>
      </c>
      <c r="F948">
        <v>3</v>
      </c>
      <c r="G948">
        <v>12</v>
      </c>
      <c r="H948">
        <v>9</v>
      </c>
      <c r="I948">
        <v>1</v>
      </c>
      <c r="J948">
        <v>0.75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0</v>
      </c>
      <c r="W948">
        <v>1</v>
      </c>
      <c r="X948">
        <v>1</v>
      </c>
      <c r="Y948">
        <v>1</v>
      </c>
      <c r="Z948">
        <v>0</v>
      </c>
      <c r="AA948" s="86">
        <f>AVERAGEIFS($C$2:C948, $B$2:B948, B948)</f>
        <v>21.142857142857142</v>
      </c>
      <c r="AB948" s="86">
        <f>AVERAGEIFS($I$2:I948, $B$2:B948, B948)</f>
        <v>0.48571428571428571</v>
      </c>
      <c r="AC948" s="86">
        <f>AVERAGEIFS($J$2:J948, $B$2:B948, B948)</f>
        <v>0.48499999999999999</v>
      </c>
      <c r="AD948" s="86">
        <f>AVERAGEIFS($D$2:D948, $B$2:B948, B948)</f>
        <v>0.5714285714285714</v>
      </c>
    </row>
    <row r="949" spans="1:30" x14ac:dyDescent="0.25">
      <c r="A949" s="85">
        <v>46150</v>
      </c>
      <c r="B949" t="s">
        <v>44</v>
      </c>
      <c r="C949">
        <v>7</v>
      </c>
      <c r="D949" s="86">
        <v>1</v>
      </c>
      <c r="E949">
        <v>3</v>
      </c>
      <c r="F949">
        <v>3</v>
      </c>
      <c r="G949">
        <v>12</v>
      </c>
      <c r="H949">
        <v>9</v>
      </c>
      <c r="I949">
        <v>1</v>
      </c>
      <c r="J949">
        <v>0.75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0</v>
      </c>
      <c r="W949">
        <v>1</v>
      </c>
      <c r="X949">
        <v>1</v>
      </c>
      <c r="Y949">
        <v>1</v>
      </c>
      <c r="Z949">
        <v>0</v>
      </c>
      <c r="AA949" s="86">
        <f>AVERAGEIFS($C$2:C949, $B$2:B949, B949)</f>
        <v>14.714285714285714</v>
      </c>
      <c r="AB949" s="86">
        <f>AVERAGEIFS($I$2:I949, $B$2:B949, B949)</f>
        <v>0.85</v>
      </c>
      <c r="AC949" s="86">
        <f>AVERAGEIFS($J$2:J949, $B$2:B949, B949)</f>
        <v>0.65857142857142847</v>
      </c>
      <c r="AD949" s="86">
        <f>AVERAGEIFS($D$2:D949, $B$2:B949, B949)</f>
        <v>1</v>
      </c>
    </row>
    <row r="950" spans="1:30" x14ac:dyDescent="0.25">
      <c r="A950" s="85">
        <v>46150</v>
      </c>
      <c r="B950" t="s">
        <v>35</v>
      </c>
      <c r="C950">
        <v>5</v>
      </c>
      <c r="D950" s="86">
        <v>1</v>
      </c>
      <c r="E950">
        <v>3</v>
      </c>
      <c r="F950">
        <v>3</v>
      </c>
      <c r="G950">
        <v>12</v>
      </c>
      <c r="H950">
        <v>9</v>
      </c>
      <c r="I950">
        <v>1</v>
      </c>
      <c r="J950">
        <v>0.75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0</v>
      </c>
      <c r="W950">
        <v>1</v>
      </c>
      <c r="X950">
        <v>1</v>
      </c>
      <c r="Y950">
        <v>1</v>
      </c>
      <c r="Z950">
        <v>0</v>
      </c>
      <c r="AA950" s="86">
        <f>AVERAGEIFS($C$2:C950, $B$2:B950, B950)</f>
        <v>12.242424242424242</v>
      </c>
      <c r="AB950" s="86">
        <f>AVERAGEIFS($I$2:I950, $B$2:B950, B950)</f>
        <v>0.51363636363636367</v>
      </c>
      <c r="AC950" s="86">
        <f>AVERAGEIFS($J$2:J950, $B$2:B950, B950)</f>
        <v>0.50060606060606072</v>
      </c>
      <c r="AD950" s="86">
        <f>AVERAGEIFS($D$2:D950, $B$2:B950, B950)</f>
        <v>0.60606060606060608</v>
      </c>
    </row>
    <row r="951" spans="1:30" x14ac:dyDescent="0.25">
      <c r="A951" s="85">
        <v>46150</v>
      </c>
      <c r="B951" t="s">
        <v>17</v>
      </c>
      <c r="C951">
        <v>19</v>
      </c>
      <c r="D951" s="86">
        <v>0</v>
      </c>
      <c r="E951">
        <v>3</v>
      </c>
      <c r="F951">
        <v>0</v>
      </c>
      <c r="G951">
        <v>12</v>
      </c>
      <c r="H951">
        <v>3</v>
      </c>
      <c r="I951">
        <v>0</v>
      </c>
      <c r="J951">
        <v>0.25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0</v>
      </c>
      <c r="W951">
        <v>0</v>
      </c>
      <c r="X951">
        <v>0</v>
      </c>
      <c r="Y951">
        <v>0</v>
      </c>
      <c r="Z951">
        <v>0</v>
      </c>
      <c r="AA951" s="86">
        <f>AVERAGEIFS($C$2:C951, $B$2:B951, B951)</f>
        <v>24.803571428571427</v>
      </c>
      <c r="AB951" s="86">
        <f>AVERAGEIFS($I$2:I951, $B$2:B951, B951)</f>
        <v>0.48214285714285726</v>
      </c>
      <c r="AC951" s="86">
        <f>AVERAGEIFS($J$2:J951, $B$2:B951, B951)</f>
        <v>0.5026785714285712</v>
      </c>
      <c r="AD951" s="86">
        <f>AVERAGEIFS($D$2:D951, $B$2:B951, B951)</f>
        <v>0.42857142857142855</v>
      </c>
    </row>
    <row r="952" spans="1:30" x14ac:dyDescent="0.25">
      <c r="A952" s="85">
        <v>46150</v>
      </c>
      <c r="B952" t="s">
        <v>212</v>
      </c>
      <c r="C952">
        <v>18</v>
      </c>
      <c r="D952" s="86">
        <v>0</v>
      </c>
      <c r="E952">
        <v>3</v>
      </c>
      <c r="F952">
        <v>0</v>
      </c>
      <c r="G952">
        <v>12</v>
      </c>
      <c r="H952">
        <v>3</v>
      </c>
      <c r="I952">
        <v>0</v>
      </c>
      <c r="J952">
        <v>0.25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0</v>
      </c>
      <c r="W952">
        <v>0</v>
      </c>
      <c r="X952">
        <v>0</v>
      </c>
      <c r="Y952">
        <v>0</v>
      </c>
      <c r="Z952">
        <v>0</v>
      </c>
      <c r="AA952" s="86">
        <f>AVERAGEIFS($C$2:C952, $B$2:B952, B952)</f>
        <v>23.341463414634145</v>
      </c>
      <c r="AB952" s="86">
        <f>AVERAGEIFS($I$2:I952, $B$2:B952, B952)</f>
        <v>0.45975609756097563</v>
      </c>
      <c r="AC952" s="86">
        <f>AVERAGEIFS($J$2:J952, $B$2:B952, B952)</f>
        <v>0.48707317073170731</v>
      </c>
      <c r="AD952" s="86">
        <f>AVERAGEIFS($D$2:D952, $B$2:B952, B952)</f>
        <v>0.3902439024390244</v>
      </c>
    </row>
    <row r="953" spans="1:30" x14ac:dyDescent="0.25">
      <c r="A953" s="85">
        <v>46150</v>
      </c>
      <c r="B953" t="s">
        <v>37</v>
      </c>
      <c r="C953">
        <v>18</v>
      </c>
      <c r="D953" s="86">
        <v>0</v>
      </c>
      <c r="E953">
        <v>3</v>
      </c>
      <c r="F953">
        <v>0</v>
      </c>
      <c r="G953">
        <v>12</v>
      </c>
      <c r="H953">
        <v>3</v>
      </c>
      <c r="I953">
        <v>0</v>
      </c>
      <c r="J953">
        <v>0.25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0</v>
      </c>
      <c r="X953">
        <v>0</v>
      </c>
      <c r="Y953">
        <v>0</v>
      </c>
      <c r="Z953">
        <v>0</v>
      </c>
      <c r="AA953" s="86">
        <f>AVERAGEIFS($C$2:C953, $B$2:B953, B953)</f>
        <v>19.548387096774192</v>
      </c>
      <c r="AB953" s="86">
        <f>AVERAGEIFS($I$2:I953, $B$2:B953, B953)</f>
        <v>0.41290322580645156</v>
      </c>
      <c r="AC953" s="86">
        <f>AVERAGEIFS($J$2:J953, $B$2:B953, B953)</f>
        <v>0.44870967741935486</v>
      </c>
      <c r="AD953" s="86">
        <f>AVERAGEIFS($D$2:D953, $B$2:B953, B953)</f>
        <v>0.41935483870967744</v>
      </c>
    </row>
    <row r="954" spans="1:30" x14ac:dyDescent="0.25">
      <c r="A954" s="85">
        <v>46150</v>
      </c>
      <c r="B954" t="s">
        <v>152</v>
      </c>
      <c r="C954">
        <v>10</v>
      </c>
      <c r="D954" s="86">
        <v>0</v>
      </c>
      <c r="E954">
        <v>3</v>
      </c>
      <c r="F954">
        <v>0</v>
      </c>
      <c r="G954">
        <v>12</v>
      </c>
      <c r="H954">
        <v>3</v>
      </c>
      <c r="I954">
        <v>0</v>
      </c>
      <c r="J954">
        <v>0.25</v>
      </c>
      <c r="K954">
        <v>0</v>
      </c>
      <c r="L954">
        <v>0</v>
      </c>
      <c r="M954">
        <v>0</v>
      </c>
      <c r="N954">
        <v>0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</v>
      </c>
      <c r="AA954" s="86">
        <f>AVERAGEIFS($C$2:C954, $B$2:B954, B954)</f>
        <v>13.25</v>
      </c>
      <c r="AB954" s="86">
        <f>AVERAGEIFS($I$2:I954, $B$2:B954, B954)</f>
        <v>0.19375000000000001</v>
      </c>
      <c r="AC954" s="86">
        <f>AVERAGEIFS($J$2:J954, $B$2:B954, B954)</f>
        <v>0.34625</v>
      </c>
      <c r="AD954" s="86">
        <f>AVERAGEIFS($D$2:D954, $B$2:B954, B954)</f>
        <v>0.125</v>
      </c>
    </row>
    <row r="955" spans="1:30" x14ac:dyDescent="0.25">
      <c r="A955" s="85">
        <v>46150</v>
      </c>
      <c r="B955" t="s">
        <v>141</v>
      </c>
      <c r="C955">
        <v>9</v>
      </c>
      <c r="D955" s="86">
        <v>0</v>
      </c>
      <c r="E955">
        <v>3</v>
      </c>
      <c r="F955">
        <v>0</v>
      </c>
      <c r="G955">
        <v>12</v>
      </c>
      <c r="H955">
        <v>3</v>
      </c>
      <c r="I955">
        <v>0</v>
      </c>
      <c r="J955">
        <v>0.25</v>
      </c>
      <c r="K955">
        <v>0</v>
      </c>
      <c r="L955">
        <v>0</v>
      </c>
      <c r="M955">
        <v>0</v>
      </c>
      <c r="N955">
        <v>0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0</v>
      </c>
      <c r="Y955">
        <v>0</v>
      </c>
      <c r="Z955">
        <v>0</v>
      </c>
      <c r="AA955" s="86">
        <f>AVERAGEIFS($C$2:C955, $B$2:B955, B955)</f>
        <v>15.555555555555555</v>
      </c>
      <c r="AB955" s="86">
        <f>AVERAGEIFS($I$2:I955, $B$2:B955, B955)</f>
        <v>0.33888888888888885</v>
      </c>
      <c r="AC955" s="86">
        <f>AVERAGEIFS($J$2:J955, $B$2:B955, B955)</f>
        <v>0.41333333333333333</v>
      </c>
      <c r="AD955" s="86">
        <f>AVERAGEIFS($D$2:D955, $B$2:B955, B955)</f>
        <v>0.22222222222222221</v>
      </c>
    </row>
    <row r="956" spans="1:30" x14ac:dyDescent="0.25">
      <c r="A956" s="85">
        <v>46150</v>
      </c>
      <c r="B956" t="s">
        <v>26</v>
      </c>
      <c r="C956">
        <v>9</v>
      </c>
      <c r="D956" s="86">
        <v>0</v>
      </c>
      <c r="E956">
        <v>3</v>
      </c>
      <c r="F956">
        <v>0</v>
      </c>
      <c r="G956">
        <v>12</v>
      </c>
      <c r="H956">
        <v>3</v>
      </c>
      <c r="I956">
        <v>0</v>
      </c>
      <c r="J956">
        <v>0.25</v>
      </c>
      <c r="K956">
        <v>0</v>
      </c>
      <c r="L956">
        <v>0</v>
      </c>
      <c r="M956">
        <v>0</v>
      </c>
      <c r="N956">
        <v>0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0</v>
      </c>
      <c r="Y956">
        <v>0</v>
      </c>
      <c r="Z956">
        <v>0</v>
      </c>
      <c r="AA956" s="86">
        <f>AVERAGEIFS($C$2:C956, $B$2:B956, B956)</f>
        <v>13.485714285714286</v>
      </c>
      <c r="AB956" s="86">
        <f>AVERAGEIFS($I$2:I956, $B$2:B956, B956)</f>
        <v>0.61</v>
      </c>
      <c r="AC956" s="86">
        <f>AVERAGEIFS($J$2:J956, $B$2:B956, B956)</f>
        <v>0.54942857142857149</v>
      </c>
      <c r="AD956" s="86">
        <f>AVERAGEIFS($D$2:D956, $B$2:B956, B956)</f>
        <v>0.65714285714285714</v>
      </c>
    </row>
    <row r="957" spans="1:30" x14ac:dyDescent="0.25">
      <c r="A957" s="85">
        <v>46150</v>
      </c>
      <c r="B957" t="s">
        <v>140</v>
      </c>
      <c r="C957">
        <v>5</v>
      </c>
      <c r="D957" s="86">
        <v>0</v>
      </c>
      <c r="E957">
        <v>3</v>
      </c>
      <c r="F957">
        <v>0</v>
      </c>
      <c r="G957">
        <v>12</v>
      </c>
      <c r="H957">
        <v>3</v>
      </c>
      <c r="I957">
        <v>0</v>
      </c>
      <c r="J957">
        <v>0.25</v>
      </c>
      <c r="K957">
        <v>0</v>
      </c>
      <c r="L957">
        <v>0</v>
      </c>
      <c r="M957">
        <v>0</v>
      </c>
      <c r="N957">
        <v>0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 s="86">
        <f>AVERAGEIFS($C$2:C957, $B$2:B957, B957)</f>
        <v>9</v>
      </c>
      <c r="AB957" s="86">
        <f>AVERAGEIFS($I$2:I957, $B$2:B957, B957)</f>
        <v>0.42222222222222228</v>
      </c>
      <c r="AC957" s="86">
        <f>AVERAGEIFS($J$2:J957, $B$2:B957, B957)</f>
        <v>0.4705555555555555</v>
      </c>
      <c r="AD957" s="86">
        <f>AVERAGEIFS($D$2:D957, $B$2:B957, B957)</f>
        <v>0.44444444444444442</v>
      </c>
    </row>
    <row r="958" spans="1:30" x14ac:dyDescent="0.25">
      <c r="A958" s="85">
        <v>46150</v>
      </c>
      <c r="B958" t="s">
        <v>213</v>
      </c>
      <c r="C958">
        <v>0</v>
      </c>
      <c r="D958" s="86">
        <v>0</v>
      </c>
      <c r="E958">
        <v>3</v>
      </c>
      <c r="F958">
        <v>0</v>
      </c>
      <c r="G958">
        <v>12</v>
      </c>
      <c r="H958">
        <v>3</v>
      </c>
      <c r="I958">
        <v>0</v>
      </c>
      <c r="J958">
        <v>0.25</v>
      </c>
      <c r="K958">
        <v>0</v>
      </c>
      <c r="L958">
        <v>0</v>
      </c>
      <c r="M958">
        <v>0</v>
      </c>
      <c r="N958">
        <v>0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0</v>
      </c>
      <c r="U958">
        <v>0</v>
      </c>
      <c r="V958">
        <v>0</v>
      </c>
      <c r="W958">
        <v>0</v>
      </c>
      <c r="X958">
        <v>0</v>
      </c>
      <c r="Y958">
        <v>0</v>
      </c>
      <c r="Z958">
        <v>0</v>
      </c>
      <c r="AA958" s="86">
        <f>AVERAGEIFS($C$2:C958, $B$2:B958, B958)</f>
        <v>0</v>
      </c>
      <c r="AB958" s="86">
        <f>AVERAGEIFS($I$2:I958, $B$2:B958, B958)</f>
        <v>0</v>
      </c>
      <c r="AC958" s="86">
        <f>AVERAGEIFS($J$2:J958, $B$2:B958, B958)</f>
        <v>0.25</v>
      </c>
      <c r="AD958" s="86">
        <f>AVERAGEIFS($D$2:D958, $B$2:B958, B958)</f>
        <v>0</v>
      </c>
    </row>
    <row r="959" spans="1:30" x14ac:dyDescent="0.25">
      <c r="A959" s="85">
        <v>46151</v>
      </c>
      <c r="B959" t="s">
        <v>155</v>
      </c>
      <c r="C959">
        <v>30</v>
      </c>
      <c r="D959" s="86">
        <v>1</v>
      </c>
      <c r="E959">
        <v>4</v>
      </c>
      <c r="F959">
        <v>4</v>
      </c>
      <c r="G959">
        <v>17</v>
      </c>
      <c r="H959">
        <v>12</v>
      </c>
      <c r="I959">
        <v>1</v>
      </c>
      <c r="J959">
        <v>0.71</v>
      </c>
      <c r="K959">
        <v>0</v>
      </c>
      <c r="L959">
        <v>0</v>
      </c>
      <c r="M959">
        <v>0</v>
      </c>
      <c r="N959">
        <v>1</v>
      </c>
      <c r="O959">
        <v>0</v>
      </c>
      <c r="P959">
        <v>1</v>
      </c>
      <c r="Q959">
        <v>0</v>
      </c>
      <c r="R959">
        <v>0</v>
      </c>
      <c r="S959">
        <v>0</v>
      </c>
      <c r="T959">
        <v>0</v>
      </c>
      <c r="U959">
        <v>0</v>
      </c>
      <c r="V959">
        <v>0</v>
      </c>
      <c r="W959">
        <v>0</v>
      </c>
      <c r="X959">
        <v>1</v>
      </c>
      <c r="Y959">
        <v>1</v>
      </c>
      <c r="Z959">
        <v>0</v>
      </c>
      <c r="AA959" s="86">
        <f>AVERAGEIFS($C$2:C959, $B$2:B959, B959)</f>
        <v>17.346153846153847</v>
      </c>
      <c r="AB959" s="86">
        <f>AVERAGEIFS($I$2:I959, $B$2:B959, B959)</f>
        <v>0.40384615384615385</v>
      </c>
      <c r="AC959" s="86">
        <f>AVERAGEIFS($J$2:J959, $B$2:B959, B959)</f>
        <v>0.46576923076923077</v>
      </c>
      <c r="AD959" s="86">
        <f>AVERAGEIFS($D$2:D959, $B$2:B959, B959)</f>
        <v>0.34615384615384615</v>
      </c>
    </row>
    <row r="960" spans="1:30" x14ac:dyDescent="0.25">
      <c r="A960" s="85">
        <v>46151</v>
      </c>
      <c r="B960" t="s">
        <v>13</v>
      </c>
      <c r="C960">
        <v>30</v>
      </c>
      <c r="D960" s="86">
        <v>1</v>
      </c>
      <c r="E960">
        <v>4</v>
      </c>
      <c r="F960">
        <v>4</v>
      </c>
      <c r="G960">
        <v>17</v>
      </c>
      <c r="H960">
        <v>12</v>
      </c>
      <c r="I960">
        <v>1</v>
      </c>
      <c r="J960">
        <v>0.71</v>
      </c>
      <c r="K960">
        <v>0</v>
      </c>
      <c r="L960">
        <v>0</v>
      </c>
      <c r="M960">
        <v>0</v>
      </c>
      <c r="N960">
        <v>1</v>
      </c>
      <c r="O960">
        <v>0</v>
      </c>
      <c r="P960">
        <v>1</v>
      </c>
      <c r="Q960">
        <v>0</v>
      </c>
      <c r="R960">
        <v>0</v>
      </c>
      <c r="S960">
        <v>0</v>
      </c>
      <c r="T960">
        <v>0</v>
      </c>
      <c r="U960">
        <v>0</v>
      </c>
      <c r="V960">
        <v>0</v>
      </c>
      <c r="W960">
        <v>0</v>
      </c>
      <c r="X960">
        <v>1</v>
      </c>
      <c r="Y960">
        <v>1</v>
      </c>
      <c r="Z960">
        <v>0</v>
      </c>
      <c r="AA960" s="86">
        <f>AVERAGEIFS($C$2:C960, $B$2:B960, B960)</f>
        <v>26.046153846153846</v>
      </c>
      <c r="AB960" s="86">
        <f>AVERAGEIFS($I$2:I960, $B$2:B960, B960)</f>
        <v>0.5823076923076923</v>
      </c>
      <c r="AC960" s="86">
        <f>AVERAGEIFS($J$2:J960, $B$2:B960, B960)</f>
        <v>0.55000000000000004</v>
      </c>
      <c r="AD960" s="86">
        <f>AVERAGEIFS($D$2:D960, $B$2:B960, B960)</f>
        <v>0.63076923076923075</v>
      </c>
    </row>
    <row r="961" spans="1:30" x14ac:dyDescent="0.25">
      <c r="A961" s="85">
        <v>46151</v>
      </c>
      <c r="B961" t="s">
        <v>214</v>
      </c>
      <c r="C961">
        <v>11</v>
      </c>
      <c r="D961" s="86">
        <v>1</v>
      </c>
      <c r="E961">
        <v>4</v>
      </c>
      <c r="F961">
        <v>4</v>
      </c>
      <c r="G961">
        <v>17</v>
      </c>
      <c r="H961">
        <v>12</v>
      </c>
      <c r="I961">
        <v>1</v>
      </c>
      <c r="J961">
        <v>0.71</v>
      </c>
      <c r="K961">
        <v>0</v>
      </c>
      <c r="L961">
        <v>0</v>
      </c>
      <c r="M961">
        <v>0</v>
      </c>
      <c r="N961">
        <v>1</v>
      </c>
      <c r="O961">
        <v>0</v>
      </c>
      <c r="P961">
        <v>1</v>
      </c>
      <c r="Q961">
        <v>0</v>
      </c>
      <c r="R961">
        <v>0</v>
      </c>
      <c r="S961">
        <v>0</v>
      </c>
      <c r="T961">
        <v>0</v>
      </c>
      <c r="U961">
        <v>0</v>
      </c>
      <c r="V961">
        <v>0</v>
      </c>
      <c r="W961">
        <v>0</v>
      </c>
      <c r="X961">
        <v>1</v>
      </c>
      <c r="Y961">
        <v>1</v>
      </c>
      <c r="Z961">
        <v>0</v>
      </c>
      <c r="AA961" s="86">
        <f>AVERAGEIFS($C$2:C961, $B$2:B961, B961)</f>
        <v>11</v>
      </c>
      <c r="AB961" s="86">
        <f>AVERAGEIFS($I$2:I961, $B$2:B961, B961)</f>
        <v>1</v>
      </c>
      <c r="AC961" s="86">
        <f>AVERAGEIFS($J$2:J961, $B$2:B961, B961)</f>
        <v>0.71</v>
      </c>
      <c r="AD961" s="86">
        <f>AVERAGEIFS($D$2:D961, $B$2:B961, B961)</f>
        <v>1</v>
      </c>
    </row>
    <row r="962" spans="1:30" x14ac:dyDescent="0.25">
      <c r="A962" s="85">
        <v>46151</v>
      </c>
      <c r="B962" t="s">
        <v>38</v>
      </c>
      <c r="C962">
        <v>10</v>
      </c>
      <c r="D962" s="86">
        <v>1</v>
      </c>
      <c r="E962">
        <v>4</v>
      </c>
      <c r="F962">
        <v>4</v>
      </c>
      <c r="G962">
        <v>17</v>
      </c>
      <c r="H962">
        <v>12</v>
      </c>
      <c r="I962">
        <v>1</v>
      </c>
      <c r="J962">
        <v>0.71</v>
      </c>
      <c r="K962">
        <v>0</v>
      </c>
      <c r="L962">
        <v>0</v>
      </c>
      <c r="M962">
        <v>0</v>
      </c>
      <c r="N962">
        <v>1</v>
      </c>
      <c r="O962">
        <v>0</v>
      </c>
      <c r="P962">
        <v>1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1</v>
      </c>
      <c r="Y962">
        <v>1</v>
      </c>
      <c r="Z962">
        <v>0</v>
      </c>
      <c r="AA962" s="86">
        <f>AVERAGEIFS($C$2:C962, $B$2:B962, B962)</f>
        <v>8.2142857142857135</v>
      </c>
      <c r="AB962" s="86">
        <f>AVERAGEIFS($I$2:I962, $B$2:B962, B962)</f>
        <v>0.47142857142857147</v>
      </c>
      <c r="AC962" s="86">
        <f>AVERAGEIFS($J$2:J962, $B$2:B962, B962)</f>
        <v>0.47214285714285714</v>
      </c>
      <c r="AD962" s="86">
        <f>AVERAGEIFS($D$2:D962, $B$2:B962, B962)</f>
        <v>0.5</v>
      </c>
    </row>
    <row r="963" spans="1:30" x14ac:dyDescent="0.25">
      <c r="A963" s="85">
        <v>46151</v>
      </c>
      <c r="B963" t="s">
        <v>29</v>
      </c>
      <c r="C963">
        <v>13</v>
      </c>
      <c r="D963" s="86">
        <v>1</v>
      </c>
      <c r="E963">
        <v>4</v>
      </c>
      <c r="F963">
        <v>4</v>
      </c>
      <c r="G963">
        <v>17</v>
      </c>
      <c r="H963">
        <v>12</v>
      </c>
      <c r="I963">
        <v>1</v>
      </c>
      <c r="J963">
        <v>0.71</v>
      </c>
      <c r="K963">
        <v>0</v>
      </c>
      <c r="L963">
        <v>0</v>
      </c>
      <c r="M963">
        <v>0</v>
      </c>
      <c r="N963">
        <v>1</v>
      </c>
      <c r="O963">
        <v>0</v>
      </c>
      <c r="P963">
        <v>1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1</v>
      </c>
      <c r="Y963">
        <v>1</v>
      </c>
      <c r="Z963">
        <v>0</v>
      </c>
      <c r="AA963" s="86">
        <f>AVERAGEIFS($C$2:C963, $B$2:B963, B963)</f>
        <v>10.877551020408163</v>
      </c>
      <c r="AB963" s="86">
        <f>AVERAGEIFS($I$2:I963, $B$2:B963, B963)</f>
        <v>0.49183673469387756</v>
      </c>
      <c r="AC963" s="86">
        <f>AVERAGEIFS($J$2:J963, $B$2:B963, B963)</f>
        <v>0.50877551020408163</v>
      </c>
      <c r="AD963" s="86">
        <f>AVERAGEIFS($D$2:D963, $B$2:B963, B963)</f>
        <v>0.46938775510204084</v>
      </c>
    </row>
    <row r="964" spans="1:30" x14ac:dyDescent="0.25">
      <c r="A964" s="85">
        <v>46151</v>
      </c>
      <c r="B964" t="s">
        <v>215</v>
      </c>
      <c r="C964">
        <v>1</v>
      </c>
      <c r="D964" s="86">
        <v>1</v>
      </c>
      <c r="E964">
        <v>4</v>
      </c>
      <c r="F964">
        <v>4</v>
      </c>
      <c r="G964">
        <v>17</v>
      </c>
      <c r="H964">
        <v>12</v>
      </c>
      <c r="I964">
        <v>1</v>
      </c>
      <c r="J964">
        <v>0.71</v>
      </c>
      <c r="K964">
        <v>0</v>
      </c>
      <c r="L964">
        <v>0</v>
      </c>
      <c r="M964">
        <v>0</v>
      </c>
      <c r="N964">
        <v>1</v>
      </c>
      <c r="O964">
        <v>0</v>
      </c>
      <c r="P964">
        <v>1</v>
      </c>
      <c r="Q964">
        <v>0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0</v>
      </c>
      <c r="X964">
        <v>1</v>
      </c>
      <c r="Y964">
        <v>1</v>
      </c>
      <c r="Z964">
        <v>0</v>
      </c>
      <c r="AA964" s="86">
        <f>AVERAGEIFS($C$2:C964, $B$2:B964, B964)</f>
        <v>1</v>
      </c>
      <c r="AB964" s="86">
        <f>AVERAGEIFS($I$2:I964, $B$2:B964, B964)</f>
        <v>1</v>
      </c>
      <c r="AC964" s="86">
        <f>AVERAGEIFS($J$2:J964, $B$2:B964, B964)</f>
        <v>0.71</v>
      </c>
      <c r="AD964" s="86">
        <f>AVERAGEIFS($D$2:D964, $B$2:B964, B964)</f>
        <v>1</v>
      </c>
    </row>
    <row r="965" spans="1:30" x14ac:dyDescent="0.25">
      <c r="A965" s="85">
        <v>46151</v>
      </c>
      <c r="B965" t="s">
        <v>148</v>
      </c>
      <c r="C965">
        <v>10</v>
      </c>
      <c r="D965" s="86">
        <v>0</v>
      </c>
      <c r="E965">
        <v>4</v>
      </c>
      <c r="F965">
        <v>0</v>
      </c>
      <c r="G965">
        <v>17</v>
      </c>
      <c r="H965">
        <v>5</v>
      </c>
      <c r="I965">
        <v>0</v>
      </c>
      <c r="J965">
        <v>0.28999999999999998</v>
      </c>
      <c r="K965">
        <v>0</v>
      </c>
      <c r="L965">
        <v>0</v>
      </c>
      <c r="M965">
        <v>0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T965">
        <v>0</v>
      </c>
      <c r="U965">
        <v>0</v>
      </c>
      <c r="V965">
        <v>0</v>
      </c>
      <c r="W965">
        <v>0</v>
      </c>
      <c r="X965">
        <v>0</v>
      </c>
      <c r="Y965">
        <v>0</v>
      </c>
      <c r="Z965">
        <v>0</v>
      </c>
      <c r="AA965" s="86">
        <f>AVERAGEIFS($C$2:C965, $B$2:B965, B965)</f>
        <v>13.090909090909092</v>
      </c>
      <c r="AB965" s="86">
        <f>AVERAGEIFS($I$2:I965, $B$2:B965, B965)</f>
        <v>0.54999999999999993</v>
      </c>
      <c r="AC965" s="86">
        <f>AVERAGEIFS($J$2:J965, $B$2:B965, B965)</f>
        <v>0.52272727272727271</v>
      </c>
      <c r="AD965" s="86">
        <f>AVERAGEIFS($D$2:D965, $B$2:B965, B965)</f>
        <v>0.5757575757575758</v>
      </c>
    </row>
    <row r="966" spans="1:30" x14ac:dyDescent="0.25">
      <c r="A966" s="85">
        <v>46151</v>
      </c>
      <c r="B966" t="s">
        <v>139</v>
      </c>
      <c r="C966">
        <v>15</v>
      </c>
      <c r="D966" s="86">
        <v>0</v>
      </c>
      <c r="E966">
        <v>4</v>
      </c>
      <c r="F966">
        <v>0</v>
      </c>
      <c r="G966">
        <v>17</v>
      </c>
      <c r="H966">
        <v>5</v>
      </c>
      <c r="I966">
        <v>0</v>
      </c>
      <c r="J966">
        <v>0.28999999999999998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0</v>
      </c>
      <c r="X966">
        <v>0</v>
      </c>
      <c r="Y966">
        <v>0</v>
      </c>
      <c r="Z966">
        <v>0</v>
      </c>
      <c r="AA966" s="86">
        <f>AVERAGEIFS($C$2:C966, $B$2:B966, B966)</f>
        <v>10.578947368421053</v>
      </c>
      <c r="AB966" s="86">
        <f>AVERAGEIFS($I$2:I966, $B$2:B966, B966)</f>
        <v>0.48947368421052628</v>
      </c>
      <c r="AC966" s="86">
        <f>AVERAGEIFS($J$2:J966, $B$2:B966, B966)</f>
        <v>0.5099999999999999</v>
      </c>
      <c r="AD966" s="86">
        <f>AVERAGEIFS($D$2:D966, $B$2:B966, B966)</f>
        <v>0.57894736842105265</v>
      </c>
    </row>
    <row r="967" spans="1:30" x14ac:dyDescent="0.25">
      <c r="A967" s="85">
        <v>46151</v>
      </c>
      <c r="B967" t="s">
        <v>17</v>
      </c>
      <c r="C967">
        <v>30</v>
      </c>
      <c r="D967" s="86">
        <v>0</v>
      </c>
      <c r="E967">
        <v>4</v>
      </c>
      <c r="F967">
        <v>0</v>
      </c>
      <c r="G967">
        <v>17</v>
      </c>
      <c r="H967">
        <v>5</v>
      </c>
      <c r="I967">
        <v>0</v>
      </c>
      <c r="J967">
        <v>0.28999999999999998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T967">
        <v>0</v>
      </c>
      <c r="U967">
        <v>0</v>
      </c>
      <c r="V967">
        <v>0</v>
      </c>
      <c r="W967">
        <v>0</v>
      </c>
      <c r="X967">
        <v>0</v>
      </c>
      <c r="Y967">
        <v>0</v>
      </c>
      <c r="Z967">
        <v>0</v>
      </c>
      <c r="AA967" s="86">
        <f>AVERAGEIFS($C$2:C967, $B$2:B967, B967)</f>
        <v>24.894736842105264</v>
      </c>
      <c r="AB967" s="86">
        <f>AVERAGEIFS($I$2:I967, $B$2:B967, B967)</f>
        <v>0.47368421052631593</v>
      </c>
      <c r="AC967" s="86">
        <f>AVERAGEIFS($J$2:J967, $B$2:B967, B967)</f>
        <v>0.49894736842105242</v>
      </c>
      <c r="AD967" s="86">
        <f>AVERAGEIFS($D$2:D967, $B$2:B967, B967)</f>
        <v>0.42105263157894735</v>
      </c>
    </row>
    <row r="968" spans="1:30" x14ac:dyDescent="0.25">
      <c r="A968" s="85">
        <v>46151</v>
      </c>
      <c r="B968" t="s">
        <v>216</v>
      </c>
      <c r="C968">
        <v>2</v>
      </c>
      <c r="D968" s="86">
        <v>0</v>
      </c>
      <c r="E968">
        <v>4</v>
      </c>
      <c r="F968">
        <v>0</v>
      </c>
      <c r="G968">
        <v>17</v>
      </c>
      <c r="H968">
        <v>5</v>
      </c>
      <c r="I968">
        <v>0</v>
      </c>
      <c r="J968">
        <v>0.28999999999999998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T968">
        <v>0</v>
      </c>
      <c r="U968">
        <v>0</v>
      </c>
      <c r="V968">
        <v>0</v>
      </c>
      <c r="W968">
        <v>0</v>
      </c>
      <c r="X968">
        <v>0</v>
      </c>
      <c r="Y968">
        <v>0</v>
      </c>
      <c r="Z968">
        <v>0</v>
      </c>
      <c r="AA968" s="86">
        <f>AVERAGEIFS($C$2:C968, $B$2:B968, B968)</f>
        <v>2</v>
      </c>
      <c r="AB968" s="86">
        <f>AVERAGEIFS($I$2:I968, $B$2:B968, B968)</f>
        <v>0</v>
      </c>
      <c r="AC968" s="86">
        <f>AVERAGEIFS($J$2:J968, $B$2:B968, B968)</f>
        <v>0.28999999999999998</v>
      </c>
      <c r="AD968" s="86">
        <f>AVERAGEIFS($D$2:D968, $B$2:B968, B968)</f>
        <v>0</v>
      </c>
    </row>
    <row r="969" spans="1:30" x14ac:dyDescent="0.25">
      <c r="A969" s="85">
        <v>46151</v>
      </c>
      <c r="B969" t="s">
        <v>217</v>
      </c>
      <c r="C969">
        <v>1</v>
      </c>
      <c r="D969" s="86">
        <v>0</v>
      </c>
      <c r="E969">
        <v>4</v>
      </c>
      <c r="F969">
        <v>0</v>
      </c>
      <c r="G969">
        <v>17</v>
      </c>
      <c r="H969">
        <v>5</v>
      </c>
      <c r="I969">
        <v>0</v>
      </c>
      <c r="J969">
        <v>0.28999999999999998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</v>
      </c>
      <c r="AA969" s="86">
        <f>AVERAGEIFS($C$2:C969, $B$2:B969, B969)</f>
        <v>1</v>
      </c>
      <c r="AB969" s="86">
        <f>AVERAGEIFS($I$2:I969, $B$2:B969, B969)</f>
        <v>0</v>
      </c>
      <c r="AC969" s="86">
        <f>AVERAGEIFS($J$2:J969, $B$2:B969, B969)</f>
        <v>0.28999999999999998</v>
      </c>
      <c r="AD969" s="86">
        <f>AVERAGEIFS($D$2:D969, $B$2:B969, B969)</f>
        <v>0</v>
      </c>
    </row>
    <row r="970" spans="1:30" x14ac:dyDescent="0.25">
      <c r="A970" s="85">
        <v>46151</v>
      </c>
      <c r="B970" t="s">
        <v>140</v>
      </c>
      <c r="C970">
        <v>11</v>
      </c>
      <c r="D970" s="86">
        <v>0</v>
      </c>
      <c r="E970">
        <v>4</v>
      </c>
      <c r="F970">
        <v>0</v>
      </c>
      <c r="G970">
        <v>17</v>
      </c>
      <c r="H970">
        <v>5</v>
      </c>
      <c r="I970">
        <v>0</v>
      </c>
      <c r="J970">
        <v>0.28999999999999998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T970">
        <v>0</v>
      </c>
      <c r="U970">
        <v>0</v>
      </c>
      <c r="V970">
        <v>0</v>
      </c>
      <c r="W970">
        <v>0</v>
      </c>
      <c r="X970">
        <v>0</v>
      </c>
      <c r="Y970">
        <v>0</v>
      </c>
      <c r="Z970">
        <v>0</v>
      </c>
      <c r="AA970" s="86">
        <f>AVERAGEIFS($C$2:C970, $B$2:B970, B970)</f>
        <v>9.1052631578947363</v>
      </c>
      <c r="AB970" s="86">
        <f>AVERAGEIFS($I$2:I970, $B$2:B970, B970)</f>
        <v>0.4</v>
      </c>
      <c r="AC970" s="86">
        <f>AVERAGEIFS($J$2:J970, $B$2:B970, B970)</f>
        <v>0.46105263157894727</v>
      </c>
      <c r="AD970" s="86">
        <f>AVERAGEIFS($D$2:D970, $B$2:B970, B970)</f>
        <v>0.42105263157894735</v>
      </c>
    </row>
    <row r="971" spans="1:30" x14ac:dyDescent="0.25">
      <c r="A971" s="85">
        <v>46152</v>
      </c>
      <c r="B971" t="s">
        <v>27</v>
      </c>
      <c r="C971">
        <v>6</v>
      </c>
      <c r="D971" s="86">
        <v>0</v>
      </c>
      <c r="E971">
        <v>3</v>
      </c>
      <c r="F971">
        <v>0</v>
      </c>
      <c r="G971">
        <v>13</v>
      </c>
      <c r="H971">
        <v>4</v>
      </c>
      <c r="I971">
        <v>0</v>
      </c>
      <c r="J971">
        <v>0.31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T971">
        <v>0</v>
      </c>
      <c r="U971">
        <v>0</v>
      </c>
      <c r="V971">
        <v>0</v>
      </c>
      <c r="W971">
        <v>0</v>
      </c>
      <c r="X971">
        <v>0</v>
      </c>
      <c r="Y971">
        <v>0</v>
      </c>
      <c r="Z971">
        <v>0</v>
      </c>
      <c r="AA971" s="86">
        <f>AVERAGEIFS($C$2:C971, $B$2:B971, B971)</f>
        <v>14.814814814814815</v>
      </c>
      <c r="AB971" s="86">
        <f>AVERAGEIFS($I$2:I971, $B$2:B971, B971)</f>
        <v>0.50740740740740742</v>
      </c>
      <c r="AC971" s="86">
        <f>AVERAGEIFS($J$2:J971, $B$2:B971, B971)</f>
        <v>0.50703703703703706</v>
      </c>
      <c r="AD971" s="86">
        <f>AVERAGEIFS($D$2:D971, $B$2:B971, B971)</f>
        <v>0.55555555555555558</v>
      </c>
    </row>
    <row r="972" spans="1:30" x14ac:dyDescent="0.25">
      <c r="A972" s="85">
        <v>46152</v>
      </c>
      <c r="B972" t="s">
        <v>38</v>
      </c>
      <c r="C972">
        <v>5</v>
      </c>
      <c r="D972" s="86">
        <v>0</v>
      </c>
      <c r="E972">
        <v>3</v>
      </c>
      <c r="F972">
        <v>0</v>
      </c>
      <c r="G972">
        <v>13</v>
      </c>
      <c r="H972">
        <v>4</v>
      </c>
      <c r="I972">
        <v>0</v>
      </c>
      <c r="J972">
        <v>0.31</v>
      </c>
      <c r="K972">
        <v>0</v>
      </c>
      <c r="L972">
        <v>0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0</v>
      </c>
      <c r="T972">
        <v>0</v>
      </c>
      <c r="U972">
        <v>0</v>
      </c>
      <c r="V972">
        <v>0</v>
      </c>
      <c r="W972">
        <v>0</v>
      </c>
      <c r="X972">
        <v>0</v>
      </c>
      <c r="Y972">
        <v>0</v>
      </c>
      <c r="Z972">
        <v>0</v>
      </c>
      <c r="AA972" s="86">
        <f>AVERAGEIFS($C$2:C972, $B$2:B972, B972)</f>
        <v>8</v>
      </c>
      <c r="AB972" s="86">
        <f>AVERAGEIFS($I$2:I972, $B$2:B972, B972)</f>
        <v>0.44000000000000006</v>
      </c>
      <c r="AC972" s="86">
        <f>AVERAGEIFS($J$2:J972, $B$2:B972, B972)</f>
        <v>0.46133333333333332</v>
      </c>
      <c r="AD972" s="86">
        <f>AVERAGEIFS($D$2:D972, $B$2:B972, B972)</f>
        <v>0.46666666666666667</v>
      </c>
    </row>
    <row r="973" spans="1:30" x14ac:dyDescent="0.25">
      <c r="A973" s="85">
        <v>46152</v>
      </c>
      <c r="B973" t="s">
        <v>219</v>
      </c>
      <c r="C973">
        <v>10</v>
      </c>
      <c r="D973" s="86">
        <v>0</v>
      </c>
      <c r="E973">
        <v>3</v>
      </c>
      <c r="F973">
        <v>0</v>
      </c>
      <c r="G973">
        <v>13</v>
      </c>
      <c r="H973">
        <v>4</v>
      </c>
      <c r="I973">
        <v>0</v>
      </c>
      <c r="J973">
        <v>0.31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T973">
        <v>0</v>
      </c>
      <c r="U973">
        <v>0</v>
      </c>
      <c r="V973">
        <v>0</v>
      </c>
      <c r="W973">
        <v>0</v>
      </c>
      <c r="X973">
        <v>0</v>
      </c>
      <c r="Y973">
        <v>0</v>
      </c>
      <c r="Z973">
        <v>0</v>
      </c>
      <c r="AA973" s="86">
        <f>AVERAGEIFS($C$2:C973, $B$2:B973, B973)</f>
        <v>10.55</v>
      </c>
      <c r="AB973" s="86">
        <f>AVERAGEIFS($I$2:I973, $B$2:B973, B973)</f>
        <v>0.46499999999999997</v>
      </c>
      <c r="AC973" s="86">
        <f>AVERAGEIFS($J$2:J973, $B$2:B973, B973)</f>
        <v>0.49999999999999989</v>
      </c>
      <c r="AD973" s="86">
        <f>AVERAGEIFS($D$2:D973, $B$2:B973, B973)</f>
        <v>0.55000000000000004</v>
      </c>
    </row>
    <row r="974" spans="1:30" x14ac:dyDescent="0.25">
      <c r="A974" s="85">
        <v>46152</v>
      </c>
      <c r="B974" t="s">
        <v>15</v>
      </c>
      <c r="C974">
        <v>15</v>
      </c>
      <c r="D974" s="86">
        <v>0</v>
      </c>
      <c r="E974">
        <v>3</v>
      </c>
      <c r="F974">
        <v>0</v>
      </c>
      <c r="G974">
        <v>13</v>
      </c>
      <c r="H974">
        <v>4</v>
      </c>
      <c r="I974">
        <v>0</v>
      </c>
      <c r="J974">
        <v>0.31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0</v>
      </c>
      <c r="T974">
        <v>0</v>
      </c>
      <c r="U974">
        <v>0</v>
      </c>
      <c r="V974">
        <v>0</v>
      </c>
      <c r="W974">
        <v>0</v>
      </c>
      <c r="X974">
        <v>0</v>
      </c>
      <c r="Y974">
        <v>0</v>
      </c>
      <c r="Z974">
        <v>0</v>
      </c>
      <c r="AA974" s="86">
        <f>AVERAGEIFS($C$2:C974, $B$2:B974, B974)</f>
        <v>23.142857142857142</v>
      </c>
      <c r="AB974" s="86">
        <f>AVERAGEIFS($I$2:I974, $B$2:B974, B974)</f>
        <v>0.44880952380952382</v>
      </c>
      <c r="AC974" s="86">
        <f>AVERAGEIFS($J$2:J974, $B$2:B974, B974)</f>
        <v>0.48285714285714282</v>
      </c>
      <c r="AD974" s="86">
        <f>AVERAGEIFS($D$2:D974, $B$2:B974, B974)</f>
        <v>0.38095238095238093</v>
      </c>
    </row>
    <row r="975" spans="1:30" x14ac:dyDescent="0.25">
      <c r="A975" s="85">
        <v>46152</v>
      </c>
      <c r="B975" t="s">
        <v>13</v>
      </c>
      <c r="C975">
        <v>27</v>
      </c>
      <c r="D975" s="86">
        <v>0</v>
      </c>
      <c r="E975">
        <v>3</v>
      </c>
      <c r="F975">
        <v>0</v>
      </c>
      <c r="G975">
        <v>13</v>
      </c>
      <c r="H975">
        <v>4</v>
      </c>
      <c r="I975">
        <v>0</v>
      </c>
      <c r="J975">
        <v>0.31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T975">
        <v>0</v>
      </c>
      <c r="U975">
        <v>0</v>
      </c>
      <c r="V975">
        <v>0</v>
      </c>
      <c r="W975">
        <v>0</v>
      </c>
      <c r="X975">
        <v>0</v>
      </c>
      <c r="Y975">
        <v>0</v>
      </c>
      <c r="Z975">
        <v>0</v>
      </c>
      <c r="AA975" s="86">
        <f>AVERAGEIFS($C$2:C975, $B$2:B975, B975)</f>
        <v>26.060606060606062</v>
      </c>
      <c r="AB975" s="86">
        <f>AVERAGEIFS($I$2:I975, $B$2:B975, B975)</f>
        <v>0.57348484848484849</v>
      </c>
      <c r="AC975" s="86">
        <f>AVERAGEIFS($J$2:J975, $B$2:B975, B975)</f>
        <v>0.54636363636363638</v>
      </c>
      <c r="AD975" s="86">
        <f>AVERAGEIFS($D$2:D975, $B$2:B975, B975)</f>
        <v>0.62121212121212122</v>
      </c>
    </row>
    <row r="976" spans="1:30" x14ac:dyDescent="0.25">
      <c r="A976" s="85">
        <v>46152</v>
      </c>
      <c r="B976" t="s">
        <v>17</v>
      </c>
      <c r="C976">
        <v>13</v>
      </c>
      <c r="D976" s="86">
        <v>0</v>
      </c>
      <c r="E976">
        <v>3</v>
      </c>
      <c r="F976">
        <v>0</v>
      </c>
      <c r="G976">
        <v>13</v>
      </c>
      <c r="H976">
        <v>4</v>
      </c>
      <c r="I976">
        <v>0</v>
      </c>
      <c r="J976">
        <v>0.31</v>
      </c>
      <c r="K976">
        <v>0</v>
      </c>
      <c r="L976">
        <v>0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T976">
        <v>0</v>
      </c>
      <c r="U976">
        <v>0</v>
      </c>
      <c r="V976">
        <v>0</v>
      </c>
      <c r="W976">
        <v>0</v>
      </c>
      <c r="X976">
        <v>0</v>
      </c>
      <c r="Y976">
        <v>0</v>
      </c>
      <c r="Z976">
        <v>0</v>
      </c>
      <c r="AA976" s="86">
        <f>AVERAGEIFS($C$2:C976, $B$2:B976, B976)</f>
        <v>24.689655172413794</v>
      </c>
      <c r="AB976" s="86">
        <f>AVERAGEIFS($I$2:I976, $B$2:B976, B976)</f>
        <v>0.46551724137931044</v>
      </c>
      <c r="AC976" s="86">
        <f>AVERAGEIFS($J$2:J976, $B$2:B976, B976)</f>
        <v>0.49568965517241353</v>
      </c>
      <c r="AD976" s="86">
        <f>AVERAGEIFS($D$2:D976, $B$2:B976, B976)</f>
        <v>0.41379310344827586</v>
      </c>
    </row>
    <row r="977" spans="1:30" x14ac:dyDescent="0.25">
      <c r="A977" s="85">
        <v>46152</v>
      </c>
      <c r="B977" t="s">
        <v>155</v>
      </c>
      <c r="C977">
        <v>10</v>
      </c>
      <c r="D977" s="86">
        <v>0</v>
      </c>
      <c r="E977">
        <v>3</v>
      </c>
      <c r="F977">
        <v>0</v>
      </c>
      <c r="G977">
        <v>13</v>
      </c>
      <c r="H977">
        <v>4</v>
      </c>
      <c r="I977">
        <v>0</v>
      </c>
      <c r="J977">
        <v>0.31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T977">
        <v>0</v>
      </c>
      <c r="U977">
        <v>0</v>
      </c>
      <c r="V977">
        <v>0</v>
      </c>
      <c r="W977">
        <v>0</v>
      </c>
      <c r="X977">
        <v>0</v>
      </c>
      <c r="Y977">
        <v>0</v>
      </c>
      <c r="Z977">
        <v>0</v>
      </c>
      <c r="AA977" s="86">
        <f>AVERAGEIFS($C$2:C977, $B$2:B977, B977)</f>
        <v>17.074074074074073</v>
      </c>
      <c r="AB977" s="86">
        <f>AVERAGEIFS($I$2:I977, $B$2:B977, B977)</f>
        <v>0.3888888888888889</v>
      </c>
      <c r="AC977" s="86">
        <f>AVERAGEIFS($J$2:J977, $B$2:B977, B977)</f>
        <v>0.46</v>
      </c>
      <c r="AD977" s="86">
        <f>AVERAGEIFS($D$2:D977, $B$2:B977, B977)</f>
        <v>0.33333333333333331</v>
      </c>
    </row>
    <row r="978" spans="1:30" x14ac:dyDescent="0.25">
      <c r="A978" s="85">
        <v>46152</v>
      </c>
      <c r="B978" t="s">
        <v>148</v>
      </c>
      <c r="C978">
        <v>1</v>
      </c>
      <c r="D978" s="86">
        <v>0</v>
      </c>
      <c r="E978">
        <v>3</v>
      </c>
      <c r="F978">
        <v>0</v>
      </c>
      <c r="G978">
        <v>13</v>
      </c>
      <c r="H978">
        <v>4</v>
      </c>
      <c r="I978">
        <v>0</v>
      </c>
      <c r="J978">
        <v>0.31</v>
      </c>
      <c r="K978">
        <v>0</v>
      </c>
      <c r="L978">
        <v>0</v>
      </c>
      <c r="M978">
        <v>0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0</v>
      </c>
      <c r="U978">
        <v>0</v>
      </c>
      <c r="V978">
        <v>0</v>
      </c>
      <c r="W978">
        <v>0</v>
      </c>
      <c r="X978">
        <v>0</v>
      </c>
      <c r="Y978">
        <v>0</v>
      </c>
      <c r="Z978">
        <v>0</v>
      </c>
      <c r="AA978" s="86">
        <f>AVERAGEIFS($C$2:C978, $B$2:B978, B978)</f>
        <v>12.735294117647058</v>
      </c>
      <c r="AB978" s="86">
        <f>AVERAGEIFS($I$2:I978, $B$2:B978, B978)</f>
        <v>0.5338235294117647</v>
      </c>
      <c r="AC978" s="86">
        <f>AVERAGEIFS($J$2:J978, $B$2:B978, B978)</f>
        <v>0.51647058823529413</v>
      </c>
      <c r="AD978" s="86">
        <f>AVERAGEIFS($D$2:D978, $B$2:B978, B978)</f>
        <v>0.55882352941176472</v>
      </c>
    </row>
    <row r="979" spans="1:30" x14ac:dyDescent="0.25">
      <c r="A979" s="85">
        <v>46152</v>
      </c>
      <c r="B979" t="s">
        <v>179</v>
      </c>
      <c r="C979">
        <v>14</v>
      </c>
      <c r="D979" s="86">
        <v>1</v>
      </c>
      <c r="E979">
        <v>3</v>
      </c>
      <c r="F979">
        <v>3</v>
      </c>
      <c r="G979">
        <v>13</v>
      </c>
      <c r="H979">
        <v>9</v>
      </c>
      <c r="I979">
        <v>1</v>
      </c>
      <c r="J979">
        <v>0.69</v>
      </c>
      <c r="K979">
        <v>0</v>
      </c>
      <c r="L979">
        <v>0</v>
      </c>
      <c r="M979">
        <v>0</v>
      </c>
      <c r="N979">
        <v>1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0</v>
      </c>
      <c r="U979">
        <v>0</v>
      </c>
      <c r="V979">
        <v>0</v>
      </c>
      <c r="W979">
        <v>0</v>
      </c>
      <c r="X979">
        <v>0</v>
      </c>
      <c r="Y979">
        <v>1</v>
      </c>
      <c r="Z979">
        <v>1</v>
      </c>
      <c r="AA979" s="86">
        <f>AVERAGEIFS($C$2:C979, $B$2:B979, B979)</f>
        <v>15.333333333333334</v>
      </c>
      <c r="AB979" s="86">
        <f>AVERAGEIFS($I$2:I979, $B$2:B979, B979)</f>
        <v>0.875</v>
      </c>
      <c r="AC979" s="86">
        <f>AVERAGEIFS($J$2:J979, $B$2:B979, B979)</f>
        <v>0.63833333333333331</v>
      </c>
      <c r="AD979" s="86">
        <f>AVERAGEIFS($D$2:D979, $B$2:B979, B979)</f>
        <v>0.83333333333333337</v>
      </c>
    </row>
    <row r="980" spans="1:30" x14ac:dyDescent="0.25">
      <c r="A980" s="85">
        <v>46152</v>
      </c>
      <c r="B980" t="s">
        <v>26</v>
      </c>
      <c r="C980">
        <v>12</v>
      </c>
      <c r="D980" s="86">
        <v>1</v>
      </c>
      <c r="E980">
        <v>3</v>
      </c>
      <c r="F980">
        <v>3</v>
      </c>
      <c r="G980">
        <v>13</v>
      </c>
      <c r="H980">
        <v>9</v>
      </c>
      <c r="I980">
        <v>1</v>
      </c>
      <c r="J980">
        <v>0.69</v>
      </c>
      <c r="K980">
        <v>0</v>
      </c>
      <c r="L980">
        <v>0</v>
      </c>
      <c r="M980">
        <v>0</v>
      </c>
      <c r="N980">
        <v>1</v>
      </c>
      <c r="O980">
        <v>0</v>
      </c>
      <c r="P980">
        <v>0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0</v>
      </c>
      <c r="W980">
        <v>0</v>
      </c>
      <c r="X980">
        <v>0</v>
      </c>
      <c r="Y980">
        <v>1</v>
      </c>
      <c r="Z980">
        <v>1</v>
      </c>
      <c r="AA980" s="86">
        <f>AVERAGEIFS($C$2:C980, $B$2:B980, B980)</f>
        <v>13.444444444444445</v>
      </c>
      <c r="AB980" s="86">
        <f>AVERAGEIFS($I$2:I980, $B$2:B980, B980)</f>
        <v>0.62083333333333324</v>
      </c>
      <c r="AC980" s="86">
        <f>AVERAGEIFS($J$2:J980, $B$2:B980, B980)</f>
        <v>0.55333333333333334</v>
      </c>
      <c r="AD980" s="86">
        <f>AVERAGEIFS($D$2:D980, $B$2:B980, B980)</f>
        <v>0.66666666666666663</v>
      </c>
    </row>
    <row r="981" spans="1:30" x14ac:dyDescent="0.25">
      <c r="A981" s="85">
        <v>46152</v>
      </c>
      <c r="B981" t="s">
        <v>141</v>
      </c>
      <c r="C981">
        <v>16</v>
      </c>
      <c r="D981" s="86">
        <v>1</v>
      </c>
      <c r="E981">
        <v>3</v>
      </c>
      <c r="F981">
        <v>3</v>
      </c>
      <c r="G981">
        <v>13</v>
      </c>
      <c r="H981">
        <v>9</v>
      </c>
      <c r="I981">
        <v>1</v>
      </c>
      <c r="J981">
        <v>0.69</v>
      </c>
      <c r="K981">
        <v>0</v>
      </c>
      <c r="L981">
        <v>0</v>
      </c>
      <c r="M981">
        <v>0</v>
      </c>
      <c r="N981">
        <v>1</v>
      </c>
      <c r="O981">
        <v>0</v>
      </c>
      <c r="P981">
        <v>0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0</v>
      </c>
      <c r="W981">
        <v>0</v>
      </c>
      <c r="X981">
        <v>0</v>
      </c>
      <c r="Y981">
        <v>1</v>
      </c>
      <c r="Z981">
        <v>1</v>
      </c>
      <c r="AA981" s="86">
        <f>AVERAGEIFS($C$2:C981, $B$2:B981, B981)</f>
        <v>15.6</v>
      </c>
      <c r="AB981" s="86">
        <f>AVERAGEIFS($I$2:I981, $B$2:B981, B981)</f>
        <v>0.40499999999999997</v>
      </c>
      <c r="AC981" s="86">
        <f>AVERAGEIFS($J$2:J981, $B$2:B981, B981)</f>
        <v>0.441</v>
      </c>
      <c r="AD981" s="86">
        <f>AVERAGEIFS($D$2:D981, $B$2:B981, B981)</f>
        <v>0.3</v>
      </c>
    </row>
    <row r="982" spans="1:30" x14ac:dyDescent="0.25">
      <c r="A982" s="85">
        <v>46152</v>
      </c>
      <c r="B982" t="s">
        <v>19</v>
      </c>
      <c r="C982">
        <v>11</v>
      </c>
      <c r="D982" s="86">
        <v>1</v>
      </c>
      <c r="E982">
        <v>3</v>
      </c>
      <c r="F982">
        <v>3</v>
      </c>
      <c r="G982">
        <v>13</v>
      </c>
      <c r="H982">
        <v>9</v>
      </c>
      <c r="I982">
        <v>1</v>
      </c>
      <c r="J982">
        <v>0.69</v>
      </c>
      <c r="K982">
        <v>0</v>
      </c>
      <c r="L982">
        <v>0</v>
      </c>
      <c r="M982">
        <v>0</v>
      </c>
      <c r="N982">
        <v>1</v>
      </c>
      <c r="O982">
        <v>0</v>
      </c>
      <c r="P982">
        <v>0</v>
      </c>
      <c r="Q982">
        <v>0</v>
      </c>
      <c r="R982">
        <v>0</v>
      </c>
      <c r="S982">
        <v>0</v>
      </c>
      <c r="T982">
        <v>0</v>
      </c>
      <c r="U982">
        <v>0</v>
      </c>
      <c r="V982">
        <v>0</v>
      </c>
      <c r="W982">
        <v>0</v>
      </c>
      <c r="X982">
        <v>0</v>
      </c>
      <c r="Y982">
        <v>1</v>
      </c>
      <c r="Z982">
        <v>1</v>
      </c>
      <c r="AA982" s="86">
        <f>AVERAGEIFS($C$2:C982, $B$2:B982, B982)</f>
        <v>12.088235294117647</v>
      </c>
      <c r="AB982" s="86">
        <f>AVERAGEIFS($I$2:I982, $B$2:B982, B982)</f>
        <v>0.43823529411764706</v>
      </c>
      <c r="AC982" s="86">
        <f>AVERAGEIFS($J$2:J982, $B$2:B982, B982)</f>
        <v>0.46235294117647063</v>
      </c>
      <c r="AD982" s="86">
        <f>AVERAGEIFS($D$2:D982, $B$2:B982, B982)</f>
        <v>0.41176470588235292</v>
      </c>
    </row>
    <row r="983" spans="1:30" x14ac:dyDescent="0.25">
      <c r="A983" s="85">
        <v>46152</v>
      </c>
      <c r="B983" t="s">
        <v>2</v>
      </c>
      <c r="C983">
        <v>23</v>
      </c>
      <c r="D983" s="86">
        <v>1</v>
      </c>
      <c r="E983">
        <v>3</v>
      </c>
      <c r="F983">
        <v>3</v>
      </c>
      <c r="G983">
        <v>13</v>
      </c>
      <c r="H983">
        <v>9</v>
      </c>
      <c r="I983">
        <v>1</v>
      </c>
      <c r="J983">
        <v>0.69</v>
      </c>
      <c r="K983">
        <v>0</v>
      </c>
      <c r="L983">
        <v>0</v>
      </c>
      <c r="M983">
        <v>0</v>
      </c>
      <c r="N983">
        <v>1</v>
      </c>
      <c r="O983">
        <v>0</v>
      </c>
      <c r="P983">
        <v>0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0</v>
      </c>
      <c r="W983">
        <v>0</v>
      </c>
      <c r="X983">
        <v>0</v>
      </c>
      <c r="Y983">
        <v>1</v>
      </c>
      <c r="Z983">
        <v>1</v>
      </c>
      <c r="AA983" s="86">
        <f>AVERAGEIFS($C$2:C983, $B$2:B983, B983)</f>
        <v>28.842105263157894</v>
      </c>
      <c r="AB983" s="86">
        <f>AVERAGEIFS($I$2:I983, $B$2:B983, B983)</f>
        <v>0.62368421052631584</v>
      </c>
      <c r="AC983" s="86">
        <f>AVERAGEIFS($J$2:J983, $B$2:B983, B983)</f>
        <v>0.55947368421052623</v>
      </c>
      <c r="AD983" s="86">
        <f>AVERAGEIFS($D$2:D983, $B$2:B983, B983)</f>
        <v>0.57894736842105265</v>
      </c>
    </row>
    <row r="984" spans="1:30" x14ac:dyDescent="0.25">
      <c r="A984" s="85">
        <v>46152</v>
      </c>
      <c r="B984" t="s">
        <v>150</v>
      </c>
      <c r="C984">
        <v>22</v>
      </c>
      <c r="D984" s="86">
        <v>1</v>
      </c>
      <c r="E984">
        <v>3</v>
      </c>
      <c r="F984">
        <v>3</v>
      </c>
      <c r="G984">
        <v>13</v>
      </c>
      <c r="H984">
        <v>9</v>
      </c>
      <c r="I984">
        <v>1</v>
      </c>
      <c r="J984">
        <v>0.69</v>
      </c>
      <c r="K984">
        <v>0</v>
      </c>
      <c r="L984">
        <v>0</v>
      </c>
      <c r="M984">
        <v>0</v>
      </c>
      <c r="N984">
        <v>1</v>
      </c>
      <c r="O984">
        <v>0</v>
      </c>
      <c r="P984">
        <v>0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0</v>
      </c>
      <c r="W984">
        <v>0</v>
      </c>
      <c r="X984">
        <v>0</v>
      </c>
      <c r="Y984">
        <v>1</v>
      </c>
      <c r="Z984">
        <v>1</v>
      </c>
      <c r="AA984" s="86">
        <f>AVERAGEIFS($C$2:C984, $B$2:B984, B984)</f>
        <v>18.600000000000001</v>
      </c>
      <c r="AB984" s="86">
        <f>AVERAGEIFS($I$2:I984, $B$2:B984, B984)</f>
        <v>0.68333333333333335</v>
      </c>
      <c r="AC984" s="86">
        <f>AVERAGEIFS($J$2:J984, $B$2:B984, B984)</f>
        <v>0.60866666666666647</v>
      </c>
      <c r="AD984" s="86">
        <f>AVERAGEIFS($D$2:D984, $B$2:B984, B984)</f>
        <v>0.73333333333333328</v>
      </c>
    </row>
    <row r="985" spans="1:30" x14ac:dyDescent="0.25">
      <c r="A985" s="85">
        <v>46152</v>
      </c>
      <c r="B985" t="s">
        <v>40</v>
      </c>
      <c r="C985">
        <v>13</v>
      </c>
      <c r="D985" s="86">
        <v>1</v>
      </c>
      <c r="E985">
        <v>3</v>
      </c>
      <c r="F985">
        <v>3</v>
      </c>
      <c r="G985">
        <v>13</v>
      </c>
      <c r="H985">
        <v>9</v>
      </c>
      <c r="I985">
        <v>1</v>
      </c>
      <c r="J985">
        <v>0.69</v>
      </c>
      <c r="K985">
        <v>0</v>
      </c>
      <c r="L985">
        <v>0</v>
      </c>
      <c r="M985">
        <v>0</v>
      </c>
      <c r="N985">
        <v>1</v>
      </c>
      <c r="O985">
        <v>0</v>
      </c>
      <c r="P985">
        <v>0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0</v>
      </c>
      <c r="W985">
        <v>0</v>
      </c>
      <c r="X985">
        <v>0</v>
      </c>
      <c r="Y985">
        <v>1</v>
      </c>
      <c r="Z985">
        <v>1</v>
      </c>
      <c r="AA985" s="86">
        <f>AVERAGEIFS($C$2:C985, $B$2:B985, B985)</f>
        <v>19</v>
      </c>
      <c r="AB985" s="86">
        <f>AVERAGEIFS($I$2:I985, $B$2:B985, B985)</f>
        <v>0.48823529411764699</v>
      </c>
      <c r="AC985" s="86">
        <f>AVERAGEIFS($J$2:J985, $B$2:B985, B985)</f>
        <v>0.46823529411764703</v>
      </c>
      <c r="AD985" s="86">
        <f>AVERAGEIFS($D$2:D985, $B$2:B985, B985)</f>
        <v>0.41176470588235292</v>
      </c>
    </row>
    <row r="986" spans="1:30" x14ac:dyDescent="0.25">
      <c r="A986" s="85">
        <v>46152</v>
      </c>
      <c r="B986" t="s">
        <v>140</v>
      </c>
      <c r="C986">
        <v>6</v>
      </c>
      <c r="D986" s="86">
        <v>1</v>
      </c>
      <c r="E986">
        <v>3</v>
      </c>
      <c r="F986">
        <v>3</v>
      </c>
      <c r="G986">
        <v>13</v>
      </c>
      <c r="H986">
        <v>9</v>
      </c>
      <c r="I986">
        <v>1</v>
      </c>
      <c r="J986">
        <v>0.69</v>
      </c>
      <c r="K986">
        <v>0</v>
      </c>
      <c r="L986">
        <v>0</v>
      </c>
      <c r="M986">
        <v>0</v>
      </c>
      <c r="N986">
        <v>1</v>
      </c>
      <c r="O986">
        <v>0</v>
      </c>
      <c r="P986">
        <v>0</v>
      </c>
      <c r="Q986">
        <v>0</v>
      </c>
      <c r="R986">
        <v>0</v>
      </c>
      <c r="S986">
        <v>0</v>
      </c>
      <c r="T986">
        <v>0</v>
      </c>
      <c r="U986">
        <v>0</v>
      </c>
      <c r="V986">
        <v>0</v>
      </c>
      <c r="W986">
        <v>0</v>
      </c>
      <c r="X986">
        <v>0</v>
      </c>
      <c r="Y986">
        <v>1</v>
      </c>
      <c r="Z986">
        <v>1</v>
      </c>
      <c r="AA986" s="86">
        <f>AVERAGEIFS($C$2:C986, $B$2:B986, B986)</f>
        <v>8.9499999999999993</v>
      </c>
      <c r="AB986" s="86">
        <f>AVERAGEIFS($I$2:I986, $B$2:B986, B986)</f>
        <v>0.43000000000000005</v>
      </c>
      <c r="AC986" s="86">
        <f>AVERAGEIFS($J$2:J986, $B$2:B986, B986)</f>
        <v>0.47249999999999986</v>
      </c>
      <c r="AD986" s="86">
        <f>AVERAGEIFS($D$2:D986, $B$2:B986, B986)</f>
        <v>0.45</v>
      </c>
    </row>
    <row r="987" spans="1:30" x14ac:dyDescent="0.25">
      <c r="A987" s="85">
        <v>46152</v>
      </c>
      <c r="B987" t="s">
        <v>13</v>
      </c>
      <c r="C987">
        <v>25</v>
      </c>
      <c r="D987" s="86">
        <v>1</v>
      </c>
      <c r="E987">
        <v>4</v>
      </c>
      <c r="F987">
        <v>3</v>
      </c>
      <c r="G987">
        <v>18</v>
      </c>
      <c r="H987">
        <v>9</v>
      </c>
      <c r="I987">
        <v>0.75</v>
      </c>
      <c r="J987">
        <v>0.5</v>
      </c>
      <c r="K987">
        <v>1</v>
      </c>
      <c r="L987">
        <v>0</v>
      </c>
      <c r="M987">
        <v>1</v>
      </c>
      <c r="N987">
        <v>0</v>
      </c>
      <c r="O987">
        <v>0</v>
      </c>
      <c r="P987">
        <v>0</v>
      </c>
      <c r="Q987">
        <v>0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0</v>
      </c>
      <c r="X987">
        <v>1</v>
      </c>
      <c r="Y987">
        <v>0</v>
      </c>
      <c r="Z987">
        <v>0</v>
      </c>
      <c r="AA987" s="86">
        <f>AVERAGEIFS($C$2:C987, $B$2:B987, B987)</f>
        <v>26.044776119402986</v>
      </c>
      <c r="AB987" s="86">
        <f>AVERAGEIFS($I$2:I987, $B$2:B987, B987)</f>
        <v>0.57611940298507469</v>
      </c>
      <c r="AC987" s="86">
        <f>AVERAGEIFS($J$2:J987, $B$2:B987, B987)</f>
        <v>0.54567164179104477</v>
      </c>
      <c r="AD987" s="86">
        <f>AVERAGEIFS($D$2:D987, $B$2:B987, B987)</f>
        <v>0.62686567164179108</v>
      </c>
    </row>
    <row r="988" spans="1:30" x14ac:dyDescent="0.25">
      <c r="A988" s="85">
        <v>46152</v>
      </c>
      <c r="B988" t="s">
        <v>40</v>
      </c>
      <c r="C988">
        <v>19</v>
      </c>
      <c r="D988" s="86">
        <v>1</v>
      </c>
      <c r="E988">
        <v>4</v>
      </c>
      <c r="F988">
        <v>3</v>
      </c>
      <c r="G988">
        <v>18</v>
      </c>
      <c r="H988">
        <v>9</v>
      </c>
      <c r="I988">
        <v>0.75</v>
      </c>
      <c r="J988">
        <v>0.5</v>
      </c>
      <c r="K988">
        <v>1</v>
      </c>
      <c r="L988">
        <v>0</v>
      </c>
      <c r="M988">
        <v>1</v>
      </c>
      <c r="N988">
        <v>0</v>
      </c>
      <c r="O988">
        <v>0</v>
      </c>
      <c r="P988">
        <v>0</v>
      </c>
      <c r="Q988">
        <v>0</v>
      </c>
      <c r="R988">
        <v>0</v>
      </c>
      <c r="S988">
        <v>0</v>
      </c>
      <c r="T988">
        <v>0</v>
      </c>
      <c r="U988">
        <v>0</v>
      </c>
      <c r="V988">
        <v>0</v>
      </c>
      <c r="W988">
        <v>0</v>
      </c>
      <c r="X988">
        <v>1</v>
      </c>
      <c r="Y988">
        <v>0</v>
      </c>
      <c r="Z988">
        <v>0</v>
      </c>
      <c r="AA988" s="86">
        <f>AVERAGEIFS($C$2:C988, $B$2:B988, B988)</f>
        <v>19</v>
      </c>
      <c r="AB988" s="86">
        <f>AVERAGEIFS($I$2:I988, $B$2:B988, B988)</f>
        <v>0.50277777777777777</v>
      </c>
      <c r="AC988" s="86">
        <f>AVERAGEIFS($J$2:J988, $B$2:B988, B988)</f>
        <v>0.47</v>
      </c>
      <c r="AD988" s="86">
        <f>AVERAGEIFS($D$2:D988, $B$2:B988, B988)</f>
        <v>0.44444444444444442</v>
      </c>
    </row>
    <row r="989" spans="1:30" x14ac:dyDescent="0.25">
      <c r="A989" s="85">
        <v>46152</v>
      </c>
      <c r="B989" t="s">
        <v>220</v>
      </c>
      <c r="C989">
        <v>21</v>
      </c>
      <c r="D989" s="86">
        <v>1</v>
      </c>
      <c r="E989">
        <v>4</v>
      </c>
      <c r="F989">
        <v>3</v>
      </c>
      <c r="G989">
        <v>18</v>
      </c>
      <c r="H989">
        <v>9</v>
      </c>
      <c r="I989">
        <v>0.75</v>
      </c>
      <c r="J989">
        <v>0.5</v>
      </c>
      <c r="K989">
        <v>1</v>
      </c>
      <c r="L989">
        <v>0</v>
      </c>
      <c r="M989">
        <v>1</v>
      </c>
      <c r="N989">
        <v>0</v>
      </c>
      <c r="O989">
        <v>0</v>
      </c>
      <c r="P989">
        <v>0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0</v>
      </c>
      <c r="X989">
        <v>1</v>
      </c>
      <c r="Y989">
        <v>0</v>
      </c>
      <c r="Z989">
        <v>0</v>
      </c>
      <c r="AA989" s="86">
        <f>AVERAGEIFS($C$2:C989, $B$2:B989, B989)</f>
        <v>18.75</v>
      </c>
      <c r="AB989" s="86">
        <f>AVERAGEIFS($I$2:I989, $B$2:B989, B989)</f>
        <v>0.6875</v>
      </c>
      <c r="AC989" s="86">
        <f>AVERAGEIFS($J$2:J989, $B$2:B989, B989)</f>
        <v>0.60187499999999983</v>
      </c>
      <c r="AD989" s="86">
        <f>AVERAGEIFS($D$2:D989, $B$2:B989, B989)</f>
        <v>0.75</v>
      </c>
    </row>
    <row r="990" spans="1:30" x14ac:dyDescent="0.25">
      <c r="A990" s="85">
        <v>46152</v>
      </c>
      <c r="B990" t="s">
        <v>179</v>
      </c>
      <c r="C990">
        <v>6</v>
      </c>
      <c r="D990" s="86">
        <v>1</v>
      </c>
      <c r="E990">
        <v>4</v>
      </c>
      <c r="F990">
        <v>3</v>
      </c>
      <c r="G990">
        <v>18</v>
      </c>
      <c r="H990">
        <v>9</v>
      </c>
      <c r="I990">
        <v>0.75</v>
      </c>
      <c r="J990">
        <v>0.5</v>
      </c>
      <c r="K990">
        <v>1</v>
      </c>
      <c r="L990">
        <v>0</v>
      </c>
      <c r="M990">
        <v>1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0</v>
      </c>
      <c r="T990">
        <v>0</v>
      </c>
      <c r="U990">
        <v>0</v>
      </c>
      <c r="V990">
        <v>0</v>
      </c>
      <c r="W990">
        <v>0</v>
      </c>
      <c r="X990">
        <v>1</v>
      </c>
      <c r="Y990">
        <v>0</v>
      </c>
      <c r="Z990">
        <v>0</v>
      </c>
      <c r="AA990" s="86">
        <f>AVERAGEIFS($C$2:C990, $B$2:B990, B990)</f>
        <v>14</v>
      </c>
      <c r="AB990" s="86">
        <f>AVERAGEIFS($I$2:I990, $B$2:B990, B990)</f>
        <v>0.8571428571428571</v>
      </c>
      <c r="AC990" s="86">
        <f>AVERAGEIFS($J$2:J990, $B$2:B990, B990)</f>
        <v>0.61857142857142855</v>
      </c>
      <c r="AD990" s="86">
        <f>AVERAGEIFS($D$2:D990, $B$2:B990, B990)</f>
        <v>0.8571428571428571</v>
      </c>
    </row>
    <row r="991" spans="1:30" x14ac:dyDescent="0.25">
      <c r="A991" s="85">
        <v>46152</v>
      </c>
      <c r="B991" t="s">
        <v>27</v>
      </c>
      <c r="C991">
        <v>21</v>
      </c>
      <c r="D991" s="86">
        <v>1</v>
      </c>
      <c r="E991">
        <v>4</v>
      </c>
      <c r="F991">
        <v>3</v>
      </c>
      <c r="G991">
        <v>18</v>
      </c>
      <c r="H991">
        <v>9</v>
      </c>
      <c r="I991">
        <v>0.75</v>
      </c>
      <c r="J991">
        <v>0.5</v>
      </c>
      <c r="K991">
        <v>1</v>
      </c>
      <c r="L991">
        <v>0</v>
      </c>
      <c r="M991">
        <v>1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0</v>
      </c>
      <c r="T991">
        <v>0</v>
      </c>
      <c r="U991">
        <v>0</v>
      </c>
      <c r="V991">
        <v>0</v>
      </c>
      <c r="W991">
        <v>0</v>
      </c>
      <c r="X991">
        <v>1</v>
      </c>
      <c r="Y991">
        <v>0</v>
      </c>
      <c r="Z991">
        <v>0</v>
      </c>
      <c r="AA991" s="86">
        <f>AVERAGEIFS($C$2:C991, $B$2:B991, B991)</f>
        <v>15.035714285714286</v>
      </c>
      <c r="AB991" s="86">
        <f>AVERAGEIFS($I$2:I991, $B$2:B991, B991)</f>
        <v>0.51607142857142851</v>
      </c>
      <c r="AC991" s="86">
        <f>AVERAGEIFS($J$2:J991, $B$2:B991, B991)</f>
        <v>0.50678571428571428</v>
      </c>
      <c r="AD991" s="86">
        <f>AVERAGEIFS($D$2:D991, $B$2:B991, B991)</f>
        <v>0.5714285714285714</v>
      </c>
    </row>
    <row r="992" spans="1:30" x14ac:dyDescent="0.25">
      <c r="A992" s="85">
        <v>46152</v>
      </c>
      <c r="B992" t="s">
        <v>26</v>
      </c>
      <c r="C992">
        <v>13</v>
      </c>
      <c r="D992" s="86">
        <v>1</v>
      </c>
      <c r="E992">
        <v>4</v>
      </c>
      <c r="F992">
        <v>3</v>
      </c>
      <c r="G992">
        <v>18</v>
      </c>
      <c r="H992">
        <v>9</v>
      </c>
      <c r="I992">
        <v>0.75</v>
      </c>
      <c r="J992">
        <v>0.5</v>
      </c>
      <c r="K992">
        <v>1</v>
      </c>
      <c r="L992">
        <v>0</v>
      </c>
      <c r="M992">
        <v>1</v>
      </c>
      <c r="N992">
        <v>0</v>
      </c>
      <c r="O992">
        <v>0</v>
      </c>
      <c r="P992">
        <v>0</v>
      </c>
      <c r="Q992">
        <v>0</v>
      </c>
      <c r="R992">
        <v>0</v>
      </c>
      <c r="S992">
        <v>0</v>
      </c>
      <c r="T992">
        <v>0</v>
      </c>
      <c r="U992">
        <v>0</v>
      </c>
      <c r="V992">
        <v>0</v>
      </c>
      <c r="W992">
        <v>0</v>
      </c>
      <c r="X992">
        <v>1</v>
      </c>
      <c r="Y992">
        <v>0</v>
      </c>
      <c r="Z992">
        <v>0</v>
      </c>
      <c r="AA992" s="86">
        <f>AVERAGEIFS($C$2:C992, $B$2:B992, B992)</f>
        <v>13.432432432432432</v>
      </c>
      <c r="AB992" s="86">
        <f>AVERAGEIFS($I$2:I992, $B$2:B992, B992)</f>
        <v>0.62432432432432428</v>
      </c>
      <c r="AC992" s="86">
        <f>AVERAGEIFS($J$2:J992, $B$2:B992, B992)</f>
        <v>0.55189189189189192</v>
      </c>
      <c r="AD992" s="86">
        <f>AVERAGEIFS($D$2:D992, $B$2:B992, B992)</f>
        <v>0.67567567567567566</v>
      </c>
    </row>
    <row r="993" spans="1:30" x14ac:dyDescent="0.25">
      <c r="A993" s="85">
        <v>46152</v>
      </c>
      <c r="B993" t="s">
        <v>152</v>
      </c>
      <c r="C993">
        <v>18</v>
      </c>
      <c r="D993" s="86">
        <v>1</v>
      </c>
      <c r="E993">
        <v>4</v>
      </c>
      <c r="F993">
        <v>3</v>
      </c>
      <c r="G993">
        <v>18</v>
      </c>
      <c r="H993">
        <v>9</v>
      </c>
      <c r="I993">
        <v>0.75</v>
      </c>
      <c r="J993">
        <v>0.5</v>
      </c>
      <c r="K993">
        <v>1</v>
      </c>
      <c r="L993">
        <v>0</v>
      </c>
      <c r="M993">
        <v>1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0</v>
      </c>
      <c r="T993">
        <v>0</v>
      </c>
      <c r="U993">
        <v>0</v>
      </c>
      <c r="V993">
        <v>0</v>
      </c>
      <c r="W993">
        <v>0</v>
      </c>
      <c r="X993">
        <v>1</v>
      </c>
      <c r="Y993">
        <v>0</v>
      </c>
      <c r="Z993">
        <v>0</v>
      </c>
      <c r="AA993" s="86">
        <f>AVERAGEIFS($C$2:C993, $B$2:B993, B993)</f>
        <v>13.777777777777779</v>
      </c>
      <c r="AB993" s="86">
        <f>AVERAGEIFS($I$2:I993, $B$2:B993, B993)</f>
        <v>0.25555555555555554</v>
      </c>
      <c r="AC993" s="86">
        <f>AVERAGEIFS($J$2:J993, $B$2:B993, B993)</f>
        <v>0.36333333333333334</v>
      </c>
      <c r="AD993" s="86">
        <f>AVERAGEIFS($D$2:D993, $B$2:B993, B993)</f>
        <v>0.22222222222222221</v>
      </c>
    </row>
    <row r="994" spans="1:30" x14ac:dyDescent="0.25">
      <c r="A994" s="85">
        <v>46152</v>
      </c>
      <c r="B994" t="s">
        <v>178</v>
      </c>
      <c r="C994">
        <v>8</v>
      </c>
      <c r="D994" s="86">
        <v>1</v>
      </c>
      <c r="E994">
        <v>4</v>
      </c>
      <c r="F994">
        <v>3</v>
      </c>
      <c r="G994">
        <v>18</v>
      </c>
      <c r="H994">
        <v>9</v>
      </c>
      <c r="I994">
        <v>0.75</v>
      </c>
      <c r="J994">
        <v>0.5</v>
      </c>
      <c r="K994">
        <v>1</v>
      </c>
      <c r="L994">
        <v>0</v>
      </c>
      <c r="M994">
        <v>1</v>
      </c>
      <c r="N994">
        <v>0</v>
      </c>
      <c r="O994">
        <v>0</v>
      </c>
      <c r="P994">
        <v>0</v>
      </c>
      <c r="Q994">
        <v>0</v>
      </c>
      <c r="R994">
        <v>0</v>
      </c>
      <c r="S994">
        <v>0</v>
      </c>
      <c r="T994">
        <v>0</v>
      </c>
      <c r="U994">
        <v>0</v>
      </c>
      <c r="V994">
        <v>0</v>
      </c>
      <c r="W994">
        <v>0</v>
      </c>
      <c r="X994">
        <v>1</v>
      </c>
      <c r="Y994">
        <v>0</v>
      </c>
      <c r="Z994">
        <v>0</v>
      </c>
      <c r="AA994" s="86">
        <f>AVERAGEIFS($C$2:C994, $B$2:B994, B994)</f>
        <v>8</v>
      </c>
      <c r="AB994" s="86">
        <f>AVERAGEIFS($I$2:I994, $B$2:B994, B994)</f>
        <v>0.75</v>
      </c>
      <c r="AC994" s="86">
        <f>AVERAGEIFS($J$2:J994, $B$2:B994, B994)</f>
        <v>0.5</v>
      </c>
      <c r="AD994" s="86">
        <f>AVERAGEIFS($D$2:D994, $B$2:B994, B994)</f>
        <v>1</v>
      </c>
    </row>
    <row r="995" spans="1:30" x14ac:dyDescent="0.25">
      <c r="A995" s="85">
        <v>46152</v>
      </c>
      <c r="B995" t="s">
        <v>17</v>
      </c>
      <c r="C995">
        <v>32</v>
      </c>
      <c r="D995" s="86">
        <v>0</v>
      </c>
      <c r="E995">
        <v>4</v>
      </c>
      <c r="F995">
        <v>1</v>
      </c>
      <c r="G995">
        <v>18</v>
      </c>
      <c r="H995">
        <v>9</v>
      </c>
      <c r="I995">
        <v>0.25</v>
      </c>
      <c r="J995">
        <v>0.5</v>
      </c>
      <c r="K995">
        <v>0</v>
      </c>
      <c r="L995">
        <v>0</v>
      </c>
      <c r="M995">
        <v>0</v>
      </c>
      <c r="N995">
        <v>0</v>
      </c>
      <c r="O995">
        <v>0</v>
      </c>
      <c r="P995">
        <v>0</v>
      </c>
      <c r="Q995">
        <v>0</v>
      </c>
      <c r="R995">
        <v>1</v>
      </c>
      <c r="S995">
        <v>0</v>
      </c>
      <c r="T995">
        <v>0</v>
      </c>
      <c r="U995">
        <v>0</v>
      </c>
      <c r="V995">
        <v>0</v>
      </c>
      <c r="W995">
        <v>0</v>
      </c>
      <c r="X995">
        <v>0</v>
      </c>
      <c r="Y995">
        <v>0</v>
      </c>
      <c r="Z995">
        <v>0</v>
      </c>
      <c r="AA995" s="86">
        <f>AVERAGEIFS($C$2:C995, $B$2:B995, B995)</f>
        <v>24.8135593220339</v>
      </c>
      <c r="AB995" s="86">
        <f>AVERAGEIFS($I$2:I995, $B$2:B995, B995)</f>
        <v>0.46186440677966112</v>
      </c>
      <c r="AC995" s="86">
        <f>AVERAGEIFS($J$2:J995, $B$2:B995, B995)</f>
        <v>0.49576271186440651</v>
      </c>
      <c r="AD995" s="86">
        <f>AVERAGEIFS($D$2:D995, $B$2:B995, B995)</f>
        <v>0.40677966101694918</v>
      </c>
    </row>
    <row r="996" spans="1:30" x14ac:dyDescent="0.25">
      <c r="A996" s="85">
        <v>46152</v>
      </c>
      <c r="B996" t="s">
        <v>5</v>
      </c>
      <c r="C996">
        <v>15</v>
      </c>
      <c r="D996" s="86">
        <v>0</v>
      </c>
      <c r="E996">
        <v>4</v>
      </c>
      <c r="F996">
        <v>1</v>
      </c>
      <c r="G996">
        <v>18</v>
      </c>
      <c r="H996">
        <v>9</v>
      </c>
      <c r="I996">
        <v>0.25</v>
      </c>
      <c r="J996">
        <v>0.5</v>
      </c>
      <c r="K996">
        <v>0</v>
      </c>
      <c r="L996">
        <v>0</v>
      </c>
      <c r="M996">
        <v>0</v>
      </c>
      <c r="N996">
        <v>0</v>
      </c>
      <c r="O996">
        <v>0</v>
      </c>
      <c r="P996">
        <v>0</v>
      </c>
      <c r="Q996">
        <v>0</v>
      </c>
      <c r="R996">
        <v>1</v>
      </c>
      <c r="S996">
        <v>0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0</v>
      </c>
      <c r="AA996" s="86">
        <f>AVERAGEIFS($C$2:C996, $B$2:B996, B996)</f>
        <v>24.1</v>
      </c>
      <c r="AB996" s="86">
        <f>AVERAGEIFS($I$2:I996, $B$2:B996, B996)</f>
        <v>0.48999999999999994</v>
      </c>
      <c r="AC996" s="86">
        <f>AVERAGEIFS($J$2:J996, $B$2:B996, B996)</f>
        <v>0.4965</v>
      </c>
      <c r="AD996" s="86">
        <f>AVERAGEIFS($D$2:D996, $B$2:B996, B996)</f>
        <v>0.5</v>
      </c>
    </row>
    <row r="997" spans="1:30" x14ac:dyDescent="0.25">
      <c r="A997" s="85">
        <v>46152</v>
      </c>
      <c r="B997" t="s">
        <v>155</v>
      </c>
      <c r="C997">
        <v>12</v>
      </c>
      <c r="D997" s="86">
        <v>0</v>
      </c>
      <c r="E997">
        <v>4</v>
      </c>
      <c r="F997">
        <v>1</v>
      </c>
      <c r="G997">
        <v>18</v>
      </c>
      <c r="H997">
        <v>9</v>
      </c>
      <c r="I997">
        <v>0.25</v>
      </c>
      <c r="J997">
        <v>0.5</v>
      </c>
      <c r="K997">
        <v>0</v>
      </c>
      <c r="L997">
        <v>0</v>
      </c>
      <c r="M997">
        <v>0</v>
      </c>
      <c r="N997">
        <v>0</v>
      </c>
      <c r="O997">
        <v>0</v>
      </c>
      <c r="P997">
        <v>0</v>
      </c>
      <c r="Q997">
        <v>0</v>
      </c>
      <c r="R997">
        <v>1</v>
      </c>
      <c r="S997">
        <v>0</v>
      </c>
      <c r="T997">
        <v>0</v>
      </c>
      <c r="U997">
        <v>0</v>
      </c>
      <c r="V997">
        <v>0</v>
      </c>
      <c r="W997">
        <v>0</v>
      </c>
      <c r="X997">
        <v>0</v>
      </c>
      <c r="Y997">
        <v>0</v>
      </c>
      <c r="Z997">
        <v>0</v>
      </c>
      <c r="AA997" s="86">
        <f>AVERAGEIFS($C$2:C997, $B$2:B997, B997)</f>
        <v>16.892857142857142</v>
      </c>
      <c r="AB997" s="86">
        <f>AVERAGEIFS($I$2:I997, $B$2:B997, B997)</f>
        <v>0.38392857142857145</v>
      </c>
      <c r="AC997" s="86">
        <f>AVERAGEIFS($J$2:J997, $B$2:B997, B997)</f>
        <v>0.46142857142857141</v>
      </c>
      <c r="AD997" s="86">
        <f>AVERAGEIFS($D$2:D997, $B$2:B997, B997)</f>
        <v>0.32142857142857145</v>
      </c>
    </row>
    <row r="998" spans="1:30" x14ac:dyDescent="0.25">
      <c r="A998" s="85">
        <v>46152</v>
      </c>
      <c r="B998" t="s">
        <v>141</v>
      </c>
      <c r="C998">
        <v>19</v>
      </c>
      <c r="D998" s="86">
        <v>0</v>
      </c>
      <c r="E998">
        <v>4</v>
      </c>
      <c r="F998">
        <v>1</v>
      </c>
      <c r="G998">
        <v>18</v>
      </c>
      <c r="H998">
        <v>9</v>
      </c>
      <c r="I998">
        <v>0.25</v>
      </c>
      <c r="J998">
        <v>0.5</v>
      </c>
      <c r="K998">
        <v>0</v>
      </c>
      <c r="L998">
        <v>0</v>
      </c>
      <c r="M998">
        <v>0</v>
      </c>
      <c r="N998">
        <v>0</v>
      </c>
      <c r="O998">
        <v>0</v>
      </c>
      <c r="P998">
        <v>0</v>
      </c>
      <c r="Q998">
        <v>0</v>
      </c>
      <c r="R998">
        <v>1</v>
      </c>
      <c r="S998">
        <v>0</v>
      </c>
      <c r="T998">
        <v>0</v>
      </c>
      <c r="U998">
        <v>0</v>
      </c>
      <c r="V998">
        <v>0</v>
      </c>
      <c r="W998">
        <v>0</v>
      </c>
      <c r="X998">
        <v>0</v>
      </c>
      <c r="Y998">
        <v>0</v>
      </c>
      <c r="Z998">
        <v>0</v>
      </c>
      <c r="AA998" s="86">
        <f>AVERAGEIFS($C$2:C998, $B$2:B998, B998)</f>
        <v>15.909090909090908</v>
      </c>
      <c r="AB998" s="86">
        <f>AVERAGEIFS($I$2:I998, $B$2:B998, B998)</f>
        <v>0.39090909090909087</v>
      </c>
      <c r="AC998" s="86">
        <f>AVERAGEIFS($J$2:J998, $B$2:B998, B998)</f>
        <v>0.44636363636363635</v>
      </c>
      <c r="AD998" s="86">
        <f>AVERAGEIFS($D$2:D998, $B$2:B998, B998)</f>
        <v>0.27272727272727271</v>
      </c>
    </row>
    <row r="999" spans="1:30" x14ac:dyDescent="0.25">
      <c r="A999" s="85">
        <v>46152</v>
      </c>
      <c r="B999" t="s">
        <v>50</v>
      </c>
      <c r="C999">
        <v>16</v>
      </c>
      <c r="D999" s="86">
        <v>0</v>
      </c>
      <c r="E999">
        <v>4</v>
      </c>
      <c r="F999">
        <v>1</v>
      </c>
      <c r="G999">
        <v>18</v>
      </c>
      <c r="H999">
        <v>9</v>
      </c>
      <c r="I999">
        <v>0.25</v>
      </c>
      <c r="J999">
        <v>0.5</v>
      </c>
      <c r="K999">
        <v>0</v>
      </c>
      <c r="L999">
        <v>0</v>
      </c>
      <c r="M999">
        <v>0</v>
      </c>
      <c r="N999">
        <v>0</v>
      </c>
      <c r="O999">
        <v>0</v>
      </c>
      <c r="P999">
        <v>0</v>
      </c>
      <c r="Q999">
        <v>0</v>
      </c>
      <c r="R999">
        <v>1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0</v>
      </c>
      <c r="Y999">
        <v>0</v>
      </c>
      <c r="Z999">
        <v>0</v>
      </c>
      <c r="AA999" s="86">
        <f>AVERAGEIFS($C$2:C999, $B$2:B999, B999)</f>
        <v>14.75</v>
      </c>
      <c r="AB999" s="86">
        <f>AVERAGEIFS($I$2:I999, $B$2:B999, B999)</f>
        <v>0.28749999999999998</v>
      </c>
      <c r="AC999" s="86">
        <f>AVERAGEIFS($J$2:J999, $B$2:B999, B999)</f>
        <v>0.4375</v>
      </c>
      <c r="AD999" s="86">
        <f>AVERAGEIFS($D$2:D999, $B$2:B999, B999)</f>
        <v>0</v>
      </c>
    </row>
    <row r="1000" spans="1:30" x14ac:dyDescent="0.25">
      <c r="A1000" s="85">
        <v>46152</v>
      </c>
      <c r="B1000" t="s">
        <v>45</v>
      </c>
      <c r="C1000">
        <v>12</v>
      </c>
      <c r="D1000" s="86">
        <v>0</v>
      </c>
      <c r="E1000">
        <v>4</v>
      </c>
      <c r="F1000">
        <v>1</v>
      </c>
      <c r="G1000">
        <v>18</v>
      </c>
      <c r="H1000">
        <v>9</v>
      </c>
      <c r="I1000">
        <v>0.25</v>
      </c>
      <c r="J1000">
        <v>0.5</v>
      </c>
      <c r="K1000">
        <v>0</v>
      </c>
      <c r="L1000">
        <v>0</v>
      </c>
      <c r="M1000">
        <v>0</v>
      </c>
      <c r="N1000">
        <v>0</v>
      </c>
      <c r="O1000">
        <v>0</v>
      </c>
      <c r="P1000">
        <v>0</v>
      </c>
      <c r="Q1000">
        <v>0</v>
      </c>
      <c r="R1000">
        <v>1</v>
      </c>
      <c r="S1000">
        <v>0</v>
      </c>
      <c r="T1000">
        <v>0</v>
      </c>
      <c r="U1000">
        <v>0</v>
      </c>
      <c r="V1000">
        <v>0</v>
      </c>
      <c r="W1000">
        <v>0</v>
      </c>
      <c r="X1000">
        <v>0</v>
      </c>
      <c r="Y1000">
        <v>0</v>
      </c>
      <c r="Z1000">
        <v>0</v>
      </c>
      <c r="AA1000" s="86">
        <f>AVERAGEIFS($C$2:C1000, $B$2:B1000, B1000)</f>
        <v>13.375</v>
      </c>
      <c r="AB1000" s="86">
        <f>AVERAGEIFS($I$2:I1000, $B$2:B1000, B1000)</f>
        <v>0.45208333333333339</v>
      </c>
      <c r="AC1000" s="86">
        <f>AVERAGEIFS($J$2:J1000, $B$2:B1000, B1000)</f>
        <v>0.48208333333333342</v>
      </c>
      <c r="AD1000" s="86">
        <f>AVERAGEIFS($D$2:D1000, $B$2:B1000, B1000)</f>
        <v>0.375</v>
      </c>
    </row>
    <row r="1001" spans="1:30" x14ac:dyDescent="0.25">
      <c r="A1001" s="85">
        <v>46152</v>
      </c>
      <c r="B1001" t="s">
        <v>139</v>
      </c>
      <c r="C1001">
        <v>10</v>
      </c>
      <c r="D1001" s="86">
        <v>0</v>
      </c>
      <c r="E1001">
        <v>4</v>
      </c>
      <c r="F1001">
        <v>1</v>
      </c>
      <c r="G1001">
        <v>18</v>
      </c>
      <c r="H1001">
        <v>9</v>
      </c>
      <c r="I1001">
        <v>0.25</v>
      </c>
      <c r="J1001">
        <v>0.5</v>
      </c>
      <c r="K1001">
        <v>0</v>
      </c>
      <c r="L1001">
        <v>0</v>
      </c>
      <c r="M1001">
        <v>0</v>
      </c>
      <c r="N1001">
        <v>0</v>
      </c>
      <c r="O1001">
        <v>0</v>
      </c>
      <c r="P1001">
        <v>0</v>
      </c>
      <c r="Q1001">
        <v>0</v>
      </c>
      <c r="R1001">
        <v>1</v>
      </c>
      <c r="S1001">
        <v>0</v>
      </c>
      <c r="T1001">
        <v>0</v>
      </c>
      <c r="U1001">
        <v>0</v>
      </c>
      <c r="V1001">
        <v>0</v>
      </c>
      <c r="W1001">
        <v>0</v>
      </c>
      <c r="X1001">
        <v>0</v>
      </c>
      <c r="Y1001">
        <v>0</v>
      </c>
      <c r="Z1001">
        <v>0</v>
      </c>
      <c r="AA1001" s="86">
        <f>AVERAGEIFS($C$2:C1001, $B$2:B1001, B1001)</f>
        <v>10.523809523809524</v>
      </c>
      <c r="AB1001" s="86">
        <f>AVERAGEIFS($I$2:I1001, $B$2:B1001, B1001)</f>
        <v>0.4547619047619047</v>
      </c>
      <c r="AC1001" s="86">
        <f>AVERAGEIFS($J$2:J1001, $B$2:B1001, B1001)</f>
        <v>0.49999999999999989</v>
      </c>
      <c r="AD1001" s="86">
        <f>AVERAGEIFS($D$2:D1001, $B$2:B1001, B1001)</f>
        <v>0.52380952380952384</v>
      </c>
    </row>
    <row r="1002" spans="1:30" x14ac:dyDescent="0.25">
      <c r="A1002" s="85">
        <v>46152</v>
      </c>
      <c r="B1002" t="s">
        <v>140</v>
      </c>
      <c r="C1002">
        <v>8</v>
      </c>
      <c r="D1002" s="86">
        <v>0</v>
      </c>
      <c r="E1002">
        <v>4</v>
      </c>
      <c r="F1002">
        <v>1</v>
      </c>
      <c r="G1002">
        <v>18</v>
      </c>
      <c r="H1002">
        <v>9</v>
      </c>
      <c r="I1002">
        <v>0.25</v>
      </c>
      <c r="J1002">
        <v>0.5</v>
      </c>
      <c r="K1002">
        <v>0</v>
      </c>
      <c r="L1002">
        <v>0</v>
      </c>
      <c r="M1002">
        <v>0</v>
      </c>
      <c r="N1002">
        <v>0</v>
      </c>
      <c r="O1002">
        <v>0</v>
      </c>
      <c r="P1002">
        <v>0</v>
      </c>
      <c r="Q1002">
        <v>0</v>
      </c>
      <c r="R1002">
        <v>1</v>
      </c>
      <c r="S1002">
        <v>0</v>
      </c>
      <c r="T1002">
        <v>0</v>
      </c>
      <c r="U1002">
        <v>0</v>
      </c>
      <c r="V1002">
        <v>0</v>
      </c>
      <c r="W1002">
        <v>0</v>
      </c>
      <c r="X1002">
        <v>0</v>
      </c>
      <c r="Y1002">
        <v>0</v>
      </c>
      <c r="Z1002">
        <v>0</v>
      </c>
      <c r="AA1002" s="86">
        <f>AVERAGEIFS($C$2:C1002, $B$2:B1002, B1002)</f>
        <v>8.9047619047619051</v>
      </c>
      <c r="AB1002" s="86">
        <f>AVERAGEIFS($I$2:I1002, $B$2:B1002, B1002)</f>
        <v>0.42142857142857149</v>
      </c>
      <c r="AC1002" s="86">
        <f>AVERAGEIFS($J$2:J1002, $B$2:B1002, B1002)</f>
        <v>0.47380952380952368</v>
      </c>
      <c r="AD1002" s="86">
        <f>AVERAGEIFS($D$2:D1002, $B$2:B1002, B1002)</f>
        <v>0.42857142857142855</v>
      </c>
    </row>
    <row r="1003" spans="1:30" x14ac:dyDescent="0.25">
      <c r="A1003" s="85">
        <v>46153</v>
      </c>
      <c r="B1003" t="s">
        <v>29</v>
      </c>
      <c r="C1003">
        <v>6</v>
      </c>
      <c r="D1003" s="86">
        <v>0</v>
      </c>
      <c r="E1003">
        <v>4</v>
      </c>
      <c r="F1003">
        <v>1</v>
      </c>
      <c r="G1003">
        <v>18</v>
      </c>
      <c r="H1003">
        <v>7</v>
      </c>
      <c r="I1003">
        <v>0.25</v>
      </c>
      <c r="J1003">
        <v>0.39</v>
      </c>
      <c r="K1003">
        <v>0</v>
      </c>
      <c r="L1003">
        <v>0</v>
      </c>
      <c r="M1003">
        <v>0</v>
      </c>
      <c r="N1003">
        <v>0</v>
      </c>
      <c r="O1003">
        <v>0</v>
      </c>
      <c r="P1003">
        <v>1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X1003">
        <v>0</v>
      </c>
      <c r="Y1003">
        <v>0</v>
      </c>
      <c r="Z1003">
        <v>0</v>
      </c>
      <c r="AA1003" s="86">
        <f>AVERAGEIFS($C$2:C1003, $B$2:B1003, B1003)</f>
        <v>10.78</v>
      </c>
      <c r="AB1003" s="86">
        <f>AVERAGEIFS($I$2:I1003, $B$2:B1003, B1003)</f>
        <v>0.48700000000000004</v>
      </c>
      <c r="AC1003" s="86">
        <f>AVERAGEIFS($J$2:J1003, $B$2:B1003, B1003)</f>
        <v>0.50639999999999996</v>
      </c>
      <c r="AD1003" s="86">
        <f>AVERAGEIFS($D$2:D1003, $B$2:B1003, B1003)</f>
        <v>0.46</v>
      </c>
    </row>
    <row r="1004" spans="1:30" x14ac:dyDescent="0.25">
      <c r="A1004" s="85">
        <v>46153</v>
      </c>
      <c r="B1004" t="s">
        <v>15</v>
      </c>
      <c r="C1004">
        <v>20</v>
      </c>
      <c r="D1004" s="86">
        <v>0</v>
      </c>
      <c r="E1004">
        <v>4</v>
      </c>
      <c r="F1004">
        <v>1</v>
      </c>
      <c r="G1004">
        <v>18</v>
      </c>
      <c r="H1004">
        <v>7</v>
      </c>
      <c r="I1004">
        <v>0.25</v>
      </c>
      <c r="J1004">
        <v>0.39</v>
      </c>
      <c r="K1004">
        <v>0</v>
      </c>
      <c r="L1004">
        <v>0</v>
      </c>
      <c r="M1004">
        <v>0</v>
      </c>
      <c r="N1004">
        <v>0</v>
      </c>
      <c r="O1004">
        <v>0</v>
      </c>
      <c r="P1004">
        <v>1</v>
      </c>
      <c r="Q1004">
        <v>0</v>
      </c>
      <c r="R1004">
        <v>0</v>
      </c>
      <c r="S1004">
        <v>0</v>
      </c>
      <c r="T1004">
        <v>0</v>
      </c>
      <c r="U1004">
        <v>0</v>
      </c>
      <c r="V1004">
        <v>0</v>
      </c>
      <c r="W1004">
        <v>0</v>
      </c>
      <c r="X1004">
        <v>0</v>
      </c>
      <c r="Y1004">
        <v>0</v>
      </c>
      <c r="Z1004">
        <v>0</v>
      </c>
      <c r="AA1004" s="86">
        <f>AVERAGEIFS($C$2:C1004, $B$2:B1004, B1004)</f>
        <v>23.069767441860463</v>
      </c>
      <c r="AB1004" s="86">
        <f>AVERAGEIFS($I$2:I1004, $B$2:B1004, B1004)</f>
        <v>0.44418604651162796</v>
      </c>
      <c r="AC1004" s="86">
        <f>AVERAGEIFS($J$2:J1004, $B$2:B1004, B1004)</f>
        <v>0.48069767441860461</v>
      </c>
      <c r="AD1004" s="86">
        <f>AVERAGEIFS($D$2:D1004, $B$2:B1004, B1004)</f>
        <v>0.37209302325581395</v>
      </c>
    </row>
    <row r="1005" spans="1:30" x14ac:dyDescent="0.25">
      <c r="A1005" s="85">
        <v>46153</v>
      </c>
      <c r="B1005" t="s">
        <v>152</v>
      </c>
      <c r="C1005">
        <v>17</v>
      </c>
      <c r="D1005" s="86">
        <v>0</v>
      </c>
      <c r="E1005">
        <v>4</v>
      </c>
      <c r="F1005">
        <v>1</v>
      </c>
      <c r="G1005">
        <v>18</v>
      </c>
      <c r="H1005">
        <v>7</v>
      </c>
      <c r="I1005">
        <v>0.25</v>
      </c>
      <c r="J1005">
        <v>0.39</v>
      </c>
      <c r="K1005">
        <v>0</v>
      </c>
      <c r="L1005">
        <v>0</v>
      </c>
      <c r="M1005">
        <v>0</v>
      </c>
      <c r="N1005">
        <v>0</v>
      </c>
      <c r="O1005">
        <v>0</v>
      </c>
      <c r="P1005">
        <v>1</v>
      </c>
      <c r="Q1005">
        <v>0</v>
      </c>
      <c r="R1005">
        <v>0</v>
      </c>
      <c r="S1005">
        <v>0</v>
      </c>
      <c r="T1005">
        <v>0</v>
      </c>
      <c r="U1005">
        <v>0</v>
      </c>
      <c r="V1005">
        <v>0</v>
      </c>
      <c r="W1005">
        <v>0</v>
      </c>
      <c r="X1005">
        <v>0</v>
      </c>
      <c r="Y1005">
        <v>0</v>
      </c>
      <c r="Z1005">
        <v>0</v>
      </c>
      <c r="AA1005" s="86">
        <f>AVERAGEIFS($C$2:C1005, $B$2:B1005, B1005)</f>
        <v>14.1</v>
      </c>
      <c r="AB1005" s="86">
        <f>AVERAGEIFS($I$2:I1005, $B$2:B1005, B1005)</f>
        <v>0.255</v>
      </c>
      <c r="AC1005" s="86">
        <f>AVERAGEIFS($J$2:J1005, $B$2:B1005, B1005)</f>
        <v>0.36599999999999999</v>
      </c>
      <c r="AD1005" s="86">
        <f>AVERAGEIFS($D$2:D1005, $B$2:B1005, B1005)</f>
        <v>0.2</v>
      </c>
    </row>
    <row r="1006" spans="1:30" x14ac:dyDescent="0.25">
      <c r="A1006" s="85">
        <v>46153</v>
      </c>
      <c r="B1006" t="s">
        <v>5</v>
      </c>
      <c r="C1006">
        <v>16</v>
      </c>
      <c r="D1006" s="86">
        <v>0</v>
      </c>
      <c r="E1006">
        <v>4</v>
      </c>
      <c r="F1006">
        <v>1</v>
      </c>
      <c r="G1006">
        <v>18</v>
      </c>
      <c r="H1006">
        <v>7</v>
      </c>
      <c r="I1006">
        <v>0.25</v>
      </c>
      <c r="J1006">
        <v>0.39</v>
      </c>
      <c r="K1006">
        <v>0</v>
      </c>
      <c r="L1006">
        <v>0</v>
      </c>
      <c r="M1006">
        <v>0</v>
      </c>
      <c r="N1006">
        <v>0</v>
      </c>
      <c r="O1006">
        <v>0</v>
      </c>
      <c r="P1006">
        <v>1</v>
      </c>
      <c r="Q1006">
        <v>0</v>
      </c>
      <c r="R1006">
        <v>0</v>
      </c>
      <c r="S1006">
        <v>0</v>
      </c>
      <c r="T1006">
        <v>0</v>
      </c>
      <c r="U1006">
        <v>0</v>
      </c>
      <c r="V1006">
        <v>0</v>
      </c>
      <c r="W1006">
        <v>0</v>
      </c>
      <c r="X1006">
        <v>0</v>
      </c>
      <c r="Y1006">
        <v>0</v>
      </c>
      <c r="Z1006">
        <v>0</v>
      </c>
      <c r="AA1006" s="86">
        <f>AVERAGEIFS($C$2:C1006, $B$2:B1006, B1006)</f>
        <v>23.714285714285715</v>
      </c>
      <c r="AB1006" s="86">
        <f>AVERAGEIFS($I$2:I1006, $B$2:B1006, B1006)</f>
        <v>0.47857142857142854</v>
      </c>
      <c r="AC1006" s="86">
        <f>AVERAGEIFS($J$2:J1006, $B$2:B1006, B1006)</f>
        <v>0.49142857142857144</v>
      </c>
      <c r="AD1006" s="86">
        <f>AVERAGEIFS($D$2:D1006, $B$2:B1006, B1006)</f>
        <v>0.47619047619047616</v>
      </c>
    </row>
    <row r="1007" spans="1:30" x14ac:dyDescent="0.25">
      <c r="A1007" s="85">
        <v>46153</v>
      </c>
      <c r="B1007" t="s">
        <v>155</v>
      </c>
      <c r="C1007">
        <v>31</v>
      </c>
      <c r="D1007" s="86">
        <v>0</v>
      </c>
      <c r="E1007">
        <v>4</v>
      </c>
      <c r="F1007">
        <v>1</v>
      </c>
      <c r="G1007">
        <v>18</v>
      </c>
      <c r="H1007">
        <v>7</v>
      </c>
      <c r="I1007">
        <v>0.25</v>
      </c>
      <c r="J1007">
        <v>0.39</v>
      </c>
      <c r="K1007">
        <v>0</v>
      </c>
      <c r="L1007">
        <v>0</v>
      </c>
      <c r="M1007">
        <v>0</v>
      </c>
      <c r="N1007">
        <v>0</v>
      </c>
      <c r="O1007">
        <v>0</v>
      </c>
      <c r="P1007">
        <v>1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0</v>
      </c>
      <c r="Y1007">
        <v>0</v>
      </c>
      <c r="Z1007">
        <v>0</v>
      </c>
      <c r="AA1007" s="86">
        <f>AVERAGEIFS($C$2:C1007, $B$2:B1007, B1007)</f>
        <v>17.379310344827587</v>
      </c>
      <c r="AB1007" s="86">
        <f>AVERAGEIFS($I$2:I1007, $B$2:B1007, B1007)</f>
        <v>0.37931034482758619</v>
      </c>
      <c r="AC1007" s="86">
        <f>AVERAGEIFS($J$2:J1007, $B$2:B1007, B1007)</f>
        <v>0.45896551724137935</v>
      </c>
      <c r="AD1007" s="86">
        <f>AVERAGEIFS($D$2:D1007, $B$2:B1007, B1007)</f>
        <v>0.31034482758620691</v>
      </c>
    </row>
    <row r="1008" spans="1:30" x14ac:dyDescent="0.25">
      <c r="A1008" s="85">
        <v>46153</v>
      </c>
      <c r="B1008" t="s">
        <v>53</v>
      </c>
      <c r="C1008">
        <v>25</v>
      </c>
      <c r="D1008" s="86">
        <v>0</v>
      </c>
      <c r="E1008">
        <v>4</v>
      </c>
      <c r="F1008">
        <v>1</v>
      </c>
      <c r="G1008">
        <v>18</v>
      </c>
      <c r="H1008">
        <v>7</v>
      </c>
      <c r="I1008">
        <v>0.25</v>
      </c>
      <c r="J1008">
        <v>0.39</v>
      </c>
      <c r="K1008">
        <v>0</v>
      </c>
      <c r="L1008">
        <v>0</v>
      </c>
      <c r="M1008">
        <v>0</v>
      </c>
      <c r="N1008">
        <v>0</v>
      </c>
      <c r="O1008">
        <v>0</v>
      </c>
      <c r="P1008">
        <v>1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0</v>
      </c>
      <c r="X1008">
        <v>0</v>
      </c>
      <c r="Y1008">
        <v>0</v>
      </c>
      <c r="Z1008">
        <v>0</v>
      </c>
      <c r="AA1008" s="86">
        <f>AVERAGEIFS($C$2:C1008, $B$2:B1008, B1008)</f>
        <v>17</v>
      </c>
      <c r="AB1008" s="86">
        <f>AVERAGEIFS($I$2:I1008, $B$2:B1008, B1008)</f>
        <v>0.36249999999999999</v>
      </c>
      <c r="AC1008" s="86">
        <f>AVERAGEIFS($J$2:J1008, $B$2:B1008, B1008)</f>
        <v>0.46250000000000002</v>
      </c>
      <c r="AD1008" s="86">
        <f>AVERAGEIFS($D$2:D1008, $B$2:B1008, B1008)</f>
        <v>0.5</v>
      </c>
    </row>
    <row r="1009" spans="1:30" x14ac:dyDescent="0.25">
      <c r="A1009" s="85">
        <v>46153</v>
      </c>
      <c r="B1009" t="s">
        <v>107</v>
      </c>
      <c r="C1009">
        <v>20</v>
      </c>
      <c r="D1009" s="86">
        <v>0</v>
      </c>
      <c r="E1009">
        <v>4</v>
      </c>
      <c r="F1009">
        <v>1</v>
      </c>
      <c r="G1009">
        <v>18</v>
      </c>
      <c r="H1009">
        <v>7</v>
      </c>
      <c r="I1009">
        <v>0.25</v>
      </c>
      <c r="J1009">
        <v>0.39</v>
      </c>
      <c r="K1009">
        <v>0</v>
      </c>
      <c r="L1009">
        <v>0</v>
      </c>
      <c r="M1009">
        <v>0</v>
      </c>
      <c r="N1009">
        <v>0</v>
      </c>
      <c r="O1009">
        <v>0</v>
      </c>
      <c r="P1009">
        <v>1</v>
      </c>
      <c r="Q1009">
        <v>0</v>
      </c>
      <c r="R1009">
        <v>0</v>
      </c>
      <c r="S1009">
        <v>0</v>
      </c>
      <c r="T1009">
        <v>0</v>
      </c>
      <c r="U1009">
        <v>0</v>
      </c>
      <c r="V1009">
        <v>0</v>
      </c>
      <c r="W1009">
        <v>0</v>
      </c>
      <c r="X1009">
        <v>0</v>
      </c>
      <c r="Y1009">
        <v>0</v>
      </c>
      <c r="Z1009">
        <v>0</v>
      </c>
      <c r="AA1009" s="86">
        <f>AVERAGEIFS($C$2:C1009, $B$2:B1009, B1009)</f>
        <v>20</v>
      </c>
      <c r="AB1009" s="86">
        <f>AVERAGEIFS($I$2:I1009, $B$2:B1009, B1009)</f>
        <v>0.25</v>
      </c>
      <c r="AC1009" s="86">
        <f>AVERAGEIFS($J$2:J1009, $B$2:B1009, B1009)</f>
        <v>0.39</v>
      </c>
      <c r="AD1009" s="86">
        <f>AVERAGEIFS($D$2:D1009, $B$2:B1009, B1009)</f>
        <v>0</v>
      </c>
    </row>
    <row r="1010" spans="1:30" x14ac:dyDescent="0.25">
      <c r="A1010" s="85">
        <v>46153</v>
      </c>
      <c r="B1010" t="s">
        <v>140</v>
      </c>
      <c r="C1010">
        <v>15</v>
      </c>
      <c r="D1010" s="86">
        <v>1</v>
      </c>
      <c r="E1010">
        <v>4</v>
      </c>
      <c r="F1010">
        <v>3</v>
      </c>
      <c r="G1010">
        <v>18</v>
      </c>
      <c r="H1010">
        <v>11</v>
      </c>
      <c r="I1010">
        <v>0.75</v>
      </c>
      <c r="J1010">
        <v>0.61</v>
      </c>
      <c r="K1010">
        <v>1</v>
      </c>
      <c r="L1010">
        <v>0</v>
      </c>
      <c r="M1010">
        <v>0</v>
      </c>
      <c r="N1010">
        <v>0</v>
      </c>
      <c r="O1010">
        <v>0</v>
      </c>
      <c r="P1010">
        <v>0</v>
      </c>
      <c r="Q1010">
        <v>1</v>
      </c>
      <c r="R1010">
        <v>0</v>
      </c>
      <c r="S1010">
        <v>0</v>
      </c>
      <c r="T1010">
        <v>0</v>
      </c>
      <c r="U1010">
        <v>0</v>
      </c>
      <c r="V1010">
        <v>0</v>
      </c>
      <c r="W1010">
        <v>0</v>
      </c>
      <c r="X1010">
        <v>1</v>
      </c>
      <c r="Y1010">
        <v>0</v>
      </c>
      <c r="Z1010">
        <v>0</v>
      </c>
      <c r="AA1010" s="86">
        <f>AVERAGEIFS($C$2:C1010, $B$2:B1010, B1010)</f>
        <v>9.1818181818181817</v>
      </c>
      <c r="AB1010" s="86">
        <f>AVERAGEIFS($I$2:I1010, $B$2:B1010, B1010)</f>
        <v>0.43636363636363645</v>
      </c>
      <c r="AC1010" s="86">
        <f>AVERAGEIFS($J$2:J1010, $B$2:B1010, B1010)</f>
        <v>0.47999999999999987</v>
      </c>
      <c r="AD1010" s="86">
        <f>AVERAGEIFS($D$2:D1010, $B$2:B1010, B1010)</f>
        <v>0.45454545454545453</v>
      </c>
    </row>
    <row r="1011" spans="1:30" x14ac:dyDescent="0.25">
      <c r="A1011" s="85">
        <v>46153</v>
      </c>
      <c r="B1011" t="s">
        <v>146</v>
      </c>
      <c r="C1011">
        <v>13</v>
      </c>
      <c r="D1011" s="86">
        <v>1</v>
      </c>
      <c r="E1011">
        <v>4</v>
      </c>
      <c r="F1011">
        <v>3</v>
      </c>
      <c r="G1011">
        <v>18</v>
      </c>
      <c r="H1011">
        <v>11</v>
      </c>
      <c r="I1011">
        <v>0.75</v>
      </c>
      <c r="J1011">
        <v>0.61</v>
      </c>
      <c r="K1011">
        <v>1</v>
      </c>
      <c r="L1011">
        <v>0</v>
      </c>
      <c r="M1011">
        <v>0</v>
      </c>
      <c r="N1011">
        <v>0</v>
      </c>
      <c r="O1011">
        <v>0</v>
      </c>
      <c r="P1011">
        <v>0</v>
      </c>
      <c r="Q1011">
        <v>1</v>
      </c>
      <c r="R1011">
        <v>0</v>
      </c>
      <c r="S1011">
        <v>0</v>
      </c>
      <c r="T1011">
        <v>0</v>
      </c>
      <c r="U1011">
        <v>0</v>
      </c>
      <c r="V1011">
        <v>0</v>
      </c>
      <c r="W1011">
        <v>0</v>
      </c>
      <c r="X1011">
        <v>1</v>
      </c>
      <c r="Y1011">
        <v>0</v>
      </c>
      <c r="Z1011">
        <v>0</v>
      </c>
      <c r="AA1011" s="86">
        <f>AVERAGEIFS($C$2:C1011, $B$2:B1011, B1011)</f>
        <v>13.5625</v>
      </c>
      <c r="AB1011" s="86">
        <f>AVERAGEIFS($I$2:I1011, $B$2:B1011, B1011)</f>
        <v>0.38437499999999997</v>
      </c>
      <c r="AC1011" s="86">
        <f>AVERAGEIFS($J$2:J1011, $B$2:B1011, B1011)</f>
        <v>0.45312499999999994</v>
      </c>
      <c r="AD1011" s="86">
        <f>AVERAGEIFS($D$2:D1011, $B$2:B1011, B1011)</f>
        <v>0.3125</v>
      </c>
    </row>
    <row r="1012" spans="1:30" x14ac:dyDescent="0.25">
      <c r="A1012" s="85">
        <v>46153</v>
      </c>
      <c r="B1012" t="s">
        <v>26</v>
      </c>
      <c r="C1012">
        <v>17</v>
      </c>
      <c r="D1012" s="86">
        <v>1</v>
      </c>
      <c r="E1012">
        <v>4</v>
      </c>
      <c r="F1012">
        <v>3</v>
      </c>
      <c r="G1012">
        <v>18</v>
      </c>
      <c r="H1012">
        <v>11</v>
      </c>
      <c r="I1012">
        <v>0.75</v>
      </c>
      <c r="J1012">
        <v>0.61</v>
      </c>
      <c r="K1012">
        <v>1</v>
      </c>
      <c r="L1012">
        <v>0</v>
      </c>
      <c r="M1012">
        <v>0</v>
      </c>
      <c r="N1012">
        <v>0</v>
      </c>
      <c r="O1012">
        <v>0</v>
      </c>
      <c r="P1012">
        <v>0</v>
      </c>
      <c r="Q1012">
        <v>1</v>
      </c>
      <c r="R1012">
        <v>0</v>
      </c>
      <c r="S1012">
        <v>0</v>
      </c>
      <c r="T1012">
        <v>0</v>
      </c>
      <c r="U1012">
        <v>0</v>
      </c>
      <c r="V1012">
        <v>0</v>
      </c>
      <c r="W1012">
        <v>0</v>
      </c>
      <c r="X1012">
        <v>1</v>
      </c>
      <c r="Y1012">
        <v>0</v>
      </c>
      <c r="Z1012">
        <v>0</v>
      </c>
      <c r="AA1012" s="86">
        <f>AVERAGEIFS($C$2:C1012, $B$2:B1012, B1012)</f>
        <v>13.526315789473685</v>
      </c>
      <c r="AB1012" s="86">
        <f>AVERAGEIFS($I$2:I1012, $B$2:B1012, B1012)</f>
        <v>0.62763157894736832</v>
      </c>
      <c r="AC1012" s="86">
        <f>AVERAGEIFS($J$2:J1012, $B$2:B1012, B1012)</f>
        <v>0.55342105263157892</v>
      </c>
      <c r="AD1012" s="86">
        <f>AVERAGEIFS($D$2:D1012, $B$2:B1012, B1012)</f>
        <v>0.68421052631578949</v>
      </c>
    </row>
    <row r="1013" spans="1:30" x14ac:dyDescent="0.25">
      <c r="A1013" s="85">
        <v>46153</v>
      </c>
      <c r="B1013" t="s">
        <v>141</v>
      </c>
      <c r="C1013">
        <v>33</v>
      </c>
      <c r="D1013" s="86">
        <v>1</v>
      </c>
      <c r="E1013">
        <v>4</v>
      </c>
      <c r="F1013">
        <v>3</v>
      </c>
      <c r="G1013">
        <v>18</v>
      </c>
      <c r="H1013">
        <v>11</v>
      </c>
      <c r="I1013">
        <v>0.75</v>
      </c>
      <c r="J1013">
        <v>0.61</v>
      </c>
      <c r="K1013">
        <v>1</v>
      </c>
      <c r="L1013">
        <v>0</v>
      </c>
      <c r="M1013">
        <v>0</v>
      </c>
      <c r="N1013">
        <v>0</v>
      </c>
      <c r="O1013">
        <v>0</v>
      </c>
      <c r="P1013">
        <v>0</v>
      </c>
      <c r="Q1013">
        <v>1</v>
      </c>
      <c r="R1013">
        <v>0</v>
      </c>
      <c r="S1013">
        <v>0</v>
      </c>
      <c r="T1013">
        <v>0</v>
      </c>
      <c r="U1013">
        <v>0</v>
      </c>
      <c r="V1013">
        <v>0</v>
      </c>
      <c r="W1013">
        <v>0</v>
      </c>
      <c r="X1013">
        <v>1</v>
      </c>
      <c r="Y1013">
        <v>0</v>
      </c>
      <c r="Z1013">
        <v>0</v>
      </c>
      <c r="AA1013" s="86">
        <f>AVERAGEIFS($C$2:C1013, $B$2:B1013, B1013)</f>
        <v>17.333333333333332</v>
      </c>
      <c r="AB1013" s="86">
        <f>AVERAGEIFS($I$2:I1013, $B$2:B1013, B1013)</f>
        <v>0.42083333333333334</v>
      </c>
      <c r="AC1013" s="86">
        <f>AVERAGEIFS($J$2:J1013, $B$2:B1013, B1013)</f>
        <v>0.46</v>
      </c>
      <c r="AD1013" s="86">
        <f>AVERAGEIFS($D$2:D1013, $B$2:B1013, B1013)</f>
        <v>0.33333333333333331</v>
      </c>
    </row>
    <row r="1014" spans="1:30" x14ac:dyDescent="0.25">
      <c r="A1014" s="85">
        <v>46153</v>
      </c>
      <c r="B1014" t="s">
        <v>147</v>
      </c>
      <c r="C1014">
        <v>11</v>
      </c>
      <c r="D1014" s="86">
        <v>1</v>
      </c>
      <c r="E1014">
        <v>4</v>
      </c>
      <c r="F1014">
        <v>3</v>
      </c>
      <c r="G1014">
        <v>18</v>
      </c>
      <c r="H1014">
        <v>11</v>
      </c>
      <c r="I1014">
        <v>0.75</v>
      </c>
      <c r="J1014">
        <v>0.61</v>
      </c>
      <c r="K1014">
        <v>1</v>
      </c>
      <c r="L1014">
        <v>0</v>
      </c>
      <c r="M1014">
        <v>0</v>
      </c>
      <c r="N1014">
        <v>0</v>
      </c>
      <c r="O1014">
        <v>0</v>
      </c>
      <c r="P1014">
        <v>0</v>
      </c>
      <c r="Q1014">
        <v>1</v>
      </c>
      <c r="R1014">
        <v>0</v>
      </c>
      <c r="S1014">
        <v>0</v>
      </c>
      <c r="T1014">
        <v>0</v>
      </c>
      <c r="U1014">
        <v>0</v>
      </c>
      <c r="V1014">
        <v>0</v>
      </c>
      <c r="W1014">
        <v>0</v>
      </c>
      <c r="X1014">
        <v>1</v>
      </c>
      <c r="Y1014">
        <v>0</v>
      </c>
      <c r="Z1014">
        <v>0</v>
      </c>
      <c r="AA1014" s="86">
        <f>AVERAGEIFS($C$2:C1014, $B$2:B1014, B1014)</f>
        <v>18.083333333333332</v>
      </c>
      <c r="AB1014" s="86">
        <f>AVERAGEIFS($I$2:I1014, $B$2:B1014, B1014)</f>
        <v>0.39166666666666666</v>
      </c>
      <c r="AC1014" s="86">
        <f>AVERAGEIFS($J$2:J1014, $B$2:B1014, B1014)</f>
        <v>0.45083333333333342</v>
      </c>
      <c r="AD1014" s="86">
        <f>AVERAGEIFS($D$2:D1014, $B$2:B1014, B1014)</f>
        <v>0.33333333333333331</v>
      </c>
    </row>
    <row r="1015" spans="1:30" x14ac:dyDescent="0.25">
      <c r="A1015" s="85">
        <v>46153</v>
      </c>
      <c r="B1015" t="s">
        <v>6</v>
      </c>
      <c r="C1015">
        <v>37</v>
      </c>
      <c r="D1015" s="86">
        <v>1</v>
      </c>
      <c r="E1015">
        <v>4</v>
      </c>
      <c r="F1015">
        <v>3</v>
      </c>
      <c r="G1015">
        <v>18</v>
      </c>
      <c r="H1015">
        <v>11</v>
      </c>
      <c r="I1015">
        <v>0.75</v>
      </c>
      <c r="J1015">
        <v>0.61</v>
      </c>
      <c r="K1015">
        <v>1</v>
      </c>
      <c r="L1015">
        <v>0</v>
      </c>
      <c r="M1015">
        <v>0</v>
      </c>
      <c r="N1015">
        <v>0</v>
      </c>
      <c r="O1015">
        <v>0</v>
      </c>
      <c r="P1015">
        <v>0</v>
      </c>
      <c r="Q1015">
        <v>1</v>
      </c>
      <c r="R1015">
        <v>0</v>
      </c>
      <c r="S1015">
        <v>0</v>
      </c>
      <c r="T1015">
        <v>0</v>
      </c>
      <c r="U1015">
        <v>0</v>
      </c>
      <c r="V1015">
        <v>0</v>
      </c>
      <c r="W1015">
        <v>0</v>
      </c>
      <c r="X1015">
        <v>1</v>
      </c>
      <c r="Y1015">
        <v>0</v>
      </c>
      <c r="Z1015">
        <v>0</v>
      </c>
      <c r="AA1015" s="86">
        <f>AVERAGEIFS($C$2:C1015, $B$2:B1015, B1015)</f>
        <v>24.580645161290324</v>
      </c>
      <c r="AB1015" s="86">
        <f>AVERAGEIFS($I$2:I1015, $B$2:B1015, B1015)</f>
        <v>0.63870967741935492</v>
      </c>
      <c r="AC1015" s="86">
        <f>AVERAGEIFS($J$2:J1015, $B$2:B1015, B1015)</f>
        <v>0.5619354838709677</v>
      </c>
      <c r="AD1015" s="86">
        <f>AVERAGEIFS($D$2:D1015, $B$2:B1015, B1015)</f>
        <v>0.70967741935483875</v>
      </c>
    </row>
    <row r="1016" spans="1:30" x14ac:dyDescent="0.25">
      <c r="A1016" s="85">
        <v>46153</v>
      </c>
      <c r="B1016" t="s">
        <v>14</v>
      </c>
      <c r="C1016">
        <v>13</v>
      </c>
      <c r="D1016" s="86">
        <v>1</v>
      </c>
      <c r="E1016">
        <v>4</v>
      </c>
      <c r="F1016">
        <v>3</v>
      </c>
      <c r="G1016">
        <v>18</v>
      </c>
      <c r="H1016">
        <v>11</v>
      </c>
      <c r="I1016">
        <v>0.75</v>
      </c>
      <c r="J1016">
        <v>0.61</v>
      </c>
      <c r="K1016">
        <v>1</v>
      </c>
      <c r="L1016">
        <v>0</v>
      </c>
      <c r="M1016">
        <v>0</v>
      </c>
      <c r="N1016">
        <v>0</v>
      </c>
      <c r="O1016">
        <v>0</v>
      </c>
      <c r="P1016">
        <v>0</v>
      </c>
      <c r="Q1016">
        <v>1</v>
      </c>
      <c r="R1016">
        <v>0</v>
      </c>
      <c r="S1016">
        <v>0</v>
      </c>
      <c r="T1016">
        <v>0</v>
      </c>
      <c r="U1016">
        <v>0</v>
      </c>
      <c r="V1016">
        <v>0</v>
      </c>
      <c r="W1016">
        <v>0</v>
      </c>
      <c r="X1016">
        <v>1</v>
      </c>
      <c r="Y1016">
        <v>0</v>
      </c>
      <c r="Z1016">
        <v>0</v>
      </c>
      <c r="AA1016" s="86">
        <f>AVERAGEIFS($C$2:C1016, $B$2:B1016, B1016)</f>
        <v>24.586956521739129</v>
      </c>
      <c r="AB1016" s="86">
        <f>AVERAGEIFS($I$2:I1016, $B$2:B1016, B1016)</f>
        <v>0.48152173913043478</v>
      </c>
      <c r="AC1016" s="86">
        <f>AVERAGEIFS($J$2:J1016, $B$2:B1016, B1016)</f>
        <v>0.48956521739130443</v>
      </c>
      <c r="AD1016" s="86">
        <f>AVERAGEIFS($D$2:D1016, $B$2:B1016, B1016)</f>
        <v>0.47826086956521741</v>
      </c>
    </row>
    <row r="1017" spans="1:30" x14ac:dyDescent="0.25">
      <c r="A1017" s="85">
        <v>46153</v>
      </c>
      <c r="B1017" t="s">
        <v>53</v>
      </c>
      <c r="C1017">
        <v>12</v>
      </c>
      <c r="D1017" s="86">
        <v>1</v>
      </c>
      <c r="E1017">
        <v>4</v>
      </c>
      <c r="F1017">
        <v>3</v>
      </c>
      <c r="G1017">
        <v>15</v>
      </c>
      <c r="H1017">
        <v>11</v>
      </c>
      <c r="I1017">
        <v>0.75</v>
      </c>
      <c r="J1017">
        <v>0.73</v>
      </c>
      <c r="K1017">
        <v>0</v>
      </c>
      <c r="L1017">
        <v>1</v>
      </c>
      <c r="M1017">
        <v>0</v>
      </c>
      <c r="N1017">
        <v>1</v>
      </c>
      <c r="O1017">
        <v>1</v>
      </c>
      <c r="P1017">
        <v>0</v>
      </c>
      <c r="Q1017">
        <v>0</v>
      </c>
      <c r="R1017">
        <v>0</v>
      </c>
      <c r="S1017">
        <v>0</v>
      </c>
      <c r="T1017">
        <v>0</v>
      </c>
      <c r="U1017">
        <v>0</v>
      </c>
      <c r="V1017">
        <v>0</v>
      </c>
      <c r="W1017">
        <v>0</v>
      </c>
      <c r="X1017">
        <v>0</v>
      </c>
      <c r="Y1017">
        <v>0</v>
      </c>
      <c r="Z1017">
        <v>0</v>
      </c>
      <c r="AA1017" s="86">
        <f>AVERAGEIFS($C$2:C1017, $B$2:B1017, B1017)</f>
        <v>16</v>
      </c>
      <c r="AB1017" s="86">
        <f>AVERAGEIFS($I$2:I1017, $B$2:B1017, B1017)</f>
        <v>0.44000000000000006</v>
      </c>
      <c r="AC1017" s="86">
        <f>AVERAGEIFS($J$2:J1017, $B$2:B1017, B1017)</f>
        <v>0.51600000000000001</v>
      </c>
      <c r="AD1017" s="86">
        <f>AVERAGEIFS($D$2:D1017, $B$2:B1017, B1017)</f>
        <v>0.6</v>
      </c>
    </row>
    <row r="1018" spans="1:30" x14ac:dyDescent="0.25">
      <c r="A1018" s="85">
        <v>46153</v>
      </c>
      <c r="B1018" t="s">
        <v>35</v>
      </c>
      <c r="C1018">
        <v>9</v>
      </c>
      <c r="D1018" s="86">
        <v>1</v>
      </c>
      <c r="E1018">
        <v>4</v>
      </c>
      <c r="F1018">
        <v>3</v>
      </c>
      <c r="G1018">
        <v>15</v>
      </c>
      <c r="H1018">
        <v>11</v>
      </c>
      <c r="I1018">
        <v>0.75</v>
      </c>
      <c r="J1018">
        <v>0.73</v>
      </c>
      <c r="K1018">
        <v>0</v>
      </c>
      <c r="L1018">
        <v>1</v>
      </c>
      <c r="M1018">
        <v>0</v>
      </c>
      <c r="N1018">
        <v>1</v>
      </c>
      <c r="O1018">
        <v>1</v>
      </c>
      <c r="P1018">
        <v>0</v>
      </c>
      <c r="Q1018">
        <v>0</v>
      </c>
      <c r="R1018">
        <v>0</v>
      </c>
      <c r="S1018">
        <v>0</v>
      </c>
      <c r="T1018">
        <v>0</v>
      </c>
      <c r="U1018">
        <v>0</v>
      </c>
      <c r="V1018">
        <v>0</v>
      </c>
      <c r="W1018">
        <v>0</v>
      </c>
      <c r="X1018">
        <v>0</v>
      </c>
      <c r="Y1018">
        <v>0</v>
      </c>
      <c r="Z1018">
        <v>0</v>
      </c>
      <c r="AA1018" s="86">
        <f>AVERAGEIFS($C$2:C1018, $B$2:B1018, B1018)</f>
        <v>12.147058823529411</v>
      </c>
      <c r="AB1018" s="86">
        <f>AVERAGEIFS($I$2:I1018, $B$2:B1018, B1018)</f>
        <v>0.52058823529411757</v>
      </c>
      <c r="AC1018" s="86">
        <f>AVERAGEIFS($J$2:J1018, $B$2:B1018, B1018)</f>
        <v>0.50735294117647067</v>
      </c>
      <c r="AD1018" s="86">
        <f>AVERAGEIFS($D$2:D1018, $B$2:B1018, B1018)</f>
        <v>0.61764705882352944</v>
      </c>
    </row>
    <row r="1019" spans="1:30" x14ac:dyDescent="0.25">
      <c r="A1019" s="85">
        <v>46153</v>
      </c>
      <c r="B1019" t="s">
        <v>146</v>
      </c>
      <c r="C1019">
        <v>7</v>
      </c>
      <c r="D1019" s="86">
        <v>1</v>
      </c>
      <c r="E1019">
        <v>4</v>
      </c>
      <c r="F1019">
        <v>3</v>
      </c>
      <c r="G1019">
        <v>15</v>
      </c>
      <c r="H1019">
        <v>11</v>
      </c>
      <c r="I1019">
        <v>0.75</v>
      </c>
      <c r="J1019">
        <v>0.73</v>
      </c>
      <c r="K1019">
        <v>0</v>
      </c>
      <c r="L1019">
        <v>1</v>
      </c>
      <c r="M1019">
        <v>0</v>
      </c>
      <c r="N1019">
        <v>1</v>
      </c>
      <c r="O1019">
        <v>1</v>
      </c>
      <c r="P1019">
        <v>0</v>
      </c>
      <c r="Q1019">
        <v>0</v>
      </c>
      <c r="R1019">
        <v>0</v>
      </c>
      <c r="S1019">
        <v>0</v>
      </c>
      <c r="T1019">
        <v>0</v>
      </c>
      <c r="U1019">
        <v>0</v>
      </c>
      <c r="V1019">
        <v>0</v>
      </c>
      <c r="W1019">
        <v>0</v>
      </c>
      <c r="X1019">
        <v>0</v>
      </c>
      <c r="Y1019">
        <v>0</v>
      </c>
      <c r="Z1019">
        <v>0</v>
      </c>
      <c r="AA1019" s="86">
        <f>AVERAGEIFS($C$2:C1019, $B$2:B1019, B1019)</f>
        <v>13.176470588235293</v>
      </c>
      <c r="AB1019" s="86">
        <f>AVERAGEIFS($I$2:I1019, $B$2:B1019, B1019)</f>
        <v>0.40588235294117642</v>
      </c>
      <c r="AC1019" s="86">
        <f>AVERAGEIFS($J$2:J1019, $B$2:B1019, B1019)</f>
        <v>0.46941176470588225</v>
      </c>
      <c r="AD1019" s="86">
        <f>AVERAGEIFS($D$2:D1019, $B$2:B1019, B1019)</f>
        <v>0.35294117647058826</v>
      </c>
    </row>
    <row r="1020" spans="1:30" x14ac:dyDescent="0.25">
      <c r="A1020" s="85">
        <v>46153</v>
      </c>
      <c r="B1020" t="s">
        <v>155</v>
      </c>
      <c r="C1020">
        <v>19</v>
      </c>
      <c r="D1020" s="86">
        <v>1</v>
      </c>
      <c r="E1020">
        <v>4</v>
      </c>
      <c r="F1020">
        <v>3</v>
      </c>
      <c r="G1020">
        <v>15</v>
      </c>
      <c r="H1020">
        <v>11</v>
      </c>
      <c r="I1020">
        <v>0.75</v>
      </c>
      <c r="J1020">
        <v>0.73</v>
      </c>
      <c r="K1020">
        <v>0</v>
      </c>
      <c r="L1020">
        <v>1</v>
      </c>
      <c r="M1020">
        <v>0</v>
      </c>
      <c r="N1020">
        <v>1</v>
      </c>
      <c r="O1020">
        <v>1</v>
      </c>
      <c r="P1020">
        <v>0</v>
      </c>
      <c r="Q1020">
        <v>0</v>
      </c>
      <c r="R1020">
        <v>0</v>
      </c>
      <c r="S1020">
        <v>0</v>
      </c>
      <c r="T1020">
        <v>0</v>
      </c>
      <c r="U1020">
        <v>0</v>
      </c>
      <c r="V1020">
        <v>0</v>
      </c>
      <c r="W1020">
        <v>0</v>
      </c>
      <c r="X1020">
        <v>0</v>
      </c>
      <c r="Y1020">
        <v>0</v>
      </c>
      <c r="Z1020">
        <v>0</v>
      </c>
      <c r="AA1020" s="86">
        <f>AVERAGEIFS($C$2:C1020, $B$2:B1020, B1020)</f>
        <v>17.433333333333334</v>
      </c>
      <c r="AB1020" s="86">
        <f>AVERAGEIFS($I$2:I1020, $B$2:B1020, B1020)</f>
        <v>0.39166666666666666</v>
      </c>
      <c r="AC1020" s="86">
        <f>AVERAGEIFS($J$2:J1020, $B$2:B1020, B1020)</f>
        <v>0.46800000000000003</v>
      </c>
      <c r="AD1020" s="86">
        <f>AVERAGEIFS($D$2:D1020, $B$2:B1020, B1020)</f>
        <v>0.33333333333333331</v>
      </c>
    </row>
    <row r="1021" spans="1:30" x14ac:dyDescent="0.25">
      <c r="A1021" s="85">
        <v>46153</v>
      </c>
      <c r="B1021" t="s">
        <v>141</v>
      </c>
      <c r="C1021">
        <v>14</v>
      </c>
      <c r="D1021" s="86">
        <v>1</v>
      </c>
      <c r="E1021">
        <v>4</v>
      </c>
      <c r="F1021">
        <v>3</v>
      </c>
      <c r="G1021">
        <v>15</v>
      </c>
      <c r="H1021">
        <v>11</v>
      </c>
      <c r="I1021">
        <v>0.75</v>
      </c>
      <c r="J1021">
        <v>0.73</v>
      </c>
      <c r="K1021">
        <v>0</v>
      </c>
      <c r="L1021">
        <v>1</v>
      </c>
      <c r="M1021">
        <v>0</v>
      </c>
      <c r="N1021">
        <v>1</v>
      </c>
      <c r="O1021">
        <v>1</v>
      </c>
      <c r="P1021">
        <v>0</v>
      </c>
      <c r="Q1021">
        <v>0</v>
      </c>
      <c r="R1021">
        <v>0</v>
      </c>
      <c r="S1021">
        <v>0</v>
      </c>
      <c r="T1021">
        <v>0</v>
      </c>
      <c r="U1021">
        <v>0</v>
      </c>
      <c r="V1021">
        <v>0</v>
      </c>
      <c r="W1021">
        <v>0</v>
      </c>
      <c r="X1021">
        <v>0</v>
      </c>
      <c r="Y1021">
        <v>0</v>
      </c>
      <c r="Z1021">
        <v>0</v>
      </c>
      <c r="AA1021" s="86">
        <f>AVERAGEIFS($C$2:C1021, $B$2:B1021, B1021)</f>
        <v>17.076923076923077</v>
      </c>
      <c r="AB1021" s="86">
        <f>AVERAGEIFS($I$2:I1021, $B$2:B1021, B1021)</f>
        <v>0.44615384615384612</v>
      </c>
      <c r="AC1021" s="86">
        <f>AVERAGEIFS($J$2:J1021, $B$2:B1021, B1021)</f>
        <v>0.48076923076923078</v>
      </c>
      <c r="AD1021" s="86">
        <f>AVERAGEIFS($D$2:D1021, $B$2:B1021, B1021)</f>
        <v>0.38461538461538464</v>
      </c>
    </row>
    <row r="1022" spans="1:30" x14ac:dyDescent="0.25">
      <c r="A1022" s="85">
        <v>46153</v>
      </c>
      <c r="B1022" t="s">
        <v>6</v>
      </c>
      <c r="C1022">
        <v>15</v>
      </c>
      <c r="D1022" s="86">
        <v>1</v>
      </c>
      <c r="E1022">
        <v>4</v>
      </c>
      <c r="F1022">
        <v>3</v>
      </c>
      <c r="G1022">
        <v>15</v>
      </c>
      <c r="H1022">
        <v>11</v>
      </c>
      <c r="I1022">
        <v>0.75</v>
      </c>
      <c r="J1022">
        <v>0.73</v>
      </c>
      <c r="K1022">
        <v>0</v>
      </c>
      <c r="L1022">
        <v>1</v>
      </c>
      <c r="M1022">
        <v>0</v>
      </c>
      <c r="N1022">
        <v>1</v>
      </c>
      <c r="O1022">
        <v>1</v>
      </c>
      <c r="P1022">
        <v>0</v>
      </c>
      <c r="Q1022">
        <v>0</v>
      </c>
      <c r="R1022">
        <v>0</v>
      </c>
      <c r="S1022">
        <v>0</v>
      </c>
      <c r="T1022">
        <v>0</v>
      </c>
      <c r="U1022">
        <v>0</v>
      </c>
      <c r="V1022">
        <v>0</v>
      </c>
      <c r="W1022">
        <v>0</v>
      </c>
      <c r="X1022">
        <v>0</v>
      </c>
      <c r="Y1022">
        <v>0</v>
      </c>
      <c r="Z1022">
        <v>0</v>
      </c>
      <c r="AA1022" s="86">
        <f>AVERAGEIFS($C$2:C1022, $B$2:B1022, B1022)</f>
        <v>24.28125</v>
      </c>
      <c r="AB1022" s="86">
        <f>AVERAGEIFS($I$2:I1022, $B$2:B1022, B1022)</f>
        <v>0.64218750000000002</v>
      </c>
      <c r="AC1022" s="86">
        <f>AVERAGEIFS($J$2:J1022, $B$2:B1022, B1022)</f>
        <v>0.56718749999999996</v>
      </c>
      <c r="AD1022" s="86">
        <f>AVERAGEIFS($D$2:D1022, $B$2:B1022, B1022)</f>
        <v>0.71875</v>
      </c>
    </row>
    <row r="1023" spans="1:30" x14ac:dyDescent="0.25">
      <c r="A1023" s="85">
        <v>46153</v>
      </c>
      <c r="B1023" t="s">
        <v>15</v>
      </c>
      <c r="C1023">
        <v>10</v>
      </c>
      <c r="D1023" s="86">
        <v>1</v>
      </c>
      <c r="E1023">
        <v>4</v>
      </c>
      <c r="F1023">
        <v>3</v>
      </c>
      <c r="G1023">
        <v>15</v>
      </c>
      <c r="H1023">
        <v>11</v>
      </c>
      <c r="I1023">
        <v>0.75</v>
      </c>
      <c r="J1023">
        <v>0.73</v>
      </c>
      <c r="K1023">
        <v>0</v>
      </c>
      <c r="L1023">
        <v>1</v>
      </c>
      <c r="M1023">
        <v>0</v>
      </c>
      <c r="N1023">
        <v>1</v>
      </c>
      <c r="O1023">
        <v>1</v>
      </c>
      <c r="P1023">
        <v>0</v>
      </c>
      <c r="Q1023">
        <v>0</v>
      </c>
      <c r="R1023">
        <v>0</v>
      </c>
      <c r="S1023">
        <v>0</v>
      </c>
      <c r="T1023">
        <v>0</v>
      </c>
      <c r="U1023">
        <v>0</v>
      </c>
      <c r="V1023">
        <v>0</v>
      </c>
      <c r="W1023">
        <v>0</v>
      </c>
      <c r="X1023">
        <v>0</v>
      </c>
      <c r="Y1023">
        <v>0</v>
      </c>
      <c r="Z1023">
        <v>0</v>
      </c>
      <c r="AA1023" s="86">
        <f>AVERAGEIFS($C$2:C1023, $B$2:B1023, B1023)</f>
        <v>22.772727272727273</v>
      </c>
      <c r="AB1023" s="86">
        <f>AVERAGEIFS($I$2:I1023, $B$2:B1023, B1023)</f>
        <v>0.45113636363636367</v>
      </c>
      <c r="AC1023" s="86">
        <f>AVERAGEIFS($J$2:J1023, $B$2:B1023, B1023)</f>
        <v>0.48636363636363633</v>
      </c>
      <c r="AD1023" s="86">
        <f>AVERAGEIFS($D$2:D1023, $B$2:B1023, B1023)</f>
        <v>0.38636363636363635</v>
      </c>
    </row>
    <row r="1024" spans="1:30" x14ac:dyDescent="0.25">
      <c r="A1024" s="85">
        <v>46153</v>
      </c>
      <c r="B1024" t="s">
        <v>140</v>
      </c>
      <c r="C1024">
        <v>8</v>
      </c>
      <c r="D1024" s="86">
        <v>0</v>
      </c>
      <c r="E1024">
        <v>4</v>
      </c>
      <c r="F1024">
        <v>1</v>
      </c>
      <c r="G1024">
        <v>15</v>
      </c>
      <c r="H1024">
        <v>4</v>
      </c>
      <c r="I1024">
        <v>0.25</v>
      </c>
      <c r="J1024">
        <v>0.27</v>
      </c>
      <c r="K1024">
        <v>0</v>
      </c>
      <c r="L1024">
        <v>0</v>
      </c>
      <c r="M1024">
        <v>0</v>
      </c>
      <c r="N1024">
        <v>0</v>
      </c>
      <c r="O1024">
        <v>0</v>
      </c>
      <c r="P1024">
        <v>0</v>
      </c>
      <c r="Q1024">
        <v>0</v>
      </c>
      <c r="R1024">
        <v>0</v>
      </c>
      <c r="S1024">
        <v>0</v>
      </c>
      <c r="T1024">
        <v>0</v>
      </c>
      <c r="U1024">
        <v>0</v>
      </c>
      <c r="V1024">
        <v>0</v>
      </c>
      <c r="W1024">
        <v>0</v>
      </c>
      <c r="X1024">
        <v>1</v>
      </c>
      <c r="Y1024">
        <v>0</v>
      </c>
      <c r="Z1024">
        <v>0</v>
      </c>
      <c r="AA1024" s="86">
        <f>AVERAGEIFS($C$2:C1024, $B$2:B1024, B1024)</f>
        <v>9.1304347826086953</v>
      </c>
      <c r="AB1024" s="86">
        <f>AVERAGEIFS($I$2:I1024, $B$2:B1024, B1024)</f>
        <v>0.42826086956521747</v>
      </c>
      <c r="AC1024" s="86">
        <f>AVERAGEIFS($J$2:J1024, $B$2:B1024, B1024)</f>
        <v>0.47086956521739115</v>
      </c>
      <c r="AD1024" s="86">
        <f>AVERAGEIFS($D$2:D1024, $B$2:B1024, B1024)</f>
        <v>0.43478260869565216</v>
      </c>
    </row>
    <row r="1025" spans="1:30" x14ac:dyDescent="0.25">
      <c r="A1025" s="85">
        <v>46153</v>
      </c>
      <c r="B1025" t="s">
        <v>152</v>
      </c>
      <c r="C1025">
        <v>13</v>
      </c>
      <c r="D1025" s="86">
        <v>0</v>
      </c>
      <c r="E1025">
        <v>4</v>
      </c>
      <c r="F1025">
        <v>1</v>
      </c>
      <c r="G1025">
        <v>15</v>
      </c>
      <c r="H1025">
        <v>4</v>
      </c>
      <c r="I1025">
        <v>0.25</v>
      </c>
      <c r="J1025">
        <v>0.27</v>
      </c>
      <c r="K1025">
        <v>0</v>
      </c>
      <c r="L1025">
        <v>0</v>
      </c>
      <c r="M1025">
        <v>0</v>
      </c>
      <c r="N1025">
        <v>0</v>
      </c>
      <c r="O1025">
        <v>0</v>
      </c>
      <c r="P1025">
        <v>0</v>
      </c>
      <c r="Q1025">
        <v>0</v>
      </c>
      <c r="R1025">
        <v>0</v>
      </c>
      <c r="S1025">
        <v>0</v>
      </c>
      <c r="T1025">
        <v>0</v>
      </c>
      <c r="U1025">
        <v>0</v>
      </c>
      <c r="V1025">
        <v>0</v>
      </c>
      <c r="W1025">
        <v>0</v>
      </c>
      <c r="X1025">
        <v>1</v>
      </c>
      <c r="Y1025">
        <v>0</v>
      </c>
      <c r="Z1025">
        <v>0</v>
      </c>
      <c r="AA1025" s="86">
        <f>AVERAGEIFS($C$2:C1025, $B$2:B1025, B1025)</f>
        <v>14</v>
      </c>
      <c r="AB1025" s="86">
        <f>AVERAGEIFS($I$2:I1025, $B$2:B1025, B1025)</f>
        <v>0.25454545454545452</v>
      </c>
      <c r="AC1025" s="86">
        <f>AVERAGEIFS($J$2:J1025, $B$2:B1025, B1025)</f>
        <v>0.3572727272727273</v>
      </c>
      <c r="AD1025" s="86">
        <f>AVERAGEIFS($D$2:D1025, $B$2:B1025, B1025)</f>
        <v>0.18181818181818182</v>
      </c>
    </row>
    <row r="1026" spans="1:30" x14ac:dyDescent="0.25">
      <c r="A1026" s="85">
        <v>46153</v>
      </c>
      <c r="B1026" t="s">
        <v>46</v>
      </c>
      <c r="C1026">
        <v>19</v>
      </c>
      <c r="D1026" s="86">
        <v>0</v>
      </c>
      <c r="E1026">
        <v>4</v>
      </c>
      <c r="F1026">
        <v>1</v>
      </c>
      <c r="G1026">
        <v>15</v>
      </c>
      <c r="H1026">
        <v>4</v>
      </c>
      <c r="I1026">
        <v>0.25</v>
      </c>
      <c r="J1026">
        <v>0.27</v>
      </c>
      <c r="K1026">
        <v>0</v>
      </c>
      <c r="L1026">
        <v>0</v>
      </c>
      <c r="M1026">
        <v>0</v>
      </c>
      <c r="N1026">
        <v>0</v>
      </c>
      <c r="O1026">
        <v>0</v>
      </c>
      <c r="P1026">
        <v>0</v>
      </c>
      <c r="Q1026">
        <v>0</v>
      </c>
      <c r="R1026">
        <v>0</v>
      </c>
      <c r="S1026">
        <v>0</v>
      </c>
      <c r="T1026">
        <v>0</v>
      </c>
      <c r="U1026">
        <v>0</v>
      </c>
      <c r="V1026">
        <v>0</v>
      </c>
      <c r="W1026">
        <v>0</v>
      </c>
      <c r="X1026">
        <v>1</v>
      </c>
      <c r="Y1026">
        <v>0</v>
      </c>
      <c r="Z1026">
        <v>0</v>
      </c>
      <c r="AA1026" s="86">
        <f>AVERAGEIFS($C$2:C1026, $B$2:B1026, B1026)</f>
        <v>20.2</v>
      </c>
      <c r="AB1026" s="86">
        <f>AVERAGEIFS($I$2:I1026, $B$2:B1026, B1026)</f>
        <v>0.4</v>
      </c>
      <c r="AC1026" s="86">
        <f>AVERAGEIFS($J$2:J1026, $B$2:B1026, B1026)</f>
        <v>0.43200000000000005</v>
      </c>
      <c r="AD1026" s="86">
        <f>AVERAGEIFS($D$2:D1026, $B$2:B1026, B1026)</f>
        <v>0.4</v>
      </c>
    </row>
    <row r="1027" spans="1:30" x14ac:dyDescent="0.25">
      <c r="A1027" s="85">
        <v>46153</v>
      </c>
      <c r="B1027" t="s">
        <v>5</v>
      </c>
      <c r="C1027">
        <v>11</v>
      </c>
      <c r="D1027" s="86">
        <v>0</v>
      </c>
      <c r="E1027">
        <v>4</v>
      </c>
      <c r="F1027">
        <v>1</v>
      </c>
      <c r="G1027">
        <v>15</v>
      </c>
      <c r="H1027">
        <v>4</v>
      </c>
      <c r="I1027">
        <v>0.25</v>
      </c>
      <c r="J1027">
        <v>0.27</v>
      </c>
      <c r="K1027">
        <v>0</v>
      </c>
      <c r="L1027">
        <v>0</v>
      </c>
      <c r="M1027">
        <v>0</v>
      </c>
      <c r="N1027">
        <v>0</v>
      </c>
      <c r="O1027">
        <v>0</v>
      </c>
      <c r="P1027">
        <v>0</v>
      </c>
      <c r="Q1027">
        <v>0</v>
      </c>
      <c r="R1027">
        <v>0</v>
      </c>
      <c r="S1027">
        <v>0</v>
      </c>
      <c r="T1027">
        <v>0</v>
      </c>
      <c r="U1027">
        <v>0</v>
      </c>
      <c r="V1027">
        <v>0</v>
      </c>
      <c r="W1027">
        <v>0</v>
      </c>
      <c r="X1027">
        <v>1</v>
      </c>
      <c r="Y1027">
        <v>0</v>
      </c>
      <c r="Z1027">
        <v>0</v>
      </c>
      <c r="AA1027" s="86">
        <f>AVERAGEIFS($C$2:C1027, $B$2:B1027, B1027)</f>
        <v>23.136363636363637</v>
      </c>
      <c r="AB1027" s="86">
        <f>AVERAGEIFS($I$2:I1027, $B$2:B1027, B1027)</f>
        <v>0.46818181818181814</v>
      </c>
      <c r="AC1027" s="86">
        <f>AVERAGEIFS($J$2:J1027, $B$2:B1027, B1027)</f>
        <v>0.48136363636363638</v>
      </c>
      <c r="AD1027" s="86">
        <f>AVERAGEIFS($D$2:D1027, $B$2:B1027, B1027)</f>
        <v>0.45454545454545453</v>
      </c>
    </row>
    <row r="1028" spans="1:30" x14ac:dyDescent="0.25">
      <c r="A1028" s="85">
        <v>46153</v>
      </c>
      <c r="B1028" t="s">
        <v>137</v>
      </c>
      <c r="C1028">
        <v>9</v>
      </c>
      <c r="D1028" s="86">
        <v>0</v>
      </c>
      <c r="E1028">
        <v>4</v>
      </c>
      <c r="F1028">
        <v>1</v>
      </c>
      <c r="G1028">
        <v>15</v>
      </c>
      <c r="H1028">
        <v>4</v>
      </c>
      <c r="I1028">
        <v>0.25</v>
      </c>
      <c r="J1028">
        <v>0.27</v>
      </c>
      <c r="K1028">
        <v>0</v>
      </c>
      <c r="L1028">
        <v>0</v>
      </c>
      <c r="M1028">
        <v>0</v>
      </c>
      <c r="N1028">
        <v>0</v>
      </c>
      <c r="O1028">
        <v>0</v>
      </c>
      <c r="P1028">
        <v>0</v>
      </c>
      <c r="Q1028">
        <v>0</v>
      </c>
      <c r="R1028">
        <v>0</v>
      </c>
      <c r="S1028">
        <v>0</v>
      </c>
      <c r="T1028">
        <v>0</v>
      </c>
      <c r="U1028">
        <v>0</v>
      </c>
      <c r="V1028">
        <v>0</v>
      </c>
      <c r="W1028">
        <v>0</v>
      </c>
      <c r="X1028">
        <v>1</v>
      </c>
      <c r="Y1028">
        <v>0</v>
      </c>
      <c r="Z1028">
        <v>0</v>
      </c>
      <c r="AA1028" s="86">
        <f>AVERAGEIFS($C$2:C1028, $B$2:B1028, B1028)</f>
        <v>7.9090909090909092</v>
      </c>
      <c r="AB1028" s="86">
        <f>AVERAGEIFS($I$2:I1028, $B$2:B1028, B1028)</f>
        <v>0.47727272727272729</v>
      </c>
      <c r="AC1028" s="86">
        <f>AVERAGEIFS($J$2:J1028, $B$2:B1028, B1028)</f>
        <v>0.47272727272727266</v>
      </c>
      <c r="AD1028" s="86">
        <f>AVERAGEIFS($D$2:D1028, $B$2:B1028, B1028)</f>
        <v>0.45454545454545453</v>
      </c>
    </row>
    <row r="1029" spans="1:30" x14ac:dyDescent="0.25">
      <c r="A1029" s="85">
        <v>46153</v>
      </c>
      <c r="B1029" t="s">
        <v>29</v>
      </c>
      <c r="C1029">
        <v>4</v>
      </c>
      <c r="D1029" s="86">
        <v>0</v>
      </c>
      <c r="E1029">
        <v>4</v>
      </c>
      <c r="F1029">
        <v>1</v>
      </c>
      <c r="G1029">
        <v>15</v>
      </c>
      <c r="H1029">
        <v>4</v>
      </c>
      <c r="I1029">
        <v>0.25</v>
      </c>
      <c r="J1029">
        <v>0.27</v>
      </c>
      <c r="K1029">
        <v>0</v>
      </c>
      <c r="L1029">
        <v>0</v>
      </c>
      <c r="M1029">
        <v>0</v>
      </c>
      <c r="N1029">
        <v>0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0</v>
      </c>
      <c r="U1029">
        <v>0</v>
      </c>
      <c r="V1029">
        <v>0</v>
      </c>
      <c r="W1029">
        <v>0</v>
      </c>
      <c r="X1029">
        <v>1</v>
      </c>
      <c r="Y1029">
        <v>0</v>
      </c>
      <c r="Z1029">
        <v>0</v>
      </c>
      <c r="AA1029" s="86">
        <f>AVERAGEIFS($C$2:C1029, $B$2:B1029, B1029)</f>
        <v>10.647058823529411</v>
      </c>
      <c r="AB1029" s="86">
        <f>AVERAGEIFS($I$2:I1029, $B$2:B1029, B1029)</f>
        <v>0.4823529411764706</v>
      </c>
      <c r="AC1029" s="86">
        <f>AVERAGEIFS($J$2:J1029, $B$2:B1029, B1029)</f>
        <v>0.50176470588235289</v>
      </c>
      <c r="AD1029" s="86">
        <f>AVERAGEIFS($D$2:D1029, $B$2:B1029, B1029)</f>
        <v>0.45098039215686275</v>
      </c>
    </row>
    <row r="1030" spans="1:30" x14ac:dyDescent="0.25">
      <c r="A1030" s="85">
        <v>46153</v>
      </c>
      <c r="B1030" t="s">
        <v>14</v>
      </c>
      <c r="C1030">
        <v>6</v>
      </c>
      <c r="D1030" s="86">
        <v>0</v>
      </c>
      <c r="E1030">
        <v>4</v>
      </c>
      <c r="F1030">
        <v>1</v>
      </c>
      <c r="G1030">
        <v>15</v>
      </c>
      <c r="H1030">
        <v>4</v>
      </c>
      <c r="I1030">
        <v>0.25</v>
      </c>
      <c r="J1030">
        <v>0.27</v>
      </c>
      <c r="K1030">
        <v>0</v>
      </c>
      <c r="L1030">
        <v>0</v>
      </c>
      <c r="M1030">
        <v>0</v>
      </c>
      <c r="N1030">
        <v>0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0</v>
      </c>
      <c r="U1030">
        <v>0</v>
      </c>
      <c r="V1030">
        <v>0</v>
      </c>
      <c r="W1030">
        <v>0</v>
      </c>
      <c r="X1030">
        <v>1</v>
      </c>
      <c r="Y1030">
        <v>0</v>
      </c>
      <c r="Z1030">
        <v>0</v>
      </c>
      <c r="AA1030" s="86">
        <f>AVERAGEIFS($C$2:C1030, $B$2:B1030, B1030)</f>
        <v>24.191489361702128</v>
      </c>
      <c r="AB1030" s="86">
        <f>AVERAGEIFS($I$2:I1030, $B$2:B1030, B1030)</f>
        <v>0.47659574468085103</v>
      </c>
      <c r="AC1030" s="86">
        <f>AVERAGEIFS($J$2:J1030, $B$2:B1030, B1030)</f>
        <v>0.48489361702127665</v>
      </c>
      <c r="AD1030" s="86">
        <f>AVERAGEIFS($D$2:D1030, $B$2:B1030, B1030)</f>
        <v>0.46808510638297873</v>
      </c>
    </row>
    <row r="1031" spans="1:30" x14ac:dyDescent="0.25">
      <c r="A1031" s="85">
        <v>46155</v>
      </c>
      <c r="B1031" t="s">
        <v>5</v>
      </c>
      <c r="C1031">
        <v>21</v>
      </c>
      <c r="D1031" s="86">
        <v>1</v>
      </c>
      <c r="E1031">
        <v>4</v>
      </c>
      <c r="F1031">
        <v>3</v>
      </c>
      <c r="G1031">
        <v>15</v>
      </c>
      <c r="H1031">
        <v>9</v>
      </c>
      <c r="I1031">
        <v>0.75</v>
      </c>
      <c r="J1031">
        <v>0.6</v>
      </c>
      <c r="K1031">
        <v>1</v>
      </c>
      <c r="L1031">
        <v>0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0</v>
      </c>
      <c r="S1031">
        <v>0</v>
      </c>
      <c r="T1031">
        <v>0</v>
      </c>
      <c r="U1031">
        <v>0</v>
      </c>
      <c r="V1031">
        <v>0</v>
      </c>
      <c r="W1031">
        <v>1</v>
      </c>
      <c r="X1031">
        <v>1</v>
      </c>
      <c r="Y1031">
        <v>0</v>
      </c>
      <c r="Z1031">
        <v>0</v>
      </c>
      <c r="AA1031" s="86">
        <f>AVERAGEIFS($C$2:C1031, $B$2:B1031, B1031)</f>
        <v>23.043478260869566</v>
      </c>
      <c r="AB1031" s="86">
        <f>AVERAGEIFS($I$2:I1031, $B$2:B1031, B1031)</f>
        <v>0.4804347826086956</v>
      </c>
      <c r="AC1031" s="86">
        <f>AVERAGEIFS($J$2:J1031, $B$2:B1031, B1031)</f>
        <v>0.48652173913043478</v>
      </c>
      <c r="AD1031" s="86">
        <f>AVERAGEIFS($D$2:D1031, $B$2:B1031, B1031)</f>
        <v>0.47826086956521741</v>
      </c>
    </row>
    <row r="1032" spans="1:30" x14ac:dyDescent="0.25">
      <c r="A1032" s="85">
        <v>46155</v>
      </c>
      <c r="B1032" t="s">
        <v>4</v>
      </c>
      <c r="C1032">
        <v>21</v>
      </c>
      <c r="D1032" s="86">
        <v>1</v>
      </c>
      <c r="E1032">
        <v>4</v>
      </c>
      <c r="F1032">
        <v>3</v>
      </c>
      <c r="G1032">
        <v>15</v>
      </c>
      <c r="H1032">
        <v>9</v>
      </c>
      <c r="I1032">
        <v>0.75</v>
      </c>
      <c r="J1032">
        <v>0.6</v>
      </c>
      <c r="K1032">
        <v>1</v>
      </c>
      <c r="L1032">
        <v>0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0</v>
      </c>
      <c r="U1032">
        <v>0</v>
      </c>
      <c r="V1032">
        <v>0</v>
      </c>
      <c r="W1032">
        <v>1</v>
      </c>
      <c r="X1032">
        <v>1</v>
      </c>
      <c r="Y1032">
        <v>0</v>
      </c>
      <c r="Z1032">
        <v>0</v>
      </c>
      <c r="AA1032" s="86">
        <f>AVERAGEIFS($C$2:C1032, $B$2:B1032, B1032)</f>
        <v>21.133333333333333</v>
      </c>
      <c r="AB1032" s="86">
        <f>AVERAGEIFS($I$2:I1032, $B$2:B1032, B1032)</f>
        <v>0.5033333333333333</v>
      </c>
      <c r="AC1032" s="86">
        <f>AVERAGEIFS($J$2:J1032, $B$2:B1032, B1032)</f>
        <v>0.49266666666666664</v>
      </c>
      <c r="AD1032" s="86">
        <f>AVERAGEIFS($D$2:D1032, $B$2:B1032, B1032)</f>
        <v>0.6</v>
      </c>
    </row>
    <row r="1033" spans="1:30" x14ac:dyDescent="0.25">
      <c r="A1033" s="85">
        <v>46155</v>
      </c>
      <c r="B1033" t="s">
        <v>42</v>
      </c>
      <c r="C1033">
        <v>12</v>
      </c>
      <c r="D1033" s="86">
        <v>1</v>
      </c>
      <c r="E1033">
        <v>4</v>
      </c>
      <c r="F1033">
        <v>3</v>
      </c>
      <c r="G1033">
        <v>15</v>
      </c>
      <c r="H1033">
        <v>9</v>
      </c>
      <c r="I1033">
        <v>0.75</v>
      </c>
      <c r="J1033">
        <v>0.6</v>
      </c>
      <c r="K1033">
        <v>1</v>
      </c>
      <c r="L1033">
        <v>0</v>
      </c>
      <c r="M1033">
        <v>0</v>
      </c>
      <c r="N1033">
        <v>0</v>
      </c>
      <c r="O1033">
        <v>0</v>
      </c>
      <c r="P1033">
        <v>0</v>
      </c>
      <c r="Q1033">
        <v>0</v>
      </c>
      <c r="R1033">
        <v>0</v>
      </c>
      <c r="S1033">
        <v>0</v>
      </c>
      <c r="T1033">
        <v>0</v>
      </c>
      <c r="U1033">
        <v>0</v>
      </c>
      <c r="V1033">
        <v>0</v>
      </c>
      <c r="W1033">
        <v>1</v>
      </c>
      <c r="X1033">
        <v>1</v>
      </c>
      <c r="Y1033">
        <v>0</v>
      </c>
      <c r="Z1033">
        <v>0</v>
      </c>
      <c r="AA1033" s="86">
        <f>AVERAGEIFS($C$2:C1033, $B$2:B1033, B1033)</f>
        <v>10.75</v>
      </c>
      <c r="AB1033" s="86">
        <f>AVERAGEIFS($I$2:I1033, $B$2:B1033, B1033)</f>
        <v>0.39374999999999999</v>
      </c>
      <c r="AC1033" s="86">
        <f>AVERAGEIFS($J$2:J1033, $B$2:B1033, B1033)</f>
        <v>0.43250000000000005</v>
      </c>
      <c r="AD1033" s="86">
        <f>AVERAGEIFS($D$2:D1033, $B$2:B1033, B1033)</f>
        <v>0.375</v>
      </c>
    </row>
    <row r="1034" spans="1:30" x14ac:dyDescent="0.25">
      <c r="A1034" s="85">
        <v>46155</v>
      </c>
      <c r="B1034" t="s">
        <v>53</v>
      </c>
      <c r="C1034">
        <v>12</v>
      </c>
      <c r="D1034" s="86">
        <v>1</v>
      </c>
      <c r="E1034">
        <v>4</v>
      </c>
      <c r="F1034">
        <v>3</v>
      </c>
      <c r="G1034">
        <v>15</v>
      </c>
      <c r="H1034">
        <v>9</v>
      </c>
      <c r="I1034">
        <v>0.75</v>
      </c>
      <c r="J1034">
        <v>0.6</v>
      </c>
      <c r="K1034">
        <v>1</v>
      </c>
      <c r="L1034">
        <v>0</v>
      </c>
      <c r="M1034">
        <v>0</v>
      </c>
      <c r="N1034">
        <v>0</v>
      </c>
      <c r="O1034">
        <v>0</v>
      </c>
      <c r="P1034">
        <v>0</v>
      </c>
      <c r="Q1034">
        <v>0</v>
      </c>
      <c r="R1034">
        <v>0</v>
      </c>
      <c r="S1034">
        <v>0</v>
      </c>
      <c r="T1034">
        <v>0</v>
      </c>
      <c r="U1034">
        <v>0</v>
      </c>
      <c r="V1034">
        <v>0</v>
      </c>
      <c r="W1034">
        <v>1</v>
      </c>
      <c r="X1034">
        <v>1</v>
      </c>
      <c r="Y1034">
        <v>0</v>
      </c>
      <c r="Z1034">
        <v>0</v>
      </c>
      <c r="AA1034" s="86">
        <f>AVERAGEIFS($C$2:C1034, $B$2:B1034, B1034)</f>
        <v>15.333333333333334</v>
      </c>
      <c r="AB1034" s="86">
        <f>AVERAGEIFS($I$2:I1034, $B$2:B1034, B1034)</f>
        <v>0.4916666666666667</v>
      </c>
      <c r="AC1034" s="86">
        <f>AVERAGEIFS($J$2:J1034, $B$2:B1034, B1034)</f>
        <v>0.53</v>
      </c>
      <c r="AD1034" s="86">
        <f>AVERAGEIFS($D$2:D1034, $B$2:B1034, B1034)</f>
        <v>0.66666666666666663</v>
      </c>
    </row>
    <row r="1035" spans="1:30" x14ac:dyDescent="0.25">
      <c r="A1035" s="85">
        <v>46155</v>
      </c>
      <c r="B1035" t="s">
        <v>20</v>
      </c>
      <c r="C1035">
        <v>19</v>
      </c>
      <c r="D1035" s="86">
        <v>1</v>
      </c>
      <c r="E1035">
        <v>4</v>
      </c>
      <c r="F1035">
        <v>3</v>
      </c>
      <c r="G1035">
        <v>15</v>
      </c>
      <c r="H1035">
        <v>9</v>
      </c>
      <c r="I1035">
        <v>0.75</v>
      </c>
      <c r="J1035">
        <v>0.6</v>
      </c>
      <c r="K1035">
        <v>1</v>
      </c>
      <c r="L1035">
        <v>0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T1035">
        <v>0</v>
      </c>
      <c r="U1035">
        <v>0</v>
      </c>
      <c r="V1035">
        <v>0</v>
      </c>
      <c r="W1035">
        <v>1</v>
      </c>
      <c r="X1035">
        <v>1</v>
      </c>
      <c r="Y1035">
        <v>0</v>
      </c>
      <c r="Z1035">
        <v>0</v>
      </c>
      <c r="AA1035" s="86">
        <f>AVERAGEIFS($C$2:C1035, $B$2:B1035, B1035)</f>
        <v>14.606060606060606</v>
      </c>
      <c r="AB1035" s="86">
        <f>AVERAGEIFS($I$2:I1035, $B$2:B1035, B1035)</f>
        <v>0.49848484848484859</v>
      </c>
      <c r="AC1035" s="86">
        <f>AVERAGEIFS($J$2:J1035, $B$2:B1035, B1035)</f>
        <v>0.50333333333333352</v>
      </c>
      <c r="AD1035" s="86">
        <f>AVERAGEIFS($D$2:D1035, $B$2:B1035, B1035)</f>
        <v>0.42424242424242425</v>
      </c>
    </row>
    <row r="1036" spans="1:30" x14ac:dyDescent="0.25">
      <c r="A1036" s="85">
        <v>46155</v>
      </c>
      <c r="B1036" t="s">
        <v>137</v>
      </c>
      <c r="C1036">
        <v>14</v>
      </c>
      <c r="D1036" s="86">
        <v>1</v>
      </c>
      <c r="E1036">
        <v>4</v>
      </c>
      <c r="F1036">
        <v>3</v>
      </c>
      <c r="G1036">
        <v>15</v>
      </c>
      <c r="H1036">
        <v>9</v>
      </c>
      <c r="I1036">
        <v>0.75</v>
      </c>
      <c r="J1036">
        <v>0.6</v>
      </c>
      <c r="K1036">
        <v>1</v>
      </c>
      <c r="L1036">
        <v>0</v>
      </c>
      <c r="M1036">
        <v>0</v>
      </c>
      <c r="N1036">
        <v>0</v>
      </c>
      <c r="O1036">
        <v>0</v>
      </c>
      <c r="P1036">
        <v>0</v>
      </c>
      <c r="Q1036">
        <v>0</v>
      </c>
      <c r="R1036">
        <v>0</v>
      </c>
      <c r="S1036">
        <v>0</v>
      </c>
      <c r="T1036">
        <v>0</v>
      </c>
      <c r="U1036">
        <v>0</v>
      </c>
      <c r="V1036">
        <v>0</v>
      </c>
      <c r="W1036">
        <v>1</v>
      </c>
      <c r="X1036">
        <v>1</v>
      </c>
      <c r="Y1036">
        <v>0</v>
      </c>
      <c r="Z1036">
        <v>0</v>
      </c>
      <c r="AA1036" s="86">
        <f>AVERAGEIFS($C$2:C1036, $B$2:B1036, B1036)</f>
        <v>8.4166666666666661</v>
      </c>
      <c r="AB1036" s="86">
        <f>AVERAGEIFS($I$2:I1036, $B$2:B1036, B1036)</f>
        <v>0.5</v>
      </c>
      <c r="AC1036" s="86">
        <f>AVERAGEIFS($J$2:J1036, $B$2:B1036, B1036)</f>
        <v>0.48333333333333323</v>
      </c>
      <c r="AD1036" s="86">
        <f>AVERAGEIFS($D$2:D1036, $B$2:B1036, B1036)</f>
        <v>0.5</v>
      </c>
    </row>
    <row r="1037" spans="1:30" x14ac:dyDescent="0.25">
      <c r="A1037" s="85">
        <v>46155</v>
      </c>
      <c r="B1037" t="s">
        <v>14</v>
      </c>
      <c r="C1037">
        <v>20</v>
      </c>
      <c r="D1037" s="86">
        <v>0</v>
      </c>
      <c r="E1037">
        <v>4</v>
      </c>
      <c r="F1037">
        <v>1</v>
      </c>
      <c r="G1037">
        <v>15</v>
      </c>
      <c r="H1037">
        <v>6</v>
      </c>
      <c r="I1037">
        <v>0.25</v>
      </c>
      <c r="J1037">
        <v>0.4</v>
      </c>
      <c r="K1037">
        <v>0</v>
      </c>
      <c r="L1037">
        <v>1</v>
      </c>
      <c r="M1037">
        <v>0</v>
      </c>
      <c r="N1037">
        <v>0</v>
      </c>
      <c r="O1037">
        <v>0</v>
      </c>
      <c r="P1037">
        <v>0</v>
      </c>
      <c r="Q1037">
        <v>0</v>
      </c>
      <c r="R1037">
        <v>0</v>
      </c>
      <c r="S1037">
        <v>0</v>
      </c>
      <c r="T1037">
        <v>0</v>
      </c>
      <c r="U1037">
        <v>0</v>
      </c>
      <c r="V1037">
        <v>0</v>
      </c>
      <c r="W1037">
        <v>0</v>
      </c>
      <c r="X1037">
        <v>0</v>
      </c>
      <c r="Y1037">
        <v>0</v>
      </c>
      <c r="Z1037">
        <v>0</v>
      </c>
      <c r="AA1037" s="86">
        <f>AVERAGEIFS($C$2:C1037, $B$2:B1037, B1037)</f>
        <v>24.104166666666668</v>
      </c>
      <c r="AB1037" s="86">
        <f>AVERAGEIFS($I$2:I1037, $B$2:B1037, B1037)</f>
        <v>0.47187499999999999</v>
      </c>
      <c r="AC1037" s="86">
        <f>AVERAGEIFS($J$2:J1037, $B$2:B1037, B1037)</f>
        <v>0.48312500000000003</v>
      </c>
      <c r="AD1037" s="86">
        <f>AVERAGEIFS($D$2:D1037, $B$2:B1037, B1037)</f>
        <v>0.45833333333333331</v>
      </c>
    </row>
    <row r="1038" spans="1:30" x14ac:dyDescent="0.25">
      <c r="A1038" s="85">
        <v>46155</v>
      </c>
      <c r="B1038" t="s">
        <v>15</v>
      </c>
      <c r="C1038">
        <v>23</v>
      </c>
      <c r="D1038" s="86">
        <v>0</v>
      </c>
      <c r="E1038">
        <v>4</v>
      </c>
      <c r="F1038">
        <v>1</v>
      </c>
      <c r="G1038">
        <v>15</v>
      </c>
      <c r="H1038">
        <v>6</v>
      </c>
      <c r="I1038">
        <v>0.25</v>
      </c>
      <c r="J1038">
        <v>0.4</v>
      </c>
      <c r="K1038">
        <v>0</v>
      </c>
      <c r="L1038">
        <v>1</v>
      </c>
      <c r="M1038">
        <v>0</v>
      </c>
      <c r="N1038">
        <v>0</v>
      </c>
      <c r="O1038">
        <v>0</v>
      </c>
      <c r="P1038">
        <v>0</v>
      </c>
      <c r="Q1038">
        <v>0</v>
      </c>
      <c r="R1038">
        <v>0</v>
      </c>
      <c r="S1038">
        <v>0</v>
      </c>
      <c r="T1038">
        <v>0</v>
      </c>
      <c r="U1038">
        <v>0</v>
      </c>
      <c r="V1038">
        <v>0</v>
      </c>
      <c r="W1038">
        <v>0</v>
      </c>
      <c r="X1038">
        <v>0</v>
      </c>
      <c r="Y1038">
        <v>0</v>
      </c>
      <c r="Z1038">
        <v>0</v>
      </c>
      <c r="AA1038" s="86">
        <f>AVERAGEIFS($C$2:C1038, $B$2:B1038, B1038)</f>
        <v>22.777777777777779</v>
      </c>
      <c r="AB1038" s="86">
        <f>AVERAGEIFS($I$2:I1038, $B$2:B1038, B1038)</f>
        <v>0.44666666666666671</v>
      </c>
      <c r="AC1038" s="86">
        <f>AVERAGEIFS($J$2:J1038, $B$2:B1038, B1038)</f>
        <v>0.4844444444444444</v>
      </c>
      <c r="AD1038" s="86">
        <f>AVERAGEIFS($D$2:D1038, $B$2:B1038, B1038)</f>
        <v>0.37777777777777777</v>
      </c>
    </row>
    <row r="1039" spans="1:30" x14ac:dyDescent="0.25">
      <c r="A1039" s="85">
        <v>46155</v>
      </c>
      <c r="B1039" t="s">
        <v>155</v>
      </c>
      <c r="C1039">
        <v>17</v>
      </c>
      <c r="D1039" s="86">
        <v>0</v>
      </c>
      <c r="E1039">
        <v>4</v>
      </c>
      <c r="F1039">
        <v>1</v>
      </c>
      <c r="G1039">
        <v>15</v>
      </c>
      <c r="H1039">
        <v>6</v>
      </c>
      <c r="I1039">
        <v>0.25</v>
      </c>
      <c r="J1039">
        <v>0.4</v>
      </c>
      <c r="K1039">
        <v>0</v>
      </c>
      <c r="L1039">
        <v>1</v>
      </c>
      <c r="M1039">
        <v>0</v>
      </c>
      <c r="N1039">
        <v>0</v>
      </c>
      <c r="O1039">
        <v>0</v>
      </c>
      <c r="P1039">
        <v>0</v>
      </c>
      <c r="Q1039">
        <v>0</v>
      </c>
      <c r="R1039">
        <v>0</v>
      </c>
      <c r="S1039">
        <v>0</v>
      </c>
      <c r="T1039">
        <v>0</v>
      </c>
      <c r="U1039">
        <v>0</v>
      </c>
      <c r="V1039">
        <v>0</v>
      </c>
      <c r="W1039">
        <v>0</v>
      </c>
      <c r="X1039">
        <v>0</v>
      </c>
      <c r="Y1039">
        <v>0</v>
      </c>
      <c r="Z1039">
        <v>0</v>
      </c>
      <c r="AA1039" s="86">
        <f>AVERAGEIFS($C$2:C1039, $B$2:B1039, B1039)</f>
        <v>17.419354838709676</v>
      </c>
      <c r="AB1039" s="86">
        <f>AVERAGEIFS($I$2:I1039, $B$2:B1039, B1039)</f>
        <v>0.38709677419354838</v>
      </c>
      <c r="AC1039" s="86">
        <f>AVERAGEIFS($J$2:J1039, $B$2:B1039, B1039)</f>
        <v>0.46580645161290329</v>
      </c>
      <c r="AD1039" s="86">
        <f>AVERAGEIFS($D$2:D1039, $B$2:B1039, B1039)</f>
        <v>0.32258064516129031</v>
      </c>
    </row>
    <row r="1040" spans="1:30" x14ac:dyDescent="0.25">
      <c r="A1040" s="85">
        <v>46155</v>
      </c>
      <c r="B1040" t="s">
        <v>27</v>
      </c>
      <c r="C1040">
        <v>10</v>
      </c>
      <c r="D1040" s="86">
        <v>0</v>
      </c>
      <c r="E1040">
        <v>4</v>
      </c>
      <c r="F1040">
        <v>1</v>
      </c>
      <c r="G1040">
        <v>15</v>
      </c>
      <c r="H1040">
        <v>6</v>
      </c>
      <c r="I1040">
        <v>0.25</v>
      </c>
      <c r="J1040">
        <v>0.4</v>
      </c>
      <c r="K1040">
        <v>0</v>
      </c>
      <c r="L1040">
        <v>1</v>
      </c>
      <c r="M1040">
        <v>0</v>
      </c>
      <c r="N1040">
        <v>0</v>
      </c>
      <c r="O1040">
        <v>0</v>
      </c>
      <c r="P1040">
        <v>0</v>
      </c>
      <c r="Q1040">
        <v>0</v>
      </c>
      <c r="R1040">
        <v>0</v>
      </c>
      <c r="S1040">
        <v>0</v>
      </c>
      <c r="T1040">
        <v>0</v>
      </c>
      <c r="U1040">
        <v>0</v>
      </c>
      <c r="V1040">
        <v>0</v>
      </c>
      <c r="W1040">
        <v>0</v>
      </c>
      <c r="X1040">
        <v>0</v>
      </c>
      <c r="Y1040">
        <v>0</v>
      </c>
      <c r="Z1040">
        <v>0</v>
      </c>
      <c r="AA1040" s="86">
        <f>AVERAGEIFS($C$2:C1040, $B$2:B1040, B1040)</f>
        <v>14.862068965517242</v>
      </c>
      <c r="AB1040" s="86">
        <f>AVERAGEIFS($I$2:I1040, $B$2:B1040, B1040)</f>
        <v>0.50689655172413794</v>
      </c>
      <c r="AC1040" s="86">
        <f>AVERAGEIFS($J$2:J1040, $B$2:B1040, B1040)</f>
        <v>0.50310344827586218</v>
      </c>
      <c r="AD1040" s="86">
        <f>AVERAGEIFS($D$2:D1040, $B$2:B1040, B1040)</f>
        <v>0.55172413793103448</v>
      </c>
    </row>
    <row r="1041" spans="1:30" x14ac:dyDescent="0.25">
      <c r="A1041" s="85">
        <v>46155</v>
      </c>
      <c r="B1041" t="s">
        <v>35</v>
      </c>
      <c r="C1041">
        <v>12</v>
      </c>
      <c r="D1041" s="86">
        <v>0</v>
      </c>
      <c r="E1041">
        <v>4</v>
      </c>
      <c r="F1041">
        <v>1</v>
      </c>
      <c r="G1041">
        <v>15</v>
      </c>
      <c r="H1041">
        <v>6</v>
      </c>
      <c r="I1041">
        <v>0.25</v>
      </c>
      <c r="J1041">
        <v>0.4</v>
      </c>
      <c r="K1041">
        <v>0</v>
      </c>
      <c r="L1041">
        <v>1</v>
      </c>
      <c r="M1041">
        <v>0</v>
      </c>
      <c r="N1041">
        <v>0</v>
      </c>
      <c r="O1041">
        <v>0</v>
      </c>
      <c r="P1041">
        <v>0</v>
      </c>
      <c r="Q1041">
        <v>0</v>
      </c>
      <c r="R1041">
        <v>0</v>
      </c>
      <c r="S1041">
        <v>0</v>
      </c>
      <c r="T1041">
        <v>0</v>
      </c>
      <c r="U1041">
        <v>0</v>
      </c>
      <c r="V1041">
        <v>0</v>
      </c>
      <c r="W1041">
        <v>0</v>
      </c>
      <c r="X1041">
        <v>0</v>
      </c>
      <c r="Y1041">
        <v>0</v>
      </c>
      <c r="Z1041">
        <v>0</v>
      </c>
      <c r="AA1041" s="86">
        <f>AVERAGEIFS($C$2:C1041, $B$2:B1041, B1041)</f>
        <v>12.142857142857142</v>
      </c>
      <c r="AB1041" s="86">
        <f>AVERAGEIFS($I$2:I1041, $B$2:B1041, B1041)</f>
        <v>0.51285714285714279</v>
      </c>
      <c r="AC1041" s="86">
        <f>AVERAGEIFS($J$2:J1041, $B$2:B1041, B1041)</f>
        <v>0.50428571428571434</v>
      </c>
      <c r="AD1041" s="86">
        <f>AVERAGEIFS($D$2:D1041, $B$2:B1041, B1041)</f>
        <v>0.6</v>
      </c>
    </row>
    <row r="1042" spans="1:30" x14ac:dyDescent="0.25">
      <c r="A1042" s="85">
        <v>46155</v>
      </c>
      <c r="B1042" t="s">
        <v>19</v>
      </c>
      <c r="C1042">
        <v>9</v>
      </c>
      <c r="D1042" s="86">
        <v>0</v>
      </c>
      <c r="E1042">
        <v>4</v>
      </c>
      <c r="F1042">
        <v>1</v>
      </c>
      <c r="G1042">
        <v>15</v>
      </c>
      <c r="H1042">
        <v>6</v>
      </c>
      <c r="I1042">
        <v>0.25</v>
      </c>
      <c r="J1042">
        <v>0.4</v>
      </c>
      <c r="K1042">
        <v>0</v>
      </c>
      <c r="L1042">
        <v>1</v>
      </c>
      <c r="M1042">
        <v>0</v>
      </c>
      <c r="N1042">
        <v>0</v>
      </c>
      <c r="O1042">
        <v>0</v>
      </c>
      <c r="P1042">
        <v>0</v>
      </c>
      <c r="Q1042">
        <v>0</v>
      </c>
      <c r="R1042">
        <v>0</v>
      </c>
      <c r="S1042">
        <v>0</v>
      </c>
      <c r="T1042">
        <v>0</v>
      </c>
      <c r="U1042">
        <v>0</v>
      </c>
      <c r="V1042">
        <v>0</v>
      </c>
      <c r="W1042">
        <v>0</v>
      </c>
      <c r="X1042">
        <v>0</v>
      </c>
      <c r="Y1042">
        <v>0</v>
      </c>
      <c r="Z1042">
        <v>0</v>
      </c>
      <c r="AA1042" s="86">
        <f>AVERAGEIFS($C$2:C1042, $B$2:B1042, B1042)</f>
        <v>12</v>
      </c>
      <c r="AB1042" s="86">
        <f>AVERAGEIFS($I$2:I1042, $B$2:B1042, B1042)</f>
        <v>0.43285714285714288</v>
      </c>
      <c r="AC1042" s="86">
        <f>AVERAGEIFS($J$2:J1042, $B$2:B1042, B1042)</f>
        <v>0.46057142857142858</v>
      </c>
      <c r="AD1042" s="86">
        <f>AVERAGEIFS($D$2:D1042, $B$2:B1042, B1042)</f>
        <v>0.4</v>
      </c>
    </row>
    <row r="1043" spans="1:30" x14ac:dyDescent="0.25">
      <c r="A1043" s="85">
        <v>46159</v>
      </c>
      <c r="B1043" t="s">
        <v>15</v>
      </c>
      <c r="C1043">
        <v>25</v>
      </c>
      <c r="D1043" s="86">
        <v>1</v>
      </c>
      <c r="E1043">
        <v>3</v>
      </c>
      <c r="F1043">
        <v>3</v>
      </c>
      <c r="G1043">
        <v>14</v>
      </c>
      <c r="H1043">
        <v>9</v>
      </c>
      <c r="I1043">
        <v>1</v>
      </c>
      <c r="J1043">
        <v>0.64</v>
      </c>
      <c r="K1043">
        <v>0</v>
      </c>
      <c r="L1043">
        <v>0</v>
      </c>
      <c r="M1043">
        <v>0</v>
      </c>
      <c r="N1043">
        <v>0</v>
      </c>
      <c r="O1043">
        <v>0</v>
      </c>
      <c r="P1043">
        <v>0</v>
      </c>
      <c r="Q1043">
        <v>0</v>
      </c>
      <c r="R1043">
        <v>0</v>
      </c>
      <c r="S1043">
        <v>0</v>
      </c>
      <c r="T1043">
        <v>0</v>
      </c>
      <c r="U1043">
        <v>0</v>
      </c>
      <c r="V1043">
        <v>0</v>
      </c>
      <c r="W1043">
        <v>1</v>
      </c>
      <c r="X1043">
        <v>1</v>
      </c>
      <c r="Y1043">
        <v>0</v>
      </c>
      <c r="Z1043">
        <v>1</v>
      </c>
      <c r="AA1043" s="86">
        <f>AVERAGEIFS($C$2:C1043, $B$2:B1043, B1043)</f>
        <v>22.826086956521738</v>
      </c>
      <c r="AB1043" s="86">
        <f>AVERAGEIFS($I$2:I1043, $B$2:B1043, B1043)</f>
        <v>0.45869565217391306</v>
      </c>
      <c r="AC1043" s="86">
        <f>AVERAGEIFS($J$2:J1043, $B$2:B1043, B1043)</f>
        <v>0.48782608695652169</v>
      </c>
      <c r="AD1043" s="86">
        <f>AVERAGEIFS($D$2:D1043, $B$2:B1043, B1043)</f>
        <v>0.39130434782608697</v>
      </c>
    </row>
    <row r="1044" spans="1:30" x14ac:dyDescent="0.25">
      <c r="A1044" s="85">
        <v>46159</v>
      </c>
      <c r="B1044" t="s">
        <v>19</v>
      </c>
      <c r="C1044">
        <v>20</v>
      </c>
      <c r="D1044" s="86">
        <v>1</v>
      </c>
      <c r="E1044">
        <v>3</v>
      </c>
      <c r="F1044">
        <v>3</v>
      </c>
      <c r="G1044">
        <v>14</v>
      </c>
      <c r="H1044">
        <v>9</v>
      </c>
      <c r="I1044">
        <v>1</v>
      </c>
      <c r="J1044">
        <v>0.64</v>
      </c>
      <c r="K1044">
        <v>0</v>
      </c>
      <c r="L1044">
        <v>0</v>
      </c>
      <c r="M1044">
        <v>0</v>
      </c>
      <c r="N1044">
        <v>0</v>
      </c>
      <c r="O1044">
        <v>0</v>
      </c>
      <c r="P1044">
        <v>0</v>
      </c>
      <c r="Q1044">
        <v>0</v>
      </c>
      <c r="R1044">
        <v>0</v>
      </c>
      <c r="S1044">
        <v>0</v>
      </c>
      <c r="T1044">
        <v>0</v>
      </c>
      <c r="U1044">
        <v>0</v>
      </c>
      <c r="V1044">
        <v>0</v>
      </c>
      <c r="W1044">
        <v>1</v>
      </c>
      <c r="X1044">
        <v>1</v>
      </c>
      <c r="Y1044">
        <v>0</v>
      </c>
      <c r="Z1044">
        <v>1</v>
      </c>
      <c r="AA1044" s="86">
        <f>AVERAGEIFS($C$2:C1044, $B$2:B1044, B1044)</f>
        <v>12.222222222222221</v>
      </c>
      <c r="AB1044" s="86">
        <f>AVERAGEIFS($I$2:I1044, $B$2:B1044, B1044)</f>
        <v>0.44861111111111107</v>
      </c>
      <c r="AC1044" s="86">
        <f>AVERAGEIFS($J$2:J1044, $B$2:B1044, B1044)</f>
        <v>0.46555555555555561</v>
      </c>
      <c r="AD1044" s="86">
        <f>AVERAGEIFS($D$2:D1044, $B$2:B1044, B1044)</f>
        <v>0.41666666666666669</v>
      </c>
    </row>
    <row r="1045" spans="1:30" x14ac:dyDescent="0.25">
      <c r="A1045" s="85">
        <v>46159</v>
      </c>
      <c r="B1045" t="s">
        <v>14</v>
      </c>
      <c r="C1045">
        <v>19</v>
      </c>
      <c r="D1045" s="86">
        <v>1</v>
      </c>
      <c r="E1045">
        <v>3</v>
      </c>
      <c r="F1045">
        <v>3</v>
      </c>
      <c r="G1045">
        <v>14</v>
      </c>
      <c r="H1045">
        <v>9</v>
      </c>
      <c r="I1045">
        <v>1</v>
      </c>
      <c r="J1045">
        <v>0.64</v>
      </c>
      <c r="K1045">
        <v>0</v>
      </c>
      <c r="L1045">
        <v>0</v>
      </c>
      <c r="M1045">
        <v>0</v>
      </c>
      <c r="N1045">
        <v>0</v>
      </c>
      <c r="O1045">
        <v>0</v>
      </c>
      <c r="P1045">
        <v>0</v>
      </c>
      <c r="Q1045">
        <v>0</v>
      </c>
      <c r="R1045">
        <v>0</v>
      </c>
      <c r="S1045">
        <v>0</v>
      </c>
      <c r="T1045">
        <v>0</v>
      </c>
      <c r="U1045">
        <v>0</v>
      </c>
      <c r="V1045">
        <v>0</v>
      </c>
      <c r="W1045">
        <v>1</v>
      </c>
      <c r="X1045">
        <v>1</v>
      </c>
      <c r="Y1045">
        <v>0</v>
      </c>
      <c r="Z1045">
        <v>1</v>
      </c>
      <c r="AA1045" s="86">
        <f>AVERAGEIFS($C$2:C1045, $B$2:B1045, B1045)</f>
        <v>24</v>
      </c>
      <c r="AB1045" s="86">
        <f>AVERAGEIFS($I$2:I1045, $B$2:B1045, B1045)</f>
        <v>0.48265306122448975</v>
      </c>
      <c r="AC1045" s="86">
        <f>AVERAGEIFS($J$2:J1045, $B$2:B1045, B1045)</f>
        <v>0.48632653061224496</v>
      </c>
      <c r="AD1045" s="86">
        <f>AVERAGEIFS($D$2:D1045, $B$2:B1045, B1045)</f>
        <v>0.46938775510204084</v>
      </c>
    </row>
    <row r="1046" spans="1:30" x14ac:dyDescent="0.25">
      <c r="A1046" s="85">
        <v>46159</v>
      </c>
      <c r="B1046" t="s">
        <v>35</v>
      </c>
      <c r="C1046">
        <v>16</v>
      </c>
      <c r="D1046" s="86">
        <v>1</v>
      </c>
      <c r="E1046">
        <v>3</v>
      </c>
      <c r="F1046">
        <v>3</v>
      </c>
      <c r="G1046">
        <v>14</v>
      </c>
      <c r="H1046">
        <v>9</v>
      </c>
      <c r="I1046">
        <v>1</v>
      </c>
      <c r="J1046">
        <v>0.64</v>
      </c>
      <c r="K1046">
        <v>0</v>
      </c>
      <c r="L1046">
        <v>0</v>
      </c>
      <c r="M1046">
        <v>0</v>
      </c>
      <c r="N1046">
        <v>0</v>
      </c>
      <c r="O1046">
        <v>0</v>
      </c>
      <c r="P1046">
        <v>0</v>
      </c>
      <c r="Q1046">
        <v>0</v>
      </c>
      <c r="R1046">
        <v>0</v>
      </c>
      <c r="S1046">
        <v>0</v>
      </c>
      <c r="T1046">
        <v>0</v>
      </c>
      <c r="U1046">
        <v>0</v>
      </c>
      <c r="V1046">
        <v>0</v>
      </c>
      <c r="W1046">
        <v>1</v>
      </c>
      <c r="X1046">
        <v>1</v>
      </c>
      <c r="Y1046">
        <v>0</v>
      </c>
      <c r="Z1046">
        <v>1</v>
      </c>
      <c r="AA1046" s="86">
        <f>AVERAGEIFS($C$2:C1046, $B$2:B1046, B1046)</f>
        <v>12.25</v>
      </c>
      <c r="AB1046" s="86">
        <f>AVERAGEIFS($I$2:I1046, $B$2:B1046, B1046)</f>
        <v>0.52638888888888891</v>
      </c>
      <c r="AC1046" s="86">
        <f>AVERAGEIFS($J$2:J1046, $B$2:B1046, B1046)</f>
        <v>0.50805555555555559</v>
      </c>
      <c r="AD1046" s="86">
        <f>AVERAGEIFS($D$2:D1046, $B$2:B1046, B1046)</f>
        <v>0.61111111111111116</v>
      </c>
    </row>
    <row r="1047" spans="1:30" x14ac:dyDescent="0.25">
      <c r="A1047" s="85">
        <v>46159</v>
      </c>
      <c r="B1047" t="s">
        <v>25</v>
      </c>
      <c r="C1047">
        <v>15</v>
      </c>
      <c r="D1047" s="86">
        <v>1</v>
      </c>
      <c r="E1047">
        <v>3</v>
      </c>
      <c r="F1047">
        <v>3</v>
      </c>
      <c r="G1047">
        <v>14</v>
      </c>
      <c r="H1047">
        <v>9</v>
      </c>
      <c r="I1047">
        <v>1</v>
      </c>
      <c r="J1047">
        <v>0.64</v>
      </c>
      <c r="K1047">
        <v>0</v>
      </c>
      <c r="L1047">
        <v>0</v>
      </c>
      <c r="M1047">
        <v>0</v>
      </c>
      <c r="N1047">
        <v>0</v>
      </c>
      <c r="O1047">
        <v>0</v>
      </c>
      <c r="P1047">
        <v>0</v>
      </c>
      <c r="Q1047">
        <v>0</v>
      </c>
      <c r="R1047">
        <v>0</v>
      </c>
      <c r="S1047">
        <v>0</v>
      </c>
      <c r="T1047">
        <v>0</v>
      </c>
      <c r="U1047">
        <v>0</v>
      </c>
      <c r="V1047">
        <v>0</v>
      </c>
      <c r="W1047">
        <v>1</v>
      </c>
      <c r="X1047">
        <v>1</v>
      </c>
      <c r="Y1047">
        <v>0</v>
      </c>
      <c r="Z1047">
        <v>1</v>
      </c>
      <c r="AA1047" s="86">
        <f>AVERAGEIFS($C$2:C1047, $B$2:B1047, B1047)</f>
        <v>18.451612903225808</v>
      </c>
      <c r="AB1047" s="86">
        <f>AVERAGEIFS($I$2:I1047, $B$2:B1047, B1047)</f>
        <v>0.57741935483870965</v>
      </c>
      <c r="AC1047" s="86">
        <f>AVERAGEIFS($J$2:J1047, $B$2:B1047, B1047)</f>
        <v>0.52709677419354839</v>
      </c>
      <c r="AD1047" s="86">
        <f>AVERAGEIFS($D$2:D1047, $B$2:B1047, B1047)</f>
        <v>0.58064516129032262</v>
      </c>
    </row>
    <row r="1048" spans="1:30" x14ac:dyDescent="0.25">
      <c r="A1048" s="85">
        <v>46159</v>
      </c>
      <c r="B1048" t="s">
        <v>26</v>
      </c>
      <c r="C1048">
        <v>13</v>
      </c>
      <c r="D1048" s="86">
        <v>1</v>
      </c>
      <c r="E1048">
        <v>3</v>
      </c>
      <c r="F1048">
        <v>3</v>
      </c>
      <c r="G1048">
        <v>14</v>
      </c>
      <c r="H1048">
        <v>9</v>
      </c>
      <c r="I1048">
        <v>1</v>
      </c>
      <c r="J1048">
        <v>0.64</v>
      </c>
      <c r="K1048">
        <v>0</v>
      </c>
      <c r="L1048">
        <v>0</v>
      </c>
      <c r="M1048">
        <v>0</v>
      </c>
      <c r="N1048">
        <v>0</v>
      </c>
      <c r="O1048">
        <v>0</v>
      </c>
      <c r="P1048">
        <v>0</v>
      </c>
      <c r="Q1048">
        <v>0</v>
      </c>
      <c r="R1048">
        <v>0</v>
      </c>
      <c r="S1048">
        <v>0</v>
      </c>
      <c r="T1048">
        <v>0</v>
      </c>
      <c r="U1048">
        <v>0</v>
      </c>
      <c r="V1048">
        <v>0</v>
      </c>
      <c r="W1048">
        <v>1</v>
      </c>
      <c r="X1048">
        <v>1</v>
      </c>
      <c r="Y1048">
        <v>0</v>
      </c>
      <c r="Z1048">
        <v>1</v>
      </c>
      <c r="AA1048" s="86">
        <f>AVERAGEIFS($C$2:C1048, $B$2:B1048, B1048)</f>
        <v>13.512820512820513</v>
      </c>
      <c r="AB1048" s="86">
        <f>AVERAGEIFS($I$2:I1048, $B$2:B1048, B1048)</f>
        <v>0.63717948717948714</v>
      </c>
      <c r="AC1048" s="86">
        <f>AVERAGEIFS($J$2:J1048, $B$2:B1048, B1048)</f>
        <v>0.55564102564102569</v>
      </c>
      <c r="AD1048" s="86">
        <f>AVERAGEIFS($D$2:D1048, $B$2:B1048, B1048)</f>
        <v>0.69230769230769229</v>
      </c>
    </row>
    <row r="1049" spans="1:30" x14ac:dyDescent="0.25">
      <c r="A1049" s="85">
        <v>46159</v>
      </c>
      <c r="B1049" t="s">
        <v>148</v>
      </c>
      <c r="C1049">
        <v>5</v>
      </c>
      <c r="D1049" s="86">
        <v>1</v>
      </c>
      <c r="E1049">
        <v>3</v>
      </c>
      <c r="F1049">
        <v>3</v>
      </c>
      <c r="G1049">
        <v>14</v>
      </c>
      <c r="H1049">
        <v>9</v>
      </c>
      <c r="I1049">
        <v>1</v>
      </c>
      <c r="J1049">
        <v>0.64</v>
      </c>
      <c r="K1049">
        <v>0</v>
      </c>
      <c r="L1049">
        <v>0</v>
      </c>
      <c r="M1049">
        <v>0</v>
      </c>
      <c r="N1049">
        <v>0</v>
      </c>
      <c r="O1049">
        <v>0</v>
      </c>
      <c r="P1049">
        <v>0</v>
      </c>
      <c r="Q1049">
        <v>0</v>
      </c>
      <c r="R1049">
        <v>0</v>
      </c>
      <c r="S1049">
        <v>0</v>
      </c>
      <c r="T1049">
        <v>0</v>
      </c>
      <c r="U1049">
        <v>0</v>
      </c>
      <c r="V1049">
        <v>0</v>
      </c>
      <c r="W1049">
        <v>1</v>
      </c>
      <c r="X1049">
        <v>1</v>
      </c>
      <c r="Y1049">
        <v>0</v>
      </c>
      <c r="Z1049">
        <v>1</v>
      </c>
      <c r="AA1049" s="86">
        <f>AVERAGEIFS($C$2:C1049, $B$2:B1049, B1049)</f>
        <v>12.514285714285714</v>
      </c>
      <c r="AB1049" s="86">
        <f>AVERAGEIFS($I$2:I1049, $B$2:B1049, B1049)</f>
        <v>0.54714285714285715</v>
      </c>
      <c r="AC1049" s="86">
        <f>AVERAGEIFS($J$2:J1049, $B$2:B1049, B1049)</f>
        <v>0.52</v>
      </c>
      <c r="AD1049" s="86">
        <f>AVERAGEIFS($D$2:D1049, $B$2:B1049, B1049)</f>
        <v>0.5714285714285714</v>
      </c>
    </row>
    <row r="1050" spans="1:30" x14ac:dyDescent="0.25">
      <c r="A1050" s="85">
        <v>46159</v>
      </c>
      <c r="B1050" t="s">
        <v>214</v>
      </c>
      <c r="C1050">
        <v>3</v>
      </c>
      <c r="D1050" s="86">
        <v>1</v>
      </c>
      <c r="E1050">
        <v>3</v>
      </c>
      <c r="F1050">
        <v>3</v>
      </c>
      <c r="G1050">
        <v>14</v>
      </c>
      <c r="H1050">
        <v>9</v>
      </c>
      <c r="I1050">
        <v>1</v>
      </c>
      <c r="J1050">
        <v>0.64</v>
      </c>
      <c r="K1050">
        <v>0</v>
      </c>
      <c r="L1050">
        <v>0</v>
      </c>
      <c r="M1050">
        <v>0</v>
      </c>
      <c r="N1050">
        <v>0</v>
      </c>
      <c r="O1050">
        <v>0</v>
      </c>
      <c r="P1050">
        <v>0</v>
      </c>
      <c r="Q1050">
        <v>0</v>
      </c>
      <c r="R1050">
        <v>0</v>
      </c>
      <c r="S1050">
        <v>0</v>
      </c>
      <c r="T1050">
        <v>0</v>
      </c>
      <c r="U1050">
        <v>0</v>
      </c>
      <c r="V1050">
        <v>0</v>
      </c>
      <c r="W1050">
        <v>1</v>
      </c>
      <c r="X1050">
        <v>1</v>
      </c>
      <c r="Y1050">
        <v>0</v>
      </c>
      <c r="Z1050">
        <v>1</v>
      </c>
      <c r="AA1050" s="86">
        <f>AVERAGEIFS($C$2:C1050, $B$2:B1050, B1050)</f>
        <v>7</v>
      </c>
      <c r="AB1050" s="86">
        <f>AVERAGEIFS($I$2:I1050, $B$2:B1050, B1050)</f>
        <v>1</v>
      </c>
      <c r="AC1050" s="86">
        <f>AVERAGEIFS($J$2:J1050, $B$2:B1050, B1050)</f>
        <v>0.67500000000000004</v>
      </c>
      <c r="AD1050" s="86">
        <f>AVERAGEIFS($D$2:D1050, $B$2:B1050, B1050)</f>
        <v>1</v>
      </c>
    </row>
    <row r="1051" spans="1:30" x14ac:dyDescent="0.25">
      <c r="A1051" s="85">
        <v>46159</v>
      </c>
      <c r="B1051" t="s">
        <v>18</v>
      </c>
      <c r="C1051">
        <v>25</v>
      </c>
      <c r="D1051" s="86">
        <v>0</v>
      </c>
      <c r="E1051">
        <v>3</v>
      </c>
      <c r="F1051">
        <v>0</v>
      </c>
      <c r="G1051">
        <v>14</v>
      </c>
      <c r="H1051">
        <v>5</v>
      </c>
      <c r="I1051">
        <v>0</v>
      </c>
      <c r="J1051">
        <v>0.36</v>
      </c>
      <c r="K1051">
        <v>0</v>
      </c>
      <c r="L1051">
        <v>0</v>
      </c>
      <c r="M1051">
        <v>0</v>
      </c>
      <c r="N1051">
        <v>0</v>
      </c>
      <c r="O1051">
        <v>0</v>
      </c>
      <c r="P1051">
        <v>0</v>
      </c>
      <c r="Q1051">
        <v>0</v>
      </c>
      <c r="R1051">
        <v>0</v>
      </c>
      <c r="S1051">
        <v>0</v>
      </c>
      <c r="T1051">
        <v>0</v>
      </c>
      <c r="U1051">
        <v>0</v>
      </c>
      <c r="V1051">
        <v>0</v>
      </c>
      <c r="W1051">
        <v>0</v>
      </c>
      <c r="X1051">
        <v>0</v>
      </c>
      <c r="Y1051">
        <v>0</v>
      </c>
      <c r="Z1051">
        <v>0</v>
      </c>
      <c r="AA1051" s="86">
        <f>AVERAGEIFS($C$2:C1051, $B$2:B1051, B1051)</f>
        <v>27.323529411764707</v>
      </c>
      <c r="AB1051" s="86">
        <f>AVERAGEIFS($I$2:I1051, $B$2:B1051, B1051)</f>
        <v>0.47205882352941181</v>
      </c>
      <c r="AC1051" s="86">
        <f>AVERAGEIFS($J$2:J1051, $B$2:B1051, B1051)</f>
        <v>0.4882352941176471</v>
      </c>
      <c r="AD1051" s="86">
        <f>AVERAGEIFS($D$2:D1051, $B$2:B1051, B1051)</f>
        <v>0.47058823529411764</v>
      </c>
    </row>
    <row r="1052" spans="1:30" x14ac:dyDescent="0.25">
      <c r="A1052" s="85">
        <v>46159</v>
      </c>
      <c r="B1052" t="s">
        <v>13</v>
      </c>
      <c r="C1052">
        <v>21</v>
      </c>
      <c r="D1052" s="86">
        <v>0</v>
      </c>
      <c r="E1052">
        <v>3</v>
      </c>
      <c r="F1052">
        <v>0</v>
      </c>
      <c r="G1052">
        <v>14</v>
      </c>
      <c r="H1052">
        <v>5</v>
      </c>
      <c r="I1052">
        <v>0</v>
      </c>
      <c r="J1052">
        <v>0.36</v>
      </c>
      <c r="K1052">
        <v>0</v>
      </c>
      <c r="L1052">
        <v>0</v>
      </c>
      <c r="M1052">
        <v>0</v>
      </c>
      <c r="N1052">
        <v>0</v>
      </c>
      <c r="O1052">
        <v>0</v>
      </c>
      <c r="P1052">
        <v>0</v>
      </c>
      <c r="Q1052">
        <v>0</v>
      </c>
      <c r="R1052">
        <v>0</v>
      </c>
      <c r="S1052">
        <v>0</v>
      </c>
      <c r="T1052">
        <v>0</v>
      </c>
      <c r="U1052">
        <v>0</v>
      </c>
      <c r="V1052">
        <v>0</v>
      </c>
      <c r="W1052">
        <v>0</v>
      </c>
      <c r="X1052">
        <v>0</v>
      </c>
      <c r="Y1052">
        <v>0</v>
      </c>
      <c r="Z1052">
        <v>0</v>
      </c>
      <c r="AA1052" s="86">
        <f>AVERAGEIFS($C$2:C1052, $B$2:B1052, B1052)</f>
        <v>25.970588235294116</v>
      </c>
      <c r="AB1052" s="86">
        <f>AVERAGEIFS($I$2:I1052, $B$2:B1052, B1052)</f>
        <v>0.56764705882352939</v>
      </c>
      <c r="AC1052" s="86">
        <f>AVERAGEIFS($J$2:J1052, $B$2:B1052, B1052)</f>
        <v>0.54294117647058826</v>
      </c>
      <c r="AD1052" s="86">
        <f>AVERAGEIFS($D$2:D1052, $B$2:B1052, B1052)</f>
        <v>0.61764705882352944</v>
      </c>
    </row>
    <row r="1053" spans="1:30" x14ac:dyDescent="0.25">
      <c r="A1053" s="85">
        <v>46159</v>
      </c>
      <c r="B1053" t="s">
        <v>5</v>
      </c>
      <c r="C1053">
        <v>20</v>
      </c>
      <c r="D1053" s="86">
        <v>0</v>
      </c>
      <c r="E1053">
        <v>3</v>
      </c>
      <c r="F1053">
        <v>0</v>
      </c>
      <c r="G1053">
        <v>14</v>
      </c>
      <c r="H1053">
        <v>5</v>
      </c>
      <c r="I1053">
        <v>0</v>
      </c>
      <c r="J1053">
        <v>0.36</v>
      </c>
      <c r="K1053">
        <v>0</v>
      </c>
      <c r="L1053">
        <v>0</v>
      </c>
      <c r="M1053">
        <v>0</v>
      </c>
      <c r="N1053">
        <v>0</v>
      </c>
      <c r="O1053">
        <v>0</v>
      </c>
      <c r="P1053">
        <v>0</v>
      </c>
      <c r="Q1053">
        <v>0</v>
      </c>
      <c r="R1053">
        <v>0</v>
      </c>
      <c r="S1053">
        <v>0</v>
      </c>
      <c r="T1053">
        <v>0</v>
      </c>
      <c r="U1053">
        <v>0</v>
      </c>
      <c r="V1053">
        <v>0</v>
      </c>
      <c r="W1053">
        <v>0</v>
      </c>
      <c r="X1053">
        <v>0</v>
      </c>
      <c r="Y1053">
        <v>0</v>
      </c>
      <c r="Z1053">
        <v>0</v>
      </c>
      <c r="AA1053" s="86">
        <f>AVERAGEIFS($C$2:C1053, $B$2:B1053, B1053)</f>
        <v>22.916666666666668</v>
      </c>
      <c r="AB1053" s="86">
        <f>AVERAGEIFS($I$2:I1053, $B$2:B1053, B1053)</f>
        <v>0.46041666666666664</v>
      </c>
      <c r="AC1053" s="86">
        <f>AVERAGEIFS($J$2:J1053, $B$2:B1053, B1053)</f>
        <v>0.48124999999999996</v>
      </c>
      <c r="AD1053" s="86">
        <f>AVERAGEIFS($D$2:D1053, $B$2:B1053, B1053)</f>
        <v>0.45833333333333331</v>
      </c>
    </row>
    <row r="1054" spans="1:30" x14ac:dyDescent="0.25">
      <c r="A1054" s="85">
        <v>46159</v>
      </c>
      <c r="B1054" t="s">
        <v>139</v>
      </c>
      <c r="C1054">
        <v>13</v>
      </c>
      <c r="D1054" s="86">
        <v>0</v>
      </c>
      <c r="E1054">
        <v>3</v>
      </c>
      <c r="F1054">
        <v>0</v>
      </c>
      <c r="G1054">
        <v>14</v>
      </c>
      <c r="H1054">
        <v>5</v>
      </c>
      <c r="I1054">
        <v>0</v>
      </c>
      <c r="J1054">
        <v>0.36</v>
      </c>
      <c r="K1054">
        <v>0</v>
      </c>
      <c r="L1054">
        <v>0</v>
      </c>
      <c r="M1054">
        <v>0</v>
      </c>
      <c r="N1054">
        <v>0</v>
      </c>
      <c r="O1054">
        <v>0</v>
      </c>
      <c r="P1054">
        <v>0</v>
      </c>
      <c r="Q1054">
        <v>0</v>
      </c>
      <c r="R1054">
        <v>0</v>
      </c>
      <c r="S1054">
        <v>0</v>
      </c>
      <c r="T1054">
        <v>0</v>
      </c>
      <c r="U1054">
        <v>0</v>
      </c>
      <c r="V1054">
        <v>0</v>
      </c>
      <c r="W1054">
        <v>0</v>
      </c>
      <c r="X1054">
        <v>0</v>
      </c>
      <c r="Y1054">
        <v>0</v>
      </c>
      <c r="Z1054">
        <v>0</v>
      </c>
      <c r="AA1054" s="86">
        <f>AVERAGEIFS($C$2:C1054, $B$2:B1054, B1054)</f>
        <v>10.636363636363637</v>
      </c>
      <c r="AB1054" s="86">
        <f>AVERAGEIFS($I$2:I1054, $B$2:B1054, B1054)</f>
        <v>0.43409090909090903</v>
      </c>
      <c r="AC1054" s="86">
        <f>AVERAGEIFS($J$2:J1054, $B$2:B1054, B1054)</f>
        <v>0.49363636363636354</v>
      </c>
      <c r="AD1054" s="86">
        <f>AVERAGEIFS($D$2:D1054, $B$2:B1054, B1054)</f>
        <v>0.5</v>
      </c>
    </row>
    <row r="1055" spans="1:30" x14ac:dyDescent="0.25">
      <c r="A1055" s="85">
        <v>46159</v>
      </c>
      <c r="B1055" t="s">
        <v>38</v>
      </c>
      <c r="C1055">
        <v>10</v>
      </c>
      <c r="D1055" s="86">
        <v>0</v>
      </c>
      <c r="E1055">
        <v>3</v>
      </c>
      <c r="F1055">
        <v>0</v>
      </c>
      <c r="G1055">
        <v>14</v>
      </c>
      <c r="H1055">
        <v>5</v>
      </c>
      <c r="I1055">
        <v>0</v>
      </c>
      <c r="J1055">
        <v>0.36</v>
      </c>
      <c r="K1055">
        <v>0</v>
      </c>
      <c r="L1055">
        <v>0</v>
      </c>
      <c r="M1055">
        <v>0</v>
      </c>
      <c r="N1055">
        <v>0</v>
      </c>
      <c r="O1055">
        <v>0</v>
      </c>
      <c r="P1055">
        <v>0</v>
      </c>
      <c r="Q1055">
        <v>0</v>
      </c>
      <c r="R1055">
        <v>0</v>
      </c>
      <c r="S1055">
        <v>0</v>
      </c>
      <c r="T1055">
        <v>0</v>
      </c>
      <c r="U1055">
        <v>0</v>
      </c>
      <c r="V1055">
        <v>0</v>
      </c>
      <c r="W1055">
        <v>0</v>
      </c>
      <c r="X1055">
        <v>0</v>
      </c>
      <c r="Y1055">
        <v>0</v>
      </c>
      <c r="Z1055">
        <v>0</v>
      </c>
      <c r="AA1055" s="86">
        <f>AVERAGEIFS($C$2:C1055, $B$2:B1055, B1055)</f>
        <v>8.125</v>
      </c>
      <c r="AB1055" s="86">
        <f>AVERAGEIFS($I$2:I1055, $B$2:B1055, B1055)</f>
        <v>0.41250000000000003</v>
      </c>
      <c r="AC1055" s="86">
        <f>AVERAGEIFS($J$2:J1055, $B$2:B1055, B1055)</f>
        <v>0.45500000000000002</v>
      </c>
      <c r="AD1055" s="86">
        <f>AVERAGEIFS($D$2:D1055, $B$2:B1055, B1055)</f>
        <v>0.4375</v>
      </c>
    </row>
    <row r="1056" spans="1:30" x14ac:dyDescent="0.25">
      <c r="A1056" s="85">
        <v>46159</v>
      </c>
      <c r="B1056" t="s">
        <v>29</v>
      </c>
      <c r="C1056">
        <v>7</v>
      </c>
      <c r="D1056" s="86">
        <v>0</v>
      </c>
      <c r="E1056">
        <v>3</v>
      </c>
      <c r="F1056">
        <v>0</v>
      </c>
      <c r="G1056">
        <v>14</v>
      </c>
      <c r="H1056">
        <v>5</v>
      </c>
      <c r="I1056">
        <v>0</v>
      </c>
      <c r="J1056">
        <v>0.36</v>
      </c>
      <c r="K1056">
        <v>0</v>
      </c>
      <c r="L1056">
        <v>0</v>
      </c>
      <c r="M1056">
        <v>0</v>
      </c>
      <c r="N1056">
        <v>0</v>
      </c>
      <c r="O1056">
        <v>0</v>
      </c>
      <c r="P1056">
        <v>0</v>
      </c>
      <c r="Q1056">
        <v>0</v>
      </c>
      <c r="R1056">
        <v>0</v>
      </c>
      <c r="S1056">
        <v>0</v>
      </c>
      <c r="T1056">
        <v>0</v>
      </c>
      <c r="U1056">
        <v>0</v>
      </c>
      <c r="V1056">
        <v>0</v>
      </c>
      <c r="W1056">
        <v>0</v>
      </c>
      <c r="X1056">
        <v>0</v>
      </c>
      <c r="Y1056">
        <v>0</v>
      </c>
      <c r="Z1056">
        <v>0</v>
      </c>
      <c r="AA1056" s="86">
        <f>AVERAGEIFS($C$2:C1056, $B$2:B1056, B1056)</f>
        <v>10.576923076923077</v>
      </c>
      <c r="AB1056" s="86">
        <f>AVERAGEIFS($I$2:I1056, $B$2:B1056, B1056)</f>
        <v>0.47307692307692312</v>
      </c>
      <c r="AC1056" s="86">
        <f>AVERAGEIFS($J$2:J1056, $B$2:B1056, B1056)</f>
        <v>0.49903846153846154</v>
      </c>
      <c r="AD1056" s="86">
        <f>AVERAGEIFS($D$2:D1056, $B$2:B1056, B1056)</f>
        <v>0.44230769230769229</v>
      </c>
    </row>
    <row r="1057" spans="1:30" x14ac:dyDescent="0.25">
      <c r="A1057" s="85">
        <v>46159</v>
      </c>
      <c r="B1057" t="s">
        <v>140</v>
      </c>
      <c r="C1057">
        <v>4</v>
      </c>
      <c r="D1057" s="86">
        <v>0</v>
      </c>
      <c r="E1057">
        <v>3</v>
      </c>
      <c r="F1057">
        <v>0</v>
      </c>
      <c r="G1057">
        <v>14</v>
      </c>
      <c r="H1057">
        <v>5</v>
      </c>
      <c r="I1057">
        <v>0</v>
      </c>
      <c r="J1057">
        <v>0.36</v>
      </c>
      <c r="K1057">
        <v>0</v>
      </c>
      <c r="L1057">
        <v>0</v>
      </c>
      <c r="M1057">
        <v>0</v>
      </c>
      <c r="N1057">
        <v>0</v>
      </c>
      <c r="O1057">
        <v>0</v>
      </c>
      <c r="P1057">
        <v>0</v>
      </c>
      <c r="Q1057">
        <v>0</v>
      </c>
      <c r="R1057">
        <v>0</v>
      </c>
      <c r="S1057">
        <v>0</v>
      </c>
      <c r="T1057">
        <v>0</v>
      </c>
      <c r="U1057">
        <v>0</v>
      </c>
      <c r="V1057">
        <v>0</v>
      </c>
      <c r="W1057">
        <v>0</v>
      </c>
      <c r="X1057">
        <v>0</v>
      </c>
      <c r="Y1057">
        <v>0</v>
      </c>
      <c r="Z1057">
        <v>0</v>
      </c>
      <c r="AA1057" s="86">
        <f>AVERAGEIFS($C$2:C1057, $B$2:B1057, B1057)</f>
        <v>8.9166666666666661</v>
      </c>
      <c r="AB1057" s="86">
        <f>AVERAGEIFS($I$2:I1057, $B$2:B1057, B1057)</f>
        <v>0.41041666666666671</v>
      </c>
      <c r="AC1057" s="86">
        <f>AVERAGEIFS($J$2:J1057, $B$2:B1057, B1057)</f>
        <v>0.46624999999999983</v>
      </c>
      <c r="AD1057" s="86">
        <f>AVERAGEIFS($D$2:D1057, $B$2:B1057, B1057)</f>
        <v>0.41666666666666669</v>
      </c>
    </row>
    <row r="1058" spans="1:30" x14ac:dyDescent="0.25">
      <c r="A1058" s="85">
        <v>46159</v>
      </c>
      <c r="B1058" t="s">
        <v>154</v>
      </c>
      <c r="C1058">
        <v>3</v>
      </c>
      <c r="D1058" s="86">
        <v>0</v>
      </c>
      <c r="E1058">
        <v>3</v>
      </c>
      <c r="F1058">
        <v>0</v>
      </c>
      <c r="G1058">
        <v>14</v>
      </c>
      <c r="H1058">
        <v>5</v>
      </c>
      <c r="I1058">
        <v>0</v>
      </c>
      <c r="J1058">
        <v>0.36</v>
      </c>
      <c r="K1058">
        <v>0</v>
      </c>
      <c r="L1058">
        <v>0</v>
      </c>
      <c r="M1058">
        <v>0</v>
      </c>
      <c r="N1058">
        <v>0</v>
      </c>
      <c r="O1058">
        <v>0</v>
      </c>
      <c r="P1058">
        <v>0</v>
      </c>
      <c r="Q1058">
        <v>0</v>
      </c>
      <c r="R1058">
        <v>0</v>
      </c>
      <c r="S1058">
        <v>0</v>
      </c>
      <c r="T1058">
        <v>0</v>
      </c>
      <c r="U1058">
        <v>0</v>
      </c>
      <c r="V1058">
        <v>0</v>
      </c>
      <c r="W1058">
        <v>0</v>
      </c>
      <c r="X1058">
        <v>0</v>
      </c>
      <c r="Y1058">
        <v>0</v>
      </c>
      <c r="Z1058">
        <v>0</v>
      </c>
      <c r="AA1058" s="86">
        <f>AVERAGEIFS($C$2:C1058, $B$2:B1058, B1058)</f>
        <v>12.538461538461538</v>
      </c>
      <c r="AB1058" s="86">
        <f>AVERAGEIFS($I$2:I1058, $B$2:B1058, B1058)</f>
        <v>0.47692307692307695</v>
      </c>
      <c r="AC1058" s="86">
        <f>AVERAGEIFS($J$2:J1058, $B$2:B1058, B1058)</f>
        <v>0.50076923076923063</v>
      </c>
      <c r="AD1058" s="86">
        <f>AVERAGEIFS($D$2:D1058, $B$2:B1058, B1058)</f>
        <v>0.53846153846153844</v>
      </c>
    </row>
    <row r="1059" spans="1:30" x14ac:dyDescent="0.25">
      <c r="A1059" s="85">
        <v>46159</v>
      </c>
      <c r="B1059" t="s">
        <v>15</v>
      </c>
      <c r="C1059">
        <v>25</v>
      </c>
      <c r="D1059" s="86">
        <v>1</v>
      </c>
      <c r="E1059">
        <v>5</v>
      </c>
      <c r="F1059">
        <v>3</v>
      </c>
      <c r="G1059">
        <v>19</v>
      </c>
      <c r="H1059">
        <v>10</v>
      </c>
      <c r="I1059">
        <v>0.6</v>
      </c>
      <c r="J1059">
        <v>0.53</v>
      </c>
      <c r="K1059">
        <v>0</v>
      </c>
      <c r="L1059">
        <v>0</v>
      </c>
      <c r="M1059">
        <v>0</v>
      </c>
      <c r="N1059">
        <v>1</v>
      </c>
      <c r="O1059">
        <v>0</v>
      </c>
      <c r="P1059">
        <v>1</v>
      </c>
      <c r="Q1059">
        <v>0</v>
      </c>
      <c r="R1059">
        <v>0</v>
      </c>
      <c r="S1059">
        <v>0</v>
      </c>
      <c r="T1059">
        <v>0</v>
      </c>
      <c r="U1059">
        <v>0</v>
      </c>
      <c r="V1059">
        <v>0</v>
      </c>
      <c r="W1059">
        <v>0</v>
      </c>
      <c r="X1059">
        <v>0</v>
      </c>
      <c r="Y1059">
        <v>1</v>
      </c>
      <c r="Z1059">
        <v>0</v>
      </c>
      <c r="AA1059" s="86">
        <f>AVERAGEIFS($C$2:C1059, $B$2:B1059, B1059)</f>
        <v>22.872340425531913</v>
      </c>
      <c r="AB1059" s="86">
        <f>AVERAGEIFS($I$2:I1059, $B$2:B1059, B1059)</f>
        <v>0.46170212765957452</v>
      </c>
      <c r="AC1059" s="86">
        <f>AVERAGEIFS($J$2:J1059, $B$2:B1059, B1059)</f>
        <v>0.48872340425531913</v>
      </c>
      <c r="AD1059" s="86">
        <f>AVERAGEIFS($D$2:D1059, $B$2:B1059, B1059)</f>
        <v>0.40425531914893614</v>
      </c>
    </row>
    <row r="1060" spans="1:30" x14ac:dyDescent="0.25">
      <c r="A1060" s="85">
        <v>46159</v>
      </c>
      <c r="B1060" t="s">
        <v>25</v>
      </c>
      <c r="C1060">
        <v>24</v>
      </c>
      <c r="D1060" s="86">
        <v>1</v>
      </c>
      <c r="E1060">
        <v>5</v>
      </c>
      <c r="F1060">
        <v>3</v>
      </c>
      <c r="G1060">
        <v>19</v>
      </c>
      <c r="H1060">
        <v>10</v>
      </c>
      <c r="I1060">
        <v>0.6</v>
      </c>
      <c r="J1060">
        <v>0.53</v>
      </c>
      <c r="K1060">
        <v>0</v>
      </c>
      <c r="L1060">
        <v>0</v>
      </c>
      <c r="M1060">
        <v>0</v>
      </c>
      <c r="N1060">
        <v>1</v>
      </c>
      <c r="O1060">
        <v>0</v>
      </c>
      <c r="P1060">
        <v>1</v>
      </c>
      <c r="Q1060">
        <v>0</v>
      </c>
      <c r="R1060">
        <v>0</v>
      </c>
      <c r="S1060">
        <v>0</v>
      </c>
      <c r="T1060">
        <v>0</v>
      </c>
      <c r="U1060">
        <v>0</v>
      </c>
      <c r="V1060">
        <v>0</v>
      </c>
      <c r="W1060">
        <v>0</v>
      </c>
      <c r="X1060">
        <v>0</v>
      </c>
      <c r="Y1060">
        <v>1</v>
      </c>
      <c r="Z1060">
        <v>0</v>
      </c>
      <c r="AA1060" s="86">
        <f>AVERAGEIFS($C$2:C1060, $B$2:B1060, B1060)</f>
        <v>18.625</v>
      </c>
      <c r="AB1060" s="86">
        <f>AVERAGEIFS($I$2:I1060, $B$2:B1060, B1060)</f>
        <v>0.578125</v>
      </c>
      <c r="AC1060" s="86">
        <f>AVERAGEIFS($J$2:J1060, $B$2:B1060, B1060)</f>
        <v>0.52718750000000003</v>
      </c>
      <c r="AD1060" s="86">
        <f>AVERAGEIFS($D$2:D1060, $B$2:B1060, B1060)</f>
        <v>0.59375</v>
      </c>
    </row>
    <row r="1061" spans="1:30" x14ac:dyDescent="0.25">
      <c r="A1061" s="85">
        <v>46159</v>
      </c>
      <c r="B1061" t="s">
        <v>35</v>
      </c>
      <c r="C1061">
        <v>17</v>
      </c>
      <c r="D1061" s="86">
        <v>1</v>
      </c>
      <c r="E1061">
        <v>5</v>
      </c>
      <c r="F1061">
        <v>3</v>
      </c>
      <c r="G1061">
        <v>19</v>
      </c>
      <c r="H1061">
        <v>10</v>
      </c>
      <c r="I1061">
        <v>0.6</v>
      </c>
      <c r="J1061">
        <v>0.53</v>
      </c>
      <c r="K1061">
        <v>0</v>
      </c>
      <c r="L1061">
        <v>0</v>
      </c>
      <c r="M1061">
        <v>0</v>
      </c>
      <c r="N1061">
        <v>1</v>
      </c>
      <c r="O1061">
        <v>0</v>
      </c>
      <c r="P1061">
        <v>1</v>
      </c>
      <c r="Q1061">
        <v>0</v>
      </c>
      <c r="R1061">
        <v>0</v>
      </c>
      <c r="S1061">
        <v>0</v>
      </c>
      <c r="T1061">
        <v>0</v>
      </c>
      <c r="U1061">
        <v>0</v>
      </c>
      <c r="V1061">
        <v>0</v>
      </c>
      <c r="W1061">
        <v>0</v>
      </c>
      <c r="X1061">
        <v>0</v>
      </c>
      <c r="Y1061">
        <v>1</v>
      </c>
      <c r="Z1061">
        <v>0</v>
      </c>
      <c r="AA1061" s="86">
        <f>AVERAGEIFS($C$2:C1061, $B$2:B1061, B1061)</f>
        <v>12.378378378378379</v>
      </c>
      <c r="AB1061" s="86">
        <f>AVERAGEIFS($I$2:I1061, $B$2:B1061, B1061)</f>
        <v>0.52837837837837842</v>
      </c>
      <c r="AC1061" s="86">
        <f>AVERAGEIFS($J$2:J1061, $B$2:B1061, B1061)</f>
        <v>0.50864864864864878</v>
      </c>
      <c r="AD1061" s="86">
        <f>AVERAGEIFS($D$2:D1061, $B$2:B1061, B1061)</f>
        <v>0.6216216216216216</v>
      </c>
    </row>
    <row r="1062" spans="1:30" x14ac:dyDescent="0.25">
      <c r="A1062" s="85">
        <v>46159</v>
      </c>
      <c r="B1062" t="s">
        <v>19</v>
      </c>
      <c r="C1062">
        <v>14</v>
      </c>
      <c r="D1062" s="86">
        <v>1</v>
      </c>
      <c r="E1062">
        <v>5</v>
      </c>
      <c r="F1062">
        <v>3</v>
      </c>
      <c r="G1062">
        <v>19</v>
      </c>
      <c r="H1062">
        <v>10</v>
      </c>
      <c r="I1062">
        <v>0.6</v>
      </c>
      <c r="J1062">
        <v>0.53</v>
      </c>
      <c r="K1062">
        <v>0</v>
      </c>
      <c r="L1062">
        <v>0</v>
      </c>
      <c r="M1062">
        <v>0</v>
      </c>
      <c r="N1062">
        <v>1</v>
      </c>
      <c r="O1062">
        <v>0</v>
      </c>
      <c r="P1062">
        <v>1</v>
      </c>
      <c r="Q1062">
        <v>0</v>
      </c>
      <c r="R1062">
        <v>0</v>
      </c>
      <c r="S1062">
        <v>0</v>
      </c>
      <c r="T1062">
        <v>0</v>
      </c>
      <c r="U1062">
        <v>0</v>
      </c>
      <c r="V1062">
        <v>0</v>
      </c>
      <c r="W1062">
        <v>0</v>
      </c>
      <c r="X1062">
        <v>0</v>
      </c>
      <c r="Y1062">
        <v>1</v>
      </c>
      <c r="Z1062">
        <v>0</v>
      </c>
      <c r="AA1062" s="86">
        <f>AVERAGEIFS($C$2:C1062, $B$2:B1062, B1062)</f>
        <v>12.27027027027027</v>
      </c>
      <c r="AB1062" s="86">
        <f>AVERAGEIFS($I$2:I1062, $B$2:B1062, B1062)</f>
        <v>0.45270270270270269</v>
      </c>
      <c r="AC1062" s="86">
        <f>AVERAGEIFS($J$2:J1062, $B$2:B1062, B1062)</f>
        <v>0.46729729729729735</v>
      </c>
      <c r="AD1062" s="86">
        <f>AVERAGEIFS($D$2:D1062, $B$2:B1062, B1062)</f>
        <v>0.43243243243243246</v>
      </c>
    </row>
    <row r="1063" spans="1:30" x14ac:dyDescent="0.25">
      <c r="A1063" s="85">
        <v>46159</v>
      </c>
      <c r="B1063" t="s">
        <v>26</v>
      </c>
      <c r="C1063">
        <v>8</v>
      </c>
      <c r="D1063" s="86">
        <v>1</v>
      </c>
      <c r="E1063">
        <v>5</v>
      </c>
      <c r="F1063">
        <v>3</v>
      </c>
      <c r="G1063">
        <v>19</v>
      </c>
      <c r="H1063">
        <v>10</v>
      </c>
      <c r="I1063">
        <v>0.6</v>
      </c>
      <c r="J1063">
        <v>0.53</v>
      </c>
      <c r="K1063">
        <v>0</v>
      </c>
      <c r="L1063">
        <v>0</v>
      </c>
      <c r="M1063">
        <v>0</v>
      </c>
      <c r="N1063">
        <v>1</v>
      </c>
      <c r="O1063">
        <v>0</v>
      </c>
      <c r="P1063">
        <v>1</v>
      </c>
      <c r="Q1063">
        <v>0</v>
      </c>
      <c r="R1063">
        <v>0</v>
      </c>
      <c r="S1063">
        <v>0</v>
      </c>
      <c r="T1063">
        <v>0</v>
      </c>
      <c r="U1063">
        <v>0</v>
      </c>
      <c r="V1063">
        <v>0</v>
      </c>
      <c r="W1063">
        <v>0</v>
      </c>
      <c r="X1063">
        <v>0</v>
      </c>
      <c r="Y1063">
        <v>1</v>
      </c>
      <c r="Z1063">
        <v>0</v>
      </c>
      <c r="AA1063" s="86">
        <f>AVERAGEIFS($C$2:C1063, $B$2:B1063, B1063)</f>
        <v>13.375</v>
      </c>
      <c r="AB1063" s="86">
        <f>AVERAGEIFS($I$2:I1063, $B$2:B1063, B1063)</f>
        <v>0.63624999999999998</v>
      </c>
      <c r="AC1063" s="86">
        <f>AVERAGEIFS($J$2:J1063, $B$2:B1063, B1063)</f>
        <v>0.55500000000000005</v>
      </c>
      <c r="AD1063" s="86">
        <f>AVERAGEIFS($D$2:D1063, $B$2:B1063, B1063)</f>
        <v>0.7</v>
      </c>
    </row>
    <row r="1064" spans="1:30" x14ac:dyDescent="0.25">
      <c r="A1064" s="85">
        <v>46159</v>
      </c>
      <c r="B1064" t="s">
        <v>71</v>
      </c>
      <c r="C1064">
        <v>8</v>
      </c>
      <c r="D1064" s="86">
        <v>1</v>
      </c>
      <c r="E1064">
        <v>5</v>
      </c>
      <c r="F1064">
        <v>3</v>
      </c>
      <c r="G1064">
        <v>19</v>
      </c>
      <c r="H1064">
        <v>10</v>
      </c>
      <c r="I1064">
        <v>0.6</v>
      </c>
      <c r="J1064">
        <v>0.53</v>
      </c>
      <c r="K1064">
        <v>0</v>
      </c>
      <c r="L1064">
        <v>0</v>
      </c>
      <c r="M1064">
        <v>0</v>
      </c>
      <c r="N1064">
        <v>1</v>
      </c>
      <c r="O1064">
        <v>0</v>
      </c>
      <c r="P1064">
        <v>1</v>
      </c>
      <c r="Q1064">
        <v>0</v>
      </c>
      <c r="R1064">
        <v>0</v>
      </c>
      <c r="S1064">
        <v>0</v>
      </c>
      <c r="T1064">
        <v>0</v>
      </c>
      <c r="U1064">
        <v>0</v>
      </c>
      <c r="V1064">
        <v>0</v>
      </c>
      <c r="W1064">
        <v>0</v>
      </c>
      <c r="X1064">
        <v>0</v>
      </c>
      <c r="Y1064">
        <v>1</v>
      </c>
      <c r="Z1064">
        <v>0</v>
      </c>
      <c r="AA1064" s="86">
        <f>AVERAGEIFS($C$2:C1064, $B$2:B1064, B1064)</f>
        <v>8</v>
      </c>
      <c r="AB1064" s="86">
        <f>AVERAGEIFS($I$2:I1064, $B$2:B1064, B1064)</f>
        <v>0.6</v>
      </c>
      <c r="AC1064" s="86">
        <f>AVERAGEIFS($J$2:J1064, $B$2:B1064, B1064)</f>
        <v>0.53</v>
      </c>
      <c r="AD1064" s="86">
        <f>AVERAGEIFS($D$2:D1064, $B$2:B1064, B1064)</f>
        <v>1</v>
      </c>
    </row>
    <row r="1065" spans="1:30" x14ac:dyDescent="0.25">
      <c r="A1065" s="85">
        <v>46159</v>
      </c>
      <c r="B1065" t="s">
        <v>14</v>
      </c>
      <c r="C1065">
        <v>6</v>
      </c>
      <c r="D1065" s="86">
        <v>1</v>
      </c>
      <c r="E1065">
        <v>5</v>
      </c>
      <c r="F1065">
        <v>3</v>
      </c>
      <c r="G1065">
        <v>19</v>
      </c>
      <c r="H1065">
        <v>10</v>
      </c>
      <c r="I1065">
        <v>0.6</v>
      </c>
      <c r="J1065">
        <v>0.53</v>
      </c>
      <c r="K1065">
        <v>0</v>
      </c>
      <c r="L1065">
        <v>0</v>
      </c>
      <c r="M1065">
        <v>0</v>
      </c>
      <c r="N1065">
        <v>1</v>
      </c>
      <c r="O1065">
        <v>0</v>
      </c>
      <c r="P1065">
        <v>1</v>
      </c>
      <c r="Q1065">
        <v>0</v>
      </c>
      <c r="R1065">
        <v>0</v>
      </c>
      <c r="S1065">
        <v>0</v>
      </c>
      <c r="T1065">
        <v>0</v>
      </c>
      <c r="U1065">
        <v>0</v>
      </c>
      <c r="V1065">
        <v>0</v>
      </c>
      <c r="W1065">
        <v>0</v>
      </c>
      <c r="X1065">
        <v>0</v>
      </c>
      <c r="Y1065">
        <v>1</v>
      </c>
      <c r="Z1065">
        <v>0</v>
      </c>
      <c r="AA1065" s="86">
        <f>AVERAGEIFS($C$2:C1065, $B$2:B1065, B1065)</f>
        <v>23.64</v>
      </c>
      <c r="AB1065" s="86">
        <f>AVERAGEIFS($I$2:I1065, $B$2:B1065, B1065)</f>
        <v>0.48499999999999999</v>
      </c>
      <c r="AC1065" s="86">
        <f>AVERAGEIFS($J$2:J1065, $B$2:B1065, B1065)</f>
        <v>0.48720000000000008</v>
      </c>
      <c r="AD1065" s="86">
        <f>AVERAGEIFS($D$2:D1065, $B$2:B1065, B1065)</f>
        <v>0.48</v>
      </c>
    </row>
    <row r="1066" spans="1:30" x14ac:dyDescent="0.25">
      <c r="A1066" s="85">
        <v>46159</v>
      </c>
      <c r="B1066" t="s">
        <v>148</v>
      </c>
      <c r="C1066">
        <v>6</v>
      </c>
      <c r="D1066" s="86">
        <v>1</v>
      </c>
      <c r="E1066">
        <v>5</v>
      </c>
      <c r="F1066">
        <v>3</v>
      </c>
      <c r="G1066">
        <v>19</v>
      </c>
      <c r="H1066">
        <v>10</v>
      </c>
      <c r="I1066">
        <v>0.6</v>
      </c>
      <c r="J1066">
        <v>0.53</v>
      </c>
      <c r="K1066">
        <v>0</v>
      </c>
      <c r="L1066">
        <v>0</v>
      </c>
      <c r="M1066">
        <v>0</v>
      </c>
      <c r="N1066">
        <v>1</v>
      </c>
      <c r="O1066">
        <v>0</v>
      </c>
      <c r="P1066">
        <v>1</v>
      </c>
      <c r="Q1066">
        <v>0</v>
      </c>
      <c r="R1066">
        <v>0</v>
      </c>
      <c r="S1066">
        <v>0</v>
      </c>
      <c r="T1066">
        <v>0</v>
      </c>
      <c r="U1066">
        <v>0</v>
      </c>
      <c r="V1066">
        <v>0</v>
      </c>
      <c r="W1066">
        <v>0</v>
      </c>
      <c r="X1066">
        <v>0</v>
      </c>
      <c r="Y1066">
        <v>1</v>
      </c>
      <c r="Z1066">
        <v>0</v>
      </c>
      <c r="AA1066" s="86">
        <f>AVERAGEIFS($C$2:C1066, $B$2:B1066, B1066)</f>
        <v>12.333333333333334</v>
      </c>
      <c r="AB1066" s="86">
        <f>AVERAGEIFS($I$2:I1066, $B$2:B1066, B1066)</f>
        <v>0.54861111111111116</v>
      </c>
      <c r="AC1066" s="86">
        <f>AVERAGEIFS($J$2:J1066, $B$2:B1066, B1066)</f>
        <v>0.52027777777777784</v>
      </c>
      <c r="AD1066" s="86">
        <f>AVERAGEIFS($D$2:D1066, $B$2:B1066, B1066)</f>
        <v>0.58333333333333337</v>
      </c>
    </row>
    <row r="1067" spans="1:30" x14ac:dyDescent="0.25">
      <c r="A1067" s="85">
        <v>46159</v>
      </c>
      <c r="B1067" t="s">
        <v>13</v>
      </c>
      <c r="C1067">
        <v>24</v>
      </c>
      <c r="D1067" s="86">
        <v>0</v>
      </c>
      <c r="E1067">
        <v>5</v>
      </c>
      <c r="F1067">
        <v>2</v>
      </c>
      <c r="G1067">
        <v>19</v>
      </c>
      <c r="H1067">
        <v>9</v>
      </c>
      <c r="I1067">
        <v>0.4</v>
      </c>
      <c r="J1067">
        <v>0.47</v>
      </c>
      <c r="K1067">
        <v>1</v>
      </c>
      <c r="L1067">
        <v>0</v>
      </c>
      <c r="M1067">
        <v>0</v>
      </c>
      <c r="N1067">
        <v>0</v>
      </c>
      <c r="O1067">
        <v>0</v>
      </c>
      <c r="P1067">
        <v>0</v>
      </c>
      <c r="Q1067">
        <v>1</v>
      </c>
      <c r="R1067">
        <v>0</v>
      </c>
      <c r="S1067">
        <v>0</v>
      </c>
      <c r="T1067">
        <v>0</v>
      </c>
      <c r="U1067">
        <v>0</v>
      </c>
      <c r="V1067">
        <v>0</v>
      </c>
      <c r="W1067">
        <v>0</v>
      </c>
      <c r="X1067">
        <v>0</v>
      </c>
      <c r="Y1067">
        <v>0</v>
      </c>
      <c r="Z1067">
        <v>0</v>
      </c>
      <c r="AA1067" s="86">
        <f>AVERAGEIFS($C$2:C1067, $B$2:B1067, B1067)</f>
        <v>25.942028985507246</v>
      </c>
      <c r="AB1067" s="86">
        <f>AVERAGEIFS($I$2:I1067, $B$2:B1067, B1067)</f>
        <v>0.56521739130434778</v>
      </c>
      <c r="AC1067" s="86">
        <f>AVERAGEIFS($J$2:J1067, $B$2:B1067, B1067)</f>
        <v>0.54188405797101447</v>
      </c>
      <c r="AD1067" s="86">
        <f>AVERAGEIFS($D$2:D1067, $B$2:B1067, B1067)</f>
        <v>0.60869565217391308</v>
      </c>
    </row>
    <row r="1068" spans="1:30" x14ac:dyDescent="0.25">
      <c r="A1068" s="85">
        <v>46159</v>
      </c>
      <c r="B1068" t="s">
        <v>5</v>
      </c>
      <c r="C1068">
        <v>20</v>
      </c>
      <c r="D1068" s="86">
        <v>0</v>
      </c>
      <c r="E1068">
        <v>5</v>
      </c>
      <c r="F1068">
        <v>2</v>
      </c>
      <c r="G1068">
        <v>19</v>
      </c>
      <c r="H1068">
        <v>9</v>
      </c>
      <c r="I1068">
        <v>0.4</v>
      </c>
      <c r="J1068">
        <v>0.47</v>
      </c>
      <c r="K1068">
        <v>1</v>
      </c>
      <c r="L1068">
        <v>0</v>
      </c>
      <c r="M1068">
        <v>0</v>
      </c>
      <c r="N1068">
        <v>0</v>
      </c>
      <c r="O1068">
        <v>0</v>
      </c>
      <c r="P1068">
        <v>0</v>
      </c>
      <c r="Q1068">
        <v>1</v>
      </c>
      <c r="R1068">
        <v>0</v>
      </c>
      <c r="S1068">
        <v>0</v>
      </c>
      <c r="T1068">
        <v>0</v>
      </c>
      <c r="U1068">
        <v>0</v>
      </c>
      <c r="V1068">
        <v>0</v>
      </c>
      <c r="W1068">
        <v>0</v>
      </c>
      <c r="X1068">
        <v>0</v>
      </c>
      <c r="Y1068">
        <v>0</v>
      </c>
      <c r="Z1068">
        <v>0</v>
      </c>
      <c r="AA1068" s="86">
        <f>AVERAGEIFS($C$2:C1068, $B$2:B1068, B1068)</f>
        <v>22.8</v>
      </c>
      <c r="AB1068" s="86">
        <f>AVERAGEIFS($I$2:I1068, $B$2:B1068, B1068)</f>
        <v>0.45799999999999996</v>
      </c>
      <c r="AC1068" s="86">
        <f>AVERAGEIFS($J$2:J1068, $B$2:B1068, B1068)</f>
        <v>0.48080000000000001</v>
      </c>
      <c r="AD1068" s="86">
        <f>AVERAGEIFS($D$2:D1068, $B$2:B1068, B1068)</f>
        <v>0.44</v>
      </c>
    </row>
    <row r="1069" spans="1:30" x14ac:dyDescent="0.25">
      <c r="A1069" s="85">
        <v>46159</v>
      </c>
      <c r="B1069" t="s">
        <v>140</v>
      </c>
      <c r="C1069">
        <v>15</v>
      </c>
      <c r="D1069" s="86">
        <v>0</v>
      </c>
      <c r="E1069">
        <v>5</v>
      </c>
      <c r="F1069">
        <v>2</v>
      </c>
      <c r="G1069">
        <v>19</v>
      </c>
      <c r="H1069">
        <v>9</v>
      </c>
      <c r="I1069">
        <v>0.4</v>
      </c>
      <c r="J1069">
        <v>0.47</v>
      </c>
      <c r="K1069">
        <v>1</v>
      </c>
      <c r="L1069">
        <v>0</v>
      </c>
      <c r="M1069">
        <v>0</v>
      </c>
      <c r="N1069">
        <v>0</v>
      </c>
      <c r="O1069">
        <v>0</v>
      </c>
      <c r="P1069">
        <v>0</v>
      </c>
      <c r="Q1069">
        <v>1</v>
      </c>
      <c r="R1069">
        <v>0</v>
      </c>
      <c r="S1069">
        <v>0</v>
      </c>
      <c r="T1069">
        <v>0</v>
      </c>
      <c r="U1069">
        <v>0</v>
      </c>
      <c r="V1069">
        <v>0</v>
      </c>
      <c r="W1069">
        <v>0</v>
      </c>
      <c r="X1069">
        <v>0</v>
      </c>
      <c r="Y1069">
        <v>0</v>
      </c>
      <c r="Z1069">
        <v>0</v>
      </c>
      <c r="AA1069" s="86">
        <f>AVERAGEIFS($C$2:C1069, $B$2:B1069, B1069)</f>
        <v>9.16</v>
      </c>
      <c r="AB1069" s="86">
        <f>AVERAGEIFS($I$2:I1069, $B$2:B1069, B1069)</f>
        <v>0.41000000000000009</v>
      </c>
      <c r="AC1069" s="86">
        <f>AVERAGEIFS($J$2:J1069, $B$2:B1069, B1069)</f>
        <v>0.46639999999999987</v>
      </c>
      <c r="AD1069" s="86">
        <f>AVERAGEIFS($D$2:D1069, $B$2:B1069, B1069)</f>
        <v>0.4</v>
      </c>
    </row>
    <row r="1070" spans="1:30" x14ac:dyDescent="0.25">
      <c r="A1070" s="85">
        <v>46159</v>
      </c>
      <c r="B1070" t="s">
        <v>139</v>
      </c>
      <c r="C1070">
        <v>14</v>
      </c>
      <c r="D1070" s="86">
        <v>0</v>
      </c>
      <c r="E1070">
        <v>5</v>
      </c>
      <c r="F1070">
        <v>2</v>
      </c>
      <c r="G1070">
        <v>19</v>
      </c>
      <c r="H1070">
        <v>9</v>
      </c>
      <c r="I1070">
        <v>0.4</v>
      </c>
      <c r="J1070">
        <v>0.47</v>
      </c>
      <c r="K1070">
        <v>1</v>
      </c>
      <c r="L1070">
        <v>0</v>
      </c>
      <c r="M1070">
        <v>0</v>
      </c>
      <c r="N1070">
        <v>0</v>
      </c>
      <c r="O1070">
        <v>0</v>
      </c>
      <c r="P1070">
        <v>0</v>
      </c>
      <c r="Q1070">
        <v>1</v>
      </c>
      <c r="R1070">
        <v>0</v>
      </c>
      <c r="S1070">
        <v>0</v>
      </c>
      <c r="T1070">
        <v>0</v>
      </c>
      <c r="U1070">
        <v>0</v>
      </c>
      <c r="V1070">
        <v>0</v>
      </c>
      <c r="W1070">
        <v>0</v>
      </c>
      <c r="X1070">
        <v>0</v>
      </c>
      <c r="Y1070">
        <v>0</v>
      </c>
      <c r="Z1070">
        <v>0</v>
      </c>
      <c r="AA1070" s="86">
        <f>AVERAGEIFS($C$2:C1070, $B$2:B1070, B1070)</f>
        <v>10.782608695652174</v>
      </c>
      <c r="AB1070" s="86">
        <f>AVERAGEIFS($I$2:I1070, $B$2:B1070, B1070)</f>
        <v>0.43260869565217386</v>
      </c>
      <c r="AC1070" s="86">
        <f>AVERAGEIFS($J$2:J1070, $B$2:B1070, B1070)</f>
        <v>0.49260869565217386</v>
      </c>
      <c r="AD1070" s="86">
        <f>AVERAGEIFS($D$2:D1070, $B$2:B1070, B1070)</f>
        <v>0.47826086956521741</v>
      </c>
    </row>
    <row r="1071" spans="1:30" x14ac:dyDescent="0.25">
      <c r="A1071" s="85">
        <v>46159</v>
      </c>
      <c r="B1071" t="s">
        <v>18</v>
      </c>
      <c r="C1071">
        <v>13</v>
      </c>
      <c r="D1071" s="86">
        <v>0</v>
      </c>
      <c r="E1071">
        <v>5</v>
      </c>
      <c r="F1071">
        <v>2</v>
      </c>
      <c r="G1071">
        <v>19</v>
      </c>
      <c r="H1071">
        <v>9</v>
      </c>
      <c r="I1071">
        <v>0.4</v>
      </c>
      <c r="J1071">
        <v>0.47</v>
      </c>
      <c r="K1071">
        <v>1</v>
      </c>
      <c r="L1071">
        <v>0</v>
      </c>
      <c r="M1071">
        <v>0</v>
      </c>
      <c r="N1071">
        <v>0</v>
      </c>
      <c r="O1071">
        <v>0</v>
      </c>
      <c r="P1071">
        <v>0</v>
      </c>
      <c r="Q1071">
        <v>1</v>
      </c>
      <c r="R1071">
        <v>0</v>
      </c>
      <c r="S1071">
        <v>0</v>
      </c>
      <c r="T1071">
        <v>0</v>
      </c>
      <c r="U1071">
        <v>0</v>
      </c>
      <c r="V1071">
        <v>0</v>
      </c>
      <c r="W1071">
        <v>0</v>
      </c>
      <c r="X1071">
        <v>0</v>
      </c>
      <c r="Y1071">
        <v>0</v>
      </c>
      <c r="Z1071">
        <v>0</v>
      </c>
      <c r="AA1071" s="86">
        <f>AVERAGEIFS($C$2:C1071, $B$2:B1071, B1071)</f>
        <v>26.914285714285715</v>
      </c>
      <c r="AB1071" s="86">
        <f>AVERAGEIFS($I$2:I1071, $B$2:B1071, B1071)</f>
        <v>0.47</v>
      </c>
      <c r="AC1071" s="86">
        <f>AVERAGEIFS($J$2:J1071, $B$2:B1071, B1071)</f>
        <v>0.48771428571428571</v>
      </c>
      <c r="AD1071" s="86">
        <f>AVERAGEIFS($D$2:D1071, $B$2:B1071, B1071)</f>
        <v>0.45714285714285713</v>
      </c>
    </row>
    <row r="1072" spans="1:30" x14ac:dyDescent="0.25">
      <c r="A1072" s="85">
        <v>46159</v>
      </c>
      <c r="B1072" t="s">
        <v>54</v>
      </c>
      <c r="C1072">
        <v>9</v>
      </c>
      <c r="D1072" s="86">
        <v>0</v>
      </c>
      <c r="E1072">
        <v>5</v>
      </c>
      <c r="F1072">
        <v>2</v>
      </c>
      <c r="G1072">
        <v>19</v>
      </c>
      <c r="H1072">
        <v>9</v>
      </c>
      <c r="I1072">
        <v>0.4</v>
      </c>
      <c r="J1072">
        <v>0.47</v>
      </c>
      <c r="K1072">
        <v>1</v>
      </c>
      <c r="L1072">
        <v>0</v>
      </c>
      <c r="M1072">
        <v>0</v>
      </c>
      <c r="N1072">
        <v>0</v>
      </c>
      <c r="O1072">
        <v>0</v>
      </c>
      <c r="P1072">
        <v>0</v>
      </c>
      <c r="Q1072">
        <v>1</v>
      </c>
      <c r="R1072">
        <v>0</v>
      </c>
      <c r="S1072">
        <v>0</v>
      </c>
      <c r="T1072">
        <v>0</v>
      </c>
      <c r="U1072">
        <v>0</v>
      </c>
      <c r="V1072">
        <v>0</v>
      </c>
      <c r="W1072">
        <v>0</v>
      </c>
      <c r="X1072">
        <v>0</v>
      </c>
      <c r="Y1072">
        <v>0</v>
      </c>
      <c r="Z1072">
        <v>0</v>
      </c>
      <c r="AA1072" s="86">
        <f>AVERAGEIFS($C$2:C1072, $B$2:B1072, B1072)</f>
        <v>18.5</v>
      </c>
      <c r="AB1072" s="86">
        <f>AVERAGEIFS($I$2:I1072, $B$2:B1072, B1072)</f>
        <v>0.54999999999999993</v>
      </c>
      <c r="AC1072" s="86">
        <f>AVERAGEIFS($J$2:J1072, $B$2:B1072, B1072)</f>
        <v>0.55249999999999999</v>
      </c>
      <c r="AD1072" s="86">
        <f>AVERAGEIFS($D$2:D1072, $B$2:B1072, B1072)</f>
        <v>0.75</v>
      </c>
    </row>
    <row r="1073" spans="1:30" x14ac:dyDescent="0.25">
      <c r="A1073" s="85">
        <v>46159</v>
      </c>
      <c r="B1073" t="s">
        <v>29</v>
      </c>
      <c r="C1073">
        <v>7</v>
      </c>
      <c r="D1073" s="86">
        <v>0</v>
      </c>
      <c r="E1073">
        <v>5</v>
      </c>
      <c r="F1073">
        <v>2</v>
      </c>
      <c r="G1073">
        <v>19</v>
      </c>
      <c r="H1073">
        <v>9</v>
      </c>
      <c r="I1073">
        <v>0.4</v>
      </c>
      <c r="J1073">
        <v>0.47</v>
      </c>
      <c r="K1073">
        <v>1</v>
      </c>
      <c r="L1073">
        <v>0</v>
      </c>
      <c r="M1073">
        <v>0</v>
      </c>
      <c r="N1073">
        <v>0</v>
      </c>
      <c r="O1073">
        <v>0</v>
      </c>
      <c r="P1073">
        <v>0</v>
      </c>
      <c r="Q1073">
        <v>1</v>
      </c>
      <c r="R1073">
        <v>0</v>
      </c>
      <c r="S1073">
        <v>0</v>
      </c>
      <c r="T1073">
        <v>0</v>
      </c>
      <c r="U1073">
        <v>0</v>
      </c>
      <c r="V1073">
        <v>0</v>
      </c>
      <c r="W1073">
        <v>0</v>
      </c>
      <c r="X1073">
        <v>0</v>
      </c>
      <c r="Y1073">
        <v>0</v>
      </c>
      <c r="Z1073">
        <v>0</v>
      </c>
      <c r="AA1073" s="86">
        <f>AVERAGEIFS($C$2:C1073, $B$2:B1073, B1073)</f>
        <v>10.509433962264151</v>
      </c>
      <c r="AB1073" s="86">
        <f>AVERAGEIFS($I$2:I1073, $B$2:B1073, B1073)</f>
        <v>0.47169811320754718</v>
      </c>
      <c r="AC1073" s="86">
        <f>AVERAGEIFS($J$2:J1073, $B$2:B1073, B1073)</f>
        <v>0.49849056603773584</v>
      </c>
      <c r="AD1073" s="86">
        <f>AVERAGEIFS($D$2:D1073, $B$2:B1073, B1073)</f>
        <v>0.43396226415094341</v>
      </c>
    </row>
    <row r="1074" spans="1:30" x14ac:dyDescent="0.25">
      <c r="A1074" s="85">
        <v>46159</v>
      </c>
      <c r="B1074" t="s">
        <v>38</v>
      </c>
      <c r="C1074">
        <v>3</v>
      </c>
      <c r="D1074" s="86">
        <v>0</v>
      </c>
      <c r="E1074">
        <v>5</v>
      </c>
      <c r="F1074">
        <v>2</v>
      </c>
      <c r="G1074">
        <v>19</v>
      </c>
      <c r="H1074">
        <v>9</v>
      </c>
      <c r="I1074">
        <v>0.4</v>
      </c>
      <c r="J1074">
        <v>0.47</v>
      </c>
      <c r="K1074">
        <v>1</v>
      </c>
      <c r="L1074">
        <v>0</v>
      </c>
      <c r="M1074">
        <v>0</v>
      </c>
      <c r="N1074">
        <v>0</v>
      </c>
      <c r="O1074">
        <v>0</v>
      </c>
      <c r="P1074">
        <v>0</v>
      </c>
      <c r="Q1074">
        <v>1</v>
      </c>
      <c r="R1074">
        <v>0</v>
      </c>
      <c r="S1074">
        <v>0</v>
      </c>
      <c r="T1074">
        <v>0</v>
      </c>
      <c r="U1074">
        <v>0</v>
      </c>
      <c r="V1074">
        <v>0</v>
      </c>
      <c r="W1074">
        <v>0</v>
      </c>
      <c r="X1074">
        <v>0</v>
      </c>
      <c r="Y1074">
        <v>0</v>
      </c>
      <c r="Z1074">
        <v>0</v>
      </c>
      <c r="AA1074" s="86">
        <f>AVERAGEIFS($C$2:C1074, $B$2:B1074, B1074)</f>
        <v>7.8235294117647056</v>
      </c>
      <c r="AB1074" s="86">
        <f>AVERAGEIFS($I$2:I1074, $B$2:B1074, B1074)</f>
        <v>0.41176470588235298</v>
      </c>
      <c r="AC1074" s="86">
        <f>AVERAGEIFS($J$2:J1074, $B$2:B1074, B1074)</f>
        <v>0.45588235294117646</v>
      </c>
      <c r="AD1074" s="86">
        <f>AVERAGEIFS($D$2:D1074, $B$2:B1074, B1074)</f>
        <v>0.41176470588235292</v>
      </c>
    </row>
    <row r="1075" spans="1:30" x14ac:dyDescent="0.25">
      <c r="A1075" s="85">
        <v>46162</v>
      </c>
      <c r="B1075" t="s">
        <v>37</v>
      </c>
      <c r="C1075">
        <v>21</v>
      </c>
      <c r="D1075" s="86">
        <v>1</v>
      </c>
      <c r="E1075">
        <v>5</v>
      </c>
      <c r="F1075">
        <v>3</v>
      </c>
      <c r="G1075">
        <v>17</v>
      </c>
      <c r="H1075">
        <v>10</v>
      </c>
      <c r="I1075">
        <v>0.6</v>
      </c>
      <c r="J1075">
        <v>0.59</v>
      </c>
      <c r="K1075">
        <v>0</v>
      </c>
      <c r="L1075">
        <v>0</v>
      </c>
      <c r="M1075">
        <v>0</v>
      </c>
      <c r="N1075">
        <v>0</v>
      </c>
      <c r="O1075">
        <v>1</v>
      </c>
      <c r="P1075">
        <v>0</v>
      </c>
      <c r="Q1075">
        <v>0</v>
      </c>
      <c r="R1075">
        <v>0</v>
      </c>
      <c r="S1075">
        <v>0</v>
      </c>
      <c r="T1075">
        <v>0</v>
      </c>
      <c r="U1075">
        <v>0</v>
      </c>
      <c r="V1075">
        <v>0</v>
      </c>
      <c r="W1075">
        <v>0</v>
      </c>
      <c r="X1075">
        <v>0</v>
      </c>
      <c r="Y1075">
        <v>1</v>
      </c>
      <c r="Z1075">
        <v>1</v>
      </c>
      <c r="AA1075" s="86">
        <f>AVERAGEIFS($C$2:C1075, $B$2:B1075, B1075)</f>
        <v>19.59375</v>
      </c>
      <c r="AB1075" s="86">
        <f>AVERAGEIFS($I$2:I1075, $B$2:B1075, B1075)</f>
        <v>0.41874999999999996</v>
      </c>
      <c r="AC1075" s="86">
        <f>AVERAGEIFS($J$2:J1075, $B$2:B1075, B1075)</f>
        <v>0.453125</v>
      </c>
      <c r="AD1075" s="86">
        <f>AVERAGEIFS($D$2:D1075, $B$2:B1075, B1075)</f>
        <v>0.4375</v>
      </c>
    </row>
    <row r="1076" spans="1:30" x14ac:dyDescent="0.25">
      <c r="A1076" s="85">
        <v>46162</v>
      </c>
      <c r="B1076" t="s">
        <v>1</v>
      </c>
      <c r="C1076">
        <v>38</v>
      </c>
      <c r="D1076" s="86">
        <v>1</v>
      </c>
      <c r="E1076">
        <v>5</v>
      </c>
      <c r="F1076">
        <v>3</v>
      </c>
      <c r="G1076">
        <v>17</v>
      </c>
      <c r="H1076">
        <v>10</v>
      </c>
      <c r="I1076">
        <v>0.6</v>
      </c>
      <c r="J1076">
        <v>0.59</v>
      </c>
      <c r="K1076">
        <v>0</v>
      </c>
      <c r="L1076">
        <v>0</v>
      </c>
      <c r="M1076">
        <v>0</v>
      </c>
      <c r="N1076">
        <v>0</v>
      </c>
      <c r="O1076">
        <v>1</v>
      </c>
      <c r="P1076">
        <v>0</v>
      </c>
      <c r="Q1076">
        <v>0</v>
      </c>
      <c r="R1076">
        <v>0</v>
      </c>
      <c r="S1076">
        <v>0</v>
      </c>
      <c r="T1076">
        <v>0</v>
      </c>
      <c r="U1076">
        <v>0</v>
      </c>
      <c r="V1076">
        <v>0</v>
      </c>
      <c r="W1076">
        <v>0</v>
      </c>
      <c r="X1076">
        <v>0</v>
      </c>
      <c r="Y1076">
        <v>1</v>
      </c>
      <c r="Z1076">
        <v>1</v>
      </c>
      <c r="AA1076" s="86">
        <f>AVERAGEIFS($C$2:C1076, $B$2:B1076, B1076)</f>
        <v>24.785714285714285</v>
      </c>
      <c r="AB1076" s="86">
        <f>AVERAGEIFS($I$2:I1076, $B$2:B1076, B1076)</f>
        <v>0.53928571428571426</v>
      </c>
      <c r="AC1076" s="86">
        <f>AVERAGEIFS($J$2:J1076, $B$2:B1076, B1076)</f>
        <v>0.49928571428571428</v>
      </c>
      <c r="AD1076" s="86">
        <f>AVERAGEIFS($D$2:D1076, $B$2:B1076, B1076)</f>
        <v>0.6428571428571429</v>
      </c>
    </row>
    <row r="1077" spans="1:30" x14ac:dyDescent="0.25">
      <c r="A1077" s="85">
        <v>46162</v>
      </c>
      <c r="B1077" t="s">
        <v>70</v>
      </c>
      <c r="C1077">
        <v>17</v>
      </c>
      <c r="D1077" s="86">
        <v>1</v>
      </c>
      <c r="E1077">
        <v>5</v>
      </c>
      <c r="F1077">
        <v>3</v>
      </c>
      <c r="G1077">
        <v>17</v>
      </c>
      <c r="H1077">
        <v>10</v>
      </c>
      <c r="I1077">
        <v>0.6</v>
      </c>
      <c r="J1077">
        <v>0.59</v>
      </c>
      <c r="K1077">
        <v>0</v>
      </c>
      <c r="L1077">
        <v>0</v>
      </c>
      <c r="M1077">
        <v>0</v>
      </c>
      <c r="N1077">
        <v>0</v>
      </c>
      <c r="O1077">
        <v>1</v>
      </c>
      <c r="P1077">
        <v>0</v>
      </c>
      <c r="Q1077">
        <v>0</v>
      </c>
      <c r="R1077">
        <v>0</v>
      </c>
      <c r="S1077">
        <v>0</v>
      </c>
      <c r="T1077">
        <v>0</v>
      </c>
      <c r="U1077">
        <v>0</v>
      </c>
      <c r="V1077">
        <v>0</v>
      </c>
      <c r="W1077">
        <v>0</v>
      </c>
      <c r="X1077">
        <v>0</v>
      </c>
      <c r="Y1077">
        <v>1</v>
      </c>
      <c r="Z1077">
        <v>1</v>
      </c>
      <c r="AA1077" s="86">
        <f>AVERAGEIFS($C$2:C1077, $B$2:B1077, B1077)</f>
        <v>19.333333333333332</v>
      </c>
      <c r="AB1077" s="86">
        <f>AVERAGEIFS($I$2:I1077, $B$2:B1077, B1077)</f>
        <v>0.6</v>
      </c>
      <c r="AC1077" s="86">
        <f>AVERAGEIFS($J$2:J1077, $B$2:B1077, B1077)</f>
        <v>0.54500000000000004</v>
      </c>
      <c r="AD1077" s="86">
        <f>AVERAGEIFS($D$2:D1077, $B$2:B1077, B1077)</f>
        <v>0.66666666666666663</v>
      </c>
    </row>
    <row r="1078" spans="1:30" x14ac:dyDescent="0.25">
      <c r="A1078" s="85">
        <v>46162</v>
      </c>
      <c r="B1078" t="s">
        <v>29</v>
      </c>
      <c r="C1078">
        <v>13</v>
      </c>
      <c r="D1078" s="86">
        <v>1</v>
      </c>
      <c r="E1078">
        <v>5</v>
      </c>
      <c r="F1078">
        <v>3</v>
      </c>
      <c r="G1078">
        <v>17</v>
      </c>
      <c r="H1078">
        <v>10</v>
      </c>
      <c r="I1078">
        <v>0.6</v>
      </c>
      <c r="J1078">
        <v>0.59</v>
      </c>
      <c r="K1078">
        <v>0</v>
      </c>
      <c r="L1078">
        <v>0</v>
      </c>
      <c r="M1078">
        <v>0</v>
      </c>
      <c r="N1078">
        <v>0</v>
      </c>
      <c r="O1078">
        <v>1</v>
      </c>
      <c r="P1078">
        <v>0</v>
      </c>
      <c r="Q1078">
        <v>0</v>
      </c>
      <c r="R1078">
        <v>0</v>
      </c>
      <c r="S1078">
        <v>0</v>
      </c>
      <c r="T1078">
        <v>0</v>
      </c>
      <c r="U1078">
        <v>0</v>
      </c>
      <c r="V1078">
        <v>0</v>
      </c>
      <c r="W1078">
        <v>0</v>
      </c>
      <c r="X1078">
        <v>0</v>
      </c>
      <c r="Y1078">
        <v>1</v>
      </c>
      <c r="Z1078">
        <v>1</v>
      </c>
      <c r="AA1078" s="86">
        <f>AVERAGEIFS($C$2:C1078, $B$2:B1078, B1078)</f>
        <v>10.555555555555555</v>
      </c>
      <c r="AB1078" s="86">
        <f>AVERAGEIFS($I$2:I1078, $B$2:B1078, B1078)</f>
        <v>0.47407407407407409</v>
      </c>
      <c r="AC1078" s="86">
        <f>AVERAGEIFS($J$2:J1078, $B$2:B1078, B1078)</f>
        <v>0.50018518518518518</v>
      </c>
      <c r="AD1078" s="86">
        <f>AVERAGEIFS($D$2:D1078, $B$2:B1078, B1078)</f>
        <v>0.44444444444444442</v>
      </c>
    </row>
    <row r="1079" spans="1:30" x14ac:dyDescent="0.25">
      <c r="A1079" s="85">
        <v>46162</v>
      </c>
      <c r="B1079" t="s">
        <v>3</v>
      </c>
      <c r="C1079">
        <v>26</v>
      </c>
      <c r="D1079" s="86">
        <v>1</v>
      </c>
      <c r="E1079">
        <v>5</v>
      </c>
      <c r="F1079">
        <v>3</v>
      </c>
      <c r="G1079">
        <v>17</v>
      </c>
      <c r="H1079">
        <v>10</v>
      </c>
      <c r="I1079">
        <v>0.6</v>
      </c>
      <c r="J1079">
        <v>0.59</v>
      </c>
      <c r="K1079">
        <v>0</v>
      </c>
      <c r="L1079">
        <v>0</v>
      </c>
      <c r="M1079">
        <v>0</v>
      </c>
      <c r="N1079">
        <v>0</v>
      </c>
      <c r="O1079">
        <v>1</v>
      </c>
      <c r="P1079">
        <v>0</v>
      </c>
      <c r="Q1079">
        <v>0</v>
      </c>
      <c r="R1079">
        <v>0</v>
      </c>
      <c r="S1079">
        <v>0</v>
      </c>
      <c r="T1079">
        <v>0</v>
      </c>
      <c r="U1079">
        <v>0</v>
      </c>
      <c r="V1079">
        <v>0</v>
      </c>
      <c r="W1079">
        <v>0</v>
      </c>
      <c r="X1079">
        <v>0</v>
      </c>
      <c r="Y1079">
        <v>1</v>
      </c>
      <c r="Z1079">
        <v>1</v>
      </c>
      <c r="AA1079" s="86">
        <f>AVERAGEIFS($C$2:C1079, $B$2:B1079, B1079)</f>
        <v>23.272727272727273</v>
      </c>
      <c r="AB1079" s="86">
        <f>AVERAGEIFS($I$2:I1079, $B$2:B1079, B1079)</f>
        <v>0.50454545454545452</v>
      </c>
      <c r="AC1079" s="86">
        <f>AVERAGEIFS($J$2:J1079, $B$2:B1079, B1079)</f>
        <v>0.49909090909090903</v>
      </c>
      <c r="AD1079" s="86">
        <f>AVERAGEIFS($D$2:D1079, $B$2:B1079, B1079)</f>
        <v>0.63636363636363635</v>
      </c>
    </row>
    <row r="1080" spans="1:30" x14ac:dyDescent="0.25">
      <c r="A1080" s="85">
        <v>46162</v>
      </c>
      <c r="B1080" t="s">
        <v>141</v>
      </c>
      <c r="C1080">
        <v>15</v>
      </c>
      <c r="D1080" s="86">
        <v>1</v>
      </c>
      <c r="E1080">
        <v>5</v>
      </c>
      <c r="F1080">
        <v>3</v>
      </c>
      <c r="G1080">
        <v>17</v>
      </c>
      <c r="H1080">
        <v>10</v>
      </c>
      <c r="I1080">
        <v>0.6</v>
      </c>
      <c r="J1080">
        <v>0.59</v>
      </c>
      <c r="K1080">
        <v>0</v>
      </c>
      <c r="L1080">
        <v>0</v>
      </c>
      <c r="M1080">
        <v>0</v>
      </c>
      <c r="N1080">
        <v>0</v>
      </c>
      <c r="O1080">
        <v>1</v>
      </c>
      <c r="P1080">
        <v>0</v>
      </c>
      <c r="Q1080">
        <v>0</v>
      </c>
      <c r="R1080">
        <v>0</v>
      </c>
      <c r="S1080">
        <v>0</v>
      </c>
      <c r="T1080">
        <v>0</v>
      </c>
      <c r="U1080">
        <v>0</v>
      </c>
      <c r="V1080">
        <v>0</v>
      </c>
      <c r="W1080">
        <v>0</v>
      </c>
      <c r="X1080">
        <v>0</v>
      </c>
      <c r="Y1080">
        <v>1</v>
      </c>
      <c r="Z1080">
        <v>1</v>
      </c>
      <c r="AA1080" s="86">
        <f>AVERAGEIFS($C$2:C1080, $B$2:B1080, B1080)</f>
        <v>16.928571428571427</v>
      </c>
      <c r="AB1080" s="86">
        <f>AVERAGEIFS($I$2:I1080, $B$2:B1080, B1080)</f>
        <v>0.45714285714285713</v>
      </c>
      <c r="AC1080" s="86">
        <f>AVERAGEIFS($J$2:J1080, $B$2:B1080, B1080)</f>
        <v>0.48857142857142855</v>
      </c>
      <c r="AD1080" s="86">
        <f>AVERAGEIFS($D$2:D1080, $B$2:B1080, B1080)</f>
        <v>0.42857142857142855</v>
      </c>
    </row>
    <row r="1081" spans="1:30" x14ac:dyDescent="0.25">
      <c r="A1081" s="85">
        <v>46162</v>
      </c>
      <c r="B1081" t="s">
        <v>148</v>
      </c>
      <c r="C1081">
        <v>12</v>
      </c>
      <c r="D1081" s="86">
        <v>0</v>
      </c>
      <c r="E1081">
        <v>5</v>
      </c>
      <c r="F1081">
        <v>2</v>
      </c>
      <c r="G1081">
        <v>17</v>
      </c>
      <c r="H1081">
        <v>7</v>
      </c>
      <c r="I1081">
        <v>0.4</v>
      </c>
      <c r="J1081">
        <v>0.41</v>
      </c>
      <c r="K1081">
        <v>0</v>
      </c>
      <c r="L1081">
        <v>1</v>
      </c>
      <c r="M1081">
        <v>0</v>
      </c>
      <c r="N1081">
        <v>0</v>
      </c>
      <c r="O1081">
        <v>0</v>
      </c>
      <c r="P1081">
        <v>0</v>
      </c>
      <c r="Q1081">
        <v>0</v>
      </c>
      <c r="R1081">
        <v>0</v>
      </c>
      <c r="S1081">
        <v>0</v>
      </c>
      <c r="T1081">
        <v>0</v>
      </c>
      <c r="U1081">
        <v>0</v>
      </c>
      <c r="V1081">
        <v>0</v>
      </c>
      <c r="W1081">
        <v>0</v>
      </c>
      <c r="X1081">
        <v>1</v>
      </c>
      <c r="Y1081">
        <v>0</v>
      </c>
      <c r="Z1081">
        <v>0</v>
      </c>
      <c r="AA1081" s="86">
        <f>AVERAGEIFS($C$2:C1081, $B$2:B1081, B1081)</f>
        <v>12.324324324324325</v>
      </c>
      <c r="AB1081" s="86">
        <f>AVERAGEIFS($I$2:I1081, $B$2:B1081, B1081)</f>
        <v>0.54459459459459458</v>
      </c>
      <c r="AC1081" s="86">
        <f>AVERAGEIFS($J$2:J1081, $B$2:B1081, B1081)</f>
        <v>0.51729729729729734</v>
      </c>
      <c r="AD1081" s="86">
        <f>AVERAGEIFS($D$2:D1081, $B$2:B1081, B1081)</f>
        <v>0.56756756756756754</v>
      </c>
    </row>
    <row r="1082" spans="1:30" x14ac:dyDescent="0.25">
      <c r="A1082" s="85">
        <v>46162</v>
      </c>
      <c r="B1082" t="s">
        <v>13</v>
      </c>
      <c r="C1082">
        <v>32</v>
      </c>
      <c r="D1082" s="86">
        <v>0</v>
      </c>
      <c r="E1082">
        <v>5</v>
      </c>
      <c r="F1082">
        <v>2</v>
      </c>
      <c r="G1082">
        <v>17</v>
      </c>
      <c r="H1082">
        <v>7</v>
      </c>
      <c r="I1082">
        <v>0.4</v>
      </c>
      <c r="J1082">
        <v>0.41</v>
      </c>
      <c r="K1082">
        <v>0</v>
      </c>
      <c r="L1082">
        <v>1</v>
      </c>
      <c r="M1082">
        <v>0</v>
      </c>
      <c r="N1082">
        <v>0</v>
      </c>
      <c r="O1082">
        <v>0</v>
      </c>
      <c r="P1082">
        <v>0</v>
      </c>
      <c r="Q1082">
        <v>0</v>
      </c>
      <c r="R1082">
        <v>0</v>
      </c>
      <c r="S1082">
        <v>0</v>
      </c>
      <c r="T1082">
        <v>0</v>
      </c>
      <c r="U1082">
        <v>0</v>
      </c>
      <c r="V1082">
        <v>0</v>
      </c>
      <c r="W1082">
        <v>0</v>
      </c>
      <c r="X1082">
        <v>1</v>
      </c>
      <c r="Y1082">
        <v>0</v>
      </c>
      <c r="Z1082">
        <v>0</v>
      </c>
      <c r="AA1082" s="86">
        <f>AVERAGEIFS($C$2:C1082, $B$2:B1082, B1082)</f>
        <v>26.028571428571428</v>
      </c>
      <c r="AB1082" s="86">
        <f>AVERAGEIFS($I$2:I1082, $B$2:B1082, B1082)</f>
        <v>0.56285714285714283</v>
      </c>
      <c r="AC1082" s="86">
        <f>AVERAGEIFS($J$2:J1082, $B$2:B1082, B1082)</f>
        <v>0.53999999999999992</v>
      </c>
      <c r="AD1082" s="86">
        <f>AVERAGEIFS($D$2:D1082, $B$2:B1082, B1082)</f>
        <v>0.6</v>
      </c>
    </row>
    <row r="1083" spans="1:30" x14ac:dyDescent="0.25">
      <c r="A1083" s="85">
        <v>46162</v>
      </c>
      <c r="B1083" t="s">
        <v>17</v>
      </c>
      <c r="C1083">
        <v>36</v>
      </c>
      <c r="D1083" s="86">
        <v>0</v>
      </c>
      <c r="E1083">
        <v>5</v>
      </c>
      <c r="F1083">
        <v>2</v>
      </c>
      <c r="G1083">
        <v>17</v>
      </c>
      <c r="H1083">
        <v>7</v>
      </c>
      <c r="I1083">
        <v>0.4</v>
      </c>
      <c r="J1083">
        <v>0.41</v>
      </c>
      <c r="K1083">
        <v>0</v>
      </c>
      <c r="L1083">
        <v>1</v>
      </c>
      <c r="M1083">
        <v>0</v>
      </c>
      <c r="N1083">
        <v>0</v>
      </c>
      <c r="O1083">
        <v>0</v>
      </c>
      <c r="P1083">
        <v>0</v>
      </c>
      <c r="Q1083">
        <v>0</v>
      </c>
      <c r="R1083">
        <v>0</v>
      </c>
      <c r="S1083">
        <v>0</v>
      </c>
      <c r="T1083">
        <v>0</v>
      </c>
      <c r="U1083">
        <v>0</v>
      </c>
      <c r="V1083">
        <v>0</v>
      </c>
      <c r="W1083">
        <v>0</v>
      </c>
      <c r="X1083">
        <v>1</v>
      </c>
      <c r="Y1083">
        <v>0</v>
      </c>
      <c r="Z1083">
        <v>0</v>
      </c>
      <c r="AA1083" s="86">
        <f>AVERAGEIFS($C$2:C1083, $B$2:B1083, B1083)</f>
        <v>25</v>
      </c>
      <c r="AB1083" s="86">
        <f>AVERAGEIFS($I$2:I1083, $B$2:B1083, B1083)</f>
        <v>0.46083333333333343</v>
      </c>
      <c r="AC1083" s="86">
        <f>AVERAGEIFS($J$2:J1083, $B$2:B1083, B1083)</f>
        <v>0.49433333333333312</v>
      </c>
      <c r="AD1083" s="86">
        <f>AVERAGEIFS($D$2:D1083, $B$2:B1083, B1083)</f>
        <v>0.4</v>
      </c>
    </row>
    <row r="1084" spans="1:30" x14ac:dyDescent="0.25">
      <c r="A1084" s="85">
        <v>46162</v>
      </c>
      <c r="B1084" t="s">
        <v>28</v>
      </c>
      <c r="C1084">
        <v>12</v>
      </c>
      <c r="D1084" s="86">
        <v>0</v>
      </c>
      <c r="E1084">
        <v>5</v>
      </c>
      <c r="F1084">
        <v>2</v>
      </c>
      <c r="G1084">
        <v>17</v>
      </c>
      <c r="H1084">
        <v>7</v>
      </c>
      <c r="I1084">
        <v>0.4</v>
      </c>
      <c r="J1084">
        <v>0.41</v>
      </c>
      <c r="K1084">
        <v>0</v>
      </c>
      <c r="L1084">
        <v>1</v>
      </c>
      <c r="M1084">
        <v>0</v>
      </c>
      <c r="N1084">
        <v>0</v>
      </c>
      <c r="O1084">
        <v>0</v>
      </c>
      <c r="P1084">
        <v>0</v>
      </c>
      <c r="Q1084">
        <v>0</v>
      </c>
      <c r="R1084">
        <v>0</v>
      </c>
      <c r="S1084">
        <v>0</v>
      </c>
      <c r="T1084">
        <v>0</v>
      </c>
      <c r="U1084">
        <v>0</v>
      </c>
      <c r="V1084">
        <v>0</v>
      </c>
      <c r="W1084">
        <v>0</v>
      </c>
      <c r="X1084">
        <v>1</v>
      </c>
      <c r="Y1084">
        <v>0</v>
      </c>
      <c r="Z1084">
        <v>0</v>
      </c>
      <c r="AA1084" s="86">
        <f>AVERAGEIFS($C$2:C1084, $B$2:B1084, B1084)</f>
        <v>15.291666666666666</v>
      </c>
      <c r="AB1084" s="86">
        <f>AVERAGEIFS($I$2:I1084, $B$2:B1084, B1084)</f>
        <v>0.40208333333333335</v>
      </c>
      <c r="AC1084" s="86">
        <f>AVERAGEIFS($J$2:J1084, $B$2:B1084, B1084)</f>
        <v>0.45333333333333342</v>
      </c>
      <c r="AD1084" s="86">
        <f>AVERAGEIFS($D$2:D1084, $B$2:B1084, B1084)</f>
        <v>0.375</v>
      </c>
    </row>
    <row r="1085" spans="1:30" x14ac:dyDescent="0.25">
      <c r="A1085" s="85">
        <v>46162</v>
      </c>
      <c r="B1085" t="s">
        <v>139</v>
      </c>
      <c r="C1085">
        <v>11</v>
      </c>
      <c r="D1085" s="86">
        <v>0</v>
      </c>
      <c r="E1085">
        <v>5</v>
      </c>
      <c r="F1085">
        <v>2</v>
      </c>
      <c r="G1085">
        <v>17</v>
      </c>
      <c r="H1085">
        <v>7</v>
      </c>
      <c r="I1085">
        <v>0.4</v>
      </c>
      <c r="J1085">
        <v>0.41</v>
      </c>
      <c r="K1085">
        <v>0</v>
      </c>
      <c r="L1085">
        <v>1</v>
      </c>
      <c r="M1085">
        <v>0</v>
      </c>
      <c r="N1085">
        <v>0</v>
      </c>
      <c r="O1085">
        <v>0</v>
      </c>
      <c r="P1085">
        <v>0</v>
      </c>
      <c r="Q1085">
        <v>0</v>
      </c>
      <c r="R1085">
        <v>0</v>
      </c>
      <c r="S1085">
        <v>0</v>
      </c>
      <c r="T1085">
        <v>0</v>
      </c>
      <c r="U1085">
        <v>0</v>
      </c>
      <c r="V1085">
        <v>0</v>
      </c>
      <c r="W1085">
        <v>0</v>
      </c>
      <c r="X1085">
        <v>1</v>
      </c>
      <c r="Y1085">
        <v>0</v>
      </c>
      <c r="Z1085">
        <v>0</v>
      </c>
      <c r="AA1085" s="86">
        <f>AVERAGEIFS($C$2:C1085, $B$2:B1085, B1085)</f>
        <v>10.791666666666666</v>
      </c>
      <c r="AB1085" s="86">
        <f>AVERAGEIFS($I$2:I1085, $B$2:B1085, B1085)</f>
        <v>0.43124999999999997</v>
      </c>
      <c r="AC1085" s="86">
        <f>AVERAGEIFS($J$2:J1085, $B$2:B1085, B1085)</f>
        <v>0.48916666666666658</v>
      </c>
      <c r="AD1085" s="86">
        <f>AVERAGEIFS($D$2:D1085, $B$2:B1085, B1085)</f>
        <v>0.45833333333333331</v>
      </c>
    </row>
    <row r="1086" spans="1:30" x14ac:dyDescent="0.25">
      <c r="A1086" s="85">
        <v>46162</v>
      </c>
      <c r="B1086" t="s">
        <v>26</v>
      </c>
      <c r="C1086">
        <v>17</v>
      </c>
      <c r="D1086" s="86">
        <v>0</v>
      </c>
      <c r="E1086">
        <v>5</v>
      </c>
      <c r="F1086">
        <v>2</v>
      </c>
      <c r="G1086">
        <v>17</v>
      </c>
      <c r="H1086">
        <v>7</v>
      </c>
      <c r="I1086">
        <v>0.4</v>
      </c>
      <c r="J1086">
        <v>0.41</v>
      </c>
      <c r="K1086">
        <v>0</v>
      </c>
      <c r="L1086">
        <v>1</v>
      </c>
      <c r="M1086">
        <v>0</v>
      </c>
      <c r="N1086">
        <v>0</v>
      </c>
      <c r="O1086">
        <v>0</v>
      </c>
      <c r="P1086">
        <v>0</v>
      </c>
      <c r="Q1086">
        <v>0</v>
      </c>
      <c r="R1086">
        <v>0</v>
      </c>
      <c r="S1086">
        <v>0</v>
      </c>
      <c r="T1086">
        <v>0</v>
      </c>
      <c r="U1086">
        <v>0</v>
      </c>
      <c r="V1086">
        <v>0</v>
      </c>
      <c r="W1086">
        <v>0</v>
      </c>
      <c r="X1086">
        <v>1</v>
      </c>
      <c r="Y1086">
        <v>0</v>
      </c>
      <c r="Z1086">
        <v>0</v>
      </c>
      <c r="AA1086" s="86">
        <f>AVERAGEIFS($C$2:C1086, $B$2:B1086, B1086)</f>
        <v>13.463414634146341</v>
      </c>
      <c r="AB1086" s="86">
        <f>AVERAGEIFS($I$2:I1086, $B$2:B1086, B1086)</f>
        <v>0.63048780487804867</v>
      </c>
      <c r="AC1086" s="86">
        <f>AVERAGEIFS($J$2:J1086, $B$2:B1086, B1086)</f>
        <v>0.55146341463414639</v>
      </c>
      <c r="AD1086" s="86">
        <f>AVERAGEIFS($D$2:D1086, $B$2:B1086, B1086)</f>
        <v>0.68292682926829273</v>
      </c>
    </row>
    <row r="1087" spans="1:30" x14ac:dyDescent="0.25">
      <c r="A1087" s="85">
        <v>46165</v>
      </c>
      <c r="B1087" t="s">
        <v>155</v>
      </c>
      <c r="C1087">
        <v>31</v>
      </c>
      <c r="D1087" s="86">
        <v>1</v>
      </c>
      <c r="E1087">
        <v>5</v>
      </c>
      <c r="F1087">
        <v>3</v>
      </c>
      <c r="G1087">
        <v>23</v>
      </c>
      <c r="H1087">
        <v>12</v>
      </c>
      <c r="I1087">
        <v>0.6</v>
      </c>
      <c r="J1087">
        <v>0.52</v>
      </c>
      <c r="K1087">
        <v>0</v>
      </c>
      <c r="L1087">
        <v>0</v>
      </c>
      <c r="M1087">
        <v>0</v>
      </c>
      <c r="N1087">
        <v>0</v>
      </c>
      <c r="O1087">
        <v>0</v>
      </c>
      <c r="P1087">
        <v>0</v>
      </c>
      <c r="Q1087">
        <v>0</v>
      </c>
      <c r="R1087">
        <v>1</v>
      </c>
      <c r="S1087">
        <v>0</v>
      </c>
      <c r="T1087">
        <v>0</v>
      </c>
      <c r="U1087">
        <v>0</v>
      </c>
      <c r="V1087">
        <v>0</v>
      </c>
      <c r="W1087">
        <v>1</v>
      </c>
      <c r="X1087">
        <v>1</v>
      </c>
      <c r="Y1087">
        <v>0</v>
      </c>
      <c r="Z1087">
        <v>0</v>
      </c>
      <c r="AA1087" s="86">
        <f>AVERAGEIFS($C$2:C1087, $B$2:B1087, B1087)</f>
        <v>17.84375</v>
      </c>
      <c r="AB1087" s="86">
        <f>AVERAGEIFS($I$2:I1087, $B$2:B1087, B1087)</f>
        <v>0.39374999999999999</v>
      </c>
      <c r="AC1087" s="86">
        <f>AVERAGEIFS($J$2:J1087, $B$2:B1087, B1087)</f>
        <v>0.46750000000000003</v>
      </c>
      <c r="AD1087" s="86">
        <f>AVERAGEIFS($D$2:D1087, $B$2:B1087, B1087)</f>
        <v>0.34375</v>
      </c>
    </row>
    <row r="1088" spans="1:30" x14ac:dyDescent="0.25">
      <c r="A1088" s="85">
        <v>46165</v>
      </c>
      <c r="B1088" t="s">
        <v>13</v>
      </c>
      <c r="C1088">
        <v>31</v>
      </c>
      <c r="D1088" s="86">
        <v>1</v>
      </c>
      <c r="E1088">
        <v>5</v>
      </c>
      <c r="F1088">
        <v>3</v>
      </c>
      <c r="G1088">
        <v>23</v>
      </c>
      <c r="H1088">
        <v>12</v>
      </c>
      <c r="I1088">
        <v>0.6</v>
      </c>
      <c r="J1088">
        <v>0.52</v>
      </c>
      <c r="K1088">
        <v>0</v>
      </c>
      <c r="L1088">
        <v>0</v>
      </c>
      <c r="M1088">
        <v>0</v>
      </c>
      <c r="N1088">
        <v>0</v>
      </c>
      <c r="O1088">
        <v>0</v>
      </c>
      <c r="P1088">
        <v>0</v>
      </c>
      <c r="Q1088">
        <v>0</v>
      </c>
      <c r="R1088">
        <v>1</v>
      </c>
      <c r="S1088">
        <v>0</v>
      </c>
      <c r="T1088">
        <v>0</v>
      </c>
      <c r="U1088">
        <v>0</v>
      </c>
      <c r="V1088">
        <v>0</v>
      </c>
      <c r="W1088">
        <v>1</v>
      </c>
      <c r="X1088">
        <v>1</v>
      </c>
      <c r="Y1088">
        <v>0</v>
      </c>
      <c r="Z1088">
        <v>0</v>
      </c>
      <c r="AA1088" s="86">
        <f>AVERAGEIFS($C$2:C1088, $B$2:B1088, B1088)</f>
        <v>26.098591549295776</v>
      </c>
      <c r="AB1088" s="86">
        <f>AVERAGEIFS($I$2:I1088, $B$2:B1088, B1088)</f>
        <v>0.56338028169014087</v>
      </c>
      <c r="AC1088" s="86">
        <f>AVERAGEIFS($J$2:J1088, $B$2:B1088, B1088)</f>
        <v>0.53971830985915492</v>
      </c>
      <c r="AD1088" s="86">
        <f>AVERAGEIFS($D$2:D1088, $B$2:B1088, B1088)</f>
        <v>0.60563380281690138</v>
      </c>
    </row>
    <row r="1089" spans="1:30" x14ac:dyDescent="0.25">
      <c r="A1089" s="85">
        <v>46165</v>
      </c>
      <c r="B1089" t="s">
        <v>18</v>
      </c>
      <c r="C1089">
        <v>21</v>
      </c>
      <c r="D1089" s="86">
        <v>1</v>
      </c>
      <c r="E1089">
        <v>5</v>
      </c>
      <c r="F1089">
        <v>3</v>
      </c>
      <c r="G1089">
        <v>23</v>
      </c>
      <c r="H1089">
        <v>12</v>
      </c>
      <c r="I1089">
        <v>0.6</v>
      </c>
      <c r="J1089">
        <v>0.52</v>
      </c>
      <c r="K1089">
        <v>0</v>
      </c>
      <c r="L1089">
        <v>0</v>
      </c>
      <c r="M1089">
        <v>0</v>
      </c>
      <c r="N1089">
        <v>0</v>
      </c>
      <c r="O1089">
        <v>0</v>
      </c>
      <c r="P1089">
        <v>0</v>
      </c>
      <c r="Q1089">
        <v>0</v>
      </c>
      <c r="R1089">
        <v>1</v>
      </c>
      <c r="S1089">
        <v>0</v>
      </c>
      <c r="T1089">
        <v>0</v>
      </c>
      <c r="U1089">
        <v>0</v>
      </c>
      <c r="V1089">
        <v>0</v>
      </c>
      <c r="W1089">
        <v>1</v>
      </c>
      <c r="X1089">
        <v>1</v>
      </c>
      <c r="Y1089">
        <v>0</v>
      </c>
      <c r="Z1089">
        <v>0</v>
      </c>
      <c r="AA1089" s="86">
        <f>AVERAGEIFS($C$2:C1089, $B$2:B1089, B1089)</f>
        <v>26.75</v>
      </c>
      <c r="AB1089" s="86">
        <f>AVERAGEIFS($I$2:I1089, $B$2:B1089, B1089)</f>
        <v>0.47361111111111115</v>
      </c>
      <c r="AC1089" s="86">
        <f>AVERAGEIFS($J$2:J1089, $B$2:B1089, B1089)</f>
        <v>0.48861111111111111</v>
      </c>
      <c r="AD1089" s="86">
        <f>AVERAGEIFS($D$2:D1089, $B$2:B1089, B1089)</f>
        <v>0.47222222222222221</v>
      </c>
    </row>
    <row r="1090" spans="1:30" x14ac:dyDescent="0.25">
      <c r="A1090" s="85">
        <v>46165</v>
      </c>
      <c r="B1090" t="s">
        <v>71</v>
      </c>
      <c r="C1090">
        <v>14</v>
      </c>
      <c r="D1090" s="86">
        <v>1</v>
      </c>
      <c r="E1090">
        <v>5</v>
      </c>
      <c r="F1090">
        <v>3</v>
      </c>
      <c r="G1090">
        <v>23</v>
      </c>
      <c r="H1090">
        <v>12</v>
      </c>
      <c r="I1090">
        <v>0.6</v>
      </c>
      <c r="J1090">
        <v>0.52</v>
      </c>
      <c r="K1090">
        <v>0</v>
      </c>
      <c r="L1090">
        <v>0</v>
      </c>
      <c r="M1090">
        <v>0</v>
      </c>
      <c r="N1090">
        <v>0</v>
      </c>
      <c r="O1090">
        <v>0</v>
      </c>
      <c r="P1090">
        <v>0</v>
      </c>
      <c r="Q1090">
        <v>0</v>
      </c>
      <c r="R1090">
        <v>1</v>
      </c>
      <c r="S1090">
        <v>0</v>
      </c>
      <c r="T1090">
        <v>0</v>
      </c>
      <c r="U1090">
        <v>0</v>
      </c>
      <c r="V1090">
        <v>0</v>
      </c>
      <c r="W1090">
        <v>1</v>
      </c>
      <c r="X1090">
        <v>1</v>
      </c>
      <c r="Y1090">
        <v>0</v>
      </c>
      <c r="Z1090">
        <v>0</v>
      </c>
      <c r="AA1090" s="86">
        <f>AVERAGEIFS($C$2:C1090, $B$2:B1090, B1090)</f>
        <v>11</v>
      </c>
      <c r="AB1090" s="86">
        <f>AVERAGEIFS($I$2:I1090, $B$2:B1090, B1090)</f>
        <v>0.6</v>
      </c>
      <c r="AC1090" s="86">
        <f>AVERAGEIFS($J$2:J1090, $B$2:B1090, B1090)</f>
        <v>0.52500000000000002</v>
      </c>
      <c r="AD1090" s="86">
        <f>AVERAGEIFS($D$2:D1090, $B$2:B1090, B1090)</f>
        <v>1</v>
      </c>
    </row>
    <row r="1091" spans="1:30" x14ac:dyDescent="0.25">
      <c r="A1091" s="85">
        <v>46165</v>
      </c>
      <c r="B1091" t="s">
        <v>140</v>
      </c>
      <c r="C1091">
        <v>12</v>
      </c>
      <c r="D1091" s="86">
        <v>1</v>
      </c>
      <c r="E1091">
        <v>5</v>
      </c>
      <c r="F1091">
        <v>3</v>
      </c>
      <c r="G1091">
        <v>23</v>
      </c>
      <c r="H1091">
        <v>12</v>
      </c>
      <c r="I1091">
        <v>0.6</v>
      </c>
      <c r="J1091">
        <v>0.52</v>
      </c>
      <c r="K1091">
        <v>0</v>
      </c>
      <c r="L1091">
        <v>0</v>
      </c>
      <c r="M1091">
        <v>0</v>
      </c>
      <c r="N1091">
        <v>0</v>
      </c>
      <c r="O1091">
        <v>0</v>
      </c>
      <c r="P1091">
        <v>0</v>
      </c>
      <c r="Q1091">
        <v>0</v>
      </c>
      <c r="R1091">
        <v>1</v>
      </c>
      <c r="S1091">
        <v>0</v>
      </c>
      <c r="T1091">
        <v>0</v>
      </c>
      <c r="U1091">
        <v>0</v>
      </c>
      <c r="V1091">
        <v>0</v>
      </c>
      <c r="W1091">
        <v>1</v>
      </c>
      <c r="X1091">
        <v>1</v>
      </c>
      <c r="Y1091">
        <v>0</v>
      </c>
      <c r="Z1091">
        <v>0</v>
      </c>
      <c r="AA1091" s="86">
        <f>AVERAGEIFS($C$2:C1091, $B$2:B1091, B1091)</f>
        <v>9.2692307692307701</v>
      </c>
      <c r="AB1091" s="86">
        <f>AVERAGEIFS($I$2:I1091, $B$2:B1091, B1091)</f>
        <v>0.41730769230769238</v>
      </c>
      <c r="AC1091" s="86">
        <f>AVERAGEIFS($J$2:J1091, $B$2:B1091, B1091)</f>
        <v>0.46846153846153832</v>
      </c>
      <c r="AD1091" s="86">
        <f>AVERAGEIFS($D$2:D1091, $B$2:B1091, B1091)</f>
        <v>0.42307692307692307</v>
      </c>
    </row>
    <row r="1092" spans="1:30" x14ac:dyDescent="0.25">
      <c r="A1092" s="85">
        <v>46165</v>
      </c>
      <c r="B1092" t="s">
        <v>214</v>
      </c>
      <c r="C1092">
        <v>10</v>
      </c>
      <c r="D1092" s="86">
        <v>1</v>
      </c>
      <c r="E1092">
        <v>5</v>
      </c>
      <c r="F1092">
        <v>3</v>
      </c>
      <c r="G1092">
        <v>23</v>
      </c>
      <c r="H1092">
        <v>12</v>
      </c>
      <c r="I1092">
        <v>0.6</v>
      </c>
      <c r="J1092">
        <v>0.52</v>
      </c>
      <c r="K1092">
        <v>0</v>
      </c>
      <c r="L1092">
        <v>0</v>
      </c>
      <c r="M1092">
        <v>0</v>
      </c>
      <c r="N1092">
        <v>0</v>
      </c>
      <c r="O1092">
        <v>0</v>
      </c>
      <c r="P1092">
        <v>0</v>
      </c>
      <c r="Q1092">
        <v>0</v>
      </c>
      <c r="R1092">
        <v>1</v>
      </c>
      <c r="S1092">
        <v>0</v>
      </c>
      <c r="T1092">
        <v>0</v>
      </c>
      <c r="U1092">
        <v>0</v>
      </c>
      <c r="V1092">
        <v>0</v>
      </c>
      <c r="W1092">
        <v>1</v>
      </c>
      <c r="X1092">
        <v>1</v>
      </c>
      <c r="Y1092">
        <v>0</v>
      </c>
      <c r="Z1092">
        <v>0</v>
      </c>
      <c r="AA1092" s="86">
        <f>AVERAGEIFS($C$2:C1092, $B$2:B1092, B1092)</f>
        <v>8</v>
      </c>
      <c r="AB1092" s="86">
        <f>AVERAGEIFS($I$2:I1092, $B$2:B1092, B1092)</f>
        <v>0.8666666666666667</v>
      </c>
      <c r="AC1092" s="86">
        <f>AVERAGEIFS($J$2:J1092, $B$2:B1092, B1092)</f>
        <v>0.62333333333333341</v>
      </c>
      <c r="AD1092" s="86">
        <f>AVERAGEIFS($D$2:D1092, $B$2:B1092, B1092)</f>
        <v>1</v>
      </c>
    </row>
    <row r="1093" spans="1:30" x14ac:dyDescent="0.25">
      <c r="A1093" s="85">
        <v>46165</v>
      </c>
      <c r="B1093" t="s">
        <v>25</v>
      </c>
      <c r="C1093">
        <v>14</v>
      </c>
      <c r="D1093" s="86">
        <v>0</v>
      </c>
      <c r="E1093">
        <v>5</v>
      </c>
      <c r="F1093">
        <v>2</v>
      </c>
      <c r="G1093">
        <v>23</v>
      </c>
      <c r="H1093">
        <v>11</v>
      </c>
      <c r="I1093">
        <v>0.4</v>
      </c>
      <c r="J1093">
        <v>0.48</v>
      </c>
      <c r="K1093">
        <v>0</v>
      </c>
      <c r="L1093">
        <v>1</v>
      </c>
      <c r="M1093">
        <v>0</v>
      </c>
      <c r="N1093">
        <v>1</v>
      </c>
      <c r="O1093">
        <v>0</v>
      </c>
      <c r="P1093">
        <v>0</v>
      </c>
      <c r="Q1093">
        <v>0</v>
      </c>
      <c r="R1093">
        <v>0</v>
      </c>
      <c r="S1093">
        <v>0</v>
      </c>
      <c r="T1093">
        <v>0</v>
      </c>
      <c r="U1093">
        <v>0</v>
      </c>
      <c r="V1093">
        <v>0</v>
      </c>
      <c r="W1093">
        <v>0</v>
      </c>
      <c r="X1093">
        <v>0</v>
      </c>
      <c r="Y1093">
        <v>0</v>
      </c>
      <c r="Z1093">
        <v>0</v>
      </c>
      <c r="AA1093" s="86">
        <f>AVERAGEIFS($C$2:C1093, $B$2:B1093, B1093)</f>
        <v>18.484848484848484</v>
      </c>
      <c r="AB1093" s="86">
        <f>AVERAGEIFS($I$2:I1093, $B$2:B1093, B1093)</f>
        <v>0.57272727272727264</v>
      </c>
      <c r="AC1093" s="86">
        <f>AVERAGEIFS($J$2:J1093, $B$2:B1093, B1093)</f>
        <v>0.52575757575757576</v>
      </c>
      <c r="AD1093" s="86">
        <f>AVERAGEIFS($D$2:D1093, $B$2:B1093, B1093)</f>
        <v>0.5757575757575758</v>
      </c>
    </row>
    <row r="1094" spans="1:30" x14ac:dyDescent="0.25">
      <c r="A1094" s="85">
        <v>46165</v>
      </c>
      <c r="B1094" t="s">
        <v>2</v>
      </c>
      <c r="C1094">
        <v>29</v>
      </c>
      <c r="D1094" s="86">
        <v>0</v>
      </c>
      <c r="E1094">
        <v>5</v>
      </c>
      <c r="F1094">
        <v>2</v>
      </c>
      <c r="G1094">
        <v>23</v>
      </c>
      <c r="H1094">
        <v>11</v>
      </c>
      <c r="I1094">
        <v>0.4</v>
      </c>
      <c r="J1094">
        <v>0.48</v>
      </c>
      <c r="K1094">
        <v>0</v>
      </c>
      <c r="L1094">
        <v>1</v>
      </c>
      <c r="M1094">
        <v>0</v>
      </c>
      <c r="N1094">
        <v>1</v>
      </c>
      <c r="O1094">
        <v>0</v>
      </c>
      <c r="P1094">
        <v>0</v>
      </c>
      <c r="Q1094">
        <v>0</v>
      </c>
      <c r="R1094">
        <v>0</v>
      </c>
      <c r="S1094">
        <v>0</v>
      </c>
      <c r="T1094">
        <v>0</v>
      </c>
      <c r="U1094">
        <v>0</v>
      </c>
      <c r="V1094">
        <v>0</v>
      </c>
      <c r="W1094">
        <v>0</v>
      </c>
      <c r="X1094">
        <v>0</v>
      </c>
      <c r="Y1094">
        <v>0</v>
      </c>
      <c r="Z1094">
        <v>0</v>
      </c>
      <c r="AA1094" s="86">
        <f>AVERAGEIFS($C$2:C1094, $B$2:B1094, B1094)</f>
        <v>28.85</v>
      </c>
      <c r="AB1094" s="86">
        <f>AVERAGEIFS($I$2:I1094, $B$2:B1094, B1094)</f>
        <v>0.61250000000000004</v>
      </c>
      <c r="AC1094" s="86">
        <f>AVERAGEIFS($J$2:J1094, $B$2:B1094, B1094)</f>
        <v>0.55549999999999999</v>
      </c>
      <c r="AD1094" s="86">
        <f>AVERAGEIFS($D$2:D1094, $B$2:B1094, B1094)</f>
        <v>0.55000000000000004</v>
      </c>
    </row>
    <row r="1095" spans="1:30" x14ac:dyDescent="0.25">
      <c r="A1095" s="85">
        <v>46165</v>
      </c>
      <c r="B1095" t="s">
        <v>19</v>
      </c>
      <c r="C1095">
        <v>15</v>
      </c>
      <c r="D1095" s="86">
        <v>0</v>
      </c>
      <c r="E1095">
        <v>5</v>
      </c>
      <c r="F1095">
        <v>2</v>
      </c>
      <c r="G1095">
        <v>23</v>
      </c>
      <c r="H1095">
        <v>11</v>
      </c>
      <c r="I1095">
        <v>0.4</v>
      </c>
      <c r="J1095">
        <v>0.48</v>
      </c>
      <c r="K1095">
        <v>0</v>
      </c>
      <c r="L1095">
        <v>1</v>
      </c>
      <c r="M1095">
        <v>0</v>
      </c>
      <c r="N1095">
        <v>1</v>
      </c>
      <c r="O1095">
        <v>0</v>
      </c>
      <c r="P1095">
        <v>0</v>
      </c>
      <c r="Q1095">
        <v>0</v>
      </c>
      <c r="R1095">
        <v>0</v>
      </c>
      <c r="S1095">
        <v>0</v>
      </c>
      <c r="T1095">
        <v>0</v>
      </c>
      <c r="U1095">
        <v>0</v>
      </c>
      <c r="V1095">
        <v>0</v>
      </c>
      <c r="W1095">
        <v>0</v>
      </c>
      <c r="X1095">
        <v>0</v>
      </c>
      <c r="Y1095">
        <v>0</v>
      </c>
      <c r="Z1095">
        <v>0</v>
      </c>
      <c r="AA1095" s="86">
        <f>AVERAGEIFS($C$2:C1095, $B$2:B1095, B1095)</f>
        <v>12.342105263157896</v>
      </c>
      <c r="AB1095" s="86">
        <f>AVERAGEIFS($I$2:I1095, $B$2:B1095, B1095)</f>
        <v>0.45131578947368417</v>
      </c>
      <c r="AC1095" s="86">
        <f>AVERAGEIFS($J$2:J1095, $B$2:B1095, B1095)</f>
        <v>0.46763157894736851</v>
      </c>
      <c r="AD1095" s="86">
        <f>AVERAGEIFS($D$2:D1095, $B$2:B1095, B1095)</f>
        <v>0.42105263157894735</v>
      </c>
    </row>
    <row r="1096" spans="1:30" x14ac:dyDescent="0.25">
      <c r="A1096" s="85">
        <v>46165</v>
      </c>
      <c r="B1096" t="s">
        <v>148</v>
      </c>
      <c r="C1096">
        <v>19</v>
      </c>
      <c r="D1096" s="86">
        <v>0</v>
      </c>
      <c r="E1096">
        <v>5</v>
      </c>
      <c r="F1096">
        <v>2</v>
      </c>
      <c r="G1096">
        <v>23</v>
      </c>
      <c r="H1096">
        <v>11</v>
      </c>
      <c r="I1096">
        <v>0.4</v>
      </c>
      <c r="J1096">
        <v>0.48</v>
      </c>
      <c r="K1096">
        <v>0</v>
      </c>
      <c r="L1096">
        <v>1</v>
      </c>
      <c r="M1096">
        <v>0</v>
      </c>
      <c r="N1096">
        <v>1</v>
      </c>
      <c r="O1096">
        <v>0</v>
      </c>
      <c r="P1096">
        <v>0</v>
      </c>
      <c r="Q1096">
        <v>0</v>
      </c>
      <c r="R1096">
        <v>0</v>
      </c>
      <c r="S1096">
        <v>0</v>
      </c>
      <c r="T1096">
        <v>0</v>
      </c>
      <c r="U1096">
        <v>0</v>
      </c>
      <c r="V1096">
        <v>0</v>
      </c>
      <c r="W1096">
        <v>0</v>
      </c>
      <c r="X1096">
        <v>0</v>
      </c>
      <c r="Y1096">
        <v>0</v>
      </c>
      <c r="Z1096">
        <v>0</v>
      </c>
      <c r="AA1096" s="86">
        <f>AVERAGEIFS($C$2:C1096, $B$2:B1096, B1096)</f>
        <v>12.5</v>
      </c>
      <c r="AB1096" s="86">
        <f>AVERAGEIFS($I$2:I1096, $B$2:B1096, B1096)</f>
        <v>0.54078947368421049</v>
      </c>
      <c r="AC1096" s="86">
        <f>AVERAGEIFS($J$2:J1096, $B$2:B1096, B1096)</f>
        <v>0.51631578947368428</v>
      </c>
      <c r="AD1096" s="86">
        <f>AVERAGEIFS($D$2:D1096, $B$2:B1096, B1096)</f>
        <v>0.55263157894736847</v>
      </c>
    </row>
    <row r="1097" spans="1:30" x14ac:dyDescent="0.25">
      <c r="A1097" s="85">
        <v>46165</v>
      </c>
      <c r="B1097" t="s">
        <v>29</v>
      </c>
      <c r="C1097">
        <v>16</v>
      </c>
      <c r="D1097" s="86">
        <v>0</v>
      </c>
      <c r="E1097">
        <v>5</v>
      </c>
      <c r="F1097">
        <v>2</v>
      </c>
      <c r="G1097">
        <v>23</v>
      </c>
      <c r="H1097">
        <v>11</v>
      </c>
      <c r="I1097">
        <v>0.4</v>
      </c>
      <c r="J1097">
        <v>0.48</v>
      </c>
      <c r="K1097">
        <v>0</v>
      </c>
      <c r="L1097">
        <v>1</v>
      </c>
      <c r="M1097">
        <v>0</v>
      </c>
      <c r="N1097">
        <v>1</v>
      </c>
      <c r="O1097">
        <v>0</v>
      </c>
      <c r="P1097">
        <v>0</v>
      </c>
      <c r="Q1097">
        <v>0</v>
      </c>
      <c r="R1097">
        <v>0</v>
      </c>
      <c r="S1097">
        <v>0</v>
      </c>
      <c r="T1097">
        <v>0</v>
      </c>
      <c r="U1097">
        <v>0</v>
      </c>
      <c r="V1097">
        <v>0</v>
      </c>
      <c r="W1097">
        <v>0</v>
      </c>
      <c r="X1097">
        <v>0</v>
      </c>
      <c r="Y1097">
        <v>0</v>
      </c>
      <c r="Z1097">
        <v>0</v>
      </c>
      <c r="AA1097" s="86">
        <f>AVERAGEIFS($C$2:C1097, $B$2:B1097, B1097)</f>
        <v>10.654545454545454</v>
      </c>
      <c r="AB1097" s="86">
        <f>AVERAGEIFS($I$2:I1097, $B$2:B1097, B1097)</f>
        <v>0.47272727272727272</v>
      </c>
      <c r="AC1097" s="86">
        <f>AVERAGEIFS($J$2:J1097, $B$2:B1097, B1097)</f>
        <v>0.49981818181818177</v>
      </c>
      <c r="AD1097" s="86">
        <f>AVERAGEIFS($D$2:D1097, $B$2:B1097, B1097)</f>
        <v>0.43636363636363634</v>
      </c>
    </row>
    <row r="1098" spans="1:30" x14ac:dyDescent="0.25">
      <c r="A1098" s="85">
        <v>46165</v>
      </c>
      <c r="B1098" t="s">
        <v>141</v>
      </c>
      <c r="C1098">
        <v>17</v>
      </c>
      <c r="D1098" s="86">
        <v>0</v>
      </c>
      <c r="E1098">
        <v>5</v>
      </c>
      <c r="F1098">
        <v>2</v>
      </c>
      <c r="G1098">
        <v>23</v>
      </c>
      <c r="H1098">
        <v>11</v>
      </c>
      <c r="I1098">
        <v>0.4</v>
      </c>
      <c r="J1098">
        <v>0.48</v>
      </c>
      <c r="K1098">
        <v>0</v>
      </c>
      <c r="L1098">
        <v>1</v>
      </c>
      <c r="M1098">
        <v>0</v>
      </c>
      <c r="N1098">
        <v>1</v>
      </c>
      <c r="O1098">
        <v>0</v>
      </c>
      <c r="P1098">
        <v>0</v>
      </c>
      <c r="Q1098">
        <v>0</v>
      </c>
      <c r="R1098">
        <v>0</v>
      </c>
      <c r="S1098">
        <v>0</v>
      </c>
      <c r="T1098">
        <v>0</v>
      </c>
      <c r="U1098">
        <v>0</v>
      </c>
      <c r="V1098">
        <v>0</v>
      </c>
      <c r="W1098">
        <v>0</v>
      </c>
      <c r="X1098">
        <v>0</v>
      </c>
      <c r="Y1098">
        <v>0</v>
      </c>
      <c r="Z1098">
        <v>0</v>
      </c>
      <c r="AA1098" s="86">
        <f>AVERAGEIFS($C$2:C1098, $B$2:B1098, B1098)</f>
        <v>16.933333333333334</v>
      </c>
      <c r="AB1098" s="86">
        <f>AVERAGEIFS($I$2:I1098, $B$2:B1098, B1098)</f>
        <v>0.45333333333333331</v>
      </c>
      <c r="AC1098" s="86">
        <f>AVERAGEIFS($J$2:J1098, $B$2:B1098, B1098)</f>
        <v>0.48800000000000004</v>
      </c>
      <c r="AD1098" s="86">
        <f>AVERAGEIFS($D$2:D1098, $B$2:B1098, B1098)</f>
        <v>0.4</v>
      </c>
    </row>
    <row r="1099" spans="1:30" x14ac:dyDescent="0.25">
      <c r="A1099" s="85">
        <v>46166</v>
      </c>
      <c r="B1099" t="s">
        <v>26</v>
      </c>
      <c r="C1099">
        <v>20</v>
      </c>
      <c r="D1099" s="86">
        <v>0</v>
      </c>
      <c r="E1099">
        <v>5</v>
      </c>
      <c r="F1099">
        <v>2</v>
      </c>
      <c r="G1099">
        <v>22</v>
      </c>
      <c r="H1099">
        <v>10</v>
      </c>
      <c r="I1099">
        <v>0.4</v>
      </c>
      <c r="J1099">
        <v>0.45</v>
      </c>
      <c r="K1099">
        <v>0</v>
      </c>
      <c r="L1099">
        <v>1</v>
      </c>
      <c r="M1099">
        <v>0</v>
      </c>
      <c r="N1099">
        <v>0</v>
      </c>
      <c r="O1099">
        <v>0</v>
      </c>
      <c r="P1099">
        <v>1</v>
      </c>
      <c r="Q1099">
        <v>0</v>
      </c>
      <c r="R1099">
        <v>0</v>
      </c>
      <c r="S1099">
        <v>0</v>
      </c>
      <c r="T1099">
        <v>0</v>
      </c>
      <c r="U1099">
        <v>0</v>
      </c>
      <c r="V1099">
        <v>0</v>
      </c>
      <c r="W1099">
        <v>0</v>
      </c>
      <c r="X1099">
        <v>0</v>
      </c>
      <c r="Y1099">
        <v>0</v>
      </c>
      <c r="Z1099">
        <v>0</v>
      </c>
      <c r="AA1099" s="86">
        <f>AVERAGEIFS($C$2:C1099, $B$2:B1099, B1099)</f>
        <v>13.619047619047619</v>
      </c>
      <c r="AB1099" s="86">
        <f>AVERAGEIFS($I$2:I1099, $B$2:B1099, B1099)</f>
        <v>0.62499999999999989</v>
      </c>
      <c r="AC1099" s="86">
        <f>AVERAGEIFS($J$2:J1099, $B$2:B1099, B1099)</f>
        <v>0.54904761904761912</v>
      </c>
      <c r="AD1099" s="86">
        <f>AVERAGEIFS($D$2:D1099, $B$2:B1099, B1099)</f>
        <v>0.66666666666666663</v>
      </c>
    </row>
    <row r="1100" spans="1:30" x14ac:dyDescent="0.25">
      <c r="A1100" s="85">
        <v>46166</v>
      </c>
      <c r="B1100" t="s">
        <v>139</v>
      </c>
      <c r="C1100">
        <v>21</v>
      </c>
      <c r="D1100" s="86">
        <v>0</v>
      </c>
      <c r="E1100">
        <v>5</v>
      </c>
      <c r="F1100">
        <v>2</v>
      </c>
      <c r="G1100">
        <v>22</v>
      </c>
      <c r="H1100">
        <v>10</v>
      </c>
      <c r="I1100">
        <v>0.4</v>
      </c>
      <c r="J1100">
        <v>0.45</v>
      </c>
      <c r="K1100">
        <v>0</v>
      </c>
      <c r="L1100">
        <v>1</v>
      </c>
      <c r="M1100">
        <v>0</v>
      </c>
      <c r="N1100">
        <v>0</v>
      </c>
      <c r="O1100">
        <v>0</v>
      </c>
      <c r="P1100">
        <v>1</v>
      </c>
      <c r="Q1100">
        <v>0</v>
      </c>
      <c r="R1100">
        <v>0</v>
      </c>
      <c r="S1100">
        <v>0</v>
      </c>
      <c r="T1100">
        <v>0</v>
      </c>
      <c r="U1100">
        <v>0</v>
      </c>
      <c r="V1100">
        <v>0</v>
      </c>
      <c r="W1100">
        <v>0</v>
      </c>
      <c r="X1100">
        <v>0</v>
      </c>
      <c r="Y1100">
        <v>0</v>
      </c>
      <c r="Z1100">
        <v>0</v>
      </c>
      <c r="AA1100" s="86">
        <f>AVERAGEIFS($C$2:C1100, $B$2:B1100, B1100)</f>
        <v>11.2</v>
      </c>
      <c r="AB1100" s="86">
        <f>AVERAGEIFS($I$2:I1100, $B$2:B1100, B1100)</f>
        <v>0.43</v>
      </c>
      <c r="AC1100" s="86">
        <f>AVERAGEIFS($J$2:J1100, $B$2:B1100, B1100)</f>
        <v>0.48759999999999992</v>
      </c>
      <c r="AD1100" s="86">
        <f>AVERAGEIFS($D$2:D1100, $B$2:B1100, B1100)</f>
        <v>0.44</v>
      </c>
    </row>
    <row r="1101" spans="1:30" x14ac:dyDescent="0.25">
      <c r="A1101" s="85">
        <v>46166</v>
      </c>
      <c r="B1101" t="s">
        <v>28</v>
      </c>
      <c r="C1101">
        <v>29</v>
      </c>
      <c r="D1101" s="86">
        <v>0</v>
      </c>
      <c r="E1101">
        <v>5</v>
      </c>
      <c r="F1101">
        <v>2</v>
      </c>
      <c r="G1101">
        <v>22</v>
      </c>
      <c r="H1101">
        <v>10</v>
      </c>
      <c r="I1101">
        <v>0.4</v>
      </c>
      <c r="J1101">
        <v>0.45</v>
      </c>
      <c r="K1101">
        <v>0</v>
      </c>
      <c r="L1101">
        <v>1</v>
      </c>
      <c r="M1101">
        <v>0</v>
      </c>
      <c r="N1101">
        <v>0</v>
      </c>
      <c r="O1101">
        <v>0</v>
      </c>
      <c r="P1101">
        <v>1</v>
      </c>
      <c r="Q1101">
        <v>0</v>
      </c>
      <c r="R1101">
        <v>0</v>
      </c>
      <c r="S1101">
        <v>0</v>
      </c>
      <c r="T1101">
        <v>0</v>
      </c>
      <c r="U1101">
        <v>0</v>
      </c>
      <c r="V1101">
        <v>0</v>
      </c>
      <c r="W1101">
        <v>0</v>
      </c>
      <c r="X1101">
        <v>0</v>
      </c>
      <c r="Y1101">
        <v>0</v>
      </c>
      <c r="Z1101">
        <v>0</v>
      </c>
      <c r="AA1101" s="86">
        <f>AVERAGEIFS($C$2:C1101, $B$2:B1101, B1101)</f>
        <v>15.84</v>
      </c>
      <c r="AB1101" s="86">
        <f>AVERAGEIFS($I$2:I1101, $B$2:B1101, B1101)</f>
        <v>0.40200000000000002</v>
      </c>
      <c r="AC1101" s="86">
        <f>AVERAGEIFS($J$2:J1101, $B$2:B1101, B1101)</f>
        <v>0.45320000000000005</v>
      </c>
      <c r="AD1101" s="86">
        <f>AVERAGEIFS($D$2:D1101, $B$2:B1101, B1101)</f>
        <v>0.36</v>
      </c>
    </row>
    <row r="1102" spans="1:30" x14ac:dyDescent="0.25">
      <c r="A1102" s="85">
        <v>46166</v>
      </c>
      <c r="B1102" t="s">
        <v>13</v>
      </c>
      <c r="C1102">
        <v>34</v>
      </c>
      <c r="D1102" s="86">
        <v>0</v>
      </c>
      <c r="E1102">
        <v>5</v>
      </c>
      <c r="F1102">
        <v>2</v>
      </c>
      <c r="G1102">
        <v>22</v>
      </c>
      <c r="H1102">
        <v>10</v>
      </c>
      <c r="I1102">
        <v>0.4</v>
      </c>
      <c r="J1102">
        <v>0.45</v>
      </c>
      <c r="K1102">
        <v>0</v>
      </c>
      <c r="L1102">
        <v>1</v>
      </c>
      <c r="M1102">
        <v>0</v>
      </c>
      <c r="N1102">
        <v>0</v>
      </c>
      <c r="O1102">
        <v>0</v>
      </c>
      <c r="P1102">
        <v>1</v>
      </c>
      <c r="Q1102">
        <v>0</v>
      </c>
      <c r="R1102">
        <v>0</v>
      </c>
      <c r="S1102">
        <v>0</v>
      </c>
      <c r="T1102">
        <v>0</v>
      </c>
      <c r="U1102">
        <v>0</v>
      </c>
      <c r="V1102">
        <v>0</v>
      </c>
      <c r="W1102">
        <v>0</v>
      </c>
      <c r="X1102">
        <v>0</v>
      </c>
      <c r="Y1102">
        <v>0</v>
      </c>
      <c r="Z1102">
        <v>0</v>
      </c>
      <c r="AA1102" s="86">
        <f>AVERAGEIFS($C$2:C1102, $B$2:B1102, B1102)</f>
        <v>26.208333333333332</v>
      </c>
      <c r="AB1102" s="86">
        <f>AVERAGEIFS($I$2:I1102, $B$2:B1102, B1102)</f>
        <v>0.56111111111111112</v>
      </c>
      <c r="AC1102" s="86">
        <f>AVERAGEIFS($J$2:J1102, $B$2:B1102, B1102)</f>
        <v>0.53847222222222224</v>
      </c>
      <c r="AD1102" s="86">
        <f>AVERAGEIFS($D$2:D1102, $B$2:B1102, B1102)</f>
        <v>0.59722222222222221</v>
      </c>
    </row>
    <row r="1103" spans="1:30" x14ac:dyDescent="0.25">
      <c r="A1103" s="85">
        <v>46166</v>
      </c>
      <c r="B1103" t="s">
        <v>17</v>
      </c>
      <c r="C1103">
        <v>49</v>
      </c>
      <c r="D1103" s="86">
        <v>0</v>
      </c>
      <c r="E1103">
        <v>5</v>
      </c>
      <c r="F1103">
        <v>2</v>
      </c>
      <c r="G1103">
        <v>22</v>
      </c>
      <c r="H1103">
        <v>10</v>
      </c>
      <c r="I1103">
        <v>0.4</v>
      </c>
      <c r="J1103">
        <v>0.45</v>
      </c>
      <c r="K1103">
        <v>0</v>
      </c>
      <c r="L1103">
        <v>1</v>
      </c>
      <c r="M1103">
        <v>0</v>
      </c>
      <c r="N1103">
        <v>0</v>
      </c>
      <c r="O1103">
        <v>0</v>
      </c>
      <c r="P1103">
        <v>1</v>
      </c>
      <c r="Q1103">
        <v>0</v>
      </c>
      <c r="R1103">
        <v>0</v>
      </c>
      <c r="S1103">
        <v>0</v>
      </c>
      <c r="T1103">
        <v>0</v>
      </c>
      <c r="U1103">
        <v>0</v>
      </c>
      <c r="V1103">
        <v>0</v>
      </c>
      <c r="W1103">
        <v>0</v>
      </c>
      <c r="X1103">
        <v>0</v>
      </c>
      <c r="Y1103">
        <v>0</v>
      </c>
      <c r="Z1103">
        <v>0</v>
      </c>
      <c r="AA1103" s="86">
        <f>AVERAGEIFS($C$2:C1103, $B$2:B1103, B1103)</f>
        <v>25.393442622950818</v>
      </c>
      <c r="AB1103" s="86">
        <f>AVERAGEIFS($I$2:I1103, $B$2:B1103, B1103)</f>
        <v>0.45983606557377055</v>
      </c>
      <c r="AC1103" s="86">
        <f>AVERAGEIFS($J$2:J1103, $B$2:B1103, B1103)</f>
        <v>0.49360655737704895</v>
      </c>
      <c r="AD1103" s="86">
        <f>AVERAGEIFS($D$2:D1103, $B$2:B1103, B1103)</f>
        <v>0.39344262295081966</v>
      </c>
    </row>
    <row r="1104" spans="1:30" x14ac:dyDescent="0.25">
      <c r="A1104" s="85">
        <v>46166</v>
      </c>
      <c r="B1104" t="s">
        <v>148</v>
      </c>
      <c r="C1104">
        <v>27</v>
      </c>
      <c r="D1104" s="86">
        <v>0</v>
      </c>
      <c r="E1104">
        <v>5</v>
      </c>
      <c r="F1104">
        <v>2</v>
      </c>
      <c r="G1104">
        <v>22</v>
      </c>
      <c r="H1104">
        <v>10</v>
      </c>
      <c r="I1104">
        <v>0.4</v>
      </c>
      <c r="J1104">
        <v>0.45</v>
      </c>
      <c r="K1104">
        <v>0</v>
      </c>
      <c r="L1104">
        <v>1</v>
      </c>
      <c r="M1104">
        <v>0</v>
      </c>
      <c r="N1104">
        <v>0</v>
      </c>
      <c r="O1104">
        <v>0</v>
      </c>
      <c r="P1104">
        <v>1</v>
      </c>
      <c r="Q1104">
        <v>0</v>
      </c>
      <c r="R1104">
        <v>0</v>
      </c>
      <c r="S1104">
        <v>0</v>
      </c>
      <c r="T1104">
        <v>0</v>
      </c>
      <c r="U1104">
        <v>0</v>
      </c>
      <c r="V1104">
        <v>0</v>
      </c>
      <c r="W1104">
        <v>0</v>
      </c>
      <c r="X1104">
        <v>0</v>
      </c>
      <c r="Y1104">
        <v>0</v>
      </c>
      <c r="Z1104">
        <v>0</v>
      </c>
      <c r="AA1104" s="86">
        <f>AVERAGEIFS($C$2:C1104, $B$2:B1104, B1104)</f>
        <v>12.871794871794872</v>
      </c>
      <c r="AB1104" s="86">
        <f>AVERAGEIFS($I$2:I1104, $B$2:B1104, B1104)</f>
        <v>0.53717948717948705</v>
      </c>
      <c r="AC1104" s="86">
        <f>AVERAGEIFS($J$2:J1104, $B$2:B1104, B1104)</f>
        <v>0.51461538461538459</v>
      </c>
      <c r="AD1104" s="86">
        <f>AVERAGEIFS($D$2:D1104, $B$2:B1104, B1104)</f>
        <v>0.53846153846153844</v>
      </c>
    </row>
    <row r="1105" spans="1:30" x14ac:dyDescent="0.25">
      <c r="A1105" s="85">
        <v>46166</v>
      </c>
      <c r="B1105" t="s">
        <v>35</v>
      </c>
      <c r="C1105">
        <v>21</v>
      </c>
      <c r="D1105" s="86">
        <v>1</v>
      </c>
      <c r="E1105">
        <v>5</v>
      </c>
      <c r="F1105">
        <v>3</v>
      </c>
      <c r="G1105">
        <v>22</v>
      </c>
      <c r="H1105">
        <v>12</v>
      </c>
      <c r="I1105">
        <v>0.6</v>
      </c>
      <c r="J1105">
        <v>0.55000000000000004</v>
      </c>
      <c r="K1105">
        <v>0</v>
      </c>
      <c r="L1105">
        <v>0</v>
      </c>
      <c r="M1105">
        <v>0</v>
      </c>
      <c r="N1105">
        <v>0</v>
      </c>
      <c r="O1105">
        <v>1</v>
      </c>
      <c r="P1105">
        <v>0</v>
      </c>
      <c r="Q1105">
        <v>0</v>
      </c>
      <c r="R1105">
        <v>0</v>
      </c>
      <c r="S1105">
        <v>0</v>
      </c>
      <c r="T1105">
        <v>0</v>
      </c>
      <c r="U1105">
        <v>0</v>
      </c>
      <c r="V1105">
        <v>0</v>
      </c>
      <c r="W1105">
        <v>1</v>
      </c>
      <c r="X1105">
        <v>1</v>
      </c>
      <c r="Y1105">
        <v>0</v>
      </c>
      <c r="Z1105">
        <v>0</v>
      </c>
      <c r="AA1105" s="86">
        <f>AVERAGEIFS($C$2:C1105, $B$2:B1105, B1105)</f>
        <v>12.605263157894736</v>
      </c>
      <c r="AB1105" s="86">
        <f>AVERAGEIFS($I$2:I1105, $B$2:B1105, B1105)</f>
        <v>0.53026315789473688</v>
      </c>
      <c r="AC1105" s="86">
        <f>AVERAGEIFS($J$2:J1105, $B$2:B1105, B1105)</f>
        <v>0.50973684210526327</v>
      </c>
      <c r="AD1105" s="86">
        <f>AVERAGEIFS($D$2:D1105, $B$2:B1105, B1105)</f>
        <v>0.63157894736842102</v>
      </c>
    </row>
    <row r="1106" spans="1:30" x14ac:dyDescent="0.25">
      <c r="A1106" s="85">
        <v>46166</v>
      </c>
      <c r="B1106" t="s">
        <v>27</v>
      </c>
      <c r="C1106">
        <v>30</v>
      </c>
      <c r="D1106" s="86">
        <v>1</v>
      </c>
      <c r="E1106">
        <v>5</v>
      </c>
      <c r="F1106">
        <v>3</v>
      </c>
      <c r="G1106">
        <v>22</v>
      </c>
      <c r="H1106">
        <v>12</v>
      </c>
      <c r="I1106">
        <v>0.6</v>
      </c>
      <c r="J1106">
        <v>0.55000000000000004</v>
      </c>
      <c r="K1106">
        <v>0</v>
      </c>
      <c r="L1106">
        <v>0</v>
      </c>
      <c r="M1106">
        <v>0</v>
      </c>
      <c r="N1106">
        <v>0</v>
      </c>
      <c r="O1106">
        <v>1</v>
      </c>
      <c r="P1106">
        <v>0</v>
      </c>
      <c r="Q1106">
        <v>0</v>
      </c>
      <c r="R1106">
        <v>0</v>
      </c>
      <c r="S1106">
        <v>0</v>
      </c>
      <c r="T1106">
        <v>0</v>
      </c>
      <c r="U1106">
        <v>0</v>
      </c>
      <c r="V1106">
        <v>0</v>
      </c>
      <c r="W1106">
        <v>1</v>
      </c>
      <c r="X1106">
        <v>1</v>
      </c>
      <c r="Y1106">
        <v>0</v>
      </c>
      <c r="Z1106">
        <v>0</v>
      </c>
      <c r="AA1106" s="86">
        <f>AVERAGEIFS($C$2:C1106, $B$2:B1106, B1106)</f>
        <v>15.366666666666667</v>
      </c>
      <c r="AB1106" s="86">
        <f>AVERAGEIFS($I$2:I1106, $B$2:B1106, B1106)</f>
        <v>0.51</v>
      </c>
      <c r="AC1106" s="86">
        <f>AVERAGEIFS($J$2:J1106, $B$2:B1106, B1106)</f>
        <v>0.50466666666666671</v>
      </c>
      <c r="AD1106" s="86">
        <f>AVERAGEIFS($D$2:D1106, $B$2:B1106, B1106)</f>
        <v>0.56666666666666665</v>
      </c>
    </row>
    <row r="1107" spans="1:30" x14ac:dyDescent="0.25">
      <c r="A1107" s="85">
        <v>46166</v>
      </c>
      <c r="B1107" t="s">
        <v>19</v>
      </c>
      <c r="C1107">
        <v>19</v>
      </c>
      <c r="D1107" s="86">
        <v>1</v>
      </c>
      <c r="E1107">
        <v>5</v>
      </c>
      <c r="F1107">
        <v>3</v>
      </c>
      <c r="G1107">
        <v>22</v>
      </c>
      <c r="H1107">
        <v>12</v>
      </c>
      <c r="I1107">
        <v>0.6</v>
      </c>
      <c r="J1107">
        <v>0.55000000000000004</v>
      </c>
      <c r="K1107">
        <v>0</v>
      </c>
      <c r="L1107">
        <v>0</v>
      </c>
      <c r="M1107">
        <v>0</v>
      </c>
      <c r="N1107">
        <v>0</v>
      </c>
      <c r="O1107">
        <v>1</v>
      </c>
      <c r="P1107">
        <v>0</v>
      </c>
      <c r="Q1107">
        <v>0</v>
      </c>
      <c r="R1107">
        <v>0</v>
      </c>
      <c r="S1107">
        <v>0</v>
      </c>
      <c r="T1107">
        <v>0</v>
      </c>
      <c r="U1107">
        <v>0</v>
      </c>
      <c r="V1107">
        <v>0</v>
      </c>
      <c r="W1107">
        <v>1</v>
      </c>
      <c r="X1107">
        <v>1</v>
      </c>
      <c r="Y1107">
        <v>0</v>
      </c>
      <c r="Z1107">
        <v>0</v>
      </c>
      <c r="AA1107" s="86">
        <f>AVERAGEIFS($C$2:C1107, $B$2:B1107, B1107)</f>
        <v>12.512820512820513</v>
      </c>
      <c r="AB1107" s="86">
        <f>AVERAGEIFS($I$2:I1107, $B$2:B1107, B1107)</f>
        <v>0.45512820512820512</v>
      </c>
      <c r="AC1107" s="86">
        <f>AVERAGEIFS($J$2:J1107, $B$2:B1107, B1107)</f>
        <v>0.46974358974358982</v>
      </c>
      <c r="AD1107" s="86">
        <f>AVERAGEIFS($D$2:D1107, $B$2:B1107, B1107)</f>
        <v>0.4358974358974359</v>
      </c>
    </row>
    <row r="1108" spans="1:30" x14ac:dyDescent="0.25">
      <c r="A1108" s="85">
        <v>46166</v>
      </c>
      <c r="B1108" t="s">
        <v>15</v>
      </c>
      <c r="C1108">
        <v>33</v>
      </c>
      <c r="D1108" s="86">
        <v>1</v>
      </c>
      <c r="E1108">
        <v>5</v>
      </c>
      <c r="F1108">
        <v>3</v>
      </c>
      <c r="G1108">
        <v>22</v>
      </c>
      <c r="H1108">
        <v>12</v>
      </c>
      <c r="I1108">
        <v>0.6</v>
      </c>
      <c r="J1108">
        <v>0.55000000000000004</v>
      </c>
      <c r="K1108">
        <v>0</v>
      </c>
      <c r="L1108">
        <v>0</v>
      </c>
      <c r="M1108">
        <v>0</v>
      </c>
      <c r="N1108">
        <v>0</v>
      </c>
      <c r="O1108">
        <v>1</v>
      </c>
      <c r="P1108">
        <v>0</v>
      </c>
      <c r="Q1108">
        <v>0</v>
      </c>
      <c r="R1108">
        <v>0</v>
      </c>
      <c r="S1108">
        <v>0</v>
      </c>
      <c r="T1108">
        <v>0</v>
      </c>
      <c r="U1108">
        <v>0</v>
      </c>
      <c r="V1108">
        <v>0</v>
      </c>
      <c r="W1108">
        <v>1</v>
      </c>
      <c r="X1108">
        <v>1</v>
      </c>
      <c r="Y1108">
        <v>0</v>
      </c>
      <c r="Z1108">
        <v>0</v>
      </c>
      <c r="AA1108" s="86">
        <f>AVERAGEIFS($C$2:C1108, $B$2:B1108, B1108)</f>
        <v>23.083333333333332</v>
      </c>
      <c r="AB1108" s="86">
        <f>AVERAGEIFS($I$2:I1108, $B$2:B1108, B1108)</f>
        <v>0.4645833333333334</v>
      </c>
      <c r="AC1108" s="86">
        <f>AVERAGEIFS($J$2:J1108, $B$2:B1108, B1108)</f>
        <v>0.49</v>
      </c>
      <c r="AD1108" s="86">
        <f>AVERAGEIFS($D$2:D1108, $B$2:B1108, B1108)</f>
        <v>0.41666666666666669</v>
      </c>
    </row>
    <row r="1109" spans="1:30" x14ac:dyDescent="0.25">
      <c r="A1109" s="85">
        <v>46166</v>
      </c>
      <c r="B1109" t="s">
        <v>14</v>
      </c>
      <c r="C1109">
        <v>54</v>
      </c>
      <c r="D1109" s="86">
        <v>1</v>
      </c>
      <c r="E1109">
        <v>5</v>
      </c>
      <c r="F1109">
        <v>3</v>
      </c>
      <c r="G1109">
        <v>22</v>
      </c>
      <c r="H1109">
        <v>12</v>
      </c>
      <c r="I1109">
        <v>0.6</v>
      </c>
      <c r="J1109">
        <v>0.55000000000000004</v>
      </c>
      <c r="K1109">
        <v>0</v>
      </c>
      <c r="L1109">
        <v>0</v>
      </c>
      <c r="M1109">
        <v>0</v>
      </c>
      <c r="N1109">
        <v>0</v>
      </c>
      <c r="O1109">
        <v>1</v>
      </c>
      <c r="P1109">
        <v>0</v>
      </c>
      <c r="Q1109">
        <v>0</v>
      </c>
      <c r="R1109">
        <v>0</v>
      </c>
      <c r="S1109">
        <v>0</v>
      </c>
      <c r="T1109">
        <v>0</v>
      </c>
      <c r="U1109">
        <v>0</v>
      </c>
      <c r="V1109">
        <v>0</v>
      </c>
      <c r="W1109">
        <v>1</v>
      </c>
      <c r="X1109">
        <v>1</v>
      </c>
      <c r="Y1109">
        <v>0</v>
      </c>
      <c r="Z1109">
        <v>0</v>
      </c>
      <c r="AA1109" s="86">
        <f>AVERAGEIFS($C$2:C1109, $B$2:B1109, B1109)</f>
        <v>24.235294117647058</v>
      </c>
      <c r="AB1109" s="86">
        <f>AVERAGEIFS($I$2:I1109, $B$2:B1109, B1109)</f>
        <v>0.48725490196078436</v>
      </c>
      <c r="AC1109" s="86">
        <f>AVERAGEIFS($J$2:J1109, $B$2:B1109, B1109)</f>
        <v>0.48843137254901969</v>
      </c>
      <c r="AD1109" s="86">
        <f>AVERAGEIFS($D$2:D1109, $B$2:B1109, B1109)</f>
        <v>0.49019607843137253</v>
      </c>
    </row>
    <row r="1110" spans="1:30" x14ac:dyDescent="0.25">
      <c r="A1110" s="85">
        <v>46166</v>
      </c>
      <c r="B1110" t="s">
        <v>155</v>
      </c>
      <c r="C1110">
        <v>26</v>
      </c>
      <c r="D1110" s="86">
        <v>1</v>
      </c>
      <c r="E1110">
        <v>5</v>
      </c>
      <c r="F1110">
        <v>3</v>
      </c>
      <c r="G1110">
        <v>22</v>
      </c>
      <c r="H1110">
        <v>12</v>
      </c>
      <c r="I1110">
        <v>0.6</v>
      </c>
      <c r="J1110">
        <v>0.55000000000000004</v>
      </c>
      <c r="K1110">
        <v>0</v>
      </c>
      <c r="L1110">
        <v>0</v>
      </c>
      <c r="M1110">
        <v>0</v>
      </c>
      <c r="N1110">
        <v>0</v>
      </c>
      <c r="O1110">
        <v>1</v>
      </c>
      <c r="P1110">
        <v>0</v>
      </c>
      <c r="Q1110">
        <v>0</v>
      </c>
      <c r="R1110">
        <v>0</v>
      </c>
      <c r="S1110">
        <v>0</v>
      </c>
      <c r="T1110">
        <v>0</v>
      </c>
      <c r="U1110">
        <v>0</v>
      </c>
      <c r="V1110">
        <v>0</v>
      </c>
      <c r="W1110">
        <v>1</v>
      </c>
      <c r="X1110">
        <v>1</v>
      </c>
      <c r="Y1110">
        <v>0</v>
      </c>
      <c r="Z1110">
        <v>0</v>
      </c>
      <c r="AA1110" s="86">
        <f>AVERAGEIFS($C$2:C1110, $B$2:B1110, B1110)</f>
        <v>18.09090909090909</v>
      </c>
      <c r="AB1110" s="86">
        <f>AVERAGEIFS($I$2:I1110, $B$2:B1110, B1110)</f>
        <v>0.39999999999999997</v>
      </c>
      <c r="AC1110" s="86">
        <f>AVERAGEIFS($J$2:J1110, $B$2:B1110, B1110)</f>
        <v>0.47000000000000003</v>
      </c>
      <c r="AD1110" s="86">
        <f>AVERAGEIFS($D$2:D1110, $B$2:B1110, B1110)</f>
        <v>0.36363636363636365</v>
      </c>
    </row>
    <row r="1111" spans="1:30" x14ac:dyDescent="0.25">
      <c r="A1111" s="85">
        <v>46167</v>
      </c>
      <c r="B1111" t="s">
        <v>2</v>
      </c>
      <c r="C1111">
        <v>19</v>
      </c>
      <c r="D1111" s="86">
        <v>0</v>
      </c>
      <c r="E1111">
        <v>4</v>
      </c>
      <c r="F1111">
        <v>1</v>
      </c>
      <c r="G1111">
        <v>16</v>
      </c>
      <c r="H1111">
        <v>7</v>
      </c>
      <c r="I1111">
        <v>0.25</v>
      </c>
      <c r="J1111">
        <v>0.44</v>
      </c>
      <c r="K1111">
        <v>0</v>
      </c>
      <c r="L1111">
        <v>0</v>
      </c>
      <c r="M1111">
        <v>0</v>
      </c>
      <c r="N1111">
        <v>0</v>
      </c>
      <c r="O1111">
        <v>0</v>
      </c>
      <c r="P1111">
        <v>0</v>
      </c>
      <c r="Q1111">
        <v>0</v>
      </c>
      <c r="R1111">
        <v>0</v>
      </c>
      <c r="S1111">
        <v>0</v>
      </c>
      <c r="T1111">
        <v>0</v>
      </c>
      <c r="U1111">
        <v>0</v>
      </c>
      <c r="V1111">
        <v>0</v>
      </c>
      <c r="W1111">
        <v>0</v>
      </c>
      <c r="X1111">
        <v>1</v>
      </c>
      <c r="Y1111">
        <v>0</v>
      </c>
      <c r="Z1111">
        <v>0</v>
      </c>
      <c r="AA1111" s="86">
        <f>AVERAGEIFS($C$2:C1111, $B$2:B1111, B1111)</f>
        <v>28.38095238095238</v>
      </c>
      <c r="AB1111" s="86">
        <f>AVERAGEIFS($I$2:I1111, $B$2:B1111, B1111)</f>
        <v>0.59523809523809534</v>
      </c>
      <c r="AC1111" s="86">
        <f>AVERAGEIFS($J$2:J1111, $B$2:B1111, B1111)</f>
        <v>0.54999999999999993</v>
      </c>
      <c r="AD1111" s="86">
        <f>AVERAGEIFS($D$2:D1111, $B$2:B1111, B1111)</f>
        <v>0.52380952380952384</v>
      </c>
    </row>
    <row r="1112" spans="1:30" x14ac:dyDescent="0.25">
      <c r="A1112" s="85">
        <v>46167</v>
      </c>
      <c r="B1112" t="s">
        <v>6</v>
      </c>
      <c r="C1112">
        <v>17</v>
      </c>
      <c r="D1112" s="86">
        <v>0</v>
      </c>
      <c r="E1112">
        <v>4</v>
      </c>
      <c r="F1112">
        <v>1</v>
      </c>
      <c r="G1112">
        <v>16</v>
      </c>
      <c r="H1112">
        <v>7</v>
      </c>
      <c r="I1112">
        <v>0.25</v>
      </c>
      <c r="J1112">
        <v>0.44</v>
      </c>
      <c r="K1112">
        <v>0</v>
      </c>
      <c r="L1112">
        <v>0</v>
      </c>
      <c r="M1112">
        <v>0</v>
      </c>
      <c r="N1112">
        <v>0</v>
      </c>
      <c r="O1112">
        <v>0</v>
      </c>
      <c r="P1112">
        <v>0</v>
      </c>
      <c r="Q1112">
        <v>0</v>
      </c>
      <c r="R1112">
        <v>0</v>
      </c>
      <c r="S1112">
        <v>0</v>
      </c>
      <c r="T1112">
        <v>0</v>
      </c>
      <c r="U1112">
        <v>0</v>
      </c>
      <c r="V1112">
        <v>0</v>
      </c>
      <c r="W1112">
        <v>0</v>
      </c>
      <c r="X1112">
        <v>1</v>
      </c>
      <c r="Y1112">
        <v>0</v>
      </c>
      <c r="Z1112">
        <v>0</v>
      </c>
      <c r="AA1112" s="86">
        <f>AVERAGEIFS($C$2:C1112, $B$2:B1112, B1112)</f>
        <v>24.060606060606062</v>
      </c>
      <c r="AB1112" s="86">
        <f>AVERAGEIFS($I$2:I1112, $B$2:B1112, B1112)</f>
        <v>0.63030303030303036</v>
      </c>
      <c r="AC1112" s="86">
        <f>AVERAGEIFS($J$2:J1112, $B$2:B1112, B1112)</f>
        <v>0.56333333333333335</v>
      </c>
      <c r="AD1112" s="86">
        <f>AVERAGEIFS($D$2:D1112, $B$2:B1112, B1112)</f>
        <v>0.69696969696969702</v>
      </c>
    </row>
    <row r="1113" spans="1:30" x14ac:dyDescent="0.25">
      <c r="A1113" s="85">
        <v>46167</v>
      </c>
      <c r="B1113" t="s">
        <v>71</v>
      </c>
      <c r="C1113">
        <v>12</v>
      </c>
      <c r="D1113" s="86">
        <v>0</v>
      </c>
      <c r="E1113">
        <v>4</v>
      </c>
      <c r="F1113">
        <v>1</v>
      </c>
      <c r="G1113">
        <v>16</v>
      </c>
      <c r="H1113">
        <v>7</v>
      </c>
      <c r="I1113">
        <v>0.25</v>
      </c>
      <c r="J1113">
        <v>0.44</v>
      </c>
      <c r="K1113">
        <v>0</v>
      </c>
      <c r="L1113">
        <v>0</v>
      </c>
      <c r="M1113">
        <v>0</v>
      </c>
      <c r="N1113">
        <v>0</v>
      </c>
      <c r="O1113">
        <v>0</v>
      </c>
      <c r="P1113">
        <v>0</v>
      </c>
      <c r="Q1113">
        <v>0</v>
      </c>
      <c r="R1113">
        <v>0</v>
      </c>
      <c r="S1113">
        <v>0</v>
      </c>
      <c r="T1113">
        <v>0</v>
      </c>
      <c r="U1113">
        <v>0</v>
      </c>
      <c r="V1113">
        <v>0</v>
      </c>
      <c r="W1113">
        <v>0</v>
      </c>
      <c r="X1113">
        <v>1</v>
      </c>
      <c r="Y1113">
        <v>0</v>
      </c>
      <c r="Z1113">
        <v>0</v>
      </c>
      <c r="AA1113" s="86">
        <f>AVERAGEIFS($C$2:C1113, $B$2:B1113, B1113)</f>
        <v>11.333333333333334</v>
      </c>
      <c r="AB1113" s="86">
        <f>AVERAGEIFS($I$2:I1113, $B$2:B1113, B1113)</f>
        <v>0.48333333333333334</v>
      </c>
      <c r="AC1113" s="86">
        <f>AVERAGEIFS($J$2:J1113, $B$2:B1113, B1113)</f>
        <v>0.49666666666666665</v>
      </c>
      <c r="AD1113" s="86">
        <f>AVERAGEIFS($D$2:D1113, $B$2:B1113, B1113)</f>
        <v>0.66666666666666663</v>
      </c>
    </row>
    <row r="1114" spans="1:30" x14ac:dyDescent="0.25">
      <c r="A1114" s="85">
        <v>46167</v>
      </c>
      <c r="B1114" t="s">
        <v>148</v>
      </c>
      <c r="C1114">
        <v>10</v>
      </c>
      <c r="D1114" s="86">
        <v>0</v>
      </c>
      <c r="E1114">
        <v>4</v>
      </c>
      <c r="F1114">
        <v>1</v>
      </c>
      <c r="G1114">
        <v>16</v>
      </c>
      <c r="H1114">
        <v>7</v>
      </c>
      <c r="I1114">
        <v>0.25</v>
      </c>
      <c r="J1114">
        <v>0.44</v>
      </c>
      <c r="K1114">
        <v>0</v>
      </c>
      <c r="L1114">
        <v>0</v>
      </c>
      <c r="M1114">
        <v>0</v>
      </c>
      <c r="N1114">
        <v>0</v>
      </c>
      <c r="O1114">
        <v>0</v>
      </c>
      <c r="P1114">
        <v>0</v>
      </c>
      <c r="Q1114">
        <v>0</v>
      </c>
      <c r="R1114">
        <v>0</v>
      </c>
      <c r="S1114">
        <v>0</v>
      </c>
      <c r="T1114">
        <v>0</v>
      </c>
      <c r="U1114">
        <v>0</v>
      </c>
      <c r="V1114">
        <v>0</v>
      </c>
      <c r="W1114">
        <v>0</v>
      </c>
      <c r="X1114">
        <v>1</v>
      </c>
      <c r="Y1114">
        <v>0</v>
      </c>
      <c r="Z1114">
        <v>0</v>
      </c>
      <c r="AA1114" s="86">
        <f>AVERAGEIFS($C$2:C1114, $B$2:B1114, B1114)</f>
        <v>12.8</v>
      </c>
      <c r="AB1114" s="86">
        <f>AVERAGEIFS($I$2:I1114, $B$2:B1114, B1114)</f>
        <v>0.52999999999999992</v>
      </c>
      <c r="AC1114" s="86">
        <f>AVERAGEIFS($J$2:J1114, $B$2:B1114, B1114)</f>
        <v>0.51275000000000004</v>
      </c>
      <c r="AD1114" s="86">
        <f>AVERAGEIFS($D$2:D1114, $B$2:B1114, B1114)</f>
        <v>0.52500000000000002</v>
      </c>
    </row>
    <row r="1115" spans="1:30" x14ac:dyDescent="0.25">
      <c r="A1115" s="85">
        <v>46167</v>
      </c>
      <c r="B1115" t="s">
        <v>150</v>
      </c>
      <c r="C1115">
        <v>10</v>
      </c>
      <c r="D1115" s="86">
        <v>0</v>
      </c>
      <c r="E1115">
        <v>4</v>
      </c>
      <c r="F1115">
        <v>1</v>
      </c>
      <c r="G1115">
        <v>16</v>
      </c>
      <c r="H1115">
        <v>7</v>
      </c>
      <c r="I1115">
        <v>0.25</v>
      </c>
      <c r="J1115">
        <v>0.44</v>
      </c>
      <c r="K1115">
        <v>0</v>
      </c>
      <c r="L1115">
        <v>0</v>
      </c>
      <c r="M1115">
        <v>0</v>
      </c>
      <c r="N1115">
        <v>0</v>
      </c>
      <c r="O1115">
        <v>0</v>
      </c>
      <c r="P1115">
        <v>0</v>
      </c>
      <c r="Q1115">
        <v>0</v>
      </c>
      <c r="R1115">
        <v>0</v>
      </c>
      <c r="S1115">
        <v>0</v>
      </c>
      <c r="T1115">
        <v>0</v>
      </c>
      <c r="U1115">
        <v>0</v>
      </c>
      <c r="V1115">
        <v>0</v>
      </c>
      <c r="W1115">
        <v>0</v>
      </c>
      <c r="X1115">
        <v>1</v>
      </c>
      <c r="Y1115">
        <v>0</v>
      </c>
      <c r="Z1115">
        <v>0</v>
      </c>
      <c r="AA1115" s="86">
        <f>AVERAGEIFS($C$2:C1115, $B$2:B1115, B1115)</f>
        <v>18.235294117647058</v>
      </c>
      <c r="AB1115" s="86">
        <f>AVERAGEIFS($I$2:I1115, $B$2:B1115, B1115)</f>
        <v>0.66176470588235292</v>
      </c>
      <c r="AC1115" s="86">
        <f>AVERAGEIFS($J$2:J1115, $B$2:B1115, B1115)</f>
        <v>0.59235294117647042</v>
      </c>
      <c r="AD1115" s="86">
        <f>AVERAGEIFS($D$2:D1115, $B$2:B1115, B1115)</f>
        <v>0.70588235294117652</v>
      </c>
    </row>
    <row r="1116" spans="1:30" x14ac:dyDescent="0.25">
      <c r="A1116" s="85">
        <v>46167</v>
      </c>
      <c r="B1116" t="s">
        <v>141</v>
      </c>
      <c r="C1116">
        <v>5</v>
      </c>
      <c r="D1116" s="86">
        <v>0</v>
      </c>
      <c r="E1116">
        <v>4</v>
      </c>
      <c r="F1116">
        <v>1</v>
      </c>
      <c r="G1116">
        <v>16</v>
      </c>
      <c r="H1116">
        <v>7</v>
      </c>
      <c r="I1116">
        <v>0.25</v>
      </c>
      <c r="J1116">
        <v>0.44</v>
      </c>
      <c r="K1116">
        <v>0</v>
      </c>
      <c r="L1116">
        <v>0</v>
      </c>
      <c r="M1116">
        <v>0</v>
      </c>
      <c r="N1116">
        <v>0</v>
      </c>
      <c r="O1116">
        <v>0</v>
      </c>
      <c r="P1116">
        <v>0</v>
      </c>
      <c r="Q1116">
        <v>0</v>
      </c>
      <c r="R1116">
        <v>0</v>
      </c>
      <c r="S1116">
        <v>0</v>
      </c>
      <c r="T1116">
        <v>0</v>
      </c>
      <c r="U1116">
        <v>0</v>
      </c>
      <c r="V1116">
        <v>0</v>
      </c>
      <c r="W1116">
        <v>0</v>
      </c>
      <c r="X1116">
        <v>1</v>
      </c>
      <c r="Y1116">
        <v>0</v>
      </c>
      <c r="Z1116">
        <v>0</v>
      </c>
      <c r="AA1116" s="86">
        <f>AVERAGEIFS($C$2:C1116, $B$2:B1116, B1116)</f>
        <v>16.1875</v>
      </c>
      <c r="AB1116" s="86">
        <f>AVERAGEIFS($I$2:I1116, $B$2:B1116, B1116)</f>
        <v>0.44062499999999999</v>
      </c>
      <c r="AC1116" s="86">
        <f>AVERAGEIFS($J$2:J1116, $B$2:B1116, B1116)</f>
        <v>0.48500000000000004</v>
      </c>
      <c r="AD1116" s="86">
        <f>AVERAGEIFS($D$2:D1116, $B$2:B1116, B1116)</f>
        <v>0.375</v>
      </c>
    </row>
    <row r="1117" spans="1:30" x14ac:dyDescent="0.25">
      <c r="A1117" s="85">
        <v>46167</v>
      </c>
      <c r="B1117" t="s">
        <v>14</v>
      </c>
      <c r="C1117">
        <v>13</v>
      </c>
      <c r="D1117" s="86">
        <v>1</v>
      </c>
      <c r="E1117">
        <v>4</v>
      </c>
      <c r="F1117">
        <v>3</v>
      </c>
      <c r="G1117">
        <v>16</v>
      </c>
      <c r="H1117">
        <v>9</v>
      </c>
      <c r="I1117">
        <v>0.75</v>
      </c>
      <c r="J1117">
        <v>0.56000000000000005</v>
      </c>
      <c r="K1117">
        <v>0</v>
      </c>
      <c r="L1117">
        <v>0</v>
      </c>
      <c r="M1117">
        <v>1</v>
      </c>
      <c r="N1117">
        <v>1</v>
      </c>
      <c r="O1117">
        <v>0</v>
      </c>
      <c r="P1117">
        <v>0</v>
      </c>
      <c r="Q1117">
        <v>0</v>
      </c>
      <c r="R1117">
        <v>0</v>
      </c>
      <c r="S1117">
        <v>0</v>
      </c>
      <c r="T1117">
        <v>0</v>
      </c>
      <c r="U1117">
        <v>0</v>
      </c>
      <c r="V1117">
        <v>0</v>
      </c>
      <c r="W1117">
        <v>0</v>
      </c>
      <c r="X1117">
        <v>0</v>
      </c>
      <c r="Y1117">
        <v>0</v>
      </c>
      <c r="Z1117">
        <v>1</v>
      </c>
      <c r="AA1117" s="86">
        <f>AVERAGEIFS($C$2:C1117, $B$2:B1117, B1117)</f>
        <v>24.01923076923077</v>
      </c>
      <c r="AB1117" s="86">
        <f>AVERAGEIFS($I$2:I1117, $B$2:B1117, B1117)</f>
        <v>0.49230769230769234</v>
      </c>
      <c r="AC1117" s="86">
        <f>AVERAGEIFS($J$2:J1117, $B$2:B1117, B1117)</f>
        <v>0.48980769230769233</v>
      </c>
      <c r="AD1117" s="86">
        <f>AVERAGEIFS($D$2:D1117, $B$2:B1117, B1117)</f>
        <v>0.5</v>
      </c>
    </row>
    <row r="1118" spans="1:30" x14ac:dyDescent="0.25">
      <c r="A1118" s="85">
        <v>46167</v>
      </c>
      <c r="B1118" t="s">
        <v>18</v>
      </c>
      <c r="C1118">
        <v>5</v>
      </c>
      <c r="D1118" s="86">
        <v>1</v>
      </c>
      <c r="E1118">
        <v>4</v>
      </c>
      <c r="F1118">
        <v>3</v>
      </c>
      <c r="G1118">
        <v>16</v>
      </c>
      <c r="H1118">
        <v>9</v>
      </c>
      <c r="I1118">
        <v>0.75</v>
      </c>
      <c r="J1118">
        <v>0.56000000000000005</v>
      </c>
      <c r="K1118">
        <v>0</v>
      </c>
      <c r="L1118">
        <v>0</v>
      </c>
      <c r="M1118">
        <v>1</v>
      </c>
      <c r="N1118">
        <v>1</v>
      </c>
      <c r="O1118">
        <v>0</v>
      </c>
      <c r="P1118">
        <v>0</v>
      </c>
      <c r="Q1118">
        <v>0</v>
      </c>
      <c r="R1118">
        <v>0</v>
      </c>
      <c r="S1118">
        <v>0</v>
      </c>
      <c r="T1118">
        <v>0</v>
      </c>
      <c r="U1118">
        <v>0</v>
      </c>
      <c r="V1118">
        <v>0</v>
      </c>
      <c r="W1118">
        <v>0</v>
      </c>
      <c r="X1118">
        <v>0</v>
      </c>
      <c r="Y1118">
        <v>0</v>
      </c>
      <c r="Z1118">
        <v>1</v>
      </c>
      <c r="AA1118" s="86">
        <f>AVERAGEIFS($C$2:C1118, $B$2:B1118, B1118)</f>
        <v>26.162162162162161</v>
      </c>
      <c r="AB1118" s="86">
        <f>AVERAGEIFS($I$2:I1118, $B$2:B1118, B1118)</f>
        <v>0.48108108108108111</v>
      </c>
      <c r="AC1118" s="86">
        <f>AVERAGEIFS($J$2:J1118, $B$2:B1118, B1118)</f>
        <v>0.49054054054054053</v>
      </c>
      <c r="AD1118" s="86">
        <f>AVERAGEIFS($D$2:D1118, $B$2:B1118, B1118)</f>
        <v>0.48648648648648651</v>
      </c>
    </row>
    <row r="1119" spans="1:30" x14ac:dyDescent="0.25">
      <c r="A1119" s="85">
        <v>46167</v>
      </c>
      <c r="B1119" t="s">
        <v>155</v>
      </c>
      <c r="C1119">
        <v>19</v>
      </c>
      <c r="D1119" s="86">
        <v>1</v>
      </c>
      <c r="E1119">
        <v>4</v>
      </c>
      <c r="F1119">
        <v>3</v>
      </c>
      <c r="G1119">
        <v>16</v>
      </c>
      <c r="H1119">
        <v>9</v>
      </c>
      <c r="I1119">
        <v>0.75</v>
      </c>
      <c r="J1119">
        <v>0.56000000000000005</v>
      </c>
      <c r="K1119">
        <v>0</v>
      </c>
      <c r="L1119">
        <v>0</v>
      </c>
      <c r="M1119">
        <v>1</v>
      </c>
      <c r="N1119">
        <v>1</v>
      </c>
      <c r="O1119">
        <v>0</v>
      </c>
      <c r="P1119">
        <v>0</v>
      </c>
      <c r="Q1119">
        <v>0</v>
      </c>
      <c r="R1119">
        <v>0</v>
      </c>
      <c r="S1119">
        <v>0</v>
      </c>
      <c r="T1119">
        <v>0</v>
      </c>
      <c r="U1119">
        <v>0</v>
      </c>
      <c r="V1119">
        <v>0</v>
      </c>
      <c r="W1119">
        <v>0</v>
      </c>
      <c r="X1119">
        <v>0</v>
      </c>
      <c r="Y1119">
        <v>0</v>
      </c>
      <c r="Z1119">
        <v>1</v>
      </c>
      <c r="AA1119" s="86">
        <f>AVERAGEIFS($C$2:C1119, $B$2:B1119, B1119)</f>
        <v>18.117647058823529</v>
      </c>
      <c r="AB1119" s="86">
        <f>AVERAGEIFS($I$2:I1119, $B$2:B1119, B1119)</f>
        <v>0.41029411764705881</v>
      </c>
      <c r="AC1119" s="86">
        <f>AVERAGEIFS($J$2:J1119, $B$2:B1119, B1119)</f>
        <v>0.47264705882352942</v>
      </c>
      <c r="AD1119" s="86">
        <f>AVERAGEIFS($D$2:D1119, $B$2:B1119, B1119)</f>
        <v>0.38235294117647056</v>
      </c>
    </row>
    <row r="1120" spans="1:30" x14ac:dyDescent="0.25">
      <c r="A1120" s="85">
        <v>46167</v>
      </c>
      <c r="B1120" t="s">
        <v>113</v>
      </c>
      <c r="C1120">
        <v>16</v>
      </c>
      <c r="D1120" s="86">
        <v>1</v>
      </c>
      <c r="E1120">
        <v>4</v>
      </c>
      <c r="F1120">
        <v>3</v>
      </c>
      <c r="G1120">
        <v>16</v>
      </c>
      <c r="H1120">
        <v>9</v>
      </c>
      <c r="I1120">
        <v>0.75</v>
      </c>
      <c r="J1120">
        <v>0.56000000000000005</v>
      </c>
      <c r="K1120">
        <v>0</v>
      </c>
      <c r="L1120">
        <v>0</v>
      </c>
      <c r="M1120">
        <v>1</v>
      </c>
      <c r="N1120">
        <v>1</v>
      </c>
      <c r="O1120">
        <v>0</v>
      </c>
      <c r="P1120">
        <v>0</v>
      </c>
      <c r="Q1120">
        <v>0</v>
      </c>
      <c r="R1120">
        <v>0</v>
      </c>
      <c r="S1120">
        <v>0</v>
      </c>
      <c r="T1120">
        <v>0</v>
      </c>
      <c r="U1120">
        <v>0</v>
      </c>
      <c r="V1120">
        <v>0</v>
      </c>
      <c r="W1120">
        <v>0</v>
      </c>
      <c r="X1120">
        <v>0</v>
      </c>
      <c r="Y1120">
        <v>0</v>
      </c>
      <c r="Z1120">
        <v>1</v>
      </c>
      <c r="AA1120" s="86">
        <f>AVERAGEIFS($C$2:C1120, $B$2:B1120, B1120)</f>
        <v>20.0625</v>
      </c>
      <c r="AB1120" s="86">
        <f>AVERAGEIFS($I$2:I1120, $B$2:B1120, B1120)</f>
        <v>0.59062500000000007</v>
      </c>
      <c r="AC1120" s="86">
        <f>AVERAGEIFS($J$2:J1120, $B$2:B1120, B1120)</f>
        <v>0.52687499999999987</v>
      </c>
      <c r="AD1120" s="86">
        <f>AVERAGEIFS($D$2:D1120, $B$2:B1120, B1120)</f>
        <v>0.6875</v>
      </c>
    </row>
    <row r="1121" spans="1:30" x14ac:dyDescent="0.25">
      <c r="A1121" s="85">
        <v>46167</v>
      </c>
      <c r="B1121" t="s">
        <v>35</v>
      </c>
      <c r="C1121">
        <v>5</v>
      </c>
      <c r="D1121" s="86">
        <v>1</v>
      </c>
      <c r="E1121">
        <v>4</v>
      </c>
      <c r="F1121">
        <v>3</v>
      </c>
      <c r="G1121">
        <v>16</v>
      </c>
      <c r="H1121">
        <v>9</v>
      </c>
      <c r="I1121">
        <v>0.75</v>
      </c>
      <c r="J1121">
        <v>0.56000000000000005</v>
      </c>
      <c r="K1121">
        <v>0</v>
      </c>
      <c r="L1121">
        <v>0</v>
      </c>
      <c r="M1121">
        <v>1</v>
      </c>
      <c r="N1121">
        <v>1</v>
      </c>
      <c r="O1121">
        <v>0</v>
      </c>
      <c r="P1121">
        <v>0</v>
      </c>
      <c r="Q1121">
        <v>0</v>
      </c>
      <c r="R1121">
        <v>0</v>
      </c>
      <c r="S1121">
        <v>0</v>
      </c>
      <c r="T1121">
        <v>0</v>
      </c>
      <c r="U1121">
        <v>0</v>
      </c>
      <c r="V1121">
        <v>0</v>
      </c>
      <c r="W1121">
        <v>0</v>
      </c>
      <c r="X1121">
        <v>0</v>
      </c>
      <c r="Y1121">
        <v>0</v>
      </c>
      <c r="Z1121">
        <v>1</v>
      </c>
      <c r="AA1121" s="86">
        <f>AVERAGEIFS($C$2:C1121, $B$2:B1121, B1121)</f>
        <v>12.410256410256411</v>
      </c>
      <c r="AB1121" s="86">
        <f>AVERAGEIFS($I$2:I1121, $B$2:B1121, B1121)</f>
        <v>0.53589743589743599</v>
      </c>
      <c r="AC1121" s="86">
        <f>AVERAGEIFS($J$2:J1121, $B$2:B1121, B1121)</f>
        <v>0.51102564102564108</v>
      </c>
      <c r="AD1121" s="86">
        <f>AVERAGEIFS($D$2:D1121, $B$2:B1121, B1121)</f>
        <v>0.64102564102564108</v>
      </c>
    </row>
    <row r="1122" spans="1:30" x14ac:dyDescent="0.25">
      <c r="A1122" s="85">
        <v>46167</v>
      </c>
      <c r="B1122" t="s">
        <v>179</v>
      </c>
      <c r="C1122">
        <v>16</v>
      </c>
      <c r="D1122" s="86">
        <v>1</v>
      </c>
      <c r="E1122">
        <v>4</v>
      </c>
      <c r="F1122">
        <v>3</v>
      </c>
      <c r="G1122">
        <v>16</v>
      </c>
      <c r="H1122">
        <v>9</v>
      </c>
      <c r="I1122">
        <v>0.75</v>
      </c>
      <c r="J1122">
        <v>0.56000000000000005</v>
      </c>
      <c r="K1122">
        <v>0</v>
      </c>
      <c r="L1122">
        <v>0</v>
      </c>
      <c r="M1122">
        <v>1</v>
      </c>
      <c r="N1122">
        <v>1</v>
      </c>
      <c r="O1122">
        <v>0</v>
      </c>
      <c r="P1122">
        <v>0</v>
      </c>
      <c r="Q1122">
        <v>0</v>
      </c>
      <c r="R1122">
        <v>0</v>
      </c>
      <c r="S1122">
        <v>0</v>
      </c>
      <c r="T1122">
        <v>0</v>
      </c>
      <c r="U1122">
        <v>0</v>
      </c>
      <c r="V1122">
        <v>0</v>
      </c>
      <c r="W1122">
        <v>0</v>
      </c>
      <c r="X1122">
        <v>0</v>
      </c>
      <c r="Y1122">
        <v>0</v>
      </c>
      <c r="Z1122">
        <v>1</v>
      </c>
      <c r="AA1122" s="86">
        <f>AVERAGEIFS($C$2:C1122, $B$2:B1122, B1122)</f>
        <v>14.25</v>
      </c>
      <c r="AB1122" s="86">
        <f>AVERAGEIFS($I$2:I1122, $B$2:B1122, B1122)</f>
        <v>0.84375</v>
      </c>
      <c r="AC1122" s="86">
        <f>AVERAGEIFS($J$2:J1122, $B$2:B1122, B1122)</f>
        <v>0.61125000000000007</v>
      </c>
      <c r="AD1122" s="86">
        <f>AVERAGEIFS($D$2:D1122, $B$2:B1122, B1122)</f>
        <v>0.875</v>
      </c>
    </row>
    <row r="1123" spans="1:30" x14ac:dyDescent="0.25">
      <c r="A1123" s="85">
        <v>46167</v>
      </c>
      <c r="B1123" t="s">
        <v>38</v>
      </c>
      <c r="C1123">
        <v>7</v>
      </c>
      <c r="D1123" s="86">
        <v>1</v>
      </c>
      <c r="E1123">
        <v>4</v>
      </c>
      <c r="F1123">
        <v>3</v>
      </c>
      <c r="G1123">
        <v>16</v>
      </c>
      <c r="H1123">
        <v>9</v>
      </c>
      <c r="I1123">
        <v>0.75</v>
      </c>
      <c r="J1123">
        <v>0.56000000000000005</v>
      </c>
      <c r="K1123">
        <v>0</v>
      </c>
      <c r="L1123">
        <v>0</v>
      </c>
      <c r="M1123">
        <v>1</v>
      </c>
      <c r="N1123">
        <v>1</v>
      </c>
      <c r="O1123">
        <v>0</v>
      </c>
      <c r="P1123">
        <v>0</v>
      </c>
      <c r="Q1123">
        <v>0</v>
      </c>
      <c r="R1123">
        <v>0</v>
      </c>
      <c r="S1123">
        <v>0</v>
      </c>
      <c r="T1123">
        <v>0</v>
      </c>
      <c r="U1123">
        <v>0</v>
      </c>
      <c r="V1123">
        <v>0</v>
      </c>
      <c r="W1123">
        <v>0</v>
      </c>
      <c r="X1123">
        <v>0</v>
      </c>
      <c r="Y1123">
        <v>0</v>
      </c>
      <c r="Z1123">
        <v>1</v>
      </c>
      <c r="AA1123" s="86">
        <f>AVERAGEIFS($C$2:C1123, $B$2:B1123, B1123)</f>
        <v>7.7777777777777777</v>
      </c>
      <c r="AB1123" s="86">
        <f>AVERAGEIFS($I$2:I1123, $B$2:B1123, B1123)</f>
        <v>0.43055555555555558</v>
      </c>
      <c r="AC1123" s="86">
        <f>AVERAGEIFS($J$2:J1123, $B$2:B1123, B1123)</f>
        <v>0.46166666666666667</v>
      </c>
      <c r="AD1123" s="86">
        <f>AVERAGEIFS($D$2:D1123, $B$2:B1123, B1123)</f>
        <v>0.44444444444444442</v>
      </c>
    </row>
  </sheetData>
  <autoFilter ref="A1:AD958" xr:uid="{4D149F3A-41D8-4DA9-BFC4-DDE1AD24595A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64EE5-D164-41BC-AAB9-B3B061513FC6}">
  <dimension ref="A1:AI53"/>
  <sheetViews>
    <sheetView workbookViewId="0">
      <pane xSplit="1" ySplit="1" topLeftCell="B20" activePane="bottomRight" state="frozen"/>
      <selection pane="topRight" activeCell="B1" sqref="B1"/>
      <selection pane="bottomLeft" activeCell="A2" sqref="A2"/>
      <selection pane="bottomRight" activeCell="E50" sqref="E50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7" width="16.7109375" customWidth="1"/>
    <col min="10" max="10" width="17.140625" customWidth="1"/>
    <col min="11" max="18" width="9.140625" style="1"/>
    <col min="19" max="19" width="14.85546875" style="1" customWidth="1"/>
    <col min="20" max="21" width="13.28515625" bestFit="1" customWidth="1"/>
    <col min="22" max="22" width="12.7109375" bestFit="1" customWidth="1"/>
    <col min="23" max="23" width="18.7109375" bestFit="1" customWidth="1"/>
    <col min="24" max="24" width="8.5703125" bestFit="1" customWidth="1"/>
    <col min="25" max="25" width="11.7109375" bestFit="1" customWidth="1"/>
    <col min="26" max="26" width="11.85546875" customWidth="1"/>
    <col min="27" max="27" width="17" bestFit="1" customWidth="1"/>
    <col min="28" max="28" width="12.5703125" bestFit="1" customWidth="1"/>
    <col min="29" max="29" width="12.5703125" customWidth="1"/>
    <col min="30" max="30" width="10.7109375" bestFit="1" customWidth="1"/>
    <col min="31" max="32" width="12.85546875" bestFit="1" customWidth="1"/>
    <col min="33" max="33" width="12.7109375" bestFit="1" customWidth="1"/>
    <col min="34" max="34" width="13.85546875" bestFit="1" customWidth="1"/>
    <col min="35" max="35" width="15.7109375" bestFit="1" customWidth="1"/>
  </cols>
  <sheetData>
    <row r="1" spans="1:35" ht="30.75" thickBot="1" x14ac:dyDescent="0.3">
      <c r="A1" s="3" t="s">
        <v>0</v>
      </c>
      <c r="B1" s="3" t="s">
        <v>59</v>
      </c>
      <c r="C1" s="3" t="s">
        <v>61</v>
      </c>
      <c r="D1" s="3" t="s">
        <v>162</v>
      </c>
      <c r="E1" s="3" t="s">
        <v>163</v>
      </c>
      <c r="F1" s="3" t="s">
        <v>164</v>
      </c>
      <c r="G1" s="3" t="s">
        <v>170</v>
      </c>
      <c r="H1" s="31" t="s">
        <v>7</v>
      </c>
      <c r="I1" s="32" t="s">
        <v>36</v>
      </c>
      <c r="J1" s="33" t="s">
        <v>49</v>
      </c>
      <c r="K1" s="50" t="s">
        <v>97</v>
      </c>
      <c r="L1" s="22" t="s">
        <v>98</v>
      </c>
      <c r="M1" s="23" t="s">
        <v>123</v>
      </c>
      <c r="N1" s="50" t="s">
        <v>64</v>
      </c>
      <c r="O1" s="22" t="s">
        <v>101</v>
      </c>
      <c r="P1" s="23" t="s">
        <v>121</v>
      </c>
      <c r="Q1" s="51" t="s">
        <v>99</v>
      </c>
      <c r="R1" s="52" t="s">
        <v>100</v>
      </c>
      <c r="S1" s="46" t="s">
        <v>122</v>
      </c>
      <c r="T1" s="31" t="s">
        <v>41</v>
      </c>
      <c r="U1" s="32" t="s">
        <v>12</v>
      </c>
      <c r="V1" s="32" t="s">
        <v>10</v>
      </c>
      <c r="W1" s="32" t="s">
        <v>33</v>
      </c>
      <c r="X1" s="32" t="s">
        <v>48</v>
      </c>
      <c r="Y1" s="32" t="s">
        <v>32</v>
      </c>
      <c r="Z1" s="52" t="s">
        <v>65</v>
      </c>
      <c r="AA1" s="32" t="s">
        <v>31</v>
      </c>
      <c r="AB1" s="32" t="s">
        <v>58</v>
      </c>
      <c r="AC1" s="32" t="s">
        <v>145</v>
      </c>
      <c r="AD1" s="32" t="s">
        <v>57</v>
      </c>
      <c r="AE1" s="32" t="s">
        <v>56</v>
      </c>
      <c r="AF1" s="32" t="s">
        <v>9</v>
      </c>
      <c r="AG1" s="32" t="s">
        <v>30</v>
      </c>
      <c r="AH1" s="32" t="s">
        <v>11</v>
      </c>
      <c r="AI1" s="46" t="s">
        <v>39</v>
      </c>
    </row>
    <row r="2" spans="1:35" x14ac:dyDescent="0.25">
      <c r="A2" s="2" t="s">
        <v>168</v>
      </c>
      <c r="B2" s="3" t="s">
        <v>79</v>
      </c>
      <c r="C2" s="3" t="s">
        <v>79</v>
      </c>
      <c r="D2" s="3"/>
      <c r="E2" s="3"/>
      <c r="F2" s="3"/>
      <c r="G2" s="3"/>
      <c r="H2" s="34">
        <f>SUMIFS('OB History S2'!C:C,'OB History S2'!B:B,A2)</f>
        <v>2</v>
      </c>
      <c r="I2" s="4">
        <f>AVERAGEIFS('OB History S2'!C:C,'OB History S2'!B:B,A2)</f>
        <v>2</v>
      </c>
      <c r="J2" s="35">
        <f t="array" ref="J2">MAX(IF('OB History S2'!B:B=A2, 'OB History S2'!C:C))</f>
        <v>2</v>
      </c>
      <c r="K2" s="34">
        <f>COUNTIFS('OB History S2'!B:B,A2,'OB History S2'!D:D, 1)</f>
        <v>1</v>
      </c>
      <c r="L2" s="2">
        <f>COUNTIFS('OB History S2'!B:B,A2,'OB History S2'!D:D, 0)</f>
        <v>0</v>
      </c>
      <c r="M2" s="88">
        <f>LOOKUP(2, 1/('OB History S2'!$B:$B=A2), 'OB History S2'!$AD:$AD)</f>
        <v>1</v>
      </c>
      <c r="N2" s="34">
        <f>SUMIFS('OB History S2'!F:F,'OB History S2'!B:B,A2)</f>
        <v>3</v>
      </c>
      <c r="O2" s="2">
        <f>SUMIFS('OB History S2'!E:E,'OB History S2'!B:B,A2)-N2</f>
        <v>2</v>
      </c>
      <c r="P2" s="88">
        <f>LOOKUP(2, 1/('OB History S2'!$B:$B=A2), 'OB History S2'!$AB:$AB)</f>
        <v>0.6</v>
      </c>
      <c r="Q2" s="34">
        <f>SUMIFS('OB History S2'!H:H,'OB History S2'!B:B,A2)</f>
        <v>14</v>
      </c>
      <c r="R2" s="2">
        <f>SUMIFS('OB History S2'!G:G,'OB History S2'!B:B,A2)-Q2</f>
        <v>6</v>
      </c>
      <c r="S2" s="88">
        <f>LOOKUP(2, 1/('OB History S2'!$B:$B=A2), 'OB History S2'!$AC:$AC)</f>
        <v>0.7</v>
      </c>
      <c r="T2" s="2">
        <f>COUNTIFS('OB History S2'!$B:$B,$A$2,'OB History S2'!K:K, 1)</f>
        <v>0</v>
      </c>
      <c r="U2" s="2">
        <f>COUNTIFS('OB History S2'!$B:$B,$A$2,'OB History S2'!L:L, 1)</f>
        <v>0</v>
      </c>
      <c r="V2" s="2">
        <f>COUNTIFS('OB History S2'!$B:$B,$A$2,'OB History S2'!M:M, 1)</f>
        <v>0</v>
      </c>
      <c r="W2" s="2">
        <f>COUNTIFS('OB History S2'!$B:$B,$A$2,'OB History S2'!N:N, 1)</f>
        <v>1</v>
      </c>
      <c r="X2" s="2">
        <f>COUNTIFS('OB History S2'!$B:$B,$A$2,'OB History S2'!O:O, 1)</f>
        <v>0</v>
      </c>
      <c r="Y2" s="2">
        <f>COUNTIFS('OB History S2'!$B:$B,$A$2,'OB History S2'!P:P, 1)</f>
        <v>0</v>
      </c>
      <c r="Z2" s="2">
        <f>COUNTIFS('OB History S2'!$B:$B,$A$2,'OB History S2'!Q:Q, 1)</f>
        <v>0</v>
      </c>
      <c r="AA2" s="2">
        <f>COUNTIFS('OB History S2'!$B:$B,$A$2,'OB History S2'!R:R, 1)</f>
        <v>0</v>
      </c>
      <c r="AB2" s="2">
        <f>COUNTIFS('OB History S2'!$B:$B,$A$2,'OB History S2'!S:S, 1)</f>
        <v>0</v>
      </c>
      <c r="AC2" s="2">
        <f>COUNTIFS('OB History S2'!$B:$B,$A$2,'OB History S2'!T:T, 1)</f>
        <v>0</v>
      </c>
      <c r="AD2" s="2">
        <f>COUNTIFS('OB History S2'!$B:$B,$A$2,'OB History S2'!U:U, 1)</f>
        <v>0</v>
      </c>
      <c r="AE2" s="2">
        <f>COUNTIFS('OB History S2'!$B:$B,$A$2,'OB History S2'!V:V, 1)</f>
        <v>0</v>
      </c>
      <c r="AF2" s="2">
        <f>COUNTIFS('OB History S2'!$B:$B,$A$2,'OB History S2'!W:W, 1)</f>
        <v>0</v>
      </c>
      <c r="AG2" s="2">
        <f>COUNTIFS('OB History S2'!$B:$B,$A$2,'OB History S2'!X:X, 1)</f>
        <v>1</v>
      </c>
      <c r="AH2" s="2">
        <f>COUNTIFS('OB History S2'!$B:$B,$A$2,'OB History S2'!Y:Y, 1)</f>
        <v>0</v>
      </c>
      <c r="AI2" s="2">
        <f>COUNTIFS('OB History S2'!$B:$B,$A$2,'OB History S2'!Z:Z, 1)</f>
        <v>1</v>
      </c>
    </row>
    <row r="3" spans="1:35" x14ac:dyDescent="0.25">
      <c r="A3" s="2" t="s">
        <v>154</v>
      </c>
      <c r="B3" s="3" t="s">
        <v>79</v>
      </c>
      <c r="C3" s="3" t="s">
        <v>79</v>
      </c>
      <c r="D3" s="3"/>
      <c r="E3" s="3"/>
      <c r="F3" s="3"/>
      <c r="G3" s="3"/>
      <c r="H3" s="34">
        <f>SUMIFS('OB History S2'!C:C,'OB History S2'!B:B,A3)</f>
        <v>134</v>
      </c>
      <c r="I3" s="4">
        <f>AVERAGEIFS('OB History S2'!C:C,'OB History S2'!B:B,A3)</f>
        <v>12.181818181818182</v>
      </c>
      <c r="J3" s="35">
        <f t="array" ref="J3">MAX(IF('OB History S2'!B:B=A3, 'OB History S2'!C:C))</f>
        <v>35</v>
      </c>
      <c r="K3" s="34">
        <f>COUNTIFS('OB History S2'!B:B,A3,'OB History S2'!D:D, 1)</f>
        <v>6</v>
      </c>
      <c r="L3" s="2">
        <f>COUNTIFS('OB History S2'!B:B,A3,'OB History S2'!D:D, 0)</f>
        <v>5</v>
      </c>
      <c r="M3" s="88">
        <f>LOOKUP(2, 1/('OB History S2'!$B:$B=A3), 'OB History S2'!$AD:$AD)</f>
        <v>0.54545454545454541</v>
      </c>
      <c r="N3" s="34">
        <f>SUMIFS('OB History S2'!F:F,'OB History S2'!B:B,A3)</f>
        <v>21</v>
      </c>
      <c r="O3" s="2">
        <f>SUMIFS('OB History S2'!E:E,'OB History S2'!B:B,A3)-N3</f>
        <v>21</v>
      </c>
      <c r="P3" s="88">
        <f>LOOKUP(2, 1/('OB History S2'!$B:$B=A3), 'OB History S2'!$AB:$AB)</f>
        <v>0.48636363636363633</v>
      </c>
      <c r="Q3" s="34">
        <f>SUMIFS('OB History S2'!H:H,'OB History S2'!B:B,A3)</f>
        <v>89</v>
      </c>
      <c r="R3" s="2">
        <f>SUMIFS('OB History S2'!G:G,'OB History S2'!B:B,A3)-Q3</f>
        <v>86</v>
      </c>
      <c r="S3" s="88">
        <f>LOOKUP(2, 1/('OB History S2'!$B:$B=A3), 'OB History S2'!$AC:$AC)</f>
        <v>0.51636363636363647</v>
      </c>
      <c r="T3" s="2">
        <f>COUNTIFS('OB History S2'!$B:$B,$A$3,'OB History S2'!K:K, 1)</f>
        <v>1</v>
      </c>
      <c r="U3" s="2">
        <f>COUNTIFS('OB History S2'!$B:$B,$A$3,'OB History S2'!L:L, 1)</f>
        <v>3</v>
      </c>
      <c r="V3" s="2">
        <f>COUNTIFS('OB History S2'!$B:$B,$A$3,'OB History S2'!M:M, 1)</f>
        <v>1</v>
      </c>
      <c r="W3" s="2">
        <f>COUNTIFS('OB History S2'!$B:$B,$A$3,'OB History S2'!N:N, 1)</f>
        <v>3</v>
      </c>
      <c r="X3" s="2">
        <f>COUNTIFS('OB History S2'!$B:$B,$A$3,'OB History S2'!O:O, 1)</f>
        <v>1</v>
      </c>
      <c r="Y3" s="2">
        <f>COUNTIFS('OB History S2'!$B:$B,$A$3,'OB History S2'!P:P, 1)</f>
        <v>1</v>
      </c>
      <c r="Z3" s="2">
        <f>COUNTIFS('OB History S2'!$B:$B,$A$3,'OB History S2'!Q:Q, 1)</f>
        <v>0</v>
      </c>
      <c r="AA3" s="2">
        <f>COUNTIFS('OB History S2'!$B:$B,$A$3,'OB History S2'!R:R, 1)</f>
        <v>1</v>
      </c>
      <c r="AB3" s="2">
        <f>COUNTIFS('OB History S2'!$B:$B,$A$3,'OB History S2'!S:S, 1)</f>
        <v>1</v>
      </c>
      <c r="AC3" s="2">
        <f>COUNTIFS('OB History S2'!$B:$B,$A$3,'OB History S2'!T:T, 1)</f>
        <v>0</v>
      </c>
      <c r="AD3" s="2">
        <f>COUNTIFS('OB History S2'!$B:$B,$A$3,'OB History S2'!U:U, 1)</f>
        <v>1</v>
      </c>
      <c r="AE3" s="2">
        <f>COUNTIFS('OB History S2'!$B:$B,$A$3,'OB History S2'!V:V, 1)</f>
        <v>1</v>
      </c>
      <c r="AF3" s="2">
        <f>COUNTIFS('OB History S2'!$B:$B,$A$3,'OB History S2'!W:W, 1)</f>
        <v>2</v>
      </c>
      <c r="AG3" s="2">
        <f>COUNTIFS('OB History S2'!$B:$B,$A$3,'OB History S2'!X:X, 1)</f>
        <v>1</v>
      </c>
      <c r="AH3" s="2">
        <f>COUNTIFS('OB History S2'!$B:$B,$A$3,'OB History S2'!Y:Y, 1)</f>
        <v>2</v>
      </c>
      <c r="AI3" s="2">
        <f>COUNTIFS('OB History S2'!$B:$B,$A$3,'OB History S2'!Z:Z, 1)</f>
        <v>2</v>
      </c>
    </row>
    <row r="4" spans="1:35" x14ac:dyDescent="0.25">
      <c r="A4" s="2" t="s">
        <v>140</v>
      </c>
      <c r="B4" s="3" t="s">
        <v>79</v>
      </c>
      <c r="C4" s="3" t="s">
        <v>79</v>
      </c>
      <c r="D4" s="3"/>
      <c r="E4" s="3"/>
      <c r="F4" s="3"/>
      <c r="G4" s="3"/>
      <c r="H4" s="34">
        <f>SUMIFS('OB History S2'!C:C,'OB History S2'!B:B,A4)</f>
        <v>201</v>
      </c>
      <c r="I4" s="4">
        <f>AVERAGEIFS('OB History S2'!C:C,'OB History S2'!B:B,A4)</f>
        <v>8.7391304347826093</v>
      </c>
      <c r="J4" s="35">
        <f t="array" ref="J4">MAX(IF('OB History S2'!B:B=A4, 'OB History S2'!C:C))</f>
        <v>18</v>
      </c>
      <c r="K4" s="34">
        <f>COUNTIFS('OB History S2'!B:B,A4,'OB History S2'!D:D, 1)</f>
        <v>8</v>
      </c>
      <c r="L4" s="2">
        <f>COUNTIFS('OB History S2'!B:B,A4,'OB History S2'!D:D, 0)</f>
        <v>15</v>
      </c>
      <c r="M4" s="88">
        <f>LOOKUP(2, 1/('OB History S2'!$B:$B=A4), 'OB History S2'!$AD:$AD)</f>
        <v>0.34782608695652173</v>
      </c>
      <c r="N4" s="34">
        <f>SUMIFS('OB History S2'!F:F,'OB History S2'!B:B,A4)</f>
        <v>34</v>
      </c>
      <c r="O4" s="2">
        <f>SUMIFS('OB History S2'!E:E,'OB History S2'!B:B,A4)-N4</f>
        <v>53</v>
      </c>
      <c r="P4" s="88">
        <f>LOOKUP(2, 1/('OB History S2'!$B:$B=A4), 'OB History S2'!$AB:$AB)</f>
        <v>0.38695652173913048</v>
      </c>
      <c r="Q4" s="34">
        <f>SUMIFS('OB History S2'!H:H,'OB History S2'!B:B,A4)</f>
        <v>169</v>
      </c>
      <c r="R4" s="2">
        <f>SUMIFS('OB History S2'!G:G,'OB History S2'!B:B,A4)-Q4</f>
        <v>199</v>
      </c>
      <c r="S4" s="88">
        <f>LOOKUP(2, 1/('OB History S2'!$B:$B=A4), 'OB History S2'!$AC:$AC)</f>
        <v>0.45565217391304341</v>
      </c>
      <c r="T4" s="2">
        <f>COUNTIFS('OB History S2'!$B:$B,$A$4,'OB History S2'!K:K, 1)</f>
        <v>3</v>
      </c>
      <c r="U4" s="2">
        <f>COUNTIFS('OB History S2'!$B:$B,$A$4,'OB History S2'!L:L, 1)</f>
        <v>1</v>
      </c>
      <c r="V4" s="2">
        <f>COUNTIFS('OB History S2'!$B:$B,$A$4,'OB History S2'!M:M, 1)</f>
        <v>1</v>
      </c>
      <c r="W4" s="2">
        <f>COUNTIFS('OB History S2'!$B:$B,$A$4,'OB History S2'!N:N, 1)</f>
        <v>3</v>
      </c>
      <c r="X4" s="2">
        <f>COUNTIFS('OB History S2'!$B:$B,$A$4,'OB History S2'!O:O, 1)</f>
        <v>0</v>
      </c>
      <c r="Y4" s="2">
        <f>COUNTIFS('OB History S2'!$B:$B,$A$4,'OB History S2'!P:P, 1)</f>
        <v>3</v>
      </c>
      <c r="Z4" s="2">
        <f>COUNTIFS('OB History S2'!$B:$B,$A$4,'OB History S2'!Q:Q, 1)</f>
        <v>3</v>
      </c>
      <c r="AA4" s="2">
        <f>COUNTIFS('OB History S2'!$B:$B,$A$4,'OB History S2'!R:R, 1)</f>
        <v>2</v>
      </c>
      <c r="AB4" s="2">
        <f>COUNTIFS('OB History S2'!$B:$B,$A$4,'OB History S2'!S:S, 1)</f>
        <v>1</v>
      </c>
      <c r="AC4" s="2">
        <f>COUNTIFS('OB History S2'!$B:$B,$A$4,'OB History S2'!T:T, 1)</f>
        <v>0</v>
      </c>
      <c r="AD4" s="2">
        <f>COUNTIFS('OB History S2'!$B:$B,$A$4,'OB History S2'!U:U, 1)</f>
        <v>0</v>
      </c>
      <c r="AE4" s="2">
        <f>COUNTIFS('OB History S2'!$B:$B,$A$4,'OB History S2'!V:V, 1)</f>
        <v>1</v>
      </c>
      <c r="AF4" s="2">
        <f>COUNTIFS('OB History S2'!$B:$B,$A$4,'OB History S2'!W:W, 1)</f>
        <v>3</v>
      </c>
      <c r="AG4" s="2">
        <f>COUNTIFS('OB History S2'!$B:$B,$A$4,'OB History S2'!X:X, 1)</f>
        <v>5</v>
      </c>
      <c r="AH4" s="2">
        <f>COUNTIFS('OB History S2'!$B:$B,$A$4,'OB History S2'!Y:Y, 1)</f>
        <v>5</v>
      </c>
      <c r="AI4" s="2">
        <f>COUNTIFS('OB History S2'!$B:$B,$A$4,'OB History S2'!Z:Z, 1)</f>
        <v>3</v>
      </c>
    </row>
    <row r="5" spans="1:35" x14ac:dyDescent="0.25">
      <c r="A5" s="2" t="s">
        <v>37</v>
      </c>
      <c r="B5" s="2" t="s">
        <v>79</v>
      </c>
      <c r="C5" s="2" t="s">
        <v>79</v>
      </c>
      <c r="D5" s="2">
        <v>6</v>
      </c>
      <c r="E5" s="2"/>
      <c r="F5" s="2"/>
      <c r="G5" s="2"/>
      <c r="H5" s="34">
        <f>SUMIFS('OB History S2'!C:C,'OB History S2'!B:B,A5)</f>
        <v>321</v>
      </c>
      <c r="I5" s="4">
        <f>AVERAGEIFS('OB History S2'!C:C,'OB History S2'!B:B,A5)</f>
        <v>20.0625</v>
      </c>
      <c r="J5" s="35">
        <f t="array" ref="J5">MAX(IF('OB History S2'!B:B=A5, 'OB History S2'!C:C))</f>
        <v>36</v>
      </c>
      <c r="K5" s="34">
        <f>COUNTIFS('OB History S2'!B:B,A5,'OB History S2'!D:D, 1)</f>
        <v>8</v>
      </c>
      <c r="L5" s="2">
        <f>COUNTIFS('OB History S2'!B:B,A5,'OB History S2'!D:D, 0)</f>
        <v>8</v>
      </c>
      <c r="M5" s="88">
        <f>LOOKUP(2, 1/('OB History S2'!$B:$B=A5), 'OB History S2'!$AD:$AD)</f>
        <v>0.5</v>
      </c>
      <c r="N5" s="34">
        <f>SUMIFS('OB History S2'!F:F,'OB History S2'!B:B,A5)</f>
        <v>28</v>
      </c>
      <c r="O5" s="2">
        <f>SUMIFS('OB History S2'!E:E,'OB History S2'!B:B,A5)-N5</f>
        <v>35</v>
      </c>
      <c r="P5" s="88">
        <f>LOOKUP(2, 1/('OB History S2'!$B:$B=A5), 'OB History S2'!$AB:$AB)</f>
        <v>0.41562499999999997</v>
      </c>
      <c r="Q5" s="34">
        <f>SUMIFS('OB History S2'!H:H,'OB History S2'!B:B,A5)</f>
        <v>120</v>
      </c>
      <c r="R5" s="2">
        <f>SUMIFS('OB History S2'!G:G,'OB History S2'!B:B,A5)-Q5</f>
        <v>140</v>
      </c>
      <c r="S5" s="88">
        <f>LOOKUP(2, 1/('OB History S2'!$B:$B=A5), 'OB History S2'!$AC:$AC)</f>
        <v>0.45312499999999989</v>
      </c>
      <c r="T5" s="2">
        <f>COUNTIFS('OB History S2'!$B:$B,$A$5,'OB History S2'!K:K, 1)</f>
        <v>1</v>
      </c>
      <c r="U5" s="2">
        <f>COUNTIFS('OB History S2'!$B:$B,$A$5,'OB History S2'!L:L, 1)</f>
        <v>2</v>
      </c>
      <c r="V5" s="2">
        <f>COUNTIFS('OB History S2'!$B:$B,$A$5,'OB History S2'!M:M, 1)</f>
        <v>2</v>
      </c>
      <c r="W5" s="2">
        <f>COUNTIFS('OB History S2'!$B:$B,$A$5,'OB History S2'!N:N, 1)</f>
        <v>3</v>
      </c>
      <c r="X5" s="2">
        <f>COUNTIFS('OB History S2'!$B:$B,$A$5,'OB History S2'!O:O, 1)</f>
        <v>1</v>
      </c>
      <c r="Y5" s="2">
        <f>COUNTIFS('OB History S2'!$B:$B,$A$5,'OB History S2'!P:P, 1)</f>
        <v>0</v>
      </c>
      <c r="Z5" s="2">
        <f>COUNTIFS('OB History S2'!$B:$B,$A$5,'OB History S2'!Q:Q, 1)</f>
        <v>0</v>
      </c>
      <c r="AA5" s="2">
        <f>COUNTIFS('OB History S2'!$B:$B,$A$5,'OB History S2'!R:R, 1)</f>
        <v>1</v>
      </c>
      <c r="AB5" s="2">
        <f>COUNTIFS('OB History S2'!$B:$B,$A$5,'OB History S2'!S:S, 1)</f>
        <v>1</v>
      </c>
      <c r="AC5" s="2">
        <f>COUNTIFS('OB History S2'!$B:$B,$A$5,'OB History S2'!T:T, 1)</f>
        <v>2</v>
      </c>
      <c r="AD5" s="2">
        <f>COUNTIFS('OB History S2'!$B:$B,$A$5,'OB History S2'!U:U, 1)</f>
        <v>0</v>
      </c>
      <c r="AE5" s="2">
        <f>COUNTIFS('OB History S2'!$B:$B,$A$5,'OB History S2'!V:V, 1)</f>
        <v>0</v>
      </c>
      <c r="AF5" s="2">
        <f>COUNTIFS('OB History S2'!$B:$B,$A$5,'OB History S2'!W:W, 1)</f>
        <v>1</v>
      </c>
      <c r="AG5" s="2">
        <f>COUNTIFS('OB History S2'!$B:$B,$A$5,'OB History S2'!X:X, 1)</f>
        <v>2</v>
      </c>
      <c r="AH5" s="2">
        <f>COUNTIFS('OB History S2'!$B:$B,$A$5,'OB History S2'!Y:Y, 1)</f>
        <v>6</v>
      </c>
      <c r="AI5" s="2">
        <f>COUNTIFS('OB History S2'!$B:$B,$A$5,'OB History S2'!Z:Z, 1)</f>
        <v>6</v>
      </c>
    </row>
    <row r="6" spans="1:35" x14ac:dyDescent="0.25">
      <c r="A6" s="2" t="s">
        <v>71</v>
      </c>
      <c r="B6" s="2" t="s">
        <v>79</v>
      </c>
      <c r="C6" s="2" t="s">
        <v>79</v>
      </c>
      <c r="D6" s="2"/>
      <c r="E6" s="2"/>
      <c r="F6" s="2"/>
      <c r="G6" s="2"/>
      <c r="H6" s="34">
        <f>SUMIFS('OB History S2'!C:C,'OB History S2'!B:B,A6)</f>
        <v>34</v>
      </c>
      <c r="I6" s="4">
        <f>AVERAGEIFS('OB History S2'!C:C,'OB History S2'!B:B,A6)</f>
        <v>11.333333333333334</v>
      </c>
      <c r="J6" s="35">
        <f t="array" ref="J6">MAX(IF('OB History S2'!B:B=A6, 'OB History S2'!C:C))</f>
        <v>14</v>
      </c>
      <c r="K6" s="34">
        <f>COUNTIFS('OB History S2'!B:B,A6,'OB History S2'!D:D, 1)</f>
        <v>2</v>
      </c>
      <c r="L6" s="2">
        <f>COUNTIFS('OB History S2'!B:B,A6,'OB History S2'!D:D, 0)</f>
        <v>1</v>
      </c>
      <c r="M6" s="88">
        <f>LOOKUP(2, 1/('OB History S2'!$B:$B=A6), 'OB History S2'!$AD:$AD)</f>
        <v>0.66666666666666663</v>
      </c>
      <c r="N6" s="34">
        <f>SUMIFS('OB History S2'!F:F,'OB History S2'!B:B,A6)</f>
        <v>7</v>
      </c>
      <c r="O6" s="2">
        <f>SUMIFS('OB History S2'!E:E,'OB History S2'!B:B,A6)-N6</f>
        <v>7</v>
      </c>
      <c r="P6" s="88">
        <f>LOOKUP(2, 1/('OB History S2'!$B:$B=A6), 'OB History S2'!$AB:$AB)</f>
        <v>0.48333333333333334</v>
      </c>
      <c r="Q6" s="34">
        <f>SUMIFS('OB History S2'!H:H,'OB History S2'!B:B,A6)</f>
        <v>29</v>
      </c>
      <c r="R6" s="2">
        <f>SUMIFS('OB History S2'!G:G,'OB History S2'!B:B,A6)-Q6</f>
        <v>29</v>
      </c>
      <c r="S6" s="88">
        <f>LOOKUP(2, 1/('OB History S2'!$B:$B=A6), 'OB History S2'!$AC:$AC)</f>
        <v>0.49666666666666665</v>
      </c>
      <c r="T6" s="2">
        <f>COUNTIFS('OB History S2'!$B:$B,$A$6,'OB History S2'!K:K, 1)</f>
        <v>0</v>
      </c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</row>
    <row r="7" spans="1:35" x14ac:dyDescent="0.25">
      <c r="A7" s="2" t="s">
        <v>34</v>
      </c>
      <c r="B7" s="2" t="s">
        <v>79</v>
      </c>
      <c r="C7" s="2" t="s">
        <v>79</v>
      </c>
      <c r="D7" s="2"/>
      <c r="E7" s="2"/>
      <c r="F7" s="2"/>
      <c r="G7" s="2"/>
      <c r="H7" s="34">
        <f>SUMIFS('OB History S2'!C:C,'OB History S2'!B:B,A7)</f>
        <v>29</v>
      </c>
      <c r="I7" s="4">
        <f>AVERAGEIFS('OB History S2'!C:C,'OB History S2'!B:B,A7)</f>
        <v>14.5</v>
      </c>
      <c r="J7" s="35">
        <f t="array" ref="J7">MAX(IF('OB History S2'!B:B=A7, 'OB History S2'!C:C))</f>
        <v>18</v>
      </c>
      <c r="K7" s="34">
        <f>COUNTIFS('OB History S2'!B:B,A7,'OB History S2'!D:D, 1)</f>
        <v>2</v>
      </c>
      <c r="L7" s="2">
        <f>COUNTIFS('OB History S2'!B:B,A7,'OB History S2'!D:D, 0)</f>
        <v>0</v>
      </c>
      <c r="M7" s="88">
        <f>LOOKUP(2, 1/('OB History S2'!$B:$B=A7), 'OB History S2'!$AD:$AD)</f>
        <v>1</v>
      </c>
      <c r="N7" s="34">
        <f>SUMIFS('OB History S2'!F:F,'OB History S2'!B:B,A7)</f>
        <v>6</v>
      </c>
      <c r="O7" s="2">
        <f>SUMIFS('OB History S2'!E:E,'OB History S2'!B:B,A7)-N7</f>
        <v>2</v>
      </c>
      <c r="P7" s="88">
        <f>LOOKUP(2, 1/('OB History S2'!$B:$B=A7), 'OB History S2'!$AB:$AB)</f>
        <v>0.8</v>
      </c>
      <c r="Q7" s="34">
        <f>SUMIFS('OB History S2'!H:H,'OB History S2'!B:B,A7)</f>
        <v>20</v>
      </c>
      <c r="R7" s="2">
        <f>SUMIFS('OB History S2'!G:G,'OB History S2'!B:B,A7)-Q7</f>
        <v>12</v>
      </c>
      <c r="S7" s="88">
        <f>LOOKUP(2, 1/('OB History S2'!$B:$B=A7), 'OB History S2'!$AC:$AC)</f>
        <v>0.66999999999999993</v>
      </c>
      <c r="T7" s="2">
        <f>COUNTIFS('OB History S2'!$B:$B,$A$7,'OB History S2'!K:K, 1)</f>
        <v>0</v>
      </c>
      <c r="U7" s="2">
        <f>COUNTIFS('OB History S2'!$B:$B,$A$7,'OB History S2'!L:L, 1)</f>
        <v>2</v>
      </c>
      <c r="V7" s="2">
        <f>COUNTIFS('OB History S2'!$B:$B,$A$7,'OB History S2'!M:M, 1)</f>
        <v>0</v>
      </c>
      <c r="W7" s="2">
        <f>COUNTIFS('OB History S2'!$B:$B,$A$7,'OB History S2'!N:N, 1)</f>
        <v>0</v>
      </c>
      <c r="X7" s="2">
        <f>COUNTIFS('OB History S2'!$B:$B,$A$7,'OB History S2'!O:O, 1)</f>
        <v>0</v>
      </c>
      <c r="Y7" s="2">
        <f>COUNTIFS('OB History S2'!$B:$B,$A$7,'OB History S2'!P:P, 1)</f>
        <v>0</v>
      </c>
      <c r="Z7" s="2">
        <f>COUNTIFS('OB History S2'!$B:$B,$A$7,'OB History S2'!Q:Q, 1)</f>
        <v>0</v>
      </c>
      <c r="AA7" s="2">
        <f>COUNTIFS('OB History S2'!$B:$B,$A$7,'OB History S2'!R:R, 1)</f>
        <v>0</v>
      </c>
      <c r="AB7" s="2">
        <f>COUNTIFS('OB History S2'!$B:$B,$A$7,'OB History S2'!S:S, 1)</f>
        <v>0</v>
      </c>
      <c r="AC7" s="2">
        <f>COUNTIFS('OB History S2'!$B:$B,$A$7,'OB History S2'!T:T, 1)</f>
        <v>0</v>
      </c>
      <c r="AD7" s="2">
        <f>COUNTIFS('OB History S2'!$B:$B,$A$7,'OB History S2'!U:U, 1)</f>
        <v>0</v>
      </c>
      <c r="AE7" s="2">
        <f>COUNTIFS('OB History S2'!$B:$B,$A$7,'OB History S2'!V:V, 1)</f>
        <v>0</v>
      </c>
      <c r="AF7" s="2">
        <f>COUNTIFS('OB History S2'!$B:$B,$A$7,'OB History S2'!W:W, 1)</f>
        <v>0</v>
      </c>
      <c r="AG7" s="2">
        <f>COUNTIFS('OB History S2'!$B:$B,$A$7,'OB History S2'!X:X, 1)</f>
        <v>2</v>
      </c>
      <c r="AH7" s="2">
        <f>COUNTIFS('OB History S2'!$B:$B,$A$7,'OB History S2'!Y:Y, 1)</f>
        <v>2</v>
      </c>
      <c r="AI7" s="2">
        <f>COUNTIFS('OB History S2'!$B:$B,$A$7,'OB History S2'!Z:Z, 1)</f>
        <v>0</v>
      </c>
    </row>
    <row r="8" spans="1:35" x14ac:dyDescent="0.25">
      <c r="A8" s="2" t="s">
        <v>35</v>
      </c>
      <c r="B8" s="6" t="s">
        <v>124</v>
      </c>
      <c r="C8" s="2" t="s">
        <v>79</v>
      </c>
      <c r="D8" s="2"/>
      <c r="E8" s="2"/>
      <c r="F8" s="2"/>
      <c r="G8" s="2"/>
      <c r="H8" s="34">
        <f>SUMIFS('OB History S2'!C:C,'OB History S2'!B:B,A8)</f>
        <v>339</v>
      </c>
      <c r="I8" s="4">
        <f>AVERAGEIFS('OB History S2'!C:C,'OB History S2'!B:B,A8)</f>
        <v>13.038461538461538</v>
      </c>
      <c r="J8" s="35">
        <f t="array" ref="J8">MAX(IF('OB History S2'!B:B=A8, 'OB History S2'!C:C))</f>
        <v>32</v>
      </c>
      <c r="K8" s="34">
        <f>COUNTIFS('OB History S2'!B:B,A8,'OB History S2'!D:D, 1)</f>
        <v>16</v>
      </c>
      <c r="L8" s="2">
        <f>COUNTIFS('OB History S2'!B:B,A8,'OB History S2'!D:D, 0)</f>
        <v>10</v>
      </c>
      <c r="M8" s="88">
        <f>LOOKUP(2, 1/('OB History S2'!$B:$B=A8), 'OB History S2'!$AD:$AD)</f>
        <v>0.61538461538461542</v>
      </c>
      <c r="N8" s="34">
        <f>SUMIFS('OB History S2'!F:F,'OB History S2'!B:B,A8)</f>
        <v>56</v>
      </c>
      <c r="O8" s="2">
        <f>SUMIFS('OB History S2'!E:E,'OB History S2'!B:B,A8)-N8</f>
        <v>47</v>
      </c>
      <c r="P8" s="88">
        <f>LOOKUP(2, 1/('OB History S2'!$B:$B=A8), 'OB History S2'!$AB:$AB)</f>
        <v>0.53846153846153844</v>
      </c>
      <c r="Q8" s="34">
        <f>SUMIFS('OB History S2'!H:H,'OB History S2'!B:B,A8)</f>
        <v>212</v>
      </c>
      <c r="R8" s="2">
        <f>SUMIFS('OB History S2'!G:G,'OB History S2'!B:B,A8)-Q8</f>
        <v>207</v>
      </c>
      <c r="S8" s="88">
        <f>LOOKUP(2, 1/('OB History S2'!$B:$B=A8), 'OB History S2'!$AC:$AC)</f>
        <v>0.49884615384615394</v>
      </c>
      <c r="T8" s="2">
        <f>COUNTIFS('OB History S2'!$B:$B,$A$8,'OB History S2'!K:K, 1)</f>
        <v>4</v>
      </c>
      <c r="U8" s="2">
        <f>COUNTIFS('OB History S2'!$B:$B,$A$8,'OB History S2'!L:L, 1)</f>
        <v>5</v>
      </c>
      <c r="V8" s="2">
        <f>COUNTIFS('OB History S2'!$B:$B,$A$8,'OB History S2'!M:M, 1)</f>
        <v>1</v>
      </c>
      <c r="W8" s="2">
        <f>COUNTIFS('OB History S2'!$B:$B,$A$8,'OB History S2'!N:N, 1)</f>
        <v>8</v>
      </c>
      <c r="X8" s="2">
        <f>COUNTIFS('OB History S2'!$B:$B,$A$8,'OB History S2'!O:O, 1)</f>
        <v>4</v>
      </c>
      <c r="Y8" s="2">
        <f>COUNTIFS('OB History S2'!$B:$B,$A$8,'OB History S2'!P:P, 1)</f>
        <v>4</v>
      </c>
      <c r="Z8" s="2">
        <f>COUNTIFS('OB History S2'!$B:$B,$A$8,'OB History S2'!Q:Q, 1)</f>
        <v>0</v>
      </c>
      <c r="AA8" s="2">
        <f>COUNTIFS('OB History S2'!$B:$B,$A$8,'OB History S2'!R:R, 1)</f>
        <v>2</v>
      </c>
      <c r="AB8" s="2">
        <f>COUNTIFS('OB History S2'!$B:$B,$A$8,'OB History S2'!S:S, 1)</f>
        <v>0</v>
      </c>
      <c r="AC8" s="2">
        <f>COUNTIFS('OB History S2'!$B:$B,$A$8,'OB History S2'!T:T, 1)</f>
        <v>1</v>
      </c>
      <c r="AD8" s="2">
        <f>COUNTIFS('OB History S2'!$B:$B,$A$8,'OB History S2'!U:U, 1)</f>
        <v>0</v>
      </c>
      <c r="AE8" s="2">
        <f>COUNTIFS('OB History S2'!$B:$B,$A$8,'OB History S2'!V:V, 1)</f>
        <v>0</v>
      </c>
      <c r="AF8" s="2">
        <f>COUNTIFS('OB History S2'!$B:$B,$A$8,'OB History S2'!W:W, 1)</f>
        <v>6</v>
      </c>
      <c r="AG8" s="2">
        <f>COUNTIFS('OB History S2'!$B:$B,$A$8,'OB History S2'!X:X, 1)</f>
        <v>9</v>
      </c>
      <c r="AH8" s="2">
        <f>COUNTIFS('OB History S2'!$B:$B,$A$8,'OB History S2'!Y:Y, 1)</f>
        <v>5</v>
      </c>
      <c r="AI8" s="2">
        <f>COUNTIFS('OB History S2'!$B:$B,$A$8,'OB History S2'!Z:Z, 1)</f>
        <v>7</v>
      </c>
    </row>
    <row r="9" spans="1:35" ht="15.75" x14ac:dyDescent="0.25">
      <c r="A9" s="2" t="s">
        <v>19</v>
      </c>
      <c r="B9" s="80" t="s">
        <v>79</v>
      </c>
      <c r="C9" s="2" t="s">
        <v>79</v>
      </c>
      <c r="D9" s="2">
        <v>1</v>
      </c>
      <c r="E9" s="2">
        <v>1</v>
      </c>
      <c r="F9" s="2"/>
      <c r="G9" s="2"/>
      <c r="H9" s="34">
        <f>SUMIFS('OB History S2'!C:C,'OB History S2'!B:B,A9)</f>
        <v>165</v>
      </c>
      <c r="I9" s="4">
        <f>AVERAGEIFS('OB History S2'!C:C,'OB History S2'!B:B,A9)</f>
        <v>13.75</v>
      </c>
      <c r="J9" s="35">
        <f t="array" ref="J9">MAX(IF('OB History S2'!B:B=A9, 'OB History S2'!C:C))</f>
        <v>24</v>
      </c>
      <c r="K9" s="34">
        <f>COUNTIFS('OB History S2'!B:B,A9,'OB History S2'!D:D, 1)</f>
        <v>7</v>
      </c>
      <c r="L9" s="2">
        <f>COUNTIFS('OB History S2'!B:B,A9,'OB History S2'!D:D, 0)</f>
        <v>5</v>
      </c>
      <c r="M9" s="88">
        <f>LOOKUP(2, 1/('OB History S2'!$B:$B=A9), 'OB History S2'!$AD:$AD)</f>
        <v>0.58333333333333337</v>
      </c>
      <c r="N9" s="34">
        <f>SUMIFS('OB History S2'!F:F,'OB History S2'!B:B,A9)</f>
        <v>29</v>
      </c>
      <c r="O9" s="2">
        <f>SUMIFS('OB History S2'!E:E,'OB History S2'!B:B,A9)-N9</f>
        <v>21</v>
      </c>
      <c r="P9" s="88">
        <f>LOOKUP(2, 1/('OB History S2'!$B:$B=A9), 'OB History S2'!$AB:$AB)</f>
        <v>0.61666666666666659</v>
      </c>
      <c r="Q9" s="34">
        <f>SUMIFS('OB History S2'!H:H,'OB History S2'!B:B,A9)</f>
        <v>110</v>
      </c>
      <c r="R9" s="2">
        <f>SUMIFS('OB History S2'!G:G,'OB History S2'!B:B,A9)-Q9</f>
        <v>98</v>
      </c>
      <c r="S9" s="88">
        <f>LOOKUP(2, 1/('OB History S2'!$B:$B=A9), 'OB History S2'!$AC:$AC)</f>
        <v>0.53666666666666674</v>
      </c>
      <c r="T9" s="2">
        <f>COUNTIFS('OB History S2'!$B:$B,$A$9,'OB History S2'!K:K, 1)</f>
        <v>2</v>
      </c>
      <c r="U9" s="2">
        <f>COUNTIFS('OB History S2'!$B:$B,$A$9,'OB History S2'!L:L, 1)</f>
        <v>3</v>
      </c>
      <c r="V9" s="2">
        <f>COUNTIFS('OB History S2'!$B:$B,$A$9,'OB History S2'!M:M, 1)</f>
        <v>0</v>
      </c>
      <c r="W9" s="2">
        <f>COUNTIFS('OB History S2'!$B:$B,$A$9,'OB History S2'!N:N, 1)</f>
        <v>4</v>
      </c>
      <c r="X9" s="2">
        <f>COUNTIFS('OB History S2'!$B:$B,$A$9,'OB History S2'!O:O, 1)</f>
        <v>1</v>
      </c>
      <c r="Y9" s="2">
        <f>COUNTIFS('OB History S2'!$B:$B,$A$9,'OB History S2'!P:P, 1)</f>
        <v>3</v>
      </c>
      <c r="Z9" s="2">
        <f>COUNTIFS('OB History S2'!$B:$B,$A$9,'OB History S2'!Q:Q, 1)</f>
        <v>0</v>
      </c>
      <c r="AA9" s="2">
        <f>COUNTIFS('OB History S2'!$B:$B,$A$9,'OB History S2'!R:R, 1)</f>
        <v>1</v>
      </c>
      <c r="AB9" s="2">
        <f>COUNTIFS('OB History S2'!$B:$B,$A$9,'OB History S2'!S:S, 1)</f>
        <v>0</v>
      </c>
      <c r="AC9" s="2">
        <f>COUNTIFS('OB History S2'!$B:$B,$A$9,'OB History S2'!T:T, 1)</f>
        <v>0</v>
      </c>
      <c r="AD9" s="2">
        <f>COUNTIFS('OB History S2'!$B:$B,$A$9,'OB History S2'!U:U, 1)</f>
        <v>0</v>
      </c>
      <c r="AE9" s="2">
        <f>COUNTIFS('OB History S2'!$B:$B,$A$9,'OB History S2'!V:V, 1)</f>
        <v>0</v>
      </c>
      <c r="AF9" s="2">
        <f>COUNTIFS('OB History S2'!$B:$B,$A$9,'OB History S2'!W:W, 1)</f>
        <v>2</v>
      </c>
      <c r="AG9" s="2">
        <f>COUNTIFS('OB History S2'!$B:$B,$A$9,'OB History S2'!X:X, 1)</f>
        <v>3</v>
      </c>
      <c r="AH9" s="2">
        <f>COUNTIFS('OB History S2'!$B:$B,$A$9,'OB History S2'!Y:Y, 1)</f>
        <v>5</v>
      </c>
      <c r="AI9" s="2">
        <f>COUNTIFS('OB History S2'!$B:$B,$A$9,'OB History S2'!Z:Z, 1)</f>
        <v>5</v>
      </c>
    </row>
    <row r="10" spans="1:35" x14ac:dyDescent="0.25">
      <c r="A10" s="1" t="s">
        <v>42</v>
      </c>
      <c r="B10" s="6" t="s">
        <v>60</v>
      </c>
      <c r="C10" s="2" t="s">
        <v>79</v>
      </c>
      <c r="D10" s="2"/>
      <c r="E10" s="2"/>
      <c r="F10" s="2"/>
      <c r="G10" s="2"/>
      <c r="H10" s="34">
        <f>SUMIFS('OB History S2'!C:C,'OB History S2'!B:B,A10)</f>
        <v>53</v>
      </c>
      <c r="I10" s="4">
        <f>AVERAGEIFS('OB History S2'!C:C,'OB History S2'!B:B,A10)</f>
        <v>13.25</v>
      </c>
      <c r="J10" s="35">
        <f t="array" ref="J10">MAX(IF('OB History S2'!B:B=A10, 'OB History S2'!C:C))</f>
        <v>29</v>
      </c>
      <c r="K10" s="34">
        <f>COUNTIFS('OB History S2'!B:B,A10,'OB History S2'!D:D, 1)</f>
        <v>1</v>
      </c>
      <c r="L10" s="2">
        <f>COUNTIFS('OB History S2'!B:B,A10,'OB History S2'!D:D, 0)</f>
        <v>3</v>
      </c>
      <c r="M10" s="88">
        <f>LOOKUP(2, 1/('OB History S2'!$B:$B=A10), 'OB History S2'!$AD:$AD)</f>
        <v>0.25</v>
      </c>
      <c r="N10" s="34">
        <f>SUMIFS('OB History S2'!F:F,'OB History S2'!B:B,A10)</f>
        <v>5</v>
      </c>
      <c r="O10" s="2">
        <f>SUMIFS('OB History S2'!E:E,'OB History S2'!B:B,A10)-N10</f>
        <v>10</v>
      </c>
      <c r="P10" s="88">
        <f>LOOKUP(2, 1/('OB History S2'!$B:$B=A10), 'OB History S2'!$AB:$AB)</f>
        <v>0.28749999999999998</v>
      </c>
      <c r="Q10" s="34">
        <f>SUMIFS('OB History S2'!H:H,'OB History S2'!B:B,A10)</f>
        <v>25</v>
      </c>
      <c r="R10" s="2">
        <f>SUMIFS('OB History S2'!G:G,'OB History S2'!B:B,A10)-Q10</f>
        <v>35</v>
      </c>
      <c r="S10" s="88">
        <f>LOOKUP(2, 1/('OB History S2'!$B:$B=A10), 'OB History S2'!$AC:$AC)</f>
        <v>0.39249999999999996</v>
      </c>
      <c r="T10" s="2">
        <f>COUNTIFS('OB History S2'!$B:$B,$A$10,'OB History S2'!K:K, 1)</f>
        <v>2</v>
      </c>
      <c r="U10" s="2">
        <f>COUNTIFS('OB History S2'!$B:$B,$A$10,'OB History S2'!L:L, 1)</f>
        <v>0</v>
      </c>
      <c r="V10" s="2">
        <f>COUNTIFS('OB History S2'!$B:$B,$A$10,'OB History S2'!M:M, 1)</f>
        <v>0</v>
      </c>
      <c r="W10" s="2">
        <f>COUNTIFS('OB History S2'!$B:$B,$A$10,'OB History S2'!N:N, 1)</f>
        <v>0</v>
      </c>
      <c r="X10" s="2">
        <f>COUNTIFS('OB History S2'!$B:$B,$A$10,'OB History S2'!O:O, 1)</f>
        <v>0</v>
      </c>
      <c r="Y10" s="2">
        <f>COUNTIFS('OB History S2'!$B:$B,$A$10,'OB History S2'!P:P, 1)</f>
        <v>0</v>
      </c>
      <c r="Z10" s="2">
        <f>COUNTIFS('OB History S2'!$B:$B,$A$10,'OB History S2'!Q:Q, 1)</f>
        <v>0</v>
      </c>
      <c r="AA10" s="2">
        <f>COUNTIFS('OB History S2'!$B:$B,$A$10,'OB History S2'!R:R, 1)</f>
        <v>0</v>
      </c>
      <c r="AB10" s="2">
        <f>COUNTIFS('OB History S2'!$B:$B,$A$10,'OB History S2'!S:S, 1)</f>
        <v>0</v>
      </c>
      <c r="AC10" s="2">
        <f>COUNTIFS('OB History S2'!$B:$B,$A$10,'OB History S2'!T:T, 1)</f>
        <v>0</v>
      </c>
      <c r="AD10" s="2">
        <f>COUNTIFS('OB History S2'!$B:$B,$A$10,'OB History S2'!U:U, 1)</f>
        <v>0</v>
      </c>
      <c r="AE10" s="2">
        <f>COUNTIFS('OB History S2'!$B:$B,$A$10,'OB History S2'!V:V, 1)</f>
        <v>0</v>
      </c>
      <c r="AF10" s="2">
        <f>COUNTIFS('OB History S2'!$B:$B,$A$10,'OB History S2'!W:W, 1)</f>
        <v>2</v>
      </c>
      <c r="AG10" s="2">
        <f>COUNTIFS('OB History S2'!$B:$B,$A$10,'OB History S2'!X:X, 1)</f>
        <v>1</v>
      </c>
      <c r="AH10" s="2">
        <f>COUNTIFS('OB History S2'!$B:$B,$A$10,'OB History S2'!Y:Y, 1)</f>
        <v>0</v>
      </c>
      <c r="AI10" s="2">
        <f>COUNTIFS('OB History S2'!$B:$B,$A$10,'OB History S2'!Z:Z, 1)</f>
        <v>0</v>
      </c>
    </row>
    <row r="11" spans="1:35" x14ac:dyDescent="0.25">
      <c r="A11" s="1" t="s">
        <v>179</v>
      </c>
      <c r="B11" s="6" t="s">
        <v>79</v>
      </c>
      <c r="C11" s="2" t="s">
        <v>79</v>
      </c>
      <c r="D11" s="2"/>
      <c r="E11" s="2"/>
      <c r="F11" s="2"/>
      <c r="G11" s="2"/>
      <c r="H11" s="34">
        <f>SUMIFS('OB History S2'!C:C,'OB History S2'!B:B,A11)</f>
        <v>114</v>
      </c>
      <c r="I11" s="4">
        <f>AVERAGEIFS('OB History S2'!C:C,'OB History S2'!B:B,A11)</f>
        <v>14.25</v>
      </c>
      <c r="J11" s="35">
        <f t="array" ref="J11">MAX(IF('OB History S2'!B:B=A11, 'OB History S2'!C:C))</f>
        <v>22</v>
      </c>
      <c r="K11" s="34">
        <f>COUNTIFS('OB History S2'!B:B,A11,'OB History S2'!D:D, 1)</f>
        <v>7</v>
      </c>
      <c r="L11" s="2">
        <f>COUNTIFS('OB History S2'!B:B,A11,'OB History S2'!D:D, 0)</f>
        <v>1</v>
      </c>
      <c r="M11" s="88">
        <f>LOOKUP(2, 1/('OB History S2'!$B:$B=A11), 'OB History S2'!$AD:$AD)</f>
        <v>0.875</v>
      </c>
      <c r="N11" s="34">
        <f>SUMIFS('OB History S2'!F:F,'OB History S2'!B:B,A11)</f>
        <v>23</v>
      </c>
      <c r="O11" s="2">
        <f>SUMIFS('OB History S2'!E:E,'OB History S2'!B:B,A11)-N11</f>
        <v>5</v>
      </c>
      <c r="P11" s="88">
        <f>LOOKUP(2, 1/('OB History S2'!$B:$B=A11), 'OB History S2'!$AB:$AB)</f>
        <v>0.84375</v>
      </c>
      <c r="Q11" s="34">
        <f>SUMIFS('OB History S2'!H:H,'OB History S2'!B:B,A11)</f>
        <v>71</v>
      </c>
      <c r="R11" s="2">
        <f>SUMIFS('OB History S2'!G:G,'OB History S2'!B:B,A11)-Q11</f>
        <v>47</v>
      </c>
      <c r="S11" s="88">
        <f>LOOKUP(2, 1/('OB History S2'!$B:$B=A11), 'OB History S2'!$AC:$AC)</f>
        <v>0.61125000000000007</v>
      </c>
      <c r="T11" s="2">
        <f>COUNTIFS('OB History S2'!$B:$B,$A$11,'OB History S2'!K:K, 1)</f>
        <v>1</v>
      </c>
      <c r="U11" s="2">
        <f>COUNTIFS('OB History S2'!$B:$B,$A$11,'OB History S2'!L:L, 1)</f>
        <v>2</v>
      </c>
      <c r="V11" s="2">
        <f>COUNTIFS('OB History S2'!$B:$B,$A$11,'OB History S2'!M:M, 1)</f>
        <v>2</v>
      </c>
      <c r="W11" s="2">
        <f>COUNTIFS('OB History S2'!$B:$B,$A$11,'OB History S2'!N:N, 1)</f>
        <v>4</v>
      </c>
      <c r="X11" s="2">
        <f>COUNTIFS('OB History S2'!$B:$B,$A$11,'OB History S2'!O:O, 1)</f>
        <v>0</v>
      </c>
      <c r="Y11" s="2">
        <f>COUNTIFS('OB History S2'!$B:$B,$A$11,'OB History S2'!P:P, 1)</f>
        <v>0</v>
      </c>
      <c r="Z11" s="2">
        <f>COUNTIFS('OB History S2'!$B:$B,$A$11,'OB History S2'!Q:Q, 1)</f>
        <v>0</v>
      </c>
      <c r="AA11" s="2">
        <f>COUNTIFS('OB History S2'!$B:$B,$A$11,'OB History S2'!R:R, 1)</f>
        <v>1</v>
      </c>
      <c r="AB11" s="2">
        <f>COUNTIFS('OB History S2'!$B:$B,$A$11,'OB History S2'!S:S, 1)</f>
        <v>0</v>
      </c>
      <c r="AC11" s="2">
        <f>COUNTIFS('OB History S2'!$B:$B,$A$11,'OB History S2'!T:T, 1)</f>
        <v>2</v>
      </c>
      <c r="AD11" s="2">
        <f>COUNTIFS('OB History S2'!$B:$B,$A$11,'OB History S2'!U:U, 1)</f>
        <v>0</v>
      </c>
      <c r="AE11" s="2">
        <f>COUNTIFS('OB History S2'!$B:$B,$A$11,'OB History S2'!V:V, 1)</f>
        <v>0</v>
      </c>
      <c r="AF11" s="2">
        <f>COUNTIFS('OB History S2'!$B:$B,$A$11,'OB History S2'!W:W, 1)</f>
        <v>1</v>
      </c>
      <c r="AG11" s="2">
        <f>COUNTIFS('OB History S2'!$B:$B,$A$11,'OB History S2'!X:X, 1)</f>
        <v>4</v>
      </c>
      <c r="AH11" s="2">
        <f>COUNTIFS('OB History S2'!$B:$B,$A$11,'OB History S2'!Y:Y, 1)</f>
        <v>2</v>
      </c>
      <c r="AI11" s="2">
        <f>COUNTIFS('OB History S2'!$B:$B,$A$11,'OB History S2'!Z:Z, 1)</f>
        <v>4</v>
      </c>
    </row>
    <row r="12" spans="1:35" x14ac:dyDescent="0.25">
      <c r="A12" s="1" t="s">
        <v>214</v>
      </c>
      <c r="B12" s="6" t="s">
        <v>79</v>
      </c>
      <c r="C12" s="2" t="s">
        <v>79</v>
      </c>
      <c r="D12" s="2"/>
      <c r="E12" s="2"/>
      <c r="F12" s="2"/>
      <c r="G12" s="2"/>
      <c r="H12" s="34">
        <f>SUMIFS('OB History S2'!C:C,'OB History S2'!B:B,A12)</f>
        <v>24</v>
      </c>
      <c r="I12" s="4">
        <f>AVERAGEIFS('OB History S2'!C:C,'OB History S2'!B:B,A12)</f>
        <v>8</v>
      </c>
      <c r="J12" s="35">
        <f t="array" ref="J12">MAX(IF('OB History S2'!B:B=A12, 'OB History S2'!C:C))</f>
        <v>11</v>
      </c>
      <c r="K12" s="34">
        <f>COUNTIFS('OB History S2'!B:B,A12,'OB History S2'!D:D, 1)</f>
        <v>3</v>
      </c>
      <c r="L12" s="2">
        <f>COUNTIFS('OB History S2'!B:B,A12,'OB History S2'!D:D, 0)</f>
        <v>0</v>
      </c>
      <c r="M12" s="88">
        <f>LOOKUP(2, 1/('OB History S2'!$B:$B=A12), 'OB History S2'!$AD:$AD)</f>
        <v>1</v>
      </c>
      <c r="N12" s="34">
        <f>SUMIFS('OB History S2'!F:F,'OB History S2'!B:B,A12)</f>
        <v>10</v>
      </c>
      <c r="O12" s="2">
        <f>SUMIFS('OB History S2'!E:E,'OB History S2'!B:B,A12)-N12</f>
        <v>2</v>
      </c>
      <c r="P12" s="88">
        <f>LOOKUP(2, 1/('OB History S2'!$B:$B=A12), 'OB History S2'!$AB:$AB)</f>
        <v>0.8666666666666667</v>
      </c>
      <c r="Q12" s="34">
        <f>SUMIFS('OB History S2'!H:H,'OB History S2'!B:B,A12)</f>
        <v>33</v>
      </c>
      <c r="R12" s="2">
        <f>SUMIFS('OB History S2'!G:G,'OB History S2'!B:B,A12)-Q12</f>
        <v>21</v>
      </c>
      <c r="S12" s="88">
        <f>LOOKUP(2, 1/('OB History S2'!$B:$B=A12), 'OB History S2'!$AC:$AC)</f>
        <v>0.62333333333333341</v>
      </c>
      <c r="T12" s="2">
        <f>COUNTIFS('OB History S2'!$B:$B,$A$12,'OB History S2'!K:K, 1)</f>
        <v>0</v>
      </c>
      <c r="U12" s="2">
        <f>COUNTIFS('OB History S2'!$B:$B,$A$12,'OB History S2'!L:L, 1)</f>
        <v>0</v>
      </c>
      <c r="V12" s="2">
        <f>COUNTIFS('OB History S2'!$B:$B,$A$12,'OB History S2'!M:M, 1)</f>
        <v>0</v>
      </c>
      <c r="W12" s="2">
        <f>COUNTIFS('OB History S2'!$B:$B,$A$12,'OB History S2'!N:N, 1)</f>
        <v>1</v>
      </c>
      <c r="X12" s="2">
        <f>COUNTIFS('OB History S2'!$B:$B,$A$12,'OB History S2'!O:O, 1)</f>
        <v>0</v>
      </c>
      <c r="Y12" s="2">
        <f>COUNTIFS('OB History S2'!$B:$B,$A$12,'OB History S2'!P:P, 1)</f>
        <v>1</v>
      </c>
      <c r="Z12" s="2">
        <f>COUNTIFS('OB History S2'!$B:$B,$A$12,'OB History S2'!Q:Q, 1)</f>
        <v>0</v>
      </c>
      <c r="AA12" s="2">
        <f>COUNTIFS('OB History S2'!$B:$B,$A$12,'OB History S2'!R:R, 1)</f>
        <v>1</v>
      </c>
      <c r="AB12" s="2">
        <f>COUNTIFS('OB History S2'!$B:$B,$A$12,'OB History S2'!S:S, 1)</f>
        <v>0</v>
      </c>
      <c r="AC12" s="2">
        <f>COUNTIFS('OB History S2'!$B:$B,$A$12,'OB History S2'!T:T, 1)</f>
        <v>0</v>
      </c>
      <c r="AD12" s="2">
        <f>COUNTIFS('OB History S2'!$B:$B,$A$12,'OB History S2'!U:U, 1)</f>
        <v>0</v>
      </c>
      <c r="AE12" s="2">
        <f>COUNTIFS('OB History S2'!$B:$B,$A$12,'OB History S2'!V:V, 1)</f>
        <v>0</v>
      </c>
      <c r="AF12" s="2">
        <f>COUNTIFS('OB History S2'!$B:$B,$A$12,'OB History S2'!W:W, 1)</f>
        <v>2</v>
      </c>
      <c r="AG12" s="2">
        <f>COUNTIFS('OB History S2'!$B:$B,$A$12,'OB History S2'!X:X, 1)</f>
        <v>3</v>
      </c>
      <c r="AH12" s="2">
        <f>COUNTIFS('OB History S2'!$B:$B,$A$12,'OB History S2'!Y:Y, 1)</f>
        <v>1</v>
      </c>
      <c r="AI12" s="2">
        <f>COUNTIFS('OB History S2'!$B:$B,$A$12,'OB History S2'!Z:Z, 1)</f>
        <v>1</v>
      </c>
    </row>
    <row r="13" spans="1:35" x14ac:dyDescent="0.25">
      <c r="A13" s="1" t="s">
        <v>25</v>
      </c>
      <c r="B13" s="6" t="s">
        <v>79</v>
      </c>
      <c r="C13" s="2" t="s">
        <v>79</v>
      </c>
      <c r="D13" s="2">
        <v>2</v>
      </c>
      <c r="E13" s="2"/>
      <c r="F13" s="2"/>
      <c r="G13" s="2"/>
      <c r="H13" s="34">
        <f>SUMIFS('OB History S2'!C:C,'OB History S2'!B:B,A13)</f>
        <v>387</v>
      </c>
      <c r="I13" s="4">
        <f>AVERAGEIFS('OB History S2'!C:C,'OB History S2'!B:B,A13)</f>
        <v>20.368421052631579</v>
      </c>
      <c r="J13" s="35">
        <f t="array" ref="J13">MAX(IF('OB History S2'!B:B=A13, 'OB History S2'!C:C))</f>
        <v>50</v>
      </c>
      <c r="K13" s="34">
        <f>COUNTIFS('OB History S2'!B:B,A13,'OB History S2'!D:D, 1)</f>
        <v>11</v>
      </c>
      <c r="L13" s="2">
        <f>COUNTIFS('OB History S2'!B:B,A13,'OB History S2'!D:D, 0)</f>
        <v>8</v>
      </c>
      <c r="M13" s="88">
        <f>LOOKUP(2, 1/('OB History S2'!$B:$B=A13), 'OB History S2'!$AD:$AD)</f>
        <v>0.57894736842105265</v>
      </c>
      <c r="N13" s="34">
        <f>SUMIFS('OB History S2'!F:F,'OB History S2'!B:B,A13)</f>
        <v>43</v>
      </c>
      <c r="O13" s="2">
        <f>SUMIFS('OB History S2'!E:E,'OB History S2'!B:B,A13)-N13</f>
        <v>38</v>
      </c>
      <c r="P13" s="88">
        <f>LOOKUP(2, 1/('OB History S2'!$B:$B=A13), 'OB History S2'!$AB:$AB)</f>
        <v>0.53157894736842104</v>
      </c>
      <c r="Q13" s="34">
        <f>SUMIFS('OB History S2'!H:H,'OB History S2'!B:B,A13)</f>
        <v>168</v>
      </c>
      <c r="R13" s="2">
        <f>SUMIFS('OB History S2'!G:G,'OB History S2'!B:B,A13)-Q13</f>
        <v>170</v>
      </c>
      <c r="S13" s="88">
        <f>LOOKUP(2, 1/('OB History S2'!$B:$B=A13), 'OB History S2'!$AC:$AC)</f>
        <v>0.50105263157894731</v>
      </c>
      <c r="T13" s="2">
        <f>COUNTIFS('OB History S2'!$B:$B,$A$13,'OB History S2'!K:K, 1)</f>
        <v>2</v>
      </c>
      <c r="U13" s="2">
        <f>COUNTIFS('OB History S2'!$B:$B,$A$13,'OB History S2'!L:L, 1)</f>
        <v>3</v>
      </c>
      <c r="V13" s="2">
        <f>COUNTIFS('OB History S2'!$B:$B,$A$13,'OB History S2'!M:M, 1)</f>
        <v>1</v>
      </c>
      <c r="W13" s="2">
        <f>COUNTIFS('OB History S2'!$B:$B,$A$13,'OB History S2'!N:N, 1)</f>
        <v>4</v>
      </c>
      <c r="X13" s="2">
        <f>COUNTIFS('OB History S2'!$B:$B,$A$13,'OB History S2'!O:O, 1)</f>
        <v>1</v>
      </c>
      <c r="Y13" s="2">
        <f>COUNTIFS('OB History S2'!$B:$B,$A$13,'OB History S2'!P:P, 1)</f>
        <v>4</v>
      </c>
      <c r="Z13" s="2">
        <f>COUNTIFS('OB History S2'!$B:$B,$A$13,'OB History S2'!Q:Q, 1)</f>
        <v>3</v>
      </c>
      <c r="AA13" s="2">
        <f>COUNTIFS('OB History S2'!$B:$B,$A$13,'OB History S2'!R:R, 1)</f>
        <v>2</v>
      </c>
      <c r="AB13" s="2">
        <f>COUNTIFS('OB History S2'!$B:$B,$A$13,'OB History S2'!S:S, 1)</f>
        <v>2</v>
      </c>
      <c r="AC13" s="2">
        <f>COUNTIFS('OB History S2'!$B:$B,$A$13,'OB History S2'!T:T, 1)</f>
        <v>0</v>
      </c>
      <c r="AD13" s="2">
        <f>COUNTIFS('OB History S2'!$B:$B,$A$13,'OB History S2'!U:U, 1)</f>
        <v>0</v>
      </c>
      <c r="AE13" s="2">
        <f>COUNTIFS('OB History S2'!$B:$B,$A$13,'OB History S2'!V:V, 1)</f>
        <v>1</v>
      </c>
      <c r="AF13" s="2">
        <f>COUNTIFS('OB History S2'!$B:$B,$A$13,'OB History S2'!W:W, 1)</f>
        <v>3</v>
      </c>
      <c r="AG13" s="2">
        <f>COUNTIFS('OB History S2'!$B:$B,$A$13,'OB History S2'!X:X, 1)</f>
        <v>6</v>
      </c>
      <c r="AH13" s="2">
        <f>COUNTIFS('OB History S2'!$B:$B,$A$13,'OB History S2'!Y:Y, 1)</f>
        <v>4</v>
      </c>
      <c r="AI13" s="2">
        <f>COUNTIFS('OB History S2'!$B:$B,$A$13,'OB History S2'!Z:Z, 1)</f>
        <v>7</v>
      </c>
    </row>
    <row r="14" spans="1:35" x14ac:dyDescent="0.25">
      <c r="A14" s="1" t="s">
        <v>146</v>
      </c>
      <c r="B14" s="6" t="s">
        <v>79</v>
      </c>
      <c r="C14" s="2" t="s">
        <v>79</v>
      </c>
      <c r="D14" s="2"/>
      <c r="E14" s="2"/>
      <c r="F14" s="2"/>
      <c r="G14" s="2"/>
      <c r="H14" s="34">
        <f>SUMIFS('OB History S2'!C:C,'OB History S2'!B:B,A14)</f>
        <v>142</v>
      </c>
      <c r="I14" s="4">
        <f>AVERAGEIFS('OB History S2'!C:C,'OB History S2'!B:B,A14)</f>
        <v>12.909090909090908</v>
      </c>
      <c r="J14" s="35">
        <f t="array" ref="J14">MAX(IF('OB History S2'!B:B=A14, 'OB History S2'!C:C))</f>
        <v>27</v>
      </c>
      <c r="K14" s="34">
        <f>COUNTIFS('OB History S2'!B:B,A14,'OB History S2'!D:D, 1)</f>
        <v>4</v>
      </c>
      <c r="L14" s="2">
        <f>COUNTIFS('OB History S2'!B:B,A14,'OB History S2'!D:D, 0)</f>
        <v>7</v>
      </c>
      <c r="M14" s="88">
        <f>LOOKUP(2, 1/('OB History S2'!$B:$B=A14), 'OB History S2'!$AD:$AD)</f>
        <v>0.36363636363636365</v>
      </c>
      <c r="N14" s="34">
        <f>SUMIFS('OB History S2'!F:F,'OB History S2'!B:B,A14)</f>
        <v>18</v>
      </c>
      <c r="O14" s="2">
        <f>SUMIFS('OB History S2'!E:E,'OB History S2'!B:B,A14)-N14</f>
        <v>25</v>
      </c>
      <c r="P14" s="88">
        <f>LOOKUP(2, 1/('OB History S2'!$B:$B=A14), 'OB History S2'!$AB:$AB)</f>
        <v>0.4</v>
      </c>
      <c r="Q14" s="34">
        <f>SUMIFS('OB History S2'!H:H,'OB History S2'!B:B,A14)</f>
        <v>88</v>
      </c>
      <c r="R14" s="2">
        <f>SUMIFS('OB History S2'!G:G,'OB History S2'!B:B,A14)-Q14</f>
        <v>97</v>
      </c>
      <c r="S14" s="88">
        <f>LOOKUP(2, 1/('OB History S2'!$B:$B=A14), 'OB History S2'!$AC:$AC)</f>
        <v>0.47181818181818175</v>
      </c>
      <c r="T14" s="2">
        <f>COUNTIFS('OB History S2'!$B:$B,$A$14,'OB History S2'!K:K, 1)</f>
        <v>1</v>
      </c>
      <c r="U14" s="2">
        <f>COUNTIFS('OB History S2'!$B:$B,$A$14,'OB History S2'!L:L, 1)</f>
        <v>3</v>
      </c>
      <c r="V14" s="2">
        <f>COUNTIFS('OB History S2'!$B:$B,$A$14,'OB History S2'!M:M, 1)</f>
        <v>2</v>
      </c>
      <c r="W14" s="2">
        <f>COUNTIFS('OB History S2'!$B:$B,$A$14,'OB History S2'!N:N, 1)</f>
        <v>4</v>
      </c>
      <c r="X14" s="2">
        <f>COUNTIFS('OB History S2'!$B:$B,$A$14,'OB History S2'!O:O, 1)</f>
        <v>2</v>
      </c>
      <c r="Y14" s="2">
        <f>COUNTIFS('OB History S2'!$B:$B,$A$14,'OB History S2'!P:P, 1)</f>
        <v>0</v>
      </c>
      <c r="Z14" s="2">
        <f>COUNTIFS('OB History S2'!$B:$B,$A$14,'OB History S2'!Q:Q, 1)</f>
        <v>2</v>
      </c>
      <c r="AA14" s="2">
        <f>COUNTIFS('OB History S2'!$B:$B,$A$14,'OB History S2'!R:R, 1)</f>
        <v>0</v>
      </c>
      <c r="AB14" s="2">
        <f>COUNTIFS('OB History S2'!$B:$B,$A$14,'OB History S2'!S:S, 1)</f>
        <v>0</v>
      </c>
      <c r="AC14" s="2">
        <f>COUNTIFS('OB History S2'!$B:$B,$A$14,'OB History S2'!T:T, 1)</f>
        <v>0</v>
      </c>
      <c r="AD14" s="2">
        <f>COUNTIFS('OB History S2'!$B:$B,$A$14,'OB History S2'!U:U, 1)</f>
        <v>0</v>
      </c>
      <c r="AE14" s="2">
        <f>COUNTIFS('OB History S2'!$B:$B,$A$14,'OB History S2'!V:V, 1)</f>
        <v>0</v>
      </c>
      <c r="AF14" s="2">
        <f>COUNTIFS('OB History S2'!$B:$B,$A$14,'OB History S2'!W:W, 1)</f>
        <v>2</v>
      </c>
      <c r="AG14" s="2">
        <f>COUNTIFS('OB History S2'!$B:$B,$A$14,'OB History S2'!X:X, 1)</f>
        <v>1</v>
      </c>
      <c r="AH14" s="2">
        <f>COUNTIFS('OB History S2'!$B:$B,$A$14,'OB History S2'!Y:Y, 1)</f>
        <v>1</v>
      </c>
      <c r="AI14" s="2">
        <f>COUNTIFS('OB History S2'!$B:$B,$A$14,'OB History S2'!Z:Z, 1)</f>
        <v>0</v>
      </c>
    </row>
    <row r="15" spans="1:35" x14ac:dyDescent="0.25">
      <c r="A15" s="1" t="s">
        <v>27</v>
      </c>
      <c r="B15" s="6" t="s">
        <v>76</v>
      </c>
      <c r="C15" s="6" t="s">
        <v>79</v>
      </c>
      <c r="D15" s="6">
        <v>2</v>
      </c>
      <c r="E15" s="6"/>
      <c r="F15" s="6"/>
      <c r="G15" s="6"/>
      <c r="H15" s="34">
        <f>SUMIFS('OB History S2'!C:C,'OB History S2'!B:B,A15)</f>
        <v>225</v>
      </c>
      <c r="I15" s="4">
        <f>AVERAGEIFS('OB History S2'!C:C,'OB History S2'!B:B,A15)</f>
        <v>17.307692307692307</v>
      </c>
      <c r="J15" s="35">
        <f t="array" ref="J15">MAX(IF('OB History S2'!B:B=A15, 'OB History S2'!C:C))</f>
        <v>44</v>
      </c>
      <c r="K15" s="34">
        <f>COUNTIFS('OB History S2'!B:B,A15,'OB History S2'!D:D, 1)</f>
        <v>9</v>
      </c>
      <c r="L15" s="2">
        <f>COUNTIFS('OB History S2'!B:B,A15,'OB History S2'!D:D, 0)</f>
        <v>4</v>
      </c>
      <c r="M15" s="88">
        <f>LOOKUP(2, 1/('OB History S2'!$B:$B=A15), 'OB History S2'!$AD:$AD)</f>
        <v>0.69230769230769229</v>
      </c>
      <c r="N15" s="34">
        <f>SUMIFS('OB History S2'!F:F,'OB History S2'!B:B,A15)</f>
        <v>31</v>
      </c>
      <c r="O15" s="2">
        <f>SUMIFS('OB History S2'!E:E,'OB History S2'!B:B,A15)-N15</f>
        <v>22</v>
      </c>
      <c r="P15" s="88">
        <f>LOOKUP(2, 1/('OB History S2'!$B:$B=A15), 'OB History S2'!$AB:$AB)</f>
        <v>0.58461538461538454</v>
      </c>
      <c r="Q15" s="34">
        <f>SUMIFS('OB History S2'!H:H,'OB History S2'!B:B,A15)</f>
        <v>116</v>
      </c>
      <c r="R15" s="2">
        <f>SUMIFS('OB History S2'!G:G,'OB History S2'!B:B,A15)-Q15</f>
        <v>97</v>
      </c>
      <c r="S15" s="88">
        <f>LOOKUP(2, 1/('OB History S2'!$B:$B=A15), 'OB History S2'!$AC:$AC)</f>
        <v>0.54846153846153856</v>
      </c>
      <c r="T15" s="2">
        <f>COUNTIFS('OB History S2'!$B:$B,$A$15,'OB History S2'!K:K, 1)</f>
        <v>1</v>
      </c>
      <c r="U15" s="2">
        <f>COUNTIFS('OB History S2'!$B:$B,$A$15,'OB History S2'!L:L, 1)</f>
        <v>3</v>
      </c>
      <c r="V15" s="2">
        <f>COUNTIFS('OB History S2'!$B:$B,$A$15,'OB History S2'!M:M, 1)</f>
        <v>1</v>
      </c>
      <c r="W15" s="2">
        <f>COUNTIFS('OB History S2'!$B:$B,$A$15,'OB History S2'!N:N, 1)</f>
        <v>2</v>
      </c>
      <c r="X15" s="2">
        <f>COUNTIFS('OB History S2'!$B:$B,$A$15,'OB History S2'!O:O, 1)</f>
        <v>1</v>
      </c>
      <c r="Y15" s="2">
        <f>COUNTIFS('OB History S2'!$B:$B,$A$15,'OB History S2'!P:P, 1)</f>
        <v>2</v>
      </c>
      <c r="Z15" s="2">
        <f>COUNTIFS('OB History S2'!$B:$B,$A$15,'OB History S2'!Q:Q, 1)</f>
        <v>3</v>
      </c>
      <c r="AA15" s="2">
        <f>COUNTIFS('OB History S2'!$B:$B,$A$15,'OB History S2'!R:R, 1)</f>
        <v>3</v>
      </c>
      <c r="AB15" s="2">
        <f>COUNTIFS('OB History S2'!$B:$B,$A$15,'OB History S2'!S:S, 1)</f>
        <v>0</v>
      </c>
      <c r="AC15" s="2">
        <f>COUNTIFS('OB History S2'!$B:$B,$A$15,'OB History S2'!T:T, 1)</f>
        <v>1</v>
      </c>
      <c r="AD15" s="2">
        <f>COUNTIFS('OB History S2'!$B:$B,$A$15,'OB History S2'!U:U, 1)</f>
        <v>1</v>
      </c>
      <c r="AE15" s="2">
        <f>COUNTIFS('OB History S2'!$B:$B,$A$15,'OB History S2'!V:V, 1)</f>
        <v>0</v>
      </c>
      <c r="AF15" s="2">
        <f>COUNTIFS('OB History S2'!$B:$B,$A$15,'OB History S2'!W:W, 1)</f>
        <v>3</v>
      </c>
      <c r="AG15" s="2">
        <f>COUNTIFS('OB History S2'!$B:$B,$A$15,'OB History S2'!X:X, 1)</f>
        <v>5</v>
      </c>
      <c r="AH15" s="2">
        <f>COUNTIFS('OB History S2'!$B:$B,$A$15,'OB History S2'!Y:Y, 1)</f>
        <v>3</v>
      </c>
      <c r="AI15" s="2">
        <f>COUNTIFS('OB History S2'!$B:$B,$A$15,'OB History S2'!Z:Z, 1)</f>
        <v>2</v>
      </c>
    </row>
    <row r="16" spans="1:35" x14ac:dyDescent="0.25">
      <c r="A16" s="1" t="s">
        <v>26</v>
      </c>
      <c r="B16" s="6" t="s">
        <v>124</v>
      </c>
      <c r="C16" s="6" t="s">
        <v>79</v>
      </c>
      <c r="D16" s="6"/>
      <c r="E16" s="6"/>
      <c r="F16" s="6"/>
      <c r="G16" s="6"/>
      <c r="H16" s="34">
        <f>SUMIFS('OB History S2'!C:C,'OB History S2'!B:B,A16)</f>
        <v>295</v>
      </c>
      <c r="I16" s="4">
        <f>AVERAGEIFS('OB History S2'!C:C,'OB History S2'!B:B,A16)</f>
        <v>15.526315789473685</v>
      </c>
      <c r="J16" s="35">
        <f t="array" ref="J16">MAX(IF('OB History S2'!B:B=A16, 'OB History S2'!C:C))</f>
        <v>41</v>
      </c>
      <c r="K16" s="34">
        <f>COUNTIFS('OB History S2'!B:B,A16,'OB History S2'!D:D, 1)</f>
        <v>10</v>
      </c>
      <c r="L16" s="2">
        <f>COUNTIFS('OB History S2'!B:B,A16,'OB History S2'!D:D, 0)</f>
        <v>9</v>
      </c>
      <c r="M16" s="88">
        <f>LOOKUP(2, 1/('OB History S2'!$B:$B=A16), 'OB History S2'!$AD:$AD)</f>
        <v>0.52631578947368418</v>
      </c>
      <c r="N16" s="34">
        <f>SUMIFS('OB History S2'!F:F,'OB History S2'!B:B,A16)</f>
        <v>41</v>
      </c>
      <c r="O16" s="2">
        <f>SUMIFS('OB History S2'!E:E,'OB History S2'!B:B,A16)-N16</f>
        <v>35</v>
      </c>
      <c r="P16" s="88">
        <f>LOOKUP(2, 1/('OB History S2'!$B:$B=A16), 'OB History S2'!$AB:$AB)</f>
        <v>0.5552631578947369</v>
      </c>
      <c r="Q16" s="34">
        <f>SUMIFS('OB History S2'!H:H,'OB History S2'!B:B,A16)</f>
        <v>158</v>
      </c>
      <c r="R16" s="2">
        <f>SUMIFS('OB History S2'!G:G,'OB History S2'!B:B,A16)-Q16</f>
        <v>160</v>
      </c>
      <c r="S16" s="88">
        <f>LOOKUP(2, 1/('OB History S2'!$B:$B=A16), 'OB History S2'!$AC:$AC)</f>
        <v>0.49368421052631573</v>
      </c>
      <c r="T16" s="2">
        <f>COUNTIFS('OB History S2'!$B:$B,$A$16,'OB History S2'!K:K, 1)</f>
        <v>3</v>
      </c>
      <c r="U16" s="2">
        <f>COUNTIFS('OB History S2'!$B:$B,$A$16,'OB History S2'!L:L, 1)</f>
        <v>3</v>
      </c>
      <c r="V16" s="2">
        <f>COUNTIFS('OB History S2'!$B:$B,$A$16,'OB History S2'!M:M, 1)</f>
        <v>1</v>
      </c>
      <c r="W16" s="2">
        <f>COUNTIFS('OB History S2'!$B:$B,$A$16,'OB History S2'!N:N, 1)</f>
        <v>3</v>
      </c>
      <c r="X16" s="2">
        <f>COUNTIFS('OB History S2'!$B:$B,$A$16,'OB History S2'!O:O, 1)</f>
        <v>0</v>
      </c>
      <c r="Y16" s="2">
        <f>COUNTIFS('OB History S2'!$B:$B,$A$16,'OB History S2'!P:P, 1)</f>
        <v>5</v>
      </c>
      <c r="Z16" s="2">
        <f>COUNTIFS('OB History S2'!$B:$B,$A$16,'OB History S2'!Q:Q, 1)</f>
        <v>2</v>
      </c>
      <c r="AA16" s="2">
        <f>COUNTIFS('OB History S2'!$B:$B,$A$16,'OB History S2'!R:R, 1)</f>
        <v>2</v>
      </c>
      <c r="AB16" s="2">
        <f>COUNTIFS('OB History S2'!$B:$B,$A$16,'OB History S2'!S:S, 1)</f>
        <v>1</v>
      </c>
      <c r="AC16" s="2">
        <f>COUNTIFS('OB History S2'!$B:$B,$A$16,'OB History S2'!T:T, 1)</f>
        <v>1</v>
      </c>
      <c r="AD16" s="2">
        <f>COUNTIFS('OB History S2'!$B:$B,$A$16,'OB History S2'!U:U, 1)</f>
        <v>0</v>
      </c>
      <c r="AE16" s="2">
        <f>COUNTIFS('OB History S2'!$B:$B,$A$16,'OB History S2'!V:V, 1)</f>
        <v>1</v>
      </c>
      <c r="AF16" s="2">
        <f>COUNTIFS('OB History S2'!$B:$B,$A$16,'OB History S2'!W:W, 1)</f>
        <v>2</v>
      </c>
      <c r="AG16" s="2">
        <f>COUNTIFS('OB History S2'!$B:$B,$A$16,'OB History S2'!X:X, 1)</f>
        <v>6</v>
      </c>
      <c r="AH16" s="2">
        <f>COUNTIFS('OB History S2'!$B:$B,$A$16,'OB History S2'!Y:Y, 1)</f>
        <v>6</v>
      </c>
      <c r="AI16" s="2">
        <f>COUNTIFS('OB History S2'!$B:$B,$A$16,'OB History S2'!Z:Z, 1)</f>
        <v>5</v>
      </c>
    </row>
    <row r="17" spans="1:35" x14ac:dyDescent="0.25">
      <c r="A17" s="1" t="s">
        <v>74</v>
      </c>
      <c r="B17" s="6" t="s">
        <v>79</v>
      </c>
      <c r="C17" s="6" t="s">
        <v>79</v>
      </c>
      <c r="D17" s="6"/>
      <c r="E17" s="6"/>
      <c r="F17" s="6"/>
      <c r="G17" s="6"/>
      <c r="H17" s="34">
        <f>SUMIFS('OB History S2'!C:C,'OB History S2'!B:B,A17)</f>
        <v>10</v>
      </c>
      <c r="I17" s="4">
        <f>AVERAGEIFS('OB History S2'!C:C,'OB History S2'!B:B,A17)</f>
        <v>10</v>
      </c>
      <c r="J17" s="35">
        <f t="array" ref="J17">MAX(IF('OB History S2'!B:B=A17, 'OB History S2'!C:C))</f>
        <v>10</v>
      </c>
      <c r="K17" s="34">
        <f>COUNTIFS('OB History S2'!B:B,A17,'OB History S2'!D:D, 1)</f>
        <v>0</v>
      </c>
      <c r="L17" s="2">
        <f>COUNTIFS('OB History S2'!B:B,A17,'OB History S2'!D:D, 0)</f>
        <v>1</v>
      </c>
      <c r="M17" s="88">
        <f>LOOKUP(2, 1/('OB History S2'!$B:$B=A17), 'OB History S2'!$AD:$AD)</f>
        <v>0</v>
      </c>
      <c r="N17" s="34">
        <f>SUMIFS('OB History S2'!F:F,'OB History S2'!B:B,A17)</f>
        <v>2</v>
      </c>
      <c r="O17" s="2">
        <f>SUMIFS('OB History S2'!E:E,'OB History S2'!B:B,A17)-N17</f>
        <v>3</v>
      </c>
      <c r="P17" s="88">
        <f>LOOKUP(2, 1/('OB History S2'!$B:$B=A17), 'OB History S2'!$AB:$AB)</f>
        <v>0.4</v>
      </c>
      <c r="Q17" s="34">
        <f>SUMIFS('OB History S2'!H:H,'OB History S2'!B:B,A17)</f>
        <v>6</v>
      </c>
      <c r="R17" s="2">
        <f>SUMIFS('OB History S2'!G:G,'OB History S2'!B:B,A17)-Q17</f>
        <v>14</v>
      </c>
      <c r="S17" s="88">
        <f>LOOKUP(2, 1/('OB History S2'!$B:$B=A17), 'OB History S2'!$AC:$AC)</f>
        <v>0.3</v>
      </c>
      <c r="T17" s="2">
        <f>COUNTIFS('OB History S2'!$B:$B,$A$17,'OB History S2'!K:K, 1)</f>
        <v>0</v>
      </c>
      <c r="U17" s="2">
        <f>COUNTIFS('OB History S2'!$B:$B,$A$17,'OB History S2'!L:L, 1)</f>
        <v>0</v>
      </c>
      <c r="V17" s="2">
        <f>COUNTIFS('OB History S2'!$B:$B,$A$17,'OB History S2'!M:M, 1)</f>
        <v>0</v>
      </c>
      <c r="W17" s="2">
        <f>COUNTIFS('OB History S2'!$B:$B,$A$17,'OB History S2'!N:N, 1)</f>
        <v>0</v>
      </c>
      <c r="X17" s="2">
        <f>COUNTIFS('OB History S2'!$B:$B,$A$17,'OB History S2'!O:O, 1)</f>
        <v>0</v>
      </c>
      <c r="Y17" s="2">
        <f>COUNTIFS('OB History S2'!$B:$B,$A$17,'OB History S2'!P:P, 1)</f>
        <v>0</v>
      </c>
      <c r="Z17" s="2">
        <f>COUNTIFS('OB History S2'!$B:$B,$A$17,'OB History S2'!Q:Q, 1)</f>
        <v>0</v>
      </c>
      <c r="AA17" s="2">
        <f>COUNTIFS('OB History S2'!$B:$B,$A$17,'OB History S2'!R:R, 1)</f>
        <v>0</v>
      </c>
      <c r="AB17" s="2">
        <f>COUNTIFS('OB History S2'!$B:$B,$A$17,'OB History S2'!S:S, 1)</f>
        <v>0</v>
      </c>
      <c r="AC17" s="2">
        <f>COUNTIFS('OB History S2'!$B:$B,$A$17,'OB History S2'!T:T, 1)</f>
        <v>0</v>
      </c>
      <c r="AD17" s="2">
        <f>COUNTIFS('OB History S2'!$B:$B,$A$17,'OB History S2'!U:U, 1)</f>
        <v>0</v>
      </c>
      <c r="AE17" s="2">
        <f>COUNTIFS('OB History S2'!$B:$B,$A$17,'OB History S2'!V:V, 1)</f>
        <v>0</v>
      </c>
      <c r="AF17" s="2">
        <f>COUNTIFS('OB History S2'!$B:$B,$A$17,'OB History S2'!W:W, 1)</f>
        <v>1</v>
      </c>
      <c r="AG17" s="2">
        <f>COUNTIFS('OB History S2'!$B:$B,$A$17,'OB History S2'!X:X, 1)</f>
        <v>0</v>
      </c>
      <c r="AH17" s="2">
        <f>COUNTIFS('OB History S2'!$B:$B,$A$17,'OB History S2'!Y:Y, 1)</f>
        <v>1</v>
      </c>
      <c r="AI17" s="2">
        <f>COUNTIFS('OB History S2'!$B:$B,$A$17,'OB History S2'!Z:Z, 1)</f>
        <v>0</v>
      </c>
    </row>
    <row r="18" spans="1:35" x14ac:dyDescent="0.25">
      <c r="A18" s="1" t="s">
        <v>152</v>
      </c>
      <c r="B18" s="6" t="s">
        <v>79</v>
      </c>
      <c r="C18" s="2" t="s">
        <v>79</v>
      </c>
      <c r="D18" s="2"/>
      <c r="E18" s="2"/>
      <c r="F18" s="2"/>
      <c r="G18" s="2"/>
      <c r="H18" s="34">
        <f>SUMIFS('OB History S2'!C:C,'OB History S2'!B:B,A18)</f>
        <v>154</v>
      </c>
      <c r="I18" s="4">
        <f>AVERAGEIFS('OB History S2'!C:C,'OB History S2'!B:B,A18)</f>
        <v>14</v>
      </c>
      <c r="J18" s="35">
        <f t="array" ref="J18">MAX(IF('OB History S2'!B:B=A18, 'OB History S2'!C:C))</f>
        <v>19</v>
      </c>
      <c r="K18" s="34">
        <f>COUNTIFS('OB History S2'!B:B,A18,'OB History S2'!D:D, 1)</f>
        <v>2</v>
      </c>
      <c r="L18" s="2">
        <f>COUNTIFS('OB History S2'!B:B,A18,'OB History S2'!D:D, 0)</f>
        <v>9</v>
      </c>
      <c r="M18" s="88">
        <f>LOOKUP(2, 1/('OB History S2'!$B:$B=A18), 'OB History S2'!$AD:$AD)</f>
        <v>0.18181818181818182</v>
      </c>
      <c r="N18" s="34">
        <f>SUMIFS('OB History S2'!F:F,'OB History S2'!B:B,A18)</f>
        <v>12</v>
      </c>
      <c r="O18" s="2">
        <f>SUMIFS('OB History S2'!E:E,'OB History S2'!B:B,A18)-N18</f>
        <v>30</v>
      </c>
      <c r="P18" s="88">
        <f>LOOKUP(2, 1/('OB History S2'!$B:$B=A18), 'OB History S2'!$AB:$AB)</f>
        <v>0.25454545454545452</v>
      </c>
      <c r="Q18" s="34">
        <f>SUMIFS('OB History S2'!H:H,'OB History S2'!B:B,A18)</f>
        <v>67</v>
      </c>
      <c r="R18" s="2">
        <f>SUMIFS('OB History S2'!G:G,'OB History S2'!B:B,A18)-Q18</f>
        <v>111</v>
      </c>
      <c r="S18" s="88">
        <f>LOOKUP(2, 1/('OB History S2'!$B:$B=A18), 'OB History S2'!$AC:$AC)</f>
        <v>0.3572727272727273</v>
      </c>
      <c r="T18" s="2">
        <f>COUNTIFS('OB History S2'!$B:$B,$A$18,'OB History S2'!K:K, 1)</f>
        <v>1</v>
      </c>
      <c r="U18" s="2">
        <f>COUNTIFS('OB History S2'!$B:$B,$A$18,'OB History S2'!L:L, 1)</f>
        <v>0</v>
      </c>
      <c r="V18" s="2">
        <f>COUNTIFS('OB History S2'!$B:$B,$A$18,'OB History S2'!M:M, 1)</f>
        <v>2</v>
      </c>
      <c r="W18" s="2">
        <f>COUNTIFS('OB History S2'!$B:$B,$A$18,'OB History S2'!N:N, 1)</f>
        <v>0</v>
      </c>
      <c r="X18" s="2">
        <f>COUNTIFS('OB History S2'!$B:$B,$A$18,'OB History S2'!O:O, 1)</f>
        <v>0</v>
      </c>
      <c r="Y18" s="2">
        <f>COUNTIFS('OB History S2'!$B:$B,$A$18,'OB History S2'!P:P, 1)</f>
        <v>2</v>
      </c>
      <c r="Z18" s="2">
        <f>COUNTIFS('OB History S2'!$B:$B,$A$18,'OB History S2'!Q:Q, 1)</f>
        <v>2</v>
      </c>
      <c r="AA18" s="2">
        <f>COUNTIFS('OB History S2'!$B:$B,$A$18,'OB History S2'!R:R, 1)</f>
        <v>1</v>
      </c>
      <c r="AB18" s="2">
        <f>COUNTIFS('OB History S2'!$B:$B,$A$18,'OB History S2'!S:S, 1)</f>
        <v>0</v>
      </c>
      <c r="AC18" s="2">
        <f>COUNTIFS('OB History S2'!$B:$B,$A$18,'OB History S2'!T:T, 1)</f>
        <v>0</v>
      </c>
      <c r="AD18" s="2">
        <f>COUNTIFS('OB History S2'!$B:$B,$A$18,'OB History S2'!U:U, 1)</f>
        <v>0</v>
      </c>
      <c r="AE18" s="2">
        <f>COUNTIFS('OB History S2'!$B:$B,$A$18,'OB History S2'!V:V, 1)</f>
        <v>0</v>
      </c>
      <c r="AF18" s="2">
        <f>COUNTIFS('OB History S2'!$B:$B,$A$18,'OB History S2'!W:W, 1)</f>
        <v>0</v>
      </c>
      <c r="AG18" s="2">
        <f>COUNTIFS('OB History S2'!$B:$B,$A$18,'OB History S2'!X:X, 1)</f>
        <v>3</v>
      </c>
      <c r="AH18" s="2">
        <f>COUNTIFS('OB History S2'!$B:$B,$A$18,'OB History S2'!Y:Y, 1)</f>
        <v>0</v>
      </c>
      <c r="AI18" s="2">
        <f>COUNTIFS('OB History S2'!$B:$B,$A$18,'OB History S2'!Z:Z, 1)</f>
        <v>1</v>
      </c>
    </row>
    <row r="19" spans="1:35" x14ac:dyDescent="0.25">
      <c r="A19" s="1" t="s">
        <v>213</v>
      </c>
      <c r="B19" s="6" t="s">
        <v>79</v>
      </c>
      <c r="C19" s="2" t="s">
        <v>79</v>
      </c>
      <c r="D19" s="2"/>
      <c r="E19" s="2"/>
      <c r="F19" s="2"/>
      <c r="G19" s="2"/>
      <c r="H19" s="34">
        <f>SUMIFS('OB History S2'!C:C,'OB History S2'!B:B,A19)</f>
        <v>0</v>
      </c>
      <c r="I19" s="4">
        <f>AVERAGEIFS('OB History S2'!C:C,'OB History S2'!B:B,A19)</f>
        <v>0</v>
      </c>
      <c r="J19" s="35">
        <f t="array" ref="J19">MAX(IF('OB History S2'!B:B=A19, 'OB History S2'!C:C))</f>
        <v>0</v>
      </c>
      <c r="K19" s="34">
        <f>COUNTIFS('OB History S2'!B:B,A19,'OB History S2'!D:D, 1)</f>
        <v>0</v>
      </c>
      <c r="L19" s="2">
        <f>COUNTIFS('OB History S2'!B:B,A19,'OB History S2'!D:D, 0)</f>
        <v>1</v>
      </c>
      <c r="M19" s="88">
        <f>LOOKUP(2, 1/('OB History S2'!$B:$B=A19), 'OB History S2'!$AD:$AD)</f>
        <v>0</v>
      </c>
      <c r="N19" s="34">
        <f>SUMIFS('OB History S2'!F:F,'OB History S2'!B:B,A19)</f>
        <v>0</v>
      </c>
      <c r="O19" s="2">
        <f>SUMIFS('OB History S2'!E:E,'OB History S2'!B:B,A19)-N19</f>
        <v>3</v>
      </c>
      <c r="P19" s="88">
        <f>LOOKUP(2, 1/('OB History S2'!$B:$B=A19), 'OB History S2'!$AB:$AB)</f>
        <v>0</v>
      </c>
      <c r="Q19" s="34">
        <f>SUMIFS('OB History S2'!H:H,'OB History S2'!B:B,A19)</f>
        <v>3</v>
      </c>
      <c r="R19" s="2">
        <f>SUMIFS('OB History S2'!G:G,'OB History S2'!B:B,A19)-Q19</f>
        <v>9</v>
      </c>
      <c r="S19" s="88">
        <f>LOOKUP(2, 1/('OB History S2'!$B:$B=A19), 'OB History S2'!$AC:$AC)</f>
        <v>0.25</v>
      </c>
      <c r="T19" s="2">
        <f>COUNTIFS('OB History S2'!$B:$B,$A$19,'OB History S2'!K:K, 1)</f>
        <v>0</v>
      </c>
      <c r="U19" s="2">
        <f>COUNTIFS('OB History S2'!$B:$B,$A$19,'OB History S2'!L:L, 1)</f>
        <v>0</v>
      </c>
      <c r="V19" s="2">
        <f>COUNTIFS('OB History S2'!$B:$B,$A$19,'OB History S2'!M:M, 1)</f>
        <v>0</v>
      </c>
      <c r="W19" s="2">
        <f>COUNTIFS('OB History S2'!$B:$B,$A$19,'OB History S2'!N:N, 1)</f>
        <v>0</v>
      </c>
      <c r="X19" s="2">
        <f>COUNTIFS('OB History S2'!$B:$B,$A$19,'OB History S2'!O:O, 1)</f>
        <v>0</v>
      </c>
      <c r="Y19" s="2">
        <f>COUNTIFS('OB History S2'!$B:$B,$A$19,'OB History S2'!P:P, 1)</f>
        <v>0</v>
      </c>
      <c r="Z19" s="2">
        <f>COUNTIFS('OB History S2'!$B:$B,$A$19,'OB History S2'!Q:Q, 1)</f>
        <v>0</v>
      </c>
      <c r="AA19" s="2">
        <f>COUNTIFS('OB History S2'!$B:$B,$A$19,'OB History S2'!R:R, 1)</f>
        <v>0</v>
      </c>
      <c r="AB19" s="2">
        <f>COUNTIFS('OB History S2'!$B:$B,$A$19,'OB History S2'!S:S, 1)</f>
        <v>0</v>
      </c>
      <c r="AC19" s="2">
        <f>COUNTIFS('OB History S2'!$B:$B,$A$19,'OB History S2'!T:T, 1)</f>
        <v>0</v>
      </c>
      <c r="AD19" s="2">
        <f>COUNTIFS('OB History S2'!$B:$B,$A$19,'OB History S2'!U:U, 1)</f>
        <v>0</v>
      </c>
      <c r="AE19" s="2">
        <f>COUNTIFS('OB History S2'!$B:$B,$A$19,'OB History S2'!V:V, 1)</f>
        <v>0</v>
      </c>
      <c r="AF19" s="2">
        <f>COUNTIFS('OB History S2'!$B:$B,$A$19,'OB History S2'!W:W, 1)</f>
        <v>0</v>
      </c>
      <c r="AG19" s="2">
        <f>COUNTIFS('OB History S2'!$B:$B,$A$19,'OB History S2'!X:X, 1)</f>
        <v>0</v>
      </c>
      <c r="AH19" s="2">
        <f>COUNTIFS('OB History S2'!$B:$B,$A$19,'OB History S2'!Y:Y, 1)</f>
        <v>0</v>
      </c>
      <c r="AI19" s="2">
        <f>COUNTIFS('OB History S2'!$B:$B,$A$19,'OB History S2'!Z:Z, 1)</f>
        <v>0</v>
      </c>
    </row>
    <row r="20" spans="1:35" ht="15.75" x14ac:dyDescent="0.25">
      <c r="A20" s="1" t="s">
        <v>45</v>
      </c>
      <c r="B20" s="80" t="s">
        <v>60</v>
      </c>
      <c r="C20" s="2" t="s">
        <v>79</v>
      </c>
      <c r="D20" s="2"/>
      <c r="E20" s="2"/>
      <c r="F20" s="2"/>
      <c r="G20" s="2"/>
      <c r="H20" s="34">
        <f>SUMIFS('OB History S2'!C:C,'OB History S2'!B:B,A20)</f>
        <v>138</v>
      </c>
      <c r="I20" s="4">
        <f>AVERAGEIFS('OB History S2'!C:C,'OB History S2'!B:B,A20)</f>
        <v>15.333333333333334</v>
      </c>
      <c r="J20" s="35">
        <f t="array" ref="J20">MAX(IF('OB History S2'!B:B=A20, 'OB History S2'!C:C))</f>
        <v>29</v>
      </c>
      <c r="K20" s="34">
        <f>COUNTIFS('OB History S2'!B:B,A20,'OB History S2'!D:D, 1)</f>
        <v>4</v>
      </c>
      <c r="L20" s="2">
        <f>COUNTIFS('OB History S2'!B:B,A20,'OB History S2'!D:D, 0)</f>
        <v>5</v>
      </c>
      <c r="M20" s="88">
        <f>LOOKUP(2, 1/('OB History S2'!$B:$B=A20), 'OB History S2'!$AD:$AD)</f>
        <v>0.44444444444444442</v>
      </c>
      <c r="N20" s="34">
        <f>SUMIFS('OB History S2'!F:F,'OB History S2'!B:B,A20)</f>
        <v>19</v>
      </c>
      <c r="O20" s="2">
        <f>SUMIFS('OB History S2'!E:E,'OB History S2'!B:B,A20)-N20</f>
        <v>21</v>
      </c>
      <c r="P20" s="88">
        <f>LOOKUP(2, 1/('OB History S2'!$B:$B=A20), 'OB History S2'!$AB:$AB)</f>
        <v>0.47222222222222221</v>
      </c>
      <c r="Q20" s="34">
        <f>SUMIFS('OB History S2'!H:H,'OB History S2'!B:B,A20)</f>
        <v>77</v>
      </c>
      <c r="R20" s="2">
        <f>SUMIFS('OB History S2'!G:G,'OB History S2'!B:B,A20)-Q20</f>
        <v>81</v>
      </c>
      <c r="S20" s="88">
        <f>LOOKUP(2, 1/('OB History S2'!$B:$B=A20), 'OB History S2'!$AC:$AC)</f>
        <v>0.48777777777777775</v>
      </c>
      <c r="T20" s="2">
        <f>COUNTIFS('OB History S2'!$B:$B,$A$20,'OB History S2'!K:K, 1)</f>
        <v>1</v>
      </c>
      <c r="U20" s="2">
        <f>COUNTIFS('OB History S2'!$B:$B,$A$20,'OB History S2'!L:L, 1)</f>
        <v>1</v>
      </c>
      <c r="V20" s="2">
        <f>COUNTIFS('OB History S2'!$B:$B,$A$20,'OB History S2'!M:M, 1)</f>
        <v>2</v>
      </c>
      <c r="W20" s="2">
        <f>COUNTIFS('OB History S2'!$B:$B,$A$20,'OB History S2'!N:N, 1)</f>
        <v>1</v>
      </c>
      <c r="X20" s="2">
        <f>COUNTIFS('OB History S2'!$B:$B,$A$20,'OB History S2'!O:O, 1)</f>
        <v>0</v>
      </c>
      <c r="Y20" s="2">
        <f>COUNTIFS('OB History S2'!$B:$B,$A$20,'OB History S2'!P:P, 1)</f>
        <v>2</v>
      </c>
      <c r="Z20" s="2">
        <f>COUNTIFS('OB History S2'!$B:$B,$A$20,'OB History S2'!Q:Q, 1)</f>
        <v>0</v>
      </c>
      <c r="AA20" s="2">
        <f>COUNTIFS('OB History S2'!$B:$B,$A$20,'OB History S2'!R:R, 1)</f>
        <v>1</v>
      </c>
      <c r="AB20" s="2">
        <f>COUNTIFS('OB History S2'!$B:$B,$A$20,'OB History S2'!S:S, 1)</f>
        <v>1</v>
      </c>
      <c r="AC20" s="2">
        <f>COUNTIFS('OB History S2'!$B:$B,$A$20,'OB History S2'!T:T, 1)</f>
        <v>1</v>
      </c>
      <c r="AD20" s="2">
        <f>COUNTIFS('OB History S2'!$B:$B,$A$20,'OB History S2'!U:U, 1)</f>
        <v>0</v>
      </c>
      <c r="AE20" s="2">
        <f>COUNTIFS('OB History S2'!$B:$B,$A$20,'OB History S2'!V:V, 1)</f>
        <v>0</v>
      </c>
      <c r="AF20" s="2">
        <f>COUNTIFS('OB History S2'!$B:$B,$A$20,'OB History S2'!W:W, 1)</f>
        <v>1</v>
      </c>
      <c r="AG20" s="2">
        <f>COUNTIFS('OB History S2'!$B:$B,$A$20,'OB History S2'!X:X, 1)</f>
        <v>2</v>
      </c>
      <c r="AH20" s="2">
        <f>COUNTIFS('OB History S2'!$B:$B,$A$20,'OB History S2'!Y:Y, 1)</f>
        <v>3</v>
      </c>
      <c r="AI20" s="2">
        <f>COUNTIFS('OB History S2'!$B:$B,$A$20,'OB History S2'!Z:Z, 1)</f>
        <v>3</v>
      </c>
    </row>
    <row r="21" spans="1:35" x14ac:dyDescent="0.25">
      <c r="A21" s="2" t="s">
        <v>52</v>
      </c>
      <c r="B21" s="2" t="s">
        <v>79</v>
      </c>
      <c r="C21" s="2" t="s">
        <v>79</v>
      </c>
      <c r="D21" s="2"/>
      <c r="E21" s="2"/>
      <c r="F21" s="2"/>
      <c r="G21" s="2"/>
      <c r="H21" s="34">
        <f>SUMIFS('OB History S2'!C:C,'OB History S2'!B:B,A21)</f>
        <v>34</v>
      </c>
      <c r="I21" s="4">
        <f>AVERAGEIFS('OB History S2'!C:C,'OB History S2'!B:B,A21)</f>
        <v>34</v>
      </c>
      <c r="J21" s="35">
        <f t="array" ref="J21">MAX(IF('OB History S2'!B:B=A21, 'OB History S2'!C:C))</f>
        <v>34</v>
      </c>
      <c r="K21" s="34">
        <f>COUNTIFS('OB History S2'!B:B,A21,'OB History S2'!D:D, 1)</f>
        <v>0</v>
      </c>
      <c r="L21" s="2">
        <f>COUNTIFS('OB History S2'!B:B,A21,'OB History S2'!D:D, 0)</f>
        <v>1</v>
      </c>
      <c r="M21" s="88">
        <f>LOOKUP(2, 1/('OB History S2'!$B:$B=A21), 'OB History S2'!$AD:$AD)</f>
        <v>0</v>
      </c>
      <c r="N21" s="34">
        <f>SUMIFS('OB History S2'!F:F,'OB History S2'!B:B,A21)</f>
        <v>2</v>
      </c>
      <c r="O21" s="2">
        <f>SUMIFS('OB History S2'!E:E,'OB History S2'!B:B,A21)-N21</f>
        <v>3</v>
      </c>
      <c r="P21" s="88">
        <f>LOOKUP(2, 1/('OB History S2'!$B:$B=A21), 'OB History S2'!$AB:$AB)</f>
        <v>0.4</v>
      </c>
      <c r="Q21" s="34">
        <f>SUMIFS('OB History S2'!H:H,'OB History S2'!B:B,A21)</f>
        <v>8</v>
      </c>
      <c r="R21" s="2">
        <f>SUMIFS('OB History S2'!G:G,'OB History S2'!B:B,A21)-Q21</f>
        <v>13</v>
      </c>
      <c r="S21" s="88">
        <f>LOOKUP(2, 1/('OB History S2'!$B:$B=A21), 'OB History S2'!$AC:$AC)</f>
        <v>0.38</v>
      </c>
      <c r="T21" s="2">
        <f>COUNTIFS('OB History S2'!$B:$B,$A$21,'OB History S2'!K:K, 1)</f>
        <v>0</v>
      </c>
      <c r="U21" s="2">
        <f>COUNTIFS('OB History S2'!$B:$B,$A$21,'OB History S2'!L:L, 1)</f>
        <v>0</v>
      </c>
      <c r="V21" s="2">
        <f>COUNTIFS('OB History S2'!$B:$B,$A$21,'OB History S2'!M:M, 1)</f>
        <v>0</v>
      </c>
      <c r="W21" s="2">
        <f>COUNTIFS('OB History S2'!$B:$B,$A$21,'OB History S2'!N:N, 1)</f>
        <v>0</v>
      </c>
      <c r="X21" s="2">
        <f>COUNTIFS('OB History S2'!$B:$B,$A$21,'OB History S2'!O:O, 1)</f>
        <v>0</v>
      </c>
      <c r="Y21" s="2">
        <f>COUNTIFS('OB History S2'!$B:$B,$A$21,'OB History S2'!P:P, 1)</f>
        <v>1</v>
      </c>
      <c r="Z21" s="2">
        <f>COUNTIFS('OB History S2'!$B:$B,$A$21,'OB History S2'!Q:Q, 1)</f>
        <v>0</v>
      </c>
      <c r="AA21" s="2">
        <f>COUNTIFS('OB History S2'!$B:$B,$A$21,'OB History S2'!R:R, 1)</f>
        <v>0</v>
      </c>
      <c r="AB21" s="2">
        <f>COUNTIFS('OB History S2'!$B:$B,$A$21,'OB History S2'!S:S, 1)</f>
        <v>0</v>
      </c>
      <c r="AC21" s="2">
        <f>COUNTIFS('OB History S2'!$B:$B,$A$21,'OB History S2'!T:T, 1)</f>
        <v>0</v>
      </c>
      <c r="AD21" s="2">
        <f>COUNTIFS('OB History S2'!$B:$B,$A$21,'OB History S2'!U:U, 1)</f>
        <v>0</v>
      </c>
      <c r="AE21" s="2">
        <f>COUNTIFS('OB History S2'!$B:$B,$A$21,'OB History S2'!V:V, 1)</f>
        <v>0</v>
      </c>
      <c r="AF21" s="2">
        <f>COUNTIFS('OB History S2'!$B:$B,$A$21,'OB History S2'!W:W, 1)</f>
        <v>0</v>
      </c>
      <c r="AG21" s="2">
        <f>COUNTIFS('OB History S2'!$B:$B,$A$21,'OB History S2'!X:X, 1)</f>
        <v>1</v>
      </c>
      <c r="AH21" s="2">
        <f>COUNTIFS('OB History S2'!$B:$B,$A$21,'OB History S2'!Y:Y, 1)</f>
        <v>0</v>
      </c>
      <c r="AI21" s="2">
        <f>COUNTIFS('OB History S2'!$B:$B,$A$21,'OB History S2'!Z:Z, 1)</f>
        <v>0</v>
      </c>
    </row>
    <row r="22" spans="1:35" x14ac:dyDescent="0.25">
      <c r="A22" s="1" t="s">
        <v>44</v>
      </c>
      <c r="B22" s="2" t="s">
        <v>79</v>
      </c>
      <c r="C22" s="2" t="s">
        <v>79</v>
      </c>
      <c r="D22" s="2"/>
      <c r="E22" s="2"/>
      <c r="F22" s="2"/>
      <c r="G22" s="2"/>
      <c r="H22" s="34">
        <f>SUMIFS('OB History S2'!C:C,'OB History S2'!B:B,A22)</f>
        <v>74</v>
      </c>
      <c r="I22" s="4">
        <f>AVERAGEIFS('OB History S2'!C:C,'OB History S2'!B:B,A22)</f>
        <v>14.8</v>
      </c>
      <c r="J22" s="35">
        <f t="array" ref="J22">MAX(IF('OB History S2'!B:B=A22, 'OB History S2'!C:C))</f>
        <v>28</v>
      </c>
      <c r="K22" s="34">
        <f>COUNTIFS('OB History S2'!B:B,A22,'OB History S2'!D:D, 1)</f>
        <v>5</v>
      </c>
      <c r="L22" s="2">
        <f>COUNTIFS('OB History S2'!B:B,A22,'OB History S2'!D:D, 0)</f>
        <v>0</v>
      </c>
      <c r="M22" s="88">
        <f>LOOKUP(2, 1/('OB History S2'!$B:$B=A22), 'OB History S2'!$AD:$AD)</f>
        <v>1</v>
      </c>
      <c r="N22" s="34">
        <f>SUMIFS('OB History S2'!F:F,'OB History S2'!B:B,A22)</f>
        <v>15</v>
      </c>
      <c r="O22" s="2">
        <f>SUMIFS('OB History S2'!E:E,'OB History S2'!B:B,A22)-N22</f>
        <v>3</v>
      </c>
      <c r="P22" s="88">
        <f>LOOKUP(2, 1/('OB History S2'!$B:$B=A22), 'OB History S2'!$AB:$AB)</f>
        <v>0.86999999999999988</v>
      </c>
      <c r="Q22" s="34">
        <f>SUMIFS('OB History S2'!H:H,'OB History S2'!B:B,A22)</f>
        <v>49</v>
      </c>
      <c r="R22" s="2">
        <f>SUMIFS('OB History S2'!G:G,'OB History S2'!B:B,A22)-Q22</f>
        <v>26</v>
      </c>
      <c r="S22" s="88">
        <f>LOOKUP(2, 1/('OB History S2'!$B:$B=A22), 'OB History S2'!$AC:$AC)</f>
        <v>0.67</v>
      </c>
      <c r="T22" s="2">
        <f>COUNTIFS('OB History S2'!$B:$B,$A$22,'OB History S2'!K:K, 1)</f>
        <v>0</v>
      </c>
      <c r="U22" s="2">
        <f>COUNTIFS('OB History S2'!$B:$B,$A$22,'OB History S2'!L:L, 1)</f>
        <v>2</v>
      </c>
      <c r="V22" s="2">
        <f>COUNTIFS('OB History S2'!$B:$B,$A$22,'OB History S2'!M:M, 1)</f>
        <v>1</v>
      </c>
      <c r="W22" s="2">
        <f>COUNTIFS('OB History S2'!$B:$B,$A$22,'OB History S2'!N:N, 1)</f>
        <v>0</v>
      </c>
      <c r="X22" s="2">
        <f>COUNTIFS('OB History S2'!$B:$B,$A$22,'OB History S2'!O:O, 1)</f>
        <v>0</v>
      </c>
      <c r="Y22" s="2">
        <f>COUNTIFS('OB History S2'!$B:$B,$A$22,'OB History S2'!P:P, 1)</f>
        <v>1</v>
      </c>
      <c r="Z22" s="2">
        <f>COUNTIFS('OB History S2'!$B:$B,$A$22,'OB History S2'!Q:Q, 1)</f>
        <v>1</v>
      </c>
      <c r="AA22" s="2">
        <f>COUNTIFS('OB History S2'!$B:$B,$A$22,'OB History S2'!R:R, 1)</f>
        <v>0</v>
      </c>
      <c r="AB22" s="2">
        <f>COUNTIFS('OB History S2'!$B:$B,$A$22,'OB History S2'!S:S, 1)</f>
        <v>0</v>
      </c>
      <c r="AC22" s="2">
        <f>COUNTIFS('OB History S2'!$B:$B,$A$22,'OB History S2'!T:T, 1)</f>
        <v>0</v>
      </c>
      <c r="AD22" s="2">
        <f>COUNTIFS('OB History S2'!$B:$B,$A$22,'OB History S2'!U:U, 1)</f>
        <v>0</v>
      </c>
      <c r="AE22" s="2">
        <f>COUNTIFS('OB History S2'!$B:$B,$A$22,'OB History S2'!V:V, 1)</f>
        <v>0</v>
      </c>
      <c r="AF22" s="2">
        <f>COUNTIFS('OB History S2'!$B:$B,$A$22,'OB History S2'!W:W, 1)</f>
        <v>2</v>
      </c>
      <c r="AG22" s="2">
        <f>COUNTIFS('OB History S2'!$B:$B,$A$22,'OB History S2'!X:X, 1)</f>
        <v>3</v>
      </c>
      <c r="AH22" s="2">
        <f>COUNTIFS('OB History S2'!$B:$B,$A$22,'OB History S2'!Y:Y, 1)</f>
        <v>4</v>
      </c>
      <c r="AI22" s="2">
        <f>COUNTIFS('OB History S2'!$B:$B,$A$22,'OB History S2'!Z:Z, 1)</f>
        <v>1</v>
      </c>
    </row>
    <row r="23" spans="1:35" x14ac:dyDescent="0.25">
      <c r="A23" s="2" t="s">
        <v>1</v>
      </c>
      <c r="B23" s="6" t="s">
        <v>124</v>
      </c>
      <c r="C23" s="2" t="s">
        <v>79</v>
      </c>
      <c r="D23" s="2"/>
      <c r="E23" s="2"/>
      <c r="F23" s="2"/>
      <c r="G23" s="2"/>
      <c r="H23" s="34">
        <f>SUMIFS('OB History S2'!C:C,'OB History S2'!B:B,A23)</f>
        <v>101</v>
      </c>
      <c r="I23" s="4">
        <f>AVERAGEIFS('OB History S2'!C:C,'OB History S2'!B:B,A23)</f>
        <v>20.2</v>
      </c>
      <c r="J23" s="35">
        <f t="array" ref="J23">MAX(IF('OB History S2'!B:B=A23, 'OB History S2'!C:C))</f>
        <v>38</v>
      </c>
      <c r="K23" s="34">
        <f>COUNTIFS('OB History S2'!B:B,A23,'OB History S2'!D:D, 1)</f>
        <v>2</v>
      </c>
      <c r="L23" s="2">
        <f>COUNTIFS('OB History S2'!B:B,A23,'OB History S2'!D:D, 0)</f>
        <v>3</v>
      </c>
      <c r="M23" s="88">
        <f>LOOKUP(2, 1/('OB History S2'!$B:$B=A23), 'OB History S2'!$AD:$AD)</f>
        <v>0.4</v>
      </c>
      <c r="N23" s="34">
        <f>SUMIFS('OB History S2'!F:F,'OB History S2'!B:B,A23)</f>
        <v>9</v>
      </c>
      <c r="O23" s="2">
        <f>SUMIFS('OB History S2'!E:E,'OB History S2'!B:B,A23)-N23</f>
        <v>12</v>
      </c>
      <c r="P23" s="88">
        <f>LOOKUP(2, 1/('OB History S2'!$B:$B=A23), 'OB History S2'!$AB:$AB)</f>
        <v>0.4</v>
      </c>
      <c r="Q23" s="34">
        <f>SUMIFS('OB History S2'!H:H,'OB History S2'!B:B,A23)</f>
        <v>34</v>
      </c>
      <c r="R23" s="2">
        <f>SUMIFS('OB History S2'!G:G,'OB History S2'!B:B,A23)-Q23</f>
        <v>43</v>
      </c>
      <c r="S23" s="88">
        <f>LOOKUP(2, 1/('OB History S2'!$B:$B=A23), 'OB History S2'!$AC:$AC)</f>
        <v>0.41799999999999998</v>
      </c>
      <c r="T23" s="2">
        <f>COUNTIFS('OB History S2'!$B:$B,$A$23,'OB History S2'!K:K, 1)</f>
        <v>0</v>
      </c>
      <c r="U23" s="2">
        <f>COUNTIFS('OB History S2'!$B:$B,$A$23,'OB History S2'!L:L, 1)</f>
        <v>0</v>
      </c>
      <c r="V23" s="2">
        <f>COUNTIFS('OB History S2'!$B:$B,$A$23,'OB History S2'!M:M, 1)</f>
        <v>0</v>
      </c>
      <c r="W23" s="2">
        <f>COUNTIFS('OB History S2'!$B:$B,$A$23,'OB History S2'!N:N, 1)</f>
        <v>1</v>
      </c>
      <c r="X23" s="2">
        <f>COUNTIFS('OB History S2'!$B:$B,$A$23,'OB History S2'!O:O, 1)</f>
        <v>1</v>
      </c>
      <c r="Y23" s="2">
        <f>COUNTIFS('OB History S2'!$B:$B,$A$23,'OB History S2'!P:P, 1)</f>
        <v>1</v>
      </c>
      <c r="Z23" s="2">
        <f>COUNTIFS('OB History S2'!$B:$B,$A$23,'OB History S2'!Q:Q, 1)</f>
        <v>0</v>
      </c>
      <c r="AA23" s="2">
        <f>COUNTIFS('OB History S2'!$B:$B,$A$23,'OB History S2'!R:R, 1)</f>
        <v>0</v>
      </c>
      <c r="AB23" s="2">
        <f>COUNTIFS('OB History S2'!$B:$B,$A$23,'OB History S2'!S:S, 1)</f>
        <v>0</v>
      </c>
      <c r="AC23" s="2">
        <f>COUNTIFS('OB History S2'!$B:$B,$A$23,'OB History S2'!T:T, 1)</f>
        <v>0</v>
      </c>
      <c r="AD23" s="2">
        <f>COUNTIFS('OB History S2'!$B:$B,$A$23,'OB History S2'!U:U, 1)</f>
        <v>0</v>
      </c>
      <c r="AE23" s="2">
        <f>COUNTIFS('OB History S2'!$B:$B,$A$23,'OB History S2'!V:V, 1)</f>
        <v>0</v>
      </c>
      <c r="AF23" s="2">
        <f>COUNTIFS('OB History S2'!$B:$B,$A$23,'OB History S2'!W:W, 1)</f>
        <v>2</v>
      </c>
      <c r="AG23" s="2">
        <f>COUNTIFS('OB History S2'!$B:$B,$A$23,'OB History S2'!X:X, 1)</f>
        <v>0</v>
      </c>
      <c r="AH23" s="2">
        <f>COUNTIFS('OB History S2'!$B:$B,$A$23,'OB History S2'!Y:Y, 1)</f>
        <v>3</v>
      </c>
      <c r="AI23" s="2">
        <f>COUNTIFS('OB History S2'!$B:$B,$A$23,'OB History S2'!Z:Z, 1)</f>
        <v>1</v>
      </c>
    </row>
    <row r="24" spans="1:35" x14ac:dyDescent="0.25">
      <c r="A24" s="1" t="s">
        <v>150</v>
      </c>
      <c r="B24" s="2" t="s">
        <v>79</v>
      </c>
      <c r="C24" s="2" t="s">
        <v>79</v>
      </c>
      <c r="D24" s="2">
        <v>2</v>
      </c>
      <c r="E24" s="2"/>
      <c r="F24" s="2"/>
      <c r="G24" s="2"/>
      <c r="H24" s="34">
        <f>SUMIFS('OB History S2'!C:C,'OB History S2'!B:B,A24)</f>
        <v>310</v>
      </c>
      <c r="I24" s="4">
        <f>AVERAGEIFS('OB History S2'!C:C,'OB History S2'!B:B,A24)</f>
        <v>18.235294117647058</v>
      </c>
      <c r="J24" s="35">
        <f t="array" ref="J24">MAX(IF('OB History S2'!B:B=A24, 'OB History S2'!C:C))</f>
        <v>41</v>
      </c>
      <c r="K24" s="34">
        <f>COUNTIFS('OB History S2'!B:B,A24,'OB History S2'!D:D, 1)</f>
        <v>12</v>
      </c>
      <c r="L24" s="2">
        <f>COUNTIFS('OB History S2'!B:B,A24,'OB History S2'!D:D, 0)</f>
        <v>5</v>
      </c>
      <c r="M24" s="88">
        <f>LOOKUP(2, 1/('OB History S2'!$B:$B=A24), 'OB History S2'!$AD:$AD)</f>
        <v>0.70588235294117652</v>
      </c>
      <c r="N24" s="34">
        <f>SUMIFS('OB History S2'!F:F,'OB History S2'!B:B,A24)</f>
        <v>42</v>
      </c>
      <c r="O24" s="2">
        <f>SUMIFS('OB History S2'!E:E,'OB History S2'!B:B,A24)-N24</f>
        <v>25</v>
      </c>
      <c r="P24" s="88">
        <f>LOOKUP(2, 1/('OB History S2'!$B:$B=A24), 'OB History S2'!$AB:$AB)</f>
        <v>0.66176470588235292</v>
      </c>
      <c r="Q24" s="34">
        <f>SUMIFS('OB History S2'!H:H,'OB History S2'!B:B,A24)</f>
        <v>159</v>
      </c>
      <c r="R24" s="2">
        <f>SUMIFS('OB History S2'!G:G,'OB History S2'!B:B,A24)-Q24</f>
        <v>115</v>
      </c>
      <c r="S24" s="88">
        <f>LOOKUP(2, 1/('OB History S2'!$B:$B=A24), 'OB History S2'!$AC:$AC)</f>
        <v>0.59235294117647042</v>
      </c>
      <c r="T24" s="2">
        <f>COUNTIFS('OB History S2'!$B:$B,$A$24,'OB History S2'!K:K, 1)</f>
        <v>2</v>
      </c>
      <c r="U24" s="2">
        <f>COUNTIFS('OB History S2'!$B:$B,$A$24,'OB History S2'!L:L, 1)</f>
        <v>2</v>
      </c>
      <c r="V24" s="2">
        <f>COUNTIFS('OB History S2'!$B:$B,$A$24,'OB History S2'!M:M, 1)</f>
        <v>3</v>
      </c>
      <c r="W24" s="2">
        <f>COUNTIFS('OB History S2'!$B:$B,$A$24,'OB History S2'!N:N, 1)</f>
        <v>4</v>
      </c>
      <c r="X24" s="2">
        <f>COUNTIFS('OB History S2'!$B:$B,$A$24,'OB History S2'!O:O, 1)</f>
        <v>0</v>
      </c>
      <c r="Y24" s="2">
        <f>COUNTIFS('OB History S2'!$B:$B,$A$24,'OB History S2'!P:P, 1)</f>
        <v>4</v>
      </c>
      <c r="Z24" s="2">
        <f>COUNTIFS('OB History S2'!$B:$B,$A$24,'OB History S2'!Q:Q, 1)</f>
        <v>1</v>
      </c>
      <c r="AA24" s="2">
        <f>COUNTIFS('OB History S2'!$B:$B,$A$24,'OB History S2'!R:R, 1)</f>
        <v>1</v>
      </c>
      <c r="AB24" s="2">
        <f>COUNTIFS('OB History S2'!$B:$B,$A$24,'OB History S2'!S:S, 1)</f>
        <v>0</v>
      </c>
      <c r="AC24" s="2">
        <f>COUNTIFS('OB History S2'!$B:$B,$A$24,'OB History S2'!T:T, 1)</f>
        <v>0</v>
      </c>
      <c r="AD24" s="2">
        <f>COUNTIFS('OB History S2'!$B:$B,$A$24,'OB History S2'!U:U, 1)</f>
        <v>1</v>
      </c>
      <c r="AE24" s="2">
        <f>COUNTIFS('OB History S2'!$B:$B,$A$24,'OB History S2'!V:V, 1)</f>
        <v>0</v>
      </c>
      <c r="AF24" s="2">
        <f>COUNTIFS('OB History S2'!$B:$B,$A$24,'OB History S2'!W:W, 1)</f>
        <v>4</v>
      </c>
      <c r="AG24" s="2">
        <f>COUNTIFS('OB History S2'!$B:$B,$A$24,'OB History S2'!X:X, 1)</f>
        <v>8</v>
      </c>
      <c r="AH24" s="2">
        <f>COUNTIFS('OB History S2'!$B:$B,$A$24,'OB History S2'!Y:Y, 1)</f>
        <v>8</v>
      </c>
      <c r="AI24" s="2">
        <f>COUNTIFS('OB History S2'!$B:$B,$A$24,'OB History S2'!Z:Z, 1)</f>
        <v>4</v>
      </c>
    </row>
    <row r="25" spans="1:35" x14ac:dyDescent="0.25">
      <c r="A25" s="2" t="s">
        <v>29</v>
      </c>
      <c r="B25" s="6" t="s">
        <v>172</v>
      </c>
      <c r="C25" s="2" t="s">
        <v>79</v>
      </c>
      <c r="D25" s="2">
        <v>1</v>
      </c>
      <c r="E25" s="2"/>
      <c r="F25" s="2"/>
      <c r="G25" s="2"/>
      <c r="H25" s="34">
        <f>SUMIFS('OB History S2'!C:C,'OB History S2'!B:B,A25)</f>
        <v>342</v>
      </c>
      <c r="I25" s="4">
        <f>AVERAGEIFS('OB History S2'!C:C,'OB History S2'!B:B,A25)</f>
        <v>11.4</v>
      </c>
      <c r="J25" s="35">
        <f t="array" ref="J25">MAX(IF('OB History S2'!B:B=A25, 'OB History S2'!C:C))</f>
        <v>21</v>
      </c>
      <c r="K25" s="34">
        <f>COUNTIFS('OB History S2'!B:B,A25,'OB History S2'!D:D, 1)</f>
        <v>11</v>
      </c>
      <c r="L25" s="2">
        <f>COUNTIFS('OB History S2'!B:B,A25,'OB History S2'!D:D, 0)</f>
        <v>19</v>
      </c>
      <c r="M25" s="88">
        <f>LOOKUP(2, 1/('OB History S2'!$B:$B=A25), 'OB History S2'!$AD:$AD)</f>
        <v>0.36666666666666664</v>
      </c>
      <c r="N25" s="34">
        <f>SUMIFS('OB History S2'!F:F,'OB History S2'!B:B,A25)</f>
        <v>54</v>
      </c>
      <c r="O25" s="2">
        <f>SUMIFS('OB History S2'!E:E,'OB History S2'!B:B,A25)-N25</f>
        <v>66</v>
      </c>
      <c r="P25" s="88">
        <f>LOOKUP(2, 1/('OB History S2'!$B:$B=A25), 'OB History S2'!$AB:$AB)</f>
        <v>0.44</v>
      </c>
      <c r="Q25" s="34">
        <f>SUMIFS('OB History S2'!H:H,'OB History S2'!B:B,A25)</f>
        <v>238</v>
      </c>
      <c r="R25" s="2">
        <f>SUMIFS('OB History S2'!G:G,'OB History S2'!B:B,A25)-Q25</f>
        <v>255</v>
      </c>
      <c r="S25" s="88">
        <f>LOOKUP(2, 1/('OB History S2'!$B:$B=A25), 'OB History S2'!$AC:$AC)</f>
        <v>0.48533333333333334</v>
      </c>
      <c r="T25" s="2">
        <f>COUNTIFS('OB History S2'!$B:$B,$A$25,'OB History S2'!K:K, 1)</f>
        <v>5</v>
      </c>
      <c r="U25" s="2">
        <f>COUNTIFS('OB History S2'!$B:$B,$A$25,'OB History S2'!L:L, 1)</f>
        <v>4</v>
      </c>
      <c r="V25" s="2">
        <f>COUNTIFS('OB History S2'!$B:$B,$A$25,'OB History S2'!M:M, 1)</f>
        <v>0</v>
      </c>
      <c r="W25" s="2">
        <f>COUNTIFS('OB History S2'!$B:$B,$A$25,'OB History S2'!N:N, 1)</f>
        <v>6</v>
      </c>
      <c r="X25" s="2">
        <f>COUNTIFS('OB History S2'!$B:$B,$A$25,'OB History S2'!O:O, 1)</f>
        <v>3</v>
      </c>
      <c r="Y25" s="2">
        <f>COUNTIFS('OB History S2'!$B:$B,$A$25,'OB History S2'!P:P, 1)</f>
        <v>6</v>
      </c>
      <c r="Z25" s="2">
        <f>COUNTIFS('OB History S2'!$B:$B,$A$25,'OB History S2'!Q:Q, 1)</f>
        <v>1</v>
      </c>
      <c r="AA25" s="2">
        <f>COUNTIFS('OB History S2'!$B:$B,$A$25,'OB History S2'!R:R, 1)</f>
        <v>1</v>
      </c>
      <c r="AB25" s="2">
        <f>COUNTIFS('OB History S2'!$B:$B,$A$25,'OB History S2'!S:S, 1)</f>
        <v>0</v>
      </c>
      <c r="AC25" s="2">
        <f>COUNTIFS('OB History S2'!$B:$B,$A$25,'OB History S2'!T:T, 1)</f>
        <v>0</v>
      </c>
      <c r="AD25" s="2">
        <f>COUNTIFS('OB History S2'!$B:$B,$A$25,'OB History S2'!U:U, 1)</f>
        <v>0</v>
      </c>
      <c r="AE25" s="2">
        <f>COUNTIFS('OB History S2'!$B:$B,$A$25,'OB History S2'!V:V, 1)</f>
        <v>1</v>
      </c>
      <c r="AF25" s="2">
        <f>COUNTIFS('OB History S2'!$B:$B,$A$25,'OB History S2'!W:W, 1)</f>
        <v>9</v>
      </c>
      <c r="AG25" s="2">
        <f>COUNTIFS('OB History S2'!$B:$B,$A$25,'OB History S2'!X:X, 1)</f>
        <v>7</v>
      </c>
      <c r="AH25" s="2">
        <f>COUNTIFS('OB History S2'!$B:$B,$A$25,'OB History S2'!Y:Y, 1)</f>
        <v>9</v>
      </c>
      <c r="AI25" s="2">
        <f>COUNTIFS('OB History S2'!$B:$B,$A$25,'OB History S2'!Z:Z, 1)</f>
        <v>2</v>
      </c>
    </row>
    <row r="26" spans="1:35" x14ac:dyDescent="0.25">
      <c r="A26" s="2" t="s">
        <v>46</v>
      </c>
      <c r="B26" s="6" t="s">
        <v>79</v>
      </c>
      <c r="C26" s="2" t="s">
        <v>79</v>
      </c>
      <c r="D26" s="2"/>
      <c r="E26" s="2"/>
      <c r="F26" s="2"/>
      <c r="G26" s="2"/>
      <c r="H26" s="34">
        <f>SUMIFS('OB History S2'!C:C,'OB History S2'!B:B,A26)</f>
        <v>19</v>
      </c>
      <c r="I26" s="4">
        <f>AVERAGEIFS('OB History S2'!C:C,'OB History S2'!B:B,A26)</f>
        <v>19</v>
      </c>
      <c r="J26" s="35">
        <f t="array" ref="J26">MAX(IF('OB History S2'!B:B=A26, 'OB History S2'!C:C))</f>
        <v>19</v>
      </c>
      <c r="K26" s="34">
        <f>COUNTIFS('OB History S2'!B:B,A26,'OB History S2'!D:D, 1)</f>
        <v>0</v>
      </c>
      <c r="L26" s="2">
        <f>COUNTIFS('OB History S2'!B:B,A26,'OB History S2'!D:D, 0)</f>
        <v>1</v>
      </c>
      <c r="M26" s="88">
        <f>LOOKUP(2, 1/('OB History S2'!$B:$B=A26), 'OB History S2'!$AD:$AD)</f>
        <v>0</v>
      </c>
      <c r="N26" s="34">
        <f>SUMIFS('OB History S2'!F:F,'OB History S2'!B:B,A26)</f>
        <v>1</v>
      </c>
      <c r="O26" s="2">
        <f>SUMIFS('OB History S2'!E:E,'OB History S2'!B:B,A26)-N26</f>
        <v>3</v>
      </c>
      <c r="P26" s="88">
        <f>LOOKUP(2, 1/('OB History S2'!$B:$B=A26), 'OB History S2'!$AB:$AB)</f>
        <v>0.25</v>
      </c>
      <c r="Q26" s="34">
        <f>SUMIFS('OB History S2'!H:H,'OB History S2'!B:B,A26)</f>
        <v>4</v>
      </c>
      <c r="R26" s="2">
        <f>SUMIFS('OB History S2'!G:G,'OB History S2'!B:B,A26)-Q26</f>
        <v>11</v>
      </c>
      <c r="S26" s="88">
        <f>LOOKUP(2, 1/('OB History S2'!$B:$B=A26), 'OB History S2'!$AC:$AC)</f>
        <v>0.27</v>
      </c>
      <c r="T26" s="2">
        <f>COUNTIFS('OB History S2'!$B:$B,$A$26,'OB History S2'!K:K, 1)</f>
        <v>0</v>
      </c>
      <c r="U26" s="2">
        <f>COUNTIFS('OB History S2'!$B:$B,$A$26,'OB History S2'!L:L, 1)</f>
        <v>0</v>
      </c>
      <c r="V26" s="2">
        <f>COUNTIFS('OB History S2'!$B:$B,$A$26,'OB History S2'!M:M, 1)</f>
        <v>0</v>
      </c>
      <c r="W26" s="2">
        <f>COUNTIFS('OB History S2'!$B:$B,$A$26,'OB History S2'!N:N, 1)</f>
        <v>0</v>
      </c>
      <c r="X26" s="2">
        <f>COUNTIFS('OB History S2'!$B:$B,$A$26,'OB History S2'!O:O, 1)</f>
        <v>0</v>
      </c>
      <c r="Y26" s="2">
        <f>COUNTIFS('OB History S2'!$B:$B,$A$26,'OB History S2'!P:P, 1)</f>
        <v>0</v>
      </c>
      <c r="Z26" s="2">
        <f>COUNTIFS('OB History S2'!$B:$B,$A$26,'OB History S2'!Q:Q, 1)</f>
        <v>0</v>
      </c>
      <c r="AA26" s="2">
        <f>COUNTIFS('OB History S2'!$B:$B,$A$26,'OB History S2'!R:R, 1)</f>
        <v>0</v>
      </c>
      <c r="AB26" s="2">
        <f>COUNTIFS('OB History S2'!$B:$B,$A$26,'OB History S2'!S:S, 1)</f>
        <v>0</v>
      </c>
      <c r="AC26" s="2">
        <f>COUNTIFS('OB History S2'!$B:$B,$A$26,'OB History S2'!T:T, 1)</f>
        <v>0</v>
      </c>
      <c r="AD26" s="2">
        <f>COUNTIFS('OB History S2'!$B:$B,$A$26,'OB History S2'!U:U, 1)</f>
        <v>0</v>
      </c>
      <c r="AE26" s="2">
        <f>COUNTIFS('OB History S2'!$B:$B,$A$26,'OB History S2'!V:V, 1)</f>
        <v>0</v>
      </c>
      <c r="AF26" s="2">
        <f>COUNTIFS('OB History S2'!$B:$B,$A$26,'OB History S2'!W:W, 1)</f>
        <v>0</v>
      </c>
      <c r="AG26" s="2">
        <f>COUNTIFS('OB History S2'!$B:$B,$A$26,'OB History S2'!X:X, 1)</f>
        <v>1</v>
      </c>
      <c r="AH26" s="2">
        <f>COUNTIFS('OB History S2'!$B:$B,$A$26,'OB History S2'!Y:Y, 1)</f>
        <v>0</v>
      </c>
      <c r="AI26" s="2">
        <f>COUNTIFS('OB History S2'!$B:$B,$A$26,'OB History S2'!Z:Z, 1)</f>
        <v>0</v>
      </c>
    </row>
    <row r="27" spans="1:35" x14ac:dyDescent="0.25">
      <c r="A27" s="2" t="s">
        <v>28</v>
      </c>
      <c r="B27" s="6" t="s">
        <v>60</v>
      </c>
      <c r="C27" s="2" t="s">
        <v>79</v>
      </c>
      <c r="D27" s="2">
        <v>2</v>
      </c>
      <c r="E27" s="2"/>
      <c r="F27" s="2"/>
      <c r="G27" s="2"/>
      <c r="H27" s="34">
        <f>SUMIFS('OB History S2'!C:C,'OB History S2'!B:B,A27)</f>
        <v>135</v>
      </c>
      <c r="I27" s="4">
        <f>AVERAGEIFS('OB History S2'!C:C,'OB History S2'!B:B,A27)</f>
        <v>22.5</v>
      </c>
      <c r="J27" s="35">
        <f t="array" ref="J27">MAX(IF('OB History S2'!B:B=A27, 'OB History S2'!C:C))</f>
        <v>43</v>
      </c>
      <c r="K27" s="34">
        <f>COUNTIFS('OB History S2'!B:B,A27,'OB History S2'!D:D, 1)</f>
        <v>2</v>
      </c>
      <c r="L27" s="2">
        <f>COUNTIFS('OB History S2'!B:B,A27,'OB History S2'!D:D, 0)</f>
        <v>4</v>
      </c>
      <c r="M27" s="88">
        <f>LOOKUP(2, 1/('OB History S2'!$B:$B=A27), 'OB History S2'!$AD:$AD)</f>
        <v>0.33333333333333331</v>
      </c>
      <c r="N27" s="34">
        <f>SUMIFS('OB History S2'!F:F,'OB History S2'!B:B,A27)</f>
        <v>13</v>
      </c>
      <c r="O27" s="2">
        <f>SUMIFS('OB History S2'!E:E,'OB History S2'!B:B,A27)-N27</f>
        <v>15</v>
      </c>
      <c r="P27" s="88">
        <f>LOOKUP(2, 1/('OB History S2'!$B:$B=A27), 'OB History S2'!$AB:$AB)</f>
        <v>0.46666666666666662</v>
      </c>
      <c r="Q27" s="34">
        <f>SUMIFS('OB History S2'!H:H,'OB History S2'!B:B,A27)</f>
        <v>54</v>
      </c>
      <c r="R27" s="2">
        <f>SUMIFS('OB History S2'!G:G,'OB History S2'!B:B,A27)-Q27</f>
        <v>59</v>
      </c>
      <c r="S27" s="88">
        <f>LOOKUP(2, 1/('OB History S2'!$B:$B=A27), 'OB History S2'!$AC:$AC)</f>
        <v>0.48000000000000004</v>
      </c>
      <c r="T27" s="2">
        <f>COUNTIFS('OB History S2'!$B:$B,$A$27,'OB History S2'!K:K, 1)</f>
        <v>1</v>
      </c>
      <c r="U27" s="2">
        <f>COUNTIFS('OB History S2'!$B:$B,$A$27,'OB History S2'!L:L, 1)</f>
        <v>3</v>
      </c>
      <c r="V27" s="2">
        <f>COUNTIFS('OB History S2'!$B:$B,$A$27,'OB History S2'!M:M, 1)</f>
        <v>0</v>
      </c>
      <c r="W27" s="2">
        <f>COUNTIFS('OB History S2'!$B:$B,$A$27,'OB History S2'!N:N, 1)</f>
        <v>0</v>
      </c>
      <c r="X27" s="2">
        <f>COUNTIFS('OB History S2'!$B:$B,$A$27,'OB History S2'!O:O, 1)</f>
        <v>1</v>
      </c>
      <c r="Y27" s="2">
        <f>COUNTIFS('OB History S2'!$B:$B,$A$27,'OB History S2'!P:P, 1)</f>
        <v>1</v>
      </c>
      <c r="Z27" s="2">
        <f>COUNTIFS('OB History S2'!$B:$B,$A$27,'OB History S2'!Q:Q, 1)</f>
        <v>1</v>
      </c>
      <c r="AA27" s="2">
        <f>COUNTIFS('OB History S2'!$B:$B,$A$27,'OB History S2'!R:R, 1)</f>
        <v>0</v>
      </c>
      <c r="AB27" s="2">
        <f>COUNTIFS('OB History S2'!$B:$B,$A$27,'OB History S2'!S:S, 1)</f>
        <v>0</v>
      </c>
      <c r="AC27" s="2">
        <f>COUNTIFS('OB History S2'!$B:$B,$A$27,'OB History S2'!T:T, 1)</f>
        <v>0</v>
      </c>
      <c r="AD27" s="2">
        <f>COUNTIFS('OB History S2'!$B:$B,$A$27,'OB History S2'!U:U, 1)</f>
        <v>0</v>
      </c>
      <c r="AE27" s="2">
        <f>COUNTIFS('OB History S2'!$B:$B,$A$27,'OB History S2'!V:V, 1)</f>
        <v>0</v>
      </c>
      <c r="AF27" s="2">
        <f>COUNTIFS('OB History S2'!$B:$B,$A$27,'OB History S2'!W:W, 1)</f>
        <v>0</v>
      </c>
      <c r="AG27" s="2">
        <f>COUNTIFS('OB History S2'!$B:$B,$A$27,'OB History S2'!X:X, 1)</f>
        <v>5</v>
      </c>
      <c r="AH27" s="2">
        <f>COUNTIFS('OB History S2'!$B:$B,$A$27,'OB History S2'!Y:Y, 1)</f>
        <v>0</v>
      </c>
      <c r="AI27" s="2">
        <f>COUNTIFS('OB History S2'!$B:$B,$A$27,'OB History S2'!Z:Z, 1)</f>
        <v>1</v>
      </c>
    </row>
    <row r="28" spans="1:35" x14ac:dyDescent="0.25">
      <c r="A28" s="2" t="s">
        <v>139</v>
      </c>
      <c r="B28" s="6" t="s">
        <v>79</v>
      </c>
      <c r="C28" s="2" t="s">
        <v>79</v>
      </c>
      <c r="D28" s="2"/>
      <c r="E28" s="2"/>
      <c r="F28" s="2"/>
      <c r="G28" s="2"/>
      <c r="H28" s="34">
        <f>SUMIFS('OB History S2'!C:C,'OB History S2'!B:B,A28)</f>
        <v>226</v>
      </c>
      <c r="I28" s="4">
        <f>AVERAGEIFS('OB History S2'!C:C,'OB History S2'!B:B,A28)</f>
        <v>11.3</v>
      </c>
      <c r="J28" s="35">
        <f t="array" ref="J28">MAX(IF('OB History S2'!B:B=A28, 'OB History S2'!C:C))</f>
        <v>21</v>
      </c>
      <c r="K28" s="34">
        <f>COUNTIFS('OB History S2'!B:B,A28,'OB History S2'!D:D, 1)</f>
        <v>8</v>
      </c>
      <c r="L28" s="2">
        <f>COUNTIFS('OB History S2'!B:B,A28,'OB History S2'!D:D, 0)</f>
        <v>12</v>
      </c>
      <c r="M28" s="88">
        <f>LOOKUP(2, 1/('OB History S2'!$B:$B=A28), 'OB History S2'!$AD:$AD)</f>
        <v>0.4</v>
      </c>
      <c r="N28" s="34">
        <f>SUMIFS('OB History S2'!F:F,'OB History S2'!B:B,A28)</f>
        <v>34</v>
      </c>
      <c r="O28" s="2">
        <f>SUMIFS('OB History S2'!E:E,'OB History S2'!B:B,A28)-N28</f>
        <v>48</v>
      </c>
      <c r="P28" s="88">
        <f>LOOKUP(2, 1/('OB History S2'!$B:$B=A28), 'OB History S2'!$AB:$AB)</f>
        <v>0.38750000000000007</v>
      </c>
      <c r="Q28" s="34">
        <f>SUMIFS('OB History S2'!H:H,'OB History S2'!B:B,A28)</f>
        <v>159</v>
      </c>
      <c r="R28" s="2">
        <f>SUMIFS('OB History S2'!G:G,'OB History S2'!B:B,A28)-Q28</f>
        <v>174</v>
      </c>
      <c r="S28" s="88">
        <f>LOOKUP(2, 1/('OB History S2'!$B:$B=A28), 'OB History S2'!$AC:$AC)</f>
        <v>0.47149999999999997</v>
      </c>
      <c r="T28" s="2">
        <f>COUNTIFS('OB History S2'!$B:$B,$A$28,'OB History S2'!K:K, 1)</f>
        <v>2</v>
      </c>
      <c r="U28" s="2">
        <f>COUNTIFS('OB History S2'!$B:$B,$A$28,'OB History S2'!L:L, 1)</f>
        <v>6</v>
      </c>
      <c r="V28" s="2">
        <f>COUNTIFS('OB History S2'!$B:$B,$A$28,'OB History S2'!M:M, 1)</f>
        <v>0</v>
      </c>
      <c r="W28" s="2">
        <f>COUNTIFS('OB History S2'!$B:$B,$A$28,'OB History S2'!N:N, 1)</f>
        <v>3</v>
      </c>
      <c r="X28" s="2">
        <f>COUNTIFS('OB History S2'!$B:$B,$A$28,'OB History S2'!O:O, 1)</f>
        <v>0</v>
      </c>
      <c r="Y28" s="2">
        <f>COUNTIFS('OB History S2'!$B:$B,$A$28,'OB History S2'!P:P, 1)</f>
        <v>3</v>
      </c>
      <c r="Z28" s="2">
        <f>COUNTIFS('OB History S2'!$B:$B,$A$28,'OB History S2'!Q:Q, 1)</f>
        <v>3</v>
      </c>
      <c r="AA28" s="2">
        <f>COUNTIFS('OB History S2'!$B:$B,$A$28,'OB History S2'!R:R, 1)</f>
        <v>3</v>
      </c>
      <c r="AB28" s="2">
        <f>COUNTIFS('OB History S2'!$B:$B,$A$28,'OB History S2'!S:S, 1)</f>
        <v>0</v>
      </c>
      <c r="AC28" s="2">
        <f>COUNTIFS('OB History S2'!$B:$B,$A$28,'OB History S2'!T:T, 1)</f>
        <v>0</v>
      </c>
      <c r="AD28" s="2">
        <f>COUNTIFS('OB History S2'!$B:$B,$A$28,'OB History S2'!U:U, 1)</f>
        <v>0</v>
      </c>
      <c r="AE28" s="2">
        <f>COUNTIFS('OB History S2'!$B:$B,$A$28,'OB History S2'!V:V, 1)</f>
        <v>0</v>
      </c>
      <c r="AF28" s="2">
        <f>COUNTIFS('OB History S2'!$B:$B,$A$28,'OB History S2'!W:W, 1)</f>
        <v>0</v>
      </c>
      <c r="AG28" s="2">
        <f>COUNTIFS('OB History S2'!$B:$B,$A$28,'OB History S2'!X:X, 1)</f>
        <v>7</v>
      </c>
      <c r="AH28" s="2">
        <f>COUNTIFS('OB History S2'!$B:$B,$A$28,'OB History S2'!Y:Y, 1)</f>
        <v>2</v>
      </c>
      <c r="AI28" s="2">
        <f>COUNTIFS('OB History S2'!$B:$B,$A$28,'OB History S2'!Z:Z, 1)</f>
        <v>5</v>
      </c>
    </row>
    <row r="29" spans="1:35" x14ac:dyDescent="0.25">
      <c r="A29" s="2" t="s">
        <v>53</v>
      </c>
      <c r="B29" s="6" t="s">
        <v>60</v>
      </c>
      <c r="C29" s="6" t="s">
        <v>79</v>
      </c>
      <c r="D29" s="2"/>
      <c r="E29" s="2"/>
      <c r="F29" s="2"/>
      <c r="G29" s="2"/>
      <c r="H29" s="34">
        <f>SUMIFS('OB History S2'!C:C,'OB History S2'!B:B,A29)</f>
        <v>49</v>
      </c>
      <c r="I29" s="4">
        <f>AVERAGEIFS('OB History S2'!C:C,'OB History S2'!B:B,A29)</f>
        <v>16.333333333333332</v>
      </c>
      <c r="J29" s="35">
        <f t="array" ref="J29">MAX(IF('OB History S2'!B:B=A29, 'OB History S2'!C:C))</f>
        <v>25</v>
      </c>
      <c r="K29" s="34">
        <f>COUNTIFS('OB History S2'!B:B,A29,'OB History S2'!D:D, 1)</f>
        <v>2</v>
      </c>
      <c r="L29" s="2">
        <f>COUNTIFS('OB History S2'!B:B,A29,'OB History S2'!D:D, 0)</f>
        <v>1</v>
      </c>
      <c r="M29" s="88">
        <f>LOOKUP(2, 1/('OB History S2'!$B:$B=A29), 'OB History S2'!$AD:$AD)</f>
        <v>0.66666666666666663</v>
      </c>
      <c r="N29" s="34">
        <f>SUMIFS('OB History S2'!F:F,'OB History S2'!B:B,A29)</f>
        <v>7</v>
      </c>
      <c r="O29" s="2">
        <f>SUMIFS('OB History S2'!E:E,'OB History S2'!B:B,A29)-N29</f>
        <v>5</v>
      </c>
      <c r="P29" s="88">
        <f>LOOKUP(2, 1/('OB History S2'!$B:$B=A29), 'OB History S2'!$AB:$AB)</f>
        <v>0.58333333333333337</v>
      </c>
      <c r="Q29" s="34">
        <f>SUMIFS('OB History S2'!H:H,'OB History S2'!B:B,A29)</f>
        <v>27</v>
      </c>
      <c r="R29" s="2">
        <f>SUMIFS('OB History S2'!G:G,'OB History S2'!B:B,A29)-Q29</f>
        <v>21</v>
      </c>
      <c r="S29" s="88">
        <f>LOOKUP(2, 1/('OB History S2'!$B:$B=A29), 'OB History S2'!$AC:$AC)</f>
        <v>0.57333333333333336</v>
      </c>
      <c r="T29" s="2">
        <f>COUNTIFS('OB History S2'!$B:$B,$A$29,'OB History S2'!K:K, 1)</f>
        <v>1</v>
      </c>
      <c r="U29" s="2">
        <f>COUNTIFS('OB History S2'!$B:$B,$A$29,'OB History S2'!L:L, 1)</f>
        <v>1</v>
      </c>
      <c r="V29" s="2">
        <f>COUNTIFS('OB History S2'!$B:$B,$A$29,'OB History S2'!M:M, 1)</f>
        <v>0</v>
      </c>
      <c r="W29" s="2">
        <f>COUNTIFS('OB History S2'!$B:$B,$A$29,'OB History S2'!N:N, 1)</f>
        <v>1</v>
      </c>
      <c r="X29" s="2">
        <f>COUNTIFS('OB History S2'!$B:$B,$A$29,'OB History S2'!O:O, 1)</f>
        <v>1</v>
      </c>
      <c r="Y29" s="2">
        <f>COUNTIFS('OB History S2'!$B:$B,$A$29,'OB History S2'!P:P, 1)</f>
        <v>1</v>
      </c>
      <c r="Z29" s="2">
        <f>COUNTIFS('OB History S2'!$B:$B,$A$29,'OB History S2'!Q:Q, 1)</f>
        <v>0</v>
      </c>
      <c r="AA29" s="2">
        <f>COUNTIFS('OB History S2'!$B:$B,$A$29,'OB History S2'!R:R, 1)</f>
        <v>0</v>
      </c>
      <c r="AB29" s="2">
        <f>COUNTIFS('OB History S2'!$B:$B,$A$29,'OB History S2'!S:S, 1)</f>
        <v>0</v>
      </c>
      <c r="AC29" s="2">
        <f>COUNTIFS('OB History S2'!$B:$B,$A$29,'OB History S2'!T:T, 1)</f>
        <v>0</v>
      </c>
      <c r="AD29" s="2">
        <f>COUNTIFS('OB History S2'!$B:$B,$A$29,'OB History S2'!U:U, 1)</f>
        <v>0</v>
      </c>
      <c r="AE29" s="2">
        <f>COUNTIFS('OB History S2'!$B:$B,$A$29,'OB History S2'!V:V, 1)</f>
        <v>0</v>
      </c>
      <c r="AF29" s="2">
        <f>COUNTIFS('OB History S2'!$B:$B,$A$29,'OB History S2'!W:W, 1)</f>
        <v>1</v>
      </c>
      <c r="AG29" s="2">
        <f>COUNTIFS('OB History S2'!$B:$B,$A$29,'OB History S2'!X:X, 1)</f>
        <v>1</v>
      </c>
      <c r="AH29" s="2">
        <f>COUNTIFS('OB History S2'!$B:$B,$A$29,'OB History S2'!Y:Y, 1)</f>
        <v>0</v>
      </c>
      <c r="AI29" s="2">
        <f>COUNTIFS('OB History S2'!$B:$B,$A$29,'OB History S2'!Z:Z, 1)</f>
        <v>0</v>
      </c>
    </row>
    <row r="30" spans="1:35" ht="15.75" x14ac:dyDescent="0.25">
      <c r="A30" s="2" t="s">
        <v>20</v>
      </c>
      <c r="B30" s="80" t="s">
        <v>60</v>
      </c>
      <c r="C30" s="2" t="s">
        <v>79</v>
      </c>
      <c r="D30" s="2"/>
      <c r="E30" s="2"/>
      <c r="F30" s="2"/>
      <c r="G30" s="2"/>
      <c r="H30" s="34">
        <f>SUMIFS('OB History S2'!C:C,'OB History S2'!B:B,A30)</f>
        <v>141</v>
      </c>
      <c r="I30" s="4">
        <f>AVERAGEIFS('OB History S2'!C:C,'OB History S2'!B:B,A30)</f>
        <v>15.666666666666666</v>
      </c>
      <c r="J30" s="35">
        <f t="array" ref="J30">MAX(IF('OB History S2'!B:B=A30, 'OB History S2'!C:C))</f>
        <v>37</v>
      </c>
      <c r="K30" s="34">
        <f>COUNTIFS('OB History S2'!B:B,A30,'OB History S2'!D:D, 1)</f>
        <v>4</v>
      </c>
      <c r="L30" s="2">
        <f>COUNTIFS('OB History S2'!B:B,A30,'OB History S2'!D:D, 0)</f>
        <v>5</v>
      </c>
      <c r="M30" s="88">
        <f>LOOKUP(2, 1/('OB History S2'!$B:$B=A30), 'OB History S2'!$AD:$AD)</f>
        <v>0.44444444444444442</v>
      </c>
      <c r="N30" s="34">
        <f>SUMIFS('OB History S2'!F:F,'OB History S2'!B:B,A30)</f>
        <v>19</v>
      </c>
      <c r="O30" s="2">
        <f>SUMIFS('OB History S2'!E:E,'OB History S2'!B:B,A30)-N30</f>
        <v>18</v>
      </c>
      <c r="P30" s="88">
        <f>LOOKUP(2, 1/('OB History S2'!$B:$B=A30), 'OB History S2'!$AB:$AB)</f>
        <v>0.52222222222222214</v>
      </c>
      <c r="Q30" s="34">
        <f>SUMIFS('OB History S2'!H:H,'OB History S2'!B:B,A30)</f>
        <v>79</v>
      </c>
      <c r="R30" s="2">
        <f>SUMIFS('OB History S2'!G:G,'OB History S2'!B:B,A30)-Q30</f>
        <v>74</v>
      </c>
      <c r="S30" s="88">
        <f>LOOKUP(2, 1/('OB History S2'!$B:$B=A30), 'OB History S2'!$AC:$AC)</f>
        <v>0.51888888888888884</v>
      </c>
      <c r="T30" s="2">
        <f>COUNTIFS('OB History S2'!$B:$B,$A$30,'OB History S2'!K:K, 1)</f>
        <v>3</v>
      </c>
      <c r="U30" s="2">
        <f>COUNTIFS('OB History S2'!$B:$B,$A$30,'OB History S2'!L:L, 1)</f>
        <v>1</v>
      </c>
      <c r="V30" s="2">
        <f>COUNTIFS('OB History S2'!$B:$B,$A$30,'OB History S2'!M:M, 1)</f>
        <v>1</v>
      </c>
      <c r="W30" s="2">
        <f>COUNTIFS('OB History S2'!$B:$B,$A$30,'OB History S2'!N:N, 1)</f>
        <v>2</v>
      </c>
      <c r="X30" s="2">
        <f>COUNTIFS('OB History S2'!$B:$B,$A$30,'OB History S2'!O:O, 1)</f>
        <v>0</v>
      </c>
      <c r="Y30" s="2">
        <f>COUNTIFS('OB History S2'!$B:$B,$A$30,'OB History S2'!P:P, 1)</f>
        <v>3</v>
      </c>
      <c r="Z30" s="2">
        <f>COUNTIFS('OB History S2'!$B:$B,$A$30,'OB History S2'!Q:Q, 1)</f>
        <v>0</v>
      </c>
      <c r="AA30" s="2">
        <f>COUNTIFS('OB History S2'!$B:$B,$A$30,'OB History S2'!R:R, 1)</f>
        <v>1</v>
      </c>
      <c r="AB30" s="2">
        <f>COUNTIFS('OB History S2'!$B:$B,$A$30,'OB History S2'!S:S, 1)</f>
        <v>0</v>
      </c>
      <c r="AC30" s="2">
        <f>COUNTIFS('OB History S2'!$B:$B,$A$30,'OB History S2'!T:T, 1)</f>
        <v>0</v>
      </c>
      <c r="AD30" s="2">
        <f>COUNTIFS('OB History S2'!$B:$B,$A$30,'OB History S2'!U:U, 1)</f>
        <v>0</v>
      </c>
      <c r="AE30" s="2">
        <f>COUNTIFS('OB History S2'!$B:$B,$A$30,'OB History S2'!V:V, 1)</f>
        <v>0</v>
      </c>
      <c r="AF30" s="2">
        <f>COUNTIFS('OB History S2'!$B:$B,$A$30,'OB History S2'!W:W, 1)</f>
        <v>1</v>
      </c>
      <c r="AG30" s="2">
        <f>COUNTIFS('OB History S2'!$B:$B,$A$30,'OB History S2'!X:X, 1)</f>
        <v>2</v>
      </c>
      <c r="AH30" s="2">
        <f>COUNTIFS('OB History S2'!$B:$B,$A$30,'OB History S2'!Y:Y, 1)</f>
        <v>3</v>
      </c>
      <c r="AI30" s="2">
        <f>COUNTIFS('OB History S2'!$B:$B,$A$30,'OB History S2'!Z:Z, 1)</f>
        <v>2</v>
      </c>
    </row>
    <row r="31" spans="1:35" x14ac:dyDescent="0.25">
      <c r="A31" s="1" t="s">
        <v>47</v>
      </c>
      <c r="B31" s="2" t="s">
        <v>79</v>
      </c>
      <c r="C31" s="2" t="s">
        <v>79</v>
      </c>
      <c r="D31" s="2"/>
      <c r="E31" s="2"/>
      <c r="F31" s="2"/>
      <c r="G31" s="2"/>
      <c r="H31" s="34">
        <f>SUMIFS('OB History S2'!C:C,'OB History S2'!B:B,A31)</f>
        <v>32</v>
      </c>
      <c r="I31" s="4">
        <f>AVERAGEIFS('OB History S2'!C:C,'OB History S2'!B:B,A31)</f>
        <v>10.666666666666666</v>
      </c>
      <c r="J31" s="35">
        <f t="array" ref="J31">MAX(IF('OB History S2'!B:B=A31, 'OB History S2'!C:C))</f>
        <v>14</v>
      </c>
      <c r="K31" s="34">
        <f>COUNTIFS('OB History S2'!B:B,A31,'OB History S2'!D:D, 1)</f>
        <v>1</v>
      </c>
      <c r="L31" s="2">
        <f>COUNTIFS('OB History S2'!B:B,A31,'OB History S2'!D:D, 0)</f>
        <v>2</v>
      </c>
      <c r="M31" s="88">
        <f>LOOKUP(2, 1/('OB History S2'!$B:$B=A31), 'OB History S2'!$AD:$AD)</f>
        <v>0.33333333333333331</v>
      </c>
      <c r="N31" s="34">
        <f>SUMIFS('OB History S2'!F:F,'OB History S2'!B:B,A31)</f>
        <v>6</v>
      </c>
      <c r="O31" s="2">
        <f>SUMIFS('OB History S2'!E:E,'OB History S2'!B:B,A31)-N31</f>
        <v>7</v>
      </c>
      <c r="P31" s="88">
        <f>LOOKUP(2, 1/('OB History S2'!$B:$B=A31), 'OB History S2'!$AB:$AB)</f>
        <v>0.46666666666666662</v>
      </c>
      <c r="Q31" s="34">
        <f>SUMIFS('OB History S2'!H:H,'OB History S2'!B:B,A31)</f>
        <v>23</v>
      </c>
      <c r="R31" s="2">
        <f>SUMIFS('OB History S2'!G:G,'OB History S2'!B:B,A31)-Q31</f>
        <v>28</v>
      </c>
      <c r="S31" s="88">
        <f>LOOKUP(2, 1/('OB History S2'!$B:$B=A31), 'OB History S2'!$AC:$AC)</f>
        <v>0.45</v>
      </c>
      <c r="T31" s="2">
        <f>COUNTIFS('OB History S2'!$B:$B,$A$31,'OB History S2'!K:K, 1)</f>
        <v>2</v>
      </c>
      <c r="U31" s="2">
        <f>COUNTIFS('OB History S2'!$B:$B,$A$31,'OB History S2'!L:L, 1)</f>
        <v>0</v>
      </c>
      <c r="V31" s="2">
        <f>COUNTIFS('OB History S2'!$B:$B,$A$31,'OB History S2'!M:M, 1)</f>
        <v>0</v>
      </c>
      <c r="W31" s="2">
        <f>COUNTIFS('OB History S2'!$B:$B,$A$31,'OB History S2'!N:N, 1)</f>
        <v>0</v>
      </c>
      <c r="X31" s="2">
        <f>COUNTIFS('OB History S2'!$B:$B,$A$31,'OB History S2'!O:O, 1)</f>
        <v>0</v>
      </c>
      <c r="Y31" s="2">
        <f>COUNTIFS('OB History S2'!$B:$B,$A$31,'OB History S2'!P:P, 1)</f>
        <v>0</v>
      </c>
      <c r="Z31" s="2">
        <f>COUNTIFS('OB History S2'!$B:$B,$A$31,'OB History S2'!Q:Q, 1)</f>
        <v>0</v>
      </c>
      <c r="AA31" s="2">
        <f>COUNTIFS('OB History S2'!$B:$B,$A$31,'OB History S2'!R:R, 1)</f>
        <v>0</v>
      </c>
      <c r="AB31" s="2">
        <f>COUNTIFS('OB History S2'!$B:$B,$A$31,'OB History S2'!S:S, 1)</f>
        <v>0</v>
      </c>
      <c r="AC31" s="2">
        <f>COUNTIFS('OB History S2'!$B:$B,$A$31,'OB History S2'!T:T, 1)</f>
        <v>0</v>
      </c>
      <c r="AD31" s="2">
        <f>COUNTIFS('OB History S2'!$B:$B,$A$31,'OB History S2'!U:U, 1)</f>
        <v>0</v>
      </c>
      <c r="AE31" s="2">
        <f>COUNTIFS('OB History S2'!$B:$B,$A$31,'OB History S2'!V:V, 1)</f>
        <v>0</v>
      </c>
      <c r="AF31" s="2">
        <f>COUNTIFS('OB History S2'!$B:$B,$A$31,'OB History S2'!W:W, 1)</f>
        <v>2</v>
      </c>
      <c r="AG31" s="2">
        <f>COUNTIFS('OB History S2'!$B:$B,$A$31,'OB History S2'!X:X, 1)</f>
        <v>2</v>
      </c>
      <c r="AH31" s="2">
        <f>COUNTIFS('OB History S2'!$B:$B,$A$31,'OB History S2'!Y:Y, 1)</f>
        <v>0</v>
      </c>
      <c r="AI31" s="2">
        <f>COUNTIFS('OB History S2'!$B:$B,$A$31,'OB History S2'!Z:Z, 1)</f>
        <v>0</v>
      </c>
    </row>
    <row r="32" spans="1:35" x14ac:dyDescent="0.25">
      <c r="A32" s="1" t="s">
        <v>225</v>
      </c>
      <c r="B32" s="6" t="s">
        <v>60</v>
      </c>
      <c r="C32" s="1" t="s">
        <v>159</v>
      </c>
      <c r="D32" s="2"/>
      <c r="E32" s="2">
        <v>3</v>
      </c>
      <c r="F32" s="2"/>
      <c r="G32" s="2"/>
      <c r="H32" s="34">
        <f>SUMIFS('OB History S2'!C:C,'OB History S2'!B:B,A32)</f>
        <v>26</v>
      </c>
      <c r="I32" s="4">
        <f>AVERAGEIFS('OB History S2'!C:C,'OB History S2'!B:B,A32)</f>
        <v>26</v>
      </c>
      <c r="J32" s="35">
        <f t="array" ref="J32">MAX(IF('OB History S2'!B:B=A32, 'OB History S2'!C:C))</f>
        <v>26</v>
      </c>
      <c r="K32" s="34">
        <f>COUNTIFS('OB History S2'!B:B,A32,'OB History S2'!D:D, 1)</f>
        <v>1</v>
      </c>
      <c r="L32" s="2">
        <f>COUNTIFS('OB History S2'!B:B,A32,'OB History S2'!D:D, 0)</f>
        <v>0</v>
      </c>
      <c r="M32" s="88">
        <f>LOOKUP(2, 1/('OB History S2'!$B:$B=A32), 'OB History S2'!$AD:$AD)</f>
        <v>1</v>
      </c>
      <c r="N32" s="34">
        <f>SUMIFS('OB History S2'!F:F,'OB History S2'!B:B,A32)</f>
        <v>3</v>
      </c>
      <c r="O32" s="2">
        <f>SUMIFS('OB History S2'!E:E,'OB History S2'!B:B,A32)-N32</f>
        <v>2</v>
      </c>
      <c r="P32" s="88">
        <f>LOOKUP(2, 1/('OB History S2'!$B:$B=A32), 'OB History S2'!$AB:$AB)</f>
        <v>0.6</v>
      </c>
      <c r="Q32" s="34">
        <f>SUMIFS('OB History S2'!H:H,'OB History S2'!B:B,A32)</f>
        <v>10</v>
      </c>
      <c r="R32" s="2">
        <f>SUMIFS('OB History S2'!G:G,'OB History S2'!B:B,A32)-Q32</f>
        <v>7</v>
      </c>
      <c r="S32" s="88">
        <f>LOOKUP(2, 1/('OB History S2'!$B:$B=A32), 'OB History S2'!$AC:$AC)</f>
        <v>0.59</v>
      </c>
      <c r="T32" s="2">
        <f>COUNTIFS('OB History S2'!$B:$B,$A$32,'OB History S2'!K:K, 1)</f>
        <v>0</v>
      </c>
      <c r="U32" s="2">
        <f>COUNTIFS('OB History S2'!$B:$B,$A$32,'OB History S2'!L:L, 1)</f>
        <v>0</v>
      </c>
      <c r="V32" s="2">
        <f>COUNTIFS('OB History S2'!$B:$B,$A$32,'OB History S2'!M:M, 1)</f>
        <v>0</v>
      </c>
      <c r="W32" s="2">
        <f>COUNTIFS('OB History S2'!$B:$B,$A$32,'OB History S2'!N:N, 1)</f>
        <v>0</v>
      </c>
      <c r="X32" s="2">
        <f>COUNTIFS('OB History S2'!$B:$B,$A$32,'OB History S2'!O:O, 1)</f>
        <v>1</v>
      </c>
      <c r="Y32" s="2">
        <f>COUNTIFS('OB History S2'!$B:$B,$A$32,'OB History S2'!P:P, 1)</f>
        <v>0</v>
      </c>
      <c r="Z32" s="2">
        <f>COUNTIFS('OB History S2'!$B:$B,$A$32,'OB History S2'!Q:Q, 1)</f>
        <v>0</v>
      </c>
      <c r="AA32" s="2">
        <f>COUNTIFS('OB History S2'!$B:$B,$A$32,'OB History S2'!R:R, 1)</f>
        <v>0</v>
      </c>
      <c r="AB32" s="2">
        <f>COUNTIFS('OB History S2'!$B:$B,$A$32,'OB History S2'!S:S, 1)</f>
        <v>0</v>
      </c>
      <c r="AC32" s="2">
        <f>COUNTIFS('OB History S2'!$B:$B,$A$32,'OB History S2'!T:T, 1)</f>
        <v>0</v>
      </c>
      <c r="AD32" s="2">
        <f>COUNTIFS('OB History S2'!$B:$B,$A$32,'OB History S2'!U:U, 1)</f>
        <v>0</v>
      </c>
      <c r="AE32" s="2">
        <f>COUNTIFS('OB History S2'!$B:$B,$A$32,'OB History S2'!V:V, 1)</f>
        <v>0</v>
      </c>
      <c r="AF32" s="2">
        <f>COUNTIFS('OB History S2'!$B:$B,$A$32,'OB History S2'!W:W, 1)</f>
        <v>0</v>
      </c>
      <c r="AG32" s="2">
        <f>COUNTIFS('OB History S2'!$B:$B,$A$32,'OB History S2'!X:X, 1)</f>
        <v>0</v>
      </c>
      <c r="AH32" s="2">
        <f>COUNTIFS('OB History S2'!$B:$B,$A$32,'OB History S2'!Y:Y, 1)</f>
        <v>1</v>
      </c>
      <c r="AI32" s="2">
        <f>COUNTIFS('OB History S2'!$B:$B,$A$32,'OB History S2'!Z:Z, 1)</f>
        <v>1</v>
      </c>
    </row>
    <row r="33" spans="1:35" x14ac:dyDescent="0.25">
      <c r="A33" s="2" t="s">
        <v>148</v>
      </c>
      <c r="B33" s="6" t="s">
        <v>79</v>
      </c>
      <c r="C33" s="6" t="s">
        <v>79</v>
      </c>
      <c r="D33" s="3">
        <v>4</v>
      </c>
      <c r="E33" s="6">
        <v>1</v>
      </c>
      <c r="F33" s="6"/>
      <c r="G33" s="6"/>
      <c r="H33" s="34">
        <f>SUMIFS('OB History S2'!C:C,'OB History S2'!B:B,A33)</f>
        <v>462</v>
      </c>
      <c r="I33" s="4">
        <f>AVERAGEIFS('OB History S2'!C:C,'OB History S2'!B:B,A33)</f>
        <v>12.833333333333334</v>
      </c>
      <c r="J33" s="35">
        <f t="array" ref="J33">MAX(IF('OB History S2'!B:B=A33, 'OB History S2'!C:C))</f>
        <v>27</v>
      </c>
      <c r="K33" s="34">
        <f>COUNTIFS('OB History S2'!B:B,A33,'OB History S2'!D:D, 1)</f>
        <v>20</v>
      </c>
      <c r="L33" s="2">
        <f>COUNTIFS('OB History S2'!B:B,A33,'OB History S2'!D:D, 0)</f>
        <v>16</v>
      </c>
      <c r="M33" s="88">
        <f>LOOKUP(2, 1/('OB History S2'!$B:$B=A33), 'OB History S2'!$AD:$AD)</f>
        <v>0.55555555555555558</v>
      </c>
      <c r="N33" s="34">
        <f>SUMIFS('OB History S2'!F:F,'OB History S2'!B:B,A33)</f>
        <v>76</v>
      </c>
      <c r="O33" s="2">
        <f>SUMIFS('OB History S2'!E:E,'OB History S2'!B:B,A33)-N33</f>
        <v>67</v>
      </c>
      <c r="P33" s="88">
        <f>LOOKUP(2, 1/('OB History S2'!$B:$B=A33), 'OB History S2'!$AB:$AB)</f>
        <v>0.54305555555555551</v>
      </c>
      <c r="Q33" s="34">
        <f>SUMIFS('OB History S2'!H:H,'OB History S2'!B:B,A33)</f>
        <v>302</v>
      </c>
      <c r="R33" s="2">
        <f>SUMIFS('OB History S2'!G:G,'OB History S2'!B:B,A33)-Q33</f>
        <v>284</v>
      </c>
      <c r="S33" s="88">
        <f>LOOKUP(2, 1/('OB History S2'!$B:$B=A33), 'OB History S2'!$AC:$AC)</f>
        <v>0.52055555555555566</v>
      </c>
      <c r="T33" s="2">
        <f>COUNTIFS('OB History S2'!$B:$B,$A$33,'OB History S2'!K:K, 1)</f>
        <v>1</v>
      </c>
      <c r="U33" s="2">
        <f>COUNTIFS('OB History S2'!$B:$B,$A$33,'OB History S2'!L:L, 1)</f>
        <v>9</v>
      </c>
      <c r="V33" s="2">
        <f>COUNTIFS('OB History S2'!$B:$B,$A$33,'OB History S2'!M:M, 1)</f>
        <v>2</v>
      </c>
      <c r="W33" s="2">
        <f>COUNTIFS('OB History S2'!$B:$B,$A$33,'OB History S2'!N:N, 1)</f>
        <v>8</v>
      </c>
      <c r="X33" s="2">
        <f>COUNTIFS('OB History S2'!$B:$B,$A$33,'OB History S2'!O:O, 1)</f>
        <v>0</v>
      </c>
      <c r="Y33" s="2">
        <f>COUNTIFS('OB History S2'!$B:$B,$A$33,'OB History S2'!P:P, 1)</f>
        <v>5</v>
      </c>
      <c r="Z33" s="2">
        <f>COUNTIFS('OB History S2'!$B:$B,$A$33,'OB History S2'!Q:Q, 1)</f>
        <v>2</v>
      </c>
      <c r="AA33" s="2">
        <f>COUNTIFS('OB History S2'!$B:$B,$A$33,'OB History S2'!R:R, 1)</f>
        <v>4</v>
      </c>
      <c r="AB33" s="2">
        <f>COUNTIFS('OB History S2'!$B:$B,$A$33,'OB History S2'!S:S, 1)</f>
        <v>2</v>
      </c>
      <c r="AC33" s="2">
        <f>COUNTIFS('OB History S2'!$B:$B,$A$33,'OB History S2'!T:T, 1)</f>
        <v>2</v>
      </c>
      <c r="AD33" s="2">
        <f>COUNTIFS('OB History S2'!$B:$B,$A$33,'OB History S2'!U:U, 1)</f>
        <v>1</v>
      </c>
      <c r="AE33" s="2">
        <f>COUNTIFS('OB History S2'!$B:$B,$A$33,'OB History S2'!V:V, 1)</f>
        <v>1</v>
      </c>
      <c r="AF33" s="2">
        <f>COUNTIFS('OB History S2'!$B:$B,$A$33,'OB History S2'!W:W, 1)</f>
        <v>5</v>
      </c>
      <c r="AG33" s="2">
        <f>COUNTIFS('OB History S2'!$B:$B,$A$33,'OB History S2'!X:X, 1)</f>
        <v>15</v>
      </c>
      <c r="AH33" s="2">
        <f>COUNTIFS('OB History S2'!$B:$B,$A$33,'OB History S2'!Y:Y, 1)</f>
        <v>8</v>
      </c>
      <c r="AI33" s="2">
        <f>COUNTIFS('OB History S2'!$B:$B,$A$33,'OB History S2'!Z:Z, 1)</f>
        <v>11</v>
      </c>
    </row>
    <row r="34" spans="1:35" x14ac:dyDescent="0.25">
      <c r="A34" s="2" t="s">
        <v>15</v>
      </c>
      <c r="B34" s="2" t="s">
        <v>79</v>
      </c>
      <c r="C34" s="2" t="s">
        <v>79</v>
      </c>
      <c r="D34" s="3">
        <v>3</v>
      </c>
      <c r="E34" s="2">
        <v>1</v>
      </c>
      <c r="F34" s="2"/>
      <c r="G34" s="2"/>
      <c r="H34" s="34">
        <f>SUMIFS('OB History S2'!C:C,'OB History S2'!B:B,A34)</f>
        <v>527</v>
      </c>
      <c r="I34" s="4">
        <f>AVERAGEIFS('OB History S2'!C:C,'OB History S2'!B:B,A34)</f>
        <v>21.08</v>
      </c>
      <c r="J34" s="35">
        <f t="array" ref="J34">MAX(IF('OB History S2'!B:B=A34, 'OB History S2'!C:C))</f>
        <v>39</v>
      </c>
      <c r="K34" s="34">
        <f>COUNTIFS('OB History S2'!B:B,A34,'OB History S2'!D:D, 1)</f>
        <v>13</v>
      </c>
      <c r="L34" s="2">
        <f>COUNTIFS('OB History S2'!B:B,A34,'OB History S2'!D:D, 0)</f>
        <v>12</v>
      </c>
      <c r="M34" s="88">
        <f>LOOKUP(2, 1/('OB History S2'!$B:$B=A34), 'OB History S2'!$AD:$AD)</f>
        <v>0.52</v>
      </c>
      <c r="N34" s="34">
        <f>SUMIFS('OB History S2'!F:F,'OB History S2'!B:B,A34)</f>
        <v>49</v>
      </c>
      <c r="O34" s="2">
        <f>SUMIFS('OB History S2'!E:E,'OB History S2'!B:B,A34)-N34</f>
        <v>50</v>
      </c>
      <c r="P34" s="88">
        <f>LOOKUP(2, 1/('OB History S2'!$B:$B=A34), 'OB History S2'!$AB:$AB)</f>
        <v>0.49399999999999994</v>
      </c>
      <c r="Q34" s="34">
        <f>SUMIFS('OB History S2'!H:H,'OB History S2'!B:B,A34)</f>
        <v>208</v>
      </c>
      <c r="R34" s="2">
        <f>SUMIFS('OB History S2'!G:G,'OB History S2'!B:B,A34)-Q34</f>
        <v>202</v>
      </c>
      <c r="S34" s="88">
        <f>LOOKUP(2, 1/('OB History S2'!$B:$B=A34), 'OB History S2'!$AC:$AC)</f>
        <v>0.5072000000000001</v>
      </c>
      <c r="T34" s="2">
        <f>COUNTIFS('OB History S2'!$B:$B,$A$34,'OB History S2'!K:K, 1)</f>
        <v>3</v>
      </c>
      <c r="U34" s="2">
        <f>COUNTIFS('OB History S2'!$B:$B,$A$34,'OB History S2'!L:L, 1)</f>
        <v>5</v>
      </c>
      <c r="V34" s="2">
        <f>COUNTIFS('OB History S2'!$B:$B,$A$34,'OB History S2'!M:M, 1)</f>
        <v>0</v>
      </c>
      <c r="W34" s="2">
        <f>COUNTIFS('OB History S2'!$B:$B,$A$34,'OB History S2'!N:N, 1)</f>
        <v>7</v>
      </c>
      <c r="X34" s="2">
        <f>COUNTIFS('OB History S2'!$B:$B,$A$34,'OB History S2'!O:O, 1)</f>
        <v>2</v>
      </c>
      <c r="Y34" s="2">
        <f>COUNTIFS('OB History S2'!$B:$B,$A$34,'OB History S2'!P:P, 1)</f>
        <v>5</v>
      </c>
      <c r="Z34" s="2">
        <f>COUNTIFS('OB History S2'!$B:$B,$A$34,'OB History S2'!Q:Q, 1)</f>
        <v>3</v>
      </c>
      <c r="AA34" s="2">
        <f>COUNTIFS('OB History S2'!$B:$B,$A$34,'OB History S2'!R:R, 1)</f>
        <v>1</v>
      </c>
      <c r="AB34" s="2">
        <f>COUNTIFS('OB History S2'!$B:$B,$A$34,'OB History S2'!S:S, 1)</f>
        <v>1</v>
      </c>
      <c r="AC34" s="2">
        <f>COUNTIFS('OB History S2'!$B:$B,$A$34,'OB History S2'!T:T, 1)</f>
        <v>1</v>
      </c>
      <c r="AD34" s="2">
        <f>COUNTIFS('OB History S2'!$B:$B,$A$34,'OB History S2'!U:U, 1)</f>
        <v>1</v>
      </c>
      <c r="AE34" s="2">
        <f>COUNTIFS('OB History S2'!$B:$B,$A$34,'OB History S2'!V:V, 1)</f>
        <v>1</v>
      </c>
      <c r="AF34" s="2">
        <f>COUNTIFS('OB History S2'!$B:$B,$A$34,'OB History S2'!W:W, 1)</f>
        <v>4</v>
      </c>
      <c r="AG34" s="2">
        <f>COUNTIFS('OB History S2'!$B:$B,$A$34,'OB History S2'!X:X, 1)</f>
        <v>7</v>
      </c>
      <c r="AH34" s="2">
        <f>COUNTIFS('OB History S2'!$B:$B,$A$34,'OB History S2'!Y:Y, 1)</f>
        <v>4</v>
      </c>
      <c r="AI34" s="2">
        <f>COUNTIFS('OB History S2'!$B:$B,$A$34,'OB History S2'!Z:Z, 1)</f>
        <v>4</v>
      </c>
    </row>
    <row r="35" spans="1:35" x14ac:dyDescent="0.25">
      <c r="A35" s="2" t="s">
        <v>161</v>
      </c>
      <c r="B35" s="2" t="s">
        <v>79</v>
      </c>
      <c r="C35" s="2" t="s">
        <v>79</v>
      </c>
      <c r="D35" s="3"/>
      <c r="E35" s="2"/>
      <c r="F35" s="2"/>
      <c r="G35" s="2"/>
      <c r="H35" s="34">
        <f>SUMIFS('OB History S2'!C:C,'OB History S2'!B:B,A35)</f>
        <v>31</v>
      </c>
      <c r="I35" s="4">
        <f>AVERAGEIFS('OB History S2'!C:C,'OB History S2'!B:B,A35)</f>
        <v>15.5</v>
      </c>
      <c r="J35" s="35">
        <f t="array" ref="J35">MAX(IF('OB History S2'!B:B=A35, 'OB History S2'!C:C))</f>
        <v>16</v>
      </c>
      <c r="K35" s="34">
        <f>COUNTIFS('OB History S2'!B:B,A35,'OB History S2'!D:D, 1)</f>
        <v>0</v>
      </c>
      <c r="L35" s="2">
        <f>COUNTIFS('OB History S2'!B:B,A35,'OB History S2'!D:D, 0)</f>
        <v>2</v>
      </c>
      <c r="M35" s="88">
        <f>LOOKUP(2, 1/('OB History S2'!$B:$B=A35), 'OB History S2'!$AD:$AD)</f>
        <v>0</v>
      </c>
      <c r="N35" s="34">
        <f>SUMIFS('OB History S2'!F:F,'OB History S2'!B:B,A35)</f>
        <v>2</v>
      </c>
      <c r="O35" s="2">
        <f>SUMIFS('OB History S2'!E:E,'OB History S2'!B:B,A35)-N35</f>
        <v>6</v>
      </c>
      <c r="P35" s="88">
        <f>LOOKUP(2, 1/('OB History S2'!$B:$B=A35), 'OB History S2'!$AB:$AB)</f>
        <v>0.25</v>
      </c>
      <c r="Q35" s="34">
        <f>SUMIFS('OB History S2'!H:H,'OB History S2'!B:B,A35)</f>
        <v>16</v>
      </c>
      <c r="R35" s="2">
        <f>SUMIFS('OB History S2'!G:G,'OB History S2'!B:B,A35)-Q35</f>
        <v>22</v>
      </c>
      <c r="S35" s="88">
        <f>LOOKUP(2, 1/('OB History S2'!$B:$B=A35), 'OB History S2'!$AC:$AC)</f>
        <v>0.42</v>
      </c>
      <c r="T35" s="2">
        <f>COUNTIFS('OB History S2'!$B:$B,$A$35,'OB History S2'!K:K, 1)</f>
        <v>0</v>
      </c>
      <c r="U35" s="2">
        <f>COUNTIFS('OB History S2'!$B:$B,$A$35,'OB History S2'!L:L, 1)</f>
        <v>0</v>
      </c>
      <c r="V35" s="2">
        <f>COUNTIFS('OB History S2'!$B:$B,$A$35,'OB History S2'!M:M, 1)</f>
        <v>0</v>
      </c>
      <c r="W35" s="2">
        <f>COUNTIFS('OB History S2'!$B:$B,$A$35,'OB History S2'!N:N, 1)</f>
        <v>0</v>
      </c>
      <c r="X35" s="2">
        <f>COUNTIFS('OB History S2'!$B:$B,$A$35,'OB History S2'!O:O, 1)</f>
        <v>0</v>
      </c>
      <c r="Y35" s="2">
        <f>COUNTIFS('OB History S2'!$B:$B,$A$35,'OB History S2'!P:P, 1)</f>
        <v>0</v>
      </c>
      <c r="Z35" s="2">
        <f>COUNTIFS('OB History S2'!$B:$B,$A$35,'OB History S2'!Q:Q, 1)</f>
        <v>0</v>
      </c>
      <c r="AA35" s="2">
        <f>COUNTIFS('OB History S2'!$B:$B,$A$35,'OB History S2'!R:R, 1)</f>
        <v>0</v>
      </c>
      <c r="AB35" s="2">
        <f>COUNTIFS('OB History S2'!$B:$B,$A$35,'OB History S2'!S:S, 1)</f>
        <v>0</v>
      </c>
      <c r="AC35" s="2">
        <f>COUNTIFS('OB History S2'!$B:$B,$A$35,'OB History S2'!T:T, 1)</f>
        <v>0</v>
      </c>
      <c r="AD35" s="2">
        <f>COUNTIFS('OB History S2'!$B:$B,$A$35,'OB History S2'!U:U, 1)</f>
        <v>0</v>
      </c>
      <c r="AE35" s="2">
        <f>COUNTIFS('OB History S2'!$B:$B,$A$35,'OB History S2'!V:V, 1)</f>
        <v>0</v>
      </c>
      <c r="AF35" s="2">
        <f>COUNTIFS('OB History S2'!$B:$B,$A$35,'OB History S2'!W:W, 1)</f>
        <v>1</v>
      </c>
      <c r="AG35" s="2">
        <f>COUNTIFS('OB History S2'!$B:$B,$A$35,'OB History S2'!X:X, 1)</f>
        <v>0</v>
      </c>
      <c r="AH35" s="2">
        <f>COUNTIFS('OB History S2'!$B:$B,$A$35,'OB History S2'!Y:Y, 1)</f>
        <v>1</v>
      </c>
      <c r="AI35" s="2">
        <f>COUNTIFS('OB History S2'!$B:$B,$A$35,'OB History S2'!Z:Z, 1)</f>
        <v>0</v>
      </c>
    </row>
    <row r="36" spans="1:35" x14ac:dyDescent="0.25">
      <c r="A36" s="2" t="s">
        <v>13</v>
      </c>
      <c r="B36" s="6" t="s">
        <v>124</v>
      </c>
      <c r="C36" s="6" t="s">
        <v>60</v>
      </c>
      <c r="D36" s="3">
        <v>7</v>
      </c>
      <c r="E36" s="6">
        <v>2</v>
      </c>
      <c r="F36" s="6">
        <v>1</v>
      </c>
      <c r="G36" s="6"/>
      <c r="H36" s="34">
        <f>SUMIFS('OB History S2'!C:C,'OB History S2'!B:B,A36)</f>
        <v>969</v>
      </c>
      <c r="I36" s="4">
        <f>AVERAGEIFS('OB History S2'!C:C,'OB History S2'!B:B,A36)</f>
        <v>24.846153846153847</v>
      </c>
      <c r="J36" s="35">
        <f t="array" ref="J36">MAX(IF('OB History S2'!B:B=A36, 'OB History S2'!C:C))</f>
        <v>58</v>
      </c>
      <c r="K36" s="34">
        <f>COUNTIFS('OB History S2'!B:B,A36,'OB History S2'!D:D, 1)</f>
        <v>23</v>
      </c>
      <c r="L36" s="2">
        <f>COUNTIFS('OB History S2'!B:B,A36,'OB History S2'!D:D, 0)</f>
        <v>16</v>
      </c>
      <c r="M36" s="88">
        <f>LOOKUP(2, 1/('OB History S2'!$B:$B=A36), 'OB History S2'!$AD:$AD)</f>
        <v>0.58974358974358976</v>
      </c>
      <c r="N36" s="34">
        <f>SUMIFS('OB History S2'!F:F,'OB History S2'!B:B,A36)</f>
        <v>89</v>
      </c>
      <c r="O36" s="2">
        <f>SUMIFS('OB History S2'!E:E,'OB History S2'!B:B,A36)-N36</f>
        <v>66</v>
      </c>
      <c r="P36" s="88">
        <f>LOOKUP(2, 1/('OB History S2'!$B:$B=A36), 'OB History S2'!$AB:$AB)</f>
        <v>0.58461538461538454</v>
      </c>
      <c r="Q36" s="34">
        <f>SUMIFS('OB History S2'!H:H,'OB History S2'!B:B,A36)</f>
        <v>347</v>
      </c>
      <c r="R36" s="2">
        <f>SUMIFS('OB History S2'!G:G,'OB History S2'!B:B,A36)-Q36</f>
        <v>289</v>
      </c>
      <c r="S36" s="88">
        <f>LOOKUP(2, 1/('OB History S2'!$B:$B=A36), 'OB History S2'!$AC:$AC)</f>
        <v>0.55102564102564089</v>
      </c>
      <c r="T36" s="2">
        <f>COUNTIFS('OB History S2'!$B:$B,$A$36,'OB History S2'!K:K, 1)</f>
        <v>7</v>
      </c>
      <c r="U36" s="2">
        <f>COUNTIFS('OB History S2'!$B:$B,$A$36,'OB History S2'!L:L, 1)</f>
        <v>7</v>
      </c>
      <c r="V36" s="2">
        <f>COUNTIFS('OB History S2'!$B:$B,$A$36,'OB History S2'!M:M, 1)</f>
        <v>2</v>
      </c>
      <c r="W36" s="2">
        <f>COUNTIFS('OB History S2'!$B:$B,$A$36,'OB History S2'!N:N, 1)</f>
        <v>9</v>
      </c>
      <c r="X36" s="2">
        <f>COUNTIFS('OB History S2'!$B:$B,$A$36,'OB History S2'!O:O, 1)</f>
        <v>0</v>
      </c>
      <c r="Y36" s="2">
        <f>COUNTIFS('OB History S2'!$B:$B,$A$36,'OB History S2'!P:P, 1)</f>
        <v>8</v>
      </c>
      <c r="Z36" s="2">
        <f>COUNTIFS('OB History S2'!$B:$B,$A$36,'OB History S2'!Q:Q, 1)</f>
        <v>2</v>
      </c>
      <c r="AA36" s="2">
        <f>COUNTIFS('OB History S2'!$B:$B,$A$36,'OB History S2'!R:R, 1)</f>
        <v>5</v>
      </c>
      <c r="AB36" s="2">
        <f>COUNTIFS('OB History S2'!$B:$B,$A$36,'OB History S2'!S:S, 1)</f>
        <v>1</v>
      </c>
      <c r="AC36" s="2">
        <f>COUNTIFS('OB History S2'!$B:$B,$A$36,'OB History S2'!T:T, 1)</f>
        <v>3</v>
      </c>
      <c r="AD36" s="2">
        <f>COUNTIFS('OB History S2'!$B:$B,$A$36,'OB History S2'!U:U, 1)</f>
        <v>1</v>
      </c>
      <c r="AE36" s="2">
        <f>COUNTIFS('OB History S2'!$B:$B,$A$36,'OB History S2'!V:V, 1)</f>
        <v>1</v>
      </c>
      <c r="AF36" s="2">
        <f>COUNTIFS('OB History S2'!$B:$B,$A$36,'OB History S2'!W:W, 1)</f>
        <v>8</v>
      </c>
      <c r="AG36" s="2">
        <f>COUNTIFS('OB History S2'!$B:$B,$A$36,'OB History S2'!X:X, 1)</f>
        <v>13</v>
      </c>
      <c r="AH36" s="2">
        <f>COUNTIFS('OB History S2'!$B:$B,$A$36,'OB History S2'!Y:Y, 1)</f>
        <v>13</v>
      </c>
      <c r="AI36" s="2">
        <f>COUNTIFS('OB History S2'!$B:$B,$A$36,'OB History S2'!Z:Z, 1)</f>
        <v>9</v>
      </c>
    </row>
    <row r="37" spans="1:35" x14ac:dyDescent="0.25">
      <c r="A37" s="2" t="s">
        <v>2</v>
      </c>
      <c r="B37" s="6" t="s">
        <v>60</v>
      </c>
      <c r="C37" s="6" t="s">
        <v>79</v>
      </c>
      <c r="D37" s="3">
        <v>1</v>
      </c>
      <c r="E37" s="6"/>
      <c r="F37" s="6"/>
      <c r="G37" s="6"/>
      <c r="H37" s="34">
        <f>SUMIFS('OB History S2'!C:C,'OB History S2'!B:B,A37)</f>
        <v>242</v>
      </c>
      <c r="I37" s="4">
        <f>AVERAGEIFS('OB History S2'!C:C,'OB History S2'!B:B,A37)</f>
        <v>30.25</v>
      </c>
      <c r="J37" s="35">
        <f t="array" ref="J37">MAX(IF('OB History S2'!B:B=A37, 'OB History S2'!C:C))</f>
        <v>68</v>
      </c>
      <c r="K37" s="34">
        <f>COUNTIFS('OB History S2'!B:B,A37,'OB History S2'!D:D, 1)</f>
        <v>4</v>
      </c>
      <c r="L37" s="2">
        <f>COUNTIFS('OB History S2'!B:B,A37,'OB History S2'!D:D, 0)</f>
        <v>4</v>
      </c>
      <c r="M37" s="88">
        <f>LOOKUP(2, 1/('OB History S2'!$B:$B=A37), 'OB History S2'!$AD:$AD)</f>
        <v>0.5</v>
      </c>
      <c r="N37" s="34">
        <f>SUMIFS('OB History S2'!F:F,'OB History S2'!B:B,A37)</f>
        <v>19</v>
      </c>
      <c r="O37" s="2">
        <f>SUMIFS('OB History S2'!E:E,'OB History S2'!B:B,A37)-N37</f>
        <v>12</v>
      </c>
      <c r="P37" s="88">
        <f>LOOKUP(2, 1/('OB History S2'!$B:$B=A37), 'OB History S2'!$AB:$AB)</f>
        <v>0.68125000000000002</v>
      </c>
      <c r="Q37" s="34">
        <f>SUMIFS('OB History S2'!H:H,'OB History S2'!B:B,A37)</f>
        <v>74</v>
      </c>
      <c r="R37" s="2">
        <f>SUMIFS('OB History S2'!G:G,'OB History S2'!B:B,A37)-Q37</f>
        <v>62</v>
      </c>
      <c r="S37" s="88">
        <f>LOOKUP(2, 1/('OB History S2'!$B:$B=A37), 'OB History S2'!$AC:$AC)</f>
        <v>0.5675</v>
      </c>
      <c r="T37" s="2">
        <f>COUNTIFS('OB History S2'!$B:$B,$A$37,'OB History S2'!K:K, 1)</f>
        <v>1</v>
      </c>
      <c r="U37" s="2">
        <f>COUNTIFS('OB History S2'!$B:$B,$A$37,'OB History S2'!L:L, 1)</f>
        <v>3</v>
      </c>
      <c r="V37" s="2">
        <f>COUNTIFS('OB History S2'!$B:$B,$A$37,'OB History S2'!M:M, 1)</f>
        <v>0</v>
      </c>
      <c r="W37" s="2">
        <f>COUNTIFS('OB History S2'!$B:$B,$A$37,'OB History S2'!N:N, 1)</f>
        <v>4</v>
      </c>
      <c r="X37" s="2">
        <f>COUNTIFS('OB History S2'!$B:$B,$A$37,'OB History S2'!O:O, 1)</f>
        <v>0</v>
      </c>
      <c r="Y37" s="2">
        <f>COUNTIFS('OB History S2'!$B:$B,$A$37,'OB History S2'!P:P, 1)</f>
        <v>1</v>
      </c>
      <c r="Z37" s="2">
        <f>COUNTIFS('OB History S2'!$B:$B,$A$37,'OB History S2'!Q:Q, 1)</f>
        <v>0</v>
      </c>
      <c r="AA37" s="2">
        <f>COUNTIFS('OB History S2'!$B:$B,$A$37,'OB History S2'!R:R, 1)</f>
        <v>0</v>
      </c>
      <c r="AB37" s="2">
        <f>COUNTIFS('OB History S2'!$B:$B,$A$37,'OB History S2'!S:S, 1)</f>
        <v>0</v>
      </c>
      <c r="AC37" s="2">
        <f>COUNTIFS('OB History S2'!$B:$B,$A$37,'OB History S2'!T:T, 1)</f>
        <v>0</v>
      </c>
      <c r="AD37" s="2">
        <f>COUNTIFS('OB History S2'!$B:$B,$A$37,'OB History S2'!U:U, 1)</f>
        <v>0</v>
      </c>
      <c r="AE37" s="2">
        <f>COUNTIFS('OB History S2'!$B:$B,$A$37,'OB History S2'!V:V, 1)</f>
        <v>0</v>
      </c>
      <c r="AF37" s="2">
        <f>COUNTIFS('OB History S2'!$B:$B,$A$37,'OB History S2'!W:W, 1)</f>
        <v>0</v>
      </c>
      <c r="AG37" s="2">
        <f>COUNTIFS('OB History S2'!$B:$B,$A$37,'OB History S2'!X:X, 1)</f>
        <v>4</v>
      </c>
      <c r="AH37" s="2">
        <f>COUNTIFS('OB History S2'!$B:$B,$A$37,'OB History S2'!Y:Y, 1)</f>
        <v>2</v>
      </c>
      <c r="AI37" s="2">
        <f>COUNTIFS('OB History S2'!$B:$B,$A$37,'OB History S2'!Z:Z, 1)</f>
        <v>4</v>
      </c>
    </row>
    <row r="38" spans="1:35" x14ac:dyDescent="0.25">
      <c r="A38" s="2" t="s">
        <v>54</v>
      </c>
      <c r="B38" s="6" t="s">
        <v>60</v>
      </c>
      <c r="C38" s="6" t="s">
        <v>79</v>
      </c>
      <c r="D38" s="3"/>
      <c r="E38" s="6"/>
      <c r="F38" s="6"/>
      <c r="G38" s="6"/>
      <c r="H38" s="34">
        <f>SUMIFS('OB History S2'!C:C,'OB History S2'!B:B,A38)</f>
        <v>9</v>
      </c>
      <c r="I38" s="4">
        <f>AVERAGEIFS('OB History S2'!C:C,'OB History S2'!B:B,A38)</f>
        <v>9</v>
      </c>
      <c r="J38" s="35">
        <f t="array" ref="J38">MAX(IF('OB History S2'!B:B=A38, 'OB History S2'!C:C))</f>
        <v>9</v>
      </c>
      <c r="K38" s="34">
        <f>COUNTIFS('OB History S2'!B:B,A38,'OB History S2'!D:D, 1)</f>
        <v>0</v>
      </c>
      <c r="L38" s="2">
        <f>COUNTIFS('OB History S2'!B:B,A38,'OB History S2'!D:D, 0)</f>
        <v>1</v>
      </c>
      <c r="M38" s="88">
        <f>LOOKUP(2, 1/('OB History S2'!$B:$B=A38), 'OB History S2'!$AD:$AD)</f>
        <v>0</v>
      </c>
      <c r="N38" s="34">
        <f>SUMIFS('OB History S2'!F:F,'OB History S2'!B:B,A38)</f>
        <v>2</v>
      </c>
      <c r="O38" s="2">
        <f>SUMIFS('OB History S2'!E:E,'OB History S2'!B:B,A38)-N38</f>
        <v>3</v>
      </c>
      <c r="P38" s="88">
        <f>LOOKUP(2, 1/('OB History S2'!$B:$B=A38), 'OB History S2'!$AB:$AB)</f>
        <v>0.4</v>
      </c>
      <c r="Q38" s="34">
        <f>SUMIFS('OB History S2'!H:H,'OB History S2'!B:B,A38)</f>
        <v>9</v>
      </c>
      <c r="R38" s="2">
        <f>SUMIFS('OB History S2'!G:G,'OB History S2'!B:B,A38)-Q38</f>
        <v>10</v>
      </c>
      <c r="S38" s="88">
        <f>LOOKUP(2, 1/('OB History S2'!$B:$B=A38), 'OB History S2'!$AC:$AC)</f>
        <v>0.47</v>
      </c>
      <c r="T38" s="2">
        <f>COUNTIFS('OB History S2'!$B:$B,$A$38,'OB History S2'!K:K, 1)</f>
        <v>1</v>
      </c>
      <c r="U38" s="2">
        <f>COUNTIFS('OB History S2'!$B:$B,$A$38,'OB History S2'!L:L, 1)</f>
        <v>0</v>
      </c>
      <c r="V38" s="2">
        <f>COUNTIFS('OB History S2'!$B:$B,$A$38,'OB History S2'!M:M, 1)</f>
        <v>0</v>
      </c>
      <c r="W38" s="2">
        <f>COUNTIFS('OB History S2'!$B:$B,$A$38,'OB History S2'!N:N, 1)</f>
        <v>0</v>
      </c>
      <c r="X38" s="2">
        <f>COUNTIFS('OB History S2'!$B:$B,$A$38,'OB History S2'!O:O, 1)</f>
        <v>0</v>
      </c>
      <c r="Y38" s="2">
        <f>COUNTIFS('OB History S2'!$B:$B,$A$38,'OB History S2'!P:P, 1)</f>
        <v>0</v>
      </c>
      <c r="Z38" s="2">
        <f>COUNTIFS('OB History S2'!$B:$B,$A$38,'OB History S2'!Q:Q, 1)</f>
        <v>1</v>
      </c>
      <c r="AA38" s="2">
        <f>COUNTIFS('OB History S2'!$B:$B,$A$38,'OB History S2'!R:R, 1)</f>
        <v>0</v>
      </c>
      <c r="AB38" s="2">
        <f>COUNTIFS('OB History S2'!$B:$B,$A$38,'OB History S2'!S:S, 1)</f>
        <v>0</v>
      </c>
      <c r="AC38" s="2">
        <f>COUNTIFS('OB History S2'!$B:$B,$A$38,'OB History S2'!T:T, 1)</f>
        <v>0</v>
      </c>
      <c r="AD38" s="2">
        <f>COUNTIFS('OB History S2'!$B:$B,$A$38,'OB History S2'!U:U, 1)</f>
        <v>0</v>
      </c>
      <c r="AE38" s="2">
        <f>COUNTIFS('OB History S2'!$B:$B,$A$38,'OB History S2'!V:V, 1)</f>
        <v>0</v>
      </c>
      <c r="AF38" s="2">
        <f>COUNTIFS('OB History S2'!$B:$B,$A$38,'OB History S2'!W:W, 1)</f>
        <v>0</v>
      </c>
      <c r="AG38" s="2">
        <f>COUNTIFS('OB History S2'!$B:$B,$A$38,'OB History S2'!X:X, 1)</f>
        <v>0</v>
      </c>
      <c r="AH38" s="2">
        <f>COUNTIFS('OB History S2'!$B:$B,$A$38,'OB History S2'!Y:Y, 1)</f>
        <v>0</v>
      </c>
      <c r="AI38" s="2">
        <f>COUNTIFS('OB History S2'!$B:$B,$A$38,'OB History S2'!Z:Z, 1)</f>
        <v>0</v>
      </c>
    </row>
    <row r="39" spans="1:35" x14ac:dyDescent="0.25">
      <c r="A39" s="2" t="s">
        <v>5</v>
      </c>
      <c r="B39" s="6" t="s">
        <v>124</v>
      </c>
      <c r="C39" s="1" t="s">
        <v>159</v>
      </c>
      <c r="D39" s="3">
        <v>1</v>
      </c>
      <c r="E39" s="6"/>
      <c r="F39" s="6"/>
      <c r="G39" s="6"/>
      <c r="H39" s="34">
        <f>SUMIFS('OB History S2'!C:C,'OB History S2'!B:B,A39)</f>
        <v>334</v>
      </c>
      <c r="I39" s="4">
        <f>AVERAGEIFS('OB History S2'!C:C,'OB History S2'!B:B,A39)</f>
        <v>22.266666666666666</v>
      </c>
      <c r="J39" s="35">
        <f t="array" ref="J39">MAX(IF('OB History S2'!B:B=A39, 'OB History S2'!C:C))</f>
        <v>51</v>
      </c>
      <c r="K39" s="34">
        <f>COUNTIFS('OB History S2'!B:B,A39,'OB History S2'!D:D, 1)</f>
        <v>6</v>
      </c>
      <c r="L39" s="2">
        <f>COUNTIFS('OB History S2'!B:B,A39,'OB History S2'!D:D, 0)</f>
        <v>9</v>
      </c>
      <c r="M39" s="88">
        <f>LOOKUP(2, 1/('OB History S2'!$B:$B=A39), 'OB History S2'!$AD:$AD)</f>
        <v>0.4</v>
      </c>
      <c r="N39" s="34">
        <f>SUMIFS('OB History S2'!F:F,'OB History S2'!B:B,A39)</f>
        <v>27</v>
      </c>
      <c r="O39" s="2">
        <f>SUMIFS('OB History S2'!E:E,'OB History S2'!B:B,A39)-N39</f>
        <v>33</v>
      </c>
      <c r="P39" s="88">
        <f>LOOKUP(2, 1/('OB History S2'!$B:$B=A39), 'OB History S2'!$AB:$AB)</f>
        <v>0.45</v>
      </c>
      <c r="Q39" s="34">
        <f>SUMIFS('OB History S2'!H:H,'OB History S2'!B:B,A39)</f>
        <v>119</v>
      </c>
      <c r="R39" s="2">
        <f>SUMIFS('OB History S2'!G:G,'OB History S2'!B:B,A39)-Q39</f>
        <v>127</v>
      </c>
      <c r="S39" s="88">
        <f>LOOKUP(2, 1/('OB History S2'!$B:$B=A39), 'OB History S2'!$AC:$AC)</f>
        <v>0.48133333333333328</v>
      </c>
      <c r="T39" s="2">
        <f>COUNTIFS('OB History S2'!$B:$B,$A$39,'OB History S2'!K:K, 1)</f>
        <v>4</v>
      </c>
      <c r="U39" s="2">
        <f>COUNTIFS('OB History S2'!$B:$B,$A$39,'OB History S2'!L:L, 1)</f>
        <v>4</v>
      </c>
      <c r="V39" s="2">
        <f>COUNTIFS('OB History S2'!$B:$B,$A$39,'OB History S2'!M:M, 1)</f>
        <v>1</v>
      </c>
      <c r="W39" s="2">
        <f>COUNTIFS('OB History S2'!$B:$B,$A$39,'OB History S2'!N:N, 1)</f>
        <v>2</v>
      </c>
      <c r="X39" s="2">
        <f>COUNTIFS('OB History S2'!$B:$B,$A$39,'OB History S2'!O:O, 1)</f>
        <v>2</v>
      </c>
      <c r="Y39" s="2">
        <f>COUNTIFS('OB History S2'!$B:$B,$A$39,'OB History S2'!P:P, 1)</f>
        <v>3</v>
      </c>
      <c r="Z39" s="2">
        <f>COUNTIFS('OB History S2'!$B:$B,$A$39,'OB History S2'!Q:Q, 1)</f>
        <v>1</v>
      </c>
      <c r="AA39" s="2">
        <f>COUNTIFS('OB History S2'!$B:$B,$A$39,'OB History S2'!R:R, 1)</f>
        <v>1</v>
      </c>
      <c r="AB39" s="2">
        <f>COUNTIFS('OB History S2'!$B:$B,$A$39,'OB History S2'!S:S, 1)</f>
        <v>0</v>
      </c>
      <c r="AC39" s="2">
        <f>COUNTIFS('OB History S2'!$B:$B,$A$39,'OB History S2'!T:T, 1)</f>
        <v>0</v>
      </c>
      <c r="AD39" s="2">
        <f>COUNTIFS('OB History S2'!$B:$B,$A$39,'OB History S2'!U:U, 1)</f>
        <v>0</v>
      </c>
      <c r="AE39" s="2">
        <f>COUNTIFS('OB History S2'!$B:$B,$A$39,'OB History S2'!V:V, 1)</f>
        <v>0</v>
      </c>
      <c r="AF39" s="2">
        <f>COUNTIFS('OB History S2'!$B:$B,$A$39,'OB History S2'!W:W, 1)</f>
        <v>2</v>
      </c>
      <c r="AG39" s="2">
        <f>COUNTIFS('OB History S2'!$B:$B,$A$39,'OB History S2'!X:X, 1)</f>
        <v>3</v>
      </c>
      <c r="AH39" s="2">
        <f>COUNTIFS('OB History S2'!$B:$B,$A$39,'OB History S2'!Y:Y, 1)</f>
        <v>2</v>
      </c>
      <c r="AI39" s="2">
        <f>COUNTIFS('OB History S2'!$B:$B,$A$39,'OB History S2'!Z:Z, 1)</f>
        <v>2</v>
      </c>
    </row>
    <row r="40" spans="1:35" x14ac:dyDescent="0.25">
      <c r="A40" s="2" t="s">
        <v>38</v>
      </c>
      <c r="B40" s="6" t="s">
        <v>79</v>
      </c>
      <c r="C40" s="6" t="s">
        <v>79</v>
      </c>
      <c r="D40" s="3">
        <v>1</v>
      </c>
      <c r="E40" s="6"/>
      <c r="F40" s="6"/>
      <c r="G40" s="6"/>
      <c r="H40" s="34">
        <f>SUMIFS('OB History S2'!C:C,'OB History S2'!B:B,A40)</f>
        <v>116</v>
      </c>
      <c r="I40" s="4">
        <f>AVERAGEIFS('OB History S2'!C:C,'OB History S2'!B:B,A40)</f>
        <v>9.6666666666666661</v>
      </c>
      <c r="J40" s="35">
        <f t="array" ref="J40">MAX(IF('OB History S2'!B:B=A40, 'OB History S2'!C:C))</f>
        <v>28</v>
      </c>
      <c r="K40" s="34">
        <f>COUNTIFS('OB History S2'!B:B,A40,'OB History S2'!D:D, 1)</f>
        <v>6</v>
      </c>
      <c r="L40" s="2">
        <f>COUNTIFS('OB History S2'!B:B,A40,'OB History S2'!D:D, 0)</f>
        <v>6</v>
      </c>
      <c r="M40" s="88">
        <f>LOOKUP(2, 1/('OB History S2'!$B:$B=A40), 'OB History S2'!$AD:$AD)</f>
        <v>0.5</v>
      </c>
      <c r="N40" s="34">
        <f>SUMIFS('OB History S2'!F:F,'OB History S2'!B:B,A40)</f>
        <v>24</v>
      </c>
      <c r="O40" s="2">
        <f>SUMIFS('OB History S2'!E:E,'OB History S2'!B:B,A40)-N40</f>
        <v>25</v>
      </c>
      <c r="P40" s="88">
        <f>LOOKUP(2, 1/('OB History S2'!$B:$B=A40), 'OB History S2'!$AB:$AB)</f>
        <v>0.45833333333333331</v>
      </c>
      <c r="Q40" s="34">
        <f>SUMIFS('OB History S2'!H:H,'OB History S2'!B:B,A40)</f>
        <v>100</v>
      </c>
      <c r="R40" s="2">
        <f>SUMIFS('OB History S2'!G:G,'OB History S2'!B:B,A40)-Q40</f>
        <v>102</v>
      </c>
      <c r="S40" s="88">
        <f>LOOKUP(2, 1/('OB History S2'!$B:$B=A40), 'OB History S2'!$AC:$AC)</f>
        <v>0.48416666666666658</v>
      </c>
      <c r="T40" s="2">
        <f>COUNTIFS('OB History S2'!$B:$B,$A$40,'OB History S2'!K:K, 1)</f>
        <v>1</v>
      </c>
      <c r="U40" s="2">
        <f>COUNTIFS('OB History S2'!$B:$B,$A$40,'OB History S2'!L:L, 1)</f>
        <v>0</v>
      </c>
      <c r="V40" s="2">
        <f>COUNTIFS('OB History S2'!$B:$B,$A$40,'OB History S2'!M:M, 1)</f>
        <v>1</v>
      </c>
      <c r="W40" s="2">
        <f>COUNTIFS('OB History S2'!$B:$B,$A$40,'OB History S2'!N:N, 1)</f>
        <v>4</v>
      </c>
      <c r="X40" s="2">
        <f>COUNTIFS('OB History S2'!$B:$B,$A$40,'OB History S2'!O:O, 1)</f>
        <v>0</v>
      </c>
      <c r="Y40" s="2">
        <f>COUNTIFS('OB History S2'!$B:$B,$A$40,'OB History S2'!P:P, 1)</f>
        <v>2</v>
      </c>
      <c r="Z40" s="2">
        <f>COUNTIFS('OB History S2'!$B:$B,$A$40,'OB History S2'!Q:Q, 1)</f>
        <v>2</v>
      </c>
      <c r="AA40" s="2">
        <f>COUNTIFS('OB History S2'!$B:$B,$A$40,'OB History S2'!R:R, 1)</f>
        <v>2</v>
      </c>
      <c r="AB40" s="2">
        <f>COUNTIFS('OB History S2'!$B:$B,$A$40,'OB History S2'!S:S, 1)</f>
        <v>0</v>
      </c>
      <c r="AC40" s="2">
        <f>COUNTIFS('OB History S2'!$B:$B,$A$40,'OB History S2'!T:T, 1)</f>
        <v>0</v>
      </c>
      <c r="AD40" s="2">
        <f>COUNTIFS('OB History S2'!$B:$B,$A$40,'OB History S2'!U:U, 1)</f>
        <v>0</v>
      </c>
      <c r="AE40" s="2">
        <f>COUNTIFS('OB History S2'!$B:$B,$A$40,'OB History S2'!V:V, 1)</f>
        <v>0</v>
      </c>
      <c r="AF40" s="2">
        <f>COUNTIFS('OB History S2'!$B:$B,$A$40,'OB History S2'!W:W, 1)</f>
        <v>1</v>
      </c>
      <c r="AG40" s="2">
        <f>COUNTIFS('OB History S2'!$B:$B,$A$40,'OB History S2'!X:X, 1)</f>
        <v>4</v>
      </c>
      <c r="AH40" s="2">
        <f>COUNTIFS('OB History S2'!$B:$B,$A$40,'OB History S2'!Y:Y, 1)</f>
        <v>3</v>
      </c>
      <c r="AI40" s="2">
        <f>COUNTIFS('OB History S2'!$B:$B,$A$40,'OB History S2'!Z:Z, 1)</f>
        <v>4</v>
      </c>
    </row>
    <row r="41" spans="1:35" x14ac:dyDescent="0.25">
      <c r="A41" s="2" t="s">
        <v>141</v>
      </c>
      <c r="B41" s="2" t="s">
        <v>79</v>
      </c>
      <c r="C41" s="2" t="s">
        <v>79</v>
      </c>
      <c r="D41" s="3">
        <v>1</v>
      </c>
      <c r="E41" s="2"/>
      <c r="F41" s="2"/>
      <c r="G41" s="2"/>
      <c r="H41" s="34">
        <f>SUMIFS('OB History S2'!C:C,'OB History S2'!B:B,A41)</f>
        <v>259</v>
      </c>
      <c r="I41" s="4">
        <f>AVERAGEIFS('OB History S2'!C:C,'OB History S2'!B:B,A41)</f>
        <v>16.1875</v>
      </c>
      <c r="J41" s="35">
        <f t="array" ref="J41">MAX(IF('OB History S2'!B:B=A41, 'OB History S2'!C:C))</f>
        <v>33</v>
      </c>
      <c r="K41" s="34">
        <f>COUNTIFS('OB History S2'!B:B,A41,'OB History S2'!D:D, 1)</f>
        <v>6</v>
      </c>
      <c r="L41" s="2">
        <f>COUNTIFS('OB History S2'!B:B,A41,'OB History S2'!D:D, 0)</f>
        <v>10</v>
      </c>
      <c r="M41" s="88">
        <f>LOOKUP(2, 1/('OB History S2'!$B:$B=A41), 'OB History S2'!$AD:$AD)</f>
        <v>0.375</v>
      </c>
      <c r="N41" s="34">
        <f>SUMIFS('OB History S2'!F:F,'OB History S2'!B:B,A41)</f>
        <v>28</v>
      </c>
      <c r="O41" s="2">
        <f>SUMIFS('OB History S2'!E:E,'OB History S2'!B:B,A41)-N41</f>
        <v>36</v>
      </c>
      <c r="P41" s="88">
        <f>LOOKUP(2, 1/('OB History S2'!$B:$B=A41), 'OB History S2'!$AB:$AB)</f>
        <v>0.44062499999999999</v>
      </c>
      <c r="Q41" s="34">
        <f>SUMIFS('OB History S2'!H:H,'OB History S2'!B:B,A41)</f>
        <v>129</v>
      </c>
      <c r="R41" s="2">
        <f>SUMIFS('OB History S2'!G:G,'OB History S2'!B:B,A41)-Q41</f>
        <v>138</v>
      </c>
      <c r="S41" s="88">
        <f>LOOKUP(2, 1/('OB History S2'!$B:$B=A41), 'OB History S2'!$AC:$AC)</f>
        <v>0.48500000000000004</v>
      </c>
      <c r="T41" s="2">
        <f>COUNTIFS('OB History S2'!$B:$B,$A$41,'OB History S2'!K:K, 1)</f>
        <v>3</v>
      </c>
      <c r="U41" s="2">
        <f>COUNTIFS('OB History S2'!$B:$B,$A$41,'OB History S2'!L:L, 1)</f>
        <v>3</v>
      </c>
      <c r="V41" s="2">
        <f>COUNTIFS('OB History S2'!$B:$B,$A$41,'OB History S2'!M:M, 1)</f>
        <v>0</v>
      </c>
      <c r="W41" s="2">
        <f>COUNTIFS('OB History S2'!$B:$B,$A$41,'OB History S2'!N:N, 1)</f>
        <v>4</v>
      </c>
      <c r="X41" s="2">
        <f>COUNTIFS('OB History S2'!$B:$B,$A$41,'OB History S2'!O:O, 1)</f>
        <v>2</v>
      </c>
      <c r="Y41" s="2">
        <f>COUNTIFS('OB History S2'!$B:$B,$A$41,'OB History S2'!P:P, 1)</f>
        <v>1</v>
      </c>
      <c r="Z41" s="2">
        <f>COUNTIFS('OB History S2'!$B:$B,$A$41,'OB History S2'!Q:Q, 1)</f>
        <v>2</v>
      </c>
      <c r="AA41" s="2">
        <f>COUNTIFS('OB History S2'!$B:$B,$A$41,'OB History S2'!R:R, 1)</f>
        <v>1</v>
      </c>
      <c r="AB41" s="2">
        <f>COUNTIFS('OB History S2'!$B:$B,$A$41,'OB History S2'!S:S, 1)</f>
        <v>0</v>
      </c>
      <c r="AC41" s="2">
        <f>COUNTIFS('OB History S2'!$B:$B,$A$41,'OB History S2'!T:T, 1)</f>
        <v>1</v>
      </c>
      <c r="AD41" s="2">
        <f>COUNTIFS('OB History S2'!$B:$B,$A$41,'OB History S2'!U:U, 1)</f>
        <v>0</v>
      </c>
      <c r="AE41" s="2">
        <f>COUNTIFS('OB History S2'!$B:$B,$A$41,'OB History S2'!V:V, 1)</f>
        <v>0</v>
      </c>
      <c r="AF41" s="2">
        <f>COUNTIFS('OB History S2'!$B:$B,$A$41,'OB History S2'!W:W, 1)</f>
        <v>2</v>
      </c>
      <c r="AG41" s="2">
        <f>COUNTIFS('OB History S2'!$B:$B,$A$41,'OB History S2'!X:X, 1)</f>
        <v>3</v>
      </c>
      <c r="AH41" s="2">
        <f>COUNTIFS('OB History S2'!$B:$B,$A$41,'OB History S2'!Y:Y, 1)</f>
        <v>3</v>
      </c>
      <c r="AI41" s="2">
        <f>COUNTIFS('OB History S2'!$B:$B,$A$41,'OB History S2'!Z:Z, 1)</f>
        <v>3</v>
      </c>
    </row>
    <row r="42" spans="1:35" x14ac:dyDescent="0.25">
      <c r="A42" s="2" t="s">
        <v>40</v>
      </c>
      <c r="B42" s="2" t="s">
        <v>79</v>
      </c>
      <c r="C42" s="2" t="s">
        <v>79</v>
      </c>
      <c r="D42" s="3">
        <v>1</v>
      </c>
      <c r="E42" s="2"/>
      <c r="F42" s="2"/>
      <c r="G42" s="2"/>
      <c r="H42" s="34">
        <f>SUMIFS('OB History S2'!C:C,'OB History S2'!B:B,A42)</f>
        <v>277</v>
      </c>
      <c r="I42" s="4">
        <f>AVERAGEIFS('OB History S2'!C:C,'OB History S2'!B:B,A42)</f>
        <v>19.785714285714285</v>
      </c>
      <c r="J42" s="35">
        <f t="array" ref="J42">MAX(IF('OB History S2'!B:B=A42, 'OB History S2'!C:C))</f>
        <v>40</v>
      </c>
      <c r="K42" s="34">
        <f>COUNTIFS('OB History S2'!B:B,A42,'OB History S2'!D:D, 1)</f>
        <v>8</v>
      </c>
      <c r="L42" s="2">
        <f>COUNTIFS('OB History S2'!B:B,A42,'OB History S2'!D:D, 0)</f>
        <v>6</v>
      </c>
      <c r="M42" s="88">
        <f>LOOKUP(2, 1/('OB History S2'!$B:$B=A42), 'OB History S2'!$AD:$AD)</f>
        <v>0.5714285714285714</v>
      </c>
      <c r="N42" s="34">
        <f>SUMIFS('OB History S2'!F:F,'OB History S2'!B:B,A42)</f>
        <v>33</v>
      </c>
      <c r="O42" s="2">
        <f>SUMIFS('OB History S2'!E:E,'OB History S2'!B:B,A42)-N42</f>
        <v>26</v>
      </c>
      <c r="P42" s="88">
        <f>LOOKUP(2, 1/('OB History S2'!$B:$B=A42), 'OB History S2'!$AB:$AB)</f>
        <v>0.58214285714285707</v>
      </c>
      <c r="Q42" s="34">
        <f>SUMIFS('OB History S2'!H:H,'OB History S2'!B:B,A42)</f>
        <v>123</v>
      </c>
      <c r="R42" s="2">
        <f>SUMIFS('OB History S2'!G:G,'OB History S2'!B:B,A42)-Q42</f>
        <v>120</v>
      </c>
      <c r="S42" s="88">
        <f>LOOKUP(2, 1/('OB History S2'!$B:$B=A42), 'OB History S2'!$AC:$AC)</f>
        <v>0.50928571428571423</v>
      </c>
      <c r="T42" s="2">
        <f>COUNTIFS('OB History S2'!$B:$B,$A$42,'OB History S2'!K:K, 1)</f>
        <v>3</v>
      </c>
      <c r="U42" s="2">
        <f>COUNTIFS('OB History S2'!$B:$B,$A$42,'OB History S2'!L:L, 1)</f>
        <v>2</v>
      </c>
      <c r="V42" s="2">
        <f>COUNTIFS('OB History S2'!$B:$B,$A$42,'OB History S2'!M:M, 1)</f>
        <v>4</v>
      </c>
      <c r="W42" s="2">
        <f>COUNTIFS('OB History S2'!$B:$B,$A$42,'OB History S2'!N:N, 1)</f>
        <v>3</v>
      </c>
      <c r="X42" s="2">
        <f>COUNTIFS('OB History S2'!$B:$B,$A$42,'OB History S2'!O:O, 1)</f>
        <v>2</v>
      </c>
      <c r="Y42" s="2">
        <f>COUNTIFS('OB History S2'!$B:$B,$A$42,'OB History S2'!P:P, 1)</f>
        <v>2</v>
      </c>
      <c r="Z42" s="2">
        <f>COUNTIFS('OB History S2'!$B:$B,$A$42,'OB History S2'!Q:Q, 1)</f>
        <v>2</v>
      </c>
      <c r="AA42" s="2">
        <f>COUNTIFS('OB History S2'!$B:$B,$A$42,'OB History S2'!R:R, 1)</f>
        <v>0</v>
      </c>
      <c r="AB42" s="2">
        <f>COUNTIFS('OB History S2'!$B:$B,$A$42,'OB History S2'!S:S, 1)</f>
        <v>1</v>
      </c>
      <c r="AC42" s="2">
        <f>COUNTIFS('OB History S2'!$B:$B,$A$42,'OB History S2'!T:T, 1)</f>
        <v>0</v>
      </c>
      <c r="AD42" s="2">
        <f>COUNTIFS('OB History S2'!$B:$B,$A$42,'OB History S2'!U:U, 1)</f>
        <v>0</v>
      </c>
      <c r="AE42" s="2">
        <f>COUNTIFS('OB History S2'!$B:$B,$A$42,'OB History S2'!V:V, 1)</f>
        <v>0</v>
      </c>
      <c r="AF42" s="2">
        <f>COUNTIFS('OB History S2'!$B:$B,$A$42,'OB History S2'!W:W, 1)</f>
        <v>1</v>
      </c>
      <c r="AG42" s="2">
        <f>COUNTIFS('OB History S2'!$B:$B,$A$42,'OB History S2'!X:X, 1)</f>
        <v>5</v>
      </c>
      <c r="AH42" s="2">
        <f>COUNTIFS('OB History S2'!$B:$B,$A$42,'OB History S2'!Y:Y, 1)</f>
        <v>4</v>
      </c>
      <c r="AI42" s="2">
        <f>COUNTIFS('OB History S2'!$B:$B,$A$42,'OB History S2'!Z:Z, 1)</f>
        <v>4</v>
      </c>
    </row>
    <row r="43" spans="1:35" x14ac:dyDescent="0.25">
      <c r="A43" s="2" t="s">
        <v>147</v>
      </c>
      <c r="B43" s="2" t="s">
        <v>79</v>
      </c>
      <c r="C43" s="2" t="s">
        <v>79</v>
      </c>
      <c r="D43" s="3"/>
      <c r="E43" s="2"/>
      <c r="F43" s="2"/>
      <c r="G43" s="2"/>
      <c r="H43" s="34">
        <f>SUMIFS('OB History S2'!C:C,'OB History S2'!B:B,A43)</f>
        <v>156</v>
      </c>
      <c r="I43" s="4">
        <f>AVERAGEIFS('OB History S2'!C:C,'OB History S2'!B:B,A43)</f>
        <v>17.333333333333332</v>
      </c>
      <c r="J43" s="35">
        <f t="array" ref="J43">MAX(IF('OB History S2'!B:B=A43, 'OB History S2'!C:C))</f>
        <v>35</v>
      </c>
      <c r="K43" s="34">
        <f>COUNTIFS('OB History S2'!B:B,A43,'OB History S2'!D:D, 1)</f>
        <v>4</v>
      </c>
      <c r="L43" s="2">
        <f>COUNTIFS('OB History S2'!B:B,A43,'OB History S2'!D:D, 0)</f>
        <v>5</v>
      </c>
      <c r="M43" s="88">
        <f>LOOKUP(2, 1/('OB History S2'!$B:$B=A43), 'OB History S2'!$AD:$AD)</f>
        <v>0.44444444444444442</v>
      </c>
      <c r="N43" s="34">
        <f>SUMIFS('OB History S2'!F:F,'OB History S2'!B:B,A43)</f>
        <v>14</v>
      </c>
      <c r="O43" s="2">
        <f>SUMIFS('OB History S2'!E:E,'OB History S2'!B:B,A43)-N43</f>
        <v>19</v>
      </c>
      <c r="P43" s="88">
        <f>LOOKUP(2, 1/('OB History S2'!$B:$B=A43), 'OB History S2'!$AB:$AB)</f>
        <v>0.3888888888888889</v>
      </c>
      <c r="Q43" s="34">
        <f>SUMIFS('OB History S2'!H:H,'OB History S2'!B:B,A43)</f>
        <v>65</v>
      </c>
      <c r="R43" s="2">
        <f>SUMIFS('OB History S2'!G:G,'OB History S2'!B:B,A43)-Q43</f>
        <v>74</v>
      </c>
      <c r="S43" s="88">
        <f>LOOKUP(2, 1/('OB History S2'!$B:$B=A43), 'OB History S2'!$AC:$AC)</f>
        <v>0.44999999999999996</v>
      </c>
      <c r="T43" s="2">
        <f>COUNTIFS('OB History S2'!$B:$B,$A$43,'OB History S2'!K:K, 1)</f>
        <v>2</v>
      </c>
      <c r="U43" s="2">
        <f>COUNTIFS('OB History S2'!$B:$B,$A$43,'OB History S2'!L:L, 1)</f>
        <v>1</v>
      </c>
      <c r="V43" s="2">
        <f>COUNTIFS('OB History S2'!$B:$B,$A$43,'OB History S2'!M:M, 1)</f>
        <v>2</v>
      </c>
      <c r="W43" s="2">
        <f>COUNTIFS('OB History S2'!$B:$B,$A$43,'OB History S2'!N:N, 1)</f>
        <v>2</v>
      </c>
      <c r="X43" s="2">
        <f>COUNTIFS('OB History S2'!$B:$B,$A$43,'OB History S2'!O:O, 1)</f>
        <v>1</v>
      </c>
      <c r="Y43" s="2">
        <f>COUNTIFS('OB History S2'!$B:$B,$A$43,'OB History S2'!P:P, 1)</f>
        <v>1</v>
      </c>
      <c r="Z43" s="2">
        <f>COUNTIFS('OB History S2'!$B:$B,$A$43,'OB History S2'!Q:Q, 1)</f>
        <v>1</v>
      </c>
      <c r="AA43" s="2">
        <f>COUNTIFS('OB History S2'!$B:$B,$A$43,'OB History S2'!R:R, 1)</f>
        <v>0</v>
      </c>
      <c r="AB43" s="2">
        <f>COUNTIFS('OB History S2'!$B:$B,$A$43,'OB History S2'!S:S, 1)</f>
        <v>1</v>
      </c>
      <c r="AC43" s="2">
        <f>COUNTIFS('OB History S2'!$B:$B,$A$43,'OB History S2'!T:T, 1)</f>
        <v>0</v>
      </c>
      <c r="AD43" s="2">
        <f>COUNTIFS('OB History S2'!$B:$B,$A$43,'OB History S2'!U:U, 1)</f>
        <v>0</v>
      </c>
      <c r="AE43" s="2">
        <f>COUNTIFS('OB History S2'!$B:$B,$A$43,'OB History S2'!V:V, 1)</f>
        <v>0</v>
      </c>
      <c r="AF43" s="2">
        <f>COUNTIFS('OB History S2'!$B:$B,$A$43,'OB History S2'!W:W, 1)</f>
        <v>0</v>
      </c>
      <c r="AG43" s="2">
        <f>COUNTIFS('OB History S2'!$B:$B,$A$43,'OB History S2'!X:X, 1)</f>
        <v>1</v>
      </c>
      <c r="AH43" s="2">
        <f>COUNTIFS('OB History S2'!$B:$B,$A$43,'OB History S2'!Y:Y, 1)</f>
        <v>1</v>
      </c>
      <c r="AI43" s="2">
        <f>COUNTIFS('OB History S2'!$B:$B,$A$43,'OB History S2'!Z:Z, 1)</f>
        <v>1</v>
      </c>
    </row>
    <row r="44" spans="1:35" x14ac:dyDescent="0.25">
      <c r="A44" s="2" t="s">
        <v>17</v>
      </c>
      <c r="B44" s="2" t="s">
        <v>79</v>
      </c>
      <c r="C44" s="2" t="s">
        <v>79</v>
      </c>
      <c r="D44" s="3">
        <v>17</v>
      </c>
      <c r="E44" s="2">
        <v>3</v>
      </c>
      <c r="F44" s="2"/>
      <c r="G44" s="2"/>
      <c r="H44" s="34">
        <f>SUMIFS('OB History S2'!C:C,'OB History S2'!B:B,A44)</f>
        <v>717</v>
      </c>
      <c r="I44" s="4">
        <f>AVERAGEIFS('OB History S2'!C:C,'OB History S2'!B:B,A44)</f>
        <v>23.9</v>
      </c>
      <c r="J44" s="35">
        <f t="array" ref="J44">MAX(IF('OB History S2'!B:B=A44, 'OB History S2'!C:C))</f>
        <v>58</v>
      </c>
      <c r="K44" s="34">
        <f>COUNTIFS('OB History S2'!B:B,A44,'OB History S2'!D:D, 1)</f>
        <v>12</v>
      </c>
      <c r="L44" s="2">
        <f>COUNTIFS('OB History S2'!B:B,A44,'OB History S2'!D:D, 0)</f>
        <v>18</v>
      </c>
      <c r="M44" s="88">
        <f>LOOKUP(2, 1/('OB History S2'!$B:$B=A44), 'OB History S2'!$AD:$AD)</f>
        <v>0.4</v>
      </c>
      <c r="N44" s="34">
        <f>SUMIFS('OB History S2'!F:F,'OB History S2'!B:B,A44)</f>
        <v>50</v>
      </c>
      <c r="O44" s="2">
        <f>SUMIFS('OB History S2'!E:E,'OB History S2'!B:B,A44)-N44</f>
        <v>68</v>
      </c>
      <c r="P44" s="88">
        <f>LOOKUP(2, 1/('OB History S2'!$B:$B=A44), 'OB History S2'!$AB:$AB)</f>
        <v>0.40666666666666668</v>
      </c>
      <c r="Q44" s="34">
        <f>SUMIFS('OB History S2'!H:H,'OB History S2'!B:B,A44)</f>
        <v>230</v>
      </c>
      <c r="R44" s="2">
        <f>SUMIFS('OB History S2'!G:G,'OB History S2'!B:B,A44)-Q44</f>
        <v>255</v>
      </c>
      <c r="S44" s="88">
        <f>LOOKUP(2, 1/('OB History S2'!$B:$B=A44), 'OB History S2'!$AC:$AC)</f>
        <v>0.46933333333333321</v>
      </c>
      <c r="T44" s="2">
        <f>COUNTIFS('OB History S2'!$B:$B,$A$44,'OB History S2'!K:K, 1)</f>
        <v>1</v>
      </c>
      <c r="U44" s="2">
        <f>COUNTIFS('OB History S2'!$B:$B,$A$44,'OB History S2'!L:L, 1)</f>
        <v>7</v>
      </c>
      <c r="V44" s="2">
        <f>COUNTIFS('OB History S2'!$B:$B,$A$44,'OB History S2'!M:M, 1)</f>
        <v>1</v>
      </c>
      <c r="W44" s="2">
        <f>COUNTIFS('OB History S2'!$B:$B,$A$44,'OB History S2'!N:N, 1)</f>
        <v>3</v>
      </c>
      <c r="X44" s="2">
        <f>COUNTIFS('OB History S2'!$B:$B,$A$44,'OB History S2'!O:O, 1)</f>
        <v>1</v>
      </c>
      <c r="Y44" s="2">
        <f>COUNTIFS('OB History S2'!$B:$B,$A$44,'OB History S2'!P:P, 1)</f>
        <v>1</v>
      </c>
      <c r="Z44" s="2">
        <f>COUNTIFS('OB History S2'!$B:$B,$A$44,'OB History S2'!Q:Q, 1)</f>
        <v>3</v>
      </c>
      <c r="AA44" s="2">
        <f>COUNTIFS('OB History S2'!$B:$B,$A$44,'OB History S2'!R:R, 1)</f>
        <v>6</v>
      </c>
      <c r="AB44" s="2">
        <f>COUNTIFS('OB History S2'!$B:$B,$A$44,'OB History S2'!S:S, 1)</f>
        <v>0</v>
      </c>
      <c r="AC44" s="2">
        <f>COUNTIFS('OB History S2'!$B:$B,$A$44,'OB History S2'!T:T, 1)</f>
        <v>2</v>
      </c>
      <c r="AD44" s="2">
        <f>COUNTIFS('OB History S2'!$B:$B,$A$44,'OB History S2'!U:U, 1)</f>
        <v>0</v>
      </c>
      <c r="AE44" s="2">
        <f>COUNTIFS('OB History S2'!$B:$B,$A$44,'OB History S2'!V:V, 1)</f>
        <v>1</v>
      </c>
      <c r="AF44" s="2">
        <f>COUNTIFS('OB History S2'!$B:$B,$A$44,'OB History S2'!W:W, 1)</f>
        <v>1</v>
      </c>
      <c r="AG44" s="2">
        <f>COUNTIFS('OB History S2'!$B:$B,$A$44,'OB History S2'!X:X, 1)</f>
        <v>13</v>
      </c>
      <c r="AH44" s="2">
        <f>COUNTIFS('OB History S2'!$B:$B,$A$44,'OB History S2'!Y:Y, 1)</f>
        <v>3</v>
      </c>
      <c r="AI44" s="2">
        <f>COUNTIFS('OB History S2'!$B:$B,$A$44,'OB History S2'!Z:Z, 1)</f>
        <v>7</v>
      </c>
    </row>
    <row r="45" spans="1:35" x14ac:dyDescent="0.25">
      <c r="A45" s="2" t="s">
        <v>155</v>
      </c>
      <c r="B45" s="2" t="s">
        <v>60</v>
      </c>
      <c r="C45" s="2" t="s">
        <v>79</v>
      </c>
      <c r="D45" s="3">
        <v>8</v>
      </c>
      <c r="E45" s="3">
        <v>1</v>
      </c>
      <c r="F45" s="3"/>
      <c r="G45" s="3"/>
      <c r="H45" s="34">
        <f>SUMIFS('OB History S2'!C:C,'OB History S2'!B:B,A45)</f>
        <v>601</v>
      </c>
      <c r="I45" s="4">
        <f>AVERAGEIFS('OB History S2'!C:C,'OB History S2'!B:B,A45)</f>
        <v>18.78125</v>
      </c>
      <c r="J45" s="35">
        <f t="array" ref="J45">MAX(IF('OB History S2'!B:B=A45, 'OB History S2'!C:C))</f>
        <v>43</v>
      </c>
      <c r="K45" s="34">
        <f>COUNTIFS('OB History S2'!B:B,A45,'OB History S2'!D:D, 1)</f>
        <v>12</v>
      </c>
      <c r="L45" s="2">
        <f>COUNTIFS('OB History S2'!B:B,A45,'OB History S2'!D:D, 0)</f>
        <v>20</v>
      </c>
      <c r="M45" s="88">
        <f>LOOKUP(2, 1/('OB History S2'!$B:$B=A45), 'OB History S2'!$AD:$AD)</f>
        <v>0.375</v>
      </c>
      <c r="N45" s="34">
        <f>SUMIFS('OB History S2'!F:F,'OB History S2'!B:B,A45)</f>
        <v>56</v>
      </c>
      <c r="O45" s="2">
        <f>SUMIFS('OB History S2'!E:E,'OB History S2'!B:B,A45)-N45</f>
        <v>77</v>
      </c>
      <c r="P45" s="88">
        <f>LOOKUP(2, 1/('OB History S2'!$B:$B=A45), 'OB History S2'!$AB:$AB)</f>
        <v>0.39999999999999997</v>
      </c>
      <c r="Q45" s="34">
        <f>SUMIFS('OB History S2'!H:H,'OB History S2'!B:B,A45)</f>
        <v>261</v>
      </c>
      <c r="R45" s="2">
        <f>SUMIFS('OB History S2'!G:G,'OB History S2'!B:B,A45)-Q45</f>
        <v>286</v>
      </c>
      <c r="S45" s="88">
        <f>LOOKUP(2, 1/('OB History S2'!$B:$B=A45), 'OB History S2'!$AC:$AC)</f>
        <v>0.46562500000000012</v>
      </c>
      <c r="T45" s="2">
        <f>COUNTIFS('OB History S2'!$B:$B,$A$45,'OB History S2'!K:K, 1)</f>
        <v>3</v>
      </c>
      <c r="U45" s="2">
        <f>COUNTIFS('OB History S2'!$B:$B,$A$45,'OB History S2'!L:L, 1)</f>
        <v>3</v>
      </c>
      <c r="V45" s="2">
        <f>COUNTIFS('OB History S2'!$B:$B,$A$45,'OB History S2'!M:M, 1)</f>
        <v>3</v>
      </c>
      <c r="W45" s="2">
        <f>COUNTIFS('OB History S2'!$B:$B,$A$45,'OB History S2'!N:N, 1)</f>
        <v>9</v>
      </c>
      <c r="X45" s="2">
        <f>COUNTIFS('OB History S2'!$B:$B,$A$45,'OB History S2'!O:O, 1)</f>
        <v>4</v>
      </c>
      <c r="Y45" s="2">
        <f>COUNTIFS('OB History S2'!$B:$B,$A$45,'OB History S2'!P:P, 1)</f>
        <v>5</v>
      </c>
      <c r="Z45" s="2">
        <f>COUNTIFS('OB History S2'!$B:$B,$A$45,'OB History S2'!Q:Q, 1)</f>
        <v>1</v>
      </c>
      <c r="AA45" s="2">
        <f>COUNTIFS('OB History S2'!$B:$B,$A$45,'OB History S2'!R:R, 1)</f>
        <v>2</v>
      </c>
      <c r="AB45" s="2">
        <f>COUNTIFS('OB History S2'!$B:$B,$A$45,'OB History S2'!S:S, 1)</f>
        <v>1</v>
      </c>
      <c r="AC45" s="2">
        <f>COUNTIFS('OB History S2'!$B:$B,$A$45,'OB History S2'!T:T, 1)</f>
        <v>3</v>
      </c>
      <c r="AD45" s="2">
        <f>COUNTIFS('OB History S2'!$B:$B,$A$45,'OB History S2'!U:U, 1)</f>
        <v>0</v>
      </c>
      <c r="AE45" s="2">
        <f>COUNTIFS('OB History S2'!$B:$B,$A$45,'OB History S2'!V:V, 1)</f>
        <v>1</v>
      </c>
      <c r="AF45" s="2">
        <f>COUNTIFS('OB History S2'!$B:$B,$A$45,'OB History S2'!W:W, 1)</f>
        <v>5</v>
      </c>
      <c r="AG45" s="2">
        <f>COUNTIFS('OB History S2'!$B:$B,$A$45,'OB History S2'!X:X, 1)</f>
        <v>7</v>
      </c>
      <c r="AH45" s="2">
        <f>COUNTIFS('OB History S2'!$B:$B,$A$45,'OB History S2'!Y:Y, 1)</f>
        <v>5</v>
      </c>
      <c r="AI45" s="2">
        <f>COUNTIFS('OB History S2'!$B:$B,$A$45,'OB History S2'!Z:Z, 1)</f>
        <v>4</v>
      </c>
    </row>
    <row r="46" spans="1:35" x14ac:dyDescent="0.25">
      <c r="A46" s="2" t="s">
        <v>6</v>
      </c>
      <c r="B46" s="2" t="s">
        <v>60</v>
      </c>
      <c r="C46" s="2" t="s">
        <v>79</v>
      </c>
      <c r="D46" s="3">
        <v>1</v>
      </c>
      <c r="E46" s="2">
        <v>1</v>
      </c>
      <c r="F46" s="2"/>
      <c r="G46" s="2"/>
      <c r="H46" s="34">
        <f>SUMIFS('OB History S2'!C:C,'OB History S2'!B:B,A46)</f>
        <v>382</v>
      </c>
      <c r="I46" s="4">
        <f>AVERAGEIFS('OB History S2'!C:C,'OB History S2'!B:B,A46)</f>
        <v>25.466666666666665</v>
      </c>
      <c r="J46" s="35">
        <f t="array" ref="J46">MAX(IF('OB History S2'!B:B=A46, 'OB History S2'!C:C))</f>
        <v>66</v>
      </c>
      <c r="K46" s="34">
        <f>COUNTIFS('OB History S2'!B:B,A46,'OB History S2'!D:D, 1)</f>
        <v>9</v>
      </c>
      <c r="L46" s="2">
        <f>COUNTIFS('OB History S2'!B:B,A46,'OB History S2'!D:D, 0)</f>
        <v>6</v>
      </c>
      <c r="M46" s="88">
        <f>LOOKUP(2, 1/('OB History S2'!$B:$B=A46), 'OB History S2'!$AD:$AD)</f>
        <v>0.6</v>
      </c>
      <c r="N46" s="34">
        <f>SUMIFS('OB History S2'!F:F,'OB History S2'!B:B,A46)</f>
        <v>35</v>
      </c>
      <c r="O46" s="2">
        <f>SUMIFS('OB History S2'!E:E,'OB History S2'!B:B,A46)-N46</f>
        <v>25</v>
      </c>
      <c r="P46" s="88">
        <f>LOOKUP(2, 1/('OB History S2'!$B:$B=A46), 'OB History S2'!$AB:$AB)</f>
        <v>0.60999999999999988</v>
      </c>
      <c r="Q46" s="34">
        <f>SUMIFS('OB History S2'!H:H,'OB History S2'!B:B,A46)</f>
        <v>140</v>
      </c>
      <c r="R46" s="2">
        <f>SUMIFS('OB History S2'!G:G,'OB History S2'!B:B,A46)-Q46</f>
        <v>111</v>
      </c>
      <c r="S46" s="88">
        <f>LOOKUP(2, 1/('OB History S2'!$B:$B=A46), 'OB History S2'!$AC:$AC)</f>
        <v>0.56866666666666665</v>
      </c>
      <c r="T46" s="2">
        <f>COUNTIFS('OB History S2'!$B:$B,$A$46,'OB History S2'!K:K, 1)</f>
        <v>2</v>
      </c>
      <c r="U46" s="2">
        <f>COUNTIFS('OB History S2'!$B:$B,$A$46,'OB History S2'!L:L, 1)</f>
        <v>3</v>
      </c>
      <c r="V46" s="2">
        <f>COUNTIFS('OB History S2'!$B:$B,$A$46,'OB History S2'!M:M, 1)</f>
        <v>5</v>
      </c>
      <c r="W46" s="2">
        <f>COUNTIFS('OB History S2'!$B:$B,$A$46,'OB History S2'!N:N, 1)</f>
        <v>4</v>
      </c>
      <c r="X46" s="2">
        <f>COUNTIFS('OB History S2'!$B:$B,$A$46,'OB History S2'!O:O, 1)</f>
        <v>2</v>
      </c>
      <c r="Y46" s="2">
        <f>COUNTIFS('OB History S2'!$B:$B,$A$46,'OB History S2'!P:P, 1)</f>
        <v>2</v>
      </c>
      <c r="Z46" s="2">
        <f>COUNTIFS('OB History S2'!$B:$B,$A$46,'OB History S2'!Q:Q, 1)</f>
        <v>3</v>
      </c>
      <c r="AA46" s="2">
        <f>COUNTIFS('OB History S2'!$B:$B,$A$46,'OB History S2'!R:R, 1)</f>
        <v>0</v>
      </c>
      <c r="AB46" s="2">
        <f>COUNTIFS('OB History S2'!$B:$B,$A$46,'OB History S2'!S:S, 1)</f>
        <v>1</v>
      </c>
      <c r="AC46" s="2">
        <f>COUNTIFS('OB History S2'!$B:$B,$A$46,'OB History S2'!T:T, 1)</f>
        <v>2</v>
      </c>
      <c r="AD46" s="2">
        <f>COUNTIFS('OB History S2'!$B:$B,$A$46,'OB History S2'!U:U, 1)</f>
        <v>0</v>
      </c>
      <c r="AE46" s="2">
        <f>COUNTIFS('OB History S2'!$B:$B,$A$46,'OB History S2'!V:V, 1)</f>
        <v>0</v>
      </c>
      <c r="AF46" s="2">
        <f>COUNTIFS('OB History S2'!$B:$B,$A$46,'OB History S2'!W:W, 1)</f>
        <v>1</v>
      </c>
      <c r="AG46" s="2">
        <f>COUNTIFS('OB History S2'!$B:$B,$A$46,'OB History S2'!X:X, 1)</f>
        <v>3</v>
      </c>
      <c r="AH46" s="2">
        <f>COUNTIFS('OB History S2'!$B:$B,$A$46,'OB History S2'!Y:Y, 1)</f>
        <v>4</v>
      </c>
      <c r="AI46" s="2">
        <f>COUNTIFS('OB History S2'!$B:$B,$A$46,'OB History S2'!Z:Z, 1)</f>
        <v>3</v>
      </c>
    </row>
    <row r="47" spans="1:35" x14ac:dyDescent="0.25">
      <c r="A47" s="2" t="s">
        <v>18</v>
      </c>
      <c r="B47" s="2" t="s">
        <v>60</v>
      </c>
      <c r="C47" s="2" t="s">
        <v>79</v>
      </c>
      <c r="D47" s="3">
        <v>6</v>
      </c>
      <c r="E47" s="2">
        <v>4</v>
      </c>
      <c r="F47" s="2"/>
      <c r="G47" s="2">
        <v>1</v>
      </c>
      <c r="H47" s="34">
        <f>SUMIFS('OB History S2'!C:C,'OB History S2'!B:B,A47)</f>
        <v>554</v>
      </c>
      <c r="I47" s="4">
        <f>AVERAGEIFS('OB History S2'!C:C,'OB History S2'!B:B,A47)</f>
        <v>26.38095238095238</v>
      </c>
      <c r="J47" s="35">
        <f t="array" ref="J47">MAX(IF('OB History S2'!B:B=A47, 'OB History S2'!C:C))</f>
        <v>58</v>
      </c>
      <c r="K47" s="34">
        <f>COUNTIFS('OB History S2'!B:B,A47,'OB History S2'!D:D, 1)</f>
        <v>12</v>
      </c>
      <c r="L47" s="2">
        <f>COUNTIFS('OB History S2'!B:B,A47,'OB History S2'!D:D, 0)</f>
        <v>9</v>
      </c>
      <c r="M47" s="88">
        <f>LOOKUP(2, 1/('OB History S2'!$B:$B=A47), 'OB History S2'!$AD:$AD)</f>
        <v>0.5714285714285714</v>
      </c>
      <c r="N47" s="34">
        <f>SUMIFS('OB History S2'!F:F,'OB History S2'!B:B,A47)</f>
        <v>45</v>
      </c>
      <c r="O47" s="2">
        <f>SUMIFS('OB History S2'!E:E,'OB History S2'!B:B,A47)-N47</f>
        <v>40</v>
      </c>
      <c r="P47" s="88">
        <f>LOOKUP(2, 1/('OB History S2'!$B:$B=A47), 'OB History S2'!$AB:$AB)</f>
        <v>0.52380952380952384</v>
      </c>
      <c r="Q47" s="34">
        <f>SUMIFS('OB History S2'!H:H,'OB History S2'!B:B,A47)</f>
        <v>181</v>
      </c>
      <c r="R47" s="2">
        <f>SUMIFS('OB History S2'!G:G,'OB History S2'!B:B,A47)-Q47</f>
        <v>172</v>
      </c>
      <c r="S47" s="88">
        <f>LOOKUP(2, 1/('OB History S2'!$B:$B=A47), 'OB History S2'!$AC:$AC)</f>
        <v>0.51666666666666672</v>
      </c>
      <c r="T47" s="2">
        <f>COUNTIFS('OB History S2'!$B:$B,$A$47,'OB History S2'!K:K, 1)</f>
        <v>4</v>
      </c>
      <c r="U47" s="2">
        <f>COUNTIFS('OB History S2'!$B:$B,$A$47,'OB History S2'!L:L, 1)</f>
        <v>3</v>
      </c>
      <c r="V47" s="2">
        <f>COUNTIFS('OB History S2'!$B:$B,$A$47,'OB History S2'!M:M, 1)</f>
        <v>2</v>
      </c>
      <c r="W47" s="2">
        <f>COUNTIFS('OB History S2'!$B:$B,$A$47,'OB History S2'!N:N, 1)</f>
        <v>6</v>
      </c>
      <c r="X47" s="2">
        <f>COUNTIFS('OB History S2'!$B:$B,$A$47,'OB History S2'!O:O, 1)</f>
        <v>2</v>
      </c>
      <c r="Y47" s="2">
        <f>COUNTIFS('OB History S2'!$B:$B,$A$47,'OB History S2'!P:P, 1)</f>
        <v>4</v>
      </c>
      <c r="Z47" s="2">
        <f>COUNTIFS('OB History S2'!$B:$B,$A$47,'OB History S2'!Q:Q, 1)</f>
        <v>3</v>
      </c>
      <c r="AA47" s="2">
        <f>COUNTIFS('OB History S2'!$B:$B,$A$47,'OB History S2'!R:R, 1)</f>
        <v>2</v>
      </c>
      <c r="AB47" s="2">
        <f>COUNTIFS('OB History S2'!$B:$B,$A$47,'OB History S2'!S:S, 1)</f>
        <v>0</v>
      </c>
      <c r="AC47" s="2">
        <f>COUNTIFS('OB History S2'!$B:$B,$A$47,'OB History S2'!T:T, 1)</f>
        <v>0</v>
      </c>
      <c r="AD47" s="2">
        <f>COUNTIFS('OB History S2'!$B:$B,$A$47,'OB History S2'!U:U, 1)</f>
        <v>1</v>
      </c>
      <c r="AE47" s="2">
        <f>COUNTIFS('OB History S2'!$B:$B,$A$47,'OB History S2'!V:V, 1)</f>
        <v>0</v>
      </c>
      <c r="AF47" s="2">
        <f>COUNTIFS('OB History S2'!$B:$B,$A$47,'OB History S2'!W:W, 1)</f>
        <v>4</v>
      </c>
      <c r="AG47" s="2">
        <f>COUNTIFS('OB History S2'!$B:$B,$A$47,'OB History S2'!X:X, 1)</f>
        <v>5</v>
      </c>
      <c r="AH47" s="2">
        <f>COUNTIFS('OB History S2'!$B:$B,$A$47,'OB History S2'!Y:Y, 1)</f>
        <v>4</v>
      </c>
      <c r="AI47" s="2">
        <f>COUNTIFS('OB History S2'!$B:$B,$A$47,'OB History S2'!Z:Z, 1)</f>
        <v>5</v>
      </c>
    </row>
    <row r="48" spans="1:35" x14ac:dyDescent="0.25">
      <c r="A48" s="2" t="s">
        <v>113</v>
      </c>
      <c r="B48" s="2" t="s">
        <v>79</v>
      </c>
      <c r="C48" s="2" t="s">
        <v>79</v>
      </c>
      <c r="D48" s="3">
        <v>1</v>
      </c>
      <c r="E48" s="2"/>
      <c r="F48" s="2"/>
      <c r="G48" s="2"/>
      <c r="H48" s="34">
        <f>SUMIFS('OB History S2'!C:C,'OB History S2'!B:B,A48)</f>
        <v>313</v>
      </c>
      <c r="I48" s="4">
        <f>AVERAGEIFS('OB History S2'!C:C,'OB History S2'!B:B,A48)</f>
        <v>20.866666666666667</v>
      </c>
      <c r="J48" s="35">
        <f t="array" ref="J48">MAX(IF('OB History S2'!B:B=A48, 'OB History S2'!C:C))</f>
        <v>50</v>
      </c>
      <c r="K48" s="34">
        <f>COUNTIFS('OB History S2'!B:B,A48,'OB History S2'!D:D, 1)</f>
        <v>10</v>
      </c>
      <c r="L48" s="2">
        <f>COUNTIFS('OB History S2'!B:B,A48,'OB History S2'!D:D, 0)</f>
        <v>5</v>
      </c>
      <c r="M48" s="88">
        <f>LOOKUP(2, 1/('OB History S2'!$B:$B=A48), 'OB History S2'!$AD:$AD)</f>
        <v>0.66666666666666663</v>
      </c>
      <c r="N48" s="34">
        <f>SUMIFS('OB History S2'!F:F,'OB History S2'!B:B,A48)</f>
        <v>33</v>
      </c>
      <c r="O48" s="2">
        <f>SUMIFS('OB History S2'!E:E,'OB History S2'!B:B,A48)-N48</f>
        <v>23</v>
      </c>
      <c r="P48" s="88">
        <f>LOOKUP(2, 1/('OB History S2'!$B:$B=A48), 'OB History S2'!$AB:$AB)</f>
        <v>0.59</v>
      </c>
      <c r="Q48" s="34">
        <f>SUMIFS('OB History S2'!H:H,'OB History S2'!B:B,A48)</f>
        <v>123</v>
      </c>
      <c r="R48" s="2">
        <f>SUMIFS('OB History S2'!G:G,'OB History S2'!B:B,A48)-Q48</f>
        <v>110</v>
      </c>
      <c r="S48" s="88">
        <f>LOOKUP(2, 1/('OB History S2'!$B:$B=A48), 'OB History S2'!$AC:$AC)</f>
        <v>0.52399999999999991</v>
      </c>
      <c r="T48" s="2">
        <f>COUNTIFS('OB History S2'!$B:$B,$A$48,'OB History S2'!K:K, 1)</f>
        <v>0</v>
      </c>
      <c r="U48" s="2">
        <f>COUNTIFS('OB History S2'!$B:$B,$A$48,'OB History S2'!L:L, 1)</f>
        <v>6</v>
      </c>
      <c r="V48" s="2">
        <f>COUNTIFS('OB History S2'!$B:$B,$A$48,'OB History S2'!M:M, 1)</f>
        <v>3</v>
      </c>
      <c r="W48" s="2">
        <f>COUNTIFS('OB History S2'!$B:$B,$A$48,'OB History S2'!N:N, 1)</f>
        <v>4</v>
      </c>
      <c r="X48" s="2">
        <f>COUNTIFS('OB History S2'!$B:$B,$A$48,'OB History S2'!O:O, 1)</f>
        <v>1</v>
      </c>
      <c r="Y48" s="2">
        <f>COUNTIFS('OB History S2'!$B:$B,$A$48,'OB History S2'!P:P, 1)</f>
        <v>2</v>
      </c>
      <c r="Z48" s="2">
        <f>COUNTIFS('OB History S2'!$B:$B,$A$48,'OB History S2'!Q:Q, 1)</f>
        <v>2</v>
      </c>
      <c r="AA48" s="2">
        <f>COUNTIFS('OB History S2'!$B:$B,$A$48,'OB History S2'!R:R, 1)</f>
        <v>0</v>
      </c>
      <c r="AB48" s="2">
        <f>COUNTIFS('OB History S2'!$B:$B,$A$48,'OB History S2'!S:S, 1)</f>
        <v>0</v>
      </c>
      <c r="AC48" s="2">
        <f>COUNTIFS('OB History S2'!$B:$B,$A$48,'OB History S2'!T:T, 1)</f>
        <v>0</v>
      </c>
      <c r="AD48" s="2">
        <f>COUNTIFS('OB History S2'!$B:$B,$A$48,'OB History S2'!U:U, 1)</f>
        <v>0</v>
      </c>
      <c r="AE48" s="2">
        <f>COUNTIFS('OB History S2'!$B:$B,$A$48,'OB History S2'!V:V, 1)</f>
        <v>1</v>
      </c>
      <c r="AF48" s="2">
        <f>COUNTIFS('OB History S2'!$B:$B,$A$48,'OB History S2'!W:W, 1)</f>
        <v>2</v>
      </c>
      <c r="AG48" s="2">
        <f>COUNTIFS('OB History S2'!$B:$B,$A$48,'OB History S2'!X:X, 1)</f>
        <v>4</v>
      </c>
      <c r="AH48" s="2">
        <f>COUNTIFS('OB History S2'!$B:$B,$A$48,'OB History S2'!Y:Y, 1)</f>
        <v>3</v>
      </c>
      <c r="AI48" s="2">
        <f>COUNTIFS('OB History S2'!$B:$B,$A$48,'OB History S2'!Z:Z, 1)</f>
        <v>5</v>
      </c>
    </row>
    <row r="49" spans="1:35" x14ac:dyDescent="0.25">
      <c r="A49" s="2" t="s">
        <v>169</v>
      </c>
      <c r="B49" s="2" t="s">
        <v>79</v>
      </c>
      <c r="C49" s="2" t="s">
        <v>79</v>
      </c>
      <c r="D49" s="3"/>
      <c r="E49" s="2"/>
      <c r="F49" s="2"/>
      <c r="G49" s="2"/>
      <c r="H49" s="34">
        <f>SUMIFS('OB History S2'!C:C,'OB History S2'!B:B,A49)</f>
        <v>2</v>
      </c>
      <c r="I49" s="4">
        <f>AVERAGEIFS('OB History S2'!C:C,'OB History S2'!B:B,A49)</f>
        <v>2</v>
      </c>
      <c r="J49" s="35">
        <f t="array" ref="J49">MAX(IF('OB History S2'!B:B=A49, 'OB History S2'!C:C))</f>
        <v>2</v>
      </c>
      <c r="K49" s="34">
        <f>COUNTIFS('OB History S2'!B:B,A49,'OB History S2'!D:D, 1)</f>
        <v>0</v>
      </c>
      <c r="L49" s="2">
        <f>COUNTIFS('OB History S2'!B:B,A49,'OB History S2'!D:D, 0)</f>
        <v>1</v>
      </c>
      <c r="M49" s="88">
        <f>LOOKUP(2, 1/('OB History S2'!$B:$B=A49), 'OB History S2'!$AD:$AD)</f>
        <v>0</v>
      </c>
      <c r="N49" s="34">
        <f>SUMIFS('OB History S2'!F:F,'OB History S2'!B:B,A49)</f>
        <v>2</v>
      </c>
      <c r="O49" s="2">
        <f>SUMIFS('OB History S2'!E:E,'OB History S2'!B:B,A49)-N49</f>
        <v>3</v>
      </c>
      <c r="P49" s="88">
        <f>LOOKUP(2, 1/('OB History S2'!$B:$B=A49), 'OB History S2'!$AB:$AB)</f>
        <v>0.4</v>
      </c>
      <c r="Q49" s="34">
        <f>SUMIFS('OB History S2'!H:H,'OB History S2'!B:B,A49)</f>
        <v>6</v>
      </c>
      <c r="R49" s="2">
        <f>SUMIFS('OB History S2'!G:G,'OB History S2'!B:B,A49)-Q49</f>
        <v>14</v>
      </c>
      <c r="S49" s="88">
        <f>LOOKUP(2, 1/('OB History S2'!$B:$B=A49), 'OB History S2'!$AC:$AC)</f>
        <v>0.3</v>
      </c>
      <c r="T49" s="2">
        <f>COUNTIFS('OB History S2'!$B:$B,$A$49,'OB History S2'!K:K, 1)</f>
        <v>0</v>
      </c>
      <c r="U49" s="2">
        <f>COUNTIFS('OB History S2'!$B:$B,$A$49,'OB History S2'!L:L, 1)</f>
        <v>0</v>
      </c>
      <c r="V49" s="2">
        <f>COUNTIFS('OB History S2'!$B:$B,$A$49,'OB History S2'!M:M, 1)</f>
        <v>0</v>
      </c>
      <c r="W49" s="2">
        <f>COUNTIFS('OB History S2'!$B:$B,$A$49,'OB History S2'!N:N, 1)</f>
        <v>0</v>
      </c>
      <c r="X49" s="2">
        <f>COUNTIFS('OB History S2'!$B:$B,$A$49,'OB History S2'!O:O, 1)</f>
        <v>0</v>
      </c>
      <c r="Y49" s="2">
        <f>COUNTIFS('OB History S2'!$B:$B,$A$49,'OB History S2'!P:P, 1)</f>
        <v>0</v>
      </c>
      <c r="Z49" s="2">
        <f>COUNTIFS('OB History S2'!$B:$B,$A$49,'OB History S2'!Q:Q, 1)</f>
        <v>0</v>
      </c>
      <c r="AA49" s="2">
        <f>COUNTIFS('OB History S2'!$B:$B,$A$49,'OB History S2'!R:R, 1)</f>
        <v>0</v>
      </c>
      <c r="AB49" s="2">
        <f>COUNTIFS('OB History S2'!$B:$B,$A$49,'OB History S2'!S:S, 1)</f>
        <v>0</v>
      </c>
      <c r="AC49" s="2">
        <f>COUNTIFS('OB History S2'!$B:$B,$A$49,'OB History S2'!T:T, 1)</f>
        <v>0</v>
      </c>
      <c r="AD49" s="2">
        <f>COUNTIFS('OB History S2'!$B:$B,$A$49,'OB History S2'!U:U, 1)</f>
        <v>0</v>
      </c>
      <c r="AE49" s="2">
        <f>COUNTIFS('OB History S2'!$B:$B,$A$49,'OB History S2'!V:V, 1)</f>
        <v>0</v>
      </c>
      <c r="AF49" s="2">
        <f>COUNTIFS('OB History S2'!$B:$B,$A$49,'OB History S2'!W:W, 1)</f>
        <v>1</v>
      </c>
      <c r="AG49" s="2">
        <f>COUNTIFS('OB History S2'!$B:$B,$A$49,'OB History S2'!X:X, 1)</f>
        <v>0</v>
      </c>
      <c r="AH49" s="2">
        <f>COUNTIFS('OB History S2'!$B:$B,$A$49,'OB History S2'!Y:Y, 1)</f>
        <v>1</v>
      </c>
      <c r="AI49" s="2">
        <f>COUNTIFS('OB History S2'!$B:$B,$A$49,'OB History S2'!Z:Z, 1)</f>
        <v>0</v>
      </c>
    </row>
    <row r="50" spans="1:35" x14ac:dyDescent="0.25">
      <c r="A50" s="2" t="s">
        <v>14</v>
      </c>
      <c r="B50" s="6" t="s">
        <v>124</v>
      </c>
      <c r="C50" s="6" t="s">
        <v>124</v>
      </c>
      <c r="D50" s="3">
        <v>5</v>
      </c>
      <c r="E50" s="6">
        <v>2</v>
      </c>
      <c r="F50" s="6"/>
      <c r="G50" s="6"/>
      <c r="H50" s="34">
        <f>SUMIFS('OB History S2'!C:C,'OB History S2'!B:B,A50)</f>
        <v>552</v>
      </c>
      <c r="I50" s="4">
        <f>AVERAGEIFS('OB History S2'!C:C,'OB History S2'!B:B,A50)</f>
        <v>22.08</v>
      </c>
      <c r="J50" s="35">
        <f t="array" ref="J50">MAX(IF('OB History S2'!B:B=A50, 'OB History S2'!C:C))</f>
        <v>54</v>
      </c>
      <c r="K50" s="34">
        <f>COUNTIFS('OB History S2'!B:B,A50,'OB History S2'!D:D, 1)</f>
        <v>10</v>
      </c>
      <c r="L50" s="2">
        <f>COUNTIFS('OB History S2'!B:B,A50,'OB History S2'!D:D, 0)</f>
        <v>15</v>
      </c>
      <c r="M50" s="88">
        <f>LOOKUP(2, 1/('OB History S2'!$B:$B=A50), 'OB History S2'!$AD:$AD)</f>
        <v>0.4</v>
      </c>
      <c r="N50" s="34">
        <f>SUMIFS('OB History S2'!F:F,'OB History S2'!B:B,A50)</f>
        <v>44</v>
      </c>
      <c r="O50" s="2">
        <f>SUMIFS('OB History S2'!E:E,'OB History S2'!B:B,A50)-N50</f>
        <v>56</v>
      </c>
      <c r="P50" s="88">
        <f>LOOKUP(2, 1/('OB History S2'!$B:$B=A50), 'OB History S2'!$AB:$AB)</f>
        <v>0.43</v>
      </c>
      <c r="Q50" s="34">
        <f>SUMIFS('OB History S2'!H:H,'OB History S2'!B:B,A50)</f>
        <v>187</v>
      </c>
      <c r="R50" s="2">
        <f>SUMIFS('OB History S2'!G:G,'OB History S2'!B:B,A50)-Q50</f>
        <v>224</v>
      </c>
      <c r="S50" s="88">
        <f>LOOKUP(2, 1/('OB History S2'!$B:$B=A50), 'OB History S2'!$AC:$AC)</f>
        <v>0.45640000000000003</v>
      </c>
      <c r="T50" s="2">
        <f>COUNTIFS('OB History S2'!$B:$B,$A$50,'OB History S2'!K:K, 1)</f>
        <v>3</v>
      </c>
      <c r="U50" s="2">
        <f>COUNTIFS('OB History S2'!$B:$B,$A$50,'OB History S2'!L:L, 1)</f>
        <v>4</v>
      </c>
      <c r="V50" s="2">
        <f>COUNTIFS('OB History S2'!$B:$B,$A$50,'OB History S2'!M:M, 1)</f>
        <v>2</v>
      </c>
      <c r="W50" s="2">
        <f>COUNTIFS('OB History S2'!$B:$B,$A$50,'OB History S2'!N:N, 1)</f>
        <v>3</v>
      </c>
      <c r="X50" s="2">
        <f>COUNTIFS('OB History S2'!$B:$B,$A$50,'OB History S2'!O:O, 1)</f>
        <v>2</v>
      </c>
      <c r="Y50" s="2">
        <f>COUNTIFS('OB History S2'!$B:$B,$A$50,'OB History S2'!P:P, 1)</f>
        <v>2</v>
      </c>
      <c r="Z50" s="2">
        <f>COUNTIFS('OB History S2'!$B:$B,$A$50,'OB History S2'!Q:Q, 1)</f>
        <v>2</v>
      </c>
      <c r="AA50" s="2">
        <f>COUNTIFS('OB History S2'!$B:$B,$A$50,'OB History S2'!R:R, 1)</f>
        <v>0</v>
      </c>
      <c r="AB50" s="2">
        <f>COUNTIFS('OB History S2'!$B:$B,$A$50,'OB History S2'!S:S, 1)</f>
        <v>1</v>
      </c>
      <c r="AC50" s="2">
        <f>COUNTIFS('OB History S2'!$B:$B,$A$50,'OB History S2'!T:T, 1)</f>
        <v>0</v>
      </c>
      <c r="AD50" s="2">
        <f>COUNTIFS('OB History S2'!$B:$B,$A$50,'OB History S2'!U:U, 1)</f>
        <v>0</v>
      </c>
      <c r="AE50" s="2">
        <f>COUNTIFS('OB History S2'!$B:$B,$A$50,'OB History S2'!V:V, 1)</f>
        <v>0</v>
      </c>
      <c r="AF50" s="2">
        <f>COUNTIFS('OB History S2'!$B:$B,$A$50,'OB History S2'!W:W, 1)</f>
        <v>5</v>
      </c>
      <c r="AG50" s="2">
        <f>COUNTIFS('OB History S2'!$B:$B,$A$50,'OB History S2'!X:X, 1)</f>
        <v>11</v>
      </c>
      <c r="AH50" s="2">
        <f>COUNTIFS('OB History S2'!$B:$B,$A$50,'OB History S2'!Y:Y, 1)</f>
        <v>4</v>
      </c>
      <c r="AI50" s="2">
        <f>COUNTIFS('OB History S2'!$B:$B,$A$50,'OB History S2'!Z:Z, 1)</f>
        <v>5</v>
      </c>
    </row>
    <row r="51" spans="1:35" x14ac:dyDescent="0.25">
      <c r="A51" s="2" t="s">
        <v>70</v>
      </c>
      <c r="B51" s="6" t="s">
        <v>79</v>
      </c>
      <c r="C51" s="6" t="s">
        <v>79</v>
      </c>
      <c r="D51" s="3"/>
      <c r="E51" s="6"/>
      <c r="F51" s="6"/>
      <c r="G51" s="6"/>
      <c r="H51" s="34">
        <f>SUMIFS('OB History S2'!C:C,'OB History S2'!B:B,A51)</f>
        <v>70</v>
      </c>
      <c r="I51" s="4">
        <f>AVERAGEIFS('OB History S2'!C:C,'OB History S2'!B:B,A51)</f>
        <v>17.5</v>
      </c>
      <c r="J51" s="35">
        <f t="array" ref="J51">MAX(IF('OB History S2'!B:B=A51, 'OB History S2'!C:C))</f>
        <v>27</v>
      </c>
      <c r="K51" s="34">
        <f>COUNTIFS('OB History S2'!B:B,A51,'OB History S2'!D:D, 1)</f>
        <v>3</v>
      </c>
      <c r="L51" s="2">
        <f>COUNTIFS('OB History S2'!B:B,A51,'OB History S2'!D:D, 0)</f>
        <v>1</v>
      </c>
      <c r="M51" s="88">
        <f>LOOKUP(2, 1/('OB History S2'!$B:$B=A51), 'OB History S2'!$AD:$AD)</f>
        <v>0.75</v>
      </c>
      <c r="N51" s="34">
        <f>SUMIFS('OB History S2'!F:F,'OB History S2'!B:B,A51)</f>
        <v>11</v>
      </c>
      <c r="O51" s="2">
        <f>SUMIFS('OB History S2'!E:E,'OB History S2'!B:B,A51)-N51</f>
        <v>7</v>
      </c>
      <c r="P51" s="88">
        <f>LOOKUP(2, 1/('OB History S2'!$B:$B=A51), 'OB History S2'!$AB:$AB)</f>
        <v>0.65</v>
      </c>
      <c r="Q51" s="34">
        <f>SUMIFS('OB History S2'!H:H,'OB History S2'!B:B,A51)</f>
        <v>41</v>
      </c>
      <c r="R51" s="2">
        <f>SUMIFS('OB History S2'!G:G,'OB History S2'!B:B,A51)-Q51</f>
        <v>34</v>
      </c>
      <c r="S51" s="88">
        <f>LOOKUP(2, 1/('OB History S2'!$B:$B=A51), 'OB History S2'!$AC:$AC)</f>
        <v>0.5575</v>
      </c>
      <c r="T51" s="2">
        <f>COUNTIFS('OB History S2'!$B:$B,$A$51,'OB History S2'!K:K, 1)</f>
        <v>1</v>
      </c>
      <c r="U51" s="2">
        <f>COUNTIFS('OB History S2'!$B:$B,$A$51,'OB History S2'!L:L, 1)</f>
        <v>0</v>
      </c>
      <c r="V51" s="2">
        <f>COUNTIFS('OB History S2'!$B:$B,$A$51,'OB History S2'!M:M, 1)</f>
        <v>0</v>
      </c>
      <c r="W51" s="2">
        <f>COUNTIFS('OB History S2'!$B:$B,$A$51,'OB History S2'!N:N, 1)</f>
        <v>0</v>
      </c>
      <c r="X51" s="2">
        <f>COUNTIFS('OB History S2'!$B:$B,$A$51,'OB History S2'!O:O, 1)</f>
        <v>2</v>
      </c>
      <c r="Y51" s="2">
        <f>COUNTIFS('OB History S2'!$B:$B,$A$51,'OB History S2'!P:P, 1)</f>
        <v>0</v>
      </c>
      <c r="Z51" s="2">
        <f>COUNTIFS('OB History S2'!$B:$B,$A$51,'OB History S2'!Q:Q, 1)</f>
        <v>0</v>
      </c>
      <c r="AA51" s="2">
        <f>COUNTIFS('OB History S2'!$B:$B,$A$51,'OB History S2'!R:R, 1)</f>
        <v>1</v>
      </c>
      <c r="AB51" s="2">
        <f>COUNTIFS('OB History S2'!$B:$B,$A$51,'OB History S2'!S:S, 1)</f>
        <v>0</v>
      </c>
      <c r="AC51" s="2">
        <f>COUNTIFS('OB History S2'!$B:$B,$A$51,'OB History S2'!T:T, 1)</f>
        <v>0</v>
      </c>
      <c r="AD51" s="2">
        <f>COUNTIFS('OB History S2'!$B:$B,$A$51,'OB History S2'!U:U, 1)</f>
        <v>0</v>
      </c>
      <c r="AE51" s="2">
        <f>COUNTIFS('OB History S2'!$B:$B,$A$51,'OB History S2'!V:V, 1)</f>
        <v>0</v>
      </c>
      <c r="AF51" s="2">
        <f>COUNTIFS('OB History S2'!$B:$B,$A$51,'OB History S2'!W:W, 1)</f>
        <v>0</v>
      </c>
      <c r="AG51" s="2">
        <f>COUNTIFS('OB History S2'!$B:$B,$A$51,'OB History S2'!X:X, 1)</f>
        <v>3</v>
      </c>
      <c r="AH51" s="2">
        <f>COUNTIFS('OB History S2'!$B:$B,$A$51,'OB History S2'!Y:Y, 1)</f>
        <v>1</v>
      </c>
      <c r="AI51" s="2">
        <f>COUNTIFS('OB History S2'!$B:$B,$A$51,'OB History S2'!Z:Z, 1)</f>
        <v>3</v>
      </c>
    </row>
    <row r="52" spans="1:35" x14ac:dyDescent="0.25">
      <c r="A52" s="2" t="s">
        <v>4</v>
      </c>
      <c r="B52" s="2" t="s">
        <v>79</v>
      </c>
      <c r="C52" s="2" t="s">
        <v>79</v>
      </c>
      <c r="D52" s="3">
        <v>1</v>
      </c>
      <c r="E52" s="2"/>
      <c r="F52" s="2"/>
      <c r="G52" s="2"/>
      <c r="H52" s="34">
        <f>SUMIFS('OB History S2'!C:C,'OB History S2'!B:B,A52)</f>
        <v>247</v>
      </c>
      <c r="I52" s="4">
        <f>AVERAGEIFS('OB History S2'!C:C,'OB History S2'!B:B,A52)</f>
        <v>22.454545454545453</v>
      </c>
      <c r="J52" s="35">
        <f t="array" ref="J52">MAX(IF('OB History S2'!B:B=A52, 'OB History S2'!C:C))</f>
        <v>46</v>
      </c>
      <c r="K52" s="34">
        <f>COUNTIFS('OB History S2'!B:B,A52,'OB History S2'!D:D, 1)</f>
        <v>6</v>
      </c>
      <c r="L52" s="2">
        <f>COUNTIFS('OB History S2'!B:B,A52,'OB History S2'!D:D, 0)</f>
        <v>5</v>
      </c>
      <c r="M52" s="88">
        <f>LOOKUP(2, 1/('OB History S2'!$B:$B=A52), 'OB History S2'!$AD:$AD)</f>
        <v>0.54545454545454541</v>
      </c>
      <c r="N52" s="34">
        <f>SUMIFS('OB History S2'!F:F,'OB History S2'!B:B,A52)</f>
        <v>21</v>
      </c>
      <c r="O52" s="2">
        <f>SUMIFS('OB History S2'!E:E,'OB History S2'!B:B,A52)-N52</f>
        <v>23</v>
      </c>
      <c r="P52" s="88">
        <f>LOOKUP(2, 1/('OB History S2'!$B:$B=A52), 'OB History S2'!$AB:$AB)</f>
        <v>0.47272727272727272</v>
      </c>
      <c r="Q52" s="34">
        <f>SUMIFS('OB History S2'!H:H,'OB History S2'!B:B,A52)</f>
        <v>88</v>
      </c>
      <c r="R52" s="2">
        <f>SUMIFS('OB History S2'!G:G,'OB History S2'!B:B,A52)-Q52</f>
        <v>93</v>
      </c>
      <c r="S52" s="88">
        <f>LOOKUP(2, 1/('OB History S2'!$B:$B=A52), 'OB History S2'!$AC:$AC)</f>
        <v>0.47545454545454541</v>
      </c>
      <c r="T52" s="2">
        <f>COUNTIFS('OB History S2'!$B:$B,$A$52,'OB History S2'!K:K, 1)</f>
        <v>2</v>
      </c>
      <c r="U52" s="2">
        <f>COUNTIFS('OB History S2'!$B:$B,$A$52,'OB History S2'!L:L, 1)</f>
        <v>4</v>
      </c>
      <c r="V52" s="2">
        <f>COUNTIFS('OB History S2'!$B:$B,$A$52,'OB History S2'!M:M, 1)</f>
        <v>1</v>
      </c>
      <c r="W52" s="2">
        <f>COUNTIFS('OB History S2'!$B:$B,$A$52,'OB History S2'!N:N, 1)</f>
        <v>1</v>
      </c>
      <c r="X52" s="2">
        <f>COUNTIFS('OB History S2'!$B:$B,$A$52,'OB History S2'!O:O, 1)</f>
        <v>2</v>
      </c>
      <c r="Y52" s="2">
        <f>COUNTIFS('OB History S2'!$B:$B,$A$52,'OB History S2'!P:P, 1)</f>
        <v>1</v>
      </c>
      <c r="Z52" s="2">
        <f>COUNTIFS('OB History S2'!$B:$B,$A$52,'OB History S2'!Q:Q, 1)</f>
        <v>1</v>
      </c>
      <c r="AA52" s="2">
        <f>COUNTIFS('OB History S2'!$B:$B,$A$52,'OB History S2'!R:R, 1)</f>
        <v>0</v>
      </c>
      <c r="AB52" s="2">
        <f>COUNTIFS('OB History S2'!$B:$B,$A$52,'OB History S2'!S:S, 1)</f>
        <v>0</v>
      </c>
      <c r="AC52" s="2">
        <f>COUNTIFS('OB History S2'!$B:$B,$A$52,'OB History S2'!T:T, 1)</f>
        <v>0</v>
      </c>
      <c r="AD52" s="2">
        <f>COUNTIFS('OB History S2'!$B:$B,$A$52,'OB History S2'!U:U, 1)</f>
        <v>0</v>
      </c>
      <c r="AE52" s="2">
        <f>COUNTIFS('OB History S2'!$B:$B,$A$52,'OB History S2'!V:V, 1)</f>
        <v>0</v>
      </c>
      <c r="AF52" s="2">
        <f>COUNTIFS('OB History S2'!$B:$B,$A$52,'OB History S2'!W:W, 1)</f>
        <v>2</v>
      </c>
      <c r="AG52" s="2">
        <f>COUNTIFS('OB History S2'!$B:$B,$A$52,'OB History S2'!X:X, 1)</f>
        <v>4</v>
      </c>
      <c r="AH52" s="2">
        <f>COUNTIFS('OB History S2'!$B:$B,$A$52,'OB History S2'!Y:Y, 1)</f>
        <v>2</v>
      </c>
      <c r="AI52" s="2">
        <f>COUNTIFS('OB History S2'!$B:$B,$A$52,'OB History S2'!Z:Z, 1)</f>
        <v>1</v>
      </c>
    </row>
    <row r="53" spans="1:35" x14ac:dyDescent="0.25">
      <c r="A53" s="2" t="s">
        <v>55</v>
      </c>
      <c r="B53" s="2" t="s">
        <v>79</v>
      </c>
      <c r="C53" s="2" t="s">
        <v>79</v>
      </c>
      <c r="D53" s="2"/>
      <c r="E53" s="2"/>
      <c r="F53" s="2"/>
      <c r="G53" s="2"/>
      <c r="H53" s="34">
        <f>SUMIFS('OB History S2'!C:C,'OB History S2'!B:B,A53)</f>
        <v>65</v>
      </c>
      <c r="I53" s="4">
        <f>AVERAGEIFS('OB History S2'!C:C,'OB History S2'!B:B,A53)</f>
        <v>10.833333333333334</v>
      </c>
      <c r="J53" s="35">
        <f t="array" ref="J53">MAX(IF('OB History S2'!B:B=A53, 'OB History S2'!C:C))</f>
        <v>20</v>
      </c>
      <c r="K53" s="34">
        <f>COUNTIFS('OB History S2'!B:B,A53,'OB History S2'!D:D, 1)</f>
        <v>4</v>
      </c>
      <c r="L53" s="2">
        <f>COUNTIFS('OB History S2'!B:B,A53,'OB History S2'!D:D, 0)</f>
        <v>2</v>
      </c>
      <c r="M53" s="88">
        <f>LOOKUP(2, 1/('OB History S2'!$B:$B=A53), 'OB History S2'!$AD:$AD)</f>
        <v>0.66666666666666663</v>
      </c>
      <c r="N53" s="34">
        <f>SUMIFS('OB History S2'!F:F,'OB History S2'!B:B,A53)</f>
        <v>15</v>
      </c>
      <c r="O53" s="2">
        <f>SUMIFS('OB History S2'!E:E,'OB History S2'!B:B,A53)-N53</f>
        <v>8</v>
      </c>
      <c r="P53" s="88">
        <f>LOOKUP(2, 1/('OB History S2'!$B:$B=A53), 'OB History S2'!$AB:$AB)</f>
        <v>0.69166666666666676</v>
      </c>
      <c r="Q53" s="34">
        <f>SUMIFS('OB History S2'!H:H,'OB History S2'!B:B,A53)</f>
        <v>57</v>
      </c>
      <c r="R53" s="2">
        <f>SUMIFS('OB History S2'!G:G,'OB History S2'!B:B,A53)-Q53</f>
        <v>38</v>
      </c>
      <c r="S53" s="88">
        <f>LOOKUP(2, 1/('OB History S2'!$B:$B=A53), 'OB History S2'!$AC:$AC)</f>
        <v>0.61666666666666659</v>
      </c>
      <c r="T53" s="2">
        <f>COUNTIFS('OB History S2'!$B:$B,$A$53,'OB History S2'!K:K, 1)</f>
        <v>1</v>
      </c>
      <c r="U53" s="2">
        <f>COUNTIFS('OB History S2'!$B:$B,$A$53,'OB History S2'!L:L, 1)</f>
        <v>1</v>
      </c>
      <c r="V53" s="2">
        <f>COUNTIFS('OB History S2'!$B:$B,$A$53,'OB History S2'!M:M, 1)</f>
        <v>0</v>
      </c>
      <c r="W53" s="2">
        <f>COUNTIFS('OB History S2'!$B:$B,$A$53,'OB History S2'!N:N, 1)</f>
        <v>2</v>
      </c>
      <c r="X53" s="2">
        <f>COUNTIFS('OB History S2'!$B:$B,$A$53,'OB History S2'!O:O, 1)</f>
        <v>0</v>
      </c>
      <c r="Y53" s="2">
        <f>COUNTIFS('OB History S2'!$B:$B,$A$53,'OB History S2'!P:P, 1)</f>
        <v>0</v>
      </c>
      <c r="Z53" s="2">
        <f>COUNTIFS('OB History S2'!$B:$B,$A$53,'OB History S2'!Q:Q, 1)</f>
        <v>1</v>
      </c>
      <c r="AA53" s="2">
        <f>COUNTIFS('OB History S2'!$B:$B,$A$53,'OB History S2'!R:R, 1)</f>
        <v>1</v>
      </c>
      <c r="AB53" s="2">
        <f>COUNTIFS('OB History S2'!$B:$B,$A$53,'OB History S2'!S:S, 1)</f>
        <v>0</v>
      </c>
      <c r="AC53" s="2">
        <f>COUNTIFS('OB History S2'!$B:$B,$A$53,'OB History S2'!T:T, 1)</f>
        <v>0</v>
      </c>
      <c r="AD53" s="2">
        <f>COUNTIFS('OB History S2'!$B:$B,$A$53,'OB History S2'!U:U, 1)</f>
        <v>1</v>
      </c>
      <c r="AE53" s="2">
        <f>COUNTIFS('OB History S2'!$B:$B,$A$53,'OB History S2'!V:V, 1)</f>
        <v>0</v>
      </c>
      <c r="AF53" s="2">
        <f>COUNTIFS('OB History S2'!$B:$B,$A$53,'OB History S2'!W:W, 1)</f>
        <v>0</v>
      </c>
      <c r="AG53" s="2">
        <f>COUNTIFS('OB History S2'!$B:$B,$A$53,'OB History S2'!X:X, 1)</f>
        <v>4</v>
      </c>
      <c r="AH53" s="2">
        <f>COUNTIFS('OB History S2'!$B:$B,$A$53,'OB History S2'!Y:Y, 1)</f>
        <v>2</v>
      </c>
      <c r="AI53" s="2">
        <f>COUNTIFS('OB History S2'!$B:$B,$A$53,'OB History S2'!Z:Z, 1)</f>
        <v>2</v>
      </c>
    </row>
  </sheetData>
  <autoFilter ref="A1:AI52" xr:uid="{EEC03B8F-669F-4FC0-BA62-50F3D395660C}">
    <sortState xmlns:xlrd2="http://schemas.microsoft.com/office/spreadsheetml/2017/richdata2" ref="A2:AI53">
      <sortCondition ref="A1:A52"/>
    </sortState>
  </autoFilter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673DD-A554-4024-88B0-DFC4E4E40E95}">
  <dimension ref="A1:AD635"/>
  <sheetViews>
    <sheetView tabSelected="1" workbookViewId="0">
      <pane ySplit="1" topLeftCell="A619" activePane="bottomLeft" state="frozen"/>
      <selection pane="bottomLeft" activeCell="S638" sqref="S638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46116</v>
      </c>
      <c r="B2" t="s">
        <v>4</v>
      </c>
      <c r="C2">
        <v>31</v>
      </c>
      <c r="D2" s="86">
        <v>1</v>
      </c>
      <c r="E2">
        <v>5</v>
      </c>
      <c r="F2">
        <v>3</v>
      </c>
      <c r="G2">
        <v>21</v>
      </c>
      <c r="H2">
        <v>11</v>
      </c>
      <c r="I2">
        <v>0.6</v>
      </c>
      <c r="J2">
        <v>0.52</v>
      </c>
      <c r="K2">
        <v>0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1</v>
      </c>
      <c r="Y2">
        <v>1</v>
      </c>
      <c r="Z2">
        <v>0</v>
      </c>
      <c r="AA2" s="86">
        <f>AVERAGEIFS($C$2:C2, $B$2:B2, B2)</f>
        <v>31</v>
      </c>
      <c r="AB2" s="86">
        <f>AVERAGEIFS($I$2:I2, $B$2:B2, B2)</f>
        <v>0.6</v>
      </c>
      <c r="AC2" s="86">
        <f>AVERAGEIFS($J$2:J2, $B$2:B2, B2)</f>
        <v>0.52</v>
      </c>
      <c r="AD2" s="86">
        <f>AVERAGEIFS($D$2:D2, $B$2:B2, B2)</f>
        <v>1</v>
      </c>
    </row>
    <row r="3" spans="1:30" x14ac:dyDescent="0.25">
      <c r="A3" s="85">
        <v>46116</v>
      </c>
      <c r="B3" t="s">
        <v>40</v>
      </c>
      <c r="C3">
        <v>17</v>
      </c>
      <c r="D3" s="86">
        <v>1</v>
      </c>
      <c r="E3">
        <v>5</v>
      </c>
      <c r="F3">
        <v>3</v>
      </c>
      <c r="G3">
        <v>21</v>
      </c>
      <c r="H3">
        <v>11</v>
      </c>
      <c r="I3">
        <v>0.6</v>
      </c>
      <c r="J3">
        <v>0.52</v>
      </c>
      <c r="K3">
        <v>0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1</v>
      </c>
      <c r="Y3">
        <v>1</v>
      </c>
      <c r="Z3">
        <v>0</v>
      </c>
      <c r="AA3" s="86">
        <f>AVERAGEIFS($C$2:C3, $B$2:B3, B3)</f>
        <v>17</v>
      </c>
      <c r="AB3" s="86">
        <f>AVERAGEIFS($I$2:I3, $B$2:B3, B3)</f>
        <v>0.6</v>
      </c>
      <c r="AC3" s="86">
        <f>AVERAGEIFS($J$2:J3, $B$2:B3, B3)</f>
        <v>0.52</v>
      </c>
      <c r="AD3" s="86">
        <f>AVERAGEIFS($D$2:D3, $B$2:B3, B3)</f>
        <v>1</v>
      </c>
    </row>
    <row r="4" spans="1:30" x14ac:dyDescent="0.25">
      <c r="A4" s="85">
        <v>46116</v>
      </c>
      <c r="B4" t="s">
        <v>113</v>
      </c>
      <c r="C4">
        <v>19</v>
      </c>
      <c r="D4" s="86">
        <v>1</v>
      </c>
      <c r="E4">
        <v>5</v>
      </c>
      <c r="F4">
        <v>3</v>
      </c>
      <c r="G4">
        <v>21</v>
      </c>
      <c r="H4">
        <v>11</v>
      </c>
      <c r="I4">
        <v>0.6</v>
      </c>
      <c r="J4">
        <v>0.52</v>
      </c>
      <c r="K4">
        <v>0</v>
      </c>
      <c r="L4">
        <v>1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1</v>
      </c>
      <c r="Y4">
        <v>1</v>
      </c>
      <c r="Z4">
        <v>0</v>
      </c>
      <c r="AA4" s="86">
        <f>AVERAGEIFS($C$2:C4, $B$2:B4, B4)</f>
        <v>19</v>
      </c>
      <c r="AB4" s="86">
        <f>AVERAGEIFS($I$2:I4, $B$2:B4, B4)</f>
        <v>0.6</v>
      </c>
      <c r="AC4" s="86">
        <f>AVERAGEIFS($J$2:J4, $B$2:B4, B4)</f>
        <v>0.52</v>
      </c>
      <c r="AD4" s="86">
        <f>AVERAGEIFS($D$2:D4, $B$2:B4, B4)</f>
        <v>1</v>
      </c>
    </row>
    <row r="5" spans="1:30" x14ac:dyDescent="0.25">
      <c r="A5" s="85">
        <v>46116</v>
      </c>
      <c r="B5" t="s">
        <v>148</v>
      </c>
      <c r="C5">
        <v>23</v>
      </c>
      <c r="D5" s="86">
        <v>1</v>
      </c>
      <c r="E5">
        <v>5</v>
      </c>
      <c r="F5">
        <v>3</v>
      </c>
      <c r="G5">
        <v>21</v>
      </c>
      <c r="H5">
        <v>11</v>
      </c>
      <c r="I5">
        <v>0.6</v>
      </c>
      <c r="J5">
        <v>0.52</v>
      </c>
      <c r="K5">
        <v>0</v>
      </c>
      <c r="L5">
        <v>1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1</v>
      </c>
      <c r="Y5">
        <v>1</v>
      </c>
      <c r="Z5">
        <v>0</v>
      </c>
      <c r="AA5" s="86">
        <f>AVERAGEIFS($C$2:C5, $B$2:B5, B5)</f>
        <v>23</v>
      </c>
      <c r="AB5" s="86">
        <f>AVERAGEIFS($I$2:I5, $B$2:B5, B5)</f>
        <v>0.6</v>
      </c>
      <c r="AC5" s="86">
        <f>AVERAGEIFS($J$2:J5, $B$2:B5, B5)</f>
        <v>0.52</v>
      </c>
      <c r="AD5" s="86">
        <f>AVERAGEIFS($D$2:D5, $B$2:B5, B5)</f>
        <v>1</v>
      </c>
    </row>
    <row r="6" spans="1:30" x14ac:dyDescent="0.25">
      <c r="A6" s="85">
        <v>46116</v>
      </c>
      <c r="B6" t="s">
        <v>44</v>
      </c>
      <c r="C6">
        <v>28</v>
      </c>
      <c r="D6" s="86">
        <v>1</v>
      </c>
      <c r="E6">
        <v>5</v>
      </c>
      <c r="F6">
        <v>3</v>
      </c>
      <c r="G6">
        <v>21</v>
      </c>
      <c r="H6">
        <v>11</v>
      </c>
      <c r="I6">
        <v>0.6</v>
      </c>
      <c r="J6">
        <v>0.52</v>
      </c>
      <c r="K6">
        <v>0</v>
      </c>
      <c r="L6">
        <v>1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1</v>
      </c>
      <c r="Y6">
        <v>1</v>
      </c>
      <c r="Z6">
        <v>0</v>
      </c>
      <c r="AA6" s="86">
        <f>AVERAGEIFS($C$2:C6, $B$2:B6, B6)</f>
        <v>28</v>
      </c>
      <c r="AB6" s="86">
        <f>AVERAGEIFS($I$2:I6, $B$2:B6, B6)</f>
        <v>0.6</v>
      </c>
      <c r="AC6" s="86">
        <f>AVERAGEIFS($J$2:J6, $B$2:B6, B6)</f>
        <v>0.52</v>
      </c>
      <c r="AD6" s="86">
        <f>AVERAGEIFS($D$2:D6, $B$2:B6, B6)</f>
        <v>1</v>
      </c>
    </row>
    <row r="7" spans="1:30" x14ac:dyDescent="0.25">
      <c r="A7" s="85">
        <v>46116</v>
      </c>
      <c r="B7" t="s">
        <v>34</v>
      </c>
      <c r="C7">
        <v>18</v>
      </c>
      <c r="D7" s="86">
        <v>1</v>
      </c>
      <c r="E7">
        <v>5</v>
      </c>
      <c r="F7">
        <v>3</v>
      </c>
      <c r="G7">
        <v>21</v>
      </c>
      <c r="H7">
        <v>11</v>
      </c>
      <c r="I7">
        <v>0.6</v>
      </c>
      <c r="J7">
        <v>0.52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1</v>
      </c>
      <c r="Y7">
        <v>1</v>
      </c>
      <c r="Z7">
        <v>0</v>
      </c>
      <c r="AA7" s="86">
        <f>AVERAGEIFS($C$2:C7, $B$2:B7, B7)</f>
        <v>18</v>
      </c>
      <c r="AB7" s="86">
        <f>AVERAGEIFS($I$2:I7, $B$2:B7, B7)</f>
        <v>0.6</v>
      </c>
      <c r="AC7" s="86">
        <f>AVERAGEIFS($J$2:J7, $B$2:B7, B7)</f>
        <v>0.52</v>
      </c>
      <c r="AD7" s="86">
        <f>AVERAGEIFS($D$2:D7, $B$2:B7, B7)</f>
        <v>1</v>
      </c>
    </row>
    <row r="8" spans="1:30" x14ac:dyDescent="0.25">
      <c r="A8" s="85">
        <v>46116</v>
      </c>
      <c r="B8" t="s">
        <v>13</v>
      </c>
      <c r="C8">
        <v>32</v>
      </c>
      <c r="D8" s="86">
        <v>0</v>
      </c>
      <c r="E8">
        <v>5</v>
      </c>
      <c r="F8">
        <v>2</v>
      </c>
      <c r="G8">
        <v>21</v>
      </c>
      <c r="H8">
        <v>10</v>
      </c>
      <c r="I8">
        <v>0.4</v>
      </c>
      <c r="J8">
        <v>0.48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0</v>
      </c>
      <c r="Z8">
        <v>0</v>
      </c>
      <c r="AA8" s="86">
        <f>AVERAGEIFS($C$2:C8, $B$2:B8, B8)</f>
        <v>32</v>
      </c>
      <c r="AB8" s="86">
        <f>AVERAGEIFS($I$2:I8, $B$2:B8, B8)</f>
        <v>0.4</v>
      </c>
      <c r="AC8" s="86">
        <f>AVERAGEIFS($J$2:J8, $B$2:B8, B8)</f>
        <v>0.48</v>
      </c>
      <c r="AD8" s="86">
        <f>AVERAGEIFS($D$2:D8, $B$2:B8, B8)</f>
        <v>0</v>
      </c>
    </row>
    <row r="9" spans="1:30" x14ac:dyDescent="0.25">
      <c r="A9" s="85">
        <v>46116</v>
      </c>
      <c r="B9" t="s">
        <v>29</v>
      </c>
      <c r="C9">
        <v>20</v>
      </c>
      <c r="D9" s="86">
        <v>0</v>
      </c>
      <c r="E9">
        <v>5</v>
      </c>
      <c r="F9">
        <v>2</v>
      </c>
      <c r="G9">
        <v>21</v>
      </c>
      <c r="H9">
        <v>10</v>
      </c>
      <c r="I9">
        <v>0.4</v>
      </c>
      <c r="J9">
        <v>0.48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0</v>
      </c>
      <c r="Z9">
        <v>0</v>
      </c>
      <c r="AA9" s="86">
        <f>AVERAGEIFS($C$2:C9, $B$2:B9, B9)</f>
        <v>20</v>
      </c>
      <c r="AB9" s="86">
        <f>AVERAGEIFS($I$2:I9, $B$2:B9, B9)</f>
        <v>0.4</v>
      </c>
      <c r="AC9" s="86">
        <f>AVERAGEIFS($J$2:J9, $B$2:B9, B9)</f>
        <v>0.48</v>
      </c>
      <c r="AD9" s="86">
        <f>AVERAGEIFS($D$2:D9, $B$2:B9, B9)</f>
        <v>0</v>
      </c>
    </row>
    <row r="10" spans="1:30" x14ac:dyDescent="0.25">
      <c r="A10" s="85">
        <v>46116</v>
      </c>
      <c r="B10" t="s">
        <v>141</v>
      </c>
      <c r="C10">
        <v>20</v>
      </c>
      <c r="D10" s="86">
        <v>0</v>
      </c>
      <c r="E10">
        <v>5</v>
      </c>
      <c r="F10">
        <v>2</v>
      </c>
      <c r="G10">
        <v>21</v>
      </c>
      <c r="H10">
        <v>10</v>
      </c>
      <c r="I10">
        <v>0.4</v>
      </c>
      <c r="J10">
        <v>0.48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1</v>
      </c>
      <c r="X10">
        <v>0</v>
      </c>
      <c r="Y10">
        <v>0</v>
      </c>
      <c r="Z10">
        <v>0</v>
      </c>
      <c r="AA10" s="86">
        <f>AVERAGEIFS($C$2:C10, $B$2:B10, B10)</f>
        <v>20</v>
      </c>
      <c r="AB10" s="86">
        <f>AVERAGEIFS($I$2:I10, $B$2:B10, B10)</f>
        <v>0.4</v>
      </c>
      <c r="AC10" s="86">
        <f>AVERAGEIFS($J$2:J10, $B$2:B10, B10)</f>
        <v>0.48</v>
      </c>
      <c r="AD10" s="86">
        <f>AVERAGEIFS($D$2:D10, $B$2:B10, B10)</f>
        <v>0</v>
      </c>
    </row>
    <row r="11" spans="1:30" x14ac:dyDescent="0.25">
      <c r="A11" s="85">
        <v>46116</v>
      </c>
      <c r="B11" t="s">
        <v>137</v>
      </c>
      <c r="C11">
        <v>9</v>
      </c>
      <c r="D11" s="86">
        <v>0</v>
      </c>
      <c r="E11">
        <v>5</v>
      </c>
      <c r="F11">
        <v>2</v>
      </c>
      <c r="G11">
        <v>21</v>
      </c>
      <c r="H11">
        <v>10</v>
      </c>
      <c r="I11">
        <v>0.4</v>
      </c>
      <c r="J11">
        <v>0.48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1</v>
      </c>
      <c r="X11">
        <v>0</v>
      </c>
      <c r="Y11">
        <v>0</v>
      </c>
      <c r="Z11">
        <v>0</v>
      </c>
      <c r="AA11" s="86">
        <f>AVERAGEIFS($C$2:C11, $B$2:B11, B11)</f>
        <v>9</v>
      </c>
      <c r="AB11" s="86">
        <f>AVERAGEIFS($I$2:I11, $B$2:B11, B11)</f>
        <v>0.4</v>
      </c>
      <c r="AC11" s="86">
        <f>AVERAGEIFS($J$2:J11, $B$2:B11, B11)</f>
        <v>0.48</v>
      </c>
      <c r="AD11" s="86">
        <f>AVERAGEIFS($D$2:D11, $B$2:B11, B11)</f>
        <v>0</v>
      </c>
    </row>
    <row r="12" spans="1:30" x14ac:dyDescent="0.25">
      <c r="A12" s="85">
        <v>46116</v>
      </c>
      <c r="B12" t="s">
        <v>35</v>
      </c>
      <c r="C12">
        <v>20</v>
      </c>
      <c r="D12" s="86">
        <v>0</v>
      </c>
      <c r="E12">
        <v>5</v>
      </c>
      <c r="F12">
        <v>2</v>
      </c>
      <c r="G12">
        <v>21</v>
      </c>
      <c r="H12">
        <v>10</v>
      </c>
      <c r="I12">
        <v>0.4</v>
      </c>
      <c r="J12">
        <v>0.48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1</v>
      </c>
      <c r="X12">
        <v>0</v>
      </c>
      <c r="Y12">
        <v>0</v>
      </c>
      <c r="Z12">
        <v>0</v>
      </c>
      <c r="AA12" s="86">
        <f>AVERAGEIFS($C$2:C12, $B$2:B12, B12)</f>
        <v>20</v>
      </c>
      <c r="AB12" s="86">
        <f>AVERAGEIFS($I$2:I12, $B$2:B12, B12)</f>
        <v>0.4</v>
      </c>
      <c r="AC12" s="86">
        <f>AVERAGEIFS($J$2:J12, $B$2:B12, B12)</f>
        <v>0.48</v>
      </c>
      <c r="AD12" s="86">
        <f>AVERAGEIFS($D$2:D12, $B$2:B12, B12)</f>
        <v>0</v>
      </c>
    </row>
    <row r="13" spans="1:30" x14ac:dyDescent="0.25">
      <c r="A13" s="85">
        <v>46116</v>
      </c>
      <c r="B13" t="s">
        <v>42</v>
      </c>
      <c r="C13">
        <v>29</v>
      </c>
      <c r="D13" s="86">
        <v>0</v>
      </c>
      <c r="E13">
        <v>5</v>
      </c>
      <c r="F13">
        <v>2</v>
      </c>
      <c r="G13">
        <v>21</v>
      </c>
      <c r="H13">
        <v>10</v>
      </c>
      <c r="I13">
        <v>0.4</v>
      </c>
      <c r="J13">
        <v>0.48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1</v>
      </c>
      <c r="X13">
        <v>0</v>
      </c>
      <c r="Y13">
        <v>0</v>
      </c>
      <c r="Z13">
        <v>0</v>
      </c>
      <c r="AA13" s="86">
        <f>AVERAGEIFS($C$2:C13, $B$2:B13, B13)</f>
        <v>29</v>
      </c>
      <c r="AB13" s="86">
        <f>AVERAGEIFS($I$2:I13, $B$2:B13, B13)</f>
        <v>0.4</v>
      </c>
      <c r="AC13" s="86">
        <f>AVERAGEIFS($J$2:J13, $B$2:B13, B13)</f>
        <v>0.48</v>
      </c>
      <c r="AD13" s="86">
        <f>AVERAGEIFS($D$2:D13, $B$2:B13, B13)</f>
        <v>0</v>
      </c>
    </row>
    <row r="14" spans="1:30" x14ac:dyDescent="0.25">
      <c r="A14" s="85">
        <v>46117</v>
      </c>
      <c r="B14" t="s">
        <v>6</v>
      </c>
      <c r="C14">
        <v>42</v>
      </c>
      <c r="D14" s="86">
        <v>1</v>
      </c>
      <c r="E14">
        <v>5</v>
      </c>
      <c r="F14">
        <v>3</v>
      </c>
      <c r="G14">
        <v>21</v>
      </c>
      <c r="H14">
        <v>13</v>
      </c>
      <c r="I14">
        <v>0.6</v>
      </c>
      <c r="J14">
        <v>0.62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1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 s="86">
        <f>AVERAGEIFS($C$2:C14, $B$2:B14, B14)</f>
        <v>42</v>
      </c>
      <c r="AB14" s="86">
        <f>AVERAGEIFS($I$2:I14, $B$2:B14, B14)</f>
        <v>0.6</v>
      </c>
      <c r="AC14" s="86">
        <f>AVERAGEIFS($J$2:J14, $B$2:B14, B14)</f>
        <v>0.62</v>
      </c>
      <c r="AD14" s="86">
        <f>AVERAGEIFS($D$2:D14, $B$2:B14, B14)</f>
        <v>1</v>
      </c>
    </row>
    <row r="15" spans="1:30" x14ac:dyDescent="0.25">
      <c r="A15" s="85">
        <v>46117</v>
      </c>
      <c r="B15" t="s">
        <v>37</v>
      </c>
      <c r="C15">
        <v>36</v>
      </c>
      <c r="D15" s="86">
        <v>1</v>
      </c>
      <c r="E15">
        <v>5</v>
      </c>
      <c r="F15">
        <v>3</v>
      </c>
      <c r="G15">
        <v>21</v>
      </c>
      <c r="H15">
        <v>13</v>
      </c>
      <c r="I15">
        <v>0.6</v>
      </c>
      <c r="J15">
        <v>0.62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1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 s="86">
        <f>AVERAGEIFS($C$2:C15, $B$2:B15, B15)</f>
        <v>36</v>
      </c>
      <c r="AB15" s="86">
        <f>AVERAGEIFS($I$2:I15, $B$2:B15, B15)</f>
        <v>0.6</v>
      </c>
      <c r="AC15" s="86">
        <f>AVERAGEIFS($J$2:J15, $B$2:B15, B15)</f>
        <v>0.62</v>
      </c>
      <c r="AD15" s="86">
        <f>AVERAGEIFS($D$2:D15, $B$2:B15, B15)</f>
        <v>1</v>
      </c>
    </row>
    <row r="16" spans="1:30" x14ac:dyDescent="0.25">
      <c r="A16" s="85">
        <v>46117</v>
      </c>
      <c r="B16" t="s">
        <v>13</v>
      </c>
      <c r="C16">
        <v>35</v>
      </c>
      <c r="D16" s="86">
        <v>1</v>
      </c>
      <c r="E16">
        <v>5</v>
      </c>
      <c r="F16">
        <v>3</v>
      </c>
      <c r="G16">
        <v>21</v>
      </c>
      <c r="H16">
        <v>13</v>
      </c>
      <c r="I16">
        <v>0.6</v>
      </c>
      <c r="J16">
        <v>0.62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1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 s="86">
        <f>AVERAGEIFS($C$2:C16, $B$2:B16, B16)</f>
        <v>33.5</v>
      </c>
      <c r="AB16" s="86">
        <f>AVERAGEIFS($I$2:I16, $B$2:B16, B16)</f>
        <v>0.5</v>
      </c>
      <c r="AC16" s="86">
        <f>AVERAGEIFS($J$2:J16, $B$2:B16, B16)</f>
        <v>0.55000000000000004</v>
      </c>
      <c r="AD16" s="86">
        <f>AVERAGEIFS($D$2:D16, $B$2:B16, B16)</f>
        <v>0.5</v>
      </c>
    </row>
    <row r="17" spans="1:30" x14ac:dyDescent="0.25">
      <c r="A17" s="85">
        <v>46117</v>
      </c>
      <c r="B17" t="s">
        <v>155</v>
      </c>
      <c r="C17">
        <v>27</v>
      </c>
      <c r="D17" s="86">
        <v>1</v>
      </c>
      <c r="E17">
        <v>5</v>
      </c>
      <c r="F17">
        <v>3</v>
      </c>
      <c r="G17">
        <v>21</v>
      </c>
      <c r="H17">
        <v>13</v>
      </c>
      <c r="I17">
        <v>0.6</v>
      </c>
      <c r="J17">
        <v>0.62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1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 s="86">
        <f>AVERAGEIFS($C$2:C17, $B$2:B17, B17)</f>
        <v>27</v>
      </c>
      <c r="AB17" s="86">
        <f>AVERAGEIFS($I$2:I17, $B$2:B17, B17)</f>
        <v>0.6</v>
      </c>
      <c r="AC17" s="86">
        <f>AVERAGEIFS($J$2:J17, $B$2:B17, B17)</f>
        <v>0.62</v>
      </c>
      <c r="AD17" s="86">
        <f>AVERAGEIFS($D$2:D17, $B$2:B17, B17)</f>
        <v>1</v>
      </c>
    </row>
    <row r="18" spans="1:30" x14ac:dyDescent="0.25">
      <c r="A18" s="85">
        <v>46117</v>
      </c>
      <c r="B18" t="s">
        <v>148</v>
      </c>
      <c r="C18">
        <v>17</v>
      </c>
      <c r="D18" s="86">
        <v>1</v>
      </c>
      <c r="E18">
        <v>5</v>
      </c>
      <c r="F18">
        <v>3</v>
      </c>
      <c r="G18">
        <v>21</v>
      </c>
      <c r="H18">
        <v>13</v>
      </c>
      <c r="I18">
        <v>0.6</v>
      </c>
      <c r="J18">
        <v>0.62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1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 s="86">
        <f>AVERAGEIFS($C$2:C18, $B$2:B18, B18)</f>
        <v>20</v>
      </c>
      <c r="AB18" s="86">
        <f>AVERAGEIFS($I$2:I18, $B$2:B18, B18)</f>
        <v>0.6</v>
      </c>
      <c r="AC18" s="86">
        <f>AVERAGEIFS($J$2:J18, $B$2:B18, B18)</f>
        <v>0.57000000000000006</v>
      </c>
      <c r="AD18" s="86">
        <f>AVERAGEIFS($D$2:D18, $B$2:B18, B18)</f>
        <v>1</v>
      </c>
    </row>
    <row r="19" spans="1:30" x14ac:dyDescent="0.25">
      <c r="A19" s="85">
        <v>46117</v>
      </c>
      <c r="B19" t="s">
        <v>45</v>
      </c>
      <c r="C19">
        <v>13</v>
      </c>
      <c r="D19" s="86">
        <v>1</v>
      </c>
      <c r="E19">
        <v>5</v>
      </c>
      <c r="F19">
        <v>3</v>
      </c>
      <c r="G19">
        <v>21</v>
      </c>
      <c r="H19">
        <v>13</v>
      </c>
      <c r="I19">
        <v>0.6</v>
      </c>
      <c r="J19">
        <v>0.62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1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 s="86">
        <f>AVERAGEIFS($C$2:C19, $B$2:B19, B19)</f>
        <v>13</v>
      </c>
      <c r="AB19" s="86">
        <f>AVERAGEIFS($I$2:I19, $B$2:B19, B19)</f>
        <v>0.6</v>
      </c>
      <c r="AC19" s="86">
        <f>AVERAGEIFS($J$2:J19, $B$2:B19, B19)</f>
        <v>0.62</v>
      </c>
      <c r="AD19" s="86">
        <f>AVERAGEIFS($D$2:D19, $B$2:B19, B19)</f>
        <v>1</v>
      </c>
    </row>
    <row r="20" spans="1:30" x14ac:dyDescent="0.25">
      <c r="A20" s="85">
        <v>46117</v>
      </c>
      <c r="B20" t="s">
        <v>17</v>
      </c>
      <c r="C20">
        <v>11</v>
      </c>
      <c r="D20" s="86">
        <v>1</v>
      </c>
      <c r="E20">
        <v>5</v>
      </c>
      <c r="F20">
        <v>3</v>
      </c>
      <c r="G20">
        <v>21</v>
      </c>
      <c r="H20">
        <v>13</v>
      </c>
      <c r="I20">
        <v>0.6</v>
      </c>
      <c r="J20">
        <v>0.62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1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 s="86">
        <f>AVERAGEIFS($C$2:C20, $B$2:B20, B20)</f>
        <v>11</v>
      </c>
      <c r="AB20" s="86">
        <f>AVERAGEIFS($I$2:I20, $B$2:B20, B20)</f>
        <v>0.6</v>
      </c>
      <c r="AC20" s="86">
        <f>AVERAGEIFS($J$2:J20, $B$2:B20, B20)</f>
        <v>0.62</v>
      </c>
      <c r="AD20" s="86">
        <f>AVERAGEIFS($D$2:D20, $B$2:B20, B20)</f>
        <v>1</v>
      </c>
    </row>
    <row r="21" spans="1:30" x14ac:dyDescent="0.25">
      <c r="A21" s="85">
        <v>46117</v>
      </c>
      <c r="B21" t="s">
        <v>15</v>
      </c>
      <c r="C21">
        <v>39</v>
      </c>
      <c r="D21" s="86">
        <v>0</v>
      </c>
      <c r="E21">
        <v>5</v>
      </c>
      <c r="F21">
        <v>2</v>
      </c>
      <c r="G21">
        <v>21</v>
      </c>
      <c r="H21">
        <v>8</v>
      </c>
      <c r="I21">
        <v>0.4</v>
      </c>
      <c r="J21">
        <v>0.38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86">
        <f>AVERAGEIFS($C$2:C21, $B$2:B21, B21)</f>
        <v>39</v>
      </c>
      <c r="AB21" s="86">
        <f>AVERAGEIFS($I$2:I21, $B$2:B21, B21)</f>
        <v>0.4</v>
      </c>
      <c r="AC21" s="86">
        <f>AVERAGEIFS($J$2:J21, $B$2:B21, B21)</f>
        <v>0.38</v>
      </c>
      <c r="AD21" s="86">
        <f>AVERAGEIFS($D$2:D21, $B$2:B21, B21)</f>
        <v>0</v>
      </c>
    </row>
    <row r="22" spans="1:30" x14ac:dyDescent="0.25">
      <c r="A22" s="85">
        <v>46117</v>
      </c>
      <c r="B22" t="s">
        <v>14</v>
      </c>
      <c r="C22">
        <v>37</v>
      </c>
      <c r="D22" s="86">
        <v>0</v>
      </c>
      <c r="E22">
        <v>5</v>
      </c>
      <c r="F22">
        <v>2</v>
      </c>
      <c r="G22">
        <v>21</v>
      </c>
      <c r="H22">
        <v>8</v>
      </c>
      <c r="I22">
        <v>0.4</v>
      </c>
      <c r="J22">
        <v>0.38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1</v>
      </c>
      <c r="Y22">
        <v>0</v>
      </c>
      <c r="Z22">
        <v>0</v>
      </c>
      <c r="AA22" s="86">
        <f>AVERAGEIFS($C$2:C22, $B$2:B22, B22)</f>
        <v>37</v>
      </c>
      <c r="AB22" s="86">
        <f>AVERAGEIFS($I$2:I22, $B$2:B22, B22)</f>
        <v>0.4</v>
      </c>
      <c r="AC22" s="86">
        <f>AVERAGEIFS($J$2:J22, $B$2:B22, B22)</f>
        <v>0.38</v>
      </c>
      <c r="AD22" s="86">
        <f>AVERAGEIFS($D$2:D22, $B$2:B22, B22)</f>
        <v>0</v>
      </c>
    </row>
    <row r="23" spans="1:30" x14ac:dyDescent="0.25">
      <c r="A23" s="85">
        <v>46117</v>
      </c>
      <c r="B23" t="s">
        <v>52</v>
      </c>
      <c r="C23">
        <v>34</v>
      </c>
      <c r="D23" s="86">
        <v>0</v>
      </c>
      <c r="E23">
        <v>5</v>
      </c>
      <c r="F23">
        <v>2</v>
      </c>
      <c r="G23">
        <v>21</v>
      </c>
      <c r="H23">
        <v>8</v>
      </c>
      <c r="I23">
        <v>0.4</v>
      </c>
      <c r="J23">
        <v>0.38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1</v>
      </c>
      <c r="Y23">
        <v>0</v>
      </c>
      <c r="Z23">
        <v>0</v>
      </c>
      <c r="AA23" s="86">
        <f>AVERAGEIFS($C$2:C23, $B$2:B23, B23)</f>
        <v>34</v>
      </c>
      <c r="AB23" s="86">
        <f>AVERAGEIFS($I$2:I23, $B$2:B23, B23)</f>
        <v>0.4</v>
      </c>
      <c r="AC23" s="86">
        <f>AVERAGEIFS($J$2:J23, $B$2:B23, B23)</f>
        <v>0.38</v>
      </c>
      <c r="AD23" s="86">
        <f>AVERAGEIFS($D$2:D23, $B$2:B23, B23)</f>
        <v>0</v>
      </c>
    </row>
    <row r="24" spans="1:30" x14ac:dyDescent="0.25">
      <c r="A24" s="85">
        <v>46117</v>
      </c>
      <c r="B24" t="s">
        <v>40</v>
      </c>
      <c r="C24">
        <v>24</v>
      </c>
      <c r="D24" s="86">
        <v>0</v>
      </c>
      <c r="E24">
        <v>5</v>
      </c>
      <c r="F24">
        <v>2</v>
      </c>
      <c r="G24">
        <v>21</v>
      </c>
      <c r="H24">
        <v>8</v>
      </c>
      <c r="I24">
        <v>0.4</v>
      </c>
      <c r="J24">
        <v>0.38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1</v>
      </c>
      <c r="Y24">
        <v>0</v>
      </c>
      <c r="Z24">
        <v>0</v>
      </c>
      <c r="AA24" s="86">
        <f>AVERAGEIFS($C$2:C24, $B$2:B24, B24)</f>
        <v>20.5</v>
      </c>
      <c r="AB24" s="86">
        <f>AVERAGEIFS($I$2:I24, $B$2:B24, B24)</f>
        <v>0.5</v>
      </c>
      <c r="AC24" s="86">
        <f>AVERAGEIFS($J$2:J24, $B$2:B24, B24)</f>
        <v>0.45</v>
      </c>
      <c r="AD24" s="86">
        <f>AVERAGEIFS($D$2:D24, $B$2:B24, B24)</f>
        <v>0.5</v>
      </c>
    </row>
    <row r="25" spans="1:30" x14ac:dyDescent="0.25">
      <c r="A25" s="85">
        <v>46117</v>
      </c>
      <c r="B25" t="s">
        <v>152</v>
      </c>
      <c r="C25">
        <v>19</v>
      </c>
      <c r="D25" s="86">
        <v>0</v>
      </c>
      <c r="E25">
        <v>5</v>
      </c>
      <c r="F25">
        <v>2</v>
      </c>
      <c r="G25">
        <v>21</v>
      </c>
      <c r="H25">
        <v>8</v>
      </c>
      <c r="I25">
        <v>0.4</v>
      </c>
      <c r="J25">
        <v>0.38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1</v>
      </c>
      <c r="Y25">
        <v>0</v>
      </c>
      <c r="Z25">
        <v>0</v>
      </c>
      <c r="AA25" s="86">
        <f>AVERAGEIFS($C$2:C25, $B$2:B25, B25)</f>
        <v>19</v>
      </c>
      <c r="AB25" s="86">
        <f>AVERAGEIFS($I$2:I25, $B$2:B25, B25)</f>
        <v>0.4</v>
      </c>
      <c r="AC25" s="86">
        <f>AVERAGEIFS($J$2:J25, $B$2:B25, B25)</f>
        <v>0.38</v>
      </c>
      <c r="AD25" s="86">
        <f>AVERAGEIFS($D$2:D25, $B$2:B25, B25)</f>
        <v>0</v>
      </c>
    </row>
    <row r="26" spans="1:30" x14ac:dyDescent="0.25">
      <c r="A26" s="85">
        <v>46117</v>
      </c>
      <c r="B26" t="s">
        <v>141</v>
      </c>
      <c r="C26">
        <v>14</v>
      </c>
      <c r="D26" s="86">
        <v>0</v>
      </c>
      <c r="E26">
        <v>5</v>
      </c>
      <c r="F26">
        <v>2</v>
      </c>
      <c r="G26">
        <v>21</v>
      </c>
      <c r="H26">
        <v>8</v>
      </c>
      <c r="I26">
        <v>0.4</v>
      </c>
      <c r="J26">
        <v>0.38</v>
      </c>
      <c r="K26">
        <v>0</v>
      </c>
      <c r="L26">
        <v>0</v>
      </c>
      <c r="M26">
        <v>0</v>
      </c>
      <c r="N26">
        <v>0</v>
      </c>
      <c r="O26">
        <v>0</v>
      </c>
      <c r="P26">
        <v>1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1</v>
      </c>
      <c r="Y26">
        <v>0</v>
      </c>
      <c r="Z26">
        <v>0</v>
      </c>
      <c r="AA26" s="86">
        <f>AVERAGEIFS($C$2:C26, $B$2:B26, B26)</f>
        <v>17</v>
      </c>
      <c r="AB26" s="86">
        <f>AVERAGEIFS($I$2:I26, $B$2:B26, B26)</f>
        <v>0.4</v>
      </c>
      <c r="AC26" s="86">
        <f>AVERAGEIFS($J$2:J26, $B$2:B26, B26)</f>
        <v>0.43</v>
      </c>
      <c r="AD26" s="86">
        <f>AVERAGEIFS($D$2:D26, $B$2:B26, B26)</f>
        <v>0</v>
      </c>
    </row>
    <row r="27" spans="1:30" x14ac:dyDescent="0.25">
      <c r="A27" s="85">
        <v>46117</v>
      </c>
      <c r="B27" t="s">
        <v>40</v>
      </c>
      <c r="C27">
        <v>25</v>
      </c>
      <c r="D27" s="86">
        <v>1</v>
      </c>
      <c r="E27">
        <v>3</v>
      </c>
      <c r="F27">
        <v>3</v>
      </c>
      <c r="G27">
        <v>13</v>
      </c>
      <c r="H27">
        <v>9</v>
      </c>
      <c r="I27">
        <v>1</v>
      </c>
      <c r="J27">
        <v>0.69</v>
      </c>
      <c r="K27">
        <v>0</v>
      </c>
      <c r="L27">
        <v>1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86">
        <f>AVERAGEIFS($C$2:C27, $B$2:B27, B27)</f>
        <v>22</v>
      </c>
      <c r="AB27" s="86">
        <f>AVERAGEIFS($I$2:I27, $B$2:B27, B27)</f>
        <v>0.66666666666666663</v>
      </c>
      <c r="AC27" s="86">
        <f>AVERAGEIFS($J$2:J27, $B$2:B27, B27)</f>
        <v>0.52999999999999992</v>
      </c>
      <c r="AD27" s="86">
        <f>AVERAGEIFS($D$2:D27, $B$2:B27, B27)</f>
        <v>0.66666666666666663</v>
      </c>
    </row>
    <row r="28" spans="1:30" x14ac:dyDescent="0.25">
      <c r="A28" s="85">
        <v>46117</v>
      </c>
      <c r="B28" t="s">
        <v>113</v>
      </c>
      <c r="C28">
        <v>21</v>
      </c>
      <c r="D28" s="86">
        <v>1</v>
      </c>
      <c r="E28">
        <v>3</v>
      </c>
      <c r="F28">
        <v>3</v>
      </c>
      <c r="G28">
        <v>13</v>
      </c>
      <c r="H28">
        <v>9</v>
      </c>
      <c r="I28">
        <v>1</v>
      </c>
      <c r="J28">
        <v>0.69</v>
      </c>
      <c r="K28">
        <v>0</v>
      </c>
      <c r="L28">
        <v>1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86">
        <f>AVERAGEIFS($C$2:C28, $B$2:B28, B28)</f>
        <v>20</v>
      </c>
      <c r="AB28" s="86">
        <f>AVERAGEIFS($I$2:I28, $B$2:B28, B28)</f>
        <v>0.8</v>
      </c>
      <c r="AC28" s="86">
        <f>AVERAGEIFS($J$2:J28, $B$2:B28, B28)</f>
        <v>0.60499999999999998</v>
      </c>
      <c r="AD28" s="86">
        <f>AVERAGEIFS($D$2:D28, $B$2:B28, B28)</f>
        <v>1</v>
      </c>
    </row>
    <row r="29" spans="1:30" x14ac:dyDescent="0.25">
      <c r="A29" s="85">
        <v>46117</v>
      </c>
      <c r="B29" t="s">
        <v>15</v>
      </c>
      <c r="C29">
        <v>18</v>
      </c>
      <c r="D29" s="86">
        <v>1</v>
      </c>
      <c r="E29">
        <v>3</v>
      </c>
      <c r="F29">
        <v>3</v>
      </c>
      <c r="G29">
        <v>13</v>
      </c>
      <c r="H29">
        <v>9</v>
      </c>
      <c r="I29">
        <v>1</v>
      </c>
      <c r="J29">
        <v>0.69</v>
      </c>
      <c r="K29">
        <v>0</v>
      </c>
      <c r="L29">
        <v>1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86">
        <f>AVERAGEIFS($C$2:C29, $B$2:B29, B29)</f>
        <v>28.5</v>
      </c>
      <c r="AB29" s="86">
        <f>AVERAGEIFS($I$2:I29, $B$2:B29, B29)</f>
        <v>0.7</v>
      </c>
      <c r="AC29" s="86">
        <f>AVERAGEIFS($J$2:J29, $B$2:B29, B29)</f>
        <v>0.53499999999999992</v>
      </c>
      <c r="AD29" s="86">
        <f>AVERAGEIFS($D$2:D29, $B$2:B29, B29)</f>
        <v>0.5</v>
      </c>
    </row>
    <row r="30" spans="1:30" x14ac:dyDescent="0.25">
      <c r="A30" s="85">
        <v>46117</v>
      </c>
      <c r="B30" t="s">
        <v>18</v>
      </c>
      <c r="C30">
        <v>17</v>
      </c>
      <c r="D30" s="86">
        <v>1</v>
      </c>
      <c r="E30">
        <v>3</v>
      </c>
      <c r="F30">
        <v>3</v>
      </c>
      <c r="G30">
        <v>13</v>
      </c>
      <c r="H30">
        <v>9</v>
      </c>
      <c r="I30">
        <v>1</v>
      </c>
      <c r="J30">
        <v>0.69</v>
      </c>
      <c r="K30">
        <v>0</v>
      </c>
      <c r="L30">
        <v>1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86">
        <f>AVERAGEIFS($C$2:C30, $B$2:B30, B30)</f>
        <v>17</v>
      </c>
      <c r="AB30" s="86">
        <f>AVERAGEIFS($I$2:I30, $B$2:B30, B30)</f>
        <v>1</v>
      </c>
      <c r="AC30" s="86">
        <f>AVERAGEIFS($J$2:J30, $B$2:B30, B30)</f>
        <v>0.69</v>
      </c>
      <c r="AD30" s="86">
        <f>AVERAGEIFS($D$2:D30, $B$2:B30, B30)</f>
        <v>1</v>
      </c>
    </row>
    <row r="31" spans="1:30" x14ac:dyDescent="0.25">
      <c r="A31" s="85">
        <v>46117</v>
      </c>
      <c r="B31" t="s">
        <v>141</v>
      </c>
      <c r="C31">
        <v>17</v>
      </c>
      <c r="D31" s="86">
        <v>1</v>
      </c>
      <c r="E31">
        <v>3</v>
      </c>
      <c r="F31">
        <v>3</v>
      </c>
      <c r="G31">
        <v>13</v>
      </c>
      <c r="H31">
        <v>9</v>
      </c>
      <c r="I31">
        <v>1</v>
      </c>
      <c r="J31">
        <v>0.69</v>
      </c>
      <c r="K31">
        <v>0</v>
      </c>
      <c r="L31">
        <v>1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86">
        <f>AVERAGEIFS($C$2:C31, $B$2:B31, B31)</f>
        <v>17</v>
      </c>
      <c r="AB31" s="86">
        <f>AVERAGEIFS($I$2:I31, $B$2:B31, B31)</f>
        <v>0.6</v>
      </c>
      <c r="AC31" s="86">
        <f>AVERAGEIFS($J$2:J31, $B$2:B31, B31)</f>
        <v>0.51666666666666661</v>
      </c>
      <c r="AD31" s="86">
        <f>AVERAGEIFS($D$2:D31, $B$2:B31, B31)</f>
        <v>0.33333333333333331</v>
      </c>
    </row>
    <row r="32" spans="1:30" x14ac:dyDescent="0.25">
      <c r="A32" s="85">
        <v>46117</v>
      </c>
      <c r="B32" t="s">
        <v>148</v>
      </c>
      <c r="C32">
        <v>16</v>
      </c>
      <c r="D32" s="86">
        <v>1</v>
      </c>
      <c r="E32">
        <v>3</v>
      </c>
      <c r="F32">
        <v>3</v>
      </c>
      <c r="G32">
        <v>13</v>
      </c>
      <c r="H32">
        <v>9</v>
      </c>
      <c r="I32">
        <v>1</v>
      </c>
      <c r="J32">
        <v>0.69</v>
      </c>
      <c r="K32">
        <v>0</v>
      </c>
      <c r="L32">
        <v>1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86">
        <f>AVERAGEIFS($C$2:C32, $B$2:B32, B32)</f>
        <v>18.666666666666668</v>
      </c>
      <c r="AB32" s="86">
        <f>AVERAGEIFS($I$2:I32, $B$2:B32, B32)</f>
        <v>0.73333333333333339</v>
      </c>
      <c r="AC32" s="86">
        <f>AVERAGEIFS($J$2:J32, $B$2:B32, B32)</f>
        <v>0.61</v>
      </c>
      <c r="AD32" s="86">
        <f>AVERAGEIFS($D$2:D32, $B$2:B32, B32)</f>
        <v>1</v>
      </c>
    </row>
    <row r="33" spans="1:30" x14ac:dyDescent="0.25">
      <c r="A33" s="85">
        <v>46117</v>
      </c>
      <c r="B33" t="s">
        <v>13</v>
      </c>
      <c r="C33">
        <v>14</v>
      </c>
      <c r="D33" s="86">
        <v>1</v>
      </c>
      <c r="E33">
        <v>3</v>
      </c>
      <c r="F33">
        <v>3</v>
      </c>
      <c r="G33">
        <v>13</v>
      </c>
      <c r="H33">
        <v>9</v>
      </c>
      <c r="I33">
        <v>1</v>
      </c>
      <c r="J33">
        <v>0.69</v>
      </c>
      <c r="K33">
        <v>0</v>
      </c>
      <c r="L33">
        <v>1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86">
        <f>AVERAGEIFS($C$2:C33, $B$2:B33, B33)</f>
        <v>27</v>
      </c>
      <c r="AB33" s="86">
        <f>AVERAGEIFS($I$2:I33, $B$2:B33, B33)</f>
        <v>0.66666666666666663</v>
      </c>
      <c r="AC33" s="86">
        <f>AVERAGEIFS($J$2:J33, $B$2:B33, B33)</f>
        <v>0.59666666666666668</v>
      </c>
      <c r="AD33" s="86">
        <f>AVERAGEIFS($D$2:D33, $B$2:B33, B33)</f>
        <v>0.66666666666666663</v>
      </c>
    </row>
    <row r="34" spans="1:30" x14ac:dyDescent="0.25">
      <c r="A34" s="85">
        <v>46117</v>
      </c>
      <c r="B34" t="s">
        <v>17</v>
      </c>
      <c r="C34">
        <v>20</v>
      </c>
      <c r="D34" s="86">
        <v>0</v>
      </c>
      <c r="E34">
        <v>3</v>
      </c>
      <c r="F34">
        <v>0</v>
      </c>
      <c r="G34">
        <v>13</v>
      </c>
      <c r="H34">
        <v>4</v>
      </c>
      <c r="I34">
        <v>0</v>
      </c>
      <c r="J34">
        <v>0.31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 s="86">
        <f>AVERAGEIFS($C$2:C34, $B$2:B34, B34)</f>
        <v>15.5</v>
      </c>
      <c r="AB34" s="86">
        <f>AVERAGEIFS($I$2:I34, $B$2:B34, B34)</f>
        <v>0.3</v>
      </c>
      <c r="AC34" s="86">
        <f>AVERAGEIFS($J$2:J34, $B$2:B34, B34)</f>
        <v>0.46499999999999997</v>
      </c>
      <c r="AD34" s="86">
        <f>AVERAGEIFS($D$2:D34, $B$2:B34, B34)</f>
        <v>0.5</v>
      </c>
    </row>
    <row r="35" spans="1:30" x14ac:dyDescent="0.25">
      <c r="A35" s="85">
        <v>46117</v>
      </c>
      <c r="B35" t="s">
        <v>14</v>
      </c>
      <c r="C35">
        <v>17</v>
      </c>
      <c r="D35" s="86">
        <v>0</v>
      </c>
      <c r="E35">
        <v>3</v>
      </c>
      <c r="F35">
        <v>0</v>
      </c>
      <c r="G35">
        <v>13</v>
      </c>
      <c r="H35">
        <v>4</v>
      </c>
      <c r="I35">
        <v>0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 s="86">
        <f>AVERAGEIFS($C$2:C35, $B$2:B35, B35)</f>
        <v>27</v>
      </c>
      <c r="AB35" s="86">
        <f>AVERAGEIFS($I$2:I35, $B$2:B35, B35)</f>
        <v>0.2</v>
      </c>
      <c r="AC35" s="86">
        <f>AVERAGEIFS($J$2:J35, $B$2:B35, B35)</f>
        <v>0.34499999999999997</v>
      </c>
      <c r="AD35" s="86">
        <f>AVERAGEIFS($D$2:D35, $B$2:B35, B35)</f>
        <v>0</v>
      </c>
    </row>
    <row r="36" spans="1:30" x14ac:dyDescent="0.25">
      <c r="A36" s="85">
        <v>46117</v>
      </c>
      <c r="B36" t="s">
        <v>147</v>
      </c>
      <c r="C36">
        <v>17</v>
      </c>
      <c r="D36" s="86">
        <v>0</v>
      </c>
      <c r="E36">
        <v>3</v>
      </c>
      <c r="F36">
        <v>0</v>
      </c>
      <c r="G36">
        <v>13</v>
      </c>
      <c r="H36">
        <v>4</v>
      </c>
      <c r="I36">
        <v>0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 s="86">
        <f>AVERAGEIFS($C$2:C36, $B$2:B36, B36)</f>
        <v>17</v>
      </c>
      <c r="AB36" s="86">
        <f>AVERAGEIFS($I$2:I36, $B$2:B36, B36)</f>
        <v>0</v>
      </c>
      <c r="AC36" s="86">
        <f>AVERAGEIFS($J$2:J36, $B$2:B36, B36)</f>
        <v>0.31</v>
      </c>
      <c r="AD36" s="86">
        <f>AVERAGEIFS($D$2:D36, $B$2:B36, B36)</f>
        <v>0</v>
      </c>
    </row>
    <row r="37" spans="1:30" x14ac:dyDescent="0.25">
      <c r="A37" s="85">
        <v>46117</v>
      </c>
      <c r="B37" t="s">
        <v>20</v>
      </c>
      <c r="C37">
        <v>10</v>
      </c>
      <c r="D37" s="86">
        <v>0</v>
      </c>
      <c r="E37">
        <v>3</v>
      </c>
      <c r="F37">
        <v>0</v>
      </c>
      <c r="G37">
        <v>13</v>
      </c>
      <c r="H37">
        <v>4</v>
      </c>
      <c r="I37">
        <v>0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 s="86">
        <f>AVERAGEIFS($C$2:C37, $B$2:B37, B37)</f>
        <v>10</v>
      </c>
      <c r="AB37" s="86">
        <f>AVERAGEIFS($I$2:I37, $B$2:B37, B37)</f>
        <v>0</v>
      </c>
      <c r="AC37" s="86">
        <f>AVERAGEIFS($J$2:J37, $B$2:B37, B37)</f>
        <v>0.31</v>
      </c>
      <c r="AD37" s="86">
        <f>AVERAGEIFS($D$2:D37, $B$2:B37, B37)</f>
        <v>0</v>
      </c>
    </row>
    <row r="38" spans="1:30" x14ac:dyDescent="0.25">
      <c r="A38" s="85">
        <v>46117</v>
      </c>
      <c r="B38" t="s">
        <v>29</v>
      </c>
      <c r="C38">
        <v>10</v>
      </c>
      <c r="D38" s="86">
        <v>0</v>
      </c>
      <c r="E38">
        <v>3</v>
      </c>
      <c r="F38">
        <v>0</v>
      </c>
      <c r="G38">
        <v>13</v>
      </c>
      <c r="H38">
        <v>4</v>
      </c>
      <c r="I38">
        <v>0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 s="86">
        <f>AVERAGEIFS($C$2:C38, $B$2:B38, B38)</f>
        <v>15</v>
      </c>
      <c r="AB38" s="86">
        <f>AVERAGEIFS($I$2:I38, $B$2:B38, B38)</f>
        <v>0.2</v>
      </c>
      <c r="AC38" s="86">
        <f>AVERAGEIFS($J$2:J38, $B$2:B38, B38)</f>
        <v>0.39500000000000002</v>
      </c>
      <c r="AD38" s="86">
        <f>AVERAGEIFS($D$2:D38, $B$2:B38, B38)</f>
        <v>0</v>
      </c>
    </row>
    <row r="39" spans="1:30" x14ac:dyDescent="0.25">
      <c r="A39" s="85">
        <v>46117</v>
      </c>
      <c r="B39" t="s">
        <v>6</v>
      </c>
      <c r="C39">
        <v>10</v>
      </c>
      <c r="D39" s="86">
        <v>0</v>
      </c>
      <c r="E39">
        <v>3</v>
      </c>
      <c r="F39">
        <v>0</v>
      </c>
      <c r="G39">
        <v>13</v>
      </c>
      <c r="H39">
        <v>4</v>
      </c>
      <c r="I39">
        <v>0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 s="86">
        <f>AVERAGEIFS($C$2:C39, $B$2:B39, B39)</f>
        <v>26</v>
      </c>
      <c r="AB39" s="86">
        <f>AVERAGEIFS($I$2:I39, $B$2:B39, B39)</f>
        <v>0.3</v>
      </c>
      <c r="AC39" s="86">
        <f>AVERAGEIFS($J$2:J39, $B$2:B39, B39)</f>
        <v>0.46499999999999997</v>
      </c>
      <c r="AD39" s="86">
        <f>AVERAGEIFS($D$2:D39, $B$2:B39, B39)</f>
        <v>0.5</v>
      </c>
    </row>
    <row r="40" spans="1:30" x14ac:dyDescent="0.25">
      <c r="A40" s="85">
        <v>46117</v>
      </c>
      <c r="B40" t="s">
        <v>146</v>
      </c>
      <c r="C40">
        <v>6</v>
      </c>
      <c r="D40" s="86">
        <v>0</v>
      </c>
      <c r="E40">
        <v>3</v>
      </c>
      <c r="F40">
        <v>0</v>
      </c>
      <c r="G40">
        <v>13</v>
      </c>
      <c r="H40">
        <v>4</v>
      </c>
      <c r="I40">
        <v>0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 s="86">
        <f>AVERAGEIFS($C$2:C40, $B$2:B40, B40)</f>
        <v>6</v>
      </c>
      <c r="AB40" s="86">
        <f>AVERAGEIFS($I$2:I40, $B$2:B40, B40)</f>
        <v>0</v>
      </c>
      <c r="AC40" s="86">
        <f>AVERAGEIFS($J$2:J40, $B$2:B40, B40)</f>
        <v>0.31</v>
      </c>
      <c r="AD40" s="86">
        <f>AVERAGEIFS($D$2:D40, $B$2:B40, B40)</f>
        <v>0</v>
      </c>
    </row>
    <row r="41" spans="1:30" x14ac:dyDescent="0.25">
      <c r="A41" s="85">
        <v>46117</v>
      </c>
      <c r="B41" t="s">
        <v>42</v>
      </c>
      <c r="C41">
        <v>5</v>
      </c>
      <c r="D41" s="86">
        <v>0</v>
      </c>
      <c r="E41">
        <v>3</v>
      </c>
      <c r="F41">
        <v>0</v>
      </c>
      <c r="G41">
        <v>13</v>
      </c>
      <c r="H41">
        <v>4</v>
      </c>
      <c r="I41">
        <v>0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 s="86">
        <f>AVERAGEIFS($C$2:C41, $B$2:B41, B41)</f>
        <v>17</v>
      </c>
      <c r="AB41" s="86">
        <f>AVERAGEIFS($I$2:I41, $B$2:B41, B41)</f>
        <v>0.2</v>
      </c>
      <c r="AC41" s="86">
        <f>AVERAGEIFS($J$2:J41, $B$2:B41, B41)</f>
        <v>0.39500000000000002</v>
      </c>
      <c r="AD41" s="86">
        <f>AVERAGEIFS($D$2:D41, $B$2:B41, B41)</f>
        <v>0</v>
      </c>
    </row>
    <row r="42" spans="1:30" x14ac:dyDescent="0.25">
      <c r="A42" s="85">
        <v>46117</v>
      </c>
      <c r="B42" t="s">
        <v>17</v>
      </c>
      <c r="C42">
        <v>18</v>
      </c>
      <c r="D42" s="86">
        <v>1</v>
      </c>
      <c r="E42">
        <v>3</v>
      </c>
      <c r="F42">
        <v>3</v>
      </c>
      <c r="G42">
        <v>11</v>
      </c>
      <c r="H42">
        <v>9</v>
      </c>
      <c r="I42">
        <v>1</v>
      </c>
      <c r="J42">
        <v>0.82</v>
      </c>
      <c r="K42">
        <v>0</v>
      </c>
      <c r="L42">
        <v>1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1</v>
      </c>
      <c r="Y42">
        <v>1</v>
      </c>
      <c r="Z42">
        <v>0</v>
      </c>
      <c r="AA42" s="86">
        <f>AVERAGEIFS($C$2:C42, $B$2:B42, B42)</f>
        <v>16.333333333333332</v>
      </c>
      <c r="AB42" s="86">
        <f>AVERAGEIFS($I$2:I42, $B$2:B42, B42)</f>
        <v>0.53333333333333333</v>
      </c>
      <c r="AC42" s="86">
        <f>AVERAGEIFS($J$2:J42, $B$2:B42, B42)</f>
        <v>0.58333333333333337</v>
      </c>
      <c r="AD42" s="86">
        <f>AVERAGEIFS($D$2:D42, $B$2:B42, B42)</f>
        <v>0.66666666666666663</v>
      </c>
    </row>
    <row r="43" spans="1:30" x14ac:dyDescent="0.25">
      <c r="A43" s="85">
        <v>46117</v>
      </c>
      <c r="B43" t="s">
        <v>18</v>
      </c>
      <c r="C43">
        <v>17</v>
      </c>
      <c r="D43" s="86">
        <v>1</v>
      </c>
      <c r="E43">
        <v>3</v>
      </c>
      <c r="F43">
        <v>3</v>
      </c>
      <c r="G43">
        <v>11</v>
      </c>
      <c r="H43">
        <v>9</v>
      </c>
      <c r="I43">
        <v>1</v>
      </c>
      <c r="J43">
        <v>0.82</v>
      </c>
      <c r="K43">
        <v>0</v>
      </c>
      <c r="L43">
        <v>1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1</v>
      </c>
      <c r="Z43">
        <v>0</v>
      </c>
      <c r="AA43" s="86">
        <f>AVERAGEIFS($C$2:C43, $B$2:B43, B43)</f>
        <v>17</v>
      </c>
      <c r="AB43" s="86">
        <f>AVERAGEIFS($I$2:I43, $B$2:B43, B43)</f>
        <v>1</v>
      </c>
      <c r="AC43" s="86">
        <f>AVERAGEIFS($J$2:J43, $B$2:B43, B43)</f>
        <v>0.75499999999999989</v>
      </c>
      <c r="AD43" s="86">
        <f>AVERAGEIFS($D$2:D43, $B$2:B43, B43)</f>
        <v>1</v>
      </c>
    </row>
    <row r="44" spans="1:30" x14ac:dyDescent="0.25">
      <c r="A44" s="85">
        <v>46117</v>
      </c>
      <c r="B44" t="s">
        <v>14</v>
      </c>
      <c r="C44">
        <v>16</v>
      </c>
      <c r="D44" s="86">
        <v>1</v>
      </c>
      <c r="E44">
        <v>3</v>
      </c>
      <c r="F44">
        <v>3</v>
      </c>
      <c r="G44">
        <v>11</v>
      </c>
      <c r="H44">
        <v>9</v>
      </c>
      <c r="I44">
        <v>1</v>
      </c>
      <c r="J44">
        <v>0.82</v>
      </c>
      <c r="K44">
        <v>0</v>
      </c>
      <c r="L44">
        <v>1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1</v>
      </c>
      <c r="Z44">
        <v>0</v>
      </c>
      <c r="AA44" s="86">
        <f>AVERAGEIFS($C$2:C44, $B$2:B44, B44)</f>
        <v>23.333333333333332</v>
      </c>
      <c r="AB44" s="86">
        <f>AVERAGEIFS($I$2:I44, $B$2:B44, B44)</f>
        <v>0.46666666666666662</v>
      </c>
      <c r="AC44" s="86">
        <f>AVERAGEIFS($J$2:J44, $B$2:B44, B44)</f>
        <v>0.5033333333333333</v>
      </c>
      <c r="AD44" s="86">
        <f>AVERAGEIFS($D$2:D44, $B$2:B44, B44)</f>
        <v>0.33333333333333331</v>
      </c>
    </row>
    <row r="45" spans="1:30" x14ac:dyDescent="0.25">
      <c r="A45" s="85">
        <v>46117</v>
      </c>
      <c r="B45" t="s">
        <v>13</v>
      </c>
      <c r="C45">
        <v>15</v>
      </c>
      <c r="D45" s="86">
        <v>1</v>
      </c>
      <c r="E45">
        <v>3</v>
      </c>
      <c r="F45">
        <v>3</v>
      </c>
      <c r="G45">
        <v>11</v>
      </c>
      <c r="H45">
        <v>9</v>
      </c>
      <c r="I45">
        <v>1</v>
      </c>
      <c r="J45">
        <v>0.82</v>
      </c>
      <c r="K45">
        <v>0</v>
      </c>
      <c r="L45">
        <v>1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1</v>
      </c>
      <c r="Z45">
        <v>0</v>
      </c>
      <c r="AA45" s="86">
        <f>AVERAGEIFS($C$2:C45, $B$2:B45, B45)</f>
        <v>24</v>
      </c>
      <c r="AB45" s="86">
        <f>AVERAGEIFS($I$2:I45, $B$2:B45, B45)</f>
        <v>0.75</v>
      </c>
      <c r="AC45" s="86">
        <f>AVERAGEIFS($J$2:J45, $B$2:B45, B45)</f>
        <v>0.65249999999999997</v>
      </c>
      <c r="AD45" s="86">
        <f>AVERAGEIFS($D$2:D45, $B$2:B45, B45)</f>
        <v>0.75</v>
      </c>
    </row>
    <row r="46" spans="1:30" x14ac:dyDescent="0.25">
      <c r="A46" s="85">
        <v>46117</v>
      </c>
      <c r="B46" t="s">
        <v>29</v>
      </c>
      <c r="C46">
        <v>15</v>
      </c>
      <c r="D46" s="86">
        <v>1</v>
      </c>
      <c r="E46">
        <v>3</v>
      </c>
      <c r="F46">
        <v>3</v>
      </c>
      <c r="G46">
        <v>11</v>
      </c>
      <c r="H46">
        <v>9</v>
      </c>
      <c r="I46">
        <v>1</v>
      </c>
      <c r="J46">
        <v>0.82</v>
      </c>
      <c r="K46">
        <v>0</v>
      </c>
      <c r="L46">
        <v>1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1</v>
      </c>
      <c r="Z46">
        <v>0</v>
      </c>
      <c r="AA46" s="86">
        <f>AVERAGEIFS($C$2:C46, $B$2:B46, B46)</f>
        <v>15</v>
      </c>
      <c r="AB46" s="86">
        <f>AVERAGEIFS($I$2:I46, $B$2:B46, B46)</f>
        <v>0.46666666666666662</v>
      </c>
      <c r="AC46" s="86">
        <f>AVERAGEIFS($J$2:J46, $B$2:B46, B46)</f>
        <v>0.53666666666666663</v>
      </c>
      <c r="AD46" s="86">
        <f>AVERAGEIFS($D$2:D46, $B$2:B46, B46)</f>
        <v>0.33333333333333331</v>
      </c>
    </row>
    <row r="47" spans="1:30" x14ac:dyDescent="0.25">
      <c r="A47" s="85">
        <v>46117</v>
      </c>
      <c r="B47" t="s">
        <v>34</v>
      </c>
      <c r="C47">
        <v>11</v>
      </c>
      <c r="D47" s="86">
        <v>1</v>
      </c>
      <c r="E47">
        <v>3</v>
      </c>
      <c r="F47">
        <v>3</v>
      </c>
      <c r="G47">
        <v>11</v>
      </c>
      <c r="H47">
        <v>9</v>
      </c>
      <c r="I47">
        <v>1</v>
      </c>
      <c r="J47">
        <v>0.82</v>
      </c>
      <c r="K47">
        <v>0</v>
      </c>
      <c r="L47">
        <v>1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1</v>
      </c>
      <c r="Z47">
        <v>0</v>
      </c>
      <c r="AA47" s="86">
        <f>AVERAGEIFS($C$2:C47, $B$2:B47, B47)</f>
        <v>14.5</v>
      </c>
      <c r="AB47" s="86">
        <f>AVERAGEIFS($I$2:I47, $B$2:B47, B47)</f>
        <v>0.8</v>
      </c>
      <c r="AC47" s="86">
        <f>AVERAGEIFS($J$2:J47, $B$2:B47, B47)</f>
        <v>0.66999999999999993</v>
      </c>
      <c r="AD47" s="86">
        <f>AVERAGEIFS($D$2:D47, $B$2:B47, B47)</f>
        <v>1</v>
      </c>
    </row>
    <row r="48" spans="1:30" x14ac:dyDescent="0.25">
      <c r="A48" s="85">
        <v>46117</v>
      </c>
      <c r="B48" t="s">
        <v>148</v>
      </c>
      <c r="C48">
        <v>8</v>
      </c>
      <c r="D48" s="86">
        <v>1</v>
      </c>
      <c r="E48">
        <v>3</v>
      </c>
      <c r="F48">
        <v>3</v>
      </c>
      <c r="G48">
        <v>11</v>
      </c>
      <c r="H48">
        <v>9</v>
      </c>
      <c r="I48">
        <v>1</v>
      </c>
      <c r="J48">
        <v>0.82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1</v>
      </c>
      <c r="Y48">
        <v>1</v>
      </c>
      <c r="Z48">
        <v>0</v>
      </c>
      <c r="AA48" s="86">
        <f>AVERAGEIFS($C$2:C48, $B$2:B48, B48)</f>
        <v>16</v>
      </c>
      <c r="AB48" s="86">
        <f>AVERAGEIFS($I$2:I48, $B$2:B48, B48)</f>
        <v>0.8</v>
      </c>
      <c r="AC48" s="86">
        <f>AVERAGEIFS($J$2:J48, $B$2:B48, B48)</f>
        <v>0.66249999999999998</v>
      </c>
      <c r="AD48" s="86">
        <f>AVERAGEIFS($D$2:D48, $B$2:B48, B48)</f>
        <v>1</v>
      </c>
    </row>
    <row r="49" spans="1:30" x14ac:dyDescent="0.25">
      <c r="A49" s="85">
        <v>46117</v>
      </c>
      <c r="B49" t="s">
        <v>55</v>
      </c>
      <c r="C49">
        <v>4</v>
      </c>
      <c r="D49" s="86">
        <v>1</v>
      </c>
      <c r="E49">
        <v>3</v>
      </c>
      <c r="F49">
        <v>3</v>
      </c>
      <c r="G49">
        <v>11</v>
      </c>
      <c r="H49">
        <v>9</v>
      </c>
      <c r="I49">
        <v>1</v>
      </c>
      <c r="J49">
        <v>0.82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1</v>
      </c>
      <c r="Y49">
        <v>1</v>
      </c>
      <c r="Z49">
        <v>0</v>
      </c>
      <c r="AA49" s="86">
        <f>AVERAGEIFS($C$2:C49, $B$2:B49, B49)</f>
        <v>4</v>
      </c>
      <c r="AB49" s="86">
        <f>AVERAGEIFS($I$2:I49, $B$2:B49, B49)</f>
        <v>1</v>
      </c>
      <c r="AC49" s="86">
        <f>AVERAGEIFS($J$2:J49, $B$2:B49, B49)</f>
        <v>0.82</v>
      </c>
      <c r="AD49" s="86">
        <f>AVERAGEIFS($D$2:D49, $B$2:B49, B49)</f>
        <v>1</v>
      </c>
    </row>
    <row r="50" spans="1:30" x14ac:dyDescent="0.25">
      <c r="A50" s="85">
        <v>46117</v>
      </c>
      <c r="B50" t="s">
        <v>4</v>
      </c>
      <c r="C50">
        <v>17</v>
      </c>
      <c r="D50" s="86">
        <v>0</v>
      </c>
      <c r="E50">
        <v>3</v>
      </c>
      <c r="F50">
        <v>0</v>
      </c>
      <c r="G50">
        <v>11</v>
      </c>
      <c r="H50">
        <v>2</v>
      </c>
      <c r="I50">
        <v>0</v>
      </c>
      <c r="J50">
        <v>0.18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 s="86">
        <f>AVERAGEIFS($C$2:C50, $B$2:B50, B50)</f>
        <v>24</v>
      </c>
      <c r="AB50" s="86">
        <f>AVERAGEIFS($I$2:I50, $B$2:B50, B50)</f>
        <v>0.3</v>
      </c>
      <c r="AC50" s="86">
        <f>AVERAGEIFS($J$2:J50, $B$2:B50, B50)</f>
        <v>0.35</v>
      </c>
      <c r="AD50" s="86">
        <f>AVERAGEIFS($D$2:D50, $B$2:B50, B50)</f>
        <v>0.5</v>
      </c>
    </row>
    <row r="51" spans="1:30" x14ac:dyDescent="0.25">
      <c r="A51" s="85">
        <v>46117</v>
      </c>
      <c r="B51" t="s">
        <v>113</v>
      </c>
      <c r="C51">
        <v>14</v>
      </c>
      <c r="D51" s="86">
        <v>0</v>
      </c>
      <c r="E51">
        <v>3</v>
      </c>
      <c r="F51">
        <v>0</v>
      </c>
      <c r="G51">
        <v>11</v>
      </c>
      <c r="H51">
        <v>2</v>
      </c>
      <c r="I51">
        <v>0</v>
      </c>
      <c r="J51">
        <v>0.18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 s="86">
        <f>AVERAGEIFS($C$2:C51, $B$2:B51, B51)</f>
        <v>18</v>
      </c>
      <c r="AB51" s="86">
        <f>AVERAGEIFS($I$2:I51, $B$2:B51, B51)</f>
        <v>0.53333333333333333</v>
      </c>
      <c r="AC51" s="86">
        <f>AVERAGEIFS($J$2:J51, $B$2:B51, B51)</f>
        <v>0.46333333333333332</v>
      </c>
      <c r="AD51" s="86">
        <f>AVERAGEIFS($D$2:D51, $B$2:B51, B51)</f>
        <v>0.66666666666666663</v>
      </c>
    </row>
    <row r="52" spans="1:30" x14ac:dyDescent="0.25">
      <c r="A52" s="85">
        <v>46117</v>
      </c>
      <c r="B52" t="s">
        <v>1</v>
      </c>
      <c r="C52">
        <v>14</v>
      </c>
      <c r="D52" s="86">
        <v>0</v>
      </c>
      <c r="E52">
        <v>3</v>
      </c>
      <c r="F52">
        <v>0</v>
      </c>
      <c r="G52">
        <v>11</v>
      </c>
      <c r="H52">
        <v>2</v>
      </c>
      <c r="I52">
        <v>0</v>
      </c>
      <c r="J52">
        <v>0.18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 s="86">
        <f>AVERAGEIFS($C$2:C52, $B$2:B52, B52)</f>
        <v>14</v>
      </c>
      <c r="AB52" s="86">
        <f>AVERAGEIFS($I$2:I52, $B$2:B52, B52)</f>
        <v>0</v>
      </c>
      <c r="AC52" s="86">
        <f>AVERAGEIFS($J$2:J52, $B$2:B52, B52)</f>
        <v>0.18</v>
      </c>
      <c r="AD52" s="86">
        <f>AVERAGEIFS($D$2:D52, $B$2:B52, B52)</f>
        <v>0</v>
      </c>
    </row>
    <row r="53" spans="1:30" x14ac:dyDescent="0.25">
      <c r="A53" s="85">
        <v>46117</v>
      </c>
      <c r="B53" t="s">
        <v>40</v>
      </c>
      <c r="C53">
        <v>12</v>
      </c>
      <c r="D53" s="86">
        <v>0</v>
      </c>
      <c r="E53">
        <v>3</v>
      </c>
      <c r="F53">
        <v>0</v>
      </c>
      <c r="G53">
        <v>11</v>
      </c>
      <c r="H53">
        <v>2</v>
      </c>
      <c r="I53">
        <v>0</v>
      </c>
      <c r="J53">
        <v>0.18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 s="86">
        <f>AVERAGEIFS($C$2:C53, $B$2:B53, B53)</f>
        <v>19.5</v>
      </c>
      <c r="AB53" s="86">
        <f>AVERAGEIFS($I$2:I53, $B$2:B53, B53)</f>
        <v>0.5</v>
      </c>
      <c r="AC53" s="86">
        <f>AVERAGEIFS($J$2:J53, $B$2:B53, B53)</f>
        <v>0.44249999999999995</v>
      </c>
      <c r="AD53" s="86">
        <f>AVERAGEIFS($D$2:D53, $B$2:B53, B53)</f>
        <v>0.5</v>
      </c>
    </row>
    <row r="54" spans="1:30" x14ac:dyDescent="0.25">
      <c r="A54" s="85">
        <v>46117</v>
      </c>
      <c r="B54" t="s">
        <v>147</v>
      </c>
      <c r="C54">
        <v>7</v>
      </c>
      <c r="D54" s="86">
        <v>0</v>
      </c>
      <c r="E54">
        <v>3</v>
      </c>
      <c r="F54">
        <v>0</v>
      </c>
      <c r="G54">
        <v>11</v>
      </c>
      <c r="H54">
        <v>2</v>
      </c>
      <c r="I54">
        <v>0</v>
      </c>
      <c r="J54">
        <v>0.18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 s="86">
        <f>AVERAGEIFS($C$2:C54, $B$2:B54, B54)</f>
        <v>12</v>
      </c>
      <c r="AB54" s="86">
        <f>AVERAGEIFS($I$2:I54, $B$2:B54, B54)</f>
        <v>0</v>
      </c>
      <c r="AC54" s="86">
        <f>AVERAGEIFS($J$2:J54, $B$2:B54, B54)</f>
        <v>0.245</v>
      </c>
      <c r="AD54" s="86">
        <f>AVERAGEIFS($D$2:D54, $B$2:B54, B54)</f>
        <v>0</v>
      </c>
    </row>
    <row r="55" spans="1:30" x14ac:dyDescent="0.25">
      <c r="A55" s="85">
        <v>46117</v>
      </c>
      <c r="B55" t="s">
        <v>42</v>
      </c>
      <c r="C55">
        <v>7</v>
      </c>
      <c r="D55" s="86">
        <v>0</v>
      </c>
      <c r="E55">
        <v>3</v>
      </c>
      <c r="F55">
        <v>0</v>
      </c>
      <c r="G55">
        <v>11</v>
      </c>
      <c r="H55">
        <v>2</v>
      </c>
      <c r="I55">
        <v>0</v>
      </c>
      <c r="J55">
        <v>0.18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 s="86">
        <f>AVERAGEIFS($C$2:C55, $B$2:B55, B55)</f>
        <v>13.666666666666666</v>
      </c>
      <c r="AB55" s="86">
        <f>AVERAGEIFS($I$2:I55, $B$2:B55, B55)</f>
        <v>0.13333333333333333</v>
      </c>
      <c r="AC55" s="86">
        <f>AVERAGEIFS($J$2:J55, $B$2:B55, B55)</f>
        <v>0.32333333333333331</v>
      </c>
      <c r="AD55" s="86">
        <f>AVERAGEIFS($D$2:D55, $B$2:B55, B55)</f>
        <v>0</v>
      </c>
    </row>
    <row r="56" spans="1:30" x14ac:dyDescent="0.25">
      <c r="A56" s="85">
        <v>46117</v>
      </c>
      <c r="B56" t="s">
        <v>35</v>
      </c>
      <c r="C56">
        <v>7</v>
      </c>
      <c r="D56" s="86">
        <v>0</v>
      </c>
      <c r="E56">
        <v>3</v>
      </c>
      <c r="F56">
        <v>0</v>
      </c>
      <c r="G56">
        <v>11</v>
      </c>
      <c r="H56">
        <v>2</v>
      </c>
      <c r="I56">
        <v>0</v>
      </c>
      <c r="J56">
        <v>0.18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86">
        <f>AVERAGEIFS($C$2:C56, $B$2:B56, B56)</f>
        <v>13.5</v>
      </c>
      <c r="AB56" s="86">
        <f>AVERAGEIFS($I$2:I56, $B$2:B56, B56)</f>
        <v>0.2</v>
      </c>
      <c r="AC56" s="86">
        <f>AVERAGEIFS($J$2:J56, $B$2:B56, B56)</f>
        <v>0.32999999999999996</v>
      </c>
      <c r="AD56" s="86">
        <f>AVERAGEIFS($D$2:D56, $B$2:B56, B56)</f>
        <v>0</v>
      </c>
    </row>
    <row r="57" spans="1:30" x14ac:dyDescent="0.25">
      <c r="A57" s="85">
        <v>46117</v>
      </c>
      <c r="B57" t="s">
        <v>140</v>
      </c>
      <c r="C57">
        <v>2</v>
      </c>
      <c r="D57" s="86">
        <v>0</v>
      </c>
      <c r="E57">
        <v>3</v>
      </c>
      <c r="F57">
        <v>0</v>
      </c>
      <c r="G57">
        <v>11</v>
      </c>
      <c r="H57">
        <v>2</v>
      </c>
      <c r="I57">
        <v>0</v>
      </c>
      <c r="J57">
        <v>0.18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86">
        <f>AVERAGEIFS($C$2:C57, $B$2:B57, B57)</f>
        <v>2</v>
      </c>
      <c r="AB57" s="86">
        <f>AVERAGEIFS($I$2:I57, $B$2:B57, B57)</f>
        <v>0</v>
      </c>
      <c r="AC57" s="86">
        <f>AVERAGEIFS($J$2:J57, $B$2:B57, B57)</f>
        <v>0.18</v>
      </c>
      <c r="AD57" s="86">
        <f>AVERAGEIFS($D$2:D57, $B$2:B57, B57)</f>
        <v>0</v>
      </c>
    </row>
    <row r="58" spans="1:30" x14ac:dyDescent="0.25">
      <c r="A58" s="85">
        <v>46117</v>
      </c>
      <c r="B58" t="s">
        <v>154</v>
      </c>
      <c r="C58">
        <v>8</v>
      </c>
      <c r="D58" s="86">
        <v>1</v>
      </c>
      <c r="E58">
        <v>4</v>
      </c>
      <c r="F58">
        <v>3</v>
      </c>
      <c r="G58">
        <v>15</v>
      </c>
      <c r="H58">
        <v>11</v>
      </c>
      <c r="I58">
        <v>0.75</v>
      </c>
      <c r="J58">
        <v>0.73</v>
      </c>
      <c r="K58">
        <v>0</v>
      </c>
      <c r="L58">
        <v>0</v>
      </c>
      <c r="M58">
        <v>0</v>
      </c>
      <c r="N58">
        <v>1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1</v>
      </c>
      <c r="V58">
        <v>0</v>
      </c>
      <c r="W58">
        <v>0</v>
      </c>
      <c r="X58">
        <v>1</v>
      </c>
      <c r="Y58">
        <v>0</v>
      </c>
      <c r="Z58">
        <v>0</v>
      </c>
      <c r="AA58" s="86">
        <f>AVERAGEIFS($C$2:C58, $B$2:B58, B58)</f>
        <v>8</v>
      </c>
      <c r="AB58" s="86">
        <f>AVERAGEIFS($I$2:I58, $B$2:B58, B58)</f>
        <v>0.75</v>
      </c>
      <c r="AC58" s="86">
        <f>AVERAGEIFS($J$2:J58, $B$2:B58, B58)</f>
        <v>0.73</v>
      </c>
      <c r="AD58" s="86">
        <f>AVERAGEIFS($D$2:D58, $B$2:B58, B58)</f>
        <v>1</v>
      </c>
    </row>
    <row r="59" spans="1:30" x14ac:dyDescent="0.25">
      <c r="A59" s="85">
        <v>46117</v>
      </c>
      <c r="B59" t="s">
        <v>13</v>
      </c>
      <c r="C59">
        <v>24</v>
      </c>
      <c r="D59" s="86">
        <v>1</v>
      </c>
      <c r="E59">
        <v>4</v>
      </c>
      <c r="F59">
        <v>3</v>
      </c>
      <c r="G59">
        <v>15</v>
      </c>
      <c r="H59">
        <v>11</v>
      </c>
      <c r="I59">
        <v>0.75</v>
      </c>
      <c r="J59">
        <v>0.73</v>
      </c>
      <c r="K59">
        <v>0</v>
      </c>
      <c r="L59">
        <v>0</v>
      </c>
      <c r="M59">
        <v>0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1</v>
      </c>
      <c r="V59">
        <v>0</v>
      </c>
      <c r="W59">
        <v>0</v>
      </c>
      <c r="X59">
        <v>1</v>
      </c>
      <c r="Y59">
        <v>0</v>
      </c>
      <c r="Z59">
        <v>0</v>
      </c>
      <c r="AA59" s="86">
        <f>AVERAGEIFS($C$2:C59, $B$2:B59, B59)</f>
        <v>24</v>
      </c>
      <c r="AB59" s="86">
        <f>AVERAGEIFS($I$2:I59, $B$2:B59, B59)</f>
        <v>0.75</v>
      </c>
      <c r="AC59" s="86">
        <f>AVERAGEIFS($J$2:J59, $B$2:B59, B59)</f>
        <v>0.66799999999999993</v>
      </c>
      <c r="AD59" s="86">
        <f>AVERAGEIFS($D$2:D59, $B$2:B59, B59)</f>
        <v>0.8</v>
      </c>
    </row>
    <row r="60" spans="1:30" x14ac:dyDescent="0.25">
      <c r="A60" s="85">
        <v>46117</v>
      </c>
      <c r="B60" t="s">
        <v>18</v>
      </c>
      <c r="C60">
        <v>28</v>
      </c>
      <c r="D60" s="86">
        <v>1</v>
      </c>
      <c r="E60">
        <v>4</v>
      </c>
      <c r="F60">
        <v>3</v>
      </c>
      <c r="G60">
        <v>15</v>
      </c>
      <c r="H60">
        <v>11</v>
      </c>
      <c r="I60">
        <v>0.75</v>
      </c>
      <c r="J60">
        <v>0.73</v>
      </c>
      <c r="K60">
        <v>0</v>
      </c>
      <c r="L60">
        <v>0</v>
      </c>
      <c r="M60">
        <v>0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1</v>
      </c>
      <c r="V60">
        <v>0</v>
      </c>
      <c r="W60">
        <v>0</v>
      </c>
      <c r="X60">
        <v>1</v>
      </c>
      <c r="Y60">
        <v>0</v>
      </c>
      <c r="Z60">
        <v>0</v>
      </c>
      <c r="AA60" s="86">
        <f>AVERAGEIFS($C$2:C60, $B$2:B60, B60)</f>
        <v>20.666666666666668</v>
      </c>
      <c r="AB60" s="86">
        <f>AVERAGEIFS($I$2:I60, $B$2:B60, B60)</f>
        <v>0.91666666666666663</v>
      </c>
      <c r="AC60" s="86">
        <f>AVERAGEIFS($J$2:J60, $B$2:B60, B60)</f>
        <v>0.74666666666666659</v>
      </c>
      <c r="AD60" s="86">
        <f>AVERAGEIFS($D$2:D60, $B$2:B60, B60)</f>
        <v>1</v>
      </c>
    </row>
    <row r="61" spans="1:30" x14ac:dyDescent="0.25">
      <c r="A61" s="85">
        <v>46117</v>
      </c>
      <c r="B61" t="s">
        <v>27</v>
      </c>
      <c r="C61">
        <v>14</v>
      </c>
      <c r="D61" s="86">
        <v>1</v>
      </c>
      <c r="E61">
        <v>4</v>
      </c>
      <c r="F61">
        <v>3</v>
      </c>
      <c r="G61">
        <v>15</v>
      </c>
      <c r="H61">
        <v>11</v>
      </c>
      <c r="I61">
        <v>0.75</v>
      </c>
      <c r="J61">
        <v>0.73</v>
      </c>
      <c r="K61">
        <v>0</v>
      </c>
      <c r="L61">
        <v>0</v>
      </c>
      <c r="M61">
        <v>0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1</v>
      </c>
      <c r="V61">
        <v>0</v>
      </c>
      <c r="W61">
        <v>0</v>
      </c>
      <c r="X61">
        <v>1</v>
      </c>
      <c r="Y61">
        <v>0</v>
      </c>
      <c r="Z61">
        <v>0</v>
      </c>
      <c r="AA61" s="86">
        <f>AVERAGEIFS($C$2:C61, $B$2:B61, B61)</f>
        <v>14</v>
      </c>
      <c r="AB61" s="86">
        <f>AVERAGEIFS($I$2:I61, $B$2:B61, B61)</f>
        <v>0.75</v>
      </c>
      <c r="AC61" s="86">
        <f>AVERAGEIFS($J$2:J61, $B$2:B61, B61)</f>
        <v>0.73</v>
      </c>
      <c r="AD61" s="86">
        <f>AVERAGEIFS($D$2:D61, $B$2:B61, B61)</f>
        <v>1</v>
      </c>
    </row>
    <row r="62" spans="1:30" x14ac:dyDescent="0.25">
      <c r="A62" s="85">
        <v>46117</v>
      </c>
      <c r="B62" t="s">
        <v>15</v>
      </c>
      <c r="C62">
        <v>19</v>
      </c>
      <c r="D62" s="86">
        <v>1</v>
      </c>
      <c r="E62">
        <v>4</v>
      </c>
      <c r="F62">
        <v>3</v>
      </c>
      <c r="G62">
        <v>15</v>
      </c>
      <c r="H62">
        <v>11</v>
      </c>
      <c r="I62">
        <v>0.75</v>
      </c>
      <c r="J62">
        <v>0.73</v>
      </c>
      <c r="K62">
        <v>0</v>
      </c>
      <c r="L62">
        <v>0</v>
      </c>
      <c r="M62">
        <v>0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1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25.333333333333332</v>
      </c>
      <c r="AB62" s="86">
        <f>AVERAGEIFS($I$2:I62, $B$2:B62, B62)</f>
        <v>0.71666666666666667</v>
      </c>
      <c r="AC62" s="86">
        <f>AVERAGEIFS($J$2:J62, $B$2:B62, B62)</f>
        <v>0.6</v>
      </c>
      <c r="AD62" s="86">
        <f>AVERAGEIFS($D$2:D62, $B$2:B62, B62)</f>
        <v>0.66666666666666663</v>
      </c>
    </row>
    <row r="63" spans="1:30" x14ac:dyDescent="0.25">
      <c r="A63" s="85">
        <v>46117</v>
      </c>
      <c r="B63" t="s">
        <v>150</v>
      </c>
      <c r="C63">
        <v>9</v>
      </c>
      <c r="D63" s="86">
        <v>1</v>
      </c>
      <c r="E63">
        <v>4</v>
      </c>
      <c r="F63">
        <v>3</v>
      </c>
      <c r="G63">
        <v>15</v>
      </c>
      <c r="H63">
        <v>11</v>
      </c>
      <c r="I63">
        <v>0.75</v>
      </c>
      <c r="J63">
        <v>0.73</v>
      </c>
      <c r="K63">
        <v>0</v>
      </c>
      <c r="L63">
        <v>0</v>
      </c>
      <c r="M63">
        <v>0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1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9</v>
      </c>
      <c r="AB63" s="86">
        <f>AVERAGEIFS($I$2:I63, $B$2:B63, B63)</f>
        <v>0.75</v>
      </c>
      <c r="AC63" s="86">
        <f>AVERAGEIFS($J$2:J63, $B$2:B63, B63)</f>
        <v>0.73</v>
      </c>
      <c r="AD63" s="86">
        <f>AVERAGEIFS($D$2:D63, $B$2:B63, B63)</f>
        <v>1</v>
      </c>
    </row>
    <row r="64" spans="1:30" x14ac:dyDescent="0.25">
      <c r="A64" s="85">
        <v>46117</v>
      </c>
      <c r="B64" t="s">
        <v>55</v>
      </c>
      <c r="C64">
        <v>5</v>
      </c>
      <c r="D64" s="86">
        <v>1</v>
      </c>
      <c r="E64">
        <v>4</v>
      </c>
      <c r="F64">
        <v>3</v>
      </c>
      <c r="G64">
        <v>15</v>
      </c>
      <c r="H64">
        <v>11</v>
      </c>
      <c r="I64">
        <v>0.75</v>
      </c>
      <c r="J64">
        <v>0.73</v>
      </c>
      <c r="K64">
        <v>0</v>
      </c>
      <c r="L64">
        <v>0</v>
      </c>
      <c r="M64">
        <v>0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1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4.5</v>
      </c>
      <c r="AB64" s="86">
        <f>AVERAGEIFS($I$2:I64, $B$2:B64, B64)</f>
        <v>0.875</v>
      </c>
      <c r="AC64" s="86">
        <f>AVERAGEIFS($J$2:J64, $B$2:B64, B64)</f>
        <v>0.77499999999999991</v>
      </c>
      <c r="AD64" s="86">
        <f>AVERAGEIFS($D$2:D64, $B$2:B64, B64)</f>
        <v>1</v>
      </c>
    </row>
    <row r="65" spans="1:30" x14ac:dyDescent="0.25">
      <c r="A65" s="85">
        <v>46117</v>
      </c>
      <c r="B65" t="s">
        <v>148</v>
      </c>
      <c r="C65">
        <v>11</v>
      </c>
      <c r="D65" s="86">
        <v>1</v>
      </c>
      <c r="E65">
        <v>4</v>
      </c>
      <c r="F65">
        <v>3</v>
      </c>
      <c r="G65">
        <v>15</v>
      </c>
      <c r="H65">
        <v>11</v>
      </c>
      <c r="I65">
        <v>0.75</v>
      </c>
      <c r="J65">
        <v>0.73</v>
      </c>
      <c r="K65">
        <v>0</v>
      </c>
      <c r="L65">
        <v>0</v>
      </c>
      <c r="M65">
        <v>0</v>
      </c>
      <c r="N65">
        <v>1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1</v>
      </c>
      <c r="V65">
        <v>0</v>
      </c>
      <c r="W65">
        <v>0</v>
      </c>
      <c r="X65">
        <v>1</v>
      </c>
      <c r="Y65">
        <v>0</v>
      </c>
      <c r="Z65">
        <v>0</v>
      </c>
      <c r="AA65" s="86">
        <f>AVERAGEIFS($C$2:C65, $B$2:B65, B65)</f>
        <v>15</v>
      </c>
      <c r="AB65" s="86">
        <f>AVERAGEIFS($I$2:I65, $B$2:B65, B65)</f>
        <v>0.79</v>
      </c>
      <c r="AC65" s="86">
        <f>AVERAGEIFS($J$2:J65, $B$2:B65, B65)</f>
        <v>0.67599999999999993</v>
      </c>
      <c r="AD65" s="86">
        <f>AVERAGEIFS($D$2:D65, $B$2:B65, B65)</f>
        <v>1</v>
      </c>
    </row>
    <row r="66" spans="1:30" x14ac:dyDescent="0.25">
      <c r="A66" s="85">
        <v>46117</v>
      </c>
      <c r="B66" t="s">
        <v>35</v>
      </c>
      <c r="C66">
        <v>9</v>
      </c>
      <c r="D66" s="86">
        <v>0</v>
      </c>
      <c r="E66">
        <v>4</v>
      </c>
      <c r="F66">
        <v>1</v>
      </c>
      <c r="G66">
        <v>15</v>
      </c>
      <c r="H66">
        <v>4</v>
      </c>
      <c r="I66">
        <v>0.25</v>
      </c>
      <c r="J66">
        <v>0.27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86">
        <f>AVERAGEIFS($C$2:C66, $B$2:B66, B66)</f>
        <v>12</v>
      </c>
      <c r="AB66" s="86">
        <f>AVERAGEIFS($I$2:I66, $B$2:B66, B66)</f>
        <v>0.21666666666666667</v>
      </c>
      <c r="AC66" s="86">
        <f>AVERAGEIFS($J$2:J66, $B$2:B66, B66)</f>
        <v>0.31</v>
      </c>
      <c r="AD66" s="86">
        <f>AVERAGEIFS($D$2:D66, $B$2:B66, B66)</f>
        <v>0</v>
      </c>
    </row>
    <row r="67" spans="1:30" x14ac:dyDescent="0.25">
      <c r="A67" s="85">
        <v>46117</v>
      </c>
      <c r="B67" t="s">
        <v>25</v>
      </c>
      <c r="C67">
        <v>19</v>
      </c>
      <c r="D67" s="86">
        <v>0</v>
      </c>
      <c r="E67">
        <v>4</v>
      </c>
      <c r="F67">
        <v>1</v>
      </c>
      <c r="G67">
        <v>15</v>
      </c>
      <c r="H67">
        <v>4</v>
      </c>
      <c r="I67">
        <v>0.25</v>
      </c>
      <c r="J67">
        <v>0.27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86">
        <f>AVERAGEIFS($C$2:C67, $B$2:B67, B67)</f>
        <v>19</v>
      </c>
      <c r="AB67" s="86">
        <f>AVERAGEIFS($I$2:I67, $B$2:B67, B67)</f>
        <v>0.25</v>
      </c>
      <c r="AC67" s="86">
        <f>AVERAGEIFS($J$2:J67, $B$2:B67, B67)</f>
        <v>0.27</v>
      </c>
      <c r="AD67" s="86">
        <f>AVERAGEIFS($D$2:D67, $B$2:B67, B67)</f>
        <v>0</v>
      </c>
    </row>
    <row r="68" spans="1:30" x14ac:dyDescent="0.25">
      <c r="A68" s="85">
        <v>46117</v>
      </c>
      <c r="B68" t="s">
        <v>26</v>
      </c>
      <c r="C68">
        <v>6</v>
      </c>
      <c r="D68" s="86">
        <v>0</v>
      </c>
      <c r="E68">
        <v>4</v>
      </c>
      <c r="F68">
        <v>1</v>
      </c>
      <c r="G68">
        <v>15</v>
      </c>
      <c r="H68">
        <v>4</v>
      </c>
      <c r="I68">
        <v>0.25</v>
      </c>
      <c r="J68">
        <v>0.27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86">
        <f>AVERAGEIFS($C$2:C68, $B$2:B68, B68)</f>
        <v>6</v>
      </c>
      <c r="AB68" s="86">
        <f>AVERAGEIFS($I$2:I68, $B$2:B68, B68)</f>
        <v>0.25</v>
      </c>
      <c r="AC68" s="86">
        <f>AVERAGEIFS($J$2:J68, $B$2:B68, B68)</f>
        <v>0.27</v>
      </c>
      <c r="AD68" s="86">
        <f>AVERAGEIFS($D$2:D68, $B$2:B68, B68)</f>
        <v>0</v>
      </c>
    </row>
    <row r="69" spans="1:30" x14ac:dyDescent="0.25">
      <c r="A69" s="85">
        <v>46117</v>
      </c>
      <c r="B69" t="s">
        <v>45</v>
      </c>
      <c r="C69">
        <v>11</v>
      </c>
      <c r="D69" s="86">
        <v>0</v>
      </c>
      <c r="E69">
        <v>4</v>
      </c>
      <c r="F69">
        <v>1</v>
      </c>
      <c r="G69">
        <v>15</v>
      </c>
      <c r="H69">
        <v>4</v>
      </c>
      <c r="I69">
        <v>0.25</v>
      </c>
      <c r="J69">
        <v>0.27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86">
        <f>AVERAGEIFS($C$2:C69, $B$2:B69, B69)</f>
        <v>12</v>
      </c>
      <c r="AB69" s="86">
        <f>AVERAGEIFS($I$2:I69, $B$2:B69, B69)</f>
        <v>0.42499999999999999</v>
      </c>
      <c r="AC69" s="86">
        <f>AVERAGEIFS($J$2:J69, $B$2:B69, B69)</f>
        <v>0.44500000000000001</v>
      </c>
      <c r="AD69" s="86">
        <f>AVERAGEIFS($D$2:D69, $B$2:B69, B69)</f>
        <v>0.5</v>
      </c>
    </row>
    <row r="70" spans="1:30" x14ac:dyDescent="0.25">
      <c r="A70" s="85">
        <v>46117</v>
      </c>
      <c r="B70" t="s">
        <v>155</v>
      </c>
      <c r="C70">
        <v>18</v>
      </c>
      <c r="D70" s="86">
        <v>0</v>
      </c>
      <c r="E70">
        <v>4</v>
      </c>
      <c r="F70">
        <v>1</v>
      </c>
      <c r="G70">
        <v>15</v>
      </c>
      <c r="H70">
        <v>4</v>
      </c>
      <c r="I70">
        <v>0.25</v>
      </c>
      <c r="J70">
        <v>0.27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86">
        <f>AVERAGEIFS($C$2:C70, $B$2:B70, B70)</f>
        <v>22.5</v>
      </c>
      <c r="AB70" s="86">
        <f>AVERAGEIFS($I$2:I70, $B$2:B70, B70)</f>
        <v>0.42499999999999999</v>
      </c>
      <c r="AC70" s="86">
        <f>AVERAGEIFS($J$2:J70, $B$2:B70, B70)</f>
        <v>0.44500000000000001</v>
      </c>
      <c r="AD70" s="86">
        <f>AVERAGEIFS($D$2:D70, $B$2:B70, B70)</f>
        <v>0.5</v>
      </c>
    </row>
    <row r="71" spans="1:30" x14ac:dyDescent="0.25">
      <c r="A71" s="85">
        <v>46117</v>
      </c>
      <c r="B71" t="s">
        <v>19</v>
      </c>
      <c r="C71">
        <v>10</v>
      </c>
      <c r="D71" s="86">
        <v>0</v>
      </c>
      <c r="E71">
        <v>4</v>
      </c>
      <c r="F71">
        <v>1</v>
      </c>
      <c r="G71">
        <v>15</v>
      </c>
      <c r="H71">
        <v>4</v>
      </c>
      <c r="I71">
        <v>0.25</v>
      </c>
      <c r="J71">
        <v>0.27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1</v>
      </c>
      <c r="AA71" s="86">
        <f>AVERAGEIFS($C$2:C71, $B$2:B71, B71)</f>
        <v>10</v>
      </c>
      <c r="AB71" s="86">
        <f>AVERAGEIFS($I$2:I71, $B$2:B71, B71)</f>
        <v>0.25</v>
      </c>
      <c r="AC71" s="86">
        <f>AVERAGEIFS($J$2:J71, $B$2:B71, B71)</f>
        <v>0.27</v>
      </c>
      <c r="AD71" s="86">
        <f>AVERAGEIFS($D$2:D71, $B$2:B71, B71)</f>
        <v>0</v>
      </c>
    </row>
    <row r="72" spans="1:30" x14ac:dyDescent="0.25">
      <c r="A72" s="85">
        <v>46117</v>
      </c>
      <c r="B72" t="s">
        <v>139</v>
      </c>
      <c r="C72">
        <v>7</v>
      </c>
      <c r="D72" s="86">
        <v>0</v>
      </c>
      <c r="E72">
        <v>4</v>
      </c>
      <c r="F72">
        <v>1</v>
      </c>
      <c r="G72">
        <v>15</v>
      </c>
      <c r="H72">
        <v>4</v>
      </c>
      <c r="I72">
        <v>0.25</v>
      </c>
      <c r="J72">
        <v>0.27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1</v>
      </c>
      <c r="AA72" s="86">
        <f>AVERAGEIFS($C$2:C72, $B$2:B72, B72)</f>
        <v>7</v>
      </c>
      <c r="AB72" s="86">
        <f>AVERAGEIFS($I$2:I72, $B$2:B72, B72)</f>
        <v>0.25</v>
      </c>
      <c r="AC72" s="86">
        <f>AVERAGEIFS($J$2:J72, $B$2:B72, B72)</f>
        <v>0.27</v>
      </c>
      <c r="AD72" s="86">
        <f>AVERAGEIFS($D$2:D72, $B$2:B72, B72)</f>
        <v>0</v>
      </c>
    </row>
    <row r="73" spans="1:30" x14ac:dyDescent="0.25">
      <c r="A73" s="85">
        <v>46117</v>
      </c>
      <c r="B73" t="s">
        <v>17</v>
      </c>
      <c r="C73">
        <v>10</v>
      </c>
      <c r="D73" s="86">
        <v>0</v>
      </c>
      <c r="E73">
        <v>4</v>
      </c>
      <c r="F73">
        <v>1</v>
      </c>
      <c r="G73">
        <v>15</v>
      </c>
      <c r="H73">
        <v>4</v>
      </c>
      <c r="I73">
        <v>0.25</v>
      </c>
      <c r="J73">
        <v>0.27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1</v>
      </c>
      <c r="AA73" s="86">
        <f>AVERAGEIFS($C$2:C73, $B$2:B73, B73)</f>
        <v>14.75</v>
      </c>
      <c r="AB73" s="86">
        <f>AVERAGEIFS($I$2:I73, $B$2:B73, B73)</f>
        <v>0.46250000000000002</v>
      </c>
      <c r="AC73" s="86">
        <f>AVERAGEIFS($J$2:J73, $B$2:B73, B73)</f>
        <v>0.505</v>
      </c>
      <c r="AD73" s="86">
        <f>AVERAGEIFS($D$2:D73, $B$2:B73, B73)</f>
        <v>0.5</v>
      </c>
    </row>
    <row r="74" spans="1:30" x14ac:dyDescent="0.25">
      <c r="A74" s="85">
        <v>46118</v>
      </c>
      <c r="B74" t="s">
        <v>154</v>
      </c>
      <c r="C74">
        <v>8</v>
      </c>
      <c r="D74" s="86">
        <v>1</v>
      </c>
      <c r="E74">
        <v>4</v>
      </c>
      <c r="F74">
        <v>3</v>
      </c>
      <c r="G74">
        <v>14</v>
      </c>
      <c r="H74">
        <v>9</v>
      </c>
      <c r="I74">
        <v>0.75</v>
      </c>
      <c r="J74">
        <v>0.64</v>
      </c>
      <c r="K74">
        <v>0</v>
      </c>
      <c r="L74">
        <v>0</v>
      </c>
      <c r="M74">
        <v>0</v>
      </c>
      <c r="N74">
        <v>0</v>
      </c>
      <c r="O74">
        <v>0</v>
      </c>
      <c r="P74">
        <v>1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1</v>
      </c>
      <c r="X74">
        <v>0</v>
      </c>
      <c r="Y74">
        <v>1</v>
      </c>
      <c r="Z74">
        <v>0</v>
      </c>
      <c r="AA74" s="86">
        <f>AVERAGEIFS($C$2:C74, $B$2:B74, B74)</f>
        <v>8</v>
      </c>
      <c r="AB74" s="86">
        <f>AVERAGEIFS($I$2:I74, $B$2:B74, B74)</f>
        <v>0.75</v>
      </c>
      <c r="AC74" s="86">
        <f>AVERAGEIFS($J$2:J74, $B$2:B74, B74)</f>
        <v>0.68500000000000005</v>
      </c>
      <c r="AD74" s="86">
        <f>AVERAGEIFS($D$2:D74, $B$2:B74, B74)</f>
        <v>1</v>
      </c>
    </row>
    <row r="75" spans="1:30" x14ac:dyDescent="0.25">
      <c r="A75" s="85">
        <v>46118</v>
      </c>
      <c r="B75" t="s">
        <v>13</v>
      </c>
      <c r="C75">
        <v>31</v>
      </c>
      <c r="D75" s="86">
        <v>1</v>
      </c>
      <c r="E75">
        <v>4</v>
      </c>
      <c r="F75">
        <v>3</v>
      </c>
      <c r="G75">
        <v>14</v>
      </c>
      <c r="H75">
        <v>9</v>
      </c>
      <c r="I75">
        <v>0.75</v>
      </c>
      <c r="J75">
        <v>0.64</v>
      </c>
      <c r="K75">
        <v>0</v>
      </c>
      <c r="L75">
        <v>0</v>
      </c>
      <c r="M75">
        <v>0</v>
      </c>
      <c r="N75">
        <v>0</v>
      </c>
      <c r="O75">
        <v>0</v>
      </c>
      <c r="P75">
        <v>1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1</v>
      </c>
      <c r="X75">
        <v>0</v>
      </c>
      <c r="Y75">
        <v>1</v>
      </c>
      <c r="Z75">
        <v>0</v>
      </c>
      <c r="AA75" s="86">
        <f>AVERAGEIFS($C$2:C75, $B$2:B75, B75)</f>
        <v>25.166666666666668</v>
      </c>
      <c r="AB75" s="86">
        <f>AVERAGEIFS($I$2:I75, $B$2:B75, B75)</f>
        <v>0.75</v>
      </c>
      <c r="AC75" s="86">
        <f>AVERAGEIFS($J$2:J75, $B$2:B75, B75)</f>
        <v>0.66333333333333333</v>
      </c>
      <c r="AD75" s="86">
        <f>AVERAGEIFS($D$2:D75, $B$2:B75, B75)</f>
        <v>0.83333333333333337</v>
      </c>
    </row>
    <row r="76" spans="1:30" x14ac:dyDescent="0.25">
      <c r="A76" s="85">
        <v>46118</v>
      </c>
      <c r="B76" t="s">
        <v>18</v>
      </c>
      <c r="C76">
        <v>28</v>
      </c>
      <c r="D76" s="86">
        <v>1</v>
      </c>
      <c r="E76">
        <v>4</v>
      </c>
      <c r="F76">
        <v>3</v>
      </c>
      <c r="G76">
        <v>14</v>
      </c>
      <c r="H76">
        <v>9</v>
      </c>
      <c r="I76">
        <v>0.75</v>
      </c>
      <c r="J76">
        <v>0.64</v>
      </c>
      <c r="K76">
        <v>0</v>
      </c>
      <c r="L76">
        <v>0</v>
      </c>
      <c r="M76">
        <v>0</v>
      </c>
      <c r="N76">
        <v>0</v>
      </c>
      <c r="O76">
        <v>0</v>
      </c>
      <c r="P76">
        <v>1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1</v>
      </c>
      <c r="X76">
        <v>0</v>
      </c>
      <c r="Y76">
        <v>1</v>
      </c>
      <c r="Z76">
        <v>0</v>
      </c>
      <c r="AA76" s="86">
        <f>AVERAGEIFS($C$2:C76, $B$2:B76, B76)</f>
        <v>22.5</v>
      </c>
      <c r="AB76" s="86">
        <f>AVERAGEIFS($I$2:I76, $B$2:B76, B76)</f>
        <v>0.875</v>
      </c>
      <c r="AC76" s="86">
        <f>AVERAGEIFS($J$2:J76, $B$2:B76, B76)</f>
        <v>0.72</v>
      </c>
      <c r="AD76" s="86">
        <f>AVERAGEIFS($D$2:D76, $B$2:B76, B76)</f>
        <v>1</v>
      </c>
    </row>
    <row r="77" spans="1:30" x14ac:dyDescent="0.25">
      <c r="A77" s="85">
        <v>46118</v>
      </c>
      <c r="B77" t="s">
        <v>27</v>
      </c>
      <c r="C77">
        <v>10</v>
      </c>
      <c r="D77" s="86">
        <v>1</v>
      </c>
      <c r="E77">
        <v>4</v>
      </c>
      <c r="F77">
        <v>3</v>
      </c>
      <c r="G77">
        <v>14</v>
      </c>
      <c r="H77">
        <v>9</v>
      </c>
      <c r="I77">
        <v>0.75</v>
      </c>
      <c r="J77">
        <v>0.64</v>
      </c>
      <c r="K77">
        <v>0</v>
      </c>
      <c r="L77">
        <v>0</v>
      </c>
      <c r="M77">
        <v>0</v>
      </c>
      <c r="N77">
        <v>0</v>
      </c>
      <c r="O77">
        <v>0</v>
      </c>
      <c r="P77">
        <v>1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1</v>
      </c>
      <c r="X77">
        <v>0</v>
      </c>
      <c r="Y77">
        <v>1</v>
      </c>
      <c r="Z77">
        <v>0</v>
      </c>
      <c r="AA77" s="86">
        <f>AVERAGEIFS($C$2:C77, $B$2:B77, B77)</f>
        <v>12</v>
      </c>
      <c r="AB77" s="86">
        <f>AVERAGEIFS($I$2:I77, $B$2:B77, B77)</f>
        <v>0.75</v>
      </c>
      <c r="AC77" s="86">
        <f>AVERAGEIFS($J$2:J77, $B$2:B77, B77)</f>
        <v>0.68500000000000005</v>
      </c>
      <c r="AD77" s="86">
        <f>AVERAGEIFS($D$2:D77, $B$2:B77, B77)</f>
        <v>1</v>
      </c>
    </row>
    <row r="78" spans="1:30" x14ac:dyDescent="0.25">
      <c r="A78" s="85">
        <v>46118</v>
      </c>
      <c r="B78" t="s">
        <v>148</v>
      </c>
      <c r="C78">
        <v>14</v>
      </c>
      <c r="D78" s="86">
        <v>1</v>
      </c>
      <c r="E78">
        <v>4</v>
      </c>
      <c r="F78">
        <v>3</v>
      </c>
      <c r="G78">
        <v>14</v>
      </c>
      <c r="H78">
        <v>9</v>
      </c>
      <c r="I78">
        <v>0.75</v>
      </c>
      <c r="J78">
        <v>0.64</v>
      </c>
      <c r="K78">
        <v>0</v>
      </c>
      <c r="L78">
        <v>0</v>
      </c>
      <c r="M78">
        <v>0</v>
      </c>
      <c r="N78">
        <v>0</v>
      </c>
      <c r="O78">
        <v>0</v>
      </c>
      <c r="P78">
        <v>1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1</v>
      </c>
      <c r="X78">
        <v>0</v>
      </c>
      <c r="Y78">
        <v>1</v>
      </c>
      <c r="Z78">
        <v>0</v>
      </c>
      <c r="AA78" s="86">
        <f>AVERAGEIFS($C$2:C78, $B$2:B78, B78)</f>
        <v>14.833333333333334</v>
      </c>
      <c r="AB78" s="86">
        <f>AVERAGEIFS($I$2:I78, $B$2:B78, B78)</f>
        <v>0.78333333333333333</v>
      </c>
      <c r="AC78" s="86">
        <f>AVERAGEIFS($J$2:J78, $B$2:B78, B78)</f>
        <v>0.66999999999999993</v>
      </c>
      <c r="AD78" s="86">
        <f>AVERAGEIFS($D$2:D78, $B$2:B78, B78)</f>
        <v>1</v>
      </c>
    </row>
    <row r="79" spans="1:30" x14ac:dyDescent="0.25">
      <c r="A79" s="85">
        <v>46118</v>
      </c>
      <c r="B79" t="s">
        <v>35</v>
      </c>
      <c r="C79">
        <v>19</v>
      </c>
      <c r="D79" s="86">
        <v>1</v>
      </c>
      <c r="E79">
        <v>4</v>
      </c>
      <c r="F79">
        <v>3</v>
      </c>
      <c r="G79">
        <v>14</v>
      </c>
      <c r="H79">
        <v>9</v>
      </c>
      <c r="I79">
        <v>0.75</v>
      </c>
      <c r="J79">
        <v>0.64</v>
      </c>
      <c r="K79">
        <v>0</v>
      </c>
      <c r="L79">
        <v>0</v>
      </c>
      <c r="M79">
        <v>0</v>
      </c>
      <c r="N79">
        <v>0</v>
      </c>
      <c r="O79">
        <v>0</v>
      </c>
      <c r="P79">
        <v>1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1</v>
      </c>
      <c r="X79">
        <v>0</v>
      </c>
      <c r="Y79">
        <v>1</v>
      </c>
      <c r="Z79">
        <v>0</v>
      </c>
      <c r="AA79" s="86">
        <f>AVERAGEIFS($C$2:C79, $B$2:B79, B79)</f>
        <v>13.75</v>
      </c>
      <c r="AB79" s="86">
        <f>AVERAGEIFS($I$2:I79, $B$2:B79, B79)</f>
        <v>0.35</v>
      </c>
      <c r="AC79" s="86">
        <f>AVERAGEIFS($J$2:J79, $B$2:B79, B79)</f>
        <v>0.39249999999999996</v>
      </c>
      <c r="AD79" s="86">
        <f>AVERAGEIFS($D$2:D79, $B$2:B79, B79)</f>
        <v>0.25</v>
      </c>
    </row>
    <row r="80" spans="1:30" x14ac:dyDescent="0.25">
      <c r="A80" s="85">
        <v>46118</v>
      </c>
      <c r="B80" t="s">
        <v>29</v>
      </c>
      <c r="C80">
        <v>13</v>
      </c>
      <c r="D80" s="86">
        <v>1</v>
      </c>
      <c r="E80">
        <v>4</v>
      </c>
      <c r="F80">
        <v>3</v>
      </c>
      <c r="G80">
        <v>14</v>
      </c>
      <c r="H80">
        <v>9</v>
      </c>
      <c r="I80">
        <v>0.75</v>
      </c>
      <c r="J80">
        <v>0.64</v>
      </c>
      <c r="K80">
        <v>0</v>
      </c>
      <c r="L80">
        <v>0</v>
      </c>
      <c r="M80">
        <v>0</v>
      </c>
      <c r="N80">
        <v>0</v>
      </c>
      <c r="O80">
        <v>0</v>
      </c>
      <c r="P80">
        <v>1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1</v>
      </c>
      <c r="X80">
        <v>0</v>
      </c>
      <c r="Y80">
        <v>1</v>
      </c>
      <c r="Z80">
        <v>0</v>
      </c>
      <c r="AA80" s="86">
        <f>AVERAGEIFS($C$2:C80, $B$2:B80, B80)</f>
        <v>14.5</v>
      </c>
      <c r="AB80" s="86">
        <f>AVERAGEIFS($I$2:I80, $B$2:B80, B80)</f>
        <v>0.53749999999999998</v>
      </c>
      <c r="AC80" s="86">
        <f>AVERAGEIFS($J$2:J80, $B$2:B80, B80)</f>
        <v>0.5625</v>
      </c>
      <c r="AD80" s="86">
        <f>AVERAGEIFS($D$2:D80, $B$2:B80, B80)</f>
        <v>0.5</v>
      </c>
    </row>
    <row r="81" spans="1:30" x14ac:dyDescent="0.25">
      <c r="A81" s="85">
        <v>46118</v>
      </c>
      <c r="B81" t="s">
        <v>150</v>
      </c>
      <c r="C81">
        <v>14</v>
      </c>
      <c r="D81" s="86">
        <v>1</v>
      </c>
      <c r="E81">
        <v>4</v>
      </c>
      <c r="F81">
        <v>3</v>
      </c>
      <c r="G81">
        <v>14</v>
      </c>
      <c r="H81">
        <v>9</v>
      </c>
      <c r="I81">
        <v>0.75</v>
      </c>
      <c r="J81">
        <v>0.64</v>
      </c>
      <c r="K81">
        <v>0</v>
      </c>
      <c r="L81">
        <v>0</v>
      </c>
      <c r="M81">
        <v>0</v>
      </c>
      <c r="N81">
        <v>0</v>
      </c>
      <c r="O81">
        <v>0</v>
      </c>
      <c r="P81">
        <v>1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1</v>
      </c>
      <c r="Z81">
        <v>0</v>
      </c>
      <c r="AA81" s="86">
        <f>AVERAGEIFS($C$2:C81, $B$2:B81, B81)</f>
        <v>11.5</v>
      </c>
      <c r="AB81" s="86">
        <f>AVERAGEIFS($I$2:I81, $B$2:B81, B81)</f>
        <v>0.75</v>
      </c>
      <c r="AC81" s="86">
        <f>AVERAGEIFS($J$2:J81, $B$2:B81, B81)</f>
        <v>0.68500000000000005</v>
      </c>
      <c r="AD81" s="86">
        <f>AVERAGEIFS($D$2:D81, $B$2:B81, B81)</f>
        <v>1</v>
      </c>
    </row>
    <row r="82" spans="1:30" x14ac:dyDescent="0.25">
      <c r="A82" s="85">
        <v>46118</v>
      </c>
      <c r="B82" t="s">
        <v>17</v>
      </c>
      <c r="C82">
        <v>27</v>
      </c>
      <c r="D82" s="86">
        <v>0</v>
      </c>
      <c r="E82">
        <v>4</v>
      </c>
      <c r="F82">
        <v>1</v>
      </c>
      <c r="G82">
        <v>14</v>
      </c>
      <c r="H82">
        <v>5</v>
      </c>
      <c r="I82">
        <v>0.25</v>
      </c>
      <c r="J82">
        <v>0.36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0</v>
      </c>
      <c r="AA82" s="86">
        <f>AVERAGEIFS($C$2:C82, $B$2:B82, B82)</f>
        <v>17.2</v>
      </c>
      <c r="AB82" s="86">
        <f>AVERAGEIFS($I$2:I82, $B$2:B82, B82)</f>
        <v>0.42000000000000004</v>
      </c>
      <c r="AC82" s="86">
        <f>AVERAGEIFS($J$2:J82, $B$2:B82, B82)</f>
        <v>0.47599999999999998</v>
      </c>
      <c r="AD82" s="86">
        <f>AVERAGEIFS($D$2:D82, $B$2:B82, B82)</f>
        <v>0.4</v>
      </c>
    </row>
    <row r="83" spans="1:30" x14ac:dyDescent="0.25">
      <c r="A83" s="85">
        <v>46118</v>
      </c>
      <c r="B83" t="s">
        <v>15</v>
      </c>
      <c r="C83">
        <v>32</v>
      </c>
      <c r="D83" s="86">
        <v>0</v>
      </c>
      <c r="E83">
        <v>4</v>
      </c>
      <c r="F83">
        <v>1</v>
      </c>
      <c r="G83">
        <v>14</v>
      </c>
      <c r="H83">
        <v>5</v>
      </c>
      <c r="I83">
        <v>0.25</v>
      </c>
      <c r="J83">
        <v>0.36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1</v>
      </c>
      <c r="Y83">
        <v>0</v>
      </c>
      <c r="Z83">
        <v>0</v>
      </c>
      <c r="AA83" s="86">
        <f>AVERAGEIFS($C$2:C83, $B$2:B83, B83)</f>
        <v>27</v>
      </c>
      <c r="AB83" s="86">
        <f>AVERAGEIFS($I$2:I83, $B$2:B83, B83)</f>
        <v>0.6</v>
      </c>
      <c r="AC83" s="86">
        <f>AVERAGEIFS($J$2:J83, $B$2:B83, B83)</f>
        <v>0.53999999999999992</v>
      </c>
      <c r="AD83" s="86">
        <f>AVERAGEIFS($D$2:D83, $B$2:B83, B83)</f>
        <v>0.5</v>
      </c>
    </row>
    <row r="84" spans="1:30" x14ac:dyDescent="0.25">
      <c r="A84" s="85">
        <v>46118</v>
      </c>
      <c r="B84" t="s">
        <v>25</v>
      </c>
      <c r="C84">
        <v>18</v>
      </c>
      <c r="D84" s="86">
        <v>0</v>
      </c>
      <c r="E84">
        <v>4</v>
      </c>
      <c r="F84">
        <v>1</v>
      </c>
      <c r="G84">
        <v>14</v>
      </c>
      <c r="H84">
        <v>5</v>
      </c>
      <c r="I84">
        <v>0.25</v>
      </c>
      <c r="J84">
        <v>0.36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1</v>
      </c>
      <c r="Y84">
        <v>0</v>
      </c>
      <c r="Z84">
        <v>0</v>
      </c>
      <c r="AA84" s="86">
        <f>AVERAGEIFS($C$2:C84, $B$2:B84, B84)</f>
        <v>18.5</v>
      </c>
      <c r="AB84" s="86">
        <f>AVERAGEIFS($I$2:I84, $B$2:B84, B84)</f>
        <v>0.25</v>
      </c>
      <c r="AC84" s="86">
        <f>AVERAGEIFS($J$2:J84, $B$2:B84, B84)</f>
        <v>0.315</v>
      </c>
      <c r="AD84" s="86">
        <f>AVERAGEIFS($D$2:D84, $B$2:B84, B84)</f>
        <v>0</v>
      </c>
    </row>
    <row r="85" spans="1:30" x14ac:dyDescent="0.25">
      <c r="A85" s="85">
        <v>46118</v>
      </c>
      <c r="B85" t="s">
        <v>155</v>
      </c>
      <c r="C85">
        <v>19</v>
      </c>
      <c r="D85" s="86">
        <v>0</v>
      </c>
      <c r="E85">
        <v>4</v>
      </c>
      <c r="F85">
        <v>1</v>
      </c>
      <c r="G85">
        <v>14</v>
      </c>
      <c r="H85">
        <v>5</v>
      </c>
      <c r="I85">
        <v>0.25</v>
      </c>
      <c r="J85">
        <v>0.36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1</v>
      </c>
      <c r="Y85">
        <v>0</v>
      </c>
      <c r="Z85">
        <v>0</v>
      </c>
      <c r="AA85" s="86">
        <f>AVERAGEIFS($C$2:C85, $B$2:B85, B85)</f>
        <v>21.333333333333332</v>
      </c>
      <c r="AB85" s="86">
        <f>AVERAGEIFS($I$2:I85, $B$2:B85, B85)</f>
        <v>0.3666666666666667</v>
      </c>
      <c r="AC85" s="86">
        <f>AVERAGEIFS($J$2:J85, $B$2:B85, B85)</f>
        <v>0.41666666666666669</v>
      </c>
      <c r="AD85" s="86">
        <f>AVERAGEIFS($D$2:D85, $B$2:B85, B85)</f>
        <v>0.33333333333333331</v>
      </c>
    </row>
    <row r="86" spans="1:30" x14ac:dyDescent="0.25">
      <c r="A86" s="85">
        <v>46118</v>
      </c>
      <c r="B86" t="s">
        <v>45</v>
      </c>
      <c r="C86">
        <v>16</v>
      </c>
      <c r="D86" s="86">
        <v>0</v>
      </c>
      <c r="E86">
        <v>4</v>
      </c>
      <c r="F86">
        <v>1</v>
      </c>
      <c r="G86">
        <v>14</v>
      </c>
      <c r="H86">
        <v>5</v>
      </c>
      <c r="I86">
        <v>0.25</v>
      </c>
      <c r="J86">
        <v>0.36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1</v>
      </c>
      <c r="Y86">
        <v>0</v>
      </c>
      <c r="Z86">
        <v>0</v>
      </c>
      <c r="AA86" s="86">
        <f>AVERAGEIFS($C$2:C86, $B$2:B86, B86)</f>
        <v>13.333333333333334</v>
      </c>
      <c r="AB86" s="86">
        <f>AVERAGEIFS($I$2:I86, $B$2:B86, B86)</f>
        <v>0.3666666666666667</v>
      </c>
      <c r="AC86" s="86">
        <f>AVERAGEIFS($J$2:J86, $B$2:B86, B86)</f>
        <v>0.41666666666666669</v>
      </c>
      <c r="AD86" s="86">
        <f>AVERAGEIFS($D$2:D86, $B$2:B86, B86)</f>
        <v>0.33333333333333331</v>
      </c>
    </row>
    <row r="87" spans="1:30" x14ac:dyDescent="0.25">
      <c r="A87" s="85">
        <v>46118</v>
      </c>
      <c r="B87" t="s">
        <v>26</v>
      </c>
      <c r="C87">
        <v>8</v>
      </c>
      <c r="D87" s="86">
        <v>0</v>
      </c>
      <c r="E87">
        <v>4</v>
      </c>
      <c r="F87">
        <v>1</v>
      </c>
      <c r="G87">
        <v>14</v>
      </c>
      <c r="H87">
        <v>5</v>
      </c>
      <c r="I87">
        <v>0.25</v>
      </c>
      <c r="J87">
        <v>0.36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1</v>
      </c>
      <c r="Y87">
        <v>0</v>
      </c>
      <c r="Z87">
        <v>0</v>
      </c>
      <c r="AA87" s="86">
        <f>AVERAGEIFS($C$2:C87, $B$2:B87, B87)</f>
        <v>7</v>
      </c>
      <c r="AB87" s="86">
        <f>AVERAGEIFS($I$2:I87, $B$2:B87, B87)</f>
        <v>0.25</v>
      </c>
      <c r="AC87" s="86">
        <f>AVERAGEIFS($J$2:J87, $B$2:B87, B87)</f>
        <v>0.315</v>
      </c>
      <c r="AD87" s="86">
        <f>AVERAGEIFS($D$2:D87, $B$2:B87, B87)</f>
        <v>0</v>
      </c>
    </row>
    <row r="88" spans="1:30" x14ac:dyDescent="0.25">
      <c r="A88" s="85">
        <v>46118</v>
      </c>
      <c r="B88" t="s">
        <v>139</v>
      </c>
      <c r="C88">
        <v>8</v>
      </c>
      <c r="D88" s="86">
        <v>0</v>
      </c>
      <c r="E88">
        <v>4</v>
      </c>
      <c r="F88">
        <v>1</v>
      </c>
      <c r="G88">
        <v>14</v>
      </c>
      <c r="H88">
        <v>5</v>
      </c>
      <c r="I88">
        <v>0.25</v>
      </c>
      <c r="J88">
        <v>0.36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1</v>
      </c>
      <c r="Y88">
        <v>0</v>
      </c>
      <c r="Z88">
        <v>0</v>
      </c>
      <c r="AA88" s="86">
        <f>AVERAGEIFS($C$2:C88, $B$2:B88, B88)</f>
        <v>7.5</v>
      </c>
      <c r="AB88" s="86">
        <f>AVERAGEIFS($I$2:I88, $B$2:B88, B88)</f>
        <v>0.25</v>
      </c>
      <c r="AC88" s="86">
        <f>AVERAGEIFS($J$2:J88, $B$2:B88, B88)</f>
        <v>0.315</v>
      </c>
      <c r="AD88" s="86">
        <f>AVERAGEIFS($D$2:D88, $B$2:B88, B88)</f>
        <v>0</v>
      </c>
    </row>
    <row r="89" spans="1:30" x14ac:dyDescent="0.25">
      <c r="A89" s="85">
        <v>46118</v>
      </c>
      <c r="B89" t="s">
        <v>55</v>
      </c>
      <c r="C89">
        <v>7</v>
      </c>
      <c r="D89" s="86">
        <v>0</v>
      </c>
      <c r="E89">
        <v>4</v>
      </c>
      <c r="F89">
        <v>1</v>
      </c>
      <c r="G89">
        <v>14</v>
      </c>
      <c r="H89">
        <v>5</v>
      </c>
      <c r="I89">
        <v>0.25</v>
      </c>
      <c r="J89">
        <v>0.36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1</v>
      </c>
      <c r="Y89">
        <v>0</v>
      </c>
      <c r="Z89">
        <v>0</v>
      </c>
      <c r="AA89" s="86">
        <f>AVERAGEIFS($C$2:C89, $B$2:B89, B89)</f>
        <v>5.333333333333333</v>
      </c>
      <c r="AB89" s="86">
        <f>AVERAGEIFS($I$2:I89, $B$2:B89, B89)</f>
        <v>0.66666666666666663</v>
      </c>
      <c r="AC89" s="86">
        <f>AVERAGEIFS($J$2:J89, $B$2:B89, B89)</f>
        <v>0.6366666666666666</v>
      </c>
      <c r="AD89" s="86">
        <f>AVERAGEIFS($D$2:D89, $B$2:B89, B89)</f>
        <v>0.66666666666666663</v>
      </c>
    </row>
    <row r="90" spans="1:30" x14ac:dyDescent="0.25">
      <c r="A90" s="85">
        <v>46120</v>
      </c>
      <c r="B90" t="s">
        <v>37</v>
      </c>
      <c r="C90">
        <v>21</v>
      </c>
      <c r="D90" s="86">
        <v>1</v>
      </c>
      <c r="E90">
        <v>4</v>
      </c>
      <c r="F90">
        <v>3</v>
      </c>
      <c r="G90">
        <v>15</v>
      </c>
      <c r="H90">
        <v>10</v>
      </c>
      <c r="I90">
        <v>0.75</v>
      </c>
      <c r="J90">
        <v>0.67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 s="86">
        <f>AVERAGEIFS($C$2:C90, $B$2:B90, B90)</f>
        <v>28.5</v>
      </c>
      <c r="AB90" s="86">
        <f>AVERAGEIFS($I$2:I90, $B$2:B90, B90)</f>
        <v>0.67500000000000004</v>
      </c>
      <c r="AC90" s="86">
        <f>AVERAGEIFS($J$2:J90, $B$2:B90, B90)</f>
        <v>0.64500000000000002</v>
      </c>
      <c r="AD90" s="86">
        <f>AVERAGEIFS($D$2:D90, $B$2:B90, B90)</f>
        <v>1</v>
      </c>
    </row>
    <row r="91" spans="1:30" x14ac:dyDescent="0.25">
      <c r="A91" s="85">
        <v>46120</v>
      </c>
      <c r="B91" t="s">
        <v>25</v>
      </c>
      <c r="C91">
        <v>19</v>
      </c>
      <c r="D91" s="86">
        <v>1</v>
      </c>
      <c r="E91">
        <v>4</v>
      </c>
      <c r="F91">
        <v>3</v>
      </c>
      <c r="G91">
        <v>15</v>
      </c>
      <c r="H91">
        <v>10</v>
      </c>
      <c r="I91">
        <v>0.75</v>
      </c>
      <c r="J91">
        <v>0.67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 s="86">
        <f>AVERAGEIFS($C$2:C91, $B$2:B91, B91)</f>
        <v>18.666666666666668</v>
      </c>
      <c r="AB91" s="86">
        <f>AVERAGEIFS($I$2:I91, $B$2:B91, B91)</f>
        <v>0.41666666666666669</v>
      </c>
      <c r="AC91" s="86">
        <f>AVERAGEIFS($J$2:J91, $B$2:B91, B91)</f>
        <v>0.43333333333333335</v>
      </c>
      <c r="AD91" s="86">
        <f>AVERAGEIFS($D$2:D91, $B$2:B91, B91)</f>
        <v>0.33333333333333331</v>
      </c>
    </row>
    <row r="92" spans="1:30" x14ac:dyDescent="0.25">
      <c r="A92" s="85">
        <v>46120</v>
      </c>
      <c r="B92" t="s">
        <v>13</v>
      </c>
      <c r="C92">
        <v>14</v>
      </c>
      <c r="D92" s="86">
        <v>1</v>
      </c>
      <c r="E92">
        <v>4</v>
      </c>
      <c r="F92">
        <v>3</v>
      </c>
      <c r="G92">
        <v>15</v>
      </c>
      <c r="H92">
        <v>10</v>
      </c>
      <c r="I92">
        <v>0.75</v>
      </c>
      <c r="J92">
        <v>0.67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 s="86">
        <f>AVERAGEIFS($C$2:C92, $B$2:B92, B92)</f>
        <v>23.571428571428573</v>
      </c>
      <c r="AB92" s="86">
        <f>AVERAGEIFS($I$2:I92, $B$2:B92, B92)</f>
        <v>0.75</v>
      </c>
      <c r="AC92" s="86">
        <f>AVERAGEIFS($J$2:J92, $B$2:B92, B92)</f>
        <v>0.66428571428571437</v>
      </c>
      <c r="AD92" s="86">
        <f>AVERAGEIFS($D$2:D92, $B$2:B92, B92)</f>
        <v>0.8571428571428571</v>
      </c>
    </row>
    <row r="93" spans="1:30" x14ac:dyDescent="0.25">
      <c r="A93" s="85">
        <v>46120</v>
      </c>
      <c r="B93" t="s">
        <v>20</v>
      </c>
      <c r="C93">
        <v>10</v>
      </c>
      <c r="D93" s="86">
        <v>1</v>
      </c>
      <c r="E93">
        <v>4</v>
      </c>
      <c r="F93">
        <v>3</v>
      </c>
      <c r="G93">
        <v>15</v>
      </c>
      <c r="H93">
        <v>10</v>
      </c>
      <c r="I93">
        <v>0.75</v>
      </c>
      <c r="J93">
        <v>0.67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 s="86">
        <f>AVERAGEIFS($C$2:C93, $B$2:B93, B93)</f>
        <v>10</v>
      </c>
      <c r="AB93" s="86">
        <f>AVERAGEIFS($I$2:I93, $B$2:B93, B93)</f>
        <v>0.375</v>
      </c>
      <c r="AC93" s="86">
        <f>AVERAGEIFS($J$2:J93, $B$2:B93, B93)</f>
        <v>0.49</v>
      </c>
      <c r="AD93" s="86">
        <f>AVERAGEIFS($D$2:D93, $B$2:B93, B93)</f>
        <v>0.5</v>
      </c>
    </row>
    <row r="94" spans="1:30" x14ac:dyDescent="0.25">
      <c r="A94" s="85">
        <v>46120</v>
      </c>
      <c r="B94" t="s">
        <v>45</v>
      </c>
      <c r="C94">
        <v>9</v>
      </c>
      <c r="D94" s="86">
        <v>1</v>
      </c>
      <c r="E94">
        <v>4</v>
      </c>
      <c r="F94">
        <v>3</v>
      </c>
      <c r="G94">
        <v>15</v>
      </c>
      <c r="H94">
        <v>10</v>
      </c>
      <c r="I94">
        <v>0.75</v>
      </c>
      <c r="J94">
        <v>0.67</v>
      </c>
      <c r="K94">
        <v>0</v>
      </c>
      <c r="L94">
        <v>1</v>
      </c>
      <c r="M94">
        <v>0</v>
      </c>
      <c r="N94">
        <v>1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86">
        <f>AVERAGEIFS($C$2:C94, $B$2:B94, B94)</f>
        <v>12.25</v>
      </c>
      <c r="AB94" s="86">
        <f>AVERAGEIFS($I$2:I94, $B$2:B94, B94)</f>
        <v>0.46250000000000002</v>
      </c>
      <c r="AC94" s="86">
        <f>AVERAGEIFS($J$2:J94, $B$2:B94, B94)</f>
        <v>0.48</v>
      </c>
      <c r="AD94" s="86">
        <f>AVERAGEIFS($D$2:D94, $B$2:B94, B94)</f>
        <v>0.5</v>
      </c>
    </row>
    <row r="95" spans="1:30" x14ac:dyDescent="0.25">
      <c r="A95" s="85">
        <v>46120</v>
      </c>
      <c r="B95" t="s">
        <v>19</v>
      </c>
      <c r="C95">
        <v>6</v>
      </c>
      <c r="D95" s="86">
        <v>1</v>
      </c>
      <c r="E95">
        <v>4</v>
      </c>
      <c r="F95">
        <v>3</v>
      </c>
      <c r="G95">
        <v>15</v>
      </c>
      <c r="H95">
        <v>10</v>
      </c>
      <c r="I95">
        <v>0.75</v>
      </c>
      <c r="J95">
        <v>0.67</v>
      </c>
      <c r="K95">
        <v>0</v>
      </c>
      <c r="L95">
        <v>1</v>
      </c>
      <c r="M95">
        <v>0</v>
      </c>
      <c r="N95">
        <v>1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86">
        <f>AVERAGEIFS($C$2:C95, $B$2:B95, B95)</f>
        <v>8</v>
      </c>
      <c r="AB95" s="86">
        <f>AVERAGEIFS($I$2:I95, $B$2:B95, B95)</f>
        <v>0.5</v>
      </c>
      <c r="AC95" s="86">
        <f>AVERAGEIFS($J$2:J95, $B$2:B95, B95)</f>
        <v>0.47000000000000003</v>
      </c>
      <c r="AD95" s="86">
        <f>AVERAGEIFS($D$2:D95, $B$2:B95, B95)</f>
        <v>0.5</v>
      </c>
    </row>
    <row r="96" spans="1:30" x14ac:dyDescent="0.25">
      <c r="A96" s="85">
        <v>46120</v>
      </c>
      <c r="B96" t="s">
        <v>139</v>
      </c>
      <c r="C96">
        <v>5</v>
      </c>
      <c r="D96" s="86">
        <v>1</v>
      </c>
      <c r="E96">
        <v>4</v>
      </c>
      <c r="F96">
        <v>3</v>
      </c>
      <c r="G96">
        <v>15</v>
      </c>
      <c r="H96">
        <v>10</v>
      </c>
      <c r="I96">
        <v>0.75</v>
      </c>
      <c r="J96">
        <v>0.67</v>
      </c>
      <c r="K96">
        <v>0</v>
      </c>
      <c r="L96">
        <v>1</v>
      </c>
      <c r="M96">
        <v>0</v>
      </c>
      <c r="N96">
        <v>1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86">
        <f>AVERAGEIFS($C$2:C96, $B$2:B96, B96)</f>
        <v>6.666666666666667</v>
      </c>
      <c r="AB96" s="86">
        <f>AVERAGEIFS($I$2:I96, $B$2:B96, B96)</f>
        <v>0.41666666666666669</v>
      </c>
      <c r="AC96" s="86">
        <f>AVERAGEIFS($J$2:J96, $B$2:B96, B96)</f>
        <v>0.43333333333333335</v>
      </c>
      <c r="AD96" s="86">
        <f>AVERAGEIFS($D$2:D96, $B$2:B96, B96)</f>
        <v>0.33333333333333331</v>
      </c>
    </row>
    <row r="97" spans="1:30" x14ac:dyDescent="0.25">
      <c r="A97" s="85">
        <v>46120</v>
      </c>
      <c r="B97" t="s">
        <v>17</v>
      </c>
      <c r="C97">
        <v>22</v>
      </c>
      <c r="D97" s="86">
        <v>0</v>
      </c>
      <c r="E97">
        <v>4</v>
      </c>
      <c r="F97">
        <v>1</v>
      </c>
      <c r="G97">
        <v>15</v>
      </c>
      <c r="H97">
        <v>5</v>
      </c>
      <c r="I97">
        <v>0.25</v>
      </c>
      <c r="J97">
        <v>0.33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1</v>
      </c>
      <c r="Y97">
        <v>0</v>
      </c>
      <c r="Z97">
        <v>0</v>
      </c>
      <c r="AA97" s="86">
        <f>AVERAGEIFS($C$2:C97, $B$2:B97, B97)</f>
        <v>18</v>
      </c>
      <c r="AB97" s="86">
        <f>AVERAGEIFS($I$2:I97, $B$2:B97, B97)</f>
        <v>0.39166666666666666</v>
      </c>
      <c r="AC97" s="86">
        <f>AVERAGEIFS($J$2:J97, $B$2:B97, B97)</f>
        <v>0.45166666666666666</v>
      </c>
      <c r="AD97" s="86">
        <f>AVERAGEIFS($D$2:D97, $B$2:B97, B97)</f>
        <v>0.33333333333333331</v>
      </c>
    </row>
    <row r="98" spans="1:30" x14ac:dyDescent="0.25">
      <c r="A98" s="85">
        <v>46120</v>
      </c>
      <c r="B98" t="s">
        <v>15</v>
      </c>
      <c r="C98">
        <v>14</v>
      </c>
      <c r="D98" s="86">
        <v>0</v>
      </c>
      <c r="E98">
        <v>4</v>
      </c>
      <c r="F98">
        <v>1</v>
      </c>
      <c r="G98">
        <v>15</v>
      </c>
      <c r="H98">
        <v>5</v>
      </c>
      <c r="I98">
        <v>0.25</v>
      </c>
      <c r="J98">
        <v>0.33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1</v>
      </c>
      <c r="Y98">
        <v>0</v>
      </c>
      <c r="Z98">
        <v>0</v>
      </c>
      <c r="AA98" s="86">
        <f>AVERAGEIFS($C$2:C98, $B$2:B98, B98)</f>
        <v>24.4</v>
      </c>
      <c r="AB98" s="86">
        <f>AVERAGEIFS($I$2:I98, $B$2:B98, B98)</f>
        <v>0.53</v>
      </c>
      <c r="AC98" s="86">
        <f>AVERAGEIFS($J$2:J98, $B$2:B98, B98)</f>
        <v>0.49799999999999994</v>
      </c>
      <c r="AD98" s="86">
        <f>AVERAGEIFS($D$2:D98, $B$2:B98, B98)</f>
        <v>0.4</v>
      </c>
    </row>
    <row r="99" spans="1:30" x14ac:dyDescent="0.25">
      <c r="A99" s="85">
        <v>46120</v>
      </c>
      <c r="B99" t="s">
        <v>14</v>
      </c>
      <c r="C99">
        <v>10</v>
      </c>
      <c r="D99" s="86">
        <v>0</v>
      </c>
      <c r="E99">
        <v>4</v>
      </c>
      <c r="F99">
        <v>1</v>
      </c>
      <c r="G99">
        <v>15</v>
      </c>
      <c r="H99">
        <v>5</v>
      </c>
      <c r="I99">
        <v>0.25</v>
      </c>
      <c r="J99">
        <v>0.33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1</v>
      </c>
      <c r="Y99">
        <v>0</v>
      </c>
      <c r="Z99">
        <v>0</v>
      </c>
      <c r="AA99" s="86">
        <f>AVERAGEIFS($C$2:C99, $B$2:B99, B99)</f>
        <v>20</v>
      </c>
      <c r="AB99" s="86">
        <f>AVERAGEIFS($I$2:I99, $B$2:B99, B99)</f>
        <v>0.41249999999999998</v>
      </c>
      <c r="AC99" s="86">
        <f>AVERAGEIFS($J$2:J99, $B$2:B99, B99)</f>
        <v>0.45999999999999996</v>
      </c>
      <c r="AD99" s="86">
        <f>AVERAGEIFS($D$2:D99, $B$2:B99, B99)</f>
        <v>0.25</v>
      </c>
    </row>
    <row r="100" spans="1:30" x14ac:dyDescent="0.25">
      <c r="A100" s="85">
        <v>46120</v>
      </c>
      <c r="B100" t="s">
        <v>155</v>
      </c>
      <c r="C100">
        <v>8</v>
      </c>
      <c r="D100" s="86">
        <v>0</v>
      </c>
      <c r="E100">
        <v>4</v>
      </c>
      <c r="F100">
        <v>1</v>
      </c>
      <c r="G100">
        <v>15</v>
      </c>
      <c r="H100">
        <v>5</v>
      </c>
      <c r="I100">
        <v>0.25</v>
      </c>
      <c r="J100">
        <v>0.33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1</v>
      </c>
      <c r="Y100">
        <v>0</v>
      </c>
      <c r="Z100">
        <v>0</v>
      </c>
      <c r="AA100" s="86">
        <f>AVERAGEIFS($C$2:C100, $B$2:B100, B100)</f>
        <v>18</v>
      </c>
      <c r="AB100" s="86">
        <f>AVERAGEIFS($I$2:I100, $B$2:B100, B100)</f>
        <v>0.33750000000000002</v>
      </c>
      <c r="AC100" s="86">
        <f>AVERAGEIFS($J$2:J100, $B$2:B100, B100)</f>
        <v>0.39500000000000002</v>
      </c>
      <c r="AD100" s="86">
        <f>AVERAGEIFS($D$2:D100, $B$2:B100, B100)</f>
        <v>0.25</v>
      </c>
    </row>
    <row r="101" spans="1:30" x14ac:dyDescent="0.25">
      <c r="A101" s="85">
        <v>46120</v>
      </c>
      <c r="B101" t="s">
        <v>29</v>
      </c>
      <c r="C101">
        <v>6</v>
      </c>
      <c r="D101" s="86">
        <v>0</v>
      </c>
      <c r="E101">
        <v>4</v>
      </c>
      <c r="F101">
        <v>1</v>
      </c>
      <c r="G101">
        <v>15</v>
      </c>
      <c r="H101">
        <v>5</v>
      </c>
      <c r="I101">
        <v>0.25</v>
      </c>
      <c r="J101">
        <v>0.33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86">
        <f>AVERAGEIFS($C$2:C101, $B$2:B101, B101)</f>
        <v>12.8</v>
      </c>
      <c r="AB101" s="86">
        <f>AVERAGEIFS($I$2:I101, $B$2:B101, B101)</f>
        <v>0.48</v>
      </c>
      <c r="AC101" s="86">
        <f>AVERAGEIFS($J$2:J101, $B$2:B101, B101)</f>
        <v>0.51600000000000001</v>
      </c>
      <c r="AD101" s="86">
        <f>AVERAGEIFS($D$2:D101, $B$2:B101, B101)</f>
        <v>0.4</v>
      </c>
    </row>
    <row r="102" spans="1:30" x14ac:dyDescent="0.25">
      <c r="A102" s="85">
        <v>46120</v>
      </c>
      <c r="B102" t="s">
        <v>35</v>
      </c>
      <c r="C102">
        <v>4</v>
      </c>
      <c r="D102" s="86">
        <v>0</v>
      </c>
      <c r="E102">
        <v>4</v>
      </c>
      <c r="F102">
        <v>1</v>
      </c>
      <c r="G102">
        <v>15</v>
      </c>
      <c r="H102">
        <v>5</v>
      </c>
      <c r="I102">
        <v>0.25</v>
      </c>
      <c r="J102">
        <v>0.33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86">
        <f>AVERAGEIFS($C$2:C102, $B$2:B102, B102)</f>
        <v>11.8</v>
      </c>
      <c r="AB102" s="86">
        <f>AVERAGEIFS($I$2:I102, $B$2:B102, B102)</f>
        <v>0.32999999999999996</v>
      </c>
      <c r="AC102" s="86">
        <f>AVERAGEIFS($J$2:J102, $B$2:B102, B102)</f>
        <v>0.38</v>
      </c>
      <c r="AD102" s="86">
        <f>AVERAGEIFS($D$2:D102, $B$2:B102, B102)</f>
        <v>0.2</v>
      </c>
    </row>
    <row r="103" spans="1:30" x14ac:dyDescent="0.25">
      <c r="A103" s="85">
        <v>46120</v>
      </c>
      <c r="B103" t="s">
        <v>148</v>
      </c>
      <c r="C103">
        <v>2</v>
      </c>
      <c r="D103" s="86">
        <v>0</v>
      </c>
      <c r="E103">
        <v>4</v>
      </c>
      <c r="F103">
        <v>1</v>
      </c>
      <c r="G103">
        <v>15</v>
      </c>
      <c r="H103">
        <v>5</v>
      </c>
      <c r="I103">
        <v>0.25</v>
      </c>
      <c r="J103">
        <v>0.33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86">
        <f>AVERAGEIFS($C$2:C103, $B$2:B103, B103)</f>
        <v>13</v>
      </c>
      <c r="AB103" s="86">
        <f>AVERAGEIFS($I$2:I103, $B$2:B103, B103)</f>
        <v>0.70714285714285718</v>
      </c>
      <c r="AC103" s="86">
        <f>AVERAGEIFS($J$2:J103, $B$2:B103, B103)</f>
        <v>0.62142857142857133</v>
      </c>
      <c r="AD103" s="86">
        <f>AVERAGEIFS($D$2:D103, $B$2:B103, B103)</f>
        <v>0.8571428571428571</v>
      </c>
    </row>
    <row r="104" spans="1:30" x14ac:dyDescent="0.25">
      <c r="A104" s="85">
        <v>46120</v>
      </c>
      <c r="B104" t="s">
        <v>13</v>
      </c>
      <c r="C104">
        <v>31</v>
      </c>
      <c r="D104" s="86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1</v>
      </c>
      <c r="L104">
        <v>0</v>
      </c>
      <c r="M104">
        <v>0</v>
      </c>
      <c r="N104">
        <v>0</v>
      </c>
      <c r="O104">
        <v>0</v>
      </c>
      <c r="P104">
        <v>1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1</v>
      </c>
      <c r="Z104">
        <v>0</v>
      </c>
      <c r="AA104" s="86">
        <f>AVERAGEIFS($C$2:C104, $B$2:B104, B104)</f>
        <v>24.5</v>
      </c>
      <c r="AB104" s="86">
        <f>AVERAGEIFS($I$2:I104, $B$2:B104, B104)</f>
        <v>0.75</v>
      </c>
      <c r="AC104" s="86">
        <f>AVERAGEIFS($J$2:J104, $B$2:B104, B104)</f>
        <v>0.66</v>
      </c>
      <c r="AD104" s="86">
        <f>AVERAGEIFS($D$2:D104, $B$2:B104, B104)</f>
        <v>0.875</v>
      </c>
    </row>
    <row r="105" spans="1:30" x14ac:dyDescent="0.25">
      <c r="A105" s="85">
        <v>46120</v>
      </c>
      <c r="B105" t="s">
        <v>15</v>
      </c>
      <c r="C105">
        <v>28</v>
      </c>
      <c r="D105" s="86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1</v>
      </c>
      <c r="L105">
        <v>0</v>
      </c>
      <c r="M105">
        <v>0</v>
      </c>
      <c r="N105">
        <v>0</v>
      </c>
      <c r="O105">
        <v>0</v>
      </c>
      <c r="P105">
        <v>1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1</v>
      </c>
      <c r="Z105">
        <v>0</v>
      </c>
      <c r="AA105" s="86">
        <f>AVERAGEIFS($C$2:C105, $B$2:B105, B105)</f>
        <v>25</v>
      </c>
      <c r="AB105" s="86">
        <f>AVERAGEIFS($I$2:I105, $B$2:B105, B105)</f>
        <v>0.56666666666666665</v>
      </c>
      <c r="AC105" s="86">
        <f>AVERAGEIFS($J$2:J105, $B$2:B105, B105)</f>
        <v>0.51999999999999991</v>
      </c>
      <c r="AD105" s="86">
        <f>AVERAGEIFS($D$2:D105, $B$2:B105, B105)</f>
        <v>0.5</v>
      </c>
    </row>
    <row r="106" spans="1:30" x14ac:dyDescent="0.25">
      <c r="A106" s="85">
        <v>46120</v>
      </c>
      <c r="B106" t="s">
        <v>45</v>
      </c>
      <c r="C106">
        <v>26</v>
      </c>
      <c r="D106" s="86">
        <v>1</v>
      </c>
      <c r="E106">
        <v>4</v>
      </c>
      <c r="F106">
        <v>3</v>
      </c>
      <c r="G106">
        <v>16</v>
      </c>
      <c r="H106">
        <v>10</v>
      </c>
      <c r="I106">
        <v>0.75</v>
      </c>
      <c r="J106">
        <v>0.63</v>
      </c>
      <c r="K106">
        <v>1</v>
      </c>
      <c r="L106">
        <v>0</v>
      </c>
      <c r="M106">
        <v>0</v>
      </c>
      <c r="N106">
        <v>0</v>
      </c>
      <c r="O106">
        <v>0</v>
      </c>
      <c r="P106">
        <v>1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1</v>
      </c>
      <c r="Z106">
        <v>0</v>
      </c>
      <c r="AA106" s="86">
        <f>AVERAGEIFS($C$2:C106, $B$2:B106, B106)</f>
        <v>15</v>
      </c>
      <c r="AB106" s="86">
        <f>AVERAGEIFS($I$2:I106, $B$2:B106, B106)</f>
        <v>0.52</v>
      </c>
      <c r="AC106" s="86">
        <f>AVERAGEIFS($J$2:J106, $B$2:B106, B106)</f>
        <v>0.51</v>
      </c>
      <c r="AD106" s="86">
        <f>AVERAGEIFS($D$2:D106, $B$2:B106, B106)</f>
        <v>0.6</v>
      </c>
    </row>
    <row r="107" spans="1:30" x14ac:dyDescent="0.25">
      <c r="A107" s="85">
        <v>46120</v>
      </c>
      <c r="B107" t="s">
        <v>139</v>
      </c>
      <c r="C107">
        <v>17</v>
      </c>
      <c r="D107" s="86">
        <v>1</v>
      </c>
      <c r="E107">
        <v>4</v>
      </c>
      <c r="F107">
        <v>3</v>
      </c>
      <c r="G107">
        <v>16</v>
      </c>
      <c r="H107">
        <v>10</v>
      </c>
      <c r="I107">
        <v>0.75</v>
      </c>
      <c r="J107">
        <v>0.63</v>
      </c>
      <c r="K107">
        <v>1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1</v>
      </c>
      <c r="Z107">
        <v>0</v>
      </c>
      <c r="AA107" s="86">
        <f>AVERAGEIFS($C$2:C107, $B$2:B107, B107)</f>
        <v>9.25</v>
      </c>
      <c r="AB107" s="86">
        <f>AVERAGEIFS($I$2:I107, $B$2:B107, B107)</f>
        <v>0.5</v>
      </c>
      <c r="AC107" s="86">
        <f>AVERAGEIFS($J$2:J107, $B$2:B107, B107)</f>
        <v>0.48250000000000004</v>
      </c>
      <c r="AD107" s="86">
        <f>AVERAGEIFS($D$2:D107, $B$2:B107, B107)</f>
        <v>0.5</v>
      </c>
    </row>
    <row r="108" spans="1:30" x14ac:dyDescent="0.25">
      <c r="A108" s="85">
        <v>46120</v>
      </c>
      <c r="B108" t="s">
        <v>25</v>
      </c>
      <c r="C108">
        <v>15</v>
      </c>
      <c r="D108" s="86">
        <v>1</v>
      </c>
      <c r="E108">
        <v>4</v>
      </c>
      <c r="F108">
        <v>3</v>
      </c>
      <c r="G108">
        <v>16</v>
      </c>
      <c r="H108">
        <v>10</v>
      </c>
      <c r="I108">
        <v>0.75</v>
      </c>
      <c r="J108">
        <v>0.63</v>
      </c>
      <c r="K108">
        <v>1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1</v>
      </c>
      <c r="Z108">
        <v>0</v>
      </c>
      <c r="AA108" s="86">
        <f>AVERAGEIFS($C$2:C108, $B$2:B108, B108)</f>
        <v>17.75</v>
      </c>
      <c r="AB108" s="86">
        <f>AVERAGEIFS($I$2:I108, $B$2:B108, B108)</f>
        <v>0.5</v>
      </c>
      <c r="AC108" s="86">
        <f>AVERAGEIFS($J$2:J108, $B$2:B108, B108)</f>
        <v>0.48250000000000004</v>
      </c>
      <c r="AD108" s="86">
        <f>AVERAGEIFS($D$2:D108, $B$2:B108, B108)</f>
        <v>0.5</v>
      </c>
    </row>
    <row r="109" spans="1:30" x14ac:dyDescent="0.25">
      <c r="A109" s="85">
        <v>46120</v>
      </c>
      <c r="B109" t="s">
        <v>20</v>
      </c>
      <c r="C109">
        <v>10</v>
      </c>
      <c r="D109" s="86">
        <v>1</v>
      </c>
      <c r="E109">
        <v>4</v>
      </c>
      <c r="F109">
        <v>3</v>
      </c>
      <c r="G109">
        <v>16</v>
      </c>
      <c r="H109">
        <v>10</v>
      </c>
      <c r="I109">
        <v>0.75</v>
      </c>
      <c r="J109">
        <v>0.63</v>
      </c>
      <c r="K109">
        <v>1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1</v>
      </c>
      <c r="Z109">
        <v>0</v>
      </c>
      <c r="AA109" s="86">
        <f>AVERAGEIFS($C$2:C109, $B$2:B109, B109)</f>
        <v>10</v>
      </c>
      <c r="AB109" s="86">
        <f>AVERAGEIFS($I$2:I109, $B$2:B109, B109)</f>
        <v>0.5</v>
      </c>
      <c r="AC109" s="86">
        <f>AVERAGEIFS($J$2:J109, $B$2:B109, B109)</f>
        <v>0.53666666666666663</v>
      </c>
      <c r="AD109" s="86">
        <f>AVERAGEIFS($D$2:D109, $B$2:B109, B109)</f>
        <v>0.66666666666666663</v>
      </c>
    </row>
    <row r="110" spans="1:30" x14ac:dyDescent="0.25">
      <c r="A110" s="85">
        <v>46120</v>
      </c>
      <c r="B110" t="s">
        <v>19</v>
      </c>
      <c r="C110">
        <v>6</v>
      </c>
      <c r="D110" s="86">
        <v>1</v>
      </c>
      <c r="E110">
        <v>4</v>
      </c>
      <c r="F110">
        <v>3</v>
      </c>
      <c r="G110">
        <v>16</v>
      </c>
      <c r="H110">
        <v>10</v>
      </c>
      <c r="I110">
        <v>0.75</v>
      </c>
      <c r="J110">
        <v>0.63</v>
      </c>
      <c r="K110">
        <v>1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1</v>
      </c>
      <c r="Z110">
        <v>0</v>
      </c>
      <c r="AA110" s="86">
        <f>AVERAGEIFS($C$2:C110, $B$2:B110, B110)</f>
        <v>7.333333333333333</v>
      </c>
      <c r="AB110" s="86">
        <f>AVERAGEIFS($I$2:I110, $B$2:B110, B110)</f>
        <v>0.58333333333333337</v>
      </c>
      <c r="AC110" s="86">
        <f>AVERAGEIFS($J$2:J110, $B$2:B110, B110)</f>
        <v>0.52333333333333332</v>
      </c>
      <c r="AD110" s="86">
        <f>AVERAGEIFS($D$2:D110, $B$2:B110, B110)</f>
        <v>0.66666666666666663</v>
      </c>
    </row>
    <row r="111" spans="1:30" x14ac:dyDescent="0.25">
      <c r="A111" s="85">
        <v>46120</v>
      </c>
      <c r="B111" t="s">
        <v>17</v>
      </c>
      <c r="C111">
        <v>43</v>
      </c>
      <c r="D111" s="86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86">
        <f>AVERAGEIFS($C$2:C111, $B$2:B111, B111)</f>
        <v>21.571428571428573</v>
      </c>
      <c r="AB111" s="86">
        <f>AVERAGEIFS($I$2:I111, $B$2:B111, B111)</f>
        <v>0.37142857142857144</v>
      </c>
      <c r="AC111" s="86">
        <f>AVERAGEIFS($J$2:J111, $B$2:B111, B111)</f>
        <v>0.44142857142857139</v>
      </c>
      <c r="AD111" s="86">
        <f>AVERAGEIFS($D$2:D111, $B$2:B111, B111)</f>
        <v>0.2857142857142857</v>
      </c>
    </row>
    <row r="112" spans="1:30" x14ac:dyDescent="0.25">
      <c r="A112" s="85">
        <v>46120</v>
      </c>
      <c r="B112" t="s">
        <v>14</v>
      </c>
      <c r="C112">
        <v>27</v>
      </c>
      <c r="D112" s="86">
        <v>0</v>
      </c>
      <c r="E112">
        <v>4</v>
      </c>
      <c r="F112">
        <v>1</v>
      </c>
      <c r="G112">
        <v>16</v>
      </c>
      <c r="H112">
        <v>6</v>
      </c>
      <c r="I112">
        <v>0.25</v>
      </c>
      <c r="J112">
        <v>0.38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1</v>
      </c>
      <c r="Y112">
        <v>0</v>
      </c>
      <c r="Z112">
        <v>0</v>
      </c>
      <c r="AA112" s="86">
        <f>AVERAGEIFS($C$2:C112, $B$2:B112, B112)</f>
        <v>21.4</v>
      </c>
      <c r="AB112" s="86">
        <f>AVERAGEIFS($I$2:I112, $B$2:B112, B112)</f>
        <v>0.38</v>
      </c>
      <c r="AC112" s="86">
        <f>AVERAGEIFS($J$2:J112, $B$2:B112, B112)</f>
        <v>0.44399999999999995</v>
      </c>
      <c r="AD112" s="86">
        <f>AVERAGEIFS($D$2:D112, $B$2:B112, B112)</f>
        <v>0.2</v>
      </c>
    </row>
    <row r="113" spans="1:30" x14ac:dyDescent="0.25">
      <c r="A113" s="85">
        <v>46120</v>
      </c>
      <c r="B113" t="s">
        <v>35</v>
      </c>
      <c r="C113">
        <v>20</v>
      </c>
      <c r="D113" s="86">
        <v>0</v>
      </c>
      <c r="E113">
        <v>4</v>
      </c>
      <c r="F113">
        <v>1</v>
      </c>
      <c r="G113">
        <v>16</v>
      </c>
      <c r="H113">
        <v>6</v>
      </c>
      <c r="I113">
        <v>0.25</v>
      </c>
      <c r="J113">
        <v>0.38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1</v>
      </c>
      <c r="Y113">
        <v>0</v>
      </c>
      <c r="Z113">
        <v>0</v>
      </c>
      <c r="AA113" s="86">
        <f>AVERAGEIFS($C$2:C113, $B$2:B113, B113)</f>
        <v>13.166666666666666</v>
      </c>
      <c r="AB113" s="86">
        <f>AVERAGEIFS($I$2:I113, $B$2:B113, B113)</f>
        <v>0.31666666666666665</v>
      </c>
      <c r="AC113" s="86">
        <f>AVERAGEIFS($J$2:J113, $B$2:B113, B113)</f>
        <v>0.37999999999999995</v>
      </c>
      <c r="AD113" s="86">
        <f>AVERAGEIFS($D$2:D113, $B$2:B113, B113)</f>
        <v>0.16666666666666666</v>
      </c>
    </row>
    <row r="114" spans="1:30" x14ac:dyDescent="0.25">
      <c r="A114" s="85">
        <v>46120</v>
      </c>
      <c r="B114" t="s">
        <v>28</v>
      </c>
      <c r="C114">
        <v>16</v>
      </c>
      <c r="D114" s="86">
        <v>0</v>
      </c>
      <c r="E114">
        <v>4</v>
      </c>
      <c r="F114">
        <v>1</v>
      </c>
      <c r="G114">
        <v>16</v>
      </c>
      <c r="H114">
        <v>6</v>
      </c>
      <c r="I114">
        <v>0.25</v>
      </c>
      <c r="J114">
        <v>0.38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1</v>
      </c>
      <c r="Y114">
        <v>0</v>
      </c>
      <c r="Z114">
        <v>0</v>
      </c>
      <c r="AA114" s="86">
        <f>AVERAGEIFS($C$2:C114, $B$2:B114, B114)</f>
        <v>16</v>
      </c>
      <c r="AB114" s="86">
        <f>AVERAGEIFS($I$2:I114, $B$2:B114, B114)</f>
        <v>0.25</v>
      </c>
      <c r="AC114" s="86">
        <f>AVERAGEIFS($J$2:J114, $B$2:B114, B114)</f>
        <v>0.38</v>
      </c>
      <c r="AD114" s="86">
        <f>AVERAGEIFS($D$2:D114, $B$2:B114, B114)</f>
        <v>0</v>
      </c>
    </row>
    <row r="115" spans="1:30" x14ac:dyDescent="0.25">
      <c r="A115" s="85">
        <v>46120</v>
      </c>
      <c r="B115" t="s">
        <v>148</v>
      </c>
      <c r="C115">
        <v>14</v>
      </c>
      <c r="D115" s="86">
        <v>0</v>
      </c>
      <c r="E115">
        <v>4</v>
      </c>
      <c r="F115">
        <v>1</v>
      </c>
      <c r="G115">
        <v>16</v>
      </c>
      <c r="H115">
        <v>6</v>
      </c>
      <c r="I115">
        <v>0.25</v>
      </c>
      <c r="J115">
        <v>0.38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1</v>
      </c>
      <c r="Y115">
        <v>0</v>
      </c>
      <c r="Z115">
        <v>0</v>
      </c>
      <c r="AA115" s="86">
        <f>AVERAGEIFS($C$2:C115, $B$2:B115, B115)</f>
        <v>13.125</v>
      </c>
      <c r="AB115" s="86">
        <f>AVERAGEIFS($I$2:I115, $B$2:B115, B115)</f>
        <v>0.65</v>
      </c>
      <c r="AC115" s="86">
        <f>AVERAGEIFS($J$2:J115, $B$2:B115, B115)</f>
        <v>0.59124999999999994</v>
      </c>
      <c r="AD115" s="86">
        <f>AVERAGEIFS($D$2:D115, $B$2:B115, B115)</f>
        <v>0.75</v>
      </c>
    </row>
    <row r="116" spans="1:30" x14ac:dyDescent="0.25">
      <c r="A116" s="85">
        <v>46120</v>
      </c>
      <c r="B116" t="s">
        <v>29</v>
      </c>
      <c r="C116">
        <v>12</v>
      </c>
      <c r="D116" s="86">
        <v>0</v>
      </c>
      <c r="E116">
        <v>4</v>
      </c>
      <c r="F116">
        <v>1</v>
      </c>
      <c r="G116">
        <v>16</v>
      </c>
      <c r="H116">
        <v>6</v>
      </c>
      <c r="I116">
        <v>0.25</v>
      </c>
      <c r="J116">
        <v>0.38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1</v>
      </c>
      <c r="Y116">
        <v>0</v>
      </c>
      <c r="Z116">
        <v>0</v>
      </c>
      <c r="AA116" s="86">
        <f>AVERAGEIFS($C$2:C116, $B$2:B116, B116)</f>
        <v>12.666666666666666</v>
      </c>
      <c r="AB116" s="86">
        <f>AVERAGEIFS($I$2:I116, $B$2:B116, B116)</f>
        <v>0.44166666666666665</v>
      </c>
      <c r="AC116" s="86">
        <f>AVERAGEIFS($J$2:J116, $B$2:B116, B116)</f>
        <v>0.49333333333333335</v>
      </c>
      <c r="AD116" s="86">
        <f>AVERAGEIFS($D$2:D116, $B$2:B116, B116)</f>
        <v>0.33333333333333331</v>
      </c>
    </row>
    <row r="117" spans="1:30" x14ac:dyDescent="0.25">
      <c r="A117" s="85">
        <v>46120</v>
      </c>
      <c r="B117" t="s">
        <v>155</v>
      </c>
      <c r="C117">
        <v>10</v>
      </c>
      <c r="D117" s="86">
        <v>0</v>
      </c>
      <c r="E117">
        <v>4</v>
      </c>
      <c r="F117">
        <v>1</v>
      </c>
      <c r="G117">
        <v>16</v>
      </c>
      <c r="H117">
        <v>6</v>
      </c>
      <c r="I117">
        <v>0.25</v>
      </c>
      <c r="J117">
        <v>0.38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1</v>
      </c>
      <c r="Y117">
        <v>0</v>
      </c>
      <c r="Z117">
        <v>0</v>
      </c>
      <c r="AA117" s="86">
        <f>AVERAGEIFS($C$2:C117, $B$2:B117, B117)</f>
        <v>16.399999999999999</v>
      </c>
      <c r="AB117" s="86">
        <f>AVERAGEIFS($I$2:I117, $B$2:B117, B117)</f>
        <v>0.32</v>
      </c>
      <c r="AC117" s="86">
        <f>AVERAGEIFS($J$2:J117, $B$2:B117, B117)</f>
        <v>0.39200000000000002</v>
      </c>
      <c r="AD117" s="86">
        <f>AVERAGEIFS($D$2:D117, $B$2:B117, B117)</f>
        <v>0.2</v>
      </c>
    </row>
    <row r="118" spans="1:30" x14ac:dyDescent="0.25">
      <c r="A118" s="85">
        <v>46120</v>
      </c>
      <c r="B118" t="s">
        <v>27</v>
      </c>
      <c r="C118">
        <v>10</v>
      </c>
      <c r="D118" s="86">
        <v>1</v>
      </c>
      <c r="E118">
        <v>4</v>
      </c>
      <c r="F118">
        <v>3</v>
      </c>
      <c r="G118">
        <v>14</v>
      </c>
      <c r="H118">
        <v>9</v>
      </c>
      <c r="I118">
        <v>0.75</v>
      </c>
      <c r="J118">
        <v>0.64</v>
      </c>
      <c r="K118">
        <v>0</v>
      </c>
      <c r="L118">
        <v>1</v>
      </c>
      <c r="M118">
        <v>0</v>
      </c>
      <c r="N118">
        <v>0</v>
      </c>
      <c r="O118">
        <v>0</v>
      </c>
      <c r="P118">
        <v>0</v>
      </c>
      <c r="Q118">
        <v>1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1</v>
      </c>
      <c r="Y118">
        <v>0</v>
      </c>
      <c r="Z118">
        <v>0</v>
      </c>
      <c r="AA118" s="86">
        <f>AVERAGEIFS($C$2:C118, $B$2:B118, B118)</f>
        <v>11.333333333333334</v>
      </c>
      <c r="AB118" s="86">
        <f>AVERAGEIFS($I$2:I118, $B$2:B118, B118)</f>
        <v>0.75</v>
      </c>
      <c r="AC118" s="86">
        <f>AVERAGEIFS($J$2:J118, $B$2:B118, B118)</f>
        <v>0.67</v>
      </c>
      <c r="AD118" s="86">
        <f>AVERAGEIFS($D$2:D118, $B$2:B118, B118)</f>
        <v>1</v>
      </c>
    </row>
    <row r="119" spans="1:30" x14ac:dyDescent="0.25">
      <c r="A119" s="85">
        <v>46120</v>
      </c>
      <c r="B119" t="s">
        <v>139</v>
      </c>
      <c r="C119">
        <v>7</v>
      </c>
      <c r="D119" s="86">
        <v>1</v>
      </c>
      <c r="E119">
        <v>4</v>
      </c>
      <c r="F119">
        <v>3</v>
      </c>
      <c r="G119">
        <v>14</v>
      </c>
      <c r="H119">
        <v>9</v>
      </c>
      <c r="I119">
        <v>0.75</v>
      </c>
      <c r="J119">
        <v>0.64</v>
      </c>
      <c r="K119">
        <v>0</v>
      </c>
      <c r="L119">
        <v>1</v>
      </c>
      <c r="M119">
        <v>0</v>
      </c>
      <c r="N119">
        <v>0</v>
      </c>
      <c r="O119">
        <v>0</v>
      </c>
      <c r="P119">
        <v>0</v>
      </c>
      <c r="Q119">
        <v>1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1</v>
      </c>
      <c r="Y119">
        <v>0</v>
      </c>
      <c r="Z119">
        <v>0</v>
      </c>
      <c r="AA119" s="86">
        <f>AVERAGEIFS($C$2:C119, $B$2:B119, B119)</f>
        <v>8.8000000000000007</v>
      </c>
      <c r="AB119" s="86">
        <f>AVERAGEIFS($I$2:I119, $B$2:B119, B119)</f>
        <v>0.55000000000000004</v>
      </c>
      <c r="AC119" s="86">
        <f>AVERAGEIFS($J$2:J119, $B$2:B119, B119)</f>
        <v>0.51400000000000001</v>
      </c>
      <c r="AD119" s="86">
        <f>AVERAGEIFS($D$2:D119, $B$2:B119, B119)</f>
        <v>0.6</v>
      </c>
    </row>
    <row r="120" spans="1:30" x14ac:dyDescent="0.25">
      <c r="A120" s="85">
        <v>46120</v>
      </c>
      <c r="B120" t="s">
        <v>17</v>
      </c>
      <c r="C120">
        <v>14</v>
      </c>
      <c r="D120" s="86">
        <v>1</v>
      </c>
      <c r="E120">
        <v>4</v>
      </c>
      <c r="F120">
        <v>3</v>
      </c>
      <c r="G120">
        <v>14</v>
      </c>
      <c r="H120">
        <v>9</v>
      </c>
      <c r="I120">
        <v>0.75</v>
      </c>
      <c r="J120">
        <v>0.64</v>
      </c>
      <c r="K120">
        <v>0</v>
      </c>
      <c r="L120">
        <v>1</v>
      </c>
      <c r="M120">
        <v>0</v>
      </c>
      <c r="N120">
        <v>0</v>
      </c>
      <c r="O120">
        <v>0</v>
      </c>
      <c r="P120">
        <v>0</v>
      </c>
      <c r="Q120">
        <v>1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1</v>
      </c>
      <c r="Y120">
        <v>0</v>
      </c>
      <c r="Z120">
        <v>0</v>
      </c>
      <c r="AA120" s="86">
        <f>AVERAGEIFS($C$2:C120, $B$2:B120, B120)</f>
        <v>20.625</v>
      </c>
      <c r="AB120" s="86">
        <f>AVERAGEIFS($I$2:I120, $B$2:B120, B120)</f>
        <v>0.41875000000000001</v>
      </c>
      <c r="AC120" s="86">
        <f>AVERAGEIFS($J$2:J120, $B$2:B120, B120)</f>
        <v>0.46625</v>
      </c>
      <c r="AD120" s="86">
        <f>AVERAGEIFS($D$2:D120, $B$2:B120, B120)</f>
        <v>0.375</v>
      </c>
    </row>
    <row r="121" spans="1:30" x14ac:dyDescent="0.25">
      <c r="A121" s="85">
        <v>46120</v>
      </c>
      <c r="B121" t="s">
        <v>14</v>
      </c>
      <c r="C121">
        <v>18</v>
      </c>
      <c r="D121" s="86">
        <v>1</v>
      </c>
      <c r="E121">
        <v>4</v>
      </c>
      <c r="F121">
        <v>3</v>
      </c>
      <c r="G121">
        <v>14</v>
      </c>
      <c r="H121">
        <v>9</v>
      </c>
      <c r="I121">
        <v>0.75</v>
      </c>
      <c r="J121">
        <v>0.64</v>
      </c>
      <c r="K121">
        <v>0</v>
      </c>
      <c r="L121">
        <v>1</v>
      </c>
      <c r="M121">
        <v>0</v>
      </c>
      <c r="N121">
        <v>0</v>
      </c>
      <c r="O121">
        <v>0</v>
      </c>
      <c r="P121">
        <v>0</v>
      </c>
      <c r="Q121">
        <v>1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1</v>
      </c>
      <c r="Y121">
        <v>0</v>
      </c>
      <c r="Z121">
        <v>0</v>
      </c>
      <c r="AA121" s="86">
        <f>AVERAGEIFS($C$2:C121, $B$2:B121, B121)</f>
        <v>20.833333333333332</v>
      </c>
      <c r="AB121" s="86">
        <f>AVERAGEIFS($I$2:I121, $B$2:B121, B121)</f>
        <v>0.44166666666666665</v>
      </c>
      <c r="AC121" s="86">
        <f>AVERAGEIFS($J$2:J121, $B$2:B121, B121)</f>
        <v>0.47666666666666663</v>
      </c>
      <c r="AD121" s="86">
        <f>AVERAGEIFS($D$2:D121, $B$2:B121, B121)</f>
        <v>0.33333333333333331</v>
      </c>
    </row>
    <row r="122" spans="1:30" x14ac:dyDescent="0.25">
      <c r="A122" s="85">
        <v>46120</v>
      </c>
      <c r="B122" t="s">
        <v>113</v>
      </c>
      <c r="C122">
        <v>15</v>
      </c>
      <c r="D122" s="86">
        <v>1</v>
      </c>
      <c r="E122">
        <v>4</v>
      </c>
      <c r="F122">
        <v>3</v>
      </c>
      <c r="G122">
        <v>14</v>
      </c>
      <c r="H122">
        <v>9</v>
      </c>
      <c r="I122">
        <v>0.75</v>
      </c>
      <c r="J122">
        <v>0.64</v>
      </c>
      <c r="K122">
        <v>0</v>
      </c>
      <c r="L122">
        <v>1</v>
      </c>
      <c r="M122">
        <v>0</v>
      </c>
      <c r="N122">
        <v>0</v>
      </c>
      <c r="O122">
        <v>0</v>
      </c>
      <c r="P122">
        <v>0</v>
      </c>
      <c r="Q122">
        <v>1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1</v>
      </c>
      <c r="Y122">
        <v>0</v>
      </c>
      <c r="Z122">
        <v>0</v>
      </c>
      <c r="AA122" s="86">
        <f>AVERAGEIFS($C$2:C122, $B$2:B122, B122)</f>
        <v>17.25</v>
      </c>
      <c r="AB122" s="86">
        <f>AVERAGEIFS($I$2:I122, $B$2:B122, B122)</f>
        <v>0.58750000000000002</v>
      </c>
      <c r="AC122" s="86">
        <f>AVERAGEIFS($J$2:J122, $B$2:B122, B122)</f>
        <v>0.50749999999999995</v>
      </c>
      <c r="AD122" s="86">
        <f>AVERAGEIFS($D$2:D122, $B$2:B122, B122)</f>
        <v>0.75</v>
      </c>
    </row>
    <row r="123" spans="1:30" x14ac:dyDescent="0.25">
      <c r="A123" s="85">
        <v>46120</v>
      </c>
      <c r="B123" t="s">
        <v>28</v>
      </c>
      <c r="C123">
        <v>2</v>
      </c>
      <c r="D123" s="86">
        <v>1</v>
      </c>
      <c r="E123">
        <v>4</v>
      </c>
      <c r="F123">
        <v>3</v>
      </c>
      <c r="G123">
        <v>14</v>
      </c>
      <c r="H123">
        <v>9</v>
      </c>
      <c r="I123">
        <v>0.75</v>
      </c>
      <c r="J123">
        <v>0.64</v>
      </c>
      <c r="K123">
        <v>0</v>
      </c>
      <c r="L123">
        <v>1</v>
      </c>
      <c r="M123">
        <v>0</v>
      </c>
      <c r="N123">
        <v>0</v>
      </c>
      <c r="O123">
        <v>0</v>
      </c>
      <c r="P123">
        <v>0</v>
      </c>
      <c r="Q123">
        <v>1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1</v>
      </c>
      <c r="Y123">
        <v>0</v>
      </c>
      <c r="Z123">
        <v>0</v>
      </c>
      <c r="AA123" s="86">
        <f>AVERAGEIFS($C$2:C123, $B$2:B123, B123)</f>
        <v>9</v>
      </c>
      <c r="AB123" s="86">
        <f>AVERAGEIFS($I$2:I123, $B$2:B123, B123)</f>
        <v>0.5</v>
      </c>
      <c r="AC123" s="86">
        <f>AVERAGEIFS($J$2:J123, $B$2:B123, B123)</f>
        <v>0.51</v>
      </c>
      <c r="AD123" s="86">
        <f>AVERAGEIFS($D$2:D123, $B$2:B123, B123)</f>
        <v>0.5</v>
      </c>
    </row>
    <row r="124" spans="1:30" x14ac:dyDescent="0.25">
      <c r="A124" s="85">
        <v>46120</v>
      </c>
      <c r="B124" t="s">
        <v>13</v>
      </c>
      <c r="C124">
        <v>7</v>
      </c>
      <c r="D124" s="86">
        <v>0</v>
      </c>
      <c r="E124">
        <v>4</v>
      </c>
      <c r="F124">
        <v>1</v>
      </c>
      <c r="G124">
        <v>14</v>
      </c>
      <c r="H124">
        <v>5</v>
      </c>
      <c r="I124">
        <v>0.25</v>
      </c>
      <c r="J124">
        <v>0.36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86">
        <f>AVERAGEIFS($C$2:C124, $B$2:B124, B124)</f>
        <v>22.555555555555557</v>
      </c>
      <c r="AB124" s="86">
        <f>AVERAGEIFS($I$2:I124, $B$2:B124, B124)</f>
        <v>0.69444444444444442</v>
      </c>
      <c r="AC124" s="86">
        <f>AVERAGEIFS($J$2:J124, $B$2:B124, B124)</f>
        <v>0.62666666666666671</v>
      </c>
      <c r="AD124" s="86">
        <f>AVERAGEIFS($D$2:D124, $B$2:B124, B124)</f>
        <v>0.77777777777777779</v>
      </c>
    </row>
    <row r="125" spans="1:30" x14ac:dyDescent="0.25">
      <c r="A125" s="85">
        <v>46120</v>
      </c>
      <c r="B125" t="s">
        <v>155</v>
      </c>
      <c r="C125">
        <v>8</v>
      </c>
      <c r="D125" s="86">
        <v>0</v>
      </c>
      <c r="E125">
        <v>4</v>
      </c>
      <c r="F125">
        <v>1</v>
      </c>
      <c r="G125">
        <v>14</v>
      </c>
      <c r="H125">
        <v>5</v>
      </c>
      <c r="I125">
        <v>0.25</v>
      </c>
      <c r="J125">
        <v>0.36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86">
        <f>AVERAGEIFS($C$2:C125, $B$2:B125, B125)</f>
        <v>15</v>
      </c>
      <c r="AB125" s="86">
        <f>AVERAGEIFS($I$2:I125, $B$2:B125, B125)</f>
        <v>0.30833333333333335</v>
      </c>
      <c r="AC125" s="86">
        <f>AVERAGEIFS($J$2:J125, $B$2:B125, B125)</f>
        <v>0.38666666666666666</v>
      </c>
      <c r="AD125" s="86">
        <f>AVERAGEIFS($D$2:D125, $B$2:B125, B125)</f>
        <v>0.16666666666666666</v>
      </c>
    </row>
    <row r="126" spans="1:30" x14ac:dyDescent="0.25">
      <c r="A126" s="85">
        <v>46120</v>
      </c>
      <c r="B126" t="s">
        <v>1</v>
      </c>
      <c r="C126">
        <v>12</v>
      </c>
      <c r="D126" s="86">
        <v>0</v>
      </c>
      <c r="E126">
        <v>4</v>
      </c>
      <c r="F126">
        <v>1</v>
      </c>
      <c r="G126">
        <v>14</v>
      </c>
      <c r="H126">
        <v>5</v>
      </c>
      <c r="I126">
        <v>0.25</v>
      </c>
      <c r="J126">
        <v>0.36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86">
        <f>AVERAGEIFS($C$2:C126, $B$2:B126, B126)</f>
        <v>13</v>
      </c>
      <c r="AB126" s="86">
        <f>AVERAGEIFS($I$2:I126, $B$2:B126, B126)</f>
        <v>0.125</v>
      </c>
      <c r="AC126" s="86">
        <f>AVERAGEIFS($J$2:J126, $B$2:B126, B126)</f>
        <v>0.27</v>
      </c>
      <c r="AD126" s="86">
        <f>AVERAGEIFS($D$2:D126, $B$2:B126, B126)</f>
        <v>0</v>
      </c>
    </row>
    <row r="127" spans="1:30" x14ac:dyDescent="0.25">
      <c r="A127" s="85">
        <v>46120</v>
      </c>
      <c r="B127" t="s">
        <v>40</v>
      </c>
      <c r="C127">
        <v>7</v>
      </c>
      <c r="D127" s="86">
        <v>0</v>
      </c>
      <c r="E127">
        <v>4</v>
      </c>
      <c r="F127">
        <v>1</v>
      </c>
      <c r="G127">
        <v>14</v>
      </c>
      <c r="H127">
        <v>5</v>
      </c>
      <c r="I127">
        <v>0.25</v>
      </c>
      <c r="J127">
        <v>0.36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86">
        <f>AVERAGEIFS($C$2:C127, $B$2:B127, B127)</f>
        <v>17</v>
      </c>
      <c r="AB127" s="86">
        <f>AVERAGEIFS($I$2:I127, $B$2:B127, B127)</f>
        <v>0.45</v>
      </c>
      <c r="AC127" s="86">
        <f>AVERAGEIFS($J$2:J127, $B$2:B127, B127)</f>
        <v>0.42599999999999999</v>
      </c>
      <c r="AD127" s="86">
        <f>AVERAGEIFS($D$2:D127, $B$2:B127, B127)</f>
        <v>0.4</v>
      </c>
    </row>
    <row r="128" spans="1:30" x14ac:dyDescent="0.25">
      <c r="A128" s="85">
        <v>46120</v>
      </c>
      <c r="B128" t="s">
        <v>38</v>
      </c>
      <c r="C128">
        <v>8</v>
      </c>
      <c r="D128" s="86">
        <v>0</v>
      </c>
      <c r="E128">
        <v>4</v>
      </c>
      <c r="F128">
        <v>1</v>
      </c>
      <c r="G128">
        <v>14</v>
      </c>
      <c r="H128">
        <v>5</v>
      </c>
      <c r="I128">
        <v>0.25</v>
      </c>
      <c r="J128">
        <v>0.36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86">
        <f>AVERAGEIFS($C$2:C128, $B$2:B128, B128)</f>
        <v>8</v>
      </c>
      <c r="AB128" s="86">
        <f>AVERAGEIFS($I$2:I128, $B$2:B128, B128)</f>
        <v>0.25</v>
      </c>
      <c r="AC128" s="86">
        <f>AVERAGEIFS($J$2:J128, $B$2:B128, B128)</f>
        <v>0.36</v>
      </c>
      <c r="AD128" s="86">
        <f>AVERAGEIFS($D$2:D128, $B$2:B128, B128)</f>
        <v>0</v>
      </c>
    </row>
    <row r="129" spans="1:30" x14ac:dyDescent="0.25">
      <c r="A129" s="85">
        <v>46120</v>
      </c>
      <c r="B129" t="s">
        <v>148</v>
      </c>
      <c r="C129">
        <v>13</v>
      </c>
      <c r="D129" s="86">
        <v>0</v>
      </c>
      <c r="E129">
        <v>4</v>
      </c>
      <c r="F129">
        <v>1</v>
      </c>
      <c r="G129">
        <v>14</v>
      </c>
      <c r="H129">
        <v>5</v>
      </c>
      <c r="I129">
        <v>0.25</v>
      </c>
      <c r="J129">
        <v>0.36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1</v>
      </c>
      <c r="Z129">
        <v>0</v>
      </c>
      <c r="AA129" s="86">
        <f>AVERAGEIFS($C$2:C129, $B$2:B129, B129)</f>
        <v>13.111111111111111</v>
      </c>
      <c r="AB129" s="86">
        <f>AVERAGEIFS($I$2:I129, $B$2:B129, B129)</f>
        <v>0.60555555555555562</v>
      </c>
      <c r="AC129" s="86">
        <f>AVERAGEIFS($J$2:J129, $B$2:B129, B129)</f>
        <v>0.56555555555555559</v>
      </c>
      <c r="AD129" s="86">
        <f>AVERAGEIFS($D$2:D129, $B$2:B129, B129)</f>
        <v>0.66666666666666663</v>
      </c>
    </row>
    <row r="130" spans="1:30" x14ac:dyDescent="0.25">
      <c r="A130" s="85">
        <v>46121</v>
      </c>
      <c r="B130" t="s">
        <v>27</v>
      </c>
      <c r="C130">
        <v>15</v>
      </c>
      <c r="D130" s="86">
        <v>1</v>
      </c>
      <c r="E130">
        <v>5</v>
      </c>
      <c r="F130">
        <v>3</v>
      </c>
      <c r="G130">
        <v>17</v>
      </c>
      <c r="H130">
        <v>11</v>
      </c>
      <c r="I130">
        <v>0.6</v>
      </c>
      <c r="J130">
        <v>0.65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1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1</v>
      </c>
      <c r="Y130">
        <v>1</v>
      </c>
      <c r="Z130">
        <v>0</v>
      </c>
      <c r="AA130" s="86">
        <f>AVERAGEIFS($C$2:C130, $B$2:B130, B130)</f>
        <v>12.25</v>
      </c>
      <c r="AB130" s="86">
        <f>AVERAGEIFS($I$2:I130, $B$2:B130, B130)</f>
        <v>0.71250000000000002</v>
      </c>
      <c r="AC130" s="86">
        <f>AVERAGEIFS($J$2:J130, $B$2:B130, B130)</f>
        <v>0.66500000000000004</v>
      </c>
      <c r="AD130" s="86">
        <f>AVERAGEIFS($D$2:D130, $B$2:B130, B130)</f>
        <v>1</v>
      </c>
    </row>
    <row r="131" spans="1:30" x14ac:dyDescent="0.25">
      <c r="A131" s="85">
        <v>46121</v>
      </c>
      <c r="B131" t="s">
        <v>139</v>
      </c>
      <c r="C131">
        <v>13</v>
      </c>
      <c r="D131" s="86">
        <v>1</v>
      </c>
      <c r="E131">
        <v>5</v>
      </c>
      <c r="F131">
        <v>3</v>
      </c>
      <c r="G131">
        <v>17</v>
      </c>
      <c r="H131">
        <v>11</v>
      </c>
      <c r="I131">
        <v>0.6</v>
      </c>
      <c r="J131">
        <v>0.65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1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1</v>
      </c>
      <c r="Y131">
        <v>1</v>
      </c>
      <c r="Z131">
        <v>0</v>
      </c>
      <c r="AA131" s="86">
        <f>AVERAGEIFS($C$2:C131, $B$2:B131, B131)</f>
        <v>9.5</v>
      </c>
      <c r="AB131" s="86">
        <f>AVERAGEIFS($I$2:I131, $B$2:B131, B131)</f>
        <v>0.55833333333333335</v>
      </c>
      <c r="AC131" s="86">
        <f>AVERAGEIFS($J$2:J131, $B$2:B131, B131)</f>
        <v>0.53666666666666674</v>
      </c>
      <c r="AD131" s="86">
        <f>AVERAGEIFS($D$2:D131, $B$2:B131, B131)</f>
        <v>0.66666666666666663</v>
      </c>
    </row>
    <row r="132" spans="1:30" x14ac:dyDescent="0.25">
      <c r="A132" s="85">
        <v>46121</v>
      </c>
      <c r="B132" t="s">
        <v>13</v>
      </c>
      <c r="C132">
        <v>21</v>
      </c>
      <c r="D132" s="86">
        <v>1</v>
      </c>
      <c r="E132">
        <v>5</v>
      </c>
      <c r="F132">
        <v>3</v>
      </c>
      <c r="G132">
        <v>17</v>
      </c>
      <c r="H132">
        <v>11</v>
      </c>
      <c r="I132">
        <v>0.6</v>
      </c>
      <c r="J132">
        <v>0.65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1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1</v>
      </c>
      <c r="Y132">
        <v>1</v>
      </c>
      <c r="Z132">
        <v>0</v>
      </c>
      <c r="AA132" s="86">
        <f>AVERAGEIFS($C$2:C132, $B$2:B132, B132)</f>
        <v>22.4</v>
      </c>
      <c r="AB132" s="86">
        <f>AVERAGEIFS($I$2:I132, $B$2:B132, B132)</f>
        <v>0.68499999999999994</v>
      </c>
      <c r="AC132" s="86">
        <f>AVERAGEIFS($J$2:J132, $B$2:B132, B132)</f>
        <v>0.62900000000000011</v>
      </c>
      <c r="AD132" s="86">
        <f>AVERAGEIFS($D$2:D132, $B$2:B132, B132)</f>
        <v>0.8</v>
      </c>
    </row>
    <row r="133" spans="1:30" x14ac:dyDescent="0.25">
      <c r="A133" s="85">
        <v>46121</v>
      </c>
      <c r="B133" t="s">
        <v>17</v>
      </c>
      <c r="C133">
        <v>38</v>
      </c>
      <c r="D133" s="86">
        <v>1</v>
      </c>
      <c r="E133">
        <v>5</v>
      </c>
      <c r="F133">
        <v>3</v>
      </c>
      <c r="G133">
        <v>17</v>
      </c>
      <c r="H133">
        <v>11</v>
      </c>
      <c r="I133">
        <v>0.6</v>
      </c>
      <c r="J133">
        <v>0.65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1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1</v>
      </c>
      <c r="Y133">
        <v>1</v>
      </c>
      <c r="Z133">
        <v>0</v>
      </c>
      <c r="AA133" s="86">
        <f>AVERAGEIFS($C$2:C133, $B$2:B133, B133)</f>
        <v>22.555555555555557</v>
      </c>
      <c r="AB133" s="86">
        <f>AVERAGEIFS($I$2:I133, $B$2:B133, B133)</f>
        <v>0.43888888888888888</v>
      </c>
      <c r="AC133" s="86">
        <f>AVERAGEIFS($J$2:J133, $B$2:B133, B133)</f>
        <v>0.48666666666666664</v>
      </c>
      <c r="AD133" s="86">
        <f>AVERAGEIFS($D$2:D133, $B$2:B133, B133)</f>
        <v>0.44444444444444442</v>
      </c>
    </row>
    <row r="134" spans="1:30" x14ac:dyDescent="0.25">
      <c r="A134" s="85">
        <v>46121</v>
      </c>
      <c r="B134" t="s">
        <v>150</v>
      </c>
      <c r="C134">
        <v>15</v>
      </c>
      <c r="D134" s="86">
        <v>1</v>
      </c>
      <c r="E134">
        <v>5</v>
      </c>
      <c r="F134">
        <v>3</v>
      </c>
      <c r="G134">
        <v>17</v>
      </c>
      <c r="H134">
        <v>11</v>
      </c>
      <c r="I134">
        <v>0.6</v>
      </c>
      <c r="J134">
        <v>0.65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1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1</v>
      </c>
      <c r="Y134">
        <v>1</v>
      </c>
      <c r="Z134">
        <v>0</v>
      </c>
      <c r="AA134" s="86">
        <f>AVERAGEIFS($C$2:C134, $B$2:B134, B134)</f>
        <v>12.666666666666666</v>
      </c>
      <c r="AB134" s="86">
        <f>AVERAGEIFS($I$2:I134, $B$2:B134, B134)</f>
        <v>0.70000000000000007</v>
      </c>
      <c r="AC134" s="86">
        <f>AVERAGEIFS($J$2:J134, $B$2:B134, B134)</f>
        <v>0.67333333333333334</v>
      </c>
      <c r="AD134" s="86">
        <f>AVERAGEIFS($D$2:D134, $B$2:B134, B134)</f>
        <v>1</v>
      </c>
    </row>
    <row r="135" spans="1:30" x14ac:dyDescent="0.25">
      <c r="A135" s="85">
        <v>46121</v>
      </c>
      <c r="B135" t="s">
        <v>38</v>
      </c>
      <c r="C135">
        <v>11</v>
      </c>
      <c r="D135" s="86">
        <v>1</v>
      </c>
      <c r="E135">
        <v>5</v>
      </c>
      <c r="F135">
        <v>3</v>
      </c>
      <c r="G135">
        <v>17</v>
      </c>
      <c r="H135">
        <v>11</v>
      </c>
      <c r="I135">
        <v>0.6</v>
      </c>
      <c r="J135">
        <v>0.65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1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1</v>
      </c>
      <c r="Z135">
        <v>0</v>
      </c>
      <c r="AA135" s="86">
        <f>AVERAGEIFS($C$2:C135, $B$2:B135, B135)</f>
        <v>9.5</v>
      </c>
      <c r="AB135" s="86">
        <f>AVERAGEIFS($I$2:I135, $B$2:B135, B135)</f>
        <v>0.42499999999999999</v>
      </c>
      <c r="AC135" s="86">
        <f>AVERAGEIFS($J$2:J135, $B$2:B135, B135)</f>
        <v>0.505</v>
      </c>
      <c r="AD135" s="86">
        <f>AVERAGEIFS($D$2:D135, $B$2:B135, B135)</f>
        <v>0.5</v>
      </c>
    </row>
    <row r="136" spans="1:30" x14ac:dyDescent="0.25">
      <c r="A136" s="85">
        <v>46121</v>
      </c>
      <c r="B136" t="s">
        <v>1</v>
      </c>
      <c r="C136">
        <v>13</v>
      </c>
      <c r="D136" s="86">
        <v>0</v>
      </c>
      <c r="E136">
        <v>5</v>
      </c>
      <c r="F136">
        <v>2</v>
      </c>
      <c r="G136">
        <v>17</v>
      </c>
      <c r="H136">
        <v>6</v>
      </c>
      <c r="I136">
        <v>0.4</v>
      </c>
      <c r="J136">
        <v>0.35</v>
      </c>
      <c r="K136">
        <v>0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86">
        <f>AVERAGEIFS($C$2:C136, $B$2:B136, B136)</f>
        <v>13</v>
      </c>
      <c r="AB136" s="86">
        <f>AVERAGEIFS($I$2:I136, $B$2:B136, B136)</f>
        <v>0.21666666666666667</v>
      </c>
      <c r="AC136" s="86">
        <f>AVERAGEIFS($J$2:J136, $B$2:B136, B136)</f>
        <v>0.29666666666666669</v>
      </c>
      <c r="AD136" s="86">
        <f>AVERAGEIFS($D$2:D136, $B$2:B136, B136)</f>
        <v>0</v>
      </c>
    </row>
    <row r="137" spans="1:30" x14ac:dyDescent="0.25">
      <c r="A137" s="85">
        <v>46121</v>
      </c>
      <c r="B137" t="s">
        <v>29</v>
      </c>
      <c r="C137">
        <v>13</v>
      </c>
      <c r="D137" s="86">
        <v>0</v>
      </c>
      <c r="E137">
        <v>5</v>
      </c>
      <c r="F137">
        <v>2</v>
      </c>
      <c r="G137">
        <v>17</v>
      </c>
      <c r="H137">
        <v>6</v>
      </c>
      <c r="I137">
        <v>0.4</v>
      </c>
      <c r="J137">
        <v>0.35</v>
      </c>
      <c r="K137">
        <v>0</v>
      </c>
      <c r="L137">
        <v>0</v>
      </c>
      <c r="M137">
        <v>0</v>
      </c>
      <c r="N137">
        <v>1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86">
        <f>AVERAGEIFS($C$2:C137, $B$2:B137, B137)</f>
        <v>12.714285714285714</v>
      </c>
      <c r="AB137" s="86">
        <f>AVERAGEIFS($I$2:I137, $B$2:B137, B137)</f>
        <v>0.43571428571428567</v>
      </c>
      <c r="AC137" s="86">
        <f>AVERAGEIFS($J$2:J137, $B$2:B137, B137)</f>
        <v>0.47285714285714286</v>
      </c>
      <c r="AD137" s="86">
        <f>AVERAGEIFS($D$2:D137, $B$2:B137, B137)</f>
        <v>0.2857142857142857</v>
      </c>
    </row>
    <row r="138" spans="1:30" x14ac:dyDescent="0.25">
      <c r="A138" s="85">
        <v>46121</v>
      </c>
      <c r="B138" t="s">
        <v>14</v>
      </c>
      <c r="C138">
        <v>30</v>
      </c>
      <c r="D138" s="86">
        <v>0</v>
      </c>
      <c r="E138">
        <v>5</v>
      </c>
      <c r="F138">
        <v>2</v>
      </c>
      <c r="G138">
        <v>17</v>
      </c>
      <c r="H138">
        <v>6</v>
      </c>
      <c r="I138">
        <v>0.4</v>
      </c>
      <c r="J138">
        <v>0.35</v>
      </c>
      <c r="K138">
        <v>0</v>
      </c>
      <c r="L138">
        <v>0</v>
      </c>
      <c r="M138">
        <v>0</v>
      </c>
      <c r="N138">
        <v>1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86">
        <f>AVERAGEIFS($C$2:C138, $B$2:B138, B138)</f>
        <v>22.142857142857142</v>
      </c>
      <c r="AB138" s="86">
        <f>AVERAGEIFS($I$2:I138, $B$2:B138, B138)</f>
        <v>0.43571428571428567</v>
      </c>
      <c r="AC138" s="86">
        <f>AVERAGEIFS($J$2:J138, $B$2:B138, B138)</f>
        <v>0.45857142857142857</v>
      </c>
      <c r="AD138" s="86">
        <f>AVERAGEIFS($D$2:D138, $B$2:B138, B138)</f>
        <v>0.2857142857142857</v>
      </c>
    </row>
    <row r="139" spans="1:30" x14ac:dyDescent="0.25">
      <c r="A139" s="85">
        <v>46121</v>
      </c>
      <c r="B139" t="s">
        <v>40</v>
      </c>
      <c r="C139">
        <v>18</v>
      </c>
      <c r="D139" s="86">
        <v>0</v>
      </c>
      <c r="E139">
        <v>5</v>
      </c>
      <c r="F139">
        <v>2</v>
      </c>
      <c r="G139">
        <v>17</v>
      </c>
      <c r="H139">
        <v>6</v>
      </c>
      <c r="I139">
        <v>0.4</v>
      </c>
      <c r="J139">
        <v>0.35</v>
      </c>
      <c r="K139">
        <v>0</v>
      </c>
      <c r="L139">
        <v>0</v>
      </c>
      <c r="M139">
        <v>0</v>
      </c>
      <c r="N139">
        <v>1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86">
        <f>AVERAGEIFS($C$2:C139, $B$2:B139, B139)</f>
        <v>17.166666666666668</v>
      </c>
      <c r="AB139" s="86">
        <f>AVERAGEIFS($I$2:I139, $B$2:B139, B139)</f>
        <v>0.44166666666666665</v>
      </c>
      <c r="AC139" s="86">
        <f>AVERAGEIFS($J$2:J139, $B$2:B139, B139)</f>
        <v>0.41333333333333333</v>
      </c>
      <c r="AD139" s="86">
        <f>AVERAGEIFS($D$2:D139, $B$2:B139, B139)</f>
        <v>0.33333333333333331</v>
      </c>
    </row>
    <row r="140" spans="1:30" x14ac:dyDescent="0.25">
      <c r="A140" s="85">
        <v>46121</v>
      </c>
      <c r="B140" t="s">
        <v>155</v>
      </c>
      <c r="C140">
        <v>20</v>
      </c>
      <c r="D140" s="86">
        <v>0</v>
      </c>
      <c r="E140">
        <v>5</v>
      </c>
      <c r="F140">
        <v>2</v>
      </c>
      <c r="G140">
        <v>17</v>
      </c>
      <c r="H140">
        <v>6</v>
      </c>
      <c r="I140">
        <v>0.4</v>
      </c>
      <c r="J140">
        <v>0.35</v>
      </c>
      <c r="K140">
        <v>0</v>
      </c>
      <c r="L140">
        <v>0</v>
      </c>
      <c r="M140">
        <v>0</v>
      </c>
      <c r="N140">
        <v>1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86">
        <f>AVERAGEIFS($C$2:C140, $B$2:B140, B140)</f>
        <v>15.714285714285714</v>
      </c>
      <c r="AB140" s="86">
        <f>AVERAGEIFS($I$2:I140, $B$2:B140, B140)</f>
        <v>0.32142857142857145</v>
      </c>
      <c r="AC140" s="86">
        <f>AVERAGEIFS($J$2:J140, $B$2:B140, B140)</f>
        <v>0.38142857142857139</v>
      </c>
      <c r="AD140" s="86">
        <f>AVERAGEIFS($D$2:D140, $B$2:B140, B140)</f>
        <v>0.14285714285714285</v>
      </c>
    </row>
    <row r="141" spans="1:30" x14ac:dyDescent="0.25">
      <c r="A141" s="85">
        <v>46121</v>
      </c>
      <c r="B141" t="s">
        <v>148</v>
      </c>
      <c r="C141">
        <v>21</v>
      </c>
      <c r="D141" s="86">
        <v>0</v>
      </c>
      <c r="E141">
        <v>5</v>
      </c>
      <c r="F141">
        <v>2</v>
      </c>
      <c r="G141">
        <v>17</v>
      </c>
      <c r="H141">
        <v>6</v>
      </c>
      <c r="I141">
        <v>0.4</v>
      </c>
      <c r="J141">
        <v>0.35</v>
      </c>
      <c r="K141">
        <v>0</v>
      </c>
      <c r="L141">
        <v>0</v>
      </c>
      <c r="M141">
        <v>0</v>
      </c>
      <c r="N141">
        <v>1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86">
        <f>AVERAGEIFS($C$2:C141, $B$2:B141, B141)</f>
        <v>13.9</v>
      </c>
      <c r="AB141" s="86">
        <f>AVERAGEIFS($I$2:I141, $B$2:B141, B141)</f>
        <v>0.58500000000000008</v>
      </c>
      <c r="AC141" s="86">
        <f>AVERAGEIFS($J$2:J141, $B$2:B141, B141)</f>
        <v>0.54399999999999993</v>
      </c>
      <c r="AD141" s="86">
        <f>AVERAGEIFS($D$2:D141, $B$2:B141, B141)</f>
        <v>0.6</v>
      </c>
    </row>
    <row r="142" spans="1:30" x14ac:dyDescent="0.25">
      <c r="A142" s="85">
        <v>46122</v>
      </c>
      <c r="B142" t="s">
        <v>37</v>
      </c>
      <c r="C142">
        <v>25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1</v>
      </c>
      <c r="Z142">
        <v>0</v>
      </c>
      <c r="AA142" s="86">
        <f>AVERAGEIFS($C$2:C142, $B$2:B142, B142)</f>
        <v>27.333333333333332</v>
      </c>
      <c r="AB142" s="86">
        <f>AVERAGEIFS($I$2:I142, $B$2:B142, B142)</f>
        <v>0.65</v>
      </c>
      <c r="AC142" s="86">
        <f>AVERAGEIFS($J$2:J142, $B$2:B142, B142)</f>
        <v>0.59666666666666668</v>
      </c>
      <c r="AD142" s="86">
        <f>AVERAGEIFS($D$2:D142, $B$2:B142, B142)</f>
        <v>1</v>
      </c>
    </row>
    <row r="143" spans="1:30" x14ac:dyDescent="0.25">
      <c r="A143" s="85">
        <v>46122</v>
      </c>
      <c r="B143" t="s">
        <v>13</v>
      </c>
      <c r="C143">
        <v>17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1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1</v>
      </c>
      <c r="Z143">
        <v>0</v>
      </c>
      <c r="AA143" s="86">
        <f>AVERAGEIFS($C$2:C143, $B$2:B143, B143)</f>
        <v>21.90909090909091</v>
      </c>
      <c r="AB143" s="86">
        <f>AVERAGEIFS($I$2:I143, $B$2:B143, B143)</f>
        <v>0.67727272727272725</v>
      </c>
      <c r="AC143" s="86">
        <f>AVERAGEIFS($J$2:J143, $B$2:B143, B143)</f>
        <v>0.61727272727272731</v>
      </c>
      <c r="AD143" s="86">
        <f>AVERAGEIFS($D$2:D143, $B$2:B143, B143)</f>
        <v>0.81818181818181823</v>
      </c>
    </row>
    <row r="144" spans="1:30" x14ac:dyDescent="0.25">
      <c r="A144" s="85">
        <v>46122</v>
      </c>
      <c r="B144" t="s">
        <v>35</v>
      </c>
      <c r="C144">
        <v>14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1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1</v>
      </c>
      <c r="Z144">
        <v>0</v>
      </c>
      <c r="AA144" s="86">
        <f>AVERAGEIFS($C$2:C144, $B$2:B144, B144)</f>
        <v>13.285714285714286</v>
      </c>
      <c r="AB144" s="86">
        <f>AVERAGEIFS($I$2:I144, $B$2:B144, B144)</f>
        <v>0.35714285714285715</v>
      </c>
      <c r="AC144" s="86">
        <f>AVERAGEIFS($J$2:J144, $B$2:B144, B144)</f>
        <v>0.39714285714285713</v>
      </c>
      <c r="AD144" s="86">
        <f>AVERAGEIFS($D$2:D144, $B$2:B144, B144)</f>
        <v>0.2857142857142857</v>
      </c>
    </row>
    <row r="145" spans="1:30" x14ac:dyDescent="0.25">
      <c r="A145" s="85">
        <v>46122</v>
      </c>
      <c r="B145" t="s">
        <v>154</v>
      </c>
      <c r="C145">
        <v>11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1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1</v>
      </c>
      <c r="Z145">
        <v>0</v>
      </c>
      <c r="AA145" s="86">
        <f>AVERAGEIFS($C$2:C145, $B$2:B145, B145)</f>
        <v>9</v>
      </c>
      <c r="AB145" s="86">
        <f>AVERAGEIFS($I$2:I145, $B$2:B145, B145)</f>
        <v>0.70000000000000007</v>
      </c>
      <c r="AC145" s="86">
        <f>AVERAGEIFS($J$2:J145, $B$2:B145, B145)</f>
        <v>0.62333333333333341</v>
      </c>
      <c r="AD145" s="86">
        <f>AVERAGEIFS($D$2:D145, $B$2:B145, B145)</f>
        <v>1</v>
      </c>
    </row>
    <row r="146" spans="1:30" x14ac:dyDescent="0.25">
      <c r="A146" s="85">
        <v>46122</v>
      </c>
      <c r="B146" t="s">
        <v>148</v>
      </c>
      <c r="C146">
        <v>12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1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1</v>
      </c>
      <c r="Z146">
        <v>0</v>
      </c>
      <c r="AA146" s="86">
        <f>AVERAGEIFS($C$2:C146, $B$2:B146, B146)</f>
        <v>13.727272727272727</v>
      </c>
      <c r="AB146" s="86">
        <f>AVERAGEIFS($I$2:I146, $B$2:B146, B146)</f>
        <v>0.58636363636363642</v>
      </c>
      <c r="AC146" s="86">
        <f>AVERAGEIFS($J$2:J146, $B$2:B146, B146)</f>
        <v>0.53999999999999992</v>
      </c>
      <c r="AD146" s="86">
        <f>AVERAGEIFS($D$2:D146, $B$2:B146, B146)</f>
        <v>0.63636363636363635</v>
      </c>
    </row>
    <row r="147" spans="1:30" x14ac:dyDescent="0.25">
      <c r="A147" s="85">
        <v>46122</v>
      </c>
      <c r="B147" t="s">
        <v>4</v>
      </c>
      <c r="C147">
        <v>17</v>
      </c>
      <c r="D147" s="86">
        <v>0</v>
      </c>
      <c r="E147">
        <v>5</v>
      </c>
      <c r="F147">
        <v>2</v>
      </c>
      <c r="G147">
        <v>22</v>
      </c>
      <c r="H147">
        <v>11</v>
      </c>
      <c r="I147">
        <v>0.4</v>
      </c>
      <c r="J147">
        <v>0.5</v>
      </c>
      <c r="K147">
        <v>0</v>
      </c>
      <c r="L147">
        <v>0</v>
      </c>
      <c r="M147">
        <v>1</v>
      </c>
      <c r="N147">
        <v>0</v>
      </c>
      <c r="O147">
        <v>0</v>
      </c>
      <c r="P147">
        <v>0</v>
      </c>
      <c r="Q147">
        <v>1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86">
        <f>AVERAGEIFS($C$2:C147, $B$2:B147, B147)</f>
        <v>21.666666666666668</v>
      </c>
      <c r="AB147" s="86">
        <f>AVERAGEIFS($I$2:I147, $B$2:B147, B147)</f>
        <v>0.33333333333333331</v>
      </c>
      <c r="AC147" s="86">
        <f>AVERAGEIFS($J$2:J147, $B$2:B147, B147)</f>
        <v>0.39999999999999997</v>
      </c>
      <c r="AD147" s="86">
        <f>AVERAGEIFS($D$2:D147, $B$2:B147, B147)</f>
        <v>0.33333333333333331</v>
      </c>
    </row>
    <row r="148" spans="1:30" x14ac:dyDescent="0.25">
      <c r="A148" s="85">
        <v>46122</v>
      </c>
      <c r="B148" t="s">
        <v>152</v>
      </c>
      <c r="C148">
        <v>18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1</v>
      </c>
      <c r="N148">
        <v>0</v>
      </c>
      <c r="O148">
        <v>0</v>
      </c>
      <c r="P148">
        <v>0</v>
      </c>
      <c r="Q148">
        <v>1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 s="86">
        <f>AVERAGEIFS($C$2:C148, $B$2:B148, B148)</f>
        <v>18.5</v>
      </c>
      <c r="AB148" s="86">
        <f>AVERAGEIFS($I$2:I148, $B$2:B148, B148)</f>
        <v>0.4</v>
      </c>
      <c r="AC148" s="86">
        <f>AVERAGEIFS($J$2:J148, $B$2:B148, B148)</f>
        <v>0.44</v>
      </c>
      <c r="AD148" s="86">
        <f>AVERAGEIFS($D$2:D148, $B$2:B148, B148)</f>
        <v>0</v>
      </c>
    </row>
    <row r="149" spans="1:30" x14ac:dyDescent="0.25">
      <c r="A149" s="85">
        <v>46122</v>
      </c>
      <c r="B149" t="s">
        <v>155</v>
      </c>
      <c r="C149">
        <v>16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1</v>
      </c>
      <c r="N149">
        <v>0</v>
      </c>
      <c r="O149">
        <v>0</v>
      </c>
      <c r="P149">
        <v>0</v>
      </c>
      <c r="Q149">
        <v>1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 s="86">
        <f>AVERAGEIFS($C$2:C149, $B$2:B149, B149)</f>
        <v>15.75</v>
      </c>
      <c r="AB149" s="86">
        <f>AVERAGEIFS($I$2:I149, $B$2:B149, B149)</f>
        <v>0.33124999999999999</v>
      </c>
      <c r="AC149" s="86">
        <f>AVERAGEIFS($J$2:J149, $B$2:B149, B149)</f>
        <v>0.39624999999999999</v>
      </c>
      <c r="AD149" s="86">
        <f>AVERAGEIFS($D$2:D149, $B$2:B149, B149)</f>
        <v>0.125</v>
      </c>
    </row>
    <row r="150" spans="1:30" x14ac:dyDescent="0.25">
      <c r="A150" s="85">
        <v>46122</v>
      </c>
      <c r="B150" t="s">
        <v>40</v>
      </c>
      <c r="C150">
        <v>14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1</v>
      </c>
      <c r="N150">
        <v>0</v>
      </c>
      <c r="O150">
        <v>0</v>
      </c>
      <c r="P150">
        <v>0</v>
      </c>
      <c r="Q150">
        <v>1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 s="86">
        <f>AVERAGEIFS($C$2:C150, $B$2:B150, B150)</f>
        <v>16.714285714285715</v>
      </c>
      <c r="AB150" s="86">
        <f>AVERAGEIFS($I$2:I150, $B$2:B150, B150)</f>
        <v>0.43571428571428567</v>
      </c>
      <c r="AC150" s="86">
        <f>AVERAGEIFS($J$2:J150, $B$2:B150, B150)</f>
        <v>0.42571428571428571</v>
      </c>
      <c r="AD150" s="86">
        <f>AVERAGEIFS($D$2:D150, $B$2:B150, B150)</f>
        <v>0.2857142857142857</v>
      </c>
    </row>
    <row r="151" spans="1:30" x14ac:dyDescent="0.25">
      <c r="A151" s="85">
        <v>46122</v>
      </c>
      <c r="B151" t="s">
        <v>6</v>
      </c>
      <c r="C151">
        <v>19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1</v>
      </c>
      <c r="N151">
        <v>0</v>
      </c>
      <c r="O151">
        <v>0</v>
      </c>
      <c r="P151">
        <v>0</v>
      </c>
      <c r="Q151">
        <v>1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 s="86">
        <f>AVERAGEIFS($C$2:C151, $B$2:B151, B151)</f>
        <v>23.666666666666668</v>
      </c>
      <c r="AB151" s="86">
        <f>AVERAGEIFS($I$2:I151, $B$2:B151, B151)</f>
        <v>0.33333333333333331</v>
      </c>
      <c r="AC151" s="86">
        <f>AVERAGEIFS($J$2:J151, $B$2:B151, B151)</f>
        <v>0.47666666666666663</v>
      </c>
      <c r="AD151" s="86">
        <f>AVERAGEIFS($D$2:D151, $B$2:B151, B151)</f>
        <v>0.33333333333333331</v>
      </c>
    </row>
    <row r="152" spans="1:30" x14ac:dyDescent="0.25">
      <c r="A152" s="85">
        <v>46123</v>
      </c>
      <c r="B152" t="s">
        <v>14</v>
      </c>
      <c r="C152">
        <v>10</v>
      </c>
      <c r="D152" s="86">
        <v>0</v>
      </c>
      <c r="E152">
        <v>3</v>
      </c>
      <c r="F152">
        <v>0</v>
      </c>
      <c r="G152">
        <v>12</v>
      </c>
      <c r="H152">
        <v>3</v>
      </c>
      <c r="I152">
        <v>0</v>
      </c>
      <c r="J152">
        <v>0.25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 s="86">
        <f>AVERAGEIFS($C$2:C152, $B$2:B152, B152)</f>
        <v>20.625</v>
      </c>
      <c r="AB152" s="86">
        <f>AVERAGEIFS($I$2:I152, $B$2:B152, B152)</f>
        <v>0.38124999999999998</v>
      </c>
      <c r="AC152" s="86">
        <f>AVERAGEIFS($J$2:J152, $B$2:B152, B152)</f>
        <v>0.4325</v>
      </c>
      <c r="AD152" s="86">
        <f>AVERAGEIFS($D$2:D152, $B$2:B152, B152)</f>
        <v>0.25</v>
      </c>
    </row>
    <row r="153" spans="1:30" x14ac:dyDescent="0.25">
      <c r="A153" s="85">
        <v>46123</v>
      </c>
      <c r="B153" t="s">
        <v>37</v>
      </c>
      <c r="C153">
        <v>14</v>
      </c>
      <c r="D153" s="86">
        <v>0</v>
      </c>
      <c r="E153">
        <v>3</v>
      </c>
      <c r="F153">
        <v>0</v>
      </c>
      <c r="G153">
        <v>12</v>
      </c>
      <c r="H153">
        <v>3</v>
      </c>
      <c r="I153">
        <v>0</v>
      </c>
      <c r="J153">
        <v>0.25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 s="86">
        <f>AVERAGEIFS($C$2:C153, $B$2:B153, B153)</f>
        <v>24</v>
      </c>
      <c r="AB153" s="86">
        <f>AVERAGEIFS($I$2:I153, $B$2:B153, B153)</f>
        <v>0.48750000000000004</v>
      </c>
      <c r="AC153" s="86">
        <f>AVERAGEIFS($J$2:J153, $B$2:B153, B153)</f>
        <v>0.51</v>
      </c>
      <c r="AD153" s="86">
        <f>AVERAGEIFS($D$2:D153, $B$2:B153, B153)</f>
        <v>0.75</v>
      </c>
    </row>
    <row r="154" spans="1:30" x14ac:dyDescent="0.25">
      <c r="A154" s="85">
        <v>46123</v>
      </c>
      <c r="B154" t="s">
        <v>4</v>
      </c>
      <c r="C154">
        <v>18</v>
      </c>
      <c r="D154" s="86">
        <v>0</v>
      </c>
      <c r="E154">
        <v>3</v>
      </c>
      <c r="F154">
        <v>0</v>
      </c>
      <c r="G154">
        <v>12</v>
      </c>
      <c r="H154">
        <v>3</v>
      </c>
      <c r="I154">
        <v>0</v>
      </c>
      <c r="J154">
        <v>0.25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86">
        <f>AVERAGEIFS($C$2:C154, $B$2:B154, B154)</f>
        <v>20.75</v>
      </c>
      <c r="AB154" s="86">
        <f>AVERAGEIFS($I$2:I154, $B$2:B154, B154)</f>
        <v>0.25</v>
      </c>
      <c r="AC154" s="86">
        <f>AVERAGEIFS($J$2:J154, $B$2:B154, B154)</f>
        <v>0.36249999999999999</v>
      </c>
      <c r="AD154" s="86">
        <f>AVERAGEIFS($D$2:D154, $B$2:B154, B154)</f>
        <v>0.25</v>
      </c>
    </row>
    <row r="155" spans="1:30" x14ac:dyDescent="0.25">
      <c r="A155" s="85">
        <v>46123</v>
      </c>
      <c r="B155" t="s">
        <v>113</v>
      </c>
      <c r="C155">
        <v>15</v>
      </c>
      <c r="D155" s="86">
        <v>0</v>
      </c>
      <c r="E155">
        <v>3</v>
      </c>
      <c r="F155">
        <v>0</v>
      </c>
      <c r="G155">
        <v>12</v>
      </c>
      <c r="H155">
        <v>3</v>
      </c>
      <c r="I155">
        <v>0</v>
      </c>
      <c r="J155">
        <v>0.25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86">
        <f>AVERAGEIFS($C$2:C155, $B$2:B155, B155)</f>
        <v>16.8</v>
      </c>
      <c r="AB155" s="86">
        <f>AVERAGEIFS($I$2:I155, $B$2:B155, B155)</f>
        <v>0.47000000000000003</v>
      </c>
      <c r="AC155" s="86">
        <f>AVERAGEIFS($J$2:J155, $B$2:B155, B155)</f>
        <v>0.45599999999999996</v>
      </c>
      <c r="AD155" s="86">
        <f>AVERAGEIFS($D$2:D155, $B$2:B155, B155)</f>
        <v>0.6</v>
      </c>
    </row>
    <row r="156" spans="1:30" x14ac:dyDescent="0.25">
      <c r="A156" s="85">
        <v>46123</v>
      </c>
      <c r="B156" t="s">
        <v>152</v>
      </c>
      <c r="C156">
        <v>10</v>
      </c>
      <c r="D156" s="86">
        <v>0</v>
      </c>
      <c r="E156">
        <v>3</v>
      </c>
      <c r="F156">
        <v>0</v>
      </c>
      <c r="G156">
        <v>12</v>
      </c>
      <c r="H156">
        <v>3</v>
      </c>
      <c r="I156">
        <v>0</v>
      </c>
      <c r="J156">
        <v>0.25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86">
        <f>AVERAGEIFS($C$2:C156, $B$2:B156, B156)</f>
        <v>15.666666666666666</v>
      </c>
      <c r="AB156" s="86">
        <f>AVERAGEIFS($I$2:I156, $B$2:B156, B156)</f>
        <v>0.26666666666666666</v>
      </c>
      <c r="AC156" s="86">
        <f>AVERAGEIFS($J$2:J156, $B$2:B156, B156)</f>
        <v>0.37666666666666665</v>
      </c>
      <c r="AD156" s="86">
        <f>AVERAGEIFS($D$2:D156, $B$2:B156, B156)</f>
        <v>0</v>
      </c>
    </row>
    <row r="157" spans="1:30" x14ac:dyDescent="0.25">
      <c r="A157" s="85">
        <v>46123</v>
      </c>
      <c r="B157" t="s">
        <v>35</v>
      </c>
      <c r="C157">
        <v>7</v>
      </c>
      <c r="D157" s="86">
        <v>0</v>
      </c>
      <c r="E157">
        <v>3</v>
      </c>
      <c r="F157">
        <v>0</v>
      </c>
      <c r="G157">
        <v>12</v>
      </c>
      <c r="H157">
        <v>3</v>
      </c>
      <c r="I157">
        <v>0</v>
      </c>
      <c r="J157">
        <v>0.25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86">
        <f>AVERAGEIFS($C$2:C157, $B$2:B157, B157)</f>
        <v>12.5</v>
      </c>
      <c r="AB157" s="86">
        <f>AVERAGEIFS($I$2:I157, $B$2:B157, B157)</f>
        <v>0.3125</v>
      </c>
      <c r="AC157" s="86">
        <f>AVERAGEIFS($J$2:J157, $B$2:B157, B157)</f>
        <v>0.37874999999999998</v>
      </c>
      <c r="AD157" s="86">
        <f>AVERAGEIFS($D$2:D157, $B$2:B157, B157)</f>
        <v>0.25</v>
      </c>
    </row>
    <row r="158" spans="1:30" x14ac:dyDescent="0.25">
      <c r="A158" s="85">
        <v>46123</v>
      </c>
      <c r="B158" t="s">
        <v>13</v>
      </c>
      <c r="C158">
        <v>30</v>
      </c>
      <c r="D158" s="86">
        <v>1</v>
      </c>
      <c r="E158">
        <v>3</v>
      </c>
      <c r="F158">
        <v>3</v>
      </c>
      <c r="G158">
        <v>12</v>
      </c>
      <c r="H158">
        <v>9</v>
      </c>
      <c r="I158">
        <v>1</v>
      </c>
      <c r="J158">
        <v>0.75</v>
      </c>
      <c r="K158">
        <v>1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1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 s="86">
        <f>AVERAGEIFS($C$2:C158, $B$2:B158, B158)</f>
        <v>22.583333333333332</v>
      </c>
      <c r="AB158" s="86">
        <f>AVERAGEIFS($I$2:I158, $B$2:B158, B158)</f>
        <v>0.70416666666666661</v>
      </c>
      <c r="AC158" s="86">
        <f>AVERAGEIFS($J$2:J158, $B$2:B158, B158)</f>
        <v>0.62833333333333341</v>
      </c>
      <c r="AD158" s="86">
        <f>AVERAGEIFS($D$2:D158, $B$2:B158, B158)</f>
        <v>0.83333333333333337</v>
      </c>
    </row>
    <row r="159" spans="1:30" x14ac:dyDescent="0.25">
      <c r="A159" s="85">
        <v>46123</v>
      </c>
      <c r="B159" t="s">
        <v>6</v>
      </c>
      <c r="C159">
        <v>18</v>
      </c>
      <c r="D159" s="86">
        <v>1</v>
      </c>
      <c r="E159">
        <v>3</v>
      </c>
      <c r="F159">
        <v>3</v>
      </c>
      <c r="G159">
        <v>12</v>
      </c>
      <c r="H159">
        <v>9</v>
      </c>
      <c r="I159">
        <v>1</v>
      </c>
      <c r="J159">
        <v>0.75</v>
      </c>
      <c r="K159">
        <v>1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1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 s="86">
        <f>AVERAGEIFS($C$2:C159, $B$2:B159, B159)</f>
        <v>22.25</v>
      </c>
      <c r="AB159" s="86">
        <f>AVERAGEIFS($I$2:I159, $B$2:B159, B159)</f>
        <v>0.5</v>
      </c>
      <c r="AC159" s="86">
        <f>AVERAGEIFS($J$2:J159, $B$2:B159, B159)</f>
        <v>0.54499999999999993</v>
      </c>
      <c r="AD159" s="86">
        <f>AVERAGEIFS($D$2:D159, $B$2:B159, B159)</f>
        <v>0.5</v>
      </c>
    </row>
    <row r="160" spans="1:30" x14ac:dyDescent="0.25">
      <c r="A160" s="85">
        <v>46123</v>
      </c>
      <c r="B160" t="s">
        <v>40</v>
      </c>
      <c r="C160">
        <v>13</v>
      </c>
      <c r="D160" s="86">
        <v>1</v>
      </c>
      <c r="E160">
        <v>3</v>
      </c>
      <c r="F160">
        <v>3</v>
      </c>
      <c r="G160">
        <v>12</v>
      </c>
      <c r="H160">
        <v>9</v>
      </c>
      <c r="I160">
        <v>1</v>
      </c>
      <c r="J160">
        <v>0.75</v>
      </c>
      <c r="K160">
        <v>1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1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 s="86">
        <f>AVERAGEIFS($C$2:C160, $B$2:B160, B160)</f>
        <v>16.25</v>
      </c>
      <c r="AB160" s="86">
        <f>AVERAGEIFS($I$2:I160, $B$2:B160, B160)</f>
        <v>0.50624999999999998</v>
      </c>
      <c r="AC160" s="86">
        <f>AVERAGEIFS($J$2:J160, $B$2:B160, B160)</f>
        <v>0.46625</v>
      </c>
      <c r="AD160" s="86">
        <f>AVERAGEIFS($D$2:D160, $B$2:B160, B160)</f>
        <v>0.375</v>
      </c>
    </row>
    <row r="161" spans="1:30" x14ac:dyDescent="0.25">
      <c r="A161" s="85">
        <v>46123</v>
      </c>
      <c r="B161" t="s">
        <v>154</v>
      </c>
      <c r="C161">
        <v>10</v>
      </c>
      <c r="D161" s="86">
        <v>1</v>
      </c>
      <c r="E161">
        <v>3</v>
      </c>
      <c r="F161">
        <v>3</v>
      </c>
      <c r="G161">
        <v>12</v>
      </c>
      <c r="H161">
        <v>9</v>
      </c>
      <c r="I161">
        <v>1</v>
      </c>
      <c r="J161">
        <v>0.75</v>
      </c>
      <c r="K161">
        <v>1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1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1</v>
      </c>
      <c r="AA161" s="86">
        <f>AVERAGEIFS($C$2:C161, $B$2:B161, B161)</f>
        <v>9.25</v>
      </c>
      <c r="AB161" s="86">
        <f>AVERAGEIFS($I$2:I161, $B$2:B161, B161)</f>
        <v>0.77500000000000002</v>
      </c>
      <c r="AC161" s="86">
        <f>AVERAGEIFS($J$2:J161, $B$2:B161, B161)</f>
        <v>0.65500000000000003</v>
      </c>
      <c r="AD161" s="86">
        <f>AVERAGEIFS($D$2:D161, $B$2:B161, B161)</f>
        <v>1</v>
      </c>
    </row>
    <row r="162" spans="1:30" x14ac:dyDescent="0.25">
      <c r="A162" s="85">
        <v>46123</v>
      </c>
      <c r="B162" t="s">
        <v>148</v>
      </c>
      <c r="C162">
        <v>4</v>
      </c>
      <c r="D162" s="86">
        <v>1</v>
      </c>
      <c r="E162">
        <v>3</v>
      </c>
      <c r="F162">
        <v>3</v>
      </c>
      <c r="G162">
        <v>12</v>
      </c>
      <c r="H162">
        <v>9</v>
      </c>
      <c r="I162">
        <v>1</v>
      </c>
      <c r="J162">
        <v>0.75</v>
      </c>
      <c r="K162">
        <v>1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1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1</v>
      </c>
      <c r="AA162" s="86">
        <f>AVERAGEIFS($C$2:C162, $B$2:B162, B162)</f>
        <v>12.916666666666666</v>
      </c>
      <c r="AB162" s="86">
        <f>AVERAGEIFS($I$2:I162, $B$2:B162, B162)</f>
        <v>0.62083333333333335</v>
      </c>
      <c r="AC162" s="86">
        <f>AVERAGEIFS($J$2:J162, $B$2:B162, B162)</f>
        <v>0.5575</v>
      </c>
      <c r="AD162" s="86">
        <f>AVERAGEIFS($D$2:D162, $B$2:B162, B162)</f>
        <v>0.66666666666666663</v>
      </c>
    </row>
    <row r="163" spans="1:30" x14ac:dyDescent="0.25">
      <c r="A163" s="85">
        <v>46123</v>
      </c>
      <c r="B163" t="s">
        <v>147</v>
      </c>
      <c r="C163">
        <v>13</v>
      </c>
      <c r="D163" s="86">
        <v>1</v>
      </c>
      <c r="E163">
        <v>3</v>
      </c>
      <c r="F163">
        <v>3</v>
      </c>
      <c r="G163">
        <v>12</v>
      </c>
      <c r="H163">
        <v>9</v>
      </c>
      <c r="I163">
        <v>1</v>
      </c>
      <c r="J163">
        <v>0.75</v>
      </c>
      <c r="K163">
        <v>1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1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1</v>
      </c>
      <c r="AA163" s="86">
        <f>AVERAGEIFS($C$2:C163, $B$2:B163, B163)</f>
        <v>12.333333333333334</v>
      </c>
      <c r="AB163" s="86">
        <f>AVERAGEIFS($I$2:I163, $B$2:B163, B163)</f>
        <v>0.33333333333333331</v>
      </c>
      <c r="AC163" s="86">
        <f>AVERAGEIFS($J$2:J163, $B$2:B163, B163)</f>
        <v>0.41333333333333333</v>
      </c>
      <c r="AD163" s="86">
        <f>AVERAGEIFS($D$2:D163, $B$2:B163, B163)</f>
        <v>0.33333333333333331</v>
      </c>
    </row>
    <row r="164" spans="1:30" x14ac:dyDescent="0.25">
      <c r="A164" s="85">
        <v>46124</v>
      </c>
      <c r="B164" t="s">
        <v>18</v>
      </c>
      <c r="C164">
        <v>29</v>
      </c>
      <c r="D164" s="86">
        <v>1</v>
      </c>
      <c r="E164">
        <v>5</v>
      </c>
      <c r="F164">
        <v>3</v>
      </c>
      <c r="G164">
        <v>23</v>
      </c>
      <c r="H164">
        <v>11</v>
      </c>
      <c r="I164">
        <v>0.6</v>
      </c>
      <c r="J164">
        <v>0.48</v>
      </c>
      <c r="K164">
        <v>0</v>
      </c>
      <c r="L164">
        <v>0</v>
      </c>
      <c r="M164">
        <v>0</v>
      </c>
      <c r="N164">
        <v>1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1</v>
      </c>
      <c r="Y164">
        <v>0</v>
      </c>
      <c r="Z164">
        <v>1</v>
      </c>
      <c r="AA164" s="86">
        <f>AVERAGEIFS($C$2:C164, $B$2:B164, B164)</f>
        <v>23.8</v>
      </c>
      <c r="AB164" s="86">
        <f>AVERAGEIFS($I$2:I164, $B$2:B164, B164)</f>
        <v>0.82</v>
      </c>
      <c r="AC164" s="86">
        <f>AVERAGEIFS($J$2:J164, $B$2:B164, B164)</f>
        <v>0.67199999999999993</v>
      </c>
      <c r="AD164" s="86">
        <f>AVERAGEIFS($D$2:D164, $B$2:B164, B164)</f>
        <v>1</v>
      </c>
    </row>
    <row r="165" spans="1:30" x14ac:dyDescent="0.25">
      <c r="A165" s="85">
        <v>46124</v>
      </c>
      <c r="B165" t="s">
        <v>37</v>
      </c>
      <c r="C165">
        <v>26</v>
      </c>
      <c r="D165" s="86">
        <v>1</v>
      </c>
      <c r="E165">
        <v>5</v>
      </c>
      <c r="F165">
        <v>3</v>
      </c>
      <c r="G165">
        <v>23</v>
      </c>
      <c r="H165">
        <v>11</v>
      </c>
      <c r="I165">
        <v>0.6</v>
      </c>
      <c r="J165">
        <v>0.48</v>
      </c>
      <c r="K165">
        <v>0</v>
      </c>
      <c r="L165">
        <v>0</v>
      </c>
      <c r="M165">
        <v>0</v>
      </c>
      <c r="N165">
        <v>1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1</v>
      </c>
      <c r="Y165">
        <v>0</v>
      </c>
      <c r="Z165">
        <v>1</v>
      </c>
      <c r="AA165" s="86">
        <f>AVERAGEIFS($C$2:C165, $B$2:B165, B165)</f>
        <v>24.4</v>
      </c>
      <c r="AB165" s="86">
        <f>AVERAGEIFS($I$2:I165, $B$2:B165, B165)</f>
        <v>0.51</v>
      </c>
      <c r="AC165" s="86">
        <f>AVERAGEIFS($J$2:J165, $B$2:B165, B165)</f>
        <v>0.504</v>
      </c>
      <c r="AD165" s="86">
        <f>AVERAGEIFS($D$2:D165, $B$2:B165, B165)</f>
        <v>0.8</v>
      </c>
    </row>
    <row r="166" spans="1:30" x14ac:dyDescent="0.25">
      <c r="A166" s="85">
        <v>46124</v>
      </c>
      <c r="B166" t="s">
        <v>25</v>
      </c>
      <c r="C166">
        <v>25</v>
      </c>
      <c r="D166" s="86">
        <v>1</v>
      </c>
      <c r="E166">
        <v>5</v>
      </c>
      <c r="F166">
        <v>3</v>
      </c>
      <c r="G166">
        <v>23</v>
      </c>
      <c r="H166">
        <v>11</v>
      </c>
      <c r="I166">
        <v>0.6</v>
      </c>
      <c r="J166">
        <v>0.48</v>
      </c>
      <c r="K166">
        <v>0</v>
      </c>
      <c r="L166">
        <v>0</v>
      </c>
      <c r="M166">
        <v>0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1</v>
      </c>
      <c r="Y166">
        <v>0</v>
      </c>
      <c r="Z166">
        <v>1</v>
      </c>
      <c r="AA166" s="86">
        <f>AVERAGEIFS($C$2:C166, $B$2:B166, B166)</f>
        <v>19.2</v>
      </c>
      <c r="AB166" s="86">
        <f>AVERAGEIFS($I$2:I166, $B$2:B166, B166)</f>
        <v>0.52</v>
      </c>
      <c r="AC166" s="86">
        <f>AVERAGEIFS($J$2:J166, $B$2:B166, B166)</f>
        <v>0.48200000000000004</v>
      </c>
      <c r="AD166" s="86">
        <f>AVERAGEIFS($D$2:D166, $B$2:B166, B166)</f>
        <v>0.6</v>
      </c>
    </row>
    <row r="167" spans="1:30" x14ac:dyDescent="0.25">
      <c r="A167" s="85">
        <v>46124</v>
      </c>
      <c r="B167" t="s">
        <v>17</v>
      </c>
      <c r="C167">
        <v>24</v>
      </c>
      <c r="D167" s="86">
        <v>1</v>
      </c>
      <c r="E167">
        <v>5</v>
      </c>
      <c r="F167">
        <v>3</v>
      </c>
      <c r="G167">
        <v>23</v>
      </c>
      <c r="H167">
        <v>11</v>
      </c>
      <c r="I167">
        <v>0.6</v>
      </c>
      <c r="J167">
        <v>0.48</v>
      </c>
      <c r="K167">
        <v>0</v>
      </c>
      <c r="L167">
        <v>0</v>
      </c>
      <c r="M167">
        <v>0</v>
      </c>
      <c r="N167">
        <v>1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1</v>
      </c>
      <c r="Y167">
        <v>0</v>
      </c>
      <c r="Z167">
        <v>1</v>
      </c>
      <c r="AA167" s="86">
        <f>AVERAGEIFS($C$2:C167, $B$2:B167, B167)</f>
        <v>22.7</v>
      </c>
      <c r="AB167" s="86">
        <f>AVERAGEIFS($I$2:I167, $B$2:B167, B167)</f>
        <v>0.45499999999999996</v>
      </c>
      <c r="AC167" s="86">
        <f>AVERAGEIFS($J$2:J167, $B$2:B167, B167)</f>
        <v>0.48599999999999993</v>
      </c>
      <c r="AD167" s="86">
        <f>AVERAGEIFS($D$2:D167, $B$2:B167, B167)</f>
        <v>0.5</v>
      </c>
    </row>
    <row r="168" spans="1:30" x14ac:dyDescent="0.25">
      <c r="A168" s="85">
        <v>46124</v>
      </c>
      <c r="B168" t="s">
        <v>35</v>
      </c>
      <c r="C168">
        <v>19</v>
      </c>
      <c r="D168" s="86">
        <v>1</v>
      </c>
      <c r="E168">
        <v>5</v>
      </c>
      <c r="F168">
        <v>3</v>
      </c>
      <c r="G168">
        <v>23</v>
      </c>
      <c r="H168">
        <v>11</v>
      </c>
      <c r="I168">
        <v>0.6</v>
      </c>
      <c r="J168">
        <v>0.48</v>
      </c>
      <c r="K168">
        <v>0</v>
      </c>
      <c r="L168">
        <v>0</v>
      </c>
      <c r="M168">
        <v>0</v>
      </c>
      <c r="N168">
        <v>1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1</v>
      </c>
      <c r="Y168">
        <v>0</v>
      </c>
      <c r="Z168">
        <v>1</v>
      </c>
      <c r="AA168" s="86">
        <f>AVERAGEIFS($C$2:C168, $B$2:B168, B168)</f>
        <v>13.222222222222221</v>
      </c>
      <c r="AB168" s="86">
        <f>AVERAGEIFS($I$2:I168, $B$2:B168, B168)</f>
        <v>0.34444444444444444</v>
      </c>
      <c r="AC168" s="86">
        <f>AVERAGEIFS($J$2:J168, $B$2:B168, B168)</f>
        <v>0.38999999999999996</v>
      </c>
      <c r="AD168" s="86">
        <f>AVERAGEIFS($D$2:D168, $B$2:B168, B168)</f>
        <v>0.33333333333333331</v>
      </c>
    </row>
    <row r="169" spans="1:30" x14ac:dyDescent="0.25">
      <c r="A169" s="85">
        <v>46124</v>
      </c>
      <c r="B169" t="s">
        <v>148</v>
      </c>
      <c r="C169">
        <v>18</v>
      </c>
      <c r="D169" s="86">
        <v>1</v>
      </c>
      <c r="E169">
        <v>5</v>
      </c>
      <c r="F169">
        <v>3</v>
      </c>
      <c r="G169">
        <v>23</v>
      </c>
      <c r="H169">
        <v>11</v>
      </c>
      <c r="I169">
        <v>0.6</v>
      </c>
      <c r="J169">
        <v>0.48</v>
      </c>
      <c r="K169">
        <v>0</v>
      </c>
      <c r="L169">
        <v>0</v>
      </c>
      <c r="M169">
        <v>0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1</v>
      </c>
      <c r="Y169">
        <v>0</v>
      </c>
      <c r="Z169">
        <v>1</v>
      </c>
      <c r="AA169" s="86">
        <f>AVERAGEIFS($C$2:C169, $B$2:B169, B169)</f>
        <v>13.307692307692308</v>
      </c>
      <c r="AB169" s="86">
        <f>AVERAGEIFS($I$2:I169, $B$2:B169, B169)</f>
        <v>0.61923076923076925</v>
      </c>
      <c r="AC169" s="86">
        <f>AVERAGEIFS($J$2:J169, $B$2:B169, B169)</f>
        <v>0.55153846153846153</v>
      </c>
      <c r="AD169" s="86">
        <f>AVERAGEIFS($D$2:D169, $B$2:B169, B169)</f>
        <v>0.69230769230769229</v>
      </c>
    </row>
    <row r="170" spans="1:30" x14ac:dyDescent="0.25">
      <c r="A170" s="85">
        <v>46124</v>
      </c>
      <c r="B170" t="s">
        <v>139</v>
      </c>
      <c r="C170">
        <v>15</v>
      </c>
      <c r="D170" s="86">
        <v>1</v>
      </c>
      <c r="E170">
        <v>5</v>
      </c>
      <c r="F170">
        <v>3</v>
      </c>
      <c r="G170">
        <v>23</v>
      </c>
      <c r="H170">
        <v>11</v>
      </c>
      <c r="I170">
        <v>0.6</v>
      </c>
      <c r="J170">
        <v>0.48</v>
      </c>
      <c r="K170">
        <v>0</v>
      </c>
      <c r="L170">
        <v>0</v>
      </c>
      <c r="M170">
        <v>0</v>
      </c>
      <c r="N170">
        <v>1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1</v>
      </c>
      <c r="Y170">
        <v>0</v>
      </c>
      <c r="Z170">
        <v>1</v>
      </c>
      <c r="AA170" s="86">
        <f>AVERAGEIFS($C$2:C170, $B$2:B170, B170)</f>
        <v>10.285714285714286</v>
      </c>
      <c r="AB170" s="86">
        <f>AVERAGEIFS($I$2:I170, $B$2:B170, B170)</f>
        <v>0.56428571428571428</v>
      </c>
      <c r="AC170" s="86">
        <f>AVERAGEIFS($J$2:J170, $B$2:B170, B170)</f>
        <v>0.52857142857142858</v>
      </c>
      <c r="AD170" s="86">
        <f>AVERAGEIFS($D$2:D170, $B$2:B170, B170)</f>
        <v>0.7142857142857143</v>
      </c>
    </row>
    <row r="171" spans="1:30" x14ac:dyDescent="0.25">
      <c r="A171" s="85">
        <v>46124</v>
      </c>
      <c r="B171" t="s">
        <v>38</v>
      </c>
      <c r="C171">
        <v>13</v>
      </c>
      <c r="D171" s="86">
        <v>1</v>
      </c>
      <c r="E171">
        <v>5</v>
      </c>
      <c r="F171">
        <v>3</v>
      </c>
      <c r="G171">
        <v>23</v>
      </c>
      <c r="H171">
        <v>11</v>
      </c>
      <c r="I171">
        <v>0.6</v>
      </c>
      <c r="J171">
        <v>0.48</v>
      </c>
      <c r="K171">
        <v>0</v>
      </c>
      <c r="L171">
        <v>0</v>
      </c>
      <c r="M171">
        <v>0</v>
      </c>
      <c r="N171">
        <v>1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1</v>
      </c>
      <c r="Y171">
        <v>0</v>
      </c>
      <c r="Z171">
        <v>1</v>
      </c>
      <c r="AA171" s="86">
        <f>AVERAGEIFS($C$2:C171, $B$2:B171, B171)</f>
        <v>10.666666666666666</v>
      </c>
      <c r="AB171" s="86">
        <f>AVERAGEIFS($I$2:I171, $B$2:B171, B171)</f>
        <v>0.48333333333333334</v>
      </c>
      <c r="AC171" s="86">
        <f>AVERAGEIFS($J$2:J171, $B$2:B171, B171)</f>
        <v>0.49666666666666665</v>
      </c>
      <c r="AD171" s="86">
        <f>AVERAGEIFS($D$2:D171, $B$2:B171, B171)</f>
        <v>0.66666666666666663</v>
      </c>
    </row>
    <row r="172" spans="1:30" x14ac:dyDescent="0.25">
      <c r="A172" s="85">
        <v>46124</v>
      </c>
      <c r="B172" t="s">
        <v>13</v>
      </c>
      <c r="C172">
        <v>33</v>
      </c>
      <c r="D172" s="86">
        <v>0</v>
      </c>
      <c r="E172">
        <v>5</v>
      </c>
      <c r="F172">
        <v>2</v>
      </c>
      <c r="G172">
        <v>23</v>
      </c>
      <c r="H172">
        <v>12</v>
      </c>
      <c r="I172">
        <v>0.4</v>
      </c>
      <c r="J172">
        <v>0.52</v>
      </c>
      <c r="K172">
        <v>1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1</v>
      </c>
      <c r="Z172">
        <v>0</v>
      </c>
      <c r="AA172" s="86">
        <f>AVERAGEIFS($C$2:C172, $B$2:B172, B172)</f>
        <v>23.384615384615383</v>
      </c>
      <c r="AB172" s="86">
        <f>AVERAGEIFS($I$2:I172, $B$2:B172, B172)</f>
        <v>0.68076923076923079</v>
      </c>
      <c r="AC172" s="86">
        <f>AVERAGEIFS($J$2:J172, $B$2:B172, B172)</f>
        <v>0.62</v>
      </c>
      <c r="AD172" s="86">
        <f>AVERAGEIFS($D$2:D172, $B$2:B172, B172)</f>
        <v>0.76923076923076927</v>
      </c>
    </row>
    <row r="173" spans="1:30" x14ac:dyDescent="0.25">
      <c r="A173" s="85">
        <v>46124</v>
      </c>
      <c r="B173" t="s">
        <v>20</v>
      </c>
      <c r="C173">
        <v>28</v>
      </c>
      <c r="D173" s="86">
        <v>0</v>
      </c>
      <c r="E173">
        <v>5</v>
      </c>
      <c r="F173">
        <v>2</v>
      </c>
      <c r="G173">
        <v>23</v>
      </c>
      <c r="H173">
        <v>12</v>
      </c>
      <c r="I173">
        <v>0.4</v>
      </c>
      <c r="J173">
        <v>0.52</v>
      </c>
      <c r="K173">
        <v>1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0</v>
      </c>
      <c r="AA173" s="86">
        <f>AVERAGEIFS($C$2:C173, $B$2:B173, B173)</f>
        <v>14.5</v>
      </c>
      <c r="AB173" s="86">
        <f>AVERAGEIFS($I$2:I173, $B$2:B173, B173)</f>
        <v>0.47499999999999998</v>
      </c>
      <c r="AC173" s="86">
        <f>AVERAGEIFS($J$2:J173, $B$2:B173, B173)</f>
        <v>0.53249999999999997</v>
      </c>
      <c r="AD173" s="86">
        <f>AVERAGEIFS($D$2:D173, $B$2:B173, B173)</f>
        <v>0.5</v>
      </c>
    </row>
    <row r="174" spans="1:30" x14ac:dyDescent="0.25">
      <c r="A174" s="85">
        <v>46124</v>
      </c>
      <c r="B174" t="s">
        <v>155</v>
      </c>
      <c r="C174">
        <v>28</v>
      </c>
      <c r="D174" s="86">
        <v>0</v>
      </c>
      <c r="E174">
        <v>5</v>
      </c>
      <c r="F174">
        <v>2</v>
      </c>
      <c r="G174">
        <v>23</v>
      </c>
      <c r="H174">
        <v>12</v>
      </c>
      <c r="I174">
        <v>0.4</v>
      </c>
      <c r="J174">
        <v>0.52</v>
      </c>
      <c r="K174">
        <v>1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0</v>
      </c>
      <c r="AA174" s="86">
        <f>AVERAGEIFS($C$2:C174, $B$2:B174, B174)</f>
        <v>17.111111111111111</v>
      </c>
      <c r="AB174" s="86">
        <f>AVERAGEIFS($I$2:I174, $B$2:B174, B174)</f>
        <v>0.33888888888888885</v>
      </c>
      <c r="AC174" s="86">
        <f>AVERAGEIFS($J$2:J174, $B$2:B174, B174)</f>
        <v>0.41</v>
      </c>
      <c r="AD174" s="86">
        <f>AVERAGEIFS($D$2:D174, $B$2:B174, B174)</f>
        <v>0.1111111111111111</v>
      </c>
    </row>
    <row r="175" spans="1:30" x14ac:dyDescent="0.25">
      <c r="A175" s="85">
        <v>46124</v>
      </c>
      <c r="B175" t="s">
        <v>15</v>
      </c>
      <c r="C175">
        <v>25</v>
      </c>
      <c r="D175" s="86">
        <v>0</v>
      </c>
      <c r="E175">
        <v>5</v>
      </c>
      <c r="F175">
        <v>2</v>
      </c>
      <c r="G175">
        <v>23</v>
      </c>
      <c r="H175">
        <v>12</v>
      </c>
      <c r="I175">
        <v>0.4</v>
      </c>
      <c r="J175">
        <v>0.52</v>
      </c>
      <c r="K175">
        <v>1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0</v>
      </c>
      <c r="AA175" s="86">
        <f>AVERAGEIFS($C$2:C175, $B$2:B175, B175)</f>
        <v>25</v>
      </c>
      <c r="AB175" s="86">
        <f>AVERAGEIFS($I$2:I175, $B$2:B175, B175)</f>
        <v>0.54285714285714282</v>
      </c>
      <c r="AC175" s="86">
        <f>AVERAGEIFS($J$2:J175, $B$2:B175, B175)</f>
        <v>0.51999999999999991</v>
      </c>
      <c r="AD175" s="86">
        <f>AVERAGEIFS($D$2:D175, $B$2:B175, B175)</f>
        <v>0.42857142857142855</v>
      </c>
    </row>
    <row r="176" spans="1:30" x14ac:dyDescent="0.25">
      <c r="A176" s="85">
        <v>46124</v>
      </c>
      <c r="B176" t="s">
        <v>26</v>
      </c>
      <c r="C176">
        <v>22</v>
      </c>
      <c r="D176" s="86">
        <v>0</v>
      </c>
      <c r="E176">
        <v>5</v>
      </c>
      <c r="F176">
        <v>2</v>
      </c>
      <c r="G176">
        <v>23</v>
      </c>
      <c r="H176">
        <v>12</v>
      </c>
      <c r="I176">
        <v>0.4</v>
      </c>
      <c r="J176">
        <v>0.52</v>
      </c>
      <c r="K176">
        <v>1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0</v>
      </c>
      <c r="AA176" s="86">
        <f>AVERAGEIFS($C$2:C176, $B$2:B176, B176)</f>
        <v>12</v>
      </c>
      <c r="AB176" s="86">
        <f>AVERAGEIFS($I$2:I176, $B$2:B176, B176)</f>
        <v>0.3</v>
      </c>
      <c r="AC176" s="86">
        <f>AVERAGEIFS($J$2:J176, $B$2:B176, B176)</f>
        <v>0.3833333333333333</v>
      </c>
      <c r="AD176" s="86">
        <f>AVERAGEIFS($D$2:D176, $B$2:B176, B176)</f>
        <v>0</v>
      </c>
    </row>
    <row r="177" spans="1:30" x14ac:dyDescent="0.25">
      <c r="A177" s="85">
        <v>46124</v>
      </c>
      <c r="B177" t="s">
        <v>29</v>
      </c>
      <c r="C177">
        <v>17</v>
      </c>
      <c r="D177" s="86">
        <v>0</v>
      </c>
      <c r="E177">
        <v>5</v>
      </c>
      <c r="F177">
        <v>2</v>
      </c>
      <c r="G177">
        <v>23</v>
      </c>
      <c r="H177">
        <v>12</v>
      </c>
      <c r="I177">
        <v>0.4</v>
      </c>
      <c r="J177">
        <v>0.52</v>
      </c>
      <c r="K177">
        <v>1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0</v>
      </c>
      <c r="AA177" s="86">
        <f>AVERAGEIFS($C$2:C177, $B$2:B177, B177)</f>
        <v>13.25</v>
      </c>
      <c r="AB177" s="86">
        <f>AVERAGEIFS($I$2:I177, $B$2:B177, B177)</f>
        <v>0.43124999999999997</v>
      </c>
      <c r="AC177" s="86">
        <f>AVERAGEIFS($J$2:J177, $B$2:B177, B177)</f>
        <v>0.47875000000000001</v>
      </c>
      <c r="AD177" s="86">
        <f>AVERAGEIFS($D$2:D177, $B$2:B177, B177)</f>
        <v>0.25</v>
      </c>
    </row>
    <row r="178" spans="1:30" x14ac:dyDescent="0.25">
      <c r="A178" s="85">
        <v>46124</v>
      </c>
      <c r="B178" t="s">
        <v>19</v>
      </c>
      <c r="C178">
        <v>17</v>
      </c>
      <c r="D178" s="86">
        <v>0</v>
      </c>
      <c r="E178">
        <v>5</v>
      </c>
      <c r="F178">
        <v>2</v>
      </c>
      <c r="G178">
        <v>23</v>
      </c>
      <c r="H178">
        <v>12</v>
      </c>
      <c r="I178">
        <v>0.4</v>
      </c>
      <c r="J178">
        <v>0.52</v>
      </c>
      <c r="K178">
        <v>1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1</v>
      </c>
      <c r="Z178">
        <v>0</v>
      </c>
      <c r="AA178" s="86">
        <f>AVERAGEIFS($C$2:C178, $B$2:B178, B178)</f>
        <v>9.75</v>
      </c>
      <c r="AB178" s="86">
        <f>AVERAGEIFS($I$2:I178, $B$2:B178, B178)</f>
        <v>0.53749999999999998</v>
      </c>
      <c r="AC178" s="86">
        <f>AVERAGEIFS($J$2:J178, $B$2:B178, B178)</f>
        <v>0.52249999999999996</v>
      </c>
      <c r="AD178" s="86">
        <f>AVERAGEIFS($D$2:D178, $B$2:B178, B178)</f>
        <v>0.5</v>
      </c>
    </row>
    <row r="179" spans="1:30" x14ac:dyDescent="0.25">
      <c r="A179" s="85">
        <v>46124</v>
      </c>
      <c r="B179" t="s">
        <v>55</v>
      </c>
      <c r="C179">
        <v>12</v>
      </c>
      <c r="D179" s="86">
        <v>0</v>
      </c>
      <c r="E179">
        <v>5</v>
      </c>
      <c r="F179">
        <v>2</v>
      </c>
      <c r="G179">
        <v>23</v>
      </c>
      <c r="H179">
        <v>12</v>
      </c>
      <c r="I179">
        <v>0.4</v>
      </c>
      <c r="J179">
        <v>0.52</v>
      </c>
      <c r="K179">
        <v>1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1</v>
      </c>
      <c r="Z179">
        <v>0</v>
      </c>
      <c r="AA179" s="86">
        <f>AVERAGEIFS($C$2:C179, $B$2:B179, B179)</f>
        <v>7</v>
      </c>
      <c r="AB179" s="86">
        <f>AVERAGEIFS($I$2:I179, $B$2:B179, B179)</f>
        <v>0.6</v>
      </c>
      <c r="AC179" s="86">
        <f>AVERAGEIFS($J$2:J179, $B$2:B179, B179)</f>
        <v>0.60749999999999993</v>
      </c>
      <c r="AD179" s="86">
        <f>AVERAGEIFS($D$2:D179, $B$2:B179, B179)</f>
        <v>0.5</v>
      </c>
    </row>
    <row r="180" spans="1:30" x14ac:dyDescent="0.25">
      <c r="A180" s="85">
        <v>46125</v>
      </c>
      <c r="B180" t="s">
        <v>17</v>
      </c>
      <c r="C180">
        <v>21</v>
      </c>
      <c r="D180" s="86">
        <v>1</v>
      </c>
      <c r="E180">
        <v>4</v>
      </c>
      <c r="F180">
        <v>3</v>
      </c>
      <c r="G180">
        <v>15</v>
      </c>
      <c r="H180">
        <v>9</v>
      </c>
      <c r="I180">
        <v>0.75</v>
      </c>
      <c r="J180">
        <v>0.6</v>
      </c>
      <c r="K180">
        <v>0</v>
      </c>
      <c r="L180">
        <v>1</v>
      </c>
      <c r="M180">
        <v>0</v>
      </c>
      <c r="N180">
        <v>0</v>
      </c>
      <c r="O180">
        <v>0</v>
      </c>
      <c r="P180">
        <v>0</v>
      </c>
      <c r="Q180">
        <v>1</v>
      </c>
      <c r="R180">
        <v>1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 s="86">
        <f>AVERAGEIFS($C$2:C180, $B$2:B180, B180)</f>
        <v>22.545454545454547</v>
      </c>
      <c r="AB180" s="86">
        <f>AVERAGEIFS($I$2:I180, $B$2:B180, B180)</f>
        <v>0.48181818181818181</v>
      </c>
      <c r="AC180" s="86">
        <f>AVERAGEIFS($J$2:J180, $B$2:B180, B180)</f>
        <v>0.49636363636363628</v>
      </c>
      <c r="AD180" s="86">
        <f>AVERAGEIFS($D$2:D180, $B$2:B180, B180)</f>
        <v>0.54545454545454541</v>
      </c>
    </row>
    <row r="181" spans="1:30" x14ac:dyDescent="0.25">
      <c r="A181" s="85">
        <v>46125</v>
      </c>
      <c r="B181" t="s">
        <v>27</v>
      </c>
      <c r="C181">
        <v>13</v>
      </c>
      <c r="D181" s="86">
        <v>1</v>
      </c>
      <c r="E181">
        <v>4</v>
      </c>
      <c r="F181">
        <v>3</v>
      </c>
      <c r="G181">
        <v>15</v>
      </c>
      <c r="H181">
        <v>9</v>
      </c>
      <c r="I181">
        <v>0.75</v>
      </c>
      <c r="J181">
        <v>0.6</v>
      </c>
      <c r="K181">
        <v>0</v>
      </c>
      <c r="L181">
        <v>1</v>
      </c>
      <c r="M181">
        <v>0</v>
      </c>
      <c r="N181">
        <v>0</v>
      </c>
      <c r="O181">
        <v>0</v>
      </c>
      <c r="P181">
        <v>0</v>
      </c>
      <c r="Q181">
        <v>1</v>
      </c>
      <c r="R181">
        <v>1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 s="86">
        <f>AVERAGEIFS($C$2:C181, $B$2:B181, B181)</f>
        <v>12.4</v>
      </c>
      <c r="AB181" s="86">
        <f>AVERAGEIFS($I$2:I181, $B$2:B181, B181)</f>
        <v>0.72</v>
      </c>
      <c r="AC181" s="86">
        <f>AVERAGEIFS($J$2:J181, $B$2:B181, B181)</f>
        <v>0.65200000000000002</v>
      </c>
      <c r="AD181" s="86">
        <f>AVERAGEIFS($D$2:D181, $B$2:B181, B181)</f>
        <v>1</v>
      </c>
    </row>
    <row r="182" spans="1:30" x14ac:dyDescent="0.25">
      <c r="A182" s="85">
        <v>46125</v>
      </c>
      <c r="B182" t="s">
        <v>15</v>
      </c>
      <c r="C182">
        <v>13</v>
      </c>
      <c r="D182" s="86">
        <v>1</v>
      </c>
      <c r="E182">
        <v>4</v>
      </c>
      <c r="F182">
        <v>3</v>
      </c>
      <c r="G182">
        <v>15</v>
      </c>
      <c r="H182">
        <v>9</v>
      </c>
      <c r="I182">
        <v>0.75</v>
      </c>
      <c r="J182">
        <v>0.6</v>
      </c>
      <c r="K182">
        <v>0</v>
      </c>
      <c r="L182">
        <v>1</v>
      </c>
      <c r="M182">
        <v>0</v>
      </c>
      <c r="N182">
        <v>0</v>
      </c>
      <c r="O182">
        <v>0</v>
      </c>
      <c r="P182">
        <v>0</v>
      </c>
      <c r="Q182">
        <v>1</v>
      </c>
      <c r="R182">
        <v>1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 s="86">
        <f>AVERAGEIFS($C$2:C182, $B$2:B182, B182)</f>
        <v>23.5</v>
      </c>
      <c r="AB182" s="86">
        <f>AVERAGEIFS($I$2:I182, $B$2:B182, B182)</f>
        <v>0.56874999999999998</v>
      </c>
      <c r="AC182" s="86">
        <f>AVERAGEIFS($J$2:J182, $B$2:B182, B182)</f>
        <v>0.52999999999999992</v>
      </c>
      <c r="AD182" s="86">
        <f>AVERAGEIFS($D$2:D182, $B$2:B182, B182)</f>
        <v>0.5</v>
      </c>
    </row>
    <row r="183" spans="1:30" x14ac:dyDescent="0.25">
      <c r="A183" s="85">
        <v>46125</v>
      </c>
      <c r="B183" t="s">
        <v>25</v>
      </c>
      <c r="C183">
        <v>12</v>
      </c>
      <c r="D183" s="86">
        <v>1</v>
      </c>
      <c r="E183">
        <v>4</v>
      </c>
      <c r="F183">
        <v>3</v>
      </c>
      <c r="G183">
        <v>15</v>
      </c>
      <c r="H183">
        <v>9</v>
      </c>
      <c r="I183">
        <v>0.75</v>
      </c>
      <c r="J183">
        <v>0.6</v>
      </c>
      <c r="K183">
        <v>0</v>
      </c>
      <c r="L183">
        <v>1</v>
      </c>
      <c r="M183">
        <v>0</v>
      </c>
      <c r="N183">
        <v>0</v>
      </c>
      <c r="O183">
        <v>0</v>
      </c>
      <c r="P183">
        <v>0</v>
      </c>
      <c r="Q183">
        <v>1</v>
      </c>
      <c r="R183">
        <v>1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 s="86">
        <f>AVERAGEIFS($C$2:C183, $B$2:B183, B183)</f>
        <v>18</v>
      </c>
      <c r="AB183" s="86">
        <f>AVERAGEIFS($I$2:I183, $B$2:B183, B183)</f>
        <v>0.55833333333333335</v>
      </c>
      <c r="AC183" s="86">
        <f>AVERAGEIFS($J$2:J183, $B$2:B183, B183)</f>
        <v>0.50166666666666671</v>
      </c>
      <c r="AD183" s="86">
        <f>AVERAGEIFS($D$2:D183, $B$2:B183, B183)</f>
        <v>0.66666666666666663</v>
      </c>
    </row>
    <row r="184" spans="1:30" x14ac:dyDescent="0.25">
      <c r="A184" s="85">
        <v>46125</v>
      </c>
      <c r="B184" t="s">
        <v>139</v>
      </c>
      <c r="C184">
        <v>10</v>
      </c>
      <c r="D184" s="86">
        <v>1</v>
      </c>
      <c r="E184">
        <v>4</v>
      </c>
      <c r="F184">
        <v>3</v>
      </c>
      <c r="G184">
        <v>15</v>
      </c>
      <c r="H184">
        <v>9</v>
      </c>
      <c r="I184">
        <v>0.75</v>
      </c>
      <c r="J184">
        <v>0.6</v>
      </c>
      <c r="K184">
        <v>0</v>
      </c>
      <c r="L184">
        <v>1</v>
      </c>
      <c r="M184">
        <v>0</v>
      </c>
      <c r="N184">
        <v>0</v>
      </c>
      <c r="O184">
        <v>0</v>
      </c>
      <c r="P184">
        <v>0</v>
      </c>
      <c r="Q184">
        <v>1</v>
      </c>
      <c r="R184">
        <v>1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 s="86">
        <f>AVERAGEIFS($C$2:C184, $B$2:B184, B184)</f>
        <v>10.25</v>
      </c>
      <c r="AB184" s="86">
        <f>AVERAGEIFS($I$2:I184, $B$2:B184, B184)</f>
        <v>0.58750000000000002</v>
      </c>
      <c r="AC184" s="86">
        <f>AVERAGEIFS($J$2:J184, $B$2:B184, B184)</f>
        <v>0.53749999999999998</v>
      </c>
      <c r="AD184" s="86">
        <f>AVERAGEIFS($D$2:D184, $B$2:B184, B184)</f>
        <v>0.75</v>
      </c>
    </row>
    <row r="185" spans="1:30" x14ac:dyDescent="0.25">
      <c r="A185" s="85">
        <v>46125</v>
      </c>
      <c r="B185" t="s">
        <v>26</v>
      </c>
      <c r="C185">
        <v>9</v>
      </c>
      <c r="D185" s="86">
        <v>1</v>
      </c>
      <c r="E185">
        <v>4</v>
      </c>
      <c r="F185">
        <v>3</v>
      </c>
      <c r="G185">
        <v>15</v>
      </c>
      <c r="H185">
        <v>9</v>
      </c>
      <c r="I185">
        <v>0.75</v>
      </c>
      <c r="J185">
        <v>0.6</v>
      </c>
      <c r="K185">
        <v>0</v>
      </c>
      <c r="L185">
        <v>1</v>
      </c>
      <c r="M185">
        <v>0</v>
      </c>
      <c r="N185">
        <v>0</v>
      </c>
      <c r="O185">
        <v>0</v>
      </c>
      <c r="P185">
        <v>0</v>
      </c>
      <c r="Q185">
        <v>1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 s="86">
        <f>AVERAGEIFS($C$2:C185, $B$2:B185, B185)</f>
        <v>11.25</v>
      </c>
      <c r="AB185" s="86">
        <f>AVERAGEIFS($I$2:I185, $B$2:B185, B185)</f>
        <v>0.41249999999999998</v>
      </c>
      <c r="AC185" s="86">
        <f>AVERAGEIFS($J$2:J185, $B$2:B185, B185)</f>
        <v>0.4375</v>
      </c>
      <c r="AD185" s="86">
        <f>AVERAGEIFS($D$2:D185, $B$2:B185, B185)</f>
        <v>0.25</v>
      </c>
    </row>
    <row r="186" spans="1:30" x14ac:dyDescent="0.25">
      <c r="A186" s="85">
        <v>46125</v>
      </c>
      <c r="B186" t="s">
        <v>18</v>
      </c>
      <c r="C186">
        <v>18</v>
      </c>
      <c r="D186" s="86">
        <v>0</v>
      </c>
      <c r="E186">
        <v>4</v>
      </c>
      <c r="F186">
        <v>1</v>
      </c>
      <c r="G186">
        <v>15</v>
      </c>
      <c r="H186">
        <v>6</v>
      </c>
      <c r="I186">
        <v>0.25</v>
      </c>
      <c r="J186">
        <v>0.4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 s="86">
        <f>AVERAGEIFS($C$2:C186, $B$2:B186, B186)</f>
        <v>22.833333333333332</v>
      </c>
      <c r="AB186" s="86">
        <f>AVERAGEIFS($I$2:I186, $B$2:B186, B186)</f>
        <v>0.72499999999999998</v>
      </c>
      <c r="AC186" s="86">
        <f>AVERAGEIFS($J$2:J186, $B$2:B186, B186)</f>
        <v>0.62666666666666659</v>
      </c>
      <c r="AD186" s="86">
        <f>AVERAGEIFS($D$2:D186, $B$2:B186, B186)</f>
        <v>0.83333333333333337</v>
      </c>
    </row>
    <row r="187" spans="1:30" x14ac:dyDescent="0.25">
      <c r="A187" s="85">
        <v>46125</v>
      </c>
      <c r="B187" t="s">
        <v>13</v>
      </c>
      <c r="C187">
        <v>18</v>
      </c>
      <c r="D187" s="86">
        <v>0</v>
      </c>
      <c r="E187">
        <v>4</v>
      </c>
      <c r="F187">
        <v>1</v>
      </c>
      <c r="G187">
        <v>15</v>
      </c>
      <c r="H187">
        <v>6</v>
      </c>
      <c r="I187">
        <v>0.25</v>
      </c>
      <c r="J187">
        <v>0.4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 s="86">
        <f>AVERAGEIFS($C$2:C187, $B$2:B187, B187)</f>
        <v>23</v>
      </c>
      <c r="AB187" s="86">
        <f>AVERAGEIFS($I$2:I187, $B$2:B187, B187)</f>
        <v>0.65</v>
      </c>
      <c r="AC187" s="86">
        <f>AVERAGEIFS($J$2:J187, $B$2:B187, B187)</f>
        <v>0.60428571428571431</v>
      </c>
      <c r="AD187" s="86">
        <f>AVERAGEIFS($D$2:D187, $B$2:B187, B187)</f>
        <v>0.7142857142857143</v>
      </c>
    </row>
    <row r="188" spans="1:30" x14ac:dyDescent="0.25">
      <c r="A188" s="85">
        <v>46125</v>
      </c>
      <c r="B188" t="s">
        <v>148</v>
      </c>
      <c r="C188">
        <v>14</v>
      </c>
      <c r="D188" s="86">
        <v>0</v>
      </c>
      <c r="E188">
        <v>4</v>
      </c>
      <c r="F188">
        <v>1</v>
      </c>
      <c r="G188">
        <v>15</v>
      </c>
      <c r="H188">
        <v>6</v>
      </c>
      <c r="I188">
        <v>0.25</v>
      </c>
      <c r="J188">
        <v>0.4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 s="86">
        <f>AVERAGEIFS($C$2:C188, $B$2:B188, B188)</f>
        <v>13.357142857142858</v>
      </c>
      <c r="AB188" s="86">
        <f>AVERAGEIFS($I$2:I188, $B$2:B188, B188)</f>
        <v>0.59285714285714286</v>
      </c>
      <c r="AC188" s="86">
        <f>AVERAGEIFS($J$2:J188, $B$2:B188, B188)</f>
        <v>0.5407142857142857</v>
      </c>
      <c r="AD188" s="86">
        <f>AVERAGEIFS($D$2:D188, $B$2:B188, B188)</f>
        <v>0.6428571428571429</v>
      </c>
    </row>
    <row r="189" spans="1:30" x14ac:dyDescent="0.25">
      <c r="A189" s="85">
        <v>46125</v>
      </c>
      <c r="B189" t="s">
        <v>20</v>
      </c>
      <c r="C189">
        <v>7</v>
      </c>
      <c r="D189" s="86">
        <v>0</v>
      </c>
      <c r="E189">
        <v>4</v>
      </c>
      <c r="F189">
        <v>1</v>
      </c>
      <c r="G189">
        <v>15</v>
      </c>
      <c r="H189">
        <v>6</v>
      </c>
      <c r="I189">
        <v>0.25</v>
      </c>
      <c r="J189">
        <v>0.4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 s="86">
        <f>AVERAGEIFS($C$2:C189, $B$2:B189, B189)</f>
        <v>13</v>
      </c>
      <c r="AB189" s="86">
        <f>AVERAGEIFS($I$2:I189, $B$2:B189, B189)</f>
        <v>0.43</v>
      </c>
      <c r="AC189" s="86">
        <f>AVERAGEIFS($J$2:J189, $B$2:B189, B189)</f>
        <v>0.50600000000000001</v>
      </c>
      <c r="AD189" s="86">
        <f>AVERAGEIFS($D$2:D189, $B$2:B189, B189)</f>
        <v>0.4</v>
      </c>
    </row>
    <row r="190" spans="1:30" x14ac:dyDescent="0.25">
      <c r="A190" s="85">
        <v>46125</v>
      </c>
      <c r="B190" t="s">
        <v>29</v>
      </c>
      <c r="C190">
        <v>7</v>
      </c>
      <c r="D190" s="86">
        <v>0</v>
      </c>
      <c r="E190">
        <v>4</v>
      </c>
      <c r="F190">
        <v>1</v>
      </c>
      <c r="G190">
        <v>15</v>
      </c>
      <c r="H190">
        <v>6</v>
      </c>
      <c r="I190">
        <v>0.25</v>
      </c>
      <c r="J190">
        <v>0.4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 s="86">
        <f>AVERAGEIFS($C$2:C190, $B$2:B190, B190)</f>
        <v>12.555555555555555</v>
      </c>
      <c r="AB190" s="86">
        <f>AVERAGEIFS($I$2:I190, $B$2:B190, B190)</f>
        <v>0.41111111111111109</v>
      </c>
      <c r="AC190" s="86">
        <f>AVERAGEIFS($J$2:J190, $B$2:B190, B190)</f>
        <v>0.47000000000000003</v>
      </c>
      <c r="AD190" s="86">
        <f>AVERAGEIFS($D$2:D190, $B$2:B190, B190)</f>
        <v>0.22222222222222221</v>
      </c>
    </row>
    <row r="191" spans="1:30" x14ac:dyDescent="0.25">
      <c r="A191" s="85">
        <v>46125</v>
      </c>
      <c r="B191" t="s">
        <v>155</v>
      </c>
      <c r="C191">
        <v>5</v>
      </c>
      <c r="D191" s="86">
        <v>0</v>
      </c>
      <c r="E191">
        <v>4</v>
      </c>
      <c r="F191">
        <v>1</v>
      </c>
      <c r="G191">
        <v>15</v>
      </c>
      <c r="H191">
        <v>6</v>
      </c>
      <c r="I191">
        <v>0.25</v>
      </c>
      <c r="J191">
        <v>0.4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 s="86">
        <f>AVERAGEIFS($C$2:C191, $B$2:B191, B191)</f>
        <v>15.9</v>
      </c>
      <c r="AB191" s="86">
        <f>AVERAGEIFS($I$2:I191, $B$2:B191, B191)</f>
        <v>0.32999999999999996</v>
      </c>
      <c r="AC191" s="86">
        <f>AVERAGEIFS($J$2:J191, $B$2:B191, B191)</f>
        <v>0.40899999999999997</v>
      </c>
      <c r="AD191" s="86">
        <f>AVERAGEIFS($D$2:D191, $B$2:B191, B191)</f>
        <v>0.1</v>
      </c>
    </row>
    <row r="192" spans="1:30" x14ac:dyDescent="0.25">
      <c r="A192" s="85">
        <v>46125</v>
      </c>
      <c r="B192" t="s">
        <v>18</v>
      </c>
      <c r="C192">
        <v>36</v>
      </c>
      <c r="D192" s="86">
        <v>0</v>
      </c>
      <c r="E192">
        <v>5</v>
      </c>
      <c r="F192">
        <v>2</v>
      </c>
      <c r="G192">
        <v>23</v>
      </c>
      <c r="H192">
        <v>11</v>
      </c>
      <c r="I192">
        <v>0.4</v>
      </c>
      <c r="J192">
        <v>0.48</v>
      </c>
      <c r="K192">
        <v>0</v>
      </c>
      <c r="L192">
        <v>0</v>
      </c>
      <c r="M192">
        <v>1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 s="86">
        <f>AVERAGEIFS($C$2:C192, $B$2:B192, B192)</f>
        <v>24.714285714285715</v>
      </c>
      <c r="AB192" s="86">
        <f>AVERAGEIFS($I$2:I192, $B$2:B192, B192)</f>
        <v>0.6785714285714286</v>
      </c>
      <c r="AC192" s="86">
        <f>AVERAGEIFS($J$2:J192, $B$2:B192, B192)</f>
        <v>0.60571428571428576</v>
      </c>
      <c r="AD192" s="86">
        <f>AVERAGEIFS($D$2:D192, $B$2:B192, B192)</f>
        <v>0.7142857142857143</v>
      </c>
    </row>
    <row r="193" spans="1:30" x14ac:dyDescent="0.25">
      <c r="A193" s="85">
        <v>46125</v>
      </c>
      <c r="B193" t="s">
        <v>6</v>
      </c>
      <c r="C193">
        <v>30</v>
      </c>
      <c r="D193" s="86">
        <v>0</v>
      </c>
      <c r="E193">
        <v>5</v>
      </c>
      <c r="F193">
        <v>2</v>
      </c>
      <c r="G193">
        <v>23</v>
      </c>
      <c r="H193">
        <v>11</v>
      </c>
      <c r="I193">
        <v>0.4</v>
      </c>
      <c r="J193">
        <v>0.48</v>
      </c>
      <c r="K193">
        <v>0</v>
      </c>
      <c r="L193">
        <v>0</v>
      </c>
      <c r="M193">
        <v>1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 s="86">
        <f>AVERAGEIFS($C$2:C193, $B$2:B193, B193)</f>
        <v>23.8</v>
      </c>
      <c r="AB193" s="86">
        <f>AVERAGEIFS($I$2:I193, $B$2:B193, B193)</f>
        <v>0.48</v>
      </c>
      <c r="AC193" s="86">
        <f>AVERAGEIFS($J$2:J193, $B$2:B193, B193)</f>
        <v>0.53199999999999992</v>
      </c>
      <c r="AD193" s="86">
        <f>AVERAGEIFS($D$2:D193, $B$2:B193, B193)</f>
        <v>0.4</v>
      </c>
    </row>
    <row r="194" spans="1:30" x14ac:dyDescent="0.25">
      <c r="A194" s="85">
        <v>46125</v>
      </c>
      <c r="B194" t="s">
        <v>20</v>
      </c>
      <c r="C194">
        <v>13</v>
      </c>
      <c r="D194" s="86">
        <v>0</v>
      </c>
      <c r="E194">
        <v>5</v>
      </c>
      <c r="F194">
        <v>2</v>
      </c>
      <c r="G194">
        <v>23</v>
      </c>
      <c r="H194">
        <v>11</v>
      </c>
      <c r="I194">
        <v>0.4</v>
      </c>
      <c r="J194">
        <v>0.48</v>
      </c>
      <c r="K194">
        <v>0</v>
      </c>
      <c r="L194">
        <v>0</v>
      </c>
      <c r="M194">
        <v>1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 s="86">
        <f>AVERAGEIFS($C$2:C194, $B$2:B194, B194)</f>
        <v>13</v>
      </c>
      <c r="AB194" s="86">
        <f>AVERAGEIFS($I$2:I194, $B$2:B194, B194)</f>
        <v>0.42499999999999999</v>
      </c>
      <c r="AC194" s="86">
        <f>AVERAGEIFS($J$2:J194, $B$2:B194, B194)</f>
        <v>0.50166666666666659</v>
      </c>
      <c r="AD194" s="86">
        <f>AVERAGEIFS($D$2:D194, $B$2:B194, B194)</f>
        <v>0.33333333333333331</v>
      </c>
    </row>
    <row r="195" spans="1:30" x14ac:dyDescent="0.25">
      <c r="A195" s="85">
        <v>46125</v>
      </c>
      <c r="B195" t="s">
        <v>150</v>
      </c>
      <c r="C195">
        <v>26</v>
      </c>
      <c r="D195" s="86">
        <v>0</v>
      </c>
      <c r="E195">
        <v>5</v>
      </c>
      <c r="F195">
        <v>2</v>
      </c>
      <c r="G195">
        <v>23</v>
      </c>
      <c r="H195">
        <v>11</v>
      </c>
      <c r="I195">
        <v>0.4</v>
      </c>
      <c r="J195">
        <v>0.48</v>
      </c>
      <c r="K195">
        <v>0</v>
      </c>
      <c r="L195">
        <v>0</v>
      </c>
      <c r="M195">
        <v>1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 s="86">
        <f>AVERAGEIFS($C$2:C195, $B$2:B195, B195)</f>
        <v>16</v>
      </c>
      <c r="AB195" s="86">
        <f>AVERAGEIFS($I$2:I195, $B$2:B195, B195)</f>
        <v>0.625</v>
      </c>
      <c r="AC195" s="86">
        <f>AVERAGEIFS($J$2:J195, $B$2:B195, B195)</f>
        <v>0.625</v>
      </c>
      <c r="AD195" s="86">
        <f>AVERAGEIFS($D$2:D195, $B$2:B195, B195)</f>
        <v>0.75</v>
      </c>
    </row>
    <row r="196" spans="1:30" x14ac:dyDescent="0.25">
      <c r="A196" s="85">
        <v>46125</v>
      </c>
      <c r="B196" t="s">
        <v>146</v>
      </c>
      <c r="C196">
        <v>12</v>
      </c>
      <c r="D196" s="86">
        <v>0</v>
      </c>
      <c r="E196">
        <v>5</v>
      </c>
      <c r="F196">
        <v>2</v>
      </c>
      <c r="G196">
        <v>23</v>
      </c>
      <c r="H196">
        <v>11</v>
      </c>
      <c r="I196">
        <v>0.4</v>
      </c>
      <c r="J196">
        <v>0.48</v>
      </c>
      <c r="K196">
        <v>0</v>
      </c>
      <c r="L196">
        <v>0</v>
      </c>
      <c r="M196">
        <v>1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 s="86">
        <f>AVERAGEIFS($C$2:C196, $B$2:B196, B196)</f>
        <v>9</v>
      </c>
      <c r="AB196" s="86">
        <f>AVERAGEIFS($I$2:I196, $B$2:B196, B196)</f>
        <v>0.2</v>
      </c>
      <c r="AC196" s="86">
        <f>AVERAGEIFS($J$2:J196, $B$2:B196, B196)</f>
        <v>0.39500000000000002</v>
      </c>
      <c r="AD196" s="86">
        <f>AVERAGEIFS($D$2:D196, $B$2:B196, B196)</f>
        <v>0</v>
      </c>
    </row>
    <row r="197" spans="1:30" x14ac:dyDescent="0.25">
      <c r="A197" s="85">
        <v>46125</v>
      </c>
      <c r="B197" t="s">
        <v>15</v>
      </c>
      <c r="C197">
        <v>26</v>
      </c>
      <c r="D197" s="86">
        <v>1</v>
      </c>
      <c r="E197">
        <v>5</v>
      </c>
      <c r="F197">
        <v>3</v>
      </c>
      <c r="G197">
        <v>23</v>
      </c>
      <c r="H197">
        <v>12</v>
      </c>
      <c r="I197">
        <v>0.6</v>
      </c>
      <c r="J197">
        <v>0.52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1</v>
      </c>
      <c r="Q197">
        <v>0</v>
      </c>
      <c r="R197">
        <v>0</v>
      </c>
      <c r="S197">
        <v>1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23.777777777777779</v>
      </c>
      <c r="AB197" s="86">
        <f>AVERAGEIFS($I$2:I197, $B$2:B197, B197)</f>
        <v>0.57222222222222219</v>
      </c>
      <c r="AC197" s="86">
        <f>AVERAGEIFS($J$2:J197, $B$2:B197, B197)</f>
        <v>0.52888888888888885</v>
      </c>
      <c r="AD197" s="86">
        <f>AVERAGEIFS($D$2:D197, $B$2:B197, B197)</f>
        <v>0.55555555555555558</v>
      </c>
    </row>
    <row r="198" spans="1:30" x14ac:dyDescent="0.25">
      <c r="A198" s="85">
        <v>46125</v>
      </c>
      <c r="B198" t="s">
        <v>140</v>
      </c>
      <c r="C198">
        <v>14</v>
      </c>
      <c r="D198" s="86">
        <v>1</v>
      </c>
      <c r="E198">
        <v>5</v>
      </c>
      <c r="F198">
        <v>3</v>
      </c>
      <c r="G198">
        <v>23</v>
      </c>
      <c r="H198">
        <v>12</v>
      </c>
      <c r="I198">
        <v>0.6</v>
      </c>
      <c r="J198">
        <v>0.52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1</v>
      </c>
      <c r="Q198">
        <v>0</v>
      </c>
      <c r="R198">
        <v>0</v>
      </c>
      <c r="S198">
        <v>1</v>
      </c>
      <c r="T198">
        <v>0</v>
      </c>
      <c r="U198">
        <v>0</v>
      </c>
      <c r="V198">
        <v>1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8</v>
      </c>
      <c r="AB198" s="86">
        <f>AVERAGEIFS($I$2:I198, $B$2:B198, B198)</f>
        <v>0.3</v>
      </c>
      <c r="AC198" s="86">
        <f>AVERAGEIFS($J$2:J198, $B$2:B198, B198)</f>
        <v>0.35</v>
      </c>
      <c r="AD198" s="86">
        <f>AVERAGEIFS($D$2:D198, $B$2:B198, B198)</f>
        <v>0.5</v>
      </c>
    </row>
    <row r="199" spans="1:30" x14ac:dyDescent="0.25">
      <c r="A199" s="85">
        <v>46125</v>
      </c>
      <c r="B199" t="s">
        <v>25</v>
      </c>
      <c r="C199">
        <v>21</v>
      </c>
      <c r="D199" s="86">
        <v>1</v>
      </c>
      <c r="E199">
        <v>5</v>
      </c>
      <c r="F199">
        <v>3</v>
      </c>
      <c r="G199">
        <v>23</v>
      </c>
      <c r="H199">
        <v>12</v>
      </c>
      <c r="I199">
        <v>0.6</v>
      </c>
      <c r="J199">
        <v>0.52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1</v>
      </c>
      <c r="Q199">
        <v>0</v>
      </c>
      <c r="R199">
        <v>0</v>
      </c>
      <c r="S199">
        <v>1</v>
      </c>
      <c r="T199">
        <v>0</v>
      </c>
      <c r="U199">
        <v>0</v>
      </c>
      <c r="V199">
        <v>1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18.428571428571427</v>
      </c>
      <c r="AB199" s="86">
        <f>AVERAGEIFS($I$2:I199, $B$2:B199, B199)</f>
        <v>0.56428571428571428</v>
      </c>
      <c r="AC199" s="86">
        <f>AVERAGEIFS($J$2:J199, $B$2:B199, B199)</f>
        <v>0.50428571428571434</v>
      </c>
      <c r="AD199" s="86">
        <f>AVERAGEIFS($D$2:D199, $B$2:B199, B199)</f>
        <v>0.7142857142857143</v>
      </c>
    </row>
    <row r="200" spans="1:30" x14ac:dyDescent="0.25">
      <c r="A200" s="85">
        <v>46125</v>
      </c>
      <c r="B200" t="s">
        <v>155</v>
      </c>
      <c r="C200">
        <v>24</v>
      </c>
      <c r="D200" s="86">
        <v>1</v>
      </c>
      <c r="E200">
        <v>5</v>
      </c>
      <c r="F200">
        <v>3</v>
      </c>
      <c r="G200">
        <v>23</v>
      </c>
      <c r="H200">
        <v>12</v>
      </c>
      <c r="I200">
        <v>0.6</v>
      </c>
      <c r="J200">
        <v>0.52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1</v>
      </c>
      <c r="Q200">
        <v>0</v>
      </c>
      <c r="R200">
        <v>0</v>
      </c>
      <c r="S200">
        <v>1</v>
      </c>
      <c r="T200">
        <v>0</v>
      </c>
      <c r="U200">
        <v>0</v>
      </c>
      <c r="V200">
        <v>1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16.636363636363637</v>
      </c>
      <c r="AB200" s="86">
        <f>AVERAGEIFS($I$2:I200, $B$2:B200, B200)</f>
        <v>0.35454545454545455</v>
      </c>
      <c r="AC200" s="86">
        <f>AVERAGEIFS($J$2:J200, $B$2:B200, B200)</f>
        <v>0.41909090909090901</v>
      </c>
      <c r="AD200" s="86">
        <f>AVERAGEIFS($D$2:D200, $B$2:B200, B200)</f>
        <v>0.18181818181818182</v>
      </c>
    </row>
    <row r="201" spans="1:30" x14ac:dyDescent="0.25">
      <c r="A201" s="85">
        <v>46125</v>
      </c>
      <c r="B201" t="s">
        <v>26</v>
      </c>
      <c r="C201">
        <v>19</v>
      </c>
      <c r="D201" s="86">
        <v>1</v>
      </c>
      <c r="E201">
        <v>5</v>
      </c>
      <c r="F201">
        <v>3</v>
      </c>
      <c r="G201">
        <v>23</v>
      </c>
      <c r="H201">
        <v>12</v>
      </c>
      <c r="I201">
        <v>0.6</v>
      </c>
      <c r="J201">
        <v>0.52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1</v>
      </c>
      <c r="Q201">
        <v>0</v>
      </c>
      <c r="R201">
        <v>0</v>
      </c>
      <c r="S201">
        <v>1</v>
      </c>
      <c r="T201">
        <v>0</v>
      </c>
      <c r="U201">
        <v>0</v>
      </c>
      <c r="V201">
        <v>1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12.8</v>
      </c>
      <c r="AB201" s="86">
        <f>AVERAGEIFS($I$2:I201, $B$2:B201, B201)</f>
        <v>0.45</v>
      </c>
      <c r="AC201" s="86">
        <f>AVERAGEIFS($J$2:J201, $B$2:B201, B201)</f>
        <v>0.45400000000000001</v>
      </c>
      <c r="AD201" s="86">
        <f>AVERAGEIFS($D$2:D201, $B$2:B201, B201)</f>
        <v>0.4</v>
      </c>
    </row>
    <row r="202" spans="1:30" x14ac:dyDescent="0.25">
      <c r="A202" s="85">
        <v>46126</v>
      </c>
      <c r="B202" t="s">
        <v>13</v>
      </c>
      <c r="C202">
        <v>21</v>
      </c>
      <c r="D202" s="86">
        <v>1</v>
      </c>
      <c r="E202">
        <v>3</v>
      </c>
      <c r="F202">
        <v>3</v>
      </c>
      <c r="G202">
        <v>14</v>
      </c>
      <c r="H202">
        <v>9</v>
      </c>
      <c r="I202">
        <v>1</v>
      </c>
      <c r="J202">
        <v>0.64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1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1</v>
      </c>
      <c r="Y202">
        <v>0</v>
      </c>
      <c r="Z202">
        <v>1</v>
      </c>
      <c r="AA202" s="86">
        <f>AVERAGEIFS($C$2:C202, $B$2:B202, B202)</f>
        <v>22.866666666666667</v>
      </c>
      <c r="AB202" s="86">
        <f>AVERAGEIFS($I$2:I202, $B$2:B202, B202)</f>
        <v>0.67333333333333334</v>
      </c>
      <c r="AC202" s="86">
        <f>AVERAGEIFS($J$2:J202, $B$2:B202, B202)</f>
        <v>0.6066666666666668</v>
      </c>
      <c r="AD202" s="86">
        <f>AVERAGEIFS($D$2:D202, $B$2:B202, B202)</f>
        <v>0.73333333333333328</v>
      </c>
    </row>
    <row r="203" spans="1:30" x14ac:dyDescent="0.25">
      <c r="A203" s="85">
        <v>46126</v>
      </c>
      <c r="B203" t="s">
        <v>17</v>
      </c>
      <c r="C203">
        <v>19</v>
      </c>
      <c r="D203" s="86">
        <v>1</v>
      </c>
      <c r="E203">
        <v>3</v>
      </c>
      <c r="F203">
        <v>3</v>
      </c>
      <c r="G203">
        <v>14</v>
      </c>
      <c r="H203">
        <v>9</v>
      </c>
      <c r="I203">
        <v>1</v>
      </c>
      <c r="J203">
        <v>0.64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1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1</v>
      </c>
      <c r="Y203">
        <v>0</v>
      </c>
      <c r="Z203">
        <v>1</v>
      </c>
      <c r="AA203" s="86">
        <f>AVERAGEIFS($C$2:C203, $B$2:B203, B203)</f>
        <v>22.25</v>
      </c>
      <c r="AB203" s="86">
        <f>AVERAGEIFS($I$2:I203, $B$2:B203, B203)</f>
        <v>0.52500000000000002</v>
      </c>
      <c r="AC203" s="86">
        <f>AVERAGEIFS($J$2:J203, $B$2:B203, B203)</f>
        <v>0.50833333333333319</v>
      </c>
      <c r="AD203" s="86">
        <f>AVERAGEIFS($D$2:D203, $B$2:B203, B203)</f>
        <v>0.58333333333333337</v>
      </c>
    </row>
    <row r="204" spans="1:30" x14ac:dyDescent="0.25">
      <c r="A204" s="85">
        <v>46126</v>
      </c>
      <c r="B204" t="s">
        <v>19</v>
      </c>
      <c r="C204">
        <v>14</v>
      </c>
      <c r="D204" s="86">
        <v>1</v>
      </c>
      <c r="E204">
        <v>3</v>
      </c>
      <c r="F204">
        <v>3</v>
      </c>
      <c r="G204">
        <v>14</v>
      </c>
      <c r="H204">
        <v>9</v>
      </c>
      <c r="I204">
        <v>1</v>
      </c>
      <c r="J204">
        <v>0.64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1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1</v>
      </c>
      <c r="Y204">
        <v>0</v>
      </c>
      <c r="Z204">
        <v>1</v>
      </c>
      <c r="AA204" s="86">
        <f>AVERAGEIFS($C$2:C204, $B$2:B204, B204)</f>
        <v>10.6</v>
      </c>
      <c r="AB204" s="86">
        <f>AVERAGEIFS($I$2:I204, $B$2:B204, B204)</f>
        <v>0.63</v>
      </c>
      <c r="AC204" s="86">
        <f>AVERAGEIFS($J$2:J204, $B$2:B204, B204)</f>
        <v>0.54600000000000004</v>
      </c>
      <c r="AD204" s="86">
        <f>AVERAGEIFS($D$2:D204, $B$2:B204, B204)</f>
        <v>0.6</v>
      </c>
    </row>
    <row r="205" spans="1:30" x14ac:dyDescent="0.25">
      <c r="A205" s="85">
        <v>46126</v>
      </c>
      <c r="B205" t="s">
        <v>148</v>
      </c>
      <c r="C205">
        <v>13</v>
      </c>
      <c r="D205" s="86">
        <v>1</v>
      </c>
      <c r="E205">
        <v>3</v>
      </c>
      <c r="F205">
        <v>3</v>
      </c>
      <c r="G205">
        <v>14</v>
      </c>
      <c r="H205">
        <v>9</v>
      </c>
      <c r="I205">
        <v>1</v>
      </c>
      <c r="J205">
        <v>0.64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1</v>
      </c>
      <c r="Y205">
        <v>0</v>
      </c>
      <c r="Z205">
        <v>1</v>
      </c>
      <c r="AA205" s="86">
        <f>AVERAGEIFS($C$2:C205, $B$2:B205, B205)</f>
        <v>13.333333333333334</v>
      </c>
      <c r="AB205" s="86">
        <f>AVERAGEIFS($I$2:I205, $B$2:B205, B205)</f>
        <v>0.62</v>
      </c>
      <c r="AC205" s="86">
        <f>AVERAGEIFS($J$2:J205, $B$2:B205, B205)</f>
        <v>0.54733333333333334</v>
      </c>
      <c r="AD205" s="86">
        <f>AVERAGEIFS($D$2:D205, $B$2:B205, B205)</f>
        <v>0.66666666666666663</v>
      </c>
    </row>
    <row r="206" spans="1:30" x14ac:dyDescent="0.25">
      <c r="A206" s="85">
        <v>46126</v>
      </c>
      <c r="B206" t="s">
        <v>26</v>
      </c>
      <c r="C206">
        <v>9</v>
      </c>
      <c r="D206" s="86">
        <v>1</v>
      </c>
      <c r="E206">
        <v>3</v>
      </c>
      <c r="F206">
        <v>3</v>
      </c>
      <c r="G206">
        <v>14</v>
      </c>
      <c r="H206">
        <v>9</v>
      </c>
      <c r="I206">
        <v>1</v>
      </c>
      <c r="J206">
        <v>0.64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1</v>
      </c>
      <c r="Y206">
        <v>0</v>
      </c>
      <c r="Z206">
        <v>1</v>
      </c>
      <c r="AA206" s="86">
        <f>AVERAGEIFS($C$2:C206, $B$2:B206, B206)</f>
        <v>12.166666666666666</v>
      </c>
      <c r="AB206" s="86">
        <f>AVERAGEIFS($I$2:I206, $B$2:B206, B206)</f>
        <v>0.54166666666666663</v>
      </c>
      <c r="AC206" s="86">
        <f>AVERAGEIFS($J$2:J206, $B$2:B206, B206)</f>
        <v>0.48500000000000004</v>
      </c>
      <c r="AD206" s="86">
        <f>AVERAGEIFS($D$2:D206, $B$2:B206, B206)</f>
        <v>0.5</v>
      </c>
    </row>
    <row r="207" spans="1:30" x14ac:dyDescent="0.25">
      <c r="A207" s="85">
        <v>46126</v>
      </c>
      <c r="B207" t="s">
        <v>70</v>
      </c>
      <c r="C207">
        <v>7</v>
      </c>
      <c r="D207" s="86">
        <v>1</v>
      </c>
      <c r="E207">
        <v>3</v>
      </c>
      <c r="F207">
        <v>3</v>
      </c>
      <c r="G207">
        <v>14</v>
      </c>
      <c r="H207">
        <v>9</v>
      </c>
      <c r="I207">
        <v>1</v>
      </c>
      <c r="J207">
        <v>0.64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1</v>
      </c>
      <c r="Y207">
        <v>0</v>
      </c>
      <c r="Z207">
        <v>1</v>
      </c>
      <c r="AA207" s="86">
        <f>AVERAGEIFS($C$2:C207, $B$2:B207, B207)</f>
        <v>7</v>
      </c>
      <c r="AB207" s="86">
        <f>AVERAGEIFS($I$2:I207, $B$2:B207, B207)</f>
        <v>1</v>
      </c>
      <c r="AC207" s="86">
        <f>AVERAGEIFS($J$2:J207, $B$2:B207, B207)</f>
        <v>0.64</v>
      </c>
      <c r="AD207" s="86">
        <f>AVERAGEIFS($D$2:D207, $B$2:B207, B207)</f>
        <v>1</v>
      </c>
    </row>
    <row r="208" spans="1:30" x14ac:dyDescent="0.25">
      <c r="A208" s="85">
        <v>46126</v>
      </c>
      <c r="B208" t="s">
        <v>20</v>
      </c>
      <c r="C208">
        <v>7</v>
      </c>
      <c r="D208" s="86">
        <v>1</v>
      </c>
      <c r="E208">
        <v>3</v>
      </c>
      <c r="F208">
        <v>3</v>
      </c>
      <c r="G208">
        <v>14</v>
      </c>
      <c r="H208">
        <v>9</v>
      </c>
      <c r="I208">
        <v>1</v>
      </c>
      <c r="J208">
        <v>0.64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1</v>
      </c>
      <c r="Y208">
        <v>0</v>
      </c>
      <c r="Z208">
        <v>1</v>
      </c>
      <c r="AA208" s="86">
        <f>AVERAGEIFS($C$2:C208, $B$2:B208, B208)</f>
        <v>12.142857142857142</v>
      </c>
      <c r="AB208" s="86">
        <f>AVERAGEIFS($I$2:I208, $B$2:B208, B208)</f>
        <v>0.50714285714285712</v>
      </c>
      <c r="AC208" s="86">
        <f>AVERAGEIFS($J$2:J208, $B$2:B208, B208)</f>
        <v>0.52142857142857146</v>
      </c>
      <c r="AD208" s="86">
        <f>AVERAGEIFS($D$2:D208, $B$2:B208, B208)</f>
        <v>0.42857142857142855</v>
      </c>
    </row>
    <row r="209" spans="1:30" x14ac:dyDescent="0.25">
      <c r="A209" s="85">
        <v>46126</v>
      </c>
      <c r="B209" t="s">
        <v>14</v>
      </c>
      <c r="C209">
        <v>24</v>
      </c>
      <c r="D209" s="86">
        <v>0</v>
      </c>
      <c r="E209">
        <v>3</v>
      </c>
      <c r="F209">
        <v>0</v>
      </c>
      <c r="G209">
        <v>14</v>
      </c>
      <c r="H209">
        <v>5</v>
      </c>
      <c r="I209">
        <v>0</v>
      </c>
      <c r="J209">
        <v>0.36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86">
        <f>AVERAGEIFS($C$2:C209, $B$2:B209, B209)</f>
        <v>21</v>
      </c>
      <c r="AB209" s="86">
        <f>AVERAGEIFS($I$2:I209, $B$2:B209, B209)</f>
        <v>0.33888888888888885</v>
      </c>
      <c r="AC209" s="86">
        <f>AVERAGEIFS($J$2:J209, $B$2:B209, B209)</f>
        <v>0.4244444444444444</v>
      </c>
      <c r="AD209" s="86">
        <f>AVERAGEIFS($D$2:D209, $B$2:B209, B209)</f>
        <v>0.22222222222222221</v>
      </c>
    </row>
    <row r="210" spans="1:30" x14ac:dyDescent="0.25">
      <c r="A210" s="85">
        <v>46126</v>
      </c>
      <c r="B210" t="s">
        <v>25</v>
      </c>
      <c r="C210">
        <v>13</v>
      </c>
      <c r="D210" s="86">
        <v>0</v>
      </c>
      <c r="E210">
        <v>3</v>
      </c>
      <c r="F210">
        <v>0</v>
      </c>
      <c r="G210">
        <v>14</v>
      </c>
      <c r="H210">
        <v>5</v>
      </c>
      <c r="I210">
        <v>0</v>
      </c>
      <c r="J210">
        <v>0.36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86">
        <f>AVERAGEIFS($C$2:C210, $B$2:B210, B210)</f>
        <v>17.75</v>
      </c>
      <c r="AB210" s="86">
        <f>AVERAGEIFS($I$2:I210, $B$2:B210, B210)</f>
        <v>0.49375000000000002</v>
      </c>
      <c r="AC210" s="86">
        <f>AVERAGEIFS($J$2:J210, $B$2:B210, B210)</f>
        <v>0.48625000000000002</v>
      </c>
      <c r="AD210" s="86">
        <f>AVERAGEIFS($D$2:D210, $B$2:B210, B210)</f>
        <v>0.625</v>
      </c>
    </row>
    <row r="211" spans="1:30" x14ac:dyDescent="0.25">
      <c r="A211" s="85">
        <v>46126</v>
      </c>
      <c r="B211" t="s">
        <v>155</v>
      </c>
      <c r="C211">
        <v>11</v>
      </c>
      <c r="D211" s="86">
        <v>0</v>
      </c>
      <c r="E211">
        <v>3</v>
      </c>
      <c r="F211">
        <v>0</v>
      </c>
      <c r="G211">
        <v>14</v>
      </c>
      <c r="H211">
        <v>5</v>
      </c>
      <c r="I211">
        <v>0</v>
      </c>
      <c r="J211">
        <v>0.36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86">
        <f>AVERAGEIFS($C$2:C211, $B$2:B211, B211)</f>
        <v>16.166666666666668</v>
      </c>
      <c r="AB211" s="86">
        <f>AVERAGEIFS($I$2:I211, $B$2:B211, B211)</f>
        <v>0.32500000000000001</v>
      </c>
      <c r="AC211" s="86">
        <f>AVERAGEIFS($J$2:J211, $B$2:B211, B211)</f>
        <v>0.41416666666666663</v>
      </c>
      <c r="AD211" s="86">
        <f>AVERAGEIFS($D$2:D211, $B$2:B211, B211)</f>
        <v>0.16666666666666666</v>
      </c>
    </row>
    <row r="212" spans="1:30" x14ac:dyDescent="0.25">
      <c r="A212" s="85">
        <v>46126</v>
      </c>
      <c r="B212" t="s">
        <v>37</v>
      </c>
      <c r="C212">
        <v>9</v>
      </c>
      <c r="D212" s="86">
        <v>0</v>
      </c>
      <c r="E212">
        <v>3</v>
      </c>
      <c r="F212">
        <v>0</v>
      </c>
      <c r="G212">
        <v>14</v>
      </c>
      <c r="H212">
        <v>5</v>
      </c>
      <c r="I212">
        <v>0</v>
      </c>
      <c r="J212">
        <v>0.36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86">
        <f>AVERAGEIFS($C$2:C212, $B$2:B212, B212)</f>
        <v>21.833333333333332</v>
      </c>
      <c r="AB212" s="86">
        <f>AVERAGEIFS($I$2:I212, $B$2:B212, B212)</f>
        <v>0.42500000000000004</v>
      </c>
      <c r="AC212" s="86">
        <f>AVERAGEIFS($J$2:J212, $B$2:B212, B212)</f>
        <v>0.48</v>
      </c>
      <c r="AD212" s="86">
        <f>AVERAGEIFS($D$2:D212, $B$2:B212, B212)</f>
        <v>0.66666666666666663</v>
      </c>
    </row>
    <row r="213" spans="1:30" x14ac:dyDescent="0.25">
      <c r="A213" s="85">
        <v>46126</v>
      </c>
      <c r="B213" t="s">
        <v>15</v>
      </c>
      <c r="C213">
        <v>7</v>
      </c>
      <c r="D213" s="86">
        <v>0</v>
      </c>
      <c r="E213">
        <v>3</v>
      </c>
      <c r="F213">
        <v>0</v>
      </c>
      <c r="G213">
        <v>14</v>
      </c>
      <c r="H213">
        <v>5</v>
      </c>
      <c r="I213">
        <v>0</v>
      </c>
      <c r="J213">
        <v>0.36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86">
        <f>AVERAGEIFS($C$2:C213, $B$2:B213, B213)</f>
        <v>22.1</v>
      </c>
      <c r="AB213" s="86">
        <f>AVERAGEIFS($I$2:I213, $B$2:B213, B213)</f>
        <v>0.5149999999999999</v>
      </c>
      <c r="AC213" s="86">
        <f>AVERAGEIFS($J$2:J213, $B$2:B213, B213)</f>
        <v>0.51200000000000001</v>
      </c>
      <c r="AD213" s="86">
        <f>AVERAGEIFS($D$2:D213, $B$2:B213, B213)</f>
        <v>0.5</v>
      </c>
    </row>
    <row r="214" spans="1:30" x14ac:dyDescent="0.25">
      <c r="A214" s="85">
        <v>46126</v>
      </c>
      <c r="B214" t="s">
        <v>140</v>
      </c>
      <c r="C214">
        <v>5</v>
      </c>
      <c r="D214" s="86">
        <v>0</v>
      </c>
      <c r="E214">
        <v>3</v>
      </c>
      <c r="F214">
        <v>0</v>
      </c>
      <c r="G214">
        <v>14</v>
      </c>
      <c r="H214">
        <v>5</v>
      </c>
      <c r="I214">
        <v>0</v>
      </c>
      <c r="J214">
        <v>0.36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7</v>
      </c>
      <c r="AB214" s="86">
        <f>AVERAGEIFS($I$2:I214, $B$2:B214, B214)</f>
        <v>0.19999999999999998</v>
      </c>
      <c r="AC214" s="86">
        <f>AVERAGEIFS($J$2:J214, $B$2:B214, B214)</f>
        <v>0.35333333333333333</v>
      </c>
      <c r="AD214" s="86">
        <f>AVERAGEIFS($D$2:D214, $B$2:B214, B214)</f>
        <v>0.33333333333333331</v>
      </c>
    </row>
    <row r="215" spans="1:30" x14ac:dyDescent="0.25">
      <c r="A215" s="85">
        <v>46126</v>
      </c>
      <c r="B215" t="s">
        <v>29</v>
      </c>
      <c r="C215">
        <v>4</v>
      </c>
      <c r="D215" s="86">
        <v>0</v>
      </c>
      <c r="E215">
        <v>3</v>
      </c>
      <c r="F215">
        <v>0</v>
      </c>
      <c r="G215">
        <v>14</v>
      </c>
      <c r="H215">
        <v>5</v>
      </c>
      <c r="I215">
        <v>0</v>
      </c>
      <c r="J215">
        <v>0.36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 s="86">
        <f>AVERAGEIFS($C$2:C215, $B$2:B215, B215)</f>
        <v>11.7</v>
      </c>
      <c r="AB215" s="86">
        <f>AVERAGEIFS($I$2:I215, $B$2:B215, B215)</f>
        <v>0.37</v>
      </c>
      <c r="AC215" s="86">
        <f>AVERAGEIFS($J$2:J215, $B$2:B215, B215)</f>
        <v>0.45900000000000007</v>
      </c>
      <c r="AD215" s="86">
        <f>AVERAGEIFS($D$2:D215, $B$2:B215, B215)</f>
        <v>0.2</v>
      </c>
    </row>
    <row r="216" spans="1:30" x14ac:dyDescent="0.25">
      <c r="A216" s="85">
        <v>46126</v>
      </c>
      <c r="B216" t="s">
        <v>150</v>
      </c>
      <c r="C216">
        <v>24</v>
      </c>
      <c r="D216" s="86">
        <v>1</v>
      </c>
      <c r="E216">
        <v>3</v>
      </c>
      <c r="F216">
        <v>3</v>
      </c>
      <c r="G216">
        <v>12</v>
      </c>
      <c r="H216">
        <v>9</v>
      </c>
      <c r="I216">
        <v>1</v>
      </c>
      <c r="J216">
        <v>0.75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1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1</v>
      </c>
      <c r="X216">
        <v>0</v>
      </c>
      <c r="Y216">
        <v>1</v>
      </c>
      <c r="Z216">
        <v>0</v>
      </c>
      <c r="AA216" s="86">
        <f>AVERAGEIFS($C$2:C216, $B$2:B216, B216)</f>
        <v>17.600000000000001</v>
      </c>
      <c r="AB216" s="86">
        <f>AVERAGEIFS($I$2:I216, $B$2:B216, B216)</f>
        <v>0.7</v>
      </c>
      <c r="AC216" s="86">
        <f>AVERAGEIFS($J$2:J216, $B$2:B216, B216)</f>
        <v>0.65</v>
      </c>
      <c r="AD216" s="86">
        <f>AVERAGEIFS($D$2:D216, $B$2:B216, B216)</f>
        <v>0.8</v>
      </c>
    </row>
    <row r="217" spans="1:30" x14ac:dyDescent="0.25">
      <c r="A217" s="85">
        <v>46126</v>
      </c>
      <c r="B217" t="s">
        <v>15</v>
      </c>
      <c r="C217">
        <v>17</v>
      </c>
      <c r="D217" s="86">
        <v>1</v>
      </c>
      <c r="E217">
        <v>3</v>
      </c>
      <c r="F217">
        <v>3</v>
      </c>
      <c r="G217">
        <v>12</v>
      </c>
      <c r="H217">
        <v>9</v>
      </c>
      <c r="I217">
        <v>1</v>
      </c>
      <c r="J217">
        <v>0.75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1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1</v>
      </c>
      <c r="X217">
        <v>0</v>
      </c>
      <c r="Y217">
        <v>1</v>
      </c>
      <c r="Z217">
        <v>0</v>
      </c>
      <c r="AA217" s="86">
        <f>AVERAGEIFS($C$2:C217, $B$2:B217, B217)</f>
        <v>21.636363636363637</v>
      </c>
      <c r="AB217" s="86">
        <f>AVERAGEIFS($I$2:I217, $B$2:B217, B217)</f>
        <v>0.55909090909090908</v>
      </c>
      <c r="AC217" s="86">
        <f>AVERAGEIFS($J$2:J217, $B$2:B217, B217)</f>
        <v>0.53363636363636369</v>
      </c>
      <c r="AD217" s="86">
        <f>AVERAGEIFS($D$2:D217, $B$2:B217, B217)</f>
        <v>0.54545454545454541</v>
      </c>
    </row>
    <row r="218" spans="1:30" x14ac:dyDescent="0.25">
      <c r="A218" s="85">
        <v>46126</v>
      </c>
      <c r="B218" t="s">
        <v>6</v>
      </c>
      <c r="C218">
        <v>14</v>
      </c>
      <c r="D218" s="86">
        <v>1</v>
      </c>
      <c r="E218">
        <v>3</v>
      </c>
      <c r="F218">
        <v>3</v>
      </c>
      <c r="G218">
        <v>12</v>
      </c>
      <c r="H218">
        <v>9</v>
      </c>
      <c r="I218">
        <v>1</v>
      </c>
      <c r="J218">
        <v>0.75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1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1</v>
      </c>
      <c r="X218">
        <v>0</v>
      </c>
      <c r="Y218">
        <v>1</v>
      </c>
      <c r="Z218">
        <v>0</v>
      </c>
      <c r="AA218" s="86">
        <f>AVERAGEIFS($C$2:C218, $B$2:B218, B218)</f>
        <v>22.166666666666668</v>
      </c>
      <c r="AB218" s="86">
        <f>AVERAGEIFS($I$2:I218, $B$2:B218, B218)</f>
        <v>0.56666666666666665</v>
      </c>
      <c r="AC218" s="86">
        <f>AVERAGEIFS($J$2:J218, $B$2:B218, B218)</f>
        <v>0.56833333333333325</v>
      </c>
      <c r="AD218" s="86">
        <f>AVERAGEIFS($D$2:D218, $B$2:B218, B218)</f>
        <v>0.5</v>
      </c>
    </row>
    <row r="219" spans="1:30" x14ac:dyDescent="0.25">
      <c r="A219" s="85">
        <v>46126</v>
      </c>
      <c r="B219" t="s">
        <v>44</v>
      </c>
      <c r="C219">
        <v>10</v>
      </c>
      <c r="D219" s="86">
        <v>1</v>
      </c>
      <c r="E219">
        <v>3</v>
      </c>
      <c r="F219">
        <v>3</v>
      </c>
      <c r="G219">
        <v>12</v>
      </c>
      <c r="H219">
        <v>9</v>
      </c>
      <c r="I219">
        <v>1</v>
      </c>
      <c r="J219">
        <v>0.75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1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1</v>
      </c>
      <c r="X219">
        <v>0</v>
      </c>
      <c r="Y219">
        <v>1</v>
      </c>
      <c r="Z219">
        <v>0</v>
      </c>
      <c r="AA219" s="86">
        <f>AVERAGEIFS($C$2:C219, $B$2:B219, B219)</f>
        <v>19</v>
      </c>
      <c r="AB219" s="86">
        <f>AVERAGEIFS($I$2:I219, $B$2:B219, B219)</f>
        <v>0.8</v>
      </c>
      <c r="AC219" s="86">
        <f>AVERAGEIFS($J$2:J219, $B$2:B219, B219)</f>
        <v>0.63500000000000001</v>
      </c>
      <c r="AD219" s="86">
        <f>AVERAGEIFS($D$2:D219, $B$2:B219, B219)</f>
        <v>1</v>
      </c>
    </row>
    <row r="220" spans="1:30" x14ac:dyDescent="0.25">
      <c r="A220" s="85">
        <v>46126</v>
      </c>
      <c r="B220" t="s">
        <v>25</v>
      </c>
      <c r="C220">
        <v>9</v>
      </c>
      <c r="D220" s="86">
        <v>1</v>
      </c>
      <c r="E220">
        <v>3</v>
      </c>
      <c r="F220">
        <v>3</v>
      </c>
      <c r="G220">
        <v>12</v>
      </c>
      <c r="H220">
        <v>9</v>
      </c>
      <c r="I220">
        <v>1</v>
      </c>
      <c r="J220">
        <v>0.75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1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1</v>
      </c>
      <c r="X220">
        <v>0</v>
      </c>
      <c r="Y220">
        <v>1</v>
      </c>
      <c r="Z220">
        <v>0</v>
      </c>
      <c r="AA220" s="86">
        <f>AVERAGEIFS($C$2:C220, $B$2:B220, B220)</f>
        <v>16.777777777777779</v>
      </c>
      <c r="AB220" s="86">
        <f>AVERAGEIFS($I$2:I220, $B$2:B220, B220)</f>
        <v>0.55000000000000004</v>
      </c>
      <c r="AC220" s="86">
        <f>AVERAGEIFS($J$2:J220, $B$2:B220, B220)</f>
        <v>0.51555555555555566</v>
      </c>
      <c r="AD220" s="86">
        <f>AVERAGEIFS($D$2:D220, $B$2:B220, B220)</f>
        <v>0.66666666666666663</v>
      </c>
    </row>
    <row r="221" spans="1:30" x14ac:dyDescent="0.25">
      <c r="A221" s="85">
        <v>46126</v>
      </c>
      <c r="B221" t="s">
        <v>140</v>
      </c>
      <c r="C221">
        <v>4</v>
      </c>
      <c r="D221" s="86">
        <v>1</v>
      </c>
      <c r="E221">
        <v>3</v>
      </c>
      <c r="F221">
        <v>3</v>
      </c>
      <c r="G221">
        <v>12</v>
      </c>
      <c r="H221">
        <v>9</v>
      </c>
      <c r="I221">
        <v>1</v>
      </c>
      <c r="J221">
        <v>0.75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1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1</v>
      </c>
      <c r="X221">
        <v>0</v>
      </c>
      <c r="Y221">
        <v>1</v>
      </c>
      <c r="Z221">
        <v>0</v>
      </c>
      <c r="AA221" s="86">
        <f>AVERAGEIFS($C$2:C221, $B$2:B221, B221)</f>
        <v>6.25</v>
      </c>
      <c r="AB221" s="86">
        <f>AVERAGEIFS($I$2:I221, $B$2:B221, B221)</f>
        <v>0.4</v>
      </c>
      <c r="AC221" s="86">
        <f>AVERAGEIFS($J$2:J221, $B$2:B221, B221)</f>
        <v>0.45250000000000001</v>
      </c>
      <c r="AD221" s="86">
        <f>AVERAGEIFS($D$2:D221, $B$2:B221, B221)</f>
        <v>0.5</v>
      </c>
    </row>
    <row r="222" spans="1:30" x14ac:dyDescent="0.25">
      <c r="A222" s="85">
        <v>46126</v>
      </c>
      <c r="B222" t="s">
        <v>146</v>
      </c>
      <c r="C222">
        <v>4</v>
      </c>
      <c r="D222" s="86">
        <v>1</v>
      </c>
      <c r="E222">
        <v>3</v>
      </c>
      <c r="F222">
        <v>3</v>
      </c>
      <c r="G222">
        <v>12</v>
      </c>
      <c r="H222">
        <v>9</v>
      </c>
      <c r="I222">
        <v>1</v>
      </c>
      <c r="J222">
        <v>0.75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1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1</v>
      </c>
      <c r="X222">
        <v>0</v>
      </c>
      <c r="Y222">
        <v>1</v>
      </c>
      <c r="Z222">
        <v>0</v>
      </c>
      <c r="AA222" s="86">
        <f>AVERAGEIFS($C$2:C222, $B$2:B222, B222)</f>
        <v>7.333333333333333</v>
      </c>
      <c r="AB222" s="86">
        <f>AVERAGEIFS($I$2:I222, $B$2:B222, B222)</f>
        <v>0.46666666666666662</v>
      </c>
      <c r="AC222" s="86">
        <f>AVERAGEIFS($J$2:J222, $B$2:B222, B222)</f>
        <v>0.51333333333333331</v>
      </c>
      <c r="AD222" s="86">
        <f>AVERAGEIFS($D$2:D222, $B$2:B222, B222)</f>
        <v>0.33333333333333331</v>
      </c>
    </row>
    <row r="223" spans="1:30" x14ac:dyDescent="0.25">
      <c r="A223" s="85">
        <v>46126</v>
      </c>
      <c r="B223" t="s">
        <v>13</v>
      </c>
      <c r="C223">
        <v>15</v>
      </c>
      <c r="D223" s="86">
        <v>0</v>
      </c>
      <c r="E223">
        <v>3</v>
      </c>
      <c r="F223">
        <v>0</v>
      </c>
      <c r="G223">
        <v>12</v>
      </c>
      <c r="H223">
        <v>3</v>
      </c>
      <c r="I223">
        <v>0</v>
      </c>
      <c r="J223">
        <v>0.25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86">
        <f>AVERAGEIFS($C$2:C223, $B$2:B223, B223)</f>
        <v>22.375</v>
      </c>
      <c r="AB223" s="86">
        <f>AVERAGEIFS($I$2:I223, $B$2:B223, B223)</f>
        <v>0.63124999999999998</v>
      </c>
      <c r="AC223" s="86">
        <f>AVERAGEIFS($J$2:J223, $B$2:B223, B223)</f>
        <v>0.58437500000000009</v>
      </c>
      <c r="AD223" s="86">
        <f>AVERAGEIFS($D$2:D223, $B$2:B223, B223)</f>
        <v>0.6875</v>
      </c>
    </row>
    <row r="224" spans="1:30" x14ac:dyDescent="0.25">
      <c r="A224" s="85">
        <v>46126</v>
      </c>
      <c r="B224" t="s">
        <v>5</v>
      </c>
      <c r="C224">
        <v>12</v>
      </c>
      <c r="D224" s="86">
        <v>0</v>
      </c>
      <c r="E224">
        <v>3</v>
      </c>
      <c r="F224">
        <v>0</v>
      </c>
      <c r="G224">
        <v>12</v>
      </c>
      <c r="H224">
        <v>3</v>
      </c>
      <c r="I224">
        <v>0</v>
      </c>
      <c r="J224">
        <v>0.25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86">
        <f>AVERAGEIFS($C$2:C224, $B$2:B224, B224)</f>
        <v>12</v>
      </c>
      <c r="AB224" s="86">
        <f>AVERAGEIFS($I$2:I224, $B$2:B224, B224)</f>
        <v>0</v>
      </c>
      <c r="AC224" s="86">
        <f>AVERAGEIFS($J$2:J224, $B$2:B224, B224)</f>
        <v>0.25</v>
      </c>
      <c r="AD224" s="86">
        <f>AVERAGEIFS($D$2:D224, $B$2:B224, B224)</f>
        <v>0</v>
      </c>
    </row>
    <row r="225" spans="1:30" x14ac:dyDescent="0.25">
      <c r="A225" s="85">
        <v>46126</v>
      </c>
      <c r="B225" t="s">
        <v>26</v>
      </c>
      <c r="C225">
        <v>12</v>
      </c>
      <c r="D225" s="86">
        <v>0</v>
      </c>
      <c r="E225">
        <v>3</v>
      </c>
      <c r="F225">
        <v>0</v>
      </c>
      <c r="G225">
        <v>12</v>
      </c>
      <c r="H225">
        <v>3</v>
      </c>
      <c r="I225">
        <v>0</v>
      </c>
      <c r="J225">
        <v>0.25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86">
        <f>AVERAGEIFS($C$2:C225, $B$2:B225, B225)</f>
        <v>12.142857142857142</v>
      </c>
      <c r="AB225" s="86">
        <f>AVERAGEIFS($I$2:I225, $B$2:B225, B225)</f>
        <v>0.4642857142857143</v>
      </c>
      <c r="AC225" s="86">
        <f>AVERAGEIFS($J$2:J225, $B$2:B225, B225)</f>
        <v>0.45142857142857146</v>
      </c>
      <c r="AD225" s="86">
        <f>AVERAGEIFS($D$2:D225, $B$2:B225, B225)</f>
        <v>0.42857142857142855</v>
      </c>
    </row>
    <row r="226" spans="1:30" x14ac:dyDescent="0.25">
      <c r="A226" s="85">
        <v>46126</v>
      </c>
      <c r="B226" t="s">
        <v>148</v>
      </c>
      <c r="C226">
        <v>11</v>
      </c>
      <c r="D226" s="86">
        <v>0</v>
      </c>
      <c r="E226">
        <v>3</v>
      </c>
      <c r="F226">
        <v>0</v>
      </c>
      <c r="G226">
        <v>12</v>
      </c>
      <c r="H226">
        <v>3</v>
      </c>
      <c r="I226">
        <v>0</v>
      </c>
      <c r="J226">
        <v>0.25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86">
        <f>AVERAGEIFS($C$2:C226, $B$2:B226, B226)</f>
        <v>13.1875</v>
      </c>
      <c r="AB226" s="86">
        <f>AVERAGEIFS($I$2:I226, $B$2:B226, B226)</f>
        <v>0.58125000000000004</v>
      </c>
      <c r="AC226" s="86">
        <f>AVERAGEIFS($J$2:J226, $B$2:B226, B226)</f>
        <v>0.52875000000000005</v>
      </c>
      <c r="AD226" s="86">
        <f>AVERAGEIFS($D$2:D226, $B$2:B226, B226)</f>
        <v>0.625</v>
      </c>
    </row>
    <row r="227" spans="1:30" x14ac:dyDescent="0.25">
      <c r="A227" s="85">
        <v>46126</v>
      </c>
      <c r="B227" t="s">
        <v>155</v>
      </c>
      <c r="C227">
        <v>11</v>
      </c>
      <c r="D227" s="86">
        <v>0</v>
      </c>
      <c r="E227">
        <v>3</v>
      </c>
      <c r="F227">
        <v>0</v>
      </c>
      <c r="G227">
        <v>12</v>
      </c>
      <c r="H227">
        <v>3</v>
      </c>
      <c r="I227">
        <v>0</v>
      </c>
      <c r="J227">
        <v>0.25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 s="86">
        <f>AVERAGEIFS($C$2:C227, $B$2:B227, B227)</f>
        <v>15.76923076923077</v>
      </c>
      <c r="AB227" s="86">
        <f>AVERAGEIFS($I$2:I227, $B$2:B227, B227)</f>
        <v>0.3</v>
      </c>
      <c r="AC227" s="86">
        <f>AVERAGEIFS($J$2:J227, $B$2:B227, B227)</f>
        <v>0.40153846153846151</v>
      </c>
      <c r="AD227" s="86">
        <f>AVERAGEIFS($D$2:D227, $B$2:B227, B227)</f>
        <v>0.15384615384615385</v>
      </c>
    </row>
    <row r="228" spans="1:30" x14ac:dyDescent="0.25">
      <c r="A228" s="85">
        <v>46126</v>
      </c>
      <c r="B228" t="s">
        <v>35</v>
      </c>
      <c r="C228">
        <v>4</v>
      </c>
      <c r="D228" s="86">
        <v>0</v>
      </c>
      <c r="E228">
        <v>3</v>
      </c>
      <c r="F228">
        <v>0</v>
      </c>
      <c r="G228">
        <v>12</v>
      </c>
      <c r="H228">
        <v>3</v>
      </c>
      <c r="I228">
        <v>0</v>
      </c>
      <c r="J228">
        <v>0.25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 s="86">
        <f>AVERAGEIFS($C$2:C228, $B$2:B228, B228)</f>
        <v>12.3</v>
      </c>
      <c r="AB228" s="86">
        <f>AVERAGEIFS($I$2:I228, $B$2:B228, B228)</f>
        <v>0.31</v>
      </c>
      <c r="AC228" s="86">
        <f>AVERAGEIFS($J$2:J228, $B$2:B228, B228)</f>
        <v>0.376</v>
      </c>
      <c r="AD228" s="86">
        <f>AVERAGEIFS($D$2:D228, $B$2:B228, B228)</f>
        <v>0.3</v>
      </c>
    </row>
    <row r="229" spans="1:30" x14ac:dyDescent="0.25">
      <c r="A229" s="85">
        <v>46126</v>
      </c>
      <c r="B229" t="s">
        <v>29</v>
      </c>
      <c r="C229">
        <v>3</v>
      </c>
      <c r="D229" s="86">
        <v>0</v>
      </c>
      <c r="E229">
        <v>3</v>
      </c>
      <c r="F229">
        <v>0</v>
      </c>
      <c r="G229">
        <v>12</v>
      </c>
      <c r="H229">
        <v>3</v>
      </c>
      <c r="I229">
        <v>0</v>
      </c>
      <c r="J229">
        <v>0.25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 s="86">
        <f>AVERAGEIFS($C$2:C229, $B$2:B229, B229)</f>
        <v>10.909090909090908</v>
      </c>
      <c r="AB229" s="86">
        <f>AVERAGEIFS($I$2:I229, $B$2:B229, B229)</f>
        <v>0.33636363636363636</v>
      </c>
      <c r="AC229" s="86">
        <f>AVERAGEIFS($J$2:J229, $B$2:B229, B229)</f>
        <v>0.44000000000000006</v>
      </c>
      <c r="AD229" s="86">
        <f>AVERAGEIFS($D$2:D229, $B$2:B229, B229)</f>
        <v>0.18181818181818182</v>
      </c>
    </row>
    <row r="230" spans="1:30" x14ac:dyDescent="0.25">
      <c r="A230" s="85">
        <v>46129</v>
      </c>
      <c r="B230" t="s">
        <v>13</v>
      </c>
      <c r="C230">
        <v>36</v>
      </c>
      <c r="D230" s="86">
        <v>1</v>
      </c>
      <c r="E230">
        <v>4</v>
      </c>
      <c r="F230">
        <v>3</v>
      </c>
      <c r="G230">
        <v>18</v>
      </c>
      <c r="H230">
        <v>11</v>
      </c>
      <c r="I230">
        <v>0.75</v>
      </c>
      <c r="J230">
        <v>0.61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1</v>
      </c>
      <c r="Z230">
        <v>0</v>
      </c>
      <c r="AA230" s="86">
        <f>AVERAGEIFS($C$2:C230, $B$2:B230, B230)</f>
        <v>23.176470588235293</v>
      </c>
      <c r="AB230" s="86">
        <f>AVERAGEIFS($I$2:I230, $B$2:B230, B230)</f>
        <v>0.63823529411764701</v>
      </c>
      <c r="AC230" s="86">
        <f>AVERAGEIFS($J$2:J230, $B$2:B230, B230)</f>
        <v>0.58588235294117652</v>
      </c>
      <c r="AD230" s="86">
        <f>AVERAGEIFS($D$2:D230, $B$2:B230, B230)</f>
        <v>0.70588235294117652</v>
      </c>
    </row>
    <row r="231" spans="1:30" x14ac:dyDescent="0.25">
      <c r="A231" s="85">
        <v>46129</v>
      </c>
      <c r="B231" t="s">
        <v>1</v>
      </c>
      <c r="C231">
        <v>24</v>
      </c>
      <c r="D231" s="86">
        <v>1</v>
      </c>
      <c r="E231">
        <v>4</v>
      </c>
      <c r="F231">
        <v>3</v>
      </c>
      <c r="G231">
        <v>18</v>
      </c>
      <c r="H231">
        <v>11</v>
      </c>
      <c r="I231">
        <v>0.75</v>
      </c>
      <c r="J231">
        <v>0.61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1</v>
      </c>
      <c r="Z231">
        <v>0</v>
      </c>
      <c r="AA231" s="86">
        <f>AVERAGEIFS($C$2:C231, $B$2:B231, B231)</f>
        <v>15.75</v>
      </c>
      <c r="AB231" s="86">
        <f>AVERAGEIFS($I$2:I231, $B$2:B231, B231)</f>
        <v>0.35</v>
      </c>
      <c r="AC231" s="86">
        <f>AVERAGEIFS($J$2:J231, $B$2:B231, B231)</f>
        <v>0.375</v>
      </c>
      <c r="AD231" s="86">
        <f>AVERAGEIFS($D$2:D231, $B$2:B231, B231)</f>
        <v>0.25</v>
      </c>
    </row>
    <row r="232" spans="1:30" x14ac:dyDescent="0.25">
      <c r="A232" s="85">
        <v>46129</v>
      </c>
      <c r="B232" t="s">
        <v>26</v>
      </c>
      <c r="C232">
        <v>23</v>
      </c>
      <c r="D232" s="86">
        <v>1</v>
      </c>
      <c r="E232">
        <v>4</v>
      </c>
      <c r="F232">
        <v>3</v>
      </c>
      <c r="G232">
        <v>18</v>
      </c>
      <c r="H232">
        <v>11</v>
      </c>
      <c r="I232">
        <v>0.75</v>
      </c>
      <c r="J232">
        <v>0.61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1</v>
      </c>
      <c r="Z232">
        <v>0</v>
      </c>
      <c r="AA232" s="86">
        <f>AVERAGEIFS($C$2:C232, $B$2:B232, B232)</f>
        <v>13.5</v>
      </c>
      <c r="AB232" s="86">
        <f>AVERAGEIFS($I$2:I232, $B$2:B232, B232)</f>
        <v>0.5</v>
      </c>
      <c r="AC232" s="86">
        <f>AVERAGEIFS($J$2:J232, $B$2:B232, B232)</f>
        <v>0.47125</v>
      </c>
      <c r="AD232" s="86">
        <f>AVERAGEIFS($D$2:D232, $B$2:B232, B232)</f>
        <v>0.5</v>
      </c>
    </row>
    <row r="233" spans="1:30" x14ac:dyDescent="0.25">
      <c r="A233" s="85">
        <v>46129</v>
      </c>
      <c r="B233" t="s">
        <v>150</v>
      </c>
      <c r="C233">
        <v>21</v>
      </c>
      <c r="D233" s="86">
        <v>1</v>
      </c>
      <c r="E233">
        <v>4</v>
      </c>
      <c r="F233">
        <v>3</v>
      </c>
      <c r="G233">
        <v>18</v>
      </c>
      <c r="H233">
        <v>11</v>
      </c>
      <c r="I233">
        <v>0.75</v>
      </c>
      <c r="J233">
        <v>0.61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1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1</v>
      </c>
      <c r="X233">
        <v>0</v>
      </c>
      <c r="Y233">
        <v>1</v>
      </c>
      <c r="Z233">
        <v>0</v>
      </c>
      <c r="AA233" s="86">
        <f>AVERAGEIFS($C$2:C233, $B$2:B233, B233)</f>
        <v>18.166666666666668</v>
      </c>
      <c r="AB233" s="86">
        <f>AVERAGEIFS($I$2:I233, $B$2:B233, B233)</f>
        <v>0.70833333333333337</v>
      </c>
      <c r="AC233" s="86">
        <f>AVERAGEIFS($J$2:J233, $B$2:B233, B233)</f>
        <v>0.64333333333333331</v>
      </c>
      <c r="AD233" s="86">
        <f>AVERAGEIFS($D$2:D233, $B$2:B233, B233)</f>
        <v>0.83333333333333337</v>
      </c>
    </row>
    <row r="234" spans="1:30" x14ac:dyDescent="0.25">
      <c r="A234" s="85">
        <v>46129</v>
      </c>
      <c r="B234" t="s">
        <v>113</v>
      </c>
      <c r="C234">
        <v>14</v>
      </c>
      <c r="D234" s="86">
        <v>1</v>
      </c>
      <c r="E234">
        <v>4</v>
      </c>
      <c r="F234">
        <v>3</v>
      </c>
      <c r="G234">
        <v>18</v>
      </c>
      <c r="H234">
        <v>11</v>
      </c>
      <c r="I234">
        <v>0.75</v>
      </c>
      <c r="J234">
        <v>0.61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1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1</v>
      </c>
      <c r="X234">
        <v>0</v>
      </c>
      <c r="Y234">
        <v>1</v>
      </c>
      <c r="Z234">
        <v>0</v>
      </c>
      <c r="AA234" s="86">
        <f>AVERAGEIFS($C$2:C234, $B$2:B234, B234)</f>
        <v>16.333333333333332</v>
      </c>
      <c r="AB234" s="86">
        <f>AVERAGEIFS($I$2:I234, $B$2:B234, B234)</f>
        <v>0.51666666666666672</v>
      </c>
      <c r="AC234" s="86">
        <f>AVERAGEIFS($J$2:J234, $B$2:B234, B234)</f>
        <v>0.48166666666666663</v>
      </c>
      <c r="AD234" s="86">
        <f>AVERAGEIFS($D$2:D234, $B$2:B234, B234)</f>
        <v>0.66666666666666663</v>
      </c>
    </row>
    <row r="235" spans="1:30" x14ac:dyDescent="0.25">
      <c r="A235" s="85">
        <v>46129</v>
      </c>
      <c r="B235" t="s">
        <v>29</v>
      </c>
      <c r="C235">
        <v>14</v>
      </c>
      <c r="D235" s="86">
        <v>1</v>
      </c>
      <c r="E235">
        <v>4</v>
      </c>
      <c r="F235">
        <v>3</v>
      </c>
      <c r="G235">
        <v>18</v>
      </c>
      <c r="H235">
        <v>11</v>
      </c>
      <c r="I235">
        <v>0.75</v>
      </c>
      <c r="J235">
        <v>0.61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1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1</v>
      </c>
      <c r="X235">
        <v>0</v>
      </c>
      <c r="Y235">
        <v>1</v>
      </c>
      <c r="Z235">
        <v>0</v>
      </c>
      <c r="AA235" s="86">
        <f>AVERAGEIFS($C$2:C235, $B$2:B235, B235)</f>
        <v>11.166666666666666</v>
      </c>
      <c r="AB235" s="86">
        <f>AVERAGEIFS($I$2:I235, $B$2:B235, B235)</f>
        <v>0.37083333333333329</v>
      </c>
      <c r="AC235" s="86">
        <f>AVERAGEIFS($J$2:J235, $B$2:B235, B235)</f>
        <v>0.45416666666666677</v>
      </c>
      <c r="AD235" s="86">
        <f>AVERAGEIFS($D$2:D235, $B$2:B235, B235)</f>
        <v>0.25</v>
      </c>
    </row>
    <row r="236" spans="1:30" x14ac:dyDescent="0.25">
      <c r="A236" s="85">
        <v>46129</v>
      </c>
      <c r="B236" t="s">
        <v>17</v>
      </c>
      <c r="C236">
        <v>31</v>
      </c>
      <c r="D236" s="86">
        <v>0</v>
      </c>
      <c r="E236">
        <v>4</v>
      </c>
      <c r="F236">
        <v>1</v>
      </c>
      <c r="G236">
        <v>18</v>
      </c>
      <c r="H236">
        <v>7</v>
      </c>
      <c r="I236">
        <v>0.25</v>
      </c>
      <c r="J236">
        <v>0.39</v>
      </c>
      <c r="K236">
        <v>0</v>
      </c>
      <c r="L236">
        <v>1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86">
        <f>AVERAGEIFS($C$2:C236, $B$2:B236, B236)</f>
        <v>22.923076923076923</v>
      </c>
      <c r="AB236" s="86">
        <f>AVERAGEIFS($I$2:I236, $B$2:B236, B236)</f>
        <v>0.50384615384615383</v>
      </c>
      <c r="AC236" s="86">
        <f>AVERAGEIFS($J$2:J236, $B$2:B236, B236)</f>
        <v>0.49923076923076909</v>
      </c>
      <c r="AD236" s="86">
        <f>AVERAGEIFS($D$2:D236, $B$2:B236, B236)</f>
        <v>0.53846153846153844</v>
      </c>
    </row>
    <row r="237" spans="1:30" x14ac:dyDescent="0.25">
      <c r="A237" s="85">
        <v>46129</v>
      </c>
      <c r="B237" t="s">
        <v>4</v>
      </c>
      <c r="C237">
        <v>21</v>
      </c>
      <c r="D237" s="86">
        <v>0</v>
      </c>
      <c r="E237">
        <v>4</v>
      </c>
      <c r="F237">
        <v>1</v>
      </c>
      <c r="G237">
        <v>18</v>
      </c>
      <c r="H237">
        <v>7</v>
      </c>
      <c r="I237">
        <v>0.25</v>
      </c>
      <c r="J237">
        <v>0.39</v>
      </c>
      <c r="K237">
        <v>0</v>
      </c>
      <c r="L237">
        <v>1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86">
        <f>AVERAGEIFS($C$2:C237, $B$2:B237, B237)</f>
        <v>20.8</v>
      </c>
      <c r="AB237" s="86">
        <f>AVERAGEIFS($I$2:I237, $B$2:B237, B237)</f>
        <v>0.25</v>
      </c>
      <c r="AC237" s="86">
        <f>AVERAGEIFS($J$2:J237, $B$2:B237, B237)</f>
        <v>0.36799999999999999</v>
      </c>
      <c r="AD237" s="86">
        <f>AVERAGEIFS($D$2:D237, $B$2:B237, B237)</f>
        <v>0.2</v>
      </c>
    </row>
    <row r="238" spans="1:30" x14ac:dyDescent="0.25">
      <c r="A238" s="85">
        <v>46129</v>
      </c>
      <c r="B238" t="s">
        <v>5</v>
      </c>
      <c r="C238">
        <v>18</v>
      </c>
      <c r="D238" s="86">
        <v>0</v>
      </c>
      <c r="E238">
        <v>4</v>
      </c>
      <c r="F238">
        <v>1</v>
      </c>
      <c r="G238">
        <v>18</v>
      </c>
      <c r="H238">
        <v>7</v>
      </c>
      <c r="I238">
        <v>0.25</v>
      </c>
      <c r="J238">
        <v>0.39</v>
      </c>
      <c r="K238">
        <v>0</v>
      </c>
      <c r="L238">
        <v>1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86">
        <f>AVERAGEIFS($C$2:C238, $B$2:B238, B238)</f>
        <v>15</v>
      </c>
      <c r="AB238" s="86">
        <f>AVERAGEIFS($I$2:I238, $B$2:B238, B238)</f>
        <v>0.125</v>
      </c>
      <c r="AC238" s="86">
        <f>AVERAGEIFS($J$2:J238, $B$2:B238, B238)</f>
        <v>0.32</v>
      </c>
      <c r="AD238" s="86">
        <f>AVERAGEIFS($D$2:D238, $B$2:B238, B238)</f>
        <v>0</v>
      </c>
    </row>
    <row r="239" spans="1:30" x14ac:dyDescent="0.25">
      <c r="A239" s="85">
        <v>46129</v>
      </c>
      <c r="B239" t="s">
        <v>14</v>
      </c>
      <c r="C239">
        <v>16</v>
      </c>
      <c r="D239" s="86">
        <v>0</v>
      </c>
      <c r="E239">
        <v>4</v>
      </c>
      <c r="F239">
        <v>1</v>
      </c>
      <c r="G239">
        <v>18</v>
      </c>
      <c r="H239">
        <v>7</v>
      </c>
      <c r="I239">
        <v>0.25</v>
      </c>
      <c r="J239">
        <v>0.39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 s="86">
        <f>AVERAGEIFS($C$2:C239, $B$2:B239, B239)</f>
        <v>20.5</v>
      </c>
      <c r="AB239" s="86">
        <f>AVERAGEIFS($I$2:I239, $B$2:B239, B239)</f>
        <v>0.32999999999999996</v>
      </c>
      <c r="AC239" s="86">
        <f>AVERAGEIFS($J$2:J239, $B$2:B239, B239)</f>
        <v>0.42099999999999999</v>
      </c>
      <c r="AD239" s="86">
        <f>AVERAGEIFS($D$2:D239, $B$2:B239, B239)</f>
        <v>0.2</v>
      </c>
    </row>
    <row r="240" spans="1:30" x14ac:dyDescent="0.25">
      <c r="A240" s="85">
        <v>46129</v>
      </c>
      <c r="B240" t="s">
        <v>148</v>
      </c>
      <c r="C240">
        <v>13</v>
      </c>
      <c r="D240" s="86">
        <v>0</v>
      </c>
      <c r="E240">
        <v>4</v>
      </c>
      <c r="F240">
        <v>1</v>
      </c>
      <c r="G240">
        <v>18</v>
      </c>
      <c r="H240">
        <v>7</v>
      </c>
      <c r="I240">
        <v>0.25</v>
      </c>
      <c r="J240">
        <v>0.39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 s="86">
        <f>AVERAGEIFS($C$2:C240, $B$2:B240, B240)</f>
        <v>13.176470588235293</v>
      </c>
      <c r="AB240" s="86">
        <f>AVERAGEIFS($I$2:I240, $B$2:B240, B240)</f>
        <v>0.56176470588235294</v>
      </c>
      <c r="AC240" s="86">
        <f>AVERAGEIFS($J$2:J240, $B$2:B240, B240)</f>
        <v>0.52058823529411768</v>
      </c>
      <c r="AD240" s="86">
        <f>AVERAGEIFS($D$2:D240, $B$2:B240, B240)</f>
        <v>0.58823529411764708</v>
      </c>
    </row>
    <row r="241" spans="1:30" x14ac:dyDescent="0.25">
      <c r="A241" s="85">
        <v>46129</v>
      </c>
      <c r="B241" t="s">
        <v>139</v>
      </c>
      <c r="C241">
        <v>11</v>
      </c>
      <c r="D241" s="86">
        <v>0</v>
      </c>
      <c r="E241">
        <v>4</v>
      </c>
      <c r="F241">
        <v>1</v>
      </c>
      <c r="G241">
        <v>18</v>
      </c>
      <c r="H241">
        <v>7</v>
      </c>
      <c r="I241">
        <v>0.25</v>
      </c>
      <c r="J241">
        <v>0.39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 s="86">
        <f>AVERAGEIFS($C$2:C241, $B$2:B241, B241)</f>
        <v>10.333333333333334</v>
      </c>
      <c r="AB241" s="86">
        <f>AVERAGEIFS($I$2:I241, $B$2:B241, B241)</f>
        <v>0.55000000000000004</v>
      </c>
      <c r="AC241" s="86">
        <f>AVERAGEIFS($J$2:J241, $B$2:B241, B241)</f>
        <v>0.52111111111111108</v>
      </c>
      <c r="AD241" s="86">
        <f>AVERAGEIFS($D$2:D241, $B$2:B241, B241)</f>
        <v>0.66666666666666663</v>
      </c>
    </row>
    <row r="242" spans="1:30" x14ac:dyDescent="0.25">
      <c r="A242" s="85">
        <v>46130</v>
      </c>
      <c r="B242" t="s">
        <v>113</v>
      </c>
      <c r="C242">
        <v>26</v>
      </c>
      <c r="D242" s="86">
        <v>1</v>
      </c>
      <c r="E242">
        <v>3</v>
      </c>
      <c r="F242">
        <v>3</v>
      </c>
      <c r="G242">
        <v>13</v>
      </c>
      <c r="H242">
        <v>9</v>
      </c>
      <c r="I242">
        <v>1</v>
      </c>
      <c r="J242">
        <v>0.69</v>
      </c>
      <c r="K242">
        <v>0</v>
      </c>
      <c r="L242">
        <v>0</v>
      </c>
      <c r="M242">
        <v>0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1</v>
      </c>
      <c r="AA242" s="86">
        <f>AVERAGEIFS($C$2:C242, $B$2:B242, B242)</f>
        <v>17.714285714285715</v>
      </c>
      <c r="AB242" s="86">
        <f>AVERAGEIFS($I$2:I242, $B$2:B242, B242)</f>
        <v>0.58571428571428563</v>
      </c>
      <c r="AC242" s="86">
        <f>AVERAGEIFS($J$2:J242, $B$2:B242, B242)</f>
        <v>0.51142857142857134</v>
      </c>
      <c r="AD242" s="86">
        <f>AVERAGEIFS($D$2:D242, $B$2:B242, B242)</f>
        <v>0.7142857142857143</v>
      </c>
    </row>
    <row r="243" spans="1:30" x14ac:dyDescent="0.25">
      <c r="A243" s="85">
        <v>46130</v>
      </c>
      <c r="B243" t="s">
        <v>13</v>
      </c>
      <c r="C243">
        <v>23</v>
      </c>
      <c r="D243" s="86">
        <v>1</v>
      </c>
      <c r="E243">
        <v>3</v>
      </c>
      <c r="F243">
        <v>3</v>
      </c>
      <c r="G243">
        <v>13</v>
      </c>
      <c r="H243">
        <v>9</v>
      </c>
      <c r="I243">
        <v>1</v>
      </c>
      <c r="J243">
        <v>0.69</v>
      </c>
      <c r="K243">
        <v>0</v>
      </c>
      <c r="L243">
        <v>0</v>
      </c>
      <c r="M243">
        <v>0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1</v>
      </c>
      <c r="AA243" s="86">
        <f>AVERAGEIFS($C$2:C243, $B$2:B243, B243)</f>
        <v>23.166666666666668</v>
      </c>
      <c r="AB243" s="86">
        <f>AVERAGEIFS($I$2:I243, $B$2:B243, B243)</f>
        <v>0.65833333333333333</v>
      </c>
      <c r="AC243" s="86">
        <f>AVERAGEIFS($J$2:J243, $B$2:B243, B243)</f>
        <v>0.59166666666666667</v>
      </c>
      <c r="AD243" s="86">
        <f>AVERAGEIFS($D$2:D243, $B$2:B243, B243)</f>
        <v>0.72222222222222221</v>
      </c>
    </row>
    <row r="244" spans="1:30" x14ac:dyDescent="0.25">
      <c r="A244" s="85">
        <v>46130</v>
      </c>
      <c r="B244" t="s">
        <v>55</v>
      </c>
      <c r="C244">
        <v>20</v>
      </c>
      <c r="D244" s="86">
        <v>1</v>
      </c>
      <c r="E244">
        <v>3</v>
      </c>
      <c r="F244">
        <v>3</v>
      </c>
      <c r="G244">
        <v>13</v>
      </c>
      <c r="H244">
        <v>9</v>
      </c>
      <c r="I244">
        <v>1</v>
      </c>
      <c r="J244">
        <v>0.69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1</v>
      </c>
      <c r="Y244">
        <v>0</v>
      </c>
      <c r="Z244">
        <v>1</v>
      </c>
      <c r="AA244" s="86">
        <f>AVERAGEIFS($C$2:C244, $B$2:B244, B244)</f>
        <v>9.6</v>
      </c>
      <c r="AB244" s="86">
        <f>AVERAGEIFS($I$2:I244, $B$2:B244, B244)</f>
        <v>0.67999999999999994</v>
      </c>
      <c r="AC244" s="86">
        <f>AVERAGEIFS($J$2:J244, $B$2:B244, B244)</f>
        <v>0.62399999999999989</v>
      </c>
      <c r="AD244" s="86">
        <f>AVERAGEIFS($D$2:D244, $B$2:B244, B244)</f>
        <v>0.6</v>
      </c>
    </row>
    <row r="245" spans="1:30" x14ac:dyDescent="0.25">
      <c r="A245" s="85">
        <v>46130</v>
      </c>
      <c r="B245" t="s">
        <v>148</v>
      </c>
      <c r="C245">
        <v>18</v>
      </c>
      <c r="D245" s="86">
        <v>1</v>
      </c>
      <c r="E245">
        <v>3</v>
      </c>
      <c r="F245">
        <v>3</v>
      </c>
      <c r="G245">
        <v>13</v>
      </c>
      <c r="H245">
        <v>9</v>
      </c>
      <c r="I245">
        <v>1</v>
      </c>
      <c r="J245">
        <v>0.69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1</v>
      </c>
      <c r="Y245">
        <v>0</v>
      </c>
      <c r="Z245">
        <v>1</v>
      </c>
      <c r="AA245" s="86">
        <f>AVERAGEIFS($C$2:C245, $B$2:B245, B245)</f>
        <v>13.444444444444445</v>
      </c>
      <c r="AB245" s="86">
        <f>AVERAGEIFS($I$2:I245, $B$2:B245, B245)</f>
        <v>0.58611111111111114</v>
      </c>
      <c r="AC245" s="86">
        <f>AVERAGEIFS($J$2:J245, $B$2:B245, B245)</f>
        <v>0.53</v>
      </c>
      <c r="AD245" s="86">
        <f>AVERAGEIFS($D$2:D245, $B$2:B245, B245)</f>
        <v>0.61111111111111116</v>
      </c>
    </row>
    <row r="246" spans="1:30" x14ac:dyDescent="0.25">
      <c r="A246" s="85">
        <v>46130</v>
      </c>
      <c r="B246" t="s">
        <v>2</v>
      </c>
      <c r="C246">
        <v>18</v>
      </c>
      <c r="D246" s="86">
        <v>1</v>
      </c>
      <c r="E246">
        <v>3</v>
      </c>
      <c r="F246">
        <v>3</v>
      </c>
      <c r="G246">
        <v>13</v>
      </c>
      <c r="H246">
        <v>9</v>
      </c>
      <c r="I246">
        <v>1</v>
      </c>
      <c r="J246">
        <v>0.69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1</v>
      </c>
      <c r="Y246">
        <v>0</v>
      </c>
      <c r="Z246">
        <v>1</v>
      </c>
      <c r="AA246" s="86">
        <f>AVERAGEIFS($C$2:C246, $B$2:B246, B246)</f>
        <v>18</v>
      </c>
      <c r="AB246" s="86">
        <f>AVERAGEIFS($I$2:I246, $B$2:B246, B246)</f>
        <v>1</v>
      </c>
      <c r="AC246" s="86">
        <f>AVERAGEIFS($J$2:J246, $B$2:B246, B246)</f>
        <v>0.69</v>
      </c>
      <c r="AD246" s="86">
        <f>AVERAGEIFS($D$2:D246, $B$2:B246, B246)</f>
        <v>1</v>
      </c>
    </row>
    <row r="247" spans="1:30" x14ac:dyDescent="0.25">
      <c r="A247" s="85">
        <v>46130</v>
      </c>
      <c r="B247" t="s">
        <v>37</v>
      </c>
      <c r="C247">
        <v>16</v>
      </c>
      <c r="D247" s="86">
        <v>1</v>
      </c>
      <c r="E247">
        <v>3</v>
      </c>
      <c r="F247">
        <v>3</v>
      </c>
      <c r="G247">
        <v>13</v>
      </c>
      <c r="H247">
        <v>9</v>
      </c>
      <c r="I247">
        <v>1</v>
      </c>
      <c r="J247">
        <v>0.69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1</v>
      </c>
      <c r="Y247">
        <v>0</v>
      </c>
      <c r="Z247">
        <v>1</v>
      </c>
      <c r="AA247" s="86">
        <f>AVERAGEIFS($C$2:C247, $B$2:B247, B247)</f>
        <v>21</v>
      </c>
      <c r="AB247" s="86">
        <f>AVERAGEIFS($I$2:I247, $B$2:B247, B247)</f>
        <v>0.50714285714285723</v>
      </c>
      <c r="AC247" s="86">
        <f>AVERAGEIFS($J$2:J247, $B$2:B247, B247)</f>
        <v>0.51</v>
      </c>
      <c r="AD247" s="86">
        <f>AVERAGEIFS($D$2:D247, $B$2:B247, B247)</f>
        <v>0.7142857142857143</v>
      </c>
    </row>
    <row r="248" spans="1:30" x14ac:dyDescent="0.25">
      <c r="A248" s="85">
        <v>46130</v>
      </c>
      <c r="B248" t="s">
        <v>35</v>
      </c>
      <c r="C248">
        <v>5</v>
      </c>
      <c r="D248" s="86">
        <v>1</v>
      </c>
      <c r="E248">
        <v>3</v>
      </c>
      <c r="F248">
        <v>3</v>
      </c>
      <c r="G248">
        <v>13</v>
      </c>
      <c r="H248">
        <v>9</v>
      </c>
      <c r="I248">
        <v>1</v>
      </c>
      <c r="J248">
        <v>0.69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1</v>
      </c>
      <c r="Y248">
        <v>0</v>
      </c>
      <c r="Z248">
        <v>1</v>
      </c>
      <c r="AA248" s="86">
        <f>AVERAGEIFS($C$2:C248, $B$2:B248, B248)</f>
        <v>11.636363636363637</v>
      </c>
      <c r="AB248" s="86">
        <f>AVERAGEIFS($I$2:I248, $B$2:B248, B248)</f>
        <v>0.37272727272727268</v>
      </c>
      <c r="AC248" s="86">
        <f>AVERAGEIFS($J$2:J248, $B$2:B248, B248)</f>
        <v>0.40454545454545449</v>
      </c>
      <c r="AD248" s="86">
        <f>AVERAGEIFS($D$2:D248, $B$2:B248, B248)</f>
        <v>0.36363636363636365</v>
      </c>
    </row>
    <row r="249" spans="1:30" x14ac:dyDescent="0.25">
      <c r="A249" s="85">
        <v>46130</v>
      </c>
      <c r="B249" t="s">
        <v>140</v>
      </c>
      <c r="C249">
        <v>3</v>
      </c>
      <c r="D249" s="86">
        <v>1</v>
      </c>
      <c r="E249">
        <v>3</v>
      </c>
      <c r="F249">
        <v>3</v>
      </c>
      <c r="G249">
        <v>13</v>
      </c>
      <c r="H249">
        <v>9</v>
      </c>
      <c r="I249">
        <v>1</v>
      </c>
      <c r="J249">
        <v>0.69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1</v>
      </c>
      <c r="Y249">
        <v>0</v>
      </c>
      <c r="Z249">
        <v>1</v>
      </c>
      <c r="AA249" s="86">
        <f>AVERAGEIFS($C$2:C249, $B$2:B249, B249)</f>
        <v>5.6</v>
      </c>
      <c r="AB249" s="86">
        <f>AVERAGEIFS($I$2:I249, $B$2:B249, B249)</f>
        <v>0.52</v>
      </c>
      <c r="AC249" s="86">
        <f>AVERAGEIFS($J$2:J249, $B$2:B249, B249)</f>
        <v>0.5</v>
      </c>
      <c r="AD249" s="86">
        <f>AVERAGEIFS($D$2:D249, $B$2:B249, B249)</f>
        <v>0.6</v>
      </c>
    </row>
    <row r="250" spans="1:30" x14ac:dyDescent="0.25">
      <c r="A250" s="85">
        <v>46130</v>
      </c>
      <c r="B250" t="s">
        <v>17</v>
      </c>
      <c r="C250">
        <v>19</v>
      </c>
      <c r="D250" s="86">
        <v>0</v>
      </c>
      <c r="E250">
        <v>3</v>
      </c>
      <c r="F250">
        <v>0</v>
      </c>
      <c r="G250">
        <v>13</v>
      </c>
      <c r="H250">
        <v>4</v>
      </c>
      <c r="I250">
        <v>0</v>
      </c>
      <c r="J250">
        <v>0.31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 s="86">
        <f>AVERAGEIFS($C$2:C250, $B$2:B250, B250)</f>
        <v>22.642857142857142</v>
      </c>
      <c r="AB250" s="86">
        <f>AVERAGEIFS($I$2:I250, $B$2:B250, B250)</f>
        <v>0.46785714285714286</v>
      </c>
      <c r="AC250" s="86">
        <f>AVERAGEIFS($J$2:J250, $B$2:B250, B250)</f>
        <v>0.4857142857142856</v>
      </c>
      <c r="AD250" s="86">
        <f>AVERAGEIFS($D$2:D250, $B$2:B250, B250)</f>
        <v>0.5</v>
      </c>
    </row>
    <row r="251" spans="1:30" x14ac:dyDescent="0.25">
      <c r="A251" s="85">
        <v>46130</v>
      </c>
      <c r="B251" t="s">
        <v>152</v>
      </c>
      <c r="C251">
        <v>18</v>
      </c>
      <c r="D251" s="86">
        <v>0</v>
      </c>
      <c r="E251">
        <v>3</v>
      </c>
      <c r="F251">
        <v>0</v>
      </c>
      <c r="G251">
        <v>13</v>
      </c>
      <c r="H251">
        <v>4</v>
      </c>
      <c r="I251">
        <v>0</v>
      </c>
      <c r="J251">
        <v>0.31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 s="86">
        <f>AVERAGEIFS($C$2:C251, $B$2:B251, B251)</f>
        <v>16.25</v>
      </c>
      <c r="AB251" s="86">
        <f>AVERAGEIFS($I$2:I251, $B$2:B251, B251)</f>
        <v>0.2</v>
      </c>
      <c r="AC251" s="86">
        <f>AVERAGEIFS($J$2:J251, $B$2:B251, B251)</f>
        <v>0.36</v>
      </c>
      <c r="AD251" s="86">
        <f>AVERAGEIFS($D$2:D251, $B$2:B251, B251)</f>
        <v>0</v>
      </c>
    </row>
    <row r="252" spans="1:30" x14ac:dyDescent="0.25">
      <c r="A252" s="85">
        <v>46130</v>
      </c>
      <c r="B252" t="s">
        <v>18</v>
      </c>
      <c r="C252">
        <v>17</v>
      </c>
      <c r="D252" s="86">
        <v>0</v>
      </c>
      <c r="E252">
        <v>3</v>
      </c>
      <c r="F252">
        <v>0</v>
      </c>
      <c r="G252">
        <v>13</v>
      </c>
      <c r="H252">
        <v>4</v>
      </c>
      <c r="I252">
        <v>0</v>
      </c>
      <c r="J252">
        <v>0.31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 s="86">
        <f>AVERAGEIFS($C$2:C252, $B$2:B252, B252)</f>
        <v>23.75</v>
      </c>
      <c r="AB252" s="86">
        <f>AVERAGEIFS($I$2:I252, $B$2:B252, B252)</f>
        <v>0.59375</v>
      </c>
      <c r="AC252" s="86">
        <f>AVERAGEIFS($J$2:J252, $B$2:B252, B252)</f>
        <v>0.56874999999999998</v>
      </c>
      <c r="AD252" s="86">
        <f>AVERAGEIFS($D$2:D252, $B$2:B252, B252)</f>
        <v>0.625</v>
      </c>
    </row>
    <row r="253" spans="1:30" x14ac:dyDescent="0.25">
      <c r="A253" s="85">
        <v>46130</v>
      </c>
      <c r="B253" t="s">
        <v>14</v>
      </c>
      <c r="C253">
        <v>15</v>
      </c>
      <c r="D253" s="86">
        <v>0</v>
      </c>
      <c r="E253">
        <v>3</v>
      </c>
      <c r="F253">
        <v>0</v>
      </c>
      <c r="G253">
        <v>13</v>
      </c>
      <c r="H253">
        <v>4</v>
      </c>
      <c r="I253">
        <v>0</v>
      </c>
      <c r="J253">
        <v>0.31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 s="86">
        <f>AVERAGEIFS($C$2:C253, $B$2:B253, B253)</f>
        <v>20</v>
      </c>
      <c r="AB253" s="86">
        <f>AVERAGEIFS($I$2:I253, $B$2:B253, B253)</f>
        <v>0.3</v>
      </c>
      <c r="AC253" s="86">
        <f>AVERAGEIFS($J$2:J253, $B$2:B253, B253)</f>
        <v>0.41090909090909089</v>
      </c>
      <c r="AD253" s="86">
        <f>AVERAGEIFS($D$2:D253, $B$2:B253, B253)</f>
        <v>0.18181818181818182</v>
      </c>
    </row>
    <row r="254" spans="1:30" x14ac:dyDescent="0.25">
      <c r="A254" s="85">
        <v>46130</v>
      </c>
      <c r="B254" t="s">
        <v>29</v>
      </c>
      <c r="C254">
        <v>10</v>
      </c>
      <c r="D254" s="86">
        <v>0</v>
      </c>
      <c r="E254">
        <v>3</v>
      </c>
      <c r="F254">
        <v>0</v>
      </c>
      <c r="G254">
        <v>13</v>
      </c>
      <c r="H254">
        <v>4</v>
      </c>
      <c r="I254">
        <v>0</v>
      </c>
      <c r="J254">
        <v>0.31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 s="86">
        <f>AVERAGEIFS($C$2:C254, $B$2:B254, B254)</f>
        <v>11.076923076923077</v>
      </c>
      <c r="AB254" s="86">
        <f>AVERAGEIFS($I$2:I254, $B$2:B254, B254)</f>
        <v>0.34230769230769226</v>
      </c>
      <c r="AC254" s="86">
        <f>AVERAGEIFS($J$2:J254, $B$2:B254, B254)</f>
        <v>0.44307692307692315</v>
      </c>
      <c r="AD254" s="86">
        <f>AVERAGEIFS($D$2:D254, $B$2:B254, B254)</f>
        <v>0.23076923076923078</v>
      </c>
    </row>
    <row r="255" spans="1:30" x14ac:dyDescent="0.25">
      <c r="A255" s="85">
        <v>46130</v>
      </c>
      <c r="B255" t="s">
        <v>154</v>
      </c>
      <c r="C255">
        <v>9</v>
      </c>
      <c r="D255" s="86">
        <v>0</v>
      </c>
      <c r="E255">
        <v>3</v>
      </c>
      <c r="F255">
        <v>0</v>
      </c>
      <c r="G255">
        <v>13</v>
      </c>
      <c r="H255">
        <v>4</v>
      </c>
      <c r="I255">
        <v>0</v>
      </c>
      <c r="J255">
        <v>0.31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86">
        <f>AVERAGEIFS($C$2:C255, $B$2:B255, B255)</f>
        <v>9.1999999999999993</v>
      </c>
      <c r="AB255" s="86">
        <f>AVERAGEIFS($I$2:I255, $B$2:B255, B255)</f>
        <v>0.62</v>
      </c>
      <c r="AC255" s="86">
        <f>AVERAGEIFS($J$2:J255, $B$2:B255, B255)</f>
        <v>0.58600000000000008</v>
      </c>
      <c r="AD255" s="86">
        <f>AVERAGEIFS($D$2:D255, $B$2:B255, B255)</f>
        <v>0.8</v>
      </c>
    </row>
    <row r="256" spans="1:30" x14ac:dyDescent="0.25">
      <c r="A256" s="85">
        <v>46130</v>
      </c>
      <c r="B256" t="s">
        <v>147</v>
      </c>
      <c r="C256">
        <v>9</v>
      </c>
      <c r="D256" s="86">
        <v>0</v>
      </c>
      <c r="E256">
        <v>3</v>
      </c>
      <c r="F256">
        <v>0</v>
      </c>
      <c r="G256">
        <v>13</v>
      </c>
      <c r="H256">
        <v>4</v>
      </c>
      <c r="I256">
        <v>0</v>
      </c>
      <c r="J256">
        <v>0.31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86">
        <f>AVERAGEIFS($C$2:C256, $B$2:B256, B256)</f>
        <v>11.5</v>
      </c>
      <c r="AB256" s="86">
        <f>AVERAGEIFS($I$2:I256, $B$2:B256, B256)</f>
        <v>0.25</v>
      </c>
      <c r="AC256" s="86">
        <f>AVERAGEIFS($J$2:J256, $B$2:B256, B256)</f>
        <v>0.38750000000000001</v>
      </c>
      <c r="AD256" s="86">
        <f>AVERAGEIFS($D$2:D256, $B$2:B256, B256)</f>
        <v>0.25</v>
      </c>
    </row>
    <row r="257" spans="1:30" x14ac:dyDescent="0.25">
      <c r="A257" s="85">
        <v>46130</v>
      </c>
      <c r="B257" t="s">
        <v>38</v>
      </c>
      <c r="C257">
        <v>4</v>
      </c>
      <c r="D257" s="86">
        <v>0</v>
      </c>
      <c r="E257">
        <v>3</v>
      </c>
      <c r="F257">
        <v>0</v>
      </c>
      <c r="G257">
        <v>13</v>
      </c>
      <c r="H257">
        <v>4</v>
      </c>
      <c r="I257">
        <v>0</v>
      </c>
      <c r="J257">
        <v>0.31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86">
        <f>AVERAGEIFS($C$2:C257, $B$2:B257, B257)</f>
        <v>9</v>
      </c>
      <c r="AB257" s="86">
        <f>AVERAGEIFS($I$2:I257, $B$2:B257, B257)</f>
        <v>0.36249999999999999</v>
      </c>
      <c r="AC257" s="86">
        <f>AVERAGEIFS($J$2:J257, $B$2:B257, B257)</f>
        <v>0.45</v>
      </c>
      <c r="AD257" s="86">
        <f>AVERAGEIFS($D$2:D257, $B$2:B257, B257)</f>
        <v>0.5</v>
      </c>
    </row>
    <row r="258" spans="1:30" x14ac:dyDescent="0.25">
      <c r="A258" s="85">
        <v>46131</v>
      </c>
      <c r="B258" t="s">
        <v>13</v>
      </c>
      <c r="C258">
        <v>23</v>
      </c>
      <c r="D258" s="86">
        <v>1</v>
      </c>
      <c r="E258">
        <v>3</v>
      </c>
      <c r="F258">
        <v>3</v>
      </c>
      <c r="G258">
        <v>12</v>
      </c>
      <c r="H258">
        <v>9</v>
      </c>
      <c r="I258">
        <v>1</v>
      </c>
      <c r="J258">
        <v>0.75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1</v>
      </c>
      <c r="W258">
        <v>1</v>
      </c>
      <c r="X258">
        <v>0</v>
      </c>
      <c r="Y258">
        <v>0</v>
      </c>
      <c r="Z258">
        <v>1</v>
      </c>
      <c r="AA258" s="86">
        <f>AVERAGEIFS($C$2:C258, $B$2:B258, B258)</f>
        <v>23.157894736842106</v>
      </c>
      <c r="AB258" s="86">
        <f>AVERAGEIFS($I$2:I258, $B$2:B258, B258)</f>
        <v>0.6763157894736842</v>
      </c>
      <c r="AC258" s="86">
        <f>AVERAGEIFS($J$2:J258, $B$2:B258, B258)</f>
        <v>0.6</v>
      </c>
      <c r="AD258" s="86">
        <f>AVERAGEIFS($D$2:D258, $B$2:B258, B258)</f>
        <v>0.73684210526315785</v>
      </c>
    </row>
    <row r="259" spans="1:30" x14ac:dyDescent="0.25">
      <c r="A259" s="85">
        <v>46131</v>
      </c>
      <c r="B259" t="s">
        <v>17</v>
      </c>
      <c r="C259">
        <v>17</v>
      </c>
      <c r="D259" s="86">
        <v>1</v>
      </c>
      <c r="E259">
        <v>3</v>
      </c>
      <c r="F259">
        <v>3</v>
      </c>
      <c r="G259">
        <v>12</v>
      </c>
      <c r="H259">
        <v>9</v>
      </c>
      <c r="I259">
        <v>1</v>
      </c>
      <c r="J259">
        <v>0.75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1</v>
      </c>
      <c r="W259">
        <v>1</v>
      </c>
      <c r="X259">
        <v>0</v>
      </c>
      <c r="Y259">
        <v>0</v>
      </c>
      <c r="Z259">
        <v>1</v>
      </c>
      <c r="AA259" s="86">
        <f>AVERAGEIFS($C$2:C259, $B$2:B259, B259)</f>
        <v>22.266666666666666</v>
      </c>
      <c r="AB259" s="86">
        <f>AVERAGEIFS($I$2:I259, $B$2:B259, B259)</f>
        <v>0.5033333333333333</v>
      </c>
      <c r="AC259" s="86">
        <f>AVERAGEIFS($J$2:J259, $B$2:B259, B259)</f>
        <v>0.50333333333333319</v>
      </c>
      <c r="AD259" s="86">
        <f>AVERAGEIFS($D$2:D259, $B$2:B259, B259)</f>
        <v>0.53333333333333333</v>
      </c>
    </row>
    <row r="260" spans="1:30" x14ac:dyDescent="0.25">
      <c r="A260" s="85">
        <v>46131</v>
      </c>
      <c r="B260" t="s">
        <v>29</v>
      </c>
      <c r="C260">
        <v>15</v>
      </c>
      <c r="D260" s="86">
        <v>1</v>
      </c>
      <c r="E260">
        <v>3</v>
      </c>
      <c r="F260">
        <v>3</v>
      </c>
      <c r="G260">
        <v>12</v>
      </c>
      <c r="H260">
        <v>9</v>
      </c>
      <c r="I260">
        <v>1</v>
      </c>
      <c r="J260">
        <v>0.75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1</v>
      </c>
      <c r="W260">
        <v>1</v>
      </c>
      <c r="X260">
        <v>0</v>
      </c>
      <c r="Y260">
        <v>0</v>
      </c>
      <c r="Z260">
        <v>1</v>
      </c>
      <c r="AA260" s="86">
        <f>AVERAGEIFS($C$2:C260, $B$2:B260, B260)</f>
        <v>11.357142857142858</v>
      </c>
      <c r="AB260" s="86">
        <f>AVERAGEIFS($I$2:I260, $B$2:B260, B260)</f>
        <v>0.38928571428571423</v>
      </c>
      <c r="AC260" s="86">
        <f>AVERAGEIFS($J$2:J260, $B$2:B260, B260)</f>
        <v>0.46500000000000002</v>
      </c>
      <c r="AD260" s="86">
        <f>AVERAGEIFS($D$2:D260, $B$2:B260, B260)</f>
        <v>0.2857142857142857</v>
      </c>
    </row>
    <row r="261" spans="1:30" x14ac:dyDescent="0.25">
      <c r="A261" s="85">
        <v>46131</v>
      </c>
      <c r="B261" t="s">
        <v>148</v>
      </c>
      <c r="C261">
        <v>15</v>
      </c>
      <c r="D261" s="86">
        <v>1</v>
      </c>
      <c r="E261">
        <v>3</v>
      </c>
      <c r="F261">
        <v>3</v>
      </c>
      <c r="G261">
        <v>12</v>
      </c>
      <c r="H261">
        <v>9</v>
      </c>
      <c r="I261">
        <v>1</v>
      </c>
      <c r="J261">
        <v>0.75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1</v>
      </c>
      <c r="W261">
        <v>1</v>
      </c>
      <c r="X261">
        <v>0</v>
      </c>
      <c r="Y261">
        <v>0</v>
      </c>
      <c r="Z261">
        <v>1</v>
      </c>
      <c r="AA261" s="86">
        <f>AVERAGEIFS($C$2:C261, $B$2:B261, B261)</f>
        <v>13.526315789473685</v>
      </c>
      <c r="AB261" s="86">
        <f>AVERAGEIFS($I$2:I261, $B$2:B261, B261)</f>
        <v>0.60789473684210527</v>
      </c>
      <c r="AC261" s="86">
        <f>AVERAGEIFS($J$2:J261, $B$2:B261, B261)</f>
        <v>0.54157894736842105</v>
      </c>
      <c r="AD261" s="86">
        <f>AVERAGEIFS($D$2:D261, $B$2:B261, B261)</f>
        <v>0.63157894736842102</v>
      </c>
    </row>
    <row r="262" spans="1:30" x14ac:dyDescent="0.25">
      <c r="A262" s="85">
        <v>46131</v>
      </c>
      <c r="B262" t="s">
        <v>113</v>
      </c>
      <c r="C262">
        <v>11</v>
      </c>
      <c r="D262" s="86">
        <v>1</v>
      </c>
      <c r="E262">
        <v>3</v>
      </c>
      <c r="F262">
        <v>3</v>
      </c>
      <c r="G262">
        <v>12</v>
      </c>
      <c r="H262">
        <v>9</v>
      </c>
      <c r="I262">
        <v>1</v>
      </c>
      <c r="J262">
        <v>0.75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1</v>
      </c>
      <c r="W262">
        <v>1</v>
      </c>
      <c r="X262">
        <v>0</v>
      </c>
      <c r="Y262">
        <v>0</v>
      </c>
      <c r="Z262">
        <v>1</v>
      </c>
      <c r="AA262" s="86">
        <f>AVERAGEIFS($C$2:C262, $B$2:B262, B262)</f>
        <v>16.875</v>
      </c>
      <c r="AB262" s="86">
        <f>AVERAGEIFS($I$2:I262, $B$2:B262, B262)</f>
        <v>0.63749999999999996</v>
      </c>
      <c r="AC262" s="86">
        <f>AVERAGEIFS($J$2:J262, $B$2:B262, B262)</f>
        <v>0.54125000000000001</v>
      </c>
      <c r="AD262" s="86">
        <f>AVERAGEIFS($D$2:D262, $B$2:B262, B262)</f>
        <v>0.75</v>
      </c>
    </row>
    <row r="263" spans="1:30" x14ac:dyDescent="0.25">
      <c r="A263" s="85">
        <v>46131</v>
      </c>
      <c r="B263" t="s">
        <v>154</v>
      </c>
      <c r="C263">
        <v>6</v>
      </c>
      <c r="D263" s="86">
        <v>1</v>
      </c>
      <c r="E263">
        <v>3</v>
      </c>
      <c r="F263">
        <v>3</v>
      </c>
      <c r="G263">
        <v>12</v>
      </c>
      <c r="H263">
        <v>9</v>
      </c>
      <c r="I263">
        <v>1</v>
      </c>
      <c r="J263">
        <v>0.75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1</v>
      </c>
      <c r="W263">
        <v>1</v>
      </c>
      <c r="X263">
        <v>0</v>
      </c>
      <c r="Y263">
        <v>0</v>
      </c>
      <c r="Z263">
        <v>1</v>
      </c>
      <c r="AA263" s="86">
        <f>AVERAGEIFS($C$2:C263, $B$2:B263, B263)</f>
        <v>8.6666666666666661</v>
      </c>
      <c r="AB263" s="86">
        <f>AVERAGEIFS($I$2:I263, $B$2:B263, B263)</f>
        <v>0.68333333333333324</v>
      </c>
      <c r="AC263" s="86">
        <f>AVERAGEIFS($J$2:J263, $B$2:B263, B263)</f>
        <v>0.6133333333333334</v>
      </c>
      <c r="AD263" s="86">
        <f>AVERAGEIFS($D$2:D263, $B$2:B263, B263)</f>
        <v>0.83333333333333337</v>
      </c>
    </row>
    <row r="264" spans="1:30" x14ac:dyDescent="0.25">
      <c r="A264" s="85">
        <v>46131</v>
      </c>
      <c r="B264" t="s">
        <v>147</v>
      </c>
      <c r="C264">
        <v>14</v>
      </c>
      <c r="D264" s="86">
        <v>0</v>
      </c>
      <c r="E264">
        <v>3</v>
      </c>
      <c r="F264">
        <v>0</v>
      </c>
      <c r="G264">
        <v>12</v>
      </c>
      <c r="H264">
        <v>3</v>
      </c>
      <c r="I264">
        <v>0</v>
      </c>
      <c r="J264">
        <v>0.25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 s="86">
        <f>AVERAGEIFS($C$2:C264, $B$2:B264, B264)</f>
        <v>12</v>
      </c>
      <c r="AB264" s="86">
        <f>AVERAGEIFS($I$2:I264, $B$2:B264, B264)</f>
        <v>0.2</v>
      </c>
      <c r="AC264" s="86">
        <f>AVERAGEIFS($J$2:J264, $B$2:B264, B264)</f>
        <v>0.36</v>
      </c>
      <c r="AD264" s="86">
        <f>AVERAGEIFS($D$2:D264, $B$2:B264, B264)</f>
        <v>0.2</v>
      </c>
    </row>
    <row r="265" spans="1:30" x14ac:dyDescent="0.25">
      <c r="A265" s="85">
        <v>46131</v>
      </c>
      <c r="B265" t="s">
        <v>18</v>
      </c>
      <c r="C265">
        <v>13</v>
      </c>
      <c r="D265" s="86">
        <v>0</v>
      </c>
      <c r="E265">
        <v>3</v>
      </c>
      <c r="F265">
        <v>0</v>
      </c>
      <c r="G265">
        <v>12</v>
      </c>
      <c r="H265">
        <v>3</v>
      </c>
      <c r="I265">
        <v>0</v>
      </c>
      <c r="J265">
        <v>0.25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 s="86">
        <f>AVERAGEIFS($C$2:C265, $B$2:B265, B265)</f>
        <v>22.555555555555557</v>
      </c>
      <c r="AB265" s="86">
        <f>AVERAGEIFS($I$2:I265, $B$2:B265, B265)</f>
        <v>0.52777777777777779</v>
      </c>
      <c r="AC265" s="86">
        <f>AVERAGEIFS($J$2:J265, $B$2:B265, B265)</f>
        <v>0.53333333333333333</v>
      </c>
      <c r="AD265" s="86">
        <f>AVERAGEIFS($D$2:D265, $B$2:B265, B265)</f>
        <v>0.55555555555555558</v>
      </c>
    </row>
    <row r="266" spans="1:30" x14ac:dyDescent="0.25">
      <c r="A266" s="85">
        <v>46131</v>
      </c>
      <c r="B266" t="s">
        <v>152</v>
      </c>
      <c r="C266">
        <v>11</v>
      </c>
      <c r="D266" s="86">
        <v>0</v>
      </c>
      <c r="E266">
        <v>3</v>
      </c>
      <c r="F266">
        <v>0</v>
      </c>
      <c r="G266">
        <v>12</v>
      </c>
      <c r="H266">
        <v>3</v>
      </c>
      <c r="I266">
        <v>0</v>
      </c>
      <c r="J266">
        <v>0.25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86">
        <f>AVERAGEIFS($C$2:C266, $B$2:B266, B266)</f>
        <v>15.2</v>
      </c>
      <c r="AB266" s="86">
        <f>AVERAGEIFS($I$2:I266, $B$2:B266, B266)</f>
        <v>0.16</v>
      </c>
      <c r="AC266" s="86">
        <f>AVERAGEIFS($J$2:J266, $B$2:B266, B266)</f>
        <v>0.33799999999999997</v>
      </c>
      <c r="AD266" s="86">
        <f>AVERAGEIFS($D$2:D266, $B$2:B266, B266)</f>
        <v>0</v>
      </c>
    </row>
    <row r="267" spans="1:30" x14ac:dyDescent="0.25">
      <c r="A267" s="85">
        <v>46131</v>
      </c>
      <c r="B267" t="s">
        <v>146</v>
      </c>
      <c r="C267">
        <v>10</v>
      </c>
      <c r="D267" s="86">
        <v>0</v>
      </c>
      <c r="E267">
        <v>3</v>
      </c>
      <c r="F267">
        <v>0</v>
      </c>
      <c r="G267">
        <v>12</v>
      </c>
      <c r="H267">
        <v>3</v>
      </c>
      <c r="I267">
        <v>0</v>
      </c>
      <c r="J267">
        <v>0.25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86">
        <f>AVERAGEIFS($C$2:C267, $B$2:B267, B267)</f>
        <v>8</v>
      </c>
      <c r="AB267" s="86">
        <f>AVERAGEIFS($I$2:I267, $B$2:B267, B267)</f>
        <v>0.35</v>
      </c>
      <c r="AC267" s="86">
        <f>AVERAGEIFS($J$2:J267, $B$2:B267, B267)</f>
        <v>0.44750000000000001</v>
      </c>
      <c r="AD267" s="86">
        <f>AVERAGEIFS($D$2:D267, $B$2:B267, B267)</f>
        <v>0.25</v>
      </c>
    </row>
    <row r="268" spans="1:30" x14ac:dyDescent="0.25">
      <c r="A268" s="85">
        <v>46131</v>
      </c>
      <c r="B268" t="s">
        <v>37</v>
      </c>
      <c r="C268">
        <v>10</v>
      </c>
      <c r="D268" s="86">
        <v>0</v>
      </c>
      <c r="E268">
        <v>3</v>
      </c>
      <c r="F268">
        <v>0</v>
      </c>
      <c r="G268">
        <v>12</v>
      </c>
      <c r="H268">
        <v>3</v>
      </c>
      <c r="I268">
        <v>0</v>
      </c>
      <c r="J268">
        <v>0.25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86">
        <f>AVERAGEIFS($C$2:C268, $B$2:B268, B268)</f>
        <v>19.625</v>
      </c>
      <c r="AB268" s="86">
        <f>AVERAGEIFS($I$2:I268, $B$2:B268, B268)</f>
        <v>0.44375000000000003</v>
      </c>
      <c r="AC268" s="86">
        <f>AVERAGEIFS($J$2:J268, $B$2:B268, B268)</f>
        <v>0.47749999999999998</v>
      </c>
      <c r="AD268" s="86">
        <f>AVERAGEIFS($D$2:D268, $B$2:B268, B268)</f>
        <v>0.625</v>
      </c>
    </row>
    <row r="269" spans="1:30" x14ac:dyDescent="0.25">
      <c r="A269" s="85">
        <v>46131</v>
      </c>
      <c r="B269" t="s">
        <v>35</v>
      </c>
      <c r="C269">
        <v>8</v>
      </c>
      <c r="D269" s="86">
        <v>0</v>
      </c>
      <c r="E269">
        <v>3</v>
      </c>
      <c r="F269">
        <v>0</v>
      </c>
      <c r="G269">
        <v>12</v>
      </c>
      <c r="H269">
        <v>3</v>
      </c>
      <c r="I269">
        <v>0</v>
      </c>
      <c r="J269">
        <v>0.25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86">
        <f>AVERAGEIFS($C$2:C269, $B$2:B269, B269)</f>
        <v>11.333333333333334</v>
      </c>
      <c r="AB269" s="86">
        <f>AVERAGEIFS($I$2:I269, $B$2:B269, B269)</f>
        <v>0.34166666666666662</v>
      </c>
      <c r="AC269" s="86">
        <f>AVERAGEIFS($J$2:J269, $B$2:B269, B269)</f>
        <v>0.39166666666666661</v>
      </c>
      <c r="AD269" s="86">
        <f>AVERAGEIFS($D$2:D269, $B$2:B269, B269)</f>
        <v>0.33333333333333331</v>
      </c>
    </row>
    <row r="270" spans="1:30" x14ac:dyDescent="0.25">
      <c r="A270" s="85">
        <v>46131</v>
      </c>
      <c r="B270" t="s">
        <v>17</v>
      </c>
      <c r="C270">
        <v>58</v>
      </c>
      <c r="D270" s="86">
        <v>1</v>
      </c>
      <c r="E270">
        <v>5</v>
      </c>
      <c r="F270">
        <v>3</v>
      </c>
      <c r="G270">
        <v>23</v>
      </c>
      <c r="H270">
        <v>13</v>
      </c>
      <c r="I270">
        <v>0.6</v>
      </c>
      <c r="J270">
        <v>0.56999999999999995</v>
      </c>
      <c r="K270">
        <v>0</v>
      </c>
      <c r="L270">
        <v>0</v>
      </c>
      <c r="M270">
        <v>0</v>
      </c>
      <c r="N270">
        <v>0</v>
      </c>
      <c r="O270">
        <v>1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1</v>
      </c>
      <c r="Y270">
        <v>0</v>
      </c>
      <c r="Z270">
        <v>1</v>
      </c>
      <c r="AA270" s="86">
        <f>AVERAGEIFS($C$2:C270, $B$2:B270, B270)</f>
        <v>24.5</v>
      </c>
      <c r="AB270" s="86">
        <f>AVERAGEIFS($I$2:I270, $B$2:B270, B270)</f>
        <v>0.50937500000000002</v>
      </c>
      <c r="AC270" s="86">
        <f>AVERAGEIFS($J$2:J270, $B$2:B270, B270)</f>
        <v>0.50749999999999984</v>
      </c>
      <c r="AD270" s="86">
        <f>AVERAGEIFS($D$2:D270, $B$2:B270, B270)</f>
        <v>0.5625</v>
      </c>
    </row>
    <row r="271" spans="1:30" x14ac:dyDescent="0.25">
      <c r="A271" s="85">
        <v>46131</v>
      </c>
      <c r="B271" t="s">
        <v>14</v>
      </c>
      <c r="C271">
        <v>51</v>
      </c>
      <c r="D271" s="86">
        <v>1</v>
      </c>
      <c r="E271">
        <v>5</v>
      </c>
      <c r="F271">
        <v>3</v>
      </c>
      <c r="G271">
        <v>23</v>
      </c>
      <c r="H271">
        <v>13</v>
      </c>
      <c r="I271">
        <v>0.6</v>
      </c>
      <c r="J271">
        <v>0.56999999999999995</v>
      </c>
      <c r="K271">
        <v>0</v>
      </c>
      <c r="L271">
        <v>0</v>
      </c>
      <c r="M271">
        <v>0</v>
      </c>
      <c r="N271">
        <v>0</v>
      </c>
      <c r="O271">
        <v>1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1</v>
      </c>
      <c r="Y271">
        <v>0</v>
      </c>
      <c r="Z271">
        <v>1</v>
      </c>
      <c r="AA271" s="86">
        <f>AVERAGEIFS($C$2:C271, $B$2:B271, B271)</f>
        <v>22.583333333333332</v>
      </c>
      <c r="AB271" s="86">
        <f>AVERAGEIFS($I$2:I271, $B$2:B271, B271)</f>
        <v>0.32500000000000001</v>
      </c>
      <c r="AC271" s="86">
        <f>AVERAGEIFS($J$2:J271, $B$2:B271, B271)</f>
        <v>0.42416666666666664</v>
      </c>
      <c r="AD271" s="86">
        <f>AVERAGEIFS($D$2:D271, $B$2:B271, B271)</f>
        <v>0.25</v>
      </c>
    </row>
    <row r="272" spans="1:30" x14ac:dyDescent="0.25">
      <c r="A272" s="85">
        <v>46131</v>
      </c>
      <c r="B272" t="s">
        <v>28</v>
      </c>
      <c r="C272">
        <v>43</v>
      </c>
      <c r="D272" s="86">
        <v>1</v>
      </c>
      <c r="E272">
        <v>5</v>
      </c>
      <c r="F272">
        <v>3</v>
      </c>
      <c r="G272">
        <v>23</v>
      </c>
      <c r="H272">
        <v>13</v>
      </c>
      <c r="I272">
        <v>0.6</v>
      </c>
      <c r="J272">
        <v>0.56999999999999995</v>
      </c>
      <c r="K272">
        <v>0</v>
      </c>
      <c r="L272">
        <v>0</v>
      </c>
      <c r="M272">
        <v>0</v>
      </c>
      <c r="N272">
        <v>0</v>
      </c>
      <c r="O272">
        <v>1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1</v>
      </c>
      <c r="Y272">
        <v>0</v>
      </c>
      <c r="Z272">
        <v>1</v>
      </c>
      <c r="AA272" s="86">
        <f>AVERAGEIFS($C$2:C272, $B$2:B272, B272)</f>
        <v>20.333333333333332</v>
      </c>
      <c r="AB272" s="86">
        <f>AVERAGEIFS($I$2:I272, $B$2:B272, B272)</f>
        <v>0.53333333333333333</v>
      </c>
      <c r="AC272" s="86">
        <f>AVERAGEIFS($J$2:J272, $B$2:B272, B272)</f>
        <v>0.52999999999999992</v>
      </c>
      <c r="AD272" s="86">
        <f>AVERAGEIFS($D$2:D272, $B$2:B272, B272)</f>
        <v>0.66666666666666663</v>
      </c>
    </row>
    <row r="273" spans="1:30" x14ac:dyDescent="0.25">
      <c r="A273" s="85">
        <v>46131</v>
      </c>
      <c r="B273" t="s">
        <v>25</v>
      </c>
      <c r="C273">
        <v>35</v>
      </c>
      <c r="D273" s="86">
        <v>1</v>
      </c>
      <c r="E273">
        <v>5</v>
      </c>
      <c r="F273">
        <v>3</v>
      </c>
      <c r="G273">
        <v>23</v>
      </c>
      <c r="H273">
        <v>13</v>
      </c>
      <c r="I273">
        <v>0.6</v>
      </c>
      <c r="J273">
        <v>0.56999999999999995</v>
      </c>
      <c r="K273">
        <v>0</v>
      </c>
      <c r="L273">
        <v>0</v>
      </c>
      <c r="M273">
        <v>0</v>
      </c>
      <c r="N273">
        <v>0</v>
      </c>
      <c r="O273">
        <v>1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1</v>
      </c>
      <c r="Y273">
        <v>0</v>
      </c>
      <c r="Z273">
        <v>1</v>
      </c>
      <c r="AA273" s="86">
        <f>AVERAGEIFS($C$2:C273, $B$2:B273, B273)</f>
        <v>18.600000000000001</v>
      </c>
      <c r="AB273" s="86">
        <f>AVERAGEIFS($I$2:I273, $B$2:B273, B273)</f>
        <v>0.55499999999999994</v>
      </c>
      <c r="AC273" s="86">
        <f>AVERAGEIFS($J$2:J273, $B$2:B273, B273)</f>
        <v>0.52100000000000013</v>
      </c>
      <c r="AD273" s="86">
        <f>AVERAGEIFS($D$2:D273, $B$2:B273, B273)</f>
        <v>0.7</v>
      </c>
    </row>
    <row r="274" spans="1:30" x14ac:dyDescent="0.25">
      <c r="A274" s="85">
        <v>46131</v>
      </c>
      <c r="B274" t="s">
        <v>70</v>
      </c>
      <c r="C274">
        <v>27</v>
      </c>
      <c r="D274" s="86">
        <v>1</v>
      </c>
      <c r="E274">
        <v>5</v>
      </c>
      <c r="F274">
        <v>3</v>
      </c>
      <c r="G274">
        <v>23</v>
      </c>
      <c r="H274">
        <v>13</v>
      </c>
      <c r="I274">
        <v>0.6</v>
      </c>
      <c r="J274">
        <v>0.56999999999999995</v>
      </c>
      <c r="K274">
        <v>0</v>
      </c>
      <c r="L274">
        <v>0</v>
      </c>
      <c r="M274">
        <v>0</v>
      </c>
      <c r="N274">
        <v>0</v>
      </c>
      <c r="O274">
        <v>1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1</v>
      </c>
      <c r="Y274">
        <v>0</v>
      </c>
      <c r="Z274">
        <v>1</v>
      </c>
      <c r="AA274" s="86">
        <f>AVERAGEIFS($C$2:C274, $B$2:B274, B274)</f>
        <v>17</v>
      </c>
      <c r="AB274" s="86">
        <f>AVERAGEIFS($I$2:I274, $B$2:B274, B274)</f>
        <v>0.8</v>
      </c>
      <c r="AC274" s="86">
        <f>AVERAGEIFS($J$2:J274, $B$2:B274, B274)</f>
        <v>0.60499999999999998</v>
      </c>
      <c r="AD274" s="86">
        <f>AVERAGEIFS($D$2:D274, $B$2:B274, B274)</f>
        <v>1</v>
      </c>
    </row>
    <row r="275" spans="1:30" x14ac:dyDescent="0.25">
      <c r="A275" s="85">
        <v>46131</v>
      </c>
      <c r="B275" t="s">
        <v>40</v>
      </c>
      <c r="C275">
        <v>22</v>
      </c>
      <c r="D275" s="86">
        <v>1</v>
      </c>
      <c r="E275">
        <v>5</v>
      </c>
      <c r="F275">
        <v>3</v>
      </c>
      <c r="G275">
        <v>23</v>
      </c>
      <c r="H275">
        <v>13</v>
      </c>
      <c r="I275">
        <v>0.6</v>
      </c>
      <c r="J275">
        <v>0.56999999999999995</v>
      </c>
      <c r="K275">
        <v>0</v>
      </c>
      <c r="L275">
        <v>0</v>
      </c>
      <c r="M275">
        <v>0</v>
      </c>
      <c r="N275">
        <v>0</v>
      </c>
      <c r="O275">
        <v>1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1</v>
      </c>
      <c r="Y275">
        <v>0</v>
      </c>
      <c r="Z275">
        <v>1</v>
      </c>
      <c r="AA275" s="86">
        <f>AVERAGEIFS($C$2:C275, $B$2:B275, B275)</f>
        <v>16.888888888888889</v>
      </c>
      <c r="AB275" s="86">
        <f>AVERAGEIFS($I$2:I275, $B$2:B275, B275)</f>
        <v>0.51666666666666661</v>
      </c>
      <c r="AC275" s="86">
        <f>AVERAGEIFS($J$2:J275, $B$2:B275, B275)</f>
        <v>0.47777777777777775</v>
      </c>
      <c r="AD275" s="86">
        <f>AVERAGEIFS($D$2:D275, $B$2:B275, B275)</f>
        <v>0.44444444444444442</v>
      </c>
    </row>
    <row r="276" spans="1:30" x14ac:dyDescent="0.25">
      <c r="A276" s="85">
        <v>46131</v>
      </c>
      <c r="B276" t="s">
        <v>2</v>
      </c>
      <c r="C276">
        <v>52</v>
      </c>
      <c r="D276" s="86">
        <v>0</v>
      </c>
      <c r="E276">
        <v>5</v>
      </c>
      <c r="F276">
        <v>2</v>
      </c>
      <c r="G276">
        <v>23</v>
      </c>
      <c r="H276">
        <v>10</v>
      </c>
      <c r="I276">
        <v>0.4</v>
      </c>
      <c r="J276">
        <v>0.43</v>
      </c>
      <c r="K276">
        <v>0</v>
      </c>
      <c r="L276">
        <v>1</v>
      </c>
      <c r="M276">
        <v>0</v>
      </c>
      <c r="N276">
        <v>1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 s="86">
        <f>AVERAGEIFS($C$2:C276, $B$2:B276, B276)</f>
        <v>35</v>
      </c>
      <c r="AB276" s="86">
        <f>AVERAGEIFS($I$2:I276, $B$2:B276, B276)</f>
        <v>0.7</v>
      </c>
      <c r="AC276" s="86">
        <f>AVERAGEIFS($J$2:J276, $B$2:B276, B276)</f>
        <v>0.55999999999999994</v>
      </c>
      <c r="AD276" s="86">
        <f>AVERAGEIFS($D$2:D276, $B$2:B276, B276)</f>
        <v>0.5</v>
      </c>
    </row>
    <row r="277" spans="1:30" x14ac:dyDescent="0.25">
      <c r="A277" s="85">
        <v>46131</v>
      </c>
      <c r="B277" t="s">
        <v>113</v>
      </c>
      <c r="C277">
        <v>49</v>
      </c>
      <c r="D277" s="86">
        <v>0</v>
      </c>
      <c r="E277">
        <v>5</v>
      </c>
      <c r="F277">
        <v>2</v>
      </c>
      <c r="G277">
        <v>23</v>
      </c>
      <c r="H277">
        <v>10</v>
      </c>
      <c r="I277">
        <v>0.4</v>
      </c>
      <c r="J277">
        <v>0.43</v>
      </c>
      <c r="K277">
        <v>0</v>
      </c>
      <c r="L277">
        <v>1</v>
      </c>
      <c r="M277">
        <v>0</v>
      </c>
      <c r="N277">
        <v>1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 s="86">
        <f>AVERAGEIFS($C$2:C277, $B$2:B277, B277)</f>
        <v>20.444444444444443</v>
      </c>
      <c r="AB277" s="86">
        <f>AVERAGEIFS($I$2:I277, $B$2:B277, B277)</f>
        <v>0.61111111111111116</v>
      </c>
      <c r="AC277" s="86">
        <f>AVERAGEIFS($J$2:J277, $B$2:B277, B277)</f>
        <v>0.52888888888888885</v>
      </c>
      <c r="AD277" s="86">
        <f>AVERAGEIFS($D$2:D277, $B$2:B277, B277)</f>
        <v>0.66666666666666663</v>
      </c>
    </row>
    <row r="278" spans="1:30" x14ac:dyDescent="0.25">
      <c r="A278" s="85">
        <v>46131</v>
      </c>
      <c r="B278" t="s">
        <v>15</v>
      </c>
      <c r="C278">
        <v>37</v>
      </c>
      <c r="D278" s="86">
        <v>0</v>
      </c>
      <c r="E278">
        <v>5</v>
      </c>
      <c r="F278">
        <v>2</v>
      </c>
      <c r="G278">
        <v>23</v>
      </c>
      <c r="H278">
        <v>10</v>
      </c>
      <c r="I278">
        <v>0.4</v>
      </c>
      <c r="J278">
        <v>0.43</v>
      </c>
      <c r="K278">
        <v>0</v>
      </c>
      <c r="L278">
        <v>1</v>
      </c>
      <c r="M278">
        <v>0</v>
      </c>
      <c r="N278">
        <v>1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 s="86">
        <f>AVERAGEIFS($C$2:C278, $B$2:B278, B278)</f>
        <v>22.916666666666668</v>
      </c>
      <c r="AB278" s="86">
        <f>AVERAGEIFS($I$2:I278, $B$2:B278, B278)</f>
        <v>0.54583333333333328</v>
      </c>
      <c r="AC278" s="86">
        <f>AVERAGEIFS($J$2:J278, $B$2:B278, B278)</f>
        <v>0.52500000000000002</v>
      </c>
      <c r="AD278" s="86">
        <f>AVERAGEIFS($D$2:D278, $B$2:B278, B278)</f>
        <v>0.5</v>
      </c>
    </row>
    <row r="279" spans="1:30" x14ac:dyDescent="0.25">
      <c r="A279" s="85">
        <v>46131</v>
      </c>
      <c r="B279" t="s">
        <v>147</v>
      </c>
      <c r="C279">
        <v>34</v>
      </c>
      <c r="D279" s="86">
        <v>0</v>
      </c>
      <c r="E279">
        <v>5</v>
      </c>
      <c r="F279">
        <v>2</v>
      </c>
      <c r="G279">
        <v>23</v>
      </c>
      <c r="H279">
        <v>10</v>
      </c>
      <c r="I279">
        <v>0.4</v>
      </c>
      <c r="J279">
        <v>0.43</v>
      </c>
      <c r="K279">
        <v>0</v>
      </c>
      <c r="L279">
        <v>1</v>
      </c>
      <c r="M279">
        <v>0</v>
      </c>
      <c r="N279">
        <v>1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 s="86">
        <f>AVERAGEIFS($C$2:C279, $B$2:B279, B279)</f>
        <v>15.666666666666666</v>
      </c>
      <c r="AB279" s="86">
        <f>AVERAGEIFS($I$2:I279, $B$2:B279, B279)</f>
        <v>0.23333333333333331</v>
      </c>
      <c r="AC279" s="86">
        <f>AVERAGEIFS($J$2:J279, $B$2:B279, B279)</f>
        <v>0.37166666666666665</v>
      </c>
      <c r="AD279" s="86">
        <f>AVERAGEIFS($D$2:D279, $B$2:B279, B279)</f>
        <v>0.16666666666666666</v>
      </c>
    </row>
    <row r="280" spans="1:30" x14ac:dyDescent="0.25">
      <c r="A280" s="85">
        <v>46131</v>
      </c>
      <c r="B280" t="s">
        <v>146</v>
      </c>
      <c r="C280">
        <v>27</v>
      </c>
      <c r="D280" s="86">
        <v>0</v>
      </c>
      <c r="E280">
        <v>5</v>
      </c>
      <c r="F280">
        <v>2</v>
      </c>
      <c r="G280">
        <v>23</v>
      </c>
      <c r="H280">
        <v>10</v>
      </c>
      <c r="I280">
        <v>0.4</v>
      </c>
      <c r="J280">
        <v>0.43</v>
      </c>
      <c r="K280">
        <v>0</v>
      </c>
      <c r="L280">
        <v>1</v>
      </c>
      <c r="M280">
        <v>0</v>
      </c>
      <c r="N280">
        <v>1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 s="86">
        <f>AVERAGEIFS($C$2:C280, $B$2:B280, B280)</f>
        <v>11.8</v>
      </c>
      <c r="AB280" s="86">
        <f>AVERAGEIFS($I$2:I280, $B$2:B280, B280)</f>
        <v>0.36</v>
      </c>
      <c r="AC280" s="86">
        <f>AVERAGEIFS($J$2:J280, $B$2:B280, B280)</f>
        <v>0.44400000000000006</v>
      </c>
      <c r="AD280" s="86">
        <f>AVERAGEIFS($D$2:D280, $B$2:B280, B280)</f>
        <v>0.2</v>
      </c>
    </row>
    <row r="281" spans="1:30" x14ac:dyDescent="0.25">
      <c r="A281" s="85">
        <v>46131</v>
      </c>
      <c r="B281" t="s">
        <v>154</v>
      </c>
      <c r="C281">
        <v>22</v>
      </c>
      <c r="D281" s="86">
        <v>0</v>
      </c>
      <c r="E281">
        <v>5</v>
      </c>
      <c r="F281">
        <v>2</v>
      </c>
      <c r="G281">
        <v>23</v>
      </c>
      <c r="H281">
        <v>10</v>
      </c>
      <c r="I281">
        <v>0.4</v>
      </c>
      <c r="J281">
        <v>0.43</v>
      </c>
      <c r="K281">
        <v>0</v>
      </c>
      <c r="L281">
        <v>1</v>
      </c>
      <c r="M281">
        <v>0</v>
      </c>
      <c r="N281">
        <v>1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 s="86">
        <f>AVERAGEIFS($C$2:C281, $B$2:B281, B281)</f>
        <v>10.571428571428571</v>
      </c>
      <c r="AB281" s="86">
        <f>AVERAGEIFS($I$2:I281, $B$2:B281, B281)</f>
        <v>0.6428571428571429</v>
      </c>
      <c r="AC281" s="86">
        <f>AVERAGEIFS($J$2:J281, $B$2:B281, B281)</f>
        <v>0.58714285714285719</v>
      </c>
      <c r="AD281" s="86">
        <f>AVERAGEIFS($D$2:D281, $B$2:B281, B281)</f>
        <v>0.7142857142857143</v>
      </c>
    </row>
    <row r="282" spans="1:30" x14ac:dyDescent="0.25">
      <c r="A282" s="85">
        <v>46131</v>
      </c>
      <c r="B282" t="s">
        <v>13</v>
      </c>
      <c r="C282">
        <v>58</v>
      </c>
      <c r="D282" s="86">
        <v>0</v>
      </c>
      <c r="E282">
        <v>5</v>
      </c>
      <c r="F282">
        <v>2</v>
      </c>
      <c r="G282">
        <v>19</v>
      </c>
      <c r="H282">
        <v>8</v>
      </c>
      <c r="I282">
        <v>0.4</v>
      </c>
      <c r="J282">
        <v>0.42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1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1</v>
      </c>
      <c r="Z282">
        <v>0</v>
      </c>
      <c r="AA282" s="86">
        <f>AVERAGEIFS($C$2:C282, $B$2:B282, B282)</f>
        <v>24.9</v>
      </c>
      <c r="AB282" s="86">
        <f>AVERAGEIFS($I$2:I282, $B$2:B282, B282)</f>
        <v>0.66249999999999998</v>
      </c>
      <c r="AC282" s="86">
        <f>AVERAGEIFS($J$2:J282, $B$2:B282, B282)</f>
        <v>0.59099999999999997</v>
      </c>
      <c r="AD282" s="86">
        <f>AVERAGEIFS($D$2:D282, $B$2:B282, B282)</f>
        <v>0.7</v>
      </c>
    </row>
    <row r="283" spans="1:30" x14ac:dyDescent="0.25">
      <c r="A283" s="85">
        <v>46131</v>
      </c>
      <c r="B283" t="s">
        <v>6</v>
      </c>
      <c r="C283">
        <v>51</v>
      </c>
      <c r="D283" s="86">
        <v>0</v>
      </c>
      <c r="E283">
        <v>5</v>
      </c>
      <c r="F283">
        <v>2</v>
      </c>
      <c r="G283">
        <v>19</v>
      </c>
      <c r="H283">
        <v>8</v>
      </c>
      <c r="I283">
        <v>0.4</v>
      </c>
      <c r="J283">
        <v>0.42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1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1</v>
      </c>
      <c r="Z283">
        <v>0</v>
      </c>
      <c r="AA283" s="86">
        <f>AVERAGEIFS($C$2:C283, $B$2:B283, B283)</f>
        <v>26.285714285714285</v>
      </c>
      <c r="AB283" s="86">
        <f>AVERAGEIFS($I$2:I283, $B$2:B283, B283)</f>
        <v>0.54285714285714282</v>
      </c>
      <c r="AC283" s="86">
        <f>AVERAGEIFS($J$2:J283, $B$2:B283, B283)</f>
        <v>0.54714285714285704</v>
      </c>
      <c r="AD283" s="86">
        <f>AVERAGEIFS($D$2:D283, $B$2:B283, B283)</f>
        <v>0.42857142857142855</v>
      </c>
    </row>
    <row r="284" spans="1:30" x14ac:dyDescent="0.25">
      <c r="A284" s="85">
        <v>46131</v>
      </c>
      <c r="B284" t="s">
        <v>27</v>
      </c>
      <c r="C284">
        <v>44</v>
      </c>
      <c r="D284" s="86">
        <v>0</v>
      </c>
      <c r="E284">
        <v>5</v>
      </c>
      <c r="F284">
        <v>2</v>
      </c>
      <c r="G284">
        <v>19</v>
      </c>
      <c r="H284">
        <v>8</v>
      </c>
      <c r="I284">
        <v>0.4</v>
      </c>
      <c r="J284">
        <v>0.42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1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1</v>
      </c>
      <c r="Z284">
        <v>0</v>
      </c>
      <c r="AA284" s="86">
        <f>AVERAGEIFS($C$2:C284, $B$2:B284, B284)</f>
        <v>17.666666666666668</v>
      </c>
      <c r="AB284" s="86">
        <f>AVERAGEIFS($I$2:I284, $B$2:B284, B284)</f>
        <v>0.66666666666666663</v>
      </c>
      <c r="AC284" s="86">
        <f>AVERAGEIFS($J$2:J284, $B$2:B284, B284)</f>
        <v>0.6133333333333334</v>
      </c>
      <c r="AD284" s="86">
        <f>AVERAGEIFS($D$2:D284, $B$2:B284, B284)</f>
        <v>0.83333333333333337</v>
      </c>
    </row>
    <row r="285" spans="1:30" x14ac:dyDescent="0.25">
      <c r="A285" s="85">
        <v>46131</v>
      </c>
      <c r="B285" t="s">
        <v>26</v>
      </c>
      <c r="C285">
        <v>41</v>
      </c>
      <c r="D285" s="86">
        <v>0</v>
      </c>
      <c r="E285">
        <v>5</v>
      </c>
      <c r="F285">
        <v>2</v>
      </c>
      <c r="G285">
        <v>19</v>
      </c>
      <c r="H285">
        <v>8</v>
      </c>
      <c r="I285">
        <v>0.4</v>
      </c>
      <c r="J285">
        <v>0.42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1</v>
      </c>
      <c r="Z285">
        <v>0</v>
      </c>
      <c r="AA285" s="86">
        <f>AVERAGEIFS($C$2:C285, $B$2:B285, B285)</f>
        <v>16.555555555555557</v>
      </c>
      <c r="AB285" s="86">
        <f>AVERAGEIFS($I$2:I285, $B$2:B285, B285)</f>
        <v>0.48888888888888893</v>
      </c>
      <c r="AC285" s="86">
        <f>AVERAGEIFS($J$2:J285, $B$2:B285, B285)</f>
        <v>0.46555555555555561</v>
      </c>
      <c r="AD285" s="86">
        <f>AVERAGEIFS($D$2:D285, $B$2:B285, B285)</f>
        <v>0.44444444444444442</v>
      </c>
    </row>
    <row r="286" spans="1:30" x14ac:dyDescent="0.25">
      <c r="A286" s="85">
        <v>46131</v>
      </c>
      <c r="B286" t="s">
        <v>20</v>
      </c>
      <c r="C286">
        <v>37</v>
      </c>
      <c r="D286" s="86">
        <v>0</v>
      </c>
      <c r="E286">
        <v>5</v>
      </c>
      <c r="F286">
        <v>2</v>
      </c>
      <c r="G286">
        <v>19</v>
      </c>
      <c r="H286">
        <v>8</v>
      </c>
      <c r="I286">
        <v>0.4</v>
      </c>
      <c r="J286">
        <v>0.42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1</v>
      </c>
      <c r="Z286">
        <v>0</v>
      </c>
      <c r="AA286" s="86">
        <f>AVERAGEIFS($C$2:C286, $B$2:B286, B286)</f>
        <v>15.25</v>
      </c>
      <c r="AB286" s="86">
        <f>AVERAGEIFS($I$2:I286, $B$2:B286, B286)</f>
        <v>0.49374999999999997</v>
      </c>
      <c r="AC286" s="86">
        <f>AVERAGEIFS($J$2:J286, $B$2:B286, B286)</f>
        <v>0.50875000000000004</v>
      </c>
      <c r="AD286" s="86">
        <f>AVERAGEIFS($D$2:D286, $B$2:B286, B286)</f>
        <v>0.375</v>
      </c>
    </row>
    <row r="287" spans="1:30" x14ac:dyDescent="0.25">
      <c r="A287" s="85">
        <v>46131</v>
      </c>
      <c r="B287" t="s">
        <v>19</v>
      </c>
      <c r="C287">
        <v>24</v>
      </c>
      <c r="D287" s="86">
        <v>0</v>
      </c>
      <c r="E287">
        <v>5</v>
      </c>
      <c r="F287">
        <v>2</v>
      </c>
      <c r="G287">
        <v>19</v>
      </c>
      <c r="H287">
        <v>8</v>
      </c>
      <c r="I287">
        <v>0.4</v>
      </c>
      <c r="J287">
        <v>0.42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1</v>
      </c>
      <c r="Z287">
        <v>0</v>
      </c>
      <c r="AA287" s="86">
        <f>AVERAGEIFS($C$2:C287, $B$2:B287, B287)</f>
        <v>12.833333333333334</v>
      </c>
      <c r="AB287" s="86">
        <f>AVERAGEIFS($I$2:I287, $B$2:B287, B287)</f>
        <v>0.59166666666666667</v>
      </c>
      <c r="AC287" s="86">
        <f>AVERAGEIFS($J$2:J287, $B$2:B287, B287)</f>
        <v>0.52500000000000002</v>
      </c>
      <c r="AD287" s="86">
        <f>AVERAGEIFS($D$2:D287, $B$2:B287, B287)</f>
        <v>0.5</v>
      </c>
    </row>
    <row r="288" spans="1:30" x14ac:dyDescent="0.25">
      <c r="A288" s="85">
        <v>46131</v>
      </c>
      <c r="B288" t="s">
        <v>29</v>
      </c>
      <c r="C288">
        <v>21</v>
      </c>
      <c r="D288" s="86">
        <v>1</v>
      </c>
      <c r="E288">
        <v>5</v>
      </c>
      <c r="F288">
        <v>3</v>
      </c>
      <c r="G288">
        <v>19</v>
      </c>
      <c r="H288">
        <v>11</v>
      </c>
      <c r="I288">
        <v>0.6</v>
      </c>
      <c r="J288">
        <v>0.57999999999999996</v>
      </c>
      <c r="K288">
        <v>1</v>
      </c>
      <c r="L288">
        <v>1</v>
      </c>
      <c r="M288">
        <v>0</v>
      </c>
      <c r="N288">
        <v>0</v>
      </c>
      <c r="O288">
        <v>1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 s="86">
        <f>AVERAGEIFS($C$2:C288, $B$2:B288, B288)</f>
        <v>12</v>
      </c>
      <c r="AB288" s="86">
        <f>AVERAGEIFS($I$2:I288, $B$2:B288, B288)</f>
        <v>0.40333333333333327</v>
      </c>
      <c r="AC288" s="86">
        <f>AVERAGEIFS($J$2:J288, $B$2:B288, B288)</f>
        <v>0.47266666666666673</v>
      </c>
      <c r="AD288" s="86">
        <f>AVERAGEIFS($D$2:D288, $B$2:B288, B288)</f>
        <v>0.33333333333333331</v>
      </c>
    </row>
    <row r="289" spans="1:30" x14ac:dyDescent="0.25">
      <c r="A289" s="85">
        <v>46131</v>
      </c>
      <c r="B289" t="s">
        <v>18</v>
      </c>
      <c r="C289">
        <v>55</v>
      </c>
      <c r="D289" s="86">
        <v>1</v>
      </c>
      <c r="E289">
        <v>5</v>
      </c>
      <c r="F289">
        <v>3</v>
      </c>
      <c r="G289">
        <v>19</v>
      </c>
      <c r="H289">
        <v>11</v>
      </c>
      <c r="I289">
        <v>0.6</v>
      </c>
      <c r="J289">
        <v>0.57999999999999996</v>
      </c>
      <c r="K289">
        <v>1</v>
      </c>
      <c r="L289">
        <v>1</v>
      </c>
      <c r="M289">
        <v>0</v>
      </c>
      <c r="N289">
        <v>0</v>
      </c>
      <c r="O289">
        <v>1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 s="86">
        <f>AVERAGEIFS($C$2:C289, $B$2:B289, B289)</f>
        <v>25.8</v>
      </c>
      <c r="AB289" s="86">
        <f>AVERAGEIFS($I$2:I289, $B$2:B289, B289)</f>
        <v>0.53499999999999992</v>
      </c>
      <c r="AC289" s="86">
        <f>AVERAGEIFS($J$2:J289, $B$2:B289, B289)</f>
        <v>0.53800000000000003</v>
      </c>
      <c r="AD289" s="86">
        <f>AVERAGEIFS($D$2:D289, $B$2:B289, B289)</f>
        <v>0.6</v>
      </c>
    </row>
    <row r="290" spans="1:30" x14ac:dyDescent="0.25">
      <c r="A290" s="85">
        <v>46131</v>
      </c>
      <c r="B290" t="s">
        <v>35</v>
      </c>
      <c r="C290">
        <v>32</v>
      </c>
      <c r="D290" s="86">
        <v>1</v>
      </c>
      <c r="E290">
        <v>5</v>
      </c>
      <c r="F290">
        <v>3</v>
      </c>
      <c r="G290">
        <v>19</v>
      </c>
      <c r="H290">
        <v>11</v>
      </c>
      <c r="I290">
        <v>0.6</v>
      </c>
      <c r="J290">
        <v>0.57999999999999996</v>
      </c>
      <c r="K290">
        <v>1</v>
      </c>
      <c r="L290">
        <v>1</v>
      </c>
      <c r="M290">
        <v>0</v>
      </c>
      <c r="N290">
        <v>0</v>
      </c>
      <c r="O290">
        <v>1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 s="86">
        <f>AVERAGEIFS($C$2:C290, $B$2:B290, B290)</f>
        <v>12.923076923076923</v>
      </c>
      <c r="AB290" s="86">
        <f>AVERAGEIFS($I$2:I290, $B$2:B290, B290)</f>
        <v>0.36153846153846148</v>
      </c>
      <c r="AC290" s="86">
        <f>AVERAGEIFS($J$2:J290, $B$2:B290, B290)</f>
        <v>0.40615384615384609</v>
      </c>
      <c r="AD290" s="86">
        <f>AVERAGEIFS($D$2:D290, $B$2:B290, B290)</f>
        <v>0.38461538461538464</v>
      </c>
    </row>
    <row r="291" spans="1:30" x14ac:dyDescent="0.25">
      <c r="A291" s="85">
        <v>46131</v>
      </c>
      <c r="B291" t="s">
        <v>4</v>
      </c>
      <c r="C291">
        <v>46</v>
      </c>
      <c r="D291" s="86">
        <v>1</v>
      </c>
      <c r="E291">
        <v>5</v>
      </c>
      <c r="F291">
        <v>3</v>
      </c>
      <c r="G291">
        <v>19</v>
      </c>
      <c r="H291">
        <v>11</v>
      </c>
      <c r="I291">
        <v>0.6</v>
      </c>
      <c r="J291">
        <v>0.57999999999999996</v>
      </c>
      <c r="K291">
        <v>1</v>
      </c>
      <c r="L291">
        <v>1</v>
      </c>
      <c r="M291">
        <v>0</v>
      </c>
      <c r="N291">
        <v>0</v>
      </c>
      <c r="O291">
        <v>1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 s="86">
        <f>AVERAGEIFS($C$2:C291, $B$2:B291, B291)</f>
        <v>25</v>
      </c>
      <c r="AB291" s="86">
        <f>AVERAGEIFS($I$2:I291, $B$2:B291, B291)</f>
        <v>0.30833333333333335</v>
      </c>
      <c r="AC291" s="86">
        <f>AVERAGEIFS($J$2:J291, $B$2:B291, B291)</f>
        <v>0.40333333333333332</v>
      </c>
      <c r="AD291" s="86">
        <f>AVERAGEIFS($D$2:D291, $B$2:B291, B291)</f>
        <v>0.33333333333333331</v>
      </c>
    </row>
    <row r="292" spans="1:30" x14ac:dyDescent="0.25">
      <c r="A292" s="85">
        <v>46131</v>
      </c>
      <c r="B292" t="s">
        <v>155</v>
      </c>
      <c r="C292">
        <v>43</v>
      </c>
      <c r="D292" s="86">
        <v>1</v>
      </c>
      <c r="E292">
        <v>5</v>
      </c>
      <c r="F292">
        <v>3</v>
      </c>
      <c r="G292">
        <v>19</v>
      </c>
      <c r="H292">
        <v>11</v>
      </c>
      <c r="I292">
        <v>0.6</v>
      </c>
      <c r="J292">
        <v>0.57999999999999996</v>
      </c>
      <c r="K292">
        <v>1</v>
      </c>
      <c r="L292">
        <v>1</v>
      </c>
      <c r="M292">
        <v>0</v>
      </c>
      <c r="N292">
        <v>0</v>
      </c>
      <c r="O292">
        <v>1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 s="86">
        <f>AVERAGEIFS($C$2:C292, $B$2:B292, B292)</f>
        <v>17.714285714285715</v>
      </c>
      <c r="AB292" s="86">
        <f>AVERAGEIFS($I$2:I292, $B$2:B292, B292)</f>
        <v>0.32142857142857145</v>
      </c>
      <c r="AC292" s="86">
        <f>AVERAGEIFS($J$2:J292, $B$2:B292, B292)</f>
        <v>0.41428571428571426</v>
      </c>
      <c r="AD292" s="86">
        <f>AVERAGEIFS($D$2:D292, $B$2:B292, B292)</f>
        <v>0.21428571428571427</v>
      </c>
    </row>
    <row r="293" spans="1:30" x14ac:dyDescent="0.25">
      <c r="A293" s="85">
        <v>46131</v>
      </c>
      <c r="B293" t="s">
        <v>5</v>
      </c>
      <c r="C293">
        <v>51</v>
      </c>
      <c r="D293" s="86">
        <v>1</v>
      </c>
      <c r="E293">
        <v>5</v>
      </c>
      <c r="F293">
        <v>3</v>
      </c>
      <c r="G293">
        <v>19</v>
      </c>
      <c r="H293">
        <v>11</v>
      </c>
      <c r="I293">
        <v>0.6</v>
      </c>
      <c r="J293">
        <v>0.57999999999999996</v>
      </c>
      <c r="K293">
        <v>1</v>
      </c>
      <c r="L293">
        <v>1</v>
      </c>
      <c r="M293">
        <v>0</v>
      </c>
      <c r="N293">
        <v>0</v>
      </c>
      <c r="O293">
        <v>1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 s="86">
        <f>AVERAGEIFS($C$2:C293, $B$2:B293, B293)</f>
        <v>27</v>
      </c>
      <c r="AB293" s="86">
        <f>AVERAGEIFS($I$2:I293, $B$2:B293, B293)</f>
        <v>0.28333333333333333</v>
      </c>
      <c r="AC293" s="86">
        <f>AVERAGEIFS($J$2:J293, $B$2:B293, B293)</f>
        <v>0.40666666666666668</v>
      </c>
      <c r="AD293" s="86">
        <f>AVERAGEIFS($D$2:D293, $B$2:B293, B293)</f>
        <v>0.33333333333333331</v>
      </c>
    </row>
    <row r="294" spans="1:30" x14ac:dyDescent="0.25">
      <c r="A294" s="85">
        <v>46133</v>
      </c>
      <c r="B294" t="s">
        <v>15</v>
      </c>
      <c r="C294">
        <v>26</v>
      </c>
      <c r="D294" s="86">
        <v>1</v>
      </c>
      <c r="E294">
        <v>5</v>
      </c>
      <c r="F294">
        <v>3</v>
      </c>
      <c r="G294">
        <v>20</v>
      </c>
      <c r="H294">
        <v>14</v>
      </c>
      <c r="I294">
        <v>0.6</v>
      </c>
      <c r="J294">
        <v>0.7</v>
      </c>
      <c r="K294">
        <v>0</v>
      </c>
      <c r="L294">
        <v>0</v>
      </c>
      <c r="M294">
        <v>0</v>
      </c>
      <c r="N294">
        <v>1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1</v>
      </c>
      <c r="Y294">
        <v>0</v>
      </c>
      <c r="Z294">
        <v>1</v>
      </c>
      <c r="AA294" s="86">
        <f>AVERAGEIFS($C$2:C294, $B$2:B294, B294)</f>
        <v>23.153846153846153</v>
      </c>
      <c r="AB294" s="86">
        <f>AVERAGEIFS($I$2:I294, $B$2:B294, B294)</f>
        <v>0.54999999999999993</v>
      </c>
      <c r="AC294" s="86">
        <f>AVERAGEIFS($J$2:J294, $B$2:B294, B294)</f>
        <v>0.53846153846153844</v>
      </c>
      <c r="AD294" s="86">
        <f>AVERAGEIFS($D$2:D294, $B$2:B294, B294)</f>
        <v>0.53846153846153844</v>
      </c>
    </row>
    <row r="295" spans="1:30" x14ac:dyDescent="0.25">
      <c r="A295" s="85">
        <v>46133</v>
      </c>
      <c r="B295" t="s">
        <v>17</v>
      </c>
      <c r="C295">
        <v>20</v>
      </c>
      <c r="D295" s="86">
        <v>1</v>
      </c>
      <c r="E295">
        <v>5</v>
      </c>
      <c r="F295">
        <v>3</v>
      </c>
      <c r="G295">
        <v>20</v>
      </c>
      <c r="H295">
        <v>14</v>
      </c>
      <c r="I295">
        <v>0.6</v>
      </c>
      <c r="J295">
        <v>0.7</v>
      </c>
      <c r="K295">
        <v>0</v>
      </c>
      <c r="L295">
        <v>0</v>
      </c>
      <c r="M295">
        <v>0</v>
      </c>
      <c r="N295">
        <v>1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1</v>
      </c>
      <c r="Y295">
        <v>0</v>
      </c>
      <c r="Z295">
        <v>1</v>
      </c>
      <c r="AA295" s="86">
        <f>AVERAGEIFS($C$2:C295, $B$2:B295, B295)</f>
        <v>24.235294117647058</v>
      </c>
      <c r="AB295" s="86">
        <f>AVERAGEIFS($I$2:I295, $B$2:B295, B295)</f>
        <v>0.51470588235294112</v>
      </c>
      <c r="AC295" s="86">
        <f>AVERAGEIFS($J$2:J295, $B$2:B295, B295)</f>
        <v>0.51882352941176446</v>
      </c>
      <c r="AD295" s="86">
        <f>AVERAGEIFS($D$2:D295, $B$2:B295, B295)</f>
        <v>0.58823529411764708</v>
      </c>
    </row>
    <row r="296" spans="1:30" x14ac:dyDescent="0.25">
      <c r="A296" s="85">
        <v>46133</v>
      </c>
      <c r="B296" t="s">
        <v>13</v>
      </c>
      <c r="C296">
        <v>20</v>
      </c>
      <c r="D296" s="86">
        <v>1</v>
      </c>
      <c r="E296">
        <v>5</v>
      </c>
      <c r="F296">
        <v>3</v>
      </c>
      <c r="G296">
        <v>20</v>
      </c>
      <c r="H296">
        <v>14</v>
      </c>
      <c r="I296">
        <v>0.6</v>
      </c>
      <c r="J296">
        <v>0.7</v>
      </c>
      <c r="K296">
        <v>0</v>
      </c>
      <c r="L296">
        <v>0</v>
      </c>
      <c r="M296">
        <v>0</v>
      </c>
      <c r="N296">
        <v>1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1</v>
      </c>
      <c r="Y296">
        <v>0</v>
      </c>
      <c r="Z296">
        <v>1</v>
      </c>
      <c r="AA296" s="86">
        <f>AVERAGEIFS($C$2:C296, $B$2:B296, B296)</f>
        <v>24.666666666666668</v>
      </c>
      <c r="AB296" s="86">
        <f>AVERAGEIFS($I$2:I296, $B$2:B296, B296)</f>
        <v>0.65952380952380951</v>
      </c>
      <c r="AC296" s="86">
        <f>AVERAGEIFS($J$2:J296, $B$2:B296, B296)</f>
        <v>0.59619047619047616</v>
      </c>
      <c r="AD296" s="86">
        <f>AVERAGEIFS($D$2:D296, $B$2:B296, B296)</f>
        <v>0.7142857142857143</v>
      </c>
    </row>
    <row r="297" spans="1:30" x14ac:dyDescent="0.25">
      <c r="A297" s="85">
        <v>46133</v>
      </c>
      <c r="B297" t="s">
        <v>155</v>
      </c>
      <c r="C297">
        <v>16</v>
      </c>
      <c r="D297" s="86">
        <v>1</v>
      </c>
      <c r="E297">
        <v>5</v>
      </c>
      <c r="F297">
        <v>3</v>
      </c>
      <c r="G297">
        <v>20</v>
      </c>
      <c r="H297">
        <v>14</v>
      </c>
      <c r="I297">
        <v>0.6</v>
      </c>
      <c r="J297">
        <v>0.7</v>
      </c>
      <c r="K297">
        <v>0</v>
      </c>
      <c r="L297">
        <v>0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1</v>
      </c>
      <c r="Y297">
        <v>0</v>
      </c>
      <c r="Z297">
        <v>1</v>
      </c>
      <c r="AA297" s="86">
        <f>AVERAGEIFS($C$2:C297, $B$2:B297, B297)</f>
        <v>17.600000000000001</v>
      </c>
      <c r="AB297" s="86">
        <f>AVERAGEIFS($I$2:I297, $B$2:B297, B297)</f>
        <v>0.33999999999999997</v>
      </c>
      <c r="AC297" s="86">
        <f>AVERAGEIFS($J$2:J297, $B$2:B297, B297)</f>
        <v>0.43333333333333335</v>
      </c>
      <c r="AD297" s="86">
        <f>AVERAGEIFS($D$2:D297, $B$2:B297, B297)</f>
        <v>0.26666666666666666</v>
      </c>
    </row>
    <row r="298" spans="1:30" x14ac:dyDescent="0.25">
      <c r="A298" s="85">
        <v>46133</v>
      </c>
      <c r="B298" t="s">
        <v>139</v>
      </c>
      <c r="C298">
        <v>15</v>
      </c>
      <c r="D298" s="86">
        <v>1</v>
      </c>
      <c r="E298">
        <v>5</v>
      </c>
      <c r="F298">
        <v>3</v>
      </c>
      <c r="G298">
        <v>20</v>
      </c>
      <c r="H298">
        <v>14</v>
      </c>
      <c r="I298">
        <v>0.6</v>
      </c>
      <c r="J298">
        <v>0.7</v>
      </c>
      <c r="K298">
        <v>0</v>
      </c>
      <c r="L298">
        <v>0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1</v>
      </c>
      <c r="Y298">
        <v>0</v>
      </c>
      <c r="Z298">
        <v>1</v>
      </c>
      <c r="AA298" s="86">
        <f>AVERAGEIFS($C$2:C298, $B$2:B298, B298)</f>
        <v>10.8</v>
      </c>
      <c r="AB298" s="86">
        <f>AVERAGEIFS($I$2:I298, $B$2:B298, B298)</f>
        <v>0.55499999999999994</v>
      </c>
      <c r="AC298" s="86">
        <f>AVERAGEIFS($J$2:J298, $B$2:B298, B298)</f>
        <v>0.53899999999999992</v>
      </c>
      <c r="AD298" s="86">
        <f>AVERAGEIFS($D$2:D298, $B$2:B298, B298)</f>
        <v>0.7</v>
      </c>
    </row>
    <row r="299" spans="1:30" x14ac:dyDescent="0.25">
      <c r="A299" s="85">
        <v>46133</v>
      </c>
      <c r="B299" t="s">
        <v>150</v>
      </c>
      <c r="C299">
        <v>12</v>
      </c>
      <c r="D299" s="86">
        <v>1</v>
      </c>
      <c r="E299">
        <v>5</v>
      </c>
      <c r="F299">
        <v>3</v>
      </c>
      <c r="G299">
        <v>20</v>
      </c>
      <c r="H299">
        <v>14</v>
      </c>
      <c r="I299">
        <v>0.6</v>
      </c>
      <c r="J299">
        <v>0.7</v>
      </c>
      <c r="K299">
        <v>0</v>
      </c>
      <c r="L299">
        <v>0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1</v>
      </c>
      <c r="Y299">
        <v>0</v>
      </c>
      <c r="Z299">
        <v>1</v>
      </c>
      <c r="AA299" s="86">
        <f>AVERAGEIFS($C$2:C299, $B$2:B299, B299)</f>
        <v>17.285714285714285</v>
      </c>
      <c r="AB299" s="86">
        <f>AVERAGEIFS($I$2:I299, $B$2:B299, B299)</f>
        <v>0.69285714285714284</v>
      </c>
      <c r="AC299" s="86">
        <f>AVERAGEIFS($J$2:J299, $B$2:B299, B299)</f>
        <v>0.65142857142857136</v>
      </c>
      <c r="AD299" s="86">
        <f>AVERAGEIFS($D$2:D299, $B$2:B299, B299)</f>
        <v>0.8571428571428571</v>
      </c>
    </row>
    <row r="300" spans="1:30" x14ac:dyDescent="0.25">
      <c r="A300" s="85">
        <v>46133</v>
      </c>
      <c r="B300" t="s">
        <v>148</v>
      </c>
      <c r="C300">
        <v>11</v>
      </c>
      <c r="D300" s="86">
        <v>1</v>
      </c>
      <c r="E300">
        <v>5</v>
      </c>
      <c r="F300">
        <v>3</v>
      </c>
      <c r="G300">
        <v>20</v>
      </c>
      <c r="H300">
        <v>14</v>
      </c>
      <c r="I300">
        <v>0.6</v>
      </c>
      <c r="J300">
        <v>0.7</v>
      </c>
      <c r="K300">
        <v>0</v>
      </c>
      <c r="L300">
        <v>0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1</v>
      </c>
      <c r="Y300">
        <v>0</v>
      </c>
      <c r="Z300">
        <v>1</v>
      </c>
      <c r="AA300" s="86">
        <f>AVERAGEIFS($C$2:C300, $B$2:B300, B300)</f>
        <v>13.4</v>
      </c>
      <c r="AB300" s="86">
        <f>AVERAGEIFS($I$2:I300, $B$2:B300, B300)</f>
        <v>0.60750000000000004</v>
      </c>
      <c r="AC300" s="86">
        <f>AVERAGEIFS($J$2:J300, $B$2:B300, B300)</f>
        <v>0.54949999999999999</v>
      </c>
      <c r="AD300" s="86">
        <f>AVERAGEIFS($D$2:D300, $B$2:B300, B300)</f>
        <v>0.65</v>
      </c>
    </row>
    <row r="301" spans="1:30" x14ac:dyDescent="0.25">
      <c r="A301" s="85">
        <v>46133</v>
      </c>
      <c r="B301" t="s">
        <v>168</v>
      </c>
      <c r="C301">
        <v>2</v>
      </c>
      <c r="D301" s="86">
        <v>1</v>
      </c>
      <c r="E301">
        <v>5</v>
      </c>
      <c r="F301">
        <v>3</v>
      </c>
      <c r="G301">
        <v>20</v>
      </c>
      <c r="H301">
        <v>14</v>
      </c>
      <c r="I301">
        <v>0.6</v>
      </c>
      <c r="J301">
        <v>0.7</v>
      </c>
      <c r="K301">
        <v>0</v>
      </c>
      <c r="L301">
        <v>0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1</v>
      </c>
      <c r="Y301">
        <v>0</v>
      </c>
      <c r="Z301">
        <v>1</v>
      </c>
      <c r="AA301" s="86">
        <f>AVERAGEIFS($C$2:C301, $B$2:B301, B301)</f>
        <v>2</v>
      </c>
      <c r="AB301" s="86">
        <f>AVERAGEIFS($I$2:I301, $B$2:B301, B301)</f>
        <v>0.6</v>
      </c>
      <c r="AC301" s="86">
        <f>AVERAGEIFS($J$2:J301, $B$2:B301, B301)</f>
        <v>0.7</v>
      </c>
      <c r="AD301" s="86">
        <f>AVERAGEIFS($D$2:D301, $B$2:B301, B301)</f>
        <v>1</v>
      </c>
    </row>
    <row r="302" spans="1:30" x14ac:dyDescent="0.25">
      <c r="A302" s="85">
        <v>46133</v>
      </c>
      <c r="B302" t="s">
        <v>18</v>
      </c>
      <c r="C302">
        <v>35</v>
      </c>
      <c r="D302" s="86">
        <v>0</v>
      </c>
      <c r="E302">
        <v>5</v>
      </c>
      <c r="F302">
        <v>2</v>
      </c>
      <c r="G302">
        <v>20</v>
      </c>
      <c r="H302">
        <v>6</v>
      </c>
      <c r="I302">
        <v>0.4</v>
      </c>
      <c r="J302">
        <v>0.3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1</v>
      </c>
      <c r="Z302">
        <v>0</v>
      </c>
      <c r="AA302" s="86">
        <f>AVERAGEIFS($C$2:C302, $B$2:B302, B302)</f>
        <v>26.636363636363637</v>
      </c>
      <c r="AB302" s="86">
        <f>AVERAGEIFS($I$2:I302, $B$2:B302, B302)</f>
        <v>0.52272727272727271</v>
      </c>
      <c r="AC302" s="86">
        <f>AVERAGEIFS($J$2:J302, $B$2:B302, B302)</f>
        <v>0.51636363636363636</v>
      </c>
      <c r="AD302" s="86">
        <f>AVERAGEIFS($D$2:D302, $B$2:B302, B302)</f>
        <v>0.54545454545454541</v>
      </c>
    </row>
    <row r="303" spans="1:30" x14ac:dyDescent="0.25">
      <c r="A303" s="85">
        <v>46133</v>
      </c>
      <c r="B303" t="s">
        <v>37</v>
      </c>
      <c r="C303">
        <v>16</v>
      </c>
      <c r="D303" s="86">
        <v>0</v>
      </c>
      <c r="E303">
        <v>5</v>
      </c>
      <c r="F303">
        <v>2</v>
      </c>
      <c r="G303">
        <v>20</v>
      </c>
      <c r="H303">
        <v>6</v>
      </c>
      <c r="I303">
        <v>0.4</v>
      </c>
      <c r="J303">
        <v>0.3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1</v>
      </c>
      <c r="X303">
        <v>0</v>
      </c>
      <c r="Y303">
        <v>1</v>
      </c>
      <c r="Z303">
        <v>0</v>
      </c>
      <c r="AA303" s="86">
        <f>AVERAGEIFS($C$2:C303, $B$2:B303, B303)</f>
        <v>19.222222222222221</v>
      </c>
      <c r="AB303" s="86">
        <f>AVERAGEIFS($I$2:I303, $B$2:B303, B303)</f>
        <v>0.43888888888888888</v>
      </c>
      <c r="AC303" s="86">
        <f>AVERAGEIFS($J$2:J303, $B$2:B303, B303)</f>
        <v>0.45777777777777778</v>
      </c>
      <c r="AD303" s="86">
        <f>AVERAGEIFS($D$2:D303, $B$2:B303, B303)</f>
        <v>0.55555555555555558</v>
      </c>
    </row>
    <row r="304" spans="1:30" x14ac:dyDescent="0.25">
      <c r="A304" s="85">
        <v>46133</v>
      </c>
      <c r="B304" t="s">
        <v>25</v>
      </c>
      <c r="C304">
        <v>14</v>
      </c>
      <c r="D304" s="86">
        <v>0</v>
      </c>
      <c r="E304">
        <v>5</v>
      </c>
      <c r="F304">
        <v>2</v>
      </c>
      <c r="G304">
        <v>20</v>
      </c>
      <c r="H304">
        <v>6</v>
      </c>
      <c r="I304">
        <v>0.4</v>
      </c>
      <c r="J304">
        <v>0.3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1</v>
      </c>
      <c r="X304">
        <v>0</v>
      </c>
      <c r="Y304">
        <v>1</v>
      </c>
      <c r="Z304">
        <v>0</v>
      </c>
      <c r="AA304" s="86">
        <f>AVERAGEIFS($C$2:C304, $B$2:B304, B304)</f>
        <v>18.181818181818183</v>
      </c>
      <c r="AB304" s="86">
        <f>AVERAGEIFS($I$2:I304, $B$2:B304, B304)</f>
        <v>0.54090909090909089</v>
      </c>
      <c r="AC304" s="86">
        <f>AVERAGEIFS($J$2:J304, $B$2:B304, B304)</f>
        <v>0.50090909090909097</v>
      </c>
      <c r="AD304" s="86">
        <f>AVERAGEIFS($D$2:D304, $B$2:B304, B304)</f>
        <v>0.63636363636363635</v>
      </c>
    </row>
    <row r="305" spans="1:30" x14ac:dyDescent="0.25">
      <c r="A305" s="85">
        <v>46133</v>
      </c>
      <c r="B305" t="s">
        <v>29</v>
      </c>
      <c r="C305">
        <v>12</v>
      </c>
      <c r="D305" s="86">
        <v>0</v>
      </c>
      <c r="E305">
        <v>5</v>
      </c>
      <c r="F305">
        <v>2</v>
      </c>
      <c r="G305">
        <v>20</v>
      </c>
      <c r="H305">
        <v>6</v>
      </c>
      <c r="I305">
        <v>0.4</v>
      </c>
      <c r="J305">
        <v>0.3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1</v>
      </c>
      <c r="X305">
        <v>0</v>
      </c>
      <c r="Y305">
        <v>1</v>
      </c>
      <c r="Z305">
        <v>0</v>
      </c>
      <c r="AA305" s="86">
        <f>AVERAGEIFS($C$2:C305, $B$2:B305, B305)</f>
        <v>12</v>
      </c>
      <c r="AB305" s="86">
        <f>AVERAGEIFS($I$2:I305, $B$2:B305, B305)</f>
        <v>0.40312499999999996</v>
      </c>
      <c r="AC305" s="86">
        <f>AVERAGEIFS($J$2:J305, $B$2:B305, B305)</f>
        <v>0.46187500000000004</v>
      </c>
      <c r="AD305" s="86">
        <f>AVERAGEIFS($D$2:D305, $B$2:B305, B305)</f>
        <v>0.3125</v>
      </c>
    </row>
    <row r="306" spans="1:30" x14ac:dyDescent="0.25">
      <c r="A306" s="85">
        <v>46133</v>
      </c>
      <c r="B306" t="s">
        <v>74</v>
      </c>
      <c r="C306">
        <v>10</v>
      </c>
      <c r="D306" s="86">
        <v>0</v>
      </c>
      <c r="E306">
        <v>5</v>
      </c>
      <c r="F306">
        <v>2</v>
      </c>
      <c r="G306">
        <v>20</v>
      </c>
      <c r="H306">
        <v>6</v>
      </c>
      <c r="I306">
        <v>0.4</v>
      </c>
      <c r="J306">
        <v>0.3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1</v>
      </c>
      <c r="X306">
        <v>0</v>
      </c>
      <c r="Y306">
        <v>1</v>
      </c>
      <c r="Z306">
        <v>0</v>
      </c>
      <c r="AA306" s="86">
        <f>AVERAGEIFS($C$2:C306, $B$2:B306, B306)</f>
        <v>10</v>
      </c>
      <c r="AB306" s="86">
        <f>AVERAGEIFS($I$2:I306, $B$2:B306, B306)</f>
        <v>0.4</v>
      </c>
      <c r="AC306" s="86">
        <f>AVERAGEIFS($J$2:J306, $B$2:B306, B306)</f>
        <v>0.3</v>
      </c>
      <c r="AD306" s="86">
        <f>AVERAGEIFS($D$2:D306, $B$2:B306, B306)</f>
        <v>0</v>
      </c>
    </row>
    <row r="307" spans="1:30" x14ac:dyDescent="0.25">
      <c r="A307" s="85">
        <v>46133</v>
      </c>
      <c r="B307" t="s">
        <v>45</v>
      </c>
      <c r="C307">
        <v>10</v>
      </c>
      <c r="D307" s="86">
        <v>0</v>
      </c>
      <c r="E307">
        <v>5</v>
      </c>
      <c r="F307">
        <v>2</v>
      </c>
      <c r="G307">
        <v>20</v>
      </c>
      <c r="H307">
        <v>6</v>
      </c>
      <c r="I307">
        <v>0.4</v>
      </c>
      <c r="J307">
        <v>0.3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1</v>
      </c>
      <c r="X307">
        <v>0</v>
      </c>
      <c r="Y307">
        <v>1</v>
      </c>
      <c r="Z307">
        <v>0</v>
      </c>
      <c r="AA307" s="86">
        <f>AVERAGEIFS($C$2:C307, $B$2:B307, B307)</f>
        <v>14.166666666666666</v>
      </c>
      <c r="AB307" s="86">
        <f>AVERAGEIFS($I$2:I307, $B$2:B307, B307)</f>
        <v>0.5</v>
      </c>
      <c r="AC307" s="86">
        <f>AVERAGEIFS($J$2:J307, $B$2:B307, B307)</f>
        <v>0.47499999999999992</v>
      </c>
      <c r="AD307" s="86">
        <f>AVERAGEIFS($D$2:D307, $B$2:B307, B307)</f>
        <v>0.5</v>
      </c>
    </row>
    <row r="308" spans="1:30" x14ac:dyDescent="0.25">
      <c r="A308" s="85">
        <v>46133</v>
      </c>
      <c r="B308" t="s">
        <v>14</v>
      </c>
      <c r="C308">
        <v>4</v>
      </c>
      <c r="D308" s="86">
        <v>0</v>
      </c>
      <c r="E308">
        <v>5</v>
      </c>
      <c r="F308">
        <v>2</v>
      </c>
      <c r="G308">
        <v>20</v>
      </c>
      <c r="H308">
        <v>6</v>
      </c>
      <c r="I308">
        <v>0.4</v>
      </c>
      <c r="J308">
        <v>0.3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1</v>
      </c>
      <c r="X308">
        <v>0</v>
      </c>
      <c r="Y308">
        <v>1</v>
      </c>
      <c r="Z308">
        <v>0</v>
      </c>
      <c r="AA308" s="86">
        <f>AVERAGEIFS($C$2:C308, $B$2:B308, B308)</f>
        <v>21.153846153846153</v>
      </c>
      <c r="AB308" s="86">
        <f>AVERAGEIFS($I$2:I308, $B$2:B308, B308)</f>
        <v>0.33076923076923076</v>
      </c>
      <c r="AC308" s="86">
        <f>AVERAGEIFS($J$2:J308, $B$2:B308, B308)</f>
        <v>0.41461538461538461</v>
      </c>
      <c r="AD308" s="86">
        <f>AVERAGEIFS($D$2:D308, $B$2:B308, B308)</f>
        <v>0.23076923076923078</v>
      </c>
    </row>
    <row r="309" spans="1:30" x14ac:dyDescent="0.25">
      <c r="A309" s="85">
        <v>46133</v>
      </c>
      <c r="B309" t="s">
        <v>169</v>
      </c>
      <c r="C309">
        <v>2</v>
      </c>
      <c r="D309" s="86">
        <v>0</v>
      </c>
      <c r="E309">
        <v>5</v>
      </c>
      <c r="F309">
        <v>2</v>
      </c>
      <c r="G309">
        <v>20</v>
      </c>
      <c r="H309">
        <v>6</v>
      </c>
      <c r="I309">
        <v>0.4</v>
      </c>
      <c r="J309">
        <v>0.3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1</v>
      </c>
      <c r="Z309">
        <v>0</v>
      </c>
      <c r="AA309" s="86">
        <f>AVERAGEIFS($C$2:C309, $B$2:B309, B309)</f>
        <v>2</v>
      </c>
      <c r="AB309" s="86">
        <f>AVERAGEIFS($I$2:I309, $B$2:B309, B309)</f>
        <v>0.4</v>
      </c>
      <c r="AC309" s="86">
        <f>AVERAGEIFS($J$2:J309, $B$2:B309, B309)</f>
        <v>0.3</v>
      </c>
      <c r="AD309" s="86">
        <f>AVERAGEIFS($D$2:D309, $B$2:B309, B309)</f>
        <v>0</v>
      </c>
    </row>
    <row r="310" spans="1:30" x14ac:dyDescent="0.25">
      <c r="A310" s="85">
        <v>46136</v>
      </c>
      <c r="B310" t="s">
        <v>13</v>
      </c>
      <c r="C310">
        <v>40</v>
      </c>
      <c r="D310" s="86">
        <v>1</v>
      </c>
      <c r="E310">
        <v>4</v>
      </c>
      <c r="F310">
        <v>3</v>
      </c>
      <c r="G310">
        <v>19</v>
      </c>
      <c r="H310">
        <v>11</v>
      </c>
      <c r="I310">
        <v>0.75</v>
      </c>
      <c r="J310">
        <v>0.57999999999999996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1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1</v>
      </c>
      <c r="Y310">
        <v>0</v>
      </c>
      <c r="Z310">
        <v>1</v>
      </c>
      <c r="AA310" s="86">
        <f>AVERAGEIFS($C$2:C310, $B$2:B310, B310)</f>
        <v>25.363636363636363</v>
      </c>
      <c r="AB310" s="86">
        <f>AVERAGEIFS($I$2:I310, $B$2:B310, B310)</f>
        <v>0.66363636363636358</v>
      </c>
      <c r="AC310" s="86">
        <f>AVERAGEIFS($J$2:J310, $B$2:B310, B310)</f>
        <v>0.59545454545454546</v>
      </c>
      <c r="AD310" s="86">
        <f>AVERAGEIFS($D$2:D310, $B$2:B310, B310)</f>
        <v>0.72727272727272729</v>
      </c>
    </row>
    <row r="311" spans="1:30" x14ac:dyDescent="0.25">
      <c r="A311" s="85">
        <v>46136</v>
      </c>
      <c r="B311" t="s">
        <v>148</v>
      </c>
      <c r="C311">
        <v>21</v>
      </c>
      <c r="D311" s="86">
        <v>1</v>
      </c>
      <c r="E311">
        <v>4</v>
      </c>
      <c r="F311">
        <v>3</v>
      </c>
      <c r="G311">
        <v>19</v>
      </c>
      <c r="H311">
        <v>11</v>
      </c>
      <c r="I311">
        <v>0.75</v>
      </c>
      <c r="J311">
        <v>0.57999999999999996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1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1</v>
      </c>
      <c r="Y311">
        <v>0</v>
      </c>
      <c r="Z311">
        <v>1</v>
      </c>
      <c r="AA311" s="86">
        <f>AVERAGEIFS($C$2:C311, $B$2:B311, B311)</f>
        <v>13.761904761904763</v>
      </c>
      <c r="AB311" s="86">
        <f>AVERAGEIFS($I$2:I311, $B$2:B311, B311)</f>
        <v>0.61428571428571432</v>
      </c>
      <c r="AC311" s="86">
        <f>AVERAGEIFS($J$2:J311, $B$2:B311, B311)</f>
        <v>0.55095238095238097</v>
      </c>
      <c r="AD311" s="86">
        <f>AVERAGEIFS($D$2:D311, $B$2:B311, B311)</f>
        <v>0.66666666666666663</v>
      </c>
    </row>
    <row r="312" spans="1:30" x14ac:dyDescent="0.25">
      <c r="A312" s="85">
        <v>46136</v>
      </c>
      <c r="B312" t="s">
        <v>35</v>
      </c>
      <c r="C312">
        <v>14</v>
      </c>
      <c r="D312" s="86">
        <v>1</v>
      </c>
      <c r="E312">
        <v>4</v>
      </c>
      <c r="F312">
        <v>3</v>
      </c>
      <c r="G312">
        <v>19</v>
      </c>
      <c r="H312">
        <v>11</v>
      </c>
      <c r="I312">
        <v>0.75</v>
      </c>
      <c r="J312">
        <v>0.57999999999999996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1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1</v>
      </c>
      <c r="Y312">
        <v>0</v>
      </c>
      <c r="Z312">
        <v>1</v>
      </c>
      <c r="AA312" s="86">
        <f>AVERAGEIFS($C$2:C312, $B$2:B312, B312)</f>
        <v>13</v>
      </c>
      <c r="AB312" s="86">
        <f>AVERAGEIFS($I$2:I312, $B$2:B312, B312)</f>
        <v>0.38928571428571423</v>
      </c>
      <c r="AC312" s="86">
        <f>AVERAGEIFS($J$2:J312, $B$2:B312, B312)</f>
        <v>0.41857142857142854</v>
      </c>
      <c r="AD312" s="86">
        <f>AVERAGEIFS($D$2:D312, $B$2:B312, B312)</f>
        <v>0.42857142857142855</v>
      </c>
    </row>
    <row r="313" spans="1:30" x14ac:dyDescent="0.25">
      <c r="A313" s="85">
        <v>46136</v>
      </c>
      <c r="B313" t="s">
        <v>139</v>
      </c>
      <c r="C313">
        <v>16</v>
      </c>
      <c r="D313" s="86">
        <v>1</v>
      </c>
      <c r="E313">
        <v>4</v>
      </c>
      <c r="F313">
        <v>3</v>
      </c>
      <c r="G313">
        <v>19</v>
      </c>
      <c r="H313">
        <v>11</v>
      </c>
      <c r="I313">
        <v>0.75</v>
      </c>
      <c r="J313">
        <v>0.57999999999999996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1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1</v>
      </c>
      <c r="Y313">
        <v>0</v>
      </c>
      <c r="Z313">
        <v>1</v>
      </c>
      <c r="AA313" s="86">
        <f>AVERAGEIFS($C$2:C313, $B$2:B313, B313)</f>
        <v>11.272727272727273</v>
      </c>
      <c r="AB313" s="86">
        <f>AVERAGEIFS($I$2:I313, $B$2:B313, B313)</f>
        <v>0.57272727272727275</v>
      </c>
      <c r="AC313" s="86">
        <f>AVERAGEIFS($J$2:J313, $B$2:B313, B313)</f>
        <v>0.54272727272727272</v>
      </c>
      <c r="AD313" s="86">
        <f>AVERAGEIFS($D$2:D313, $B$2:B313, B313)</f>
        <v>0.72727272727272729</v>
      </c>
    </row>
    <row r="314" spans="1:30" x14ac:dyDescent="0.25">
      <c r="A314" s="85">
        <v>46136</v>
      </c>
      <c r="B314" t="s">
        <v>38</v>
      </c>
      <c r="C314">
        <v>28</v>
      </c>
      <c r="D314" s="86">
        <v>1</v>
      </c>
      <c r="E314">
        <v>4</v>
      </c>
      <c r="F314">
        <v>3</v>
      </c>
      <c r="G314">
        <v>19</v>
      </c>
      <c r="H314">
        <v>11</v>
      </c>
      <c r="I314">
        <v>0.75</v>
      </c>
      <c r="J314">
        <v>0.57999999999999996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1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1</v>
      </c>
      <c r="Y314">
        <v>0</v>
      </c>
      <c r="Z314">
        <v>1</v>
      </c>
      <c r="AA314" s="86">
        <f>AVERAGEIFS($C$2:C314, $B$2:B314, B314)</f>
        <v>12.8</v>
      </c>
      <c r="AB314" s="86">
        <f>AVERAGEIFS($I$2:I314, $B$2:B314, B314)</f>
        <v>0.44000000000000006</v>
      </c>
      <c r="AC314" s="86">
        <f>AVERAGEIFS($J$2:J314, $B$2:B314, B314)</f>
        <v>0.47599999999999998</v>
      </c>
      <c r="AD314" s="86">
        <f>AVERAGEIFS($D$2:D314, $B$2:B314, B314)</f>
        <v>0.6</v>
      </c>
    </row>
    <row r="315" spans="1:30" x14ac:dyDescent="0.25">
      <c r="A315" s="85">
        <v>46136</v>
      </c>
      <c r="B315" t="s">
        <v>14</v>
      </c>
      <c r="C315">
        <v>20</v>
      </c>
      <c r="D315" s="86">
        <v>0</v>
      </c>
      <c r="E315">
        <v>4</v>
      </c>
      <c r="F315">
        <v>1</v>
      </c>
      <c r="G315">
        <v>19</v>
      </c>
      <c r="H315">
        <v>8</v>
      </c>
      <c r="I315">
        <v>0.25</v>
      </c>
      <c r="J315">
        <v>0.42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1</v>
      </c>
      <c r="X315">
        <v>0</v>
      </c>
      <c r="Y315">
        <v>0</v>
      </c>
      <c r="Z315">
        <v>0</v>
      </c>
      <c r="AA315" s="86">
        <f>AVERAGEIFS($C$2:C315, $B$2:B315, B315)</f>
        <v>21.071428571428573</v>
      </c>
      <c r="AB315" s="86">
        <f>AVERAGEIFS($I$2:I315, $B$2:B315, B315)</f>
        <v>0.32500000000000001</v>
      </c>
      <c r="AC315" s="86">
        <f>AVERAGEIFS($J$2:J315, $B$2:B315, B315)</f>
        <v>0.41499999999999998</v>
      </c>
      <c r="AD315" s="86">
        <f>AVERAGEIFS($D$2:D315, $B$2:B315, B315)</f>
        <v>0.21428571428571427</v>
      </c>
    </row>
    <row r="316" spans="1:30" x14ac:dyDescent="0.25">
      <c r="A316" s="85">
        <v>46136</v>
      </c>
      <c r="B316" t="s">
        <v>27</v>
      </c>
      <c r="C316">
        <v>21</v>
      </c>
      <c r="D316" s="86">
        <v>0</v>
      </c>
      <c r="E316">
        <v>4</v>
      </c>
      <c r="F316">
        <v>1</v>
      </c>
      <c r="G316">
        <v>19</v>
      </c>
      <c r="H316">
        <v>8</v>
      </c>
      <c r="I316">
        <v>0.25</v>
      </c>
      <c r="J316">
        <v>0.42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1</v>
      </c>
      <c r="X316">
        <v>0</v>
      </c>
      <c r="Y316">
        <v>0</v>
      </c>
      <c r="Z316">
        <v>0</v>
      </c>
      <c r="AA316" s="86">
        <f>AVERAGEIFS($C$2:C316, $B$2:B316, B316)</f>
        <v>18.142857142857142</v>
      </c>
      <c r="AB316" s="86">
        <f>AVERAGEIFS($I$2:I316, $B$2:B316, B316)</f>
        <v>0.6071428571428571</v>
      </c>
      <c r="AC316" s="86">
        <f>AVERAGEIFS($J$2:J316, $B$2:B316, B316)</f>
        <v>0.58571428571428574</v>
      </c>
      <c r="AD316" s="86">
        <f>AVERAGEIFS($D$2:D316, $B$2:B316, B316)</f>
        <v>0.7142857142857143</v>
      </c>
    </row>
    <row r="317" spans="1:30" x14ac:dyDescent="0.25">
      <c r="A317" s="85">
        <v>46136</v>
      </c>
      <c r="B317" t="s">
        <v>146</v>
      </c>
      <c r="C317">
        <v>21</v>
      </c>
      <c r="D317" s="86">
        <v>0</v>
      </c>
      <c r="E317">
        <v>4</v>
      </c>
      <c r="F317">
        <v>1</v>
      </c>
      <c r="G317">
        <v>19</v>
      </c>
      <c r="H317">
        <v>8</v>
      </c>
      <c r="I317">
        <v>0.25</v>
      </c>
      <c r="J317">
        <v>0.42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1</v>
      </c>
      <c r="X317">
        <v>0</v>
      </c>
      <c r="Y317">
        <v>0</v>
      </c>
      <c r="Z317">
        <v>0</v>
      </c>
      <c r="AA317" s="86">
        <f>AVERAGEIFS($C$2:C317, $B$2:B317, B317)</f>
        <v>13.333333333333334</v>
      </c>
      <c r="AB317" s="86">
        <f>AVERAGEIFS($I$2:I317, $B$2:B317, B317)</f>
        <v>0.34166666666666662</v>
      </c>
      <c r="AC317" s="86">
        <f>AVERAGEIFS($J$2:J317, $B$2:B317, B317)</f>
        <v>0.44</v>
      </c>
      <c r="AD317" s="86">
        <f>AVERAGEIFS($D$2:D317, $B$2:B317, B317)</f>
        <v>0.16666666666666666</v>
      </c>
    </row>
    <row r="318" spans="1:30" x14ac:dyDescent="0.25">
      <c r="A318" s="85">
        <v>46136</v>
      </c>
      <c r="B318" t="s">
        <v>29</v>
      </c>
      <c r="C318">
        <v>13</v>
      </c>
      <c r="D318" s="86">
        <v>0</v>
      </c>
      <c r="E318">
        <v>4</v>
      </c>
      <c r="F318">
        <v>1</v>
      </c>
      <c r="G318">
        <v>19</v>
      </c>
      <c r="H318">
        <v>8</v>
      </c>
      <c r="I318">
        <v>0.25</v>
      </c>
      <c r="J318">
        <v>0.42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1</v>
      </c>
      <c r="X318">
        <v>0</v>
      </c>
      <c r="Y318">
        <v>0</v>
      </c>
      <c r="Z318">
        <v>0</v>
      </c>
      <c r="AA318" s="86">
        <f>AVERAGEIFS($C$2:C318, $B$2:B318, B318)</f>
        <v>12.058823529411764</v>
      </c>
      <c r="AB318" s="86">
        <f>AVERAGEIFS($I$2:I318, $B$2:B318, B318)</f>
        <v>0.39411764705882346</v>
      </c>
      <c r="AC318" s="86">
        <f>AVERAGEIFS($J$2:J318, $B$2:B318, B318)</f>
        <v>0.45941176470588241</v>
      </c>
      <c r="AD318" s="86">
        <f>AVERAGEIFS($D$2:D318, $B$2:B318, B318)</f>
        <v>0.29411764705882354</v>
      </c>
    </row>
    <row r="319" spans="1:30" x14ac:dyDescent="0.25">
      <c r="A319" s="85">
        <v>46136</v>
      </c>
      <c r="B319" t="s">
        <v>161</v>
      </c>
      <c r="C319">
        <v>15</v>
      </c>
      <c r="D319" s="86">
        <v>0</v>
      </c>
      <c r="E319">
        <v>4</v>
      </c>
      <c r="F319">
        <v>1</v>
      </c>
      <c r="G319">
        <v>19</v>
      </c>
      <c r="H319">
        <v>8</v>
      </c>
      <c r="I319">
        <v>0.25</v>
      </c>
      <c r="J319">
        <v>0.42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1</v>
      </c>
      <c r="X319">
        <v>0</v>
      </c>
      <c r="Y319">
        <v>0</v>
      </c>
      <c r="Z319">
        <v>0</v>
      </c>
      <c r="AA319" s="86">
        <f>AVERAGEIFS($C$2:C319, $B$2:B319, B319)</f>
        <v>15</v>
      </c>
      <c r="AB319" s="86">
        <f>AVERAGEIFS($I$2:I319, $B$2:B319, B319)</f>
        <v>0.25</v>
      </c>
      <c r="AC319" s="86">
        <f>AVERAGEIFS($J$2:J319, $B$2:B319, B319)</f>
        <v>0.42</v>
      </c>
      <c r="AD319" s="86">
        <f>AVERAGEIFS($D$2:D319, $B$2:B319, B319)</f>
        <v>0</v>
      </c>
    </row>
    <row r="320" spans="1:30" x14ac:dyDescent="0.25">
      <c r="A320" s="85">
        <v>46138</v>
      </c>
      <c r="B320" t="s">
        <v>5</v>
      </c>
      <c r="C320">
        <v>47</v>
      </c>
      <c r="D320" s="86">
        <v>1</v>
      </c>
      <c r="E320">
        <v>5</v>
      </c>
      <c r="F320">
        <v>3</v>
      </c>
      <c r="G320">
        <v>21</v>
      </c>
      <c r="H320">
        <v>12</v>
      </c>
      <c r="I320">
        <v>0.6</v>
      </c>
      <c r="J320">
        <v>0.56999999999999995</v>
      </c>
      <c r="K320">
        <v>0</v>
      </c>
      <c r="L320">
        <v>0</v>
      </c>
      <c r="M320">
        <v>0</v>
      </c>
      <c r="N320">
        <v>1</v>
      </c>
      <c r="O320">
        <v>1</v>
      </c>
      <c r="P320">
        <v>1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86">
        <f>AVERAGEIFS($C$2:C320, $B$2:B320, B320)</f>
        <v>32</v>
      </c>
      <c r="AB320" s="86">
        <f>AVERAGEIFS($I$2:I320, $B$2:B320, B320)</f>
        <v>0.36249999999999999</v>
      </c>
      <c r="AC320" s="86">
        <f>AVERAGEIFS($J$2:J320, $B$2:B320, B320)</f>
        <v>0.44750000000000001</v>
      </c>
      <c r="AD320" s="86">
        <f>AVERAGEIFS($D$2:D320, $B$2:B320, B320)</f>
        <v>0.5</v>
      </c>
    </row>
    <row r="321" spans="1:30" x14ac:dyDescent="0.25">
      <c r="A321" s="85">
        <v>46138</v>
      </c>
      <c r="B321" t="s">
        <v>18</v>
      </c>
      <c r="C321">
        <v>38</v>
      </c>
      <c r="D321" s="86">
        <v>1</v>
      </c>
      <c r="E321">
        <v>5</v>
      </c>
      <c r="F321">
        <v>3</v>
      </c>
      <c r="G321">
        <v>21</v>
      </c>
      <c r="H321">
        <v>12</v>
      </c>
      <c r="I321">
        <v>0.6</v>
      </c>
      <c r="J321">
        <v>0.56999999999999995</v>
      </c>
      <c r="K321">
        <v>0</v>
      </c>
      <c r="L321">
        <v>0</v>
      </c>
      <c r="M321">
        <v>0</v>
      </c>
      <c r="N321">
        <v>1</v>
      </c>
      <c r="O321">
        <v>1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86">
        <f>AVERAGEIFS($C$2:C321, $B$2:B321, B321)</f>
        <v>27.583333333333332</v>
      </c>
      <c r="AB321" s="86">
        <f>AVERAGEIFS($I$2:I321, $B$2:B321, B321)</f>
        <v>0.52916666666666667</v>
      </c>
      <c r="AC321" s="86">
        <f>AVERAGEIFS($J$2:J321, $B$2:B321, B321)</f>
        <v>0.52083333333333337</v>
      </c>
      <c r="AD321" s="86">
        <f>AVERAGEIFS($D$2:D321, $B$2:B321, B321)</f>
        <v>0.58333333333333337</v>
      </c>
    </row>
    <row r="322" spans="1:30" x14ac:dyDescent="0.25">
      <c r="A322" s="85">
        <v>46138</v>
      </c>
      <c r="B322" t="s">
        <v>155</v>
      </c>
      <c r="C322">
        <v>37</v>
      </c>
      <c r="D322" s="86">
        <v>1</v>
      </c>
      <c r="E322">
        <v>5</v>
      </c>
      <c r="F322">
        <v>3</v>
      </c>
      <c r="G322">
        <v>21</v>
      </c>
      <c r="H322">
        <v>12</v>
      </c>
      <c r="I322">
        <v>0.6</v>
      </c>
      <c r="J322">
        <v>0.56999999999999995</v>
      </c>
      <c r="K322">
        <v>0</v>
      </c>
      <c r="L322">
        <v>0</v>
      </c>
      <c r="M322">
        <v>0</v>
      </c>
      <c r="N322">
        <v>1</v>
      </c>
      <c r="O322">
        <v>1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86">
        <f>AVERAGEIFS($C$2:C322, $B$2:B322, B322)</f>
        <v>18.8125</v>
      </c>
      <c r="AB322" s="86">
        <f>AVERAGEIFS($I$2:I322, $B$2:B322, B322)</f>
        <v>0.35624999999999996</v>
      </c>
      <c r="AC322" s="86">
        <f>AVERAGEIFS($J$2:J322, $B$2:B322, B322)</f>
        <v>0.44187500000000002</v>
      </c>
      <c r="AD322" s="86">
        <f>AVERAGEIFS($D$2:D322, $B$2:B322, B322)</f>
        <v>0.3125</v>
      </c>
    </row>
    <row r="323" spans="1:30" x14ac:dyDescent="0.25">
      <c r="A323" s="85">
        <v>46138</v>
      </c>
      <c r="B323" t="s">
        <v>4</v>
      </c>
      <c r="C323">
        <v>32</v>
      </c>
      <c r="D323" s="86">
        <v>1</v>
      </c>
      <c r="E323">
        <v>5</v>
      </c>
      <c r="F323">
        <v>3</v>
      </c>
      <c r="G323">
        <v>21</v>
      </c>
      <c r="H323">
        <v>12</v>
      </c>
      <c r="I323">
        <v>0.6</v>
      </c>
      <c r="J323">
        <v>0.56999999999999995</v>
      </c>
      <c r="K323">
        <v>0</v>
      </c>
      <c r="L323">
        <v>0</v>
      </c>
      <c r="M323">
        <v>0</v>
      </c>
      <c r="N323">
        <v>1</v>
      </c>
      <c r="O323">
        <v>1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86">
        <f>AVERAGEIFS($C$2:C323, $B$2:B323, B323)</f>
        <v>26</v>
      </c>
      <c r="AB323" s="86">
        <f>AVERAGEIFS($I$2:I323, $B$2:B323, B323)</f>
        <v>0.35000000000000003</v>
      </c>
      <c r="AC323" s="86">
        <f>AVERAGEIFS($J$2:J323, $B$2:B323, B323)</f>
        <v>0.4271428571428571</v>
      </c>
      <c r="AD323" s="86">
        <f>AVERAGEIFS($D$2:D323, $B$2:B323, B323)</f>
        <v>0.42857142857142855</v>
      </c>
    </row>
    <row r="324" spans="1:30" x14ac:dyDescent="0.25">
      <c r="A324" s="85">
        <v>46138</v>
      </c>
      <c r="B324" t="s">
        <v>35</v>
      </c>
      <c r="C324">
        <v>24</v>
      </c>
      <c r="D324" s="86">
        <v>1</v>
      </c>
      <c r="E324">
        <v>5</v>
      </c>
      <c r="F324">
        <v>3</v>
      </c>
      <c r="G324">
        <v>21</v>
      </c>
      <c r="H324">
        <v>12</v>
      </c>
      <c r="I324">
        <v>0.6</v>
      </c>
      <c r="J324">
        <v>0.56999999999999995</v>
      </c>
      <c r="K324">
        <v>0</v>
      </c>
      <c r="L324">
        <v>0</v>
      </c>
      <c r="M324">
        <v>0</v>
      </c>
      <c r="N324">
        <v>1</v>
      </c>
      <c r="O324">
        <v>1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86">
        <f>AVERAGEIFS($C$2:C324, $B$2:B324, B324)</f>
        <v>13.733333333333333</v>
      </c>
      <c r="AB324" s="86">
        <f>AVERAGEIFS($I$2:I324, $B$2:B324, B324)</f>
        <v>0.40333333333333327</v>
      </c>
      <c r="AC324" s="86">
        <f>AVERAGEIFS($J$2:J324, $B$2:B324, B324)</f>
        <v>0.42866666666666664</v>
      </c>
      <c r="AD324" s="86">
        <f>AVERAGEIFS($D$2:D324, $B$2:B324, B324)</f>
        <v>0.46666666666666667</v>
      </c>
    </row>
    <row r="325" spans="1:30" x14ac:dyDescent="0.25">
      <c r="A325" s="85">
        <v>46138</v>
      </c>
      <c r="B325" t="s">
        <v>29</v>
      </c>
      <c r="C325">
        <v>13</v>
      </c>
      <c r="D325" s="86">
        <v>1</v>
      </c>
      <c r="E325">
        <v>5</v>
      </c>
      <c r="F325">
        <v>3</v>
      </c>
      <c r="G325">
        <v>21</v>
      </c>
      <c r="H325">
        <v>12</v>
      </c>
      <c r="I325">
        <v>0.6</v>
      </c>
      <c r="J325">
        <v>0.56999999999999995</v>
      </c>
      <c r="K325">
        <v>0</v>
      </c>
      <c r="L325">
        <v>0</v>
      </c>
      <c r="M325">
        <v>0</v>
      </c>
      <c r="N325">
        <v>1</v>
      </c>
      <c r="O325">
        <v>1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86">
        <f>AVERAGEIFS($C$2:C325, $B$2:B325, B325)</f>
        <v>12.111111111111111</v>
      </c>
      <c r="AB325" s="86">
        <f>AVERAGEIFS($I$2:I325, $B$2:B325, B325)</f>
        <v>0.4055555555555555</v>
      </c>
      <c r="AC325" s="86">
        <f>AVERAGEIFS($J$2:J325, $B$2:B325, B325)</f>
        <v>0.46555555555555561</v>
      </c>
      <c r="AD325" s="86">
        <f>AVERAGEIFS($D$2:D325, $B$2:B325, B325)</f>
        <v>0.33333333333333331</v>
      </c>
    </row>
    <row r="326" spans="1:30" x14ac:dyDescent="0.25">
      <c r="A326" s="85">
        <v>46138</v>
      </c>
      <c r="B326" t="s">
        <v>14</v>
      </c>
      <c r="C326">
        <v>41</v>
      </c>
      <c r="D326" s="86">
        <v>0</v>
      </c>
      <c r="E326">
        <v>5</v>
      </c>
      <c r="F326">
        <v>2</v>
      </c>
      <c r="G326">
        <v>21</v>
      </c>
      <c r="H326">
        <v>9</v>
      </c>
      <c r="I326">
        <v>0.4</v>
      </c>
      <c r="J326">
        <v>0.43</v>
      </c>
      <c r="K326">
        <v>1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86">
        <f>AVERAGEIFS($C$2:C326, $B$2:B326, B326)</f>
        <v>22.4</v>
      </c>
      <c r="AB326" s="86">
        <f>AVERAGEIFS($I$2:I326, $B$2:B326, B326)</f>
        <v>0.33</v>
      </c>
      <c r="AC326" s="86">
        <f>AVERAGEIFS($J$2:J326, $B$2:B326, B326)</f>
        <v>0.41599999999999998</v>
      </c>
      <c r="AD326" s="86">
        <f>AVERAGEIFS($D$2:D326, $B$2:B326, B326)</f>
        <v>0.2</v>
      </c>
    </row>
    <row r="327" spans="1:30" x14ac:dyDescent="0.25">
      <c r="A327" s="85">
        <v>46138</v>
      </c>
      <c r="B327" t="s">
        <v>28</v>
      </c>
      <c r="C327">
        <v>33</v>
      </c>
      <c r="D327" s="86">
        <v>0</v>
      </c>
      <c r="E327">
        <v>5</v>
      </c>
      <c r="F327">
        <v>2</v>
      </c>
      <c r="G327">
        <v>21</v>
      </c>
      <c r="H327">
        <v>9</v>
      </c>
      <c r="I327">
        <v>0.4</v>
      </c>
      <c r="J327">
        <v>0.43</v>
      </c>
      <c r="K327">
        <v>1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86">
        <f>AVERAGEIFS($C$2:C327, $B$2:B327, B327)</f>
        <v>23.5</v>
      </c>
      <c r="AB327" s="86">
        <f>AVERAGEIFS($I$2:I327, $B$2:B327, B327)</f>
        <v>0.5</v>
      </c>
      <c r="AC327" s="86">
        <f>AVERAGEIFS($J$2:J327, $B$2:B327, B327)</f>
        <v>0.505</v>
      </c>
      <c r="AD327" s="86">
        <f>AVERAGEIFS($D$2:D327, $B$2:B327, B327)</f>
        <v>0.5</v>
      </c>
    </row>
    <row r="328" spans="1:30" x14ac:dyDescent="0.25">
      <c r="A328" s="85">
        <v>46138</v>
      </c>
      <c r="B328" t="s">
        <v>17</v>
      </c>
      <c r="C328">
        <v>31</v>
      </c>
      <c r="D328" s="86">
        <v>0</v>
      </c>
      <c r="E328">
        <v>5</v>
      </c>
      <c r="F328">
        <v>2</v>
      </c>
      <c r="G328">
        <v>21</v>
      </c>
      <c r="H328">
        <v>9</v>
      </c>
      <c r="I328">
        <v>0.4</v>
      </c>
      <c r="J328">
        <v>0.43</v>
      </c>
      <c r="K328">
        <v>1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86">
        <f>AVERAGEIFS($C$2:C328, $B$2:B328, B328)</f>
        <v>24.611111111111111</v>
      </c>
      <c r="AB328" s="86">
        <f>AVERAGEIFS($I$2:I328, $B$2:B328, B328)</f>
        <v>0.5083333333333333</v>
      </c>
      <c r="AC328" s="86">
        <f>AVERAGEIFS($J$2:J328, $B$2:B328, B328)</f>
        <v>0.51388888888888873</v>
      </c>
      <c r="AD328" s="86">
        <f>AVERAGEIFS($D$2:D328, $B$2:B328, B328)</f>
        <v>0.55555555555555558</v>
      </c>
    </row>
    <row r="329" spans="1:30" x14ac:dyDescent="0.25">
      <c r="A329" s="85">
        <v>46138</v>
      </c>
      <c r="B329" t="s">
        <v>40</v>
      </c>
      <c r="C329">
        <v>28</v>
      </c>
      <c r="D329" s="86">
        <v>0</v>
      </c>
      <c r="E329">
        <v>5</v>
      </c>
      <c r="F329">
        <v>2</v>
      </c>
      <c r="G329">
        <v>21</v>
      </c>
      <c r="H329">
        <v>9</v>
      </c>
      <c r="I329">
        <v>0.4</v>
      </c>
      <c r="J329">
        <v>0.43</v>
      </c>
      <c r="K329">
        <v>1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86">
        <f>AVERAGEIFS($C$2:C329, $B$2:B329, B329)</f>
        <v>18</v>
      </c>
      <c r="AB329" s="86">
        <f>AVERAGEIFS($I$2:I329, $B$2:B329, B329)</f>
        <v>0.505</v>
      </c>
      <c r="AC329" s="86">
        <f>AVERAGEIFS($J$2:J329, $B$2:B329, B329)</f>
        <v>0.47299999999999998</v>
      </c>
      <c r="AD329" s="86">
        <f>AVERAGEIFS($D$2:D329, $B$2:B329, B329)</f>
        <v>0.4</v>
      </c>
    </row>
    <row r="330" spans="1:30" x14ac:dyDescent="0.25">
      <c r="A330" s="85">
        <v>46138</v>
      </c>
      <c r="B330" t="s">
        <v>25</v>
      </c>
      <c r="C330">
        <v>24</v>
      </c>
      <c r="D330" s="86">
        <v>0</v>
      </c>
      <c r="E330">
        <v>5</v>
      </c>
      <c r="F330">
        <v>2</v>
      </c>
      <c r="G330">
        <v>21</v>
      </c>
      <c r="H330">
        <v>9</v>
      </c>
      <c r="I330">
        <v>0.4</v>
      </c>
      <c r="J330">
        <v>0.43</v>
      </c>
      <c r="K330">
        <v>1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86">
        <f>AVERAGEIFS($C$2:C330, $B$2:B330, B330)</f>
        <v>18.666666666666668</v>
      </c>
      <c r="AB330" s="86">
        <f>AVERAGEIFS($I$2:I330, $B$2:B330, B330)</f>
        <v>0.52916666666666667</v>
      </c>
      <c r="AC330" s="86">
        <f>AVERAGEIFS($J$2:J330, $B$2:B330, B330)</f>
        <v>0.49500000000000005</v>
      </c>
      <c r="AD330" s="86">
        <f>AVERAGEIFS($D$2:D330, $B$2:B330, B330)</f>
        <v>0.58333333333333337</v>
      </c>
    </row>
    <row r="331" spans="1:30" x14ac:dyDescent="0.25">
      <c r="A331" s="85">
        <v>46138</v>
      </c>
      <c r="B331" t="s">
        <v>70</v>
      </c>
      <c r="C331">
        <v>19</v>
      </c>
      <c r="D331" s="86">
        <v>0</v>
      </c>
      <c r="E331">
        <v>5</v>
      </c>
      <c r="F331">
        <v>2</v>
      </c>
      <c r="G331">
        <v>21</v>
      </c>
      <c r="H331">
        <v>9</v>
      </c>
      <c r="I331">
        <v>0.4</v>
      </c>
      <c r="J331">
        <v>0.43</v>
      </c>
      <c r="K331">
        <v>1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1</v>
      </c>
      <c r="Y331">
        <v>0</v>
      </c>
      <c r="Z331">
        <v>0</v>
      </c>
      <c r="AA331" s="86">
        <f>AVERAGEIFS($C$2:C331, $B$2:B331, B331)</f>
        <v>17.666666666666668</v>
      </c>
      <c r="AB331" s="86">
        <f>AVERAGEIFS($I$2:I331, $B$2:B331, B331)</f>
        <v>0.66666666666666663</v>
      </c>
      <c r="AC331" s="86">
        <f>AVERAGEIFS($J$2:J331, $B$2:B331, B331)</f>
        <v>0.54666666666666663</v>
      </c>
      <c r="AD331" s="86">
        <f>AVERAGEIFS($D$2:D331, $B$2:B331, B331)</f>
        <v>0.66666666666666663</v>
      </c>
    </row>
    <row r="332" spans="1:30" x14ac:dyDescent="0.25">
      <c r="A332" s="85">
        <v>46140</v>
      </c>
      <c r="B332" t="s">
        <v>14</v>
      </c>
      <c r="C332">
        <v>29</v>
      </c>
      <c r="D332" s="86">
        <v>1</v>
      </c>
      <c r="E332">
        <v>5</v>
      </c>
      <c r="F332">
        <v>3</v>
      </c>
      <c r="G332">
        <v>18</v>
      </c>
      <c r="H332">
        <v>10</v>
      </c>
      <c r="I332">
        <v>0.6</v>
      </c>
      <c r="J332">
        <v>0.56000000000000005</v>
      </c>
      <c r="K332">
        <v>0</v>
      </c>
      <c r="L332">
        <v>0</v>
      </c>
      <c r="M332">
        <v>1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1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1</v>
      </c>
      <c r="AA332" s="86">
        <f>AVERAGEIFS($C$2:C332, $B$2:B332, B332)</f>
        <v>22.8125</v>
      </c>
      <c r="AB332" s="86">
        <f>AVERAGEIFS($I$2:I332, $B$2:B332, B332)</f>
        <v>0.34687499999999999</v>
      </c>
      <c r="AC332" s="86">
        <f>AVERAGEIFS($J$2:J332, $B$2:B332, B332)</f>
        <v>0.42499999999999993</v>
      </c>
      <c r="AD332" s="86">
        <f>AVERAGEIFS($D$2:D332, $B$2:B332, B332)</f>
        <v>0.25</v>
      </c>
    </row>
    <row r="333" spans="1:30" x14ac:dyDescent="0.25">
      <c r="A333" s="85">
        <v>46140</v>
      </c>
      <c r="B333" t="s">
        <v>25</v>
      </c>
      <c r="C333">
        <v>24</v>
      </c>
      <c r="D333" s="86">
        <v>1</v>
      </c>
      <c r="E333">
        <v>5</v>
      </c>
      <c r="F333">
        <v>3</v>
      </c>
      <c r="G333">
        <v>18</v>
      </c>
      <c r="H333">
        <v>10</v>
      </c>
      <c r="I333">
        <v>0.6</v>
      </c>
      <c r="J333">
        <v>0.56000000000000005</v>
      </c>
      <c r="K333">
        <v>0</v>
      </c>
      <c r="L333">
        <v>0</v>
      </c>
      <c r="M333">
        <v>1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1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1</v>
      </c>
      <c r="AA333" s="86">
        <f>AVERAGEIFS($C$2:C333, $B$2:B333, B333)</f>
        <v>19.076923076923077</v>
      </c>
      <c r="AB333" s="86">
        <f>AVERAGEIFS($I$2:I333, $B$2:B333, B333)</f>
        <v>0.5346153846153846</v>
      </c>
      <c r="AC333" s="86">
        <f>AVERAGEIFS($J$2:J333, $B$2:B333, B333)</f>
        <v>0.5</v>
      </c>
      <c r="AD333" s="86">
        <f>AVERAGEIFS($D$2:D333, $B$2:B333, B333)</f>
        <v>0.61538461538461542</v>
      </c>
    </row>
    <row r="334" spans="1:30" x14ac:dyDescent="0.25">
      <c r="A334" s="85">
        <v>46140</v>
      </c>
      <c r="B334" t="s">
        <v>37</v>
      </c>
      <c r="C334">
        <v>25</v>
      </c>
      <c r="D334" s="86">
        <v>1</v>
      </c>
      <c r="E334">
        <v>5</v>
      </c>
      <c r="F334">
        <v>3</v>
      </c>
      <c r="G334">
        <v>18</v>
      </c>
      <c r="H334">
        <v>10</v>
      </c>
      <c r="I334">
        <v>0.6</v>
      </c>
      <c r="J334">
        <v>0.56000000000000005</v>
      </c>
      <c r="K334">
        <v>0</v>
      </c>
      <c r="L334">
        <v>0</v>
      </c>
      <c r="M334">
        <v>1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1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1</v>
      </c>
      <c r="AA334" s="86">
        <f>AVERAGEIFS($C$2:C334, $B$2:B334, B334)</f>
        <v>19.8</v>
      </c>
      <c r="AB334" s="86">
        <f>AVERAGEIFS($I$2:I334, $B$2:B334, B334)</f>
        <v>0.45499999999999996</v>
      </c>
      <c r="AC334" s="86">
        <f>AVERAGEIFS($J$2:J334, $B$2:B334, B334)</f>
        <v>0.46799999999999997</v>
      </c>
      <c r="AD334" s="86">
        <f>AVERAGEIFS($D$2:D334, $B$2:B334, B334)</f>
        <v>0.6</v>
      </c>
    </row>
    <row r="335" spans="1:30" x14ac:dyDescent="0.25">
      <c r="A335" s="85">
        <v>46140</v>
      </c>
      <c r="B335" t="s">
        <v>45</v>
      </c>
      <c r="C335">
        <v>12</v>
      </c>
      <c r="D335" s="86">
        <v>1</v>
      </c>
      <c r="E335">
        <v>5</v>
      </c>
      <c r="F335">
        <v>3</v>
      </c>
      <c r="G335">
        <v>18</v>
      </c>
      <c r="H335">
        <v>10</v>
      </c>
      <c r="I335">
        <v>0.6</v>
      </c>
      <c r="J335">
        <v>0.56000000000000005</v>
      </c>
      <c r="K335">
        <v>0</v>
      </c>
      <c r="L335">
        <v>0</v>
      </c>
      <c r="M335">
        <v>1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1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1</v>
      </c>
      <c r="AA335" s="86">
        <f>AVERAGEIFS($C$2:C335, $B$2:B335, B335)</f>
        <v>13.857142857142858</v>
      </c>
      <c r="AB335" s="86">
        <f>AVERAGEIFS($I$2:I335, $B$2:B335, B335)</f>
        <v>0.51428571428571435</v>
      </c>
      <c r="AC335" s="86">
        <f>AVERAGEIFS($J$2:J335, $B$2:B335, B335)</f>
        <v>0.4871428571428571</v>
      </c>
      <c r="AD335" s="86">
        <f>AVERAGEIFS($D$2:D335, $B$2:B335, B335)</f>
        <v>0.5714285714285714</v>
      </c>
    </row>
    <row r="336" spans="1:30" x14ac:dyDescent="0.25">
      <c r="A336" s="85">
        <v>46140</v>
      </c>
      <c r="B336" t="s">
        <v>148</v>
      </c>
      <c r="C336">
        <v>7</v>
      </c>
      <c r="D336" s="86">
        <v>1</v>
      </c>
      <c r="E336">
        <v>5</v>
      </c>
      <c r="F336">
        <v>3</v>
      </c>
      <c r="G336">
        <v>18</v>
      </c>
      <c r="H336">
        <v>10</v>
      </c>
      <c r="I336">
        <v>0.6</v>
      </c>
      <c r="J336">
        <v>0.56000000000000005</v>
      </c>
      <c r="K336">
        <v>0</v>
      </c>
      <c r="L336">
        <v>0</v>
      </c>
      <c r="M336">
        <v>1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1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1</v>
      </c>
      <c r="AA336" s="86">
        <f>AVERAGEIFS($C$2:C336, $B$2:B336, B336)</f>
        <v>13.454545454545455</v>
      </c>
      <c r="AB336" s="86">
        <f>AVERAGEIFS($I$2:I336, $B$2:B336, B336)</f>
        <v>0.61363636363636365</v>
      </c>
      <c r="AC336" s="86">
        <f>AVERAGEIFS($J$2:J336, $B$2:B336, B336)</f>
        <v>0.55136363636363639</v>
      </c>
      <c r="AD336" s="86">
        <f>AVERAGEIFS($D$2:D336, $B$2:B336, B336)</f>
        <v>0.68181818181818177</v>
      </c>
    </row>
    <row r="337" spans="1:30" x14ac:dyDescent="0.25">
      <c r="A337" s="85">
        <v>46140</v>
      </c>
      <c r="B337" t="s">
        <v>13</v>
      </c>
      <c r="C337">
        <v>30</v>
      </c>
      <c r="D337" s="86">
        <v>0</v>
      </c>
      <c r="E337">
        <v>5</v>
      </c>
      <c r="F337">
        <v>2</v>
      </c>
      <c r="G337">
        <v>18</v>
      </c>
      <c r="H337">
        <v>8</v>
      </c>
      <c r="I337">
        <v>0.4</v>
      </c>
      <c r="J337">
        <v>0.44</v>
      </c>
      <c r="K337">
        <v>0</v>
      </c>
      <c r="L337">
        <v>0</v>
      </c>
      <c r="M337">
        <v>0</v>
      </c>
      <c r="N337">
        <v>1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1</v>
      </c>
      <c r="X337">
        <v>0</v>
      </c>
      <c r="Y337">
        <v>0</v>
      </c>
      <c r="Z337">
        <v>0</v>
      </c>
      <c r="AA337" s="86">
        <f>AVERAGEIFS($C$2:C337, $B$2:B337, B337)</f>
        <v>25.565217391304348</v>
      </c>
      <c r="AB337" s="86">
        <f>AVERAGEIFS($I$2:I337, $B$2:B337, B337)</f>
        <v>0.65217391304347827</v>
      </c>
      <c r="AC337" s="86">
        <f>AVERAGEIFS($J$2:J337, $B$2:B337, B337)</f>
        <v>0.58869565217391295</v>
      </c>
      <c r="AD337" s="86">
        <f>AVERAGEIFS($D$2:D337, $B$2:B337, B337)</f>
        <v>0.69565217391304346</v>
      </c>
    </row>
    <row r="338" spans="1:30" x14ac:dyDescent="0.25">
      <c r="A338" s="85">
        <v>46140</v>
      </c>
      <c r="B338" t="s">
        <v>5</v>
      </c>
      <c r="C338">
        <v>25</v>
      </c>
      <c r="D338" s="86">
        <v>0</v>
      </c>
      <c r="E338">
        <v>5</v>
      </c>
      <c r="F338">
        <v>2</v>
      </c>
      <c r="G338">
        <v>18</v>
      </c>
      <c r="H338">
        <v>8</v>
      </c>
      <c r="I338">
        <v>0.4</v>
      </c>
      <c r="J338">
        <v>0.44</v>
      </c>
      <c r="K338">
        <v>0</v>
      </c>
      <c r="L338">
        <v>0</v>
      </c>
      <c r="M338">
        <v>0</v>
      </c>
      <c r="N338">
        <v>1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1</v>
      </c>
      <c r="X338">
        <v>0</v>
      </c>
      <c r="Y338">
        <v>0</v>
      </c>
      <c r="Z338">
        <v>0</v>
      </c>
      <c r="AA338" s="86">
        <f>AVERAGEIFS($C$2:C338, $B$2:B338, B338)</f>
        <v>30.6</v>
      </c>
      <c r="AB338" s="86">
        <f>AVERAGEIFS($I$2:I338, $B$2:B338, B338)</f>
        <v>0.37</v>
      </c>
      <c r="AC338" s="86">
        <f>AVERAGEIFS($J$2:J338, $B$2:B338, B338)</f>
        <v>0.44600000000000001</v>
      </c>
      <c r="AD338" s="86">
        <f>AVERAGEIFS($D$2:D338, $B$2:B338, B338)</f>
        <v>0.4</v>
      </c>
    </row>
    <row r="339" spans="1:30" x14ac:dyDescent="0.25">
      <c r="A339" s="85">
        <v>46140</v>
      </c>
      <c r="B339" t="s">
        <v>155</v>
      </c>
      <c r="C339">
        <v>20</v>
      </c>
      <c r="D339" s="86">
        <v>0</v>
      </c>
      <c r="E339">
        <v>5</v>
      </c>
      <c r="F339">
        <v>2</v>
      </c>
      <c r="G339">
        <v>18</v>
      </c>
      <c r="H339">
        <v>8</v>
      </c>
      <c r="I339">
        <v>0.4</v>
      </c>
      <c r="J339">
        <v>0.44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1</v>
      </c>
      <c r="X339">
        <v>0</v>
      </c>
      <c r="Y339">
        <v>0</v>
      </c>
      <c r="Z339">
        <v>0</v>
      </c>
      <c r="AA339" s="86">
        <f>AVERAGEIFS($C$2:C339, $B$2:B339, B339)</f>
        <v>18.882352941176471</v>
      </c>
      <c r="AB339" s="86">
        <f>AVERAGEIFS($I$2:I339, $B$2:B339, B339)</f>
        <v>0.35882352941176471</v>
      </c>
      <c r="AC339" s="86">
        <f>AVERAGEIFS($J$2:J339, $B$2:B339, B339)</f>
        <v>0.441764705882353</v>
      </c>
      <c r="AD339" s="86">
        <f>AVERAGEIFS($D$2:D339, $B$2:B339, B339)</f>
        <v>0.29411764705882354</v>
      </c>
    </row>
    <row r="340" spans="1:30" x14ac:dyDescent="0.25">
      <c r="A340" s="85">
        <v>46140</v>
      </c>
      <c r="B340" t="s">
        <v>140</v>
      </c>
      <c r="C340">
        <v>9</v>
      </c>
      <c r="D340" s="86">
        <v>0</v>
      </c>
      <c r="E340">
        <v>5</v>
      </c>
      <c r="F340">
        <v>2</v>
      </c>
      <c r="G340">
        <v>18</v>
      </c>
      <c r="H340">
        <v>8</v>
      </c>
      <c r="I340">
        <v>0.4</v>
      </c>
      <c r="J340">
        <v>0.44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1</v>
      </c>
      <c r="X340">
        <v>0</v>
      </c>
      <c r="Y340">
        <v>0</v>
      </c>
      <c r="Z340">
        <v>0</v>
      </c>
      <c r="AA340" s="86">
        <f>AVERAGEIFS($C$2:C340, $B$2:B340, B340)</f>
        <v>6.166666666666667</v>
      </c>
      <c r="AB340" s="86">
        <f>AVERAGEIFS($I$2:I340, $B$2:B340, B340)</f>
        <v>0.5</v>
      </c>
      <c r="AC340" s="86">
        <f>AVERAGEIFS($J$2:J340, $B$2:B340, B340)</f>
        <v>0.49</v>
      </c>
      <c r="AD340" s="86">
        <f>AVERAGEIFS($D$2:D340, $B$2:B340, B340)</f>
        <v>0.5</v>
      </c>
    </row>
    <row r="341" spans="1:30" x14ac:dyDescent="0.25">
      <c r="A341" s="85">
        <v>46140</v>
      </c>
      <c r="B341" t="s">
        <v>38</v>
      </c>
      <c r="C341">
        <v>9</v>
      </c>
      <c r="D341" s="86">
        <v>0</v>
      </c>
      <c r="E341">
        <v>5</v>
      </c>
      <c r="F341">
        <v>2</v>
      </c>
      <c r="G341">
        <v>18</v>
      </c>
      <c r="H341">
        <v>8</v>
      </c>
      <c r="I341">
        <v>0.4</v>
      </c>
      <c r="J341">
        <v>0.44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1</v>
      </c>
      <c r="X341">
        <v>0</v>
      </c>
      <c r="Y341">
        <v>0</v>
      </c>
      <c r="Z341">
        <v>0</v>
      </c>
      <c r="AA341" s="86">
        <f>AVERAGEIFS($C$2:C341, $B$2:B341, B341)</f>
        <v>12.166666666666666</v>
      </c>
      <c r="AB341" s="86">
        <f>AVERAGEIFS($I$2:I341, $B$2:B341, B341)</f>
        <v>0.43333333333333335</v>
      </c>
      <c r="AC341" s="86">
        <f>AVERAGEIFS($J$2:J341, $B$2:B341, B341)</f>
        <v>0.47</v>
      </c>
      <c r="AD341" s="86">
        <f>AVERAGEIFS($D$2:D341, $B$2:B341, B341)</f>
        <v>0.5</v>
      </c>
    </row>
    <row r="342" spans="1:30" x14ac:dyDescent="0.25">
      <c r="A342" s="85">
        <v>46144</v>
      </c>
      <c r="B342" t="s">
        <v>113</v>
      </c>
      <c r="C342">
        <v>25</v>
      </c>
      <c r="D342" s="86">
        <v>1</v>
      </c>
      <c r="E342">
        <v>3</v>
      </c>
      <c r="F342">
        <v>3</v>
      </c>
      <c r="G342">
        <v>14</v>
      </c>
      <c r="H342">
        <v>9</v>
      </c>
      <c r="I342">
        <v>1</v>
      </c>
      <c r="J342">
        <v>0.64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 s="86">
        <f>AVERAGEIFS($C$2:C342, $B$2:B342, B342)</f>
        <v>20.9</v>
      </c>
      <c r="AB342" s="86">
        <f>AVERAGEIFS($I$2:I342, $B$2:B342, B342)</f>
        <v>0.65</v>
      </c>
      <c r="AC342" s="86">
        <f>AVERAGEIFS($J$2:J342, $B$2:B342, B342)</f>
        <v>0.53999999999999992</v>
      </c>
      <c r="AD342" s="86">
        <f>AVERAGEIFS($D$2:D342, $B$2:B342, B342)</f>
        <v>0.7</v>
      </c>
    </row>
    <row r="343" spans="1:30" x14ac:dyDescent="0.25">
      <c r="A343" s="85">
        <v>46144</v>
      </c>
      <c r="B343" t="s">
        <v>150</v>
      </c>
      <c r="C343">
        <v>24</v>
      </c>
      <c r="D343" s="86">
        <v>1</v>
      </c>
      <c r="E343">
        <v>3</v>
      </c>
      <c r="F343">
        <v>3</v>
      </c>
      <c r="G343">
        <v>14</v>
      </c>
      <c r="H343">
        <v>9</v>
      </c>
      <c r="I343">
        <v>1</v>
      </c>
      <c r="J343">
        <v>0.64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 s="86">
        <f>AVERAGEIFS($C$2:C343, $B$2:B343, B343)</f>
        <v>18.125</v>
      </c>
      <c r="AB343" s="86">
        <f>AVERAGEIFS($I$2:I343, $B$2:B343, B343)</f>
        <v>0.73124999999999996</v>
      </c>
      <c r="AC343" s="86">
        <f>AVERAGEIFS($J$2:J343, $B$2:B343, B343)</f>
        <v>0.64999999999999991</v>
      </c>
      <c r="AD343" s="86">
        <f>AVERAGEIFS($D$2:D343, $B$2:B343, B343)</f>
        <v>0.875</v>
      </c>
    </row>
    <row r="344" spans="1:30" x14ac:dyDescent="0.25">
      <c r="A344" s="85">
        <v>46144</v>
      </c>
      <c r="B344" t="s">
        <v>4</v>
      </c>
      <c r="C344">
        <v>19</v>
      </c>
      <c r="D344" s="86">
        <v>1</v>
      </c>
      <c r="E344">
        <v>3</v>
      </c>
      <c r="F344">
        <v>3</v>
      </c>
      <c r="G344">
        <v>14</v>
      </c>
      <c r="H344">
        <v>9</v>
      </c>
      <c r="I344">
        <v>1</v>
      </c>
      <c r="J344">
        <v>0.64</v>
      </c>
      <c r="K344">
        <v>0</v>
      </c>
      <c r="L344">
        <v>1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 s="86">
        <f>AVERAGEIFS($C$2:C344, $B$2:B344, B344)</f>
        <v>25.125</v>
      </c>
      <c r="AB344" s="86">
        <f>AVERAGEIFS($I$2:I344, $B$2:B344, B344)</f>
        <v>0.43125000000000002</v>
      </c>
      <c r="AC344" s="86">
        <f>AVERAGEIFS($J$2:J344, $B$2:B344, B344)</f>
        <v>0.45374999999999999</v>
      </c>
      <c r="AD344" s="86">
        <f>AVERAGEIFS($D$2:D344, $B$2:B344, B344)</f>
        <v>0.5</v>
      </c>
    </row>
    <row r="345" spans="1:30" x14ac:dyDescent="0.25">
      <c r="A345" s="85">
        <v>46144</v>
      </c>
      <c r="B345" t="s">
        <v>6</v>
      </c>
      <c r="C345">
        <v>17</v>
      </c>
      <c r="D345" s="86">
        <v>1</v>
      </c>
      <c r="E345">
        <v>3</v>
      </c>
      <c r="F345">
        <v>3</v>
      </c>
      <c r="G345">
        <v>14</v>
      </c>
      <c r="H345">
        <v>9</v>
      </c>
      <c r="I345">
        <v>1</v>
      </c>
      <c r="J345">
        <v>0.64</v>
      </c>
      <c r="K345">
        <v>0</v>
      </c>
      <c r="L345">
        <v>1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 s="86">
        <f>AVERAGEIFS($C$2:C345, $B$2:B345, B345)</f>
        <v>25.125</v>
      </c>
      <c r="AB345" s="86">
        <f>AVERAGEIFS($I$2:I345, $B$2:B345, B345)</f>
        <v>0.6</v>
      </c>
      <c r="AC345" s="86">
        <f>AVERAGEIFS($J$2:J345, $B$2:B345, B345)</f>
        <v>0.55874999999999997</v>
      </c>
      <c r="AD345" s="86">
        <f>AVERAGEIFS($D$2:D345, $B$2:B345, B345)</f>
        <v>0.5</v>
      </c>
    </row>
    <row r="346" spans="1:30" x14ac:dyDescent="0.25">
      <c r="A346" s="85">
        <v>46144</v>
      </c>
      <c r="B346" t="s">
        <v>5</v>
      </c>
      <c r="C346">
        <v>17</v>
      </c>
      <c r="D346" s="86">
        <v>1</v>
      </c>
      <c r="E346">
        <v>3</v>
      </c>
      <c r="F346">
        <v>3</v>
      </c>
      <c r="G346">
        <v>14</v>
      </c>
      <c r="H346">
        <v>9</v>
      </c>
      <c r="I346">
        <v>1</v>
      </c>
      <c r="J346">
        <v>0.64</v>
      </c>
      <c r="K346">
        <v>0</v>
      </c>
      <c r="L346">
        <v>1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 s="86">
        <f>AVERAGEIFS($C$2:C346, $B$2:B346, B346)</f>
        <v>28.333333333333332</v>
      </c>
      <c r="AB346" s="86">
        <f>AVERAGEIFS($I$2:I346, $B$2:B346, B346)</f>
        <v>0.47500000000000003</v>
      </c>
      <c r="AC346" s="86">
        <f>AVERAGEIFS($J$2:J346, $B$2:B346, B346)</f>
        <v>0.47833333333333333</v>
      </c>
      <c r="AD346" s="86">
        <f>AVERAGEIFS($D$2:D346, $B$2:B346, B346)</f>
        <v>0.5</v>
      </c>
    </row>
    <row r="347" spans="1:30" x14ac:dyDescent="0.25">
      <c r="A347" s="85">
        <v>46144</v>
      </c>
      <c r="B347" t="s">
        <v>2</v>
      </c>
      <c r="C347">
        <v>14</v>
      </c>
      <c r="D347" s="86">
        <v>1</v>
      </c>
      <c r="E347">
        <v>3</v>
      </c>
      <c r="F347">
        <v>3</v>
      </c>
      <c r="G347">
        <v>14</v>
      </c>
      <c r="H347">
        <v>9</v>
      </c>
      <c r="I347">
        <v>1</v>
      </c>
      <c r="J347">
        <v>0.64</v>
      </c>
      <c r="K347">
        <v>0</v>
      </c>
      <c r="L347">
        <v>1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1</v>
      </c>
      <c r="Y347">
        <v>0</v>
      </c>
      <c r="Z347">
        <v>1</v>
      </c>
      <c r="AA347" s="86">
        <f>AVERAGEIFS($C$2:C347, $B$2:B347, B347)</f>
        <v>28</v>
      </c>
      <c r="AB347" s="86">
        <f>AVERAGEIFS($I$2:I347, $B$2:B347, B347)</f>
        <v>0.79999999999999993</v>
      </c>
      <c r="AC347" s="86">
        <f>AVERAGEIFS($J$2:J347, $B$2:B347, B347)</f>
        <v>0.58666666666666656</v>
      </c>
      <c r="AD347" s="86">
        <f>AVERAGEIFS($D$2:D347, $B$2:B347, B347)</f>
        <v>0.66666666666666663</v>
      </c>
    </row>
    <row r="348" spans="1:30" x14ac:dyDescent="0.25">
      <c r="A348" s="85">
        <v>46144</v>
      </c>
      <c r="B348" t="s">
        <v>44</v>
      </c>
      <c r="C348">
        <v>13</v>
      </c>
      <c r="D348" s="86">
        <v>1</v>
      </c>
      <c r="E348">
        <v>3</v>
      </c>
      <c r="F348">
        <v>3</v>
      </c>
      <c r="G348">
        <v>14</v>
      </c>
      <c r="H348">
        <v>9</v>
      </c>
      <c r="I348">
        <v>1</v>
      </c>
      <c r="J348">
        <v>0.64</v>
      </c>
      <c r="K348">
        <v>0</v>
      </c>
      <c r="L348">
        <v>1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1</v>
      </c>
      <c r="Y348">
        <v>0</v>
      </c>
      <c r="Z348">
        <v>1</v>
      </c>
      <c r="AA348" s="86">
        <f>AVERAGEIFS($C$2:C348, $B$2:B348, B348)</f>
        <v>17</v>
      </c>
      <c r="AB348" s="86">
        <f>AVERAGEIFS($I$2:I348, $B$2:B348, B348)</f>
        <v>0.8666666666666667</v>
      </c>
      <c r="AC348" s="86">
        <f>AVERAGEIFS($J$2:J348, $B$2:B348, B348)</f>
        <v>0.63666666666666671</v>
      </c>
      <c r="AD348" s="86">
        <f>AVERAGEIFS($D$2:D348, $B$2:B348, B348)</f>
        <v>1</v>
      </c>
    </row>
    <row r="349" spans="1:30" x14ac:dyDescent="0.25">
      <c r="A349" s="85">
        <v>46144</v>
      </c>
      <c r="B349" t="s">
        <v>179</v>
      </c>
      <c r="C349">
        <v>8</v>
      </c>
      <c r="D349" s="86">
        <v>1</v>
      </c>
      <c r="E349">
        <v>3</v>
      </c>
      <c r="F349">
        <v>3</v>
      </c>
      <c r="G349">
        <v>14</v>
      </c>
      <c r="H349">
        <v>9</v>
      </c>
      <c r="I349">
        <v>1</v>
      </c>
      <c r="J349">
        <v>0.64</v>
      </c>
      <c r="K349">
        <v>0</v>
      </c>
      <c r="L349">
        <v>1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1</v>
      </c>
      <c r="Y349">
        <v>0</v>
      </c>
      <c r="Z349">
        <v>1</v>
      </c>
      <c r="AA349" s="86">
        <f>AVERAGEIFS($C$2:C349, $B$2:B349, B349)</f>
        <v>8</v>
      </c>
      <c r="AB349" s="86">
        <f>AVERAGEIFS($I$2:I349, $B$2:B349, B349)</f>
        <v>1</v>
      </c>
      <c r="AC349" s="86">
        <f>AVERAGEIFS($J$2:J349, $B$2:B349, B349)</f>
        <v>0.64</v>
      </c>
      <c r="AD349" s="86">
        <f>AVERAGEIFS($D$2:D349, $B$2:B349, B349)</f>
        <v>1</v>
      </c>
    </row>
    <row r="350" spans="1:30" x14ac:dyDescent="0.25">
      <c r="A350" s="85">
        <v>46144</v>
      </c>
      <c r="B350" t="s">
        <v>14</v>
      </c>
      <c r="C350">
        <v>26</v>
      </c>
      <c r="D350" s="86">
        <v>0</v>
      </c>
      <c r="E350">
        <v>3</v>
      </c>
      <c r="F350">
        <v>0</v>
      </c>
      <c r="G350">
        <v>14</v>
      </c>
      <c r="H350">
        <v>5</v>
      </c>
      <c r="I350">
        <v>0</v>
      </c>
      <c r="J350">
        <v>0.36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 s="86">
        <f>AVERAGEIFS($C$2:C350, $B$2:B350, B350)</f>
        <v>23</v>
      </c>
      <c r="AB350" s="86">
        <f>AVERAGEIFS($I$2:I350, $B$2:B350, B350)</f>
        <v>0.32647058823529412</v>
      </c>
      <c r="AC350" s="86">
        <f>AVERAGEIFS($J$2:J350, $B$2:B350, B350)</f>
        <v>0.42117647058823526</v>
      </c>
      <c r="AD350" s="86">
        <f>AVERAGEIFS($D$2:D350, $B$2:B350, B350)</f>
        <v>0.23529411764705882</v>
      </c>
    </row>
    <row r="351" spans="1:30" x14ac:dyDescent="0.25">
      <c r="A351" s="85">
        <v>46144</v>
      </c>
      <c r="B351" t="s">
        <v>17</v>
      </c>
      <c r="C351">
        <v>24</v>
      </c>
      <c r="D351" s="86">
        <v>0</v>
      </c>
      <c r="E351">
        <v>3</v>
      </c>
      <c r="F351">
        <v>0</v>
      </c>
      <c r="G351">
        <v>14</v>
      </c>
      <c r="H351">
        <v>5</v>
      </c>
      <c r="I351">
        <v>0</v>
      </c>
      <c r="J351">
        <v>0.36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 s="86">
        <f>AVERAGEIFS($C$2:C351, $B$2:B351, B351)</f>
        <v>24.578947368421051</v>
      </c>
      <c r="AB351" s="86">
        <f>AVERAGEIFS($I$2:I351, $B$2:B351, B351)</f>
        <v>0.48157894736842105</v>
      </c>
      <c r="AC351" s="86">
        <f>AVERAGEIFS($J$2:J351, $B$2:B351, B351)</f>
        <v>0.50578947368421034</v>
      </c>
      <c r="AD351" s="86">
        <f>AVERAGEIFS($D$2:D351, $B$2:B351, B351)</f>
        <v>0.52631578947368418</v>
      </c>
    </row>
    <row r="352" spans="1:30" x14ac:dyDescent="0.25">
      <c r="A352" s="85">
        <v>46144</v>
      </c>
      <c r="B352" t="s">
        <v>13</v>
      </c>
      <c r="C352">
        <v>24</v>
      </c>
      <c r="D352" s="86">
        <v>0</v>
      </c>
      <c r="E352">
        <v>3</v>
      </c>
      <c r="F352">
        <v>0</v>
      </c>
      <c r="G352">
        <v>14</v>
      </c>
      <c r="H352">
        <v>5</v>
      </c>
      <c r="I352">
        <v>0</v>
      </c>
      <c r="J352">
        <v>0.36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 s="86">
        <f>AVERAGEIFS($C$2:C352, $B$2:B352, B352)</f>
        <v>25.5</v>
      </c>
      <c r="AB352" s="86">
        <f>AVERAGEIFS($I$2:I352, $B$2:B352, B352)</f>
        <v>0.625</v>
      </c>
      <c r="AC352" s="86">
        <f>AVERAGEIFS($J$2:J352, $B$2:B352, B352)</f>
        <v>0.57916666666666661</v>
      </c>
      <c r="AD352" s="86">
        <f>AVERAGEIFS($D$2:D352, $B$2:B352, B352)</f>
        <v>0.66666666666666663</v>
      </c>
    </row>
    <row r="353" spans="1:30" x14ac:dyDescent="0.25">
      <c r="A353" s="85">
        <v>46144</v>
      </c>
      <c r="B353" t="s">
        <v>148</v>
      </c>
      <c r="C353">
        <v>11</v>
      </c>
      <c r="D353" s="86">
        <v>0</v>
      </c>
      <c r="E353">
        <v>3</v>
      </c>
      <c r="F353">
        <v>0</v>
      </c>
      <c r="G353">
        <v>14</v>
      </c>
      <c r="H353">
        <v>5</v>
      </c>
      <c r="I353">
        <v>0</v>
      </c>
      <c r="J353">
        <v>0.36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 s="86">
        <f>AVERAGEIFS($C$2:C353, $B$2:B353, B353)</f>
        <v>13.347826086956522</v>
      </c>
      <c r="AB353" s="86">
        <f>AVERAGEIFS($I$2:I353, $B$2:B353, B353)</f>
        <v>0.58695652173913049</v>
      </c>
      <c r="AC353" s="86">
        <f>AVERAGEIFS($J$2:J353, $B$2:B353, B353)</f>
        <v>0.54304347826086963</v>
      </c>
      <c r="AD353" s="86">
        <f>AVERAGEIFS($D$2:D353, $B$2:B353, B353)</f>
        <v>0.65217391304347827</v>
      </c>
    </row>
    <row r="354" spans="1:30" x14ac:dyDescent="0.25">
      <c r="A354" s="85">
        <v>46144</v>
      </c>
      <c r="B354" t="s">
        <v>29</v>
      </c>
      <c r="C354">
        <v>11</v>
      </c>
      <c r="D354" s="86">
        <v>0</v>
      </c>
      <c r="E354">
        <v>3</v>
      </c>
      <c r="F354">
        <v>0</v>
      </c>
      <c r="G354">
        <v>14</v>
      </c>
      <c r="H354">
        <v>5</v>
      </c>
      <c r="I354">
        <v>0</v>
      </c>
      <c r="J354">
        <v>0.36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 s="86">
        <f>AVERAGEIFS($C$2:C354, $B$2:B354, B354)</f>
        <v>12.052631578947368</v>
      </c>
      <c r="AB354" s="86">
        <f>AVERAGEIFS($I$2:I354, $B$2:B354, B354)</f>
        <v>0.38421052631578939</v>
      </c>
      <c r="AC354" s="86">
        <f>AVERAGEIFS($J$2:J354, $B$2:B354, B354)</f>
        <v>0.46</v>
      </c>
      <c r="AD354" s="86">
        <f>AVERAGEIFS($D$2:D354, $B$2:B354, B354)</f>
        <v>0.31578947368421051</v>
      </c>
    </row>
    <row r="355" spans="1:30" x14ac:dyDescent="0.25">
      <c r="A355" s="85">
        <v>46144</v>
      </c>
      <c r="B355" t="s">
        <v>155</v>
      </c>
      <c r="C355">
        <v>9</v>
      </c>
      <c r="D355" s="86">
        <v>0</v>
      </c>
      <c r="E355">
        <v>3</v>
      </c>
      <c r="F355">
        <v>0</v>
      </c>
      <c r="G355">
        <v>14</v>
      </c>
      <c r="H355">
        <v>5</v>
      </c>
      <c r="I355">
        <v>0</v>
      </c>
      <c r="J355">
        <v>0.36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 s="86">
        <f>AVERAGEIFS($C$2:C355, $B$2:B355, B355)</f>
        <v>18.333333333333332</v>
      </c>
      <c r="AB355" s="86">
        <f>AVERAGEIFS($I$2:I355, $B$2:B355, B355)</f>
        <v>0.33888888888888885</v>
      </c>
      <c r="AC355" s="86">
        <f>AVERAGEIFS($J$2:J355, $B$2:B355, B355)</f>
        <v>0.43722222222222229</v>
      </c>
      <c r="AD355" s="86">
        <f>AVERAGEIFS($D$2:D355, $B$2:B355, B355)</f>
        <v>0.27777777777777779</v>
      </c>
    </row>
    <row r="356" spans="1:30" x14ac:dyDescent="0.25">
      <c r="A356" s="85">
        <v>46144</v>
      </c>
      <c r="B356" t="s">
        <v>140</v>
      </c>
      <c r="C356">
        <v>5</v>
      </c>
      <c r="D356" s="86">
        <v>0</v>
      </c>
      <c r="E356">
        <v>3</v>
      </c>
      <c r="F356">
        <v>0</v>
      </c>
      <c r="G356">
        <v>14</v>
      </c>
      <c r="H356">
        <v>5</v>
      </c>
      <c r="I356">
        <v>0</v>
      </c>
      <c r="J356">
        <v>0.36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 s="86">
        <f>AVERAGEIFS($C$2:C356, $B$2:B356, B356)</f>
        <v>6</v>
      </c>
      <c r="AB356" s="86">
        <f>AVERAGEIFS($I$2:I356, $B$2:B356, B356)</f>
        <v>0.42857142857142855</v>
      </c>
      <c r="AC356" s="86">
        <f>AVERAGEIFS($J$2:J356, $B$2:B356, B356)</f>
        <v>0.47142857142857142</v>
      </c>
      <c r="AD356" s="86">
        <f>AVERAGEIFS($D$2:D356, $B$2:B356, B356)</f>
        <v>0.42857142857142855</v>
      </c>
    </row>
    <row r="357" spans="1:30" x14ac:dyDescent="0.25">
      <c r="A357" s="85">
        <v>46144</v>
      </c>
      <c r="B357" t="s">
        <v>139</v>
      </c>
      <c r="C357">
        <v>3</v>
      </c>
      <c r="D357" s="86">
        <v>0</v>
      </c>
      <c r="E357">
        <v>3</v>
      </c>
      <c r="F357">
        <v>0</v>
      </c>
      <c r="G357">
        <v>14</v>
      </c>
      <c r="H357">
        <v>5</v>
      </c>
      <c r="I357">
        <v>0</v>
      </c>
      <c r="J357">
        <v>0.36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 s="86">
        <f>AVERAGEIFS($C$2:C357, $B$2:B357, B357)</f>
        <v>10.583333333333334</v>
      </c>
      <c r="AB357" s="86">
        <f>AVERAGEIFS($I$2:I357, $B$2:B357, B357)</f>
        <v>0.52500000000000002</v>
      </c>
      <c r="AC357" s="86">
        <f>AVERAGEIFS($J$2:J357, $B$2:B357, B357)</f>
        <v>0.52749999999999997</v>
      </c>
      <c r="AD357" s="86">
        <f>AVERAGEIFS($D$2:D357, $B$2:B357, B357)</f>
        <v>0.66666666666666663</v>
      </c>
    </row>
    <row r="358" spans="1:30" x14ac:dyDescent="0.25">
      <c r="A358" s="85">
        <v>46144</v>
      </c>
      <c r="B358" t="s">
        <v>6</v>
      </c>
      <c r="C358">
        <v>20</v>
      </c>
      <c r="D358" s="86">
        <v>1</v>
      </c>
      <c r="E358">
        <v>4</v>
      </c>
      <c r="F358">
        <v>3</v>
      </c>
      <c r="G358">
        <v>16</v>
      </c>
      <c r="H358">
        <v>11</v>
      </c>
      <c r="I358">
        <v>0.75</v>
      </c>
      <c r="J358">
        <v>0.69</v>
      </c>
      <c r="K358">
        <v>0</v>
      </c>
      <c r="L358">
        <v>0</v>
      </c>
      <c r="M358">
        <v>1</v>
      </c>
      <c r="N358">
        <v>0</v>
      </c>
      <c r="O358">
        <v>0</v>
      </c>
      <c r="P358">
        <v>1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1</v>
      </c>
      <c r="Z358">
        <v>0</v>
      </c>
      <c r="AA358" s="86">
        <f>AVERAGEIFS($C$2:C358, $B$2:B358, B358)</f>
        <v>24.555555555555557</v>
      </c>
      <c r="AB358" s="86">
        <f>AVERAGEIFS($I$2:I358, $B$2:B358, B358)</f>
        <v>0.6166666666666667</v>
      </c>
      <c r="AC358" s="86">
        <f>AVERAGEIFS($J$2:J358, $B$2:B358, B358)</f>
        <v>0.57333333333333336</v>
      </c>
      <c r="AD358" s="86">
        <f>AVERAGEIFS($D$2:D358, $B$2:B358, B358)</f>
        <v>0.55555555555555558</v>
      </c>
    </row>
    <row r="359" spans="1:30" x14ac:dyDescent="0.25">
      <c r="A359" s="85">
        <v>46144</v>
      </c>
      <c r="B359" t="s">
        <v>44</v>
      </c>
      <c r="C359">
        <v>16</v>
      </c>
      <c r="D359" s="86">
        <v>1</v>
      </c>
      <c r="E359">
        <v>4</v>
      </c>
      <c r="F359">
        <v>3</v>
      </c>
      <c r="G359">
        <v>16</v>
      </c>
      <c r="H359">
        <v>11</v>
      </c>
      <c r="I359">
        <v>0.75</v>
      </c>
      <c r="J359">
        <v>0.69</v>
      </c>
      <c r="K359">
        <v>0</v>
      </c>
      <c r="L359">
        <v>0</v>
      </c>
      <c r="M359">
        <v>1</v>
      </c>
      <c r="N359">
        <v>0</v>
      </c>
      <c r="O359">
        <v>0</v>
      </c>
      <c r="P359">
        <v>1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1</v>
      </c>
      <c r="Z359">
        <v>0</v>
      </c>
      <c r="AA359" s="86">
        <f>AVERAGEIFS($C$2:C359, $B$2:B359, B359)</f>
        <v>16.75</v>
      </c>
      <c r="AB359" s="86">
        <f>AVERAGEIFS($I$2:I359, $B$2:B359, B359)</f>
        <v>0.83750000000000002</v>
      </c>
      <c r="AC359" s="86">
        <f>AVERAGEIFS($J$2:J359, $B$2:B359, B359)</f>
        <v>0.65</v>
      </c>
      <c r="AD359" s="86">
        <f>AVERAGEIFS($D$2:D359, $B$2:B359, B359)</f>
        <v>1</v>
      </c>
    </row>
    <row r="360" spans="1:30" x14ac:dyDescent="0.25">
      <c r="A360" s="85">
        <v>46144</v>
      </c>
      <c r="B360" t="s">
        <v>40</v>
      </c>
      <c r="C360">
        <v>25</v>
      </c>
      <c r="D360" s="86">
        <v>1</v>
      </c>
      <c r="E360">
        <v>4</v>
      </c>
      <c r="F360">
        <v>3</v>
      </c>
      <c r="G360">
        <v>16</v>
      </c>
      <c r="H360">
        <v>11</v>
      </c>
      <c r="I360">
        <v>0.75</v>
      </c>
      <c r="J360">
        <v>0.69</v>
      </c>
      <c r="K360">
        <v>0</v>
      </c>
      <c r="L360">
        <v>0</v>
      </c>
      <c r="M360">
        <v>1</v>
      </c>
      <c r="N360">
        <v>0</v>
      </c>
      <c r="O360">
        <v>0</v>
      </c>
      <c r="P360">
        <v>1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1</v>
      </c>
      <c r="Z360">
        <v>0</v>
      </c>
      <c r="AA360" s="86">
        <f>AVERAGEIFS($C$2:C360, $B$2:B360, B360)</f>
        <v>18.636363636363637</v>
      </c>
      <c r="AB360" s="86">
        <f>AVERAGEIFS($I$2:I360, $B$2:B360, B360)</f>
        <v>0.52727272727272723</v>
      </c>
      <c r="AC360" s="86">
        <f>AVERAGEIFS($J$2:J360, $B$2:B360, B360)</f>
        <v>0.49272727272727274</v>
      </c>
      <c r="AD360" s="86">
        <f>AVERAGEIFS($D$2:D360, $B$2:B360, B360)</f>
        <v>0.45454545454545453</v>
      </c>
    </row>
    <row r="361" spans="1:30" x14ac:dyDescent="0.25">
      <c r="A361" s="85">
        <v>46144</v>
      </c>
      <c r="B361" t="s">
        <v>147</v>
      </c>
      <c r="C361">
        <v>16</v>
      </c>
      <c r="D361" s="86">
        <v>1</v>
      </c>
      <c r="E361">
        <v>4</v>
      </c>
      <c r="F361">
        <v>3</v>
      </c>
      <c r="G361">
        <v>16</v>
      </c>
      <c r="H361">
        <v>11</v>
      </c>
      <c r="I361">
        <v>0.75</v>
      </c>
      <c r="J361">
        <v>0.69</v>
      </c>
      <c r="K361">
        <v>0</v>
      </c>
      <c r="L361">
        <v>0</v>
      </c>
      <c r="M361">
        <v>1</v>
      </c>
      <c r="N361">
        <v>0</v>
      </c>
      <c r="O361">
        <v>0</v>
      </c>
      <c r="P361">
        <v>1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1</v>
      </c>
      <c r="Z361">
        <v>0</v>
      </c>
      <c r="AA361" s="86">
        <f>AVERAGEIFS($C$2:C361, $B$2:B361, B361)</f>
        <v>15.714285714285714</v>
      </c>
      <c r="AB361" s="86">
        <f>AVERAGEIFS($I$2:I361, $B$2:B361, B361)</f>
        <v>0.30714285714285711</v>
      </c>
      <c r="AC361" s="86">
        <f>AVERAGEIFS($J$2:J361, $B$2:B361, B361)</f>
        <v>0.41714285714285715</v>
      </c>
      <c r="AD361" s="86">
        <f>AVERAGEIFS($D$2:D361, $B$2:B361, B361)</f>
        <v>0.2857142857142857</v>
      </c>
    </row>
    <row r="362" spans="1:30" x14ac:dyDescent="0.25">
      <c r="A362" s="85">
        <v>46144</v>
      </c>
      <c r="B362" t="s">
        <v>140</v>
      </c>
      <c r="C362">
        <v>11</v>
      </c>
      <c r="D362" s="86">
        <v>1</v>
      </c>
      <c r="E362">
        <v>4</v>
      </c>
      <c r="F362">
        <v>3</v>
      </c>
      <c r="G362">
        <v>16</v>
      </c>
      <c r="H362">
        <v>11</v>
      </c>
      <c r="I362">
        <v>0.75</v>
      </c>
      <c r="J362">
        <v>0.69</v>
      </c>
      <c r="K362">
        <v>0</v>
      </c>
      <c r="L362">
        <v>0</v>
      </c>
      <c r="M362">
        <v>1</v>
      </c>
      <c r="N362">
        <v>0</v>
      </c>
      <c r="O362">
        <v>0</v>
      </c>
      <c r="P362">
        <v>1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1</v>
      </c>
      <c r="Z362">
        <v>0</v>
      </c>
      <c r="AA362" s="86">
        <f>AVERAGEIFS($C$2:C362, $B$2:B362, B362)</f>
        <v>6.625</v>
      </c>
      <c r="AB362" s="86">
        <f>AVERAGEIFS($I$2:I362, $B$2:B362, B362)</f>
        <v>0.46875</v>
      </c>
      <c r="AC362" s="86">
        <f>AVERAGEIFS($J$2:J362, $B$2:B362, B362)</f>
        <v>0.49874999999999997</v>
      </c>
      <c r="AD362" s="86">
        <f>AVERAGEIFS($D$2:D362, $B$2:B362, B362)</f>
        <v>0.5</v>
      </c>
    </row>
    <row r="363" spans="1:30" x14ac:dyDescent="0.25">
      <c r="A363" s="85">
        <v>46144</v>
      </c>
      <c r="B363" t="s">
        <v>5</v>
      </c>
      <c r="C363">
        <v>22</v>
      </c>
      <c r="D363" s="86">
        <v>1</v>
      </c>
      <c r="E363">
        <v>4</v>
      </c>
      <c r="F363">
        <v>3</v>
      </c>
      <c r="G363">
        <v>16</v>
      </c>
      <c r="H363">
        <v>11</v>
      </c>
      <c r="I363">
        <v>0.75</v>
      </c>
      <c r="J363">
        <v>0.69</v>
      </c>
      <c r="K363">
        <v>0</v>
      </c>
      <c r="L363">
        <v>0</v>
      </c>
      <c r="M363">
        <v>1</v>
      </c>
      <c r="N363">
        <v>0</v>
      </c>
      <c r="O363">
        <v>0</v>
      </c>
      <c r="P363">
        <v>1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1</v>
      </c>
      <c r="Z363">
        <v>0</v>
      </c>
      <c r="AA363" s="86">
        <f>AVERAGEIFS($C$2:C363, $B$2:B363, B363)</f>
        <v>27.428571428571427</v>
      </c>
      <c r="AB363" s="86">
        <f>AVERAGEIFS($I$2:I363, $B$2:B363, B363)</f>
        <v>0.51428571428571435</v>
      </c>
      <c r="AC363" s="86">
        <f>AVERAGEIFS($J$2:J363, $B$2:B363, B363)</f>
        <v>0.50857142857142856</v>
      </c>
      <c r="AD363" s="86">
        <f>AVERAGEIFS($D$2:D363, $B$2:B363, B363)</f>
        <v>0.5714285714285714</v>
      </c>
    </row>
    <row r="364" spans="1:30" x14ac:dyDescent="0.25">
      <c r="A364" s="85">
        <v>46144</v>
      </c>
      <c r="B364" t="s">
        <v>150</v>
      </c>
      <c r="C364">
        <v>22</v>
      </c>
      <c r="D364" s="86">
        <v>1</v>
      </c>
      <c r="E364">
        <v>4</v>
      </c>
      <c r="F364">
        <v>3</v>
      </c>
      <c r="G364">
        <v>16</v>
      </c>
      <c r="H364">
        <v>11</v>
      </c>
      <c r="I364">
        <v>0.75</v>
      </c>
      <c r="J364">
        <v>0.69</v>
      </c>
      <c r="K364">
        <v>0</v>
      </c>
      <c r="L364">
        <v>0</v>
      </c>
      <c r="M364">
        <v>1</v>
      </c>
      <c r="N364">
        <v>0</v>
      </c>
      <c r="O364">
        <v>0</v>
      </c>
      <c r="P364">
        <v>1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1</v>
      </c>
      <c r="Z364">
        <v>0</v>
      </c>
      <c r="AA364" s="86">
        <f>AVERAGEIFS($C$2:C364, $B$2:B364, B364)</f>
        <v>18.555555555555557</v>
      </c>
      <c r="AB364" s="86">
        <f>AVERAGEIFS($I$2:I364, $B$2:B364, B364)</f>
        <v>0.73333333333333328</v>
      </c>
      <c r="AC364" s="86">
        <f>AVERAGEIFS($J$2:J364, $B$2:B364, B364)</f>
        <v>0.65444444444444427</v>
      </c>
      <c r="AD364" s="86">
        <f>AVERAGEIFS($D$2:D364, $B$2:B364, B364)</f>
        <v>0.88888888888888884</v>
      </c>
    </row>
    <row r="365" spans="1:30" x14ac:dyDescent="0.25">
      <c r="A365" s="85">
        <v>46144</v>
      </c>
      <c r="B365" t="s">
        <v>113</v>
      </c>
      <c r="C365">
        <v>4</v>
      </c>
      <c r="D365" s="86">
        <v>1</v>
      </c>
      <c r="E365">
        <v>4</v>
      </c>
      <c r="F365">
        <v>3</v>
      </c>
      <c r="G365">
        <v>16</v>
      </c>
      <c r="H365">
        <v>11</v>
      </c>
      <c r="I365">
        <v>0.75</v>
      </c>
      <c r="J365">
        <v>0.69</v>
      </c>
      <c r="K365">
        <v>0</v>
      </c>
      <c r="L365">
        <v>0</v>
      </c>
      <c r="M365">
        <v>1</v>
      </c>
      <c r="N365">
        <v>0</v>
      </c>
      <c r="O365">
        <v>0</v>
      </c>
      <c r="P365">
        <v>1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1</v>
      </c>
      <c r="Z365">
        <v>0</v>
      </c>
      <c r="AA365" s="86">
        <f>AVERAGEIFS($C$2:C365, $B$2:B365, B365)</f>
        <v>19.363636363636363</v>
      </c>
      <c r="AB365" s="86">
        <f>AVERAGEIFS($I$2:I365, $B$2:B365, B365)</f>
        <v>0.65909090909090906</v>
      </c>
      <c r="AC365" s="86">
        <f>AVERAGEIFS($J$2:J365, $B$2:B365, B365)</f>
        <v>0.55363636363636359</v>
      </c>
      <c r="AD365" s="86">
        <f>AVERAGEIFS($D$2:D365, $B$2:B365, B365)</f>
        <v>0.72727272727272729</v>
      </c>
    </row>
    <row r="366" spans="1:30" x14ac:dyDescent="0.25">
      <c r="A366" s="85">
        <v>46144</v>
      </c>
      <c r="B366" t="s">
        <v>17</v>
      </c>
      <c r="C366">
        <v>7</v>
      </c>
      <c r="D366" s="86">
        <v>0</v>
      </c>
      <c r="E366">
        <v>4</v>
      </c>
      <c r="F366">
        <v>1</v>
      </c>
      <c r="G366">
        <v>16</v>
      </c>
      <c r="H366">
        <v>5</v>
      </c>
      <c r="I366">
        <v>0.25</v>
      </c>
      <c r="J366">
        <v>0.31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1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 s="86">
        <f>AVERAGEIFS($C$2:C366, $B$2:B366, B366)</f>
        <v>23.7</v>
      </c>
      <c r="AB366" s="86">
        <f>AVERAGEIFS($I$2:I366, $B$2:B366, B366)</f>
        <v>0.47000000000000003</v>
      </c>
      <c r="AC366" s="86">
        <f>AVERAGEIFS($J$2:J366, $B$2:B366, B366)</f>
        <v>0.49599999999999983</v>
      </c>
      <c r="AD366" s="86">
        <f>AVERAGEIFS($D$2:D366, $B$2:B366, B366)</f>
        <v>0.5</v>
      </c>
    </row>
    <row r="367" spans="1:30" x14ac:dyDescent="0.25">
      <c r="A367" s="85">
        <v>46144</v>
      </c>
      <c r="B367" t="s">
        <v>13</v>
      </c>
      <c r="C367">
        <v>19</v>
      </c>
      <c r="D367" s="86">
        <v>0</v>
      </c>
      <c r="E367">
        <v>4</v>
      </c>
      <c r="F367">
        <v>1</v>
      </c>
      <c r="G367">
        <v>16</v>
      </c>
      <c r="H367">
        <v>5</v>
      </c>
      <c r="I367">
        <v>0.25</v>
      </c>
      <c r="J367">
        <v>0.31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1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 s="86">
        <f>AVERAGEIFS($C$2:C367, $B$2:B367, B367)</f>
        <v>25.24</v>
      </c>
      <c r="AB367" s="86">
        <f>AVERAGEIFS($I$2:I367, $B$2:B367, B367)</f>
        <v>0.61</v>
      </c>
      <c r="AC367" s="86">
        <f>AVERAGEIFS($J$2:J367, $B$2:B367, B367)</f>
        <v>0.56840000000000002</v>
      </c>
      <c r="AD367" s="86">
        <f>AVERAGEIFS($D$2:D367, $B$2:B367, B367)</f>
        <v>0.64</v>
      </c>
    </row>
    <row r="368" spans="1:30" x14ac:dyDescent="0.25">
      <c r="A368" s="85">
        <v>46144</v>
      </c>
      <c r="B368" t="s">
        <v>141</v>
      </c>
      <c r="C368">
        <v>24</v>
      </c>
      <c r="D368" s="86">
        <v>0</v>
      </c>
      <c r="E368">
        <v>4</v>
      </c>
      <c r="F368">
        <v>1</v>
      </c>
      <c r="G368">
        <v>16</v>
      </c>
      <c r="H368">
        <v>5</v>
      </c>
      <c r="I368">
        <v>0.25</v>
      </c>
      <c r="J368">
        <v>0.31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1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 s="86">
        <f>AVERAGEIFS($C$2:C368, $B$2:B368, B368)</f>
        <v>18.75</v>
      </c>
      <c r="AB368" s="86">
        <f>AVERAGEIFS($I$2:I368, $B$2:B368, B368)</f>
        <v>0.51249999999999996</v>
      </c>
      <c r="AC368" s="86">
        <f>AVERAGEIFS($J$2:J368, $B$2:B368, B368)</f>
        <v>0.46499999999999997</v>
      </c>
      <c r="AD368" s="86">
        <f>AVERAGEIFS($D$2:D368, $B$2:B368, B368)</f>
        <v>0.25</v>
      </c>
    </row>
    <row r="369" spans="1:30" x14ac:dyDescent="0.25">
      <c r="A369" s="85">
        <v>46144</v>
      </c>
      <c r="B369" t="s">
        <v>155</v>
      </c>
      <c r="C369">
        <v>13</v>
      </c>
      <c r="D369" s="86">
        <v>0</v>
      </c>
      <c r="E369">
        <v>4</v>
      </c>
      <c r="F369">
        <v>1</v>
      </c>
      <c r="G369">
        <v>16</v>
      </c>
      <c r="H369">
        <v>5</v>
      </c>
      <c r="I369">
        <v>0.25</v>
      </c>
      <c r="J369">
        <v>0.31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1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 s="86">
        <f>AVERAGEIFS($C$2:C369, $B$2:B369, B369)</f>
        <v>18.05263157894737</v>
      </c>
      <c r="AB369" s="86">
        <f>AVERAGEIFS($I$2:I369, $B$2:B369, B369)</f>
        <v>0.33421052631578946</v>
      </c>
      <c r="AC369" s="86">
        <f>AVERAGEIFS($J$2:J369, $B$2:B369, B369)</f>
        <v>0.43052631578947376</v>
      </c>
      <c r="AD369" s="86">
        <f>AVERAGEIFS($D$2:D369, $B$2:B369, B369)</f>
        <v>0.26315789473684209</v>
      </c>
    </row>
    <row r="370" spans="1:30" x14ac:dyDescent="0.25">
      <c r="A370" s="85">
        <v>46144</v>
      </c>
      <c r="B370" t="s">
        <v>148</v>
      </c>
      <c r="C370">
        <v>11</v>
      </c>
      <c r="D370" s="86">
        <v>0</v>
      </c>
      <c r="E370">
        <v>4</v>
      </c>
      <c r="F370">
        <v>1</v>
      </c>
      <c r="G370">
        <v>16</v>
      </c>
      <c r="H370">
        <v>5</v>
      </c>
      <c r="I370">
        <v>0.25</v>
      </c>
      <c r="J370">
        <v>0.31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1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 s="86">
        <f>AVERAGEIFS($C$2:C370, $B$2:B370, B370)</f>
        <v>13.25</v>
      </c>
      <c r="AB370" s="86">
        <f>AVERAGEIFS($I$2:I370, $B$2:B370, B370)</f>
        <v>0.57291666666666663</v>
      </c>
      <c r="AC370" s="86">
        <f>AVERAGEIFS($J$2:J370, $B$2:B370, B370)</f>
        <v>0.53333333333333333</v>
      </c>
      <c r="AD370" s="86">
        <f>AVERAGEIFS($D$2:D370, $B$2:B370, B370)</f>
        <v>0.625</v>
      </c>
    </row>
    <row r="371" spans="1:30" x14ac:dyDescent="0.25">
      <c r="A371" s="85">
        <v>46144</v>
      </c>
      <c r="B371" t="s">
        <v>37</v>
      </c>
      <c r="C371">
        <v>19</v>
      </c>
      <c r="D371" s="86">
        <v>0</v>
      </c>
      <c r="E371">
        <v>4</v>
      </c>
      <c r="F371">
        <v>1</v>
      </c>
      <c r="G371">
        <v>16</v>
      </c>
      <c r="H371">
        <v>5</v>
      </c>
      <c r="I371">
        <v>0.25</v>
      </c>
      <c r="J371">
        <v>0.31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1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 s="86">
        <f>AVERAGEIFS($C$2:C371, $B$2:B371, B371)</f>
        <v>19.727272727272727</v>
      </c>
      <c r="AB371" s="86">
        <f>AVERAGEIFS($I$2:I371, $B$2:B371, B371)</f>
        <v>0.43636363636363634</v>
      </c>
      <c r="AC371" s="86">
        <f>AVERAGEIFS($J$2:J371, $B$2:B371, B371)</f>
        <v>0.45363636363636356</v>
      </c>
      <c r="AD371" s="86">
        <f>AVERAGEIFS($D$2:D371, $B$2:B371, B371)</f>
        <v>0.54545454545454541</v>
      </c>
    </row>
    <row r="372" spans="1:30" x14ac:dyDescent="0.25">
      <c r="A372" s="85">
        <v>46144</v>
      </c>
      <c r="B372" t="s">
        <v>35</v>
      </c>
      <c r="C372">
        <v>13</v>
      </c>
      <c r="D372" s="86">
        <v>0</v>
      </c>
      <c r="E372">
        <v>4</v>
      </c>
      <c r="F372">
        <v>1</v>
      </c>
      <c r="G372">
        <v>16</v>
      </c>
      <c r="H372">
        <v>5</v>
      </c>
      <c r="I372">
        <v>0.25</v>
      </c>
      <c r="J372">
        <v>0.31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1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 s="86">
        <f>AVERAGEIFS($C$2:C372, $B$2:B372, B372)</f>
        <v>13.6875</v>
      </c>
      <c r="AB372" s="86">
        <f>AVERAGEIFS($I$2:I372, $B$2:B372, B372)</f>
        <v>0.39374999999999993</v>
      </c>
      <c r="AC372" s="86">
        <f>AVERAGEIFS($J$2:J372, $B$2:B372, B372)</f>
        <v>0.42124999999999996</v>
      </c>
      <c r="AD372" s="86">
        <f>AVERAGEIFS($D$2:D372, $B$2:B372, B372)</f>
        <v>0.4375</v>
      </c>
    </row>
    <row r="373" spans="1:30" x14ac:dyDescent="0.25">
      <c r="A373" s="85">
        <v>46144</v>
      </c>
      <c r="B373" t="s">
        <v>179</v>
      </c>
      <c r="C373">
        <v>19</v>
      </c>
      <c r="D373" s="86">
        <v>0</v>
      </c>
      <c r="E373">
        <v>4</v>
      </c>
      <c r="F373">
        <v>1</v>
      </c>
      <c r="G373">
        <v>16</v>
      </c>
      <c r="H373">
        <v>5</v>
      </c>
      <c r="I373">
        <v>0.25</v>
      </c>
      <c r="J373">
        <v>0.31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1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 s="86">
        <f>AVERAGEIFS($C$2:C373, $B$2:B373, B373)</f>
        <v>13.5</v>
      </c>
      <c r="AB373" s="86">
        <f>AVERAGEIFS($I$2:I373, $B$2:B373, B373)</f>
        <v>0.625</v>
      </c>
      <c r="AC373" s="86">
        <f>AVERAGEIFS($J$2:J373, $B$2:B373, B373)</f>
        <v>0.47499999999999998</v>
      </c>
      <c r="AD373" s="86">
        <f>AVERAGEIFS($D$2:D373, $B$2:B373, B373)</f>
        <v>0.5</v>
      </c>
    </row>
    <row r="374" spans="1:30" x14ac:dyDescent="0.25">
      <c r="A374" s="85">
        <v>46145</v>
      </c>
      <c r="B374" t="s">
        <v>13</v>
      </c>
      <c r="C374">
        <v>28</v>
      </c>
      <c r="D374" s="86">
        <v>0</v>
      </c>
      <c r="E374">
        <v>4</v>
      </c>
      <c r="F374">
        <v>1</v>
      </c>
      <c r="G374">
        <v>19</v>
      </c>
      <c r="H374">
        <v>8</v>
      </c>
      <c r="I374">
        <v>0.25</v>
      </c>
      <c r="J374">
        <v>0.42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1</v>
      </c>
      <c r="Z374">
        <v>0</v>
      </c>
      <c r="AA374" s="86">
        <f>AVERAGEIFS($C$2:C374, $B$2:B374, B374)</f>
        <v>25.346153846153847</v>
      </c>
      <c r="AB374" s="86">
        <f>AVERAGEIFS($I$2:I374, $B$2:B374, B374)</f>
        <v>0.59615384615384615</v>
      </c>
      <c r="AC374" s="86">
        <f>AVERAGEIFS($J$2:J374, $B$2:B374, B374)</f>
        <v>0.5626923076923076</v>
      </c>
      <c r="AD374" s="86">
        <f>AVERAGEIFS($D$2:D374, $B$2:B374, B374)</f>
        <v>0.61538461538461542</v>
      </c>
    </row>
    <row r="375" spans="1:30" x14ac:dyDescent="0.25">
      <c r="A375" s="85">
        <v>46145</v>
      </c>
      <c r="B375" t="s">
        <v>37</v>
      </c>
      <c r="C375">
        <v>35</v>
      </c>
      <c r="D375" s="86">
        <v>0</v>
      </c>
      <c r="E375">
        <v>4</v>
      </c>
      <c r="F375">
        <v>1</v>
      </c>
      <c r="G375">
        <v>19</v>
      </c>
      <c r="H375">
        <v>8</v>
      </c>
      <c r="I375">
        <v>0.25</v>
      </c>
      <c r="J375">
        <v>0.42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1</v>
      </c>
      <c r="Z375">
        <v>0</v>
      </c>
      <c r="AA375" s="86">
        <f>AVERAGEIFS($C$2:C375, $B$2:B375, B375)</f>
        <v>21</v>
      </c>
      <c r="AB375" s="86">
        <f>AVERAGEIFS($I$2:I375, $B$2:B375, B375)</f>
        <v>0.42083333333333334</v>
      </c>
      <c r="AC375" s="86">
        <f>AVERAGEIFS($J$2:J375, $B$2:B375, B375)</f>
        <v>0.45083333333333325</v>
      </c>
      <c r="AD375" s="86">
        <f>AVERAGEIFS($D$2:D375, $B$2:B375, B375)</f>
        <v>0.5</v>
      </c>
    </row>
    <row r="376" spans="1:30" x14ac:dyDescent="0.25">
      <c r="A376" s="85">
        <v>46145</v>
      </c>
      <c r="B376" t="s">
        <v>141</v>
      </c>
      <c r="C376">
        <v>16</v>
      </c>
      <c r="D376" s="86">
        <v>0</v>
      </c>
      <c r="E376">
        <v>4</v>
      </c>
      <c r="F376">
        <v>1</v>
      </c>
      <c r="G376">
        <v>19</v>
      </c>
      <c r="H376">
        <v>8</v>
      </c>
      <c r="I376">
        <v>0.25</v>
      </c>
      <c r="J376">
        <v>0.42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1</v>
      </c>
      <c r="Z376">
        <v>0</v>
      </c>
      <c r="AA376" s="86">
        <f>AVERAGEIFS($C$2:C376, $B$2:B376, B376)</f>
        <v>18.2</v>
      </c>
      <c r="AB376" s="86">
        <f>AVERAGEIFS($I$2:I376, $B$2:B376, B376)</f>
        <v>0.45999999999999996</v>
      </c>
      <c r="AC376" s="86">
        <f>AVERAGEIFS($J$2:J376, $B$2:B376, B376)</f>
        <v>0.45599999999999996</v>
      </c>
      <c r="AD376" s="86">
        <f>AVERAGEIFS($D$2:D376, $B$2:B376, B376)</f>
        <v>0.2</v>
      </c>
    </row>
    <row r="377" spans="1:30" x14ac:dyDescent="0.25">
      <c r="A377" s="85">
        <v>46145</v>
      </c>
      <c r="B377" t="s">
        <v>155</v>
      </c>
      <c r="C377">
        <v>20</v>
      </c>
      <c r="D377" s="86">
        <v>0</v>
      </c>
      <c r="E377">
        <v>4</v>
      </c>
      <c r="F377">
        <v>1</v>
      </c>
      <c r="G377">
        <v>19</v>
      </c>
      <c r="H377">
        <v>8</v>
      </c>
      <c r="I377">
        <v>0.25</v>
      </c>
      <c r="J377">
        <v>0.42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1</v>
      </c>
      <c r="Z377">
        <v>0</v>
      </c>
      <c r="AA377" s="86">
        <f>AVERAGEIFS($C$2:C377, $B$2:B377, B377)</f>
        <v>18.149999999999999</v>
      </c>
      <c r="AB377" s="86">
        <f>AVERAGEIFS($I$2:I377, $B$2:B377, B377)</f>
        <v>0.32999999999999996</v>
      </c>
      <c r="AC377" s="86">
        <f>AVERAGEIFS($J$2:J377, $B$2:B377, B377)</f>
        <v>0.43000000000000005</v>
      </c>
      <c r="AD377" s="86">
        <f>AVERAGEIFS($D$2:D377, $B$2:B377, B377)</f>
        <v>0.25</v>
      </c>
    </row>
    <row r="378" spans="1:30" x14ac:dyDescent="0.25">
      <c r="A378" s="85">
        <v>46145</v>
      </c>
      <c r="B378" t="s">
        <v>161</v>
      </c>
      <c r="C378">
        <v>16</v>
      </c>
      <c r="D378" s="86">
        <v>0</v>
      </c>
      <c r="E378">
        <v>4</v>
      </c>
      <c r="F378">
        <v>1</v>
      </c>
      <c r="G378">
        <v>19</v>
      </c>
      <c r="H378">
        <v>8</v>
      </c>
      <c r="I378">
        <v>0.25</v>
      </c>
      <c r="J378">
        <v>0.42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1</v>
      </c>
      <c r="Z378">
        <v>0</v>
      </c>
      <c r="AA378" s="86">
        <f>AVERAGEIFS($C$2:C378, $B$2:B378, B378)</f>
        <v>15.5</v>
      </c>
      <c r="AB378" s="86">
        <f>AVERAGEIFS($I$2:I378, $B$2:B378, B378)</f>
        <v>0.25</v>
      </c>
      <c r="AC378" s="86">
        <f>AVERAGEIFS($J$2:J378, $B$2:B378, B378)</f>
        <v>0.42</v>
      </c>
      <c r="AD378" s="86">
        <f>AVERAGEIFS($D$2:D378, $B$2:B378, B378)</f>
        <v>0</v>
      </c>
    </row>
    <row r="379" spans="1:30" x14ac:dyDescent="0.25">
      <c r="A379" s="85">
        <v>46145</v>
      </c>
      <c r="B379" t="s">
        <v>26</v>
      </c>
      <c r="C379">
        <v>29</v>
      </c>
      <c r="D379" s="86">
        <v>0</v>
      </c>
      <c r="E379">
        <v>4</v>
      </c>
      <c r="F379">
        <v>1</v>
      </c>
      <c r="G379">
        <v>19</v>
      </c>
      <c r="H379">
        <v>8</v>
      </c>
      <c r="I379">
        <v>0.25</v>
      </c>
      <c r="J379">
        <v>0.42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1</v>
      </c>
      <c r="Z379">
        <v>0</v>
      </c>
      <c r="AA379" s="86">
        <f>AVERAGEIFS($C$2:C379, $B$2:B379, B379)</f>
        <v>17.8</v>
      </c>
      <c r="AB379" s="86">
        <f>AVERAGEIFS($I$2:I379, $B$2:B379, B379)</f>
        <v>0.46500000000000002</v>
      </c>
      <c r="AC379" s="86">
        <f>AVERAGEIFS($J$2:J379, $B$2:B379, B379)</f>
        <v>0.46100000000000002</v>
      </c>
      <c r="AD379" s="86">
        <f>AVERAGEIFS($D$2:D379, $B$2:B379, B379)</f>
        <v>0.4</v>
      </c>
    </row>
    <row r="380" spans="1:30" x14ac:dyDescent="0.25">
      <c r="A380" s="85">
        <v>46145</v>
      </c>
      <c r="B380" t="s">
        <v>29</v>
      </c>
      <c r="C380">
        <v>13</v>
      </c>
      <c r="D380" s="86">
        <v>0</v>
      </c>
      <c r="E380">
        <v>4</v>
      </c>
      <c r="F380">
        <v>1</v>
      </c>
      <c r="G380">
        <v>19</v>
      </c>
      <c r="H380">
        <v>8</v>
      </c>
      <c r="I380">
        <v>0.25</v>
      </c>
      <c r="J380">
        <v>0.42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1</v>
      </c>
      <c r="Z380">
        <v>0</v>
      </c>
      <c r="AA380" s="86">
        <f>AVERAGEIFS($C$2:C380, $B$2:B380, B380)</f>
        <v>12.1</v>
      </c>
      <c r="AB380" s="86">
        <f>AVERAGEIFS($I$2:I380, $B$2:B380, B380)</f>
        <v>0.37749999999999995</v>
      </c>
      <c r="AC380" s="86">
        <f>AVERAGEIFS($J$2:J380, $B$2:B380, B380)</f>
        <v>0.45800000000000002</v>
      </c>
      <c r="AD380" s="86">
        <f>AVERAGEIFS($D$2:D380, $B$2:B380, B380)</f>
        <v>0.3</v>
      </c>
    </row>
    <row r="381" spans="1:30" x14ac:dyDescent="0.25">
      <c r="A381" s="85">
        <v>46145</v>
      </c>
      <c r="B381" t="s">
        <v>140</v>
      </c>
      <c r="C381">
        <v>17</v>
      </c>
      <c r="D381" s="86">
        <v>0</v>
      </c>
      <c r="E381">
        <v>4</v>
      </c>
      <c r="F381">
        <v>1</v>
      </c>
      <c r="G381">
        <v>19</v>
      </c>
      <c r="H381">
        <v>8</v>
      </c>
      <c r="I381">
        <v>0.25</v>
      </c>
      <c r="J381">
        <v>0.42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1</v>
      </c>
      <c r="Z381">
        <v>0</v>
      </c>
      <c r="AA381" s="86">
        <f>AVERAGEIFS($C$2:C381, $B$2:B381, B381)</f>
        <v>7.7777777777777777</v>
      </c>
      <c r="AB381" s="86">
        <f>AVERAGEIFS($I$2:I381, $B$2:B381, B381)</f>
        <v>0.44444444444444442</v>
      </c>
      <c r="AC381" s="86">
        <f>AVERAGEIFS($J$2:J381, $B$2:B381, B381)</f>
        <v>0.49</v>
      </c>
      <c r="AD381" s="86">
        <f>AVERAGEIFS($D$2:D381, $B$2:B381, B381)</f>
        <v>0.44444444444444442</v>
      </c>
    </row>
    <row r="382" spans="1:30" x14ac:dyDescent="0.25">
      <c r="A382" s="85">
        <v>46145</v>
      </c>
      <c r="B382" t="s">
        <v>18</v>
      </c>
      <c r="C382">
        <v>39</v>
      </c>
      <c r="D382" s="86">
        <v>1</v>
      </c>
      <c r="E382">
        <v>4</v>
      </c>
      <c r="F382">
        <v>3</v>
      </c>
      <c r="G382">
        <v>19</v>
      </c>
      <c r="H382">
        <v>11</v>
      </c>
      <c r="I382">
        <v>0.75</v>
      </c>
      <c r="J382">
        <v>0.57999999999999996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1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1</v>
      </c>
      <c r="AA382" s="86">
        <f>AVERAGEIFS($C$2:C382, $B$2:B382, B382)</f>
        <v>28.46153846153846</v>
      </c>
      <c r="AB382" s="86">
        <f>AVERAGEIFS($I$2:I382, $B$2:B382, B382)</f>
        <v>0.5461538461538461</v>
      </c>
      <c r="AC382" s="86">
        <f>AVERAGEIFS($J$2:J382, $B$2:B382, B382)</f>
        <v>0.52538461538461534</v>
      </c>
      <c r="AD382" s="86">
        <f>AVERAGEIFS($D$2:D382, $B$2:B382, B382)</f>
        <v>0.61538461538461542</v>
      </c>
    </row>
    <row r="383" spans="1:30" x14ac:dyDescent="0.25">
      <c r="A383" s="85">
        <v>46145</v>
      </c>
      <c r="B383" t="s">
        <v>17</v>
      </c>
      <c r="C383">
        <v>27</v>
      </c>
      <c r="D383" s="86">
        <v>1</v>
      </c>
      <c r="E383">
        <v>4</v>
      </c>
      <c r="F383">
        <v>3</v>
      </c>
      <c r="G383">
        <v>19</v>
      </c>
      <c r="H383">
        <v>11</v>
      </c>
      <c r="I383">
        <v>0.75</v>
      </c>
      <c r="J383">
        <v>0.57999999999999996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1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1</v>
      </c>
      <c r="AA383" s="86">
        <f>AVERAGEIFS($C$2:C383, $B$2:B383, B383)</f>
        <v>23.857142857142858</v>
      </c>
      <c r="AB383" s="86">
        <f>AVERAGEIFS($I$2:I383, $B$2:B383, B383)</f>
        <v>0.48333333333333334</v>
      </c>
      <c r="AC383" s="86">
        <f>AVERAGEIFS($J$2:J383, $B$2:B383, B383)</f>
        <v>0.49999999999999983</v>
      </c>
      <c r="AD383" s="86">
        <f>AVERAGEIFS($D$2:D383, $B$2:B383, B383)</f>
        <v>0.52380952380952384</v>
      </c>
    </row>
    <row r="384" spans="1:30" x14ac:dyDescent="0.25">
      <c r="A384" s="85">
        <v>46145</v>
      </c>
      <c r="B384" t="s">
        <v>25</v>
      </c>
      <c r="C384">
        <v>30</v>
      </c>
      <c r="D384" s="86">
        <v>1</v>
      </c>
      <c r="E384">
        <v>4</v>
      </c>
      <c r="F384">
        <v>3</v>
      </c>
      <c r="G384">
        <v>19</v>
      </c>
      <c r="H384">
        <v>11</v>
      </c>
      <c r="I384">
        <v>0.75</v>
      </c>
      <c r="J384">
        <v>0.57999999999999996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1</v>
      </c>
      <c r="R384">
        <v>1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1</v>
      </c>
      <c r="AA384" s="86">
        <f>AVERAGEIFS($C$2:C384, $B$2:B384, B384)</f>
        <v>19.857142857142858</v>
      </c>
      <c r="AB384" s="86">
        <f>AVERAGEIFS($I$2:I384, $B$2:B384, B384)</f>
        <v>0.55000000000000004</v>
      </c>
      <c r="AC384" s="86">
        <f>AVERAGEIFS($J$2:J384, $B$2:B384, B384)</f>
        <v>0.50571428571428567</v>
      </c>
      <c r="AD384" s="86">
        <f>AVERAGEIFS($D$2:D384, $B$2:B384, B384)</f>
        <v>0.6428571428571429</v>
      </c>
    </row>
    <row r="385" spans="1:30" x14ac:dyDescent="0.25">
      <c r="A385" s="85">
        <v>46145</v>
      </c>
      <c r="B385" t="s">
        <v>152</v>
      </c>
      <c r="C385">
        <v>16</v>
      </c>
      <c r="D385" s="86">
        <v>1</v>
      </c>
      <c r="E385">
        <v>4</v>
      </c>
      <c r="F385">
        <v>3</v>
      </c>
      <c r="G385">
        <v>19</v>
      </c>
      <c r="H385">
        <v>11</v>
      </c>
      <c r="I385">
        <v>0.75</v>
      </c>
      <c r="J385">
        <v>0.57999999999999996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1</v>
      </c>
      <c r="R385">
        <v>1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1</v>
      </c>
      <c r="AA385" s="86">
        <f>AVERAGEIFS($C$2:C385, $B$2:B385, B385)</f>
        <v>15.333333333333334</v>
      </c>
      <c r="AB385" s="86">
        <f>AVERAGEIFS($I$2:I385, $B$2:B385, B385)</f>
        <v>0.25833333333333336</v>
      </c>
      <c r="AC385" s="86">
        <f>AVERAGEIFS($J$2:J385, $B$2:B385, B385)</f>
        <v>0.37833333333333335</v>
      </c>
      <c r="AD385" s="86">
        <f>AVERAGEIFS($D$2:D385, $B$2:B385, B385)</f>
        <v>0.16666666666666666</v>
      </c>
    </row>
    <row r="386" spans="1:30" x14ac:dyDescent="0.25">
      <c r="A386" s="85">
        <v>46145</v>
      </c>
      <c r="B386" t="s">
        <v>27</v>
      </c>
      <c r="C386">
        <v>22</v>
      </c>
      <c r="D386" s="86">
        <v>1</v>
      </c>
      <c r="E386">
        <v>4</v>
      </c>
      <c r="F386">
        <v>3</v>
      </c>
      <c r="G386">
        <v>19</v>
      </c>
      <c r="H386">
        <v>11</v>
      </c>
      <c r="I386">
        <v>0.75</v>
      </c>
      <c r="J386">
        <v>0.57999999999999996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1</v>
      </c>
      <c r="R386">
        <v>1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1</v>
      </c>
      <c r="AA386" s="86">
        <f>AVERAGEIFS($C$2:C386, $B$2:B386, B386)</f>
        <v>18.625</v>
      </c>
      <c r="AB386" s="86">
        <f>AVERAGEIFS($I$2:I386, $B$2:B386, B386)</f>
        <v>0.625</v>
      </c>
      <c r="AC386" s="86">
        <f>AVERAGEIFS($J$2:J386, $B$2:B386, B386)</f>
        <v>0.58500000000000008</v>
      </c>
      <c r="AD386" s="86">
        <f>AVERAGEIFS($D$2:D386, $B$2:B386, B386)</f>
        <v>0.75</v>
      </c>
    </row>
    <row r="387" spans="1:30" x14ac:dyDescent="0.25">
      <c r="A387" s="85">
        <v>46145</v>
      </c>
      <c r="B387" t="s">
        <v>148</v>
      </c>
      <c r="C387">
        <v>21</v>
      </c>
      <c r="D387" s="86">
        <v>1</v>
      </c>
      <c r="E387">
        <v>4</v>
      </c>
      <c r="F387">
        <v>3</v>
      </c>
      <c r="G387">
        <v>19</v>
      </c>
      <c r="H387">
        <v>11</v>
      </c>
      <c r="I387">
        <v>0.75</v>
      </c>
      <c r="J387">
        <v>0.57999999999999996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1</v>
      </c>
      <c r="R387">
        <v>1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1</v>
      </c>
      <c r="AA387" s="86">
        <f>AVERAGEIFS($C$2:C387, $B$2:B387, B387)</f>
        <v>13.56</v>
      </c>
      <c r="AB387" s="86">
        <f>AVERAGEIFS($I$2:I387, $B$2:B387, B387)</f>
        <v>0.57999999999999996</v>
      </c>
      <c r="AC387" s="86">
        <f>AVERAGEIFS($J$2:J387, $B$2:B387, B387)</f>
        <v>0.53520000000000001</v>
      </c>
      <c r="AD387" s="86">
        <f>AVERAGEIFS($D$2:D387, $B$2:B387, B387)</f>
        <v>0.64</v>
      </c>
    </row>
    <row r="388" spans="1:30" x14ac:dyDescent="0.25">
      <c r="A388" s="85">
        <v>46145</v>
      </c>
      <c r="B388" t="s">
        <v>55</v>
      </c>
      <c r="C388">
        <v>17</v>
      </c>
      <c r="D388" s="86">
        <v>1</v>
      </c>
      <c r="E388">
        <v>4</v>
      </c>
      <c r="F388">
        <v>3</v>
      </c>
      <c r="G388">
        <v>19</v>
      </c>
      <c r="H388">
        <v>11</v>
      </c>
      <c r="I388">
        <v>0.75</v>
      </c>
      <c r="J388">
        <v>0.57999999999999996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1</v>
      </c>
      <c r="R388">
        <v>1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1</v>
      </c>
      <c r="AA388" s="86">
        <f>AVERAGEIFS($C$2:C388, $B$2:B388, B388)</f>
        <v>10.833333333333334</v>
      </c>
      <c r="AB388" s="86">
        <f>AVERAGEIFS($I$2:I388, $B$2:B388, B388)</f>
        <v>0.69166666666666676</v>
      </c>
      <c r="AC388" s="86">
        <f>AVERAGEIFS($J$2:J388, $B$2:B388, B388)</f>
        <v>0.61666666666666659</v>
      </c>
      <c r="AD388" s="86">
        <f>AVERAGEIFS($D$2:D388, $B$2:B388, B388)</f>
        <v>0.66666666666666663</v>
      </c>
    </row>
    <row r="389" spans="1:30" x14ac:dyDescent="0.25">
      <c r="A389" s="85">
        <v>46145</v>
      </c>
      <c r="B389" t="s">
        <v>38</v>
      </c>
      <c r="C389">
        <v>8</v>
      </c>
      <c r="D389" s="86">
        <v>1</v>
      </c>
      <c r="E389">
        <v>4</v>
      </c>
      <c r="F389">
        <v>3</v>
      </c>
      <c r="G389">
        <v>19</v>
      </c>
      <c r="H389">
        <v>11</v>
      </c>
      <c r="I389">
        <v>0.75</v>
      </c>
      <c r="J389">
        <v>0.57999999999999996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1</v>
      </c>
      <c r="R389">
        <v>1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1</v>
      </c>
      <c r="AA389" s="86">
        <f>AVERAGEIFS($C$2:C389, $B$2:B389, B389)</f>
        <v>11.571428571428571</v>
      </c>
      <c r="AB389" s="86">
        <f>AVERAGEIFS($I$2:I389, $B$2:B389, B389)</f>
        <v>0.47857142857142859</v>
      </c>
      <c r="AC389" s="86">
        <f>AVERAGEIFS($J$2:J389, $B$2:B389, B389)</f>
        <v>0.48571428571428571</v>
      </c>
      <c r="AD389" s="86">
        <f>AVERAGEIFS($D$2:D389, $B$2:B389, B389)</f>
        <v>0.5714285714285714</v>
      </c>
    </row>
    <row r="390" spans="1:30" x14ac:dyDescent="0.25">
      <c r="A390" s="85">
        <v>46145</v>
      </c>
      <c r="B390" t="s">
        <v>13</v>
      </c>
      <c r="C390">
        <v>23</v>
      </c>
      <c r="D390" s="86">
        <v>1</v>
      </c>
      <c r="E390">
        <v>3</v>
      </c>
      <c r="F390">
        <v>3</v>
      </c>
      <c r="G390">
        <v>13</v>
      </c>
      <c r="H390">
        <v>9</v>
      </c>
      <c r="I390">
        <v>1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1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1</v>
      </c>
      <c r="AA390" s="86">
        <f>AVERAGEIFS($C$2:C390, $B$2:B390, B390)</f>
        <v>25.25925925925926</v>
      </c>
      <c r="AB390" s="86">
        <f>AVERAGEIFS($I$2:I390, $B$2:B390, B390)</f>
        <v>0.61111111111111116</v>
      </c>
      <c r="AC390" s="86">
        <f>AVERAGEIFS($J$2:J390, $B$2:B390, B390)</f>
        <v>0.56740740740740736</v>
      </c>
      <c r="AD390" s="86">
        <f>AVERAGEIFS($D$2:D390, $B$2:B390, B390)</f>
        <v>0.62962962962962965</v>
      </c>
    </row>
    <row r="391" spans="1:30" x14ac:dyDescent="0.25">
      <c r="A391" s="85">
        <v>46145</v>
      </c>
      <c r="B391" t="s">
        <v>15</v>
      </c>
      <c r="C391">
        <v>13</v>
      </c>
      <c r="D391" s="86">
        <v>1</v>
      </c>
      <c r="E391">
        <v>3</v>
      </c>
      <c r="F391">
        <v>3</v>
      </c>
      <c r="G391">
        <v>13</v>
      </c>
      <c r="H391">
        <v>9</v>
      </c>
      <c r="I391">
        <v>1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1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1</v>
      </c>
      <c r="AA391" s="86">
        <f>AVERAGEIFS($C$2:C391, $B$2:B391, B391)</f>
        <v>22.428571428571427</v>
      </c>
      <c r="AB391" s="86">
        <f>AVERAGEIFS($I$2:I391, $B$2:B391, B391)</f>
        <v>0.58214285714285707</v>
      </c>
      <c r="AC391" s="86">
        <f>AVERAGEIFS($J$2:J391, $B$2:B391, B391)</f>
        <v>0.54928571428571427</v>
      </c>
      <c r="AD391" s="86">
        <f>AVERAGEIFS($D$2:D391, $B$2:B391, B391)</f>
        <v>0.5714285714285714</v>
      </c>
    </row>
    <row r="392" spans="1:30" x14ac:dyDescent="0.25">
      <c r="A392" s="85">
        <v>46145</v>
      </c>
      <c r="B392" t="s">
        <v>6</v>
      </c>
      <c r="C392">
        <v>10</v>
      </c>
      <c r="D392" s="86">
        <v>1</v>
      </c>
      <c r="E392">
        <v>3</v>
      </c>
      <c r="F392">
        <v>3</v>
      </c>
      <c r="G392">
        <v>13</v>
      </c>
      <c r="H392">
        <v>9</v>
      </c>
      <c r="I392">
        <v>1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1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1</v>
      </c>
      <c r="AA392" s="86">
        <f>AVERAGEIFS($C$2:C392, $B$2:B392, B392)</f>
        <v>23.1</v>
      </c>
      <c r="AB392" s="86">
        <f>AVERAGEIFS($I$2:I392, $B$2:B392, B392)</f>
        <v>0.65500000000000003</v>
      </c>
      <c r="AC392" s="86">
        <f>AVERAGEIFS($J$2:J392, $B$2:B392, B392)</f>
        <v>0.58499999999999996</v>
      </c>
      <c r="AD392" s="86">
        <f>AVERAGEIFS($D$2:D392, $B$2:B392, B392)</f>
        <v>0.6</v>
      </c>
    </row>
    <row r="393" spans="1:30" x14ac:dyDescent="0.25">
      <c r="A393" s="85">
        <v>46145</v>
      </c>
      <c r="B393" t="s">
        <v>155</v>
      </c>
      <c r="C393">
        <v>10</v>
      </c>
      <c r="D393" s="86">
        <v>1</v>
      </c>
      <c r="E393">
        <v>3</v>
      </c>
      <c r="F393">
        <v>3</v>
      </c>
      <c r="G393">
        <v>13</v>
      </c>
      <c r="H393">
        <v>9</v>
      </c>
      <c r="I393">
        <v>1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1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1</v>
      </c>
      <c r="AA393" s="86">
        <f>AVERAGEIFS($C$2:C393, $B$2:B393, B393)</f>
        <v>17.761904761904763</v>
      </c>
      <c r="AB393" s="86">
        <f>AVERAGEIFS($I$2:I393, $B$2:B393, B393)</f>
        <v>0.3619047619047619</v>
      </c>
      <c r="AC393" s="86">
        <f>AVERAGEIFS($J$2:J393, $B$2:B393, B393)</f>
        <v>0.44238095238095243</v>
      </c>
      <c r="AD393" s="86">
        <f>AVERAGEIFS($D$2:D393, $B$2:B393, B393)</f>
        <v>0.2857142857142857</v>
      </c>
    </row>
    <row r="394" spans="1:30" x14ac:dyDescent="0.25">
      <c r="A394" s="85">
        <v>46145</v>
      </c>
      <c r="B394" t="s">
        <v>27</v>
      </c>
      <c r="C394">
        <v>9</v>
      </c>
      <c r="D394" s="86">
        <v>1</v>
      </c>
      <c r="E394">
        <v>3</v>
      </c>
      <c r="F394">
        <v>3</v>
      </c>
      <c r="G394">
        <v>13</v>
      </c>
      <c r="H394">
        <v>9</v>
      </c>
      <c r="I394">
        <v>1</v>
      </c>
      <c r="J394">
        <v>0.69</v>
      </c>
      <c r="K394">
        <v>0</v>
      </c>
      <c r="L394">
        <v>0</v>
      </c>
      <c r="M394">
        <v>0</v>
      </c>
      <c r="N394">
        <v>1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1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1</v>
      </c>
      <c r="AA394" s="86">
        <f>AVERAGEIFS($C$2:C394, $B$2:B394, B394)</f>
        <v>17.555555555555557</v>
      </c>
      <c r="AB394" s="86">
        <f>AVERAGEIFS($I$2:I394, $B$2:B394, B394)</f>
        <v>0.66666666666666663</v>
      </c>
      <c r="AC394" s="86">
        <f>AVERAGEIFS($J$2:J394, $B$2:B394, B394)</f>
        <v>0.59666666666666679</v>
      </c>
      <c r="AD394" s="86">
        <f>AVERAGEIFS($D$2:D394, $B$2:B394, B394)</f>
        <v>0.77777777777777779</v>
      </c>
    </row>
    <row r="395" spans="1:30" x14ac:dyDescent="0.25">
      <c r="A395" s="85">
        <v>46145</v>
      </c>
      <c r="B395" t="s">
        <v>179</v>
      </c>
      <c r="C395">
        <v>15</v>
      </c>
      <c r="D395" s="86">
        <v>1</v>
      </c>
      <c r="E395">
        <v>3</v>
      </c>
      <c r="F395">
        <v>3</v>
      </c>
      <c r="G395">
        <v>13</v>
      </c>
      <c r="H395">
        <v>9</v>
      </c>
      <c r="I395">
        <v>1</v>
      </c>
      <c r="J395">
        <v>0.69</v>
      </c>
      <c r="K395">
        <v>0</v>
      </c>
      <c r="L395">
        <v>0</v>
      </c>
      <c r="M395">
        <v>0</v>
      </c>
      <c r="N395">
        <v>1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1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1</v>
      </c>
      <c r="AA395" s="86">
        <f>AVERAGEIFS($C$2:C395, $B$2:B395, B395)</f>
        <v>14</v>
      </c>
      <c r="AB395" s="86">
        <f>AVERAGEIFS($I$2:I395, $B$2:B395, B395)</f>
        <v>0.75</v>
      </c>
      <c r="AC395" s="86">
        <f>AVERAGEIFS($J$2:J395, $B$2:B395, B395)</f>
        <v>0.54666666666666663</v>
      </c>
      <c r="AD395" s="86">
        <f>AVERAGEIFS($D$2:D395, $B$2:B395, B395)</f>
        <v>0.66666666666666663</v>
      </c>
    </row>
    <row r="396" spans="1:30" x14ac:dyDescent="0.25">
      <c r="A396" s="85">
        <v>46145</v>
      </c>
      <c r="B396" t="s">
        <v>26</v>
      </c>
      <c r="C396">
        <v>8</v>
      </c>
      <c r="D396" s="86">
        <v>1</v>
      </c>
      <c r="E396">
        <v>3</v>
      </c>
      <c r="F396">
        <v>3</v>
      </c>
      <c r="G396">
        <v>13</v>
      </c>
      <c r="H396">
        <v>9</v>
      </c>
      <c r="I396">
        <v>1</v>
      </c>
      <c r="J396">
        <v>0.69</v>
      </c>
      <c r="K396">
        <v>0</v>
      </c>
      <c r="L396">
        <v>0</v>
      </c>
      <c r="M396">
        <v>0</v>
      </c>
      <c r="N396">
        <v>1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1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1</v>
      </c>
      <c r="AA396" s="86">
        <f>AVERAGEIFS($C$2:C396, $B$2:B396, B396)</f>
        <v>16.90909090909091</v>
      </c>
      <c r="AB396" s="86">
        <f>AVERAGEIFS($I$2:I396, $B$2:B396, B396)</f>
        <v>0.51363636363636367</v>
      </c>
      <c r="AC396" s="86">
        <f>AVERAGEIFS($J$2:J396, $B$2:B396, B396)</f>
        <v>0.48181818181818187</v>
      </c>
      <c r="AD396" s="86">
        <f>AVERAGEIFS($D$2:D396, $B$2:B396, B396)</f>
        <v>0.45454545454545453</v>
      </c>
    </row>
    <row r="397" spans="1:30" x14ac:dyDescent="0.25">
      <c r="A397" s="85">
        <v>46145</v>
      </c>
      <c r="B397" t="s">
        <v>18</v>
      </c>
      <c r="C397">
        <v>9</v>
      </c>
      <c r="D397" s="86">
        <v>0</v>
      </c>
      <c r="E397">
        <v>3</v>
      </c>
      <c r="F397">
        <v>0</v>
      </c>
      <c r="G397">
        <v>13</v>
      </c>
      <c r="H397">
        <v>4</v>
      </c>
      <c r="I397">
        <v>0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 s="86">
        <f>AVERAGEIFS($C$2:C397, $B$2:B397, B397)</f>
        <v>27.071428571428573</v>
      </c>
      <c r="AB397" s="86">
        <f>AVERAGEIFS($I$2:I397, $B$2:B397, B397)</f>
        <v>0.50714285714285712</v>
      </c>
      <c r="AC397" s="86">
        <f>AVERAGEIFS($J$2:J397, $B$2:B397, B397)</f>
        <v>0.51</v>
      </c>
      <c r="AD397" s="86">
        <f>AVERAGEIFS($D$2:D397, $B$2:B397, B397)</f>
        <v>0.5714285714285714</v>
      </c>
    </row>
    <row r="398" spans="1:30" x14ac:dyDescent="0.25">
      <c r="A398" s="85">
        <v>46145</v>
      </c>
      <c r="B398" t="s">
        <v>17</v>
      </c>
      <c r="C398">
        <v>11</v>
      </c>
      <c r="D398" s="86">
        <v>0</v>
      </c>
      <c r="E398">
        <v>3</v>
      </c>
      <c r="F398">
        <v>0</v>
      </c>
      <c r="G398">
        <v>13</v>
      </c>
      <c r="H398">
        <v>4</v>
      </c>
      <c r="I398">
        <v>0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 s="86">
        <f>AVERAGEIFS($C$2:C398, $B$2:B398, B398)</f>
        <v>23.272727272727273</v>
      </c>
      <c r="AB398" s="86">
        <f>AVERAGEIFS($I$2:I398, $B$2:B398, B398)</f>
        <v>0.46136363636363636</v>
      </c>
      <c r="AC398" s="86">
        <f>AVERAGEIFS($J$2:J398, $B$2:B398, B398)</f>
        <v>0.49136363636363622</v>
      </c>
      <c r="AD398" s="86">
        <f>AVERAGEIFS($D$2:D398, $B$2:B398, B398)</f>
        <v>0.5</v>
      </c>
    </row>
    <row r="399" spans="1:30" x14ac:dyDescent="0.25">
      <c r="A399" s="85">
        <v>46145</v>
      </c>
      <c r="B399" t="s">
        <v>37</v>
      </c>
      <c r="C399">
        <v>18</v>
      </c>
      <c r="D399" s="86">
        <v>0</v>
      </c>
      <c r="E399">
        <v>3</v>
      </c>
      <c r="F399">
        <v>0</v>
      </c>
      <c r="G399">
        <v>13</v>
      </c>
      <c r="H399">
        <v>4</v>
      </c>
      <c r="I399">
        <v>0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 s="86">
        <f>AVERAGEIFS($C$2:C399, $B$2:B399, B399)</f>
        <v>20.76923076923077</v>
      </c>
      <c r="AB399" s="86">
        <f>AVERAGEIFS($I$2:I399, $B$2:B399, B399)</f>
        <v>0.38846153846153847</v>
      </c>
      <c r="AC399" s="86">
        <f>AVERAGEIFS($J$2:J399, $B$2:B399, B399)</f>
        <v>0.43999999999999989</v>
      </c>
      <c r="AD399" s="86">
        <f>AVERAGEIFS($D$2:D399, $B$2:B399, B399)</f>
        <v>0.46153846153846156</v>
      </c>
    </row>
    <row r="400" spans="1:30" x14ac:dyDescent="0.25">
      <c r="A400" s="85">
        <v>46145</v>
      </c>
      <c r="B400" t="s">
        <v>141</v>
      </c>
      <c r="C400">
        <v>10</v>
      </c>
      <c r="D400" s="86">
        <v>0</v>
      </c>
      <c r="E400">
        <v>3</v>
      </c>
      <c r="F400">
        <v>0</v>
      </c>
      <c r="G400">
        <v>13</v>
      </c>
      <c r="H400">
        <v>4</v>
      </c>
      <c r="I400">
        <v>0</v>
      </c>
      <c r="J400">
        <v>0.31</v>
      </c>
      <c r="K400">
        <v>0</v>
      </c>
      <c r="L400">
        <v>0</v>
      </c>
      <c r="M400">
        <v>0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 s="86">
        <f>AVERAGEIFS($C$2:C400, $B$2:B400, B400)</f>
        <v>16.833333333333332</v>
      </c>
      <c r="AB400" s="86">
        <f>AVERAGEIFS($I$2:I400, $B$2:B400, B400)</f>
        <v>0.3833333333333333</v>
      </c>
      <c r="AC400" s="86">
        <f>AVERAGEIFS($J$2:J400, $B$2:B400, B400)</f>
        <v>0.43166666666666664</v>
      </c>
      <c r="AD400" s="86">
        <f>AVERAGEIFS($D$2:D400, $B$2:B400, B400)</f>
        <v>0.16666666666666666</v>
      </c>
    </row>
    <row r="401" spans="1:30" x14ac:dyDescent="0.25">
      <c r="A401" s="85">
        <v>46145</v>
      </c>
      <c r="B401" t="s">
        <v>25</v>
      </c>
      <c r="C401">
        <v>6</v>
      </c>
      <c r="D401" s="86">
        <v>0</v>
      </c>
      <c r="E401">
        <v>3</v>
      </c>
      <c r="F401">
        <v>0</v>
      </c>
      <c r="G401">
        <v>13</v>
      </c>
      <c r="H401">
        <v>4</v>
      </c>
      <c r="I401">
        <v>0</v>
      </c>
      <c r="J401">
        <v>0.31</v>
      </c>
      <c r="K401">
        <v>0</v>
      </c>
      <c r="L401">
        <v>0</v>
      </c>
      <c r="M401">
        <v>0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 s="86">
        <f>AVERAGEIFS($C$2:C401, $B$2:B401, B401)</f>
        <v>18.933333333333334</v>
      </c>
      <c r="AB401" s="86">
        <f>AVERAGEIFS($I$2:I401, $B$2:B401, B401)</f>
        <v>0.51333333333333331</v>
      </c>
      <c r="AC401" s="86">
        <f>AVERAGEIFS($J$2:J401, $B$2:B401, B401)</f>
        <v>0.49266666666666664</v>
      </c>
      <c r="AD401" s="86">
        <f>AVERAGEIFS($D$2:D401, $B$2:B401, B401)</f>
        <v>0.6</v>
      </c>
    </row>
    <row r="402" spans="1:30" x14ac:dyDescent="0.25">
      <c r="A402" s="85">
        <v>46145</v>
      </c>
      <c r="B402" t="s">
        <v>146</v>
      </c>
      <c r="C402">
        <v>12</v>
      </c>
      <c r="D402" s="86">
        <v>0</v>
      </c>
      <c r="E402">
        <v>3</v>
      </c>
      <c r="F402">
        <v>0</v>
      </c>
      <c r="G402">
        <v>13</v>
      </c>
      <c r="H402">
        <v>4</v>
      </c>
      <c r="I402">
        <v>0</v>
      </c>
      <c r="J402">
        <v>0.31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 s="86">
        <f>AVERAGEIFS($C$2:C402, $B$2:B402, B402)</f>
        <v>13.142857142857142</v>
      </c>
      <c r="AB402" s="86">
        <f>AVERAGEIFS($I$2:I402, $B$2:B402, B402)</f>
        <v>0.29285714285714282</v>
      </c>
      <c r="AC402" s="86">
        <f>AVERAGEIFS($J$2:J402, $B$2:B402, B402)</f>
        <v>0.42142857142857143</v>
      </c>
      <c r="AD402" s="86">
        <f>AVERAGEIFS($D$2:D402, $B$2:B402, B402)</f>
        <v>0.14285714285714285</v>
      </c>
    </row>
    <row r="403" spans="1:30" x14ac:dyDescent="0.25">
      <c r="A403" s="85">
        <v>46145</v>
      </c>
      <c r="B403" t="s">
        <v>140</v>
      </c>
      <c r="C403">
        <v>11</v>
      </c>
      <c r="D403" s="86">
        <v>0</v>
      </c>
      <c r="E403">
        <v>3</v>
      </c>
      <c r="F403">
        <v>0</v>
      </c>
      <c r="G403">
        <v>13</v>
      </c>
      <c r="H403">
        <v>4</v>
      </c>
      <c r="I403">
        <v>0</v>
      </c>
      <c r="J403">
        <v>0.31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 s="86">
        <f>AVERAGEIFS($C$2:C403, $B$2:B403, B403)</f>
        <v>8.1</v>
      </c>
      <c r="AB403" s="86">
        <f>AVERAGEIFS($I$2:I403, $B$2:B403, B403)</f>
        <v>0.4</v>
      </c>
      <c r="AC403" s="86">
        <f>AVERAGEIFS($J$2:J403, $B$2:B403, B403)</f>
        <v>0.47199999999999998</v>
      </c>
      <c r="AD403" s="86">
        <f>AVERAGEIFS($D$2:D403, $B$2:B403, B403)</f>
        <v>0.4</v>
      </c>
    </row>
    <row r="404" spans="1:30" x14ac:dyDescent="0.25">
      <c r="A404" s="85">
        <v>46149</v>
      </c>
      <c r="B404" t="s">
        <v>14</v>
      </c>
      <c r="C404">
        <v>30</v>
      </c>
      <c r="D404" s="86">
        <v>1</v>
      </c>
      <c r="E404">
        <v>3</v>
      </c>
      <c r="F404">
        <v>3</v>
      </c>
      <c r="G404">
        <v>13</v>
      </c>
      <c r="H404">
        <v>9</v>
      </c>
      <c r="I404">
        <v>1</v>
      </c>
      <c r="J404">
        <v>0.69</v>
      </c>
      <c r="K404">
        <v>1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1</v>
      </c>
      <c r="Z404">
        <v>1</v>
      </c>
      <c r="AA404" s="86">
        <f>AVERAGEIFS($C$2:C404, $B$2:B404, B404)</f>
        <v>23.388888888888889</v>
      </c>
      <c r="AB404" s="86">
        <f>AVERAGEIFS($I$2:I404, $B$2:B404, B404)</f>
        <v>0.36388888888888887</v>
      </c>
      <c r="AC404" s="86">
        <f>AVERAGEIFS($J$2:J404, $B$2:B404, B404)</f>
        <v>0.43611111111111112</v>
      </c>
      <c r="AD404" s="86">
        <f>AVERAGEIFS($D$2:D404, $B$2:B404, B404)</f>
        <v>0.27777777777777779</v>
      </c>
    </row>
    <row r="405" spans="1:30" x14ac:dyDescent="0.25">
      <c r="A405" s="85">
        <v>46149</v>
      </c>
      <c r="B405" t="s">
        <v>18</v>
      </c>
      <c r="C405">
        <v>23</v>
      </c>
      <c r="D405" s="86">
        <v>1</v>
      </c>
      <c r="E405">
        <v>3</v>
      </c>
      <c r="F405">
        <v>3</v>
      </c>
      <c r="G405">
        <v>13</v>
      </c>
      <c r="H405">
        <v>9</v>
      </c>
      <c r="I405">
        <v>1</v>
      </c>
      <c r="J405">
        <v>0.69</v>
      </c>
      <c r="K405">
        <v>1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1</v>
      </c>
      <c r="Z405">
        <v>1</v>
      </c>
      <c r="AA405" s="86">
        <f>AVERAGEIFS($C$2:C405, $B$2:B405, B405)</f>
        <v>26.8</v>
      </c>
      <c r="AB405" s="86">
        <f>AVERAGEIFS($I$2:I405, $B$2:B405, B405)</f>
        <v>0.53999999999999992</v>
      </c>
      <c r="AC405" s="86">
        <f>AVERAGEIFS($J$2:J405, $B$2:B405, B405)</f>
        <v>0.52200000000000002</v>
      </c>
      <c r="AD405" s="86">
        <f>AVERAGEIFS($D$2:D405, $B$2:B405, B405)</f>
        <v>0.6</v>
      </c>
    </row>
    <row r="406" spans="1:30" x14ac:dyDescent="0.25">
      <c r="A406" s="85">
        <v>46149</v>
      </c>
      <c r="B406" t="s">
        <v>5</v>
      </c>
      <c r="C406">
        <v>21</v>
      </c>
      <c r="D406" s="86">
        <v>1</v>
      </c>
      <c r="E406">
        <v>3</v>
      </c>
      <c r="F406">
        <v>3</v>
      </c>
      <c r="G406">
        <v>13</v>
      </c>
      <c r="H406">
        <v>9</v>
      </c>
      <c r="I406">
        <v>1</v>
      </c>
      <c r="J406">
        <v>0.69</v>
      </c>
      <c r="K406">
        <v>1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1</v>
      </c>
      <c r="Z406">
        <v>1</v>
      </c>
      <c r="AA406" s="86">
        <f>AVERAGEIFS($C$2:C406, $B$2:B406, B406)</f>
        <v>26.625</v>
      </c>
      <c r="AB406" s="86">
        <f>AVERAGEIFS($I$2:I406, $B$2:B406, B406)</f>
        <v>0.57499999999999996</v>
      </c>
      <c r="AC406" s="86">
        <f>AVERAGEIFS($J$2:J406, $B$2:B406, B406)</f>
        <v>0.53125</v>
      </c>
      <c r="AD406" s="86">
        <f>AVERAGEIFS($D$2:D406, $B$2:B406, B406)</f>
        <v>0.625</v>
      </c>
    </row>
    <row r="407" spans="1:30" x14ac:dyDescent="0.25">
      <c r="A407" s="85">
        <v>46149</v>
      </c>
      <c r="B407" t="s">
        <v>2</v>
      </c>
      <c r="C407">
        <v>19</v>
      </c>
      <c r="D407" s="86">
        <v>1</v>
      </c>
      <c r="E407">
        <v>3</v>
      </c>
      <c r="F407">
        <v>3</v>
      </c>
      <c r="G407">
        <v>13</v>
      </c>
      <c r="H407">
        <v>9</v>
      </c>
      <c r="I407">
        <v>1</v>
      </c>
      <c r="J407">
        <v>0.69</v>
      </c>
      <c r="K407">
        <v>1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1</v>
      </c>
      <c r="Z407">
        <v>1</v>
      </c>
      <c r="AA407" s="86">
        <f>AVERAGEIFS($C$2:C407, $B$2:B407, B407)</f>
        <v>25.75</v>
      </c>
      <c r="AB407" s="86">
        <f>AVERAGEIFS($I$2:I407, $B$2:B407, B407)</f>
        <v>0.85</v>
      </c>
      <c r="AC407" s="86">
        <f>AVERAGEIFS($J$2:J407, $B$2:B407, B407)</f>
        <v>0.61249999999999993</v>
      </c>
      <c r="AD407" s="86">
        <f>AVERAGEIFS($D$2:D407, $B$2:B407, B407)</f>
        <v>0.75</v>
      </c>
    </row>
    <row r="408" spans="1:30" x14ac:dyDescent="0.25">
      <c r="A408" s="85">
        <v>46149</v>
      </c>
      <c r="B408" t="s">
        <v>150</v>
      </c>
      <c r="C408">
        <v>12</v>
      </c>
      <c r="D408" s="86">
        <v>1</v>
      </c>
      <c r="E408">
        <v>3</v>
      </c>
      <c r="F408">
        <v>3</v>
      </c>
      <c r="G408">
        <v>13</v>
      </c>
      <c r="H408">
        <v>9</v>
      </c>
      <c r="I408">
        <v>1</v>
      </c>
      <c r="J408">
        <v>0.69</v>
      </c>
      <c r="K408">
        <v>1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1</v>
      </c>
      <c r="Z408">
        <v>1</v>
      </c>
      <c r="AA408" s="86">
        <f>AVERAGEIFS($C$2:C408, $B$2:B408, B408)</f>
        <v>17.899999999999999</v>
      </c>
      <c r="AB408" s="86">
        <f>AVERAGEIFS($I$2:I408, $B$2:B408, B408)</f>
        <v>0.76</v>
      </c>
      <c r="AC408" s="86">
        <f>AVERAGEIFS($J$2:J408, $B$2:B408, B408)</f>
        <v>0.65799999999999981</v>
      </c>
      <c r="AD408" s="86">
        <f>AVERAGEIFS($D$2:D408, $B$2:B408, B408)</f>
        <v>0.9</v>
      </c>
    </row>
    <row r="409" spans="1:30" x14ac:dyDescent="0.25">
      <c r="A409" s="85">
        <v>46149</v>
      </c>
      <c r="B409" t="s">
        <v>37</v>
      </c>
      <c r="C409">
        <v>12</v>
      </c>
      <c r="D409" s="86">
        <v>1</v>
      </c>
      <c r="E409">
        <v>3</v>
      </c>
      <c r="F409">
        <v>3</v>
      </c>
      <c r="G409">
        <v>13</v>
      </c>
      <c r="H409">
        <v>9</v>
      </c>
      <c r="I409">
        <v>1</v>
      </c>
      <c r="J409">
        <v>0.69</v>
      </c>
      <c r="K409">
        <v>1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1</v>
      </c>
      <c r="Z409">
        <v>1</v>
      </c>
      <c r="AA409" s="86">
        <f>AVERAGEIFS($C$2:C409, $B$2:B409, B409)</f>
        <v>20.142857142857142</v>
      </c>
      <c r="AB409" s="86">
        <f>AVERAGEIFS($I$2:I409, $B$2:B409, B409)</f>
        <v>0.43214285714285711</v>
      </c>
      <c r="AC409" s="86">
        <f>AVERAGEIFS($J$2:J409, $B$2:B409, B409)</f>
        <v>0.45785714285714274</v>
      </c>
      <c r="AD409" s="86">
        <f>AVERAGEIFS($D$2:D409, $B$2:B409, B409)</f>
        <v>0.5</v>
      </c>
    </row>
    <row r="410" spans="1:30" x14ac:dyDescent="0.25">
      <c r="A410" s="85">
        <v>46149</v>
      </c>
      <c r="B410" t="s">
        <v>35</v>
      </c>
      <c r="C410">
        <v>5</v>
      </c>
      <c r="D410" s="86">
        <v>1</v>
      </c>
      <c r="E410">
        <v>3</v>
      </c>
      <c r="F410">
        <v>3</v>
      </c>
      <c r="G410">
        <v>13</v>
      </c>
      <c r="H410">
        <v>9</v>
      </c>
      <c r="I410">
        <v>1</v>
      </c>
      <c r="J410">
        <v>0.69</v>
      </c>
      <c r="K410">
        <v>1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1</v>
      </c>
      <c r="Z410">
        <v>1</v>
      </c>
      <c r="AA410" s="86">
        <f>AVERAGEIFS($C$2:C410, $B$2:B410, B410)</f>
        <v>13.176470588235293</v>
      </c>
      <c r="AB410" s="86">
        <f>AVERAGEIFS($I$2:I410, $B$2:B410, B410)</f>
        <v>0.42941176470588227</v>
      </c>
      <c r="AC410" s="86">
        <f>AVERAGEIFS($J$2:J410, $B$2:B410, B410)</f>
        <v>0.43705882352941172</v>
      </c>
      <c r="AD410" s="86">
        <f>AVERAGEIFS($D$2:D410, $B$2:B410, B410)</f>
        <v>0.47058823529411764</v>
      </c>
    </row>
    <row r="411" spans="1:30" x14ac:dyDescent="0.25">
      <c r="A411" s="85">
        <v>46149</v>
      </c>
      <c r="B411" t="s">
        <v>140</v>
      </c>
      <c r="C411">
        <v>3</v>
      </c>
      <c r="D411" s="86">
        <v>1</v>
      </c>
      <c r="E411">
        <v>3</v>
      </c>
      <c r="F411">
        <v>3</v>
      </c>
      <c r="G411">
        <v>13</v>
      </c>
      <c r="H411">
        <v>9</v>
      </c>
      <c r="I411">
        <v>1</v>
      </c>
      <c r="J411">
        <v>0.69</v>
      </c>
      <c r="K411">
        <v>1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1</v>
      </c>
      <c r="Z411">
        <v>1</v>
      </c>
      <c r="AA411" s="86">
        <f>AVERAGEIFS($C$2:C411, $B$2:B411, B411)</f>
        <v>7.6363636363636367</v>
      </c>
      <c r="AB411" s="86">
        <f>AVERAGEIFS($I$2:I411, $B$2:B411, B411)</f>
        <v>0.45454545454545453</v>
      </c>
      <c r="AC411" s="86">
        <f>AVERAGEIFS($J$2:J411, $B$2:B411, B411)</f>
        <v>0.49181818181818182</v>
      </c>
      <c r="AD411" s="86">
        <f>AVERAGEIFS($D$2:D411, $B$2:B411, B411)</f>
        <v>0.45454545454545453</v>
      </c>
    </row>
    <row r="412" spans="1:30" x14ac:dyDescent="0.25">
      <c r="A412" s="85">
        <v>46149</v>
      </c>
      <c r="B412" t="s">
        <v>13</v>
      </c>
      <c r="C412">
        <v>18</v>
      </c>
      <c r="D412" s="86">
        <v>0</v>
      </c>
      <c r="E412">
        <v>3</v>
      </c>
      <c r="F412">
        <v>0</v>
      </c>
      <c r="G412">
        <v>13</v>
      </c>
      <c r="H412">
        <v>4</v>
      </c>
      <c r="I412">
        <v>0</v>
      </c>
      <c r="J412">
        <v>0.31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86">
        <f>AVERAGEIFS($C$2:C412, $B$2:B412, B412)</f>
        <v>25</v>
      </c>
      <c r="AB412" s="86">
        <f>AVERAGEIFS($I$2:I412, $B$2:B412, B412)</f>
        <v>0.5892857142857143</v>
      </c>
      <c r="AC412" s="86">
        <f>AVERAGEIFS($J$2:J412, $B$2:B412, B412)</f>
        <v>0.55821428571428566</v>
      </c>
      <c r="AD412" s="86">
        <f>AVERAGEIFS($D$2:D412, $B$2:B412, B412)</f>
        <v>0.6071428571428571</v>
      </c>
    </row>
    <row r="413" spans="1:30" x14ac:dyDescent="0.25">
      <c r="A413" s="85">
        <v>46149</v>
      </c>
      <c r="B413" t="s">
        <v>113</v>
      </c>
      <c r="C413">
        <v>18</v>
      </c>
      <c r="D413" s="86">
        <v>0</v>
      </c>
      <c r="E413">
        <v>3</v>
      </c>
      <c r="F413">
        <v>0</v>
      </c>
      <c r="G413">
        <v>13</v>
      </c>
      <c r="H413">
        <v>4</v>
      </c>
      <c r="I413">
        <v>0</v>
      </c>
      <c r="J413">
        <v>0.31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86">
        <f>AVERAGEIFS($C$2:C413, $B$2:B413, B413)</f>
        <v>19.25</v>
      </c>
      <c r="AB413" s="86">
        <f>AVERAGEIFS($I$2:I413, $B$2:B413, B413)</f>
        <v>0.60416666666666663</v>
      </c>
      <c r="AC413" s="86">
        <f>AVERAGEIFS($J$2:J413, $B$2:B413, B413)</f>
        <v>0.53333333333333333</v>
      </c>
      <c r="AD413" s="86">
        <f>AVERAGEIFS($D$2:D413, $B$2:B413, B413)</f>
        <v>0.66666666666666663</v>
      </c>
    </row>
    <row r="414" spans="1:30" x14ac:dyDescent="0.25">
      <c r="A414" s="85">
        <v>46149</v>
      </c>
      <c r="B414" t="s">
        <v>15</v>
      </c>
      <c r="C414">
        <v>16</v>
      </c>
      <c r="D414" s="86">
        <v>0</v>
      </c>
      <c r="E414">
        <v>3</v>
      </c>
      <c r="F414">
        <v>0</v>
      </c>
      <c r="G414">
        <v>13</v>
      </c>
      <c r="H414">
        <v>4</v>
      </c>
      <c r="I414">
        <v>0</v>
      </c>
      <c r="J414">
        <v>0.31</v>
      </c>
      <c r="K414">
        <v>0</v>
      </c>
      <c r="L414">
        <v>0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86">
        <f>AVERAGEIFS($C$2:C414, $B$2:B414, B414)</f>
        <v>22</v>
      </c>
      <c r="AB414" s="86">
        <f>AVERAGEIFS($I$2:I414, $B$2:B414, B414)</f>
        <v>0.54333333333333322</v>
      </c>
      <c r="AC414" s="86">
        <f>AVERAGEIFS($J$2:J414, $B$2:B414, B414)</f>
        <v>0.53333333333333333</v>
      </c>
      <c r="AD414" s="86">
        <f>AVERAGEIFS($D$2:D414, $B$2:B414, B414)</f>
        <v>0.53333333333333333</v>
      </c>
    </row>
    <row r="415" spans="1:30" x14ac:dyDescent="0.25">
      <c r="A415" s="85">
        <v>46149</v>
      </c>
      <c r="B415" t="s">
        <v>155</v>
      </c>
      <c r="C415">
        <v>15</v>
      </c>
      <c r="D415" s="86">
        <v>0</v>
      </c>
      <c r="E415">
        <v>3</v>
      </c>
      <c r="F415">
        <v>0</v>
      </c>
      <c r="G415">
        <v>13</v>
      </c>
      <c r="H415">
        <v>4</v>
      </c>
      <c r="I415">
        <v>0</v>
      </c>
      <c r="J415">
        <v>0.31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 s="86">
        <f>AVERAGEIFS($C$2:C415, $B$2:B415, B415)</f>
        <v>17.636363636363637</v>
      </c>
      <c r="AB415" s="86">
        <f>AVERAGEIFS($I$2:I415, $B$2:B415, B415)</f>
        <v>0.34545454545454546</v>
      </c>
      <c r="AC415" s="86">
        <f>AVERAGEIFS($J$2:J415, $B$2:B415, B415)</f>
        <v>0.43636363636363645</v>
      </c>
      <c r="AD415" s="86">
        <f>AVERAGEIFS($D$2:D415, $B$2:B415, B415)</f>
        <v>0.27272727272727271</v>
      </c>
    </row>
    <row r="416" spans="1:30" x14ac:dyDescent="0.25">
      <c r="A416" s="85">
        <v>46149</v>
      </c>
      <c r="B416" t="s">
        <v>154</v>
      </c>
      <c r="C416">
        <v>10</v>
      </c>
      <c r="D416" s="86">
        <v>0</v>
      </c>
      <c r="E416">
        <v>3</v>
      </c>
      <c r="F416">
        <v>0</v>
      </c>
      <c r="G416">
        <v>13</v>
      </c>
      <c r="H416">
        <v>4</v>
      </c>
      <c r="I416">
        <v>0</v>
      </c>
      <c r="J416">
        <v>0.31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 s="86">
        <f>AVERAGEIFS($C$2:C416, $B$2:B416, B416)</f>
        <v>10.5</v>
      </c>
      <c r="AB416" s="86">
        <f>AVERAGEIFS($I$2:I416, $B$2:B416, B416)</f>
        <v>0.5625</v>
      </c>
      <c r="AC416" s="86">
        <f>AVERAGEIFS($J$2:J416, $B$2:B416, B416)</f>
        <v>0.55249999999999999</v>
      </c>
      <c r="AD416" s="86">
        <f>AVERAGEIFS($D$2:D416, $B$2:B416, B416)</f>
        <v>0.625</v>
      </c>
    </row>
    <row r="417" spans="1:30" x14ac:dyDescent="0.25">
      <c r="A417" s="85">
        <v>46149</v>
      </c>
      <c r="B417" t="s">
        <v>148</v>
      </c>
      <c r="C417">
        <v>9</v>
      </c>
      <c r="D417" s="86">
        <v>0</v>
      </c>
      <c r="E417">
        <v>3</v>
      </c>
      <c r="F417">
        <v>0</v>
      </c>
      <c r="G417">
        <v>13</v>
      </c>
      <c r="H417">
        <v>4</v>
      </c>
      <c r="I417">
        <v>0</v>
      </c>
      <c r="J417">
        <v>0.31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 s="86">
        <f>AVERAGEIFS($C$2:C417, $B$2:B417, B417)</f>
        <v>13.384615384615385</v>
      </c>
      <c r="AB417" s="86">
        <f>AVERAGEIFS($I$2:I417, $B$2:B417, B417)</f>
        <v>0.55769230769230771</v>
      </c>
      <c r="AC417" s="86">
        <f>AVERAGEIFS($J$2:J417, $B$2:B417, B417)</f>
        <v>0.52653846153846162</v>
      </c>
      <c r="AD417" s="86">
        <f>AVERAGEIFS($D$2:D417, $B$2:B417, B417)</f>
        <v>0.61538461538461542</v>
      </c>
    </row>
    <row r="418" spans="1:30" x14ac:dyDescent="0.25">
      <c r="A418" s="85">
        <v>46149</v>
      </c>
      <c r="B418" t="s">
        <v>17</v>
      </c>
      <c r="C418">
        <v>9</v>
      </c>
      <c r="D418" s="86">
        <v>0</v>
      </c>
      <c r="E418">
        <v>3</v>
      </c>
      <c r="F418">
        <v>0</v>
      </c>
      <c r="G418">
        <v>13</v>
      </c>
      <c r="H418">
        <v>4</v>
      </c>
      <c r="I418">
        <v>0</v>
      </c>
      <c r="J418">
        <v>0.31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 s="86">
        <f>AVERAGEIFS($C$2:C418, $B$2:B418, B418)</f>
        <v>22.652173913043477</v>
      </c>
      <c r="AB418" s="86">
        <f>AVERAGEIFS($I$2:I418, $B$2:B418, B418)</f>
        <v>0.44130434782608696</v>
      </c>
      <c r="AC418" s="86">
        <f>AVERAGEIFS($J$2:J418, $B$2:B418, B418)</f>
        <v>0.48347826086956508</v>
      </c>
      <c r="AD418" s="86">
        <f>AVERAGEIFS($D$2:D418, $B$2:B418, B418)</f>
        <v>0.47826086956521741</v>
      </c>
    </row>
    <row r="419" spans="1:30" x14ac:dyDescent="0.25">
      <c r="A419" s="85">
        <v>46149</v>
      </c>
      <c r="B419" t="s">
        <v>139</v>
      </c>
      <c r="C419">
        <v>5</v>
      </c>
      <c r="D419" s="86">
        <v>0</v>
      </c>
      <c r="E419">
        <v>3</v>
      </c>
      <c r="F419">
        <v>0</v>
      </c>
      <c r="G419">
        <v>13</v>
      </c>
      <c r="H419">
        <v>4</v>
      </c>
      <c r="I419">
        <v>0</v>
      </c>
      <c r="J419">
        <v>0.31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 s="86">
        <f>AVERAGEIFS($C$2:C419, $B$2:B419, B419)</f>
        <v>10.153846153846153</v>
      </c>
      <c r="AB419" s="86">
        <f>AVERAGEIFS($I$2:I419, $B$2:B419, B419)</f>
        <v>0.48461538461538461</v>
      </c>
      <c r="AC419" s="86">
        <f>AVERAGEIFS($J$2:J419, $B$2:B419, B419)</f>
        <v>0.51076923076923075</v>
      </c>
      <c r="AD419" s="86">
        <f>AVERAGEIFS($D$2:D419, $B$2:B419, B419)</f>
        <v>0.61538461538461542</v>
      </c>
    </row>
    <row r="420" spans="1:30" x14ac:dyDescent="0.25">
      <c r="A420" s="85">
        <v>46149</v>
      </c>
      <c r="B420" t="s">
        <v>13</v>
      </c>
      <c r="C420">
        <v>16</v>
      </c>
      <c r="D420" s="86">
        <v>1</v>
      </c>
      <c r="E420">
        <v>4</v>
      </c>
      <c r="F420">
        <v>3</v>
      </c>
      <c r="G420">
        <v>16</v>
      </c>
      <c r="H420">
        <v>10</v>
      </c>
      <c r="I420">
        <v>0.75</v>
      </c>
      <c r="J420">
        <v>0.63</v>
      </c>
      <c r="K420">
        <v>1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1</v>
      </c>
      <c r="X420">
        <v>0</v>
      </c>
      <c r="Y420">
        <v>0</v>
      </c>
      <c r="Z420">
        <v>0</v>
      </c>
      <c r="AA420" s="86">
        <f>AVERAGEIFS($C$2:C420, $B$2:B420, B420)</f>
        <v>24.689655172413794</v>
      </c>
      <c r="AB420" s="86">
        <f>AVERAGEIFS($I$2:I420, $B$2:B420, B420)</f>
        <v>0.59482758620689657</v>
      </c>
      <c r="AC420" s="86">
        <f>AVERAGEIFS($J$2:J420, $B$2:B420, B420)</f>
        <v>0.56068965517241376</v>
      </c>
      <c r="AD420" s="86">
        <f>AVERAGEIFS($D$2:D420, $B$2:B420, B420)</f>
        <v>0.62068965517241381</v>
      </c>
    </row>
    <row r="421" spans="1:30" x14ac:dyDescent="0.25">
      <c r="A421" s="85">
        <v>46149</v>
      </c>
      <c r="B421" t="s">
        <v>15</v>
      </c>
      <c r="C421">
        <v>14</v>
      </c>
      <c r="D421" s="86">
        <v>1</v>
      </c>
      <c r="E421">
        <v>4</v>
      </c>
      <c r="F421">
        <v>3</v>
      </c>
      <c r="G421">
        <v>16</v>
      </c>
      <c r="H421">
        <v>10</v>
      </c>
      <c r="I421">
        <v>0.75</v>
      </c>
      <c r="J421">
        <v>0.63</v>
      </c>
      <c r="K421">
        <v>1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1</v>
      </c>
      <c r="X421">
        <v>0</v>
      </c>
      <c r="Y421">
        <v>0</v>
      </c>
      <c r="Z421">
        <v>0</v>
      </c>
      <c r="AA421" s="86">
        <f>AVERAGEIFS($C$2:C421, $B$2:B421, B421)</f>
        <v>21.5</v>
      </c>
      <c r="AB421" s="86">
        <f>AVERAGEIFS($I$2:I421, $B$2:B421, B421)</f>
        <v>0.55624999999999991</v>
      </c>
      <c r="AC421" s="86">
        <f>AVERAGEIFS($J$2:J421, $B$2:B421, B421)</f>
        <v>0.53937499999999994</v>
      </c>
      <c r="AD421" s="86">
        <f>AVERAGEIFS($D$2:D421, $B$2:B421, B421)</f>
        <v>0.5625</v>
      </c>
    </row>
    <row r="422" spans="1:30" x14ac:dyDescent="0.25">
      <c r="A422" s="85">
        <v>46149</v>
      </c>
      <c r="B422" t="s">
        <v>29</v>
      </c>
      <c r="C422">
        <v>9</v>
      </c>
      <c r="D422" s="86">
        <v>1</v>
      </c>
      <c r="E422">
        <v>4</v>
      </c>
      <c r="F422">
        <v>3</v>
      </c>
      <c r="G422">
        <v>16</v>
      </c>
      <c r="H422">
        <v>10</v>
      </c>
      <c r="I422">
        <v>0.75</v>
      </c>
      <c r="J422">
        <v>0.63</v>
      </c>
      <c r="K422">
        <v>1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1</v>
      </c>
      <c r="X422">
        <v>0</v>
      </c>
      <c r="Y422">
        <v>0</v>
      </c>
      <c r="Z422">
        <v>0</v>
      </c>
      <c r="AA422" s="86">
        <f>AVERAGEIFS($C$2:C422, $B$2:B422, B422)</f>
        <v>11.952380952380953</v>
      </c>
      <c r="AB422" s="86">
        <f>AVERAGEIFS($I$2:I422, $B$2:B422, B422)</f>
        <v>0.39523809523809517</v>
      </c>
      <c r="AC422" s="86">
        <f>AVERAGEIFS($J$2:J422, $B$2:B422, B422)</f>
        <v>0.46619047619047621</v>
      </c>
      <c r="AD422" s="86">
        <f>AVERAGEIFS($D$2:D422, $B$2:B422, B422)</f>
        <v>0.33333333333333331</v>
      </c>
    </row>
    <row r="423" spans="1:30" x14ac:dyDescent="0.25">
      <c r="A423" s="85">
        <v>46149</v>
      </c>
      <c r="B423" t="s">
        <v>18</v>
      </c>
      <c r="C423">
        <v>30</v>
      </c>
      <c r="D423" s="86">
        <v>1</v>
      </c>
      <c r="E423">
        <v>4</v>
      </c>
      <c r="F423">
        <v>3</v>
      </c>
      <c r="G423">
        <v>16</v>
      </c>
      <c r="H423">
        <v>10</v>
      </c>
      <c r="I423">
        <v>0.75</v>
      </c>
      <c r="J423">
        <v>0.63</v>
      </c>
      <c r="K423">
        <v>1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1</v>
      </c>
      <c r="X423">
        <v>0</v>
      </c>
      <c r="Y423">
        <v>0</v>
      </c>
      <c r="Z423">
        <v>0</v>
      </c>
      <c r="AA423" s="86">
        <f>AVERAGEIFS($C$2:C423, $B$2:B423, B423)</f>
        <v>27</v>
      </c>
      <c r="AB423" s="86">
        <f>AVERAGEIFS($I$2:I423, $B$2:B423, B423)</f>
        <v>0.55312499999999998</v>
      </c>
      <c r="AC423" s="86">
        <f>AVERAGEIFS($J$2:J423, $B$2:B423, B423)</f>
        <v>0.52875000000000005</v>
      </c>
      <c r="AD423" s="86">
        <f>AVERAGEIFS($D$2:D423, $B$2:B423, B423)</f>
        <v>0.625</v>
      </c>
    </row>
    <row r="424" spans="1:30" x14ac:dyDescent="0.25">
      <c r="A424" s="85">
        <v>46149</v>
      </c>
      <c r="B424" t="s">
        <v>141</v>
      </c>
      <c r="C424">
        <v>17</v>
      </c>
      <c r="D424" s="86">
        <v>1</v>
      </c>
      <c r="E424">
        <v>4</v>
      </c>
      <c r="F424">
        <v>3</v>
      </c>
      <c r="G424">
        <v>16</v>
      </c>
      <c r="H424">
        <v>10</v>
      </c>
      <c r="I424">
        <v>0.75</v>
      </c>
      <c r="J424">
        <v>0.63</v>
      </c>
      <c r="K424">
        <v>1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1</v>
      </c>
      <c r="X424">
        <v>0</v>
      </c>
      <c r="Y424">
        <v>0</v>
      </c>
      <c r="Z424">
        <v>0</v>
      </c>
      <c r="AA424" s="86">
        <f>AVERAGEIFS($C$2:C424, $B$2:B424, B424)</f>
        <v>16.857142857142858</v>
      </c>
      <c r="AB424" s="86">
        <f>AVERAGEIFS($I$2:I424, $B$2:B424, B424)</f>
        <v>0.43571428571428567</v>
      </c>
      <c r="AC424" s="86">
        <f>AVERAGEIFS($J$2:J424, $B$2:B424, B424)</f>
        <v>0.45999999999999996</v>
      </c>
      <c r="AD424" s="86">
        <f>AVERAGEIFS($D$2:D424, $B$2:B424, B424)</f>
        <v>0.2857142857142857</v>
      </c>
    </row>
    <row r="425" spans="1:30" x14ac:dyDescent="0.25">
      <c r="A425" s="85">
        <v>46149</v>
      </c>
      <c r="B425" t="s">
        <v>155</v>
      </c>
      <c r="C425">
        <v>18</v>
      </c>
      <c r="D425" s="86">
        <v>1</v>
      </c>
      <c r="E425">
        <v>4</v>
      </c>
      <c r="F425">
        <v>3</v>
      </c>
      <c r="G425">
        <v>16</v>
      </c>
      <c r="H425">
        <v>10</v>
      </c>
      <c r="I425">
        <v>0.75</v>
      </c>
      <c r="J425">
        <v>0.63</v>
      </c>
      <c r="K425">
        <v>1</v>
      </c>
      <c r="L425">
        <v>0</v>
      </c>
      <c r="M425">
        <v>0</v>
      </c>
      <c r="N425">
        <v>1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1</v>
      </c>
      <c r="X425">
        <v>0</v>
      </c>
      <c r="Y425">
        <v>0</v>
      </c>
      <c r="Z425">
        <v>0</v>
      </c>
      <c r="AA425" s="86">
        <f>AVERAGEIFS($C$2:C425, $B$2:B425, B425)</f>
        <v>17.652173913043477</v>
      </c>
      <c r="AB425" s="86">
        <f>AVERAGEIFS($I$2:I425, $B$2:B425, B425)</f>
        <v>0.36304347826086952</v>
      </c>
      <c r="AC425" s="86">
        <f>AVERAGEIFS($J$2:J425, $B$2:B425, B425)</f>
        <v>0.44478260869565228</v>
      </c>
      <c r="AD425" s="86">
        <f>AVERAGEIFS($D$2:D425, $B$2:B425, B425)</f>
        <v>0.30434782608695654</v>
      </c>
    </row>
    <row r="426" spans="1:30" x14ac:dyDescent="0.25">
      <c r="A426" s="85">
        <v>46149</v>
      </c>
      <c r="B426" t="s">
        <v>35</v>
      </c>
      <c r="C426">
        <v>13</v>
      </c>
      <c r="D426" s="86">
        <v>1</v>
      </c>
      <c r="E426">
        <v>4</v>
      </c>
      <c r="F426">
        <v>3</v>
      </c>
      <c r="G426">
        <v>16</v>
      </c>
      <c r="H426">
        <v>10</v>
      </c>
      <c r="I426">
        <v>0.75</v>
      </c>
      <c r="J426">
        <v>0.63</v>
      </c>
      <c r="K426">
        <v>1</v>
      </c>
      <c r="L426">
        <v>0</v>
      </c>
      <c r="M426">
        <v>0</v>
      </c>
      <c r="N426">
        <v>1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1</v>
      </c>
      <c r="X426">
        <v>0</v>
      </c>
      <c r="Y426">
        <v>0</v>
      </c>
      <c r="Z426">
        <v>0</v>
      </c>
      <c r="AA426" s="86">
        <f>AVERAGEIFS($C$2:C426, $B$2:B426, B426)</f>
        <v>13.166666666666666</v>
      </c>
      <c r="AB426" s="86">
        <f>AVERAGEIFS($I$2:I426, $B$2:B426, B426)</f>
        <v>0.44722222222222219</v>
      </c>
      <c r="AC426" s="86">
        <f>AVERAGEIFS($J$2:J426, $B$2:B426, B426)</f>
        <v>0.44777777777777783</v>
      </c>
      <c r="AD426" s="86">
        <f>AVERAGEIFS($D$2:D426, $B$2:B426, B426)</f>
        <v>0.5</v>
      </c>
    </row>
    <row r="427" spans="1:30" x14ac:dyDescent="0.25">
      <c r="A427" s="85">
        <v>46149</v>
      </c>
      <c r="B427" t="s">
        <v>6</v>
      </c>
      <c r="C427">
        <v>16</v>
      </c>
      <c r="D427" s="86">
        <v>0</v>
      </c>
      <c r="E427">
        <v>4</v>
      </c>
      <c r="F427">
        <v>1</v>
      </c>
      <c r="G427">
        <v>16</v>
      </c>
      <c r="H427">
        <v>6</v>
      </c>
      <c r="I427">
        <v>0.25</v>
      </c>
      <c r="J427">
        <v>0.38</v>
      </c>
      <c r="K427">
        <v>0</v>
      </c>
      <c r="L427">
        <v>1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 s="86">
        <f>AVERAGEIFS($C$2:C427, $B$2:B427, B427)</f>
        <v>22.454545454545453</v>
      </c>
      <c r="AB427" s="86">
        <f>AVERAGEIFS($I$2:I427, $B$2:B427, B427)</f>
        <v>0.61818181818181817</v>
      </c>
      <c r="AC427" s="86">
        <f>AVERAGEIFS($J$2:J427, $B$2:B427, B427)</f>
        <v>0.56636363636363629</v>
      </c>
      <c r="AD427" s="86">
        <f>AVERAGEIFS($D$2:D427, $B$2:B427, B427)</f>
        <v>0.54545454545454541</v>
      </c>
    </row>
    <row r="428" spans="1:30" x14ac:dyDescent="0.25">
      <c r="A428" s="85">
        <v>46149</v>
      </c>
      <c r="B428" t="s">
        <v>146</v>
      </c>
      <c r="C428">
        <v>8</v>
      </c>
      <c r="D428" s="86">
        <v>0</v>
      </c>
      <c r="E428">
        <v>4</v>
      </c>
      <c r="F428">
        <v>1</v>
      </c>
      <c r="G428">
        <v>16</v>
      </c>
      <c r="H428">
        <v>6</v>
      </c>
      <c r="I428">
        <v>0.25</v>
      </c>
      <c r="J428">
        <v>0.38</v>
      </c>
      <c r="K428">
        <v>0</v>
      </c>
      <c r="L428">
        <v>1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 s="86">
        <f>AVERAGEIFS($C$2:C428, $B$2:B428, B428)</f>
        <v>12.5</v>
      </c>
      <c r="AB428" s="86">
        <f>AVERAGEIFS($I$2:I428, $B$2:B428, B428)</f>
        <v>0.28749999999999998</v>
      </c>
      <c r="AC428" s="86">
        <f>AVERAGEIFS($J$2:J428, $B$2:B428, B428)</f>
        <v>0.41625000000000001</v>
      </c>
      <c r="AD428" s="86">
        <f>AVERAGEIFS($D$2:D428, $B$2:B428, B428)</f>
        <v>0.125</v>
      </c>
    </row>
    <row r="429" spans="1:30" x14ac:dyDescent="0.25">
      <c r="A429" s="85">
        <v>46149</v>
      </c>
      <c r="B429" t="s">
        <v>154</v>
      </c>
      <c r="C429">
        <v>12</v>
      </c>
      <c r="D429" s="86">
        <v>0</v>
      </c>
      <c r="E429">
        <v>4</v>
      </c>
      <c r="F429">
        <v>1</v>
      </c>
      <c r="G429">
        <v>16</v>
      </c>
      <c r="H429">
        <v>6</v>
      </c>
      <c r="I429">
        <v>0.25</v>
      </c>
      <c r="J429">
        <v>0.38</v>
      </c>
      <c r="K429">
        <v>0</v>
      </c>
      <c r="L429">
        <v>1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 s="86">
        <f>AVERAGEIFS($C$2:C429, $B$2:B429, B429)</f>
        <v>10.666666666666666</v>
      </c>
      <c r="AB429" s="86">
        <f>AVERAGEIFS($I$2:I429, $B$2:B429, B429)</f>
        <v>0.52777777777777779</v>
      </c>
      <c r="AC429" s="86">
        <f>AVERAGEIFS($J$2:J429, $B$2:B429, B429)</f>
        <v>0.53333333333333333</v>
      </c>
      <c r="AD429" s="86">
        <f>AVERAGEIFS($D$2:D429, $B$2:B429, B429)</f>
        <v>0.55555555555555558</v>
      </c>
    </row>
    <row r="430" spans="1:30" x14ac:dyDescent="0.25">
      <c r="A430" s="85">
        <v>46149</v>
      </c>
      <c r="B430" t="s">
        <v>113</v>
      </c>
      <c r="C430">
        <v>16</v>
      </c>
      <c r="D430" s="86">
        <v>0</v>
      </c>
      <c r="E430">
        <v>4</v>
      </c>
      <c r="F430">
        <v>1</v>
      </c>
      <c r="G430">
        <v>16</v>
      </c>
      <c r="H430">
        <v>6</v>
      </c>
      <c r="I430">
        <v>0.25</v>
      </c>
      <c r="J430">
        <v>0.38</v>
      </c>
      <c r="K430">
        <v>0</v>
      </c>
      <c r="L430">
        <v>1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 s="86">
        <f>AVERAGEIFS($C$2:C430, $B$2:B430, B430)</f>
        <v>19</v>
      </c>
      <c r="AB430" s="86">
        <f>AVERAGEIFS($I$2:I430, $B$2:B430, B430)</f>
        <v>0.57692307692307687</v>
      </c>
      <c r="AC430" s="86">
        <f>AVERAGEIFS($J$2:J430, $B$2:B430, B430)</f>
        <v>0.52153846153846151</v>
      </c>
      <c r="AD430" s="86">
        <f>AVERAGEIFS($D$2:D430, $B$2:B430, B430)</f>
        <v>0.61538461538461542</v>
      </c>
    </row>
    <row r="431" spans="1:30" x14ac:dyDescent="0.25">
      <c r="A431" s="85">
        <v>46149</v>
      </c>
      <c r="B431" t="s">
        <v>5</v>
      </c>
      <c r="C431">
        <v>18</v>
      </c>
      <c r="D431" s="86">
        <v>0</v>
      </c>
      <c r="E431">
        <v>4</v>
      </c>
      <c r="F431">
        <v>1</v>
      </c>
      <c r="G431">
        <v>16</v>
      </c>
      <c r="H431">
        <v>6</v>
      </c>
      <c r="I431">
        <v>0.25</v>
      </c>
      <c r="J431">
        <v>0.38</v>
      </c>
      <c r="K431">
        <v>0</v>
      </c>
      <c r="L431">
        <v>1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 s="86">
        <f>AVERAGEIFS($C$2:C431, $B$2:B431, B431)</f>
        <v>25.666666666666668</v>
      </c>
      <c r="AB431" s="86">
        <f>AVERAGEIFS($I$2:I431, $B$2:B431, B431)</f>
        <v>0.53888888888888886</v>
      </c>
      <c r="AC431" s="86">
        <f>AVERAGEIFS($J$2:J431, $B$2:B431, B431)</f>
        <v>0.51444444444444448</v>
      </c>
      <c r="AD431" s="86">
        <f>AVERAGEIFS($D$2:D431, $B$2:B431, B431)</f>
        <v>0.55555555555555558</v>
      </c>
    </row>
    <row r="432" spans="1:30" x14ac:dyDescent="0.25">
      <c r="A432" s="85">
        <v>46149</v>
      </c>
      <c r="B432" t="s">
        <v>150</v>
      </c>
      <c r="C432">
        <v>15</v>
      </c>
      <c r="D432" s="86">
        <v>0</v>
      </c>
      <c r="E432">
        <v>4</v>
      </c>
      <c r="F432">
        <v>1</v>
      </c>
      <c r="G432">
        <v>16</v>
      </c>
      <c r="H432">
        <v>6</v>
      </c>
      <c r="I432">
        <v>0.25</v>
      </c>
      <c r="J432">
        <v>0.38</v>
      </c>
      <c r="K432">
        <v>0</v>
      </c>
      <c r="L432">
        <v>1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 s="86">
        <f>AVERAGEIFS($C$2:C432, $B$2:B432, B432)</f>
        <v>17.636363636363637</v>
      </c>
      <c r="AB432" s="86">
        <f>AVERAGEIFS($I$2:I432, $B$2:B432, B432)</f>
        <v>0.71363636363636362</v>
      </c>
      <c r="AC432" s="86">
        <f>AVERAGEIFS($J$2:J432, $B$2:B432, B432)</f>
        <v>0.63272727272727258</v>
      </c>
      <c r="AD432" s="86">
        <f>AVERAGEIFS($D$2:D432, $B$2:B432, B432)</f>
        <v>0.81818181818181823</v>
      </c>
    </row>
    <row r="433" spans="1:30" x14ac:dyDescent="0.25">
      <c r="A433" s="85">
        <v>46149</v>
      </c>
      <c r="B433" t="s">
        <v>140</v>
      </c>
      <c r="C433">
        <v>12</v>
      </c>
      <c r="D433" s="86">
        <v>0</v>
      </c>
      <c r="E433">
        <v>4</v>
      </c>
      <c r="F433">
        <v>1</v>
      </c>
      <c r="G433">
        <v>16</v>
      </c>
      <c r="H433">
        <v>6</v>
      </c>
      <c r="I433">
        <v>0.25</v>
      </c>
      <c r="J433">
        <v>0.38</v>
      </c>
      <c r="K433">
        <v>0</v>
      </c>
      <c r="L433">
        <v>1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 s="86">
        <f>AVERAGEIFS($C$2:C433, $B$2:B433, B433)</f>
        <v>8</v>
      </c>
      <c r="AB433" s="86">
        <f>AVERAGEIFS($I$2:I433, $B$2:B433, B433)</f>
        <v>0.4375</v>
      </c>
      <c r="AC433" s="86">
        <f>AVERAGEIFS($J$2:J433, $B$2:B433, B433)</f>
        <v>0.48249999999999998</v>
      </c>
      <c r="AD433" s="86">
        <f>AVERAGEIFS($D$2:D433, $B$2:B433, B433)</f>
        <v>0.41666666666666669</v>
      </c>
    </row>
    <row r="434" spans="1:30" x14ac:dyDescent="0.25">
      <c r="A434" s="85">
        <v>46149</v>
      </c>
      <c r="B434" t="s">
        <v>6</v>
      </c>
      <c r="C434">
        <v>66</v>
      </c>
      <c r="D434" s="86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0</v>
      </c>
      <c r="L434">
        <v>0</v>
      </c>
      <c r="M434">
        <v>1</v>
      </c>
      <c r="N434">
        <v>1</v>
      </c>
      <c r="O434">
        <v>1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 s="86">
        <f>AVERAGEIFS($C$2:C434, $B$2:B434, B434)</f>
        <v>26.083333333333332</v>
      </c>
      <c r="AB434" s="86">
        <f>AVERAGEIFS($I$2:I434, $B$2:B434, B434)</f>
        <v>0.61666666666666659</v>
      </c>
      <c r="AC434" s="86">
        <f>AVERAGEIFS($J$2:J434, $B$2:B434, B434)</f>
        <v>0.5625</v>
      </c>
      <c r="AD434" s="86">
        <f>AVERAGEIFS($D$2:D434, $B$2:B434, B434)</f>
        <v>0.58333333333333337</v>
      </c>
    </row>
    <row r="435" spans="1:30" x14ac:dyDescent="0.25">
      <c r="A435" s="85">
        <v>46149</v>
      </c>
      <c r="B435" t="s">
        <v>113</v>
      </c>
      <c r="C435">
        <v>50</v>
      </c>
      <c r="D435" s="86">
        <v>1</v>
      </c>
      <c r="E435">
        <v>5</v>
      </c>
      <c r="F435">
        <v>3</v>
      </c>
      <c r="G435">
        <v>21</v>
      </c>
      <c r="H435">
        <v>11</v>
      </c>
      <c r="I435">
        <v>0.6</v>
      </c>
      <c r="J435">
        <v>0.52</v>
      </c>
      <c r="K435">
        <v>0</v>
      </c>
      <c r="L435">
        <v>0</v>
      </c>
      <c r="M435">
        <v>1</v>
      </c>
      <c r="N435">
        <v>1</v>
      </c>
      <c r="O435">
        <v>1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 s="86">
        <f>AVERAGEIFS($C$2:C435, $B$2:B435, B435)</f>
        <v>21.214285714285715</v>
      </c>
      <c r="AB435" s="86">
        <f>AVERAGEIFS($I$2:I435, $B$2:B435, B435)</f>
        <v>0.57857142857142851</v>
      </c>
      <c r="AC435" s="86">
        <f>AVERAGEIFS($J$2:J435, $B$2:B435, B435)</f>
        <v>0.52142857142857135</v>
      </c>
      <c r="AD435" s="86">
        <f>AVERAGEIFS($D$2:D435, $B$2:B435, B435)</f>
        <v>0.6428571428571429</v>
      </c>
    </row>
    <row r="436" spans="1:30" x14ac:dyDescent="0.25">
      <c r="A436" s="85">
        <v>46149</v>
      </c>
      <c r="B436" t="s">
        <v>40</v>
      </c>
      <c r="C436">
        <v>40</v>
      </c>
      <c r="D436" s="86">
        <v>1</v>
      </c>
      <c r="E436">
        <v>5</v>
      </c>
      <c r="F436">
        <v>3</v>
      </c>
      <c r="G436">
        <v>21</v>
      </c>
      <c r="H436">
        <v>11</v>
      </c>
      <c r="I436">
        <v>0.6</v>
      </c>
      <c r="J436">
        <v>0.52</v>
      </c>
      <c r="K436">
        <v>0</v>
      </c>
      <c r="L436">
        <v>0</v>
      </c>
      <c r="M436">
        <v>1</v>
      </c>
      <c r="N436">
        <v>1</v>
      </c>
      <c r="O436">
        <v>1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 s="86">
        <f>AVERAGEIFS($C$2:C436, $B$2:B436, B436)</f>
        <v>20.416666666666668</v>
      </c>
      <c r="AB436" s="86">
        <f>AVERAGEIFS($I$2:I436, $B$2:B436, B436)</f>
        <v>0.53333333333333333</v>
      </c>
      <c r="AC436" s="86">
        <f>AVERAGEIFS($J$2:J436, $B$2:B436, B436)</f>
        <v>0.49499999999999994</v>
      </c>
      <c r="AD436" s="86">
        <f>AVERAGEIFS($D$2:D436, $B$2:B436, B436)</f>
        <v>0.5</v>
      </c>
    </row>
    <row r="437" spans="1:30" x14ac:dyDescent="0.25">
      <c r="A437" s="85">
        <v>46149</v>
      </c>
      <c r="B437" t="s">
        <v>147</v>
      </c>
      <c r="C437">
        <v>35</v>
      </c>
      <c r="D437" s="86">
        <v>1</v>
      </c>
      <c r="E437">
        <v>5</v>
      </c>
      <c r="F437">
        <v>3</v>
      </c>
      <c r="G437">
        <v>21</v>
      </c>
      <c r="H437">
        <v>11</v>
      </c>
      <c r="I437">
        <v>0.6</v>
      </c>
      <c r="J437">
        <v>0.52</v>
      </c>
      <c r="K437">
        <v>0</v>
      </c>
      <c r="L437">
        <v>0</v>
      </c>
      <c r="M437">
        <v>1</v>
      </c>
      <c r="N437">
        <v>1</v>
      </c>
      <c r="O437">
        <v>1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 s="86">
        <f>AVERAGEIFS($C$2:C437, $B$2:B437, B437)</f>
        <v>18.125</v>
      </c>
      <c r="AB437" s="86">
        <f>AVERAGEIFS($I$2:I437, $B$2:B437, B437)</f>
        <v>0.34375</v>
      </c>
      <c r="AC437" s="86">
        <f>AVERAGEIFS($J$2:J437, $B$2:B437, B437)</f>
        <v>0.43</v>
      </c>
      <c r="AD437" s="86">
        <f>AVERAGEIFS($D$2:D437, $B$2:B437, B437)</f>
        <v>0.375</v>
      </c>
    </row>
    <row r="438" spans="1:30" x14ac:dyDescent="0.25">
      <c r="A438" s="85">
        <v>46149</v>
      </c>
      <c r="B438" t="s">
        <v>154</v>
      </c>
      <c r="C438">
        <v>35</v>
      </c>
      <c r="D438" s="86">
        <v>1</v>
      </c>
      <c r="E438">
        <v>5</v>
      </c>
      <c r="F438">
        <v>3</v>
      </c>
      <c r="G438">
        <v>21</v>
      </c>
      <c r="H438">
        <v>11</v>
      </c>
      <c r="I438">
        <v>0.6</v>
      </c>
      <c r="J438">
        <v>0.52</v>
      </c>
      <c r="K438">
        <v>0</v>
      </c>
      <c r="L438">
        <v>0</v>
      </c>
      <c r="M438">
        <v>1</v>
      </c>
      <c r="N438">
        <v>1</v>
      </c>
      <c r="O438">
        <v>1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 s="86">
        <f>AVERAGEIFS($C$2:C438, $B$2:B438, B438)</f>
        <v>13.1</v>
      </c>
      <c r="AB438" s="86">
        <f>AVERAGEIFS($I$2:I438, $B$2:B438, B438)</f>
        <v>0.53499999999999992</v>
      </c>
      <c r="AC438" s="86">
        <f>AVERAGEIFS($J$2:J438, $B$2:B438, B438)</f>
        <v>0.53200000000000003</v>
      </c>
      <c r="AD438" s="86">
        <f>AVERAGEIFS($D$2:D438, $B$2:B438, B438)</f>
        <v>0.6</v>
      </c>
    </row>
    <row r="439" spans="1:30" x14ac:dyDescent="0.25">
      <c r="A439" s="85">
        <v>46149</v>
      </c>
      <c r="B439" t="s">
        <v>146</v>
      </c>
      <c r="C439">
        <v>22</v>
      </c>
      <c r="D439" s="86">
        <v>1</v>
      </c>
      <c r="E439">
        <v>5</v>
      </c>
      <c r="F439">
        <v>3</v>
      </c>
      <c r="G439">
        <v>21</v>
      </c>
      <c r="H439">
        <v>11</v>
      </c>
      <c r="I439">
        <v>0.6</v>
      </c>
      <c r="J439">
        <v>0.52</v>
      </c>
      <c r="K439">
        <v>0</v>
      </c>
      <c r="L439">
        <v>0</v>
      </c>
      <c r="M439">
        <v>1</v>
      </c>
      <c r="N439">
        <v>1</v>
      </c>
      <c r="O439">
        <v>1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 s="86">
        <f>AVERAGEIFS($C$2:C439, $B$2:B439, B439)</f>
        <v>13.555555555555555</v>
      </c>
      <c r="AB439" s="86">
        <f>AVERAGEIFS($I$2:I439, $B$2:B439, B439)</f>
        <v>0.32222222222222219</v>
      </c>
      <c r="AC439" s="86">
        <f>AVERAGEIFS($J$2:J439, $B$2:B439, B439)</f>
        <v>0.42777777777777781</v>
      </c>
      <c r="AD439" s="86">
        <f>AVERAGEIFS($D$2:D439, $B$2:B439, B439)</f>
        <v>0.22222222222222221</v>
      </c>
    </row>
    <row r="440" spans="1:30" x14ac:dyDescent="0.25">
      <c r="A440" s="85">
        <v>46149</v>
      </c>
      <c r="B440" t="s">
        <v>2</v>
      </c>
      <c r="C440">
        <v>68</v>
      </c>
      <c r="D440" s="86">
        <v>0</v>
      </c>
      <c r="E440">
        <v>5</v>
      </c>
      <c r="F440">
        <v>2</v>
      </c>
      <c r="G440">
        <v>21</v>
      </c>
      <c r="H440">
        <v>10</v>
      </c>
      <c r="I440">
        <v>0.4</v>
      </c>
      <c r="J440">
        <v>0.48</v>
      </c>
      <c r="K440">
        <v>0</v>
      </c>
      <c r="L440">
        <v>0</v>
      </c>
      <c r="M440">
        <v>0</v>
      </c>
      <c r="N440">
        <v>0</v>
      </c>
      <c r="O440">
        <v>0</v>
      </c>
      <c r="P440">
        <v>1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1</v>
      </c>
      <c r="Y440">
        <v>0</v>
      </c>
      <c r="Z440">
        <v>0</v>
      </c>
      <c r="AA440" s="86">
        <f>AVERAGEIFS($C$2:C440, $B$2:B440, B440)</f>
        <v>34.200000000000003</v>
      </c>
      <c r="AB440" s="86">
        <f>AVERAGEIFS($I$2:I440, $B$2:B440, B440)</f>
        <v>0.76</v>
      </c>
      <c r="AC440" s="86">
        <f>AVERAGEIFS($J$2:J440, $B$2:B440, B440)</f>
        <v>0.58599999999999997</v>
      </c>
      <c r="AD440" s="86">
        <f>AVERAGEIFS($D$2:D440, $B$2:B440, B440)</f>
        <v>0.6</v>
      </c>
    </row>
    <row r="441" spans="1:30" x14ac:dyDescent="0.25">
      <c r="A441" s="85">
        <v>46149</v>
      </c>
      <c r="B441" t="s">
        <v>18</v>
      </c>
      <c r="C441">
        <v>58</v>
      </c>
      <c r="D441" s="86">
        <v>0</v>
      </c>
      <c r="E441">
        <v>5</v>
      </c>
      <c r="F441">
        <v>2</v>
      </c>
      <c r="G441">
        <v>21</v>
      </c>
      <c r="H441">
        <v>10</v>
      </c>
      <c r="I441">
        <v>0.4</v>
      </c>
      <c r="J441">
        <v>0.48</v>
      </c>
      <c r="K441">
        <v>0</v>
      </c>
      <c r="L441">
        <v>0</v>
      </c>
      <c r="M441">
        <v>0</v>
      </c>
      <c r="N441">
        <v>0</v>
      </c>
      <c r="O441">
        <v>0</v>
      </c>
      <c r="P441">
        <v>1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1</v>
      </c>
      <c r="Y441">
        <v>0</v>
      </c>
      <c r="Z441">
        <v>0</v>
      </c>
      <c r="AA441" s="86">
        <f>AVERAGEIFS($C$2:C441, $B$2:B441, B441)</f>
        <v>28.823529411764707</v>
      </c>
      <c r="AB441" s="86">
        <f>AVERAGEIFS($I$2:I441, $B$2:B441, B441)</f>
        <v>0.54411764705882348</v>
      </c>
      <c r="AC441" s="86">
        <f>AVERAGEIFS($J$2:J441, $B$2:B441, B441)</f>
        <v>0.52588235294117658</v>
      </c>
      <c r="AD441" s="86">
        <f>AVERAGEIFS($D$2:D441, $B$2:B441, B441)</f>
        <v>0.58823529411764708</v>
      </c>
    </row>
    <row r="442" spans="1:30" x14ac:dyDescent="0.25">
      <c r="A442" s="85">
        <v>46149</v>
      </c>
      <c r="B442" t="s">
        <v>25</v>
      </c>
      <c r="C442">
        <v>50</v>
      </c>
      <c r="D442" s="86">
        <v>0</v>
      </c>
      <c r="E442">
        <v>5</v>
      </c>
      <c r="F442">
        <v>2</v>
      </c>
      <c r="G442">
        <v>21</v>
      </c>
      <c r="H442">
        <v>10</v>
      </c>
      <c r="I442">
        <v>0.4</v>
      </c>
      <c r="J442">
        <v>0.48</v>
      </c>
      <c r="K442">
        <v>0</v>
      </c>
      <c r="L442">
        <v>0</v>
      </c>
      <c r="M442">
        <v>0</v>
      </c>
      <c r="N442">
        <v>0</v>
      </c>
      <c r="O442">
        <v>0</v>
      </c>
      <c r="P442">
        <v>1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1</v>
      </c>
      <c r="Y442">
        <v>0</v>
      </c>
      <c r="Z442">
        <v>0</v>
      </c>
      <c r="AA442" s="86">
        <f>AVERAGEIFS($C$2:C442, $B$2:B442, B442)</f>
        <v>20.875</v>
      </c>
      <c r="AB442" s="86">
        <f>AVERAGEIFS($I$2:I442, $B$2:B442, B442)</f>
        <v>0.50624999999999998</v>
      </c>
      <c r="AC442" s="86">
        <f>AVERAGEIFS($J$2:J442, $B$2:B442, B442)</f>
        <v>0.49187499999999995</v>
      </c>
      <c r="AD442" s="86">
        <f>AVERAGEIFS($D$2:D442, $B$2:B442, B442)</f>
        <v>0.5625</v>
      </c>
    </row>
    <row r="443" spans="1:30" x14ac:dyDescent="0.25">
      <c r="A443" s="85">
        <v>46149</v>
      </c>
      <c r="B443" t="s">
        <v>150</v>
      </c>
      <c r="C443">
        <v>41</v>
      </c>
      <c r="D443" s="86">
        <v>0</v>
      </c>
      <c r="E443">
        <v>5</v>
      </c>
      <c r="F443">
        <v>2</v>
      </c>
      <c r="G443">
        <v>21</v>
      </c>
      <c r="H443">
        <v>10</v>
      </c>
      <c r="I443">
        <v>0.4</v>
      </c>
      <c r="J443">
        <v>0.48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1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1</v>
      </c>
      <c r="Y443">
        <v>0</v>
      </c>
      <c r="Z443">
        <v>0</v>
      </c>
      <c r="AA443" s="86">
        <f>AVERAGEIFS($C$2:C443, $B$2:B443, B443)</f>
        <v>19.583333333333332</v>
      </c>
      <c r="AB443" s="86">
        <f>AVERAGEIFS($I$2:I443, $B$2:B443, B443)</f>
        <v>0.6875</v>
      </c>
      <c r="AC443" s="86">
        <f>AVERAGEIFS($J$2:J443, $B$2:B443, B443)</f>
        <v>0.61999999999999977</v>
      </c>
      <c r="AD443" s="86">
        <f>AVERAGEIFS($D$2:D443, $B$2:B443, B443)</f>
        <v>0.75</v>
      </c>
    </row>
    <row r="444" spans="1:30" x14ac:dyDescent="0.25">
      <c r="A444" s="85">
        <v>46149</v>
      </c>
      <c r="B444" t="s">
        <v>45</v>
      </c>
      <c r="C444">
        <v>29</v>
      </c>
      <c r="D444" s="86">
        <v>0</v>
      </c>
      <c r="E444">
        <v>5</v>
      </c>
      <c r="F444">
        <v>2</v>
      </c>
      <c r="G444">
        <v>21</v>
      </c>
      <c r="H444">
        <v>10</v>
      </c>
      <c r="I444">
        <v>0.4</v>
      </c>
      <c r="J444">
        <v>0.48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1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1</v>
      </c>
      <c r="Y444">
        <v>0</v>
      </c>
      <c r="Z444">
        <v>0</v>
      </c>
      <c r="AA444" s="86">
        <f>AVERAGEIFS($C$2:C444, $B$2:B444, B444)</f>
        <v>15.75</v>
      </c>
      <c r="AB444" s="86">
        <f>AVERAGEIFS($I$2:I444, $B$2:B444, B444)</f>
        <v>0.5</v>
      </c>
      <c r="AC444" s="86">
        <f>AVERAGEIFS($J$2:J444, $B$2:B444, B444)</f>
        <v>0.48624999999999996</v>
      </c>
      <c r="AD444" s="86">
        <f>AVERAGEIFS($D$2:D444, $B$2:B444, B444)</f>
        <v>0.5</v>
      </c>
    </row>
    <row r="445" spans="1:30" x14ac:dyDescent="0.25">
      <c r="A445" s="85">
        <v>46149</v>
      </c>
      <c r="B445" t="s">
        <v>140</v>
      </c>
      <c r="C445">
        <v>18</v>
      </c>
      <c r="D445" s="86">
        <v>0</v>
      </c>
      <c r="E445">
        <v>5</v>
      </c>
      <c r="F445">
        <v>2</v>
      </c>
      <c r="G445">
        <v>21</v>
      </c>
      <c r="H445">
        <v>10</v>
      </c>
      <c r="I445">
        <v>0.4</v>
      </c>
      <c r="J445">
        <v>0.48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1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1</v>
      </c>
      <c r="Y445">
        <v>0</v>
      </c>
      <c r="Z445">
        <v>0</v>
      </c>
      <c r="AA445" s="86">
        <f>AVERAGEIFS($C$2:C445, $B$2:B445, B445)</f>
        <v>8.7692307692307701</v>
      </c>
      <c r="AB445" s="86">
        <f>AVERAGEIFS($I$2:I445, $B$2:B445, B445)</f>
        <v>0.43461538461538463</v>
      </c>
      <c r="AC445" s="86">
        <f>AVERAGEIFS($J$2:J445, $B$2:B445, B445)</f>
        <v>0.48230769230769227</v>
      </c>
      <c r="AD445" s="86">
        <f>AVERAGEIFS($D$2:D445, $B$2:B445, B445)</f>
        <v>0.38461538461538464</v>
      </c>
    </row>
    <row r="446" spans="1:30" x14ac:dyDescent="0.25">
      <c r="A446" s="85">
        <v>46150</v>
      </c>
      <c r="B446" t="s">
        <v>35</v>
      </c>
      <c r="C446">
        <v>17</v>
      </c>
      <c r="D446" s="86">
        <v>1</v>
      </c>
      <c r="E446">
        <v>4</v>
      </c>
      <c r="F446">
        <v>4</v>
      </c>
      <c r="G446">
        <v>16</v>
      </c>
      <c r="H446">
        <v>12</v>
      </c>
      <c r="I446">
        <v>1</v>
      </c>
      <c r="J446">
        <v>0.75</v>
      </c>
      <c r="K446">
        <v>0</v>
      </c>
      <c r="L446">
        <v>1</v>
      </c>
      <c r="M446">
        <v>0</v>
      </c>
      <c r="N446">
        <v>1</v>
      </c>
      <c r="O446">
        <v>0</v>
      </c>
      <c r="P446">
        <v>0</v>
      </c>
      <c r="Q446">
        <v>0</v>
      </c>
      <c r="R446">
        <v>1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1</v>
      </c>
      <c r="Y446">
        <v>0</v>
      </c>
      <c r="Z446">
        <v>0</v>
      </c>
      <c r="AA446" s="86">
        <f>AVERAGEIFS($C$2:C446, $B$2:B446, B446)</f>
        <v>13.368421052631579</v>
      </c>
      <c r="AB446" s="86">
        <f>AVERAGEIFS($I$2:I446, $B$2:B446, B446)</f>
        <v>0.47631578947368414</v>
      </c>
      <c r="AC446" s="86">
        <f>AVERAGEIFS($J$2:J446, $B$2:B446, B446)</f>
        <v>0.46368421052631581</v>
      </c>
      <c r="AD446" s="86">
        <f>AVERAGEIFS($D$2:D446, $B$2:B446, B446)</f>
        <v>0.52631578947368418</v>
      </c>
    </row>
    <row r="447" spans="1:30" x14ac:dyDescent="0.25">
      <c r="A447" s="85">
        <v>46150</v>
      </c>
      <c r="B447" t="s">
        <v>17</v>
      </c>
      <c r="C447">
        <v>17</v>
      </c>
      <c r="D447" s="86">
        <v>1</v>
      </c>
      <c r="E447">
        <v>4</v>
      </c>
      <c r="F447">
        <v>4</v>
      </c>
      <c r="G447">
        <v>16</v>
      </c>
      <c r="H447">
        <v>12</v>
      </c>
      <c r="I447">
        <v>1</v>
      </c>
      <c r="J447">
        <v>0.75</v>
      </c>
      <c r="K447">
        <v>0</v>
      </c>
      <c r="L447">
        <v>1</v>
      </c>
      <c r="M447">
        <v>0</v>
      </c>
      <c r="N447">
        <v>1</v>
      </c>
      <c r="O447">
        <v>0</v>
      </c>
      <c r="P447">
        <v>0</v>
      </c>
      <c r="Q447">
        <v>0</v>
      </c>
      <c r="R447">
        <v>1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1</v>
      </c>
      <c r="Y447">
        <v>0</v>
      </c>
      <c r="Z447">
        <v>0</v>
      </c>
      <c r="AA447" s="86">
        <f>AVERAGEIFS($C$2:C447, $B$2:B447, B447)</f>
        <v>22.416666666666668</v>
      </c>
      <c r="AB447" s="86">
        <f>AVERAGEIFS($I$2:I447, $B$2:B447, B447)</f>
        <v>0.46458333333333335</v>
      </c>
      <c r="AC447" s="86">
        <f>AVERAGEIFS($J$2:J447, $B$2:B447, B447)</f>
        <v>0.49458333333333321</v>
      </c>
      <c r="AD447" s="86">
        <f>AVERAGEIFS($D$2:D447, $B$2:B447, B447)</f>
        <v>0.5</v>
      </c>
    </row>
    <row r="448" spans="1:30" x14ac:dyDescent="0.25">
      <c r="A448" s="85">
        <v>46150</v>
      </c>
      <c r="B448" t="s">
        <v>179</v>
      </c>
      <c r="C448">
        <v>14</v>
      </c>
      <c r="D448" s="86">
        <v>1</v>
      </c>
      <c r="E448">
        <v>4</v>
      </c>
      <c r="F448">
        <v>4</v>
      </c>
      <c r="G448">
        <v>16</v>
      </c>
      <c r="H448">
        <v>12</v>
      </c>
      <c r="I448">
        <v>1</v>
      </c>
      <c r="J448">
        <v>0.75</v>
      </c>
      <c r="K448">
        <v>0</v>
      </c>
      <c r="L448">
        <v>1</v>
      </c>
      <c r="M448">
        <v>0</v>
      </c>
      <c r="N448">
        <v>1</v>
      </c>
      <c r="O448">
        <v>0</v>
      </c>
      <c r="P448">
        <v>0</v>
      </c>
      <c r="Q448">
        <v>0</v>
      </c>
      <c r="R448">
        <v>1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1</v>
      </c>
      <c r="Y448">
        <v>0</v>
      </c>
      <c r="Z448">
        <v>0</v>
      </c>
      <c r="AA448" s="86">
        <f>AVERAGEIFS($C$2:C448, $B$2:B448, B448)</f>
        <v>14</v>
      </c>
      <c r="AB448" s="86">
        <f>AVERAGEIFS($I$2:I448, $B$2:B448, B448)</f>
        <v>0.8125</v>
      </c>
      <c r="AC448" s="86">
        <f>AVERAGEIFS($J$2:J448, $B$2:B448, B448)</f>
        <v>0.59749999999999992</v>
      </c>
      <c r="AD448" s="86">
        <f>AVERAGEIFS($D$2:D448, $B$2:B448, B448)</f>
        <v>0.75</v>
      </c>
    </row>
    <row r="449" spans="1:30" x14ac:dyDescent="0.25">
      <c r="A449" s="85">
        <v>46150</v>
      </c>
      <c r="B449" t="s">
        <v>29</v>
      </c>
      <c r="C449">
        <v>11</v>
      </c>
      <c r="D449" s="86">
        <v>1</v>
      </c>
      <c r="E449">
        <v>4</v>
      </c>
      <c r="F449">
        <v>4</v>
      </c>
      <c r="G449">
        <v>16</v>
      </c>
      <c r="H449">
        <v>12</v>
      </c>
      <c r="I449">
        <v>1</v>
      </c>
      <c r="J449">
        <v>0.75</v>
      </c>
      <c r="K449">
        <v>0</v>
      </c>
      <c r="L449">
        <v>1</v>
      </c>
      <c r="M449">
        <v>0</v>
      </c>
      <c r="N449">
        <v>1</v>
      </c>
      <c r="O449">
        <v>0</v>
      </c>
      <c r="P449">
        <v>0</v>
      </c>
      <c r="Q449">
        <v>0</v>
      </c>
      <c r="R449">
        <v>1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1</v>
      </c>
      <c r="Y449">
        <v>0</v>
      </c>
      <c r="Z449">
        <v>0</v>
      </c>
      <c r="AA449" s="86">
        <f>AVERAGEIFS($C$2:C449, $B$2:B449, B449)</f>
        <v>11.909090909090908</v>
      </c>
      <c r="AB449" s="86">
        <f>AVERAGEIFS($I$2:I449, $B$2:B449, B449)</f>
        <v>0.42272727272727267</v>
      </c>
      <c r="AC449" s="86">
        <f>AVERAGEIFS($J$2:J449, $B$2:B449, B449)</f>
        <v>0.47909090909090912</v>
      </c>
      <c r="AD449" s="86">
        <f>AVERAGEIFS($D$2:D449, $B$2:B449, B449)</f>
        <v>0.36363636363636365</v>
      </c>
    </row>
    <row r="450" spans="1:30" x14ac:dyDescent="0.25">
      <c r="A450" s="85">
        <v>46150</v>
      </c>
      <c r="B450" t="s">
        <v>148</v>
      </c>
      <c r="C450">
        <v>11</v>
      </c>
      <c r="D450" s="86">
        <v>1</v>
      </c>
      <c r="E450">
        <v>4</v>
      </c>
      <c r="F450">
        <v>4</v>
      </c>
      <c r="G450">
        <v>16</v>
      </c>
      <c r="H450">
        <v>12</v>
      </c>
      <c r="I450">
        <v>1</v>
      </c>
      <c r="J450">
        <v>0.75</v>
      </c>
      <c r="K450">
        <v>0</v>
      </c>
      <c r="L450">
        <v>1</v>
      </c>
      <c r="M450">
        <v>0</v>
      </c>
      <c r="N450">
        <v>1</v>
      </c>
      <c r="O450">
        <v>0</v>
      </c>
      <c r="P450">
        <v>0</v>
      </c>
      <c r="Q450">
        <v>0</v>
      </c>
      <c r="R450">
        <v>1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1</v>
      </c>
      <c r="Y450">
        <v>0</v>
      </c>
      <c r="Z450">
        <v>0</v>
      </c>
      <c r="AA450" s="86">
        <f>AVERAGEIFS($C$2:C450, $B$2:B450, B450)</f>
        <v>13.296296296296296</v>
      </c>
      <c r="AB450" s="86">
        <f>AVERAGEIFS($I$2:I450, $B$2:B450, B450)</f>
        <v>0.57407407407407407</v>
      </c>
      <c r="AC450" s="86">
        <f>AVERAGEIFS($J$2:J450, $B$2:B450, B450)</f>
        <v>0.53481481481481485</v>
      </c>
      <c r="AD450" s="86">
        <f>AVERAGEIFS($D$2:D450, $B$2:B450, B450)</f>
        <v>0.62962962962962965</v>
      </c>
    </row>
    <row r="451" spans="1:30" x14ac:dyDescent="0.25">
      <c r="A451" s="85">
        <v>46150</v>
      </c>
      <c r="B451" t="s">
        <v>13</v>
      </c>
      <c r="C451">
        <v>10</v>
      </c>
      <c r="D451" s="86">
        <v>1</v>
      </c>
      <c r="E451">
        <v>4</v>
      </c>
      <c r="F451">
        <v>4</v>
      </c>
      <c r="G451">
        <v>16</v>
      </c>
      <c r="H451">
        <v>12</v>
      </c>
      <c r="I451">
        <v>1</v>
      </c>
      <c r="J451">
        <v>0.75</v>
      </c>
      <c r="K451">
        <v>0</v>
      </c>
      <c r="L451">
        <v>1</v>
      </c>
      <c r="M451">
        <v>0</v>
      </c>
      <c r="N451">
        <v>1</v>
      </c>
      <c r="O451">
        <v>0</v>
      </c>
      <c r="P451">
        <v>0</v>
      </c>
      <c r="Q451">
        <v>0</v>
      </c>
      <c r="R451">
        <v>1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1</v>
      </c>
      <c r="Y451">
        <v>0</v>
      </c>
      <c r="Z451">
        <v>0</v>
      </c>
      <c r="AA451" s="86">
        <f>AVERAGEIFS($C$2:C451, $B$2:B451, B451)</f>
        <v>24.2</v>
      </c>
      <c r="AB451" s="86">
        <f>AVERAGEIFS($I$2:I451, $B$2:B451, B451)</f>
        <v>0.60833333333333328</v>
      </c>
      <c r="AC451" s="86">
        <f>AVERAGEIFS($J$2:J451, $B$2:B451, B451)</f>
        <v>0.56699999999999995</v>
      </c>
      <c r="AD451" s="86">
        <f>AVERAGEIFS($D$2:D451, $B$2:B451, B451)</f>
        <v>0.6333333333333333</v>
      </c>
    </row>
    <row r="452" spans="1:30" x14ac:dyDescent="0.25">
      <c r="A452" s="85">
        <v>46150</v>
      </c>
      <c r="B452" t="s">
        <v>4</v>
      </c>
      <c r="C452">
        <v>17</v>
      </c>
      <c r="D452" s="86">
        <v>0</v>
      </c>
      <c r="E452">
        <v>4</v>
      </c>
      <c r="F452">
        <v>0</v>
      </c>
      <c r="G452">
        <v>16</v>
      </c>
      <c r="H452">
        <v>4</v>
      </c>
      <c r="I452">
        <v>0</v>
      </c>
      <c r="J452">
        <v>0.25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 s="86">
        <f>AVERAGEIFS($C$2:C452, $B$2:B452, B452)</f>
        <v>24.222222222222221</v>
      </c>
      <c r="AB452" s="86">
        <f>AVERAGEIFS($I$2:I452, $B$2:B452, B452)</f>
        <v>0.38333333333333336</v>
      </c>
      <c r="AC452" s="86">
        <f>AVERAGEIFS($J$2:J452, $B$2:B452, B452)</f>
        <v>0.43111111111111111</v>
      </c>
      <c r="AD452" s="86">
        <f>AVERAGEIFS($D$2:D452, $B$2:B452, B452)</f>
        <v>0.44444444444444442</v>
      </c>
    </row>
    <row r="453" spans="1:30" x14ac:dyDescent="0.25">
      <c r="A453" s="85">
        <v>46150</v>
      </c>
      <c r="B453" t="s">
        <v>15</v>
      </c>
      <c r="C453">
        <v>14</v>
      </c>
      <c r="D453" s="86">
        <v>0</v>
      </c>
      <c r="E453">
        <v>4</v>
      </c>
      <c r="F453">
        <v>0</v>
      </c>
      <c r="G453">
        <v>16</v>
      </c>
      <c r="H453">
        <v>4</v>
      </c>
      <c r="I453">
        <v>0</v>
      </c>
      <c r="J453">
        <v>0.25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 s="86">
        <f>AVERAGEIFS($C$2:C453, $B$2:B453, B453)</f>
        <v>21.058823529411764</v>
      </c>
      <c r="AB453" s="86">
        <f>AVERAGEIFS($I$2:I453, $B$2:B453, B453)</f>
        <v>0.5235294117647058</v>
      </c>
      <c r="AC453" s="86">
        <f>AVERAGEIFS($J$2:J453, $B$2:B453, B453)</f>
        <v>0.52235294117647058</v>
      </c>
      <c r="AD453" s="86">
        <f>AVERAGEIFS($D$2:D453, $B$2:B453, B453)</f>
        <v>0.52941176470588236</v>
      </c>
    </row>
    <row r="454" spans="1:30" x14ac:dyDescent="0.25">
      <c r="A454" s="85">
        <v>46150</v>
      </c>
      <c r="B454" t="s">
        <v>141</v>
      </c>
      <c r="C454">
        <v>13</v>
      </c>
      <c r="D454" s="86">
        <v>0</v>
      </c>
      <c r="E454">
        <v>4</v>
      </c>
      <c r="F454">
        <v>0</v>
      </c>
      <c r="G454">
        <v>16</v>
      </c>
      <c r="H454">
        <v>4</v>
      </c>
      <c r="I454">
        <v>0</v>
      </c>
      <c r="J454">
        <v>0.25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 s="86">
        <f>AVERAGEIFS($C$2:C454, $B$2:B454, B454)</f>
        <v>16.375</v>
      </c>
      <c r="AB454" s="86">
        <f>AVERAGEIFS($I$2:I454, $B$2:B454, B454)</f>
        <v>0.38124999999999998</v>
      </c>
      <c r="AC454" s="86">
        <f>AVERAGEIFS($J$2:J454, $B$2:B454, B454)</f>
        <v>0.43374999999999997</v>
      </c>
      <c r="AD454" s="86">
        <f>AVERAGEIFS($D$2:D454, $B$2:B454, B454)</f>
        <v>0.25</v>
      </c>
    </row>
    <row r="455" spans="1:30" x14ac:dyDescent="0.25">
      <c r="A455" s="85">
        <v>46150</v>
      </c>
      <c r="B455" t="s">
        <v>150</v>
      </c>
      <c r="C455">
        <v>6</v>
      </c>
      <c r="D455" s="86">
        <v>0</v>
      </c>
      <c r="E455">
        <v>4</v>
      </c>
      <c r="F455">
        <v>0</v>
      </c>
      <c r="G455">
        <v>16</v>
      </c>
      <c r="H455">
        <v>4</v>
      </c>
      <c r="I455">
        <v>0</v>
      </c>
      <c r="J455">
        <v>0.25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 s="86">
        <f>AVERAGEIFS($C$2:C455, $B$2:B455, B455)</f>
        <v>18.53846153846154</v>
      </c>
      <c r="AB455" s="86">
        <f>AVERAGEIFS($I$2:I455, $B$2:B455, B455)</f>
        <v>0.63461538461538458</v>
      </c>
      <c r="AC455" s="86">
        <f>AVERAGEIFS($J$2:J455, $B$2:B455, B455)</f>
        <v>0.59153846153846135</v>
      </c>
      <c r="AD455" s="86">
        <f>AVERAGEIFS($D$2:D455, $B$2:B455, B455)</f>
        <v>0.69230769230769229</v>
      </c>
    </row>
    <row r="456" spans="1:30" x14ac:dyDescent="0.25">
      <c r="A456" s="85">
        <v>46150</v>
      </c>
      <c r="B456" t="s">
        <v>152</v>
      </c>
      <c r="C456">
        <v>4</v>
      </c>
      <c r="D456" s="86">
        <v>0</v>
      </c>
      <c r="E456">
        <v>4</v>
      </c>
      <c r="F456">
        <v>0</v>
      </c>
      <c r="G456">
        <v>16</v>
      </c>
      <c r="H456">
        <v>4</v>
      </c>
      <c r="I456">
        <v>0</v>
      </c>
      <c r="J456">
        <v>0.25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 s="86">
        <f>AVERAGEIFS($C$2:C456, $B$2:B456, B456)</f>
        <v>13.714285714285714</v>
      </c>
      <c r="AB456" s="86">
        <f>AVERAGEIFS($I$2:I456, $B$2:B456, B456)</f>
        <v>0.22142857142857145</v>
      </c>
      <c r="AC456" s="86">
        <f>AVERAGEIFS($J$2:J456, $B$2:B456, B456)</f>
        <v>0.36</v>
      </c>
      <c r="AD456" s="86">
        <f>AVERAGEIFS($D$2:D456, $B$2:B456, B456)</f>
        <v>0.14285714285714285</v>
      </c>
    </row>
    <row r="457" spans="1:30" x14ac:dyDescent="0.25">
      <c r="A457" s="85">
        <v>46150</v>
      </c>
      <c r="B457" t="s">
        <v>140</v>
      </c>
      <c r="C457">
        <v>3</v>
      </c>
      <c r="D457" s="86">
        <v>0</v>
      </c>
      <c r="E457">
        <v>4</v>
      </c>
      <c r="F457">
        <v>0</v>
      </c>
      <c r="G457">
        <v>16</v>
      </c>
      <c r="H457">
        <v>4</v>
      </c>
      <c r="I457">
        <v>0</v>
      </c>
      <c r="J457">
        <v>0.25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 s="86">
        <f>AVERAGEIFS($C$2:C457, $B$2:B457, B457)</f>
        <v>8.3571428571428577</v>
      </c>
      <c r="AB457" s="86">
        <f>AVERAGEIFS($I$2:I457, $B$2:B457, B457)</f>
        <v>0.40357142857142858</v>
      </c>
      <c r="AC457" s="86">
        <f>AVERAGEIFS($J$2:J457, $B$2:B457, B457)</f>
        <v>0.46571428571428569</v>
      </c>
      <c r="AD457" s="86">
        <f>AVERAGEIFS($D$2:D457, $B$2:B457, B457)</f>
        <v>0.35714285714285715</v>
      </c>
    </row>
    <row r="458" spans="1:30" x14ac:dyDescent="0.25">
      <c r="A458" s="85">
        <v>46150</v>
      </c>
      <c r="B458" t="s">
        <v>179</v>
      </c>
      <c r="C458">
        <v>22</v>
      </c>
      <c r="D458" s="86">
        <v>1</v>
      </c>
      <c r="E458">
        <v>3</v>
      </c>
      <c r="F458">
        <v>3</v>
      </c>
      <c r="G458">
        <v>12</v>
      </c>
      <c r="H458">
        <v>9</v>
      </c>
      <c r="I458">
        <v>1</v>
      </c>
      <c r="J458">
        <v>0.75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1</v>
      </c>
      <c r="X458">
        <v>1</v>
      </c>
      <c r="Y458">
        <v>1</v>
      </c>
      <c r="Z458">
        <v>0</v>
      </c>
      <c r="AA458" s="86">
        <f>AVERAGEIFS($C$2:C458, $B$2:B458, B458)</f>
        <v>15.6</v>
      </c>
      <c r="AB458" s="86">
        <f>AVERAGEIFS($I$2:I458, $B$2:B458, B458)</f>
        <v>0.85</v>
      </c>
      <c r="AC458" s="86">
        <f>AVERAGEIFS($J$2:J458, $B$2:B458, B458)</f>
        <v>0.62799999999999989</v>
      </c>
      <c r="AD458" s="86">
        <f>AVERAGEIFS($D$2:D458, $B$2:B458, B458)</f>
        <v>0.8</v>
      </c>
    </row>
    <row r="459" spans="1:30" x14ac:dyDescent="0.25">
      <c r="A459" s="85">
        <v>46150</v>
      </c>
      <c r="B459" t="s">
        <v>13</v>
      </c>
      <c r="C459">
        <v>19</v>
      </c>
      <c r="D459" s="86">
        <v>1</v>
      </c>
      <c r="E459">
        <v>3</v>
      </c>
      <c r="F459">
        <v>3</v>
      </c>
      <c r="G459">
        <v>12</v>
      </c>
      <c r="H459">
        <v>9</v>
      </c>
      <c r="I459">
        <v>1</v>
      </c>
      <c r="J459">
        <v>0.75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1</v>
      </c>
      <c r="X459">
        <v>1</v>
      </c>
      <c r="Y459">
        <v>1</v>
      </c>
      <c r="Z459">
        <v>0</v>
      </c>
      <c r="AA459" s="86">
        <f>AVERAGEIFS($C$2:C459, $B$2:B459, B459)</f>
        <v>24.032258064516128</v>
      </c>
      <c r="AB459" s="86">
        <f>AVERAGEIFS($I$2:I459, $B$2:B459, B459)</f>
        <v>0.62096774193548387</v>
      </c>
      <c r="AC459" s="86">
        <f>AVERAGEIFS($J$2:J459, $B$2:B459, B459)</f>
        <v>0.57290322580645159</v>
      </c>
      <c r="AD459" s="86">
        <f>AVERAGEIFS($D$2:D459, $B$2:B459, B459)</f>
        <v>0.64516129032258063</v>
      </c>
    </row>
    <row r="460" spans="1:30" x14ac:dyDescent="0.25">
      <c r="A460" s="85">
        <v>46150</v>
      </c>
      <c r="B460" t="s">
        <v>150</v>
      </c>
      <c r="C460">
        <v>16</v>
      </c>
      <c r="D460" s="86">
        <v>1</v>
      </c>
      <c r="E460">
        <v>3</v>
      </c>
      <c r="F460">
        <v>3</v>
      </c>
      <c r="G460">
        <v>12</v>
      </c>
      <c r="H460">
        <v>9</v>
      </c>
      <c r="I460">
        <v>1</v>
      </c>
      <c r="J460">
        <v>0.75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1</v>
      </c>
      <c r="X460">
        <v>1</v>
      </c>
      <c r="Y460">
        <v>1</v>
      </c>
      <c r="Z460">
        <v>0</v>
      </c>
      <c r="AA460" s="86">
        <f>AVERAGEIFS($C$2:C460, $B$2:B460, B460)</f>
        <v>18.357142857142858</v>
      </c>
      <c r="AB460" s="86">
        <f>AVERAGEIFS($I$2:I460, $B$2:B460, B460)</f>
        <v>0.6607142857142857</v>
      </c>
      <c r="AC460" s="86">
        <f>AVERAGEIFS($J$2:J460, $B$2:B460, B460)</f>
        <v>0.60285714285714265</v>
      </c>
      <c r="AD460" s="86">
        <f>AVERAGEIFS($D$2:D460, $B$2:B460, B460)</f>
        <v>0.7142857142857143</v>
      </c>
    </row>
    <row r="461" spans="1:30" x14ac:dyDescent="0.25">
      <c r="A461" s="85">
        <v>46150</v>
      </c>
      <c r="B461" t="s">
        <v>29</v>
      </c>
      <c r="C461">
        <v>14</v>
      </c>
      <c r="D461" s="86">
        <v>1</v>
      </c>
      <c r="E461">
        <v>3</v>
      </c>
      <c r="F461">
        <v>3</v>
      </c>
      <c r="G461">
        <v>12</v>
      </c>
      <c r="H461">
        <v>9</v>
      </c>
      <c r="I461">
        <v>1</v>
      </c>
      <c r="J461">
        <v>0.75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1</v>
      </c>
      <c r="X461">
        <v>1</v>
      </c>
      <c r="Y461">
        <v>1</v>
      </c>
      <c r="Z461">
        <v>0</v>
      </c>
      <c r="AA461" s="86">
        <f>AVERAGEIFS($C$2:C461, $B$2:B461, B461)</f>
        <v>12</v>
      </c>
      <c r="AB461" s="86">
        <f>AVERAGEIFS($I$2:I461, $B$2:B461, B461)</f>
        <v>0.44782608695652171</v>
      </c>
      <c r="AC461" s="86">
        <f>AVERAGEIFS($J$2:J461, $B$2:B461, B461)</f>
        <v>0.49086956521739133</v>
      </c>
      <c r="AD461" s="86">
        <f>AVERAGEIFS($D$2:D461, $B$2:B461, B461)</f>
        <v>0.39130434782608697</v>
      </c>
    </row>
    <row r="462" spans="1:30" x14ac:dyDescent="0.25">
      <c r="A462" s="85">
        <v>46150</v>
      </c>
      <c r="B462" t="s">
        <v>148</v>
      </c>
      <c r="C462">
        <v>13</v>
      </c>
      <c r="D462" s="86">
        <v>1</v>
      </c>
      <c r="E462">
        <v>3</v>
      </c>
      <c r="F462">
        <v>3</v>
      </c>
      <c r="G462">
        <v>12</v>
      </c>
      <c r="H462">
        <v>9</v>
      </c>
      <c r="I462">
        <v>1</v>
      </c>
      <c r="J462">
        <v>0.75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1</v>
      </c>
      <c r="X462">
        <v>1</v>
      </c>
      <c r="Y462">
        <v>1</v>
      </c>
      <c r="Z462">
        <v>0</v>
      </c>
      <c r="AA462" s="86">
        <f>AVERAGEIFS($C$2:C462, $B$2:B462, B462)</f>
        <v>13.285714285714286</v>
      </c>
      <c r="AB462" s="86">
        <f>AVERAGEIFS($I$2:I462, $B$2:B462, B462)</f>
        <v>0.5892857142857143</v>
      </c>
      <c r="AC462" s="86">
        <f>AVERAGEIFS($J$2:J462, $B$2:B462, B462)</f>
        <v>0.54250000000000009</v>
      </c>
      <c r="AD462" s="86">
        <f>AVERAGEIFS($D$2:D462, $B$2:B462, B462)</f>
        <v>0.6428571428571429</v>
      </c>
    </row>
    <row r="463" spans="1:30" x14ac:dyDescent="0.25">
      <c r="A463" s="85">
        <v>46150</v>
      </c>
      <c r="B463" t="s">
        <v>4</v>
      </c>
      <c r="C463">
        <v>8</v>
      </c>
      <c r="D463" s="86">
        <v>1</v>
      </c>
      <c r="E463">
        <v>3</v>
      </c>
      <c r="F463">
        <v>3</v>
      </c>
      <c r="G463">
        <v>12</v>
      </c>
      <c r="H463">
        <v>9</v>
      </c>
      <c r="I463">
        <v>1</v>
      </c>
      <c r="J463">
        <v>0.75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1</v>
      </c>
      <c r="X463">
        <v>1</v>
      </c>
      <c r="Y463">
        <v>1</v>
      </c>
      <c r="Z463">
        <v>0</v>
      </c>
      <c r="AA463" s="86">
        <f>AVERAGEIFS($C$2:C463, $B$2:B463, B463)</f>
        <v>22.6</v>
      </c>
      <c r="AB463" s="86">
        <f>AVERAGEIFS($I$2:I463, $B$2:B463, B463)</f>
        <v>0.44500000000000001</v>
      </c>
      <c r="AC463" s="86">
        <f>AVERAGEIFS($J$2:J463, $B$2:B463, B463)</f>
        <v>0.46299999999999997</v>
      </c>
      <c r="AD463" s="86">
        <f>AVERAGEIFS($D$2:D463, $B$2:B463, B463)</f>
        <v>0.5</v>
      </c>
    </row>
    <row r="464" spans="1:30" x14ac:dyDescent="0.25">
      <c r="A464" s="85">
        <v>46150</v>
      </c>
      <c r="B464" t="s">
        <v>44</v>
      </c>
      <c r="C464">
        <v>7</v>
      </c>
      <c r="D464" s="86">
        <v>1</v>
      </c>
      <c r="E464">
        <v>3</v>
      </c>
      <c r="F464">
        <v>3</v>
      </c>
      <c r="G464">
        <v>12</v>
      </c>
      <c r="H464">
        <v>9</v>
      </c>
      <c r="I464">
        <v>1</v>
      </c>
      <c r="J464">
        <v>0.75</v>
      </c>
      <c r="K464">
        <v>0</v>
      </c>
      <c r="L464">
        <v>0</v>
      </c>
      <c r="M464">
        <v>0</v>
      </c>
      <c r="N464">
        <v>0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1</v>
      </c>
      <c r="X464">
        <v>1</v>
      </c>
      <c r="Y464">
        <v>1</v>
      </c>
      <c r="Z464">
        <v>0</v>
      </c>
      <c r="AA464" s="86">
        <f>AVERAGEIFS($C$2:C464, $B$2:B464, B464)</f>
        <v>14.8</v>
      </c>
      <c r="AB464" s="86">
        <f>AVERAGEIFS($I$2:I464, $B$2:B464, B464)</f>
        <v>0.86999999999999988</v>
      </c>
      <c r="AC464" s="86">
        <f>AVERAGEIFS($J$2:J464, $B$2:B464, B464)</f>
        <v>0.67</v>
      </c>
      <c r="AD464" s="86">
        <f>AVERAGEIFS($D$2:D464, $B$2:B464, B464)</f>
        <v>1</v>
      </c>
    </row>
    <row r="465" spans="1:30" x14ac:dyDescent="0.25">
      <c r="A465" s="85">
        <v>46150</v>
      </c>
      <c r="B465" t="s">
        <v>35</v>
      </c>
      <c r="C465">
        <v>5</v>
      </c>
      <c r="D465" s="86">
        <v>1</v>
      </c>
      <c r="E465">
        <v>3</v>
      </c>
      <c r="F465">
        <v>3</v>
      </c>
      <c r="G465">
        <v>12</v>
      </c>
      <c r="H465">
        <v>9</v>
      </c>
      <c r="I465">
        <v>1</v>
      </c>
      <c r="J465">
        <v>0.75</v>
      </c>
      <c r="K465">
        <v>0</v>
      </c>
      <c r="L465">
        <v>0</v>
      </c>
      <c r="M465">
        <v>0</v>
      </c>
      <c r="N465">
        <v>0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1</v>
      </c>
      <c r="X465">
        <v>1</v>
      </c>
      <c r="Y465">
        <v>1</v>
      </c>
      <c r="Z465">
        <v>0</v>
      </c>
      <c r="AA465" s="86">
        <f>AVERAGEIFS($C$2:C465, $B$2:B465, B465)</f>
        <v>12.95</v>
      </c>
      <c r="AB465" s="86">
        <f>AVERAGEIFS($I$2:I465, $B$2:B465, B465)</f>
        <v>0.50249999999999995</v>
      </c>
      <c r="AC465" s="86">
        <f>AVERAGEIFS($J$2:J465, $B$2:B465, B465)</f>
        <v>0.47800000000000004</v>
      </c>
      <c r="AD465" s="86">
        <f>AVERAGEIFS($D$2:D465, $B$2:B465, B465)</f>
        <v>0.55000000000000004</v>
      </c>
    </row>
    <row r="466" spans="1:30" x14ac:dyDescent="0.25">
      <c r="A466" s="85">
        <v>46150</v>
      </c>
      <c r="B466" t="s">
        <v>17</v>
      </c>
      <c r="C466">
        <v>19</v>
      </c>
      <c r="D466" s="86">
        <v>0</v>
      </c>
      <c r="E466">
        <v>3</v>
      </c>
      <c r="F466">
        <v>0</v>
      </c>
      <c r="G466">
        <v>12</v>
      </c>
      <c r="H466">
        <v>3</v>
      </c>
      <c r="I466">
        <v>0</v>
      </c>
      <c r="J466">
        <v>0.25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 s="86">
        <f>AVERAGEIFS($C$2:C466, $B$2:B466, B466)</f>
        <v>22.28</v>
      </c>
      <c r="AB466" s="86">
        <f>AVERAGEIFS($I$2:I466, $B$2:B466, B466)</f>
        <v>0.44600000000000001</v>
      </c>
      <c r="AC466" s="86">
        <f>AVERAGEIFS($J$2:J466, $B$2:B466, B466)</f>
        <v>0.4847999999999999</v>
      </c>
      <c r="AD466" s="86">
        <f>AVERAGEIFS($D$2:D466, $B$2:B466, B466)</f>
        <v>0.48</v>
      </c>
    </row>
    <row r="467" spans="1:30" x14ac:dyDescent="0.25">
      <c r="A467" s="85">
        <v>46150</v>
      </c>
      <c r="B467" t="s">
        <v>212</v>
      </c>
      <c r="C467">
        <v>18</v>
      </c>
      <c r="D467" s="86">
        <v>0</v>
      </c>
      <c r="E467">
        <v>3</v>
      </c>
      <c r="F467">
        <v>0</v>
      </c>
      <c r="G467">
        <v>12</v>
      </c>
      <c r="H467">
        <v>3</v>
      </c>
      <c r="I467">
        <v>0</v>
      </c>
      <c r="J467">
        <v>0.25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 s="86">
        <f>AVERAGEIFS($C$2:C467, $B$2:B467, B467)</f>
        <v>20.888888888888889</v>
      </c>
      <c r="AB467" s="86">
        <f>AVERAGEIFS($I$2:I467, $B$2:B467, B467)</f>
        <v>0.49444444444444435</v>
      </c>
      <c r="AC467" s="86">
        <f>AVERAGEIFS($J$2:J467, $B$2:B467, B467)</f>
        <v>0.50722222222222213</v>
      </c>
      <c r="AD467" s="86">
        <f>AVERAGEIFS($D$2:D467, $B$2:B467, B467)</f>
        <v>0.5</v>
      </c>
    </row>
    <row r="468" spans="1:30" x14ac:dyDescent="0.25">
      <c r="A468" s="85">
        <v>46150</v>
      </c>
      <c r="B468" t="s">
        <v>37</v>
      </c>
      <c r="C468">
        <v>18</v>
      </c>
      <c r="D468" s="86">
        <v>0</v>
      </c>
      <c r="E468">
        <v>3</v>
      </c>
      <c r="F468">
        <v>0</v>
      </c>
      <c r="G468">
        <v>12</v>
      </c>
      <c r="H468">
        <v>3</v>
      </c>
      <c r="I468">
        <v>0</v>
      </c>
      <c r="J468">
        <v>0.25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 s="86">
        <f>AVERAGEIFS($C$2:C468, $B$2:B468, B468)</f>
        <v>20</v>
      </c>
      <c r="AB468" s="86">
        <f>AVERAGEIFS($I$2:I468, $B$2:B468, B468)</f>
        <v>0.40333333333333332</v>
      </c>
      <c r="AC468" s="86">
        <f>AVERAGEIFS($J$2:J468, $B$2:B468, B468)</f>
        <v>0.44399999999999989</v>
      </c>
      <c r="AD468" s="86">
        <f>AVERAGEIFS($D$2:D468, $B$2:B468, B468)</f>
        <v>0.46666666666666667</v>
      </c>
    </row>
    <row r="469" spans="1:30" x14ac:dyDescent="0.25">
      <c r="A469" s="85">
        <v>46150</v>
      </c>
      <c r="B469" t="s">
        <v>152</v>
      </c>
      <c r="C469">
        <v>10</v>
      </c>
      <c r="D469" s="86">
        <v>0</v>
      </c>
      <c r="E469">
        <v>3</v>
      </c>
      <c r="F469">
        <v>0</v>
      </c>
      <c r="G469">
        <v>12</v>
      </c>
      <c r="H469">
        <v>3</v>
      </c>
      <c r="I469">
        <v>0</v>
      </c>
      <c r="J469">
        <v>0.25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 s="86">
        <f>AVERAGEIFS($C$2:C469, $B$2:B469, B469)</f>
        <v>13.25</v>
      </c>
      <c r="AB469" s="86">
        <f>AVERAGEIFS($I$2:I469, $B$2:B469, B469)</f>
        <v>0.19375000000000001</v>
      </c>
      <c r="AC469" s="86">
        <f>AVERAGEIFS($J$2:J469, $B$2:B469, B469)</f>
        <v>0.34625</v>
      </c>
      <c r="AD469" s="86">
        <f>AVERAGEIFS($D$2:D469, $B$2:B469, B469)</f>
        <v>0.125</v>
      </c>
    </row>
    <row r="470" spans="1:30" x14ac:dyDescent="0.25">
      <c r="A470" s="85">
        <v>46150</v>
      </c>
      <c r="B470" t="s">
        <v>141</v>
      </c>
      <c r="C470">
        <v>9</v>
      </c>
      <c r="D470" s="86">
        <v>0</v>
      </c>
      <c r="E470">
        <v>3</v>
      </c>
      <c r="F470">
        <v>0</v>
      </c>
      <c r="G470">
        <v>12</v>
      </c>
      <c r="H470">
        <v>3</v>
      </c>
      <c r="I470">
        <v>0</v>
      </c>
      <c r="J470">
        <v>0.25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 s="86">
        <f>AVERAGEIFS($C$2:C470, $B$2:B470, B470)</f>
        <v>15.555555555555555</v>
      </c>
      <c r="AB470" s="86">
        <f>AVERAGEIFS($I$2:I470, $B$2:B470, B470)</f>
        <v>0.33888888888888885</v>
      </c>
      <c r="AC470" s="86">
        <f>AVERAGEIFS($J$2:J470, $B$2:B470, B470)</f>
        <v>0.41333333333333333</v>
      </c>
      <c r="AD470" s="86">
        <f>AVERAGEIFS($D$2:D470, $B$2:B470, B470)</f>
        <v>0.22222222222222221</v>
      </c>
    </row>
    <row r="471" spans="1:30" x14ac:dyDescent="0.25">
      <c r="A471" s="85">
        <v>46150</v>
      </c>
      <c r="B471" t="s">
        <v>26</v>
      </c>
      <c r="C471">
        <v>9</v>
      </c>
      <c r="D471" s="86">
        <v>0</v>
      </c>
      <c r="E471">
        <v>3</v>
      </c>
      <c r="F471">
        <v>0</v>
      </c>
      <c r="G471">
        <v>12</v>
      </c>
      <c r="H471">
        <v>3</v>
      </c>
      <c r="I471">
        <v>0</v>
      </c>
      <c r="J471">
        <v>0.25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 s="86">
        <f>AVERAGEIFS($C$2:C471, $B$2:B471, B471)</f>
        <v>16.25</v>
      </c>
      <c r="AB471" s="86">
        <f>AVERAGEIFS($I$2:I471, $B$2:B471, B471)</f>
        <v>0.47083333333333338</v>
      </c>
      <c r="AC471" s="86">
        <f>AVERAGEIFS($J$2:J471, $B$2:B471, B471)</f>
        <v>0.46250000000000008</v>
      </c>
      <c r="AD471" s="86">
        <f>AVERAGEIFS($D$2:D471, $B$2:B471, B471)</f>
        <v>0.41666666666666669</v>
      </c>
    </row>
    <row r="472" spans="1:30" x14ac:dyDescent="0.25">
      <c r="A472" s="85">
        <v>46150</v>
      </c>
      <c r="B472" t="s">
        <v>140</v>
      </c>
      <c r="C472">
        <v>5</v>
      </c>
      <c r="D472" s="86">
        <v>0</v>
      </c>
      <c r="E472">
        <v>3</v>
      </c>
      <c r="F472">
        <v>0</v>
      </c>
      <c r="G472">
        <v>12</v>
      </c>
      <c r="H472">
        <v>3</v>
      </c>
      <c r="I472">
        <v>0</v>
      </c>
      <c r="J472">
        <v>0.25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 s="86">
        <f>AVERAGEIFS($C$2:C472, $B$2:B472, B472)</f>
        <v>8.1333333333333329</v>
      </c>
      <c r="AB472" s="86">
        <f>AVERAGEIFS($I$2:I472, $B$2:B472, B472)</f>
        <v>0.37666666666666671</v>
      </c>
      <c r="AC472" s="86">
        <f>AVERAGEIFS($J$2:J472, $B$2:B472, B472)</f>
        <v>0.45133333333333331</v>
      </c>
      <c r="AD472" s="86">
        <f>AVERAGEIFS($D$2:D472, $B$2:B472, B472)</f>
        <v>0.33333333333333331</v>
      </c>
    </row>
    <row r="473" spans="1:30" x14ac:dyDescent="0.25">
      <c r="A473" s="85">
        <v>46150</v>
      </c>
      <c r="B473" t="s">
        <v>213</v>
      </c>
      <c r="C473">
        <v>0</v>
      </c>
      <c r="D473" s="86">
        <v>0</v>
      </c>
      <c r="E473">
        <v>3</v>
      </c>
      <c r="F473">
        <v>0</v>
      </c>
      <c r="G473">
        <v>12</v>
      </c>
      <c r="H473">
        <v>3</v>
      </c>
      <c r="I473">
        <v>0</v>
      </c>
      <c r="J473">
        <v>0.25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 s="86">
        <f>AVERAGEIFS($C$2:C473, $B$2:B473, B473)</f>
        <v>0</v>
      </c>
      <c r="AB473" s="86">
        <f>AVERAGEIFS($I$2:I473, $B$2:B473, B473)</f>
        <v>0</v>
      </c>
      <c r="AC473" s="86">
        <f>AVERAGEIFS($J$2:J473, $B$2:B473, B473)</f>
        <v>0.25</v>
      </c>
      <c r="AD473" s="86">
        <f>AVERAGEIFS($D$2:D473, $B$2:B473, B473)</f>
        <v>0</v>
      </c>
    </row>
    <row r="474" spans="1:30" x14ac:dyDescent="0.25">
      <c r="A474" s="85">
        <v>46151</v>
      </c>
      <c r="B474" t="s">
        <v>155</v>
      </c>
      <c r="C474">
        <v>30</v>
      </c>
      <c r="D474" s="86">
        <v>1</v>
      </c>
      <c r="E474">
        <v>4</v>
      </c>
      <c r="F474">
        <v>4</v>
      </c>
      <c r="G474">
        <v>17</v>
      </c>
      <c r="H474">
        <v>12</v>
      </c>
      <c r="I474">
        <v>1</v>
      </c>
      <c r="J474">
        <v>0.71</v>
      </c>
      <c r="K474">
        <v>0</v>
      </c>
      <c r="L474">
        <v>0</v>
      </c>
      <c r="M474">
        <v>0</v>
      </c>
      <c r="N474">
        <v>1</v>
      </c>
      <c r="O474">
        <v>0</v>
      </c>
      <c r="P474">
        <v>1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1</v>
      </c>
      <c r="Y474">
        <v>1</v>
      </c>
      <c r="Z474">
        <v>0</v>
      </c>
      <c r="AA474" s="86">
        <f>AVERAGEIFS($C$2:C474, $B$2:B474, B474)</f>
        <v>18.166666666666668</v>
      </c>
      <c r="AB474" s="86">
        <f>AVERAGEIFS($I$2:I474, $B$2:B474, B474)</f>
        <v>0.38958333333333334</v>
      </c>
      <c r="AC474" s="86">
        <f>AVERAGEIFS($J$2:J474, $B$2:B474, B474)</f>
        <v>0.45583333333333337</v>
      </c>
      <c r="AD474" s="86">
        <f>AVERAGEIFS($D$2:D474, $B$2:B474, B474)</f>
        <v>0.33333333333333331</v>
      </c>
    </row>
    <row r="475" spans="1:30" x14ac:dyDescent="0.25">
      <c r="A475" s="85">
        <v>46151</v>
      </c>
      <c r="B475" t="s">
        <v>13</v>
      </c>
      <c r="C475">
        <v>30</v>
      </c>
      <c r="D475" s="86">
        <v>1</v>
      </c>
      <c r="E475">
        <v>4</v>
      </c>
      <c r="F475">
        <v>4</v>
      </c>
      <c r="G475">
        <v>17</v>
      </c>
      <c r="H475">
        <v>12</v>
      </c>
      <c r="I475">
        <v>1</v>
      </c>
      <c r="J475">
        <v>0.71</v>
      </c>
      <c r="K475">
        <v>0</v>
      </c>
      <c r="L475">
        <v>0</v>
      </c>
      <c r="M475">
        <v>0</v>
      </c>
      <c r="N475">
        <v>1</v>
      </c>
      <c r="O475">
        <v>0</v>
      </c>
      <c r="P475">
        <v>1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1</v>
      </c>
      <c r="Y475">
        <v>1</v>
      </c>
      <c r="Z475">
        <v>0</v>
      </c>
      <c r="AA475" s="86">
        <f>AVERAGEIFS($C$2:C475, $B$2:B475, B475)</f>
        <v>24.21875</v>
      </c>
      <c r="AB475" s="86">
        <f>AVERAGEIFS($I$2:I475, $B$2:B475, B475)</f>
        <v>0.6328125</v>
      </c>
      <c r="AC475" s="86">
        <f>AVERAGEIFS($J$2:J475, $B$2:B475, B475)</f>
        <v>0.57718749999999996</v>
      </c>
      <c r="AD475" s="86">
        <f>AVERAGEIFS($D$2:D475, $B$2:B475, B475)</f>
        <v>0.65625</v>
      </c>
    </row>
    <row r="476" spans="1:30" x14ac:dyDescent="0.25">
      <c r="A476" s="85">
        <v>46151</v>
      </c>
      <c r="B476" t="s">
        <v>214</v>
      </c>
      <c r="C476">
        <v>11</v>
      </c>
      <c r="D476" s="86">
        <v>1</v>
      </c>
      <c r="E476">
        <v>4</v>
      </c>
      <c r="F476">
        <v>4</v>
      </c>
      <c r="G476">
        <v>17</v>
      </c>
      <c r="H476">
        <v>12</v>
      </c>
      <c r="I476">
        <v>1</v>
      </c>
      <c r="J476">
        <v>0.71</v>
      </c>
      <c r="K476">
        <v>0</v>
      </c>
      <c r="L476">
        <v>0</v>
      </c>
      <c r="M476">
        <v>0</v>
      </c>
      <c r="N476">
        <v>1</v>
      </c>
      <c r="O476">
        <v>0</v>
      </c>
      <c r="P476">
        <v>1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1</v>
      </c>
      <c r="Y476">
        <v>1</v>
      </c>
      <c r="Z476">
        <v>0</v>
      </c>
      <c r="AA476" s="86">
        <f>AVERAGEIFS($C$2:C476, $B$2:B476, B476)</f>
        <v>11</v>
      </c>
      <c r="AB476" s="86">
        <f>AVERAGEIFS($I$2:I476, $B$2:B476, B476)</f>
        <v>1</v>
      </c>
      <c r="AC476" s="86">
        <f>AVERAGEIFS($J$2:J476, $B$2:B476, B476)</f>
        <v>0.71</v>
      </c>
      <c r="AD476" s="86">
        <f>AVERAGEIFS($D$2:D476, $B$2:B476, B476)</f>
        <v>1</v>
      </c>
    </row>
    <row r="477" spans="1:30" x14ac:dyDescent="0.25">
      <c r="A477" s="85">
        <v>46151</v>
      </c>
      <c r="B477" t="s">
        <v>38</v>
      </c>
      <c r="C477">
        <v>10</v>
      </c>
      <c r="D477" s="86">
        <v>1</v>
      </c>
      <c r="E477">
        <v>4</v>
      </c>
      <c r="F477">
        <v>4</v>
      </c>
      <c r="G477">
        <v>17</v>
      </c>
      <c r="H477">
        <v>12</v>
      </c>
      <c r="I477">
        <v>1</v>
      </c>
      <c r="J477">
        <v>0.71</v>
      </c>
      <c r="K477">
        <v>0</v>
      </c>
      <c r="L477">
        <v>0</v>
      </c>
      <c r="M477">
        <v>0</v>
      </c>
      <c r="N477">
        <v>1</v>
      </c>
      <c r="O477">
        <v>0</v>
      </c>
      <c r="P477">
        <v>1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1</v>
      </c>
      <c r="Y477">
        <v>1</v>
      </c>
      <c r="Z477">
        <v>0</v>
      </c>
      <c r="AA477" s="86">
        <f>AVERAGEIFS($C$2:C477, $B$2:B477, B477)</f>
        <v>11.375</v>
      </c>
      <c r="AB477" s="86">
        <f>AVERAGEIFS($I$2:I477, $B$2:B477, B477)</f>
        <v>0.54374999999999996</v>
      </c>
      <c r="AC477" s="86">
        <f>AVERAGEIFS($J$2:J477, $B$2:B477, B477)</f>
        <v>0.51374999999999993</v>
      </c>
      <c r="AD477" s="86">
        <f>AVERAGEIFS($D$2:D477, $B$2:B477, B477)</f>
        <v>0.625</v>
      </c>
    </row>
    <row r="478" spans="1:30" x14ac:dyDescent="0.25">
      <c r="A478" s="85">
        <v>46151</v>
      </c>
      <c r="B478" t="s">
        <v>29</v>
      </c>
      <c r="C478">
        <v>13</v>
      </c>
      <c r="D478" s="86">
        <v>1</v>
      </c>
      <c r="E478">
        <v>4</v>
      </c>
      <c r="F478">
        <v>4</v>
      </c>
      <c r="G478">
        <v>17</v>
      </c>
      <c r="H478">
        <v>12</v>
      </c>
      <c r="I478">
        <v>1</v>
      </c>
      <c r="J478">
        <v>0.71</v>
      </c>
      <c r="K478">
        <v>0</v>
      </c>
      <c r="L478">
        <v>0</v>
      </c>
      <c r="M478">
        <v>0</v>
      </c>
      <c r="N478">
        <v>1</v>
      </c>
      <c r="O478">
        <v>0</v>
      </c>
      <c r="P478">
        <v>1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1</v>
      </c>
      <c r="Y478">
        <v>1</v>
      </c>
      <c r="Z478">
        <v>0</v>
      </c>
      <c r="AA478" s="86">
        <f>AVERAGEIFS($C$2:C478, $B$2:B478, B478)</f>
        <v>12.041666666666666</v>
      </c>
      <c r="AB478" s="86">
        <f>AVERAGEIFS($I$2:I478, $B$2:B478, B478)</f>
        <v>0.47083333333333327</v>
      </c>
      <c r="AC478" s="86">
        <f>AVERAGEIFS($J$2:J478, $B$2:B478, B478)</f>
        <v>0.5</v>
      </c>
      <c r="AD478" s="86">
        <f>AVERAGEIFS($D$2:D478, $B$2:B478, B478)</f>
        <v>0.41666666666666669</v>
      </c>
    </row>
    <row r="479" spans="1:30" x14ac:dyDescent="0.25">
      <c r="A479" s="85">
        <v>46151</v>
      </c>
      <c r="B479" t="s">
        <v>148</v>
      </c>
      <c r="C479">
        <v>10</v>
      </c>
      <c r="D479" s="86">
        <v>0</v>
      </c>
      <c r="E479">
        <v>4</v>
      </c>
      <c r="F479">
        <v>0</v>
      </c>
      <c r="G479">
        <v>17</v>
      </c>
      <c r="H479">
        <v>5</v>
      </c>
      <c r="I479">
        <v>0</v>
      </c>
      <c r="J479">
        <v>0.28999999999999998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 s="86">
        <f>AVERAGEIFS($C$2:C479, $B$2:B479, B479)</f>
        <v>13.172413793103448</v>
      </c>
      <c r="AB479" s="86">
        <f>AVERAGEIFS($I$2:I479, $B$2:B479, B479)</f>
        <v>0.56896551724137934</v>
      </c>
      <c r="AC479" s="86">
        <f>AVERAGEIFS($J$2:J479, $B$2:B479, B479)</f>
        <v>0.53379310344827591</v>
      </c>
      <c r="AD479" s="86">
        <f>AVERAGEIFS($D$2:D479, $B$2:B479, B479)</f>
        <v>0.62068965517241381</v>
      </c>
    </row>
    <row r="480" spans="1:30" x14ac:dyDescent="0.25">
      <c r="A480" s="85">
        <v>46151</v>
      </c>
      <c r="B480" t="s">
        <v>139</v>
      </c>
      <c r="C480">
        <v>15</v>
      </c>
      <c r="D480" s="86">
        <v>0</v>
      </c>
      <c r="E480">
        <v>4</v>
      </c>
      <c r="F480">
        <v>0</v>
      </c>
      <c r="G480">
        <v>17</v>
      </c>
      <c r="H480">
        <v>5</v>
      </c>
      <c r="I480">
        <v>0</v>
      </c>
      <c r="J480">
        <v>0.28999999999999998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 s="86">
        <f>AVERAGEIFS($C$2:C480, $B$2:B480, B480)</f>
        <v>10.5</v>
      </c>
      <c r="AB480" s="86">
        <f>AVERAGEIFS($I$2:I480, $B$2:B480, B480)</f>
        <v>0.45</v>
      </c>
      <c r="AC480" s="86">
        <f>AVERAGEIFS($J$2:J480, $B$2:B480, B480)</f>
        <v>0.495</v>
      </c>
      <c r="AD480" s="86">
        <f>AVERAGEIFS($D$2:D480, $B$2:B480, B480)</f>
        <v>0.5714285714285714</v>
      </c>
    </row>
    <row r="481" spans="1:30" x14ac:dyDescent="0.25">
      <c r="A481" s="85">
        <v>46151</v>
      </c>
      <c r="B481" t="s">
        <v>17</v>
      </c>
      <c r="C481">
        <v>30</v>
      </c>
      <c r="D481" s="86">
        <v>0</v>
      </c>
      <c r="E481">
        <v>4</v>
      </c>
      <c r="F481">
        <v>0</v>
      </c>
      <c r="G481">
        <v>17</v>
      </c>
      <c r="H481">
        <v>5</v>
      </c>
      <c r="I481">
        <v>0</v>
      </c>
      <c r="J481">
        <v>0.28999999999999998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 s="86">
        <f>AVERAGEIFS($C$2:C481, $B$2:B481, B481)</f>
        <v>22.576923076923077</v>
      </c>
      <c r="AB481" s="86">
        <f>AVERAGEIFS($I$2:I481, $B$2:B481, B481)</f>
        <v>0.42884615384615388</v>
      </c>
      <c r="AC481" s="86">
        <f>AVERAGEIFS($J$2:J481, $B$2:B481, B481)</f>
        <v>0.47730769230769216</v>
      </c>
      <c r="AD481" s="86">
        <f>AVERAGEIFS($D$2:D481, $B$2:B481, B481)</f>
        <v>0.46153846153846156</v>
      </c>
    </row>
    <row r="482" spans="1:30" x14ac:dyDescent="0.25">
      <c r="A482" s="85">
        <v>46151</v>
      </c>
      <c r="B482" t="s">
        <v>140</v>
      </c>
      <c r="C482">
        <v>11</v>
      </c>
      <c r="D482" s="86">
        <v>0</v>
      </c>
      <c r="E482">
        <v>4</v>
      </c>
      <c r="F482">
        <v>0</v>
      </c>
      <c r="G482">
        <v>17</v>
      </c>
      <c r="H482">
        <v>5</v>
      </c>
      <c r="I482">
        <v>0</v>
      </c>
      <c r="J482">
        <v>0.28999999999999998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 s="86">
        <f>AVERAGEIFS($C$2:C482, $B$2:B482, B482)</f>
        <v>8.3125</v>
      </c>
      <c r="AB482" s="86">
        <f>AVERAGEIFS($I$2:I482, $B$2:B482, B482)</f>
        <v>0.35312500000000002</v>
      </c>
      <c r="AC482" s="86">
        <f>AVERAGEIFS($J$2:J482, $B$2:B482, B482)</f>
        <v>0.44124999999999998</v>
      </c>
      <c r="AD482" s="86">
        <f>AVERAGEIFS($D$2:D482, $B$2:B482, B482)</f>
        <v>0.3125</v>
      </c>
    </row>
    <row r="483" spans="1:30" x14ac:dyDescent="0.25">
      <c r="A483" s="85">
        <v>46152</v>
      </c>
      <c r="B483" t="s">
        <v>27</v>
      </c>
      <c r="C483">
        <v>6</v>
      </c>
      <c r="D483" s="86">
        <v>0</v>
      </c>
      <c r="E483">
        <v>3</v>
      </c>
      <c r="F483">
        <v>0</v>
      </c>
      <c r="G483">
        <v>13</v>
      </c>
      <c r="H483">
        <v>4</v>
      </c>
      <c r="I483">
        <v>0</v>
      </c>
      <c r="J483">
        <v>0.31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0</v>
      </c>
      <c r="Z483">
        <v>0</v>
      </c>
      <c r="AA483" s="86">
        <f>AVERAGEIFS($C$2:C483, $B$2:B483, B483)</f>
        <v>16.399999999999999</v>
      </c>
      <c r="AB483" s="86">
        <f>AVERAGEIFS($I$2:I483, $B$2:B483, B483)</f>
        <v>0.6</v>
      </c>
      <c r="AC483" s="86">
        <f>AVERAGEIFS($J$2:J483, $B$2:B483, B483)</f>
        <v>0.56800000000000006</v>
      </c>
      <c r="AD483" s="86">
        <f>AVERAGEIFS($D$2:D483, $B$2:B483, B483)</f>
        <v>0.7</v>
      </c>
    </row>
    <row r="484" spans="1:30" x14ac:dyDescent="0.25">
      <c r="A484" s="85">
        <v>46152</v>
      </c>
      <c r="B484" t="s">
        <v>38</v>
      </c>
      <c r="C484">
        <v>5</v>
      </c>
      <c r="D484" s="86">
        <v>0</v>
      </c>
      <c r="E484">
        <v>3</v>
      </c>
      <c r="F484">
        <v>0</v>
      </c>
      <c r="G484">
        <v>13</v>
      </c>
      <c r="H484">
        <v>4</v>
      </c>
      <c r="I484">
        <v>0</v>
      </c>
      <c r="J484">
        <v>0.31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0</v>
      </c>
      <c r="AA484" s="86">
        <f>AVERAGEIFS($C$2:C484, $B$2:B484, B484)</f>
        <v>10.666666666666666</v>
      </c>
      <c r="AB484" s="86">
        <f>AVERAGEIFS($I$2:I484, $B$2:B484, B484)</f>
        <v>0.48333333333333328</v>
      </c>
      <c r="AC484" s="86">
        <f>AVERAGEIFS($J$2:J484, $B$2:B484, B484)</f>
        <v>0.491111111111111</v>
      </c>
      <c r="AD484" s="86">
        <f>AVERAGEIFS($D$2:D484, $B$2:B484, B484)</f>
        <v>0.55555555555555558</v>
      </c>
    </row>
    <row r="485" spans="1:30" x14ac:dyDescent="0.25">
      <c r="A485" s="85">
        <v>46152</v>
      </c>
      <c r="B485" t="s">
        <v>219</v>
      </c>
      <c r="C485">
        <v>10</v>
      </c>
      <c r="D485" s="86">
        <v>0</v>
      </c>
      <c r="E485">
        <v>3</v>
      </c>
      <c r="F485">
        <v>0</v>
      </c>
      <c r="G485">
        <v>13</v>
      </c>
      <c r="H485">
        <v>4</v>
      </c>
      <c r="I485">
        <v>0</v>
      </c>
      <c r="J485">
        <v>0.31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0</v>
      </c>
      <c r="AA485" s="86">
        <f>AVERAGEIFS($C$2:C485, $B$2:B485, B485)</f>
        <v>10.466666666666667</v>
      </c>
      <c r="AB485" s="86">
        <f>AVERAGEIFS($I$2:I485, $B$2:B485, B485)</f>
        <v>0.42</v>
      </c>
      <c r="AC485" s="86">
        <f>AVERAGEIFS($J$2:J485, $B$2:B485, B485)</f>
        <v>0.48266666666666663</v>
      </c>
      <c r="AD485" s="86">
        <f>AVERAGEIFS($D$2:D485, $B$2:B485, B485)</f>
        <v>0.53333333333333333</v>
      </c>
    </row>
    <row r="486" spans="1:30" x14ac:dyDescent="0.25">
      <c r="A486" s="85">
        <v>46152</v>
      </c>
      <c r="B486" t="s">
        <v>15</v>
      </c>
      <c r="C486">
        <v>15</v>
      </c>
      <c r="D486" s="86">
        <v>0</v>
      </c>
      <c r="E486">
        <v>3</v>
      </c>
      <c r="F486">
        <v>0</v>
      </c>
      <c r="G486">
        <v>13</v>
      </c>
      <c r="H486">
        <v>4</v>
      </c>
      <c r="I486">
        <v>0</v>
      </c>
      <c r="J486">
        <v>0.31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0</v>
      </c>
      <c r="AA486" s="86">
        <f>AVERAGEIFS($C$2:C486, $B$2:B486, B486)</f>
        <v>20.578947368421051</v>
      </c>
      <c r="AB486" s="86">
        <f>AVERAGEIFS($I$2:I486, $B$2:B486, B486)</f>
        <v>0.46842105263157885</v>
      </c>
      <c r="AC486" s="86">
        <f>AVERAGEIFS($J$2:J486, $B$2:B486, B486)</f>
        <v>0.49684210526315786</v>
      </c>
      <c r="AD486" s="86">
        <f>AVERAGEIFS($D$2:D486, $B$2:B486, B486)</f>
        <v>0.47368421052631576</v>
      </c>
    </row>
    <row r="487" spans="1:30" x14ac:dyDescent="0.25">
      <c r="A487" s="85">
        <v>46152</v>
      </c>
      <c r="B487" t="s">
        <v>13</v>
      </c>
      <c r="C487">
        <v>27</v>
      </c>
      <c r="D487" s="86">
        <v>0</v>
      </c>
      <c r="E487">
        <v>3</v>
      </c>
      <c r="F487">
        <v>0</v>
      </c>
      <c r="G487">
        <v>13</v>
      </c>
      <c r="H487">
        <v>4</v>
      </c>
      <c r="I487">
        <v>0</v>
      </c>
      <c r="J487">
        <v>0.31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0</v>
      </c>
      <c r="AA487" s="86">
        <f>AVERAGEIFS($C$2:C487, $B$2:B487, B487)</f>
        <v>24.303030303030305</v>
      </c>
      <c r="AB487" s="86">
        <f>AVERAGEIFS($I$2:I487, $B$2:B487, B487)</f>
        <v>0.61363636363636365</v>
      </c>
      <c r="AC487" s="86">
        <f>AVERAGEIFS($J$2:J487, $B$2:B487, B487)</f>
        <v>0.56909090909090898</v>
      </c>
      <c r="AD487" s="86">
        <f>AVERAGEIFS($D$2:D487, $B$2:B487, B487)</f>
        <v>0.63636363636363635</v>
      </c>
    </row>
    <row r="488" spans="1:30" x14ac:dyDescent="0.25">
      <c r="A488" s="85">
        <v>46152</v>
      </c>
      <c r="B488" t="s">
        <v>17</v>
      </c>
      <c r="C488">
        <v>13</v>
      </c>
      <c r="D488" s="86">
        <v>0</v>
      </c>
      <c r="E488">
        <v>3</v>
      </c>
      <c r="F488">
        <v>0</v>
      </c>
      <c r="G488">
        <v>13</v>
      </c>
      <c r="H488">
        <v>4</v>
      </c>
      <c r="I488">
        <v>0</v>
      </c>
      <c r="J488">
        <v>0.31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 s="86">
        <f>AVERAGEIFS($C$2:C488, $B$2:B488, B488)</f>
        <v>22.222222222222221</v>
      </c>
      <c r="AB488" s="86">
        <f>AVERAGEIFS($I$2:I488, $B$2:B488, B488)</f>
        <v>0.41296296296296298</v>
      </c>
      <c r="AC488" s="86">
        <f>AVERAGEIFS($J$2:J488, $B$2:B488, B488)</f>
        <v>0.47111111111111098</v>
      </c>
      <c r="AD488" s="86">
        <f>AVERAGEIFS($D$2:D488, $B$2:B488, B488)</f>
        <v>0.44444444444444442</v>
      </c>
    </row>
    <row r="489" spans="1:30" x14ac:dyDescent="0.25">
      <c r="A489" s="85">
        <v>46152</v>
      </c>
      <c r="B489" t="s">
        <v>155</v>
      </c>
      <c r="C489">
        <v>10</v>
      </c>
      <c r="D489" s="86">
        <v>0</v>
      </c>
      <c r="E489">
        <v>3</v>
      </c>
      <c r="F489">
        <v>0</v>
      </c>
      <c r="G489">
        <v>13</v>
      </c>
      <c r="H489">
        <v>4</v>
      </c>
      <c r="I489">
        <v>0</v>
      </c>
      <c r="J489">
        <v>0.31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 s="86">
        <f>AVERAGEIFS($C$2:C489, $B$2:B489, B489)</f>
        <v>17.84</v>
      </c>
      <c r="AB489" s="86">
        <f>AVERAGEIFS($I$2:I489, $B$2:B489, B489)</f>
        <v>0.374</v>
      </c>
      <c r="AC489" s="86">
        <f>AVERAGEIFS($J$2:J489, $B$2:B489, B489)</f>
        <v>0.45000000000000007</v>
      </c>
      <c r="AD489" s="86">
        <f>AVERAGEIFS($D$2:D489, $B$2:B489, B489)</f>
        <v>0.32</v>
      </c>
    </row>
    <row r="490" spans="1:30" x14ac:dyDescent="0.25">
      <c r="A490" s="85">
        <v>46152</v>
      </c>
      <c r="B490" t="s">
        <v>148</v>
      </c>
      <c r="C490">
        <v>1</v>
      </c>
      <c r="D490" s="86">
        <v>0</v>
      </c>
      <c r="E490">
        <v>3</v>
      </c>
      <c r="F490">
        <v>0</v>
      </c>
      <c r="G490">
        <v>13</v>
      </c>
      <c r="H490">
        <v>4</v>
      </c>
      <c r="I490">
        <v>0</v>
      </c>
      <c r="J490">
        <v>0.31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 s="86">
        <f>AVERAGEIFS($C$2:C490, $B$2:B490, B490)</f>
        <v>12.766666666666667</v>
      </c>
      <c r="AB490" s="86">
        <f>AVERAGEIFS($I$2:I490, $B$2:B490, B490)</f>
        <v>0.55000000000000004</v>
      </c>
      <c r="AC490" s="86">
        <f>AVERAGEIFS($J$2:J490, $B$2:B490, B490)</f>
        <v>0.52633333333333332</v>
      </c>
      <c r="AD490" s="86">
        <f>AVERAGEIFS($D$2:D490, $B$2:B490, B490)</f>
        <v>0.6</v>
      </c>
    </row>
    <row r="491" spans="1:30" x14ac:dyDescent="0.25">
      <c r="A491" s="85">
        <v>46152</v>
      </c>
      <c r="B491" t="s">
        <v>179</v>
      </c>
      <c r="C491">
        <v>14</v>
      </c>
      <c r="D491" s="86">
        <v>1</v>
      </c>
      <c r="E491">
        <v>3</v>
      </c>
      <c r="F491">
        <v>3</v>
      </c>
      <c r="G491">
        <v>13</v>
      </c>
      <c r="H491">
        <v>9</v>
      </c>
      <c r="I491">
        <v>1</v>
      </c>
      <c r="J491">
        <v>0.69</v>
      </c>
      <c r="K491">
        <v>0</v>
      </c>
      <c r="L491">
        <v>0</v>
      </c>
      <c r="M491">
        <v>0</v>
      </c>
      <c r="N491">
        <v>1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1</v>
      </c>
      <c r="Z491">
        <v>1</v>
      </c>
      <c r="AA491" s="86">
        <f>AVERAGEIFS($C$2:C491, $B$2:B491, B491)</f>
        <v>15.333333333333334</v>
      </c>
      <c r="AB491" s="86">
        <f>AVERAGEIFS($I$2:I491, $B$2:B491, B491)</f>
        <v>0.875</v>
      </c>
      <c r="AC491" s="86">
        <f>AVERAGEIFS($J$2:J491, $B$2:B491, B491)</f>
        <v>0.63833333333333331</v>
      </c>
      <c r="AD491" s="86">
        <f>AVERAGEIFS($D$2:D491, $B$2:B491, B491)</f>
        <v>0.83333333333333337</v>
      </c>
    </row>
    <row r="492" spans="1:30" x14ac:dyDescent="0.25">
      <c r="A492" s="85">
        <v>46152</v>
      </c>
      <c r="B492" t="s">
        <v>26</v>
      </c>
      <c r="C492">
        <v>12</v>
      </c>
      <c r="D492" s="86">
        <v>1</v>
      </c>
      <c r="E492">
        <v>3</v>
      </c>
      <c r="F492">
        <v>3</v>
      </c>
      <c r="G492">
        <v>13</v>
      </c>
      <c r="H492">
        <v>9</v>
      </c>
      <c r="I492">
        <v>1</v>
      </c>
      <c r="J492">
        <v>0.69</v>
      </c>
      <c r="K492">
        <v>0</v>
      </c>
      <c r="L492">
        <v>0</v>
      </c>
      <c r="M492">
        <v>0</v>
      </c>
      <c r="N492">
        <v>1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1</v>
      </c>
      <c r="Z492">
        <v>1</v>
      </c>
      <c r="AA492" s="86">
        <f>AVERAGEIFS($C$2:C492, $B$2:B492, B492)</f>
        <v>15.923076923076923</v>
      </c>
      <c r="AB492" s="86">
        <f>AVERAGEIFS($I$2:I492, $B$2:B492, B492)</f>
        <v>0.51153846153846161</v>
      </c>
      <c r="AC492" s="86">
        <f>AVERAGEIFS($J$2:J492, $B$2:B492, B492)</f>
        <v>0.48000000000000004</v>
      </c>
      <c r="AD492" s="86">
        <f>AVERAGEIFS($D$2:D492, $B$2:B492, B492)</f>
        <v>0.46153846153846156</v>
      </c>
    </row>
    <row r="493" spans="1:30" x14ac:dyDescent="0.25">
      <c r="A493" s="85">
        <v>46152</v>
      </c>
      <c r="B493" t="s">
        <v>141</v>
      </c>
      <c r="C493">
        <v>16</v>
      </c>
      <c r="D493" s="86">
        <v>1</v>
      </c>
      <c r="E493">
        <v>3</v>
      </c>
      <c r="F493">
        <v>3</v>
      </c>
      <c r="G493">
        <v>13</v>
      </c>
      <c r="H493">
        <v>9</v>
      </c>
      <c r="I493">
        <v>1</v>
      </c>
      <c r="J493">
        <v>0.69</v>
      </c>
      <c r="K493">
        <v>0</v>
      </c>
      <c r="L493">
        <v>0</v>
      </c>
      <c r="M493">
        <v>0</v>
      </c>
      <c r="N493">
        <v>1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1</v>
      </c>
      <c r="Z493">
        <v>1</v>
      </c>
      <c r="AA493" s="86">
        <f>AVERAGEIFS($C$2:C493, $B$2:B493, B493)</f>
        <v>15.6</v>
      </c>
      <c r="AB493" s="86">
        <f>AVERAGEIFS($I$2:I493, $B$2:B493, B493)</f>
        <v>0.40499999999999997</v>
      </c>
      <c r="AC493" s="86">
        <f>AVERAGEIFS($J$2:J493, $B$2:B493, B493)</f>
        <v>0.441</v>
      </c>
      <c r="AD493" s="86">
        <f>AVERAGEIFS($D$2:D493, $B$2:B493, B493)</f>
        <v>0.3</v>
      </c>
    </row>
    <row r="494" spans="1:30" x14ac:dyDescent="0.25">
      <c r="A494" s="85">
        <v>46152</v>
      </c>
      <c r="B494" t="s">
        <v>19</v>
      </c>
      <c r="C494">
        <v>11</v>
      </c>
      <c r="D494" s="86">
        <v>1</v>
      </c>
      <c r="E494">
        <v>3</v>
      </c>
      <c r="F494">
        <v>3</v>
      </c>
      <c r="G494">
        <v>13</v>
      </c>
      <c r="H494">
        <v>9</v>
      </c>
      <c r="I494">
        <v>1</v>
      </c>
      <c r="J494">
        <v>0.69</v>
      </c>
      <c r="K494">
        <v>0</v>
      </c>
      <c r="L494">
        <v>0</v>
      </c>
      <c r="M494">
        <v>0</v>
      </c>
      <c r="N494">
        <v>1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1</v>
      </c>
      <c r="Z494">
        <v>1</v>
      </c>
      <c r="AA494" s="86">
        <f>AVERAGEIFS($C$2:C494, $B$2:B494, B494)</f>
        <v>12.571428571428571</v>
      </c>
      <c r="AB494" s="86">
        <f>AVERAGEIFS($I$2:I494, $B$2:B494, B494)</f>
        <v>0.65</v>
      </c>
      <c r="AC494" s="86">
        <f>AVERAGEIFS($J$2:J494, $B$2:B494, B494)</f>
        <v>0.5485714285714286</v>
      </c>
      <c r="AD494" s="86">
        <f>AVERAGEIFS($D$2:D494, $B$2:B494, B494)</f>
        <v>0.5714285714285714</v>
      </c>
    </row>
    <row r="495" spans="1:30" x14ac:dyDescent="0.25">
      <c r="A495" s="85">
        <v>46152</v>
      </c>
      <c r="B495" t="s">
        <v>2</v>
      </c>
      <c r="C495">
        <v>23</v>
      </c>
      <c r="D495" s="86">
        <v>1</v>
      </c>
      <c r="E495">
        <v>3</v>
      </c>
      <c r="F495">
        <v>3</v>
      </c>
      <c r="G495">
        <v>13</v>
      </c>
      <c r="H495">
        <v>9</v>
      </c>
      <c r="I495">
        <v>1</v>
      </c>
      <c r="J495">
        <v>0.69</v>
      </c>
      <c r="K495">
        <v>0</v>
      </c>
      <c r="L495">
        <v>0</v>
      </c>
      <c r="M495">
        <v>0</v>
      </c>
      <c r="N495">
        <v>1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1</v>
      </c>
      <c r="Z495">
        <v>1</v>
      </c>
      <c r="AA495" s="86">
        <f>AVERAGEIFS($C$2:C495, $B$2:B495, B495)</f>
        <v>32.333333333333336</v>
      </c>
      <c r="AB495" s="86">
        <f>AVERAGEIFS($I$2:I495, $B$2:B495, B495)</f>
        <v>0.79999999999999993</v>
      </c>
      <c r="AC495" s="86">
        <f>AVERAGEIFS($J$2:J495, $B$2:B495, B495)</f>
        <v>0.60333333333333328</v>
      </c>
      <c r="AD495" s="86">
        <f>AVERAGEIFS($D$2:D495, $B$2:B495, B495)</f>
        <v>0.66666666666666663</v>
      </c>
    </row>
    <row r="496" spans="1:30" x14ac:dyDescent="0.25">
      <c r="A496" s="85">
        <v>46152</v>
      </c>
      <c r="B496" t="s">
        <v>150</v>
      </c>
      <c r="C496">
        <v>22</v>
      </c>
      <c r="D496" s="86">
        <v>1</v>
      </c>
      <c r="E496">
        <v>3</v>
      </c>
      <c r="F496">
        <v>3</v>
      </c>
      <c r="G496">
        <v>13</v>
      </c>
      <c r="H496">
        <v>9</v>
      </c>
      <c r="I496">
        <v>1</v>
      </c>
      <c r="J496">
        <v>0.69</v>
      </c>
      <c r="K496">
        <v>0</v>
      </c>
      <c r="L496">
        <v>0</v>
      </c>
      <c r="M496">
        <v>0</v>
      </c>
      <c r="N496">
        <v>1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1</v>
      </c>
      <c r="Z496">
        <v>1</v>
      </c>
      <c r="AA496" s="86">
        <f>AVERAGEIFS($C$2:C496, $B$2:B496, B496)</f>
        <v>18.600000000000001</v>
      </c>
      <c r="AB496" s="86">
        <f>AVERAGEIFS($I$2:I496, $B$2:B496, B496)</f>
        <v>0.68333333333333335</v>
      </c>
      <c r="AC496" s="86">
        <f>AVERAGEIFS($J$2:J496, $B$2:B496, B496)</f>
        <v>0.60866666666666647</v>
      </c>
      <c r="AD496" s="86">
        <f>AVERAGEIFS($D$2:D496, $B$2:B496, B496)</f>
        <v>0.73333333333333328</v>
      </c>
    </row>
    <row r="497" spans="1:30" x14ac:dyDescent="0.25">
      <c r="A497" s="85">
        <v>46152</v>
      </c>
      <c r="B497" t="s">
        <v>40</v>
      </c>
      <c r="C497">
        <v>13</v>
      </c>
      <c r="D497" s="86">
        <v>1</v>
      </c>
      <c r="E497">
        <v>3</v>
      </c>
      <c r="F497">
        <v>3</v>
      </c>
      <c r="G497">
        <v>13</v>
      </c>
      <c r="H497">
        <v>9</v>
      </c>
      <c r="I497">
        <v>1</v>
      </c>
      <c r="J497">
        <v>0.69</v>
      </c>
      <c r="K497">
        <v>0</v>
      </c>
      <c r="L497">
        <v>0</v>
      </c>
      <c r="M497">
        <v>0</v>
      </c>
      <c r="N497">
        <v>1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1</v>
      </c>
      <c r="Z497">
        <v>1</v>
      </c>
      <c r="AA497" s="86">
        <f>AVERAGEIFS($C$2:C497, $B$2:B497, B497)</f>
        <v>19.846153846153847</v>
      </c>
      <c r="AB497" s="86">
        <f>AVERAGEIFS($I$2:I497, $B$2:B497, B497)</f>
        <v>0.56923076923076921</v>
      </c>
      <c r="AC497" s="86">
        <f>AVERAGEIFS($J$2:J497, $B$2:B497, B497)</f>
        <v>0.5099999999999999</v>
      </c>
      <c r="AD497" s="86">
        <f>AVERAGEIFS($D$2:D497, $B$2:B497, B497)</f>
        <v>0.53846153846153844</v>
      </c>
    </row>
    <row r="498" spans="1:30" x14ac:dyDescent="0.25">
      <c r="A498" s="85">
        <v>46152</v>
      </c>
      <c r="B498" t="s">
        <v>140</v>
      </c>
      <c r="C498">
        <v>6</v>
      </c>
      <c r="D498" s="86">
        <v>1</v>
      </c>
      <c r="E498">
        <v>3</v>
      </c>
      <c r="F498">
        <v>3</v>
      </c>
      <c r="G498">
        <v>13</v>
      </c>
      <c r="H498">
        <v>9</v>
      </c>
      <c r="I498">
        <v>1</v>
      </c>
      <c r="J498">
        <v>0.69</v>
      </c>
      <c r="K498">
        <v>0</v>
      </c>
      <c r="L498">
        <v>0</v>
      </c>
      <c r="M498">
        <v>0</v>
      </c>
      <c r="N498">
        <v>1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1</v>
      </c>
      <c r="Z498">
        <v>1</v>
      </c>
      <c r="AA498" s="86">
        <f>AVERAGEIFS($C$2:C498, $B$2:B498, B498)</f>
        <v>8.1764705882352935</v>
      </c>
      <c r="AB498" s="86">
        <f>AVERAGEIFS($I$2:I498, $B$2:B498, B498)</f>
        <v>0.39117647058823529</v>
      </c>
      <c r="AC498" s="86">
        <f>AVERAGEIFS($J$2:J498, $B$2:B498, B498)</f>
        <v>0.45588235294117646</v>
      </c>
      <c r="AD498" s="86">
        <f>AVERAGEIFS($D$2:D498, $B$2:B498, B498)</f>
        <v>0.35294117647058826</v>
      </c>
    </row>
    <row r="499" spans="1:30" x14ac:dyDescent="0.25">
      <c r="A499" s="85">
        <v>46152</v>
      </c>
      <c r="B499" t="s">
        <v>13</v>
      </c>
      <c r="C499">
        <v>25</v>
      </c>
      <c r="D499" s="86">
        <v>1</v>
      </c>
      <c r="E499">
        <v>4</v>
      </c>
      <c r="F499">
        <v>3</v>
      </c>
      <c r="G499">
        <v>18</v>
      </c>
      <c r="H499">
        <v>9</v>
      </c>
      <c r="I499">
        <v>0.75</v>
      </c>
      <c r="J499">
        <v>0.5</v>
      </c>
      <c r="K499">
        <v>1</v>
      </c>
      <c r="L499">
        <v>0</v>
      </c>
      <c r="M499">
        <v>1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1</v>
      </c>
      <c r="Y499">
        <v>0</v>
      </c>
      <c r="Z499">
        <v>0</v>
      </c>
      <c r="AA499" s="86">
        <f>AVERAGEIFS($C$2:C499, $B$2:B499, B499)</f>
        <v>24.323529411764707</v>
      </c>
      <c r="AB499" s="86">
        <f>AVERAGEIFS($I$2:I499, $B$2:B499, B499)</f>
        <v>0.61764705882352944</v>
      </c>
      <c r="AC499" s="86">
        <f>AVERAGEIFS($J$2:J499, $B$2:B499, B499)</f>
        <v>0.56705882352941173</v>
      </c>
      <c r="AD499" s="86">
        <f>AVERAGEIFS($D$2:D499, $B$2:B499, B499)</f>
        <v>0.6470588235294118</v>
      </c>
    </row>
    <row r="500" spans="1:30" x14ac:dyDescent="0.25">
      <c r="A500" s="85">
        <v>46152</v>
      </c>
      <c r="B500" t="s">
        <v>40</v>
      </c>
      <c r="C500">
        <v>19</v>
      </c>
      <c r="D500" s="86">
        <v>1</v>
      </c>
      <c r="E500">
        <v>4</v>
      </c>
      <c r="F500">
        <v>3</v>
      </c>
      <c r="G500">
        <v>18</v>
      </c>
      <c r="H500">
        <v>9</v>
      </c>
      <c r="I500">
        <v>0.75</v>
      </c>
      <c r="J500">
        <v>0.5</v>
      </c>
      <c r="K500">
        <v>1</v>
      </c>
      <c r="L500">
        <v>0</v>
      </c>
      <c r="M500">
        <v>1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1</v>
      </c>
      <c r="Y500">
        <v>0</v>
      </c>
      <c r="Z500">
        <v>0</v>
      </c>
      <c r="AA500" s="86">
        <f>AVERAGEIFS($C$2:C500, $B$2:B500, B500)</f>
        <v>19.785714285714285</v>
      </c>
      <c r="AB500" s="86">
        <f>AVERAGEIFS($I$2:I500, $B$2:B500, B500)</f>
        <v>0.58214285714285707</v>
      </c>
      <c r="AC500" s="86">
        <f>AVERAGEIFS($J$2:J500, $B$2:B500, B500)</f>
        <v>0.50928571428571423</v>
      </c>
      <c r="AD500" s="86">
        <f>AVERAGEIFS($D$2:D500, $B$2:B500, B500)</f>
        <v>0.5714285714285714</v>
      </c>
    </row>
    <row r="501" spans="1:30" x14ac:dyDescent="0.25">
      <c r="A501" s="85">
        <v>46152</v>
      </c>
      <c r="B501" t="s">
        <v>220</v>
      </c>
      <c r="C501">
        <v>21</v>
      </c>
      <c r="D501" s="86">
        <v>1</v>
      </c>
      <c r="E501">
        <v>4</v>
      </c>
      <c r="F501">
        <v>3</v>
      </c>
      <c r="G501">
        <v>18</v>
      </c>
      <c r="H501">
        <v>9</v>
      </c>
      <c r="I501">
        <v>0.75</v>
      </c>
      <c r="J501">
        <v>0.5</v>
      </c>
      <c r="K501">
        <v>1</v>
      </c>
      <c r="L501">
        <v>0</v>
      </c>
      <c r="M501">
        <v>1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1</v>
      </c>
      <c r="Y501">
        <v>0</v>
      </c>
      <c r="Z501">
        <v>0</v>
      </c>
      <c r="AA501" s="86">
        <f>AVERAGEIFS($C$2:C501, $B$2:B501, B501)</f>
        <v>18.75</v>
      </c>
      <c r="AB501" s="86">
        <f>AVERAGEIFS($I$2:I501, $B$2:B501, B501)</f>
        <v>0.6875</v>
      </c>
      <c r="AC501" s="86">
        <f>AVERAGEIFS($J$2:J501, $B$2:B501, B501)</f>
        <v>0.60187499999999983</v>
      </c>
      <c r="AD501" s="86">
        <f>AVERAGEIFS($D$2:D501, $B$2:B501, B501)</f>
        <v>0.75</v>
      </c>
    </row>
    <row r="502" spans="1:30" x14ac:dyDescent="0.25">
      <c r="A502" s="85">
        <v>46152</v>
      </c>
      <c r="B502" t="s">
        <v>179</v>
      </c>
      <c r="C502">
        <v>6</v>
      </c>
      <c r="D502" s="86">
        <v>1</v>
      </c>
      <c r="E502">
        <v>4</v>
      </c>
      <c r="F502">
        <v>3</v>
      </c>
      <c r="G502">
        <v>18</v>
      </c>
      <c r="H502">
        <v>9</v>
      </c>
      <c r="I502">
        <v>0.75</v>
      </c>
      <c r="J502">
        <v>0.5</v>
      </c>
      <c r="K502">
        <v>1</v>
      </c>
      <c r="L502">
        <v>0</v>
      </c>
      <c r="M502">
        <v>1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1</v>
      </c>
      <c r="Y502">
        <v>0</v>
      </c>
      <c r="Z502">
        <v>0</v>
      </c>
      <c r="AA502" s="86">
        <f>AVERAGEIFS($C$2:C502, $B$2:B502, B502)</f>
        <v>14</v>
      </c>
      <c r="AB502" s="86">
        <f>AVERAGEIFS($I$2:I502, $B$2:B502, B502)</f>
        <v>0.8571428571428571</v>
      </c>
      <c r="AC502" s="86">
        <f>AVERAGEIFS($J$2:J502, $B$2:B502, B502)</f>
        <v>0.61857142857142855</v>
      </c>
      <c r="AD502" s="86">
        <f>AVERAGEIFS($D$2:D502, $B$2:B502, B502)</f>
        <v>0.8571428571428571</v>
      </c>
    </row>
    <row r="503" spans="1:30" x14ac:dyDescent="0.25">
      <c r="A503" s="85">
        <v>46152</v>
      </c>
      <c r="B503" t="s">
        <v>27</v>
      </c>
      <c r="C503">
        <v>21</v>
      </c>
      <c r="D503" s="86">
        <v>1</v>
      </c>
      <c r="E503">
        <v>4</v>
      </c>
      <c r="F503">
        <v>3</v>
      </c>
      <c r="G503">
        <v>18</v>
      </c>
      <c r="H503">
        <v>9</v>
      </c>
      <c r="I503">
        <v>0.75</v>
      </c>
      <c r="J503">
        <v>0.5</v>
      </c>
      <c r="K503">
        <v>1</v>
      </c>
      <c r="L503">
        <v>0</v>
      </c>
      <c r="M503">
        <v>1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1</v>
      </c>
      <c r="Y503">
        <v>0</v>
      </c>
      <c r="Z503">
        <v>0</v>
      </c>
      <c r="AA503" s="86">
        <f>AVERAGEIFS($C$2:C503, $B$2:B503, B503)</f>
        <v>16.818181818181817</v>
      </c>
      <c r="AB503" s="86">
        <f>AVERAGEIFS($I$2:I503, $B$2:B503, B503)</f>
        <v>0.61363636363636365</v>
      </c>
      <c r="AC503" s="86">
        <f>AVERAGEIFS($J$2:J503, $B$2:B503, B503)</f>
        <v>0.56181818181818188</v>
      </c>
      <c r="AD503" s="86">
        <f>AVERAGEIFS($D$2:D503, $B$2:B503, B503)</f>
        <v>0.72727272727272729</v>
      </c>
    </row>
    <row r="504" spans="1:30" x14ac:dyDescent="0.25">
      <c r="A504" s="85">
        <v>46152</v>
      </c>
      <c r="B504" t="s">
        <v>26</v>
      </c>
      <c r="C504">
        <v>13</v>
      </c>
      <c r="D504" s="86">
        <v>1</v>
      </c>
      <c r="E504">
        <v>4</v>
      </c>
      <c r="F504">
        <v>3</v>
      </c>
      <c r="G504">
        <v>18</v>
      </c>
      <c r="H504">
        <v>9</v>
      </c>
      <c r="I504">
        <v>0.75</v>
      </c>
      <c r="J504">
        <v>0.5</v>
      </c>
      <c r="K504">
        <v>1</v>
      </c>
      <c r="L504">
        <v>0</v>
      </c>
      <c r="M504">
        <v>1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1</v>
      </c>
      <c r="Y504">
        <v>0</v>
      </c>
      <c r="Z504">
        <v>0</v>
      </c>
      <c r="AA504" s="86">
        <f>AVERAGEIFS($C$2:C504, $B$2:B504, B504)</f>
        <v>15.714285714285714</v>
      </c>
      <c r="AB504" s="86">
        <f>AVERAGEIFS($I$2:I504, $B$2:B504, B504)</f>
        <v>0.52857142857142858</v>
      </c>
      <c r="AC504" s="86">
        <f>AVERAGEIFS($J$2:J504, $B$2:B504, B504)</f>
        <v>0.48142857142857143</v>
      </c>
      <c r="AD504" s="86">
        <f>AVERAGEIFS($D$2:D504, $B$2:B504, B504)</f>
        <v>0.5</v>
      </c>
    </row>
    <row r="505" spans="1:30" x14ac:dyDescent="0.25">
      <c r="A505" s="85">
        <v>46152</v>
      </c>
      <c r="B505" t="s">
        <v>152</v>
      </c>
      <c r="C505">
        <v>18</v>
      </c>
      <c r="D505" s="86">
        <v>1</v>
      </c>
      <c r="E505">
        <v>4</v>
      </c>
      <c r="F505">
        <v>3</v>
      </c>
      <c r="G505">
        <v>18</v>
      </c>
      <c r="H505">
        <v>9</v>
      </c>
      <c r="I505">
        <v>0.75</v>
      </c>
      <c r="J505">
        <v>0.5</v>
      </c>
      <c r="K505">
        <v>1</v>
      </c>
      <c r="L505">
        <v>0</v>
      </c>
      <c r="M505">
        <v>1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1</v>
      </c>
      <c r="Y505">
        <v>0</v>
      </c>
      <c r="Z505">
        <v>0</v>
      </c>
      <c r="AA505" s="86">
        <f>AVERAGEIFS($C$2:C505, $B$2:B505, B505)</f>
        <v>13.777777777777779</v>
      </c>
      <c r="AB505" s="86">
        <f>AVERAGEIFS($I$2:I505, $B$2:B505, B505)</f>
        <v>0.25555555555555554</v>
      </c>
      <c r="AC505" s="86">
        <f>AVERAGEIFS($J$2:J505, $B$2:B505, B505)</f>
        <v>0.36333333333333334</v>
      </c>
      <c r="AD505" s="86">
        <f>AVERAGEIFS($D$2:D505, $B$2:B505, B505)</f>
        <v>0.22222222222222221</v>
      </c>
    </row>
    <row r="506" spans="1:30" x14ac:dyDescent="0.25">
      <c r="A506" s="85">
        <v>46152</v>
      </c>
      <c r="B506" t="s">
        <v>178</v>
      </c>
      <c r="C506">
        <v>8</v>
      </c>
      <c r="D506" s="86">
        <v>1</v>
      </c>
      <c r="E506">
        <v>4</v>
      </c>
      <c r="F506">
        <v>3</v>
      </c>
      <c r="G506">
        <v>18</v>
      </c>
      <c r="H506">
        <v>9</v>
      </c>
      <c r="I506">
        <v>0.75</v>
      </c>
      <c r="J506">
        <v>0.5</v>
      </c>
      <c r="K506">
        <v>1</v>
      </c>
      <c r="L506">
        <v>0</v>
      </c>
      <c r="M506">
        <v>1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1</v>
      </c>
      <c r="Y506">
        <v>0</v>
      </c>
      <c r="Z506">
        <v>0</v>
      </c>
      <c r="AA506" s="86">
        <f>AVERAGEIFS($C$2:C506, $B$2:B506, B506)</f>
        <v>8</v>
      </c>
      <c r="AB506" s="86">
        <f>AVERAGEIFS($I$2:I506, $B$2:B506, B506)</f>
        <v>0.75</v>
      </c>
      <c r="AC506" s="86">
        <f>AVERAGEIFS($J$2:J506, $B$2:B506, B506)</f>
        <v>0.5</v>
      </c>
      <c r="AD506" s="86">
        <f>AVERAGEIFS($D$2:D506, $B$2:B506, B506)</f>
        <v>1</v>
      </c>
    </row>
    <row r="507" spans="1:30" x14ac:dyDescent="0.25">
      <c r="A507" s="85">
        <v>46152</v>
      </c>
      <c r="B507" t="s">
        <v>17</v>
      </c>
      <c r="C507">
        <v>32</v>
      </c>
      <c r="D507" s="86">
        <v>0</v>
      </c>
      <c r="E507">
        <v>4</v>
      </c>
      <c r="F507">
        <v>1</v>
      </c>
      <c r="G507">
        <v>18</v>
      </c>
      <c r="H507">
        <v>9</v>
      </c>
      <c r="I507">
        <v>0.25</v>
      </c>
      <c r="J507">
        <v>0.5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1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 s="86">
        <f>AVERAGEIFS($C$2:C507, $B$2:B507, B507)</f>
        <v>22.571428571428573</v>
      </c>
      <c r="AB507" s="86">
        <f>AVERAGEIFS($I$2:I507, $B$2:B507, B507)</f>
        <v>0.40714285714285714</v>
      </c>
      <c r="AC507" s="86">
        <f>AVERAGEIFS($J$2:J507, $B$2:B507, B507)</f>
        <v>0.47214285714285703</v>
      </c>
      <c r="AD507" s="86">
        <f>AVERAGEIFS($D$2:D507, $B$2:B507, B507)</f>
        <v>0.42857142857142855</v>
      </c>
    </row>
    <row r="508" spans="1:30" x14ac:dyDescent="0.25">
      <c r="A508" s="85">
        <v>46152</v>
      </c>
      <c r="B508" t="s">
        <v>5</v>
      </c>
      <c r="C508">
        <v>15</v>
      </c>
      <c r="D508" s="86">
        <v>0</v>
      </c>
      <c r="E508">
        <v>4</v>
      </c>
      <c r="F508">
        <v>1</v>
      </c>
      <c r="G508">
        <v>18</v>
      </c>
      <c r="H508">
        <v>9</v>
      </c>
      <c r="I508">
        <v>0.25</v>
      </c>
      <c r="J508">
        <v>0.5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1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 s="86">
        <f>AVERAGEIFS($C$2:C508, $B$2:B508, B508)</f>
        <v>24.6</v>
      </c>
      <c r="AB508" s="86">
        <f>AVERAGEIFS($I$2:I508, $B$2:B508, B508)</f>
        <v>0.51</v>
      </c>
      <c r="AC508" s="86">
        <f>AVERAGEIFS($J$2:J508, $B$2:B508, B508)</f>
        <v>0.51300000000000001</v>
      </c>
      <c r="AD508" s="86">
        <f>AVERAGEIFS($D$2:D508, $B$2:B508, B508)</f>
        <v>0.5</v>
      </c>
    </row>
    <row r="509" spans="1:30" x14ac:dyDescent="0.25">
      <c r="A509" s="85">
        <v>46152</v>
      </c>
      <c r="B509" t="s">
        <v>155</v>
      </c>
      <c r="C509">
        <v>12</v>
      </c>
      <c r="D509" s="86">
        <v>0</v>
      </c>
      <c r="E509">
        <v>4</v>
      </c>
      <c r="F509">
        <v>1</v>
      </c>
      <c r="G509">
        <v>18</v>
      </c>
      <c r="H509">
        <v>9</v>
      </c>
      <c r="I509">
        <v>0.25</v>
      </c>
      <c r="J509">
        <v>0.5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1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 s="86">
        <f>AVERAGEIFS($C$2:C509, $B$2:B509, B509)</f>
        <v>17.615384615384617</v>
      </c>
      <c r="AB509" s="86">
        <f>AVERAGEIFS($I$2:I509, $B$2:B509, B509)</f>
        <v>0.3692307692307692</v>
      </c>
      <c r="AC509" s="86">
        <f>AVERAGEIFS($J$2:J509, $B$2:B509, B509)</f>
        <v>0.45192307692307698</v>
      </c>
      <c r="AD509" s="86">
        <f>AVERAGEIFS($D$2:D509, $B$2:B509, B509)</f>
        <v>0.30769230769230771</v>
      </c>
    </row>
    <row r="510" spans="1:30" x14ac:dyDescent="0.25">
      <c r="A510" s="85">
        <v>46152</v>
      </c>
      <c r="B510" t="s">
        <v>141</v>
      </c>
      <c r="C510">
        <v>19</v>
      </c>
      <c r="D510" s="86">
        <v>0</v>
      </c>
      <c r="E510">
        <v>4</v>
      </c>
      <c r="F510">
        <v>1</v>
      </c>
      <c r="G510">
        <v>18</v>
      </c>
      <c r="H510">
        <v>9</v>
      </c>
      <c r="I510">
        <v>0.25</v>
      </c>
      <c r="J510">
        <v>0.5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1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 s="86">
        <f>AVERAGEIFS($C$2:C510, $B$2:B510, B510)</f>
        <v>15.909090909090908</v>
      </c>
      <c r="AB510" s="86">
        <f>AVERAGEIFS($I$2:I510, $B$2:B510, B510)</f>
        <v>0.39090909090909087</v>
      </c>
      <c r="AC510" s="86">
        <f>AVERAGEIFS($J$2:J510, $B$2:B510, B510)</f>
        <v>0.44636363636363635</v>
      </c>
      <c r="AD510" s="86">
        <f>AVERAGEIFS($D$2:D510, $B$2:B510, B510)</f>
        <v>0.27272727272727271</v>
      </c>
    </row>
    <row r="511" spans="1:30" x14ac:dyDescent="0.25">
      <c r="A511" s="85">
        <v>46152</v>
      </c>
      <c r="B511" t="s">
        <v>50</v>
      </c>
      <c r="C511">
        <v>16</v>
      </c>
      <c r="D511" s="86">
        <v>0</v>
      </c>
      <c r="E511">
        <v>4</v>
      </c>
      <c r="F511">
        <v>1</v>
      </c>
      <c r="G511">
        <v>18</v>
      </c>
      <c r="H511">
        <v>9</v>
      </c>
      <c r="I511">
        <v>0.25</v>
      </c>
      <c r="J511">
        <v>0.5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0</v>
      </c>
      <c r="Q511">
        <v>0</v>
      </c>
      <c r="R511">
        <v>1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 s="86">
        <f>AVERAGEIFS($C$2:C511, $B$2:B511, B511)</f>
        <v>16</v>
      </c>
      <c r="AB511" s="86">
        <f>AVERAGEIFS($I$2:I511, $B$2:B511, B511)</f>
        <v>0.25</v>
      </c>
      <c r="AC511" s="86">
        <f>AVERAGEIFS($J$2:J511, $B$2:B511, B511)</f>
        <v>0.5</v>
      </c>
      <c r="AD511" s="86">
        <f>AVERAGEIFS($D$2:D511, $B$2:B511, B511)</f>
        <v>0</v>
      </c>
    </row>
    <row r="512" spans="1:30" x14ac:dyDescent="0.25">
      <c r="A512" s="85">
        <v>46152</v>
      </c>
      <c r="B512" t="s">
        <v>45</v>
      </c>
      <c r="C512">
        <v>12</v>
      </c>
      <c r="D512" s="86">
        <v>0</v>
      </c>
      <c r="E512">
        <v>4</v>
      </c>
      <c r="F512">
        <v>1</v>
      </c>
      <c r="G512">
        <v>18</v>
      </c>
      <c r="H512">
        <v>9</v>
      </c>
      <c r="I512">
        <v>0.25</v>
      </c>
      <c r="J512">
        <v>0.5</v>
      </c>
      <c r="K512">
        <v>0</v>
      </c>
      <c r="L512">
        <v>0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1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 s="86">
        <f>AVERAGEIFS($C$2:C512, $B$2:B512, B512)</f>
        <v>15.333333333333334</v>
      </c>
      <c r="AB512" s="86">
        <f>AVERAGEIFS($I$2:I512, $B$2:B512, B512)</f>
        <v>0.47222222222222221</v>
      </c>
      <c r="AC512" s="86">
        <f>AVERAGEIFS($J$2:J512, $B$2:B512, B512)</f>
        <v>0.48777777777777775</v>
      </c>
      <c r="AD512" s="86">
        <f>AVERAGEIFS($D$2:D512, $B$2:B512, B512)</f>
        <v>0.44444444444444442</v>
      </c>
    </row>
    <row r="513" spans="1:30" x14ac:dyDescent="0.25">
      <c r="A513" s="85">
        <v>46152</v>
      </c>
      <c r="B513" t="s">
        <v>139</v>
      </c>
      <c r="C513">
        <v>10</v>
      </c>
      <c r="D513" s="86">
        <v>0</v>
      </c>
      <c r="E513">
        <v>4</v>
      </c>
      <c r="F513">
        <v>1</v>
      </c>
      <c r="G513">
        <v>18</v>
      </c>
      <c r="H513">
        <v>9</v>
      </c>
      <c r="I513">
        <v>0.25</v>
      </c>
      <c r="J513">
        <v>0.5</v>
      </c>
      <c r="K513">
        <v>0</v>
      </c>
      <c r="L513">
        <v>0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1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 s="86">
        <f>AVERAGEIFS($C$2:C513, $B$2:B513, B513)</f>
        <v>10.4375</v>
      </c>
      <c r="AB513" s="86">
        <f>AVERAGEIFS($I$2:I513, $B$2:B513, B513)</f>
        <v>0.40937499999999999</v>
      </c>
      <c r="AC513" s="86">
        <f>AVERAGEIFS($J$2:J513, $B$2:B513, B513)</f>
        <v>0.48374999999999996</v>
      </c>
      <c r="AD513" s="86">
        <f>AVERAGEIFS($D$2:D513, $B$2:B513, B513)</f>
        <v>0.5</v>
      </c>
    </row>
    <row r="514" spans="1:30" x14ac:dyDescent="0.25">
      <c r="A514" s="85">
        <v>46152</v>
      </c>
      <c r="B514" t="s">
        <v>140</v>
      </c>
      <c r="C514">
        <v>8</v>
      </c>
      <c r="D514" s="86">
        <v>0</v>
      </c>
      <c r="E514">
        <v>4</v>
      </c>
      <c r="F514">
        <v>1</v>
      </c>
      <c r="G514">
        <v>18</v>
      </c>
      <c r="H514">
        <v>9</v>
      </c>
      <c r="I514">
        <v>0.25</v>
      </c>
      <c r="J514">
        <v>0.5</v>
      </c>
      <c r="K514">
        <v>0</v>
      </c>
      <c r="L514">
        <v>0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1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 s="86">
        <f>AVERAGEIFS($C$2:C514, $B$2:B514, B514)</f>
        <v>8.1666666666666661</v>
      </c>
      <c r="AB514" s="86">
        <f>AVERAGEIFS($I$2:I514, $B$2:B514, B514)</f>
        <v>0.38333333333333336</v>
      </c>
      <c r="AC514" s="86">
        <f>AVERAGEIFS($J$2:J514, $B$2:B514, B514)</f>
        <v>0.45833333333333331</v>
      </c>
      <c r="AD514" s="86">
        <f>AVERAGEIFS($D$2:D514, $B$2:B514, B514)</f>
        <v>0.33333333333333331</v>
      </c>
    </row>
    <row r="515" spans="1:30" x14ac:dyDescent="0.25">
      <c r="A515" s="85">
        <v>46153</v>
      </c>
      <c r="B515" t="s">
        <v>29</v>
      </c>
      <c r="C515">
        <v>6</v>
      </c>
      <c r="D515" s="86">
        <v>0</v>
      </c>
      <c r="E515">
        <v>4</v>
      </c>
      <c r="F515">
        <v>1</v>
      </c>
      <c r="G515">
        <v>18</v>
      </c>
      <c r="H515">
        <v>7</v>
      </c>
      <c r="I515">
        <v>0.25</v>
      </c>
      <c r="J515">
        <v>0.39</v>
      </c>
      <c r="K515">
        <v>0</v>
      </c>
      <c r="L515">
        <v>0</v>
      </c>
      <c r="M515">
        <v>0</v>
      </c>
      <c r="N515">
        <v>0</v>
      </c>
      <c r="O515">
        <v>0</v>
      </c>
      <c r="P515">
        <v>1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 s="86">
        <f>AVERAGEIFS($C$2:C515, $B$2:B515, B515)</f>
        <v>11.8</v>
      </c>
      <c r="AB515" s="86">
        <f>AVERAGEIFS($I$2:I515, $B$2:B515, B515)</f>
        <v>0.46199999999999997</v>
      </c>
      <c r="AC515" s="86">
        <f>AVERAGEIFS($J$2:J515, $B$2:B515, B515)</f>
        <v>0.49560000000000004</v>
      </c>
      <c r="AD515" s="86">
        <f>AVERAGEIFS($D$2:D515, $B$2:B515, B515)</f>
        <v>0.4</v>
      </c>
    </row>
    <row r="516" spans="1:30" x14ac:dyDescent="0.25">
      <c r="A516" s="85">
        <v>46153</v>
      </c>
      <c r="B516" t="s">
        <v>15</v>
      </c>
      <c r="C516">
        <v>20</v>
      </c>
      <c r="D516" s="86">
        <v>0</v>
      </c>
      <c r="E516">
        <v>4</v>
      </c>
      <c r="F516">
        <v>1</v>
      </c>
      <c r="G516">
        <v>18</v>
      </c>
      <c r="H516">
        <v>7</v>
      </c>
      <c r="I516">
        <v>0.25</v>
      </c>
      <c r="J516">
        <v>0.39</v>
      </c>
      <c r="K516">
        <v>0</v>
      </c>
      <c r="L516">
        <v>0</v>
      </c>
      <c r="M516">
        <v>0</v>
      </c>
      <c r="N516">
        <v>0</v>
      </c>
      <c r="O516">
        <v>0</v>
      </c>
      <c r="P516">
        <v>1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 s="86">
        <f>AVERAGEIFS($C$2:C516, $B$2:B516, B516)</f>
        <v>20.55</v>
      </c>
      <c r="AB516" s="86">
        <f>AVERAGEIFS($I$2:I516, $B$2:B516, B516)</f>
        <v>0.45749999999999991</v>
      </c>
      <c r="AC516" s="86">
        <f>AVERAGEIFS($J$2:J516, $B$2:B516, B516)</f>
        <v>0.49149999999999999</v>
      </c>
      <c r="AD516" s="86">
        <f>AVERAGEIFS($D$2:D516, $B$2:B516, B516)</f>
        <v>0.45</v>
      </c>
    </row>
    <row r="517" spans="1:30" x14ac:dyDescent="0.25">
      <c r="A517" s="85">
        <v>46153</v>
      </c>
      <c r="B517" t="s">
        <v>152</v>
      </c>
      <c r="C517">
        <v>17</v>
      </c>
      <c r="D517" s="86">
        <v>0</v>
      </c>
      <c r="E517">
        <v>4</v>
      </c>
      <c r="F517">
        <v>1</v>
      </c>
      <c r="G517">
        <v>18</v>
      </c>
      <c r="H517">
        <v>7</v>
      </c>
      <c r="I517">
        <v>0.25</v>
      </c>
      <c r="J517">
        <v>0.39</v>
      </c>
      <c r="K517">
        <v>0</v>
      </c>
      <c r="L517">
        <v>0</v>
      </c>
      <c r="M517">
        <v>0</v>
      </c>
      <c r="N517">
        <v>0</v>
      </c>
      <c r="O517">
        <v>0</v>
      </c>
      <c r="P517">
        <v>1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 s="86">
        <f>AVERAGEIFS($C$2:C517, $B$2:B517, B517)</f>
        <v>14.1</v>
      </c>
      <c r="AB517" s="86">
        <f>AVERAGEIFS($I$2:I517, $B$2:B517, B517)</f>
        <v>0.255</v>
      </c>
      <c r="AC517" s="86">
        <f>AVERAGEIFS($J$2:J517, $B$2:B517, B517)</f>
        <v>0.36599999999999999</v>
      </c>
      <c r="AD517" s="86">
        <f>AVERAGEIFS($D$2:D517, $B$2:B517, B517)</f>
        <v>0.2</v>
      </c>
    </row>
    <row r="518" spans="1:30" x14ac:dyDescent="0.25">
      <c r="A518" s="85">
        <v>46153</v>
      </c>
      <c r="B518" t="s">
        <v>5</v>
      </c>
      <c r="C518">
        <v>16</v>
      </c>
      <c r="D518" s="86">
        <v>0</v>
      </c>
      <c r="E518">
        <v>4</v>
      </c>
      <c r="F518">
        <v>1</v>
      </c>
      <c r="G518">
        <v>18</v>
      </c>
      <c r="H518">
        <v>7</v>
      </c>
      <c r="I518">
        <v>0.25</v>
      </c>
      <c r="J518">
        <v>0.39</v>
      </c>
      <c r="K518">
        <v>0</v>
      </c>
      <c r="L518">
        <v>0</v>
      </c>
      <c r="M518">
        <v>0</v>
      </c>
      <c r="N518">
        <v>0</v>
      </c>
      <c r="O518">
        <v>0</v>
      </c>
      <c r="P518">
        <v>1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 s="86">
        <f>AVERAGEIFS($C$2:C518, $B$2:B518, B518)</f>
        <v>23.818181818181817</v>
      </c>
      <c r="AB518" s="86">
        <f>AVERAGEIFS($I$2:I518, $B$2:B518, B518)</f>
        <v>0.48636363636363633</v>
      </c>
      <c r="AC518" s="86">
        <f>AVERAGEIFS($J$2:J518, $B$2:B518, B518)</f>
        <v>0.50181818181818183</v>
      </c>
      <c r="AD518" s="86">
        <f>AVERAGEIFS($D$2:D518, $B$2:B518, B518)</f>
        <v>0.45454545454545453</v>
      </c>
    </row>
    <row r="519" spans="1:30" x14ac:dyDescent="0.25">
      <c r="A519" s="85">
        <v>46153</v>
      </c>
      <c r="B519" t="s">
        <v>155</v>
      </c>
      <c r="C519">
        <v>31</v>
      </c>
      <c r="D519" s="86">
        <v>0</v>
      </c>
      <c r="E519">
        <v>4</v>
      </c>
      <c r="F519">
        <v>1</v>
      </c>
      <c r="G519">
        <v>18</v>
      </c>
      <c r="H519">
        <v>7</v>
      </c>
      <c r="I519">
        <v>0.25</v>
      </c>
      <c r="J519">
        <v>0.39</v>
      </c>
      <c r="K519">
        <v>0</v>
      </c>
      <c r="L519">
        <v>0</v>
      </c>
      <c r="M519">
        <v>0</v>
      </c>
      <c r="N519">
        <v>0</v>
      </c>
      <c r="O519">
        <v>0</v>
      </c>
      <c r="P519">
        <v>1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0</v>
      </c>
      <c r="AA519" s="86">
        <f>AVERAGEIFS($C$2:C519, $B$2:B519, B519)</f>
        <v>18.111111111111111</v>
      </c>
      <c r="AB519" s="86">
        <f>AVERAGEIFS($I$2:I519, $B$2:B519, B519)</f>
        <v>0.36481481481481481</v>
      </c>
      <c r="AC519" s="86">
        <f>AVERAGEIFS($J$2:J519, $B$2:B519, B519)</f>
        <v>0.44962962962962971</v>
      </c>
      <c r="AD519" s="86">
        <f>AVERAGEIFS($D$2:D519, $B$2:B519, B519)</f>
        <v>0.29629629629629628</v>
      </c>
    </row>
    <row r="520" spans="1:30" x14ac:dyDescent="0.25">
      <c r="A520" s="85">
        <v>46153</v>
      </c>
      <c r="B520" t="s">
        <v>53</v>
      </c>
      <c r="C520">
        <v>25</v>
      </c>
      <c r="D520" s="86">
        <v>0</v>
      </c>
      <c r="E520">
        <v>4</v>
      </c>
      <c r="F520">
        <v>1</v>
      </c>
      <c r="G520">
        <v>18</v>
      </c>
      <c r="H520">
        <v>7</v>
      </c>
      <c r="I520">
        <v>0.25</v>
      </c>
      <c r="J520">
        <v>0.39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1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 s="86">
        <f>AVERAGEIFS($C$2:C520, $B$2:B520, B520)</f>
        <v>25</v>
      </c>
      <c r="AB520" s="86">
        <f>AVERAGEIFS($I$2:I520, $B$2:B520, B520)</f>
        <v>0.25</v>
      </c>
      <c r="AC520" s="86">
        <f>AVERAGEIFS($J$2:J520, $B$2:B520, B520)</f>
        <v>0.39</v>
      </c>
      <c r="AD520" s="86">
        <f>AVERAGEIFS($D$2:D520, $B$2:B520, B520)</f>
        <v>0</v>
      </c>
    </row>
    <row r="521" spans="1:30" x14ac:dyDescent="0.25">
      <c r="A521" s="85">
        <v>46153</v>
      </c>
      <c r="B521" t="s">
        <v>107</v>
      </c>
      <c r="C521">
        <v>20</v>
      </c>
      <c r="D521" s="86">
        <v>0</v>
      </c>
      <c r="E521">
        <v>4</v>
      </c>
      <c r="F521">
        <v>1</v>
      </c>
      <c r="G521">
        <v>18</v>
      </c>
      <c r="H521">
        <v>7</v>
      </c>
      <c r="I521">
        <v>0.25</v>
      </c>
      <c r="J521">
        <v>0.39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1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 s="86">
        <f>AVERAGEIFS($C$2:C521, $B$2:B521, B521)</f>
        <v>20</v>
      </c>
      <c r="AB521" s="86">
        <f>AVERAGEIFS($I$2:I521, $B$2:B521, B521)</f>
        <v>0.25</v>
      </c>
      <c r="AC521" s="86">
        <f>AVERAGEIFS($J$2:J521, $B$2:B521, B521)</f>
        <v>0.39</v>
      </c>
      <c r="AD521" s="86">
        <f>AVERAGEIFS($D$2:D521, $B$2:B521, B521)</f>
        <v>0</v>
      </c>
    </row>
    <row r="522" spans="1:30" x14ac:dyDescent="0.25">
      <c r="A522" s="85">
        <v>46153</v>
      </c>
      <c r="B522" t="s">
        <v>140</v>
      </c>
      <c r="C522">
        <v>15</v>
      </c>
      <c r="D522" s="86">
        <v>1</v>
      </c>
      <c r="E522">
        <v>4</v>
      </c>
      <c r="F522">
        <v>3</v>
      </c>
      <c r="G522">
        <v>18</v>
      </c>
      <c r="H522">
        <v>11</v>
      </c>
      <c r="I522">
        <v>0.75</v>
      </c>
      <c r="J522">
        <v>0.61</v>
      </c>
      <c r="K522">
        <v>1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1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1</v>
      </c>
      <c r="Y522">
        <v>0</v>
      </c>
      <c r="Z522">
        <v>0</v>
      </c>
      <c r="AA522" s="86">
        <f>AVERAGEIFS($C$2:C522, $B$2:B522, B522)</f>
        <v>8.526315789473685</v>
      </c>
      <c r="AB522" s="86">
        <f>AVERAGEIFS($I$2:I522, $B$2:B522, B522)</f>
        <v>0.40263157894736845</v>
      </c>
      <c r="AC522" s="86">
        <f>AVERAGEIFS($J$2:J522, $B$2:B522, B522)</f>
        <v>0.46631578947368418</v>
      </c>
      <c r="AD522" s="86">
        <f>AVERAGEIFS($D$2:D522, $B$2:B522, B522)</f>
        <v>0.36842105263157893</v>
      </c>
    </row>
    <row r="523" spans="1:30" x14ac:dyDescent="0.25">
      <c r="A523" s="85">
        <v>46153</v>
      </c>
      <c r="B523" t="s">
        <v>146</v>
      </c>
      <c r="C523">
        <v>13</v>
      </c>
      <c r="D523" s="86">
        <v>1</v>
      </c>
      <c r="E523">
        <v>4</v>
      </c>
      <c r="F523">
        <v>3</v>
      </c>
      <c r="G523">
        <v>18</v>
      </c>
      <c r="H523">
        <v>11</v>
      </c>
      <c r="I523">
        <v>0.75</v>
      </c>
      <c r="J523">
        <v>0.61</v>
      </c>
      <c r="K523">
        <v>1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1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1</v>
      </c>
      <c r="Y523">
        <v>0</v>
      </c>
      <c r="Z523">
        <v>0</v>
      </c>
      <c r="AA523" s="86">
        <f>AVERAGEIFS($C$2:C523, $B$2:B523, B523)</f>
        <v>13.5</v>
      </c>
      <c r="AB523" s="86">
        <f>AVERAGEIFS($I$2:I523, $B$2:B523, B523)</f>
        <v>0.36499999999999999</v>
      </c>
      <c r="AC523" s="86">
        <f>AVERAGEIFS($J$2:J523, $B$2:B523, B523)</f>
        <v>0.44600000000000001</v>
      </c>
      <c r="AD523" s="86">
        <f>AVERAGEIFS($D$2:D523, $B$2:B523, B523)</f>
        <v>0.3</v>
      </c>
    </row>
    <row r="524" spans="1:30" x14ac:dyDescent="0.25">
      <c r="A524" s="85">
        <v>46153</v>
      </c>
      <c r="B524" t="s">
        <v>26</v>
      </c>
      <c r="C524">
        <v>17</v>
      </c>
      <c r="D524" s="86">
        <v>1</v>
      </c>
      <c r="E524">
        <v>4</v>
      </c>
      <c r="F524">
        <v>3</v>
      </c>
      <c r="G524">
        <v>18</v>
      </c>
      <c r="H524">
        <v>11</v>
      </c>
      <c r="I524">
        <v>0.75</v>
      </c>
      <c r="J524">
        <v>0.61</v>
      </c>
      <c r="K524">
        <v>1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1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1</v>
      </c>
      <c r="Y524">
        <v>0</v>
      </c>
      <c r="Z524">
        <v>0</v>
      </c>
      <c r="AA524" s="86">
        <f>AVERAGEIFS($C$2:C524, $B$2:B524, B524)</f>
        <v>15.8</v>
      </c>
      <c r="AB524" s="86">
        <f>AVERAGEIFS($I$2:I524, $B$2:B524, B524)</f>
        <v>0.54333333333333333</v>
      </c>
      <c r="AC524" s="86">
        <f>AVERAGEIFS($J$2:J524, $B$2:B524, B524)</f>
        <v>0.49000000000000005</v>
      </c>
      <c r="AD524" s="86">
        <f>AVERAGEIFS($D$2:D524, $B$2:B524, B524)</f>
        <v>0.53333333333333333</v>
      </c>
    </row>
    <row r="525" spans="1:30" x14ac:dyDescent="0.25">
      <c r="A525" s="85">
        <v>46153</v>
      </c>
      <c r="B525" t="s">
        <v>141</v>
      </c>
      <c r="C525">
        <v>33</v>
      </c>
      <c r="D525" s="86">
        <v>1</v>
      </c>
      <c r="E525">
        <v>4</v>
      </c>
      <c r="F525">
        <v>3</v>
      </c>
      <c r="G525">
        <v>18</v>
      </c>
      <c r="H525">
        <v>11</v>
      </c>
      <c r="I525">
        <v>0.75</v>
      </c>
      <c r="J525">
        <v>0.61</v>
      </c>
      <c r="K525">
        <v>1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1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1</v>
      </c>
      <c r="Y525">
        <v>0</v>
      </c>
      <c r="Z525">
        <v>0</v>
      </c>
      <c r="AA525" s="86">
        <f>AVERAGEIFS($C$2:C525, $B$2:B525, B525)</f>
        <v>17.333333333333332</v>
      </c>
      <c r="AB525" s="86">
        <f>AVERAGEIFS($I$2:I525, $B$2:B525, B525)</f>
        <v>0.42083333333333334</v>
      </c>
      <c r="AC525" s="86">
        <f>AVERAGEIFS($J$2:J525, $B$2:B525, B525)</f>
        <v>0.46</v>
      </c>
      <c r="AD525" s="86">
        <f>AVERAGEIFS($D$2:D525, $B$2:B525, B525)</f>
        <v>0.33333333333333331</v>
      </c>
    </row>
    <row r="526" spans="1:30" x14ac:dyDescent="0.25">
      <c r="A526" s="85">
        <v>46153</v>
      </c>
      <c r="B526" t="s">
        <v>147</v>
      </c>
      <c r="C526">
        <v>11</v>
      </c>
      <c r="D526" s="86">
        <v>1</v>
      </c>
      <c r="E526">
        <v>4</v>
      </c>
      <c r="F526">
        <v>3</v>
      </c>
      <c r="G526">
        <v>18</v>
      </c>
      <c r="H526">
        <v>11</v>
      </c>
      <c r="I526">
        <v>0.75</v>
      </c>
      <c r="J526">
        <v>0.61</v>
      </c>
      <c r="K526">
        <v>1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1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1</v>
      </c>
      <c r="Y526">
        <v>0</v>
      </c>
      <c r="Z526">
        <v>0</v>
      </c>
      <c r="AA526" s="86">
        <f>AVERAGEIFS($C$2:C526, $B$2:B526, B526)</f>
        <v>17.333333333333332</v>
      </c>
      <c r="AB526" s="86">
        <f>AVERAGEIFS($I$2:I526, $B$2:B526, B526)</f>
        <v>0.3888888888888889</v>
      </c>
      <c r="AC526" s="86">
        <f>AVERAGEIFS($J$2:J526, $B$2:B526, B526)</f>
        <v>0.44999999999999996</v>
      </c>
      <c r="AD526" s="86">
        <f>AVERAGEIFS($D$2:D526, $B$2:B526, B526)</f>
        <v>0.44444444444444442</v>
      </c>
    </row>
    <row r="527" spans="1:30" x14ac:dyDescent="0.25">
      <c r="A527" s="85">
        <v>46153</v>
      </c>
      <c r="B527" t="s">
        <v>6</v>
      </c>
      <c r="C527">
        <v>37</v>
      </c>
      <c r="D527" s="86">
        <v>1</v>
      </c>
      <c r="E527">
        <v>4</v>
      </c>
      <c r="F527">
        <v>3</v>
      </c>
      <c r="G527">
        <v>18</v>
      </c>
      <c r="H527">
        <v>11</v>
      </c>
      <c r="I527">
        <v>0.75</v>
      </c>
      <c r="J527">
        <v>0.61</v>
      </c>
      <c r="K527">
        <v>1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1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1</v>
      </c>
      <c r="Y527">
        <v>0</v>
      </c>
      <c r="Z527">
        <v>0</v>
      </c>
      <c r="AA527" s="86">
        <f>AVERAGEIFS($C$2:C527, $B$2:B527, B527)</f>
        <v>26.923076923076923</v>
      </c>
      <c r="AB527" s="86">
        <f>AVERAGEIFS($I$2:I527, $B$2:B527, B527)</f>
        <v>0.62692307692307681</v>
      </c>
      <c r="AC527" s="86">
        <f>AVERAGEIFS($J$2:J527, $B$2:B527, B527)</f>
        <v>0.56615384615384623</v>
      </c>
      <c r="AD527" s="86">
        <f>AVERAGEIFS($D$2:D527, $B$2:B527, B527)</f>
        <v>0.61538461538461542</v>
      </c>
    </row>
    <row r="528" spans="1:30" x14ac:dyDescent="0.25">
      <c r="A528" s="85">
        <v>46153</v>
      </c>
      <c r="B528" t="s">
        <v>14</v>
      </c>
      <c r="C528">
        <v>13</v>
      </c>
      <c r="D528" s="86">
        <v>1</v>
      </c>
      <c r="E528">
        <v>4</v>
      </c>
      <c r="F528">
        <v>3</v>
      </c>
      <c r="G528">
        <v>18</v>
      </c>
      <c r="H528">
        <v>11</v>
      </c>
      <c r="I528">
        <v>0.75</v>
      </c>
      <c r="J528">
        <v>0.61</v>
      </c>
      <c r="K528">
        <v>1</v>
      </c>
      <c r="L528">
        <v>0</v>
      </c>
      <c r="M528">
        <v>0</v>
      </c>
      <c r="N528">
        <v>0</v>
      </c>
      <c r="O528">
        <v>0</v>
      </c>
      <c r="P528">
        <v>0</v>
      </c>
      <c r="Q528">
        <v>1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1</v>
      </c>
      <c r="Y528">
        <v>0</v>
      </c>
      <c r="Z528">
        <v>0</v>
      </c>
      <c r="AA528" s="86">
        <f>AVERAGEIFS($C$2:C528, $B$2:B528, B528)</f>
        <v>22.842105263157894</v>
      </c>
      <c r="AB528" s="86">
        <f>AVERAGEIFS($I$2:I528, $B$2:B528, B528)</f>
        <v>0.38421052631578945</v>
      </c>
      <c r="AC528" s="86">
        <f>AVERAGEIFS($J$2:J528, $B$2:B528, B528)</f>
        <v>0.44526315789473681</v>
      </c>
      <c r="AD528" s="86">
        <f>AVERAGEIFS($D$2:D528, $B$2:B528, B528)</f>
        <v>0.31578947368421051</v>
      </c>
    </row>
    <row r="529" spans="1:30" x14ac:dyDescent="0.25">
      <c r="A529" s="85">
        <v>46153</v>
      </c>
      <c r="B529" t="s">
        <v>53</v>
      </c>
      <c r="C529">
        <v>12</v>
      </c>
      <c r="D529" s="86">
        <v>1</v>
      </c>
      <c r="E529">
        <v>4</v>
      </c>
      <c r="F529">
        <v>3</v>
      </c>
      <c r="G529">
        <v>15</v>
      </c>
      <c r="H529">
        <v>11</v>
      </c>
      <c r="I529">
        <v>0.75</v>
      </c>
      <c r="J529">
        <v>0.73</v>
      </c>
      <c r="K529">
        <v>0</v>
      </c>
      <c r="L529">
        <v>1</v>
      </c>
      <c r="M529">
        <v>0</v>
      </c>
      <c r="N529">
        <v>1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 s="86">
        <f>AVERAGEIFS($C$2:C529, $B$2:B529, B529)</f>
        <v>18.5</v>
      </c>
      <c r="AB529" s="86">
        <f>AVERAGEIFS($I$2:I529, $B$2:B529, B529)</f>
        <v>0.5</v>
      </c>
      <c r="AC529" s="86">
        <f>AVERAGEIFS($J$2:J529, $B$2:B529, B529)</f>
        <v>0.56000000000000005</v>
      </c>
      <c r="AD529" s="86">
        <f>AVERAGEIFS($D$2:D529, $B$2:B529, B529)</f>
        <v>0.5</v>
      </c>
    </row>
    <row r="530" spans="1:30" x14ac:dyDescent="0.25">
      <c r="A530" s="85">
        <v>46153</v>
      </c>
      <c r="B530" t="s">
        <v>35</v>
      </c>
      <c r="C530">
        <v>9</v>
      </c>
      <c r="D530" s="86">
        <v>1</v>
      </c>
      <c r="E530">
        <v>4</v>
      </c>
      <c r="F530">
        <v>3</v>
      </c>
      <c r="G530">
        <v>15</v>
      </c>
      <c r="H530">
        <v>11</v>
      </c>
      <c r="I530">
        <v>0.75</v>
      </c>
      <c r="J530">
        <v>0.73</v>
      </c>
      <c r="K530">
        <v>0</v>
      </c>
      <c r="L530">
        <v>1</v>
      </c>
      <c r="M530">
        <v>0</v>
      </c>
      <c r="N530">
        <v>1</v>
      </c>
      <c r="O530">
        <v>1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 s="86">
        <f>AVERAGEIFS($C$2:C530, $B$2:B530, B530)</f>
        <v>12.761904761904763</v>
      </c>
      <c r="AB530" s="86">
        <f>AVERAGEIFS($I$2:I530, $B$2:B530, B530)</f>
        <v>0.51428571428571423</v>
      </c>
      <c r="AC530" s="86">
        <f>AVERAGEIFS($J$2:J530, $B$2:B530, B530)</f>
        <v>0.49000000000000005</v>
      </c>
      <c r="AD530" s="86">
        <f>AVERAGEIFS($D$2:D530, $B$2:B530, B530)</f>
        <v>0.5714285714285714</v>
      </c>
    </row>
    <row r="531" spans="1:30" x14ac:dyDescent="0.25">
      <c r="A531" s="85">
        <v>46153</v>
      </c>
      <c r="B531" t="s">
        <v>146</v>
      </c>
      <c r="C531">
        <v>7</v>
      </c>
      <c r="D531" s="86">
        <v>1</v>
      </c>
      <c r="E531">
        <v>4</v>
      </c>
      <c r="F531">
        <v>3</v>
      </c>
      <c r="G531">
        <v>15</v>
      </c>
      <c r="H531">
        <v>11</v>
      </c>
      <c r="I531">
        <v>0.75</v>
      </c>
      <c r="J531">
        <v>0.73</v>
      </c>
      <c r="K531">
        <v>0</v>
      </c>
      <c r="L531">
        <v>1</v>
      </c>
      <c r="M531">
        <v>0</v>
      </c>
      <c r="N531">
        <v>1</v>
      </c>
      <c r="O531">
        <v>1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 s="86">
        <f>AVERAGEIFS($C$2:C531, $B$2:B531, B531)</f>
        <v>12.909090909090908</v>
      </c>
      <c r="AB531" s="86">
        <f>AVERAGEIFS($I$2:I531, $B$2:B531, B531)</f>
        <v>0.4</v>
      </c>
      <c r="AC531" s="86">
        <f>AVERAGEIFS($J$2:J531, $B$2:B531, B531)</f>
        <v>0.47181818181818175</v>
      </c>
      <c r="AD531" s="86">
        <f>AVERAGEIFS($D$2:D531, $B$2:B531, B531)</f>
        <v>0.36363636363636365</v>
      </c>
    </row>
    <row r="532" spans="1:30" x14ac:dyDescent="0.25">
      <c r="A532" s="85">
        <v>46153</v>
      </c>
      <c r="B532" t="s">
        <v>155</v>
      </c>
      <c r="C532">
        <v>19</v>
      </c>
      <c r="D532" s="86">
        <v>1</v>
      </c>
      <c r="E532">
        <v>4</v>
      </c>
      <c r="F532">
        <v>3</v>
      </c>
      <c r="G532">
        <v>15</v>
      </c>
      <c r="H532">
        <v>11</v>
      </c>
      <c r="I532">
        <v>0.75</v>
      </c>
      <c r="J532">
        <v>0.73</v>
      </c>
      <c r="K532">
        <v>0</v>
      </c>
      <c r="L532">
        <v>1</v>
      </c>
      <c r="M532">
        <v>0</v>
      </c>
      <c r="N532">
        <v>1</v>
      </c>
      <c r="O532">
        <v>1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 s="86">
        <f>AVERAGEIFS($C$2:C532, $B$2:B532, B532)</f>
        <v>18.142857142857142</v>
      </c>
      <c r="AB532" s="86">
        <f>AVERAGEIFS($I$2:I532, $B$2:B532, B532)</f>
        <v>0.37857142857142856</v>
      </c>
      <c r="AC532" s="86">
        <f>AVERAGEIFS($J$2:J532, $B$2:B532, B532)</f>
        <v>0.45964285714285724</v>
      </c>
      <c r="AD532" s="86">
        <f>AVERAGEIFS($D$2:D532, $B$2:B532, B532)</f>
        <v>0.32142857142857145</v>
      </c>
    </row>
    <row r="533" spans="1:30" x14ac:dyDescent="0.25">
      <c r="A533" s="85">
        <v>46153</v>
      </c>
      <c r="B533" t="s">
        <v>141</v>
      </c>
      <c r="C533">
        <v>14</v>
      </c>
      <c r="D533" s="86">
        <v>1</v>
      </c>
      <c r="E533">
        <v>4</v>
      </c>
      <c r="F533">
        <v>3</v>
      </c>
      <c r="G533">
        <v>15</v>
      </c>
      <c r="H533">
        <v>11</v>
      </c>
      <c r="I533">
        <v>0.75</v>
      </c>
      <c r="J533">
        <v>0.73</v>
      </c>
      <c r="K533">
        <v>0</v>
      </c>
      <c r="L533">
        <v>1</v>
      </c>
      <c r="M533">
        <v>0</v>
      </c>
      <c r="N533">
        <v>1</v>
      </c>
      <c r="O533">
        <v>1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 s="86">
        <f>AVERAGEIFS($C$2:C533, $B$2:B533, B533)</f>
        <v>17.076923076923077</v>
      </c>
      <c r="AB533" s="86">
        <f>AVERAGEIFS($I$2:I533, $B$2:B533, B533)</f>
        <v>0.44615384615384612</v>
      </c>
      <c r="AC533" s="86">
        <f>AVERAGEIFS($J$2:J533, $B$2:B533, B533)</f>
        <v>0.48076923076923078</v>
      </c>
      <c r="AD533" s="86">
        <f>AVERAGEIFS($D$2:D533, $B$2:B533, B533)</f>
        <v>0.38461538461538464</v>
      </c>
    </row>
    <row r="534" spans="1:30" x14ac:dyDescent="0.25">
      <c r="A534" s="85">
        <v>46153</v>
      </c>
      <c r="B534" t="s">
        <v>6</v>
      </c>
      <c r="C534">
        <v>15</v>
      </c>
      <c r="D534" s="86">
        <v>1</v>
      </c>
      <c r="E534">
        <v>4</v>
      </c>
      <c r="F534">
        <v>3</v>
      </c>
      <c r="G534">
        <v>15</v>
      </c>
      <c r="H534">
        <v>11</v>
      </c>
      <c r="I534">
        <v>0.75</v>
      </c>
      <c r="J534">
        <v>0.73</v>
      </c>
      <c r="K534">
        <v>0</v>
      </c>
      <c r="L534">
        <v>1</v>
      </c>
      <c r="M534">
        <v>0</v>
      </c>
      <c r="N534">
        <v>1</v>
      </c>
      <c r="O534">
        <v>1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 s="86">
        <f>AVERAGEIFS($C$2:C534, $B$2:B534, B534)</f>
        <v>26.071428571428573</v>
      </c>
      <c r="AB534" s="86">
        <f>AVERAGEIFS($I$2:I534, $B$2:B534, B534)</f>
        <v>0.63571428571428557</v>
      </c>
      <c r="AC534" s="86">
        <f>AVERAGEIFS($J$2:J534, $B$2:B534, B534)</f>
        <v>0.57785714285714285</v>
      </c>
      <c r="AD534" s="86">
        <f>AVERAGEIFS($D$2:D534, $B$2:B534, B534)</f>
        <v>0.6428571428571429</v>
      </c>
    </row>
    <row r="535" spans="1:30" x14ac:dyDescent="0.25">
      <c r="A535" s="85">
        <v>46153</v>
      </c>
      <c r="B535" t="s">
        <v>15</v>
      </c>
      <c r="C535">
        <v>10</v>
      </c>
      <c r="D535" s="86">
        <v>1</v>
      </c>
      <c r="E535">
        <v>4</v>
      </c>
      <c r="F535">
        <v>3</v>
      </c>
      <c r="G535">
        <v>15</v>
      </c>
      <c r="H535">
        <v>11</v>
      </c>
      <c r="I535">
        <v>0.75</v>
      </c>
      <c r="J535">
        <v>0.73</v>
      </c>
      <c r="K535">
        <v>0</v>
      </c>
      <c r="L535">
        <v>1</v>
      </c>
      <c r="M535">
        <v>0</v>
      </c>
      <c r="N535">
        <v>1</v>
      </c>
      <c r="O535">
        <v>1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 s="86">
        <f>AVERAGEIFS($C$2:C535, $B$2:B535, B535)</f>
        <v>20.047619047619047</v>
      </c>
      <c r="AB535" s="86">
        <f>AVERAGEIFS($I$2:I535, $B$2:B535, B535)</f>
        <v>0.47142857142857136</v>
      </c>
      <c r="AC535" s="86">
        <f>AVERAGEIFS($J$2:J535, $B$2:B535, B535)</f>
        <v>0.50285714285714289</v>
      </c>
      <c r="AD535" s="86">
        <f>AVERAGEIFS($D$2:D535, $B$2:B535, B535)</f>
        <v>0.47619047619047616</v>
      </c>
    </row>
    <row r="536" spans="1:30" x14ac:dyDescent="0.25">
      <c r="A536" s="85">
        <v>46153</v>
      </c>
      <c r="B536" t="s">
        <v>140</v>
      </c>
      <c r="C536">
        <v>8</v>
      </c>
      <c r="D536" s="86">
        <v>0</v>
      </c>
      <c r="E536">
        <v>4</v>
      </c>
      <c r="F536">
        <v>1</v>
      </c>
      <c r="G536">
        <v>15</v>
      </c>
      <c r="H536">
        <v>4</v>
      </c>
      <c r="I536">
        <v>0.25</v>
      </c>
      <c r="J536">
        <v>0.27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1</v>
      </c>
      <c r="Y536">
        <v>0</v>
      </c>
      <c r="Z536">
        <v>0</v>
      </c>
      <c r="AA536" s="86">
        <f>AVERAGEIFS($C$2:C536, $B$2:B536, B536)</f>
        <v>8.5</v>
      </c>
      <c r="AB536" s="86">
        <f>AVERAGEIFS($I$2:I536, $B$2:B536, B536)</f>
        <v>0.39500000000000002</v>
      </c>
      <c r="AC536" s="86">
        <f>AVERAGEIFS($J$2:J536, $B$2:B536, B536)</f>
        <v>0.45649999999999996</v>
      </c>
      <c r="AD536" s="86">
        <f>AVERAGEIFS($D$2:D536, $B$2:B536, B536)</f>
        <v>0.35</v>
      </c>
    </row>
    <row r="537" spans="1:30" x14ac:dyDescent="0.25">
      <c r="A537" s="85">
        <v>46153</v>
      </c>
      <c r="B537" t="s">
        <v>152</v>
      </c>
      <c r="C537">
        <v>13</v>
      </c>
      <c r="D537" s="86">
        <v>0</v>
      </c>
      <c r="E537">
        <v>4</v>
      </c>
      <c r="F537">
        <v>1</v>
      </c>
      <c r="G537">
        <v>15</v>
      </c>
      <c r="H537">
        <v>4</v>
      </c>
      <c r="I537">
        <v>0.25</v>
      </c>
      <c r="J537">
        <v>0.27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1</v>
      </c>
      <c r="Y537">
        <v>0</v>
      </c>
      <c r="Z537">
        <v>0</v>
      </c>
      <c r="AA537" s="86">
        <f>AVERAGEIFS($C$2:C537, $B$2:B537, B537)</f>
        <v>14</v>
      </c>
      <c r="AB537" s="86">
        <f>AVERAGEIFS($I$2:I537, $B$2:B537, B537)</f>
        <v>0.25454545454545452</v>
      </c>
      <c r="AC537" s="86">
        <f>AVERAGEIFS($J$2:J537, $B$2:B537, B537)</f>
        <v>0.3572727272727273</v>
      </c>
      <c r="AD537" s="86">
        <f>AVERAGEIFS($D$2:D537, $B$2:B537, B537)</f>
        <v>0.18181818181818182</v>
      </c>
    </row>
    <row r="538" spans="1:30" x14ac:dyDescent="0.25">
      <c r="A538" s="85">
        <v>46153</v>
      </c>
      <c r="B538" t="s">
        <v>46</v>
      </c>
      <c r="C538">
        <v>19</v>
      </c>
      <c r="D538" s="86">
        <v>0</v>
      </c>
      <c r="E538">
        <v>4</v>
      </c>
      <c r="F538">
        <v>1</v>
      </c>
      <c r="G538">
        <v>15</v>
      </c>
      <c r="H538">
        <v>4</v>
      </c>
      <c r="I538">
        <v>0.25</v>
      </c>
      <c r="J538">
        <v>0.27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1</v>
      </c>
      <c r="Y538">
        <v>0</v>
      </c>
      <c r="Z538">
        <v>0</v>
      </c>
      <c r="AA538" s="86">
        <f>AVERAGEIFS($C$2:C538, $B$2:B538, B538)</f>
        <v>19</v>
      </c>
      <c r="AB538" s="86">
        <f>AVERAGEIFS($I$2:I538, $B$2:B538, B538)</f>
        <v>0.25</v>
      </c>
      <c r="AC538" s="86">
        <f>AVERAGEIFS($J$2:J538, $B$2:B538, B538)</f>
        <v>0.27</v>
      </c>
      <c r="AD538" s="86">
        <f>AVERAGEIFS($D$2:D538, $B$2:B538, B538)</f>
        <v>0</v>
      </c>
    </row>
    <row r="539" spans="1:30" x14ac:dyDescent="0.25">
      <c r="A539" s="85">
        <v>46153</v>
      </c>
      <c r="B539" t="s">
        <v>5</v>
      </c>
      <c r="C539">
        <v>11</v>
      </c>
      <c r="D539" s="86">
        <v>0</v>
      </c>
      <c r="E539">
        <v>4</v>
      </c>
      <c r="F539">
        <v>1</v>
      </c>
      <c r="G539">
        <v>15</v>
      </c>
      <c r="H539">
        <v>4</v>
      </c>
      <c r="I539">
        <v>0.25</v>
      </c>
      <c r="J539">
        <v>0.27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1</v>
      </c>
      <c r="Y539">
        <v>0</v>
      </c>
      <c r="Z539">
        <v>0</v>
      </c>
      <c r="AA539" s="86">
        <f>AVERAGEIFS($C$2:C539, $B$2:B539, B539)</f>
        <v>22.75</v>
      </c>
      <c r="AB539" s="86">
        <f>AVERAGEIFS($I$2:I539, $B$2:B539, B539)</f>
        <v>0.46666666666666662</v>
      </c>
      <c r="AC539" s="86">
        <f>AVERAGEIFS($J$2:J539, $B$2:B539, B539)</f>
        <v>0.48249999999999993</v>
      </c>
      <c r="AD539" s="86">
        <f>AVERAGEIFS($D$2:D539, $B$2:B539, B539)</f>
        <v>0.41666666666666669</v>
      </c>
    </row>
    <row r="540" spans="1:30" x14ac:dyDescent="0.25">
      <c r="A540" s="85">
        <v>46153</v>
      </c>
      <c r="B540" t="s">
        <v>137</v>
      </c>
      <c r="C540">
        <v>9</v>
      </c>
      <c r="D540" s="86">
        <v>0</v>
      </c>
      <c r="E540">
        <v>4</v>
      </c>
      <c r="F540">
        <v>1</v>
      </c>
      <c r="G540">
        <v>15</v>
      </c>
      <c r="H540">
        <v>4</v>
      </c>
      <c r="I540">
        <v>0.25</v>
      </c>
      <c r="J540">
        <v>0.27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1</v>
      </c>
      <c r="Y540">
        <v>0</v>
      </c>
      <c r="Z540">
        <v>0</v>
      </c>
      <c r="AA540" s="86">
        <f>AVERAGEIFS($C$2:C540, $B$2:B540, B540)</f>
        <v>9</v>
      </c>
      <c r="AB540" s="86">
        <f>AVERAGEIFS($I$2:I540, $B$2:B540, B540)</f>
        <v>0.32500000000000001</v>
      </c>
      <c r="AC540" s="86">
        <f>AVERAGEIFS($J$2:J540, $B$2:B540, B540)</f>
        <v>0.375</v>
      </c>
      <c r="AD540" s="86">
        <f>AVERAGEIFS($D$2:D540, $B$2:B540, B540)</f>
        <v>0</v>
      </c>
    </row>
    <row r="541" spans="1:30" x14ac:dyDescent="0.25">
      <c r="A541" s="85">
        <v>46153</v>
      </c>
      <c r="B541" t="s">
        <v>29</v>
      </c>
      <c r="C541">
        <v>4</v>
      </c>
      <c r="D541" s="86">
        <v>0</v>
      </c>
      <c r="E541">
        <v>4</v>
      </c>
      <c r="F541">
        <v>1</v>
      </c>
      <c r="G541">
        <v>15</v>
      </c>
      <c r="H541">
        <v>4</v>
      </c>
      <c r="I541">
        <v>0.25</v>
      </c>
      <c r="J541">
        <v>0.27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1</v>
      </c>
      <c r="Y541">
        <v>0</v>
      </c>
      <c r="Z541">
        <v>0</v>
      </c>
      <c r="AA541" s="86">
        <f>AVERAGEIFS($C$2:C541, $B$2:B541, B541)</f>
        <v>11.5</v>
      </c>
      <c r="AB541" s="86">
        <f>AVERAGEIFS($I$2:I541, $B$2:B541, B541)</f>
        <v>0.45384615384615379</v>
      </c>
      <c r="AC541" s="86">
        <f>AVERAGEIFS($J$2:J541, $B$2:B541, B541)</f>
        <v>0.4869230769230769</v>
      </c>
      <c r="AD541" s="86">
        <f>AVERAGEIFS($D$2:D541, $B$2:B541, B541)</f>
        <v>0.38461538461538464</v>
      </c>
    </row>
    <row r="542" spans="1:30" x14ac:dyDescent="0.25">
      <c r="A542" s="85">
        <v>46153</v>
      </c>
      <c r="B542" t="s">
        <v>14</v>
      </c>
      <c r="C542">
        <v>6</v>
      </c>
      <c r="D542" s="86">
        <v>0</v>
      </c>
      <c r="E542">
        <v>4</v>
      </c>
      <c r="F542">
        <v>1</v>
      </c>
      <c r="G542">
        <v>15</v>
      </c>
      <c r="H542">
        <v>4</v>
      </c>
      <c r="I542">
        <v>0.25</v>
      </c>
      <c r="J542">
        <v>0.27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1</v>
      </c>
      <c r="Y542">
        <v>0</v>
      </c>
      <c r="Z542">
        <v>0</v>
      </c>
      <c r="AA542" s="86">
        <f>AVERAGEIFS($C$2:C542, $B$2:B542, B542)</f>
        <v>22</v>
      </c>
      <c r="AB542" s="86">
        <f>AVERAGEIFS($I$2:I542, $B$2:B542, B542)</f>
        <v>0.3775</v>
      </c>
      <c r="AC542" s="86">
        <f>AVERAGEIFS($J$2:J542, $B$2:B542, B542)</f>
        <v>0.43649999999999994</v>
      </c>
      <c r="AD542" s="86">
        <f>AVERAGEIFS($D$2:D542, $B$2:B542, B542)</f>
        <v>0.3</v>
      </c>
    </row>
    <row r="543" spans="1:30" x14ac:dyDescent="0.25">
      <c r="A543" s="85">
        <v>46155</v>
      </c>
      <c r="B543" t="s">
        <v>5</v>
      </c>
      <c r="C543">
        <v>21</v>
      </c>
      <c r="D543" s="86">
        <v>1</v>
      </c>
      <c r="E543">
        <v>4</v>
      </c>
      <c r="F543">
        <v>3</v>
      </c>
      <c r="G543">
        <v>15</v>
      </c>
      <c r="H543">
        <v>9</v>
      </c>
      <c r="I543">
        <v>0.75</v>
      </c>
      <c r="J543">
        <v>0.6</v>
      </c>
      <c r="K543">
        <v>1</v>
      </c>
      <c r="L543">
        <v>0</v>
      </c>
      <c r="M543">
        <v>0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1</v>
      </c>
      <c r="X543">
        <v>1</v>
      </c>
      <c r="Y543">
        <v>0</v>
      </c>
      <c r="Z543">
        <v>0</v>
      </c>
      <c r="AA543" s="86">
        <f>AVERAGEIFS($C$2:C543, $B$2:B543, B543)</f>
        <v>22.615384615384617</v>
      </c>
      <c r="AB543" s="86">
        <f>AVERAGEIFS($I$2:I543, $B$2:B543, B543)</f>
        <v>0.48846153846153845</v>
      </c>
      <c r="AC543" s="86">
        <f>AVERAGEIFS($J$2:J543, $B$2:B543, B543)</f>
        <v>0.49153846153846142</v>
      </c>
      <c r="AD543" s="86">
        <f>AVERAGEIFS($D$2:D543, $B$2:B543, B543)</f>
        <v>0.46153846153846156</v>
      </c>
    </row>
    <row r="544" spans="1:30" x14ac:dyDescent="0.25">
      <c r="A544" s="85">
        <v>46155</v>
      </c>
      <c r="B544" t="s">
        <v>4</v>
      </c>
      <c r="C544">
        <v>21</v>
      </c>
      <c r="D544" s="86">
        <v>1</v>
      </c>
      <c r="E544">
        <v>4</v>
      </c>
      <c r="F544">
        <v>3</v>
      </c>
      <c r="G544">
        <v>15</v>
      </c>
      <c r="H544">
        <v>9</v>
      </c>
      <c r="I544">
        <v>0.75</v>
      </c>
      <c r="J544">
        <v>0.6</v>
      </c>
      <c r="K544">
        <v>1</v>
      </c>
      <c r="L544">
        <v>0</v>
      </c>
      <c r="M544">
        <v>0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1</v>
      </c>
      <c r="X544">
        <v>1</v>
      </c>
      <c r="Y544">
        <v>0</v>
      </c>
      <c r="Z544">
        <v>0</v>
      </c>
      <c r="AA544" s="86">
        <f>AVERAGEIFS($C$2:C544, $B$2:B544, B544)</f>
        <v>22.454545454545453</v>
      </c>
      <c r="AB544" s="86">
        <f>AVERAGEIFS($I$2:I544, $B$2:B544, B544)</f>
        <v>0.47272727272727272</v>
      </c>
      <c r="AC544" s="86">
        <f>AVERAGEIFS($J$2:J544, $B$2:B544, B544)</f>
        <v>0.47545454545454541</v>
      </c>
      <c r="AD544" s="86">
        <f>AVERAGEIFS($D$2:D544, $B$2:B544, B544)</f>
        <v>0.54545454545454541</v>
      </c>
    </row>
    <row r="545" spans="1:30" x14ac:dyDescent="0.25">
      <c r="A545" s="85">
        <v>46155</v>
      </c>
      <c r="B545" t="s">
        <v>42</v>
      </c>
      <c r="C545">
        <v>12</v>
      </c>
      <c r="D545" s="86">
        <v>1</v>
      </c>
      <c r="E545">
        <v>4</v>
      </c>
      <c r="F545">
        <v>3</v>
      </c>
      <c r="G545">
        <v>15</v>
      </c>
      <c r="H545">
        <v>9</v>
      </c>
      <c r="I545">
        <v>0.75</v>
      </c>
      <c r="J545">
        <v>0.6</v>
      </c>
      <c r="K545">
        <v>1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1</v>
      </c>
      <c r="X545">
        <v>1</v>
      </c>
      <c r="Y545">
        <v>0</v>
      </c>
      <c r="Z545">
        <v>0</v>
      </c>
      <c r="AA545" s="86">
        <f>AVERAGEIFS($C$2:C545, $B$2:B545, B545)</f>
        <v>13.25</v>
      </c>
      <c r="AB545" s="86">
        <f>AVERAGEIFS($I$2:I545, $B$2:B545, B545)</f>
        <v>0.28749999999999998</v>
      </c>
      <c r="AC545" s="86">
        <f>AVERAGEIFS($J$2:J545, $B$2:B545, B545)</f>
        <v>0.39249999999999996</v>
      </c>
      <c r="AD545" s="86">
        <f>AVERAGEIFS($D$2:D545, $B$2:B545, B545)</f>
        <v>0.25</v>
      </c>
    </row>
    <row r="546" spans="1:30" x14ac:dyDescent="0.25">
      <c r="A546" s="85">
        <v>46155</v>
      </c>
      <c r="B546" t="s">
        <v>53</v>
      </c>
      <c r="C546">
        <v>12</v>
      </c>
      <c r="D546" s="86">
        <v>1</v>
      </c>
      <c r="E546">
        <v>4</v>
      </c>
      <c r="F546">
        <v>3</v>
      </c>
      <c r="G546">
        <v>15</v>
      </c>
      <c r="H546">
        <v>9</v>
      </c>
      <c r="I546">
        <v>0.75</v>
      </c>
      <c r="J546">
        <v>0.6</v>
      </c>
      <c r="K546">
        <v>1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1</v>
      </c>
      <c r="X546">
        <v>1</v>
      </c>
      <c r="Y546">
        <v>0</v>
      </c>
      <c r="Z546">
        <v>0</v>
      </c>
      <c r="AA546" s="86">
        <f>AVERAGEIFS($C$2:C546, $B$2:B546, B546)</f>
        <v>16.333333333333332</v>
      </c>
      <c r="AB546" s="86">
        <f>AVERAGEIFS($I$2:I546, $B$2:B546, B546)</f>
        <v>0.58333333333333337</v>
      </c>
      <c r="AC546" s="86">
        <f>AVERAGEIFS($J$2:J546, $B$2:B546, B546)</f>
        <v>0.57333333333333336</v>
      </c>
      <c r="AD546" s="86">
        <f>AVERAGEIFS($D$2:D546, $B$2:B546, B546)</f>
        <v>0.66666666666666663</v>
      </c>
    </row>
    <row r="547" spans="1:30" x14ac:dyDescent="0.25">
      <c r="A547" s="85">
        <v>46155</v>
      </c>
      <c r="B547" t="s">
        <v>20</v>
      </c>
      <c r="C547">
        <v>19</v>
      </c>
      <c r="D547" s="86">
        <v>1</v>
      </c>
      <c r="E547">
        <v>4</v>
      </c>
      <c r="F547">
        <v>3</v>
      </c>
      <c r="G547">
        <v>15</v>
      </c>
      <c r="H547">
        <v>9</v>
      </c>
      <c r="I547">
        <v>0.75</v>
      </c>
      <c r="J547">
        <v>0.6</v>
      </c>
      <c r="K547">
        <v>1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1</v>
      </c>
      <c r="X547">
        <v>1</v>
      </c>
      <c r="Y547">
        <v>0</v>
      </c>
      <c r="Z547">
        <v>0</v>
      </c>
      <c r="AA547" s="86">
        <f>AVERAGEIFS($C$2:C547, $B$2:B547, B547)</f>
        <v>15.666666666666666</v>
      </c>
      <c r="AB547" s="86">
        <f>AVERAGEIFS($I$2:I547, $B$2:B547, B547)</f>
        <v>0.52222222222222214</v>
      </c>
      <c r="AC547" s="86">
        <f>AVERAGEIFS($J$2:J547, $B$2:B547, B547)</f>
        <v>0.51888888888888884</v>
      </c>
      <c r="AD547" s="86">
        <f>AVERAGEIFS($D$2:D547, $B$2:B547, B547)</f>
        <v>0.44444444444444442</v>
      </c>
    </row>
    <row r="548" spans="1:30" x14ac:dyDescent="0.25">
      <c r="A548" s="85">
        <v>46155</v>
      </c>
      <c r="B548" t="s">
        <v>137</v>
      </c>
      <c r="C548">
        <v>14</v>
      </c>
      <c r="D548" s="86">
        <v>1</v>
      </c>
      <c r="E548">
        <v>4</v>
      </c>
      <c r="F548">
        <v>3</v>
      </c>
      <c r="G548">
        <v>15</v>
      </c>
      <c r="H548">
        <v>9</v>
      </c>
      <c r="I548">
        <v>0.75</v>
      </c>
      <c r="J548">
        <v>0.6</v>
      </c>
      <c r="K548">
        <v>1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1</v>
      </c>
      <c r="X548">
        <v>1</v>
      </c>
      <c r="Y548">
        <v>0</v>
      </c>
      <c r="Z548">
        <v>0</v>
      </c>
      <c r="AA548" s="86">
        <f>AVERAGEIFS($C$2:C548, $B$2:B548, B548)</f>
        <v>10.666666666666666</v>
      </c>
      <c r="AB548" s="86">
        <f>AVERAGEIFS($I$2:I548, $B$2:B548, B548)</f>
        <v>0.46666666666666662</v>
      </c>
      <c r="AC548" s="86">
        <f>AVERAGEIFS($J$2:J548, $B$2:B548, B548)</f>
        <v>0.45</v>
      </c>
      <c r="AD548" s="86">
        <f>AVERAGEIFS($D$2:D548, $B$2:B548, B548)</f>
        <v>0.33333333333333331</v>
      </c>
    </row>
    <row r="549" spans="1:30" x14ac:dyDescent="0.25">
      <c r="A549" s="85">
        <v>46155</v>
      </c>
      <c r="B549" t="s">
        <v>14</v>
      </c>
      <c r="C549">
        <v>20</v>
      </c>
      <c r="D549" s="86">
        <v>0</v>
      </c>
      <c r="E549">
        <v>4</v>
      </c>
      <c r="F549">
        <v>1</v>
      </c>
      <c r="G549">
        <v>15</v>
      </c>
      <c r="H549">
        <v>6</v>
      </c>
      <c r="I549">
        <v>0.25</v>
      </c>
      <c r="J549">
        <v>0.4</v>
      </c>
      <c r="K549">
        <v>0</v>
      </c>
      <c r="L549">
        <v>1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 s="86">
        <f>AVERAGEIFS($C$2:C549, $B$2:B549, B549)</f>
        <v>21.904761904761905</v>
      </c>
      <c r="AB549" s="86">
        <f>AVERAGEIFS($I$2:I549, $B$2:B549, B549)</f>
        <v>0.37142857142857144</v>
      </c>
      <c r="AC549" s="86">
        <f>AVERAGEIFS($J$2:J549, $B$2:B549, B549)</f>
        <v>0.43476190476190474</v>
      </c>
      <c r="AD549" s="86">
        <f>AVERAGEIFS($D$2:D549, $B$2:B549, B549)</f>
        <v>0.2857142857142857</v>
      </c>
    </row>
    <row r="550" spans="1:30" x14ac:dyDescent="0.25">
      <c r="A550" s="85">
        <v>46155</v>
      </c>
      <c r="B550" t="s">
        <v>15</v>
      </c>
      <c r="C550">
        <v>23</v>
      </c>
      <c r="D550" s="86">
        <v>0</v>
      </c>
      <c r="E550">
        <v>4</v>
      </c>
      <c r="F550">
        <v>1</v>
      </c>
      <c r="G550">
        <v>15</v>
      </c>
      <c r="H550">
        <v>6</v>
      </c>
      <c r="I550">
        <v>0.25</v>
      </c>
      <c r="J550">
        <v>0.4</v>
      </c>
      <c r="K550">
        <v>0</v>
      </c>
      <c r="L550">
        <v>1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0</v>
      </c>
      <c r="Z550">
        <v>0</v>
      </c>
      <c r="AA550" s="86">
        <f>AVERAGEIFS($C$2:C550, $B$2:B550, B550)</f>
        <v>20.181818181818183</v>
      </c>
      <c r="AB550" s="86">
        <f>AVERAGEIFS($I$2:I550, $B$2:B550, B550)</f>
        <v>0.46136363636363631</v>
      </c>
      <c r="AC550" s="86">
        <f>AVERAGEIFS($J$2:J550, $B$2:B550, B550)</f>
        <v>0.49818181818181823</v>
      </c>
      <c r="AD550" s="86">
        <f>AVERAGEIFS($D$2:D550, $B$2:B550, B550)</f>
        <v>0.45454545454545453</v>
      </c>
    </row>
    <row r="551" spans="1:30" x14ac:dyDescent="0.25">
      <c r="A551" s="85">
        <v>46155</v>
      </c>
      <c r="B551" t="s">
        <v>155</v>
      </c>
      <c r="C551">
        <v>17</v>
      </c>
      <c r="D551" s="86">
        <v>0</v>
      </c>
      <c r="E551">
        <v>4</v>
      </c>
      <c r="F551">
        <v>1</v>
      </c>
      <c r="G551">
        <v>15</v>
      </c>
      <c r="H551">
        <v>6</v>
      </c>
      <c r="I551">
        <v>0.25</v>
      </c>
      <c r="J551">
        <v>0.4</v>
      </c>
      <c r="K551">
        <v>0</v>
      </c>
      <c r="L551">
        <v>1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0</v>
      </c>
      <c r="AA551" s="86">
        <f>AVERAGEIFS($C$2:C551, $B$2:B551, B551)</f>
        <v>18.103448275862068</v>
      </c>
      <c r="AB551" s="86">
        <f>AVERAGEIFS($I$2:I551, $B$2:B551, B551)</f>
        <v>0.37413793103448273</v>
      </c>
      <c r="AC551" s="86">
        <f>AVERAGEIFS($J$2:J551, $B$2:B551, B551)</f>
        <v>0.45758620689655183</v>
      </c>
      <c r="AD551" s="86">
        <f>AVERAGEIFS($D$2:D551, $B$2:B551, B551)</f>
        <v>0.31034482758620691</v>
      </c>
    </row>
    <row r="552" spans="1:30" x14ac:dyDescent="0.25">
      <c r="A552" s="85">
        <v>46155</v>
      </c>
      <c r="B552" t="s">
        <v>27</v>
      </c>
      <c r="C552">
        <v>10</v>
      </c>
      <c r="D552" s="86">
        <v>0</v>
      </c>
      <c r="E552">
        <v>4</v>
      </c>
      <c r="F552">
        <v>1</v>
      </c>
      <c r="G552">
        <v>15</v>
      </c>
      <c r="H552">
        <v>6</v>
      </c>
      <c r="I552">
        <v>0.25</v>
      </c>
      <c r="J552">
        <v>0.4</v>
      </c>
      <c r="K552">
        <v>0</v>
      </c>
      <c r="L552">
        <v>1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0</v>
      </c>
      <c r="AA552" s="86">
        <f>AVERAGEIFS($C$2:C552, $B$2:B552, B552)</f>
        <v>16.25</v>
      </c>
      <c r="AB552" s="86">
        <f>AVERAGEIFS($I$2:I552, $B$2:B552, B552)</f>
        <v>0.58333333333333337</v>
      </c>
      <c r="AC552" s="86">
        <f>AVERAGEIFS($J$2:J552, $B$2:B552, B552)</f>
        <v>0.54833333333333345</v>
      </c>
      <c r="AD552" s="86">
        <f>AVERAGEIFS($D$2:D552, $B$2:B552, B552)</f>
        <v>0.66666666666666663</v>
      </c>
    </row>
    <row r="553" spans="1:30" x14ac:dyDescent="0.25">
      <c r="A553" s="85">
        <v>46155</v>
      </c>
      <c r="B553" t="s">
        <v>35</v>
      </c>
      <c r="C553">
        <v>12</v>
      </c>
      <c r="D553" s="86">
        <v>0</v>
      </c>
      <c r="E553">
        <v>4</v>
      </c>
      <c r="F553">
        <v>1</v>
      </c>
      <c r="G553">
        <v>15</v>
      </c>
      <c r="H553">
        <v>6</v>
      </c>
      <c r="I553">
        <v>0.25</v>
      </c>
      <c r="J553">
        <v>0.4</v>
      </c>
      <c r="K553">
        <v>0</v>
      </c>
      <c r="L553">
        <v>1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0</v>
      </c>
      <c r="AA553" s="86">
        <f>AVERAGEIFS($C$2:C553, $B$2:B553, B553)</f>
        <v>12.727272727272727</v>
      </c>
      <c r="AB553" s="86">
        <f>AVERAGEIFS($I$2:I553, $B$2:B553, B553)</f>
        <v>0.5022727272727272</v>
      </c>
      <c r="AC553" s="86">
        <f>AVERAGEIFS($J$2:J553, $B$2:B553, B553)</f>
        <v>0.48590909090909096</v>
      </c>
      <c r="AD553" s="86">
        <f>AVERAGEIFS($D$2:D553, $B$2:B553, B553)</f>
        <v>0.54545454545454541</v>
      </c>
    </row>
    <row r="554" spans="1:30" x14ac:dyDescent="0.25">
      <c r="A554" s="85">
        <v>46155</v>
      </c>
      <c r="B554" t="s">
        <v>19</v>
      </c>
      <c r="C554">
        <v>9</v>
      </c>
      <c r="D554" s="86">
        <v>0</v>
      </c>
      <c r="E554">
        <v>4</v>
      </c>
      <c r="F554">
        <v>1</v>
      </c>
      <c r="G554">
        <v>15</v>
      </c>
      <c r="H554">
        <v>6</v>
      </c>
      <c r="I554">
        <v>0.25</v>
      </c>
      <c r="J554">
        <v>0.4</v>
      </c>
      <c r="K554">
        <v>0</v>
      </c>
      <c r="L554">
        <v>1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0</v>
      </c>
      <c r="AA554" s="86">
        <f>AVERAGEIFS($C$2:C554, $B$2:B554, B554)</f>
        <v>12.125</v>
      </c>
      <c r="AB554" s="86">
        <f>AVERAGEIFS($I$2:I554, $B$2:B554, B554)</f>
        <v>0.6</v>
      </c>
      <c r="AC554" s="86">
        <f>AVERAGEIFS($J$2:J554, $B$2:B554, B554)</f>
        <v>0.53</v>
      </c>
      <c r="AD554" s="86">
        <f>AVERAGEIFS($D$2:D554, $B$2:B554, B554)</f>
        <v>0.5</v>
      </c>
    </row>
    <row r="555" spans="1:30" x14ac:dyDescent="0.25">
      <c r="A555" s="85">
        <v>46159</v>
      </c>
      <c r="B555" t="s">
        <v>15</v>
      </c>
      <c r="C555">
        <v>25</v>
      </c>
      <c r="D555" s="86">
        <v>1</v>
      </c>
      <c r="E555">
        <v>3</v>
      </c>
      <c r="F555">
        <v>3</v>
      </c>
      <c r="G555">
        <v>14</v>
      </c>
      <c r="H555">
        <v>9</v>
      </c>
      <c r="I555">
        <v>1</v>
      </c>
      <c r="J555">
        <v>0.64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1</v>
      </c>
      <c r="X555">
        <v>1</v>
      </c>
      <c r="Y555">
        <v>0</v>
      </c>
      <c r="Z555">
        <v>1</v>
      </c>
      <c r="AA555" s="86">
        <f>AVERAGEIFS($C$2:C555, $B$2:B555, B555)</f>
        <v>20.391304347826086</v>
      </c>
      <c r="AB555" s="86">
        <f>AVERAGEIFS($I$2:I555, $B$2:B555, B555)</f>
        <v>0.4847826086956521</v>
      </c>
      <c r="AC555" s="86">
        <f>AVERAGEIFS($J$2:J555, $B$2:B555, B555)</f>
        <v>0.50434782608695661</v>
      </c>
      <c r="AD555" s="86">
        <f>AVERAGEIFS($D$2:D555, $B$2:B555, B555)</f>
        <v>0.47826086956521741</v>
      </c>
    </row>
    <row r="556" spans="1:30" x14ac:dyDescent="0.25">
      <c r="A556" s="85">
        <v>46159</v>
      </c>
      <c r="B556" t="s">
        <v>19</v>
      </c>
      <c r="C556">
        <v>20</v>
      </c>
      <c r="D556" s="86">
        <v>1</v>
      </c>
      <c r="E556">
        <v>3</v>
      </c>
      <c r="F556">
        <v>3</v>
      </c>
      <c r="G556">
        <v>14</v>
      </c>
      <c r="H556">
        <v>9</v>
      </c>
      <c r="I556">
        <v>1</v>
      </c>
      <c r="J556">
        <v>0.64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1</v>
      </c>
      <c r="X556">
        <v>1</v>
      </c>
      <c r="Y556">
        <v>0</v>
      </c>
      <c r="Z556">
        <v>1</v>
      </c>
      <c r="AA556" s="86">
        <f>AVERAGEIFS($C$2:C556, $B$2:B556, B556)</f>
        <v>13</v>
      </c>
      <c r="AB556" s="86">
        <f>AVERAGEIFS($I$2:I556, $B$2:B556, B556)</f>
        <v>0.64444444444444438</v>
      </c>
      <c r="AC556" s="86">
        <f>AVERAGEIFS($J$2:J556, $B$2:B556, B556)</f>
        <v>0.54222222222222216</v>
      </c>
      <c r="AD556" s="86">
        <f>AVERAGEIFS($D$2:D556, $B$2:B556, B556)</f>
        <v>0.55555555555555558</v>
      </c>
    </row>
    <row r="557" spans="1:30" x14ac:dyDescent="0.25">
      <c r="A557" s="85">
        <v>46159</v>
      </c>
      <c r="B557" t="s">
        <v>14</v>
      </c>
      <c r="C557">
        <v>19</v>
      </c>
      <c r="D557" s="86">
        <v>1</v>
      </c>
      <c r="E557">
        <v>3</v>
      </c>
      <c r="F557">
        <v>3</v>
      </c>
      <c r="G557">
        <v>14</v>
      </c>
      <c r="H557">
        <v>9</v>
      </c>
      <c r="I557">
        <v>1</v>
      </c>
      <c r="J557">
        <v>0.64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1</v>
      </c>
      <c r="X557">
        <v>1</v>
      </c>
      <c r="Y557">
        <v>0</v>
      </c>
      <c r="Z557">
        <v>1</v>
      </c>
      <c r="AA557" s="86">
        <f>AVERAGEIFS($C$2:C557, $B$2:B557, B557)</f>
        <v>21.772727272727273</v>
      </c>
      <c r="AB557" s="86">
        <f>AVERAGEIFS($I$2:I557, $B$2:B557, B557)</f>
        <v>0.4</v>
      </c>
      <c r="AC557" s="86">
        <f>AVERAGEIFS($J$2:J557, $B$2:B557, B557)</f>
        <v>0.44409090909090909</v>
      </c>
      <c r="AD557" s="86">
        <f>AVERAGEIFS($D$2:D557, $B$2:B557, B557)</f>
        <v>0.31818181818181818</v>
      </c>
    </row>
    <row r="558" spans="1:30" x14ac:dyDescent="0.25">
      <c r="A558" s="85">
        <v>46159</v>
      </c>
      <c r="B558" t="s">
        <v>35</v>
      </c>
      <c r="C558">
        <v>16</v>
      </c>
      <c r="D558" s="86">
        <v>1</v>
      </c>
      <c r="E558">
        <v>3</v>
      </c>
      <c r="F558">
        <v>3</v>
      </c>
      <c r="G558">
        <v>14</v>
      </c>
      <c r="H558">
        <v>9</v>
      </c>
      <c r="I558">
        <v>1</v>
      </c>
      <c r="J558">
        <v>0.64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1</v>
      </c>
      <c r="X558">
        <v>1</v>
      </c>
      <c r="Y558">
        <v>0</v>
      </c>
      <c r="Z558">
        <v>1</v>
      </c>
      <c r="AA558" s="86">
        <f>AVERAGEIFS($C$2:C558, $B$2:B558, B558)</f>
        <v>12.869565217391305</v>
      </c>
      <c r="AB558" s="86">
        <f>AVERAGEIFS($I$2:I558, $B$2:B558, B558)</f>
        <v>0.52391304347826084</v>
      </c>
      <c r="AC558" s="86">
        <f>AVERAGEIFS($J$2:J558, $B$2:B558, B558)</f>
        <v>0.49260869565217397</v>
      </c>
      <c r="AD558" s="86">
        <f>AVERAGEIFS($D$2:D558, $B$2:B558, B558)</f>
        <v>0.56521739130434778</v>
      </c>
    </row>
    <row r="559" spans="1:30" x14ac:dyDescent="0.25">
      <c r="A559" s="85">
        <v>46159</v>
      </c>
      <c r="B559" t="s">
        <v>25</v>
      </c>
      <c r="C559">
        <v>15</v>
      </c>
      <c r="D559" s="86">
        <v>1</v>
      </c>
      <c r="E559">
        <v>3</v>
      </c>
      <c r="F559">
        <v>3</v>
      </c>
      <c r="G559">
        <v>14</v>
      </c>
      <c r="H559">
        <v>9</v>
      </c>
      <c r="I559">
        <v>1</v>
      </c>
      <c r="J559">
        <v>0.64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1</v>
      </c>
      <c r="X559">
        <v>1</v>
      </c>
      <c r="Y559">
        <v>0</v>
      </c>
      <c r="Z559">
        <v>1</v>
      </c>
      <c r="AA559" s="86">
        <f>AVERAGEIFS($C$2:C559, $B$2:B559, B559)</f>
        <v>20.529411764705884</v>
      </c>
      <c r="AB559" s="86">
        <f>AVERAGEIFS($I$2:I559, $B$2:B559, B559)</f>
        <v>0.53529411764705881</v>
      </c>
      <c r="AC559" s="86">
        <f>AVERAGEIFS($J$2:J559, $B$2:B559, B559)</f>
        <v>0.50058823529411767</v>
      </c>
      <c r="AD559" s="86">
        <f>AVERAGEIFS($D$2:D559, $B$2:B559, B559)</f>
        <v>0.58823529411764708</v>
      </c>
    </row>
    <row r="560" spans="1:30" x14ac:dyDescent="0.25">
      <c r="A560" s="85">
        <v>46159</v>
      </c>
      <c r="B560" t="s">
        <v>26</v>
      </c>
      <c r="C560">
        <v>13</v>
      </c>
      <c r="D560" s="86">
        <v>1</v>
      </c>
      <c r="E560">
        <v>3</v>
      </c>
      <c r="F560">
        <v>3</v>
      </c>
      <c r="G560">
        <v>14</v>
      </c>
      <c r="H560">
        <v>9</v>
      </c>
      <c r="I560">
        <v>1</v>
      </c>
      <c r="J560">
        <v>0.64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1</v>
      </c>
      <c r="X560">
        <v>1</v>
      </c>
      <c r="Y560">
        <v>0</v>
      </c>
      <c r="Z560">
        <v>1</v>
      </c>
      <c r="AA560" s="86">
        <f>AVERAGEIFS($C$2:C560, $B$2:B560, B560)</f>
        <v>15.625</v>
      </c>
      <c r="AB560" s="86">
        <f>AVERAGEIFS($I$2:I560, $B$2:B560, B560)</f>
        <v>0.57187500000000002</v>
      </c>
      <c r="AC560" s="86">
        <f>AVERAGEIFS($J$2:J560, $B$2:B560, B560)</f>
        <v>0.49937500000000001</v>
      </c>
      <c r="AD560" s="86">
        <f>AVERAGEIFS($D$2:D560, $B$2:B560, B560)</f>
        <v>0.5625</v>
      </c>
    </row>
    <row r="561" spans="1:30" x14ac:dyDescent="0.25">
      <c r="A561" s="85">
        <v>46159</v>
      </c>
      <c r="B561" t="s">
        <v>148</v>
      </c>
      <c r="C561">
        <v>5</v>
      </c>
      <c r="D561" s="86">
        <v>1</v>
      </c>
      <c r="E561">
        <v>3</v>
      </c>
      <c r="F561">
        <v>3</v>
      </c>
      <c r="G561">
        <v>14</v>
      </c>
      <c r="H561">
        <v>9</v>
      </c>
      <c r="I561">
        <v>1</v>
      </c>
      <c r="J561">
        <v>0.64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1</v>
      </c>
      <c r="X561">
        <v>1</v>
      </c>
      <c r="Y561">
        <v>0</v>
      </c>
      <c r="Z561">
        <v>1</v>
      </c>
      <c r="AA561" s="86">
        <f>AVERAGEIFS($C$2:C561, $B$2:B561, B561)</f>
        <v>12.516129032258064</v>
      </c>
      <c r="AB561" s="86">
        <f>AVERAGEIFS($I$2:I561, $B$2:B561, B561)</f>
        <v>0.56451612903225812</v>
      </c>
      <c r="AC561" s="86">
        <f>AVERAGEIFS($J$2:J561, $B$2:B561, B561)</f>
        <v>0.53</v>
      </c>
      <c r="AD561" s="86">
        <f>AVERAGEIFS($D$2:D561, $B$2:B561, B561)</f>
        <v>0.61290322580645162</v>
      </c>
    </row>
    <row r="562" spans="1:30" x14ac:dyDescent="0.25">
      <c r="A562" s="85">
        <v>46159</v>
      </c>
      <c r="B562" t="s">
        <v>214</v>
      </c>
      <c r="C562">
        <v>3</v>
      </c>
      <c r="D562" s="86">
        <v>1</v>
      </c>
      <c r="E562">
        <v>3</v>
      </c>
      <c r="F562">
        <v>3</v>
      </c>
      <c r="G562">
        <v>14</v>
      </c>
      <c r="H562">
        <v>9</v>
      </c>
      <c r="I562">
        <v>1</v>
      </c>
      <c r="J562">
        <v>0.64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1</v>
      </c>
      <c r="X562">
        <v>1</v>
      </c>
      <c r="Y562">
        <v>0</v>
      </c>
      <c r="Z562">
        <v>1</v>
      </c>
      <c r="AA562" s="86">
        <f>AVERAGEIFS($C$2:C562, $B$2:B562, B562)</f>
        <v>7</v>
      </c>
      <c r="AB562" s="86">
        <f>AVERAGEIFS($I$2:I562, $B$2:B562, B562)</f>
        <v>1</v>
      </c>
      <c r="AC562" s="86">
        <f>AVERAGEIFS($J$2:J562, $B$2:B562, B562)</f>
        <v>0.67500000000000004</v>
      </c>
      <c r="AD562" s="86">
        <f>AVERAGEIFS($D$2:D562, $B$2:B562, B562)</f>
        <v>1</v>
      </c>
    </row>
    <row r="563" spans="1:30" x14ac:dyDescent="0.25">
      <c r="A563" s="85">
        <v>46159</v>
      </c>
      <c r="B563" t="s">
        <v>18</v>
      </c>
      <c r="C563">
        <v>25</v>
      </c>
      <c r="D563" s="86">
        <v>0</v>
      </c>
      <c r="E563">
        <v>3</v>
      </c>
      <c r="F563">
        <v>0</v>
      </c>
      <c r="G563">
        <v>14</v>
      </c>
      <c r="H563">
        <v>5</v>
      </c>
      <c r="I563">
        <v>0</v>
      </c>
      <c r="J563">
        <v>0.36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 s="86">
        <f>AVERAGEIFS($C$2:C563, $B$2:B563, B563)</f>
        <v>28.611111111111111</v>
      </c>
      <c r="AB563" s="86">
        <f>AVERAGEIFS($I$2:I563, $B$2:B563, B563)</f>
        <v>0.51388888888888884</v>
      </c>
      <c r="AC563" s="86">
        <f>AVERAGEIFS($J$2:J563, $B$2:B563, B563)</f>
        <v>0.51666666666666672</v>
      </c>
      <c r="AD563" s="86">
        <f>AVERAGEIFS($D$2:D563, $B$2:B563, B563)</f>
        <v>0.55555555555555558</v>
      </c>
    </row>
    <row r="564" spans="1:30" x14ac:dyDescent="0.25">
      <c r="A564" s="85">
        <v>46159</v>
      </c>
      <c r="B564" t="s">
        <v>13</v>
      </c>
      <c r="C564">
        <v>21</v>
      </c>
      <c r="D564" s="86">
        <v>0</v>
      </c>
      <c r="E564">
        <v>3</v>
      </c>
      <c r="F564">
        <v>0</v>
      </c>
      <c r="G564">
        <v>14</v>
      </c>
      <c r="H564">
        <v>5</v>
      </c>
      <c r="I564">
        <v>0</v>
      </c>
      <c r="J564">
        <v>0.36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 s="86">
        <f>AVERAGEIFS($C$2:C564, $B$2:B564, B564)</f>
        <v>24.228571428571428</v>
      </c>
      <c r="AB564" s="86">
        <f>AVERAGEIFS($I$2:I564, $B$2:B564, B564)</f>
        <v>0.6</v>
      </c>
      <c r="AC564" s="86">
        <f>AVERAGEIFS($J$2:J564, $B$2:B564, B564)</f>
        <v>0.56114285714285705</v>
      </c>
      <c r="AD564" s="86">
        <f>AVERAGEIFS($D$2:D564, $B$2:B564, B564)</f>
        <v>0.62857142857142856</v>
      </c>
    </row>
    <row r="565" spans="1:30" x14ac:dyDescent="0.25">
      <c r="A565" s="85">
        <v>46159</v>
      </c>
      <c r="B565" t="s">
        <v>5</v>
      </c>
      <c r="C565">
        <v>20</v>
      </c>
      <c r="D565" s="86">
        <v>0</v>
      </c>
      <c r="E565">
        <v>3</v>
      </c>
      <c r="F565">
        <v>0</v>
      </c>
      <c r="G565">
        <v>14</v>
      </c>
      <c r="H565">
        <v>5</v>
      </c>
      <c r="I565">
        <v>0</v>
      </c>
      <c r="J565">
        <v>0.36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 s="86">
        <f>AVERAGEIFS($C$2:C565, $B$2:B565, B565)</f>
        <v>22.428571428571427</v>
      </c>
      <c r="AB565" s="86">
        <f>AVERAGEIFS($I$2:I565, $B$2:B565, B565)</f>
        <v>0.45357142857142857</v>
      </c>
      <c r="AC565" s="86">
        <f>AVERAGEIFS($J$2:J565, $B$2:B565, B565)</f>
        <v>0.4821428571428571</v>
      </c>
      <c r="AD565" s="86">
        <f>AVERAGEIFS($D$2:D565, $B$2:B565, B565)</f>
        <v>0.42857142857142855</v>
      </c>
    </row>
    <row r="566" spans="1:30" x14ac:dyDescent="0.25">
      <c r="A566" s="85">
        <v>46159</v>
      </c>
      <c r="B566" t="s">
        <v>139</v>
      </c>
      <c r="C566">
        <v>13</v>
      </c>
      <c r="D566" s="86">
        <v>0</v>
      </c>
      <c r="E566">
        <v>3</v>
      </c>
      <c r="F566">
        <v>0</v>
      </c>
      <c r="G566">
        <v>14</v>
      </c>
      <c r="H566">
        <v>5</v>
      </c>
      <c r="I566">
        <v>0</v>
      </c>
      <c r="J566">
        <v>0.36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 s="86">
        <f>AVERAGEIFS($C$2:C566, $B$2:B566, B566)</f>
        <v>10.588235294117647</v>
      </c>
      <c r="AB566" s="86">
        <f>AVERAGEIFS($I$2:I566, $B$2:B566, B566)</f>
        <v>0.38529411764705879</v>
      </c>
      <c r="AC566" s="86">
        <f>AVERAGEIFS($J$2:J566, $B$2:B566, B566)</f>
        <v>0.47647058823529409</v>
      </c>
      <c r="AD566" s="86">
        <f>AVERAGEIFS($D$2:D566, $B$2:B566, B566)</f>
        <v>0.47058823529411764</v>
      </c>
    </row>
    <row r="567" spans="1:30" x14ac:dyDescent="0.25">
      <c r="A567" s="85">
        <v>46159</v>
      </c>
      <c r="B567" t="s">
        <v>38</v>
      </c>
      <c r="C567">
        <v>10</v>
      </c>
      <c r="D567" s="86">
        <v>0</v>
      </c>
      <c r="E567">
        <v>3</v>
      </c>
      <c r="F567">
        <v>0</v>
      </c>
      <c r="G567">
        <v>14</v>
      </c>
      <c r="H567">
        <v>5</v>
      </c>
      <c r="I567">
        <v>0</v>
      </c>
      <c r="J567">
        <v>0.36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 s="86">
        <f>AVERAGEIFS($C$2:C567, $B$2:B567, B567)</f>
        <v>10.6</v>
      </c>
      <c r="AB567" s="86">
        <f>AVERAGEIFS($I$2:I567, $B$2:B567, B567)</f>
        <v>0.43499999999999994</v>
      </c>
      <c r="AC567" s="86">
        <f>AVERAGEIFS($J$2:J567, $B$2:B567, B567)</f>
        <v>0.47799999999999992</v>
      </c>
      <c r="AD567" s="86">
        <f>AVERAGEIFS($D$2:D567, $B$2:B567, B567)</f>
        <v>0.5</v>
      </c>
    </row>
    <row r="568" spans="1:30" x14ac:dyDescent="0.25">
      <c r="A568" s="85">
        <v>46159</v>
      </c>
      <c r="B568" t="s">
        <v>29</v>
      </c>
      <c r="C568">
        <v>7</v>
      </c>
      <c r="D568" s="86">
        <v>0</v>
      </c>
      <c r="E568">
        <v>3</v>
      </c>
      <c r="F568">
        <v>0</v>
      </c>
      <c r="G568">
        <v>14</v>
      </c>
      <c r="H568">
        <v>5</v>
      </c>
      <c r="I568">
        <v>0</v>
      </c>
      <c r="J568">
        <v>0.36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 s="86">
        <f>AVERAGEIFS($C$2:C568, $B$2:B568, B568)</f>
        <v>11.333333333333334</v>
      </c>
      <c r="AB568" s="86">
        <f>AVERAGEIFS($I$2:I568, $B$2:B568, B568)</f>
        <v>0.437037037037037</v>
      </c>
      <c r="AC568" s="86">
        <f>AVERAGEIFS($J$2:J568, $B$2:B568, B568)</f>
        <v>0.48222222222222222</v>
      </c>
      <c r="AD568" s="86">
        <f>AVERAGEIFS($D$2:D568, $B$2:B568, B568)</f>
        <v>0.37037037037037035</v>
      </c>
    </row>
    <row r="569" spans="1:30" x14ac:dyDescent="0.25">
      <c r="A569" s="85">
        <v>46159</v>
      </c>
      <c r="B569" t="s">
        <v>140</v>
      </c>
      <c r="C569">
        <v>4</v>
      </c>
      <c r="D569" s="86">
        <v>0</v>
      </c>
      <c r="E569">
        <v>3</v>
      </c>
      <c r="F569">
        <v>0</v>
      </c>
      <c r="G569">
        <v>14</v>
      </c>
      <c r="H569">
        <v>5</v>
      </c>
      <c r="I569">
        <v>0</v>
      </c>
      <c r="J569">
        <v>0.36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 s="86">
        <f>AVERAGEIFS($C$2:C569, $B$2:B569, B569)</f>
        <v>8.2857142857142865</v>
      </c>
      <c r="AB569" s="86">
        <f>AVERAGEIFS($I$2:I569, $B$2:B569, B569)</f>
        <v>0.37619047619047619</v>
      </c>
      <c r="AC569" s="86">
        <f>AVERAGEIFS($J$2:J569, $B$2:B569, B569)</f>
        <v>0.45190476190476181</v>
      </c>
      <c r="AD569" s="86">
        <f>AVERAGEIFS($D$2:D569, $B$2:B569, B569)</f>
        <v>0.33333333333333331</v>
      </c>
    </row>
    <row r="570" spans="1:30" x14ac:dyDescent="0.25">
      <c r="A570" s="85">
        <v>46159</v>
      </c>
      <c r="B570" t="s">
        <v>154</v>
      </c>
      <c r="C570">
        <v>3</v>
      </c>
      <c r="D570" s="86">
        <v>0</v>
      </c>
      <c r="E570">
        <v>3</v>
      </c>
      <c r="F570">
        <v>0</v>
      </c>
      <c r="G570">
        <v>14</v>
      </c>
      <c r="H570">
        <v>5</v>
      </c>
      <c r="I570">
        <v>0</v>
      </c>
      <c r="J570">
        <v>0.36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 s="86">
        <f>AVERAGEIFS($C$2:C570, $B$2:B570, B570)</f>
        <v>12.181818181818182</v>
      </c>
      <c r="AB570" s="86">
        <f>AVERAGEIFS($I$2:I570, $B$2:B570, B570)</f>
        <v>0.48636363636363633</v>
      </c>
      <c r="AC570" s="86">
        <f>AVERAGEIFS($J$2:J570, $B$2:B570, B570)</f>
        <v>0.51636363636363647</v>
      </c>
      <c r="AD570" s="86">
        <f>AVERAGEIFS($D$2:D570, $B$2:B570, B570)</f>
        <v>0.54545454545454541</v>
      </c>
    </row>
    <row r="571" spans="1:30" x14ac:dyDescent="0.25">
      <c r="A571" s="85">
        <v>46159</v>
      </c>
      <c r="B571" t="s">
        <v>15</v>
      </c>
      <c r="C571">
        <v>25</v>
      </c>
      <c r="D571" s="86">
        <v>1</v>
      </c>
      <c r="E571">
        <v>5</v>
      </c>
      <c r="F571">
        <v>3</v>
      </c>
      <c r="G571">
        <v>19</v>
      </c>
      <c r="H571">
        <v>10</v>
      </c>
      <c r="I571">
        <v>0.6</v>
      </c>
      <c r="J571">
        <v>0.53</v>
      </c>
      <c r="K571">
        <v>0</v>
      </c>
      <c r="L571">
        <v>0</v>
      </c>
      <c r="M571">
        <v>0</v>
      </c>
      <c r="N571">
        <v>1</v>
      </c>
      <c r="O571">
        <v>0</v>
      </c>
      <c r="P571">
        <v>1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1</v>
      </c>
      <c r="Z571">
        <v>0</v>
      </c>
      <c r="AA571" s="86">
        <f>AVERAGEIFS($C$2:C571, $B$2:B571, B571)</f>
        <v>20.583333333333332</v>
      </c>
      <c r="AB571" s="86">
        <f>AVERAGEIFS($I$2:I571, $B$2:B571, B571)</f>
        <v>0.48958333333333326</v>
      </c>
      <c r="AC571" s="86">
        <f>AVERAGEIFS($J$2:J571, $B$2:B571, B571)</f>
        <v>0.50541666666666674</v>
      </c>
      <c r="AD571" s="86">
        <f>AVERAGEIFS($D$2:D571, $B$2:B571, B571)</f>
        <v>0.5</v>
      </c>
    </row>
    <row r="572" spans="1:30" x14ac:dyDescent="0.25">
      <c r="A572" s="85">
        <v>46159</v>
      </c>
      <c r="B572" t="s">
        <v>25</v>
      </c>
      <c r="C572">
        <v>24</v>
      </c>
      <c r="D572" s="86">
        <v>1</v>
      </c>
      <c r="E572">
        <v>5</v>
      </c>
      <c r="F572">
        <v>3</v>
      </c>
      <c r="G572">
        <v>19</v>
      </c>
      <c r="H572">
        <v>10</v>
      </c>
      <c r="I572">
        <v>0.6</v>
      </c>
      <c r="J572">
        <v>0.53</v>
      </c>
      <c r="K572">
        <v>0</v>
      </c>
      <c r="L572">
        <v>0</v>
      </c>
      <c r="M572">
        <v>0</v>
      </c>
      <c r="N572">
        <v>1</v>
      </c>
      <c r="O572">
        <v>0</v>
      </c>
      <c r="P572">
        <v>1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1</v>
      </c>
      <c r="Z572">
        <v>0</v>
      </c>
      <c r="AA572" s="86">
        <f>AVERAGEIFS($C$2:C572, $B$2:B572, B572)</f>
        <v>20.722222222222221</v>
      </c>
      <c r="AB572" s="86">
        <f>AVERAGEIFS($I$2:I572, $B$2:B572, B572)</f>
        <v>0.53888888888888886</v>
      </c>
      <c r="AC572" s="86">
        <f>AVERAGEIFS($J$2:J572, $B$2:B572, B572)</f>
        <v>0.50222222222222213</v>
      </c>
      <c r="AD572" s="86">
        <f>AVERAGEIFS($D$2:D572, $B$2:B572, B572)</f>
        <v>0.61111111111111116</v>
      </c>
    </row>
    <row r="573" spans="1:30" x14ac:dyDescent="0.25">
      <c r="A573" s="85">
        <v>46159</v>
      </c>
      <c r="B573" t="s">
        <v>35</v>
      </c>
      <c r="C573">
        <v>17</v>
      </c>
      <c r="D573" s="86">
        <v>1</v>
      </c>
      <c r="E573">
        <v>5</v>
      </c>
      <c r="F573">
        <v>3</v>
      </c>
      <c r="G573">
        <v>19</v>
      </c>
      <c r="H573">
        <v>10</v>
      </c>
      <c r="I573">
        <v>0.6</v>
      </c>
      <c r="J573">
        <v>0.53</v>
      </c>
      <c r="K573">
        <v>0</v>
      </c>
      <c r="L573">
        <v>0</v>
      </c>
      <c r="M573">
        <v>0</v>
      </c>
      <c r="N573">
        <v>1</v>
      </c>
      <c r="O573">
        <v>0</v>
      </c>
      <c r="P573">
        <v>1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1</v>
      </c>
      <c r="Z573">
        <v>0</v>
      </c>
      <c r="AA573" s="86">
        <f>AVERAGEIFS($C$2:C573, $B$2:B573, B573)</f>
        <v>13.041666666666666</v>
      </c>
      <c r="AB573" s="86">
        <f>AVERAGEIFS($I$2:I573, $B$2:B573, B573)</f>
        <v>0.52708333333333324</v>
      </c>
      <c r="AC573" s="86">
        <f>AVERAGEIFS($J$2:J573, $B$2:B573, B573)</f>
        <v>0.4941666666666667</v>
      </c>
      <c r="AD573" s="86">
        <f>AVERAGEIFS($D$2:D573, $B$2:B573, B573)</f>
        <v>0.58333333333333337</v>
      </c>
    </row>
    <row r="574" spans="1:30" x14ac:dyDescent="0.25">
      <c r="A574" s="85">
        <v>46159</v>
      </c>
      <c r="B574" t="s">
        <v>19</v>
      </c>
      <c r="C574">
        <v>14</v>
      </c>
      <c r="D574" s="86">
        <v>1</v>
      </c>
      <c r="E574">
        <v>5</v>
      </c>
      <c r="F574">
        <v>3</v>
      </c>
      <c r="G574">
        <v>19</v>
      </c>
      <c r="H574">
        <v>10</v>
      </c>
      <c r="I574">
        <v>0.6</v>
      </c>
      <c r="J574">
        <v>0.53</v>
      </c>
      <c r="K574">
        <v>0</v>
      </c>
      <c r="L574">
        <v>0</v>
      </c>
      <c r="M574">
        <v>0</v>
      </c>
      <c r="N574">
        <v>1</v>
      </c>
      <c r="O574">
        <v>0</v>
      </c>
      <c r="P574">
        <v>1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1</v>
      </c>
      <c r="Z574">
        <v>0</v>
      </c>
      <c r="AA574" s="86">
        <f>AVERAGEIFS($C$2:C574, $B$2:B574, B574)</f>
        <v>13.1</v>
      </c>
      <c r="AB574" s="86">
        <f>AVERAGEIFS($I$2:I574, $B$2:B574, B574)</f>
        <v>0.6399999999999999</v>
      </c>
      <c r="AC574" s="86">
        <f>AVERAGEIFS($J$2:J574, $B$2:B574, B574)</f>
        <v>0.54100000000000004</v>
      </c>
      <c r="AD574" s="86">
        <f>AVERAGEIFS($D$2:D574, $B$2:B574, B574)</f>
        <v>0.6</v>
      </c>
    </row>
    <row r="575" spans="1:30" x14ac:dyDescent="0.25">
      <c r="A575" s="85">
        <v>46159</v>
      </c>
      <c r="B575" t="s">
        <v>26</v>
      </c>
      <c r="C575">
        <v>8</v>
      </c>
      <c r="D575" s="86">
        <v>1</v>
      </c>
      <c r="E575">
        <v>5</v>
      </c>
      <c r="F575">
        <v>3</v>
      </c>
      <c r="G575">
        <v>19</v>
      </c>
      <c r="H575">
        <v>10</v>
      </c>
      <c r="I575">
        <v>0.6</v>
      </c>
      <c r="J575">
        <v>0.53</v>
      </c>
      <c r="K575">
        <v>0</v>
      </c>
      <c r="L575">
        <v>0</v>
      </c>
      <c r="M575">
        <v>0</v>
      </c>
      <c r="N575">
        <v>1</v>
      </c>
      <c r="O575">
        <v>0</v>
      </c>
      <c r="P575">
        <v>1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1</v>
      </c>
      <c r="Z575">
        <v>0</v>
      </c>
      <c r="AA575" s="86">
        <f>AVERAGEIFS($C$2:C575, $B$2:B575, B575)</f>
        <v>15.176470588235293</v>
      </c>
      <c r="AB575" s="86">
        <f>AVERAGEIFS($I$2:I575, $B$2:B575, B575)</f>
        <v>0.57352941176470584</v>
      </c>
      <c r="AC575" s="86">
        <f>AVERAGEIFS($J$2:J575, $B$2:B575, B575)</f>
        <v>0.50117647058823522</v>
      </c>
      <c r="AD575" s="86">
        <f>AVERAGEIFS($D$2:D575, $B$2:B575, B575)</f>
        <v>0.58823529411764708</v>
      </c>
    </row>
    <row r="576" spans="1:30" x14ac:dyDescent="0.25">
      <c r="A576" s="85">
        <v>46159</v>
      </c>
      <c r="B576" t="s">
        <v>71</v>
      </c>
      <c r="C576">
        <v>8</v>
      </c>
      <c r="D576" s="86">
        <v>1</v>
      </c>
      <c r="E576">
        <v>5</v>
      </c>
      <c r="F576">
        <v>3</v>
      </c>
      <c r="G576">
        <v>19</v>
      </c>
      <c r="H576">
        <v>10</v>
      </c>
      <c r="I576">
        <v>0.6</v>
      </c>
      <c r="J576">
        <v>0.53</v>
      </c>
      <c r="K576">
        <v>0</v>
      </c>
      <c r="L576">
        <v>0</v>
      </c>
      <c r="M576">
        <v>0</v>
      </c>
      <c r="N576">
        <v>1</v>
      </c>
      <c r="O576">
        <v>0</v>
      </c>
      <c r="P576">
        <v>1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1</v>
      </c>
      <c r="Z576">
        <v>0</v>
      </c>
      <c r="AA576" s="86">
        <f>AVERAGEIFS($C$2:C576, $B$2:B576, B576)</f>
        <v>8</v>
      </c>
      <c r="AB576" s="86">
        <f>AVERAGEIFS($I$2:I576, $B$2:B576, B576)</f>
        <v>0.6</v>
      </c>
      <c r="AC576" s="86">
        <f>AVERAGEIFS($J$2:J576, $B$2:B576, B576)</f>
        <v>0.53</v>
      </c>
      <c r="AD576" s="86">
        <f>AVERAGEIFS($D$2:D576, $B$2:B576, B576)</f>
        <v>1</v>
      </c>
    </row>
    <row r="577" spans="1:30" x14ac:dyDescent="0.25">
      <c r="A577" s="85">
        <v>46159</v>
      </c>
      <c r="B577" t="s">
        <v>14</v>
      </c>
      <c r="C577">
        <v>6</v>
      </c>
      <c r="D577" s="86">
        <v>1</v>
      </c>
      <c r="E577">
        <v>5</v>
      </c>
      <c r="F577">
        <v>3</v>
      </c>
      <c r="G577">
        <v>19</v>
      </c>
      <c r="H577">
        <v>10</v>
      </c>
      <c r="I577">
        <v>0.6</v>
      </c>
      <c r="J577">
        <v>0.53</v>
      </c>
      <c r="K577">
        <v>0</v>
      </c>
      <c r="L577">
        <v>0</v>
      </c>
      <c r="M577">
        <v>0</v>
      </c>
      <c r="N577">
        <v>1</v>
      </c>
      <c r="O577">
        <v>0</v>
      </c>
      <c r="P577">
        <v>1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1</v>
      </c>
      <c r="Z577">
        <v>0</v>
      </c>
      <c r="AA577" s="86">
        <f>AVERAGEIFS($C$2:C577, $B$2:B577, B577)</f>
        <v>21.086956521739129</v>
      </c>
      <c r="AB577" s="86">
        <f>AVERAGEIFS($I$2:I577, $B$2:B577, B577)</f>
        <v>0.40869565217391307</v>
      </c>
      <c r="AC577" s="86">
        <f>AVERAGEIFS($J$2:J577, $B$2:B577, B577)</f>
        <v>0.44782608695652171</v>
      </c>
      <c r="AD577" s="86">
        <f>AVERAGEIFS($D$2:D577, $B$2:B577, B577)</f>
        <v>0.34782608695652173</v>
      </c>
    </row>
    <row r="578" spans="1:30" x14ac:dyDescent="0.25">
      <c r="A578" s="85">
        <v>46159</v>
      </c>
      <c r="B578" t="s">
        <v>148</v>
      </c>
      <c r="C578">
        <v>6</v>
      </c>
      <c r="D578" s="86">
        <v>1</v>
      </c>
      <c r="E578">
        <v>5</v>
      </c>
      <c r="F578">
        <v>3</v>
      </c>
      <c r="G578">
        <v>19</v>
      </c>
      <c r="H578">
        <v>10</v>
      </c>
      <c r="I578">
        <v>0.6</v>
      </c>
      <c r="J578">
        <v>0.53</v>
      </c>
      <c r="K578">
        <v>0</v>
      </c>
      <c r="L578">
        <v>0</v>
      </c>
      <c r="M578">
        <v>0</v>
      </c>
      <c r="N578">
        <v>1</v>
      </c>
      <c r="O578">
        <v>0</v>
      </c>
      <c r="P578">
        <v>1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1</v>
      </c>
      <c r="Z578">
        <v>0</v>
      </c>
      <c r="AA578" s="86">
        <f>AVERAGEIFS($C$2:C578, $B$2:B578, B578)</f>
        <v>12.3125</v>
      </c>
      <c r="AB578" s="86">
        <f>AVERAGEIFS($I$2:I578, $B$2:B578, B578)</f>
        <v>0.56562500000000004</v>
      </c>
      <c r="AC578" s="86">
        <f>AVERAGEIFS($J$2:J578, $B$2:B578, B578)</f>
        <v>0.53</v>
      </c>
      <c r="AD578" s="86">
        <f>AVERAGEIFS($D$2:D578, $B$2:B578, B578)</f>
        <v>0.625</v>
      </c>
    </row>
    <row r="579" spans="1:30" x14ac:dyDescent="0.25">
      <c r="A579" s="85">
        <v>46159</v>
      </c>
      <c r="B579" t="s">
        <v>13</v>
      </c>
      <c r="C579">
        <v>24</v>
      </c>
      <c r="D579" s="86">
        <v>0</v>
      </c>
      <c r="E579">
        <v>5</v>
      </c>
      <c r="F579">
        <v>2</v>
      </c>
      <c r="G579">
        <v>19</v>
      </c>
      <c r="H579">
        <v>9</v>
      </c>
      <c r="I579">
        <v>0.4</v>
      </c>
      <c r="J579">
        <v>0.47</v>
      </c>
      <c r="K579">
        <v>1</v>
      </c>
      <c r="L579">
        <v>0</v>
      </c>
      <c r="M579">
        <v>0</v>
      </c>
      <c r="N579">
        <v>0</v>
      </c>
      <c r="O579">
        <v>0</v>
      </c>
      <c r="P579">
        <v>0</v>
      </c>
      <c r="Q579">
        <v>1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0</v>
      </c>
      <c r="AA579" s="86">
        <f>AVERAGEIFS($C$2:C579, $B$2:B579, B579)</f>
        <v>24.222222222222221</v>
      </c>
      <c r="AB579" s="86">
        <f>AVERAGEIFS($I$2:I579, $B$2:B579, B579)</f>
        <v>0.59444444444444444</v>
      </c>
      <c r="AC579" s="86">
        <f>AVERAGEIFS($J$2:J579, $B$2:B579, B579)</f>
        <v>0.55861111111111095</v>
      </c>
      <c r="AD579" s="86">
        <f>AVERAGEIFS($D$2:D579, $B$2:B579, B579)</f>
        <v>0.61111111111111116</v>
      </c>
    </row>
    <row r="580" spans="1:30" x14ac:dyDescent="0.25">
      <c r="A580" s="85">
        <v>46159</v>
      </c>
      <c r="B580" t="s">
        <v>5</v>
      </c>
      <c r="C580">
        <v>20</v>
      </c>
      <c r="D580" s="86">
        <v>0</v>
      </c>
      <c r="E580">
        <v>5</v>
      </c>
      <c r="F580">
        <v>2</v>
      </c>
      <c r="G580">
        <v>19</v>
      </c>
      <c r="H580">
        <v>9</v>
      </c>
      <c r="I580">
        <v>0.4</v>
      </c>
      <c r="J580">
        <v>0.47</v>
      </c>
      <c r="K580">
        <v>1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1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0</v>
      </c>
      <c r="AA580" s="86">
        <f>AVERAGEIFS($C$2:C580, $B$2:B580, B580)</f>
        <v>22.266666666666666</v>
      </c>
      <c r="AB580" s="86">
        <f>AVERAGEIFS($I$2:I580, $B$2:B580, B580)</f>
        <v>0.45</v>
      </c>
      <c r="AC580" s="86">
        <f>AVERAGEIFS($J$2:J580, $B$2:B580, B580)</f>
        <v>0.48133333333333328</v>
      </c>
      <c r="AD580" s="86">
        <f>AVERAGEIFS($D$2:D580, $B$2:B580, B580)</f>
        <v>0.4</v>
      </c>
    </row>
    <row r="581" spans="1:30" x14ac:dyDescent="0.25">
      <c r="A581" s="85">
        <v>46159</v>
      </c>
      <c r="B581" t="s">
        <v>140</v>
      </c>
      <c r="C581">
        <v>15</v>
      </c>
      <c r="D581" s="86">
        <v>0</v>
      </c>
      <c r="E581">
        <v>5</v>
      </c>
      <c r="F581">
        <v>2</v>
      </c>
      <c r="G581">
        <v>19</v>
      </c>
      <c r="H581">
        <v>9</v>
      </c>
      <c r="I581">
        <v>0.4</v>
      </c>
      <c r="J581">
        <v>0.47</v>
      </c>
      <c r="K581">
        <v>1</v>
      </c>
      <c r="L581">
        <v>0</v>
      </c>
      <c r="M581">
        <v>0</v>
      </c>
      <c r="N581">
        <v>0</v>
      </c>
      <c r="O581">
        <v>0</v>
      </c>
      <c r="P581">
        <v>0</v>
      </c>
      <c r="Q581">
        <v>1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 s="86">
        <f>AVERAGEIFS($C$2:C581, $B$2:B581, B581)</f>
        <v>8.5909090909090917</v>
      </c>
      <c r="AB581" s="86">
        <f>AVERAGEIFS($I$2:I581, $B$2:B581, B581)</f>
        <v>0.37727272727272732</v>
      </c>
      <c r="AC581" s="86">
        <f>AVERAGEIFS($J$2:J581, $B$2:B581, B581)</f>
        <v>0.4527272727272727</v>
      </c>
      <c r="AD581" s="86">
        <f>AVERAGEIFS($D$2:D581, $B$2:B581, B581)</f>
        <v>0.31818181818181818</v>
      </c>
    </row>
    <row r="582" spans="1:30" x14ac:dyDescent="0.25">
      <c r="A582" s="85">
        <v>46159</v>
      </c>
      <c r="B582" t="s">
        <v>139</v>
      </c>
      <c r="C582">
        <v>14</v>
      </c>
      <c r="D582" s="86">
        <v>0</v>
      </c>
      <c r="E582">
        <v>5</v>
      </c>
      <c r="F582">
        <v>2</v>
      </c>
      <c r="G582">
        <v>19</v>
      </c>
      <c r="H582">
        <v>9</v>
      </c>
      <c r="I582">
        <v>0.4</v>
      </c>
      <c r="J582">
        <v>0.47</v>
      </c>
      <c r="K582">
        <v>1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1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 s="86">
        <f>AVERAGEIFS($C$2:C582, $B$2:B582, B582)</f>
        <v>10.777777777777779</v>
      </c>
      <c r="AB582" s="86">
        <f>AVERAGEIFS($I$2:I582, $B$2:B582, B582)</f>
        <v>0.38611111111111113</v>
      </c>
      <c r="AC582" s="86">
        <f>AVERAGEIFS($J$2:J582, $B$2:B582, B582)</f>
        <v>0.47611111111111115</v>
      </c>
      <c r="AD582" s="86">
        <f>AVERAGEIFS($D$2:D582, $B$2:B582, B582)</f>
        <v>0.44444444444444442</v>
      </c>
    </row>
    <row r="583" spans="1:30" x14ac:dyDescent="0.25">
      <c r="A583" s="85">
        <v>46159</v>
      </c>
      <c r="B583" t="s">
        <v>18</v>
      </c>
      <c r="C583">
        <v>13</v>
      </c>
      <c r="D583" s="86">
        <v>0</v>
      </c>
      <c r="E583">
        <v>5</v>
      </c>
      <c r="F583">
        <v>2</v>
      </c>
      <c r="G583">
        <v>19</v>
      </c>
      <c r="H583">
        <v>9</v>
      </c>
      <c r="I583">
        <v>0.4</v>
      </c>
      <c r="J583">
        <v>0.47</v>
      </c>
      <c r="K583">
        <v>1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1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A583" s="86">
        <f>AVERAGEIFS($C$2:C583, $B$2:B583, B583)</f>
        <v>27.789473684210527</v>
      </c>
      <c r="AB583" s="86">
        <f>AVERAGEIFS($I$2:I583, $B$2:B583, B583)</f>
        <v>0.50789473684210529</v>
      </c>
      <c r="AC583" s="86">
        <f>AVERAGEIFS($J$2:J583, $B$2:B583, B583)</f>
        <v>0.51421052631578956</v>
      </c>
      <c r="AD583" s="86">
        <f>AVERAGEIFS($D$2:D583, $B$2:B583, B583)</f>
        <v>0.52631578947368418</v>
      </c>
    </row>
    <row r="584" spans="1:30" x14ac:dyDescent="0.25">
      <c r="A584" s="85">
        <v>46159</v>
      </c>
      <c r="B584" t="s">
        <v>54</v>
      </c>
      <c r="C584">
        <v>9</v>
      </c>
      <c r="D584" s="86">
        <v>0</v>
      </c>
      <c r="E584">
        <v>5</v>
      </c>
      <c r="F584">
        <v>2</v>
      </c>
      <c r="G584">
        <v>19</v>
      </c>
      <c r="H584">
        <v>9</v>
      </c>
      <c r="I584">
        <v>0.4</v>
      </c>
      <c r="J584">
        <v>0.47</v>
      </c>
      <c r="K584">
        <v>1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1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 s="86">
        <f>AVERAGEIFS($C$2:C584, $B$2:B584, B584)</f>
        <v>9</v>
      </c>
      <c r="AB584" s="86">
        <f>AVERAGEIFS($I$2:I584, $B$2:B584, B584)</f>
        <v>0.4</v>
      </c>
      <c r="AC584" s="86">
        <f>AVERAGEIFS($J$2:J584, $B$2:B584, B584)</f>
        <v>0.47</v>
      </c>
      <c r="AD584" s="86">
        <f>AVERAGEIFS($D$2:D584, $B$2:B584, B584)</f>
        <v>0</v>
      </c>
    </row>
    <row r="585" spans="1:30" x14ac:dyDescent="0.25">
      <c r="A585" s="85">
        <v>46159</v>
      </c>
      <c r="B585" t="s">
        <v>29</v>
      </c>
      <c r="C585">
        <v>7</v>
      </c>
      <c r="D585" s="86">
        <v>0</v>
      </c>
      <c r="E585">
        <v>5</v>
      </c>
      <c r="F585">
        <v>2</v>
      </c>
      <c r="G585">
        <v>19</v>
      </c>
      <c r="H585">
        <v>9</v>
      </c>
      <c r="I585">
        <v>0.4</v>
      </c>
      <c r="J585">
        <v>0.47</v>
      </c>
      <c r="K585">
        <v>1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1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0</v>
      </c>
      <c r="AA585" s="86">
        <f>AVERAGEIFS($C$2:C585, $B$2:B585, B585)</f>
        <v>11.178571428571429</v>
      </c>
      <c r="AB585" s="86">
        <f>AVERAGEIFS($I$2:I585, $B$2:B585, B585)</f>
        <v>0.43571428571428567</v>
      </c>
      <c r="AC585" s="86">
        <f>AVERAGEIFS($J$2:J585, $B$2:B585, B585)</f>
        <v>0.48178571428571432</v>
      </c>
      <c r="AD585" s="86">
        <f>AVERAGEIFS($D$2:D585, $B$2:B585, B585)</f>
        <v>0.35714285714285715</v>
      </c>
    </row>
    <row r="586" spans="1:30" x14ac:dyDescent="0.25">
      <c r="A586" s="85">
        <v>46159</v>
      </c>
      <c r="B586" t="s">
        <v>38</v>
      </c>
      <c r="C586">
        <v>3</v>
      </c>
      <c r="D586" s="86">
        <v>0</v>
      </c>
      <c r="E586">
        <v>5</v>
      </c>
      <c r="F586">
        <v>2</v>
      </c>
      <c r="G586">
        <v>19</v>
      </c>
      <c r="H586">
        <v>9</v>
      </c>
      <c r="I586">
        <v>0.4</v>
      </c>
      <c r="J586">
        <v>0.47</v>
      </c>
      <c r="K586">
        <v>1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1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 s="86">
        <f>AVERAGEIFS($C$2:C586, $B$2:B586, B586)</f>
        <v>9.9090909090909083</v>
      </c>
      <c r="AB586" s="86">
        <f>AVERAGEIFS($I$2:I586, $B$2:B586, B586)</f>
        <v>0.43181818181818182</v>
      </c>
      <c r="AC586" s="86">
        <f>AVERAGEIFS($J$2:J586, $B$2:B586, B586)</f>
        <v>0.47727272727272718</v>
      </c>
      <c r="AD586" s="86">
        <f>AVERAGEIFS($D$2:D586, $B$2:B586, B586)</f>
        <v>0.45454545454545453</v>
      </c>
    </row>
    <row r="587" spans="1:30" x14ac:dyDescent="0.25">
      <c r="A587" s="85">
        <v>46162</v>
      </c>
      <c r="B587" t="s">
        <v>37</v>
      </c>
      <c r="C587">
        <v>21</v>
      </c>
      <c r="D587" s="86">
        <v>1</v>
      </c>
      <c r="E587">
        <v>5</v>
      </c>
      <c r="F587">
        <v>3</v>
      </c>
      <c r="G587">
        <v>17</v>
      </c>
      <c r="H587">
        <v>10</v>
      </c>
      <c r="I587">
        <v>0.6</v>
      </c>
      <c r="J587">
        <v>0.59</v>
      </c>
      <c r="K587">
        <v>0</v>
      </c>
      <c r="L587">
        <v>0</v>
      </c>
      <c r="M587">
        <v>0</v>
      </c>
      <c r="N587">
        <v>0</v>
      </c>
      <c r="O587">
        <v>1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1</v>
      </c>
      <c r="Z587">
        <v>1</v>
      </c>
      <c r="AA587" s="86">
        <f>AVERAGEIFS($C$2:C587, $B$2:B587, B587)</f>
        <v>20.0625</v>
      </c>
      <c r="AB587" s="86">
        <f>AVERAGEIFS($I$2:I587, $B$2:B587, B587)</f>
        <v>0.41562499999999997</v>
      </c>
      <c r="AC587" s="86">
        <f>AVERAGEIFS($J$2:J587, $B$2:B587, B587)</f>
        <v>0.45312499999999989</v>
      </c>
      <c r="AD587" s="86">
        <f>AVERAGEIFS($D$2:D587, $B$2:B587, B587)</f>
        <v>0.5</v>
      </c>
    </row>
    <row r="588" spans="1:30" x14ac:dyDescent="0.25">
      <c r="A588" s="85">
        <v>46162</v>
      </c>
      <c r="B588" t="s">
        <v>1</v>
      </c>
      <c r="C588">
        <v>38</v>
      </c>
      <c r="D588" s="86">
        <v>1</v>
      </c>
      <c r="E588">
        <v>5</v>
      </c>
      <c r="F588">
        <v>3</v>
      </c>
      <c r="G588">
        <v>17</v>
      </c>
      <c r="H588">
        <v>10</v>
      </c>
      <c r="I588">
        <v>0.6</v>
      </c>
      <c r="J588">
        <v>0.59</v>
      </c>
      <c r="K588">
        <v>0</v>
      </c>
      <c r="L588">
        <v>0</v>
      </c>
      <c r="M588">
        <v>0</v>
      </c>
      <c r="N588">
        <v>0</v>
      </c>
      <c r="O588">
        <v>1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1</v>
      </c>
      <c r="Z588">
        <v>1</v>
      </c>
      <c r="AA588" s="86">
        <f>AVERAGEIFS($C$2:C588, $B$2:B588, B588)</f>
        <v>20.2</v>
      </c>
      <c r="AB588" s="86">
        <f>AVERAGEIFS($I$2:I588, $B$2:B588, B588)</f>
        <v>0.4</v>
      </c>
      <c r="AC588" s="86">
        <f>AVERAGEIFS($J$2:J588, $B$2:B588, B588)</f>
        <v>0.41799999999999998</v>
      </c>
      <c r="AD588" s="86">
        <f>AVERAGEIFS($D$2:D588, $B$2:B588, B588)</f>
        <v>0.4</v>
      </c>
    </row>
    <row r="589" spans="1:30" x14ac:dyDescent="0.25">
      <c r="A589" s="85">
        <v>46162</v>
      </c>
      <c r="B589" t="s">
        <v>70</v>
      </c>
      <c r="C589">
        <v>17</v>
      </c>
      <c r="D589" s="86">
        <v>1</v>
      </c>
      <c r="E589">
        <v>5</v>
      </c>
      <c r="F589">
        <v>3</v>
      </c>
      <c r="G589">
        <v>17</v>
      </c>
      <c r="H589">
        <v>10</v>
      </c>
      <c r="I589">
        <v>0.6</v>
      </c>
      <c r="J589">
        <v>0.59</v>
      </c>
      <c r="K589">
        <v>0</v>
      </c>
      <c r="L589">
        <v>0</v>
      </c>
      <c r="M589">
        <v>0</v>
      </c>
      <c r="N589">
        <v>0</v>
      </c>
      <c r="O589">
        <v>1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1</v>
      </c>
      <c r="Z589">
        <v>1</v>
      </c>
      <c r="AA589" s="86">
        <f>AVERAGEIFS($C$2:C589, $B$2:B589, B589)</f>
        <v>17.5</v>
      </c>
      <c r="AB589" s="86">
        <f>AVERAGEIFS($I$2:I589, $B$2:B589, B589)</f>
        <v>0.65</v>
      </c>
      <c r="AC589" s="86">
        <f>AVERAGEIFS($J$2:J589, $B$2:B589, B589)</f>
        <v>0.5575</v>
      </c>
      <c r="AD589" s="86">
        <f>AVERAGEIFS($D$2:D589, $B$2:B589, B589)</f>
        <v>0.75</v>
      </c>
    </row>
    <row r="590" spans="1:30" x14ac:dyDescent="0.25">
      <c r="A590" s="85">
        <v>46162</v>
      </c>
      <c r="B590" t="s">
        <v>29</v>
      </c>
      <c r="C590">
        <v>13</v>
      </c>
      <c r="D590" s="86">
        <v>1</v>
      </c>
      <c r="E590">
        <v>5</v>
      </c>
      <c r="F590">
        <v>3</v>
      </c>
      <c r="G590">
        <v>17</v>
      </c>
      <c r="H590">
        <v>10</v>
      </c>
      <c r="I590">
        <v>0.6</v>
      </c>
      <c r="J590">
        <v>0.59</v>
      </c>
      <c r="K590">
        <v>0</v>
      </c>
      <c r="L590">
        <v>0</v>
      </c>
      <c r="M590">
        <v>0</v>
      </c>
      <c r="N590">
        <v>0</v>
      </c>
      <c r="O590">
        <v>1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1</v>
      </c>
      <c r="Z590">
        <v>1</v>
      </c>
      <c r="AA590" s="86">
        <f>AVERAGEIFS($C$2:C590, $B$2:B590, B590)</f>
        <v>11.241379310344827</v>
      </c>
      <c r="AB590" s="86">
        <f>AVERAGEIFS($I$2:I590, $B$2:B590, B590)</f>
        <v>0.44137931034482752</v>
      </c>
      <c r="AC590" s="86">
        <f>AVERAGEIFS($J$2:J590, $B$2:B590, B590)</f>
        <v>0.48551724137931035</v>
      </c>
      <c r="AD590" s="86">
        <f>AVERAGEIFS($D$2:D590, $B$2:B590, B590)</f>
        <v>0.37931034482758619</v>
      </c>
    </row>
    <row r="591" spans="1:30" x14ac:dyDescent="0.25">
      <c r="A591" s="85">
        <v>46162</v>
      </c>
      <c r="B591" t="s">
        <v>3</v>
      </c>
      <c r="C591">
        <v>26</v>
      </c>
      <c r="D591" s="86">
        <v>1</v>
      </c>
      <c r="E591">
        <v>5</v>
      </c>
      <c r="F591">
        <v>3</v>
      </c>
      <c r="G591">
        <v>17</v>
      </c>
      <c r="H591">
        <v>10</v>
      </c>
      <c r="I591">
        <v>0.6</v>
      </c>
      <c r="J591">
        <v>0.59</v>
      </c>
      <c r="K591">
        <v>0</v>
      </c>
      <c r="L591">
        <v>0</v>
      </c>
      <c r="M591">
        <v>0</v>
      </c>
      <c r="N591">
        <v>0</v>
      </c>
      <c r="O591">
        <v>1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1</v>
      </c>
      <c r="Z591">
        <v>1</v>
      </c>
      <c r="AA591" s="86">
        <f>AVERAGEIFS($C$2:C591, $B$2:B591, B591)</f>
        <v>26</v>
      </c>
      <c r="AB591" s="86">
        <f>AVERAGEIFS($I$2:I591, $B$2:B591, B591)</f>
        <v>0.6</v>
      </c>
      <c r="AC591" s="86">
        <f>AVERAGEIFS($J$2:J591, $B$2:B591, B591)</f>
        <v>0.59</v>
      </c>
      <c r="AD591" s="86">
        <f>AVERAGEIFS($D$2:D591, $B$2:B591, B591)</f>
        <v>1</v>
      </c>
    </row>
    <row r="592" spans="1:30" x14ac:dyDescent="0.25">
      <c r="A592" s="85">
        <v>46162</v>
      </c>
      <c r="B592" t="s">
        <v>141</v>
      </c>
      <c r="C592">
        <v>15</v>
      </c>
      <c r="D592" s="86">
        <v>1</v>
      </c>
      <c r="E592">
        <v>5</v>
      </c>
      <c r="F592">
        <v>3</v>
      </c>
      <c r="G592">
        <v>17</v>
      </c>
      <c r="H592">
        <v>10</v>
      </c>
      <c r="I592">
        <v>0.6</v>
      </c>
      <c r="J592">
        <v>0.59</v>
      </c>
      <c r="K592">
        <v>0</v>
      </c>
      <c r="L592">
        <v>0</v>
      </c>
      <c r="M592">
        <v>0</v>
      </c>
      <c r="N592">
        <v>0</v>
      </c>
      <c r="O592">
        <v>1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1</v>
      </c>
      <c r="Z592">
        <v>1</v>
      </c>
      <c r="AA592" s="86">
        <f>AVERAGEIFS($C$2:C592, $B$2:B592, B592)</f>
        <v>16.928571428571427</v>
      </c>
      <c r="AB592" s="86">
        <f>AVERAGEIFS($I$2:I592, $B$2:B592, B592)</f>
        <v>0.45714285714285713</v>
      </c>
      <c r="AC592" s="86">
        <f>AVERAGEIFS($J$2:J592, $B$2:B592, B592)</f>
        <v>0.48857142857142855</v>
      </c>
      <c r="AD592" s="86">
        <f>AVERAGEIFS($D$2:D592, $B$2:B592, B592)</f>
        <v>0.42857142857142855</v>
      </c>
    </row>
    <row r="593" spans="1:30" x14ac:dyDescent="0.25">
      <c r="A593" s="85">
        <v>46162</v>
      </c>
      <c r="B593" t="s">
        <v>148</v>
      </c>
      <c r="C593">
        <v>12</v>
      </c>
      <c r="D593" s="86">
        <v>0</v>
      </c>
      <c r="E593">
        <v>5</v>
      </c>
      <c r="F593">
        <v>2</v>
      </c>
      <c r="G593">
        <v>17</v>
      </c>
      <c r="H593">
        <v>7</v>
      </c>
      <c r="I593">
        <v>0.4</v>
      </c>
      <c r="J593">
        <v>0.41</v>
      </c>
      <c r="K593">
        <v>0</v>
      </c>
      <c r="L593">
        <v>1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1</v>
      </c>
      <c r="Y593">
        <v>0</v>
      </c>
      <c r="Z593">
        <v>0</v>
      </c>
      <c r="AA593" s="86">
        <f>AVERAGEIFS($C$2:C593, $B$2:B593, B593)</f>
        <v>12.303030303030303</v>
      </c>
      <c r="AB593" s="86">
        <f>AVERAGEIFS($I$2:I593, $B$2:B593, B593)</f>
        <v>0.56060606060606055</v>
      </c>
      <c r="AC593" s="86">
        <f>AVERAGEIFS($J$2:J593, $B$2:B593, B593)</f>
        <v>0.52636363636363637</v>
      </c>
      <c r="AD593" s="86">
        <f>AVERAGEIFS($D$2:D593, $B$2:B593, B593)</f>
        <v>0.60606060606060608</v>
      </c>
    </row>
    <row r="594" spans="1:30" x14ac:dyDescent="0.25">
      <c r="A594" s="85">
        <v>46162</v>
      </c>
      <c r="B594" t="s">
        <v>13</v>
      </c>
      <c r="C594">
        <v>32</v>
      </c>
      <c r="D594" s="86">
        <v>0</v>
      </c>
      <c r="E594">
        <v>5</v>
      </c>
      <c r="F594">
        <v>2</v>
      </c>
      <c r="G594">
        <v>17</v>
      </c>
      <c r="H594">
        <v>7</v>
      </c>
      <c r="I594">
        <v>0.4</v>
      </c>
      <c r="J594">
        <v>0.41</v>
      </c>
      <c r="K594">
        <v>0</v>
      </c>
      <c r="L594">
        <v>1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1</v>
      </c>
      <c r="Y594">
        <v>0</v>
      </c>
      <c r="Z594">
        <v>0</v>
      </c>
      <c r="AA594" s="86">
        <f>AVERAGEIFS($C$2:C594, $B$2:B594, B594)</f>
        <v>24.432432432432432</v>
      </c>
      <c r="AB594" s="86">
        <f>AVERAGEIFS($I$2:I594, $B$2:B594, B594)</f>
        <v>0.58918918918918917</v>
      </c>
      <c r="AC594" s="86">
        <f>AVERAGEIFS($J$2:J594, $B$2:B594, B594)</f>
        <v>0.55459459459459448</v>
      </c>
      <c r="AD594" s="86">
        <f>AVERAGEIFS($D$2:D594, $B$2:B594, B594)</f>
        <v>0.59459459459459463</v>
      </c>
    </row>
    <row r="595" spans="1:30" x14ac:dyDescent="0.25">
      <c r="A595" s="85">
        <v>46162</v>
      </c>
      <c r="B595" t="s">
        <v>17</v>
      </c>
      <c r="C595">
        <v>36</v>
      </c>
      <c r="D595" s="86">
        <v>0</v>
      </c>
      <c r="E595">
        <v>5</v>
      </c>
      <c r="F595">
        <v>2</v>
      </c>
      <c r="G595">
        <v>17</v>
      </c>
      <c r="H595">
        <v>7</v>
      </c>
      <c r="I595">
        <v>0.4</v>
      </c>
      <c r="J595">
        <v>0.41</v>
      </c>
      <c r="K595">
        <v>0</v>
      </c>
      <c r="L595">
        <v>1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1</v>
      </c>
      <c r="Y595">
        <v>0</v>
      </c>
      <c r="Z595">
        <v>0</v>
      </c>
      <c r="AA595" s="86">
        <f>AVERAGEIFS($C$2:C595, $B$2:B595, B595)</f>
        <v>23.03448275862069</v>
      </c>
      <c r="AB595" s="86">
        <f>AVERAGEIFS($I$2:I595, $B$2:B595, B595)</f>
        <v>0.40689655172413797</v>
      </c>
      <c r="AC595" s="86">
        <f>AVERAGEIFS($J$2:J595, $B$2:B595, B595)</f>
        <v>0.46999999999999992</v>
      </c>
      <c r="AD595" s="86">
        <f>AVERAGEIFS($D$2:D595, $B$2:B595, B595)</f>
        <v>0.41379310344827586</v>
      </c>
    </row>
    <row r="596" spans="1:30" x14ac:dyDescent="0.25">
      <c r="A596" s="85">
        <v>46162</v>
      </c>
      <c r="B596" t="s">
        <v>28</v>
      </c>
      <c r="C596">
        <v>12</v>
      </c>
      <c r="D596" s="86">
        <v>0</v>
      </c>
      <c r="E596">
        <v>5</v>
      </c>
      <c r="F596">
        <v>2</v>
      </c>
      <c r="G596">
        <v>17</v>
      </c>
      <c r="H596">
        <v>7</v>
      </c>
      <c r="I596">
        <v>0.4</v>
      </c>
      <c r="J596">
        <v>0.41</v>
      </c>
      <c r="K596">
        <v>0</v>
      </c>
      <c r="L596">
        <v>1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1</v>
      </c>
      <c r="Y596">
        <v>0</v>
      </c>
      <c r="Z596">
        <v>0</v>
      </c>
      <c r="AA596" s="86">
        <f>AVERAGEIFS($C$2:C596, $B$2:B596, B596)</f>
        <v>21.2</v>
      </c>
      <c r="AB596" s="86">
        <f>AVERAGEIFS($I$2:I596, $B$2:B596, B596)</f>
        <v>0.48</v>
      </c>
      <c r="AC596" s="86">
        <f>AVERAGEIFS($J$2:J596, $B$2:B596, B596)</f>
        <v>0.48600000000000004</v>
      </c>
      <c r="AD596" s="86">
        <f>AVERAGEIFS($D$2:D596, $B$2:B596, B596)</f>
        <v>0.4</v>
      </c>
    </row>
    <row r="597" spans="1:30" x14ac:dyDescent="0.25">
      <c r="A597" s="85">
        <v>46162</v>
      </c>
      <c r="B597" t="s">
        <v>139</v>
      </c>
      <c r="C597">
        <v>11</v>
      </c>
      <c r="D597" s="86">
        <v>0</v>
      </c>
      <c r="E597">
        <v>5</v>
      </c>
      <c r="F597">
        <v>2</v>
      </c>
      <c r="G597">
        <v>17</v>
      </c>
      <c r="H597">
        <v>7</v>
      </c>
      <c r="I597">
        <v>0.4</v>
      </c>
      <c r="J597">
        <v>0.41</v>
      </c>
      <c r="K597">
        <v>0</v>
      </c>
      <c r="L597">
        <v>1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1</v>
      </c>
      <c r="Y597">
        <v>0</v>
      </c>
      <c r="Z597">
        <v>0</v>
      </c>
      <c r="AA597" s="86">
        <f>AVERAGEIFS($C$2:C597, $B$2:B597, B597)</f>
        <v>10.789473684210526</v>
      </c>
      <c r="AB597" s="86">
        <f>AVERAGEIFS($I$2:I597, $B$2:B597, B597)</f>
        <v>0.38684210526315793</v>
      </c>
      <c r="AC597" s="86">
        <f>AVERAGEIFS($J$2:J597, $B$2:B597, B597)</f>
        <v>0.47263157894736846</v>
      </c>
      <c r="AD597" s="86">
        <f>AVERAGEIFS($D$2:D597, $B$2:B597, B597)</f>
        <v>0.42105263157894735</v>
      </c>
    </row>
    <row r="598" spans="1:30" x14ac:dyDescent="0.25">
      <c r="A598" s="85">
        <v>46162</v>
      </c>
      <c r="B598" t="s">
        <v>26</v>
      </c>
      <c r="C598">
        <v>17</v>
      </c>
      <c r="D598" s="86">
        <v>0</v>
      </c>
      <c r="E598">
        <v>5</v>
      </c>
      <c r="F598">
        <v>2</v>
      </c>
      <c r="G598">
        <v>17</v>
      </c>
      <c r="H598">
        <v>7</v>
      </c>
      <c r="I598">
        <v>0.4</v>
      </c>
      <c r="J598">
        <v>0.41</v>
      </c>
      <c r="K598">
        <v>0</v>
      </c>
      <c r="L598">
        <v>1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1</v>
      </c>
      <c r="Y598">
        <v>0</v>
      </c>
      <c r="Z598">
        <v>0</v>
      </c>
      <c r="AA598" s="86">
        <f>AVERAGEIFS($C$2:C598, $B$2:B598, B598)</f>
        <v>15.277777777777779</v>
      </c>
      <c r="AB598" s="86">
        <f>AVERAGEIFS($I$2:I598, $B$2:B598, B598)</f>
        <v>0.56388888888888888</v>
      </c>
      <c r="AC598" s="86">
        <f>AVERAGEIFS($J$2:J598, $B$2:B598, B598)</f>
        <v>0.49611111111111111</v>
      </c>
      <c r="AD598" s="86">
        <f>AVERAGEIFS($D$2:D598, $B$2:B598, B598)</f>
        <v>0.55555555555555558</v>
      </c>
    </row>
    <row r="599" spans="1:30" x14ac:dyDescent="0.25">
      <c r="A599" s="85">
        <v>46165</v>
      </c>
      <c r="B599" t="s">
        <v>155</v>
      </c>
      <c r="C599">
        <v>31</v>
      </c>
      <c r="D599" s="86">
        <v>1</v>
      </c>
      <c r="E599">
        <v>5</v>
      </c>
      <c r="F599">
        <v>3</v>
      </c>
      <c r="G599">
        <v>23</v>
      </c>
      <c r="H599">
        <v>12</v>
      </c>
      <c r="I599">
        <v>0.6</v>
      </c>
      <c r="J599">
        <v>0.52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1</v>
      </c>
      <c r="S599">
        <v>0</v>
      </c>
      <c r="T599">
        <v>0</v>
      </c>
      <c r="U599">
        <v>0</v>
      </c>
      <c r="V599">
        <v>0</v>
      </c>
      <c r="W599">
        <v>1</v>
      </c>
      <c r="X599">
        <v>1</v>
      </c>
      <c r="Y599">
        <v>0</v>
      </c>
      <c r="Z599">
        <v>0</v>
      </c>
      <c r="AA599" s="86">
        <f>AVERAGEIFS($C$2:C599, $B$2:B599, B599)</f>
        <v>18.533333333333335</v>
      </c>
      <c r="AB599" s="86">
        <f>AVERAGEIFS($I$2:I599, $B$2:B599, B599)</f>
        <v>0.38166666666666665</v>
      </c>
      <c r="AC599" s="86">
        <f>AVERAGEIFS($J$2:J599, $B$2:B599, B599)</f>
        <v>0.45966666666666678</v>
      </c>
      <c r="AD599" s="86">
        <f>AVERAGEIFS($D$2:D599, $B$2:B599, B599)</f>
        <v>0.33333333333333331</v>
      </c>
    </row>
    <row r="600" spans="1:30" x14ac:dyDescent="0.25">
      <c r="A600" s="85">
        <v>46165</v>
      </c>
      <c r="B600" t="s">
        <v>13</v>
      </c>
      <c r="C600">
        <v>31</v>
      </c>
      <c r="D600" s="86">
        <v>1</v>
      </c>
      <c r="E600">
        <v>5</v>
      </c>
      <c r="F600">
        <v>3</v>
      </c>
      <c r="G600">
        <v>23</v>
      </c>
      <c r="H600">
        <v>12</v>
      </c>
      <c r="I600">
        <v>0.6</v>
      </c>
      <c r="J600">
        <v>0.52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1</v>
      </c>
      <c r="S600">
        <v>0</v>
      </c>
      <c r="T600">
        <v>0</v>
      </c>
      <c r="U600">
        <v>0</v>
      </c>
      <c r="V600">
        <v>0</v>
      </c>
      <c r="W600">
        <v>1</v>
      </c>
      <c r="X600">
        <v>1</v>
      </c>
      <c r="Y600">
        <v>0</v>
      </c>
      <c r="Z600">
        <v>0</v>
      </c>
      <c r="AA600" s="86">
        <f>AVERAGEIFS($C$2:C600, $B$2:B600, B600)</f>
        <v>24.605263157894736</v>
      </c>
      <c r="AB600" s="86">
        <f>AVERAGEIFS($I$2:I600, $B$2:B600, B600)</f>
        <v>0.58947368421052626</v>
      </c>
      <c r="AC600" s="86">
        <f>AVERAGEIFS($J$2:J600, $B$2:B600, B600)</f>
        <v>0.55368421052631567</v>
      </c>
      <c r="AD600" s="86">
        <f>AVERAGEIFS($D$2:D600, $B$2:B600, B600)</f>
        <v>0.60526315789473684</v>
      </c>
    </row>
    <row r="601" spans="1:30" x14ac:dyDescent="0.25">
      <c r="A601" s="85">
        <v>46165</v>
      </c>
      <c r="B601" t="s">
        <v>18</v>
      </c>
      <c r="C601">
        <v>21</v>
      </c>
      <c r="D601" s="86">
        <v>1</v>
      </c>
      <c r="E601">
        <v>5</v>
      </c>
      <c r="F601">
        <v>3</v>
      </c>
      <c r="G601">
        <v>23</v>
      </c>
      <c r="H601">
        <v>12</v>
      </c>
      <c r="I601">
        <v>0.6</v>
      </c>
      <c r="J601">
        <v>0.52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1</v>
      </c>
      <c r="S601">
        <v>0</v>
      </c>
      <c r="T601">
        <v>0</v>
      </c>
      <c r="U601">
        <v>0</v>
      </c>
      <c r="V601">
        <v>0</v>
      </c>
      <c r="W601">
        <v>1</v>
      </c>
      <c r="X601">
        <v>1</v>
      </c>
      <c r="Y601">
        <v>0</v>
      </c>
      <c r="Z601">
        <v>0</v>
      </c>
      <c r="AA601" s="86">
        <f>AVERAGEIFS($C$2:C601, $B$2:B601, B601)</f>
        <v>27.45</v>
      </c>
      <c r="AB601" s="86">
        <f>AVERAGEIFS($I$2:I601, $B$2:B601, B601)</f>
        <v>0.51249999999999996</v>
      </c>
      <c r="AC601" s="86">
        <f>AVERAGEIFS($J$2:J601, $B$2:B601, B601)</f>
        <v>0.51450000000000007</v>
      </c>
      <c r="AD601" s="86">
        <f>AVERAGEIFS($D$2:D601, $B$2:B601, B601)</f>
        <v>0.55000000000000004</v>
      </c>
    </row>
    <row r="602" spans="1:30" x14ac:dyDescent="0.25">
      <c r="A602" s="85">
        <v>46165</v>
      </c>
      <c r="B602" t="s">
        <v>71</v>
      </c>
      <c r="C602">
        <v>14</v>
      </c>
      <c r="D602" s="86">
        <v>1</v>
      </c>
      <c r="E602">
        <v>5</v>
      </c>
      <c r="F602">
        <v>3</v>
      </c>
      <c r="G602">
        <v>23</v>
      </c>
      <c r="H602">
        <v>12</v>
      </c>
      <c r="I602">
        <v>0.6</v>
      </c>
      <c r="J602">
        <v>0.52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1</v>
      </c>
      <c r="S602">
        <v>0</v>
      </c>
      <c r="T602">
        <v>0</v>
      </c>
      <c r="U602">
        <v>0</v>
      </c>
      <c r="V602">
        <v>0</v>
      </c>
      <c r="W602">
        <v>1</v>
      </c>
      <c r="X602">
        <v>1</v>
      </c>
      <c r="Y602">
        <v>0</v>
      </c>
      <c r="Z602">
        <v>0</v>
      </c>
      <c r="AA602" s="86">
        <f>AVERAGEIFS($C$2:C602, $B$2:B602, B602)</f>
        <v>11</v>
      </c>
      <c r="AB602" s="86">
        <f>AVERAGEIFS($I$2:I602, $B$2:B602, B602)</f>
        <v>0.6</v>
      </c>
      <c r="AC602" s="86">
        <f>AVERAGEIFS($J$2:J602, $B$2:B602, B602)</f>
        <v>0.52500000000000002</v>
      </c>
      <c r="AD602" s="86">
        <f>AVERAGEIFS($D$2:D602, $B$2:B602, B602)</f>
        <v>1</v>
      </c>
    </row>
    <row r="603" spans="1:30" x14ac:dyDescent="0.25">
      <c r="A603" s="85">
        <v>46165</v>
      </c>
      <c r="B603" t="s">
        <v>140</v>
      </c>
      <c r="C603">
        <v>12</v>
      </c>
      <c r="D603" s="86">
        <v>1</v>
      </c>
      <c r="E603">
        <v>5</v>
      </c>
      <c r="F603">
        <v>3</v>
      </c>
      <c r="G603">
        <v>23</v>
      </c>
      <c r="H603">
        <v>12</v>
      </c>
      <c r="I603">
        <v>0.6</v>
      </c>
      <c r="J603">
        <v>0.52</v>
      </c>
      <c r="K603">
        <v>0</v>
      </c>
      <c r="L603">
        <v>0</v>
      </c>
      <c r="M603">
        <v>0</v>
      </c>
      <c r="N603">
        <v>0</v>
      </c>
      <c r="O603">
        <v>0</v>
      </c>
      <c r="P603">
        <v>0</v>
      </c>
      <c r="Q603">
        <v>0</v>
      </c>
      <c r="R603">
        <v>1</v>
      </c>
      <c r="S603">
        <v>0</v>
      </c>
      <c r="T603">
        <v>0</v>
      </c>
      <c r="U603">
        <v>0</v>
      </c>
      <c r="V603">
        <v>0</v>
      </c>
      <c r="W603">
        <v>1</v>
      </c>
      <c r="X603">
        <v>1</v>
      </c>
      <c r="Y603">
        <v>0</v>
      </c>
      <c r="Z603">
        <v>0</v>
      </c>
      <c r="AA603" s="86">
        <f>AVERAGEIFS($C$2:C603, $B$2:B603, B603)</f>
        <v>8.7391304347826093</v>
      </c>
      <c r="AB603" s="86">
        <f>AVERAGEIFS($I$2:I603, $B$2:B603, B603)</f>
        <v>0.38695652173913048</v>
      </c>
      <c r="AC603" s="86">
        <f>AVERAGEIFS($J$2:J603, $B$2:B603, B603)</f>
        <v>0.45565217391304341</v>
      </c>
      <c r="AD603" s="86">
        <f>AVERAGEIFS($D$2:D603, $B$2:B603, B603)</f>
        <v>0.34782608695652173</v>
      </c>
    </row>
    <row r="604" spans="1:30" x14ac:dyDescent="0.25">
      <c r="A604" s="85">
        <v>46165</v>
      </c>
      <c r="B604" t="s">
        <v>214</v>
      </c>
      <c r="C604">
        <v>10</v>
      </c>
      <c r="D604" s="86">
        <v>1</v>
      </c>
      <c r="E604">
        <v>5</v>
      </c>
      <c r="F604">
        <v>3</v>
      </c>
      <c r="G604">
        <v>23</v>
      </c>
      <c r="H604">
        <v>12</v>
      </c>
      <c r="I604">
        <v>0.6</v>
      </c>
      <c r="J604">
        <v>0.52</v>
      </c>
      <c r="K604">
        <v>0</v>
      </c>
      <c r="L604">
        <v>0</v>
      </c>
      <c r="M604">
        <v>0</v>
      </c>
      <c r="N604">
        <v>0</v>
      </c>
      <c r="O604">
        <v>0</v>
      </c>
      <c r="P604">
        <v>0</v>
      </c>
      <c r="Q604">
        <v>0</v>
      </c>
      <c r="R604">
        <v>1</v>
      </c>
      <c r="S604">
        <v>0</v>
      </c>
      <c r="T604">
        <v>0</v>
      </c>
      <c r="U604">
        <v>0</v>
      </c>
      <c r="V604">
        <v>0</v>
      </c>
      <c r="W604">
        <v>1</v>
      </c>
      <c r="X604">
        <v>1</v>
      </c>
      <c r="Y604">
        <v>0</v>
      </c>
      <c r="Z604">
        <v>0</v>
      </c>
      <c r="AA604" s="86">
        <f>AVERAGEIFS($C$2:C604, $B$2:B604, B604)</f>
        <v>8</v>
      </c>
      <c r="AB604" s="86">
        <f>AVERAGEIFS($I$2:I604, $B$2:B604, B604)</f>
        <v>0.8666666666666667</v>
      </c>
      <c r="AC604" s="86">
        <f>AVERAGEIFS($J$2:J604, $B$2:B604, B604)</f>
        <v>0.62333333333333341</v>
      </c>
      <c r="AD604" s="86">
        <f>AVERAGEIFS($D$2:D604, $B$2:B604, B604)</f>
        <v>1</v>
      </c>
    </row>
    <row r="605" spans="1:30" x14ac:dyDescent="0.25">
      <c r="A605" s="85">
        <v>46165</v>
      </c>
      <c r="B605" t="s">
        <v>25</v>
      </c>
      <c r="C605">
        <v>14</v>
      </c>
      <c r="D605" s="86">
        <v>0</v>
      </c>
      <c r="E605">
        <v>5</v>
      </c>
      <c r="F605">
        <v>2</v>
      </c>
      <c r="G605">
        <v>23</v>
      </c>
      <c r="H605">
        <v>11</v>
      </c>
      <c r="I605">
        <v>0.4</v>
      </c>
      <c r="J605">
        <v>0.48</v>
      </c>
      <c r="K605">
        <v>0</v>
      </c>
      <c r="L605">
        <v>1</v>
      </c>
      <c r="M605">
        <v>0</v>
      </c>
      <c r="N605">
        <v>1</v>
      </c>
      <c r="O605">
        <v>0</v>
      </c>
      <c r="P605">
        <v>0</v>
      </c>
      <c r="Q605">
        <v>0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 s="86">
        <f>AVERAGEIFS($C$2:C605, $B$2:B605, B605)</f>
        <v>20.368421052631579</v>
      </c>
      <c r="AB605" s="86">
        <f>AVERAGEIFS($I$2:I605, $B$2:B605, B605)</f>
        <v>0.53157894736842104</v>
      </c>
      <c r="AC605" s="86">
        <f>AVERAGEIFS($J$2:J605, $B$2:B605, B605)</f>
        <v>0.50105263157894731</v>
      </c>
      <c r="AD605" s="86">
        <f>AVERAGEIFS($D$2:D605, $B$2:B605, B605)</f>
        <v>0.57894736842105265</v>
      </c>
    </row>
    <row r="606" spans="1:30" x14ac:dyDescent="0.25">
      <c r="A606" s="85">
        <v>46165</v>
      </c>
      <c r="B606" t="s">
        <v>2</v>
      </c>
      <c r="C606">
        <v>29</v>
      </c>
      <c r="D606" s="86">
        <v>0</v>
      </c>
      <c r="E606">
        <v>5</v>
      </c>
      <c r="F606">
        <v>2</v>
      </c>
      <c r="G606">
        <v>23</v>
      </c>
      <c r="H606">
        <v>11</v>
      </c>
      <c r="I606">
        <v>0.4</v>
      </c>
      <c r="J606">
        <v>0.48</v>
      </c>
      <c r="K606">
        <v>0</v>
      </c>
      <c r="L606">
        <v>1</v>
      </c>
      <c r="M606">
        <v>0</v>
      </c>
      <c r="N606">
        <v>1</v>
      </c>
      <c r="O606">
        <v>0</v>
      </c>
      <c r="P606">
        <v>0</v>
      </c>
      <c r="Q606">
        <v>0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 s="86">
        <f>AVERAGEIFS($C$2:C606, $B$2:B606, B606)</f>
        <v>31.857142857142858</v>
      </c>
      <c r="AB606" s="86">
        <f>AVERAGEIFS($I$2:I606, $B$2:B606, B606)</f>
        <v>0.74285714285714288</v>
      </c>
      <c r="AC606" s="86">
        <f>AVERAGEIFS($J$2:J606, $B$2:B606, B606)</f>
        <v>0.58571428571428563</v>
      </c>
      <c r="AD606" s="86">
        <f>AVERAGEIFS($D$2:D606, $B$2:B606, B606)</f>
        <v>0.5714285714285714</v>
      </c>
    </row>
    <row r="607" spans="1:30" x14ac:dyDescent="0.25">
      <c r="A607" s="85">
        <v>46165</v>
      </c>
      <c r="B607" t="s">
        <v>19</v>
      </c>
      <c r="C607">
        <v>15</v>
      </c>
      <c r="D607" s="86">
        <v>0</v>
      </c>
      <c r="E607">
        <v>5</v>
      </c>
      <c r="F607">
        <v>2</v>
      </c>
      <c r="G607">
        <v>23</v>
      </c>
      <c r="H607">
        <v>11</v>
      </c>
      <c r="I607">
        <v>0.4</v>
      </c>
      <c r="J607">
        <v>0.48</v>
      </c>
      <c r="K607">
        <v>0</v>
      </c>
      <c r="L607">
        <v>1</v>
      </c>
      <c r="M607">
        <v>0</v>
      </c>
      <c r="N607">
        <v>1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0</v>
      </c>
      <c r="Y607">
        <v>0</v>
      </c>
      <c r="Z607">
        <v>0</v>
      </c>
      <c r="AA607" s="86">
        <f>AVERAGEIFS($C$2:C607, $B$2:B607, B607)</f>
        <v>13.272727272727273</v>
      </c>
      <c r="AB607" s="86">
        <f>AVERAGEIFS($I$2:I607, $B$2:B607, B607)</f>
        <v>0.61818181818181817</v>
      </c>
      <c r="AC607" s="86">
        <f>AVERAGEIFS($J$2:J607, $B$2:B607, B607)</f>
        <v>0.53545454545454552</v>
      </c>
      <c r="AD607" s="86">
        <f>AVERAGEIFS($D$2:D607, $B$2:B607, B607)</f>
        <v>0.54545454545454541</v>
      </c>
    </row>
    <row r="608" spans="1:30" x14ac:dyDescent="0.25">
      <c r="A608" s="85">
        <v>46165</v>
      </c>
      <c r="B608" t="s">
        <v>148</v>
      </c>
      <c r="C608">
        <v>19</v>
      </c>
      <c r="D608" s="86">
        <v>0</v>
      </c>
      <c r="E608">
        <v>5</v>
      </c>
      <c r="F608">
        <v>2</v>
      </c>
      <c r="G608">
        <v>23</v>
      </c>
      <c r="H608">
        <v>11</v>
      </c>
      <c r="I608">
        <v>0.4</v>
      </c>
      <c r="J608">
        <v>0.48</v>
      </c>
      <c r="K608">
        <v>0</v>
      </c>
      <c r="L608">
        <v>1</v>
      </c>
      <c r="M608">
        <v>0</v>
      </c>
      <c r="N608">
        <v>1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0</v>
      </c>
      <c r="Y608">
        <v>0</v>
      </c>
      <c r="Z608">
        <v>0</v>
      </c>
      <c r="AA608" s="86">
        <f>AVERAGEIFS($C$2:C608, $B$2:B608, B608)</f>
        <v>12.5</v>
      </c>
      <c r="AB608" s="86">
        <f>AVERAGEIFS($I$2:I608, $B$2:B608, B608)</f>
        <v>0.55588235294117638</v>
      </c>
      <c r="AC608" s="86">
        <f>AVERAGEIFS($J$2:J608, $B$2:B608, B608)</f>
        <v>0.52500000000000002</v>
      </c>
      <c r="AD608" s="86">
        <f>AVERAGEIFS($D$2:D608, $B$2:B608, B608)</f>
        <v>0.58823529411764708</v>
      </c>
    </row>
    <row r="609" spans="1:30" x14ac:dyDescent="0.25">
      <c r="A609" s="85">
        <v>46165</v>
      </c>
      <c r="B609" t="s">
        <v>29</v>
      </c>
      <c r="C609">
        <v>16</v>
      </c>
      <c r="D609" s="86">
        <v>0</v>
      </c>
      <c r="E609">
        <v>5</v>
      </c>
      <c r="F609">
        <v>2</v>
      </c>
      <c r="G609">
        <v>23</v>
      </c>
      <c r="H609">
        <v>11</v>
      </c>
      <c r="I609">
        <v>0.4</v>
      </c>
      <c r="J609">
        <v>0.48</v>
      </c>
      <c r="K609">
        <v>0</v>
      </c>
      <c r="L609">
        <v>1</v>
      </c>
      <c r="M609">
        <v>0</v>
      </c>
      <c r="N609">
        <v>1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0</v>
      </c>
      <c r="Z609">
        <v>0</v>
      </c>
      <c r="AA609" s="86">
        <f>AVERAGEIFS($C$2:C609, $B$2:B609, B609)</f>
        <v>11.4</v>
      </c>
      <c r="AB609" s="86">
        <f>AVERAGEIFS($I$2:I609, $B$2:B609, B609)</f>
        <v>0.44</v>
      </c>
      <c r="AC609" s="86">
        <f>AVERAGEIFS($J$2:J609, $B$2:B609, B609)</f>
        <v>0.48533333333333334</v>
      </c>
      <c r="AD609" s="86">
        <f>AVERAGEIFS($D$2:D609, $B$2:B609, B609)</f>
        <v>0.36666666666666664</v>
      </c>
    </row>
    <row r="610" spans="1:30" x14ac:dyDescent="0.25">
      <c r="A610" s="85">
        <v>46165</v>
      </c>
      <c r="B610" t="s">
        <v>141</v>
      </c>
      <c r="C610">
        <v>17</v>
      </c>
      <c r="D610" s="86">
        <v>0</v>
      </c>
      <c r="E610">
        <v>5</v>
      </c>
      <c r="F610">
        <v>2</v>
      </c>
      <c r="G610">
        <v>23</v>
      </c>
      <c r="H610">
        <v>11</v>
      </c>
      <c r="I610">
        <v>0.4</v>
      </c>
      <c r="J610">
        <v>0.48</v>
      </c>
      <c r="K610">
        <v>0</v>
      </c>
      <c r="L610">
        <v>1</v>
      </c>
      <c r="M610">
        <v>0</v>
      </c>
      <c r="N610">
        <v>1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A610" s="86">
        <f>AVERAGEIFS($C$2:C610, $B$2:B610, B610)</f>
        <v>16.933333333333334</v>
      </c>
      <c r="AB610" s="86">
        <f>AVERAGEIFS($I$2:I610, $B$2:B610, B610)</f>
        <v>0.45333333333333331</v>
      </c>
      <c r="AC610" s="86">
        <f>AVERAGEIFS($J$2:J610, $B$2:B610, B610)</f>
        <v>0.48800000000000004</v>
      </c>
      <c r="AD610" s="86">
        <f>AVERAGEIFS($D$2:D610, $B$2:B610, B610)</f>
        <v>0.4</v>
      </c>
    </row>
    <row r="611" spans="1:30" x14ac:dyDescent="0.25">
      <c r="A611" s="85">
        <v>46166</v>
      </c>
      <c r="B611" t="s">
        <v>26</v>
      </c>
      <c r="C611">
        <v>20</v>
      </c>
      <c r="D611" s="86">
        <v>0</v>
      </c>
      <c r="E611">
        <v>5</v>
      </c>
      <c r="F611">
        <v>2</v>
      </c>
      <c r="G611">
        <v>22</v>
      </c>
      <c r="H611">
        <v>10</v>
      </c>
      <c r="I611">
        <v>0.4</v>
      </c>
      <c r="J611">
        <v>0.45</v>
      </c>
      <c r="K611">
        <v>0</v>
      </c>
      <c r="L611">
        <v>1</v>
      </c>
      <c r="M611">
        <v>0</v>
      </c>
      <c r="N611">
        <v>0</v>
      </c>
      <c r="O611">
        <v>0</v>
      </c>
      <c r="P611">
        <v>1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0</v>
      </c>
      <c r="Z611">
        <v>0</v>
      </c>
      <c r="AA611" s="86">
        <f>AVERAGEIFS($C$2:C611, $B$2:B611, B611)</f>
        <v>15.526315789473685</v>
      </c>
      <c r="AB611" s="86">
        <f>AVERAGEIFS($I$2:I611, $B$2:B611, B611)</f>
        <v>0.5552631578947369</v>
      </c>
      <c r="AC611" s="86">
        <f>AVERAGEIFS($J$2:J611, $B$2:B611, B611)</f>
        <v>0.49368421052631573</v>
      </c>
      <c r="AD611" s="86">
        <f>AVERAGEIFS($D$2:D611, $B$2:B611, B611)</f>
        <v>0.52631578947368418</v>
      </c>
    </row>
    <row r="612" spans="1:30" x14ac:dyDescent="0.25">
      <c r="A612" s="85">
        <v>46166</v>
      </c>
      <c r="B612" t="s">
        <v>139</v>
      </c>
      <c r="C612">
        <v>21</v>
      </c>
      <c r="D612" s="86">
        <v>0</v>
      </c>
      <c r="E612">
        <v>5</v>
      </c>
      <c r="F612">
        <v>2</v>
      </c>
      <c r="G612">
        <v>22</v>
      </c>
      <c r="H612">
        <v>10</v>
      </c>
      <c r="I612">
        <v>0.4</v>
      </c>
      <c r="J612">
        <v>0.45</v>
      </c>
      <c r="K612">
        <v>0</v>
      </c>
      <c r="L612">
        <v>1</v>
      </c>
      <c r="M612">
        <v>0</v>
      </c>
      <c r="N612">
        <v>0</v>
      </c>
      <c r="O612">
        <v>0</v>
      </c>
      <c r="P612">
        <v>1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</v>
      </c>
      <c r="AA612" s="86">
        <f>AVERAGEIFS($C$2:C612, $B$2:B612, B612)</f>
        <v>11.3</v>
      </c>
      <c r="AB612" s="86">
        <f>AVERAGEIFS($I$2:I612, $B$2:B612, B612)</f>
        <v>0.38750000000000007</v>
      </c>
      <c r="AC612" s="86">
        <f>AVERAGEIFS($J$2:J612, $B$2:B612, B612)</f>
        <v>0.47149999999999997</v>
      </c>
      <c r="AD612" s="86">
        <f>AVERAGEIFS($D$2:D612, $B$2:B612, B612)</f>
        <v>0.4</v>
      </c>
    </row>
    <row r="613" spans="1:30" x14ac:dyDescent="0.25">
      <c r="A613" s="85">
        <v>46166</v>
      </c>
      <c r="B613" t="s">
        <v>28</v>
      </c>
      <c r="C613">
        <v>29</v>
      </c>
      <c r="D613" s="86">
        <v>0</v>
      </c>
      <c r="E613">
        <v>5</v>
      </c>
      <c r="F613">
        <v>2</v>
      </c>
      <c r="G613">
        <v>22</v>
      </c>
      <c r="H613">
        <v>10</v>
      </c>
      <c r="I613">
        <v>0.4</v>
      </c>
      <c r="J613">
        <v>0.45</v>
      </c>
      <c r="K613">
        <v>0</v>
      </c>
      <c r="L613">
        <v>1</v>
      </c>
      <c r="M613">
        <v>0</v>
      </c>
      <c r="N613">
        <v>0</v>
      </c>
      <c r="O613">
        <v>0</v>
      </c>
      <c r="P613">
        <v>1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 s="86">
        <f>AVERAGEIFS($C$2:C613, $B$2:B613, B613)</f>
        <v>22.5</v>
      </c>
      <c r="AB613" s="86">
        <f>AVERAGEIFS($I$2:I613, $B$2:B613, B613)</f>
        <v>0.46666666666666662</v>
      </c>
      <c r="AC613" s="86">
        <f>AVERAGEIFS($J$2:J613, $B$2:B613, B613)</f>
        <v>0.48000000000000004</v>
      </c>
      <c r="AD613" s="86">
        <f>AVERAGEIFS($D$2:D613, $B$2:B613, B613)</f>
        <v>0.33333333333333331</v>
      </c>
    </row>
    <row r="614" spans="1:30" x14ac:dyDescent="0.25">
      <c r="A614" s="85">
        <v>46166</v>
      </c>
      <c r="B614" t="s">
        <v>13</v>
      </c>
      <c r="C614">
        <v>34</v>
      </c>
      <c r="D614" s="86">
        <v>0</v>
      </c>
      <c r="E614">
        <v>5</v>
      </c>
      <c r="F614">
        <v>2</v>
      </c>
      <c r="G614">
        <v>22</v>
      </c>
      <c r="H614">
        <v>10</v>
      </c>
      <c r="I614">
        <v>0.4</v>
      </c>
      <c r="J614">
        <v>0.45</v>
      </c>
      <c r="K614">
        <v>0</v>
      </c>
      <c r="L614">
        <v>1</v>
      </c>
      <c r="M614">
        <v>0</v>
      </c>
      <c r="N614">
        <v>0</v>
      </c>
      <c r="O614">
        <v>0</v>
      </c>
      <c r="P614">
        <v>1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 s="86">
        <f>AVERAGEIFS($C$2:C614, $B$2:B614, B614)</f>
        <v>24.846153846153847</v>
      </c>
      <c r="AB614" s="86">
        <f>AVERAGEIFS($I$2:I614, $B$2:B614, B614)</f>
        <v>0.58461538461538454</v>
      </c>
      <c r="AC614" s="86">
        <f>AVERAGEIFS($J$2:J614, $B$2:B614, B614)</f>
        <v>0.55102564102564089</v>
      </c>
      <c r="AD614" s="86">
        <f>AVERAGEIFS($D$2:D614, $B$2:B614, B614)</f>
        <v>0.58974358974358976</v>
      </c>
    </row>
    <row r="615" spans="1:30" x14ac:dyDescent="0.25">
      <c r="A615" s="85">
        <v>46166</v>
      </c>
      <c r="B615" t="s">
        <v>17</v>
      </c>
      <c r="C615">
        <v>49</v>
      </c>
      <c r="D615" s="86">
        <v>0</v>
      </c>
      <c r="E615">
        <v>5</v>
      </c>
      <c r="F615">
        <v>2</v>
      </c>
      <c r="G615">
        <v>22</v>
      </c>
      <c r="H615">
        <v>10</v>
      </c>
      <c r="I615">
        <v>0.4</v>
      </c>
      <c r="J615">
        <v>0.45</v>
      </c>
      <c r="K615">
        <v>0</v>
      </c>
      <c r="L615">
        <v>1</v>
      </c>
      <c r="M615">
        <v>0</v>
      </c>
      <c r="N615">
        <v>0</v>
      </c>
      <c r="O615">
        <v>0</v>
      </c>
      <c r="P615">
        <v>1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 s="86">
        <f>AVERAGEIFS($C$2:C615, $B$2:B615, B615)</f>
        <v>23.9</v>
      </c>
      <c r="AB615" s="86">
        <f>AVERAGEIFS($I$2:I615, $B$2:B615, B615)</f>
        <v>0.40666666666666668</v>
      </c>
      <c r="AC615" s="86">
        <f>AVERAGEIFS($J$2:J615, $B$2:B615, B615)</f>
        <v>0.46933333333333321</v>
      </c>
      <c r="AD615" s="86">
        <f>AVERAGEIFS($D$2:D615, $B$2:B615, B615)</f>
        <v>0.4</v>
      </c>
    </row>
    <row r="616" spans="1:30" x14ac:dyDescent="0.25">
      <c r="A616" s="85">
        <v>46166</v>
      </c>
      <c r="B616" t="s">
        <v>148</v>
      </c>
      <c r="C616">
        <v>27</v>
      </c>
      <c r="D616" s="86">
        <v>0</v>
      </c>
      <c r="E616">
        <v>5</v>
      </c>
      <c r="F616">
        <v>2</v>
      </c>
      <c r="G616">
        <v>22</v>
      </c>
      <c r="H616">
        <v>10</v>
      </c>
      <c r="I616">
        <v>0.4</v>
      </c>
      <c r="J616">
        <v>0.45</v>
      </c>
      <c r="K616">
        <v>0</v>
      </c>
      <c r="L616">
        <v>1</v>
      </c>
      <c r="M616">
        <v>0</v>
      </c>
      <c r="N616">
        <v>0</v>
      </c>
      <c r="O616">
        <v>0</v>
      </c>
      <c r="P616">
        <v>1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 s="86">
        <f>AVERAGEIFS($C$2:C616, $B$2:B616, B616)</f>
        <v>12.914285714285715</v>
      </c>
      <c r="AB616" s="86">
        <f>AVERAGEIFS($I$2:I616, $B$2:B616, B616)</f>
        <v>0.55142857142857138</v>
      </c>
      <c r="AC616" s="86">
        <f>AVERAGEIFS($J$2:J616, $B$2:B616, B616)</f>
        <v>0.52285714285714291</v>
      </c>
      <c r="AD616" s="86">
        <f>AVERAGEIFS($D$2:D616, $B$2:B616, B616)</f>
        <v>0.5714285714285714</v>
      </c>
    </row>
    <row r="617" spans="1:30" x14ac:dyDescent="0.25">
      <c r="A617" s="85">
        <v>46166</v>
      </c>
      <c r="B617" t="s">
        <v>35</v>
      </c>
      <c r="C617">
        <v>21</v>
      </c>
      <c r="D617" s="86">
        <v>1</v>
      </c>
      <c r="E617">
        <v>5</v>
      </c>
      <c r="F617">
        <v>3</v>
      </c>
      <c r="G617">
        <v>22</v>
      </c>
      <c r="H617">
        <v>12</v>
      </c>
      <c r="I617">
        <v>0.6</v>
      </c>
      <c r="J617">
        <v>0.55000000000000004</v>
      </c>
      <c r="K617">
        <v>0</v>
      </c>
      <c r="L617">
        <v>0</v>
      </c>
      <c r="M617">
        <v>0</v>
      </c>
      <c r="N617">
        <v>0</v>
      </c>
      <c r="O617">
        <v>1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1</v>
      </c>
      <c r="X617">
        <v>1</v>
      </c>
      <c r="Y617">
        <v>0</v>
      </c>
      <c r="Z617">
        <v>0</v>
      </c>
      <c r="AA617" s="86">
        <f>AVERAGEIFS($C$2:C617, $B$2:B617, B617)</f>
        <v>13.36</v>
      </c>
      <c r="AB617" s="86">
        <f>AVERAGEIFS($I$2:I617, $B$2:B617, B617)</f>
        <v>0.52999999999999992</v>
      </c>
      <c r="AC617" s="86">
        <f>AVERAGEIFS($J$2:J617, $B$2:B617, B617)</f>
        <v>0.49640000000000006</v>
      </c>
      <c r="AD617" s="86">
        <f>AVERAGEIFS($D$2:D617, $B$2:B617, B617)</f>
        <v>0.6</v>
      </c>
    </row>
    <row r="618" spans="1:30" x14ac:dyDescent="0.25">
      <c r="A618" s="85">
        <v>46166</v>
      </c>
      <c r="B618" t="s">
        <v>27</v>
      </c>
      <c r="C618">
        <v>30</v>
      </c>
      <c r="D618" s="86">
        <v>1</v>
      </c>
      <c r="E618">
        <v>5</v>
      </c>
      <c r="F618">
        <v>3</v>
      </c>
      <c r="G618">
        <v>22</v>
      </c>
      <c r="H618">
        <v>12</v>
      </c>
      <c r="I618">
        <v>0.6</v>
      </c>
      <c r="J618">
        <v>0.55000000000000004</v>
      </c>
      <c r="K618">
        <v>0</v>
      </c>
      <c r="L618">
        <v>0</v>
      </c>
      <c r="M618">
        <v>0</v>
      </c>
      <c r="N618">
        <v>0</v>
      </c>
      <c r="O618">
        <v>1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1</v>
      </c>
      <c r="X618">
        <v>1</v>
      </c>
      <c r="Y618">
        <v>0</v>
      </c>
      <c r="Z618">
        <v>0</v>
      </c>
      <c r="AA618" s="86">
        <f>AVERAGEIFS($C$2:C618, $B$2:B618, B618)</f>
        <v>17.307692307692307</v>
      </c>
      <c r="AB618" s="86">
        <f>AVERAGEIFS($I$2:I618, $B$2:B618, B618)</f>
        <v>0.58461538461538454</v>
      </c>
      <c r="AC618" s="86">
        <f>AVERAGEIFS($J$2:J618, $B$2:B618, B618)</f>
        <v>0.54846153846153856</v>
      </c>
      <c r="AD618" s="86">
        <f>AVERAGEIFS($D$2:D618, $B$2:B618, B618)</f>
        <v>0.69230769230769229</v>
      </c>
    </row>
    <row r="619" spans="1:30" x14ac:dyDescent="0.25">
      <c r="A619" s="85">
        <v>46166</v>
      </c>
      <c r="B619" t="s">
        <v>19</v>
      </c>
      <c r="C619">
        <v>19</v>
      </c>
      <c r="D619" s="86">
        <v>1</v>
      </c>
      <c r="E619">
        <v>5</v>
      </c>
      <c r="F619">
        <v>3</v>
      </c>
      <c r="G619">
        <v>22</v>
      </c>
      <c r="H619">
        <v>12</v>
      </c>
      <c r="I619">
        <v>0.6</v>
      </c>
      <c r="J619">
        <v>0.55000000000000004</v>
      </c>
      <c r="K619">
        <v>0</v>
      </c>
      <c r="L619">
        <v>0</v>
      </c>
      <c r="M619">
        <v>0</v>
      </c>
      <c r="N619">
        <v>0</v>
      </c>
      <c r="O619">
        <v>1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1</v>
      </c>
      <c r="X619">
        <v>1</v>
      </c>
      <c r="Y619">
        <v>0</v>
      </c>
      <c r="Z619">
        <v>0</v>
      </c>
      <c r="AA619" s="86">
        <f>AVERAGEIFS($C$2:C619, $B$2:B619, B619)</f>
        <v>13.75</v>
      </c>
      <c r="AB619" s="86">
        <f>AVERAGEIFS($I$2:I619, $B$2:B619, B619)</f>
        <v>0.61666666666666659</v>
      </c>
      <c r="AC619" s="86">
        <f>AVERAGEIFS($J$2:J619, $B$2:B619, B619)</f>
        <v>0.53666666666666674</v>
      </c>
      <c r="AD619" s="86">
        <f>AVERAGEIFS($D$2:D619, $B$2:B619, B619)</f>
        <v>0.58333333333333337</v>
      </c>
    </row>
    <row r="620" spans="1:30" x14ac:dyDescent="0.25">
      <c r="A620" s="85">
        <v>46166</v>
      </c>
      <c r="B620" t="s">
        <v>15</v>
      </c>
      <c r="C620">
        <v>33</v>
      </c>
      <c r="D620" s="86">
        <v>1</v>
      </c>
      <c r="E620">
        <v>5</v>
      </c>
      <c r="F620">
        <v>3</v>
      </c>
      <c r="G620">
        <v>22</v>
      </c>
      <c r="H620">
        <v>12</v>
      </c>
      <c r="I620">
        <v>0.6</v>
      </c>
      <c r="J620">
        <v>0.55000000000000004</v>
      </c>
      <c r="K620">
        <v>0</v>
      </c>
      <c r="L620">
        <v>0</v>
      </c>
      <c r="M620">
        <v>0</v>
      </c>
      <c r="N620">
        <v>0</v>
      </c>
      <c r="O620">
        <v>1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1</v>
      </c>
      <c r="X620">
        <v>1</v>
      </c>
      <c r="Y620">
        <v>0</v>
      </c>
      <c r="Z620">
        <v>0</v>
      </c>
      <c r="AA620" s="86">
        <f>AVERAGEIFS($C$2:C620, $B$2:B620, B620)</f>
        <v>21.08</v>
      </c>
      <c r="AB620" s="86">
        <f>AVERAGEIFS($I$2:I620, $B$2:B620, B620)</f>
        <v>0.49399999999999994</v>
      </c>
      <c r="AC620" s="86">
        <f>AVERAGEIFS($J$2:J620, $B$2:B620, B620)</f>
        <v>0.5072000000000001</v>
      </c>
      <c r="AD620" s="86">
        <f>AVERAGEIFS($D$2:D620, $B$2:B620, B620)</f>
        <v>0.52</v>
      </c>
    </row>
    <row r="621" spans="1:30" x14ac:dyDescent="0.25">
      <c r="A621" s="85">
        <v>46166</v>
      </c>
      <c r="B621" t="s">
        <v>14</v>
      </c>
      <c r="C621">
        <v>54</v>
      </c>
      <c r="D621" s="86">
        <v>1</v>
      </c>
      <c r="E621">
        <v>5</v>
      </c>
      <c r="F621">
        <v>3</v>
      </c>
      <c r="G621">
        <v>22</v>
      </c>
      <c r="H621">
        <v>12</v>
      </c>
      <c r="I621">
        <v>0.6</v>
      </c>
      <c r="J621">
        <v>0.55000000000000004</v>
      </c>
      <c r="K621">
        <v>0</v>
      </c>
      <c r="L621">
        <v>0</v>
      </c>
      <c r="M621">
        <v>0</v>
      </c>
      <c r="N621">
        <v>0</v>
      </c>
      <c r="O621">
        <v>1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1</v>
      </c>
      <c r="X621">
        <v>1</v>
      </c>
      <c r="Y621">
        <v>0</v>
      </c>
      <c r="Z621">
        <v>0</v>
      </c>
      <c r="AA621" s="86">
        <f>AVERAGEIFS($C$2:C621, $B$2:B621, B621)</f>
        <v>22.458333333333332</v>
      </c>
      <c r="AB621" s="86">
        <f>AVERAGEIFS($I$2:I621, $B$2:B621, B621)</f>
        <v>0.41666666666666669</v>
      </c>
      <c r="AC621" s="86">
        <f>AVERAGEIFS($J$2:J621, $B$2:B621, B621)</f>
        <v>0.45208333333333334</v>
      </c>
      <c r="AD621" s="86">
        <f>AVERAGEIFS($D$2:D621, $B$2:B621, B621)</f>
        <v>0.375</v>
      </c>
    </row>
    <row r="622" spans="1:30" x14ac:dyDescent="0.25">
      <c r="A622" s="85">
        <v>46166</v>
      </c>
      <c r="B622" t="s">
        <v>155</v>
      </c>
      <c r="C622">
        <v>26</v>
      </c>
      <c r="D622" s="86">
        <v>1</v>
      </c>
      <c r="E622">
        <v>5</v>
      </c>
      <c r="F622">
        <v>3</v>
      </c>
      <c r="G622">
        <v>22</v>
      </c>
      <c r="H622">
        <v>12</v>
      </c>
      <c r="I622">
        <v>0.6</v>
      </c>
      <c r="J622">
        <v>0.55000000000000004</v>
      </c>
      <c r="K622">
        <v>0</v>
      </c>
      <c r="L622">
        <v>0</v>
      </c>
      <c r="M622">
        <v>0</v>
      </c>
      <c r="N622">
        <v>0</v>
      </c>
      <c r="O622">
        <v>1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1</v>
      </c>
      <c r="X622">
        <v>1</v>
      </c>
      <c r="Y622">
        <v>0</v>
      </c>
      <c r="Z622">
        <v>0</v>
      </c>
      <c r="AA622" s="86">
        <f>AVERAGEIFS($C$2:C622, $B$2:B622, B622)</f>
        <v>18.774193548387096</v>
      </c>
      <c r="AB622" s="86">
        <f>AVERAGEIFS($I$2:I622, $B$2:B622, B622)</f>
        <v>0.3887096774193548</v>
      </c>
      <c r="AC622" s="86">
        <f>AVERAGEIFS($J$2:J622, $B$2:B622, B622)</f>
        <v>0.46258064516129044</v>
      </c>
      <c r="AD622" s="86">
        <f>AVERAGEIFS($D$2:D622, $B$2:B622, B622)</f>
        <v>0.35483870967741937</v>
      </c>
    </row>
    <row r="623" spans="1:30" x14ac:dyDescent="0.25">
      <c r="A623" s="85">
        <v>46167</v>
      </c>
      <c r="B623" t="s">
        <v>2</v>
      </c>
      <c r="C623">
        <v>19</v>
      </c>
      <c r="D623" s="86">
        <v>0</v>
      </c>
      <c r="E623">
        <v>4</v>
      </c>
      <c r="F623">
        <v>1</v>
      </c>
      <c r="G623">
        <v>16</v>
      </c>
      <c r="H623">
        <v>7</v>
      </c>
      <c r="I623">
        <v>0.25</v>
      </c>
      <c r="J623">
        <v>0.44</v>
      </c>
      <c r="K623">
        <v>0</v>
      </c>
      <c r="L623">
        <v>0</v>
      </c>
      <c r="M623">
        <v>0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1</v>
      </c>
      <c r="Y623">
        <v>0</v>
      </c>
      <c r="Z623">
        <v>0</v>
      </c>
      <c r="AA623" s="86">
        <f>AVERAGEIFS($C$2:C623, $B$2:B623, B623)</f>
        <v>30.25</v>
      </c>
      <c r="AB623" s="86">
        <f>AVERAGEIFS($I$2:I623, $B$2:B623, B623)</f>
        <v>0.68125000000000002</v>
      </c>
      <c r="AC623" s="86">
        <f>AVERAGEIFS($J$2:J623, $B$2:B623, B623)</f>
        <v>0.5675</v>
      </c>
      <c r="AD623" s="86">
        <f>AVERAGEIFS($D$2:D623, $B$2:B623, B623)</f>
        <v>0.5</v>
      </c>
    </row>
    <row r="624" spans="1:30" x14ac:dyDescent="0.25">
      <c r="A624" s="85">
        <v>46167</v>
      </c>
      <c r="B624" t="s">
        <v>6</v>
      </c>
      <c r="C624">
        <v>17</v>
      </c>
      <c r="D624" s="86">
        <v>0</v>
      </c>
      <c r="E624">
        <v>4</v>
      </c>
      <c r="F624">
        <v>1</v>
      </c>
      <c r="G624">
        <v>16</v>
      </c>
      <c r="H624">
        <v>7</v>
      </c>
      <c r="I624">
        <v>0.25</v>
      </c>
      <c r="J624">
        <v>0.44</v>
      </c>
      <c r="K624">
        <v>0</v>
      </c>
      <c r="L624">
        <v>0</v>
      </c>
      <c r="M624">
        <v>0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1</v>
      </c>
      <c r="Y624">
        <v>0</v>
      </c>
      <c r="Z624">
        <v>0</v>
      </c>
      <c r="AA624" s="86">
        <f>AVERAGEIFS($C$2:C624, $B$2:B624, B624)</f>
        <v>25.466666666666665</v>
      </c>
      <c r="AB624" s="86">
        <f>AVERAGEIFS($I$2:I624, $B$2:B624, B624)</f>
        <v>0.60999999999999988</v>
      </c>
      <c r="AC624" s="86">
        <f>AVERAGEIFS($J$2:J624, $B$2:B624, B624)</f>
        <v>0.56866666666666665</v>
      </c>
      <c r="AD624" s="86">
        <f>AVERAGEIFS($D$2:D624, $B$2:B624, B624)</f>
        <v>0.6</v>
      </c>
    </row>
    <row r="625" spans="1:30" x14ac:dyDescent="0.25">
      <c r="A625" s="85">
        <v>46167</v>
      </c>
      <c r="B625" t="s">
        <v>71</v>
      </c>
      <c r="C625">
        <v>12</v>
      </c>
      <c r="D625" s="86">
        <v>0</v>
      </c>
      <c r="E625">
        <v>4</v>
      </c>
      <c r="F625">
        <v>1</v>
      </c>
      <c r="G625">
        <v>16</v>
      </c>
      <c r="H625">
        <v>7</v>
      </c>
      <c r="I625">
        <v>0.25</v>
      </c>
      <c r="J625">
        <v>0.44</v>
      </c>
      <c r="K625">
        <v>0</v>
      </c>
      <c r="L625">
        <v>0</v>
      </c>
      <c r="M625">
        <v>0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1</v>
      </c>
      <c r="Y625">
        <v>0</v>
      </c>
      <c r="Z625">
        <v>0</v>
      </c>
      <c r="AA625" s="86">
        <f>AVERAGEIFS($C$2:C625, $B$2:B625, B625)</f>
        <v>11.333333333333334</v>
      </c>
      <c r="AB625" s="86">
        <f>AVERAGEIFS($I$2:I625, $B$2:B625, B625)</f>
        <v>0.48333333333333334</v>
      </c>
      <c r="AC625" s="86">
        <f>AVERAGEIFS($J$2:J625, $B$2:B625, B625)</f>
        <v>0.49666666666666665</v>
      </c>
      <c r="AD625" s="86">
        <f>AVERAGEIFS($D$2:D625, $B$2:B625, B625)</f>
        <v>0.66666666666666663</v>
      </c>
    </row>
    <row r="626" spans="1:30" x14ac:dyDescent="0.25">
      <c r="A626" s="85">
        <v>46167</v>
      </c>
      <c r="B626" t="s">
        <v>148</v>
      </c>
      <c r="C626">
        <v>10</v>
      </c>
      <c r="D626" s="86">
        <v>0</v>
      </c>
      <c r="E626">
        <v>4</v>
      </c>
      <c r="F626">
        <v>1</v>
      </c>
      <c r="G626">
        <v>16</v>
      </c>
      <c r="H626">
        <v>7</v>
      </c>
      <c r="I626">
        <v>0.25</v>
      </c>
      <c r="J626">
        <v>0.44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1</v>
      </c>
      <c r="Y626">
        <v>0</v>
      </c>
      <c r="Z626">
        <v>0</v>
      </c>
      <c r="AA626" s="86">
        <f>AVERAGEIFS($C$2:C626, $B$2:B626, B626)</f>
        <v>12.833333333333334</v>
      </c>
      <c r="AB626" s="86">
        <f>AVERAGEIFS($I$2:I626, $B$2:B626, B626)</f>
        <v>0.54305555555555551</v>
      </c>
      <c r="AC626" s="86">
        <f>AVERAGEIFS($J$2:J626, $B$2:B626, B626)</f>
        <v>0.52055555555555566</v>
      </c>
      <c r="AD626" s="86">
        <f>AVERAGEIFS($D$2:D626, $B$2:B626, B626)</f>
        <v>0.55555555555555558</v>
      </c>
    </row>
    <row r="627" spans="1:30" x14ac:dyDescent="0.25">
      <c r="A627" s="85">
        <v>46167</v>
      </c>
      <c r="B627" t="s">
        <v>150</v>
      </c>
      <c r="C627">
        <v>10</v>
      </c>
      <c r="D627" s="86">
        <v>0</v>
      </c>
      <c r="E627">
        <v>4</v>
      </c>
      <c r="F627">
        <v>1</v>
      </c>
      <c r="G627">
        <v>16</v>
      </c>
      <c r="H627">
        <v>7</v>
      </c>
      <c r="I627">
        <v>0.25</v>
      </c>
      <c r="J627">
        <v>0.44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1</v>
      </c>
      <c r="Y627">
        <v>0</v>
      </c>
      <c r="Z627">
        <v>0</v>
      </c>
      <c r="AA627" s="86">
        <f>AVERAGEIFS($C$2:C627, $B$2:B627, B627)</f>
        <v>18.235294117647058</v>
      </c>
      <c r="AB627" s="86">
        <f>AVERAGEIFS($I$2:I627, $B$2:B627, B627)</f>
        <v>0.66176470588235292</v>
      </c>
      <c r="AC627" s="86">
        <f>AVERAGEIFS($J$2:J627, $B$2:B627, B627)</f>
        <v>0.59235294117647042</v>
      </c>
      <c r="AD627" s="86">
        <f>AVERAGEIFS($D$2:D627, $B$2:B627, B627)</f>
        <v>0.70588235294117652</v>
      </c>
    </row>
    <row r="628" spans="1:30" x14ac:dyDescent="0.25">
      <c r="A628" s="85">
        <v>46167</v>
      </c>
      <c r="B628" t="s">
        <v>141</v>
      </c>
      <c r="C628">
        <v>5</v>
      </c>
      <c r="D628" s="86">
        <v>0</v>
      </c>
      <c r="E628">
        <v>4</v>
      </c>
      <c r="F628">
        <v>1</v>
      </c>
      <c r="G628">
        <v>16</v>
      </c>
      <c r="H628">
        <v>7</v>
      </c>
      <c r="I628">
        <v>0.25</v>
      </c>
      <c r="J628">
        <v>0.44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1</v>
      </c>
      <c r="Y628">
        <v>0</v>
      </c>
      <c r="Z628">
        <v>0</v>
      </c>
      <c r="AA628" s="86">
        <f>AVERAGEIFS($C$2:C628, $B$2:B628, B628)</f>
        <v>16.1875</v>
      </c>
      <c r="AB628" s="86">
        <f>AVERAGEIFS($I$2:I628, $B$2:B628, B628)</f>
        <v>0.44062499999999999</v>
      </c>
      <c r="AC628" s="86">
        <f>AVERAGEIFS($J$2:J628, $B$2:B628, B628)</f>
        <v>0.48500000000000004</v>
      </c>
      <c r="AD628" s="86">
        <f>AVERAGEIFS($D$2:D628, $B$2:B628, B628)</f>
        <v>0.375</v>
      </c>
    </row>
    <row r="629" spans="1:30" x14ac:dyDescent="0.25">
      <c r="A629" s="85">
        <v>46167</v>
      </c>
      <c r="B629" t="s">
        <v>14</v>
      </c>
      <c r="C629">
        <v>13</v>
      </c>
      <c r="D629" s="86">
        <v>1</v>
      </c>
      <c r="E629">
        <v>4</v>
      </c>
      <c r="F629">
        <v>3</v>
      </c>
      <c r="G629">
        <v>16</v>
      </c>
      <c r="H629">
        <v>9</v>
      </c>
      <c r="I629">
        <v>0.75</v>
      </c>
      <c r="J629">
        <v>0.56000000000000005</v>
      </c>
      <c r="K629">
        <v>0</v>
      </c>
      <c r="L629">
        <v>0</v>
      </c>
      <c r="M629">
        <v>1</v>
      </c>
      <c r="N629">
        <v>1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1</v>
      </c>
      <c r="AA629" s="86">
        <f>AVERAGEIFS($C$2:C629, $B$2:B629, B629)</f>
        <v>22.08</v>
      </c>
      <c r="AB629" s="86">
        <f>AVERAGEIFS($I$2:I629, $B$2:B629, B629)</f>
        <v>0.43</v>
      </c>
      <c r="AC629" s="86">
        <f>AVERAGEIFS($J$2:J629, $B$2:B629, B629)</f>
        <v>0.45640000000000003</v>
      </c>
      <c r="AD629" s="86">
        <f>AVERAGEIFS($D$2:D629, $B$2:B629, B629)</f>
        <v>0.4</v>
      </c>
    </row>
    <row r="630" spans="1:30" x14ac:dyDescent="0.25">
      <c r="A630" s="85">
        <v>46167</v>
      </c>
      <c r="B630" t="s">
        <v>18</v>
      </c>
      <c r="C630">
        <v>5</v>
      </c>
      <c r="D630" s="86">
        <v>1</v>
      </c>
      <c r="E630">
        <v>4</v>
      </c>
      <c r="F630">
        <v>3</v>
      </c>
      <c r="G630">
        <v>16</v>
      </c>
      <c r="H630">
        <v>9</v>
      </c>
      <c r="I630">
        <v>0.75</v>
      </c>
      <c r="J630">
        <v>0.56000000000000005</v>
      </c>
      <c r="K630">
        <v>0</v>
      </c>
      <c r="L630">
        <v>0</v>
      </c>
      <c r="M630">
        <v>1</v>
      </c>
      <c r="N630">
        <v>1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1</v>
      </c>
      <c r="AA630" s="86">
        <f>AVERAGEIFS($C$2:C630, $B$2:B630, B630)</f>
        <v>26.38095238095238</v>
      </c>
      <c r="AB630" s="86">
        <f>AVERAGEIFS($I$2:I630, $B$2:B630, B630)</f>
        <v>0.52380952380952384</v>
      </c>
      <c r="AC630" s="86">
        <f>AVERAGEIFS($J$2:J630, $B$2:B630, B630)</f>
        <v>0.51666666666666672</v>
      </c>
      <c r="AD630" s="86">
        <f>AVERAGEIFS($D$2:D630, $B$2:B630, B630)</f>
        <v>0.5714285714285714</v>
      </c>
    </row>
    <row r="631" spans="1:30" x14ac:dyDescent="0.25">
      <c r="A631" s="85">
        <v>46167</v>
      </c>
      <c r="B631" t="s">
        <v>155</v>
      </c>
      <c r="C631">
        <v>19</v>
      </c>
      <c r="D631" s="86">
        <v>1</v>
      </c>
      <c r="E631">
        <v>4</v>
      </c>
      <c r="F631">
        <v>3</v>
      </c>
      <c r="G631">
        <v>16</v>
      </c>
      <c r="H631">
        <v>9</v>
      </c>
      <c r="I631">
        <v>0.75</v>
      </c>
      <c r="J631">
        <v>0.56000000000000005</v>
      </c>
      <c r="K631">
        <v>0</v>
      </c>
      <c r="L631">
        <v>0</v>
      </c>
      <c r="M631">
        <v>1</v>
      </c>
      <c r="N631">
        <v>1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1</v>
      </c>
      <c r="AA631" s="86">
        <f>AVERAGEIFS($C$2:C631, $B$2:B631, B631)</f>
        <v>18.78125</v>
      </c>
      <c r="AB631" s="86">
        <f>AVERAGEIFS($I$2:I631, $B$2:B631, B631)</f>
        <v>0.39999999999999997</v>
      </c>
      <c r="AC631" s="86">
        <f>AVERAGEIFS($J$2:J631, $B$2:B631, B631)</f>
        <v>0.46562500000000012</v>
      </c>
      <c r="AD631" s="86">
        <f>AVERAGEIFS($D$2:D631, $B$2:B631, B631)</f>
        <v>0.375</v>
      </c>
    </row>
    <row r="632" spans="1:30" x14ac:dyDescent="0.25">
      <c r="A632" s="85">
        <v>46167</v>
      </c>
      <c r="B632" t="s">
        <v>113</v>
      </c>
      <c r="C632">
        <v>16</v>
      </c>
      <c r="D632" s="86">
        <v>1</v>
      </c>
      <c r="E632">
        <v>4</v>
      </c>
      <c r="F632">
        <v>3</v>
      </c>
      <c r="G632">
        <v>16</v>
      </c>
      <c r="H632">
        <v>9</v>
      </c>
      <c r="I632">
        <v>0.75</v>
      </c>
      <c r="J632">
        <v>0.56000000000000005</v>
      </c>
      <c r="K632">
        <v>0</v>
      </c>
      <c r="L632">
        <v>0</v>
      </c>
      <c r="M632">
        <v>1</v>
      </c>
      <c r="N632">
        <v>1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1</v>
      </c>
      <c r="AA632" s="86">
        <f>AVERAGEIFS($C$2:C632, $B$2:B632, B632)</f>
        <v>20.866666666666667</v>
      </c>
      <c r="AB632" s="86">
        <f>AVERAGEIFS($I$2:I632, $B$2:B632, B632)</f>
        <v>0.59</v>
      </c>
      <c r="AC632" s="86">
        <f>AVERAGEIFS($J$2:J632, $B$2:B632, B632)</f>
        <v>0.52399999999999991</v>
      </c>
      <c r="AD632" s="86">
        <f>AVERAGEIFS($D$2:D632, $B$2:B632, B632)</f>
        <v>0.66666666666666663</v>
      </c>
    </row>
    <row r="633" spans="1:30" x14ac:dyDescent="0.25">
      <c r="A633" s="85">
        <v>46167</v>
      </c>
      <c r="B633" t="s">
        <v>35</v>
      </c>
      <c r="C633">
        <v>5</v>
      </c>
      <c r="D633" s="86">
        <v>1</v>
      </c>
      <c r="E633">
        <v>4</v>
      </c>
      <c r="F633">
        <v>3</v>
      </c>
      <c r="G633">
        <v>16</v>
      </c>
      <c r="H633">
        <v>9</v>
      </c>
      <c r="I633">
        <v>0.75</v>
      </c>
      <c r="J633">
        <v>0.56000000000000005</v>
      </c>
      <c r="K633">
        <v>0</v>
      </c>
      <c r="L633">
        <v>0</v>
      </c>
      <c r="M633">
        <v>1</v>
      </c>
      <c r="N633">
        <v>1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1</v>
      </c>
      <c r="AA633" s="86">
        <f>AVERAGEIFS($C$2:C633, $B$2:B633, B633)</f>
        <v>13.038461538461538</v>
      </c>
      <c r="AB633" s="86">
        <f>AVERAGEIFS($I$2:I633, $B$2:B633, B633)</f>
        <v>0.53846153846153844</v>
      </c>
      <c r="AC633" s="86">
        <f>AVERAGEIFS($J$2:J633, $B$2:B633, B633)</f>
        <v>0.49884615384615394</v>
      </c>
      <c r="AD633" s="86">
        <f>AVERAGEIFS($D$2:D633, $B$2:B633, B633)</f>
        <v>0.61538461538461542</v>
      </c>
    </row>
    <row r="634" spans="1:30" x14ac:dyDescent="0.25">
      <c r="A634" s="85">
        <v>46167</v>
      </c>
      <c r="B634" t="s">
        <v>179</v>
      </c>
      <c r="C634">
        <v>16</v>
      </c>
      <c r="D634" s="86">
        <v>1</v>
      </c>
      <c r="E634">
        <v>4</v>
      </c>
      <c r="F634">
        <v>3</v>
      </c>
      <c r="G634">
        <v>16</v>
      </c>
      <c r="H634">
        <v>9</v>
      </c>
      <c r="I634">
        <v>0.75</v>
      </c>
      <c r="J634">
        <v>0.56000000000000005</v>
      </c>
      <c r="K634">
        <v>0</v>
      </c>
      <c r="L634">
        <v>0</v>
      </c>
      <c r="M634">
        <v>1</v>
      </c>
      <c r="N634">
        <v>1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1</v>
      </c>
      <c r="AA634" s="86">
        <f>AVERAGEIFS($C$2:C634, $B$2:B634, B634)</f>
        <v>14.25</v>
      </c>
      <c r="AB634" s="86">
        <f>AVERAGEIFS($I$2:I634, $B$2:B634, B634)</f>
        <v>0.84375</v>
      </c>
      <c r="AC634" s="86">
        <f>AVERAGEIFS($J$2:J634, $B$2:B634, B634)</f>
        <v>0.61125000000000007</v>
      </c>
      <c r="AD634" s="86">
        <f>AVERAGEIFS($D$2:D634, $B$2:B634, B634)</f>
        <v>0.875</v>
      </c>
    </row>
    <row r="635" spans="1:30" x14ac:dyDescent="0.25">
      <c r="A635" s="85">
        <v>46167</v>
      </c>
      <c r="B635" t="s">
        <v>38</v>
      </c>
      <c r="C635">
        <v>7</v>
      </c>
      <c r="D635" s="86">
        <v>1</v>
      </c>
      <c r="E635">
        <v>4</v>
      </c>
      <c r="F635">
        <v>3</v>
      </c>
      <c r="G635">
        <v>16</v>
      </c>
      <c r="H635">
        <v>9</v>
      </c>
      <c r="I635">
        <v>0.75</v>
      </c>
      <c r="J635">
        <v>0.56000000000000005</v>
      </c>
      <c r="K635">
        <v>0</v>
      </c>
      <c r="L635">
        <v>0</v>
      </c>
      <c r="M635">
        <v>1</v>
      </c>
      <c r="N635">
        <v>1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1</v>
      </c>
      <c r="AA635" s="86">
        <f>AVERAGEIFS($C$2:C635, $B$2:B635, B635)</f>
        <v>9.6666666666666661</v>
      </c>
      <c r="AB635" s="86">
        <f>AVERAGEIFS($I$2:I635, $B$2:B635, B635)</f>
        <v>0.45833333333333331</v>
      </c>
      <c r="AC635" s="86">
        <f>AVERAGEIFS($J$2:J635, $B$2:B635, B635)</f>
        <v>0.48416666666666658</v>
      </c>
      <c r="AD635" s="86">
        <f>AVERAGEIFS($D$2:D635, $B$2:B635, B635)</f>
        <v>0.5</v>
      </c>
    </row>
  </sheetData>
  <autoFilter ref="A1:AD554" xr:uid="{4D149F3A-41D8-4DA9-BFC4-DDE1AD24595A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03B8F-669F-4FC0-BA62-50F3D395660C}">
  <dimension ref="A1:AD45"/>
  <sheetViews>
    <sheetView workbookViewId="0">
      <selection activeCell="J2" sqref="J2:K37"/>
    </sheetView>
  </sheetViews>
  <sheetFormatPr defaultRowHeight="15" x14ac:dyDescent="0.25"/>
  <cols>
    <col min="1" max="1" width="11.570312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0.7109375" bestFit="1" customWidth="1"/>
    <col min="26" max="27" width="12.85546875" bestFit="1" customWidth="1"/>
    <col min="28" max="28" width="12.7109375" bestFit="1" customWidth="1"/>
    <col min="29" max="29" width="13.85546875" bestFit="1" customWidth="1"/>
    <col min="30" max="30" width="15.7109375" bestFit="1" customWidth="1"/>
  </cols>
  <sheetData>
    <row r="1" spans="1:30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57</v>
      </c>
      <c r="Z1" s="32" t="s">
        <v>56</v>
      </c>
      <c r="AA1" s="32" t="s">
        <v>9</v>
      </c>
      <c r="AB1" s="32" t="s">
        <v>30</v>
      </c>
      <c r="AC1" s="32" t="s">
        <v>11</v>
      </c>
      <c r="AD1" s="46" t="s">
        <v>39</v>
      </c>
    </row>
    <row r="2" spans="1:30" x14ac:dyDescent="0.25">
      <c r="A2" s="2" t="s">
        <v>37</v>
      </c>
      <c r="B2" s="2" t="s">
        <v>79</v>
      </c>
      <c r="C2" s="2" t="s">
        <v>79</v>
      </c>
      <c r="D2" s="34">
        <v>190</v>
      </c>
      <c r="E2" s="4">
        <f t="shared" ref="E2:E37" si="0">D2/(G2+H2)</f>
        <v>17.272727272727273</v>
      </c>
      <c r="F2" s="35">
        <v>25</v>
      </c>
      <c r="G2" s="34">
        <v>4</v>
      </c>
      <c r="H2" s="2">
        <v>7</v>
      </c>
      <c r="I2" s="41">
        <f t="shared" ref="I2:I37" si="1">G2/(G2+H2)</f>
        <v>0.36363636363636365</v>
      </c>
      <c r="J2" s="34">
        <v>19</v>
      </c>
      <c r="K2" s="2">
        <v>25</v>
      </c>
      <c r="L2" s="41">
        <f t="shared" ref="L2:L37" si="2">J2/(J2+K2)</f>
        <v>0.43181818181818182</v>
      </c>
      <c r="M2" s="34">
        <v>83</v>
      </c>
      <c r="N2" s="2">
        <v>95</v>
      </c>
      <c r="O2" s="41">
        <f t="shared" ref="O2:O37" si="3">M2/(M2+N2)</f>
        <v>0.46629213483146065</v>
      </c>
      <c r="P2" s="34">
        <v>3</v>
      </c>
      <c r="Q2" s="2">
        <v>0</v>
      </c>
      <c r="R2" s="2">
        <v>0</v>
      </c>
      <c r="S2" s="2">
        <v>3</v>
      </c>
      <c r="T2" s="2">
        <v>0</v>
      </c>
      <c r="U2" s="2">
        <v>3</v>
      </c>
      <c r="V2" s="2">
        <v>0</v>
      </c>
      <c r="W2" s="2">
        <v>0</v>
      </c>
      <c r="X2" s="2">
        <v>0</v>
      </c>
      <c r="Y2" s="2">
        <v>0</v>
      </c>
      <c r="Z2" s="1">
        <v>0</v>
      </c>
      <c r="AA2" s="2">
        <v>1</v>
      </c>
      <c r="AB2" s="2">
        <v>5</v>
      </c>
      <c r="AC2" s="2">
        <v>1</v>
      </c>
      <c r="AD2" s="47">
        <v>4</v>
      </c>
    </row>
    <row r="3" spans="1:30" x14ac:dyDescent="0.25">
      <c r="A3" s="2" t="s">
        <v>34</v>
      </c>
      <c r="B3" s="2" t="s">
        <v>79</v>
      </c>
      <c r="C3" s="2" t="s">
        <v>79</v>
      </c>
      <c r="D3" s="34">
        <v>11</v>
      </c>
      <c r="E3" s="4">
        <f t="shared" si="0"/>
        <v>5.5</v>
      </c>
      <c r="F3" s="35">
        <v>6</v>
      </c>
      <c r="G3" s="34">
        <v>2</v>
      </c>
      <c r="H3" s="2">
        <v>0</v>
      </c>
      <c r="I3" s="41">
        <f t="shared" si="1"/>
        <v>1</v>
      </c>
      <c r="J3" s="34">
        <v>6</v>
      </c>
      <c r="K3" s="2">
        <v>1</v>
      </c>
      <c r="L3" s="41">
        <f t="shared" si="2"/>
        <v>0.8571428571428571</v>
      </c>
      <c r="M3" s="34">
        <v>19</v>
      </c>
      <c r="N3" s="2">
        <v>8</v>
      </c>
      <c r="O3" s="41">
        <f t="shared" si="3"/>
        <v>0.70370370370370372</v>
      </c>
      <c r="P3" s="34">
        <v>0</v>
      </c>
      <c r="Q3" s="2">
        <v>1</v>
      </c>
      <c r="R3" s="2">
        <v>0</v>
      </c>
      <c r="S3" s="2">
        <v>2</v>
      </c>
      <c r="T3" s="2">
        <v>0</v>
      </c>
      <c r="U3" s="2">
        <v>1</v>
      </c>
      <c r="V3" s="2">
        <v>0</v>
      </c>
      <c r="W3" s="2">
        <v>0</v>
      </c>
      <c r="X3" s="2">
        <v>0</v>
      </c>
      <c r="Y3" s="2">
        <v>0</v>
      </c>
      <c r="Z3" s="1">
        <v>0</v>
      </c>
      <c r="AA3" s="2">
        <v>1</v>
      </c>
      <c r="AB3" s="2">
        <v>1</v>
      </c>
      <c r="AC3" s="2">
        <v>0</v>
      </c>
      <c r="AD3" s="47">
        <v>0</v>
      </c>
    </row>
    <row r="4" spans="1:30" ht="15.75" x14ac:dyDescent="0.25">
      <c r="A4" s="2" t="s">
        <v>35</v>
      </c>
      <c r="B4" s="80" t="s">
        <v>60</v>
      </c>
      <c r="C4" s="2" t="s">
        <v>79</v>
      </c>
      <c r="D4" s="34">
        <v>115</v>
      </c>
      <c r="E4" s="4">
        <f t="shared" si="0"/>
        <v>10.454545454545455</v>
      </c>
      <c r="F4" s="35">
        <v>21</v>
      </c>
      <c r="G4" s="34">
        <v>7</v>
      </c>
      <c r="H4" s="2">
        <v>4</v>
      </c>
      <c r="I4" s="41">
        <f t="shared" si="1"/>
        <v>0.63636363636363635</v>
      </c>
      <c r="J4" s="34">
        <v>23</v>
      </c>
      <c r="K4" s="2">
        <v>20</v>
      </c>
      <c r="L4" s="41">
        <f t="shared" si="2"/>
        <v>0.53488372093023251</v>
      </c>
      <c r="M4" s="34">
        <v>93</v>
      </c>
      <c r="N4" s="2">
        <v>80</v>
      </c>
      <c r="O4" s="41">
        <f t="shared" si="3"/>
        <v>0.53757225433526012</v>
      </c>
      <c r="P4" s="34">
        <v>2</v>
      </c>
      <c r="Q4" s="2">
        <v>2</v>
      </c>
      <c r="R4" s="2">
        <v>0</v>
      </c>
      <c r="S4" s="2">
        <v>3</v>
      </c>
      <c r="T4" s="2">
        <v>0</v>
      </c>
      <c r="U4" s="2">
        <v>5</v>
      </c>
      <c r="V4" s="2">
        <v>0</v>
      </c>
      <c r="W4" s="2">
        <v>0</v>
      </c>
      <c r="X4" s="2">
        <v>0</v>
      </c>
      <c r="Y4" s="2">
        <v>0</v>
      </c>
      <c r="Z4" s="1">
        <v>0</v>
      </c>
      <c r="AA4" s="2">
        <v>4</v>
      </c>
      <c r="AB4" s="2">
        <v>3</v>
      </c>
      <c r="AC4" s="2">
        <v>1</v>
      </c>
      <c r="AD4" s="47">
        <v>3</v>
      </c>
    </row>
    <row r="5" spans="1:30" x14ac:dyDescent="0.25">
      <c r="A5" s="2" t="s">
        <v>19</v>
      </c>
      <c r="B5" s="2" t="s">
        <v>79</v>
      </c>
      <c r="C5" s="2" t="s">
        <v>79</v>
      </c>
      <c r="D5" s="34">
        <v>230</v>
      </c>
      <c r="E5" s="4">
        <f t="shared" si="0"/>
        <v>11.5</v>
      </c>
      <c r="F5" s="35">
        <v>26</v>
      </c>
      <c r="G5" s="34">
        <v>6</v>
      </c>
      <c r="H5" s="2">
        <v>14</v>
      </c>
      <c r="I5" s="41">
        <f t="shared" si="1"/>
        <v>0.3</v>
      </c>
      <c r="J5" s="34">
        <v>32</v>
      </c>
      <c r="K5" s="2">
        <v>49</v>
      </c>
      <c r="L5" s="41">
        <f t="shared" si="2"/>
        <v>0.39506172839506171</v>
      </c>
      <c r="M5" s="34">
        <v>149</v>
      </c>
      <c r="N5" s="2">
        <v>184</v>
      </c>
      <c r="O5" s="41">
        <f t="shared" si="3"/>
        <v>0.44744744744744747</v>
      </c>
      <c r="P5" s="34">
        <v>3</v>
      </c>
      <c r="Q5" s="2">
        <v>0</v>
      </c>
      <c r="R5" s="2">
        <v>1</v>
      </c>
      <c r="S5" s="2">
        <v>2</v>
      </c>
      <c r="T5" s="2">
        <v>0</v>
      </c>
      <c r="U5" s="2">
        <v>5</v>
      </c>
      <c r="V5" s="2">
        <v>1</v>
      </c>
      <c r="W5" s="2">
        <v>0</v>
      </c>
      <c r="X5" s="2">
        <v>1</v>
      </c>
      <c r="Y5" s="2">
        <v>1</v>
      </c>
      <c r="Z5" s="1">
        <v>0</v>
      </c>
      <c r="AA5" s="2">
        <v>4</v>
      </c>
      <c r="AB5" s="2">
        <v>9</v>
      </c>
      <c r="AC5" s="2">
        <v>0</v>
      </c>
      <c r="AD5" s="47">
        <v>5</v>
      </c>
    </row>
    <row r="6" spans="1:30" x14ac:dyDescent="0.25">
      <c r="A6" s="1" t="s">
        <v>42</v>
      </c>
      <c r="B6" s="72" t="s">
        <v>79</v>
      </c>
      <c r="C6" s="2" t="s">
        <v>79</v>
      </c>
      <c r="D6" s="36">
        <v>5</v>
      </c>
      <c r="E6" s="4">
        <f t="shared" si="0"/>
        <v>5</v>
      </c>
      <c r="F6" s="35">
        <v>5</v>
      </c>
      <c r="G6" s="36">
        <v>0</v>
      </c>
      <c r="H6" s="1">
        <v>1</v>
      </c>
      <c r="I6" s="42">
        <f t="shared" si="1"/>
        <v>0</v>
      </c>
      <c r="J6" s="36">
        <v>0</v>
      </c>
      <c r="K6" s="1">
        <v>3</v>
      </c>
      <c r="L6" s="42">
        <f t="shared" si="2"/>
        <v>0</v>
      </c>
      <c r="M6" s="36">
        <v>2</v>
      </c>
      <c r="N6" s="1">
        <v>9</v>
      </c>
      <c r="O6" s="42">
        <f t="shared" si="3"/>
        <v>0.18181818181818182</v>
      </c>
      <c r="P6" s="36">
        <v>0</v>
      </c>
      <c r="Q6" s="1">
        <v>0</v>
      </c>
      <c r="R6" s="1">
        <v>0</v>
      </c>
      <c r="S6" s="1">
        <v>0</v>
      </c>
      <c r="T6" s="2">
        <v>0</v>
      </c>
      <c r="U6" s="1">
        <v>0</v>
      </c>
      <c r="V6" s="1">
        <v>0</v>
      </c>
      <c r="W6" s="1">
        <v>0</v>
      </c>
      <c r="X6" s="2">
        <v>0</v>
      </c>
      <c r="Y6" s="2">
        <v>0</v>
      </c>
      <c r="Z6" s="1">
        <v>0</v>
      </c>
      <c r="AA6" s="1">
        <v>0</v>
      </c>
      <c r="AB6" s="1">
        <v>0</v>
      </c>
      <c r="AC6" s="1">
        <v>0</v>
      </c>
      <c r="AD6" s="65">
        <v>0</v>
      </c>
    </row>
    <row r="7" spans="1:30" x14ac:dyDescent="0.25">
      <c r="A7" s="2" t="s">
        <v>25</v>
      </c>
      <c r="B7" s="2" t="s">
        <v>79</v>
      </c>
      <c r="C7" s="2" t="s">
        <v>79</v>
      </c>
      <c r="D7" s="34">
        <v>117</v>
      </c>
      <c r="E7" s="4">
        <f t="shared" si="0"/>
        <v>14.625</v>
      </c>
      <c r="F7" s="35">
        <v>21</v>
      </c>
      <c r="G7" s="34">
        <v>5</v>
      </c>
      <c r="H7" s="2">
        <v>3</v>
      </c>
      <c r="I7" s="41">
        <f t="shared" si="1"/>
        <v>0.625</v>
      </c>
      <c r="J7" s="34">
        <v>20</v>
      </c>
      <c r="K7" s="2">
        <v>12</v>
      </c>
      <c r="L7" s="41">
        <f t="shared" si="2"/>
        <v>0.625</v>
      </c>
      <c r="M7" s="34">
        <v>78</v>
      </c>
      <c r="N7" s="2">
        <v>57</v>
      </c>
      <c r="O7" s="41">
        <f t="shared" si="3"/>
        <v>0.57777777777777772</v>
      </c>
      <c r="P7" s="34">
        <v>2</v>
      </c>
      <c r="Q7" s="2">
        <v>0</v>
      </c>
      <c r="R7" s="2">
        <v>0</v>
      </c>
      <c r="S7" s="2">
        <v>2</v>
      </c>
      <c r="T7" s="2">
        <v>0</v>
      </c>
      <c r="U7" s="2">
        <v>3</v>
      </c>
      <c r="V7" s="2">
        <v>2</v>
      </c>
      <c r="W7" s="2">
        <v>1</v>
      </c>
      <c r="X7" s="2">
        <v>0</v>
      </c>
      <c r="Y7" s="2">
        <v>0</v>
      </c>
      <c r="Z7" s="1">
        <v>0</v>
      </c>
      <c r="AA7" s="2">
        <v>2</v>
      </c>
      <c r="AB7" s="2">
        <v>3</v>
      </c>
      <c r="AC7" s="2">
        <v>1</v>
      </c>
      <c r="AD7" s="47">
        <v>4</v>
      </c>
    </row>
    <row r="8" spans="1:30" x14ac:dyDescent="0.25">
      <c r="A8" s="2" t="s">
        <v>27</v>
      </c>
      <c r="B8" s="6" t="s">
        <v>76</v>
      </c>
      <c r="C8" s="6" t="s">
        <v>79</v>
      </c>
      <c r="D8" s="34">
        <v>161</v>
      </c>
      <c r="E8" s="4">
        <f t="shared" si="0"/>
        <v>13.416666666666666</v>
      </c>
      <c r="F8" s="35">
        <v>24</v>
      </c>
      <c r="G8" s="34">
        <v>6</v>
      </c>
      <c r="H8" s="2">
        <v>6</v>
      </c>
      <c r="I8" s="41">
        <f t="shared" si="1"/>
        <v>0.5</v>
      </c>
      <c r="J8" s="34">
        <v>23</v>
      </c>
      <c r="K8" s="2">
        <v>26</v>
      </c>
      <c r="L8" s="41">
        <f t="shared" si="2"/>
        <v>0.46938775510204084</v>
      </c>
      <c r="M8" s="34">
        <v>100</v>
      </c>
      <c r="N8" s="2">
        <v>108</v>
      </c>
      <c r="O8" s="41">
        <f t="shared" si="3"/>
        <v>0.48076923076923078</v>
      </c>
      <c r="P8" s="34">
        <v>0</v>
      </c>
      <c r="Q8" s="2">
        <v>1</v>
      </c>
      <c r="R8" s="2">
        <v>2</v>
      </c>
      <c r="S8" s="2">
        <v>1</v>
      </c>
      <c r="T8" s="1">
        <v>2</v>
      </c>
      <c r="U8" s="2">
        <v>4</v>
      </c>
      <c r="V8" s="2">
        <v>1</v>
      </c>
      <c r="W8" s="2">
        <v>0</v>
      </c>
      <c r="X8" s="2">
        <v>0</v>
      </c>
      <c r="Y8" s="2">
        <v>0</v>
      </c>
      <c r="Z8" s="1">
        <v>0</v>
      </c>
      <c r="AA8" s="2">
        <v>4</v>
      </c>
      <c r="AB8" s="2">
        <v>4</v>
      </c>
      <c r="AC8" s="2">
        <v>1</v>
      </c>
      <c r="AD8" s="47">
        <v>3</v>
      </c>
    </row>
    <row r="9" spans="1:30" x14ac:dyDescent="0.25">
      <c r="A9" s="2" t="s">
        <v>26</v>
      </c>
      <c r="B9" s="6" t="s">
        <v>60</v>
      </c>
      <c r="C9" s="6" t="s">
        <v>79</v>
      </c>
      <c r="D9" s="34">
        <v>188</v>
      </c>
      <c r="E9" s="4">
        <f t="shared" si="0"/>
        <v>12.533333333333333</v>
      </c>
      <c r="F9" s="35">
        <v>24</v>
      </c>
      <c r="G9" s="34">
        <v>11</v>
      </c>
      <c r="H9" s="2">
        <v>4</v>
      </c>
      <c r="I9" s="41">
        <f t="shared" si="1"/>
        <v>0.73333333333333328</v>
      </c>
      <c r="J9" s="34">
        <v>39</v>
      </c>
      <c r="K9" s="2">
        <v>22</v>
      </c>
      <c r="L9" s="41">
        <f t="shared" si="2"/>
        <v>0.63934426229508201</v>
      </c>
      <c r="M9" s="34">
        <v>144</v>
      </c>
      <c r="N9" s="2">
        <v>108</v>
      </c>
      <c r="O9" s="41">
        <f t="shared" si="3"/>
        <v>0.5714285714285714</v>
      </c>
      <c r="P9" s="34">
        <v>1</v>
      </c>
      <c r="Q9" s="2">
        <v>2</v>
      </c>
      <c r="R9" s="2">
        <v>2</v>
      </c>
      <c r="S9" s="2">
        <v>7</v>
      </c>
      <c r="T9" s="2">
        <v>2</v>
      </c>
      <c r="U9" s="2">
        <v>7</v>
      </c>
      <c r="V9" s="2">
        <v>3</v>
      </c>
      <c r="W9" s="2">
        <v>2</v>
      </c>
      <c r="X9" s="2">
        <v>1</v>
      </c>
      <c r="Y9" s="2">
        <v>1</v>
      </c>
      <c r="Z9" s="1">
        <v>0</v>
      </c>
      <c r="AA9" s="2">
        <v>3</v>
      </c>
      <c r="AB9" s="2">
        <v>4</v>
      </c>
      <c r="AC9" s="2">
        <v>1</v>
      </c>
      <c r="AD9" s="47">
        <v>3</v>
      </c>
    </row>
    <row r="10" spans="1:30" x14ac:dyDescent="0.25">
      <c r="A10" s="2" t="s">
        <v>78</v>
      </c>
      <c r="B10" s="6" t="s">
        <v>79</v>
      </c>
      <c r="C10" s="6" t="s">
        <v>79</v>
      </c>
      <c r="D10" s="34">
        <v>0</v>
      </c>
      <c r="E10" s="4">
        <v>0</v>
      </c>
      <c r="F10" s="35">
        <v>0</v>
      </c>
      <c r="G10" s="34">
        <v>0</v>
      </c>
      <c r="H10" s="2">
        <v>0</v>
      </c>
      <c r="I10" s="41" t="s">
        <v>79</v>
      </c>
      <c r="J10" s="34">
        <v>0</v>
      </c>
      <c r="K10" s="2">
        <v>0</v>
      </c>
      <c r="L10" s="41" t="s">
        <v>79</v>
      </c>
      <c r="M10" s="34">
        <v>0</v>
      </c>
      <c r="N10" s="2">
        <v>0</v>
      </c>
      <c r="O10" s="41" t="s">
        <v>79</v>
      </c>
      <c r="P10" s="34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1">
        <v>0</v>
      </c>
      <c r="AA10" s="2">
        <v>0</v>
      </c>
      <c r="AB10" s="2">
        <v>0</v>
      </c>
      <c r="AC10" s="2">
        <v>0</v>
      </c>
      <c r="AD10" s="47">
        <v>0</v>
      </c>
    </row>
    <row r="11" spans="1:30" ht="15.75" x14ac:dyDescent="0.25">
      <c r="A11" s="1" t="s">
        <v>45</v>
      </c>
      <c r="B11" s="80" t="s">
        <v>60</v>
      </c>
      <c r="C11" s="2" t="s">
        <v>79</v>
      </c>
      <c r="D11" s="34">
        <v>89</v>
      </c>
      <c r="E11" s="4">
        <f t="shared" si="0"/>
        <v>9.8888888888888893</v>
      </c>
      <c r="F11" s="35">
        <v>17</v>
      </c>
      <c r="G11" s="36">
        <v>4</v>
      </c>
      <c r="H11" s="1">
        <v>5</v>
      </c>
      <c r="I11" s="42">
        <f t="shared" si="1"/>
        <v>0.44444444444444442</v>
      </c>
      <c r="J11" s="36">
        <v>17</v>
      </c>
      <c r="K11" s="1">
        <v>18</v>
      </c>
      <c r="L11" s="42">
        <f t="shared" si="2"/>
        <v>0.48571428571428571</v>
      </c>
      <c r="M11" s="36">
        <v>71</v>
      </c>
      <c r="N11" s="1">
        <v>71</v>
      </c>
      <c r="O11" s="42">
        <f t="shared" si="3"/>
        <v>0.5</v>
      </c>
      <c r="P11" s="34">
        <v>0</v>
      </c>
      <c r="Q11" s="2">
        <v>2</v>
      </c>
      <c r="R11" s="2">
        <v>0</v>
      </c>
      <c r="S11" s="2">
        <v>3</v>
      </c>
      <c r="T11" s="2">
        <v>0</v>
      </c>
      <c r="U11" s="2">
        <v>4</v>
      </c>
      <c r="V11" s="2">
        <v>0</v>
      </c>
      <c r="W11" s="2">
        <v>0</v>
      </c>
      <c r="X11" s="2">
        <v>0</v>
      </c>
      <c r="Y11" s="2">
        <v>0</v>
      </c>
      <c r="Z11" s="1">
        <v>0</v>
      </c>
      <c r="AA11" s="2">
        <v>2</v>
      </c>
      <c r="AB11" s="2">
        <v>3</v>
      </c>
      <c r="AC11" s="2">
        <v>1</v>
      </c>
      <c r="AD11" s="47">
        <v>2</v>
      </c>
    </row>
    <row r="12" spans="1:30" x14ac:dyDescent="0.25">
      <c r="A12" s="2" t="s">
        <v>50</v>
      </c>
      <c r="B12" s="2" t="s">
        <v>79</v>
      </c>
      <c r="C12" s="2" t="s">
        <v>79</v>
      </c>
      <c r="D12" s="34">
        <v>26</v>
      </c>
      <c r="E12" s="4">
        <f t="shared" si="0"/>
        <v>13</v>
      </c>
      <c r="F12" s="35">
        <v>14</v>
      </c>
      <c r="G12" s="36">
        <v>0</v>
      </c>
      <c r="H12" s="1">
        <v>2</v>
      </c>
      <c r="I12" s="42">
        <f t="shared" si="1"/>
        <v>0</v>
      </c>
      <c r="J12" s="36">
        <v>2</v>
      </c>
      <c r="K12" s="1">
        <v>6</v>
      </c>
      <c r="L12" s="42">
        <f t="shared" si="2"/>
        <v>0.25</v>
      </c>
      <c r="M12" s="36">
        <v>13</v>
      </c>
      <c r="N12" s="1">
        <v>22</v>
      </c>
      <c r="O12" s="42">
        <f t="shared" si="3"/>
        <v>0.37142857142857144</v>
      </c>
      <c r="P12" s="34">
        <v>0</v>
      </c>
      <c r="Q12" s="2">
        <v>0</v>
      </c>
      <c r="R12" s="2">
        <v>0</v>
      </c>
      <c r="S12" s="2">
        <v>0</v>
      </c>
      <c r="T12" s="2">
        <v>0</v>
      </c>
      <c r="U12" s="2">
        <v>1</v>
      </c>
      <c r="V12" s="2">
        <v>0</v>
      </c>
      <c r="W12" s="2">
        <v>0</v>
      </c>
      <c r="X12" s="2">
        <v>0</v>
      </c>
      <c r="Y12" s="2">
        <v>0</v>
      </c>
      <c r="Z12" s="1">
        <v>0</v>
      </c>
      <c r="AA12" s="2">
        <v>1</v>
      </c>
      <c r="AB12" s="2">
        <v>0</v>
      </c>
      <c r="AC12" s="2">
        <v>0</v>
      </c>
      <c r="AD12" s="47">
        <v>0</v>
      </c>
    </row>
    <row r="13" spans="1:30" x14ac:dyDescent="0.25">
      <c r="A13" s="2" t="s">
        <v>52</v>
      </c>
      <c r="B13" s="2" t="s">
        <v>79</v>
      </c>
      <c r="C13" s="2" t="s">
        <v>79</v>
      </c>
      <c r="D13" s="34">
        <v>5</v>
      </c>
      <c r="E13" s="4">
        <f t="shared" si="0"/>
        <v>5</v>
      </c>
      <c r="F13" s="35">
        <v>5</v>
      </c>
      <c r="G13" s="36">
        <v>0</v>
      </c>
      <c r="H13" s="1">
        <v>1</v>
      </c>
      <c r="I13" s="42">
        <f t="shared" si="1"/>
        <v>0</v>
      </c>
      <c r="J13" s="36">
        <v>0</v>
      </c>
      <c r="K13" s="1">
        <v>3</v>
      </c>
      <c r="L13" s="42">
        <f t="shared" si="2"/>
        <v>0</v>
      </c>
      <c r="M13" s="36">
        <v>4</v>
      </c>
      <c r="N13" s="1">
        <v>9</v>
      </c>
      <c r="O13" s="42">
        <f t="shared" si="3"/>
        <v>0.30769230769230771</v>
      </c>
      <c r="P13" s="34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1">
        <v>0</v>
      </c>
      <c r="AA13" s="2">
        <v>0</v>
      </c>
      <c r="AB13" s="2">
        <v>0</v>
      </c>
      <c r="AC13" s="2">
        <v>0</v>
      </c>
      <c r="AD13" s="47">
        <v>0</v>
      </c>
    </row>
    <row r="14" spans="1:30" x14ac:dyDescent="0.25">
      <c r="A14" s="1" t="s">
        <v>44</v>
      </c>
      <c r="B14" s="2" t="s">
        <v>79</v>
      </c>
      <c r="C14" s="2" t="s">
        <v>79</v>
      </c>
      <c r="D14" s="36">
        <v>12</v>
      </c>
      <c r="E14" s="4">
        <f t="shared" si="0"/>
        <v>12</v>
      </c>
      <c r="F14" s="35">
        <v>12</v>
      </c>
      <c r="G14" s="36">
        <v>1</v>
      </c>
      <c r="H14" s="1">
        <v>0</v>
      </c>
      <c r="I14" s="42">
        <f t="shared" si="1"/>
        <v>1</v>
      </c>
      <c r="J14" s="36">
        <v>3</v>
      </c>
      <c r="K14" s="1">
        <v>0</v>
      </c>
      <c r="L14" s="42">
        <f t="shared" si="2"/>
        <v>1</v>
      </c>
      <c r="M14" s="36">
        <v>9</v>
      </c>
      <c r="N14" s="1">
        <v>4</v>
      </c>
      <c r="O14" s="42">
        <f t="shared" si="3"/>
        <v>0.69230769230769229</v>
      </c>
      <c r="P14" s="34">
        <v>0</v>
      </c>
      <c r="Q14" s="2">
        <v>0</v>
      </c>
      <c r="R14" s="2">
        <v>0</v>
      </c>
      <c r="S14" s="2">
        <v>0</v>
      </c>
      <c r="T14" s="2">
        <v>0</v>
      </c>
      <c r="U14" s="1">
        <v>1</v>
      </c>
      <c r="V14" s="2">
        <v>0</v>
      </c>
      <c r="W14" s="2">
        <v>0</v>
      </c>
      <c r="X14" s="2">
        <v>0</v>
      </c>
      <c r="Y14" s="2">
        <v>0</v>
      </c>
      <c r="Z14" s="1">
        <v>0</v>
      </c>
      <c r="AA14" s="2">
        <v>0</v>
      </c>
      <c r="AB14" s="1">
        <v>1</v>
      </c>
      <c r="AC14" s="2">
        <v>0</v>
      </c>
      <c r="AD14" s="65">
        <v>1</v>
      </c>
    </row>
    <row r="15" spans="1:30" x14ac:dyDescent="0.25">
      <c r="A15" s="2" t="s">
        <v>1</v>
      </c>
      <c r="B15" s="6" t="s">
        <v>60</v>
      </c>
      <c r="C15" s="2" t="s">
        <v>79</v>
      </c>
      <c r="D15" s="34">
        <v>167</v>
      </c>
      <c r="E15" s="4">
        <f t="shared" si="0"/>
        <v>27.833333333333332</v>
      </c>
      <c r="F15" s="35">
        <v>37</v>
      </c>
      <c r="G15" s="34">
        <v>4</v>
      </c>
      <c r="H15" s="2">
        <v>2</v>
      </c>
      <c r="I15" s="41">
        <f t="shared" si="1"/>
        <v>0.66666666666666663</v>
      </c>
      <c r="J15" s="34">
        <v>15</v>
      </c>
      <c r="K15" s="2">
        <v>12</v>
      </c>
      <c r="L15" s="41">
        <f t="shared" si="2"/>
        <v>0.55555555555555558</v>
      </c>
      <c r="M15" s="34">
        <v>60</v>
      </c>
      <c r="N15" s="2">
        <v>60</v>
      </c>
      <c r="O15" s="41">
        <f t="shared" si="3"/>
        <v>0.5</v>
      </c>
      <c r="P15" s="34">
        <v>0</v>
      </c>
      <c r="Q15" s="2">
        <v>1</v>
      </c>
      <c r="R15" s="2">
        <v>2</v>
      </c>
      <c r="S15" s="2">
        <v>0</v>
      </c>
      <c r="T15" s="1">
        <v>1</v>
      </c>
      <c r="U15" s="2">
        <v>1</v>
      </c>
      <c r="V15" s="2">
        <v>0</v>
      </c>
      <c r="W15" s="2">
        <v>0</v>
      </c>
      <c r="X15" s="2">
        <v>0</v>
      </c>
      <c r="Y15" s="2">
        <v>0</v>
      </c>
      <c r="Z15" s="1">
        <v>0</v>
      </c>
      <c r="AA15" s="2">
        <v>1</v>
      </c>
      <c r="AB15" s="2">
        <v>3</v>
      </c>
      <c r="AC15" s="2">
        <v>2</v>
      </c>
      <c r="AD15" s="47">
        <v>4</v>
      </c>
    </row>
    <row r="16" spans="1:30" x14ac:dyDescent="0.25">
      <c r="A16" s="2" t="s">
        <v>29</v>
      </c>
      <c r="B16" s="6" t="s">
        <v>124</v>
      </c>
      <c r="C16" s="2" t="s">
        <v>79</v>
      </c>
      <c r="D16" s="34">
        <v>152</v>
      </c>
      <c r="E16" s="4">
        <f t="shared" si="0"/>
        <v>9.5</v>
      </c>
      <c r="F16" s="35">
        <v>21</v>
      </c>
      <c r="G16" s="34">
        <v>8</v>
      </c>
      <c r="H16" s="2">
        <v>8</v>
      </c>
      <c r="I16" s="41">
        <f t="shared" si="1"/>
        <v>0.5</v>
      </c>
      <c r="J16" s="34">
        <v>31</v>
      </c>
      <c r="K16" s="2">
        <v>33</v>
      </c>
      <c r="L16" s="41">
        <f t="shared" si="2"/>
        <v>0.484375</v>
      </c>
      <c r="M16" s="34">
        <v>133</v>
      </c>
      <c r="N16" s="2">
        <v>135</v>
      </c>
      <c r="O16" s="41">
        <f t="shared" si="3"/>
        <v>0.4962686567164179</v>
      </c>
      <c r="P16" s="34">
        <v>2</v>
      </c>
      <c r="Q16" s="2">
        <v>2</v>
      </c>
      <c r="R16" s="2">
        <v>1</v>
      </c>
      <c r="S16" s="2">
        <v>3</v>
      </c>
      <c r="T16" s="1">
        <v>1</v>
      </c>
      <c r="U16" s="2">
        <v>3</v>
      </c>
      <c r="V16" s="2">
        <v>1</v>
      </c>
      <c r="W16" s="2">
        <v>0</v>
      </c>
      <c r="X16" s="2">
        <v>0</v>
      </c>
      <c r="Y16" s="2">
        <v>0</v>
      </c>
      <c r="Z16" s="1">
        <v>1</v>
      </c>
      <c r="AA16" s="2">
        <v>4</v>
      </c>
      <c r="AB16" s="2">
        <v>6</v>
      </c>
      <c r="AC16" s="2">
        <v>2</v>
      </c>
      <c r="AD16" s="47">
        <v>5</v>
      </c>
    </row>
    <row r="17" spans="1:30" x14ac:dyDescent="0.25">
      <c r="A17" s="2" t="s">
        <v>46</v>
      </c>
      <c r="B17" s="2"/>
      <c r="C17" s="2" t="s">
        <v>79</v>
      </c>
      <c r="D17" s="34">
        <v>183</v>
      </c>
      <c r="E17" s="4">
        <f t="shared" si="0"/>
        <v>20.333333333333332</v>
      </c>
      <c r="F17" s="35">
        <v>36</v>
      </c>
      <c r="G17" s="34">
        <v>4</v>
      </c>
      <c r="H17" s="2">
        <v>5</v>
      </c>
      <c r="I17" s="41">
        <f t="shared" si="1"/>
        <v>0.44444444444444442</v>
      </c>
      <c r="J17" s="34">
        <v>16</v>
      </c>
      <c r="K17" s="2">
        <v>20</v>
      </c>
      <c r="L17" s="41">
        <f t="shared" si="2"/>
        <v>0.44444444444444442</v>
      </c>
      <c r="M17" s="34">
        <v>70</v>
      </c>
      <c r="N17" s="2">
        <v>83</v>
      </c>
      <c r="O17" s="41">
        <f t="shared" si="3"/>
        <v>0.45751633986928103</v>
      </c>
      <c r="P17" s="34">
        <v>0</v>
      </c>
      <c r="Q17" s="2">
        <v>1</v>
      </c>
      <c r="R17" s="2">
        <v>1</v>
      </c>
      <c r="S17" s="2">
        <v>1</v>
      </c>
      <c r="T17" s="2">
        <v>0</v>
      </c>
      <c r="U17" s="2">
        <v>5</v>
      </c>
      <c r="V17" s="2">
        <v>0</v>
      </c>
      <c r="W17" s="2">
        <v>1</v>
      </c>
      <c r="X17" s="2">
        <v>0</v>
      </c>
      <c r="Y17" s="2">
        <v>0</v>
      </c>
      <c r="Z17" s="1">
        <v>0</v>
      </c>
      <c r="AA17" s="2">
        <v>1</v>
      </c>
      <c r="AB17" s="2">
        <v>3</v>
      </c>
      <c r="AC17" s="2">
        <v>1</v>
      </c>
      <c r="AD17" s="47">
        <v>2</v>
      </c>
    </row>
    <row r="18" spans="1:30" x14ac:dyDescent="0.25">
      <c r="A18" s="2" t="s">
        <v>28</v>
      </c>
      <c r="B18" s="6" t="s">
        <v>60</v>
      </c>
      <c r="C18" s="2" t="s">
        <v>79</v>
      </c>
      <c r="D18" s="34">
        <v>178</v>
      </c>
      <c r="E18" s="4">
        <f t="shared" si="0"/>
        <v>12.714285714285714</v>
      </c>
      <c r="F18" s="35">
        <v>23</v>
      </c>
      <c r="G18" s="34">
        <v>5</v>
      </c>
      <c r="H18" s="2">
        <v>9</v>
      </c>
      <c r="I18" s="41">
        <f t="shared" si="1"/>
        <v>0.35714285714285715</v>
      </c>
      <c r="J18" s="34">
        <v>23</v>
      </c>
      <c r="K18" s="2">
        <v>34</v>
      </c>
      <c r="L18" s="41">
        <f t="shared" si="2"/>
        <v>0.40350877192982454</v>
      </c>
      <c r="M18" s="34">
        <v>110</v>
      </c>
      <c r="N18" s="2">
        <v>130</v>
      </c>
      <c r="O18" s="41">
        <f t="shared" si="3"/>
        <v>0.45833333333333331</v>
      </c>
      <c r="P18" s="34">
        <v>3</v>
      </c>
      <c r="Q18" s="2">
        <v>0</v>
      </c>
      <c r="R18" s="2">
        <v>1</v>
      </c>
      <c r="S18" s="2">
        <v>0</v>
      </c>
      <c r="T18" s="1">
        <v>1</v>
      </c>
      <c r="U18" s="2">
        <v>2</v>
      </c>
      <c r="V18" s="2">
        <v>1</v>
      </c>
      <c r="W18" s="2">
        <v>0</v>
      </c>
      <c r="X18" s="2">
        <v>1</v>
      </c>
      <c r="Y18" s="2">
        <v>1</v>
      </c>
      <c r="Z18" s="1">
        <v>0</v>
      </c>
      <c r="AA18" s="2">
        <v>1</v>
      </c>
      <c r="AB18" s="2">
        <v>3</v>
      </c>
      <c r="AC18" s="2">
        <v>2</v>
      </c>
      <c r="AD18" s="47">
        <v>7</v>
      </c>
    </row>
    <row r="19" spans="1:30" x14ac:dyDescent="0.25">
      <c r="A19" s="2" t="s">
        <v>53</v>
      </c>
      <c r="B19" s="6" t="s">
        <v>60</v>
      </c>
      <c r="C19" s="6" t="s">
        <v>79</v>
      </c>
      <c r="D19" s="34">
        <v>43</v>
      </c>
      <c r="E19" s="4">
        <f t="shared" si="0"/>
        <v>14.333333333333334</v>
      </c>
      <c r="F19" s="35">
        <v>25</v>
      </c>
      <c r="G19" s="36">
        <v>2</v>
      </c>
      <c r="H19" s="1">
        <v>1</v>
      </c>
      <c r="I19" s="42">
        <f t="shared" si="1"/>
        <v>0.66666666666666663</v>
      </c>
      <c r="J19" s="36">
        <v>6</v>
      </c>
      <c r="K19" s="1">
        <v>7</v>
      </c>
      <c r="L19" s="42">
        <f t="shared" si="2"/>
        <v>0.46153846153846156</v>
      </c>
      <c r="M19" s="36">
        <v>27</v>
      </c>
      <c r="N19" s="1">
        <v>26</v>
      </c>
      <c r="O19" s="42">
        <f t="shared" si="3"/>
        <v>0.50943396226415094</v>
      </c>
      <c r="P19" s="34">
        <v>0</v>
      </c>
      <c r="Q19" s="2">
        <v>0</v>
      </c>
      <c r="R19" s="2">
        <v>0</v>
      </c>
      <c r="S19" s="2">
        <v>1</v>
      </c>
      <c r="T19" s="2">
        <v>2</v>
      </c>
      <c r="U19" s="2">
        <v>1</v>
      </c>
      <c r="V19" s="2">
        <v>2</v>
      </c>
      <c r="W19" s="2">
        <v>0</v>
      </c>
      <c r="X19" s="2">
        <v>0</v>
      </c>
      <c r="Y19" s="2">
        <v>0</v>
      </c>
      <c r="Z19" s="1">
        <v>0</v>
      </c>
      <c r="AA19" s="2">
        <v>0</v>
      </c>
      <c r="AB19" s="2">
        <v>0</v>
      </c>
      <c r="AC19" s="2">
        <v>0</v>
      </c>
      <c r="AD19" s="47">
        <v>0</v>
      </c>
    </row>
    <row r="20" spans="1:30" x14ac:dyDescent="0.25">
      <c r="A20" s="2" t="s">
        <v>51</v>
      </c>
      <c r="B20" s="2" t="s">
        <v>79</v>
      </c>
      <c r="C20" s="2" t="s">
        <v>79</v>
      </c>
      <c r="D20" s="34">
        <v>167</v>
      </c>
      <c r="E20" s="4">
        <f t="shared" si="0"/>
        <v>13.916666666666666</v>
      </c>
      <c r="F20" s="35">
        <v>22</v>
      </c>
      <c r="G20" s="36">
        <v>7</v>
      </c>
      <c r="H20" s="1">
        <v>5</v>
      </c>
      <c r="I20" s="42">
        <f t="shared" si="1"/>
        <v>0.58333333333333337</v>
      </c>
      <c r="J20" s="36">
        <v>27</v>
      </c>
      <c r="K20" s="1">
        <v>23</v>
      </c>
      <c r="L20" s="42">
        <f t="shared" si="2"/>
        <v>0.54</v>
      </c>
      <c r="M20" s="36">
        <v>104</v>
      </c>
      <c r="N20" s="1">
        <v>99</v>
      </c>
      <c r="O20" s="42">
        <f t="shared" si="3"/>
        <v>0.51231527093596063</v>
      </c>
      <c r="P20" s="34">
        <v>4</v>
      </c>
      <c r="Q20" s="2">
        <v>1</v>
      </c>
      <c r="R20" s="2">
        <v>0</v>
      </c>
      <c r="S20" s="2">
        <v>3</v>
      </c>
      <c r="T20" s="1">
        <v>0</v>
      </c>
      <c r="U20" s="2">
        <v>3</v>
      </c>
      <c r="V20" s="2">
        <v>0</v>
      </c>
      <c r="W20" s="2">
        <v>1</v>
      </c>
      <c r="X20" s="2">
        <v>0</v>
      </c>
      <c r="Y20" s="2">
        <v>0</v>
      </c>
      <c r="Z20" s="1">
        <v>1</v>
      </c>
      <c r="AA20" s="2">
        <v>5</v>
      </c>
      <c r="AB20" s="2">
        <v>4</v>
      </c>
      <c r="AC20" s="2">
        <v>2</v>
      </c>
      <c r="AD20" s="47">
        <v>3</v>
      </c>
    </row>
    <row r="21" spans="1:30" ht="15.75" x14ac:dyDescent="0.25">
      <c r="A21" s="2" t="s">
        <v>20</v>
      </c>
      <c r="B21" s="80" t="s">
        <v>60</v>
      </c>
      <c r="C21" s="2" t="s">
        <v>79</v>
      </c>
      <c r="D21" s="34">
        <v>213</v>
      </c>
      <c r="E21" s="4">
        <f t="shared" si="0"/>
        <v>13.3125</v>
      </c>
      <c r="F21" s="35">
        <v>28</v>
      </c>
      <c r="G21" s="34">
        <v>6</v>
      </c>
      <c r="H21" s="2">
        <v>10</v>
      </c>
      <c r="I21" s="41">
        <f t="shared" si="1"/>
        <v>0.375</v>
      </c>
      <c r="J21" s="34">
        <v>32</v>
      </c>
      <c r="K21" s="2">
        <v>35</v>
      </c>
      <c r="L21" s="41">
        <f t="shared" si="2"/>
        <v>0.47761194029850745</v>
      </c>
      <c r="M21" s="34">
        <v>140</v>
      </c>
      <c r="N21" s="2">
        <v>142</v>
      </c>
      <c r="O21" s="41">
        <f t="shared" si="3"/>
        <v>0.49645390070921985</v>
      </c>
      <c r="P21" s="34">
        <v>1</v>
      </c>
      <c r="Q21" s="2">
        <v>3</v>
      </c>
      <c r="R21" s="2">
        <v>0</v>
      </c>
      <c r="S21" s="2">
        <v>6</v>
      </c>
      <c r="T21" s="1">
        <v>0</v>
      </c>
      <c r="U21" s="2">
        <v>3</v>
      </c>
      <c r="V21" s="2">
        <v>1</v>
      </c>
      <c r="W21" s="2">
        <v>1</v>
      </c>
      <c r="X21" s="2">
        <v>0</v>
      </c>
      <c r="Y21" s="2">
        <v>0</v>
      </c>
      <c r="Z21" s="1">
        <v>2</v>
      </c>
      <c r="AA21" s="2">
        <v>7</v>
      </c>
      <c r="AB21" s="2">
        <v>5</v>
      </c>
      <c r="AC21" s="2">
        <v>1</v>
      </c>
      <c r="AD21" s="47">
        <v>2</v>
      </c>
    </row>
    <row r="22" spans="1:30" x14ac:dyDescent="0.25">
      <c r="A22" s="1" t="s">
        <v>47</v>
      </c>
      <c r="B22" s="2" t="s">
        <v>79</v>
      </c>
      <c r="C22" s="2" t="s">
        <v>79</v>
      </c>
      <c r="D22" s="34">
        <v>36</v>
      </c>
      <c r="E22" s="4">
        <f t="shared" si="0"/>
        <v>9</v>
      </c>
      <c r="F22" s="37">
        <v>13</v>
      </c>
      <c r="G22" s="36">
        <v>2</v>
      </c>
      <c r="H22" s="1">
        <v>2</v>
      </c>
      <c r="I22" s="42">
        <f t="shared" si="1"/>
        <v>0.5</v>
      </c>
      <c r="J22" s="36">
        <v>9</v>
      </c>
      <c r="K22" s="1">
        <v>7</v>
      </c>
      <c r="L22" s="42">
        <f t="shared" si="2"/>
        <v>0.5625</v>
      </c>
      <c r="M22" s="36">
        <v>38</v>
      </c>
      <c r="N22" s="1">
        <v>34</v>
      </c>
      <c r="O22" s="42">
        <f t="shared" si="3"/>
        <v>0.52777777777777779</v>
      </c>
      <c r="P22" s="34">
        <v>0</v>
      </c>
      <c r="Q22" s="2">
        <v>0</v>
      </c>
      <c r="R22" s="2">
        <v>1</v>
      </c>
      <c r="S22" s="2">
        <v>1</v>
      </c>
      <c r="T22" s="2">
        <v>0</v>
      </c>
      <c r="U22" s="2">
        <v>1</v>
      </c>
      <c r="V22" s="2">
        <v>0</v>
      </c>
      <c r="W22" s="2">
        <v>0</v>
      </c>
      <c r="X22" s="2">
        <v>0</v>
      </c>
      <c r="Y22" s="2">
        <v>0</v>
      </c>
      <c r="Z22" s="1">
        <v>0</v>
      </c>
      <c r="AA22" s="2">
        <v>3</v>
      </c>
      <c r="AB22" s="2">
        <v>1</v>
      </c>
      <c r="AC22" s="2">
        <v>0</v>
      </c>
      <c r="AD22" s="47">
        <v>2</v>
      </c>
    </row>
    <row r="23" spans="1:30" x14ac:dyDescent="0.25">
      <c r="A23" s="2" t="s">
        <v>3</v>
      </c>
      <c r="B23" s="6" t="s">
        <v>60</v>
      </c>
      <c r="C23" s="6" t="s">
        <v>60</v>
      </c>
      <c r="D23" s="34">
        <v>230</v>
      </c>
      <c r="E23" s="4">
        <f t="shared" si="0"/>
        <v>23</v>
      </c>
      <c r="F23" s="35">
        <v>44</v>
      </c>
      <c r="G23" s="34">
        <v>6</v>
      </c>
      <c r="H23" s="2">
        <v>4</v>
      </c>
      <c r="I23" s="41">
        <f t="shared" si="1"/>
        <v>0.6</v>
      </c>
      <c r="J23" s="34">
        <v>22</v>
      </c>
      <c r="K23" s="2">
        <v>21</v>
      </c>
      <c r="L23" s="41">
        <f t="shared" si="2"/>
        <v>0.51162790697674421</v>
      </c>
      <c r="M23" s="34">
        <v>87</v>
      </c>
      <c r="N23" s="2">
        <v>88</v>
      </c>
      <c r="O23" s="41">
        <f t="shared" si="3"/>
        <v>0.49714285714285716</v>
      </c>
      <c r="P23" s="34">
        <v>2</v>
      </c>
      <c r="Q23" s="2">
        <v>3</v>
      </c>
      <c r="R23" s="2">
        <v>1</v>
      </c>
      <c r="S23" s="2">
        <v>1</v>
      </c>
      <c r="T23" s="2">
        <v>2</v>
      </c>
      <c r="U23" s="2">
        <v>2</v>
      </c>
      <c r="V23" s="2">
        <v>3</v>
      </c>
      <c r="W23" s="2">
        <v>0</v>
      </c>
      <c r="X23" s="2">
        <v>0</v>
      </c>
      <c r="Y23" s="2">
        <v>0</v>
      </c>
      <c r="Z23" s="1">
        <v>1</v>
      </c>
      <c r="AA23" s="2">
        <v>0</v>
      </c>
      <c r="AB23" s="2">
        <v>3</v>
      </c>
      <c r="AC23" s="2">
        <v>2</v>
      </c>
      <c r="AD23" s="47">
        <v>1</v>
      </c>
    </row>
    <row r="24" spans="1:30" x14ac:dyDescent="0.25">
      <c r="A24" s="2" t="s">
        <v>15</v>
      </c>
      <c r="B24" s="2" t="s">
        <v>79</v>
      </c>
      <c r="C24" s="2" t="s">
        <v>79</v>
      </c>
      <c r="D24" s="34">
        <v>445</v>
      </c>
      <c r="E24" s="4">
        <f t="shared" si="0"/>
        <v>26.176470588235293</v>
      </c>
      <c r="F24" s="35">
        <v>55</v>
      </c>
      <c r="G24" s="34">
        <v>4</v>
      </c>
      <c r="H24" s="2">
        <v>13</v>
      </c>
      <c r="I24" s="41">
        <f t="shared" si="1"/>
        <v>0.23529411764705882</v>
      </c>
      <c r="J24" s="34">
        <v>28</v>
      </c>
      <c r="K24" s="2">
        <v>42</v>
      </c>
      <c r="L24" s="41">
        <f t="shared" si="2"/>
        <v>0.4</v>
      </c>
      <c r="M24" s="34">
        <v>136</v>
      </c>
      <c r="N24" s="2">
        <v>159</v>
      </c>
      <c r="O24" s="41">
        <f t="shared" si="3"/>
        <v>0.46101694915254238</v>
      </c>
      <c r="P24" s="34">
        <v>2</v>
      </c>
      <c r="Q24" s="2">
        <v>0</v>
      </c>
      <c r="R24" s="2">
        <v>0</v>
      </c>
      <c r="S24" s="2">
        <v>3</v>
      </c>
      <c r="T24" s="1">
        <v>0</v>
      </c>
      <c r="U24" s="2">
        <v>4</v>
      </c>
      <c r="V24" s="2">
        <v>1</v>
      </c>
      <c r="W24" s="2">
        <v>0</v>
      </c>
      <c r="X24" s="2">
        <v>0</v>
      </c>
      <c r="Y24" s="2">
        <v>0</v>
      </c>
      <c r="Z24" s="1">
        <v>0</v>
      </c>
      <c r="AA24" s="2">
        <v>5</v>
      </c>
      <c r="AB24" s="2">
        <v>6</v>
      </c>
      <c r="AC24" s="2">
        <v>2</v>
      </c>
      <c r="AD24" s="47">
        <v>5</v>
      </c>
    </row>
    <row r="25" spans="1:30" x14ac:dyDescent="0.25">
      <c r="A25" s="1" t="s">
        <v>43</v>
      </c>
      <c r="B25" s="2" t="s">
        <v>79</v>
      </c>
      <c r="C25" s="2" t="s">
        <v>79</v>
      </c>
      <c r="D25" s="36">
        <v>4</v>
      </c>
      <c r="E25" s="4">
        <f t="shared" si="0"/>
        <v>4</v>
      </c>
      <c r="F25" s="35">
        <v>4</v>
      </c>
      <c r="G25" s="36">
        <v>1</v>
      </c>
      <c r="H25" s="1">
        <v>0</v>
      </c>
      <c r="I25" s="42">
        <f t="shared" si="1"/>
        <v>1</v>
      </c>
      <c r="J25" s="36">
        <v>3</v>
      </c>
      <c r="K25" s="1">
        <v>0</v>
      </c>
      <c r="L25" s="42">
        <f t="shared" si="2"/>
        <v>1</v>
      </c>
      <c r="M25" s="36">
        <v>9</v>
      </c>
      <c r="N25" s="1">
        <v>4</v>
      </c>
      <c r="O25" s="42">
        <f t="shared" si="3"/>
        <v>0.69230769230769229</v>
      </c>
      <c r="P25" s="34">
        <v>0</v>
      </c>
      <c r="Q25" s="2">
        <v>0</v>
      </c>
      <c r="R25" s="2">
        <v>0</v>
      </c>
      <c r="S25" s="2">
        <v>0</v>
      </c>
      <c r="T25" s="2">
        <v>0</v>
      </c>
      <c r="U25" s="1">
        <v>1</v>
      </c>
      <c r="V25" s="2">
        <v>0</v>
      </c>
      <c r="W25" s="2">
        <v>0</v>
      </c>
      <c r="X25" s="2">
        <v>0</v>
      </c>
      <c r="Y25" s="2">
        <v>0</v>
      </c>
      <c r="Z25" s="1">
        <v>0</v>
      </c>
      <c r="AA25" s="2">
        <v>0</v>
      </c>
      <c r="AB25" s="1">
        <v>1</v>
      </c>
      <c r="AC25" s="2">
        <v>0</v>
      </c>
      <c r="AD25" s="65">
        <v>1</v>
      </c>
    </row>
    <row r="26" spans="1:30" x14ac:dyDescent="0.25">
      <c r="A26" s="2" t="s">
        <v>13</v>
      </c>
      <c r="B26" s="6" t="s">
        <v>124</v>
      </c>
      <c r="C26" s="6" t="s">
        <v>60</v>
      </c>
      <c r="D26" s="34">
        <v>640</v>
      </c>
      <c r="E26" s="4">
        <f t="shared" si="0"/>
        <v>27.826086956521738</v>
      </c>
      <c r="F26" s="35">
        <v>57</v>
      </c>
      <c r="G26" s="34">
        <v>16</v>
      </c>
      <c r="H26" s="2">
        <v>7</v>
      </c>
      <c r="I26" s="41">
        <f t="shared" si="1"/>
        <v>0.69565217391304346</v>
      </c>
      <c r="J26" s="34">
        <v>54</v>
      </c>
      <c r="K26" s="2">
        <v>39</v>
      </c>
      <c r="L26" s="41">
        <f t="shared" si="2"/>
        <v>0.58064516129032262</v>
      </c>
      <c r="M26" s="34">
        <v>209</v>
      </c>
      <c r="N26" s="2">
        <v>173</v>
      </c>
      <c r="O26" s="41">
        <f t="shared" si="3"/>
        <v>0.54712041884816753</v>
      </c>
      <c r="P26" s="34">
        <v>2</v>
      </c>
      <c r="Q26" s="2">
        <v>6</v>
      </c>
      <c r="R26" s="2">
        <v>2</v>
      </c>
      <c r="S26" s="2">
        <v>7</v>
      </c>
      <c r="T26" s="2">
        <v>2</v>
      </c>
      <c r="U26" s="2">
        <v>8</v>
      </c>
      <c r="V26" s="2">
        <v>3</v>
      </c>
      <c r="W26" s="2">
        <v>1</v>
      </c>
      <c r="X26" s="2">
        <v>1</v>
      </c>
      <c r="Y26" s="2">
        <v>1</v>
      </c>
      <c r="Z26" s="1">
        <v>2</v>
      </c>
      <c r="AA26" s="2">
        <v>6</v>
      </c>
      <c r="AB26" s="2">
        <v>6</v>
      </c>
      <c r="AC26" s="2">
        <v>0</v>
      </c>
      <c r="AD26" s="47">
        <v>7</v>
      </c>
    </row>
    <row r="27" spans="1:30" x14ac:dyDescent="0.25">
      <c r="A27" s="2" t="s">
        <v>2</v>
      </c>
      <c r="B27" s="6" t="s">
        <v>60</v>
      </c>
      <c r="C27" s="2" t="s">
        <v>79</v>
      </c>
      <c r="D27" s="34">
        <v>297</v>
      </c>
      <c r="E27" s="4">
        <f t="shared" si="0"/>
        <v>27</v>
      </c>
      <c r="F27" s="35">
        <v>42</v>
      </c>
      <c r="G27" s="34">
        <v>6</v>
      </c>
      <c r="H27" s="2">
        <v>5</v>
      </c>
      <c r="I27" s="41">
        <f t="shared" si="1"/>
        <v>0.54545454545454541</v>
      </c>
      <c r="J27" s="34">
        <v>25</v>
      </c>
      <c r="K27" s="2">
        <v>21</v>
      </c>
      <c r="L27" s="41">
        <f t="shared" si="2"/>
        <v>0.54347826086956519</v>
      </c>
      <c r="M27" s="34">
        <v>102</v>
      </c>
      <c r="N27" s="2">
        <v>91</v>
      </c>
      <c r="O27" s="41">
        <f t="shared" si="3"/>
        <v>0.52849740932642486</v>
      </c>
      <c r="P27" s="34">
        <v>2</v>
      </c>
      <c r="Q27" s="2">
        <v>2</v>
      </c>
      <c r="R27" s="2">
        <v>2</v>
      </c>
      <c r="S27" s="2">
        <v>4</v>
      </c>
      <c r="T27" s="2">
        <v>0</v>
      </c>
      <c r="U27" s="2">
        <v>3</v>
      </c>
      <c r="V27" s="2">
        <v>0</v>
      </c>
      <c r="W27" s="2">
        <v>0</v>
      </c>
      <c r="X27" s="2">
        <v>0</v>
      </c>
      <c r="Y27" s="2">
        <v>0</v>
      </c>
      <c r="Z27" s="1">
        <v>0</v>
      </c>
      <c r="AA27" s="2">
        <v>5</v>
      </c>
      <c r="AB27" s="2">
        <v>0</v>
      </c>
      <c r="AC27" s="2">
        <v>4</v>
      </c>
      <c r="AD27" s="47">
        <v>3</v>
      </c>
    </row>
    <row r="28" spans="1:30" x14ac:dyDescent="0.25">
      <c r="A28" s="2" t="s">
        <v>54</v>
      </c>
      <c r="B28" s="6" t="s">
        <v>60</v>
      </c>
      <c r="C28" s="6" t="s">
        <v>79</v>
      </c>
      <c r="D28" s="34">
        <v>65</v>
      </c>
      <c r="E28" s="4">
        <f t="shared" si="0"/>
        <v>21.666666666666668</v>
      </c>
      <c r="F28" s="35">
        <v>29</v>
      </c>
      <c r="G28" s="36">
        <v>3</v>
      </c>
      <c r="H28" s="1">
        <v>0</v>
      </c>
      <c r="I28" s="42">
        <f t="shared" si="1"/>
        <v>1</v>
      </c>
      <c r="J28" s="36">
        <v>9</v>
      </c>
      <c r="K28" s="1">
        <v>6</v>
      </c>
      <c r="L28" s="42">
        <f t="shared" si="2"/>
        <v>0.6</v>
      </c>
      <c r="M28" s="36">
        <v>36</v>
      </c>
      <c r="N28" s="1">
        <v>26</v>
      </c>
      <c r="O28" s="42">
        <f t="shared" si="3"/>
        <v>0.58064516129032262</v>
      </c>
      <c r="P28" s="34">
        <v>0</v>
      </c>
      <c r="Q28" s="2">
        <v>1</v>
      </c>
      <c r="R28" s="2">
        <v>0</v>
      </c>
      <c r="S28" s="2">
        <v>1</v>
      </c>
      <c r="T28" s="2">
        <v>2</v>
      </c>
      <c r="U28" s="2">
        <v>1</v>
      </c>
      <c r="V28" s="2">
        <v>2</v>
      </c>
      <c r="W28" s="2">
        <v>0</v>
      </c>
      <c r="X28" s="2">
        <v>0</v>
      </c>
      <c r="Y28" s="2">
        <v>0</v>
      </c>
      <c r="Z28" s="1">
        <v>1</v>
      </c>
      <c r="AA28" s="2">
        <v>1</v>
      </c>
      <c r="AB28" s="2">
        <v>0</v>
      </c>
      <c r="AC28" s="2">
        <v>0</v>
      </c>
      <c r="AD28" s="47">
        <v>0</v>
      </c>
    </row>
    <row r="29" spans="1:30" x14ac:dyDescent="0.25">
      <c r="A29" s="2" t="s">
        <v>5</v>
      </c>
      <c r="B29" s="6" t="s">
        <v>60</v>
      </c>
      <c r="C29" s="2" t="s">
        <v>79</v>
      </c>
      <c r="D29" s="34">
        <v>216</v>
      </c>
      <c r="E29" s="4">
        <f t="shared" si="0"/>
        <v>24</v>
      </c>
      <c r="F29" s="35">
        <v>36</v>
      </c>
      <c r="G29" s="34">
        <v>4</v>
      </c>
      <c r="H29" s="2">
        <v>5</v>
      </c>
      <c r="I29" s="41">
        <f t="shared" si="1"/>
        <v>0.44444444444444442</v>
      </c>
      <c r="J29" s="34">
        <v>18</v>
      </c>
      <c r="K29" s="2">
        <v>21</v>
      </c>
      <c r="L29" s="41">
        <f t="shared" si="2"/>
        <v>0.46153846153846156</v>
      </c>
      <c r="M29" s="34">
        <v>79</v>
      </c>
      <c r="N29" s="2">
        <v>86</v>
      </c>
      <c r="O29" s="41">
        <f t="shared" si="3"/>
        <v>0.47878787878787876</v>
      </c>
      <c r="P29" s="34">
        <v>1</v>
      </c>
      <c r="Q29" s="2">
        <v>1</v>
      </c>
      <c r="R29" s="2">
        <v>2</v>
      </c>
      <c r="S29" s="2">
        <v>2</v>
      </c>
      <c r="T29" s="1">
        <v>1</v>
      </c>
      <c r="U29" s="2">
        <v>1</v>
      </c>
      <c r="V29" s="2">
        <v>0</v>
      </c>
      <c r="W29" s="2">
        <v>0</v>
      </c>
      <c r="X29" s="2">
        <v>0</v>
      </c>
      <c r="Y29" s="2">
        <v>0</v>
      </c>
      <c r="Z29" s="1">
        <v>0</v>
      </c>
      <c r="AA29" s="2">
        <v>1</v>
      </c>
      <c r="AB29" s="2">
        <v>4</v>
      </c>
      <c r="AC29" s="2">
        <v>3</v>
      </c>
      <c r="AD29" s="47">
        <v>2</v>
      </c>
    </row>
    <row r="30" spans="1:30" x14ac:dyDescent="0.25">
      <c r="A30" s="2" t="s">
        <v>38</v>
      </c>
      <c r="B30" s="2" t="s">
        <v>79</v>
      </c>
      <c r="C30" s="2" t="s">
        <v>79</v>
      </c>
      <c r="D30" s="34">
        <v>17</v>
      </c>
      <c r="E30" s="4">
        <f t="shared" si="0"/>
        <v>2.8333333333333335</v>
      </c>
      <c r="F30" s="35">
        <v>6</v>
      </c>
      <c r="G30" s="34">
        <v>3</v>
      </c>
      <c r="H30" s="2">
        <v>3</v>
      </c>
      <c r="I30" s="41">
        <f t="shared" si="1"/>
        <v>0.5</v>
      </c>
      <c r="J30" s="34">
        <v>11</v>
      </c>
      <c r="K30" s="2">
        <v>10</v>
      </c>
      <c r="L30" s="41">
        <f t="shared" si="2"/>
        <v>0.52380952380952384</v>
      </c>
      <c r="M30" s="34">
        <v>41</v>
      </c>
      <c r="N30" s="2">
        <v>45</v>
      </c>
      <c r="O30" s="41">
        <f t="shared" si="3"/>
        <v>0.47674418604651164</v>
      </c>
      <c r="P30" s="34">
        <v>1</v>
      </c>
      <c r="Q30" s="2">
        <v>1</v>
      </c>
      <c r="R30" s="2">
        <v>1</v>
      </c>
      <c r="S30" s="2">
        <v>1</v>
      </c>
      <c r="T30" s="2">
        <v>0</v>
      </c>
      <c r="U30" s="2">
        <v>3</v>
      </c>
      <c r="V30" s="2">
        <v>0</v>
      </c>
      <c r="W30" s="2">
        <v>1</v>
      </c>
      <c r="X30" s="2">
        <v>0</v>
      </c>
      <c r="Y30" s="2">
        <v>0</v>
      </c>
      <c r="Z30" s="1">
        <v>0</v>
      </c>
      <c r="AA30" s="2">
        <v>1</v>
      </c>
      <c r="AB30" s="2">
        <v>1</v>
      </c>
      <c r="AC30" s="2">
        <v>0</v>
      </c>
      <c r="AD30" s="47">
        <v>1</v>
      </c>
    </row>
    <row r="31" spans="1:30" x14ac:dyDescent="0.25">
      <c r="A31" s="2" t="s">
        <v>40</v>
      </c>
      <c r="B31" s="2" t="s">
        <v>79</v>
      </c>
      <c r="C31" s="2" t="s">
        <v>79</v>
      </c>
      <c r="D31" s="34">
        <v>37</v>
      </c>
      <c r="E31" s="4">
        <f t="shared" si="0"/>
        <v>12.333333333333334</v>
      </c>
      <c r="F31" s="35">
        <v>16</v>
      </c>
      <c r="G31" s="36">
        <v>0</v>
      </c>
      <c r="H31" s="1">
        <v>3</v>
      </c>
      <c r="I31" s="42">
        <f t="shared" si="1"/>
        <v>0</v>
      </c>
      <c r="J31" s="36">
        <v>2</v>
      </c>
      <c r="K31" s="1">
        <v>10</v>
      </c>
      <c r="L31" s="42">
        <f t="shared" si="2"/>
        <v>0.16666666666666666</v>
      </c>
      <c r="M31" s="36">
        <v>15</v>
      </c>
      <c r="N31" s="1">
        <v>30</v>
      </c>
      <c r="O31" s="42">
        <f t="shared" si="3"/>
        <v>0.33333333333333331</v>
      </c>
      <c r="P31" s="36">
        <v>1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1">
        <v>0</v>
      </c>
      <c r="AA31" s="2">
        <v>0</v>
      </c>
      <c r="AB31" s="2">
        <v>0</v>
      </c>
      <c r="AC31" s="2">
        <v>0</v>
      </c>
      <c r="AD31" s="47">
        <v>1</v>
      </c>
    </row>
    <row r="32" spans="1:30" x14ac:dyDescent="0.25">
      <c r="A32" s="2" t="s">
        <v>17</v>
      </c>
      <c r="B32" s="2" t="s">
        <v>79</v>
      </c>
      <c r="C32" s="2" t="s">
        <v>79</v>
      </c>
      <c r="D32" s="34">
        <v>555</v>
      </c>
      <c r="E32" s="4">
        <f t="shared" si="0"/>
        <v>25.227272727272727</v>
      </c>
      <c r="F32" s="35">
        <v>49</v>
      </c>
      <c r="G32" s="34">
        <v>10</v>
      </c>
      <c r="H32" s="2">
        <v>12</v>
      </c>
      <c r="I32" s="41">
        <f t="shared" si="1"/>
        <v>0.45454545454545453</v>
      </c>
      <c r="J32" s="34">
        <v>46</v>
      </c>
      <c r="K32" s="2">
        <v>43</v>
      </c>
      <c r="L32" s="41">
        <f t="shared" si="2"/>
        <v>0.5168539325842697</v>
      </c>
      <c r="M32" s="34">
        <v>196</v>
      </c>
      <c r="N32" s="2">
        <v>177</v>
      </c>
      <c r="O32" s="41">
        <f t="shared" si="3"/>
        <v>0.52546916890080431</v>
      </c>
      <c r="P32" s="34">
        <v>5</v>
      </c>
      <c r="Q32" s="2">
        <v>2</v>
      </c>
      <c r="R32" s="2">
        <v>2</v>
      </c>
      <c r="S32" s="2">
        <v>4</v>
      </c>
      <c r="T32" s="1">
        <v>0</v>
      </c>
      <c r="U32" s="2">
        <v>9</v>
      </c>
      <c r="V32" s="2">
        <v>2</v>
      </c>
      <c r="W32" s="2">
        <v>0</v>
      </c>
      <c r="X32" s="2">
        <v>1</v>
      </c>
      <c r="Y32" s="2">
        <v>1</v>
      </c>
      <c r="Z32" s="2">
        <v>0</v>
      </c>
      <c r="AA32" s="2">
        <v>6</v>
      </c>
      <c r="AB32" s="2">
        <v>4</v>
      </c>
      <c r="AC32" s="2">
        <v>3</v>
      </c>
      <c r="AD32" s="47">
        <v>7</v>
      </c>
    </row>
    <row r="33" spans="1:30" x14ac:dyDescent="0.25">
      <c r="A33" s="2" t="s">
        <v>6</v>
      </c>
      <c r="B33" s="2" t="s">
        <v>79</v>
      </c>
      <c r="C33" s="2" t="s">
        <v>79</v>
      </c>
      <c r="D33" s="34">
        <v>306</v>
      </c>
      <c r="E33" s="4">
        <f t="shared" si="0"/>
        <v>23.53846153846154</v>
      </c>
      <c r="F33" s="35">
        <v>43</v>
      </c>
      <c r="G33" s="34">
        <v>9</v>
      </c>
      <c r="H33" s="2">
        <v>4</v>
      </c>
      <c r="I33" s="41">
        <f t="shared" si="1"/>
        <v>0.69230769230769229</v>
      </c>
      <c r="J33" s="34">
        <v>31</v>
      </c>
      <c r="K33" s="2">
        <v>22</v>
      </c>
      <c r="L33" s="41">
        <f t="shared" si="2"/>
        <v>0.58490566037735847</v>
      </c>
      <c r="M33" s="34">
        <v>117</v>
      </c>
      <c r="N33" s="2">
        <v>108</v>
      </c>
      <c r="O33" s="41">
        <f t="shared" si="3"/>
        <v>0.52</v>
      </c>
      <c r="P33" s="34">
        <v>1</v>
      </c>
      <c r="Q33" s="2">
        <v>3</v>
      </c>
      <c r="R33" s="2">
        <v>1</v>
      </c>
      <c r="S33" s="2">
        <v>1</v>
      </c>
      <c r="T33" s="1">
        <v>0</v>
      </c>
      <c r="U33" s="2">
        <v>7</v>
      </c>
      <c r="V33" s="2">
        <v>0</v>
      </c>
      <c r="W33" s="2">
        <v>1</v>
      </c>
      <c r="X33" s="2">
        <v>0</v>
      </c>
      <c r="Y33" s="2">
        <v>0</v>
      </c>
      <c r="Z33" s="2">
        <v>1</v>
      </c>
      <c r="AA33" s="2">
        <v>4</v>
      </c>
      <c r="AB33" s="2">
        <v>5</v>
      </c>
      <c r="AC33" s="2">
        <v>2</v>
      </c>
      <c r="AD33" s="47">
        <v>5</v>
      </c>
    </row>
    <row r="34" spans="1:30" x14ac:dyDescent="0.25">
      <c r="A34" s="2" t="s">
        <v>18</v>
      </c>
      <c r="B34" s="2" t="s">
        <v>79</v>
      </c>
      <c r="C34" s="2" t="s">
        <v>79</v>
      </c>
      <c r="D34" s="34">
        <v>293</v>
      </c>
      <c r="E34" s="4">
        <f t="shared" si="0"/>
        <v>26.636363636363637</v>
      </c>
      <c r="F34" s="35">
        <v>41</v>
      </c>
      <c r="G34" s="34">
        <v>4</v>
      </c>
      <c r="H34" s="2">
        <v>7</v>
      </c>
      <c r="I34" s="41">
        <f t="shared" si="1"/>
        <v>0.36363636363636365</v>
      </c>
      <c r="J34" s="34">
        <v>20</v>
      </c>
      <c r="K34" s="2">
        <v>26</v>
      </c>
      <c r="L34" s="41">
        <f t="shared" si="2"/>
        <v>0.43478260869565216</v>
      </c>
      <c r="M34" s="34">
        <v>88</v>
      </c>
      <c r="N34" s="2">
        <v>94</v>
      </c>
      <c r="O34" s="41">
        <f t="shared" si="3"/>
        <v>0.48351648351648352</v>
      </c>
      <c r="P34" s="34">
        <v>2</v>
      </c>
      <c r="Q34" s="2">
        <v>0</v>
      </c>
      <c r="R34" s="2">
        <v>0</v>
      </c>
      <c r="S34" s="2">
        <v>4</v>
      </c>
      <c r="T34" s="2">
        <v>0</v>
      </c>
      <c r="U34" s="2">
        <v>3</v>
      </c>
      <c r="V34" s="2">
        <v>1</v>
      </c>
      <c r="W34" s="2">
        <v>1</v>
      </c>
      <c r="X34" s="2">
        <v>0</v>
      </c>
      <c r="Y34" s="2">
        <v>0</v>
      </c>
      <c r="Z34" s="1">
        <v>0</v>
      </c>
      <c r="AA34" s="2">
        <v>3</v>
      </c>
      <c r="AB34" s="2">
        <v>4</v>
      </c>
      <c r="AC34" s="2">
        <v>0</v>
      </c>
      <c r="AD34" s="47">
        <v>2</v>
      </c>
    </row>
    <row r="35" spans="1:30" x14ac:dyDescent="0.25">
      <c r="A35" s="2" t="s">
        <v>14</v>
      </c>
      <c r="B35" s="6" t="s">
        <v>60</v>
      </c>
      <c r="C35" s="6" t="s">
        <v>60</v>
      </c>
      <c r="D35" s="34">
        <v>478</v>
      </c>
      <c r="E35" s="4">
        <f t="shared" si="0"/>
        <v>25.157894736842106</v>
      </c>
      <c r="F35" s="35">
        <v>56</v>
      </c>
      <c r="G35" s="34">
        <v>10</v>
      </c>
      <c r="H35" s="2">
        <v>9</v>
      </c>
      <c r="I35" s="41">
        <f t="shared" si="1"/>
        <v>0.52631578947368418</v>
      </c>
      <c r="J35" s="34">
        <v>39</v>
      </c>
      <c r="K35" s="2">
        <v>38</v>
      </c>
      <c r="L35" s="41">
        <f t="shared" si="2"/>
        <v>0.50649350649350644</v>
      </c>
      <c r="M35" s="34">
        <v>159</v>
      </c>
      <c r="N35" s="2">
        <v>163</v>
      </c>
      <c r="O35" s="41">
        <f t="shared" si="3"/>
        <v>0.49378881987577639</v>
      </c>
      <c r="P35" s="34">
        <v>3</v>
      </c>
      <c r="Q35" s="2">
        <v>3</v>
      </c>
      <c r="R35" s="2">
        <v>2</v>
      </c>
      <c r="S35" s="2">
        <v>3</v>
      </c>
      <c r="T35" s="1">
        <v>1</v>
      </c>
      <c r="U35" s="2">
        <v>4</v>
      </c>
      <c r="V35" s="2">
        <v>0</v>
      </c>
      <c r="W35" s="2">
        <v>1</v>
      </c>
      <c r="X35" s="2">
        <v>0</v>
      </c>
      <c r="Y35" s="2">
        <v>0</v>
      </c>
      <c r="Z35" s="2">
        <v>2</v>
      </c>
      <c r="AA35" s="2">
        <v>5</v>
      </c>
      <c r="AB35" s="2">
        <v>10</v>
      </c>
      <c r="AC35" s="2">
        <v>2</v>
      </c>
      <c r="AD35" s="47">
        <v>3</v>
      </c>
    </row>
    <row r="36" spans="1:30" x14ac:dyDescent="0.25">
      <c r="A36" s="2" t="s">
        <v>4</v>
      </c>
      <c r="B36" s="2" t="s">
        <v>79</v>
      </c>
      <c r="C36" s="2" t="s">
        <v>79</v>
      </c>
      <c r="D36" s="34">
        <v>33</v>
      </c>
      <c r="E36" s="4">
        <f t="shared" si="0"/>
        <v>16.5</v>
      </c>
      <c r="F36" s="35">
        <v>24</v>
      </c>
      <c r="G36" s="34">
        <v>2</v>
      </c>
      <c r="H36" s="2">
        <v>0</v>
      </c>
      <c r="I36" s="41">
        <f t="shared" si="1"/>
        <v>1</v>
      </c>
      <c r="J36" s="34">
        <v>6</v>
      </c>
      <c r="K36" s="2">
        <v>1</v>
      </c>
      <c r="L36" s="41">
        <f t="shared" si="2"/>
        <v>0.8571428571428571</v>
      </c>
      <c r="M36" s="34">
        <v>19</v>
      </c>
      <c r="N36" s="2">
        <v>10</v>
      </c>
      <c r="O36" s="41">
        <f t="shared" si="3"/>
        <v>0.65517241379310343</v>
      </c>
      <c r="P36" s="34">
        <v>0</v>
      </c>
      <c r="Q36" s="2">
        <v>2</v>
      </c>
      <c r="R36" s="2">
        <v>2</v>
      </c>
      <c r="S36" s="2">
        <v>0</v>
      </c>
      <c r="T36" s="2">
        <v>0</v>
      </c>
      <c r="U36" s="2">
        <v>1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0</v>
      </c>
      <c r="AB36" s="2">
        <v>0</v>
      </c>
      <c r="AC36" s="2">
        <v>1</v>
      </c>
      <c r="AD36" s="47">
        <v>0</v>
      </c>
    </row>
    <row r="37" spans="1:30" ht="15.75" thickBot="1" x14ac:dyDescent="0.3">
      <c r="A37" s="2" t="s">
        <v>55</v>
      </c>
      <c r="B37" s="2" t="s">
        <v>79</v>
      </c>
      <c r="C37" s="2" t="s">
        <v>79</v>
      </c>
      <c r="D37" s="38">
        <v>69</v>
      </c>
      <c r="E37" s="39">
        <f t="shared" si="0"/>
        <v>9.8571428571428577</v>
      </c>
      <c r="F37" s="40">
        <v>18</v>
      </c>
      <c r="G37" s="43">
        <v>4</v>
      </c>
      <c r="H37" s="44">
        <v>3</v>
      </c>
      <c r="I37" s="45">
        <f t="shared" si="1"/>
        <v>0.5714285714285714</v>
      </c>
      <c r="J37" s="43">
        <v>15</v>
      </c>
      <c r="K37" s="44">
        <v>14</v>
      </c>
      <c r="L37" s="45">
        <f t="shared" si="2"/>
        <v>0.51724137931034486</v>
      </c>
      <c r="M37" s="43">
        <v>57</v>
      </c>
      <c r="N37" s="44">
        <v>61</v>
      </c>
      <c r="O37" s="45">
        <f t="shared" si="3"/>
        <v>0.48305084745762711</v>
      </c>
      <c r="P37" s="38">
        <v>1</v>
      </c>
      <c r="Q37" s="48">
        <v>0</v>
      </c>
      <c r="R37" s="48">
        <v>1</v>
      </c>
      <c r="S37" s="48">
        <v>3</v>
      </c>
      <c r="T37" s="48">
        <v>1</v>
      </c>
      <c r="U37" s="48">
        <v>0</v>
      </c>
      <c r="V37" s="48">
        <v>1</v>
      </c>
      <c r="W37" s="48">
        <v>0</v>
      </c>
      <c r="X37" s="48">
        <v>0</v>
      </c>
      <c r="Y37" s="48">
        <v>0</v>
      </c>
      <c r="Z37" s="48">
        <v>0</v>
      </c>
      <c r="AA37" s="48">
        <v>3</v>
      </c>
      <c r="AB37" s="48">
        <v>3</v>
      </c>
      <c r="AC37" s="48">
        <v>1</v>
      </c>
      <c r="AD37" s="49">
        <v>1</v>
      </c>
    </row>
    <row r="43" spans="1:30" x14ac:dyDescent="0.25">
      <c r="F43" s="81"/>
    </row>
    <row r="45" spans="1:30" x14ac:dyDescent="0.25">
      <c r="F45" s="81"/>
    </row>
  </sheetData>
  <autoFilter ref="A1:AD37" xr:uid="{EEC03B8F-669F-4FC0-BA62-50F3D395660C}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3623B-3DF3-4828-812B-38325BACD851}">
  <dimension ref="A1:C6"/>
  <sheetViews>
    <sheetView workbookViewId="0">
      <selection activeCell="A10" sqref="A10"/>
    </sheetView>
  </sheetViews>
  <sheetFormatPr defaultRowHeight="15" x14ac:dyDescent="0.25"/>
  <cols>
    <col min="1" max="1" width="49.85546875" bestFit="1" customWidth="1"/>
  </cols>
  <sheetData>
    <row r="1" spans="1:3" ht="17.25" x14ac:dyDescent="0.3">
      <c r="A1" s="82" t="s">
        <v>125</v>
      </c>
    </row>
    <row r="3" spans="1:3" x14ac:dyDescent="0.25">
      <c r="A3" s="54"/>
      <c r="B3" s="54"/>
      <c r="C3" s="54"/>
    </row>
    <row r="4" spans="1:3" x14ac:dyDescent="0.25">
      <c r="A4" s="101" t="s">
        <v>119</v>
      </c>
      <c r="B4" s="102"/>
      <c r="C4" s="102"/>
    </row>
    <row r="5" spans="1:3" x14ac:dyDescent="0.25">
      <c r="A5" s="101" t="s">
        <v>120</v>
      </c>
      <c r="B5" s="102"/>
      <c r="C5" s="102"/>
    </row>
    <row r="6" spans="1:3" x14ac:dyDescent="0.25">
      <c r="A6" s="54"/>
      <c r="B6" s="54"/>
      <c r="C6" s="54"/>
    </row>
  </sheetData>
  <mergeCells count="2">
    <mergeCell ref="A4:C4"/>
    <mergeCell ref="A5:C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DB0CB-A8E8-4810-A3D9-B664E9664A6F}">
  <dimension ref="A1:AC36"/>
  <sheetViews>
    <sheetView workbookViewId="0">
      <selection activeCell="E47" sqref="E47"/>
    </sheetView>
  </sheetViews>
  <sheetFormatPr defaultRowHeight="15" x14ac:dyDescent="0.25"/>
  <cols>
    <col min="2" max="2" width="15.28515625" customWidth="1"/>
    <col min="3" max="3" width="11.7109375" bestFit="1" customWidth="1"/>
    <col min="4" max="4" width="15.28515625" customWidth="1"/>
    <col min="5" max="5" width="17" customWidth="1"/>
    <col min="16" max="16" width="8.140625" bestFit="1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</cols>
  <sheetData>
    <row r="1" spans="1:29" x14ac:dyDescent="0.25">
      <c r="C1" s="104" t="s">
        <v>7</v>
      </c>
      <c r="D1" s="105"/>
      <c r="E1" s="105"/>
      <c r="F1" s="104" t="s">
        <v>22</v>
      </c>
      <c r="G1" s="105"/>
      <c r="H1" s="106"/>
      <c r="I1" s="104" t="s">
        <v>16</v>
      </c>
      <c r="J1" s="105"/>
      <c r="K1" s="106"/>
      <c r="L1" s="104" t="s">
        <v>23</v>
      </c>
      <c r="M1" s="105"/>
      <c r="N1" s="106"/>
      <c r="O1" s="105" t="s">
        <v>64</v>
      </c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  <c r="AA1" s="105"/>
      <c r="AB1" s="105"/>
      <c r="AC1" s="106"/>
    </row>
    <row r="2" spans="1:29" ht="30.75" thickBot="1" x14ac:dyDescent="0.3">
      <c r="B2" s="3" t="s">
        <v>0</v>
      </c>
      <c r="C2" s="20" t="s">
        <v>7</v>
      </c>
      <c r="D2" s="21" t="s">
        <v>36</v>
      </c>
      <c r="E2" s="22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21" t="s">
        <v>9</v>
      </c>
      <c r="P2" s="77" t="s">
        <v>10</v>
      </c>
      <c r="Q2" s="77" t="s">
        <v>11</v>
      </c>
      <c r="R2" s="77" t="s">
        <v>12</v>
      </c>
      <c r="S2" s="77" t="s">
        <v>30</v>
      </c>
      <c r="T2" s="77" t="s">
        <v>31</v>
      </c>
      <c r="U2" s="77" t="s">
        <v>32</v>
      </c>
      <c r="V2" s="77" t="s">
        <v>33</v>
      </c>
      <c r="W2" s="78" t="s">
        <v>65</v>
      </c>
      <c r="X2" s="77" t="s">
        <v>39</v>
      </c>
      <c r="Y2" s="77" t="s">
        <v>41</v>
      </c>
      <c r="Z2" s="77" t="s">
        <v>48</v>
      </c>
      <c r="AA2" s="77" t="s">
        <v>56</v>
      </c>
      <c r="AB2" s="77" t="s">
        <v>57</v>
      </c>
      <c r="AC2" s="79" t="s">
        <v>58</v>
      </c>
    </row>
    <row r="3" spans="1:29" x14ac:dyDescent="0.25">
      <c r="A3" s="107" t="s">
        <v>75</v>
      </c>
      <c r="B3" s="7" t="s">
        <v>37</v>
      </c>
      <c r="C3" s="13">
        <f>INDEX('Old Bow'!D2:D37, MATCH($B$3, 'Old Bow'!$A$2:$A$37, 0))</f>
        <v>190</v>
      </c>
      <c r="D3" s="25">
        <f>INDEX('Old Bow'!E2:E37, MATCH($B$3, 'Old Bow'!$A$2:$A$37, 0))</f>
        <v>17.272727272727273</v>
      </c>
      <c r="E3" s="26">
        <f>INDEX('Old Bow'!F2:F37, MATCH($B$3, 'Old Bow'!$A$2:$A$37, 0))</f>
        <v>25</v>
      </c>
      <c r="F3" s="13">
        <f>INDEX('Old Bow'!G2:G37, MATCH($B$3, 'Old Bow'!$A$2:$A$37, 0))</f>
        <v>4</v>
      </c>
      <c r="G3" s="26">
        <f>INDEX('Old Bow'!H2:H37, MATCH($B$3, 'Old Bow'!$A$2:$A$37, 0))</f>
        <v>7</v>
      </c>
      <c r="H3" s="27">
        <f>INDEX('Old Bow'!I2:I37, MATCH($B$3, 'Old Bow'!$A$2:$A$37, 0))</f>
        <v>0.36363636363636365</v>
      </c>
      <c r="I3" s="13">
        <f>INDEX('Old Bow'!J2:J37, MATCH($B$3, 'Old Bow'!$A$2:$A$37, 0))</f>
        <v>19</v>
      </c>
      <c r="J3" s="26">
        <f>INDEX('Old Bow'!K2:K37, MATCH($B$3, 'Old Bow'!$A$2:$A$37, 0))</f>
        <v>25</v>
      </c>
      <c r="K3" s="27">
        <f>INDEX('Old Bow'!L2:L37, MATCH($B$3, 'Old Bow'!$A$2:$A$37, 0))</f>
        <v>0.43181818181818182</v>
      </c>
      <c r="L3" s="13">
        <f>INDEX('Old Bow'!M2:M37, MATCH($B$3, 'Old Bow'!$A$2:$A$37, 0))</f>
        <v>83</v>
      </c>
      <c r="M3" s="26">
        <f>INDEX('Old Bow'!N2:N37, MATCH($B$3, 'Old Bow'!$A$2:$A$37, 0))</f>
        <v>95</v>
      </c>
      <c r="N3" s="27">
        <f>INDEX('Old Bow'!O2:O37, MATCH($B$3, 'Old Bow'!$A$2:$A$37, 0))</f>
        <v>0.46629213483146065</v>
      </c>
      <c r="O3" s="26">
        <f>INDEX('Old Bow'!AA2:AA37, MATCH($B$3, 'Old Bow'!$A$2:$A$37, 0))</f>
        <v>1</v>
      </c>
      <c r="P3" s="26">
        <f>INDEX('Old Bow'!R2:R37, MATCH($B$3, 'Old Bow'!$A$2:$A$37, 0))</f>
        <v>0</v>
      </c>
      <c r="Q3" s="26">
        <f>INDEX('Old Bow'!AC2:AC37, MATCH($B$3, 'Old Bow'!$A$2:$A$37, 0))</f>
        <v>1</v>
      </c>
      <c r="R3" s="26">
        <f>INDEX('Old Bow'!Q2:Q37, MATCH($B$3, 'Old Bow'!$A$2:$A$37, 0))</f>
        <v>0</v>
      </c>
      <c r="S3" s="26">
        <f>INDEX('Old Bow'!AB2:AB37, MATCH($B$3, 'Old Bow'!$A$2:$A$37, 0))</f>
        <v>5</v>
      </c>
      <c r="T3" s="26">
        <f>INDEX('Old Bow'!W2:W37, MATCH($B$3, 'Old Bow'!$A$2:$A$37, 0))</f>
        <v>0</v>
      </c>
      <c r="U3" s="26">
        <f>INDEX('Old Bow'!U2:U37, MATCH($B$3, 'Old Bow'!$A$2:$A$37, 0))</f>
        <v>3</v>
      </c>
      <c r="V3" s="26">
        <f>INDEX('Old Bow'!S2:S37, MATCH($B$3, 'Old Bow'!$A$2:$A$37, 0))</f>
        <v>3</v>
      </c>
      <c r="W3" s="26">
        <f>INDEX('Old Bow'!V2:V37, MATCH($B$3, 'Old Bow'!$A$2:$A$37, 0))</f>
        <v>0</v>
      </c>
      <c r="X3" s="26">
        <f>INDEX('Old Bow'!AD2:AD37, MATCH($B$3, 'Old Bow'!$A$2:$A$37, 0))</f>
        <v>4</v>
      </c>
      <c r="Y3" s="26">
        <f>INDEX('Old Bow'!P2:P37, MATCH($B$3, 'Old Bow'!$A$2:$A$37, 0))</f>
        <v>3</v>
      </c>
      <c r="Z3" s="26">
        <f>INDEX('Old Bow'!T2:T37, MATCH($B$3, 'Old Bow'!$A$2:$A$37, 0))</f>
        <v>0</v>
      </c>
      <c r="AA3" s="26">
        <f>INDEX('Old Bow'!Z2:Z37, MATCH($B$3, 'Old Bow'!$A$2:$A$37, 0))</f>
        <v>0</v>
      </c>
      <c r="AB3" s="26">
        <f>INDEX('Old Bow'!Y2:Y37, MATCH($B$3, 'Old Bow'!$A$2:$A$37, 0))</f>
        <v>0</v>
      </c>
      <c r="AC3" s="14">
        <f>INDEX('Old Bow'!X2:X37, MATCH($B$3, 'Old Bow'!$A$2:$A$37, 0))</f>
        <v>0</v>
      </c>
    </row>
    <row r="4" spans="1:29" x14ac:dyDescent="0.25">
      <c r="A4" s="107"/>
      <c r="B4" s="7" t="s">
        <v>46</v>
      </c>
      <c r="C4" s="13">
        <f>INDEX('Old Bow'!D2:D37, MATCH($B$4, 'Old Bow'!$A$2:$A$37, 0))</f>
        <v>183</v>
      </c>
      <c r="D4" s="25">
        <f>INDEX('Old Bow'!E2:E37, MATCH($B$4, 'Old Bow'!$A$2:$A$37, 0))</f>
        <v>20.333333333333332</v>
      </c>
      <c r="E4" s="26">
        <f>INDEX('Old Bow'!F2:F37, MATCH($B$4, 'Old Bow'!$A$2:$A$37, 0))</f>
        <v>36</v>
      </c>
      <c r="F4" s="13">
        <f>INDEX('Old Bow'!G2:G37, MATCH($B$4, 'Old Bow'!$A$2:$A$37, 0))</f>
        <v>4</v>
      </c>
      <c r="G4" s="26">
        <f>INDEX('Old Bow'!H2:H37, MATCH($B$4, 'Old Bow'!$A$2:$A$37, 0))</f>
        <v>5</v>
      </c>
      <c r="H4" s="27">
        <f>INDEX('Old Bow'!I2:I37, MATCH($B$4, 'Old Bow'!$A$2:$A$37, 0))</f>
        <v>0.44444444444444442</v>
      </c>
      <c r="I4" s="13">
        <f>INDEX('Old Bow'!J2:J37, MATCH($B$4, 'Old Bow'!$A$2:$A$37, 0))</f>
        <v>16</v>
      </c>
      <c r="J4" s="26">
        <f>INDEX('Old Bow'!K2:K37, MATCH($B$4, 'Old Bow'!$A$2:$A$37, 0))</f>
        <v>20</v>
      </c>
      <c r="K4" s="27">
        <f>INDEX('Old Bow'!L2:L37, MATCH($B$4, 'Old Bow'!$A$2:$A$37, 0))</f>
        <v>0.44444444444444442</v>
      </c>
      <c r="L4" s="13">
        <f>INDEX('Old Bow'!M2:M37, MATCH($B$4, 'Old Bow'!$A$2:$A$37, 0))</f>
        <v>70</v>
      </c>
      <c r="M4" s="26">
        <f>INDEX('Old Bow'!N2:N37, MATCH($B$4, 'Old Bow'!$A$2:$A$37, 0))</f>
        <v>83</v>
      </c>
      <c r="N4" s="27">
        <f>INDEX('Old Bow'!O2:O37, MATCH($B$4, 'Old Bow'!$A$2:$A$37, 0))</f>
        <v>0.45751633986928103</v>
      </c>
      <c r="O4" s="26">
        <f>INDEX('Old Bow'!AA2:AA37, MATCH($B$4, 'Old Bow'!$A$2:$A$37, 0))</f>
        <v>1</v>
      </c>
      <c r="P4" s="26">
        <f>INDEX('Old Bow'!R2:R37, MATCH($B$4, 'Old Bow'!$A$2:$A$37, 0))</f>
        <v>1</v>
      </c>
      <c r="Q4" s="26">
        <f>INDEX('Old Bow'!AC2:AC37, MATCH($B$4, 'Old Bow'!$A$2:$A$37, 0))</f>
        <v>1</v>
      </c>
      <c r="R4" s="26">
        <f>INDEX('Old Bow'!Q2:Q37, MATCH($B$4, 'Old Bow'!$A$2:$A$37, 0))</f>
        <v>1</v>
      </c>
      <c r="S4" s="26">
        <f>INDEX('Old Bow'!AB2:AB37, MATCH($B$4, 'Old Bow'!$A$2:$A$37, 0))</f>
        <v>3</v>
      </c>
      <c r="T4" s="26">
        <f>INDEX('Old Bow'!W2:W37, MATCH($B$4, 'Old Bow'!$A$2:$A$37, 0))</f>
        <v>1</v>
      </c>
      <c r="U4" s="26">
        <f>INDEX('Old Bow'!U2:U37, MATCH($B$4, 'Old Bow'!$A$2:$A$37, 0))</f>
        <v>5</v>
      </c>
      <c r="V4" s="26">
        <f>INDEX('Old Bow'!S2:S37, MATCH($B$4, 'Old Bow'!$A$2:$A$37, 0))</f>
        <v>1</v>
      </c>
      <c r="W4" s="26">
        <f>INDEX('Old Bow'!V2:V37, MATCH($B$4, 'Old Bow'!$A$2:$A$37, 0))</f>
        <v>0</v>
      </c>
      <c r="X4" s="26">
        <f>INDEX('Old Bow'!AD2:AD37, MATCH($B$4, 'Old Bow'!$A$2:$A$37, 0))</f>
        <v>2</v>
      </c>
      <c r="Y4" s="26">
        <f>INDEX('Old Bow'!P2:P37, MATCH($B$4, 'Old Bow'!$A$2:$A$37, 0))</f>
        <v>0</v>
      </c>
      <c r="Z4" s="26">
        <f>INDEX('Old Bow'!T2:T37, MATCH($B$4, 'Old Bow'!$A$2:$A$37, 0))</f>
        <v>0</v>
      </c>
      <c r="AA4" s="26">
        <f>INDEX('Old Bow'!Z2:Z37, MATCH($B$4, 'Old Bow'!$A$2:$A$37, 0))</f>
        <v>0</v>
      </c>
      <c r="AB4" s="26">
        <f>INDEX('Old Bow'!Y2:Y37, MATCH($B$4, 'Old Bow'!$A$2:$A$37, 0))</f>
        <v>0</v>
      </c>
      <c r="AC4" s="14">
        <f>INDEX('Old Bow'!X2:X37, MATCH($B$4, 'Old Bow'!$A$2:$A$37, 0))</f>
        <v>0</v>
      </c>
    </row>
    <row r="5" spans="1:29" x14ac:dyDescent="0.25">
      <c r="A5" s="107"/>
      <c r="B5" s="7" t="s">
        <v>6</v>
      </c>
      <c r="C5" s="13">
        <f>INDEX('Old Bow'!D2:D37, MATCH($B$5, 'Old Bow'!$A$2:$A$37, 0))</f>
        <v>306</v>
      </c>
      <c r="D5" s="25">
        <f>INDEX('Old Bow'!E2:E37, MATCH($B$5, 'Old Bow'!$A$2:$A$37, 0))</f>
        <v>23.53846153846154</v>
      </c>
      <c r="E5" s="26">
        <f>INDEX('Old Bow'!F2:F37, MATCH($B$5, 'Old Bow'!$A$2:$A$37, 0))</f>
        <v>43</v>
      </c>
      <c r="F5" s="13">
        <f>INDEX('Old Bow'!G2:G37, MATCH($B$5, 'Old Bow'!$A$2:$A$37, 0))</f>
        <v>9</v>
      </c>
      <c r="G5" s="26">
        <f>INDEX('Old Bow'!H2:H37, MATCH($B$5, 'Old Bow'!$A$2:$A$37, 0))</f>
        <v>4</v>
      </c>
      <c r="H5" s="27">
        <f>INDEX('Old Bow'!I2:I37, MATCH($B$5, 'Old Bow'!$A$2:$A$37, 0))</f>
        <v>0.69230769230769229</v>
      </c>
      <c r="I5" s="13">
        <f>INDEX('Old Bow'!J2:J37, MATCH($B$5, 'Old Bow'!$A$2:$A$37, 0))</f>
        <v>31</v>
      </c>
      <c r="J5" s="26">
        <f>INDEX('Old Bow'!K2:K37, MATCH($B$5, 'Old Bow'!$A$2:$A$37, 0))</f>
        <v>22</v>
      </c>
      <c r="K5" s="27">
        <f>INDEX('Old Bow'!L2:L37, MATCH($B$5, 'Old Bow'!$A$2:$A$37, 0))</f>
        <v>0.58490566037735847</v>
      </c>
      <c r="L5" s="13">
        <f>INDEX('Old Bow'!M2:M37, MATCH($B$5, 'Old Bow'!$A$2:$A$37, 0))</f>
        <v>117</v>
      </c>
      <c r="M5" s="26">
        <f>INDEX('Old Bow'!N2:N37, MATCH($B$5, 'Old Bow'!$A$2:$A$37, 0))</f>
        <v>108</v>
      </c>
      <c r="N5" s="27">
        <f>INDEX('Old Bow'!O2:O37, MATCH($B$5, 'Old Bow'!$A$2:$A$37, 0))</f>
        <v>0.52</v>
      </c>
      <c r="O5" s="26">
        <f>INDEX('Old Bow'!AA2:AA37, MATCH($B$5, 'Old Bow'!$A$2:$A$37, 0))</f>
        <v>4</v>
      </c>
      <c r="P5" s="26">
        <f>INDEX('Old Bow'!R2:R37, MATCH($B$5, 'Old Bow'!$A$2:$A$37, 0))</f>
        <v>1</v>
      </c>
      <c r="Q5" s="26">
        <f>INDEX('Old Bow'!AC2:AC37, MATCH($B$5, 'Old Bow'!$A$2:$A$37, 0))</f>
        <v>2</v>
      </c>
      <c r="R5" s="26">
        <f>INDEX('Old Bow'!Q2:Q37, MATCH($B$5, 'Old Bow'!$A$2:$A$37, 0))</f>
        <v>3</v>
      </c>
      <c r="S5" s="26">
        <f>INDEX('Old Bow'!AB2:AB37, MATCH($B$5, 'Old Bow'!$A$2:$A$37, 0))</f>
        <v>5</v>
      </c>
      <c r="T5" s="26">
        <f>INDEX('Old Bow'!W2:W37, MATCH($B$5, 'Old Bow'!$A$2:$A$37, 0))</f>
        <v>1</v>
      </c>
      <c r="U5" s="26">
        <f>INDEX('Old Bow'!U2:U37, MATCH($B$5, 'Old Bow'!$A$2:$A$37, 0))</f>
        <v>7</v>
      </c>
      <c r="V5" s="26">
        <f>INDEX('Old Bow'!S2:S37, MATCH($B$5, 'Old Bow'!$A$2:$A$37, 0))</f>
        <v>1</v>
      </c>
      <c r="W5" s="26">
        <f>INDEX('Old Bow'!V2:V37, MATCH($B$5, 'Old Bow'!$A$2:$A$37, 0))</f>
        <v>0</v>
      </c>
      <c r="X5" s="26">
        <f>INDEX('Old Bow'!AD2:AD37, MATCH($B$5, 'Old Bow'!$A$2:$A$37, 0))</f>
        <v>5</v>
      </c>
      <c r="Y5" s="26">
        <f>INDEX('Old Bow'!P2:P37, MATCH($B$5, 'Old Bow'!$A$2:$A$37, 0))</f>
        <v>1</v>
      </c>
      <c r="Z5" s="26">
        <f>INDEX('Old Bow'!T2:T37, MATCH($B$5, 'Old Bow'!$A$2:$A$37, 0))</f>
        <v>0</v>
      </c>
      <c r="AA5" s="26">
        <f>INDEX('Old Bow'!Z2:Z37, MATCH($B$5, 'Old Bow'!$A$2:$A$37, 0))</f>
        <v>1</v>
      </c>
      <c r="AB5" s="26">
        <f>INDEX('Old Bow'!Y2:Y37, MATCH($B$5, 'Old Bow'!$A$2:$A$37, 0))</f>
        <v>0</v>
      </c>
      <c r="AC5" s="14">
        <f>INDEX('Old Bow'!X2:X37, MATCH($B$5, 'Old Bow'!$A$2:$A$37, 0))</f>
        <v>0</v>
      </c>
    </row>
    <row r="6" spans="1:29" x14ac:dyDescent="0.25">
      <c r="A6" s="107"/>
      <c r="B6" s="7" t="s">
        <v>51</v>
      </c>
      <c r="C6" s="13">
        <f>INDEX('Old Bow'!D2:D37, MATCH($B$6, 'Old Bow'!$A$2:$A$37, 0))</f>
        <v>167</v>
      </c>
      <c r="D6" s="25">
        <f>INDEX('Old Bow'!E2:E37, MATCH($B$6, 'Old Bow'!$A$2:$A$37, 0))</f>
        <v>13.916666666666666</v>
      </c>
      <c r="E6" s="26">
        <f>INDEX('Old Bow'!F2:F37, MATCH($B$6, 'Old Bow'!$A$2:$A$37, 0))</f>
        <v>22</v>
      </c>
      <c r="F6" s="13">
        <f>INDEX('Old Bow'!G2:G37, MATCH($B$6, 'Old Bow'!$A$2:$A$37, 0))</f>
        <v>7</v>
      </c>
      <c r="G6" s="26">
        <f>INDEX('Old Bow'!H2:H37, MATCH($B$6, 'Old Bow'!$A$2:$A$37, 0))</f>
        <v>5</v>
      </c>
      <c r="H6" s="27">
        <f>INDEX('Old Bow'!I2:I37, MATCH($B$6, 'Old Bow'!$A$2:$A$37, 0))</f>
        <v>0.58333333333333337</v>
      </c>
      <c r="I6" s="13">
        <f>INDEX('Old Bow'!J2:J37, MATCH($B$6, 'Old Bow'!$A$2:$A$37, 0))</f>
        <v>27</v>
      </c>
      <c r="J6" s="26">
        <f>INDEX('Old Bow'!K2:K37, MATCH($B$6, 'Old Bow'!$A$2:$A$37, 0))</f>
        <v>23</v>
      </c>
      <c r="K6" s="27">
        <f>INDEX('Old Bow'!L2:L37, MATCH($B$6, 'Old Bow'!$A$2:$A$37, 0))</f>
        <v>0.54</v>
      </c>
      <c r="L6" s="13">
        <f>INDEX('Old Bow'!M2:M37, MATCH($B$6, 'Old Bow'!$A$2:$A$37, 0))</f>
        <v>104</v>
      </c>
      <c r="M6" s="26">
        <f>INDEX('Old Bow'!N2:N37, MATCH($B$6, 'Old Bow'!$A$2:$A$37, 0))</f>
        <v>99</v>
      </c>
      <c r="N6" s="27">
        <f>INDEX('Old Bow'!O2:O37, MATCH($B$6, 'Old Bow'!$A$2:$A$37, 0))</f>
        <v>0.51231527093596063</v>
      </c>
      <c r="O6" s="26">
        <f>INDEX('Old Bow'!AA2:AA37, MATCH($B$6, 'Old Bow'!$A$2:$A$37, 0))</f>
        <v>5</v>
      </c>
      <c r="P6" s="26">
        <f>INDEX('Old Bow'!R2:R37, MATCH($B$6, 'Old Bow'!$A$2:$A$37, 0))</f>
        <v>0</v>
      </c>
      <c r="Q6" s="26">
        <f>INDEX('Old Bow'!AC2:AC37, MATCH($B$6, 'Old Bow'!$A$2:$A$37, 0))</f>
        <v>2</v>
      </c>
      <c r="R6" s="26">
        <f>INDEX('Old Bow'!Q2:Q37, MATCH($B$6, 'Old Bow'!$A$2:$A$37, 0))</f>
        <v>1</v>
      </c>
      <c r="S6" s="26">
        <f>INDEX('Old Bow'!AB2:AB37, MATCH($B$6, 'Old Bow'!$A$2:$A$37, 0))</f>
        <v>4</v>
      </c>
      <c r="T6" s="26">
        <f>INDEX('Old Bow'!W2:W37, MATCH($B$6, 'Old Bow'!$A$2:$A$37, 0))</f>
        <v>1</v>
      </c>
      <c r="U6" s="26">
        <f>INDEX('Old Bow'!U2:U37, MATCH($B$6, 'Old Bow'!$A$2:$A$37, 0))</f>
        <v>3</v>
      </c>
      <c r="V6" s="26">
        <f>INDEX('Old Bow'!S2:S37, MATCH($B$6, 'Old Bow'!$A$2:$A$37, 0))</f>
        <v>3</v>
      </c>
      <c r="W6" s="26">
        <f>INDEX('Old Bow'!V2:V37, MATCH($B$6, 'Old Bow'!$A$2:$A$37, 0))</f>
        <v>0</v>
      </c>
      <c r="X6" s="26">
        <f>INDEX('Old Bow'!AD2:AD37, MATCH($B$6, 'Old Bow'!$A$2:$A$37, 0))</f>
        <v>3</v>
      </c>
      <c r="Y6" s="26">
        <f>INDEX('Old Bow'!P2:P37, MATCH($B$6, 'Old Bow'!$A$2:$A$37, 0))</f>
        <v>4</v>
      </c>
      <c r="Z6" s="26">
        <f>INDEX('Old Bow'!T2:T37, MATCH($B$6, 'Old Bow'!$A$2:$A$37, 0))</f>
        <v>0</v>
      </c>
      <c r="AA6" s="26">
        <f>INDEX('Old Bow'!Z2:Z37, MATCH($B$6, 'Old Bow'!$A$2:$A$37, 0))</f>
        <v>1</v>
      </c>
      <c r="AB6" s="26">
        <f>INDEX('Old Bow'!Y2:Y37, MATCH($B$6, 'Old Bow'!$A$2:$A$37, 0))</f>
        <v>0</v>
      </c>
      <c r="AC6" s="14">
        <f>INDEX('Old Bow'!X2:X37, MATCH($B$6, 'Old Bow'!$A$2:$A$37, 0))</f>
        <v>0</v>
      </c>
    </row>
    <row r="7" spans="1:29" x14ac:dyDescent="0.25">
      <c r="A7" s="107"/>
      <c r="B7" s="7" t="s">
        <v>26</v>
      </c>
      <c r="C7" s="13">
        <f>INDEX('Old Bow'!D2:D37, MATCH($B$7, 'Old Bow'!$A$2:$A$37, 0))</f>
        <v>188</v>
      </c>
      <c r="D7" s="25">
        <f>INDEX('Old Bow'!E2:E37, MATCH($B$7, 'Old Bow'!$A$2:$A$37, 0))</f>
        <v>12.533333333333333</v>
      </c>
      <c r="E7" s="26">
        <f>INDEX('Old Bow'!F2:F37, MATCH($B$7, 'Old Bow'!$A$2:$A$37, 0))</f>
        <v>24</v>
      </c>
      <c r="F7" s="13">
        <f>INDEX('Old Bow'!G2:G37, MATCH($B$7, 'Old Bow'!$A$2:$A$37, 0))</f>
        <v>11</v>
      </c>
      <c r="G7" s="26">
        <f>INDEX('Old Bow'!H2:H37, MATCH($B$7, 'Old Bow'!$A$2:$A$37, 0))</f>
        <v>4</v>
      </c>
      <c r="H7" s="27">
        <f>INDEX('Old Bow'!I2:I37, MATCH($B$7, 'Old Bow'!$A$2:$A$37, 0))</f>
        <v>0.73333333333333328</v>
      </c>
      <c r="I7" s="13">
        <f>INDEX('Old Bow'!J2:J37, MATCH($B$7, 'Old Bow'!$A$2:$A$37, 0))</f>
        <v>39</v>
      </c>
      <c r="J7" s="26">
        <f>INDEX('Old Bow'!K2:K37, MATCH($B$7, 'Old Bow'!$A$2:$A$37, 0))</f>
        <v>22</v>
      </c>
      <c r="K7" s="27">
        <f>INDEX('Old Bow'!L2:L37, MATCH($B$7, 'Old Bow'!$A$2:$A$37, 0))</f>
        <v>0.63934426229508201</v>
      </c>
      <c r="L7" s="13">
        <f>INDEX('Old Bow'!M2:M37, MATCH($B$7, 'Old Bow'!$A$2:$A$37, 0))</f>
        <v>144</v>
      </c>
      <c r="M7" s="26">
        <f>INDEX('Old Bow'!N2:N37, MATCH($B$7, 'Old Bow'!$A$2:$A$37, 0))</f>
        <v>108</v>
      </c>
      <c r="N7" s="27">
        <f>INDEX('Old Bow'!O2:O37, MATCH($B$7, 'Old Bow'!$A$2:$A$37, 0))</f>
        <v>0.5714285714285714</v>
      </c>
      <c r="O7" s="26">
        <f>INDEX('Old Bow'!AA2:AA37, MATCH($B$7, 'Old Bow'!$A$2:$A$37, 0))</f>
        <v>3</v>
      </c>
      <c r="P7" s="26">
        <f>INDEX('Old Bow'!R2:R37, MATCH($B$7, 'Old Bow'!$A$2:$A$37, 0))</f>
        <v>2</v>
      </c>
      <c r="Q7" s="26">
        <f>INDEX('Old Bow'!AC2:AC37, MATCH($B$7, 'Old Bow'!$A$2:$A$37, 0))</f>
        <v>1</v>
      </c>
      <c r="R7" s="26">
        <f>INDEX('Old Bow'!Q2:Q37, MATCH($B$7, 'Old Bow'!$A$2:$A$37, 0))</f>
        <v>2</v>
      </c>
      <c r="S7" s="26">
        <f>INDEX('Old Bow'!AB2:AB37, MATCH($B$7, 'Old Bow'!$A$2:$A$37, 0))</f>
        <v>4</v>
      </c>
      <c r="T7" s="26">
        <f>INDEX('Old Bow'!W2:W37, MATCH($B$7, 'Old Bow'!$A$2:$A$37, 0))</f>
        <v>2</v>
      </c>
      <c r="U7" s="26">
        <f>INDEX('Old Bow'!U2:U37, MATCH($B$7, 'Old Bow'!$A$2:$A$37, 0))</f>
        <v>7</v>
      </c>
      <c r="V7" s="26">
        <f>INDEX('Old Bow'!S2:S37, MATCH($B$7, 'Old Bow'!$A$2:$A$37, 0))</f>
        <v>7</v>
      </c>
      <c r="W7" s="26">
        <f>INDEX('Old Bow'!V2:V37, MATCH($B$7, 'Old Bow'!$A$2:$A$37, 0))</f>
        <v>3</v>
      </c>
      <c r="X7" s="26">
        <f>INDEX('Old Bow'!AD2:AD37, MATCH($B$7, 'Old Bow'!$A$2:$A$37, 0))</f>
        <v>3</v>
      </c>
      <c r="Y7" s="26">
        <f>INDEX('Old Bow'!P2:P37, MATCH($B$7, 'Old Bow'!$A$2:$A$37, 0))</f>
        <v>1</v>
      </c>
      <c r="Z7" s="26">
        <f>INDEX('Old Bow'!T2:T37, MATCH($B$7, 'Old Bow'!$A$2:$A$37, 0))</f>
        <v>2</v>
      </c>
      <c r="AA7" s="26">
        <f>INDEX('Old Bow'!Z2:Z37, MATCH($B$7, 'Old Bow'!$A$2:$A$37, 0))</f>
        <v>0</v>
      </c>
      <c r="AB7" s="26">
        <f>INDEX('Old Bow'!Y2:Y37, MATCH($B$7, 'Old Bow'!$A$2:$A$37, 0))</f>
        <v>1</v>
      </c>
      <c r="AC7" s="14">
        <f>INDEX('Old Bow'!X2:X37, MATCH($B$7, 'Old Bow'!$A$2:$A$37, 0))</f>
        <v>1</v>
      </c>
    </row>
    <row r="8" spans="1:29" x14ac:dyDescent="0.25">
      <c r="A8" s="107"/>
      <c r="B8" s="7" t="s">
        <v>38</v>
      </c>
      <c r="C8" s="13">
        <f>INDEX('Old Bow'!D2:D37, MATCH($B$8, 'Old Bow'!$A$2:$A$37, 0))</f>
        <v>17</v>
      </c>
      <c r="D8" s="25">
        <f>INDEX('Old Bow'!E2:E37, MATCH($B$8, 'Old Bow'!$A$2:$A$37, 0))</f>
        <v>2.8333333333333335</v>
      </c>
      <c r="E8" s="26">
        <f>INDEX('Old Bow'!F2:F37, MATCH($B$8, 'Old Bow'!$A$2:$A$37, 0))</f>
        <v>6</v>
      </c>
      <c r="F8" s="13">
        <f>INDEX('Old Bow'!G2:G37, MATCH($B$8, 'Old Bow'!$A$2:$A$37, 0))</f>
        <v>3</v>
      </c>
      <c r="G8" s="26">
        <f>INDEX('Old Bow'!H2:H37, MATCH($B$8, 'Old Bow'!$A$2:$A$37, 0))</f>
        <v>3</v>
      </c>
      <c r="H8" s="27">
        <f>INDEX('Old Bow'!I2:I37, MATCH($B$8, 'Old Bow'!$A$2:$A$37, 0))</f>
        <v>0.5</v>
      </c>
      <c r="I8" s="13">
        <f>INDEX('Old Bow'!J2:J37, MATCH($B$8, 'Old Bow'!$A$2:$A$37, 0))</f>
        <v>11</v>
      </c>
      <c r="J8" s="26">
        <f>INDEX('Old Bow'!K2:K37, MATCH($B$8, 'Old Bow'!$A$2:$A$37, 0))</f>
        <v>10</v>
      </c>
      <c r="K8" s="27">
        <f>INDEX('Old Bow'!L2:L37, MATCH($B$8, 'Old Bow'!$A$2:$A$37, 0))</f>
        <v>0.52380952380952384</v>
      </c>
      <c r="L8" s="13">
        <f>INDEX('Old Bow'!M2:M37, MATCH($B$8, 'Old Bow'!$A$2:$A$37, 0))</f>
        <v>41</v>
      </c>
      <c r="M8" s="26">
        <f>INDEX('Old Bow'!N2:N37, MATCH($B$8, 'Old Bow'!$A$2:$A$37, 0))</f>
        <v>45</v>
      </c>
      <c r="N8" s="27">
        <f>INDEX('Old Bow'!O2:O37, MATCH($B$8, 'Old Bow'!$A$2:$A$37, 0))</f>
        <v>0.47674418604651164</v>
      </c>
      <c r="O8" s="26">
        <f>INDEX('Old Bow'!AA2:AA37, MATCH($B$8, 'Old Bow'!$A$2:$A$37, 0))</f>
        <v>1</v>
      </c>
      <c r="P8" s="26">
        <f>INDEX('Old Bow'!R2:R37, MATCH($B$8, 'Old Bow'!$A$2:$A$37, 0))</f>
        <v>1</v>
      </c>
      <c r="Q8" s="26">
        <f>INDEX('Old Bow'!AC2:AC37, MATCH($B$8, 'Old Bow'!$A$2:$A$37, 0))</f>
        <v>0</v>
      </c>
      <c r="R8" s="26">
        <f>INDEX('Old Bow'!Q2:Q37, MATCH($B$8, 'Old Bow'!$A$2:$A$37, 0))</f>
        <v>1</v>
      </c>
      <c r="S8" s="26">
        <f>INDEX('Old Bow'!AB2:AB37, MATCH($B$8, 'Old Bow'!$A$2:$A$37, 0))</f>
        <v>1</v>
      </c>
      <c r="T8" s="26">
        <f>INDEX('Old Bow'!W2:W37, MATCH($B$8, 'Old Bow'!$A$2:$A$37, 0))</f>
        <v>1</v>
      </c>
      <c r="U8" s="26">
        <f>INDEX('Old Bow'!U2:U37, MATCH($B$8, 'Old Bow'!$A$2:$A$37, 0))</f>
        <v>3</v>
      </c>
      <c r="V8" s="26">
        <f>INDEX('Old Bow'!S2:S37, MATCH($B$8, 'Old Bow'!$A$2:$A$37, 0))</f>
        <v>1</v>
      </c>
      <c r="W8" s="26">
        <f>INDEX('Old Bow'!V2:V37, MATCH($B$8, 'Old Bow'!$A$2:$A$37, 0))</f>
        <v>0</v>
      </c>
      <c r="X8" s="26">
        <f>INDEX('Old Bow'!AD2:AD37, MATCH($B$8, 'Old Bow'!$A$2:$A$37, 0))</f>
        <v>1</v>
      </c>
      <c r="Y8" s="26">
        <f>INDEX('Old Bow'!P2:P37, MATCH($B$8, 'Old Bow'!$A$2:$A$37, 0))</f>
        <v>1</v>
      </c>
      <c r="Z8" s="26">
        <f>INDEX('Old Bow'!T2:T37, MATCH($B$8, 'Old Bow'!$A$2:$A$37, 0))</f>
        <v>0</v>
      </c>
      <c r="AA8" s="26">
        <f>INDEX('Old Bow'!Z2:Z37, MATCH($B$8, 'Old Bow'!$A$2:$A$37, 0))</f>
        <v>0</v>
      </c>
      <c r="AB8" s="26">
        <f>INDEX('Old Bow'!Y2:Y37, MATCH($B$8, 'Old Bow'!$A$2:$A$37, 0))</f>
        <v>0</v>
      </c>
      <c r="AC8" s="14">
        <f>INDEX('Old Bow'!X2:X37, MATCH($B$8, 'Old Bow'!$A$2:$A$37, 0))</f>
        <v>0</v>
      </c>
    </row>
    <row r="9" spans="1:29" x14ac:dyDescent="0.25">
      <c r="A9" s="107"/>
      <c r="B9" s="7" t="s">
        <v>78</v>
      </c>
      <c r="C9" s="13">
        <f>INDEX('Old Bow'!D2:D37, MATCH($B$9, 'Old Bow'!$A$2:$A$37, 0))</f>
        <v>0</v>
      </c>
      <c r="D9" s="25">
        <f>INDEX('Old Bow'!E2:E37, MATCH($B$9, 'Old Bow'!$A$2:$A$37, 0))</f>
        <v>0</v>
      </c>
      <c r="E9" s="26">
        <f>INDEX('Old Bow'!F2:F37, MATCH($B$9, 'Old Bow'!$A$2:$A$37, 0))</f>
        <v>0</v>
      </c>
      <c r="F9" s="13">
        <f>INDEX('Old Bow'!G2:G37, MATCH($B$9, 'Old Bow'!$A$2:$A$37, 0))</f>
        <v>0</v>
      </c>
      <c r="G9" s="26">
        <f>INDEX('Old Bow'!H2:H37, MATCH($B$9, 'Old Bow'!$A$2:$A$37, 0))</f>
        <v>0</v>
      </c>
      <c r="H9" s="27" t="str">
        <f>INDEX('Old Bow'!I2:I37, MATCH($B$9, 'Old Bow'!$A$2:$A$37, 0))</f>
        <v>-</v>
      </c>
      <c r="I9" s="13">
        <f>INDEX('Old Bow'!J2:J37, MATCH($B$9, 'Old Bow'!$A$2:$A$37, 0))</f>
        <v>0</v>
      </c>
      <c r="J9" s="26">
        <f>INDEX('Old Bow'!K2:K37, MATCH($B$9, 'Old Bow'!$A$2:$A$37, 0))</f>
        <v>0</v>
      </c>
      <c r="K9" s="27" t="str">
        <f>INDEX('Old Bow'!L2:L37, MATCH($B$9, 'Old Bow'!$A$2:$A$37, 0))</f>
        <v>-</v>
      </c>
      <c r="L9" s="13">
        <f>INDEX('Old Bow'!M2:M37, MATCH($B$9, 'Old Bow'!$A$2:$A$37, 0))</f>
        <v>0</v>
      </c>
      <c r="M9" s="26">
        <f>INDEX('Old Bow'!N2:N37, MATCH($B$9, 'Old Bow'!$A$2:$A$37, 0))</f>
        <v>0</v>
      </c>
      <c r="N9" s="27" t="str">
        <f>INDEX('Old Bow'!O2:O37, MATCH($B$9, 'Old Bow'!$A$2:$A$37, 0))</f>
        <v>-</v>
      </c>
      <c r="O9" s="26">
        <f>INDEX('Old Bow'!AA2:AA37, MATCH($B$9, 'Old Bow'!$A$2:$A$37, 0))</f>
        <v>0</v>
      </c>
      <c r="P9" s="26">
        <f>INDEX('Old Bow'!R2:R37, MATCH($B$9, 'Old Bow'!$A$2:$A$37, 0))</f>
        <v>0</v>
      </c>
      <c r="Q9" s="26">
        <f>INDEX('Old Bow'!AC2:AC37, MATCH($B$9, 'Old Bow'!$A$2:$A$37, 0))</f>
        <v>0</v>
      </c>
      <c r="R9" s="26">
        <f>INDEX('Old Bow'!Q2:Q37, MATCH($B$9, 'Old Bow'!$A$2:$A$37, 0))</f>
        <v>0</v>
      </c>
      <c r="S9" s="26">
        <f>INDEX('Old Bow'!AB2:AB37, MATCH($B$9, 'Old Bow'!$A$2:$A$37, 0))</f>
        <v>0</v>
      </c>
      <c r="T9" s="26">
        <f>INDEX('Old Bow'!W2:W37, MATCH($B$9, 'Old Bow'!$A$2:$A$37, 0))</f>
        <v>0</v>
      </c>
      <c r="U9" s="26">
        <f>INDEX('Old Bow'!U2:U37, MATCH($B$9, 'Old Bow'!$A$2:$A$37, 0))</f>
        <v>0</v>
      </c>
      <c r="V9" s="26">
        <f>INDEX('Old Bow'!S2:S37, MATCH($B$9, 'Old Bow'!$A$2:$A$37, 0))</f>
        <v>0</v>
      </c>
      <c r="W9" s="26">
        <f>INDEX('Old Bow'!V2:V37, MATCH($B$9, 'Old Bow'!$A$2:$A$37, 0))</f>
        <v>0</v>
      </c>
      <c r="X9" s="26">
        <f>INDEX('Old Bow'!AD2:AD37, MATCH($B$9, 'Old Bow'!$A$2:$A$37, 0))</f>
        <v>0</v>
      </c>
      <c r="Y9" s="26">
        <f>INDEX('Old Bow'!P2:P37, MATCH($B$9, 'Old Bow'!$A$2:$A$37, 0))</f>
        <v>0</v>
      </c>
      <c r="Z9" s="26">
        <f>INDEX('Old Bow'!T2:T37, MATCH($B$9, 'Old Bow'!$A$2:$A$37, 0))</f>
        <v>0</v>
      </c>
      <c r="AA9" s="26">
        <f>INDEX('Old Bow'!Z2:Z37, MATCH($B$9, 'Old Bow'!$A$2:$A$37, 0))</f>
        <v>0</v>
      </c>
      <c r="AB9" s="26">
        <f>INDEX('Old Bow'!Y2:Y37, MATCH($B$9, 'Old Bow'!$A$2:$A$37, 0))</f>
        <v>0</v>
      </c>
      <c r="AC9" s="14">
        <f>INDEX('Old Bow'!X2:X37, MATCH($B$9, 'Old Bow'!$A$2:$A$37, 0))</f>
        <v>0</v>
      </c>
    </row>
    <row r="10" spans="1:29" ht="15.75" thickBot="1" x14ac:dyDescent="0.3">
      <c r="A10" s="107"/>
      <c r="B10" s="7" t="s">
        <v>78</v>
      </c>
      <c r="C10" s="17">
        <f>INDEX('Old Bow'!D2:D37, MATCH($B$10, 'Old Bow'!$A$2:$A$37, 0))</f>
        <v>0</v>
      </c>
      <c r="D10" s="28">
        <f>INDEX('Old Bow'!E2:E37, MATCH($B$10, 'Old Bow'!$A$2:$A$37, 0))</f>
        <v>0</v>
      </c>
      <c r="E10" s="29">
        <f>INDEX('Old Bow'!F2:F37, MATCH($B$10, 'Old Bow'!$A$2:$A$37, 0))</f>
        <v>0</v>
      </c>
      <c r="F10" s="17">
        <f>INDEX('Old Bow'!G2:G37, MATCH($B$10, 'Old Bow'!$A$2:$A$37, 0))</f>
        <v>0</v>
      </c>
      <c r="G10" s="29">
        <f>INDEX('Old Bow'!H2:H37, MATCH($B$10, 'Old Bow'!$A$2:$A$37, 0))</f>
        <v>0</v>
      </c>
      <c r="H10" s="30" t="str">
        <f>INDEX('Old Bow'!I2:I37, MATCH($B$10, 'Old Bow'!$A$2:$A$37, 0))</f>
        <v>-</v>
      </c>
      <c r="I10" s="17">
        <f>INDEX('Old Bow'!J2:J37, MATCH($B$10, 'Old Bow'!$A$2:$A$37, 0))</f>
        <v>0</v>
      </c>
      <c r="J10" s="29">
        <f>INDEX('Old Bow'!K2:K37, MATCH($B$10, 'Old Bow'!$A$2:$A$37, 0))</f>
        <v>0</v>
      </c>
      <c r="K10" s="30" t="str">
        <f>INDEX('Old Bow'!L2:L37, MATCH($B$10, 'Old Bow'!$A$2:$A$37, 0))</f>
        <v>-</v>
      </c>
      <c r="L10" s="17">
        <f>INDEX('Old Bow'!M2:M37, MATCH($B$10, 'Old Bow'!$A$2:$A$37, 0))</f>
        <v>0</v>
      </c>
      <c r="M10" s="29">
        <f>INDEX('Old Bow'!N2:N37, MATCH($B$10, 'Old Bow'!$A$2:$A$37, 0))</f>
        <v>0</v>
      </c>
      <c r="N10" s="30" t="str">
        <f>INDEX('Old Bow'!O2:O37, MATCH($B$10, 'Old Bow'!$A$2:$A$37, 0))</f>
        <v>-</v>
      </c>
      <c r="O10" s="29">
        <f>INDEX('Old Bow'!AA2:AA37, MATCH($B$10, 'Old Bow'!$A$2:$A$37, 0))</f>
        <v>0</v>
      </c>
      <c r="P10" s="29">
        <f>INDEX('Old Bow'!R2:R37, MATCH($B$10, 'Old Bow'!$A$2:$A$37, 0))</f>
        <v>0</v>
      </c>
      <c r="Q10" s="29">
        <f>INDEX('Old Bow'!AC2:AC37, MATCH($B$10, 'Old Bow'!$A$2:$A$37, 0))</f>
        <v>0</v>
      </c>
      <c r="R10" s="29">
        <f>INDEX('Old Bow'!Q2:Q37, MATCH($B$10, 'Old Bow'!$A$2:$A$37, 0))</f>
        <v>0</v>
      </c>
      <c r="S10" s="29">
        <f>INDEX('Old Bow'!AB2:AB37, MATCH($B$10, 'Old Bow'!$A$2:$A$37, 0))</f>
        <v>0</v>
      </c>
      <c r="T10" s="29">
        <f>INDEX('Old Bow'!W2:W37, MATCH($B$10, 'Old Bow'!$A$2:$A$37, 0))</f>
        <v>0</v>
      </c>
      <c r="U10" s="29">
        <f>INDEX('Old Bow'!U2:U37, MATCH($B$10, 'Old Bow'!$A$2:$A$37, 0))</f>
        <v>0</v>
      </c>
      <c r="V10" s="29">
        <f>INDEX('Old Bow'!S2:S37, MATCH($B$10, 'Old Bow'!$A$2:$A$37, 0))</f>
        <v>0</v>
      </c>
      <c r="W10" s="29">
        <f>INDEX('Old Bow'!V2:V37, MATCH($B$10, 'Old Bow'!$A$2:$A$37, 0))</f>
        <v>0</v>
      </c>
      <c r="X10" s="29">
        <f>INDEX('Old Bow'!AD2:AD37, MATCH($B$10, 'Old Bow'!$A$2:$A$37, 0))</f>
        <v>0</v>
      </c>
      <c r="Y10" s="29">
        <f>INDEX('Old Bow'!P2:P37, MATCH($B$10, 'Old Bow'!$A$2:$A$37, 0))</f>
        <v>0</v>
      </c>
      <c r="Z10" s="29">
        <f>INDEX('Old Bow'!T2:T37, MATCH($B$10, 'Old Bow'!$A$2:$A$37, 0))</f>
        <v>0</v>
      </c>
      <c r="AA10" s="29">
        <f>INDEX('Old Bow'!Z2:Z37, MATCH($B$10, 'Old Bow'!$A$2:$A$37, 0))</f>
        <v>0</v>
      </c>
      <c r="AB10" s="29">
        <f>INDEX('Old Bow'!Y2:Y37, MATCH($B$10, 'Old Bow'!$A$2:$A$37, 0))</f>
        <v>0</v>
      </c>
      <c r="AC10" s="18">
        <f>INDEX('Old Bow'!X2:X37, MATCH($B$10, 'Old Bow'!$A$2:$A$37, 0))</f>
        <v>0</v>
      </c>
    </row>
    <row r="11" spans="1:29" x14ac:dyDescent="0.25">
      <c r="D11" s="8">
        <f>SUM(D3:D10)</f>
        <v>90.427855477855474</v>
      </c>
      <c r="H11" s="9">
        <f>AVERAGE(H3:H10)</f>
        <v>0.55284252784252785</v>
      </c>
      <c r="I11" s="1"/>
      <c r="J11" s="1"/>
      <c r="K11" s="9">
        <f>AVERAGE(K3:K10)</f>
        <v>0.52738701212409844</v>
      </c>
      <c r="N11" s="9">
        <f>AVERAGE(N3:N10)</f>
        <v>0.5007160838519642</v>
      </c>
      <c r="O11" s="5">
        <f>SUM(O3:O10)</f>
        <v>15</v>
      </c>
      <c r="P11" s="5">
        <f t="shared" ref="P11:AC11" si="0">SUM(P3:P10)</f>
        <v>5</v>
      </c>
      <c r="Q11" s="5">
        <f t="shared" si="0"/>
        <v>7</v>
      </c>
      <c r="R11" s="5">
        <f t="shared" si="0"/>
        <v>8</v>
      </c>
      <c r="S11" s="5">
        <f t="shared" si="0"/>
        <v>22</v>
      </c>
      <c r="T11" s="5">
        <f t="shared" si="0"/>
        <v>6</v>
      </c>
      <c r="U11" s="5">
        <f t="shared" si="0"/>
        <v>28</v>
      </c>
      <c r="V11" s="5">
        <f t="shared" si="0"/>
        <v>16</v>
      </c>
      <c r="W11" s="5">
        <f t="shared" si="0"/>
        <v>3</v>
      </c>
      <c r="X11" s="5">
        <f t="shared" si="0"/>
        <v>18</v>
      </c>
      <c r="Y11" s="5">
        <f t="shared" si="0"/>
        <v>10</v>
      </c>
      <c r="Z11" s="5">
        <f t="shared" si="0"/>
        <v>2</v>
      </c>
      <c r="AA11" s="5">
        <f t="shared" si="0"/>
        <v>2</v>
      </c>
      <c r="AB11" s="5">
        <f t="shared" si="0"/>
        <v>1</v>
      </c>
      <c r="AC11" s="5">
        <f t="shared" si="0"/>
        <v>1</v>
      </c>
    </row>
    <row r="14" spans="1:29" ht="15.75" thickBot="1" x14ac:dyDescent="0.3"/>
    <row r="15" spans="1:29" x14ac:dyDescent="0.25">
      <c r="C15" s="104" t="s">
        <v>7</v>
      </c>
      <c r="D15" s="105"/>
      <c r="E15" s="106"/>
      <c r="F15" s="104" t="s">
        <v>22</v>
      </c>
      <c r="G15" s="105"/>
      <c r="H15" s="106"/>
      <c r="I15" s="104" t="s">
        <v>16</v>
      </c>
      <c r="J15" s="105"/>
      <c r="K15" s="106"/>
      <c r="L15" s="104" t="s">
        <v>23</v>
      </c>
      <c r="M15" s="105"/>
      <c r="N15" s="106"/>
      <c r="O15" s="104" t="s">
        <v>64</v>
      </c>
      <c r="P15" s="105"/>
      <c r="Q15" s="105"/>
      <c r="R15" s="105"/>
      <c r="S15" s="105"/>
      <c r="T15" s="105"/>
      <c r="U15" s="105"/>
      <c r="V15" s="105"/>
      <c r="W15" s="105"/>
      <c r="X15" s="105"/>
      <c r="Y15" s="105"/>
      <c r="Z15" s="105"/>
      <c r="AA15" s="105"/>
      <c r="AB15" s="105"/>
      <c r="AC15" s="106"/>
    </row>
    <row r="16" spans="1:29" ht="30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20" t="s">
        <v>9</v>
      </c>
      <c r="P16" s="21" t="s">
        <v>10</v>
      </c>
      <c r="Q16" s="21" t="s">
        <v>11</v>
      </c>
      <c r="R16" s="21" t="s">
        <v>12</v>
      </c>
      <c r="S16" s="21" t="s">
        <v>30</v>
      </c>
      <c r="T16" s="21" t="s">
        <v>31</v>
      </c>
      <c r="U16" s="21" t="s">
        <v>32</v>
      </c>
      <c r="V16" s="21" t="s">
        <v>33</v>
      </c>
      <c r="W16" s="22" t="s">
        <v>65</v>
      </c>
      <c r="X16" s="21" t="s">
        <v>39</v>
      </c>
      <c r="Y16" s="21" t="s">
        <v>41</v>
      </c>
      <c r="Z16" s="21" t="s">
        <v>48</v>
      </c>
      <c r="AA16" s="21" t="s">
        <v>56</v>
      </c>
      <c r="AB16" s="21" t="s">
        <v>57</v>
      </c>
      <c r="AC16" s="23" t="s">
        <v>58</v>
      </c>
    </row>
    <row r="17" spans="1:29" x14ac:dyDescent="0.25">
      <c r="A17" s="103" t="s">
        <v>77</v>
      </c>
      <c r="B17" s="7" t="s">
        <v>13</v>
      </c>
      <c r="C17" s="13">
        <f>INDEX('Old Bow'!D2:D37, MATCH($B$17, 'Old Bow'!$A$2:$A$37, 0))</f>
        <v>640</v>
      </c>
      <c r="D17" s="25">
        <f>INDEX('Old Bow'!E2:E37, MATCH($B$17, 'Old Bow'!$A$2:$A$37, 0))</f>
        <v>27.826086956521738</v>
      </c>
      <c r="E17" s="14">
        <f>INDEX('Old Bow'!F2:F37, MATCH($B$17, 'Old Bow'!$A$2:$A$37, 0))</f>
        <v>57</v>
      </c>
      <c r="F17" s="13">
        <f>INDEX('Old Bow'!G2:G37, MATCH($B$17, 'Old Bow'!$A$2:$A$37, 0))</f>
        <v>16</v>
      </c>
      <c r="G17" s="26">
        <f>INDEX('Old Bow'!H2:H37, MATCH($B$17, 'Old Bow'!$A$2:$A$37, 0))</f>
        <v>7</v>
      </c>
      <c r="H17" s="27">
        <f>INDEX('Old Bow'!I2:I37, MATCH($B$17, 'Old Bow'!$A$2:$A$37, 0))</f>
        <v>0.69565217391304346</v>
      </c>
      <c r="I17" s="13">
        <f>INDEX('Old Bow'!J2:J37, MATCH($B$17, 'Old Bow'!$A$2:$A$37, 0))</f>
        <v>54</v>
      </c>
      <c r="J17" s="26">
        <f>INDEX('Old Bow'!K2:K37, MATCH($B$17, 'Old Bow'!$A$2:$A$37, 0))</f>
        <v>39</v>
      </c>
      <c r="K17" s="27">
        <f>INDEX('Old Bow'!L2:L37, MATCH($B$17, 'Old Bow'!$A$2:$A$37, 0))</f>
        <v>0.58064516129032262</v>
      </c>
      <c r="L17" s="13">
        <f>INDEX('Old Bow'!M2:M37, MATCH($B$17, 'Old Bow'!$A$2:$A$37, 0))</f>
        <v>209</v>
      </c>
      <c r="M17" s="26">
        <f>INDEX('Old Bow'!N2:N37, MATCH($B$17, 'Old Bow'!$A$2:$A$37, 0))</f>
        <v>173</v>
      </c>
      <c r="N17" s="27">
        <f>INDEX('Old Bow'!O2:O37, MATCH($B$17, 'Old Bow'!$A$2:$A$37, 0))</f>
        <v>0.54712041884816753</v>
      </c>
      <c r="O17" s="13">
        <f>INDEX('Old Bow'!AA2:AA37, MATCH($B$17, 'Old Bow'!$A$2:$A$37, 0))</f>
        <v>6</v>
      </c>
      <c r="P17" s="26">
        <f>INDEX('Old Bow'!R2:R37, MATCH($B$17, 'Old Bow'!$A$2:$A$37, 0))</f>
        <v>2</v>
      </c>
      <c r="Q17" s="26">
        <f>INDEX('Old Bow'!AC2:AC37, MATCH($B$17, 'Old Bow'!$A$2:$A$37, 0))</f>
        <v>0</v>
      </c>
      <c r="R17" s="26">
        <f>INDEX('Old Bow'!Q2:Q37, MATCH($B$17, 'Old Bow'!$A$2:$A$37, 0))</f>
        <v>6</v>
      </c>
      <c r="S17" s="26">
        <f>INDEX('Old Bow'!AB2:AB37, MATCH($B$17, 'Old Bow'!$A$2:$A$37, 0))</f>
        <v>6</v>
      </c>
      <c r="T17" s="26">
        <f>INDEX('Old Bow'!W2:W37, MATCH($B$17, 'Old Bow'!$A$2:$A$37, 0))</f>
        <v>1</v>
      </c>
      <c r="U17" s="26">
        <f>INDEX('Old Bow'!U2:U37, MATCH($B$17, 'Old Bow'!$A$2:$A$37, 0))</f>
        <v>8</v>
      </c>
      <c r="V17" s="26">
        <f>INDEX('Old Bow'!S2:S37, MATCH($B$17, 'Old Bow'!$A$2:$A$37, 0))</f>
        <v>7</v>
      </c>
      <c r="W17" s="26">
        <f>INDEX('Old Bow'!V2:V37, MATCH($B$17, 'Old Bow'!$A$2:$A$37, 0))</f>
        <v>3</v>
      </c>
      <c r="X17" s="26">
        <f>INDEX('Old Bow'!AD2:AD37, MATCH($B$17, 'Old Bow'!$A$2:$A$37, 0))</f>
        <v>7</v>
      </c>
      <c r="Y17" s="26">
        <f>INDEX('Old Bow'!P2:P37, MATCH($B$17, 'Old Bow'!$A$2:$A$37, 0))</f>
        <v>2</v>
      </c>
      <c r="Z17" s="26">
        <f>INDEX('Old Bow'!T2:T37, MATCH($B$17, 'Old Bow'!$A$2:$A$37, 0))</f>
        <v>2</v>
      </c>
      <c r="AA17" s="26">
        <f>INDEX('Old Bow'!Z2:Z37, MATCH($B$17, 'Old Bow'!$A$2:$A$37, 0))</f>
        <v>2</v>
      </c>
      <c r="AB17" s="26">
        <f>INDEX('Old Bow'!Y2:Y37, MATCH($B$17, 'Old Bow'!$A$2:$A$37, 0))</f>
        <v>1</v>
      </c>
      <c r="AC17" s="14">
        <f>INDEX('Old Bow'!X2:X37, MATCH($B$17, 'Old Bow'!$A$2:$A$37, 0))</f>
        <v>1</v>
      </c>
    </row>
    <row r="18" spans="1:29" x14ac:dyDescent="0.25">
      <c r="A18" s="103"/>
      <c r="B18" s="7" t="s">
        <v>2</v>
      </c>
      <c r="C18" s="13">
        <f>INDEX('Old Bow'!D2:D37, MATCH($B$18, 'Old Bow'!$A$2:$A$37, 0))</f>
        <v>297</v>
      </c>
      <c r="D18" s="25">
        <f>INDEX('Old Bow'!E2:E37, MATCH($B$18, 'Old Bow'!$A$2:$A$37, 0))</f>
        <v>27</v>
      </c>
      <c r="E18" s="14">
        <f>INDEX('Old Bow'!F2:F37, MATCH($B$18, 'Old Bow'!$A$2:$A$37, 0))</f>
        <v>42</v>
      </c>
      <c r="F18" s="13">
        <f>INDEX('Old Bow'!G2:G37, MATCH($B$18, 'Old Bow'!$A$2:$A$37, 0))</f>
        <v>6</v>
      </c>
      <c r="G18" s="26">
        <f>INDEX('Old Bow'!H2:H37, MATCH($B$18, 'Old Bow'!$A$2:$A$37, 0))</f>
        <v>5</v>
      </c>
      <c r="H18" s="27">
        <f>INDEX('Old Bow'!I2:I37, MATCH($B$18, 'Old Bow'!$A$2:$A$37, 0))</f>
        <v>0.54545454545454541</v>
      </c>
      <c r="I18" s="13">
        <f>INDEX('Old Bow'!J2:J37, MATCH($B$18, 'Old Bow'!$A$2:$A$37, 0))</f>
        <v>25</v>
      </c>
      <c r="J18" s="26">
        <f>INDEX('Old Bow'!K2:K37, MATCH($B$18, 'Old Bow'!$A$2:$A$37, 0))</f>
        <v>21</v>
      </c>
      <c r="K18" s="27">
        <f>INDEX('Old Bow'!L2:L37, MATCH($B$18, 'Old Bow'!$A$2:$A$37, 0))</f>
        <v>0.54347826086956519</v>
      </c>
      <c r="L18" s="13">
        <f>INDEX('Old Bow'!M2:M37, MATCH($B$18, 'Old Bow'!$A$2:$A$37, 0))</f>
        <v>102</v>
      </c>
      <c r="M18" s="26">
        <f>INDEX('Old Bow'!N2:N37, MATCH($B$18, 'Old Bow'!$A$2:$A$37, 0))</f>
        <v>91</v>
      </c>
      <c r="N18" s="27">
        <f>INDEX('Old Bow'!O2:O37, MATCH($B$18, 'Old Bow'!$A$2:$A$37, 0))</f>
        <v>0.52849740932642486</v>
      </c>
      <c r="O18" s="13">
        <f>INDEX('Old Bow'!AA2:AA37, MATCH($B$18, 'Old Bow'!$A$2:$A$37, 0))</f>
        <v>5</v>
      </c>
      <c r="P18" s="26">
        <f>INDEX('Old Bow'!R2:R37, MATCH($B$18, 'Old Bow'!$A$2:$A$37, 0))</f>
        <v>2</v>
      </c>
      <c r="Q18" s="26">
        <f>INDEX('Old Bow'!AC2:AC37, MATCH($B$18, 'Old Bow'!$A$2:$A$37, 0))</f>
        <v>4</v>
      </c>
      <c r="R18" s="26">
        <f>INDEX('Old Bow'!Q2:Q37, MATCH($B$18, 'Old Bow'!$A$2:$A$37, 0))</f>
        <v>2</v>
      </c>
      <c r="S18" s="26">
        <f>INDEX('Old Bow'!AB2:AB37, MATCH($B$18, 'Old Bow'!$A$2:$A$37, 0))</f>
        <v>0</v>
      </c>
      <c r="T18" s="26">
        <f>INDEX('Old Bow'!W2:W37, MATCH($B$18, 'Old Bow'!$A$2:$A$37, 0))</f>
        <v>0</v>
      </c>
      <c r="U18" s="26">
        <f>INDEX('Old Bow'!U2:U37, MATCH($B$18, 'Old Bow'!$A$2:$A$37, 0))</f>
        <v>3</v>
      </c>
      <c r="V18" s="26">
        <f>INDEX('Old Bow'!S2:S37, MATCH($B$18, 'Old Bow'!$A$2:$A$37, 0))</f>
        <v>4</v>
      </c>
      <c r="W18" s="26">
        <f>INDEX('Old Bow'!V2:V37, MATCH($B$18, 'Old Bow'!$A$2:$A$37, 0))</f>
        <v>0</v>
      </c>
      <c r="X18" s="26">
        <f>INDEX('Old Bow'!AD2:AD37, MATCH($B$18, 'Old Bow'!$A$2:$A$37, 0))</f>
        <v>3</v>
      </c>
      <c r="Y18" s="26">
        <f>INDEX('Old Bow'!P2:P37, MATCH($B$18, 'Old Bow'!$A$2:$A$37, 0))</f>
        <v>2</v>
      </c>
      <c r="Z18" s="26">
        <f>INDEX('Old Bow'!T2:T37, MATCH($B$18, 'Old Bow'!$A$2:$A$37, 0))</f>
        <v>0</v>
      </c>
      <c r="AA18" s="26">
        <f>INDEX('Old Bow'!Z2:Z37, MATCH($B$18, 'Old Bow'!$A$2:$A$37, 0))</f>
        <v>0</v>
      </c>
      <c r="AB18" s="26">
        <f>INDEX('Old Bow'!Y2:Y37, MATCH($B$18, 'Old Bow'!$A$2:$A$37, 0))</f>
        <v>0</v>
      </c>
      <c r="AC18" s="14">
        <f>INDEX('Old Bow'!X2:X37, MATCH($B$18, 'Old Bow'!$A$2:$A$37, 0))</f>
        <v>0</v>
      </c>
    </row>
    <row r="19" spans="1:29" x14ac:dyDescent="0.25">
      <c r="A19" s="103"/>
      <c r="B19" s="7" t="s">
        <v>45</v>
      </c>
      <c r="C19" s="13">
        <f>INDEX('Old Bow'!D2:D37, MATCH($B$19, 'Old Bow'!$A$2:$A$37, 0))</f>
        <v>89</v>
      </c>
      <c r="D19" s="25">
        <f>INDEX('Old Bow'!E2:E37, MATCH($B$19, 'Old Bow'!$A$2:$A$37, 0))</f>
        <v>9.8888888888888893</v>
      </c>
      <c r="E19" s="14">
        <f>INDEX('Old Bow'!F2:F37, MATCH($B$19, 'Old Bow'!$A$2:$A$37, 0))</f>
        <v>17</v>
      </c>
      <c r="F19" s="13">
        <f>INDEX('Old Bow'!G2:G37, MATCH($B$19, 'Old Bow'!$A$2:$A$37, 0))</f>
        <v>4</v>
      </c>
      <c r="G19" s="26">
        <f>INDEX('Old Bow'!H2:H37, MATCH($B$19, 'Old Bow'!$A$2:$A$37, 0))</f>
        <v>5</v>
      </c>
      <c r="H19" s="27">
        <f>INDEX('Old Bow'!I2:I37, MATCH($B$19, 'Old Bow'!$A$2:$A$37, 0))</f>
        <v>0.44444444444444442</v>
      </c>
      <c r="I19" s="13">
        <f>INDEX('Old Bow'!J2:J37, MATCH($B$19, 'Old Bow'!$A$2:$A$37, 0))</f>
        <v>17</v>
      </c>
      <c r="J19" s="26">
        <f>INDEX('Old Bow'!K2:K37, MATCH($B$19, 'Old Bow'!$A$2:$A$37, 0))</f>
        <v>18</v>
      </c>
      <c r="K19" s="27">
        <f>INDEX('Old Bow'!L2:L37, MATCH($B$19, 'Old Bow'!$A$2:$A$37, 0))</f>
        <v>0.48571428571428571</v>
      </c>
      <c r="L19" s="13">
        <f>INDEX('Old Bow'!M2:M37, MATCH($B$19, 'Old Bow'!$A$2:$A$37, 0))</f>
        <v>71</v>
      </c>
      <c r="M19" s="26">
        <f>INDEX('Old Bow'!N2:N37, MATCH($B$19, 'Old Bow'!$A$2:$A$37, 0))</f>
        <v>71</v>
      </c>
      <c r="N19" s="27">
        <f>INDEX('Old Bow'!O2:O37, MATCH($B$19, 'Old Bow'!$A$2:$A$37, 0))</f>
        <v>0.5</v>
      </c>
      <c r="O19" s="13">
        <f>INDEX('Old Bow'!AA2:AA37, MATCH($B$19, 'Old Bow'!$A$2:$A$37, 0))</f>
        <v>2</v>
      </c>
      <c r="P19" s="26">
        <f>INDEX('Old Bow'!R2:R37, MATCH($B$19, 'Old Bow'!$A$2:$A$37, 0))</f>
        <v>0</v>
      </c>
      <c r="Q19" s="26">
        <f>INDEX('Old Bow'!AC2:AC37, MATCH($B$19, 'Old Bow'!$A$2:$A$37, 0))</f>
        <v>1</v>
      </c>
      <c r="R19" s="26">
        <f>INDEX('Old Bow'!Q2:Q37, MATCH($B$19, 'Old Bow'!$A$2:$A$37, 0))</f>
        <v>2</v>
      </c>
      <c r="S19" s="26">
        <f>INDEX('Old Bow'!AB2:AB37, MATCH($B$19, 'Old Bow'!$A$2:$A$37, 0))</f>
        <v>3</v>
      </c>
      <c r="T19" s="26">
        <f>INDEX('Old Bow'!W2:W37, MATCH($B$19, 'Old Bow'!$A$2:$A$37, 0))</f>
        <v>0</v>
      </c>
      <c r="U19" s="26">
        <f>INDEX('Old Bow'!U2:U37, MATCH($B$19, 'Old Bow'!$A$2:$A$37, 0))</f>
        <v>4</v>
      </c>
      <c r="V19" s="26">
        <f>INDEX('Old Bow'!S2:S37, MATCH($B$19, 'Old Bow'!$A$2:$A$37, 0))</f>
        <v>3</v>
      </c>
      <c r="W19" s="26">
        <f>INDEX('Old Bow'!V2:V37, MATCH($B$19, 'Old Bow'!$A$2:$A$37, 0))</f>
        <v>0</v>
      </c>
      <c r="X19" s="26">
        <f>INDEX('Old Bow'!AD2:AD37, MATCH($B$19, 'Old Bow'!$A$2:$A$37, 0))</f>
        <v>2</v>
      </c>
      <c r="Y19" s="26">
        <f>INDEX('Old Bow'!P2:P37, MATCH($B$19, 'Old Bow'!$A$2:$A$37, 0))</f>
        <v>0</v>
      </c>
      <c r="Z19" s="26">
        <f>INDEX('Old Bow'!T2:T37, MATCH($B$19, 'Old Bow'!$A$2:$A$37, 0))</f>
        <v>0</v>
      </c>
      <c r="AA19" s="26">
        <f>INDEX('Old Bow'!Z2:Z37, MATCH($B$19, 'Old Bow'!$A$2:$A$37, 0))</f>
        <v>0</v>
      </c>
      <c r="AB19" s="26">
        <f>INDEX('Old Bow'!Y2:Y37, MATCH($B$19, 'Old Bow'!$A$2:$A$37, 0))</f>
        <v>0</v>
      </c>
      <c r="AC19" s="14">
        <f>INDEX('Old Bow'!X2:X37, MATCH($B$19, 'Old Bow'!$A$2:$A$37, 0))</f>
        <v>0</v>
      </c>
    </row>
    <row r="20" spans="1:29" x14ac:dyDescent="0.25">
      <c r="A20" s="103"/>
      <c r="B20" s="7" t="s">
        <v>20</v>
      </c>
      <c r="C20" s="13">
        <f>INDEX('Old Bow'!D2:D37, MATCH($B$20, 'Old Bow'!$A$2:$A$37, 0))</f>
        <v>213</v>
      </c>
      <c r="D20" s="25">
        <f>INDEX('Old Bow'!E2:E37, MATCH($B$20, 'Old Bow'!$A$2:$A$37, 0))</f>
        <v>13.3125</v>
      </c>
      <c r="E20" s="14">
        <f>INDEX('Old Bow'!F2:F37, MATCH($B$20, 'Old Bow'!$A$2:$A$37, 0))</f>
        <v>28</v>
      </c>
      <c r="F20" s="13">
        <f>INDEX('Old Bow'!G2:G37, MATCH($B$20, 'Old Bow'!$A$2:$A$37, 0))</f>
        <v>6</v>
      </c>
      <c r="G20" s="26">
        <f>INDEX('Old Bow'!H2:H37, MATCH($B$20, 'Old Bow'!$A$2:$A$37, 0))</f>
        <v>10</v>
      </c>
      <c r="H20" s="27">
        <f>INDEX('Old Bow'!I2:I37, MATCH($B$20, 'Old Bow'!$A$2:$A$37, 0))</f>
        <v>0.375</v>
      </c>
      <c r="I20" s="13">
        <f>INDEX('Old Bow'!J2:J37, MATCH($B$20, 'Old Bow'!$A$2:$A$37, 0))</f>
        <v>32</v>
      </c>
      <c r="J20" s="26">
        <f>INDEX('Old Bow'!K2:K37, MATCH($B$20, 'Old Bow'!$A$2:$A$37, 0))</f>
        <v>35</v>
      </c>
      <c r="K20" s="27">
        <f>INDEX('Old Bow'!L2:L37, MATCH($B$20, 'Old Bow'!$A$2:$A$37, 0))</f>
        <v>0.47761194029850745</v>
      </c>
      <c r="L20" s="13">
        <f>INDEX('Old Bow'!M2:M37, MATCH($B$20, 'Old Bow'!$A$2:$A$37, 0))</f>
        <v>140</v>
      </c>
      <c r="M20" s="26">
        <f>INDEX('Old Bow'!N2:N37, MATCH($B$20, 'Old Bow'!$A$2:$A$37, 0))</f>
        <v>142</v>
      </c>
      <c r="N20" s="27">
        <f>INDEX('Old Bow'!O2:O37, MATCH($B$20, 'Old Bow'!$A$2:$A$37, 0))</f>
        <v>0.49645390070921985</v>
      </c>
      <c r="O20" s="13">
        <f>INDEX('Old Bow'!AA2:AA37, MATCH($B$20, 'Old Bow'!$A$2:$A$37, 0))</f>
        <v>7</v>
      </c>
      <c r="P20" s="26">
        <f>INDEX('Old Bow'!R2:R37, MATCH($B$20, 'Old Bow'!$A$2:$A$37, 0))</f>
        <v>0</v>
      </c>
      <c r="Q20" s="26">
        <f>INDEX('Old Bow'!AC2:AC37, MATCH($B$20, 'Old Bow'!$A$2:$A$37, 0))</f>
        <v>1</v>
      </c>
      <c r="R20" s="26">
        <f>INDEX('Old Bow'!Q2:Q37, MATCH($B$20, 'Old Bow'!$A$2:$A$37, 0))</f>
        <v>3</v>
      </c>
      <c r="S20" s="26">
        <f>INDEX('Old Bow'!AB2:AB37, MATCH($B$20, 'Old Bow'!$A$2:$A$37, 0))</f>
        <v>5</v>
      </c>
      <c r="T20" s="26">
        <f>INDEX('Old Bow'!W2:W37, MATCH($B$20, 'Old Bow'!$A$2:$A$37, 0))</f>
        <v>1</v>
      </c>
      <c r="U20" s="26">
        <f>INDEX('Old Bow'!U2:U37, MATCH($B$20, 'Old Bow'!$A$2:$A$37, 0))</f>
        <v>3</v>
      </c>
      <c r="V20" s="26">
        <f>INDEX('Old Bow'!S2:S37, MATCH($B$20, 'Old Bow'!$A$2:$A$37, 0))</f>
        <v>6</v>
      </c>
      <c r="W20" s="26">
        <f>INDEX('Old Bow'!V2:V37, MATCH($B$20, 'Old Bow'!$A$2:$A$37, 0))</f>
        <v>1</v>
      </c>
      <c r="X20" s="26">
        <f>INDEX('Old Bow'!AD2:AD37, MATCH($B$20, 'Old Bow'!$A$2:$A$37, 0))</f>
        <v>2</v>
      </c>
      <c r="Y20" s="26">
        <f>INDEX('Old Bow'!P2:P37, MATCH($B$20, 'Old Bow'!$A$2:$A$37, 0))</f>
        <v>1</v>
      </c>
      <c r="Z20" s="26">
        <f>INDEX('Old Bow'!T2:T37, MATCH($B$20, 'Old Bow'!$A$2:$A$37, 0))</f>
        <v>0</v>
      </c>
      <c r="AA20" s="26">
        <f>INDEX('Old Bow'!Z2:Z37, MATCH($B$20, 'Old Bow'!$A$2:$A$37, 0))</f>
        <v>2</v>
      </c>
      <c r="AB20" s="26">
        <f>INDEX('Old Bow'!Y2:Y37, MATCH($B$20, 'Old Bow'!$A$2:$A$37, 0))</f>
        <v>0</v>
      </c>
      <c r="AC20" s="14">
        <f>INDEX('Old Bow'!X2:X37, MATCH($B$20, 'Old Bow'!$A$2:$A$37, 0))</f>
        <v>0</v>
      </c>
    </row>
    <row r="21" spans="1:29" x14ac:dyDescent="0.25">
      <c r="A21" s="103"/>
      <c r="B21" s="7" t="s">
        <v>35</v>
      </c>
      <c r="C21" s="13">
        <f>INDEX('Old Bow'!D2:D37, MATCH($B$21, 'Old Bow'!$A$2:$A$37, 0))</f>
        <v>115</v>
      </c>
      <c r="D21" s="25">
        <f>INDEX('Old Bow'!E2:E37, MATCH($B$21, 'Old Bow'!$A$2:$A$37, 0))</f>
        <v>10.454545454545455</v>
      </c>
      <c r="E21" s="14">
        <f>INDEX('Old Bow'!F2:F37, MATCH($B$21, 'Old Bow'!$A$2:$A$37, 0))</f>
        <v>21</v>
      </c>
      <c r="F21" s="13">
        <f>INDEX('Old Bow'!G2:G37, MATCH($B$21, 'Old Bow'!$A$2:$A$37, 0))</f>
        <v>7</v>
      </c>
      <c r="G21" s="26">
        <f>INDEX('Old Bow'!H2:H37, MATCH($B$21, 'Old Bow'!$A$2:$A$37, 0))</f>
        <v>4</v>
      </c>
      <c r="H21" s="27">
        <f>INDEX('Old Bow'!I2:I37, MATCH($B$21, 'Old Bow'!$A$2:$A$37, 0))</f>
        <v>0.63636363636363635</v>
      </c>
      <c r="I21" s="13">
        <f>INDEX('Old Bow'!J2:J37, MATCH($B$21, 'Old Bow'!$A$2:$A$37, 0))</f>
        <v>23</v>
      </c>
      <c r="J21" s="26">
        <f>INDEX('Old Bow'!K2:K37, MATCH($B$21, 'Old Bow'!$A$2:$A$37, 0))</f>
        <v>20</v>
      </c>
      <c r="K21" s="27">
        <f>INDEX('Old Bow'!L2:L37, MATCH($B$21, 'Old Bow'!$A$2:$A$37, 0))</f>
        <v>0.53488372093023251</v>
      </c>
      <c r="L21" s="13">
        <f>INDEX('Old Bow'!M2:M37, MATCH($B$21, 'Old Bow'!$A$2:$A$37, 0))</f>
        <v>93</v>
      </c>
      <c r="M21" s="26">
        <f>INDEX('Old Bow'!N2:N37, MATCH($B$21, 'Old Bow'!$A$2:$A$37, 0))</f>
        <v>80</v>
      </c>
      <c r="N21" s="27">
        <f>INDEX('Old Bow'!O2:O37, MATCH($B$21, 'Old Bow'!$A$2:$A$37, 0))</f>
        <v>0.53757225433526012</v>
      </c>
      <c r="O21" s="13">
        <f>INDEX('Old Bow'!AA2:AA37, MATCH($B$21, 'Old Bow'!$A$2:$A$37, 0))</f>
        <v>4</v>
      </c>
      <c r="P21" s="26">
        <f>INDEX('Old Bow'!R2:R37, MATCH($B$21, 'Old Bow'!$A$2:$A$37, 0))</f>
        <v>0</v>
      </c>
      <c r="Q21" s="26">
        <f>INDEX('Old Bow'!AC2:AC37, MATCH($B$21, 'Old Bow'!$A$2:$A$37, 0))</f>
        <v>1</v>
      </c>
      <c r="R21" s="26">
        <f>INDEX('Old Bow'!Q2:Q37, MATCH($B$21, 'Old Bow'!$A$2:$A$37, 0))</f>
        <v>2</v>
      </c>
      <c r="S21" s="26">
        <f>INDEX('Old Bow'!AB2:AB37, MATCH($B$21, 'Old Bow'!$A$2:$A$37, 0))</f>
        <v>3</v>
      </c>
      <c r="T21" s="26">
        <f>INDEX('Old Bow'!W2:W37, MATCH($B$21, 'Old Bow'!$A$2:$A$37, 0))</f>
        <v>0</v>
      </c>
      <c r="U21" s="26">
        <f>INDEX('Old Bow'!U2:U37, MATCH($B$21, 'Old Bow'!$A$2:$A$37, 0))</f>
        <v>5</v>
      </c>
      <c r="V21" s="26">
        <f>INDEX('Old Bow'!S2:S37, MATCH($B$21, 'Old Bow'!$A$2:$A$37, 0))</f>
        <v>3</v>
      </c>
      <c r="W21" s="26">
        <f>INDEX('Old Bow'!V2:V37, MATCH($B$21, 'Old Bow'!$A$2:$A$37, 0))</f>
        <v>0</v>
      </c>
      <c r="X21" s="26">
        <f>INDEX('Old Bow'!AD2:AD37, MATCH($B$21, 'Old Bow'!$A$2:$A$37, 0))</f>
        <v>3</v>
      </c>
      <c r="Y21" s="26">
        <f>INDEX('Old Bow'!P2:P37, MATCH($B$21, 'Old Bow'!$A$2:$A$37, 0))</f>
        <v>2</v>
      </c>
      <c r="Z21" s="26">
        <f>INDEX('Old Bow'!T2:T37, MATCH($B$21, 'Old Bow'!$A$2:$A$37, 0))</f>
        <v>0</v>
      </c>
      <c r="AA21" s="26">
        <f>INDEX('Old Bow'!Z2:Z37, MATCH($B$21, 'Old Bow'!$A$2:$A$37, 0))</f>
        <v>0</v>
      </c>
      <c r="AB21" s="26">
        <f>INDEX('Old Bow'!Y2:Y37, MATCH($B$21, 'Old Bow'!$A$2:$A$37, 0))</f>
        <v>0</v>
      </c>
      <c r="AC21" s="14">
        <f>INDEX('Old Bow'!X2:X37, MATCH($B$21, 'Old Bow'!$A$2:$A$37, 0))</f>
        <v>0</v>
      </c>
    </row>
    <row r="22" spans="1:29" x14ac:dyDescent="0.25">
      <c r="A22" s="103"/>
      <c r="B22" s="7" t="s">
        <v>29</v>
      </c>
      <c r="C22" s="13">
        <f>INDEX('Old Bow'!D2:D37, MATCH($B$22, 'Old Bow'!$A$2:$A$37, 0))</f>
        <v>152</v>
      </c>
      <c r="D22" s="25">
        <f>INDEX('Old Bow'!E2:E37, MATCH($B$22, 'Old Bow'!$A$2:$A$37, 0))</f>
        <v>9.5</v>
      </c>
      <c r="E22" s="14">
        <f>INDEX('Old Bow'!F2:F37, MATCH($B$22, 'Old Bow'!$A$2:$A$37, 0))</f>
        <v>21</v>
      </c>
      <c r="F22" s="13">
        <f>INDEX('Old Bow'!G2:G37, MATCH($B$22, 'Old Bow'!$A$2:$A$37, 0))</f>
        <v>8</v>
      </c>
      <c r="G22" s="26">
        <f>INDEX('Old Bow'!H2:H37, MATCH($B$22, 'Old Bow'!$A$2:$A$37, 0))</f>
        <v>8</v>
      </c>
      <c r="H22" s="27">
        <f>INDEX('Old Bow'!I2:I37, MATCH($B$22, 'Old Bow'!$A$2:$A$37, 0))</f>
        <v>0.5</v>
      </c>
      <c r="I22" s="13">
        <f>INDEX('Old Bow'!J2:J37, MATCH($B$22, 'Old Bow'!$A$2:$A$37, 0))</f>
        <v>31</v>
      </c>
      <c r="J22" s="26">
        <f>INDEX('Old Bow'!K2:K37, MATCH($B$22, 'Old Bow'!$A$2:$A$37, 0))</f>
        <v>33</v>
      </c>
      <c r="K22" s="27">
        <f>INDEX('Old Bow'!L2:L37, MATCH($B$22, 'Old Bow'!$A$2:$A$37, 0))</f>
        <v>0.484375</v>
      </c>
      <c r="L22" s="13">
        <f>INDEX('Old Bow'!M2:M37, MATCH($B$22, 'Old Bow'!$A$2:$A$37, 0))</f>
        <v>133</v>
      </c>
      <c r="M22" s="26">
        <f>INDEX('Old Bow'!N2:N37, MATCH($B$22, 'Old Bow'!$A$2:$A$37, 0))</f>
        <v>135</v>
      </c>
      <c r="N22" s="27">
        <f>INDEX('Old Bow'!O2:O37, MATCH($B$22, 'Old Bow'!$A$2:$A$37, 0))</f>
        <v>0.4962686567164179</v>
      </c>
      <c r="O22" s="13">
        <f>INDEX('Old Bow'!AA2:AA37, MATCH($B$22, 'Old Bow'!$A$2:$A$37, 0))</f>
        <v>4</v>
      </c>
      <c r="P22" s="26">
        <f>INDEX('Old Bow'!R2:R37, MATCH($B$22, 'Old Bow'!$A$2:$A$37, 0))</f>
        <v>1</v>
      </c>
      <c r="Q22" s="26">
        <f>INDEX('Old Bow'!AC2:AC37, MATCH($B$22, 'Old Bow'!$A$2:$A$37, 0))</f>
        <v>2</v>
      </c>
      <c r="R22" s="26">
        <f>INDEX('Old Bow'!Q2:Q37, MATCH($B$22, 'Old Bow'!$A$2:$A$37, 0))</f>
        <v>2</v>
      </c>
      <c r="S22" s="26">
        <f>INDEX('Old Bow'!AB2:AB37, MATCH($B$22, 'Old Bow'!$A$2:$A$37, 0))</f>
        <v>6</v>
      </c>
      <c r="T22" s="26">
        <f>INDEX('Old Bow'!W2:W37, MATCH($B$22, 'Old Bow'!$A$2:$A$37, 0))</f>
        <v>0</v>
      </c>
      <c r="U22" s="26">
        <f>INDEX('Old Bow'!U2:U37, MATCH($B$22, 'Old Bow'!$A$2:$A$37, 0))</f>
        <v>3</v>
      </c>
      <c r="V22" s="26">
        <f>INDEX('Old Bow'!S2:S37, MATCH($B$22, 'Old Bow'!$A$2:$A$37, 0))</f>
        <v>3</v>
      </c>
      <c r="W22" s="26">
        <f>INDEX('Old Bow'!V2:V37, MATCH($B$22, 'Old Bow'!$A$2:$A$37, 0))</f>
        <v>1</v>
      </c>
      <c r="X22" s="26">
        <f>INDEX('Old Bow'!AD2:AD37, MATCH($B$22, 'Old Bow'!$A$2:$A$37, 0))</f>
        <v>5</v>
      </c>
      <c r="Y22" s="26">
        <f>INDEX('Old Bow'!P2:P37, MATCH($B$22, 'Old Bow'!$A$2:$A$37, 0))</f>
        <v>2</v>
      </c>
      <c r="Z22" s="26">
        <f>INDEX('Old Bow'!T2:T37, MATCH($B$22, 'Old Bow'!$A$2:$A$37, 0))</f>
        <v>1</v>
      </c>
      <c r="AA22" s="26">
        <f>INDEX('Old Bow'!Z2:Z37, MATCH($B$22, 'Old Bow'!$A$2:$A$37, 0))</f>
        <v>1</v>
      </c>
      <c r="AB22" s="26">
        <f>INDEX('Old Bow'!Y2:Y37, MATCH($B$22, 'Old Bow'!$A$2:$A$37, 0))</f>
        <v>0</v>
      </c>
      <c r="AC22" s="14">
        <f>INDEX('Old Bow'!X2:X37, MATCH($B$22, 'Old Bow'!$A$2:$A$37, 0))</f>
        <v>0</v>
      </c>
    </row>
    <row r="23" spans="1:29" x14ac:dyDescent="0.25">
      <c r="A23" s="103"/>
      <c r="B23" s="7" t="s">
        <v>80</v>
      </c>
      <c r="C23" s="13">
        <f>INDEX('Old Bow'!D2:D37, MATCH($B$23, 'Old Bow'!$A$2:$A$37, 0))</f>
        <v>0</v>
      </c>
      <c r="D23" s="25">
        <f>INDEX('Old Bow'!E2:E37, MATCH($B$23, 'Old Bow'!$A$2:$A$37, 0))</f>
        <v>0</v>
      </c>
      <c r="E23" s="14">
        <f>INDEX('Old Bow'!F2:F37, MATCH($B$23, 'Old Bow'!$A$2:$A$37, 0))</f>
        <v>0</v>
      </c>
      <c r="F23" s="13">
        <f>INDEX('Old Bow'!G2:G37, MATCH($B$23, 'Old Bow'!$A$2:$A$37, 0))</f>
        <v>0</v>
      </c>
      <c r="G23" s="26">
        <f>INDEX('Old Bow'!H2:H37, MATCH($B$23, 'Old Bow'!$A$2:$A$37, 0))</f>
        <v>0</v>
      </c>
      <c r="H23" s="27" t="str">
        <f>INDEX('Old Bow'!I2:I37, MATCH($B$23, 'Old Bow'!$A$2:$A$37, 0))</f>
        <v>-</v>
      </c>
      <c r="I23" s="13">
        <f>INDEX('Old Bow'!J2:J37, MATCH($B$23, 'Old Bow'!$A$2:$A$37, 0))</f>
        <v>0</v>
      </c>
      <c r="J23" s="26">
        <f>INDEX('Old Bow'!K2:K37, MATCH($B$23, 'Old Bow'!$A$2:$A$37, 0))</f>
        <v>0</v>
      </c>
      <c r="K23" s="27" t="str">
        <f>INDEX('Old Bow'!L2:L37, MATCH($B$23, 'Old Bow'!$A$2:$A$37, 0))</f>
        <v>-</v>
      </c>
      <c r="L23" s="13">
        <f>INDEX('Old Bow'!M2:M37, MATCH($B$23, 'Old Bow'!$A$2:$A$37, 0))</f>
        <v>0</v>
      </c>
      <c r="M23" s="26">
        <f>INDEX('Old Bow'!N2:N37, MATCH($B$23, 'Old Bow'!$A$2:$A$37, 0))</f>
        <v>0</v>
      </c>
      <c r="N23" s="27" t="str">
        <f>INDEX('Old Bow'!O2:O37, MATCH($B$23, 'Old Bow'!$A$2:$A$37, 0))</f>
        <v>-</v>
      </c>
      <c r="O23" s="13">
        <f>INDEX('Old Bow'!AA2:AA37, MATCH($B$23, 'Old Bow'!$A$2:$A$37, 0))</f>
        <v>0</v>
      </c>
      <c r="P23" s="26">
        <f>INDEX('Old Bow'!R2:R37, MATCH($B$23, 'Old Bow'!$A$2:$A$37, 0))</f>
        <v>0</v>
      </c>
      <c r="Q23" s="26">
        <f>INDEX('Old Bow'!AC2:AC37, MATCH($B$23, 'Old Bow'!$A$2:$A$37, 0))</f>
        <v>0</v>
      </c>
      <c r="R23" s="26">
        <f>INDEX('Old Bow'!Q2:Q37, MATCH($B$23, 'Old Bow'!$A$2:$A$37, 0))</f>
        <v>0</v>
      </c>
      <c r="S23" s="26">
        <f>INDEX('Old Bow'!AB2:AB37, MATCH($B$23, 'Old Bow'!$A$2:$A$37, 0))</f>
        <v>0</v>
      </c>
      <c r="T23" s="26">
        <f>INDEX('Old Bow'!W2:W37, MATCH($B$23, 'Old Bow'!$A$2:$A$37, 0))</f>
        <v>0</v>
      </c>
      <c r="U23" s="26">
        <f>INDEX('Old Bow'!U2:U37, MATCH($B$23, 'Old Bow'!$A$2:$A$37, 0))</f>
        <v>0</v>
      </c>
      <c r="V23" s="26">
        <f>INDEX('Old Bow'!S2:S37, MATCH($B$23, 'Old Bow'!$A$2:$A$37, 0))</f>
        <v>0</v>
      </c>
      <c r="W23" s="26">
        <f>INDEX('Old Bow'!V2:V37, MATCH($B$23, 'Old Bow'!$A$2:$A$37, 0))</f>
        <v>0</v>
      </c>
      <c r="X23" s="26">
        <f>INDEX('Old Bow'!AD2:AD37, MATCH($B$23, 'Old Bow'!$A$2:$A$37, 0))</f>
        <v>0</v>
      </c>
      <c r="Y23" s="26">
        <f>INDEX('Old Bow'!P2:P37, MATCH($B$23, 'Old Bow'!$A$2:$A$37, 0))</f>
        <v>0</v>
      </c>
      <c r="Z23" s="26">
        <f>INDEX('Old Bow'!T2:T37, MATCH($B$23, 'Old Bow'!$A$2:$A$37, 0))</f>
        <v>0</v>
      </c>
      <c r="AA23" s="26">
        <f>INDEX('Old Bow'!Z2:Z37, MATCH($B$23, 'Old Bow'!$A$2:$A$37, 0))</f>
        <v>0</v>
      </c>
      <c r="AB23" s="26">
        <f>INDEX('Old Bow'!Y2:Y37, MATCH($B$23, 'Old Bow'!$A$2:$A$37, 0))</f>
        <v>0</v>
      </c>
      <c r="AC23" s="14">
        <f>INDEX('Old Bow'!X2:X37, MATCH($B$23, 'Old Bow'!$A$2:$A$37, 0))</f>
        <v>0</v>
      </c>
    </row>
    <row r="24" spans="1:29" ht="15.75" thickBot="1" x14ac:dyDescent="0.3">
      <c r="A24" s="103"/>
      <c r="B24" s="7" t="s">
        <v>80</v>
      </c>
      <c r="C24" s="17">
        <f>INDEX('Old Bow'!D2:D37, MATCH($B$24, 'Old Bow'!$A$2:$A$37, 0))</f>
        <v>0</v>
      </c>
      <c r="D24" s="28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18">
        <f>INDEX('Old Bow'!X2:X37, MATCH($B$24, 'Old Bow'!$A$2:$A$37, 0))</f>
        <v>0</v>
      </c>
    </row>
    <row r="25" spans="1:29" x14ac:dyDescent="0.25">
      <c r="D25" s="8">
        <f>SUM(D17:D24)</f>
        <v>97.982021299956074</v>
      </c>
      <c r="H25" s="9">
        <f>AVERAGE(H17:H24)</f>
        <v>0.53281913336261166</v>
      </c>
      <c r="I25" s="1"/>
      <c r="J25" s="1"/>
      <c r="K25" s="9">
        <f>AVERAGE(K17:K24)</f>
        <v>0.51778472818381893</v>
      </c>
      <c r="N25" s="9">
        <f>AVERAGE(N17:N24)</f>
        <v>0.5176521066559151</v>
      </c>
      <c r="O25" s="5">
        <f>SUM(O17:O24)</f>
        <v>28</v>
      </c>
      <c r="P25" s="5">
        <f t="shared" ref="P25" si="1">SUM(P17:P24)</f>
        <v>5</v>
      </c>
      <c r="Q25" s="5">
        <f t="shared" ref="Q25" si="2">SUM(Q17:Q24)</f>
        <v>9</v>
      </c>
      <c r="R25" s="5">
        <f t="shared" ref="R25" si="3">SUM(R17:R24)</f>
        <v>17</v>
      </c>
      <c r="S25" s="5">
        <f t="shared" ref="S25" si="4">SUM(S17:S24)</f>
        <v>23</v>
      </c>
      <c r="T25" s="5">
        <f t="shared" ref="T25" si="5">SUM(T17:T24)</f>
        <v>2</v>
      </c>
      <c r="U25" s="5">
        <f t="shared" ref="U25" si="6">SUM(U17:U24)</f>
        <v>26</v>
      </c>
      <c r="V25" s="5">
        <f t="shared" ref="V25" si="7">SUM(V17:V24)</f>
        <v>26</v>
      </c>
      <c r="W25" s="5">
        <f t="shared" ref="W25" si="8">SUM(W17:W24)</f>
        <v>5</v>
      </c>
      <c r="X25" s="5">
        <f t="shared" ref="X25" si="9">SUM(X17:X24)</f>
        <v>22</v>
      </c>
      <c r="Y25" s="5">
        <f t="shared" ref="Y25" si="10">SUM(Y17:Y24)</f>
        <v>9</v>
      </c>
      <c r="Z25" s="5">
        <f t="shared" ref="Z25" si="11">SUM(Z17:Z24)</f>
        <v>3</v>
      </c>
      <c r="AA25" s="5">
        <f t="shared" ref="AA25" si="12">SUM(AA17:AA24)</f>
        <v>5</v>
      </c>
      <c r="AB25" s="5">
        <f t="shared" ref="AB25" si="13">SUM(AB17:AB24)</f>
        <v>1</v>
      </c>
      <c r="AC25" s="5">
        <f t="shared" ref="AC25" si="14">SUM(AC17:AC24)</f>
        <v>1</v>
      </c>
    </row>
    <row r="28" spans="1:29" ht="15.75" thickBot="1" x14ac:dyDescent="0.3">
      <c r="B28" s="19"/>
      <c r="C28" s="19"/>
      <c r="D28" s="19"/>
    </row>
    <row r="29" spans="1:29" ht="15.75" thickBot="1" x14ac:dyDescent="0.3">
      <c r="B29" s="2"/>
      <c r="C29" s="10" t="s">
        <v>81</v>
      </c>
      <c r="D29" s="11" t="s">
        <v>82</v>
      </c>
    </row>
    <row r="30" spans="1:29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29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29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/>
      </c>
      <c r="D33" s="14" t="str">
        <f>IF(C33="✔", "", "✔")</f>
        <v>✔</v>
      </c>
    </row>
    <row r="34" spans="2:4" ht="18.75" customHeight="1" x14ac:dyDescent="0.25">
      <c r="B34" s="15" t="s">
        <v>86</v>
      </c>
      <c r="C34" s="13" t="str">
        <f>INDEX(O2:AC2, MATCH(LARGE(O11:AC11, 1), O11:AC11, 0))</f>
        <v>Garage</v>
      </c>
      <c r="D34" s="14" t="str">
        <f>INDEX(O16:AC16, MATCH(LARGE(O25:AC25, 1), O25:AC25, 0))</f>
        <v>Scharins</v>
      </c>
    </row>
    <row r="35" spans="2:4" x14ac:dyDescent="0.25">
      <c r="B35" s="15" t="s">
        <v>87</v>
      </c>
      <c r="C35" s="13" t="str">
        <f>INDEX(O2:AC2, MATCH(LARGE(O11:AC11, 2), O11:AC11, 0))</f>
        <v>Training</v>
      </c>
      <c r="D35" s="14" t="str">
        <f>INDEX(O16:AC16, MATCH(LARGE(O25:AC25, 2), O25:AC25, 0))</f>
        <v>Garage</v>
      </c>
    </row>
    <row r="36" spans="2:4" ht="15.75" thickBot="1" x14ac:dyDescent="0.3">
      <c r="B36" s="16" t="s">
        <v>88</v>
      </c>
      <c r="C36" s="17" t="str">
        <f>INDEX(O2:AC2, MATCH(LARGE(O11:AC11, 3), O11:AC11, 0))</f>
        <v>Warehouse</v>
      </c>
      <c r="D36" s="18" t="str">
        <f>INDEX(O16:AC16, MATCH(LARGE(O25:AC25, 3), O25:AC25, 0))</f>
        <v>Garage</v>
      </c>
    </row>
  </sheetData>
  <mergeCells count="12">
    <mergeCell ref="A17:A24"/>
    <mergeCell ref="F1:H1"/>
    <mergeCell ref="I1:K1"/>
    <mergeCell ref="L1:N1"/>
    <mergeCell ref="O1:AC1"/>
    <mergeCell ref="A3:A10"/>
    <mergeCell ref="C1:E1"/>
    <mergeCell ref="C15:E15"/>
    <mergeCell ref="F15:H15"/>
    <mergeCell ref="I15:K15"/>
    <mergeCell ref="L15:N15"/>
    <mergeCell ref="O15:AC15"/>
  </mergeCells>
  <conditionalFormatting sqref="O11:AC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C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1230AC31-4C56-4282-AF17-096659853BE1}">
          <x14:formula1>
            <xm:f>'Old Bow'!$A$2:$A$37</xm:f>
          </x14:formula1>
          <xm:sqref>B17:B24</xm:sqref>
        </x14:dataValidation>
        <x14:dataValidation type="list" allowBlank="1" showErrorMessage="1" promptTitle="Select Player Name" prompt="Select Player Name" xr:uid="{3EAC1923-3D6C-4679-962B-736DC0F03553}">
          <x14:formula1>
            <xm:f>'Old Bow'!$A$2:$A$37</xm:f>
          </x14:formula1>
          <xm:sqref>B3:B10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25ABB-2AF0-4729-9C94-2A1BF11A1187}">
  <dimension ref="A1:AO62"/>
  <sheetViews>
    <sheetView workbookViewId="0">
      <pane xSplit="1" ySplit="1" topLeftCell="B13" activePane="bottomRight" state="frozen"/>
      <selection pane="topRight" activeCell="B1" sqref="B1"/>
      <selection pane="bottomLeft" activeCell="A2" sqref="A2"/>
      <selection pane="bottomRight" activeCell="H13" sqref="H13"/>
    </sheetView>
  </sheetViews>
  <sheetFormatPr defaultRowHeight="15" x14ac:dyDescent="0.25"/>
  <cols>
    <col min="1" max="1" width="13.140625" customWidth="1"/>
    <col min="2" max="5" width="11.5703125" customWidth="1"/>
    <col min="9" max="9" width="17.140625" customWidth="1"/>
    <col min="10" max="20" width="9.140625" style="1"/>
    <col min="21" max="21" width="12" style="1" customWidth="1"/>
    <col min="22" max="24" width="9.140625" style="1"/>
    <col min="25" max="25" width="11.7109375" style="1" bestFit="1" customWidth="1"/>
    <col min="26" max="27" width="14.5703125" style="1" customWidth="1"/>
    <col min="28" max="30" width="9.140625" style="1"/>
    <col min="31" max="31" width="11.85546875" style="1" bestFit="1" customWidth="1"/>
    <col min="32" max="32" width="9.140625" style="1"/>
    <col min="33" max="33" width="13" style="1" customWidth="1"/>
    <col min="34" max="35" width="13.140625" style="1" customWidth="1"/>
    <col min="36" max="36" width="9.140625" style="1"/>
    <col min="37" max="37" width="12.85546875" style="1" customWidth="1"/>
    <col min="38" max="38" width="9.140625" style="1"/>
    <col min="39" max="39" width="12.42578125" style="1" bestFit="1" customWidth="1"/>
    <col min="40" max="40" width="12.42578125" style="1" customWidth="1"/>
    <col min="41" max="41" width="9.140625" style="1"/>
  </cols>
  <sheetData>
    <row r="1" spans="1:41" ht="30.75" thickBot="1" x14ac:dyDescent="0.3">
      <c r="A1" s="3" t="s">
        <v>0</v>
      </c>
      <c r="B1" s="3" t="s">
        <v>59</v>
      </c>
      <c r="C1" s="3" t="s">
        <v>162</v>
      </c>
      <c r="D1" s="3" t="s">
        <v>163</v>
      </c>
      <c r="E1" s="3" t="s">
        <v>164</v>
      </c>
      <c r="F1" s="31" t="s">
        <v>7</v>
      </c>
      <c r="G1" s="52" t="s">
        <v>36</v>
      </c>
      <c r="H1" s="52" t="s">
        <v>231</v>
      </c>
      <c r="I1" s="33" t="s">
        <v>49</v>
      </c>
      <c r="J1" s="51" t="s">
        <v>97</v>
      </c>
      <c r="K1" s="52" t="s">
        <v>98</v>
      </c>
      <c r="L1" s="46" t="s">
        <v>123</v>
      </c>
      <c r="M1" s="51" t="s">
        <v>64</v>
      </c>
      <c r="N1" s="52" t="s">
        <v>101</v>
      </c>
      <c r="O1" s="46" t="s">
        <v>121</v>
      </c>
      <c r="P1" s="51" t="s">
        <v>99</v>
      </c>
      <c r="Q1" s="52" t="s">
        <v>100</v>
      </c>
      <c r="R1" s="46" t="s">
        <v>122</v>
      </c>
      <c r="S1" s="90" t="s">
        <v>93</v>
      </c>
      <c r="T1" s="91" t="s">
        <v>41</v>
      </c>
      <c r="U1" s="91" t="s">
        <v>69</v>
      </c>
      <c r="V1" s="92" t="s">
        <v>63</v>
      </c>
      <c r="W1" s="92" t="s">
        <v>116</v>
      </c>
      <c r="X1" s="91" t="s">
        <v>112</v>
      </c>
      <c r="Y1" s="92" t="s">
        <v>32</v>
      </c>
      <c r="Z1" s="91" t="s">
        <v>106</v>
      </c>
      <c r="AA1" s="91" t="s">
        <v>144</v>
      </c>
      <c r="AB1" s="92" t="s">
        <v>62</v>
      </c>
      <c r="AC1" s="91" t="s">
        <v>73</v>
      </c>
      <c r="AD1" s="91" t="s">
        <v>91</v>
      </c>
      <c r="AE1" s="92" t="s">
        <v>95</v>
      </c>
      <c r="AF1" s="91" t="s">
        <v>92</v>
      </c>
      <c r="AG1" s="92" t="s">
        <v>67</v>
      </c>
      <c r="AH1" s="92" t="s">
        <v>56</v>
      </c>
      <c r="AI1" s="92" t="s">
        <v>218</v>
      </c>
      <c r="AJ1" s="91" t="s">
        <v>104</v>
      </c>
      <c r="AK1" s="91" t="s">
        <v>66</v>
      </c>
      <c r="AL1" s="91" t="s">
        <v>72</v>
      </c>
      <c r="AM1" s="92" t="s">
        <v>68</v>
      </c>
      <c r="AN1" s="92" t="s">
        <v>135</v>
      </c>
      <c r="AO1" s="93" t="s">
        <v>96</v>
      </c>
    </row>
    <row r="2" spans="1:41" x14ac:dyDescent="0.25">
      <c r="A2" s="2" t="s">
        <v>140</v>
      </c>
      <c r="B2" s="3" t="s">
        <v>79</v>
      </c>
      <c r="C2" s="3"/>
      <c r="D2" s="3"/>
      <c r="E2" s="3"/>
      <c r="F2" s="34">
        <f>SUMIFS('BA History'!C:C,'BA History'!B:B,A2)</f>
        <v>271</v>
      </c>
      <c r="G2" s="66">
        <f>AVERAGEIFS('BA History'!C:C,'BA History'!B:B,A2)</f>
        <v>12.904761904761905</v>
      </c>
      <c r="H2" s="66">
        <f t="array" ref="H2">MEDIAN(IF('BA History'!B:B=A2, 'BA History'!C:C))</f>
        <v>14</v>
      </c>
      <c r="I2" s="35">
        <f t="array" ref="I2">MAX(IF('BA History'!B:B=A2, 'BA History'!C:C))</f>
        <v>23</v>
      </c>
      <c r="J2" s="34">
        <f>COUNTIFS('BA History'!B:B,A2,'BA History'!D:D, 1)</f>
        <v>10</v>
      </c>
      <c r="K2" s="2">
        <f>COUNTIFS('BA History'!B:B,A2,'BA History'!D:D, 0)</f>
        <v>11</v>
      </c>
      <c r="L2" s="75">
        <f>LOOKUP(2, 1/('BA History'!$B:$B=A2), 'BA History'!$AK:$AK)</f>
        <v>0.47619047619047616</v>
      </c>
      <c r="M2" s="34">
        <f>SUMIFS('BA History'!F:F,'BA History'!B:B,A2)</f>
        <v>44</v>
      </c>
      <c r="N2" s="2">
        <f>SUMIFS('BA History'!E:E,'BA History'!B:B,A2)-M2</f>
        <v>43</v>
      </c>
      <c r="O2" s="75">
        <f>LOOKUP(2, 1/('BA History'!$B:$B=A2), 'BA History'!$AI:$AI)</f>
        <v>0.5095238095238096</v>
      </c>
      <c r="P2" s="34">
        <f>SUMIFS('BA History'!H:H,'BA History'!B:B,A2)</f>
        <v>181</v>
      </c>
      <c r="Q2" s="2">
        <f>SUMIFS('BA History'!G:G,'BA History'!B:B,A2)-P2</f>
        <v>178</v>
      </c>
      <c r="R2" s="89">
        <f>LOOKUP(2, 1/('BA History'!$B:$B=A2), 'BA History'!$AJ:$AJ)</f>
        <v>0.49952380952380943</v>
      </c>
      <c r="S2" s="2">
        <f>COUNTIFS('BA History'!$B:$B,$A$2,'BA History'!K:K, 1)</f>
        <v>1</v>
      </c>
      <c r="T2" s="2">
        <f>COUNTIFS('BA History'!$B:$B,$A$2,'BA History'!L:L, 1)</f>
        <v>2</v>
      </c>
      <c r="U2" s="2">
        <f>COUNTIFS('BA History'!$B:$B,$A$2,'BA History'!M:M, 1)</f>
        <v>7</v>
      </c>
      <c r="V2" s="2">
        <f>COUNTIFS('BA History'!$B:$B,$A$2,'BA History'!N:N, 1)</f>
        <v>6</v>
      </c>
      <c r="W2" s="2">
        <f>COUNTIFS('BA History'!$B:$B,$A$2,'BA History'!O:O, 1)</f>
        <v>2</v>
      </c>
      <c r="X2" s="2">
        <f>COUNTIFS('BA History'!$B:$B,$A$2,'BA History'!P:P, 1)</f>
        <v>0</v>
      </c>
      <c r="Y2" s="2">
        <f>COUNTIFS('BA History'!$B:$B,$A$2,'BA History'!Q:Q, 1)</f>
        <v>1</v>
      </c>
      <c r="Z2" s="2">
        <f>COUNTIFS('BA History'!$B:$B,$A$2,'BA History'!R:R, 1)</f>
        <v>1</v>
      </c>
      <c r="AA2" s="2">
        <f>COUNTIFS('BA History'!$B:$B,$A$2,'BA History'!S:S, 1)</f>
        <v>1</v>
      </c>
      <c r="AB2" s="2">
        <f>COUNTIFS('BA History'!$B:$B,$A$2,'BA History'!T:T, 1)</f>
        <v>0</v>
      </c>
      <c r="AC2" s="2">
        <f>COUNTIFS('BA History'!$B:$B,$A$2,'BA History'!U:U, 1)</f>
        <v>0</v>
      </c>
      <c r="AD2" s="2">
        <f>COUNTIFS('BA History'!$B:$B,$A$2,'BA History'!V:V, 1)</f>
        <v>2</v>
      </c>
      <c r="AE2" s="2">
        <f>COUNTIFS('BA History'!$B:$B,$A$2,'BA History'!W:W, 1)</f>
        <v>2</v>
      </c>
      <c r="AF2" s="2">
        <f>COUNTIFS('BA History'!$B:$B,$A$2,'BA History'!X:X, 1)</f>
        <v>0</v>
      </c>
      <c r="AG2" s="2">
        <f>COUNTIFS('BA History'!$B:$B,$A$2,'BA History'!Y:Y, 1)</f>
        <v>1</v>
      </c>
      <c r="AH2" s="2">
        <f>COUNTIFS('BA History'!$B:$B,$A$2,'BA History'!Z:Z, 1)</f>
        <v>6</v>
      </c>
      <c r="AI2" s="2">
        <f>COUNTIFS('BA History'!$B:$B,$A2,'BA History'!AA:AA, 1)</f>
        <v>0</v>
      </c>
      <c r="AJ2" s="2">
        <f>COUNTIFS('BA History'!$B:$B,$A$2,'BA History'!AB:AB, 1)</f>
        <v>0</v>
      </c>
      <c r="AK2" s="2">
        <f>COUNTIFS('BA History'!$B:$B,$A$2,'BA History'!AC:AC, 1)</f>
        <v>4</v>
      </c>
      <c r="AL2" s="2">
        <f>COUNTIFS('BA History'!$B:$B,$A$2,'BA History'!AD:AD, 1)</f>
        <v>0</v>
      </c>
      <c r="AM2" s="2">
        <f>COUNTIFS('BA History'!$B:$B,$A$2,'BA History'!AE:AE, 1)</f>
        <v>4</v>
      </c>
      <c r="AN2" s="2">
        <f>COUNTIFS('BA History'!$B:$B,$A$2,'BA History'!AF:AF, 1)</f>
        <v>0</v>
      </c>
      <c r="AO2" s="2">
        <f>COUNTIFS('BA History'!$B:$B,$A$2,'BA History'!AG:AG, 1)</f>
        <v>4</v>
      </c>
    </row>
    <row r="3" spans="1:41" x14ac:dyDescent="0.25">
      <c r="A3" s="2" t="s">
        <v>37</v>
      </c>
      <c r="B3" s="2" t="s">
        <v>79</v>
      </c>
      <c r="C3" s="2"/>
      <c r="D3" s="2"/>
      <c r="E3" s="2"/>
      <c r="F3" s="34">
        <f>SUMIFS('BA History'!C:C,'BA History'!B:B,A3)</f>
        <v>178</v>
      </c>
      <c r="G3" s="66">
        <f>AVERAGEIFS('BA History'!C:C,'BA History'!B:B,A3)</f>
        <v>14.833333333333334</v>
      </c>
      <c r="H3" s="66">
        <f t="array" ref="H3">MEDIAN(IF('BA History'!B:B=A3, 'BA History'!C:C))</f>
        <v>14</v>
      </c>
      <c r="I3" s="35">
        <f t="array" ref="I3">MAX(IF('BA History'!B:B=A3, 'BA History'!C:C))</f>
        <v>27</v>
      </c>
      <c r="J3" s="34">
        <f>COUNTIFS('BA History'!B:B,A3,'BA History'!D:D, 1)</f>
        <v>7</v>
      </c>
      <c r="K3" s="2">
        <f>COUNTIFS('BA History'!B:B,A3,'BA History'!D:D, 0)</f>
        <v>5</v>
      </c>
      <c r="L3" s="75">
        <f>LOOKUP(2, 1/('BA History'!$B:$B=A3), 'BA History'!$AK:$AK)</f>
        <v>0.58333333333333337</v>
      </c>
      <c r="M3" s="34">
        <f>SUMIFS('BA History'!F:F,'BA History'!B:B,A3)</f>
        <v>29</v>
      </c>
      <c r="N3" s="2">
        <f>SUMIFS('BA History'!E:E,'BA History'!B:B,A3)-M3</f>
        <v>20</v>
      </c>
      <c r="O3" s="75">
        <f>LOOKUP(2, 1/('BA History'!$B:$B=A3), 'BA History'!$AI:$AI)</f>
        <v>0.61249999999999993</v>
      </c>
      <c r="P3" s="34">
        <f>SUMIFS('BA History'!H:H,'BA History'!B:B,A3)</f>
        <v>110</v>
      </c>
      <c r="Q3" s="2">
        <f>SUMIFS('BA History'!G:G,'BA History'!B:B,A3)-P3</f>
        <v>97</v>
      </c>
      <c r="R3" s="89">
        <f>LOOKUP(2, 1/('BA History'!$B:$B=A3), 'BA History'!$AJ:$AJ)</f>
        <v>0.52583333333333326</v>
      </c>
      <c r="S3" s="2">
        <f>COUNTIFS('BA History'!$B:$B,$A$3,'BA History'!K:K, 1)</f>
        <v>1</v>
      </c>
      <c r="T3" s="2">
        <f>COUNTIFS('BA History'!$B:$B,$A$3,'BA History'!L:L, 1)</f>
        <v>1</v>
      </c>
      <c r="U3" s="2">
        <f>COUNTIFS('BA History'!$B:$B,$A$3,'BA History'!M:M, 1)</f>
        <v>4</v>
      </c>
      <c r="V3" s="2">
        <f>COUNTIFS('BA History'!$B:$B,$A$3,'BA History'!N:N, 1)</f>
        <v>0</v>
      </c>
      <c r="W3" s="2">
        <f>COUNTIFS('BA History'!$B:$B,$A$3,'BA History'!O:O, 1)</f>
        <v>0</v>
      </c>
      <c r="X3" s="2">
        <f>COUNTIFS('BA History'!$B:$B,$A$3,'BA History'!P:P, 1)</f>
        <v>0</v>
      </c>
      <c r="Y3" s="2">
        <f>COUNTIFS('BA History'!$B:$B,$A$3,'BA History'!Q:Q, 1)</f>
        <v>1</v>
      </c>
      <c r="Z3" s="2">
        <f>COUNTIFS('BA History'!$B:$B,$A$3,'BA History'!R:R, 1)</f>
        <v>3</v>
      </c>
      <c r="AA3" s="2">
        <f>COUNTIFS('BA History'!$B:$B,$A$3,'BA History'!S:S, 1)</f>
        <v>0</v>
      </c>
      <c r="AB3" s="2">
        <f>COUNTIFS('BA History'!$B:$B,$A$3,'BA History'!T:T, 1)</f>
        <v>0</v>
      </c>
      <c r="AC3" s="2">
        <f>COUNTIFS('BA History'!$B:$B,$A$3,'BA History'!U:U, 1)</f>
        <v>0</v>
      </c>
      <c r="AD3" s="2">
        <f>COUNTIFS('BA History'!$B:$B,$A$3,'BA History'!V:V, 1)</f>
        <v>2</v>
      </c>
      <c r="AE3" s="2">
        <f>COUNTIFS('BA History'!$B:$B,$A$3,'BA History'!W:W, 1)</f>
        <v>0</v>
      </c>
      <c r="AF3" s="2">
        <f>COUNTIFS('BA History'!$B:$B,$A$3,'BA History'!X:X, 1)</f>
        <v>0</v>
      </c>
      <c r="AG3" s="2">
        <f>COUNTIFS('BA History'!$B:$B,$A$3,'BA History'!Y:Y, 1)</f>
        <v>3</v>
      </c>
      <c r="AH3" s="2">
        <f>COUNTIFS('BA History'!$B:$B,$A$3,'BA History'!Z:Z, 1)</f>
        <v>3</v>
      </c>
      <c r="AI3" s="2">
        <f>COUNTIFS('BA History'!$B:$B,$A3,'BA History'!AA:AA, 1)</f>
        <v>0</v>
      </c>
      <c r="AJ3" s="2">
        <f>COUNTIFS('BA History'!$B:$B,$A$3,'BA History'!AB:AB, 1)</f>
        <v>0</v>
      </c>
      <c r="AK3" s="2">
        <f>COUNTIFS('BA History'!$B:$B,$A$3,'BA History'!AC:AC, 1)</f>
        <v>3</v>
      </c>
      <c r="AL3" s="2">
        <f>COUNTIFS('BA History'!$B:$B,$A$3,'BA History'!AD:AD, 1)</f>
        <v>2</v>
      </c>
      <c r="AM3" s="2">
        <f>COUNTIFS('BA History'!$B:$B,$A$3,'BA History'!AE:AE, 1)</f>
        <v>2</v>
      </c>
      <c r="AN3" s="2">
        <f>COUNTIFS('BA History'!$B:$B,$A$3,'BA History'!AF:AF, 1)</f>
        <v>0</v>
      </c>
      <c r="AO3" s="2">
        <f>COUNTIFS('BA History'!$B:$B,$A$3,'BA History'!AG:AG, 1)</f>
        <v>4</v>
      </c>
    </row>
    <row r="4" spans="1:41" x14ac:dyDescent="0.25">
      <c r="A4" s="2" t="s">
        <v>103</v>
      </c>
      <c r="B4" s="2" t="s">
        <v>79</v>
      </c>
      <c r="C4" s="2"/>
      <c r="D4" s="2"/>
      <c r="E4" s="2"/>
      <c r="F4" s="34">
        <f>SUMIFS('BA History'!C:C,'BA History'!B:B,A4)</f>
        <v>30</v>
      </c>
      <c r="G4" s="66">
        <f>AVERAGEIFS('BA History'!C:C,'BA History'!B:B,A4)</f>
        <v>10</v>
      </c>
      <c r="H4" s="66">
        <f t="array" ref="H4">MEDIAN(IF('BA History'!B:B=A4, 'BA History'!C:C))</f>
        <v>9</v>
      </c>
      <c r="I4" s="35">
        <f t="array" ref="I4">MAX(IF('BA History'!B:B=A4, 'BA History'!C:C))</f>
        <v>13</v>
      </c>
      <c r="J4" s="34">
        <f>COUNTIFS('BA History'!B:B,A4,'BA History'!D:D, 1)</f>
        <v>1</v>
      </c>
      <c r="K4" s="2">
        <f>COUNTIFS('BA History'!B:B,A4,'BA History'!D:D, 0)</f>
        <v>2</v>
      </c>
      <c r="L4" s="75">
        <f>LOOKUP(2, 1/('BA History'!$B:$B=A4), 'BA History'!$AK:$AK)</f>
        <v>0.33333333333333331</v>
      </c>
      <c r="M4" s="34">
        <f>SUMIFS('BA History'!F:F,'BA History'!B:B,A4)</f>
        <v>6</v>
      </c>
      <c r="N4" s="2">
        <f>SUMIFS('BA History'!E:E,'BA History'!B:B,A4)-M4</f>
        <v>7</v>
      </c>
      <c r="O4" s="75">
        <f>LOOKUP(2, 1/('BA History'!$B:$B=A4), 'BA History'!$AI:$AI)</f>
        <v>0.46666666666666662</v>
      </c>
      <c r="P4" s="34">
        <f>SUMIFS('BA History'!H:H,'BA History'!B:B,A4)</f>
        <v>24</v>
      </c>
      <c r="Q4" s="2">
        <f>SUMIFS('BA History'!G:G,'BA History'!B:B,A4)-P4</f>
        <v>29</v>
      </c>
      <c r="R4" s="89">
        <f>LOOKUP(2, 1/('BA History'!$B:$B=A4), 'BA History'!$AJ:$AJ)</f>
        <v>0.44333333333333336</v>
      </c>
      <c r="S4" s="2">
        <f>COUNTIFS('BA History'!$B:$B,$A$4,'BA History'!K:K, 1)</f>
        <v>1</v>
      </c>
      <c r="T4" s="2">
        <f>COUNTIFS('BA History'!$B:$B,$A$4,'BA History'!L:L, 1)</f>
        <v>0</v>
      </c>
      <c r="U4" s="2">
        <f>COUNTIFS('BA History'!$B:$B,$A$4,'BA History'!M:M, 1)</f>
        <v>0</v>
      </c>
      <c r="V4" s="2">
        <f>COUNTIFS('BA History'!$B:$B,$A$4,'BA History'!N:N, 1)</f>
        <v>1</v>
      </c>
      <c r="W4" s="2">
        <f>COUNTIFS('BA History'!$B:$B,$A$4,'BA History'!O:O, 1)</f>
        <v>0</v>
      </c>
      <c r="X4" s="2">
        <f>COUNTIFS('BA History'!$B:$B,$A$4,'BA History'!P:P, 1)</f>
        <v>0</v>
      </c>
      <c r="Y4" s="2">
        <f>COUNTIFS('BA History'!$B:$B,$A$4,'BA History'!Q:Q, 1)</f>
        <v>0</v>
      </c>
      <c r="Z4" s="2">
        <f>COUNTIFS('BA History'!$B:$B,$A$4,'BA History'!R:R, 1)</f>
        <v>0</v>
      </c>
      <c r="AA4" s="2">
        <f>COUNTIFS('BA History'!$B:$B,$A$4,'BA History'!S:S, 1)</f>
        <v>1</v>
      </c>
      <c r="AB4" s="2">
        <f>COUNTIFS('BA History'!$B:$B,$A$4,'BA History'!T:T, 1)</f>
        <v>0</v>
      </c>
      <c r="AC4" s="2">
        <f>COUNTIFS('BA History'!$B:$B,$A$4,'BA History'!U:U, 1)</f>
        <v>0</v>
      </c>
      <c r="AD4" s="2">
        <f>COUNTIFS('BA History'!$B:$B,$A$4,'BA History'!V:V, 1)</f>
        <v>0</v>
      </c>
      <c r="AE4" s="2">
        <f>COUNTIFS('BA History'!$B:$B,$A$4,'BA History'!W:W, 1)</f>
        <v>0</v>
      </c>
      <c r="AF4" s="2">
        <f>COUNTIFS('BA History'!$B:$B,$A$4,'BA History'!X:X, 1)</f>
        <v>0</v>
      </c>
      <c r="AG4" s="2">
        <f>COUNTIFS('BA History'!$B:$B,$A$4,'BA History'!Y:Y, 1)</f>
        <v>0</v>
      </c>
      <c r="AH4" s="2">
        <f>COUNTIFS('BA History'!$B:$B,$A$4,'BA History'!Z:Z, 1)</f>
        <v>1</v>
      </c>
      <c r="AI4" s="2">
        <f>COUNTIFS('BA History'!$B:$B,$A4,'BA History'!AA:AA, 1)</f>
        <v>0</v>
      </c>
      <c r="AJ4" s="2">
        <f>COUNTIFS('BA History'!$B:$B,$A$4,'BA History'!AB:AB, 1)</f>
        <v>0</v>
      </c>
      <c r="AK4" s="2">
        <f>COUNTIFS('BA History'!$B:$B,$A$4,'BA History'!AC:AC, 1)</f>
        <v>0</v>
      </c>
      <c r="AL4" s="2">
        <f>COUNTIFS('BA History'!$B:$B,$A$4,'BA History'!AD:AD, 1)</f>
        <v>0</v>
      </c>
      <c r="AM4" s="2">
        <f>COUNTIFS('BA History'!$B:$B,$A$4,'BA History'!AE:AE, 1)</f>
        <v>2</v>
      </c>
      <c r="AN4" s="2">
        <f>COUNTIFS('BA History'!$B:$B,$A$4,'BA History'!AF:AF, 1)</f>
        <v>0</v>
      </c>
      <c r="AO4" s="2">
        <f>COUNTIFS('BA History'!$B:$B,$A$4,'BA History'!AG:AG, 1)</f>
        <v>0</v>
      </c>
    </row>
    <row r="5" spans="1:41" x14ac:dyDescent="0.25">
      <c r="A5" s="2" t="s">
        <v>71</v>
      </c>
      <c r="B5" s="2" t="s">
        <v>79</v>
      </c>
      <c r="C5" s="2"/>
      <c r="D5" s="2">
        <v>1</v>
      </c>
      <c r="E5" s="2"/>
      <c r="F5" s="34">
        <f>SUMIFS('BA History'!C:C,'BA History'!B:B,A5)</f>
        <v>589</v>
      </c>
      <c r="G5" s="66">
        <f>AVERAGEIFS('BA History'!C:C,'BA History'!B:B,A5)</f>
        <v>15.5</v>
      </c>
      <c r="H5" s="66">
        <f t="array" ref="H5">MEDIAN(IF('BA History'!B:B=A5, 'BA History'!C:C))</f>
        <v>13</v>
      </c>
      <c r="I5" s="35">
        <f t="array" ref="I5">MAX(IF('BA History'!B:B=A5, 'BA History'!C:C))</f>
        <v>44</v>
      </c>
      <c r="J5" s="34">
        <f>COUNTIFS('BA History'!B:B,A5,'BA History'!D:D, 1)</f>
        <v>20</v>
      </c>
      <c r="K5" s="2">
        <f>COUNTIFS('BA History'!B:B,A5,'BA History'!D:D, 0)</f>
        <v>18</v>
      </c>
      <c r="L5" s="75">
        <f>LOOKUP(2, 1/('BA History'!$B:$B=A5), 'BA History'!$AK:$AK)</f>
        <v>0.52631578947368418</v>
      </c>
      <c r="M5" s="34">
        <f>SUMIFS('BA History'!F:F,'BA History'!B:B,A5)</f>
        <v>78</v>
      </c>
      <c r="N5" s="2">
        <f>SUMIFS('BA History'!E:E,'BA History'!B:B,A5)-M5</f>
        <v>80</v>
      </c>
      <c r="O5" s="75">
        <f>LOOKUP(2, 1/('BA History'!$B:$B=A5), 'BA History'!$AI:$AI)</f>
        <v>0.47631578947368425</v>
      </c>
      <c r="P5" s="34">
        <f>SUMIFS('BA History'!H:H,'BA History'!B:B,A5)</f>
        <v>323</v>
      </c>
      <c r="Q5" s="2">
        <f>SUMIFS('BA History'!G:G,'BA History'!B:B,A5)-P5</f>
        <v>340</v>
      </c>
      <c r="R5" s="89">
        <f>LOOKUP(2, 1/('BA History'!$B:$B=A5), 'BA History'!$AJ:$AJ)</f>
        <v>0.47842105263157886</v>
      </c>
      <c r="S5" s="2">
        <f>COUNTIFS('BA History'!$B:$B,$A$5,'BA History'!K:K, 1)</f>
        <v>4</v>
      </c>
      <c r="T5" s="2">
        <f>COUNTIFS('BA History'!$B:$B,$A$5,'BA History'!L:L, 1)</f>
        <v>8</v>
      </c>
      <c r="U5" s="2">
        <f>COUNTIFS('BA History'!$B:$B,$A$5,'BA History'!M:M, 1)</f>
        <v>8</v>
      </c>
      <c r="V5" s="2">
        <f>COUNTIFS('BA History'!$B:$B,$A$5,'BA History'!N:N, 1)</f>
        <v>6</v>
      </c>
      <c r="W5" s="2">
        <f>COUNTIFS('BA History'!$B:$B,$A$5,'BA History'!O:O, 1)</f>
        <v>1</v>
      </c>
      <c r="X5" s="2">
        <f>COUNTIFS('BA History'!$B:$B,$A$5,'BA History'!P:P, 1)</f>
        <v>1</v>
      </c>
      <c r="Y5" s="2">
        <f>COUNTIFS('BA History'!$B:$B,$A$5,'BA History'!Q:Q, 1)</f>
        <v>0</v>
      </c>
      <c r="Z5" s="2">
        <f>COUNTIFS('BA History'!$B:$B,$A$5,'BA History'!R:R, 1)</f>
        <v>0</v>
      </c>
      <c r="AA5" s="2">
        <f>COUNTIFS('BA History'!$B:$B,$A$5,'BA History'!S:S, 1)</f>
        <v>0</v>
      </c>
      <c r="AB5" s="2">
        <f>COUNTIFS('BA History'!$B:$B,$A$5,'BA History'!T:T, 1)</f>
        <v>0</v>
      </c>
      <c r="AC5" s="2">
        <f>COUNTIFS('BA History'!$B:$B,$A$5,'BA History'!U:U, 1)</f>
        <v>1</v>
      </c>
      <c r="AD5" s="2">
        <f>COUNTIFS('BA History'!$B:$B,$A$5,'BA History'!V:V, 1)</f>
        <v>5</v>
      </c>
      <c r="AE5" s="2">
        <f>COUNTIFS('BA History'!$B:$B,$A$5,'BA History'!W:W, 1)</f>
        <v>3</v>
      </c>
      <c r="AF5" s="2">
        <f>COUNTIFS('BA History'!$B:$B,$A$5,'BA History'!X:X, 1)</f>
        <v>0</v>
      </c>
      <c r="AG5" s="2">
        <f>COUNTIFS('BA History'!$B:$B,$A$5,'BA History'!Y:Y, 1)</f>
        <v>7</v>
      </c>
      <c r="AH5" s="2">
        <f>COUNTIFS('BA History'!$B:$B,$A$5,'BA History'!Z:Z, 1)</f>
        <v>6</v>
      </c>
      <c r="AI5" s="2">
        <f>COUNTIFS('BA History'!$B:$B,$A5,'BA History'!AA:AA, 1)</f>
        <v>0</v>
      </c>
      <c r="AJ5" s="2">
        <f>COUNTIFS('BA History'!$B:$B,$A$5,'BA History'!AB:AB, 1)</f>
        <v>2</v>
      </c>
      <c r="AK5" s="2">
        <f>COUNTIFS('BA History'!$B:$B,$A$5,'BA History'!AC:AC, 1)</f>
        <v>9</v>
      </c>
      <c r="AL5" s="2">
        <f>COUNTIFS('BA History'!$B:$B,$A$5,'BA History'!AD:AD, 1)</f>
        <v>3</v>
      </c>
      <c r="AM5" s="2">
        <f>COUNTIFS('BA History'!$B:$B,$A$5,'BA History'!AE:AE, 1)</f>
        <v>7</v>
      </c>
      <c r="AN5" s="2">
        <f>COUNTIFS('BA History'!$B:$B,$A$5,'BA History'!AF:AF, 1)</f>
        <v>2</v>
      </c>
      <c r="AO5" s="2">
        <f>COUNTIFS('BA History'!$B:$B,$A$5,'BA History'!AG:AG, 1)</f>
        <v>5</v>
      </c>
    </row>
    <row r="6" spans="1:41" x14ac:dyDescent="0.25">
      <c r="A6" s="2" t="s">
        <v>114</v>
      </c>
      <c r="B6" s="2" t="s">
        <v>79</v>
      </c>
      <c r="C6" s="2"/>
      <c r="D6" s="2"/>
      <c r="E6" s="2"/>
      <c r="F6" s="34">
        <f>SUMIFS('BA History'!C:C,'BA History'!B:B,A6)</f>
        <v>6</v>
      </c>
      <c r="G6" s="66">
        <f>AVERAGEIFS('BA History'!C:C,'BA History'!B:B,A6)</f>
        <v>6</v>
      </c>
      <c r="H6" s="66">
        <f t="array" ref="H6">MEDIAN(IF('BA History'!B:B=A6, 'BA History'!C:C))</f>
        <v>6</v>
      </c>
      <c r="I6" s="35">
        <f t="array" ref="I6">MAX(IF('BA History'!B:B=A6, 'BA History'!C:C))</f>
        <v>6</v>
      </c>
      <c r="J6" s="34">
        <f>COUNTIFS('BA History'!B:B,A6,'BA History'!D:D, 1)</f>
        <v>0</v>
      </c>
      <c r="K6" s="2">
        <f>COUNTIFS('BA History'!B:B,A6,'BA History'!D:D, 0)</f>
        <v>1</v>
      </c>
      <c r="L6" s="75">
        <f>LOOKUP(2, 1/('BA History'!$B:$B=A6), 'BA History'!$AK:$AK)</f>
        <v>0</v>
      </c>
      <c r="M6" s="34">
        <f>SUMIFS('BA History'!F:F,'BA History'!B:B,A6)</f>
        <v>1</v>
      </c>
      <c r="N6" s="2">
        <f>SUMIFS('BA History'!E:E,'BA History'!B:B,A6)-M6</f>
        <v>3</v>
      </c>
      <c r="O6" s="75">
        <f>LOOKUP(2, 1/('BA History'!$B:$B=A6), 'BA History'!$AI:$AI)</f>
        <v>0.25</v>
      </c>
      <c r="P6" s="34">
        <f>SUMIFS('BA History'!H:H,'BA History'!B:B,A6)</f>
        <v>8</v>
      </c>
      <c r="Q6" s="2">
        <f>SUMIFS('BA History'!G:G,'BA History'!B:B,A6)-P6</f>
        <v>11</v>
      </c>
      <c r="R6" s="89">
        <f>LOOKUP(2, 1/('BA History'!$B:$B=A6), 'BA History'!$AJ:$AJ)</f>
        <v>0.42</v>
      </c>
      <c r="S6" s="2">
        <f>COUNTIFS('BA History'!$B:$B,$A$6,'BA History'!K:K, 1)</f>
        <v>0</v>
      </c>
      <c r="T6" s="2">
        <f>COUNTIFS('BA History'!$B:$B,$A$6,'BA History'!L:L, 1)</f>
        <v>0</v>
      </c>
      <c r="U6" s="2">
        <f>COUNTIFS('BA History'!$B:$B,$A$6,'BA History'!M:M, 1)</f>
        <v>0</v>
      </c>
      <c r="V6" s="2">
        <f>COUNTIFS('BA History'!$B:$B,$A$6,'BA History'!N:N, 1)</f>
        <v>0</v>
      </c>
      <c r="W6" s="2">
        <f>COUNTIFS('BA History'!$B:$B,$A$6,'BA History'!O:O, 1)</f>
        <v>1</v>
      </c>
      <c r="X6" s="2">
        <f>COUNTIFS('BA History'!$B:$B,$A$6,'BA History'!P:P, 1)</f>
        <v>0</v>
      </c>
      <c r="Y6" s="2">
        <f>COUNTIFS('BA History'!$B:$B,$A$6,'BA History'!Q:Q, 1)</f>
        <v>0</v>
      </c>
      <c r="Z6" s="2">
        <f>COUNTIFS('BA History'!$B:$B,$A$6,'BA History'!R:R, 1)</f>
        <v>0</v>
      </c>
      <c r="AA6" s="2">
        <f>COUNTIFS('BA History'!$B:$B,$A$6,'BA History'!S:S, 1)</f>
        <v>0</v>
      </c>
      <c r="AB6" s="2">
        <f>COUNTIFS('BA History'!$B:$B,$A$6,'BA History'!T:T, 1)</f>
        <v>0</v>
      </c>
      <c r="AC6" s="2">
        <f>COUNTIFS('BA History'!$B:$B,$A$6,'BA History'!U:U, 1)</f>
        <v>0</v>
      </c>
      <c r="AD6" s="2">
        <f>COUNTIFS('BA History'!$B:$B,$A$6,'BA History'!V:V, 1)</f>
        <v>0</v>
      </c>
      <c r="AE6" s="2">
        <f>COUNTIFS('BA History'!$B:$B,$A$6,'BA History'!W:W, 1)</f>
        <v>0</v>
      </c>
      <c r="AF6" s="2">
        <f>COUNTIFS('BA History'!$B:$B,$A$6,'BA History'!X:X, 1)</f>
        <v>0</v>
      </c>
      <c r="AG6" s="2">
        <f>COUNTIFS('BA History'!$B:$B,$A$6,'BA History'!Y:Y, 1)</f>
        <v>0</v>
      </c>
      <c r="AH6" s="2">
        <f>COUNTIFS('BA History'!$B:$B,$A$6,'BA History'!Z:Z, 1)</f>
        <v>0</v>
      </c>
      <c r="AI6" s="2">
        <f>COUNTIFS('BA History'!$B:$B,$A6,'BA History'!AA:AA, 1)</f>
        <v>0</v>
      </c>
      <c r="AJ6" s="2">
        <f>COUNTIFS('BA History'!$B:$B,$A$6,'BA History'!AB:AB, 1)</f>
        <v>0</v>
      </c>
      <c r="AK6" s="2">
        <f>COUNTIFS('BA History'!$B:$B,$A$6,'BA History'!AC:AC, 1)</f>
        <v>0</v>
      </c>
      <c r="AL6" s="2">
        <f>COUNTIFS('BA History'!$B:$B,$A$6,'BA History'!AD:AD, 1)</f>
        <v>0</v>
      </c>
      <c r="AM6" s="2">
        <f>COUNTIFS('BA History'!$B:$B,$A$6,'BA History'!AE:AE, 1)</f>
        <v>0</v>
      </c>
      <c r="AN6" s="2">
        <f>COUNTIFS('BA History'!$B:$B,$A$6,'BA History'!AF:AF, 1)</f>
        <v>0</v>
      </c>
      <c r="AO6" s="2">
        <f>COUNTIFS('BA History'!$B:$B,$A$6,'BA History'!AG:AG, 1)</f>
        <v>0</v>
      </c>
    </row>
    <row r="7" spans="1:41" x14ac:dyDescent="0.25">
      <c r="A7" s="2" t="s">
        <v>35</v>
      </c>
      <c r="B7" s="2" t="s">
        <v>79</v>
      </c>
      <c r="C7" s="2"/>
      <c r="D7" s="2"/>
      <c r="E7" s="2"/>
      <c r="F7" s="34">
        <f>SUMIFS('BA History'!C:C,'BA History'!B:B,A7)</f>
        <v>458</v>
      </c>
      <c r="G7" s="66">
        <f>AVERAGEIFS('BA History'!C:C,'BA History'!B:B,A7)</f>
        <v>10.409090909090908</v>
      </c>
      <c r="H7" s="66">
        <f t="array" ref="H7">MEDIAN(IF('BA History'!B:B=A7, 'BA History'!C:C))</f>
        <v>9</v>
      </c>
      <c r="I7" s="35">
        <f t="array" ref="I7">MAX(IF('BA History'!B:B=A7, 'BA History'!C:C))</f>
        <v>24</v>
      </c>
      <c r="J7" s="34">
        <f>COUNTIFS('BA History'!B:B,A7,'BA History'!D:D, 1)</f>
        <v>18</v>
      </c>
      <c r="K7" s="2">
        <f>COUNTIFS('BA History'!B:B,A7,'BA History'!D:D, 0)</f>
        <v>26</v>
      </c>
      <c r="L7" s="75">
        <f>LOOKUP(2, 1/('BA History'!$B:$B=A7), 'BA History'!$AK:$AK)</f>
        <v>0.40909090909090912</v>
      </c>
      <c r="M7" s="34">
        <f>SUMIFS('BA History'!F:F,'BA History'!B:B,A7)</f>
        <v>83</v>
      </c>
      <c r="N7" s="2">
        <f>SUMIFS('BA History'!E:E,'BA History'!B:B,A7)-M7</f>
        <v>97</v>
      </c>
      <c r="O7" s="75">
        <f>LOOKUP(2, 1/('BA History'!$B:$B=A7), 'BA History'!$AI:$AI)</f>
        <v>0.44840909090909092</v>
      </c>
      <c r="P7" s="34">
        <f>SUMIFS('BA History'!H:H,'BA History'!B:B,A7)</f>
        <v>365</v>
      </c>
      <c r="Q7" s="2">
        <f>SUMIFS('BA History'!G:G,'BA History'!B:B,A7)-P7</f>
        <v>386</v>
      </c>
      <c r="R7" s="89">
        <f>LOOKUP(2, 1/('BA History'!$B:$B=A7), 'BA History'!$AJ:$AJ)</f>
        <v>0.48113636363636358</v>
      </c>
      <c r="S7" s="2">
        <f>COUNTIFS('BA History'!$B:$B,$A$7,'BA History'!K:K, 1)</f>
        <v>4</v>
      </c>
      <c r="T7" s="2">
        <f>COUNTIFS('BA History'!$B:$B,$A$7,'BA History'!L:L, 1)</f>
        <v>4</v>
      </c>
      <c r="U7" s="2">
        <f>COUNTIFS('BA History'!$B:$B,$A$7,'BA History'!M:M, 1)</f>
        <v>6</v>
      </c>
      <c r="V7" s="2">
        <f>COUNTIFS('BA History'!$B:$B,$A$7,'BA History'!N:N, 1)</f>
        <v>6</v>
      </c>
      <c r="W7" s="2">
        <f>COUNTIFS('BA History'!$B:$B,$A$7,'BA History'!O:O, 1)</f>
        <v>1</v>
      </c>
      <c r="X7" s="2">
        <f>COUNTIFS('BA History'!$B:$B,$A$7,'BA History'!P:P, 1)</f>
        <v>1</v>
      </c>
      <c r="Y7" s="2">
        <f>COUNTIFS('BA History'!$B:$B,$A$7,'BA History'!Q:Q, 1)</f>
        <v>3</v>
      </c>
      <c r="Z7" s="2">
        <f>COUNTIFS('BA History'!$B:$B,$A$7,'BA History'!R:R, 1)</f>
        <v>4</v>
      </c>
      <c r="AA7" s="2">
        <f>COUNTIFS('BA History'!$B:$B,$A$7,'BA History'!S:S, 1)</f>
        <v>1</v>
      </c>
      <c r="AB7" s="2">
        <f>COUNTIFS('BA History'!$B:$B,$A$7,'BA History'!T:T, 1)</f>
        <v>1</v>
      </c>
      <c r="AC7" s="2">
        <f>COUNTIFS('BA History'!$B:$B,$A$7,'BA History'!U:U, 1)</f>
        <v>1</v>
      </c>
      <c r="AD7" s="2">
        <f>COUNTIFS('BA History'!$B:$B,$A$7,'BA History'!V:V, 1)</f>
        <v>5</v>
      </c>
      <c r="AE7" s="2">
        <f>COUNTIFS('BA History'!$B:$B,$A$7,'BA History'!W:W, 1)</f>
        <v>1</v>
      </c>
      <c r="AF7" s="2">
        <f>COUNTIFS('BA History'!$B:$B,$A$7,'BA History'!X:X, 1)</f>
        <v>1</v>
      </c>
      <c r="AG7" s="2">
        <f>COUNTIFS('BA History'!$B:$B,$A$7,'BA History'!Y:Y, 1)</f>
        <v>5</v>
      </c>
      <c r="AH7" s="2">
        <f>COUNTIFS('BA History'!$B:$B,$A$7,'BA History'!Z:Z, 1)</f>
        <v>10</v>
      </c>
      <c r="AI7" s="2">
        <f>COUNTIFS('BA History'!$B:$B,$A7,'BA History'!AA:AA, 1)</f>
        <v>0</v>
      </c>
      <c r="AJ7" s="2">
        <f>COUNTIFS('BA History'!$B:$B,$A$7,'BA History'!AB:AB, 1)</f>
        <v>2</v>
      </c>
      <c r="AK7" s="2">
        <f>COUNTIFS('BA History'!$B:$B,$A$7,'BA History'!AC:AC, 1)</f>
        <v>9</v>
      </c>
      <c r="AL7" s="2">
        <f>COUNTIFS('BA History'!$B:$B,$A$7,'BA History'!AD:AD, 1)</f>
        <v>6</v>
      </c>
      <c r="AM7" s="2">
        <f>COUNTIFS('BA History'!$B:$B,$A$7,'BA History'!AE:AE, 1)</f>
        <v>8</v>
      </c>
      <c r="AN7" s="2">
        <f>COUNTIFS('BA History'!$B:$B,$A$7,'BA History'!AF:AF, 1)</f>
        <v>1</v>
      </c>
      <c r="AO7" s="2">
        <f>COUNTIFS('BA History'!$B:$B,$A$7,'BA History'!AG:AG, 1)</f>
        <v>3</v>
      </c>
    </row>
    <row r="8" spans="1:41" x14ac:dyDescent="0.25">
      <c r="A8" s="2" t="s">
        <v>19</v>
      </c>
      <c r="B8" s="2" t="s">
        <v>79</v>
      </c>
      <c r="C8" s="2"/>
      <c r="D8" s="2"/>
      <c r="E8" s="2"/>
      <c r="F8" s="34">
        <f>SUMIFS('BA History'!C:C,'BA History'!B:B,A8)</f>
        <v>103</v>
      </c>
      <c r="G8" s="66">
        <f>AVERAGEIFS('BA History'!C:C,'BA History'!B:B,A8)</f>
        <v>7.9230769230769234</v>
      </c>
      <c r="H8" s="66">
        <f t="array" ref="H8">MEDIAN(IF('BA History'!B:B=A8, 'BA History'!C:C))</f>
        <v>8</v>
      </c>
      <c r="I8" s="35">
        <f t="array" ref="I8">MAX(IF('BA History'!B:B=A8, 'BA History'!C:C))</f>
        <v>11</v>
      </c>
      <c r="J8" s="34">
        <f>COUNTIFS('BA History'!B:B,A8,'BA History'!D:D, 1)</f>
        <v>9</v>
      </c>
      <c r="K8" s="2">
        <f>COUNTIFS('BA History'!B:B,A8,'BA History'!D:D, 0)</f>
        <v>4</v>
      </c>
      <c r="L8" s="75">
        <f>LOOKUP(2, 1/('BA History'!$B:$B=A8), 'BA History'!$AK:$AK)</f>
        <v>0.69230769230769229</v>
      </c>
      <c r="M8" s="34">
        <f>SUMIFS('BA History'!F:F,'BA History'!B:B,A8)</f>
        <v>31</v>
      </c>
      <c r="N8" s="2">
        <f>SUMIFS('BA History'!E:E,'BA History'!B:B,A8)-M8</f>
        <v>21</v>
      </c>
      <c r="O8" s="75">
        <f>LOOKUP(2, 1/('BA History'!$B:$B=A8), 'BA History'!$AI:$AI)</f>
        <v>0.60615384615384615</v>
      </c>
      <c r="P8" s="34">
        <f>SUMIFS('BA History'!H:H,'BA History'!B:B,A8)</f>
        <v>120</v>
      </c>
      <c r="Q8" s="2">
        <f>SUMIFS('BA History'!G:G,'BA History'!B:B,A8)-P8</f>
        <v>92</v>
      </c>
      <c r="R8" s="89">
        <f>LOOKUP(2, 1/('BA History'!$B:$B=A8), 'BA History'!$AJ:$AJ)</f>
        <v>0.57846153846153836</v>
      </c>
      <c r="S8" s="2">
        <f>COUNTIFS('BA History'!$B:$B,$A$8,'BA History'!K:K, 1)</f>
        <v>1</v>
      </c>
      <c r="T8" s="2">
        <f>COUNTIFS('BA History'!$B:$B,$A$8,'BA History'!L:L, 1)</f>
        <v>1</v>
      </c>
      <c r="U8" s="2">
        <f>COUNTIFS('BA History'!$B:$B,$A$8,'BA History'!M:M, 1)</f>
        <v>2</v>
      </c>
      <c r="V8" s="2">
        <f>COUNTIFS('BA History'!$B:$B,$A$8,'BA History'!N:N, 1)</f>
        <v>2</v>
      </c>
      <c r="W8" s="2">
        <f>COUNTIFS('BA History'!$B:$B,$A$8,'BA History'!O:O, 1)</f>
        <v>0</v>
      </c>
      <c r="X8" s="2">
        <f>COUNTIFS('BA History'!$B:$B,$A$8,'BA History'!P:P, 1)</f>
        <v>0</v>
      </c>
      <c r="Y8" s="2">
        <f>COUNTIFS('BA History'!$B:$B,$A$8,'BA History'!Q:Q, 1)</f>
        <v>2</v>
      </c>
      <c r="Z8" s="2">
        <f>COUNTIFS('BA History'!$B:$B,$A$8,'BA History'!R:R, 1)</f>
        <v>1</v>
      </c>
      <c r="AA8" s="2">
        <f>COUNTIFS('BA History'!$B:$B,$A$8,'BA History'!S:S, 1)</f>
        <v>0</v>
      </c>
      <c r="AB8" s="2">
        <f>COUNTIFS('BA History'!$B:$B,$A$8,'BA History'!T:T, 1)</f>
        <v>1</v>
      </c>
      <c r="AC8" s="2">
        <f>COUNTIFS('BA History'!$B:$B,$A$8,'BA History'!U:U, 1)</f>
        <v>2</v>
      </c>
      <c r="AD8" s="2">
        <f>COUNTIFS('BA History'!$B:$B,$A$8,'BA History'!V:V, 1)</f>
        <v>1</v>
      </c>
      <c r="AE8" s="2">
        <f>COUNTIFS('BA History'!$B:$B,$A$8,'BA History'!W:W, 1)</f>
        <v>0</v>
      </c>
      <c r="AF8" s="2">
        <f>COUNTIFS('BA History'!$B:$B,$A$8,'BA History'!X:X, 1)</f>
        <v>1</v>
      </c>
      <c r="AG8" s="2">
        <f>COUNTIFS('BA History'!$B:$B,$A$8,'BA History'!Y:Y, 1)</f>
        <v>2</v>
      </c>
      <c r="AH8" s="2">
        <f>COUNTIFS('BA History'!$B:$B,$A$8,'BA History'!Z:Z, 1)</f>
        <v>3</v>
      </c>
      <c r="AI8" s="2">
        <f>COUNTIFS('BA History'!$B:$B,$A8,'BA History'!AA:AA, 1)</f>
        <v>0</v>
      </c>
      <c r="AJ8" s="2">
        <f>COUNTIFS('BA History'!$B:$B,$A$8,'BA History'!AB:AB, 1)</f>
        <v>0</v>
      </c>
      <c r="AK8" s="2">
        <f>COUNTIFS('BA History'!$B:$B,$A$8,'BA History'!AC:AC, 1)</f>
        <v>5</v>
      </c>
      <c r="AL8" s="2">
        <f>COUNTIFS('BA History'!$B:$B,$A$8,'BA History'!AD:AD, 1)</f>
        <v>3</v>
      </c>
      <c r="AM8" s="2">
        <f>COUNTIFS('BA History'!$B:$B,$A$8,'BA History'!AE:AE, 1)</f>
        <v>3</v>
      </c>
      <c r="AN8" s="2">
        <f>COUNTIFS('BA History'!$B:$B,$A$8,'BA History'!AF:AF, 1)</f>
        <v>0</v>
      </c>
      <c r="AO8" s="2">
        <f>COUNTIFS('BA History'!$B:$B,$A$8,'BA History'!AG:AG, 1)</f>
        <v>1</v>
      </c>
    </row>
    <row r="9" spans="1:41" x14ac:dyDescent="0.25">
      <c r="A9" s="2" t="s">
        <v>42</v>
      </c>
      <c r="B9" s="2" t="s">
        <v>79</v>
      </c>
      <c r="C9" s="2"/>
      <c r="D9" s="2"/>
      <c r="E9" s="2"/>
      <c r="F9" s="34">
        <f>SUMIFS('BA History'!C:C,'BA History'!B:B,A9)</f>
        <v>1031</v>
      </c>
      <c r="G9" s="66">
        <f>AVERAGEIFS('BA History'!C:C,'BA History'!B:B,A9)</f>
        <v>18.087719298245613</v>
      </c>
      <c r="H9" s="66">
        <f t="array" ref="H9">MEDIAN(IF('BA History'!B:B=A9, 'BA History'!C:C))</f>
        <v>17</v>
      </c>
      <c r="I9" s="35">
        <f t="array" ref="I9">MAX(IF('BA History'!B:B=A9, 'BA History'!C:C))</f>
        <v>40</v>
      </c>
      <c r="J9" s="34">
        <f>COUNTIFS('BA History'!B:B,A9,'BA History'!D:D, 1)</f>
        <v>27</v>
      </c>
      <c r="K9" s="2">
        <f>COUNTIFS('BA History'!B:B,A9,'BA History'!D:D, 0)</f>
        <v>30</v>
      </c>
      <c r="L9" s="75">
        <f>LOOKUP(2, 1/('BA History'!$B:$B=A9), 'BA History'!$AK:$AK)</f>
        <v>0.47368421052631576</v>
      </c>
      <c r="M9" s="34">
        <f>SUMIFS('BA History'!F:F,'BA History'!B:B,A9)</f>
        <v>110</v>
      </c>
      <c r="N9" s="2">
        <f>SUMIFS('BA History'!E:E,'BA History'!B:B,A9)-M9</f>
        <v>123</v>
      </c>
      <c r="O9" s="75">
        <f>LOOKUP(2, 1/('BA History'!$B:$B=A9), 'BA History'!$AI:$AI)</f>
        <v>0.46666666666666667</v>
      </c>
      <c r="P9" s="34">
        <f>SUMIFS('BA History'!H:H,'BA History'!B:B,A9)</f>
        <v>459</v>
      </c>
      <c r="Q9" s="2">
        <f>SUMIFS('BA History'!G:G,'BA History'!B:B,A9)-P9</f>
        <v>508</v>
      </c>
      <c r="R9" s="89">
        <f>LOOKUP(2, 1/('BA History'!$B:$B=A9), 'BA History'!$AJ:$AJ)</f>
        <v>0.46631578947368407</v>
      </c>
      <c r="S9" s="2">
        <f>COUNTIFS('BA History'!$B:$B,$A$9,'BA History'!K:K, 1)</f>
        <v>8</v>
      </c>
      <c r="T9" s="2">
        <f>COUNTIFS('BA History'!$B:$B,$A$9,'BA History'!L:L, 1)</f>
        <v>8</v>
      </c>
      <c r="U9" s="2">
        <f>COUNTIFS('BA History'!$B:$B,$A$9,'BA History'!M:M, 1)</f>
        <v>6</v>
      </c>
      <c r="V9" s="2">
        <f>COUNTIFS('BA History'!$B:$B,$A$9,'BA History'!N:N, 1)</f>
        <v>9</v>
      </c>
      <c r="W9" s="2">
        <f>COUNTIFS('BA History'!$B:$B,$A$9,'BA History'!O:O, 1)</f>
        <v>1</v>
      </c>
      <c r="X9" s="2">
        <f>COUNTIFS('BA History'!$B:$B,$A$9,'BA History'!P:P, 1)</f>
        <v>1</v>
      </c>
      <c r="Y9" s="2">
        <f>COUNTIFS('BA History'!$B:$B,$A$9,'BA History'!Q:Q, 1)</f>
        <v>2</v>
      </c>
      <c r="Z9" s="2">
        <f>COUNTIFS('BA History'!$B:$B,$A$9,'BA History'!R:R, 1)</f>
        <v>1</v>
      </c>
      <c r="AA9" s="2">
        <f>COUNTIFS('BA History'!$B:$B,$A$9,'BA History'!S:S, 1)</f>
        <v>4</v>
      </c>
      <c r="AB9" s="2">
        <f>COUNTIFS('BA History'!$B:$B,$A$9,'BA History'!T:T, 1)</f>
        <v>0</v>
      </c>
      <c r="AC9" s="2">
        <f>COUNTIFS('BA History'!$B:$B,$A$9,'BA History'!U:U, 1)</f>
        <v>3</v>
      </c>
      <c r="AD9" s="2">
        <f>COUNTIFS('BA History'!$B:$B,$A$9,'BA History'!V:V, 1)</f>
        <v>5</v>
      </c>
      <c r="AE9" s="2">
        <f>COUNTIFS('BA History'!$B:$B,$A$9,'BA History'!W:W, 1)</f>
        <v>2</v>
      </c>
      <c r="AF9" s="2">
        <f>COUNTIFS('BA History'!$B:$B,$A$9,'BA History'!X:X, 1)</f>
        <v>0</v>
      </c>
      <c r="AG9" s="2">
        <f>COUNTIFS('BA History'!$B:$B,$A$9,'BA History'!Y:Y, 1)</f>
        <v>9</v>
      </c>
      <c r="AH9" s="2">
        <f>COUNTIFS('BA History'!$B:$B,$A$9,'BA History'!Z:Z, 1)</f>
        <v>12</v>
      </c>
      <c r="AI9" s="2">
        <f>COUNTIFS('BA History'!$B:$B,$A9,'BA History'!AA:AA, 1)</f>
        <v>0</v>
      </c>
      <c r="AJ9" s="2">
        <f>COUNTIFS('BA History'!$B:$B,$A$9,'BA History'!AB:AB, 1)</f>
        <v>4</v>
      </c>
      <c r="AK9" s="2">
        <f>COUNTIFS('BA History'!$B:$B,$A$9,'BA History'!AC:AC, 1)</f>
        <v>14</v>
      </c>
      <c r="AL9" s="2">
        <f>COUNTIFS('BA History'!$B:$B,$A$9,'BA History'!AD:AD, 1)</f>
        <v>6</v>
      </c>
      <c r="AM9" s="2">
        <f>COUNTIFS('BA History'!$B:$B,$A$9,'BA History'!AE:AE, 1)</f>
        <v>10</v>
      </c>
      <c r="AN9" s="2">
        <f>COUNTIFS('BA History'!$B:$B,$A$9,'BA History'!AF:AF, 1)</f>
        <v>0</v>
      </c>
      <c r="AO9" s="2">
        <f>COUNTIFS('BA History'!$B:$B,$A$9,'BA History'!AG:AG, 1)</f>
        <v>5</v>
      </c>
    </row>
    <row r="10" spans="1:41" x14ac:dyDescent="0.25">
      <c r="A10" s="2" t="s">
        <v>179</v>
      </c>
      <c r="B10" s="2" t="s">
        <v>79</v>
      </c>
      <c r="C10" s="2"/>
      <c r="D10" s="2"/>
      <c r="E10" s="2"/>
      <c r="F10" s="34">
        <f>SUMIFS('BA History'!C:C,'BA History'!B:B,A10)</f>
        <v>227</v>
      </c>
      <c r="G10" s="66">
        <f>AVERAGEIFS('BA History'!C:C,'BA History'!B:B,A10)</f>
        <v>18.916666666666668</v>
      </c>
      <c r="H10" s="66">
        <f t="array" ref="H10">MEDIAN(IF('BA History'!B:B=A10, 'BA History'!C:C))</f>
        <v>19.5</v>
      </c>
      <c r="I10" s="35">
        <f t="array" ref="I10">MAX(IF('BA History'!B:B=A10, 'BA History'!C:C))</f>
        <v>30</v>
      </c>
      <c r="J10" s="34">
        <f>COUNTIFS('BA History'!B:B,A10,'BA History'!D:D, 1)</f>
        <v>5</v>
      </c>
      <c r="K10" s="2">
        <f>COUNTIFS('BA History'!B:B,A10,'BA History'!D:D, 0)</f>
        <v>7</v>
      </c>
      <c r="L10" s="75">
        <f>LOOKUP(2, 1/('BA History'!$B:$B=A10), 'BA History'!$AK:$AK)</f>
        <v>0.41666666666666669</v>
      </c>
      <c r="M10" s="34">
        <f>SUMIFS('BA History'!F:F,'BA History'!B:B,A10)</f>
        <v>25</v>
      </c>
      <c r="N10" s="2">
        <f>SUMIFS('BA History'!E:E,'BA History'!B:B,A10)-M10</f>
        <v>26</v>
      </c>
      <c r="O10" s="75">
        <f>LOOKUP(2, 1/('BA History'!$B:$B=A10), 'BA History'!$AI:$AI)</f>
        <v>0.49583333333333329</v>
      </c>
      <c r="P10" s="34">
        <f>SUMIFS('BA History'!H:H,'BA History'!B:B,A10)</f>
        <v>104</v>
      </c>
      <c r="Q10" s="2">
        <f>SUMIFS('BA History'!G:G,'BA History'!B:B,A10)-P10</f>
        <v>108</v>
      </c>
      <c r="R10" s="89">
        <f>LOOKUP(2, 1/('BA History'!$B:$B=A10), 'BA History'!$AJ:$AJ)</f>
        <v>0.49916666666666659</v>
      </c>
      <c r="S10" s="2">
        <f>COUNTIFS('BA History'!$B:$B,$A$10,'BA History'!K:K, 1)</f>
        <v>2</v>
      </c>
      <c r="T10" s="2">
        <f>COUNTIFS('BA History'!$B:$B,$A$10,'BA History'!L:L, 1)</f>
        <v>1</v>
      </c>
      <c r="U10" s="2">
        <f>COUNTIFS('BA History'!$B:$B,$A$10,'BA History'!M:M, 1)</f>
        <v>1</v>
      </c>
      <c r="V10" s="2">
        <f>COUNTIFS('BA History'!$B:$B,$A$10,'BA History'!N:N, 1)</f>
        <v>4</v>
      </c>
      <c r="W10" s="2">
        <f>COUNTIFS('BA History'!$B:$B,$A$10,'BA History'!O:O, 1)</f>
        <v>1</v>
      </c>
      <c r="X10" s="2">
        <f>COUNTIFS('BA History'!$B:$B,$A$10,'BA History'!P:P, 1)</f>
        <v>0</v>
      </c>
      <c r="Y10" s="2">
        <f>COUNTIFS('BA History'!$B:$B,$A$10,'BA History'!Q:Q, 1)</f>
        <v>1</v>
      </c>
      <c r="Z10" s="2">
        <f>COUNTIFS('BA History'!$B:$B,$A$10,'BA History'!R:R, 1)</f>
        <v>0</v>
      </c>
      <c r="AA10" s="2">
        <f>COUNTIFS('BA History'!$B:$B,$A$10,'BA History'!S:S, 1)</f>
        <v>0</v>
      </c>
      <c r="AB10" s="2">
        <f>COUNTIFS('BA History'!$B:$B,$A$10,'BA History'!T:T, 1)</f>
        <v>0</v>
      </c>
      <c r="AC10" s="2">
        <f>COUNTIFS('BA History'!$B:$B,$A$10,'BA History'!U:U, 1)</f>
        <v>0</v>
      </c>
      <c r="AD10" s="2">
        <f>COUNTIFS('BA History'!$B:$B,$A$10,'BA History'!V:V, 1)</f>
        <v>1</v>
      </c>
      <c r="AE10" s="2">
        <f>COUNTIFS('BA History'!$B:$B,$A$10,'BA History'!W:W, 1)</f>
        <v>1</v>
      </c>
      <c r="AF10" s="2">
        <f>COUNTIFS('BA History'!$B:$B,$A$10,'BA History'!X:X, 1)</f>
        <v>0</v>
      </c>
      <c r="AG10" s="2">
        <f>COUNTIFS('BA History'!$B:$B,$A$10,'BA History'!Y:Y, 1)</f>
        <v>1</v>
      </c>
      <c r="AH10" s="2">
        <f>COUNTIFS('BA History'!$B:$B,$A$10,'BA History'!Z:Z, 1)</f>
        <v>1</v>
      </c>
      <c r="AI10" s="2">
        <f>COUNTIFS('BA History'!$B:$B,$A10,'BA History'!AA:AA, 1)</f>
        <v>0</v>
      </c>
      <c r="AJ10" s="2">
        <f>COUNTIFS('BA History'!$B:$B,$A$10,'BA History'!AB:AB, 1)</f>
        <v>0</v>
      </c>
      <c r="AK10" s="2">
        <f>COUNTIFS('BA History'!$B:$B,$A$10,'BA History'!AC:AC, 1)</f>
        <v>4</v>
      </c>
      <c r="AL10" s="2">
        <f>COUNTIFS('BA History'!$B:$B,$A$10,'BA History'!AD:AD, 1)</f>
        <v>0</v>
      </c>
      <c r="AM10" s="2">
        <f>COUNTIFS('BA History'!$B:$B,$A$10,'BA History'!AE:AE, 1)</f>
        <v>3</v>
      </c>
      <c r="AN10" s="2">
        <f>COUNTIFS('BA History'!$B:$B,$A$10,'BA History'!AF:AF, 1)</f>
        <v>1</v>
      </c>
      <c r="AO10" s="2">
        <f>COUNTIFS('BA History'!$B:$B,$A$10,'BA History'!AG:AG, 1)</f>
        <v>3</v>
      </c>
    </row>
    <row r="11" spans="1:41" x14ac:dyDescent="0.25">
      <c r="A11" s="2" t="s">
        <v>214</v>
      </c>
      <c r="B11" s="2" t="s">
        <v>79</v>
      </c>
      <c r="C11" s="2"/>
      <c r="D11" s="2"/>
      <c r="E11" s="2"/>
      <c r="F11" s="34">
        <f>SUMIFS('BA History'!C:C,'BA History'!B:B,A11)</f>
        <v>20</v>
      </c>
      <c r="G11" s="66">
        <f>AVERAGEIFS('BA History'!C:C,'BA History'!B:B,A11)</f>
        <v>3.3333333333333335</v>
      </c>
      <c r="H11" s="66">
        <f t="array" ref="H11">MEDIAN(IF('BA History'!B:B=A11, 'BA History'!C:C))</f>
        <v>3</v>
      </c>
      <c r="I11" s="35">
        <f t="array" ref="I11">MAX(IF('BA History'!B:B=A11, 'BA History'!C:C))</f>
        <v>6</v>
      </c>
      <c r="J11" s="34">
        <f>COUNTIFS('BA History'!B:B,A11,'BA History'!D:D, 1)</f>
        <v>5</v>
      </c>
      <c r="K11" s="2">
        <f>COUNTIFS('BA History'!B:B,A11,'BA History'!D:D, 0)</f>
        <v>1</v>
      </c>
      <c r="L11" s="75">
        <f>LOOKUP(2, 1/('BA History'!$B:$B=A11), 'BA History'!$AK:$AK)</f>
        <v>0.83333333333333337</v>
      </c>
      <c r="M11" s="34">
        <f>SUMIFS('BA History'!F:F,'BA History'!B:B,A11)</f>
        <v>16</v>
      </c>
      <c r="N11" s="2">
        <f>SUMIFS('BA History'!E:E,'BA History'!B:B,A11)-M11</f>
        <v>8</v>
      </c>
      <c r="O11" s="75">
        <f>LOOKUP(2, 1/('BA History'!$B:$B=A11), 'BA History'!$AI:$AI)</f>
        <v>0.68333333333333324</v>
      </c>
      <c r="P11" s="34">
        <f>SUMIFS('BA History'!H:H,'BA History'!B:B,A11)</f>
        <v>58</v>
      </c>
      <c r="Q11" s="2">
        <f>SUMIFS('BA History'!G:G,'BA History'!B:B,A11)-P11</f>
        <v>45</v>
      </c>
      <c r="R11" s="89">
        <f>LOOKUP(2, 1/('BA History'!$B:$B=A11), 'BA History'!$AJ:$AJ)</f>
        <v>0.57499999999999996</v>
      </c>
      <c r="S11" s="2">
        <f>COUNTIFS('BA History'!$B:$B,$A$11,'BA History'!K:K, 1)</f>
        <v>1</v>
      </c>
      <c r="T11" s="2">
        <f>COUNTIFS('BA History'!$B:$B,$A$11,'BA History'!L:L, 1)</f>
        <v>1</v>
      </c>
      <c r="U11" s="2">
        <f>COUNTIFS('BA History'!$B:$B,$A$11,'BA History'!M:M, 1)</f>
        <v>2</v>
      </c>
      <c r="V11" s="2">
        <f>COUNTIFS('BA History'!$B:$B,$A$11,'BA History'!N:N, 1)</f>
        <v>2</v>
      </c>
      <c r="W11" s="2">
        <f>COUNTIFS('BA History'!$B:$B,$A$11,'BA History'!O:O, 1)</f>
        <v>0</v>
      </c>
      <c r="X11" s="2">
        <f>COUNTIFS('BA History'!$B:$B,$A$11,'BA History'!P:P, 1)</f>
        <v>0</v>
      </c>
      <c r="Y11" s="2">
        <f>COUNTIFS('BA History'!$B:$B,$A$11,'BA History'!Q:Q, 1)</f>
        <v>1</v>
      </c>
      <c r="Z11" s="2">
        <f>COUNTIFS('BA History'!$B:$B,$A$11,'BA History'!R:R, 1)</f>
        <v>0</v>
      </c>
      <c r="AA11" s="2">
        <f>COUNTIFS('BA History'!$B:$B,$A$11,'BA History'!S:S, 1)</f>
        <v>0</v>
      </c>
      <c r="AB11" s="2">
        <f>COUNTIFS('BA History'!$B:$B,$A$11,'BA History'!T:T, 1)</f>
        <v>0</v>
      </c>
      <c r="AC11" s="2">
        <f>COUNTIFS('BA History'!$B:$B,$A$11,'BA History'!U:U, 1)</f>
        <v>0</v>
      </c>
      <c r="AD11" s="2">
        <f>COUNTIFS('BA History'!$B:$B,$A$11,'BA History'!V:V, 1)</f>
        <v>0</v>
      </c>
      <c r="AE11" s="2">
        <f>COUNTIFS('BA History'!$B:$B,$A$11,'BA History'!W:W, 1)</f>
        <v>1</v>
      </c>
      <c r="AF11" s="2">
        <f>COUNTIFS('BA History'!$B:$B,$A$11,'BA History'!X:X, 1)</f>
        <v>0</v>
      </c>
      <c r="AG11" s="2">
        <f>COUNTIFS('BA History'!$B:$B,$A$11,'BA History'!Y:Y, 1)</f>
        <v>2</v>
      </c>
      <c r="AH11" s="2">
        <f>COUNTIFS('BA History'!$B:$B,$A$11,'BA History'!Z:Z, 1)</f>
        <v>1</v>
      </c>
      <c r="AI11" s="2">
        <f>COUNTIFS('BA History'!$B:$B,$A$11,'BA History'!AA:AA, 1)</f>
        <v>0</v>
      </c>
      <c r="AJ11" s="2">
        <f>COUNTIFS('BA History'!$B:$B,$A$11,'BA History'!AB:AB, 1)</f>
        <v>1</v>
      </c>
      <c r="AK11" s="2">
        <f>COUNTIFS('BA History'!$B:$B,$A$11,'BA History'!AC:AC, 1)</f>
        <v>1</v>
      </c>
      <c r="AL11" s="2">
        <f>COUNTIFS('BA History'!$B:$B,$A$11,'BA History'!AD:AD, 1)</f>
        <v>0</v>
      </c>
      <c r="AM11" s="2">
        <f>COUNTIFS('BA History'!$B:$B,$A$11,'BA History'!AE:AE, 1)</f>
        <v>2</v>
      </c>
      <c r="AN11" s="2">
        <f>COUNTIFS('BA History'!$B:$B,$A$11,'BA History'!AF:AF, 1)</f>
        <v>0</v>
      </c>
      <c r="AO11" s="2">
        <f>COUNTIFS('BA History'!$B:$B,$A$11,'BA History'!AG:AG, 1)</f>
        <v>1</v>
      </c>
    </row>
    <row r="12" spans="1:41" x14ac:dyDescent="0.25">
      <c r="A12" s="2" t="s">
        <v>25</v>
      </c>
      <c r="B12" s="2" t="s">
        <v>79</v>
      </c>
      <c r="C12" s="2"/>
      <c r="D12" s="2"/>
      <c r="E12" s="2"/>
      <c r="F12" s="34">
        <f>SUMIFS('BA History'!C:C,'BA History'!B:B,A12)</f>
        <v>87</v>
      </c>
      <c r="G12" s="66">
        <f>AVERAGEIFS('BA History'!C:C,'BA History'!B:B,A12)</f>
        <v>12.428571428571429</v>
      </c>
      <c r="H12" s="66">
        <f t="array" ref="H12">MEDIAN(IF('BA History'!B:B=A12, 'BA History'!C:C))</f>
        <v>10</v>
      </c>
      <c r="I12" s="35">
        <f t="array" ref="I12">MAX(IF('BA History'!B:B=A12, 'BA History'!C:C))</f>
        <v>29</v>
      </c>
      <c r="J12" s="34">
        <f>COUNTIFS('BA History'!B:B,A12,'BA History'!D:D, 1)</f>
        <v>4</v>
      </c>
      <c r="K12" s="2">
        <f>COUNTIFS('BA History'!B:B,A12,'BA History'!D:D, 0)</f>
        <v>3</v>
      </c>
      <c r="L12" s="75">
        <f>LOOKUP(2, 1/('BA History'!$B:$B=A12), 'BA History'!$AK:$AK)</f>
        <v>0.5714285714285714</v>
      </c>
      <c r="M12" s="34">
        <f>SUMIFS('BA History'!F:F,'BA History'!B:B,A12)</f>
        <v>16</v>
      </c>
      <c r="N12" s="2">
        <f>SUMIFS('BA History'!E:E,'BA History'!B:B,A12)-M12</f>
        <v>11</v>
      </c>
      <c r="O12" s="75">
        <f>LOOKUP(2, 1/('BA History'!$B:$B=A12), 'BA History'!$AI:$AI)</f>
        <v>0.62857142857142867</v>
      </c>
      <c r="P12" s="34">
        <f>SUMIFS('BA History'!H:H,'BA History'!B:B,A12)</f>
        <v>63</v>
      </c>
      <c r="Q12" s="2">
        <f>SUMIFS('BA History'!G:G,'BA History'!B:B,A12)-P12</f>
        <v>46</v>
      </c>
      <c r="R12" s="89">
        <f>LOOKUP(2, 1/('BA History'!$B:$B=A12), 'BA History'!$AJ:$AJ)</f>
        <v>0.61571428571428577</v>
      </c>
      <c r="S12" s="2">
        <f>COUNTIFS('BA History'!$B:$B,$A$12,'BA History'!K:K, 1)</f>
        <v>2</v>
      </c>
      <c r="T12" s="2">
        <f>COUNTIFS('BA History'!$B:$B,$A$12,'BA History'!L:L, 1)</f>
        <v>0</v>
      </c>
      <c r="U12" s="2">
        <f>COUNTIFS('BA History'!$B:$B,$A$12,'BA History'!M:M, 1)</f>
        <v>1</v>
      </c>
      <c r="V12" s="2">
        <f>COUNTIFS('BA History'!$B:$B,$A$12,'BA History'!N:N, 1)</f>
        <v>1</v>
      </c>
      <c r="W12" s="2">
        <f>COUNTIFS('BA History'!$B:$B,$A$12,'BA History'!O:O, 1)</f>
        <v>1</v>
      </c>
      <c r="X12" s="2">
        <f>COUNTIFS('BA History'!$B:$B,$A$12,'BA History'!P:P, 1)</f>
        <v>1</v>
      </c>
      <c r="Y12" s="2">
        <f>COUNTIFS('BA History'!$B:$B,$A$12,'BA History'!Q:Q, 1)</f>
        <v>2</v>
      </c>
      <c r="Z12" s="2">
        <f>COUNTIFS('BA History'!$B:$B,$A$12,'BA History'!R:R, 1)</f>
        <v>0</v>
      </c>
      <c r="AA12" s="2">
        <f>COUNTIFS('BA History'!$B:$B,$A$12,'BA History'!S:S, 1)</f>
        <v>0</v>
      </c>
      <c r="AB12" s="2">
        <f>COUNTIFS('BA History'!$B:$B,$A$12,'BA History'!T:T, 1)</f>
        <v>0</v>
      </c>
      <c r="AC12" s="2">
        <f>COUNTIFS('BA History'!$B:$B,$A$12,'BA History'!U:U, 1)</f>
        <v>1</v>
      </c>
      <c r="AD12" s="2">
        <f>COUNTIFS('BA History'!$B:$B,$A$12,'BA History'!V:V, 1)</f>
        <v>1</v>
      </c>
      <c r="AE12" s="2">
        <f>COUNTIFS('BA History'!$B:$B,$A$12,'BA History'!W:W, 1)</f>
        <v>0</v>
      </c>
      <c r="AF12" s="2">
        <f>COUNTIFS('BA History'!$B:$B,$A$12,'BA History'!X:X, 1)</f>
        <v>0</v>
      </c>
      <c r="AG12" s="2">
        <f>COUNTIFS('BA History'!$B:$B,$A$12,'BA History'!Y:Y, 1)</f>
        <v>2</v>
      </c>
      <c r="AH12" s="2">
        <f>COUNTIFS('BA History'!$B:$B,$A$12,'BA History'!Z:Z, 1)</f>
        <v>2</v>
      </c>
      <c r="AI12" s="2">
        <f>COUNTIFS('BA History'!$B:$B,$A12,'BA History'!AA:AA, 1)</f>
        <v>0</v>
      </c>
      <c r="AJ12" s="2">
        <f>COUNTIFS('BA History'!$B:$B,$A$12,'BA History'!AB:AB, 1)</f>
        <v>0</v>
      </c>
      <c r="AK12" s="2">
        <f>COUNTIFS('BA History'!$B:$B,$A$12,'BA History'!AC:AC, 1)</f>
        <v>1</v>
      </c>
      <c r="AL12" s="2">
        <f>COUNTIFS('BA History'!$B:$B,$A$12,'BA History'!AD:AD, 1)</f>
        <v>0</v>
      </c>
      <c r="AM12" s="2">
        <f>COUNTIFS('BA History'!$B:$B,$A$12,'BA History'!AE:AE, 1)</f>
        <v>0</v>
      </c>
      <c r="AN12" s="2">
        <f>COUNTIFS('BA History'!$B:$B,$A$12,'BA History'!AF:AF, 1)</f>
        <v>0</v>
      </c>
      <c r="AO12" s="2">
        <f>COUNTIFS('BA History'!$B:$B,$A$12,'BA History'!AG:AG, 1)</f>
        <v>1</v>
      </c>
    </row>
    <row r="13" spans="1:41" x14ac:dyDescent="0.25">
      <c r="A13" s="2" t="s">
        <v>115</v>
      </c>
      <c r="B13" s="2" t="s">
        <v>79</v>
      </c>
      <c r="C13" s="2"/>
      <c r="D13" s="2"/>
      <c r="E13" s="2"/>
      <c r="F13" s="34">
        <f>SUMIFS('BA History'!C:C,'BA History'!B:B,A13)</f>
        <v>245</v>
      </c>
      <c r="G13" s="66">
        <f>AVERAGEIFS('BA History'!C:C,'BA History'!B:B,A13)</f>
        <v>13.611111111111111</v>
      </c>
      <c r="H13" s="66">
        <f t="array" ref="H13">MEDIAN(IF('BA History'!B:B=A13, 'BA History'!C:C))</f>
        <v>12.5</v>
      </c>
      <c r="I13" s="35">
        <f t="array" ref="I13">MAX(IF('BA History'!B:B=A13, 'BA History'!C:C))</f>
        <v>24</v>
      </c>
      <c r="J13" s="34">
        <f>COUNTIFS('BA History'!B:B,A13,'BA History'!D:D, 1)</f>
        <v>10</v>
      </c>
      <c r="K13" s="2">
        <f>COUNTIFS('BA History'!B:B,A13,'BA History'!D:D, 0)</f>
        <v>8</v>
      </c>
      <c r="L13" s="75">
        <f>LOOKUP(2, 1/('BA History'!$B:$B=A13), 'BA History'!$AK:$AK)</f>
        <v>0.55555555555555558</v>
      </c>
      <c r="M13" s="34">
        <f>SUMIFS('BA History'!F:F,'BA History'!B:B,A13)</f>
        <v>40</v>
      </c>
      <c r="N13" s="2">
        <f>SUMIFS('BA History'!E:E,'BA History'!B:B,A13)-M13</f>
        <v>39</v>
      </c>
      <c r="O13" s="75">
        <f>LOOKUP(2, 1/('BA History'!$B:$B=A13), 'BA History'!$AI:$AI)</f>
        <v>0.50277777777777777</v>
      </c>
      <c r="P13" s="34">
        <f>SUMIFS('BA History'!H:H,'BA History'!B:B,A13)</f>
        <v>163</v>
      </c>
      <c r="Q13" s="2">
        <f>SUMIFS('BA History'!G:G,'BA History'!B:B,A13)-P13</f>
        <v>166</v>
      </c>
      <c r="R13" s="89">
        <f>LOOKUP(2, 1/('BA History'!$B:$B=A13), 'BA History'!$AJ:$AJ)</f>
        <v>0.496111111111111</v>
      </c>
      <c r="S13" s="2">
        <f>COUNTIFS('BA History'!$B:$B,$A$13,'BA History'!K:K, 1)</f>
        <v>3</v>
      </c>
      <c r="T13" s="2">
        <f>COUNTIFS('BA History'!$B:$B,$A$13,'BA History'!L:L, 1)</f>
        <v>3</v>
      </c>
      <c r="U13" s="2">
        <f>COUNTIFS('BA History'!$B:$B,$A$13,'BA History'!M:M, 1)</f>
        <v>5</v>
      </c>
      <c r="V13" s="2">
        <f>COUNTIFS('BA History'!$B:$B,$A$13,'BA History'!N:N, 1)</f>
        <v>2</v>
      </c>
      <c r="W13" s="2">
        <f>COUNTIFS('BA History'!$B:$B,$A$13,'BA History'!O:O, 1)</f>
        <v>2</v>
      </c>
      <c r="X13" s="2">
        <f>COUNTIFS('BA History'!$B:$B,$A$13,'BA History'!P:P, 1)</f>
        <v>0</v>
      </c>
      <c r="Y13" s="2">
        <f>COUNTIFS('BA History'!$B:$B,$A$13,'BA History'!Q:Q, 1)</f>
        <v>1</v>
      </c>
      <c r="Z13" s="2">
        <f>COUNTIFS('BA History'!$B:$B,$A$13,'BA History'!R:R, 1)</f>
        <v>0</v>
      </c>
      <c r="AA13" s="2">
        <f>COUNTIFS('BA History'!$B:$B,$A$13,'BA History'!S:S, 1)</f>
        <v>0</v>
      </c>
      <c r="AB13" s="2">
        <f>COUNTIFS('BA History'!$B:$B,$A$13,'BA History'!T:T, 1)</f>
        <v>0</v>
      </c>
      <c r="AC13" s="2">
        <f>COUNTIFS('BA History'!$B:$B,$A$13,'BA History'!U:U, 1)</f>
        <v>2</v>
      </c>
      <c r="AD13" s="2">
        <f>COUNTIFS('BA History'!$B:$B,$A$13,'BA History'!V:V, 1)</f>
        <v>2</v>
      </c>
      <c r="AE13" s="2">
        <f>COUNTIFS('BA History'!$B:$B,$A$13,'BA History'!W:W, 1)</f>
        <v>2</v>
      </c>
      <c r="AF13" s="2">
        <f>COUNTIFS('BA History'!$B:$B,$A$13,'BA History'!X:X, 1)</f>
        <v>1</v>
      </c>
      <c r="AG13" s="2">
        <f>COUNTIFS('BA History'!$B:$B,$A$13,'BA History'!Y:Y, 1)</f>
        <v>2</v>
      </c>
      <c r="AH13" s="2">
        <f>COUNTIFS('BA History'!$B:$B,$A$13,'BA History'!Z:Z, 1)</f>
        <v>3</v>
      </c>
      <c r="AI13" s="2">
        <f>COUNTIFS('BA History'!$B:$B,$A13,'BA History'!AA:AA, 1)</f>
        <v>0</v>
      </c>
      <c r="AJ13" s="2">
        <f>COUNTIFS('BA History'!$B:$B,$A$13,'BA History'!AB:AB, 1)</f>
        <v>0</v>
      </c>
      <c r="AK13" s="2">
        <f>COUNTIFS('BA History'!$B:$B,$A$13,'BA History'!AC:AC, 1)</f>
        <v>2</v>
      </c>
      <c r="AL13" s="2">
        <f>COUNTIFS('BA History'!$B:$B,$A$13,'BA History'!AD:AD, 1)</f>
        <v>3</v>
      </c>
      <c r="AM13" s="2">
        <f>COUNTIFS('BA History'!$B:$B,$A$13,'BA History'!AE:AE, 1)</f>
        <v>3</v>
      </c>
      <c r="AN13" s="2">
        <f>COUNTIFS('BA History'!$B:$B,$A$13,'BA History'!AF:AF, 1)</f>
        <v>0</v>
      </c>
      <c r="AO13" s="2">
        <f>COUNTIFS('BA History'!$B:$B,$A$13,'BA History'!AG:AG, 1)</f>
        <v>4</v>
      </c>
    </row>
    <row r="14" spans="1:41" x14ac:dyDescent="0.25">
      <c r="A14" s="2" t="s">
        <v>146</v>
      </c>
      <c r="B14" s="2" t="s">
        <v>79</v>
      </c>
      <c r="C14" s="2"/>
      <c r="D14" s="2"/>
      <c r="E14" s="2"/>
      <c r="F14" s="34">
        <f>SUMIFS('BA History'!C:C,'BA History'!B:B,A14)</f>
        <v>177</v>
      </c>
      <c r="G14" s="66">
        <f>AVERAGEIFS('BA History'!C:C,'BA History'!B:B,A14)</f>
        <v>11.8</v>
      </c>
      <c r="H14" s="66">
        <f t="array" ref="H14">MEDIAN(IF('BA History'!B:B=A14, 'BA History'!C:C))</f>
        <v>13</v>
      </c>
      <c r="I14" s="35">
        <f t="array" ref="I14">MAX(IF('BA History'!B:B=A14, 'BA History'!C:C))</f>
        <v>21</v>
      </c>
      <c r="J14" s="34">
        <f>COUNTIFS('BA History'!B:B,A14,'BA History'!D:D, 1)</f>
        <v>5</v>
      </c>
      <c r="K14" s="2">
        <f>COUNTIFS('BA History'!B:B,A14,'BA History'!D:D, 0)</f>
        <v>10</v>
      </c>
      <c r="L14" s="75">
        <f>LOOKUP(2, 1/('BA History'!$B:$B=A14), 'BA History'!$AK:$AK)</f>
        <v>0.33333333333333331</v>
      </c>
      <c r="M14" s="34">
        <f>SUMIFS('BA History'!F:F,'BA History'!B:B,A14)</f>
        <v>22</v>
      </c>
      <c r="N14" s="2">
        <f>SUMIFS('BA History'!E:E,'BA History'!B:B,A14)-M14</f>
        <v>37</v>
      </c>
      <c r="O14" s="75">
        <f>LOOKUP(2, 1/('BA History'!$B:$B=A14), 'BA History'!$AI:$AI)</f>
        <v>0.34666666666666668</v>
      </c>
      <c r="P14" s="34">
        <f>SUMIFS('BA History'!H:H,'BA History'!B:B,A14)</f>
        <v>111</v>
      </c>
      <c r="Q14" s="2">
        <f>SUMIFS('BA History'!G:G,'BA History'!B:B,A14)-P14</f>
        <v>139</v>
      </c>
      <c r="R14" s="89">
        <f>LOOKUP(2, 1/('BA History'!$B:$B=A14), 'BA History'!$AJ:$AJ)</f>
        <v>0.41800000000000004</v>
      </c>
      <c r="S14" s="2">
        <f>COUNTIFS('BA History'!$B:$B,$A$14,'BA History'!K:K, 1)</f>
        <v>4</v>
      </c>
      <c r="T14" s="2">
        <f>COUNTIFS('BA History'!$B:$B,$A$14,'BA History'!L:L, 1)</f>
        <v>1</v>
      </c>
      <c r="U14" s="2">
        <f>COUNTIFS('BA History'!$B:$B,$A$14,'BA History'!M:M, 1)</f>
        <v>3</v>
      </c>
      <c r="V14" s="2">
        <f>COUNTIFS('BA History'!$B:$B,$A$14,'BA History'!N:N, 1)</f>
        <v>1</v>
      </c>
      <c r="W14" s="2">
        <f>COUNTIFS('BA History'!$B:$B,$A$14,'BA History'!O:O, 1)</f>
        <v>2</v>
      </c>
      <c r="X14" s="2">
        <f>COUNTIFS('BA History'!$B:$B,$A$14,'BA History'!P:P, 1)</f>
        <v>0</v>
      </c>
      <c r="Y14" s="2">
        <f>COUNTIFS('BA History'!$B:$B,$A$14,'BA History'!Q:Q, 1)</f>
        <v>0</v>
      </c>
      <c r="Z14" s="2">
        <f>COUNTIFS('BA History'!$B:$B,$A$14,'BA History'!R:R, 1)</f>
        <v>0</v>
      </c>
      <c r="AA14" s="2">
        <f>COUNTIFS('BA History'!$B:$B,$A$14,'BA History'!S:S, 1)</f>
        <v>0</v>
      </c>
      <c r="AB14" s="2">
        <f>COUNTIFS('BA History'!$B:$B,$A$14,'BA History'!T:T, 1)</f>
        <v>0</v>
      </c>
      <c r="AC14" s="2">
        <f>COUNTIFS('BA History'!$B:$B,$A$14,'BA History'!U:U, 1)</f>
        <v>1</v>
      </c>
      <c r="AD14" s="2">
        <f>COUNTIFS('BA History'!$B:$B,$A$14,'BA History'!V:V, 1)</f>
        <v>0</v>
      </c>
      <c r="AE14" s="2">
        <f>COUNTIFS('BA History'!$B:$B,$A$14,'BA History'!W:W, 1)</f>
        <v>0</v>
      </c>
      <c r="AF14" s="2">
        <f>COUNTIFS('BA History'!$B:$B,$A$14,'BA History'!X:X, 1)</f>
        <v>0</v>
      </c>
      <c r="AG14" s="2">
        <f>COUNTIFS('BA History'!$B:$B,$A$14,'BA History'!Y:Y, 1)</f>
        <v>1</v>
      </c>
      <c r="AH14" s="2">
        <f>COUNTIFS('BA History'!$B:$B,$A$14,'BA History'!Z:Z, 1)</f>
        <v>1</v>
      </c>
      <c r="AI14" s="2">
        <f>COUNTIFS('BA History'!$B:$B,$A14,'BA History'!AA:AA, 1)</f>
        <v>0</v>
      </c>
      <c r="AJ14" s="2">
        <f>COUNTIFS('BA History'!$B:$B,$A$14,'BA History'!AB:AB, 1)</f>
        <v>0</v>
      </c>
      <c r="AK14" s="2">
        <f>COUNTIFS('BA History'!$B:$B,$A$14,'BA History'!AC:AC, 1)</f>
        <v>2</v>
      </c>
      <c r="AL14" s="2">
        <f>COUNTIFS('BA History'!$B:$B,$A$14,'BA History'!AD:AD, 1)</f>
        <v>3</v>
      </c>
      <c r="AM14" s="2">
        <f>COUNTIFS('BA History'!$B:$B,$A$14,'BA History'!AE:AE, 1)</f>
        <v>2</v>
      </c>
      <c r="AN14" s="2">
        <f>COUNTIFS('BA History'!$B:$B,$A$14,'BA History'!AF:AF, 1)</f>
        <v>0</v>
      </c>
      <c r="AO14" s="2">
        <f>COUNTIFS('BA History'!$B:$B,$A$14,'BA History'!AG:AG, 1)</f>
        <v>1</v>
      </c>
    </row>
    <row r="15" spans="1:41" x14ac:dyDescent="0.25">
      <c r="A15" s="2" t="s">
        <v>27</v>
      </c>
      <c r="B15" s="2" t="s">
        <v>79</v>
      </c>
      <c r="C15" s="2"/>
      <c r="D15" s="2"/>
      <c r="E15" s="2"/>
      <c r="F15" s="34">
        <f>SUMIFS('BA History'!C:C,'BA History'!B:B,A15)</f>
        <v>133</v>
      </c>
      <c r="G15" s="66">
        <f>AVERAGEIFS('BA History'!C:C,'BA History'!B:B,A15)</f>
        <v>12.090909090909092</v>
      </c>
      <c r="H15" s="66">
        <f t="array" ref="H15">MEDIAN(IF('BA History'!B:B=A15, 'BA History'!C:C))</f>
        <v>10</v>
      </c>
      <c r="I15" s="35">
        <f t="array" ref="I15">MAX(IF('BA History'!B:B=A15, 'BA History'!C:C))</f>
        <v>20</v>
      </c>
      <c r="J15" s="34">
        <f>COUNTIFS('BA History'!B:B,A15,'BA History'!D:D, 1)</f>
        <v>3</v>
      </c>
      <c r="K15" s="2">
        <f>COUNTIFS('BA History'!B:B,A15,'BA History'!D:D, 0)</f>
        <v>8</v>
      </c>
      <c r="L15" s="75">
        <f>LOOKUP(2, 1/('BA History'!$B:$B=A15), 'BA History'!$AK:$AK)</f>
        <v>0.27272727272727271</v>
      </c>
      <c r="M15" s="34">
        <f>SUMIFS('BA History'!F:F,'BA History'!B:B,A15)</f>
        <v>19</v>
      </c>
      <c r="N15" s="2">
        <f>SUMIFS('BA History'!E:E,'BA History'!B:B,A15)-M15</f>
        <v>28</v>
      </c>
      <c r="O15" s="75">
        <f>LOOKUP(2, 1/('BA History'!$B:$B=A15), 'BA History'!$AI:$AI)</f>
        <v>0.4</v>
      </c>
      <c r="P15" s="34">
        <f>SUMIFS('BA History'!H:H,'BA History'!B:B,A15)</f>
        <v>83</v>
      </c>
      <c r="Q15" s="2">
        <f>SUMIFS('BA History'!G:G,'BA History'!B:B,A15)-P15</f>
        <v>113</v>
      </c>
      <c r="R15" s="89">
        <f>LOOKUP(2, 1/('BA History'!$B:$B=A15), 'BA History'!$AJ:$AJ)</f>
        <v>0.40727272727272729</v>
      </c>
      <c r="S15" s="2">
        <f>COUNTIFS('BA History'!$B:$B,$A$15,'BA History'!K:K, 1)</f>
        <v>0</v>
      </c>
      <c r="T15" s="2">
        <f>COUNTIFS('BA History'!$B:$B,$A$15,'BA History'!L:L, 1)</f>
        <v>1</v>
      </c>
      <c r="U15" s="2">
        <f>COUNTIFS('BA History'!$B:$B,$A$15,'BA History'!M:M, 1)</f>
        <v>1</v>
      </c>
      <c r="V15" s="2">
        <f>COUNTIFS('BA History'!$B:$B,$A$15,'BA History'!N:N, 1)</f>
        <v>2</v>
      </c>
      <c r="W15" s="2">
        <f>COUNTIFS('BA History'!$B:$B,$A$15,'BA History'!O:O, 1)</f>
        <v>1</v>
      </c>
      <c r="X15" s="2">
        <f>COUNTIFS('BA History'!$B:$B,$A$15,'BA History'!P:P, 1)</f>
        <v>0</v>
      </c>
      <c r="Y15" s="2">
        <f>COUNTIFS('BA History'!$B:$B,$A$15,'BA History'!Q:Q, 1)</f>
        <v>0</v>
      </c>
      <c r="Z15" s="2">
        <f>COUNTIFS('BA History'!$B:$B,$A$15,'BA History'!R:R, 1)</f>
        <v>0</v>
      </c>
      <c r="AA15" s="2">
        <f>COUNTIFS('BA History'!$B:$B,$A$15,'BA History'!S:S, 1)</f>
        <v>0</v>
      </c>
      <c r="AB15" s="2">
        <f>COUNTIFS('BA History'!$B:$B,$A$15,'BA History'!T:T, 1)</f>
        <v>0</v>
      </c>
      <c r="AC15" s="2">
        <f>COUNTIFS('BA History'!$B:$B,$A$15,'BA History'!U:U, 1)</f>
        <v>1</v>
      </c>
      <c r="AD15" s="2">
        <f>COUNTIFS('BA History'!$B:$B,$A$15,'BA History'!V:V, 1)</f>
        <v>1</v>
      </c>
      <c r="AE15" s="2">
        <f>COUNTIFS('BA History'!$B:$B,$A$15,'BA History'!W:W, 1)</f>
        <v>0</v>
      </c>
      <c r="AF15" s="2">
        <f>COUNTIFS('BA History'!$B:$B,$A$15,'BA History'!X:X, 1)</f>
        <v>0</v>
      </c>
      <c r="AG15" s="2">
        <f>COUNTIFS('BA History'!$B:$B,$A$15,'BA History'!Y:Y, 1)</f>
        <v>1</v>
      </c>
      <c r="AH15" s="2">
        <f>COUNTIFS('BA History'!$B:$B,$A$15,'BA History'!Z:Z, 1)</f>
        <v>3</v>
      </c>
      <c r="AI15" s="2">
        <f>COUNTIFS('BA History'!$B:$B,$A15,'BA History'!AA:AA, 1)</f>
        <v>0</v>
      </c>
      <c r="AJ15" s="2">
        <f>COUNTIFS('BA History'!$B:$B,$A$15,'BA History'!AB:AB, 1)</f>
        <v>1</v>
      </c>
      <c r="AK15" s="2">
        <f>COUNTIFS('BA History'!$B:$B,$A$15,'BA History'!AC:AC, 1)</f>
        <v>4</v>
      </c>
      <c r="AL15" s="2">
        <f>COUNTIFS('BA History'!$B:$B,$A$15,'BA History'!AD:AD, 1)</f>
        <v>2</v>
      </c>
      <c r="AM15" s="2">
        <f>COUNTIFS('BA History'!$B:$B,$A$15,'BA History'!AE:AE, 1)</f>
        <v>0</v>
      </c>
      <c r="AN15" s="2">
        <f>COUNTIFS('BA History'!$B:$B,$A$15,'BA History'!AF:AF, 1)</f>
        <v>0</v>
      </c>
      <c r="AO15" s="2">
        <f>COUNTIFS('BA History'!$B:$B,$A$15,'BA History'!AG:AG, 1)</f>
        <v>1</v>
      </c>
    </row>
    <row r="16" spans="1:41" x14ac:dyDescent="0.25">
      <c r="A16" s="2" t="s">
        <v>74</v>
      </c>
      <c r="B16" s="2" t="s">
        <v>79</v>
      </c>
      <c r="C16" s="2"/>
      <c r="D16" s="2"/>
      <c r="E16" s="2"/>
      <c r="F16" s="34">
        <f>SUMIFS('BA History'!C:C,'BA History'!B:B,A16)</f>
        <v>9</v>
      </c>
      <c r="G16" s="66">
        <f>AVERAGEIFS('BA History'!C:C,'BA History'!B:B,A16)</f>
        <v>9</v>
      </c>
      <c r="H16" s="66">
        <f t="array" ref="H16">MEDIAN(IF('BA History'!B:B=A16, 'BA History'!C:C))</f>
        <v>9</v>
      </c>
      <c r="I16" s="35">
        <f t="array" ref="I16">MAX(IF('BA History'!B:B=A16, 'BA History'!C:C))</f>
        <v>9</v>
      </c>
      <c r="J16" s="34">
        <f>COUNTIFS('BA History'!B:B,A16,'BA History'!D:D, 1)</f>
        <v>0</v>
      </c>
      <c r="K16" s="2">
        <f>COUNTIFS('BA History'!B:B,A16,'BA History'!D:D, 0)</f>
        <v>1</v>
      </c>
      <c r="L16" s="75">
        <f>LOOKUP(2, 1/('BA History'!$B:$B=A16), 'BA History'!$AK:$AK)</f>
        <v>0</v>
      </c>
      <c r="M16" s="34">
        <f>SUMIFS('BA History'!F:F,'BA History'!B:B,A16)</f>
        <v>1</v>
      </c>
      <c r="N16" s="2">
        <f>SUMIFS('BA History'!E:E,'BA History'!B:B,A16)-M16</f>
        <v>3</v>
      </c>
      <c r="O16" s="75">
        <f>LOOKUP(2, 1/('BA History'!$B:$B=A16), 'BA History'!$AI:$AI)</f>
        <v>0.25</v>
      </c>
      <c r="P16" s="34">
        <f>SUMIFS('BA History'!H:H,'BA History'!B:B,A16)</f>
        <v>6</v>
      </c>
      <c r="Q16" s="2">
        <f>SUMIFS('BA History'!G:G,'BA History'!B:B,A16)-P16</f>
        <v>9</v>
      </c>
      <c r="R16" s="89">
        <f>LOOKUP(2, 1/('BA History'!$B:$B=A16), 'BA History'!$AJ:$AJ)</f>
        <v>0.4</v>
      </c>
      <c r="S16" s="2">
        <f>COUNTIFS('BA History'!$B:$B,$A$16,'BA History'!K:K, 1)</f>
        <v>0</v>
      </c>
      <c r="T16" s="2">
        <f>COUNTIFS('BA History'!$B:$B,$A$16,'BA History'!L:L, 1)</f>
        <v>0</v>
      </c>
      <c r="U16" s="2">
        <f>COUNTIFS('BA History'!$B:$B,$A$16,'BA History'!M:M, 1)</f>
        <v>0</v>
      </c>
      <c r="V16" s="2">
        <f>COUNTIFS('BA History'!$B:$B,$A$16,'BA History'!N:N, 1)</f>
        <v>0</v>
      </c>
      <c r="W16" s="2">
        <f>COUNTIFS('BA History'!$B:$B,$A$16,'BA History'!O:O, 1)</f>
        <v>0</v>
      </c>
      <c r="X16" s="2">
        <f>COUNTIFS('BA History'!$B:$B,$A$16,'BA History'!P:P, 1)</f>
        <v>0</v>
      </c>
      <c r="Y16" s="2">
        <f>COUNTIFS('BA History'!$B:$B,$A$16,'BA History'!Q:Q, 1)</f>
        <v>0</v>
      </c>
      <c r="Z16" s="2">
        <f>COUNTIFS('BA History'!$B:$B,$A$16,'BA History'!R:R, 1)</f>
        <v>0</v>
      </c>
      <c r="AA16" s="2">
        <f>COUNTIFS('BA History'!$B:$B,$A$16,'BA History'!S:S, 1)</f>
        <v>0</v>
      </c>
      <c r="AB16" s="2">
        <f>COUNTIFS('BA History'!$B:$B,$A$16,'BA History'!T:T, 1)</f>
        <v>0</v>
      </c>
      <c r="AC16" s="2">
        <f>COUNTIFS('BA History'!$B:$B,$A$16,'BA History'!U:U, 1)</f>
        <v>0</v>
      </c>
      <c r="AD16" s="2">
        <f>COUNTIFS('BA History'!$B:$B,$A$16,'BA History'!V:V, 1)</f>
        <v>0</v>
      </c>
      <c r="AE16" s="2">
        <f>COUNTIFS('BA History'!$B:$B,$A$16,'BA History'!W:W, 1)</f>
        <v>0</v>
      </c>
      <c r="AF16" s="2">
        <f>COUNTIFS('BA History'!$B:$B,$A$16,'BA History'!X:X, 1)</f>
        <v>0</v>
      </c>
      <c r="AG16" s="2">
        <f>COUNTIFS('BA History'!$B:$B,$A$16,'BA History'!Y:Y, 1)</f>
        <v>0</v>
      </c>
      <c r="AH16" s="2">
        <f>COUNTIFS('BA History'!$B:$B,$A$16,'BA History'!Z:Z, 1)</f>
        <v>1</v>
      </c>
      <c r="AI16" s="2">
        <f>COUNTIFS('BA History'!$B:$B,$A16,'BA History'!AA:AA, 1)</f>
        <v>0</v>
      </c>
      <c r="AJ16" s="2">
        <f>COUNTIFS('BA History'!$B:$B,$A$16,'BA History'!AB:AB, 1)</f>
        <v>0</v>
      </c>
      <c r="AK16" s="2">
        <f>COUNTIFS('BA History'!$B:$B,$A$16,'BA History'!AC:AC, 1)</f>
        <v>0</v>
      </c>
      <c r="AL16" s="2">
        <f>COUNTIFS('BA History'!$B:$B,$A$16,'BA History'!AD:AD, 1)</f>
        <v>0</v>
      </c>
      <c r="AM16" s="2">
        <f>COUNTIFS('BA History'!$B:$B,$A$16,'BA History'!AE:AE, 1)</f>
        <v>0</v>
      </c>
      <c r="AN16" s="2">
        <f>COUNTIFS('BA History'!$B:$B,$A$16,'BA History'!AF:AF, 1)</f>
        <v>0</v>
      </c>
      <c r="AO16" s="2">
        <f>COUNTIFS('BA History'!$B:$B,$A$16,'BA History'!AG:AG, 1)</f>
        <v>0</v>
      </c>
    </row>
    <row r="17" spans="1:41" x14ac:dyDescent="0.25">
      <c r="A17" s="2" t="s">
        <v>152</v>
      </c>
      <c r="B17" s="2" t="s">
        <v>79</v>
      </c>
      <c r="C17" s="2"/>
      <c r="D17" s="2"/>
      <c r="E17" s="2"/>
      <c r="F17" s="34">
        <f>SUMIFS('BA History'!C:C,'BA History'!B:B,A17)</f>
        <v>186</v>
      </c>
      <c r="G17" s="66">
        <f>AVERAGEIFS('BA History'!C:C,'BA History'!B:B,A17)</f>
        <v>15.5</v>
      </c>
      <c r="H17" s="66">
        <f t="array" ref="H17">MEDIAN(IF('BA History'!B:B=A17, 'BA History'!C:C))</f>
        <v>14.5</v>
      </c>
      <c r="I17" s="35">
        <f t="array" ref="I17">MAX(IF('BA History'!B:B=A17, 'BA History'!C:C))</f>
        <v>37</v>
      </c>
      <c r="J17" s="34">
        <f>COUNTIFS('BA History'!B:B,A17,'BA History'!D:D, 1)</f>
        <v>4</v>
      </c>
      <c r="K17" s="2">
        <f>COUNTIFS('BA History'!B:B,A17,'BA History'!D:D, 0)</f>
        <v>8</v>
      </c>
      <c r="L17" s="75">
        <f>LOOKUP(2, 1/('BA History'!$B:$B=A17), 'BA History'!$AK:$AK)</f>
        <v>0.33333333333333331</v>
      </c>
      <c r="M17" s="34">
        <f>SUMIFS('BA History'!F:F,'BA History'!B:B,A17)</f>
        <v>23</v>
      </c>
      <c r="N17" s="2">
        <f>SUMIFS('BA History'!E:E,'BA History'!B:B,A17)-M17</f>
        <v>30</v>
      </c>
      <c r="O17" s="75">
        <f>LOOKUP(2, 1/('BA History'!$B:$B=A17), 'BA History'!$AI:$AI)</f>
        <v>0.40416666666666662</v>
      </c>
      <c r="P17" s="34">
        <f>SUMIFS('BA History'!H:H,'BA History'!B:B,A17)</f>
        <v>110</v>
      </c>
      <c r="Q17" s="2">
        <f>SUMIFS('BA History'!G:G,'BA History'!B:B,A17)-P17</f>
        <v>115</v>
      </c>
      <c r="R17" s="89">
        <f>LOOKUP(2, 1/('BA History'!$B:$B=A17), 'BA History'!$AJ:$AJ)</f>
        <v>0.47833333333333333</v>
      </c>
      <c r="S17" s="2">
        <f>COUNTIFS('BA History'!$B:$B,$A$17,'BA History'!K:K, 1)</f>
        <v>1</v>
      </c>
      <c r="T17" s="2">
        <f>COUNTIFS('BA History'!$B:$B,$A$17,'BA History'!L:L, 1)</f>
        <v>0</v>
      </c>
      <c r="U17" s="2">
        <f>COUNTIFS('BA History'!$B:$B,$A$17,'BA History'!M:M, 1)</f>
        <v>2</v>
      </c>
      <c r="V17" s="2">
        <f>COUNTIFS('BA History'!$B:$B,$A$17,'BA History'!N:N, 1)</f>
        <v>2</v>
      </c>
      <c r="W17" s="2">
        <f>COUNTIFS('BA History'!$B:$B,$A$17,'BA History'!O:O, 1)</f>
        <v>2</v>
      </c>
      <c r="X17" s="2">
        <f>COUNTIFS('BA History'!$B:$B,$A$17,'BA History'!P:P, 1)</f>
        <v>0</v>
      </c>
      <c r="Y17" s="2">
        <f>COUNTIFS('BA History'!$B:$B,$A$17,'BA History'!Q:Q, 1)</f>
        <v>0</v>
      </c>
      <c r="Z17" s="2">
        <f>COUNTIFS('BA History'!$B:$B,$A$17,'BA History'!R:R, 1)</f>
        <v>0</v>
      </c>
      <c r="AA17" s="2">
        <f>COUNTIFS('BA History'!$B:$B,$A$17,'BA History'!S:S, 1)</f>
        <v>0</v>
      </c>
      <c r="AB17" s="2">
        <f>COUNTIFS('BA History'!$B:$B,$A$17,'BA History'!T:T, 1)</f>
        <v>0</v>
      </c>
      <c r="AC17" s="2">
        <f>COUNTIFS('BA History'!$B:$B,$A$17,'BA History'!U:U, 1)</f>
        <v>1</v>
      </c>
      <c r="AD17" s="2">
        <f>COUNTIFS('BA History'!$B:$B,$A$17,'BA History'!V:V, 1)</f>
        <v>2</v>
      </c>
      <c r="AE17" s="2">
        <f>COUNTIFS('BA History'!$B:$B,$A$17,'BA History'!W:W, 1)</f>
        <v>1</v>
      </c>
      <c r="AF17" s="2">
        <f>COUNTIFS('BA History'!$B:$B,$A$17,'BA History'!X:X, 1)</f>
        <v>0</v>
      </c>
      <c r="AG17" s="2">
        <f>COUNTIFS('BA History'!$B:$B,$A$17,'BA History'!Y:Y, 1)</f>
        <v>0</v>
      </c>
      <c r="AH17" s="2">
        <f>COUNTIFS('BA History'!$B:$B,$A$17,'BA History'!Z:Z, 1)</f>
        <v>2</v>
      </c>
      <c r="AI17" s="2">
        <f>COUNTIFS('BA History'!$B:$B,$A17,'BA History'!AA:AA, 1)</f>
        <v>1</v>
      </c>
      <c r="AJ17" s="2">
        <f>COUNTIFS('BA History'!$B:$B,$A$17,'BA History'!AB:AB, 1)</f>
        <v>0</v>
      </c>
      <c r="AK17" s="2">
        <f>COUNTIFS('BA History'!$B:$B,$A$17,'BA History'!AC:AC, 1)</f>
        <v>6</v>
      </c>
      <c r="AL17" s="2">
        <f>COUNTIFS('BA History'!$B:$B,$A$17,'BA History'!AD:AD, 1)</f>
        <v>2</v>
      </c>
      <c r="AM17" s="2">
        <f>COUNTIFS('BA History'!$B:$B,$A$17,'BA History'!AE:AE, 1)</f>
        <v>0</v>
      </c>
      <c r="AN17" s="2">
        <f>COUNTIFS('BA History'!$B:$B,$A$17,'BA History'!AF:AF, 1)</f>
        <v>0</v>
      </c>
      <c r="AO17" s="2">
        <f>COUNTIFS('BA History'!$B:$B,$A$17,'BA History'!AG:AG, 1)</f>
        <v>1</v>
      </c>
    </row>
    <row r="18" spans="1:41" x14ac:dyDescent="0.25">
      <c r="A18" s="2" t="s">
        <v>89</v>
      </c>
      <c r="B18" s="2" t="s">
        <v>79</v>
      </c>
      <c r="C18" s="2"/>
      <c r="D18" s="2"/>
      <c r="E18" s="2"/>
      <c r="F18" s="34">
        <f>SUMIFS('BA History'!C:C,'BA History'!B:B,A18)</f>
        <v>3</v>
      </c>
      <c r="G18" s="66">
        <f>AVERAGEIFS('BA History'!C:C,'BA History'!B:B,A18)</f>
        <v>3</v>
      </c>
      <c r="H18" s="66">
        <f t="array" ref="H18">MEDIAN(IF('BA History'!B:B=A18, 'BA History'!C:C))</f>
        <v>3</v>
      </c>
      <c r="I18" s="35">
        <f t="array" ref="I18">MAX(IF('BA History'!B:B=A18, 'BA History'!C:C))</f>
        <v>3</v>
      </c>
      <c r="J18" s="34">
        <f>COUNTIFS('BA History'!B:B,A18,'BA History'!D:D, 1)</f>
        <v>0</v>
      </c>
      <c r="K18" s="2">
        <f>COUNTIFS('BA History'!B:B,A18,'BA History'!D:D, 0)</f>
        <v>1</v>
      </c>
      <c r="L18" s="75">
        <f>LOOKUP(2, 1/('BA History'!$B:$B=A18), 'BA History'!$AK:$AK)</f>
        <v>0</v>
      </c>
      <c r="M18" s="34">
        <f>SUMIFS('BA History'!F:F,'BA History'!B:B,A18)</f>
        <v>0</v>
      </c>
      <c r="N18" s="2">
        <f>SUMIFS('BA History'!E:E,'BA History'!B:B,A18)-M18</f>
        <v>3</v>
      </c>
      <c r="O18" s="75">
        <f>LOOKUP(2, 1/('BA History'!$B:$B=A18), 'BA History'!$AI:$AI)</f>
        <v>0</v>
      </c>
      <c r="P18" s="34">
        <f>SUMIFS('BA History'!H:H,'BA History'!B:B,A18)</f>
        <v>4</v>
      </c>
      <c r="Q18" s="2">
        <f>SUMIFS('BA History'!G:G,'BA History'!B:B,A18)-P18</f>
        <v>9</v>
      </c>
      <c r="R18" s="89">
        <f>LOOKUP(2, 1/('BA History'!$B:$B=A18), 'BA History'!$AJ:$AJ)</f>
        <v>0.31</v>
      </c>
      <c r="S18" s="2">
        <f>COUNTIFS('BA History'!$B:$B,$A$18,'BA History'!K:K, 1)</f>
        <v>0</v>
      </c>
      <c r="T18" s="2">
        <f>COUNTIFS('BA History'!$B:$B,$A$18,'BA History'!L:L, 1)</f>
        <v>0</v>
      </c>
      <c r="U18" s="2">
        <f>COUNTIFS('BA History'!$B:$B,$A$18,'BA History'!M:M, 1)</f>
        <v>0</v>
      </c>
      <c r="V18" s="2">
        <f>COUNTIFS('BA History'!$B:$B,$A$18,'BA History'!N:N, 1)</f>
        <v>0</v>
      </c>
      <c r="W18" s="2">
        <f>COUNTIFS('BA History'!$B:$B,$A$18,'BA History'!O:O, 1)</f>
        <v>0</v>
      </c>
      <c r="X18" s="2">
        <f>COUNTIFS('BA History'!$B:$B,$A$18,'BA History'!P:P, 1)</f>
        <v>0</v>
      </c>
      <c r="Y18" s="2">
        <f>COUNTIFS('BA History'!$B:$B,$A$18,'BA History'!Q:Q, 1)</f>
        <v>0</v>
      </c>
      <c r="Z18" s="2">
        <f>COUNTIFS('BA History'!$B:$B,$A$18,'BA History'!R:R, 1)</f>
        <v>0</v>
      </c>
      <c r="AA18" s="2">
        <f>COUNTIFS('BA History'!$B:$B,$A$18,'BA History'!S:S, 1)</f>
        <v>0</v>
      </c>
      <c r="AB18" s="2">
        <f>COUNTIFS('BA History'!$B:$B,$A$18,'BA History'!T:T, 1)</f>
        <v>0</v>
      </c>
      <c r="AC18" s="2">
        <f>COUNTIFS('BA History'!$B:$B,$A$18,'BA History'!U:U, 1)</f>
        <v>0</v>
      </c>
      <c r="AD18" s="2">
        <f>COUNTIFS('BA History'!$B:$B,$A$18,'BA History'!V:V, 1)</f>
        <v>0</v>
      </c>
      <c r="AE18" s="2">
        <f>COUNTIFS('BA History'!$B:$B,$A$18,'BA History'!W:W, 1)</f>
        <v>0</v>
      </c>
      <c r="AF18" s="2">
        <f>COUNTIFS('BA History'!$B:$B,$A$18,'BA History'!X:X, 1)</f>
        <v>0</v>
      </c>
      <c r="AG18" s="2">
        <f>COUNTIFS('BA History'!$B:$B,$A$18,'BA History'!Y:Y, 1)</f>
        <v>0</v>
      </c>
      <c r="AH18" s="2">
        <f>COUNTIFS('BA History'!$B:$B,$A$18,'BA History'!Z:Z, 1)</f>
        <v>0</v>
      </c>
      <c r="AI18" s="2">
        <f>COUNTIFS('BA History'!$B:$B,$A18,'BA History'!AA:AA, 1)</f>
        <v>0</v>
      </c>
      <c r="AJ18" s="2">
        <f>COUNTIFS('BA History'!$B:$B,$A$18,'BA History'!AB:AB, 1)</f>
        <v>0</v>
      </c>
      <c r="AK18" s="2">
        <f>COUNTIFS('BA History'!$B:$B,$A$18,'BA History'!AC:AC, 1)</f>
        <v>0</v>
      </c>
      <c r="AL18" s="2">
        <f>COUNTIFS('BA History'!$B:$B,$A$18,'BA History'!AD:AD, 1)</f>
        <v>0</v>
      </c>
      <c r="AM18" s="2">
        <f>COUNTIFS('BA History'!$B:$B,$A$18,'BA History'!AE:AE, 1)</f>
        <v>0</v>
      </c>
      <c r="AN18" s="2">
        <f>COUNTIFS('BA History'!$B:$B,$A$18,'BA History'!AF:AF, 1)</f>
        <v>0</v>
      </c>
      <c r="AO18" s="2">
        <f>COUNTIFS('BA History'!$B:$B,$A$19,'BA History'!AG:AG, 1)</f>
        <v>0</v>
      </c>
    </row>
    <row r="19" spans="1:41" x14ac:dyDescent="0.25">
      <c r="A19" s="2" t="s">
        <v>45</v>
      </c>
      <c r="B19" s="2" t="s">
        <v>79</v>
      </c>
      <c r="C19" s="2"/>
      <c r="D19" s="2"/>
      <c r="E19" s="2"/>
      <c r="F19" s="34">
        <f>SUMIFS('BA History'!C:C,'BA History'!B:B,A19)</f>
        <v>66</v>
      </c>
      <c r="G19" s="66">
        <f>AVERAGEIFS('BA History'!C:C,'BA History'!B:B,A19)</f>
        <v>9.4285714285714288</v>
      </c>
      <c r="H19" s="66">
        <f t="array" ref="H19">MEDIAN(IF('BA History'!B:B=A19, 'BA History'!C:C))</f>
        <v>11</v>
      </c>
      <c r="I19" s="35">
        <f t="array" ref="I19">MAX(IF('BA History'!B:B=A19, 'BA History'!C:C))</f>
        <v>14</v>
      </c>
      <c r="J19" s="34">
        <f>COUNTIFS('BA History'!B:B,A19,'BA History'!D:D, 1)</f>
        <v>3</v>
      </c>
      <c r="K19" s="2">
        <f>COUNTIFS('BA History'!B:B,A19,'BA History'!D:D, 0)</f>
        <v>4</v>
      </c>
      <c r="L19" s="75">
        <f>LOOKUP(2, 1/('BA History'!$B:$B=A19), 'BA History'!$AK:$AK)</f>
        <v>0.42857142857142855</v>
      </c>
      <c r="M19" s="34">
        <f>SUMIFS('BA History'!F:F,'BA History'!B:B,A19)</f>
        <v>13</v>
      </c>
      <c r="N19" s="2">
        <f>SUMIFS('BA History'!E:E,'BA History'!B:B,A19)-M19</f>
        <v>15</v>
      </c>
      <c r="O19" s="75">
        <f>LOOKUP(2, 1/('BA History'!$B:$B=A19), 'BA History'!$AI:$AI)</f>
        <v>0.45999999999999996</v>
      </c>
      <c r="P19" s="34">
        <f>SUMIFS('BA History'!H:H,'BA History'!B:B,A19)</f>
        <v>62</v>
      </c>
      <c r="Q19" s="2">
        <f>SUMIFS('BA History'!G:G,'BA History'!B:B,A19)-P19</f>
        <v>66</v>
      </c>
      <c r="R19" s="89">
        <f>LOOKUP(2, 1/('BA History'!$B:$B=A19), 'BA History'!$AJ:$AJ)</f>
        <v>0.48142857142857143</v>
      </c>
      <c r="S19" s="2">
        <f>COUNTIFS('BA History'!$B:$B,$A$19,'BA History'!K:K, 1)</f>
        <v>0</v>
      </c>
      <c r="T19" s="2">
        <f>COUNTIFS('BA History'!$B:$B,$A$19,'BA History'!L:L, 1)</f>
        <v>0</v>
      </c>
      <c r="U19" s="2">
        <f>COUNTIFS('BA History'!$B:$B,$A$19,'BA History'!M:M, 1)</f>
        <v>1</v>
      </c>
      <c r="V19" s="2">
        <f>COUNTIFS('BA History'!$B:$B,$A$19,'BA History'!N:N, 1)</f>
        <v>2</v>
      </c>
      <c r="W19" s="2">
        <f>COUNTIFS('BA History'!$B:$B,$A$19,'BA History'!O:O, 1)</f>
        <v>1</v>
      </c>
      <c r="X19" s="2">
        <f>COUNTIFS('BA History'!$B:$B,$A$19,'BA History'!P:P, 1)</f>
        <v>0</v>
      </c>
      <c r="Y19" s="2">
        <f>COUNTIFS('BA History'!$B:$B,$A$19,'BA History'!Q:Q, 1)</f>
        <v>0</v>
      </c>
      <c r="Z19" s="2">
        <f>COUNTIFS('BA History'!$B:$B,$A$19,'BA History'!R:R, 1)</f>
        <v>0</v>
      </c>
      <c r="AA19" s="2">
        <f>COUNTIFS('BA History'!$B:$B,$A$19,'BA History'!S:S, 1)</f>
        <v>0</v>
      </c>
      <c r="AB19" s="2">
        <f>COUNTIFS('BA History'!$B:$B,$A$19,'BA History'!T:T, 1)</f>
        <v>0</v>
      </c>
      <c r="AC19" s="2">
        <f>COUNTIFS('BA History'!$B:$B,$A$19,'BA History'!U:U, 1)</f>
        <v>1</v>
      </c>
      <c r="AD19" s="2">
        <f>COUNTIFS('BA History'!$B:$B,$A$19,'BA History'!V:V, 1)</f>
        <v>0</v>
      </c>
      <c r="AE19" s="2">
        <f>COUNTIFS('BA History'!$B:$B,$A$19,'BA History'!W:W, 1)</f>
        <v>0</v>
      </c>
      <c r="AF19" s="2">
        <f>COUNTIFS('BA History'!$B:$B,$A$19,'BA History'!X:X, 1)</f>
        <v>0</v>
      </c>
      <c r="AG19" s="2">
        <f>COUNTIFS('BA History'!$B:$B,$A$19,'BA History'!Y:Y, 1)</f>
        <v>2</v>
      </c>
      <c r="AH19" s="2">
        <f>COUNTIFS('BA History'!$B:$B,$A$19,'BA History'!Z:Z, 1)</f>
        <v>1</v>
      </c>
      <c r="AI19" s="2">
        <f>COUNTIFS('BA History'!$B:$B,$A19,'BA History'!AA:AA, 1)</f>
        <v>0</v>
      </c>
      <c r="AJ19" s="2">
        <f>COUNTIFS('BA History'!$B:$B,$A$19,'BA History'!AB:AB, 1)</f>
        <v>1</v>
      </c>
      <c r="AK19" s="2">
        <f>COUNTIFS('BA History'!$B:$B,$A$19,'BA History'!AC:AC, 1)</f>
        <v>2</v>
      </c>
      <c r="AL19" s="2">
        <f>COUNTIFS('BA History'!$B:$B,$A$19,'BA History'!AD:AD, 1)</f>
        <v>2</v>
      </c>
      <c r="AM19" s="2">
        <f>COUNTIFS('BA History'!$B:$B,$A$19,'BA History'!AE:AE, 1)</f>
        <v>0</v>
      </c>
      <c r="AN19" s="2">
        <f>COUNTIFS('BA History'!$B:$B,$A$19,'BA History'!AF:AF, 1)</f>
        <v>0</v>
      </c>
      <c r="AO19" s="2">
        <f>COUNTIFS('BA History'!$B:$B,$A$19,'BA History'!AG:AG, 1)</f>
        <v>0</v>
      </c>
    </row>
    <row r="20" spans="1:41" x14ac:dyDescent="0.25">
      <c r="A20" s="2" t="s">
        <v>50</v>
      </c>
      <c r="B20" s="2" t="s">
        <v>79</v>
      </c>
      <c r="C20" s="2">
        <v>1</v>
      </c>
      <c r="D20" s="2">
        <v>1</v>
      </c>
      <c r="E20" s="2"/>
      <c r="F20" s="34">
        <f>SUMIFS('BA History'!C:C,'BA History'!B:B,A20)</f>
        <v>923</v>
      </c>
      <c r="G20" s="66">
        <f>AVERAGEIFS('BA History'!C:C,'BA History'!B:B,A20)</f>
        <v>18.098039215686274</v>
      </c>
      <c r="H20" s="66">
        <f t="array" ref="H20">MEDIAN(IF('BA History'!B:B=A20, 'BA History'!C:C))</f>
        <v>18</v>
      </c>
      <c r="I20" s="35">
        <f t="array" ref="I20">MAX(IF('BA History'!B:B=A20, 'BA History'!C:C))</f>
        <v>31</v>
      </c>
      <c r="J20" s="34">
        <f>COUNTIFS('BA History'!B:B,A20,'BA History'!D:D, 1)</f>
        <v>25</v>
      </c>
      <c r="K20" s="2">
        <f>COUNTIFS('BA History'!B:B,A20,'BA History'!D:D, 0)</f>
        <v>26</v>
      </c>
      <c r="L20" s="75">
        <f>LOOKUP(2, 1/('BA History'!$B:$B=A20), 'BA History'!$AK:$AK)</f>
        <v>0.49019607843137253</v>
      </c>
      <c r="M20" s="34">
        <f>SUMIFS('BA History'!F:F,'BA History'!B:B,A20)</f>
        <v>101</v>
      </c>
      <c r="N20" s="2">
        <f>SUMIFS('BA History'!E:E,'BA History'!B:B,A20)-M20</f>
        <v>103</v>
      </c>
      <c r="O20" s="75">
        <f>LOOKUP(2, 1/('BA History'!$B:$B=A20), 'BA History'!$AI:$AI)</f>
        <v>0.49764705882352944</v>
      </c>
      <c r="P20" s="34">
        <f>SUMIFS('BA History'!H:H,'BA History'!B:B,A20)</f>
        <v>433</v>
      </c>
      <c r="Q20" s="2">
        <f>SUMIFS('BA History'!G:G,'BA History'!B:B,A20)-P20</f>
        <v>429</v>
      </c>
      <c r="R20" s="89">
        <f>LOOKUP(2, 1/('BA History'!$B:$B=A20), 'BA History'!$AJ:$AJ)</f>
        <v>0.50980392156862742</v>
      </c>
      <c r="S20" s="2">
        <f>COUNTIFS('BA History'!$B:$B,$A$20,'BA History'!K:K, 1)</f>
        <v>4</v>
      </c>
      <c r="T20" s="2">
        <f>COUNTIFS('BA History'!$B:$B,$A$20,'BA History'!L:L, 1)</f>
        <v>8</v>
      </c>
      <c r="U20" s="2">
        <f>COUNTIFS('BA History'!$B:$B,$A$20,'BA History'!M:M, 1)</f>
        <v>6</v>
      </c>
      <c r="V20" s="2">
        <f>COUNTIFS('BA History'!$B:$B,$A$20,'BA History'!N:N, 1)</f>
        <v>9</v>
      </c>
      <c r="W20" s="2">
        <f>COUNTIFS('BA History'!$B:$B,$A$20,'BA History'!O:O, 1)</f>
        <v>3</v>
      </c>
      <c r="X20" s="2">
        <f>COUNTIFS('BA History'!$B:$B,$A$20,'BA History'!P:P, 1)</f>
        <v>2</v>
      </c>
      <c r="Y20" s="2">
        <f>COUNTIFS('BA History'!$B:$B,$A$20,'BA History'!Q:Q, 1)</f>
        <v>4</v>
      </c>
      <c r="Z20" s="2">
        <f>COUNTIFS('BA History'!$B:$B,$A$20,'BA History'!R:R, 1)</f>
        <v>2</v>
      </c>
      <c r="AA20" s="2">
        <f>COUNTIFS('BA History'!$B:$B,$A$20,'BA History'!S:S, 1)</f>
        <v>0</v>
      </c>
      <c r="AB20" s="2">
        <f>COUNTIFS('BA History'!$B:$B,$A$20,'BA History'!T:T, 1)</f>
        <v>1</v>
      </c>
      <c r="AC20" s="2">
        <f>COUNTIFS('BA History'!$B:$B,$A$20,'BA History'!U:U, 1)</f>
        <v>0</v>
      </c>
      <c r="AD20" s="2">
        <f>COUNTIFS('BA History'!$B:$B,$A$20,'BA History'!V:V, 1)</f>
        <v>9</v>
      </c>
      <c r="AE20" s="2">
        <f>COUNTIFS('BA History'!$B:$B,$A$20,'BA History'!W:W, 1)</f>
        <v>2</v>
      </c>
      <c r="AF20" s="2">
        <f>COUNTIFS('BA History'!$B:$B,$A$20,'BA History'!X:X, 1)</f>
        <v>1</v>
      </c>
      <c r="AG20" s="2">
        <f>COUNTIFS('BA History'!$B:$B,$A$20,'BA History'!Y:Y, 1)</f>
        <v>4</v>
      </c>
      <c r="AH20" s="2">
        <f>COUNTIFS('BA History'!$B:$B,$A$20,'BA History'!Z:Z, 1)</f>
        <v>10</v>
      </c>
      <c r="AI20" s="2">
        <f>COUNTIFS('BA History'!$B:$B,$A20,'BA History'!AA:AA, 1)</f>
        <v>0</v>
      </c>
      <c r="AJ20" s="2">
        <f>COUNTIFS('BA History'!$B:$B,$A$20,'BA History'!AB:AB, 1)</f>
        <v>1</v>
      </c>
      <c r="AK20" s="2">
        <f>COUNTIFS('BA History'!$B:$B,$A$20,'BA History'!AC:AC, 1)</f>
        <v>15</v>
      </c>
      <c r="AL20" s="2">
        <f>COUNTIFS('BA History'!$B:$B,$A$20,'BA History'!AD:AD, 1)</f>
        <v>3</v>
      </c>
      <c r="AM20" s="2">
        <f>COUNTIFS('BA History'!$B:$B,$A$20,'BA History'!AE:AE, 1)</f>
        <v>10</v>
      </c>
      <c r="AN20" s="2">
        <f>COUNTIFS('BA History'!$B:$B,$A$20,'BA History'!AF:AF, 1)</f>
        <v>3</v>
      </c>
      <c r="AO20" s="2">
        <f>COUNTIFS('BA History'!$B:$B,$A$20,'BA History'!AG:AG, 1)</f>
        <v>4</v>
      </c>
    </row>
    <row r="21" spans="1:41" x14ac:dyDescent="0.25">
      <c r="A21" s="2" t="s">
        <v>52</v>
      </c>
      <c r="B21" s="2" t="s">
        <v>79</v>
      </c>
      <c r="C21" s="2">
        <v>1</v>
      </c>
      <c r="D21" s="2"/>
      <c r="E21" s="2"/>
      <c r="F21" s="34">
        <f>SUMIFS('BA History'!C:C,'BA History'!B:B,A21)</f>
        <v>235</v>
      </c>
      <c r="G21" s="66">
        <f>AVERAGEIFS('BA History'!C:C,'BA History'!B:B,A21)</f>
        <v>15.666666666666666</v>
      </c>
      <c r="H21" s="66">
        <f t="array" ref="H21">MEDIAN(IF('BA History'!B:B=A21, 'BA History'!C:C))</f>
        <v>14</v>
      </c>
      <c r="I21" s="35">
        <f t="array" ref="I21">MAX(IF('BA History'!B:B=A21, 'BA History'!C:C))</f>
        <v>31</v>
      </c>
      <c r="J21" s="34">
        <f>COUNTIFS('BA History'!B:B,A21,'BA History'!D:D, 1)</f>
        <v>5</v>
      </c>
      <c r="K21" s="2">
        <f>COUNTIFS('BA History'!B:B,A21,'BA History'!D:D, 0)</f>
        <v>10</v>
      </c>
      <c r="L21" s="75">
        <f>LOOKUP(2, 1/('BA History'!$B:$B=A21), 'BA History'!$AK:$AK)</f>
        <v>0.33333333333333331</v>
      </c>
      <c r="M21" s="34">
        <f>SUMIFS('BA History'!F:F,'BA History'!B:B,A21)</f>
        <v>29</v>
      </c>
      <c r="N21" s="2">
        <f>SUMIFS('BA History'!E:E,'BA History'!B:B,A21)-M21</f>
        <v>35</v>
      </c>
      <c r="O21" s="75">
        <f>LOOKUP(2, 1/('BA History'!$B:$B=A21), 'BA History'!$AI:$AI)</f>
        <v>0.47000000000000003</v>
      </c>
      <c r="P21" s="34">
        <f>SUMIFS('BA History'!H:H,'BA History'!B:B,A21)</f>
        <v>121</v>
      </c>
      <c r="Q21" s="2">
        <f>SUMIFS('BA History'!G:G,'BA History'!B:B,A21)-P21</f>
        <v>134</v>
      </c>
      <c r="R21" s="89">
        <f>LOOKUP(2, 1/('BA History'!$B:$B=A21), 'BA History'!$AJ:$AJ)</f>
        <v>0.48600000000000004</v>
      </c>
      <c r="S21" s="2">
        <f>COUNTIFS('BA History'!$B:$B,$A$21,'BA History'!K:K, 1)</f>
        <v>1</v>
      </c>
      <c r="T21" s="2">
        <f>COUNTIFS('BA History'!$B:$B,$A$21,'BA History'!L:L, 1)</f>
        <v>2</v>
      </c>
      <c r="U21" s="2">
        <f>COUNTIFS('BA History'!$B:$B,$A$21,'BA History'!M:M, 1)</f>
        <v>2</v>
      </c>
      <c r="V21" s="2">
        <f>COUNTIFS('BA History'!$B:$B,$A$21,'BA History'!N:N, 1)</f>
        <v>3</v>
      </c>
      <c r="W21" s="2">
        <f>COUNTIFS('BA History'!$B:$B,$A$21,'BA History'!O:O, 1)</f>
        <v>1</v>
      </c>
      <c r="X21" s="2">
        <f>COUNTIFS('BA History'!$B:$B,$A$21,'BA History'!P:P, 1)</f>
        <v>0</v>
      </c>
      <c r="Y21" s="2">
        <f>COUNTIFS('BA History'!$B:$B,$A$21,'BA History'!Q:Q, 1)</f>
        <v>1</v>
      </c>
      <c r="Z21" s="2">
        <f>COUNTIFS('BA History'!$B:$B,$A$21,'BA History'!R:R, 1)</f>
        <v>0</v>
      </c>
      <c r="AA21" s="2">
        <f>COUNTIFS('BA History'!$B:$B,$A$21,'BA History'!S:S, 1)</f>
        <v>0</v>
      </c>
      <c r="AB21" s="2">
        <f>COUNTIFS('BA History'!$B:$B,$A$21,'BA History'!T:T, 1)</f>
        <v>0</v>
      </c>
      <c r="AC21" s="2">
        <f>COUNTIFS('BA History'!$B:$B,$A$21,'BA History'!U:U, 1)</f>
        <v>4</v>
      </c>
      <c r="AD21" s="2">
        <f>COUNTIFS('BA History'!$B:$B,$A$21,'BA History'!V:V, 1)</f>
        <v>0</v>
      </c>
      <c r="AE21" s="2">
        <f>COUNTIFS('BA History'!$B:$B,$A$21,'BA History'!W:W, 1)</f>
        <v>1</v>
      </c>
      <c r="AF21" s="2">
        <f>COUNTIFS('BA History'!$B:$B,$A$21,'BA History'!X:X, 1)</f>
        <v>0</v>
      </c>
      <c r="AG21" s="2">
        <f>COUNTIFS('BA History'!$B:$B,$A$21,'BA History'!Y:Y, 1)</f>
        <v>1</v>
      </c>
      <c r="AH21" s="2">
        <f>COUNTIFS('BA History'!$B:$B,$A$21,'BA History'!Z:Z, 1)</f>
        <v>4</v>
      </c>
      <c r="AI21" s="2">
        <f>COUNTIFS('BA History'!$B:$B,$A21,'BA History'!AA:AA, 1)</f>
        <v>0</v>
      </c>
      <c r="AJ21" s="2">
        <f>COUNTIFS('BA History'!$B:$B,$A$21,'BA History'!AB:AB, 1)</f>
        <v>0</v>
      </c>
      <c r="AK21" s="2">
        <f>COUNTIFS('BA History'!$B:$B,$A$21,'BA History'!AC:AC, 1)</f>
        <v>5</v>
      </c>
      <c r="AL21" s="2">
        <f>COUNTIFS('BA History'!$B:$B,$A$21,'BA History'!AD:AD, 1)</f>
        <v>3</v>
      </c>
      <c r="AM21" s="2">
        <f>COUNTIFS('BA History'!$B:$B,$A$21,'BA History'!AE:AE, 1)</f>
        <v>1</v>
      </c>
      <c r="AN21" s="2">
        <f>COUNTIFS('BA History'!$B:$B,$A$21,'BA History'!AF:AF, 1)</f>
        <v>0</v>
      </c>
      <c r="AO21" s="2">
        <f>COUNTIFS('BA History'!$B:$B,$A$21,'BA History'!AG:AG, 1)</f>
        <v>0</v>
      </c>
    </row>
    <row r="22" spans="1:41" x14ac:dyDescent="0.25">
      <c r="A22" s="2" t="s">
        <v>44</v>
      </c>
      <c r="B22" s="2" t="s">
        <v>79</v>
      </c>
      <c r="C22" s="2">
        <v>1</v>
      </c>
      <c r="D22" s="2"/>
      <c r="E22" s="2"/>
      <c r="F22" s="34">
        <f>SUMIFS('BA History'!C:C,'BA History'!B:B,A22)</f>
        <v>912</v>
      </c>
      <c r="G22" s="66">
        <f>AVERAGEIFS('BA History'!C:C,'BA History'!B:B,A22)</f>
        <v>16.581818181818182</v>
      </c>
      <c r="H22" s="66">
        <f t="array" ref="H22">MEDIAN(IF('BA History'!B:B=A22, 'BA History'!C:C))</f>
        <v>16</v>
      </c>
      <c r="I22" s="35">
        <f t="array" ref="I22">MAX(IF('BA History'!B:B=A22, 'BA History'!C:C))</f>
        <v>36</v>
      </c>
      <c r="J22" s="34">
        <f>COUNTIFS('BA History'!B:B,A22,'BA History'!D:D, 1)</f>
        <v>32</v>
      </c>
      <c r="K22" s="2">
        <f>COUNTIFS('BA History'!B:B,A22,'BA History'!D:D, 0)</f>
        <v>23</v>
      </c>
      <c r="L22" s="75">
        <f>LOOKUP(2, 1/('BA History'!$B:$B=A22), 'BA History'!$AK:$AK)</f>
        <v>0.58181818181818179</v>
      </c>
      <c r="M22" s="34">
        <f>SUMIFS('BA History'!F:F,'BA History'!B:B,A22)</f>
        <v>117</v>
      </c>
      <c r="N22" s="2">
        <f>SUMIFS('BA History'!E:E,'BA History'!B:B,A22)-M22</f>
        <v>103</v>
      </c>
      <c r="O22" s="75">
        <f>LOOKUP(2, 1/('BA History'!$B:$B=A22), 'BA History'!$AI:$AI)</f>
        <v>0.52999999999999992</v>
      </c>
      <c r="P22" s="34">
        <f>SUMIFS('BA History'!H:H,'BA History'!B:B,A22)</f>
        <v>480</v>
      </c>
      <c r="Q22" s="2">
        <f>SUMIFS('BA History'!G:G,'BA History'!B:B,A22)-P22</f>
        <v>441</v>
      </c>
      <c r="R22" s="89">
        <f>LOOKUP(2, 1/('BA History'!$B:$B=A22), 'BA History'!$AJ:$AJ)</f>
        <v>0.52745454545454551</v>
      </c>
      <c r="S22" s="2">
        <f>COUNTIFS('BA History'!$B:$B,$A$22,'BA History'!K:K, 1)</f>
        <v>6</v>
      </c>
      <c r="T22" s="2">
        <f>COUNTIFS('BA History'!$B:$B,$A$22,'BA History'!L:L, 1)</f>
        <v>4</v>
      </c>
      <c r="U22" s="2">
        <f>COUNTIFS('BA History'!$B:$B,$A$22,'BA History'!M:M, 1)</f>
        <v>13</v>
      </c>
      <c r="V22" s="2">
        <f>COUNTIFS('BA History'!$B:$B,$A$22,'BA History'!N:N, 1)</f>
        <v>11</v>
      </c>
      <c r="W22" s="2">
        <f>COUNTIFS('BA History'!$B:$B,$A$22,'BA History'!O:O, 1)</f>
        <v>2</v>
      </c>
      <c r="X22" s="2">
        <f>COUNTIFS('BA History'!$B:$B,$A$22,'BA History'!P:P, 1)</f>
        <v>0</v>
      </c>
      <c r="Y22" s="2">
        <f>COUNTIFS('BA History'!$B:$B,$A$22,'BA History'!Q:Q, 1)</f>
        <v>3</v>
      </c>
      <c r="Z22" s="2">
        <f>COUNTIFS('BA History'!$B:$B,$A$22,'BA History'!R:R, 1)</f>
        <v>2</v>
      </c>
      <c r="AA22" s="2">
        <f>COUNTIFS('BA History'!$B:$B,$A$22,'BA History'!S:S, 1)</f>
        <v>2</v>
      </c>
      <c r="AB22" s="2">
        <f>COUNTIFS('BA History'!$B:$B,$A$22,'BA History'!T:T, 1)</f>
        <v>0</v>
      </c>
      <c r="AC22" s="2">
        <f>COUNTIFS('BA History'!$B:$B,$A$22,'BA History'!U:U, 1)</f>
        <v>1</v>
      </c>
      <c r="AD22" s="2">
        <f>COUNTIFS('BA History'!$B:$B,$A$22,'BA History'!V:V, 1)</f>
        <v>5</v>
      </c>
      <c r="AE22" s="2">
        <f>COUNTIFS('BA History'!$B:$B,$A$22,'BA History'!W:W, 1)</f>
        <v>4</v>
      </c>
      <c r="AF22" s="2">
        <f>COUNTIFS('BA History'!$B:$B,$A$22,'BA History'!X:X, 1)</f>
        <v>1</v>
      </c>
      <c r="AG22" s="2">
        <f>COUNTIFS('BA History'!$B:$B,$A$22,'BA History'!Y:Y, 1)</f>
        <v>7</v>
      </c>
      <c r="AH22" s="2">
        <f>COUNTIFS('BA History'!$B:$B,$A$22,'BA History'!Z:Z, 1)</f>
        <v>10</v>
      </c>
      <c r="AI22" s="2">
        <f>COUNTIFS('BA History'!$B:$B,$A22,'BA History'!AA:AA, 1)</f>
        <v>0</v>
      </c>
      <c r="AJ22" s="2">
        <f>COUNTIFS('BA History'!$B:$B,$A$22,'BA History'!AB:AB, 1)</f>
        <v>4</v>
      </c>
      <c r="AK22" s="2">
        <f>COUNTIFS('BA History'!$B:$B,$A$22,'BA History'!AC:AC, 1)</f>
        <v>13</v>
      </c>
      <c r="AL22" s="2">
        <f>COUNTIFS('BA History'!$B:$B,$A$22,'BA History'!AD:AD, 1)</f>
        <v>6</v>
      </c>
      <c r="AM22" s="2">
        <f>COUNTIFS('BA History'!$B:$B,$A$22,'BA History'!AE:AE, 1)</f>
        <v>9</v>
      </c>
      <c r="AN22" s="2">
        <f>COUNTIFS('BA History'!$B:$B,$A$22,'BA History'!AF:AF, 1)</f>
        <v>1</v>
      </c>
      <c r="AO22" s="2">
        <f>COUNTIFS('BA History'!$B:$B,$A$22,'BA History'!AG:AG, 1)</f>
        <v>13</v>
      </c>
    </row>
    <row r="23" spans="1:41" x14ac:dyDescent="0.25">
      <c r="A23" s="2" t="s">
        <v>167</v>
      </c>
      <c r="B23" s="2" t="s">
        <v>79</v>
      </c>
      <c r="C23" s="2"/>
      <c r="D23" s="2"/>
      <c r="E23" s="2"/>
      <c r="F23" s="34">
        <f>SUMIFS('BA History'!C:C,'BA History'!B:B,A23)</f>
        <v>30</v>
      </c>
      <c r="G23" s="66">
        <f>AVERAGEIFS('BA History'!C:C,'BA History'!B:B,A23)</f>
        <v>10</v>
      </c>
      <c r="H23" s="66">
        <f t="array" ref="H23">MEDIAN(IF('BA History'!B:B=A23, 'BA History'!C:C))</f>
        <v>10</v>
      </c>
      <c r="I23" s="35">
        <f t="array" ref="I23">MAX(IF('BA History'!B:B=A23, 'BA History'!C:C))</f>
        <v>14</v>
      </c>
      <c r="J23" s="34">
        <f>COUNTIFS('BA History'!B:B,A23,'BA History'!D:D, 1)</f>
        <v>1</v>
      </c>
      <c r="K23" s="2">
        <f>COUNTIFS('BA History'!B:B,A23,'BA History'!D:D, 0)</f>
        <v>2</v>
      </c>
      <c r="L23" s="75">
        <f>LOOKUP(2, 1/('BA History'!$B:$B=A23), 'BA History'!$AK:$AK)</f>
        <v>0.33333333333333331</v>
      </c>
      <c r="M23" s="34">
        <f>SUMIFS('BA History'!F:F,'BA History'!B:B,A23)</f>
        <v>6</v>
      </c>
      <c r="N23" s="2">
        <f>SUMIFS('BA History'!E:E,'BA History'!B:B,A23)-M23</f>
        <v>7</v>
      </c>
      <c r="O23" s="75">
        <f>LOOKUP(2, 1/('BA History'!$B:$B=A23), 'BA History'!$AI:$AI)</f>
        <v>0.46666666666666662</v>
      </c>
      <c r="P23" s="34">
        <f>SUMIFS('BA History'!H:H,'BA History'!B:B,A23)</f>
        <v>27</v>
      </c>
      <c r="Q23" s="2">
        <f>SUMIFS('BA History'!G:G,'BA History'!B:B,A23)-P23</f>
        <v>29</v>
      </c>
      <c r="R23" s="89">
        <f>LOOKUP(2, 1/('BA History'!$B:$B=A23), 'BA History'!$AJ:$AJ)</f>
        <v>0.48333333333333334</v>
      </c>
      <c r="S23" s="2">
        <f>COUNTIFS('BA History'!$B:$B,$A$23,'BA History'!K:K, 1)</f>
        <v>0</v>
      </c>
      <c r="T23" s="2">
        <f>COUNTIFS('BA History'!$B:$B,$A$23,'BA History'!L:L, 1)</f>
        <v>0</v>
      </c>
      <c r="U23" s="2">
        <f>COUNTIFS('BA History'!$B:$B,$A$23,'BA History'!M:M, 1)</f>
        <v>0</v>
      </c>
      <c r="V23" s="2">
        <f>COUNTIFS('BA History'!$B:$B,$A$23,'BA History'!N:N, 1)</f>
        <v>0</v>
      </c>
      <c r="W23" s="2">
        <f>COUNTIFS('BA History'!$B:$B,$A$23,'BA History'!O:O, 1)</f>
        <v>0</v>
      </c>
      <c r="X23" s="2">
        <f>COUNTIFS('BA History'!$B:$B,$A$23,'BA History'!P:P, 1)</f>
        <v>0</v>
      </c>
      <c r="Y23" s="2">
        <f>COUNTIFS('BA History'!$B:$B,$A$23,'BA History'!Q:Q, 1)</f>
        <v>0</v>
      </c>
      <c r="Z23" s="2">
        <f>COUNTIFS('BA History'!$B:$B,$A$23,'BA History'!R:R, 1)</f>
        <v>0</v>
      </c>
      <c r="AA23" s="2">
        <f>COUNTIFS('BA History'!$B:$B,$A$23,'BA History'!S:S, 1)</f>
        <v>0</v>
      </c>
      <c r="AB23" s="2">
        <f>COUNTIFS('BA History'!$B:$B,$A$23,'BA History'!T:T, 1)</f>
        <v>0</v>
      </c>
      <c r="AC23" s="2">
        <f>COUNTIFS('BA History'!$B:$B,$A$23,'BA History'!U:U, 1)</f>
        <v>0</v>
      </c>
      <c r="AD23" s="2">
        <f>COUNTIFS('BA History'!$B:$B,$A$23,'BA History'!V:V, 1)</f>
        <v>0</v>
      </c>
      <c r="AE23" s="2">
        <f>COUNTIFS('BA History'!$B:$B,$A$23,'BA History'!W:W, 1)</f>
        <v>0</v>
      </c>
      <c r="AF23" s="2">
        <f>COUNTIFS('BA History'!$B:$B,$A$23,'BA History'!X:X, 1)</f>
        <v>0</v>
      </c>
      <c r="AG23" s="2">
        <f>COUNTIFS('BA History'!$B:$B,$A$23,'BA History'!Y:Y, 1)</f>
        <v>1</v>
      </c>
      <c r="AH23" s="2">
        <f>COUNTIFS('BA History'!$B:$B,$A$23,'BA History'!Z:Z, 1)</f>
        <v>1</v>
      </c>
      <c r="AI23" s="2">
        <f>COUNTIFS('BA History'!$B:$B,$A23,'BA History'!AA:AA, 1)</f>
        <v>0</v>
      </c>
      <c r="AJ23" s="2">
        <f>COUNTIFS('BA History'!$B:$B,$A$23,'BA History'!AB:AB, 1)</f>
        <v>1</v>
      </c>
      <c r="AK23" s="2">
        <f>COUNTIFS('BA History'!$B:$B,$A$23,'BA History'!AC:AC, 1)</f>
        <v>3</v>
      </c>
      <c r="AL23" s="2">
        <f>COUNTIFS('BA History'!$B:$B,$A$23,'BA History'!AD:AD, 1)</f>
        <v>0</v>
      </c>
      <c r="AM23" s="2">
        <f>COUNTIFS('BA History'!$B:$B,$A$23,'BA History'!AE:AE, 1)</f>
        <v>0</v>
      </c>
      <c r="AN23" s="2">
        <f>COUNTIFS('BA History'!$B:$B,$A$23,'BA History'!AF:AF, 1)</f>
        <v>0</v>
      </c>
      <c r="AO23" s="2">
        <f>COUNTIFS('BA History'!$B:$B,$A$23,'BA History'!AG:AG, 1)</f>
        <v>0</v>
      </c>
    </row>
    <row r="24" spans="1:41" x14ac:dyDescent="0.25">
      <c r="A24" s="2" t="s">
        <v>1</v>
      </c>
      <c r="B24" s="1" t="s">
        <v>158</v>
      </c>
      <c r="C24" s="1"/>
      <c r="D24" s="1"/>
      <c r="E24" s="1"/>
      <c r="F24" s="34">
        <f>SUMIFS('BA History'!C:C,'BA History'!B:B,A24)</f>
        <v>1146</v>
      </c>
      <c r="G24" s="66">
        <f>AVERAGEIFS('BA History'!C:C,'BA History'!B:B,A24)</f>
        <v>27.285714285714285</v>
      </c>
      <c r="H24" s="66">
        <f t="array" ref="H24">MEDIAN(IF('BA History'!B:B=A24, 'BA History'!C:C))</f>
        <v>25.5</v>
      </c>
      <c r="I24" s="35">
        <f t="array" ref="I24">MAX(IF('BA History'!B:B=A24, 'BA History'!C:C))</f>
        <v>50</v>
      </c>
      <c r="J24" s="34">
        <f>COUNTIFS('BA History'!B:B,A24,'BA History'!D:D, 1)</f>
        <v>22</v>
      </c>
      <c r="K24" s="2">
        <f>COUNTIFS('BA History'!B:B,A24,'BA History'!D:D, 0)</f>
        <v>20</v>
      </c>
      <c r="L24" s="75">
        <f>LOOKUP(2, 1/('BA History'!$B:$B=A24), 'BA History'!$AK:$AK)</f>
        <v>0.52380952380952384</v>
      </c>
      <c r="M24" s="34">
        <f>SUMIFS('BA History'!F:F,'BA History'!B:B,A24)</f>
        <v>85</v>
      </c>
      <c r="N24" s="2">
        <f>SUMIFS('BA History'!E:E,'BA History'!B:B,A24)-M24</f>
        <v>83</v>
      </c>
      <c r="O24" s="75">
        <f>LOOKUP(2, 1/('BA History'!$B:$B=A24), 'BA History'!$AI:$AI)</f>
        <v>0.50238095238095237</v>
      </c>
      <c r="P24" s="34">
        <f>SUMIFS('BA History'!H:H,'BA History'!B:B,A24)</f>
        <v>347</v>
      </c>
      <c r="Q24" s="2">
        <f>SUMIFS('BA History'!G:G,'BA History'!B:B,A24)-P24</f>
        <v>346</v>
      </c>
      <c r="R24" s="89">
        <f>LOOKUP(2, 1/('BA History'!$B:$B=A24), 'BA History'!$AJ:$AJ)</f>
        <v>0.50309523809523815</v>
      </c>
      <c r="S24" s="2">
        <f>COUNTIFS('BA History'!$B:$B,$A$24,'BA History'!K:K, 1)</f>
        <v>4</v>
      </c>
      <c r="T24" s="2">
        <f>COUNTIFS('BA History'!$B:$B,$A$24,'BA History'!L:L, 1)</f>
        <v>7</v>
      </c>
      <c r="U24" s="2">
        <f>COUNTIFS('BA History'!$B:$B,$A$24,'BA History'!M:M, 1)</f>
        <v>7</v>
      </c>
      <c r="V24" s="2">
        <f>COUNTIFS('BA History'!$B:$B,$A$24,'BA History'!N:N, 1)</f>
        <v>6</v>
      </c>
      <c r="W24" s="2">
        <f>COUNTIFS('BA History'!$B:$B,$A$24,'BA History'!O:O, 1)</f>
        <v>4</v>
      </c>
      <c r="X24" s="2">
        <f>COUNTIFS('BA History'!$B:$B,$A$24,'BA History'!P:P, 1)</f>
        <v>0</v>
      </c>
      <c r="Y24" s="2">
        <f>COUNTIFS('BA History'!$B:$B,$A$24,'BA History'!Q:Q, 1)</f>
        <v>0</v>
      </c>
      <c r="Z24" s="2">
        <f>COUNTIFS('BA History'!$B:$B,$A$24,'BA History'!R:R, 1)</f>
        <v>2</v>
      </c>
      <c r="AA24" s="2">
        <f>COUNTIFS('BA History'!$B:$B,$A$24,'BA History'!S:S, 1)</f>
        <v>2</v>
      </c>
      <c r="AB24" s="2">
        <f>COUNTIFS('BA History'!$B:$B,$A$24,'BA History'!T:T, 1)</f>
        <v>0</v>
      </c>
      <c r="AC24" s="2">
        <f>COUNTIFS('BA History'!$B:$B,$A$24,'BA History'!U:U, 1)</f>
        <v>2</v>
      </c>
      <c r="AD24" s="2">
        <f>COUNTIFS('BA History'!$B:$B,$A$24,'BA History'!V:V, 1)</f>
        <v>6</v>
      </c>
      <c r="AE24" s="2">
        <f>COUNTIFS('BA History'!$B:$B,$A$24,'BA History'!W:W, 1)</f>
        <v>2</v>
      </c>
      <c r="AF24" s="2">
        <f>COUNTIFS('BA History'!$B:$B,$A$24,'BA History'!X:X, 1)</f>
        <v>0</v>
      </c>
      <c r="AG24" s="2">
        <f>COUNTIFS('BA History'!$B:$B,$A$24,'BA History'!Y:Y, 1)</f>
        <v>6</v>
      </c>
      <c r="AH24" s="2">
        <f>COUNTIFS('BA History'!$B:$B,$A$24,'BA History'!Z:Z, 1)</f>
        <v>7</v>
      </c>
      <c r="AI24" s="2">
        <f>COUNTIFS('BA History'!$B:$B,$A24,'BA History'!AA:AA, 1)</f>
        <v>0</v>
      </c>
      <c r="AJ24" s="2">
        <f>COUNTIFS('BA History'!$B:$B,$A$24,'BA History'!AB:AB, 1)</f>
        <v>1</v>
      </c>
      <c r="AK24" s="2">
        <f>COUNTIFS('BA History'!$B:$B,$A$24,'BA History'!AC:AC, 1)</f>
        <v>7</v>
      </c>
      <c r="AL24" s="2">
        <f>COUNTIFS('BA History'!$B:$B,$A$24,'BA History'!AD:AD, 1)</f>
        <v>5</v>
      </c>
      <c r="AM24" s="2">
        <f>COUNTIFS('BA History'!$B:$B,$A$24,'BA History'!AE:AE, 1)</f>
        <v>10</v>
      </c>
      <c r="AN24" s="2">
        <f>COUNTIFS('BA History'!$B:$B,$A$24,'BA History'!AF:AF, 1)</f>
        <v>1</v>
      </c>
      <c r="AO24" s="2">
        <f>COUNTIFS('BA History'!$B:$B,$A$24,'BA History'!AG:AG, 1)</f>
        <v>6</v>
      </c>
    </row>
    <row r="25" spans="1:41" ht="15.75" x14ac:dyDescent="0.25">
      <c r="A25" s="2" t="s">
        <v>151</v>
      </c>
      <c r="B25" s="95" t="s">
        <v>79</v>
      </c>
      <c r="C25" s="95"/>
      <c r="D25" s="95"/>
      <c r="E25" s="95"/>
      <c r="F25" s="34">
        <f>SUMIFS('BA History'!C:C,'BA History'!B:B,A25)</f>
        <v>7</v>
      </c>
      <c r="G25" s="66">
        <f>AVERAGEIFS('BA History'!C:C,'BA History'!B:B,A25)</f>
        <v>7</v>
      </c>
      <c r="H25" s="66">
        <f t="array" ref="H25">MEDIAN(IF('BA History'!B:B=A25, 'BA History'!C:C))</f>
        <v>7</v>
      </c>
      <c r="I25" s="35">
        <f t="array" ref="I25">MAX(IF('BA History'!B:B=A25, 'BA History'!C:C))</f>
        <v>7</v>
      </c>
      <c r="J25" s="34">
        <f>COUNTIFS('BA History'!B:B,A25,'BA History'!D:D, 1)</f>
        <v>0</v>
      </c>
      <c r="K25" s="2">
        <f>COUNTIFS('BA History'!B:B,A25,'BA History'!D:D, 0)</f>
        <v>1</v>
      </c>
      <c r="L25" s="75">
        <f>LOOKUP(2, 1/('BA History'!$B:$B=A25), 'BA History'!$AK:$AK)</f>
        <v>0</v>
      </c>
      <c r="M25" s="34">
        <f>SUMIFS('BA History'!F:F,'BA History'!B:B,A25)</f>
        <v>1</v>
      </c>
      <c r="N25" s="2">
        <f>SUMIFS('BA History'!E:E,'BA History'!B:B,A25)-M25</f>
        <v>4</v>
      </c>
      <c r="O25" s="75">
        <f>LOOKUP(2, 1/('BA History'!$B:$B=A25), 'BA History'!$AI:$AI)</f>
        <v>0.2</v>
      </c>
      <c r="P25" s="34">
        <f>SUMIFS('BA History'!H:H,'BA History'!B:B,A25)</f>
        <v>5</v>
      </c>
      <c r="Q25" s="2">
        <f>SUMIFS('BA History'!G:G,'BA History'!B:B,A25)-P25</f>
        <v>14</v>
      </c>
      <c r="R25" s="89">
        <f>LOOKUP(2, 1/('BA History'!$B:$B=A25), 'BA History'!$AJ:$AJ)</f>
        <v>0.26</v>
      </c>
      <c r="S25" s="2">
        <f>COUNTIFS('BA History'!$B:$B,$A$25,'BA History'!K:K, 1)</f>
        <v>0</v>
      </c>
      <c r="T25" s="2">
        <f>COUNTIFS('BA History'!$B:$B,$A$25,'BA History'!L:L, 1)</f>
        <v>1</v>
      </c>
      <c r="U25" s="2">
        <f>COUNTIFS('BA History'!$B:$B,$A$25,'BA History'!M:M, 1)</f>
        <v>0</v>
      </c>
      <c r="V25" s="2">
        <f>COUNTIFS('BA History'!$B:$B,$A$25,'BA History'!N:N, 1)</f>
        <v>0</v>
      </c>
      <c r="W25" s="2">
        <f>COUNTIFS('BA History'!$B:$B,$A$25,'BA History'!O:O, 1)</f>
        <v>0</v>
      </c>
      <c r="X25" s="2">
        <f>COUNTIFS('BA History'!$B:$B,$A$25,'BA History'!P:P, 1)</f>
        <v>0</v>
      </c>
      <c r="Y25" s="2">
        <f>COUNTIFS('BA History'!$B:$B,$A$25,'BA History'!Q:Q, 1)</f>
        <v>0</v>
      </c>
      <c r="Z25" s="2">
        <f>COUNTIFS('BA History'!$B:$B,$A$25,'BA History'!R:R, 1)</f>
        <v>0</v>
      </c>
      <c r="AA25" s="2">
        <f>COUNTIFS('BA History'!$B:$B,$A$25,'BA History'!S:S, 1)</f>
        <v>0</v>
      </c>
      <c r="AB25" s="2">
        <f>COUNTIFS('BA History'!$B:$B,$A$25,'BA History'!T:T, 1)</f>
        <v>0</v>
      </c>
      <c r="AC25" s="2">
        <f>COUNTIFS('BA History'!$B:$B,$A$25,'BA History'!U:U, 1)</f>
        <v>0</v>
      </c>
      <c r="AD25" s="2">
        <f>COUNTIFS('BA History'!$B:$B,$A$25,'BA History'!V:V, 1)</f>
        <v>0</v>
      </c>
      <c r="AE25" s="2">
        <f>COUNTIFS('BA History'!$B:$B,$A$25,'BA History'!W:W, 1)</f>
        <v>0</v>
      </c>
      <c r="AF25" s="2">
        <f>COUNTIFS('BA History'!$B:$B,$A$25,'BA History'!X:X, 1)</f>
        <v>0</v>
      </c>
      <c r="AG25" s="2">
        <f>COUNTIFS('BA History'!$B:$B,$A$25,'BA History'!Y:Y, 1)</f>
        <v>0</v>
      </c>
      <c r="AH25" s="2">
        <f>COUNTIFS('BA History'!$B:$B,$A$25,'BA History'!Z:Z, 1)</f>
        <v>0</v>
      </c>
      <c r="AI25" s="2">
        <f>COUNTIFS('BA History'!$B:$B,$A25,'BA History'!AA:AA, 1)</f>
        <v>0</v>
      </c>
      <c r="AJ25" s="2">
        <f>COUNTIFS('BA History'!$B:$B,$A$25,'BA History'!AB:AB, 1)</f>
        <v>0</v>
      </c>
      <c r="AK25" s="2">
        <f>COUNTIFS('BA History'!$B:$B,$A$25,'BA History'!AC:AC, 1)</f>
        <v>0</v>
      </c>
      <c r="AL25" s="2">
        <f>COUNTIFS('BA History'!$B:$B,$A$25,'BA History'!AD:AD, 1)</f>
        <v>0</v>
      </c>
      <c r="AM25" s="2">
        <f>COUNTIFS('BA History'!$B:$B,$A$25,'BA History'!AE:AE, 1)</f>
        <v>0</v>
      </c>
      <c r="AN25" s="2">
        <f>COUNTIFS('BA History'!$B:$B,$A$25,'BA History'!AF:AF, 1)</f>
        <v>0</v>
      </c>
      <c r="AO25" s="2">
        <f>COUNTIFS('BA History'!$B:$B,$A$25,'BA History'!AG:AG, 1)</f>
        <v>0</v>
      </c>
    </row>
    <row r="26" spans="1:41" ht="15.75" x14ac:dyDescent="0.25">
      <c r="A26" s="2" t="s">
        <v>150</v>
      </c>
      <c r="B26" s="95" t="s">
        <v>79</v>
      </c>
      <c r="C26" s="95">
        <v>2</v>
      </c>
      <c r="D26" s="95"/>
      <c r="E26" s="95"/>
      <c r="F26" s="34">
        <f>SUMIFS('BA History'!C:C,'BA History'!B:B,A26)</f>
        <v>560</v>
      </c>
      <c r="G26" s="66">
        <f>AVERAGEIFS('BA History'!C:C,'BA History'!B:B,A26)</f>
        <v>19.310344827586206</v>
      </c>
      <c r="H26" s="66">
        <f t="array" ref="H26">MEDIAN(IF('BA History'!B:B=A26, 'BA History'!C:C))</f>
        <v>18</v>
      </c>
      <c r="I26" s="35">
        <f t="array" ref="I26">MAX(IF('BA History'!B:B=A26, 'BA History'!C:C))</f>
        <v>33</v>
      </c>
      <c r="J26" s="34">
        <f>COUNTIFS('BA History'!B:B,A26,'BA History'!D:D, 1)</f>
        <v>18</v>
      </c>
      <c r="K26" s="2">
        <f>COUNTIFS('BA History'!B:B,A26,'BA History'!D:D, 0)</f>
        <v>11</v>
      </c>
      <c r="L26" s="75">
        <f>LOOKUP(2, 1/('BA History'!$B:$B=A26), 'BA History'!$AK:$AK)</f>
        <v>0.62068965517241381</v>
      </c>
      <c r="M26" s="34">
        <f>SUMIFS('BA History'!F:F,'BA History'!B:B,A26)</f>
        <v>68</v>
      </c>
      <c r="N26" s="2">
        <f>SUMIFS('BA History'!E:E,'BA History'!B:B,A26)-M26</f>
        <v>51</v>
      </c>
      <c r="O26" s="75">
        <f>LOOKUP(2, 1/('BA History'!$B:$B=A26), 'BA History'!$AI:$AI)</f>
        <v>0.58275862068965512</v>
      </c>
      <c r="P26" s="34">
        <f>SUMIFS('BA History'!H:H,'BA History'!B:B,A26)</f>
        <v>266</v>
      </c>
      <c r="Q26" s="2">
        <f>SUMIFS('BA History'!G:G,'BA History'!B:B,A26)-P26</f>
        <v>221</v>
      </c>
      <c r="R26" s="89">
        <f>LOOKUP(2, 1/('BA History'!$B:$B=A26), 'BA History'!$AJ:$AJ)</f>
        <v>0.5617241379310346</v>
      </c>
      <c r="S26" s="2">
        <f>COUNTIFS('BA History'!$B:$B,$A$26,'BA History'!K:K, 1)</f>
        <v>2</v>
      </c>
      <c r="T26" s="2">
        <f>COUNTIFS('BA History'!$B:$B,$A$26,'BA History'!L:L, 1)</f>
        <v>2</v>
      </c>
      <c r="U26" s="2">
        <f>COUNTIFS('BA History'!$B:$B,$A$26,'BA History'!M:M, 1)</f>
        <v>7</v>
      </c>
      <c r="V26" s="2">
        <f>COUNTIFS('BA History'!$B:$B,$A$26,'BA History'!N:N, 1)</f>
        <v>8</v>
      </c>
      <c r="W26" s="2">
        <f>COUNTIFS('BA History'!$B:$B,$A$26,'BA History'!O:O, 1)</f>
        <v>1</v>
      </c>
      <c r="X26" s="2">
        <f>COUNTIFS('BA History'!$B:$B,$A$26,'BA History'!P:P, 1)</f>
        <v>1</v>
      </c>
      <c r="Y26" s="2">
        <f>COUNTIFS('BA History'!$B:$B,$A$26,'BA History'!Q:Q, 1)</f>
        <v>3</v>
      </c>
      <c r="Z26" s="2">
        <f>COUNTIFS('BA History'!$B:$B,$A$26,'BA History'!R:R, 1)</f>
        <v>0</v>
      </c>
      <c r="AA26" s="2">
        <f>COUNTIFS('BA History'!$B:$B,$A$26,'BA History'!S:S, 1)</f>
        <v>1</v>
      </c>
      <c r="AB26" s="2">
        <f>COUNTIFS('BA History'!$B:$B,$A$26,'BA History'!T:T, 1)</f>
        <v>0</v>
      </c>
      <c r="AC26" s="2">
        <f>COUNTIFS('BA History'!$B:$B,$A$26,'BA History'!U:U, 1)</f>
        <v>2</v>
      </c>
      <c r="AD26" s="2">
        <f>COUNTIFS('BA History'!$B:$B,$A$26,'BA History'!V:V, 1)</f>
        <v>4</v>
      </c>
      <c r="AE26" s="2">
        <f>COUNTIFS('BA History'!$B:$B,$A$26,'BA History'!W:W, 1)</f>
        <v>3</v>
      </c>
      <c r="AF26" s="2">
        <f>COUNTIFS('BA History'!$B:$B,$A$26,'BA History'!X:X, 1)</f>
        <v>0</v>
      </c>
      <c r="AG26" s="2">
        <f>COUNTIFS('BA History'!$B:$B,$A$26,'BA History'!Y:Y, 1)</f>
        <v>4</v>
      </c>
      <c r="AH26" s="2">
        <f>COUNTIFS('BA History'!$B:$B,$A$26,'BA History'!Z:Z, 1)</f>
        <v>10</v>
      </c>
      <c r="AI26" s="2">
        <f>COUNTIFS('BA History'!$B:$B,$A26,'BA History'!AA:AA, 1)</f>
        <v>1</v>
      </c>
      <c r="AJ26" s="2">
        <f>COUNTIFS('BA History'!$B:$B,$A$26,'BA History'!AB:AB, 1)</f>
        <v>1</v>
      </c>
      <c r="AK26" s="2">
        <f>COUNTIFS('BA History'!$B:$B,$A$26,'BA History'!AC:AC, 1)</f>
        <v>8</v>
      </c>
      <c r="AL26" s="2">
        <f>COUNTIFS('BA History'!$B:$B,$A$26,'BA History'!AD:AD, 1)</f>
        <v>2</v>
      </c>
      <c r="AM26" s="2">
        <f>COUNTIFS('BA History'!$B:$B,$A$26,'BA History'!AE:AE, 1)</f>
        <v>4</v>
      </c>
      <c r="AN26" s="2">
        <f>COUNTIFS('BA History'!$B:$B,$A$26,'BA History'!AF:AF, 1)</f>
        <v>0</v>
      </c>
      <c r="AO26" s="2">
        <f>COUNTIFS('BA History'!$B:$B,$A$26,'BA History'!AG:AG, 1)</f>
        <v>4</v>
      </c>
    </row>
    <row r="27" spans="1:41" x14ac:dyDescent="0.25">
      <c r="A27" s="2" t="s">
        <v>46</v>
      </c>
      <c r="B27" s="1" t="s">
        <v>158</v>
      </c>
      <c r="C27" s="1"/>
      <c r="D27" s="1"/>
      <c r="E27" s="1"/>
      <c r="F27" s="34">
        <f>SUMIFS('BA History'!C:C,'BA History'!B:B,A27)</f>
        <v>531</v>
      </c>
      <c r="G27" s="66">
        <f>AVERAGEIFS('BA History'!C:C,'BA History'!B:B,A27)</f>
        <v>17.7</v>
      </c>
      <c r="H27" s="66">
        <f t="array" ref="H27">MEDIAN(IF('BA History'!B:B=A27, 'BA History'!C:C))</f>
        <v>17.5</v>
      </c>
      <c r="I27" s="35">
        <f t="array" ref="I27">MAX(IF('BA History'!B:B=A27, 'BA History'!C:C))</f>
        <v>34</v>
      </c>
      <c r="J27" s="34">
        <f>COUNTIFS('BA History'!B:B,A27,'BA History'!D:D, 1)</f>
        <v>10</v>
      </c>
      <c r="K27" s="2">
        <f>COUNTIFS('BA History'!B:B,A27,'BA History'!D:D, 0)</f>
        <v>20</v>
      </c>
      <c r="L27" s="75">
        <f>LOOKUP(2, 1/('BA History'!$B:$B=A27), 'BA History'!$AK:$AK)</f>
        <v>0.33333333333333331</v>
      </c>
      <c r="M27" s="34">
        <f>SUMIFS('BA History'!F:F,'BA History'!B:B,A27)</f>
        <v>52</v>
      </c>
      <c r="N27" s="2">
        <f>SUMIFS('BA History'!E:E,'BA History'!B:B,A27)-M27</f>
        <v>75</v>
      </c>
      <c r="O27" s="75">
        <f>LOOKUP(2, 1/('BA History'!$B:$B=A27), 'BA History'!$AI:$AI)</f>
        <v>0.38833333333333331</v>
      </c>
      <c r="P27" s="34">
        <f>SUMIFS('BA History'!H:H,'BA History'!B:B,A27)</f>
        <v>238</v>
      </c>
      <c r="Q27" s="2">
        <f>SUMIFS('BA History'!G:G,'BA History'!B:B,A27)-P27</f>
        <v>290</v>
      </c>
      <c r="R27" s="89">
        <f>LOOKUP(2, 1/('BA History'!$B:$B=A27), 'BA History'!$AJ:$AJ)</f>
        <v>0.4346666666666667</v>
      </c>
      <c r="S27" s="2">
        <f>COUNTIFS('BA History'!$B:$B,$A$27,'BA History'!K:K, 1)</f>
        <v>6</v>
      </c>
      <c r="T27" s="2">
        <f>COUNTIFS('BA History'!$B:$B,$A$27,'BA History'!L:L, 1)</f>
        <v>4</v>
      </c>
      <c r="U27" s="2">
        <f>COUNTIFS('BA History'!$B:$B,$A$27,'BA History'!M:M, 1)</f>
        <v>4</v>
      </c>
      <c r="V27" s="2">
        <f>COUNTIFS('BA History'!$B:$B,$A$27,'BA History'!N:N, 1)</f>
        <v>4</v>
      </c>
      <c r="W27" s="2">
        <f>COUNTIFS('BA History'!$B:$B,$A$27,'BA History'!O:O, 1)</f>
        <v>1</v>
      </c>
      <c r="X27" s="2">
        <f>COUNTIFS('BA History'!$B:$B,$A$27,'BA History'!P:P, 1)</f>
        <v>0</v>
      </c>
      <c r="Y27" s="2">
        <f>COUNTIFS('BA History'!$B:$B,$A$27,'BA History'!Q:Q, 1)</f>
        <v>0</v>
      </c>
      <c r="Z27" s="2">
        <f>COUNTIFS('BA History'!$B:$B,$A$27,'BA History'!R:R, 1)</f>
        <v>1</v>
      </c>
      <c r="AA27" s="2">
        <f>COUNTIFS('BA History'!$B:$B,$A$27,'BA History'!S:S, 1)</f>
        <v>0</v>
      </c>
      <c r="AB27" s="2">
        <f>COUNTIFS('BA History'!$B:$B,$A$27,'BA History'!T:T, 1)</f>
        <v>0</v>
      </c>
      <c r="AC27" s="2">
        <f>COUNTIFS('BA History'!$B:$B,$A$27,'BA History'!U:U, 1)</f>
        <v>1</v>
      </c>
      <c r="AD27" s="2">
        <f>COUNTIFS('BA History'!$B:$B,$A$27,'BA History'!V:V, 1)</f>
        <v>1</v>
      </c>
      <c r="AE27" s="2">
        <f>COUNTIFS('BA History'!$B:$B,$A$27,'BA History'!W:W, 1)</f>
        <v>3</v>
      </c>
      <c r="AF27" s="2">
        <f>COUNTIFS('BA History'!$B:$B,$A$27,'BA History'!X:X, 1)</f>
        <v>1</v>
      </c>
      <c r="AG27" s="2">
        <f>COUNTIFS('BA History'!$B:$B,$A$27,'BA History'!Y:Y, 1)</f>
        <v>1</v>
      </c>
      <c r="AH27" s="2">
        <f>COUNTIFS('BA History'!$B:$B,$A$27,'BA History'!Z:Z, 1)</f>
        <v>7</v>
      </c>
      <c r="AI27" s="2">
        <f>COUNTIFS('BA History'!$B:$B,$A27,'BA History'!AA:AA, 1)</f>
        <v>0</v>
      </c>
      <c r="AJ27" s="2">
        <f>COUNTIFS('BA History'!$B:$B,$A$27,'BA History'!AB:AB, 1)</f>
        <v>2</v>
      </c>
      <c r="AK27" s="2">
        <f>COUNTIFS('BA History'!$B:$B,$A$27,'BA History'!AC:AC, 1)</f>
        <v>6</v>
      </c>
      <c r="AL27" s="2">
        <f>COUNTIFS('BA History'!$B:$B,$A$27,'BA History'!AD:AD, 1)</f>
        <v>1</v>
      </c>
      <c r="AM27" s="2">
        <f>COUNTIFS('BA History'!$B:$B,$A$27,'BA History'!AE:AE, 1)</f>
        <v>3</v>
      </c>
      <c r="AN27" s="2">
        <f>COUNTIFS('BA History'!$B:$B,$A$27,'BA History'!AF:AF, 1)</f>
        <v>2</v>
      </c>
      <c r="AO27" s="2">
        <f>COUNTIFS('BA History'!$B:$B,$A$27,'BA History'!AG:AG, 1)</f>
        <v>4</v>
      </c>
    </row>
    <row r="28" spans="1:41" x14ac:dyDescent="0.25">
      <c r="A28" s="2" t="s">
        <v>28</v>
      </c>
      <c r="B28" s="2" t="s">
        <v>79</v>
      </c>
      <c r="C28" s="2"/>
      <c r="D28" s="2"/>
      <c r="E28" s="2"/>
      <c r="F28" s="34">
        <f>SUMIFS('BA History'!C:C,'BA History'!B:B,A28)</f>
        <v>418</v>
      </c>
      <c r="G28" s="66">
        <f>AVERAGEIFS('BA History'!C:C,'BA History'!B:B,A28)</f>
        <v>13.483870967741936</v>
      </c>
      <c r="H28" s="66">
        <f t="array" ref="H28">MEDIAN(IF('BA History'!B:B=A28, 'BA History'!C:C))</f>
        <v>14</v>
      </c>
      <c r="I28" s="35">
        <f t="array" ref="I28">MAX(IF('BA History'!B:B=A28, 'BA History'!C:C))</f>
        <v>25</v>
      </c>
      <c r="J28" s="34">
        <f>COUNTIFS('BA History'!B:B,A28,'BA History'!D:D, 1)</f>
        <v>13</v>
      </c>
      <c r="K28" s="2">
        <f>COUNTIFS('BA History'!B:B,A28,'BA History'!D:D, 0)</f>
        <v>18</v>
      </c>
      <c r="L28" s="75">
        <f>LOOKUP(2, 1/('BA History'!$B:$B=A28), 'BA History'!$AK:$AK)</f>
        <v>0.41935483870967744</v>
      </c>
      <c r="M28" s="34">
        <f>SUMIFS('BA History'!F:F,'BA History'!B:B,A28)</f>
        <v>53</v>
      </c>
      <c r="N28" s="2">
        <f>SUMIFS('BA History'!E:E,'BA History'!B:B,A28)-M28</f>
        <v>64</v>
      </c>
      <c r="O28" s="75">
        <f>LOOKUP(2, 1/('BA History'!$B:$B=A28), 'BA History'!$AI:$AI)</f>
        <v>0.45580645161290317</v>
      </c>
      <c r="P28" s="34">
        <f>SUMIFS('BA History'!H:H,'BA History'!B:B,A28)</f>
        <v>225</v>
      </c>
      <c r="Q28" s="2">
        <f>SUMIFS('BA History'!G:G,'BA History'!B:B,A28)-P28</f>
        <v>250</v>
      </c>
      <c r="R28" s="89">
        <f>LOOKUP(2, 1/('BA History'!$B:$B=A28), 'BA History'!$AJ:$AJ)</f>
        <v>0.46838709677419349</v>
      </c>
      <c r="S28" s="2">
        <f>COUNTIFS('BA History'!$B:$B,$A$28,'BA History'!K:K, 1)</f>
        <v>2</v>
      </c>
      <c r="T28" s="2">
        <f>COUNTIFS('BA History'!$B:$B,$A$28,'BA History'!L:L, 1)</f>
        <v>4</v>
      </c>
      <c r="U28" s="2">
        <f>COUNTIFS('BA History'!$B:$B,$A$28,'BA History'!M:M, 1)</f>
        <v>3</v>
      </c>
      <c r="V28" s="2">
        <f>COUNTIFS('BA History'!$B:$B,$A$28,'BA History'!N:N, 1)</f>
        <v>5</v>
      </c>
      <c r="W28" s="2">
        <f>COUNTIFS('BA History'!$B:$B,$A$28,'BA History'!O:O, 1)</f>
        <v>4</v>
      </c>
      <c r="X28" s="2">
        <f>COUNTIFS('BA History'!$B:$B,$A$28,'BA History'!P:P, 1)</f>
        <v>1</v>
      </c>
      <c r="Y28" s="2">
        <f>COUNTIFS('BA History'!$B:$B,$A$28,'BA History'!Q:Q, 1)</f>
        <v>2</v>
      </c>
      <c r="Z28" s="2">
        <f>COUNTIFS('BA History'!$B:$B,$A$28,'BA History'!R:R, 1)</f>
        <v>1</v>
      </c>
      <c r="AA28" s="2">
        <f>COUNTIFS('BA History'!$B:$B,$A$28,'BA History'!S:S, 1)</f>
        <v>1</v>
      </c>
      <c r="AB28" s="2">
        <f>COUNTIFS('BA History'!$B:$B,$A$28,'BA History'!T:T, 1)</f>
        <v>1</v>
      </c>
      <c r="AC28" s="2">
        <f>COUNTIFS('BA History'!$B:$B,$A$28,'BA History'!U:U, 1)</f>
        <v>3</v>
      </c>
      <c r="AD28" s="2">
        <f>COUNTIFS('BA History'!$B:$B,$A$28,'BA History'!V:V, 1)</f>
        <v>2</v>
      </c>
      <c r="AE28" s="2">
        <f>COUNTIFS('BA History'!$B:$B,$A$28,'BA History'!W:W, 1)</f>
        <v>0</v>
      </c>
      <c r="AF28" s="2">
        <f>COUNTIFS('BA History'!$B:$B,$A$28,'BA History'!X:X, 1)</f>
        <v>1</v>
      </c>
      <c r="AG28" s="2">
        <f>COUNTIFS('BA History'!$B:$B,$A$28,'BA History'!Y:Y, 1)</f>
        <v>3</v>
      </c>
      <c r="AH28" s="2">
        <f>COUNTIFS('BA History'!$B:$B,$A$28,'BA History'!Z:Z, 1)</f>
        <v>4</v>
      </c>
      <c r="AI28" s="2">
        <f>COUNTIFS('BA History'!$B:$B,$A28,'BA History'!AA:AA, 1)</f>
        <v>0</v>
      </c>
      <c r="AJ28" s="2">
        <f>COUNTIFS('BA History'!$B:$B,$A$28,'BA History'!AB:AB, 1)</f>
        <v>2</v>
      </c>
      <c r="AK28" s="2">
        <f>COUNTIFS('BA History'!$B:$B,$A$28,'BA History'!AC:AC, 1)</f>
        <v>4</v>
      </c>
      <c r="AL28" s="2">
        <f>COUNTIFS('BA History'!$B:$B,$A$28,'BA History'!AD:AD, 1)</f>
        <v>3</v>
      </c>
      <c r="AM28" s="2">
        <f>COUNTIFS('BA History'!$B:$B,$A$28,'BA History'!AE:AE, 1)</f>
        <v>6</v>
      </c>
      <c r="AN28" s="2">
        <f>COUNTIFS('BA History'!$B:$B,$A$28,'BA History'!AF:AF, 1)</f>
        <v>0</v>
      </c>
      <c r="AO28" s="2">
        <f>COUNTIFS('BA History'!$B:$B,$A$28,'BA History'!AG:AG, 1)</f>
        <v>1</v>
      </c>
    </row>
    <row r="29" spans="1:41" x14ac:dyDescent="0.25">
      <c r="A29" s="2" t="s">
        <v>53</v>
      </c>
      <c r="B29" s="2" t="s">
        <v>79</v>
      </c>
      <c r="C29" s="2">
        <v>1</v>
      </c>
      <c r="D29" s="2"/>
      <c r="E29" s="2"/>
      <c r="F29" s="34">
        <f>SUMIFS('BA History'!C:C,'BA History'!B:B,A29)</f>
        <v>472</v>
      </c>
      <c r="G29" s="66">
        <f>AVERAGEIFS('BA History'!C:C,'BA History'!B:B,A29)</f>
        <v>15.225806451612904</v>
      </c>
      <c r="H29" s="66">
        <f t="array" ref="H29">MEDIAN(IF('BA History'!B:B=A29, 'BA History'!C:C))</f>
        <v>14</v>
      </c>
      <c r="I29" s="35">
        <f t="array" ref="I29">MAX(IF('BA History'!B:B=A29, 'BA History'!C:C))</f>
        <v>36</v>
      </c>
      <c r="J29" s="34">
        <f>COUNTIFS('BA History'!B:B,A29,'BA History'!D:D, 1)</f>
        <v>12</v>
      </c>
      <c r="K29" s="2">
        <f>COUNTIFS('BA History'!B:B,A29,'BA History'!D:D, 0)</f>
        <v>19</v>
      </c>
      <c r="L29" s="75">
        <f>LOOKUP(2, 1/('BA History'!$B:$B=A29), 'BA History'!$AK:$AK)</f>
        <v>0.38709677419354838</v>
      </c>
      <c r="M29" s="34">
        <f>SUMIFS('BA History'!F:F,'BA History'!B:B,A29)</f>
        <v>56</v>
      </c>
      <c r="N29" s="2">
        <f>SUMIFS('BA History'!E:E,'BA History'!B:B,A29)-M29</f>
        <v>63</v>
      </c>
      <c r="O29" s="75">
        <f>LOOKUP(2, 1/('BA History'!$B:$B=A29), 'BA History'!$AI:$AI)</f>
        <v>0.48387096774193555</v>
      </c>
      <c r="P29" s="34">
        <f>SUMIFS('BA History'!H:H,'BA History'!B:B,A29)</f>
        <v>237</v>
      </c>
      <c r="Q29" s="2">
        <f>SUMIFS('BA History'!G:G,'BA History'!B:B,A29)-P29</f>
        <v>251</v>
      </c>
      <c r="R29" s="89">
        <f>LOOKUP(2, 1/('BA History'!$B:$B=A29), 'BA History'!$AJ:$AJ)</f>
        <v>0.49129032258064526</v>
      </c>
      <c r="S29" s="2">
        <f>COUNTIFS('BA History'!$B:$B,$A$29,'BA History'!K:K, 1)</f>
        <v>2</v>
      </c>
      <c r="T29" s="2">
        <f>COUNTIFS('BA History'!$B:$B,$A$29,'BA History'!L:L, 1)</f>
        <v>5</v>
      </c>
      <c r="U29" s="2">
        <f>COUNTIFS('BA History'!$B:$B,$A$29,'BA History'!M:M, 1)</f>
        <v>0</v>
      </c>
      <c r="V29" s="2">
        <f>COUNTIFS('BA History'!$B:$B,$A$29,'BA History'!N:N, 1)</f>
        <v>7</v>
      </c>
      <c r="W29" s="2">
        <f>COUNTIFS('BA History'!$B:$B,$A$29,'BA History'!O:O, 1)</f>
        <v>1</v>
      </c>
      <c r="X29" s="2">
        <f>COUNTIFS('BA History'!$B:$B,$A$29,'BA History'!P:P, 1)</f>
        <v>0</v>
      </c>
      <c r="Y29" s="2">
        <f>COUNTIFS('BA History'!$B:$B,$A$29,'BA History'!Q:Q, 1)</f>
        <v>2</v>
      </c>
      <c r="Z29" s="2">
        <f>COUNTIFS('BA History'!$B:$B,$A$29,'BA History'!R:R, 1)</f>
        <v>1</v>
      </c>
      <c r="AA29" s="2">
        <f>COUNTIFS('BA History'!$B:$B,$A$29,'BA History'!S:S, 1)</f>
        <v>0</v>
      </c>
      <c r="AB29" s="2">
        <f>COUNTIFS('BA History'!$B:$B,$A$29,'BA History'!T:T, 1)</f>
        <v>0</v>
      </c>
      <c r="AC29" s="2">
        <f>COUNTIFS('BA History'!$B:$B,$A$29,'BA History'!U:U, 1)</f>
        <v>1</v>
      </c>
      <c r="AD29" s="2">
        <f>COUNTIFS('BA History'!$B:$B,$A$29,'BA History'!V:V, 1)</f>
        <v>2</v>
      </c>
      <c r="AE29" s="2">
        <f>COUNTIFS('BA History'!$B:$B,$A$29,'BA History'!W:W, 1)</f>
        <v>1</v>
      </c>
      <c r="AF29" s="2">
        <f>COUNTIFS('BA History'!$B:$B,$A$29,'BA History'!X:X, 1)</f>
        <v>1</v>
      </c>
      <c r="AG29" s="2">
        <f>COUNTIFS('BA History'!$B:$B,$A$29,'BA History'!Y:Y, 1)</f>
        <v>3</v>
      </c>
      <c r="AH29" s="2">
        <f>COUNTIFS('BA History'!$B:$B,$A$29,'BA History'!Z:Z, 1)</f>
        <v>10</v>
      </c>
      <c r="AI29" s="2">
        <f>COUNTIFS('BA History'!$B:$B,$A29,'BA History'!AA:AA, 1)</f>
        <v>0</v>
      </c>
      <c r="AJ29" s="2">
        <f>COUNTIFS('BA History'!$B:$B,$A$29,'BA History'!AB:AB, 1)</f>
        <v>1</v>
      </c>
      <c r="AK29" s="2">
        <f>COUNTIFS('BA History'!$B:$B,$A$29,'BA History'!AC:AC, 1)</f>
        <v>9</v>
      </c>
      <c r="AL29" s="2">
        <f>COUNTIFS('BA History'!$B:$B,$A$29,'BA History'!AD:AD, 1)</f>
        <v>3</v>
      </c>
      <c r="AM29" s="2">
        <f>COUNTIFS('BA History'!$B:$B,$A$29,'BA History'!AE:AE, 1)</f>
        <v>2</v>
      </c>
      <c r="AN29" s="2">
        <f>COUNTIFS('BA History'!$B:$B,$A$29,'BA History'!AF:AF, 1)</f>
        <v>1</v>
      </c>
      <c r="AO29" s="2">
        <f>COUNTIFS('BA History'!$B:$B,$A$29,'BA History'!AG:AG, 1)</f>
        <v>4</v>
      </c>
    </row>
    <row r="30" spans="1:41" x14ac:dyDescent="0.25">
      <c r="A30" s="2" t="s">
        <v>51</v>
      </c>
      <c r="B30" s="2" t="s">
        <v>79</v>
      </c>
      <c r="C30" s="2"/>
      <c r="D30" s="2"/>
      <c r="E30" s="2"/>
      <c r="F30" s="34">
        <f>SUMIFS('BA History'!C:C,'BA History'!B:B,A30)</f>
        <v>21</v>
      </c>
      <c r="G30" s="66">
        <f>AVERAGEIFS('BA History'!C:C,'BA History'!B:B,A30)</f>
        <v>10.5</v>
      </c>
      <c r="H30" s="66">
        <f t="array" ref="H30">MEDIAN(IF('BA History'!B:B=A30, 'BA History'!C:C))</f>
        <v>10.5</v>
      </c>
      <c r="I30" s="35">
        <f t="array" ref="I30">MAX(IF('BA History'!B:B=A30, 'BA History'!C:C))</f>
        <v>16</v>
      </c>
      <c r="J30" s="34">
        <f>COUNTIFS('BA History'!B:B,A30,'BA History'!D:D, 1)</f>
        <v>1</v>
      </c>
      <c r="K30" s="2">
        <f>COUNTIFS('BA History'!B:B,A30,'BA History'!D:D, 0)</f>
        <v>1</v>
      </c>
      <c r="L30" s="75">
        <f>LOOKUP(2, 1/('BA History'!$B:$B=A30), 'BA History'!$AK:$AK)</f>
        <v>0.5</v>
      </c>
      <c r="M30" s="34">
        <f>SUMIFS('BA History'!F:F,'BA History'!B:B,A30)</f>
        <v>2</v>
      </c>
      <c r="N30" s="2">
        <f>SUMIFS('BA History'!E:E,'BA History'!B:B,A30)-M30</f>
        <v>4</v>
      </c>
      <c r="O30" s="75">
        <f>LOOKUP(2, 1/('BA History'!$B:$B=A30), 'BA History'!$AI:$AI)</f>
        <v>0.33500000000000002</v>
      </c>
      <c r="P30" s="34">
        <f>SUMIFS('BA History'!H:H,'BA History'!B:B,A30)</f>
        <v>10</v>
      </c>
      <c r="Q30" s="2">
        <f>SUMIFS('BA History'!G:G,'BA History'!B:B,A30)-P30</f>
        <v>16</v>
      </c>
      <c r="R30" s="89">
        <f>LOOKUP(2, 1/('BA History'!$B:$B=A30), 'BA History'!$AJ:$AJ)</f>
        <v>0.35499999999999998</v>
      </c>
      <c r="S30" s="2">
        <f>COUNTIFS('BA History'!$B:$B,$A$30,'BA History'!K:K, 1)</f>
        <v>0</v>
      </c>
      <c r="T30" s="2">
        <f>COUNTIFS('BA History'!$B:$B,$A$30,'BA History'!L:L, 1)</f>
        <v>0</v>
      </c>
      <c r="U30" s="2">
        <f>COUNTIFS('BA History'!$B:$B,$A$30,'BA History'!M:M, 1)</f>
        <v>0</v>
      </c>
      <c r="V30" s="2">
        <f>COUNTIFS('BA History'!$B:$B,$A$30,'BA History'!N:N, 1)</f>
        <v>0</v>
      </c>
      <c r="W30" s="2">
        <f>COUNTIFS('BA History'!$B:$B,$A$30,'BA History'!O:O, 1)</f>
        <v>0</v>
      </c>
      <c r="X30" s="2">
        <f>COUNTIFS('BA History'!$B:$B,$A$30,'BA History'!P:P, 1)</f>
        <v>0</v>
      </c>
      <c r="Y30" s="2">
        <f>COUNTIFS('BA History'!$B:$B,$A$30,'BA History'!Q:Q, 1)</f>
        <v>0</v>
      </c>
      <c r="Z30" s="2">
        <f>COUNTIFS('BA History'!$B:$B,$A$30,'BA History'!R:R, 1)</f>
        <v>0</v>
      </c>
      <c r="AA30" s="2">
        <f>COUNTIFS('BA History'!$B:$B,$A$30,'BA History'!S:S, 1)</f>
        <v>0</v>
      </c>
      <c r="AB30" s="2">
        <f>COUNTIFS('BA History'!$B:$B,$A$30,'BA History'!T:T, 1)</f>
        <v>0</v>
      </c>
      <c r="AC30" s="2">
        <f>COUNTIFS('BA History'!$B:$B,$A$30,'BA History'!U:U, 1)</f>
        <v>0</v>
      </c>
      <c r="AD30" s="2">
        <f>COUNTIFS('BA History'!$B:$B,$A$30,'BA History'!V:V, 1)</f>
        <v>0</v>
      </c>
      <c r="AE30" s="2">
        <f>COUNTIFS('BA History'!$B:$B,$A$30,'BA History'!W:W, 1)</f>
        <v>0</v>
      </c>
      <c r="AF30" s="2">
        <f>COUNTIFS('BA History'!$B:$B,$A$30,'BA History'!X:X, 1)</f>
        <v>0</v>
      </c>
      <c r="AG30" s="2">
        <f>COUNTIFS('BA History'!$B:$B,$A$30,'BA History'!Y:Y, 1)</f>
        <v>1</v>
      </c>
      <c r="AH30" s="2">
        <f>COUNTIFS('BA History'!$B:$B,$A$30,'BA History'!Z:Z, 1)</f>
        <v>0</v>
      </c>
      <c r="AI30" s="2">
        <f>COUNTIFS('BA History'!$B:$B,$A30,'BA History'!AA:AA, 1)</f>
        <v>0</v>
      </c>
      <c r="AJ30" s="2">
        <f>COUNTIFS('BA History'!$B:$B,$A$30,'BA History'!AB:AB, 1)</f>
        <v>0</v>
      </c>
      <c r="AK30" s="2">
        <f>COUNTIFS('BA History'!$B:$B,$A$30,'BA History'!AC:AC, 1)</f>
        <v>0</v>
      </c>
      <c r="AL30" s="2">
        <f>COUNTIFS('BA History'!$B:$B,$A$30,'BA History'!AD:AD, 1)</f>
        <v>1</v>
      </c>
      <c r="AM30" s="2">
        <f>COUNTIFS('BA History'!$B:$B,$A$30,'BA History'!AE:AE, 1)</f>
        <v>0</v>
      </c>
      <c r="AN30" s="2">
        <f>COUNTIFS('BA History'!$B:$B,$A$30,'BA History'!AF:AF, 1)</f>
        <v>0</v>
      </c>
      <c r="AO30" s="2">
        <f>COUNTIFS('BA History'!$B:$B,$A$30,'BA History'!AG:AG, 1)</f>
        <v>0</v>
      </c>
    </row>
    <row r="31" spans="1:41" x14ac:dyDescent="0.25">
      <c r="A31" s="2" t="s">
        <v>47</v>
      </c>
      <c r="B31" s="2" t="s">
        <v>79</v>
      </c>
      <c r="C31" s="2"/>
      <c r="D31" s="2"/>
      <c r="E31" s="2"/>
      <c r="F31" s="34">
        <f>SUMIFS('BA History'!C:C,'BA History'!B:B,A31)</f>
        <v>48</v>
      </c>
      <c r="G31" s="66">
        <f>AVERAGEIFS('BA History'!C:C,'BA History'!B:B,A31)</f>
        <v>6.8571428571428568</v>
      </c>
      <c r="H31" s="66">
        <f t="array" ref="H31">MEDIAN(IF('BA History'!B:B=A31, 'BA History'!C:C))</f>
        <v>8</v>
      </c>
      <c r="I31" s="35">
        <f t="array" ref="I31">MAX(IF('BA History'!B:B=A31, 'BA History'!C:C))</f>
        <v>11</v>
      </c>
      <c r="J31" s="34">
        <f>COUNTIFS('BA History'!B:B,A31,'BA History'!D:D, 1)</f>
        <v>3</v>
      </c>
      <c r="K31" s="2">
        <f>COUNTIFS('BA History'!B:B,A31,'BA History'!D:D, 0)</f>
        <v>4</v>
      </c>
      <c r="L31" s="75">
        <f>LOOKUP(2, 1/('BA History'!$B:$B=A31), 'BA History'!$AK:$AK)</f>
        <v>0.42857142857142855</v>
      </c>
      <c r="M31" s="34">
        <f>SUMIFS('BA History'!F:F,'BA History'!B:B,A31)</f>
        <v>16</v>
      </c>
      <c r="N31" s="2">
        <f>SUMIFS('BA History'!E:E,'BA History'!B:B,A31)-M31</f>
        <v>15</v>
      </c>
      <c r="O31" s="75">
        <f>LOOKUP(2, 1/('BA History'!$B:$B=A31), 'BA History'!$AI:$AI)</f>
        <v>0.54285714285714282</v>
      </c>
      <c r="P31" s="34">
        <f>SUMIFS('BA History'!H:H,'BA History'!B:B,A31)</f>
        <v>61</v>
      </c>
      <c r="Q31" s="2">
        <f>SUMIFS('BA History'!G:G,'BA History'!B:B,A31)-P31</f>
        <v>61</v>
      </c>
      <c r="R31" s="89">
        <f>LOOKUP(2, 1/('BA History'!$B:$B=A31), 'BA History'!$AJ:$AJ)</f>
        <v>0.52714285714285702</v>
      </c>
      <c r="S31" s="2">
        <f>COUNTIFS('BA History'!$B:$B,$A$31,'BA History'!K:K, 1)</f>
        <v>2</v>
      </c>
      <c r="T31" s="2">
        <f>COUNTIFS('BA History'!$B:$B,$A$31,'BA History'!L:L, 1)</f>
        <v>2</v>
      </c>
      <c r="U31" s="2">
        <f>COUNTIFS('BA History'!$B:$B,$A$31,'BA History'!M:M, 1)</f>
        <v>2</v>
      </c>
      <c r="V31" s="2">
        <f>COUNTIFS('BA History'!$B:$B,$A$31,'BA History'!N:N, 1)</f>
        <v>1</v>
      </c>
      <c r="W31" s="2">
        <f>COUNTIFS('BA History'!$B:$B,$A$31,'BA History'!O:O, 1)</f>
        <v>0</v>
      </c>
      <c r="X31" s="2">
        <f>COUNTIFS('BA History'!$B:$B,$A$31,'BA History'!P:P, 1)</f>
        <v>1</v>
      </c>
      <c r="Y31" s="2">
        <f>COUNTIFS('BA History'!$B:$B,$A$31,'BA History'!Q:Q, 1)</f>
        <v>0</v>
      </c>
      <c r="Z31" s="2">
        <f>COUNTIFS('BA History'!$B:$B,$A$31,'BA History'!R:R, 1)</f>
        <v>0</v>
      </c>
      <c r="AA31" s="2">
        <f>COUNTIFS('BA History'!$B:$B,$A$31,'BA History'!S:S, 1)</f>
        <v>0</v>
      </c>
      <c r="AB31" s="2">
        <f>COUNTIFS('BA History'!$B:$B,$A$31,'BA History'!T:T, 1)</f>
        <v>0</v>
      </c>
      <c r="AC31" s="2">
        <f>COUNTIFS('BA History'!$B:$B,$A$31,'BA History'!U:U, 1)</f>
        <v>0</v>
      </c>
      <c r="AD31" s="2">
        <f>COUNTIFS('BA History'!$B:$B,$A$31,'BA History'!V:V, 1)</f>
        <v>0</v>
      </c>
      <c r="AE31" s="2">
        <f>COUNTIFS('BA History'!$B:$B,$A$31,'BA History'!W:W, 1)</f>
        <v>2</v>
      </c>
      <c r="AF31" s="2">
        <f>COUNTIFS('BA History'!$B:$B,$A$31,'BA History'!X:X, 1)</f>
        <v>0</v>
      </c>
      <c r="AG31" s="2">
        <f>COUNTIFS('BA History'!$B:$B,$A$31,'BA History'!Y:Y, 1)</f>
        <v>1</v>
      </c>
      <c r="AH31" s="2">
        <f>COUNTIFS('BA History'!$B:$B,$A$31,'BA History'!Z:Z, 1)</f>
        <v>1</v>
      </c>
      <c r="AI31" s="2">
        <f>COUNTIFS('BA History'!$B:$B,$A31,'BA History'!AA:AA, 1)</f>
        <v>0</v>
      </c>
      <c r="AJ31" s="2">
        <f>COUNTIFS('BA History'!$B:$B,$A$31,'BA History'!AB:AB, 1)</f>
        <v>0</v>
      </c>
      <c r="AK31" s="2">
        <f>COUNTIFS('BA History'!$B:$B,$A$31,'BA History'!AC:AC, 1)</f>
        <v>1</v>
      </c>
      <c r="AL31" s="2">
        <f>COUNTIFS('BA History'!$B:$B,$A$31,'BA History'!AD:AD, 1)</f>
        <v>0</v>
      </c>
      <c r="AM31" s="2">
        <f>COUNTIFS('BA History'!$B:$B,$A$31,'BA History'!AE:AE, 1)</f>
        <v>2</v>
      </c>
      <c r="AN31" s="2">
        <f>COUNTIFS('BA History'!$B:$B,$A$31,'BA History'!AF:AF, 1)</f>
        <v>0</v>
      </c>
      <c r="AO31" s="2">
        <f>COUNTIFS('BA History'!$B:$B,$A$31,'BA History'!AG:AG, 1)</f>
        <v>1</v>
      </c>
    </row>
    <row r="32" spans="1:41" x14ac:dyDescent="0.25">
      <c r="A32" s="2" t="s">
        <v>3</v>
      </c>
      <c r="B32" s="1" t="s">
        <v>158</v>
      </c>
      <c r="C32" s="1"/>
      <c r="D32" s="1"/>
      <c r="E32" s="1"/>
      <c r="F32" s="34">
        <f>SUMIFS('BA History'!C:C,'BA History'!B:B,A32)</f>
        <v>194</v>
      </c>
      <c r="G32" s="66">
        <f>AVERAGEIFS('BA History'!C:C,'BA History'!B:B,A32)</f>
        <v>19.399999999999999</v>
      </c>
      <c r="H32" s="66">
        <f t="array" ref="H32">MEDIAN(IF('BA History'!B:B=A32, 'BA History'!C:C))</f>
        <v>21.5</v>
      </c>
      <c r="I32" s="35">
        <f t="array" ref="I32">MAX(IF('BA History'!B:B=A32, 'BA History'!C:C))</f>
        <v>27</v>
      </c>
      <c r="J32" s="34">
        <f>COUNTIFS('BA History'!B:B,A32,'BA History'!D:D, 1)</f>
        <v>3</v>
      </c>
      <c r="K32" s="2">
        <f>COUNTIFS('BA History'!B:B,A32,'BA History'!D:D, 0)</f>
        <v>7</v>
      </c>
      <c r="L32" s="75">
        <f>LOOKUP(2, 1/('BA History'!$B:$B=A32), 'BA History'!$AK:$AK)</f>
        <v>0.3</v>
      </c>
      <c r="M32" s="34">
        <f>SUMIFS('BA History'!F:F,'BA History'!B:B,A32)</f>
        <v>18</v>
      </c>
      <c r="N32" s="2">
        <f>SUMIFS('BA History'!E:E,'BA History'!B:B,A32)-M32</f>
        <v>26</v>
      </c>
      <c r="O32" s="75">
        <f>LOOKUP(2, 1/('BA History'!$B:$B=A32), 'BA History'!$AI:$AI)</f>
        <v>0.38</v>
      </c>
      <c r="P32" s="34">
        <f>SUMIFS('BA History'!H:H,'BA History'!B:B,A32)</f>
        <v>90</v>
      </c>
      <c r="Q32" s="2">
        <f>SUMIFS('BA History'!G:G,'BA History'!B:B,A32)-P32</f>
        <v>104</v>
      </c>
      <c r="R32" s="89">
        <f>LOOKUP(2, 1/('BA History'!$B:$B=A32), 'BA History'!$AJ:$AJ)</f>
        <v>0.45599999999999996</v>
      </c>
      <c r="S32" s="2">
        <f>COUNTIFS('BA History'!$B:$B,$A$32,'BA History'!K:K, 1)</f>
        <v>0</v>
      </c>
      <c r="T32" s="2">
        <f>COUNTIFS('BA History'!$B:$B,$A$32,'BA History'!L:L, 1)</f>
        <v>2</v>
      </c>
      <c r="U32" s="2">
        <f>COUNTIFS('BA History'!$B:$B,$A$32,'BA History'!M:M, 1)</f>
        <v>2</v>
      </c>
      <c r="V32" s="2">
        <f>COUNTIFS('BA History'!$B:$B,$A$32,'BA History'!N:N, 1)</f>
        <v>1</v>
      </c>
      <c r="W32" s="2">
        <f>COUNTIFS('BA History'!$B:$B,$A$32,'BA History'!O:O, 1)</f>
        <v>0</v>
      </c>
      <c r="X32" s="2">
        <f>COUNTIFS('BA History'!$B:$B,$A$32,'BA History'!P:P, 1)</f>
        <v>1</v>
      </c>
      <c r="Y32" s="2">
        <f>COUNTIFS('BA History'!$B:$B,$A$32,'BA History'!Q:Q, 1)</f>
        <v>0</v>
      </c>
      <c r="Z32" s="2">
        <f>COUNTIFS('BA History'!$B:$B,$A$32,'BA History'!R:R, 1)</f>
        <v>0</v>
      </c>
      <c r="AA32" s="2">
        <f>COUNTIFS('BA History'!$B:$B,$A$32,'BA History'!S:S, 1)</f>
        <v>0</v>
      </c>
      <c r="AB32" s="2">
        <f>COUNTIFS('BA History'!$B:$B,$A$32,'BA History'!T:T, 1)</f>
        <v>0</v>
      </c>
      <c r="AC32" s="2">
        <f>COUNTIFS('BA History'!$B:$B,$A$32,'BA History'!U:U, 1)</f>
        <v>1</v>
      </c>
      <c r="AD32" s="2">
        <f>COUNTIFS('BA History'!$B:$B,$A$32,'BA History'!V:V, 1)</f>
        <v>1</v>
      </c>
      <c r="AE32" s="2">
        <f>COUNTIFS('BA History'!$B:$B,$A$32,'BA History'!W:W, 1)</f>
        <v>0</v>
      </c>
      <c r="AF32" s="2">
        <f>COUNTIFS('BA History'!$B:$B,$A$32,'BA History'!X:X, 1)</f>
        <v>0</v>
      </c>
      <c r="AG32" s="2">
        <f>COUNTIFS('BA History'!$B:$B,$A$32,'BA History'!Y:Y, 1)</f>
        <v>2</v>
      </c>
      <c r="AH32" s="2">
        <f>COUNTIFS('BA History'!$B:$B,$A$32,'BA History'!Z:Z, 1)</f>
        <v>1</v>
      </c>
      <c r="AI32" s="2">
        <f>COUNTIFS('BA History'!$B:$B,$A32,'BA History'!AA:AA, 1)</f>
        <v>0</v>
      </c>
      <c r="AJ32" s="2">
        <f>COUNTIFS('BA History'!$B:$B,$A$32,'BA History'!AB:AB, 1)</f>
        <v>0</v>
      </c>
      <c r="AK32" s="2">
        <f>COUNTIFS('BA History'!$B:$B,$A$32,'BA History'!AC:AC, 1)</f>
        <v>2</v>
      </c>
      <c r="AL32" s="2">
        <f>COUNTIFS('BA History'!$B:$B,$A$32,'BA History'!AD:AD, 1)</f>
        <v>3</v>
      </c>
      <c r="AM32" s="2">
        <f>COUNTIFS('BA History'!$B:$B,$A$32,'BA History'!AE:AE, 1)</f>
        <v>2</v>
      </c>
      <c r="AN32" s="2">
        <f>COUNTIFS('BA History'!$B:$B,$A$32,'BA History'!AF:AF, 1)</f>
        <v>0</v>
      </c>
      <c r="AO32" s="2">
        <f>COUNTIFS('BA History'!$B:$B,$A$32,'BA History'!AG:AG, 1)</f>
        <v>0</v>
      </c>
    </row>
    <row r="33" spans="1:41" x14ac:dyDescent="0.25">
      <c r="A33" s="2" t="s">
        <v>148</v>
      </c>
      <c r="B33" s="1" t="s">
        <v>79</v>
      </c>
      <c r="C33" s="1"/>
      <c r="D33" s="1"/>
      <c r="E33" s="1"/>
      <c r="F33" s="34">
        <f>SUMIFS('BA History'!C:C,'BA History'!B:B,A33)</f>
        <v>65</v>
      </c>
      <c r="G33" s="66">
        <f>AVERAGEIFS('BA History'!C:C,'BA History'!B:B,A33)</f>
        <v>8.125</v>
      </c>
      <c r="H33" s="66">
        <f t="array" ref="H33">MEDIAN(IF('BA History'!B:B=A33, 'BA History'!C:C))</f>
        <v>8</v>
      </c>
      <c r="I33" s="35">
        <f t="array" ref="I33">MAX(IF('BA History'!B:B=A33, 'BA History'!C:C))</f>
        <v>15</v>
      </c>
      <c r="J33" s="34">
        <f>COUNTIFS('BA History'!B:B,A33,'BA History'!D:D, 1)</f>
        <v>3</v>
      </c>
      <c r="K33" s="2">
        <f>COUNTIFS('BA History'!B:B,A33,'BA History'!D:D, 0)</f>
        <v>5</v>
      </c>
      <c r="L33" s="75">
        <f>LOOKUP(2, 1/('BA History'!$B:$B=A33), 'BA History'!$AK:$AK)</f>
        <v>0.375</v>
      </c>
      <c r="M33" s="34">
        <f>SUMIFS('BA History'!F:F,'BA History'!B:B,A33)</f>
        <v>14</v>
      </c>
      <c r="N33" s="2">
        <f>SUMIFS('BA History'!E:E,'BA History'!B:B,A33)-M33</f>
        <v>21</v>
      </c>
      <c r="O33" s="75">
        <f>LOOKUP(2, 1/('BA History'!$B:$B=A33), 'BA History'!$AI:$AI)</f>
        <v>0.35625000000000001</v>
      </c>
      <c r="P33" s="34">
        <f>SUMIFS('BA History'!H:H,'BA History'!B:B,A33)</f>
        <v>69</v>
      </c>
      <c r="Q33" s="2">
        <f>SUMIFS('BA History'!G:G,'BA History'!B:B,A33)-P33</f>
        <v>81</v>
      </c>
      <c r="R33" s="89">
        <f>LOOKUP(2, 1/('BA History'!$B:$B=A33), 'BA History'!$AJ:$AJ)</f>
        <v>0.44375000000000003</v>
      </c>
      <c r="S33" s="2">
        <f>COUNTIFS('BA History'!$B:$B,$A$33,'BA History'!K:K, 1)</f>
        <v>2</v>
      </c>
      <c r="T33" s="2">
        <f>COUNTIFS('BA History'!$B:$B,$A$33,'BA History'!L:L, 1)</f>
        <v>1</v>
      </c>
      <c r="U33" s="2">
        <f>COUNTIFS('BA History'!$B:$B,$A$33,'BA History'!M:M, 1)</f>
        <v>1</v>
      </c>
      <c r="V33" s="2">
        <f>COUNTIFS('BA History'!$B:$B,$A$33,'BA History'!N:N, 1)</f>
        <v>1</v>
      </c>
      <c r="W33" s="2">
        <f>COUNTIFS('BA History'!$B:$B,$A$33,'BA History'!O:O, 1)</f>
        <v>1</v>
      </c>
      <c r="X33" s="2">
        <f>COUNTIFS('BA History'!$B:$B,$A$33,'BA History'!P:P, 1)</f>
        <v>0</v>
      </c>
      <c r="Y33" s="2">
        <f>COUNTIFS('BA History'!$B:$B,$A$33,'BA History'!Q:Q, 1)</f>
        <v>0</v>
      </c>
      <c r="Z33" s="2">
        <f>COUNTIFS('BA History'!$B:$B,$A$33,'BA History'!R:R, 1)</f>
        <v>0</v>
      </c>
      <c r="AA33" s="2">
        <f>COUNTIFS('BA History'!$B:$B,$A$33,'BA History'!S:S, 1)</f>
        <v>0</v>
      </c>
      <c r="AB33" s="2">
        <f>COUNTIFS('BA History'!$B:$B,$A$33,'BA History'!T:T, 1)</f>
        <v>0</v>
      </c>
      <c r="AC33" s="2">
        <f>COUNTIFS('BA History'!$B:$B,$A$33,'BA History'!U:U, 1)</f>
        <v>0</v>
      </c>
      <c r="AD33" s="2">
        <f>COUNTIFS('BA History'!$B:$B,$A$33,'BA History'!V:V, 1)</f>
        <v>0</v>
      </c>
      <c r="AE33" s="2">
        <f>COUNTIFS('BA History'!$B:$B,$A$33,'BA History'!W:W, 1)</f>
        <v>1</v>
      </c>
      <c r="AF33" s="2">
        <f>COUNTIFS('BA History'!$B:$B,$A$33,'BA History'!X:X, 1)</f>
        <v>0</v>
      </c>
      <c r="AG33" s="2">
        <f>COUNTIFS('BA History'!$B:$B,$A$33,'BA History'!Y:Y, 1)</f>
        <v>0</v>
      </c>
      <c r="AH33" s="2">
        <f>COUNTIFS('BA History'!$B:$B,$A$33,'BA History'!Z:Z, 1)</f>
        <v>1</v>
      </c>
      <c r="AI33" s="2">
        <f>COUNTIFS('BA History'!$B:$B,$A33,'BA History'!AA:AA, 1)</f>
        <v>0</v>
      </c>
      <c r="AJ33" s="2">
        <f>COUNTIFS('BA History'!$B:$B,$A$33,'BA History'!AB:AB, 1)</f>
        <v>0</v>
      </c>
      <c r="AK33" s="2">
        <f>COUNTIFS('BA History'!$B:$B,$A$33,'BA History'!AC:AC, 1)</f>
        <v>4</v>
      </c>
      <c r="AL33" s="2">
        <f>COUNTIFS('BA History'!$B:$B,$A$33,'BA History'!AD:AD, 1)</f>
        <v>1</v>
      </c>
      <c r="AM33" s="2">
        <f>COUNTIFS('BA History'!$B:$B,$A$33,'BA History'!AE:AE, 1)</f>
        <v>0</v>
      </c>
      <c r="AN33" s="2">
        <f>COUNTIFS('BA History'!$B:$B,$A$33,'BA History'!AF:AF, 1)</f>
        <v>0</v>
      </c>
      <c r="AO33" s="2">
        <f>COUNTIFS('BA History'!$B:$B,$A$33,'BA History'!AG:AG, 1)</f>
        <v>1</v>
      </c>
    </row>
    <row r="34" spans="1:41" x14ac:dyDescent="0.25">
      <c r="A34" s="2" t="s">
        <v>161</v>
      </c>
      <c r="B34" s="1" t="s">
        <v>79</v>
      </c>
      <c r="C34" s="1"/>
      <c r="D34" s="1"/>
      <c r="E34" s="1"/>
      <c r="F34" s="34">
        <f>SUMIFS('BA History'!C:C,'BA History'!B:B,A34)</f>
        <v>175</v>
      </c>
      <c r="G34" s="66">
        <f>AVERAGEIFS('BA History'!C:C,'BA History'!B:B,A34)</f>
        <v>10.9375</v>
      </c>
      <c r="H34" s="66">
        <f t="array" ref="H34">MEDIAN(IF('BA History'!B:B=A34, 'BA History'!C:C))</f>
        <v>8.5</v>
      </c>
      <c r="I34" s="35">
        <f t="array" ref="I34">MAX(IF('BA History'!B:B=A34, 'BA History'!C:C))</f>
        <v>29</v>
      </c>
      <c r="J34" s="34">
        <f>COUNTIFS('BA History'!B:B,A34,'BA History'!D:D, 1)</f>
        <v>9</v>
      </c>
      <c r="K34" s="2">
        <f>COUNTIFS('BA History'!B:B,A34,'BA History'!D:D, 0)</f>
        <v>7</v>
      </c>
      <c r="L34" s="75">
        <f>LOOKUP(2, 1/('BA History'!$B:$B=A34), 'BA History'!$AK:$AK)</f>
        <v>0.5625</v>
      </c>
      <c r="M34" s="34">
        <f>SUMIFS('BA History'!F:F,'BA History'!B:B,A34)</f>
        <v>34</v>
      </c>
      <c r="N34" s="2">
        <f>SUMIFS('BA History'!E:E,'BA History'!B:B,A34)-M34</f>
        <v>32</v>
      </c>
      <c r="O34" s="75">
        <f>LOOKUP(2, 1/('BA History'!$B:$B=A34), 'BA History'!$AI:$AI)</f>
        <v>0.50624999999999998</v>
      </c>
      <c r="P34" s="34">
        <f>SUMIFS('BA History'!H:H,'BA History'!B:B,A34)</f>
        <v>140</v>
      </c>
      <c r="Q34" s="2">
        <f>SUMIFS('BA History'!G:G,'BA History'!B:B,A34)-P34</f>
        <v>142</v>
      </c>
      <c r="R34" s="89">
        <f>LOOKUP(2, 1/('BA History'!$B:$B=A34), 'BA History'!$AJ:$AJ)</f>
        <v>0.49749999999999994</v>
      </c>
      <c r="S34" s="2">
        <f>COUNTIFS('BA History'!$B:$B,$A$34,'BA History'!K:K, 1)</f>
        <v>2</v>
      </c>
      <c r="T34" s="2">
        <f>COUNTIFS('BA History'!$B:$B,$A$34,'BA History'!L:L, 1)</f>
        <v>2</v>
      </c>
      <c r="U34" s="2">
        <f>COUNTIFS('BA History'!$B:$B,$A$34,'BA History'!M:M, 1)</f>
        <v>4</v>
      </c>
      <c r="V34" s="2">
        <f>COUNTIFS('BA History'!$B:$B,$A$34,'BA History'!N:N, 1)</f>
        <v>2</v>
      </c>
      <c r="W34" s="2">
        <f>COUNTIFS('BA History'!$B:$B,$A$34,'BA History'!O:O, 1)</f>
        <v>0</v>
      </c>
      <c r="X34" s="2">
        <f>COUNTIFS('BA History'!$B:$B,$A$34,'BA History'!P:P, 1)</f>
        <v>0</v>
      </c>
      <c r="Y34" s="2">
        <f>COUNTIFS('BA History'!$B:$B,$A$34,'BA History'!Q:Q, 1)</f>
        <v>0</v>
      </c>
      <c r="Z34" s="2">
        <f>COUNTIFS('BA History'!$B:$B,$A$34,'BA History'!R:R, 1)</f>
        <v>0</v>
      </c>
      <c r="AA34" s="2">
        <f>COUNTIFS('BA History'!$B:$B,$A$34,'BA History'!S:S, 1)</f>
        <v>1</v>
      </c>
      <c r="AB34" s="2">
        <f>COUNTIFS('BA History'!$B:$B,$A$34,'BA History'!T:T, 1)</f>
        <v>0</v>
      </c>
      <c r="AC34" s="2">
        <f>COUNTIFS('BA History'!$B:$B,$A$34,'BA History'!U:U, 1)</f>
        <v>1</v>
      </c>
      <c r="AD34" s="2">
        <f>COUNTIFS('BA History'!$B:$B,$A$34,'BA History'!V:V, 1)</f>
        <v>2</v>
      </c>
      <c r="AE34" s="2">
        <f>COUNTIFS('BA History'!$B:$B,$A$34,'BA History'!W:W, 1)</f>
        <v>0</v>
      </c>
      <c r="AF34" s="2">
        <f>COUNTIFS('BA History'!$B:$B,$A$34,'BA History'!X:X, 1)</f>
        <v>0</v>
      </c>
      <c r="AG34" s="2">
        <f>COUNTIFS('BA History'!$B:$B,$A$34,'BA History'!Y:Y, 1)</f>
        <v>2</v>
      </c>
      <c r="AH34" s="2">
        <f>COUNTIFS('BA History'!$B:$B,$A$34,'BA History'!Z:Z, 1)</f>
        <v>4</v>
      </c>
      <c r="AI34" s="2">
        <f>COUNTIFS('BA History'!$B:$B,$A34,'BA History'!AA:AA, 1)</f>
        <v>1</v>
      </c>
      <c r="AJ34" s="2">
        <f>COUNTIFS('BA History'!$B:$B,$A$34,'BA History'!AB:AB, 1)</f>
        <v>2</v>
      </c>
      <c r="AK34" s="2">
        <f>COUNTIFS('BA History'!$B:$B,$A$34,'BA History'!AC:AC, 1)</f>
        <v>4</v>
      </c>
      <c r="AL34" s="2">
        <f>COUNTIFS('BA History'!$B:$B,$A$34,'BA History'!AD:AD, 1)</f>
        <v>2</v>
      </c>
      <c r="AM34" s="2">
        <f>COUNTIFS('BA History'!$B:$B,$A$34,'BA History'!AE:AE, 1)</f>
        <v>1</v>
      </c>
      <c r="AN34" s="2">
        <f>COUNTIFS('BA History'!$B:$B,$A$34,'BA History'!AF:AF, 1)</f>
        <v>1</v>
      </c>
      <c r="AO34" s="2">
        <f>COUNTIFS('BA History'!$B:$B,$A$34,'BA History'!AG:AG, 1)</f>
        <v>3</v>
      </c>
    </row>
    <row r="35" spans="1:41" x14ac:dyDescent="0.25">
      <c r="A35" s="2" t="s">
        <v>15</v>
      </c>
      <c r="B35" s="2" t="s">
        <v>79</v>
      </c>
      <c r="C35" s="2"/>
      <c r="D35" s="2"/>
      <c r="E35" s="2"/>
      <c r="F35" s="34">
        <f>SUMIFS('BA History'!C:C,'BA History'!B:B,A35)</f>
        <v>27</v>
      </c>
      <c r="G35" s="66">
        <f>AVERAGEIFS('BA History'!C:C,'BA History'!B:B,A35)</f>
        <v>13.5</v>
      </c>
      <c r="H35" s="66">
        <f t="array" ref="H35">MEDIAN(IF('BA History'!B:B=A35, 'BA History'!C:C))</f>
        <v>13.5</v>
      </c>
      <c r="I35" s="35">
        <f t="array" ref="I35">MAX(IF('BA History'!B:B=A35, 'BA History'!C:C))</f>
        <v>23</v>
      </c>
      <c r="J35" s="34">
        <f>COUNTIFS('BA History'!B:B,A35,'BA History'!D:D, 1)</f>
        <v>0</v>
      </c>
      <c r="K35" s="2">
        <f>COUNTIFS('BA History'!B:B,A35,'BA History'!D:D, 0)</f>
        <v>2</v>
      </c>
      <c r="L35" s="75">
        <f>LOOKUP(2, 1/('BA History'!$B:$B=A35), 'BA History'!$AK:$AK)</f>
        <v>0</v>
      </c>
      <c r="M35" s="34">
        <f>SUMIFS('BA History'!F:F,'BA History'!B:B,A35)</f>
        <v>2</v>
      </c>
      <c r="N35" s="2">
        <f>SUMIFS('BA History'!E:E,'BA History'!B:B,A35)-M35</f>
        <v>6</v>
      </c>
      <c r="O35" s="75">
        <f>LOOKUP(2, 1/('BA History'!$B:$B=A35), 'BA History'!$AI:$AI)</f>
        <v>0.2</v>
      </c>
      <c r="P35" s="34">
        <f>SUMIFS('BA History'!H:H,'BA History'!B:B,A35)</f>
        <v>12</v>
      </c>
      <c r="Q35" s="2">
        <f>SUMIFS('BA History'!G:G,'BA History'!B:B,A35)-P35</f>
        <v>20</v>
      </c>
      <c r="R35" s="89">
        <f>LOOKUP(2, 1/('BA History'!$B:$B=A35), 'BA History'!$AJ:$AJ)</f>
        <v>0.3</v>
      </c>
      <c r="S35" s="2">
        <f>COUNTIFS('BA History'!$B:$B,$A$35,'BA History'!K:K, 1)</f>
        <v>0</v>
      </c>
      <c r="T35" s="2">
        <f>COUNTIFS('BA History'!$B:$B,$A$35,'BA History'!L:L, 1)</f>
        <v>1</v>
      </c>
      <c r="U35" s="2">
        <f>COUNTIFS('BA History'!$B:$B,$A$35,'BA History'!M:M, 1)</f>
        <v>1</v>
      </c>
      <c r="V35" s="2">
        <f>COUNTIFS('BA History'!$B:$B,$A$35,'BA History'!N:N, 1)</f>
        <v>0</v>
      </c>
      <c r="W35" s="2">
        <f>COUNTIFS('BA History'!$B:$B,$A$35,'BA History'!O:O, 1)</f>
        <v>0</v>
      </c>
      <c r="X35" s="2">
        <f>COUNTIFS('BA History'!$B:$B,$A$35,'BA History'!P:P, 1)</f>
        <v>0</v>
      </c>
      <c r="Y35" s="2">
        <f>COUNTIFS('BA History'!$B:$B,$A$35,'BA History'!Q:Q, 1)</f>
        <v>0</v>
      </c>
      <c r="Z35" s="2">
        <f>COUNTIFS('BA History'!$B:$B,$A$35,'BA History'!R:R, 1)</f>
        <v>0</v>
      </c>
      <c r="AA35" s="2">
        <f>COUNTIFS('BA History'!$B:$B,$A$35,'BA History'!S:S, 1)</f>
        <v>0</v>
      </c>
      <c r="AB35" s="2">
        <f>COUNTIFS('BA History'!$B:$B,$A$35,'BA History'!T:T, 1)</f>
        <v>0</v>
      </c>
      <c r="AC35" s="2">
        <f>COUNTIFS('BA History'!$B:$B,$A$35,'BA History'!U:U, 1)</f>
        <v>0</v>
      </c>
      <c r="AD35" s="2">
        <f>COUNTIFS('BA History'!$B:$B,$A$35,'BA History'!V:V, 1)</f>
        <v>0</v>
      </c>
      <c r="AE35" s="2">
        <f>COUNTIFS('BA History'!$B:$B,$A$35,'BA History'!W:W, 1)</f>
        <v>0</v>
      </c>
      <c r="AF35" s="2">
        <f>COUNTIFS('BA History'!$B:$B,$A$35,'BA History'!X:X, 1)</f>
        <v>0</v>
      </c>
      <c r="AG35" s="2">
        <f>COUNTIFS('BA History'!$B:$B,$A$35,'BA History'!Y:Y, 1)</f>
        <v>0</v>
      </c>
      <c r="AH35" s="2">
        <f>COUNTIFS('BA History'!$B:$B,$A$35,'BA History'!Z:Z, 1)</f>
        <v>0</v>
      </c>
      <c r="AI35" s="2">
        <f>COUNTIFS('BA History'!$B:$B,$A35,'BA History'!AA:AA, 1)</f>
        <v>0</v>
      </c>
      <c r="AJ35" s="2">
        <f>COUNTIFS('BA History'!$B:$B,$A$35,'BA History'!AB:AB, 1)</f>
        <v>0</v>
      </c>
      <c r="AK35" s="2">
        <f>COUNTIFS('BA History'!$B:$B,$A$35,'BA History'!AC:AC, 1)</f>
        <v>0</v>
      </c>
      <c r="AL35" s="2">
        <f>COUNTIFS('BA History'!$B:$B,$A$35,'BA History'!AD:AD, 1)</f>
        <v>0</v>
      </c>
      <c r="AM35" s="2">
        <f>COUNTIFS('BA History'!$B:$B,$A$35,'BA History'!AE:AE, 1)</f>
        <v>0</v>
      </c>
      <c r="AN35" s="2">
        <f>COUNTIFS('BA History'!$B:$B,$A$35,'BA History'!AF:AF, 1)</f>
        <v>0</v>
      </c>
      <c r="AO35" s="2">
        <f>COUNTIFS('BA History'!$B:$B,$A$35,'BA History'!AG:AG, 1)</f>
        <v>0</v>
      </c>
    </row>
    <row r="36" spans="1:41" x14ac:dyDescent="0.25">
      <c r="A36" s="2" t="s">
        <v>142</v>
      </c>
      <c r="B36" s="2" t="s">
        <v>79</v>
      </c>
      <c r="C36" s="2"/>
      <c r="D36" s="2"/>
      <c r="E36" s="2"/>
      <c r="F36" s="34">
        <f>SUMIFS('BA History'!C:C,'BA History'!B:B,A36)</f>
        <v>25</v>
      </c>
      <c r="G36" s="66">
        <f>AVERAGEIFS('BA History'!C:C,'BA History'!B:B,A36)</f>
        <v>8.3333333333333339</v>
      </c>
      <c r="H36" s="66">
        <f t="array" ref="H36">MEDIAN(IF('BA History'!B:B=A36, 'BA History'!C:C))</f>
        <v>8</v>
      </c>
      <c r="I36" s="35">
        <f t="array" ref="I36">MAX(IF('BA History'!B:B=A36, 'BA History'!C:C))</f>
        <v>9</v>
      </c>
      <c r="J36" s="34">
        <f>COUNTIFS('BA History'!B:B,A36,'BA History'!D:D, 1)</f>
        <v>0</v>
      </c>
      <c r="K36" s="2">
        <f>COUNTIFS('BA History'!B:B,A36,'BA History'!D:D, 0)</f>
        <v>3</v>
      </c>
      <c r="L36" s="75">
        <f>LOOKUP(2, 1/('BA History'!$B:$B=A36), 'BA History'!$AK:$AK)</f>
        <v>0</v>
      </c>
      <c r="M36" s="34">
        <f>SUMIFS('BA History'!F:F,'BA History'!B:B,A36)</f>
        <v>2</v>
      </c>
      <c r="N36" s="2">
        <f>SUMIFS('BA History'!E:E,'BA History'!B:B,A36)-M36</f>
        <v>9</v>
      </c>
      <c r="O36" s="75">
        <f>LOOKUP(2, 1/('BA History'!$B:$B=A36), 'BA History'!$AI:$AI)</f>
        <v>0.16666666666666666</v>
      </c>
      <c r="P36" s="34">
        <f>SUMIFS('BA History'!H:H,'BA History'!B:B,A36)</f>
        <v>14</v>
      </c>
      <c r="Q36" s="2">
        <f>SUMIFS('BA History'!G:G,'BA History'!B:B,A36)-P36</f>
        <v>29</v>
      </c>
      <c r="R36" s="89">
        <f>LOOKUP(2, 1/('BA History'!$B:$B=A36), 'BA History'!$AJ:$AJ)</f>
        <v>0.32666666666666666</v>
      </c>
      <c r="S36" s="2">
        <f>COUNTIFS('BA History'!$B:$B,$A$36,'BA History'!K:K, 1)</f>
        <v>0</v>
      </c>
      <c r="T36" s="2">
        <f>COUNTIFS('BA History'!$B:$B,$A$36,'BA History'!L:L, 1)</f>
        <v>0</v>
      </c>
      <c r="U36" s="2">
        <f>COUNTIFS('BA History'!$B:$B,$A$36,'BA History'!M:M, 1)</f>
        <v>0</v>
      </c>
      <c r="V36" s="2">
        <f>COUNTIFS('BA History'!$B:$B,$A$36,'BA History'!N:N, 1)</f>
        <v>0</v>
      </c>
      <c r="W36" s="2">
        <f>COUNTIFS('BA History'!$B:$B,$A$36,'BA History'!O:O, 1)</f>
        <v>0</v>
      </c>
      <c r="X36" s="2">
        <f>COUNTIFS('BA History'!$B:$B,$A$36,'BA History'!P:P, 1)</f>
        <v>0</v>
      </c>
      <c r="Y36" s="2">
        <f>COUNTIFS('BA History'!$B:$B,$A$36,'BA History'!Q:Q, 1)</f>
        <v>0</v>
      </c>
      <c r="Z36" s="2">
        <f>COUNTIFS('BA History'!$B:$B,$A$36,'BA History'!R:R, 1)</f>
        <v>0</v>
      </c>
      <c r="AA36" s="2">
        <f>COUNTIFS('BA History'!$B:$B,$A$36,'BA History'!S:S, 1)</f>
        <v>0</v>
      </c>
      <c r="AB36" s="2">
        <f>COUNTIFS('BA History'!$B:$B,$A$36,'BA History'!T:T, 1)</f>
        <v>0</v>
      </c>
      <c r="AC36" s="2">
        <f>COUNTIFS('BA History'!$B:$B,$A$36,'BA History'!U:U, 1)</f>
        <v>0</v>
      </c>
      <c r="AD36" s="2">
        <f>COUNTIFS('BA History'!$B:$B,$A$36,'BA History'!V:V, 1)</f>
        <v>0</v>
      </c>
      <c r="AE36" s="2">
        <f>COUNTIFS('BA History'!$B:$B,$A$36,'BA History'!W:W, 1)</f>
        <v>0</v>
      </c>
      <c r="AF36" s="2">
        <f>COUNTIFS('BA History'!$B:$B,$A$36,'BA History'!X:X, 1)</f>
        <v>0</v>
      </c>
      <c r="AG36" s="2">
        <f>COUNTIFS('BA History'!$B:$B,$A$36,'BA History'!Y:Y, 1)</f>
        <v>0</v>
      </c>
      <c r="AH36" s="2">
        <f>COUNTIFS('BA History'!$B:$B,$A$36,'BA History'!Z:Z, 1)</f>
        <v>0</v>
      </c>
      <c r="AI36" s="2">
        <f>COUNTIFS('BA History'!$B:$B,$A36,'BA History'!AA:AA, 1)</f>
        <v>0</v>
      </c>
      <c r="AJ36" s="2">
        <f>COUNTIFS('BA History'!$B:$B,$A$36,'BA History'!AB:AB, 1)</f>
        <v>0</v>
      </c>
      <c r="AK36" s="2">
        <f>COUNTIFS('BA History'!$B:$B,$A$36,'BA History'!AC:AC, 1)</f>
        <v>0</v>
      </c>
      <c r="AL36" s="2">
        <f>COUNTIFS('BA History'!$B:$B,$A$36,'BA History'!AD:AD, 1)</f>
        <v>0</v>
      </c>
      <c r="AM36" s="2">
        <f>COUNTIFS('BA History'!$B:$B,$A$36,'BA History'!AE:AE, 1)</f>
        <v>2</v>
      </c>
      <c r="AN36" s="2">
        <f>COUNTIFS('BA History'!$B:$B,$A$36,'BA History'!AF:AF, 1)</f>
        <v>0</v>
      </c>
      <c r="AO36" s="2">
        <f>COUNTIFS('BA History'!$B:$B,$A$36,'BA History'!AG:AG, 1)</f>
        <v>0</v>
      </c>
    </row>
    <row r="37" spans="1:41" x14ac:dyDescent="0.25">
      <c r="A37" s="2" t="s">
        <v>90</v>
      </c>
      <c r="B37" s="2" t="s">
        <v>79</v>
      </c>
      <c r="C37" s="2"/>
      <c r="D37" s="2"/>
      <c r="E37" s="2"/>
      <c r="F37" s="34">
        <f>SUMIFS('BA History'!C:C,'BA History'!B:B,A37)</f>
        <v>3</v>
      </c>
      <c r="G37" s="66">
        <f>AVERAGEIFS('BA History'!C:C,'BA History'!B:B,A37)</f>
        <v>3</v>
      </c>
      <c r="H37" s="66">
        <f t="array" ref="H37">MEDIAN(IF('BA History'!B:B=A37, 'BA History'!C:C))</f>
        <v>3</v>
      </c>
      <c r="I37" s="35">
        <f t="array" ref="I37">MAX(IF('BA History'!B:B=A37, 'BA History'!C:C))</f>
        <v>3</v>
      </c>
      <c r="J37" s="34">
        <f>COUNTIFS('BA History'!B:B,A37,'BA History'!D:D, 1)</f>
        <v>1</v>
      </c>
      <c r="K37" s="2">
        <f>COUNTIFS('BA History'!B:B,A37,'BA History'!D:D, 0)</f>
        <v>0</v>
      </c>
      <c r="L37" s="75">
        <f>LOOKUP(2, 1/('BA History'!$B:$B=A37), 'BA History'!$AK:$AK)</f>
        <v>1</v>
      </c>
      <c r="M37" s="34">
        <f>SUMIFS('BA History'!F:F,'BA History'!B:B,A37)</f>
        <v>3</v>
      </c>
      <c r="N37" s="2">
        <f>SUMIFS('BA History'!E:E,'BA History'!B:B,A37)-M37</f>
        <v>0</v>
      </c>
      <c r="O37" s="75">
        <f>LOOKUP(2, 1/('BA History'!$B:$B=A37), 'BA History'!$AI:$AI)</f>
        <v>1</v>
      </c>
      <c r="P37" s="34">
        <f>SUMIFS('BA History'!H:H,'BA History'!B:B,A37)</f>
        <v>9</v>
      </c>
      <c r="Q37" s="2">
        <f>SUMIFS('BA History'!G:G,'BA History'!B:B,A37)-P37</f>
        <v>5</v>
      </c>
      <c r="R37" s="89">
        <f>LOOKUP(2, 1/('BA History'!$B:$B=A37), 'BA History'!$AJ:$AJ)</f>
        <v>0.64</v>
      </c>
      <c r="S37" s="2">
        <f>COUNTIFS('BA History'!$B:$B,$A$37,'BA History'!K:K, 1)</f>
        <v>0</v>
      </c>
      <c r="T37" s="2">
        <f>COUNTIFS('BA History'!$B:$B,$A$37,'BA History'!L:L, 1)</f>
        <v>0</v>
      </c>
      <c r="U37" s="2">
        <f>COUNTIFS('BA History'!$B:$B,$A$37,'BA History'!M:M, 1)</f>
        <v>0</v>
      </c>
      <c r="V37" s="2">
        <f>COUNTIFS('BA History'!$B:$B,$A$37,'BA History'!N:N, 1)</f>
        <v>0</v>
      </c>
      <c r="W37" s="2">
        <f>COUNTIFS('BA History'!$B:$B,$A$37,'BA History'!O:O, 1)</f>
        <v>0</v>
      </c>
      <c r="X37" s="2">
        <f>COUNTIFS('BA History'!$B:$B,$A$37,'BA History'!P:P, 1)</f>
        <v>0</v>
      </c>
      <c r="Y37" s="2">
        <f>COUNTIFS('BA History'!$B:$B,$A$37,'BA History'!Q:Q, 1)</f>
        <v>0</v>
      </c>
      <c r="Z37" s="2">
        <f>COUNTIFS('BA History'!$B:$B,$A$37,'BA History'!R:R, 1)</f>
        <v>0</v>
      </c>
      <c r="AA37" s="2">
        <f>COUNTIFS('BA History'!$B:$B,$A$37,'BA History'!S:S, 1)</f>
        <v>0</v>
      </c>
      <c r="AB37" s="2">
        <f>COUNTIFS('BA History'!$B:$B,$A$37,'BA History'!T:T, 1)</f>
        <v>0</v>
      </c>
      <c r="AC37" s="2">
        <f>COUNTIFS('BA History'!$B:$B,$A$37,'BA History'!U:U, 1)</f>
        <v>0</v>
      </c>
      <c r="AD37" s="2">
        <f>COUNTIFS('BA History'!$B:$B,$A$37,'BA History'!V:V, 1)</f>
        <v>1</v>
      </c>
      <c r="AE37" s="2">
        <f>COUNTIFS('BA History'!$B:$B,$A$37,'BA History'!W:W, 1)</f>
        <v>0</v>
      </c>
      <c r="AF37" s="2">
        <f>COUNTIFS('BA History'!$B:$B,$A$37,'BA History'!X:X, 1)</f>
        <v>0</v>
      </c>
      <c r="AG37" s="2">
        <f>COUNTIFS('BA History'!$B:$B,$A$37,'BA History'!Y:Y, 1)</f>
        <v>0</v>
      </c>
      <c r="AH37" s="2">
        <f>COUNTIFS('BA History'!$B:$B,$A$37,'BA History'!Z:Z, 1)</f>
        <v>0</v>
      </c>
      <c r="AI37" s="2">
        <f>COUNTIFS('BA History'!$B:$B,$A37,'BA History'!AA:AA, 1)</f>
        <v>0</v>
      </c>
      <c r="AJ37" s="2">
        <f>COUNTIFS('BA History'!$B:$B,$A$37,'BA History'!AB:AB, 1)</f>
        <v>0</v>
      </c>
      <c r="AK37" s="2">
        <f>COUNTIFS('BA History'!$B:$B,$A$37,'BA History'!AC:AC, 1)</f>
        <v>1</v>
      </c>
      <c r="AL37" s="2">
        <f>COUNTIFS('BA History'!$B:$B,$A$37,'BA History'!AD:AD, 1)</f>
        <v>1</v>
      </c>
      <c r="AM37" s="2">
        <f>COUNTIFS('BA History'!$B:$B,$A$37,'BA History'!AE:AE, 1)</f>
        <v>0</v>
      </c>
      <c r="AN37" s="2">
        <f>COUNTIFS('BA History'!$B:$B,$A$37,'BA History'!AF:AF, 1)</f>
        <v>0</v>
      </c>
      <c r="AO37" s="2">
        <f>COUNTIFS('BA History'!$B:$B,$A$37,'BA History'!AG:AG, 1)</f>
        <v>0</v>
      </c>
    </row>
    <row r="38" spans="1:41" x14ac:dyDescent="0.25">
      <c r="A38" s="2" t="s">
        <v>13</v>
      </c>
      <c r="B38" s="2" t="s">
        <v>79</v>
      </c>
      <c r="C38" s="2"/>
      <c r="D38" s="2"/>
      <c r="E38" s="2"/>
      <c r="F38" s="34">
        <f>SUMIFS('BA History'!C:C,'BA History'!B:B,A38)</f>
        <v>508</v>
      </c>
      <c r="G38" s="66">
        <f>AVERAGEIFS('BA History'!C:C,'BA History'!B:B,A38)</f>
        <v>16.387096774193548</v>
      </c>
      <c r="H38" s="66">
        <f t="array" ref="H38">MEDIAN(IF('BA History'!B:B=A38, 'BA History'!C:C))</f>
        <v>16</v>
      </c>
      <c r="I38" s="35">
        <f t="array" ref="I38">MAX(IF('BA History'!B:B=A38, 'BA History'!C:C))</f>
        <v>38</v>
      </c>
      <c r="J38" s="34">
        <f>COUNTIFS('BA History'!B:B,A38,'BA History'!D:D, 1)</f>
        <v>12</v>
      </c>
      <c r="K38" s="2">
        <f>COUNTIFS('BA History'!B:B,A38,'BA History'!D:D, 0)</f>
        <v>19</v>
      </c>
      <c r="L38" s="75">
        <f>LOOKUP(2, 1/('BA History'!$B:$B=A38), 'BA History'!$AK:$AK)</f>
        <v>0.38709677419354838</v>
      </c>
      <c r="M38" s="34">
        <f>SUMIFS('BA History'!F:F,'BA History'!B:B,A38)</f>
        <v>56</v>
      </c>
      <c r="N38" s="2">
        <f>SUMIFS('BA History'!E:E,'BA History'!B:B,A38)-M38</f>
        <v>66</v>
      </c>
      <c r="O38" s="75">
        <f>LOOKUP(2, 1/('BA History'!$B:$B=A38), 'BA History'!$AI:$AI)</f>
        <v>0.4629032258064516</v>
      </c>
      <c r="P38" s="34">
        <f>SUMIFS('BA History'!H:H,'BA History'!B:B,A38)</f>
        <v>253</v>
      </c>
      <c r="Q38" s="2">
        <f>SUMIFS('BA History'!G:G,'BA History'!B:B,A38)-P38</f>
        <v>275</v>
      </c>
      <c r="R38" s="89">
        <f>LOOKUP(2, 1/('BA History'!$B:$B=A38), 'BA History'!$AJ:$AJ)</f>
        <v>0.48806451612903229</v>
      </c>
      <c r="S38" s="2">
        <f>COUNTIFS('BA History'!$B:$B,$A$38,'BA History'!K:K, 1)</f>
        <v>6</v>
      </c>
      <c r="T38" s="2">
        <f>COUNTIFS('BA History'!$B:$B,$A$38,'BA History'!L:L, 1)</f>
        <v>3</v>
      </c>
      <c r="U38" s="2">
        <f>COUNTIFS('BA History'!$B:$B,$A$38,'BA History'!M:M, 1)</f>
        <v>6</v>
      </c>
      <c r="V38" s="2">
        <f>COUNTIFS('BA History'!$B:$B,$A$38,'BA History'!N:N, 1)</f>
        <v>3</v>
      </c>
      <c r="W38" s="2">
        <f>COUNTIFS('BA History'!$B:$B,$A$38,'BA History'!O:O, 1)</f>
        <v>2</v>
      </c>
      <c r="X38" s="2">
        <f>COUNTIFS('BA History'!$B:$B,$A$38,'BA History'!P:P, 1)</f>
        <v>0</v>
      </c>
      <c r="Y38" s="2">
        <f>COUNTIFS('BA History'!$B:$B,$A$38,'BA History'!Q:Q, 1)</f>
        <v>1</v>
      </c>
      <c r="Z38" s="2">
        <f>COUNTIFS('BA History'!$B:$B,$A$38,'BA History'!R:R, 1)</f>
        <v>0</v>
      </c>
      <c r="AA38" s="2">
        <f>COUNTIFS('BA History'!$B:$B,$A$38,'BA History'!S:S, 1)</f>
        <v>0</v>
      </c>
      <c r="AB38" s="2">
        <f>COUNTIFS('BA History'!$B:$B,$A$38,'BA History'!T:T, 1)</f>
        <v>0</v>
      </c>
      <c r="AC38" s="2">
        <f>COUNTIFS('BA History'!$B:$B,$A$38,'BA History'!U:U, 1)</f>
        <v>1</v>
      </c>
      <c r="AD38" s="2">
        <f>COUNTIFS('BA History'!$B:$B,$A$38,'BA History'!V:V, 1)</f>
        <v>2</v>
      </c>
      <c r="AE38" s="2">
        <f>COUNTIFS('BA History'!$B:$B,$A$38,'BA History'!W:W, 1)</f>
        <v>1</v>
      </c>
      <c r="AF38" s="2">
        <f>COUNTIFS('BA History'!$B:$B,$A$38,'BA History'!X:X, 1)</f>
        <v>0</v>
      </c>
      <c r="AG38" s="2">
        <f>COUNTIFS('BA History'!$B:$B,$A$38,'BA History'!Y:Y, 1)</f>
        <v>5</v>
      </c>
      <c r="AH38" s="2">
        <f>COUNTIFS('BA History'!$B:$B,$A$38,'BA History'!Z:Z, 1)</f>
        <v>6</v>
      </c>
      <c r="AI38" s="2">
        <f>COUNTIFS('BA History'!$B:$B,$A38,'BA History'!AA:AA, 1)</f>
        <v>0</v>
      </c>
      <c r="AJ38" s="2">
        <f>COUNTIFS('BA History'!$B:$B,$A$38,'BA History'!AB:AB, 1)</f>
        <v>1</v>
      </c>
      <c r="AK38" s="2">
        <f>COUNTIFS('BA History'!$B:$B,$A$38,'BA History'!AC:AC, 1)</f>
        <v>7</v>
      </c>
      <c r="AL38" s="2">
        <f>COUNTIFS('BA History'!$B:$B,$A$38,'BA History'!AD:AD, 1)</f>
        <v>4</v>
      </c>
      <c r="AM38" s="2">
        <f>COUNTIFS('BA History'!$B:$B,$A$38,'BA History'!AE:AE, 1)</f>
        <v>4</v>
      </c>
      <c r="AN38" s="2">
        <f>COUNTIFS('BA History'!$B:$B,$A$38,'BA History'!AF:AF, 1)</f>
        <v>1</v>
      </c>
      <c r="AO38" s="2">
        <f>COUNTIFS('BA History'!$B:$B,$A$38,'BA History'!AG:AG, 1)</f>
        <v>3</v>
      </c>
    </row>
    <row r="39" spans="1:41" x14ac:dyDescent="0.25">
      <c r="A39" s="2" t="s">
        <v>2</v>
      </c>
      <c r="B39" s="1" t="s">
        <v>158</v>
      </c>
      <c r="C39" s="1">
        <v>1</v>
      </c>
      <c r="D39" s="1"/>
      <c r="E39" s="1"/>
      <c r="F39" s="34">
        <f>SUMIFS('BA History'!C:C,'BA History'!B:B,A39)</f>
        <v>1285</v>
      </c>
      <c r="G39" s="66">
        <f>AVERAGEIFS('BA History'!C:C,'BA History'!B:B,A39)</f>
        <v>24.71153846153846</v>
      </c>
      <c r="H39" s="66">
        <f t="array" ref="H39">MEDIAN(IF('BA History'!B:B=A39, 'BA History'!C:C))</f>
        <v>23.5</v>
      </c>
      <c r="I39" s="35">
        <f t="array" ref="I39">MAX(IF('BA History'!B:B=A39, 'BA History'!C:C))</f>
        <v>50</v>
      </c>
      <c r="J39" s="34">
        <f>COUNTIFS('BA History'!B:B,A39,'BA History'!D:D, 1)</f>
        <v>23</v>
      </c>
      <c r="K39" s="2">
        <f>COUNTIFS('BA History'!B:B,A39,'BA History'!D:D, 0)</f>
        <v>29</v>
      </c>
      <c r="L39" s="75">
        <f>LOOKUP(2, 1/('BA History'!$B:$B=A39), 'BA History'!$AK:$AK)</f>
        <v>0.44230769230769229</v>
      </c>
      <c r="M39" s="34">
        <f>SUMIFS('BA History'!F:F,'BA History'!B:B,A39)</f>
        <v>101</v>
      </c>
      <c r="N39" s="2">
        <f>SUMIFS('BA History'!E:E,'BA History'!B:B,A39)-M39</f>
        <v>105</v>
      </c>
      <c r="O39" s="75">
        <f>LOOKUP(2, 1/('BA History'!$B:$B=A39), 'BA History'!$AI:$AI)</f>
        <v>0.49673076923076909</v>
      </c>
      <c r="P39" s="34">
        <f>SUMIFS('BA History'!H:H,'BA History'!B:B,A39)</f>
        <v>447</v>
      </c>
      <c r="Q39" s="2">
        <f>SUMIFS('BA History'!G:G,'BA History'!B:B,A39)-P39</f>
        <v>418</v>
      </c>
      <c r="R39" s="89">
        <f>LOOKUP(2, 1/('BA History'!$B:$B=A39), 'BA History'!$AJ:$AJ)</f>
        <v>0.52538461538461534</v>
      </c>
      <c r="S39" s="2">
        <f>COUNTIFS('BA History'!$B:$B,$A$39,'BA History'!K:K, 1)</f>
        <v>7</v>
      </c>
      <c r="T39" s="2">
        <f>COUNTIFS('BA History'!$B:$B,$A$39,'BA History'!L:L, 1)</f>
        <v>3</v>
      </c>
      <c r="U39" s="2">
        <f>COUNTIFS('BA History'!$B:$B,$A$39,'BA History'!M:M, 1)</f>
        <v>7</v>
      </c>
      <c r="V39" s="2">
        <f>COUNTIFS('BA History'!$B:$B,$A$39,'BA History'!N:N, 1)</f>
        <v>10</v>
      </c>
      <c r="W39" s="2">
        <f>COUNTIFS('BA History'!$B:$B,$A$39,'BA History'!O:O, 1)</f>
        <v>3</v>
      </c>
      <c r="X39" s="2">
        <f>COUNTIFS('BA History'!$B:$B,$A$39,'BA History'!P:P, 1)</f>
        <v>1</v>
      </c>
      <c r="Y39" s="2">
        <f>COUNTIFS('BA History'!$B:$B,$A$39,'BA History'!Q:Q, 1)</f>
        <v>2</v>
      </c>
      <c r="Z39" s="2">
        <f>COUNTIFS('BA History'!$B:$B,$A$39,'BA History'!R:R, 1)</f>
        <v>1</v>
      </c>
      <c r="AA39" s="2">
        <f>COUNTIFS('BA History'!$B:$B,$A$39,'BA History'!S:S, 1)</f>
        <v>2</v>
      </c>
      <c r="AB39" s="2">
        <f>COUNTIFS('BA History'!$B:$B,$A$39,'BA History'!T:T, 1)</f>
        <v>0</v>
      </c>
      <c r="AC39" s="2">
        <f>COUNTIFS('BA History'!$B:$B,$A$39,'BA History'!U:U, 1)</f>
        <v>4</v>
      </c>
      <c r="AD39" s="2">
        <f>COUNTIFS('BA History'!$B:$B,$A$39,'BA History'!V:V, 1)</f>
        <v>5</v>
      </c>
      <c r="AE39" s="2">
        <f>COUNTIFS('BA History'!$B:$B,$A$39,'BA History'!W:W, 1)</f>
        <v>1</v>
      </c>
      <c r="AF39" s="2">
        <f>COUNTIFS('BA History'!$B:$B,$A$39,'BA History'!X:X, 1)</f>
        <v>1</v>
      </c>
      <c r="AG39" s="2">
        <f>COUNTIFS('BA History'!$B:$B,$A$39,'BA History'!Y:Y, 1)</f>
        <v>6</v>
      </c>
      <c r="AH39" s="2">
        <f>COUNTIFS('BA History'!$B:$B,$A$39,'BA History'!Z:Z, 1)</f>
        <v>10</v>
      </c>
      <c r="AI39" s="2">
        <f>COUNTIFS('BA History'!$B:$B,$A39,'BA History'!AA:AA, 1)</f>
        <v>1</v>
      </c>
      <c r="AJ39" s="2">
        <f>COUNTIFS('BA History'!$B:$B,$A$39,'BA History'!AB:AB, 1)</f>
        <v>1</v>
      </c>
      <c r="AK39" s="2">
        <f>COUNTIFS('BA History'!$B:$B,$A$39,'BA History'!AC:AC, 1)</f>
        <v>18</v>
      </c>
      <c r="AL39" s="2">
        <f>COUNTIFS('BA History'!$B:$B,$A$39,'BA History'!AD:AD, 1)</f>
        <v>5</v>
      </c>
      <c r="AM39" s="2">
        <f>COUNTIFS('BA History'!$B:$B,$A$39,'BA History'!AE:AE, 1)</f>
        <v>8</v>
      </c>
      <c r="AN39" s="2">
        <f>COUNTIFS('BA History'!$B:$B,$A$39,'BA History'!AF:AF, 1)</f>
        <v>0</v>
      </c>
      <c r="AO39" s="2">
        <f>COUNTIFS('BA History'!$B:$B,$A$39,'BA History'!AG:AG, 1)</f>
        <v>5</v>
      </c>
    </row>
    <row r="40" spans="1:41" x14ac:dyDescent="0.25">
      <c r="A40" s="2" t="s">
        <v>54</v>
      </c>
      <c r="B40" s="2" t="s">
        <v>79</v>
      </c>
      <c r="C40" s="2">
        <v>3</v>
      </c>
      <c r="D40" s="2">
        <v>1</v>
      </c>
      <c r="E40" s="2"/>
      <c r="F40" s="34">
        <f>SUMIFS('BA History'!C:C,'BA History'!B:B,A40)</f>
        <v>1626</v>
      </c>
      <c r="G40" s="66">
        <f>AVERAGEIFS('BA History'!C:C,'BA History'!B:B,A40)</f>
        <v>23.565217391304348</v>
      </c>
      <c r="H40" s="66">
        <f t="array" ref="H40">MEDIAN(IF('BA History'!B:B=A40, 'BA History'!C:C))</f>
        <v>23</v>
      </c>
      <c r="I40" s="35">
        <f t="array" ref="I40">MAX(IF('BA History'!B:B=A40, 'BA History'!C:C))</f>
        <v>47</v>
      </c>
      <c r="J40" s="34">
        <f>COUNTIFS('BA History'!B:B,A40,'BA History'!D:D, 1)</f>
        <v>38</v>
      </c>
      <c r="K40" s="2">
        <f>COUNTIFS('BA History'!B:B,A40,'BA History'!D:D, 0)</f>
        <v>31</v>
      </c>
      <c r="L40" s="75">
        <f>LOOKUP(2, 1/('BA History'!$B:$B=A40), 'BA History'!$AK:$AK)</f>
        <v>0.55072463768115942</v>
      </c>
      <c r="M40" s="34">
        <f>SUMIFS('BA History'!F:F,'BA History'!B:B,A40)</f>
        <v>148</v>
      </c>
      <c r="N40" s="2">
        <f>SUMIFS('BA History'!E:E,'BA History'!B:B,A40)-M40</f>
        <v>131</v>
      </c>
      <c r="O40" s="75">
        <f>LOOKUP(2, 1/('BA History'!$B:$B=A40), 'BA History'!$AI:$AI)</f>
        <v>0.5314492753623189</v>
      </c>
      <c r="P40" s="34">
        <f>SUMIFS('BA History'!H:H,'BA History'!B:B,A40)</f>
        <v>591</v>
      </c>
      <c r="Q40" s="2">
        <f>SUMIFS('BA History'!G:G,'BA History'!B:B,A40)-P40</f>
        <v>570</v>
      </c>
      <c r="R40" s="89">
        <f>LOOKUP(2, 1/('BA History'!$B:$B=A40), 'BA History'!$AJ:$AJ)</f>
        <v>0.50942028985507259</v>
      </c>
      <c r="S40" s="2">
        <f>COUNTIFS('BA History'!$B:$B,$A$40,'BA History'!K:K, 1)</f>
        <v>7</v>
      </c>
      <c r="T40" s="2">
        <f>COUNTIFS('BA History'!$B:$B,$A$40,'BA History'!L:L, 1)</f>
        <v>12</v>
      </c>
      <c r="U40" s="2">
        <f>COUNTIFS('BA History'!$B:$B,$A$40,'BA History'!M:M, 1)</f>
        <v>11</v>
      </c>
      <c r="V40" s="2">
        <f>COUNTIFS('BA History'!$B:$B,$A$40,'BA History'!N:N, 1)</f>
        <v>11</v>
      </c>
      <c r="W40" s="2">
        <f>COUNTIFS('BA History'!$B:$B,$A$40,'BA History'!O:O, 1)</f>
        <v>3</v>
      </c>
      <c r="X40" s="2">
        <f>COUNTIFS('BA History'!$B:$B,$A$40,'BA History'!P:P, 1)</f>
        <v>2</v>
      </c>
      <c r="Y40" s="2">
        <f>COUNTIFS('BA History'!$B:$B,$A$40,'BA History'!Q:Q, 1)</f>
        <v>4</v>
      </c>
      <c r="Z40" s="2">
        <f>COUNTIFS('BA History'!$B:$B,$A$40,'BA History'!R:R, 1)</f>
        <v>2</v>
      </c>
      <c r="AA40" s="2">
        <f>COUNTIFS('BA History'!$B:$B,$A$40,'BA History'!S:S, 1)</f>
        <v>1</v>
      </c>
      <c r="AB40" s="2">
        <f>COUNTIFS('BA History'!$B:$B,$A$40,'BA History'!T:T, 1)</f>
        <v>1</v>
      </c>
      <c r="AC40" s="2">
        <f>COUNTIFS('BA History'!$B:$B,$A$40,'BA History'!U:U, 1)</f>
        <v>4</v>
      </c>
      <c r="AD40" s="2">
        <f>COUNTIFS('BA History'!$B:$B,$A$40,'BA History'!V:V, 1)</f>
        <v>10</v>
      </c>
      <c r="AE40" s="2">
        <f>COUNTIFS('BA History'!$B:$B,$A$40,'BA History'!W:W, 1)</f>
        <v>2</v>
      </c>
      <c r="AF40" s="2">
        <f>COUNTIFS('BA History'!$B:$B,$A$40,'BA History'!X:X, 1)</f>
        <v>0</v>
      </c>
      <c r="AG40" s="2">
        <f>COUNTIFS('BA History'!$B:$B,$A$40,'BA History'!Y:Y, 1)</f>
        <v>11</v>
      </c>
      <c r="AH40" s="2">
        <f>COUNTIFS('BA History'!$B:$B,$A$40,'BA History'!Z:Z, 1)</f>
        <v>14</v>
      </c>
      <c r="AI40" s="2">
        <f>COUNTIFS('BA History'!$B:$B,$A40,'BA History'!AA:AA, 1)</f>
        <v>0</v>
      </c>
      <c r="AJ40" s="2">
        <f>COUNTIFS('BA History'!$B:$B,$A$40,'BA History'!AB:AB, 1)</f>
        <v>5</v>
      </c>
      <c r="AK40" s="2">
        <f>COUNTIFS('BA History'!$B:$B,$A$40,'BA History'!AC:AC, 1)</f>
        <v>17</v>
      </c>
      <c r="AL40" s="2">
        <f>COUNTIFS('BA History'!$B:$B,$A$40,'BA History'!AD:AD, 1)</f>
        <v>10</v>
      </c>
      <c r="AM40" s="2">
        <f>COUNTIFS('BA History'!$B:$B,$A$40,'BA History'!AE:AE, 1)</f>
        <v>11</v>
      </c>
      <c r="AN40" s="2">
        <f>COUNTIFS('BA History'!$B:$B,$A$40,'BA History'!AF:AF, 1)</f>
        <v>2</v>
      </c>
      <c r="AO40" s="2">
        <f>COUNTIFS('BA History'!$B:$B,$A$40,'BA History'!AG:AG, 1)</f>
        <v>8</v>
      </c>
    </row>
    <row r="41" spans="1:41" x14ac:dyDescent="0.25">
      <c r="A41" s="2" t="s">
        <v>5</v>
      </c>
      <c r="B41" s="1" t="s">
        <v>158</v>
      </c>
      <c r="C41" s="1">
        <v>1</v>
      </c>
      <c r="D41" s="1">
        <v>1</v>
      </c>
      <c r="E41" s="1"/>
      <c r="F41" s="34">
        <f>SUMIFS('BA History'!C:C,'BA History'!B:B,A41)</f>
        <v>781</v>
      </c>
      <c r="G41" s="66">
        <f>AVERAGEIFS('BA History'!C:C,'BA History'!B:B,A41)</f>
        <v>19.524999999999999</v>
      </c>
      <c r="H41" s="66">
        <f t="array" ref="H41">MEDIAN(IF('BA History'!B:B=A41, 'BA History'!C:C))</f>
        <v>19</v>
      </c>
      <c r="I41" s="35">
        <f t="array" ref="I41">MAX(IF('BA History'!B:B=A41, 'BA History'!C:C))</f>
        <v>37</v>
      </c>
      <c r="J41" s="34">
        <f>COUNTIFS('BA History'!B:B,A41,'BA History'!D:D, 1)</f>
        <v>24</v>
      </c>
      <c r="K41" s="2">
        <f>COUNTIFS('BA History'!B:B,A41,'BA History'!D:D, 0)</f>
        <v>16</v>
      </c>
      <c r="L41" s="75">
        <f>LOOKUP(2, 1/('BA History'!$B:$B=A41), 'BA History'!$AK:$AK)</f>
        <v>0.6</v>
      </c>
      <c r="M41" s="34">
        <f>SUMIFS('BA History'!F:F,'BA History'!B:B,A41)</f>
        <v>87</v>
      </c>
      <c r="N41" s="2">
        <f>SUMIFS('BA History'!E:E,'BA History'!B:B,A41)-M41</f>
        <v>73</v>
      </c>
      <c r="O41" s="75">
        <f>LOOKUP(2, 1/('BA History'!$B:$B=A41), 'BA History'!$AI:$AI)</f>
        <v>0.5442499999999999</v>
      </c>
      <c r="P41" s="34">
        <f>SUMIFS('BA History'!H:H,'BA History'!B:B,A41)</f>
        <v>350</v>
      </c>
      <c r="Q41" s="2">
        <f>SUMIFS('BA History'!G:G,'BA History'!B:B,A41)-P41</f>
        <v>326</v>
      </c>
      <c r="R41" s="89">
        <f>LOOKUP(2, 1/('BA History'!$B:$B=A41), 'BA History'!$AJ:$AJ)</f>
        <v>0.52175000000000016</v>
      </c>
      <c r="S41" s="2">
        <f>COUNTIFS('BA History'!$B:$B,$A$41,'BA History'!K:K, 1)</f>
        <v>3</v>
      </c>
      <c r="T41" s="2">
        <f>COUNTIFS('BA History'!$B:$B,$A$41,'BA History'!L:L, 1)</f>
        <v>8</v>
      </c>
      <c r="U41" s="2">
        <f>COUNTIFS('BA History'!$B:$B,$A$41,'BA History'!M:M, 1)</f>
        <v>7</v>
      </c>
      <c r="V41" s="2">
        <f>COUNTIFS('BA History'!$B:$B,$A$41,'BA History'!N:N, 1)</f>
        <v>12</v>
      </c>
      <c r="W41" s="2">
        <f>COUNTIFS('BA History'!$B:$B,$A$41,'BA History'!O:O, 1)</f>
        <v>3</v>
      </c>
      <c r="X41" s="2">
        <f>COUNTIFS('BA History'!$B:$B,$A$41,'BA History'!P:P, 1)</f>
        <v>0</v>
      </c>
      <c r="Y41" s="2">
        <f>COUNTIFS('BA History'!$B:$B,$A$41,'BA History'!Q:Q, 1)</f>
        <v>2</v>
      </c>
      <c r="Z41" s="2">
        <f>COUNTIFS('BA History'!$B:$B,$A$41,'BA History'!R:R, 1)</f>
        <v>0</v>
      </c>
      <c r="AA41" s="2">
        <f>COUNTIFS('BA History'!$B:$B,$A$41,'BA History'!S:S, 1)</f>
        <v>0</v>
      </c>
      <c r="AB41" s="2">
        <f>COUNTIFS('BA History'!$B:$B,$A$41,'BA History'!T:T, 1)</f>
        <v>0</v>
      </c>
      <c r="AC41" s="2">
        <f>COUNTIFS('BA History'!$B:$B,$A$41,'BA History'!U:U, 1)</f>
        <v>1</v>
      </c>
      <c r="AD41" s="2">
        <f>COUNTIFS('BA History'!$B:$B,$A$41,'BA History'!V:V, 1)</f>
        <v>4</v>
      </c>
      <c r="AE41" s="2">
        <f>COUNTIFS('BA History'!$B:$B,$A$41,'BA History'!W:W, 1)</f>
        <v>1</v>
      </c>
      <c r="AF41" s="2">
        <f>COUNTIFS('BA History'!$B:$B,$A$41,'BA History'!X:X, 1)</f>
        <v>1</v>
      </c>
      <c r="AG41" s="2">
        <f>COUNTIFS('BA History'!$B:$B,$A$41,'BA History'!Y:Y, 1)</f>
        <v>6</v>
      </c>
      <c r="AH41" s="2">
        <f>COUNTIFS('BA History'!$B:$B,$A$41,'BA History'!Z:Z, 1)</f>
        <v>8</v>
      </c>
      <c r="AI41" s="2">
        <f>COUNTIFS('BA History'!$B:$B,$A41,'BA History'!AA:AA, 1)</f>
        <v>0</v>
      </c>
      <c r="AJ41" s="2">
        <f>COUNTIFS('BA History'!$B:$B,$A$41,'BA History'!AB:AB, 1)</f>
        <v>5</v>
      </c>
      <c r="AK41" s="2">
        <f>COUNTIFS('BA History'!$B:$B,$A$41,'BA History'!AC:AC, 1)</f>
        <v>11</v>
      </c>
      <c r="AL41" s="2">
        <f>COUNTIFS('BA History'!$B:$B,$A$41,'BA History'!AD:AD, 1)</f>
        <v>6</v>
      </c>
      <c r="AM41" s="2">
        <f>COUNTIFS('BA History'!$B:$B,$A$41,'BA History'!AE:AE, 1)</f>
        <v>6</v>
      </c>
      <c r="AN41" s="2">
        <f>COUNTIFS('BA History'!$B:$B,$A$41,'BA History'!AF:AF, 1)</f>
        <v>0</v>
      </c>
      <c r="AO41" s="2">
        <f>COUNTIFS('BA History'!$B:$B,$A$41,'BA History'!AG:AG, 1)</f>
        <v>3</v>
      </c>
    </row>
    <row r="42" spans="1:41" x14ac:dyDescent="0.25">
      <c r="A42" s="2" t="s">
        <v>38</v>
      </c>
      <c r="B42" s="2" t="s">
        <v>79</v>
      </c>
      <c r="C42" s="2"/>
      <c r="D42" s="2"/>
      <c r="E42" s="2"/>
      <c r="F42" s="34">
        <f>SUMIFS('BA History'!C:C,'BA History'!B:B,A42)</f>
        <v>23</v>
      </c>
      <c r="G42" s="66">
        <f>AVERAGEIFS('BA History'!C:C,'BA History'!B:B,A42)</f>
        <v>4.5999999999999996</v>
      </c>
      <c r="H42" s="66">
        <f t="array" ref="H42">MEDIAN(IF('BA History'!B:B=A42, 'BA History'!C:C))</f>
        <v>3</v>
      </c>
      <c r="I42" s="35">
        <f t="array" ref="I42">MAX(IF('BA History'!B:B=A42, 'BA History'!C:C))</f>
        <v>11</v>
      </c>
      <c r="J42" s="34">
        <f>COUNTIFS('BA History'!B:B,A42,'BA History'!D:D, 1)</f>
        <v>2</v>
      </c>
      <c r="K42" s="2">
        <f>COUNTIFS('BA History'!B:B,A42,'BA History'!D:D, 0)</f>
        <v>3</v>
      </c>
      <c r="L42" s="75">
        <f>LOOKUP(2, 1/('BA History'!$B:$B=A42), 'BA History'!$AK:$AK)</f>
        <v>0.4</v>
      </c>
      <c r="M42" s="34">
        <f>SUMIFS('BA History'!F:F,'BA History'!B:B,A42)</f>
        <v>10</v>
      </c>
      <c r="N42" s="2">
        <f>SUMIFS('BA History'!E:E,'BA History'!B:B,A42)-M42</f>
        <v>12</v>
      </c>
      <c r="O42" s="75">
        <f>LOOKUP(2, 1/('BA History'!$B:$B=A42), 'BA History'!$AI:$AI)</f>
        <v>0.43</v>
      </c>
      <c r="P42" s="34">
        <f>SUMIFS('BA History'!H:H,'BA History'!B:B,A42)</f>
        <v>41</v>
      </c>
      <c r="Q42" s="2">
        <f>SUMIFS('BA History'!G:G,'BA History'!B:B,A42)-P42</f>
        <v>49</v>
      </c>
      <c r="R42" s="89">
        <f>LOOKUP(2, 1/('BA History'!$B:$B=A42), 'BA History'!$AJ:$AJ)</f>
        <v>0.43600000000000005</v>
      </c>
      <c r="S42" s="2">
        <f>COUNTIFS('BA History'!$B:$B,$A$42,'BA History'!K:K, 1)</f>
        <v>1</v>
      </c>
      <c r="T42" s="2">
        <f>COUNTIFS('BA History'!$B:$B,$A$42,'BA History'!L:L, 1)</f>
        <v>1</v>
      </c>
      <c r="U42" s="2">
        <f>COUNTIFS('BA History'!$B:$B,$A$42,'BA History'!M:M, 1)</f>
        <v>1</v>
      </c>
      <c r="V42" s="2">
        <f>COUNTIFS('BA History'!$B:$B,$A$42,'BA History'!N:N, 1)</f>
        <v>0</v>
      </c>
      <c r="W42" s="2">
        <f>COUNTIFS('BA History'!$B:$B,$A$42,'BA History'!O:O, 1)</f>
        <v>1</v>
      </c>
      <c r="X42" s="2">
        <f>COUNTIFS('BA History'!$B:$B,$A$42,'BA History'!P:P, 1)</f>
        <v>0</v>
      </c>
      <c r="Y42" s="2">
        <f>COUNTIFS('BA History'!$B:$B,$A$42,'BA History'!Q:Q, 1)</f>
        <v>0</v>
      </c>
      <c r="Z42" s="2">
        <f>COUNTIFS('BA History'!$B:$B,$A$42,'BA History'!R:R, 1)</f>
        <v>0</v>
      </c>
      <c r="AA42" s="2">
        <f>COUNTIFS('BA History'!$B:$B,$A$42,'BA History'!S:S, 1)</f>
        <v>0</v>
      </c>
      <c r="AB42" s="2">
        <f>COUNTIFS('BA History'!$B:$B,$A$42,'BA History'!T:T, 1)</f>
        <v>0</v>
      </c>
      <c r="AC42" s="2">
        <f>COUNTIFS('BA History'!$B:$B,$A$42,'BA History'!U:U, 1)</f>
        <v>1</v>
      </c>
      <c r="AD42" s="2">
        <f>COUNTIFS('BA History'!$B:$B,$A$42,'BA History'!V:V, 1)</f>
        <v>2</v>
      </c>
      <c r="AE42" s="2">
        <f>COUNTIFS('BA History'!$B:$B,$A$42,'BA History'!W:W, 1)</f>
        <v>0</v>
      </c>
      <c r="AF42" s="2">
        <f>COUNTIFS('BA History'!$B:$B,$A$42,'BA History'!X:X, 1)</f>
        <v>0</v>
      </c>
      <c r="AG42" s="2">
        <f>COUNTIFS('BA History'!$B:$B,$A$42,'BA History'!Y:Y, 1)</f>
        <v>1</v>
      </c>
      <c r="AH42" s="2">
        <f>COUNTIFS('BA History'!$B:$B,$A$42,'BA History'!Z:Z, 1)</f>
        <v>0</v>
      </c>
      <c r="AI42" s="2">
        <f>COUNTIFS('BA History'!$B:$B,$A42,'BA History'!AA:AA, 1)</f>
        <v>0</v>
      </c>
      <c r="AJ42" s="2">
        <f>COUNTIFS('BA History'!$B:$B,$A$42,'BA History'!AB:AB, 1)</f>
        <v>0</v>
      </c>
      <c r="AK42" s="2">
        <f>COUNTIFS('BA History'!$B:$B,$A$42,'BA History'!AC:AC, 1)</f>
        <v>1</v>
      </c>
      <c r="AL42" s="2">
        <f>COUNTIFS('BA History'!$B:$B,$A$42,'BA History'!AD:AD, 1)</f>
        <v>0</v>
      </c>
      <c r="AM42" s="2">
        <f>COUNTIFS('BA History'!$B:$B,$A$42,'BA History'!AE:AE, 1)</f>
        <v>1</v>
      </c>
      <c r="AN42" s="2">
        <f>COUNTIFS('BA History'!$B:$B,$A$42,'BA History'!AF:AF, 1)</f>
        <v>0</v>
      </c>
      <c r="AO42" s="2">
        <f>COUNTIFS('BA History'!$B:$B,$A$42,'BA History'!AG:AG, 1)</f>
        <v>0</v>
      </c>
    </row>
    <row r="43" spans="1:41" x14ac:dyDescent="0.25">
      <c r="A43" s="2" t="s">
        <v>224</v>
      </c>
      <c r="B43" s="2" t="s">
        <v>79</v>
      </c>
      <c r="C43" s="2"/>
      <c r="D43" s="2"/>
      <c r="E43" s="2"/>
      <c r="F43" s="34">
        <f>SUMIFS('BA History'!C:C,'BA History'!B:B,A43)</f>
        <v>17</v>
      </c>
      <c r="G43" s="66">
        <f>AVERAGEIFS('BA History'!C:C,'BA History'!B:B,A43)</f>
        <v>8.5</v>
      </c>
      <c r="H43" s="66">
        <f t="array" ref="H43">MEDIAN(IF('BA History'!B:B=A43, 'BA History'!C:C))</f>
        <v>8.5</v>
      </c>
      <c r="I43" s="35">
        <f t="array" ref="I43">MAX(IF('BA History'!B:B=A43, 'BA History'!C:C))</f>
        <v>10</v>
      </c>
      <c r="J43" s="34">
        <f>COUNTIFS('BA History'!B:B,A43,'BA History'!D:D, 1)</f>
        <v>1</v>
      </c>
      <c r="K43" s="2">
        <f>COUNTIFS('BA History'!B:B,A43,'BA History'!D:D, 0)</f>
        <v>1</v>
      </c>
      <c r="L43" s="75">
        <f>LOOKUP(2, 1/('BA History'!$B:$B=A43), 'BA History'!$AK:$AK)</f>
        <v>0.5</v>
      </c>
      <c r="M43" s="34">
        <f>SUMIFS('BA History'!F:F,'BA History'!B:B,A43)</f>
        <v>4</v>
      </c>
      <c r="N43" s="2">
        <f>SUMIFS('BA History'!E:E,'BA History'!B:B,A43)-M43</f>
        <v>3</v>
      </c>
      <c r="O43" s="75">
        <f>LOOKUP(2, 1/('BA History'!$B:$B=A43), 'BA History'!$AI:$AI)</f>
        <v>0.625</v>
      </c>
      <c r="P43" s="34">
        <f>SUMIFS('BA History'!H:H,'BA History'!B:B,A43)</f>
        <v>17</v>
      </c>
      <c r="Q43" s="2">
        <f>SUMIFS('BA History'!G:G,'BA History'!B:B,A43)-P43</f>
        <v>16</v>
      </c>
      <c r="R43" s="89">
        <f>LOOKUP(2, 1/('BA History'!$B:$B=A43), 'BA History'!$AJ:$AJ)</f>
        <v>0.53</v>
      </c>
      <c r="S43" s="2">
        <f>COUNTIFS('BA History'!$B:$B,$A$43,'BA History'!K:K, 1)</f>
        <v>0</v>
      </c>
      <c r="T43" s="2">
        <f>COUNTIFS('BA History'!$B:$B,$A$43,'BA History'!L:L, 1)</f>
        <v>0</v>
      </c>
      <c r="U43" s="2">
        <f>COUNTIFS('BA History'!$B:$B,$A$43,'BA History'!M:M, 1)</f>
        <v>1</v>
      </c>
      <c r="V43" s="2">
        <f>COUNTIFS('BA History'!$B:$B,$A$43,'BA History'!N:N, 1)</f>
        <v>1</v>
      </c>
      <c r="W43" s="2">
        <f>COUNTIFS('BA History'!$B:$B,$A$43,'BA History'!O:O, 1)</f>
        <v>0</v>
      </c>
      <c r="X43" s="2">
        <f>COUNTIFS('BA History'!$B:$B,$A$43,'BA History'!P:P, 1)</f>
        <v>0</v>
      </c>
      <c r="Y43" s="2">
        <f>COUNTIFS('BA History'!$B:$B,$A$43,'BA History'!Q:Q, 1)</f>
        <v>0</v>
      </c>
      <c r="Z43" s="2">
        <f>COUNTIFS('BA History'!$B:$B,$A$43,'BA History'!R:R, 1)</f>
        <v>0</v>
      </c>
      <c r="AA43" s="2">
        <f>COUNTIFS('BA History'!$B:$B,$A$43,'BA History'!S:S, 1)</f>
        <v>0</v>
      </c>
      <c r="AB43" s="2">
        <f>COUNTIFS('BA History'!$B:$B,$A$43,'BA History'!T:T, 1)</f>
        <v>0</v>
      </c>
      <c r="AC43" s="2">
        <f>COUNTIFS('BA History'!$B:$B,$A$43,'BA History'!U:U, 1)</f>
        <v>0</v>
      </c>
      <c r="AD43" s="2">
        <f>COUNTIFS('BA History'!$B:$B,$A$43,'BA History'!V:V, 1)</f>
        <v>0</v>
      </c>
      <c r="AE43" s="2">
        <f>COUNTIFS('BA History'!$B:$B,$A$43,'BA History'!W:W, 1)</f>
        <v>0</v>
      </c>
      <c r="AF43" s="2">
        <f>COUNTIFS('BA History'!$B:$B,$A$43,'BA History'!X:X, 1)</f>
        <v>0</v>
      </c>
      <c r="AG43" s="2">
        <f>COUNTIFS('BA History'!$B:$B,$A$43,'BA History'!Y:Y, 1)</f>
        <v>0</v>
      </c>
      <c r="AH43" s="2">
        <f>COUNTIFS('BA History'!$B:$B,$A$43,'BA History'!Z:Z, 1)</f>
        <v>0</v>
      </c>
      <c r="AI43" s="2">
        <f>COUNTIFS('BA History'!$B:$B,$A$43,'BA History'!AA:AA, 1)</f>
        <v>0</v>
      </c>
      <c r="AJ43" s="2">
        <f>COUNTIFS('BA History'!$B:$B,$A$43,'BA History'!AB:AB, 1)</f>
        <v>0</v>
      </c>
      <c r="AK43" s="2">
        <f>COUNTIFS('BA History'!$B:$B,$A$43,'BA History'!AC:AC, 1)</f>
        <v>1</v>
      </c>
      <c r="AL43" s="2">
        <f>COUNTIFS('BA History'!$B:$B,$A$43,'BA History'!AD:AD, 1)</f>
        <v>0</v>
      </c>
      <c r="AM43" s="2">
        <f>COUNTIFS('BA History'!$B:$B,$A$43,'BA History'!AE:AE, 1)</f>
        <v>0</v>
      </c>
      <c r="AN43" s="2">
        <f>COUNTIFS('BA History'!$B:$B,$A$43,'BA History'!AF:AF, 1)</f>
        <v>0</v>
      </c>
      <c r="AO43" s="2">
        <f>COUNTIFS('BA History'!$B:$B,$A$43,'BA History'!AG:AG, 1)</f>
        <v>1</v>
      </c>
    </row>
    <row r="44" spans="1:41" x14ac:dyDescent="0.25">
      <c r="A44" s="2" t="s">
        <v>141</v>
      </c>
      <c r="B44" s="2" t="s">
        <v>79</v>
      </c>
      <c r="C44" s="2">
        <v>1</v>
      </c>
      <c r="D44" s="2"/>
      <c r="E44" s="2"/>
      <c r="F44" s="34">
        <f>SUMIFS('BA History'!C:C,'BA History'!B:B,A44)</f>
        <v>557</v>
      </c>
      <c r="G44" s="66">
        <f>AVERAGEIFS('BA History'!C:C,'BA History'!B:B,A44)</f>
        <v>19.206896551724139</v>
      </c>
      <c r="H44" s="66">
        <f t="array" ref="H44">MEDIAN(IF('BA History'!B:B=A44, 'BA History'!C:C))</f>
        <v>16</v>
      </c>
      <c r="I44" s="35">
        <f t="array" ref="I44">MAX(IF('BA History'!B:B=A44, 'BA History'!C:C))</f>
        <v>43</v>
      </c>
      <c r="J44" s="34">
        <f>COUNTIFS('BA History'!B:B,A44,'BA History'!D:D, 1)</f>
        <v>18</v>
      </c>
      <c r="K44" s="2">
        <f>COUNTIFS('BA History'!B:B,A44,'BA History'!D:D, 0)</f>
        <v>11</v>
      </c>
      <c r="L44" s="75">
        <f>LOOKUP(2, 1/('BA History'!$B:$B=A44), 'BA History'!$AK:$AK)</f>
        <v>0.62068965517241381</v>
      </c>
      <c r="M44" s="34">
        <f>SUMIFS('BA History'!F:F,'BA History'!B:B,A44)</f>
        <v>60</v>
      </c>
      <c r="N44" s="2">
        <f>SUMIFS('BA History'!E:E,'BA History'!B:B,A44)-M44</f>
        <v>56</v>
      </c>
      <c r="O44" s="75">
        <f>LOOKUP(2, 1/('BA History'!$B:$B=A44), 'BA History'!$AI:$AI)</f>
        <v>0.49827586206896551</v>
      </c>
      <c r="P44" s="34">
        <f>SUMIFS('BA History'!H:H,'BA History'!B:B,A44)</f>
        <v>252</v>
      </c>
      <c r="Q44" s="2">
        <f>SUMIFS('BA History'!G:G,'BA History'!B:B,A44)-P44</f>
        <v>244</v>
      </c>
      <c r="R44" s="89">
        <f>LOOKUP(2, 1/('BA History'!$B:$B=A44), 'BA History'!$AJ:$AJ)</f>
        <v>0.50517241379310351</v>
      </c>
      <c r="S44" s="2">
        <f>COUNTIFS('BA History'!$B:$B,$A$44,'BA History'!K:K, 1)</f>
        <v>6</v>
      </c>
      <c r="T44" s="2">
        <f>COUNTIFS('BA History'!$B:$B,$A$44,'BA History'!L:L, 1)</f>
        <v>2</v>
      </c>
      <c r="U44" s="2">
        <f>COUNTIFS('BA History'!$B:$B,$A$44,'BA History'!M:M, 1)</f>
        <v>3</v>
      </c>
      <c r="V44" s="2">
        <f>COUNTIFS('BA History'!$B:$B,$A$44,'BA History'!N:N, 1)</f>
        <v>7</v>
      </c>
      <c r="W44" s="2">
        <f>COUNTIFS('BA History'!$B:$B,$A$44,'BA History'!O:O, 1)</f>
        <v>0</v>
      </c>
      <c r="X44" s="2">
        <f>COUNTIFS('BA History'!$B:$B,$A$44,'BA History'!P:P, 1)</f>
        <v>0</v>
      </c>
      <c r="Y44" s="2">
        <f>COUNTIFS('BA History'!$B:$B,$A$44,'BA History'!Q:Q, 1)</f>
        <v>2</v>
      </c>
      <c r="Z44" s="2">
        <f>COUNTIFS('BA History'!$B:$B,$A$44,'BA History'!R:R, 1)</f>
        <v>1</v>
      </c>
      <c r="AA44" s="2">
        <f>COUNTIFS('BA History'!$B:$B,$A$44,'BA History'!S:S, 1)</f>
        <v>1</v>
      </c>
      <c r="AB44" s="2">
        <f>COUNTIFS('BA History'!$B:$B,$A$44,'BA History'!T:T, 1)</f>
        <v>0</v>
      </c>
      <c r="AC44" s="2">
        <f>COUNTIFS('BA History'!$B:$B,$A$44,'BA History'!U:U, 1)</f>
        <v>0</v>
      </c>
      <c r="AD44" s="2">
        <f>COUNTIFS('BA History'!$B:$B,$A$44,'BA History'!V:V, 1)</f>
        <v>4</v>
      </c>
      <c r="AE44" s="2">
        <f>COUNTIFS('BA History'!$B:$B,$A$44,'BA History'!W:W, 1)</f>
        <v>1</v>
      </c>
      <c r="AF44" s="2">
        <f>COUNTIFS('BA History'!$B:$B,$A$44,'BA History'!X:X, 1)</f>
        <v>0</v>
      </c>
      <c r="AG44" s="2">
        <f>COUNTIFS('BA History'!$B:$B,$A$44,'BA History'!Y:Y, 1)</f>
        <v>4</v>
      </c>
      <c r="AH44" s="2">
        <f>COUNTIFS('BA History'!$B:$B,$A$44,'BA History'!Z:Z, 1)</f>
        <v>5</v>
      </c>
      <c r="AI44" s="2">
        <f>COUNTIFS('BA History'!$B:$B,$A44,'BA History'!AA:AA, 1)</f>
        <v>0</v>
      </c>
      <c r="AJ44" s="2">
        <f>COUNTIFS('BA History'!$B:$B,$A$44,'BA History'!AB:AB, 1)</f>
        <v>1</v>
      </c>
      <c r="AK44" s="2">
        <f>COUNTIFS('BA History'!$B:$B,$A$44,'BA History'!AC:AC, 1)</f>
        <v>10</v>
      </c>
      <c r="AL44" s="2">
        <f>COUNTIFS('BA History'!$B:$B,$A$44,'BA History'!AD:AD, 1)</f>
        <v>3</v>
      </c>
      <c r="AM44" s="2">
        <f>COUNTIFS('BA History'!$B:$B,$A$44,'BA History'!AE:AE, 1)</f>
        <v>6</v>
      </c>
      <c r="AN44" s="2">
        <f>COUNTIFS('BA History'!$B:$B,$A$44,'BA History'!AF:AF, 1)</f>
        <v>1</v>
      </c>
      <c r="AO44" s="2">
        <f>COUNTIFS('BA History'!$B:$B,$A$44,'BA History'!AG:AG, 1)</f>
        <v>3</v>
      </c>
    </row>
    <row r="45" spans="1:41" x14ac:dyDescent="0.25">
      <c r="A45" s="2" t="s">
        <v>153</v>
      </c>
      <c r="B45" s="2" t="s">
        <v>79</v>
      </c>
      <c r="C45" s="2"/>
      <c r="D45" s="2"/>
      <c r="E45" s="2"/>
      <c r="F45" s="34">
        <f>SUMIFS('BA History'!C:C,'BA History'!B:B,A45)</f>
        <v>57</v>
      </c>
      <c r="G45" s="66">
        <f>AVERAGEIFS('BA History'!C:C,'BA History'!B:B,A45)</f>
        <v>11.4</v>
      </c>
      <c r="H45" s="66">
        <f t="array" ref="H45">MEDIAN(IF('BA History'!B:B=A45, 'BA History'!C:C))</f>
        <v>11</v>
      </c>
      <c r="I45" s="35">
        <f t="array" ref="I45">MAX(IF('BA History'!B:B=A45, 'BA History'!C:C))</f>
        <v>14</v>
      </c>
      <c r="J45" s="34">
        <f>COUNTIFS('BA History'!B:B,A45,'BA History'!D:D, 1)</f>
        <v>3</v>
      </c>
      <c r="K45" s="2">
        <f>COUNTIFS('BA History'!B:B,A45,'BA History'!D:D, 0)</f>
        <v>2</v>
      </c>
      <c r="L45" s="75">
        <f>LOOKUP(2, 1/('BA History'!$B:$B=A45), 'BA History'!$AK:$AK)</f>
        <v>0.6</v>
      </c>
      <c r="M45" s="34">
        <f>SUMIFS('BA History'!F:F,'BA History'!B:B,A45)</f>
        <v>10</v>
      </c>
      <c r="N45" s="2">
        <f>SUMIFS('BA History'!E:E,'BA History'!B:B,A45)-M45</f>
        <v>11</v>
      </c>
      <c r="O45" s="75">
        <f>LOOKUP(2, 1/('BA History'!$B:$B=A45), 'BA History'!$AI:$AI)</f>
        <v>0.44000000000000006</v>
      </c>
      <c r="P45" s="34">
        <f>SUMIFS('BA History'!H:H,'BA History'!B:B,A45)</f>
        <v>44</v>
      </c>
      <c r="Q45" s="2">
        <f>SUMIFS('BA History'!G:G,'BA History'!B:B,A45)-P45</f>
        <v>46</v>
      </c>
      <c r="R45" s="89">
        <f>LOOKUP(2, 1/('BA History'!$B:$B=A45), 'BA History'!$AJ:$AJ)</f>
        <v>0.44799999999999995</v>
      </c>
      <c r="S45" s="2">
        <f>COUNTIFS('BA History'!$B:$B,$A$45,'BA History'!K:K, 1)</f>
        <v>0</v>
      </c>
      <c r="T45" s="2">
        <f>COUNTIFS('BA History'!$B:$B,$A$45,'BA History'!L:L, 1)</f>
        <v>1</v>
      </c>
      <c r="U45" s="2">
        <f>COUNTIFS('BA History'!$B:$B,$A$45,'BA History'!M:M, 1)</f>
        <v>0</v>
      </c>
      <c r="V45" s="2">
        <f>COUNTIFS('BA History'!$B:$B,$A$45,'BA History'!N:N, 1)</f>
        <v>1</v>
      </c>
      <c r="W45" s="2">
        <f>COUNTIFS('BA History'!$B:$B,$A$45,'BA History'!O:O, 1)</f>
        <v>0</v>
      </c>
      <c r="X45" s="2">
        <f>COUNTIFS('BA History'!$B:$B,$A$45,'BA History'!P:P, 1)</f>
        <v>0</v>
      </c>
      <c r="Y45" s="2">
        <f>COUNTIFS('BA History'!$B:$B,$A$45,'BA History'!Q:Q, 1)</f>
        <v>0</v>
      </c>
      <c r="Z45" s="2">
        <f>COUNTIFS('BA History'!$B:$B,$A$45,'BA History'!R:R, 1)</f>
        <v>0</v>
      </c>
      <c r="AA45" s="2">
        <f>COUNTIFS('BA History'!$B:$B,$A$45,'BA History'!S:S, 1)</f>
        <v>1</v>
      </c>
      <c r="AB45" s="2">
        <f>COUNTIFS('BA History'!$B:$B,$A$45,'BA History'!T:T, 1)</f>
        <v>0</v>
      </c>
      <c r="AC45" s="2">
        <f>COUNTIFS('BA History'!$B:$B,$A$45,'BA History'!U:U, 1)</f>
        <v>0</v>
      </c>
      <c r="AD45" s="2">
        <f>COUNTIFS('BA History'!$B:$B,$A$45,'BA History'!V:V, 1)</f>
        <v>1</v>
      </c>
      <c r="AE45" s="2">
        <f>COUNTIFS('BA History'!$B:$B,$A$45,'BA History'!W:W, 1)</f>
        <v>1</v>
      </c>
      <c r="AF45" s="2">
        <f>COUNTIFS('BA History'!$B:$B,$A$45,'BA History'!X:X, 1)</f>
        <v>0</v>
      </c>
      <c r="AG45" s="2">
        <f>COUNTIFS('BA History'!$B:$B,$A$45,'BA History'!Y:Y, 1)</f>
        <v>0</v>
      </c>
      <c r="AH45" s="2">
        <f>COUNTIFS('BA History'!$B:$B,$A$45,'BA History'!Z:Z, 1)</f>
        <v>2</v>
      </c>
      <c r="AI45" s="2">
        <f>COUNTIFS('BA History'!$B:$B,$A45,'BA History'!AA:AA, 1)</f>
        <v>0</v>
      </c>
      <c r="AJ45" s="2">
        <f>COUNTIFS('BA History'!$B:$B,$A$45,'BA History'!AB:AB, 1)</f>
        <v>0</v>
      </c>
      <c r="AK45" s="2">
        <f>COUNTIFS('BA History'!$B:$B,$A$45,'BA History'!AC:AC, 1)</f>
        <v>3</v>
      </c>
      <c r="AL45" s="2">
        <f>COUNTIFS('BA History'!$B:$B,$A$45,'BA History'!AD:AD, 1)</f>
        <v>0</v>
      </c>
      <c r="AM45" s="2">
        <f>COUNTIFS('BA History'!$B:$B,$A$45,'BA History'!AE:AE, 1)</f>
        <v>0</v>
      </c>
      <c r="AN45" s="2">
        <f>COUNTIFS('BA History'!$B:$B,$A$45,'BA History'!AF:AF, 1)</f>
        <v>0</v>
      </c>
      <c r="AO45" s="2">
        <f>COUNTIFS('BA History'!$B:$B,$A$45,'BA History'!AG:AG, 1)</f>
        <v>0</v>
      </c>
    </row>
    <row r="46" spans="1:41" x14ac:dyDescent="0.25">
      <c r="A46" s="2" t="s">
        <v>40</v>
      </c>
      <c r="B46" s="2" t="s">
        <v>79</v>
      </c>
      <c r="C46" s="2"/>
      <c r="D46" s="2"/>
      <c r="E46" s="2"/>
      <c r="F46" s="34">
        <f>SUMIFS('BA History'!C:C,'BA History'!B:B,A46)</f>
        <v>1316</v>
      </c>
      <c r="G46" s="66">
        <f>AVERAGEIFS('BA History'!C:C,'BA History'!B:B,A46)</f>
        <v>18.535211267605632</v>
      </c>
      <c r="H46" s="66">
        <f t="array" ref="H46">MEDIAN(IF('BA History'!B:B=A46, 'BA History'!C:C))</f>
        <v>18</v>
      </c>
      <c r="I46" s="35">
        <f t="array" ref="I46">MAX(IF('BA History'!B:B=A46, 'BA History'!C:C))</f>
        <v>37</v>
      </c>
      <c r="J46" s="34">
        <f>COUNTIFS('BA History'!B:B,A46,'BA History'!D:D, 1)</f>
        <v>30</v>
      </c>
      <c r="K46" s="2">
        <f>COUNTIFS('BA History'!B:B,A46,'BA History'!D:D, 0)</f>
        <v>41</v>
      </c>
      <c r="L46" s="75">
        <f>LOOKUP(2, 1/('BA History'!$B:$B=A46), 'BA History'!$AK:$AK)</f>
        <v>0.42253521126760563</v>
      </c>
      <c r="M46" s="34">
        <f>SUMIFS('BA History'!F:F,'BA History'!B:B,A46)</f>
        <v>139</v>
      </c>
      <c r="N46" s="2">
        <f>SUMIFS('BA History'!E:E,'BA History'!B:B,A46)-M46</f>
        <v>153</v>
      </c>
      <c r="O46" s="75">
        <f>LOOKUP(2, 1/('BA History'!$B:$B=A46), 'BA History'!$AI:$AI)</f>
        <v>0.4781690140845069</v>
      </c>
      <c r="P46" s="34">
        <f>SUMIFS('BA History'!H:H,'BA History'!B:B,A46)</f>
        <v>585</v>
      </c>
      <c r="Q46" s="2">
        <f>SUMIFS('BA History'!G:G,'BA History'!B:B,A46)-P46</f>
        <v>620</v>
      </c>
      <c r="R46" s="89">
        <f>LOOKUP(2, 1/('BA History'!$B:$B=A46), 'BA History'!$AJ:$AJ)</f>
        <v>0.48225352112676068</v>
      </c>
      <c r="S46" s="2">
        <f>COUNTIFS('BA History'!$B:$B,$A$46,'BA History'!K:K, 1)</f>
        <v>6</v>
      </c>
      <c r="T46" s="2">
        <f>COUNTIFS('BA History'!$B:$B,$A$46,'BA History'!L:L, 1)</f>
        <v>10</v>
      </c>
      <c r="U46" s="2">
        <f>COUNTIFS('BA History'!$B:$B,$A$46,'BA History'!M:M, 1)</f>
        <v>15</v>
      </c>
      <c r="V46" s="2">
        <f>COUNTIFS('BA History'!$B:$B,$A$46,'BA History'!N:N, 1)</f>
        <v>16</v>
      </c>
      <c r="W46" s="2">
        <f>COUNTIFS('BA History'!$B:$B,$A$46,'BA History'!O:O, 1)</f>
        <v>4</v>
      </c>
      <c r="X46" s="2">
        <f>COUNTIFS('BA History'!$B:$B,$A$46,'BA History'!P:P, 1)</f>
        <v>1</v>
      </c>
      <c r="Y46" s="2">
        <f>COUNTIFS('BA History'!$B:$B,$A$46,'BA History'!Q:Q, 1)</f>
        <v>4</v>
      </c>
      <c r="Z46" s="2">
        <f>COUNTIFS('BA History'!$B:$B,$A$46,'BA History'!R:R, 1)</f>
        <v>3</v>
      </c>
      <c r="AA46" s="2">
        <f>COUNTIFS('BA History'!$B:$B,$A$46,'BA History'!S:S, 1)</f>
        <v>2</v>
      </c>
      <c r="AB46" s="2">
        <f>COUNTIFS('BA History'!$B:$B,$A$46,'BA History'!T:T, 1)</f>
        <v>0</v>
      </c>
      <c r="AC46" s="2">
        <f>COUNTIFS('BA History'!$B:$B,$A$46,'BA History'!U:U, 1)</f>
        <v>5</v>
      </c>
      <c r="AD46" s="2">
        <f>COUNTIFS('BA History'!$B:$B,$A$46,'BA History'!V:V, 1)</f>
        <v>8</v>
      </c>
      <c r="AE46" s="2">
        <f>COUNTIFS('BA History'!$B:$B,$A$46,'BA History'!W:W, 1)</f>
        <v>2</v>
      </c>
      <c r="AF46" s="2">
        <f>COUNTIFS('BA History'!$B:$B,$A$46,'BA History'!X:X, 1)</f>
        <v>1</v>
      </c>
      <c r="AG46" s="2">
        <f>COUNTIFS('BA History'!$B:$B,$A$46,'BA History'!Y:Y, 1)</f>
        <v>7</v>
      </c>
      <c r="AH46" s="2">
        <f>COUNTIFS('BA History'!$B:$B,$A$46,'BA History'!Z:Z, 1)</f>
        <v>12</v>
      </c>
      <c r="AI46" s="2">
        <f>COUNTIFS('BA History'!$B:$B,$A46,'BA History'!AA:AA, 1)</f>
        <v>0</v>
      </c>
      <c r="AJ46" s="2">
        <f>COUNTIFS('BA History'!$B:$B,$A$46,'BA History'!AB:AB, 1)</f>
        <v>2</v>
      </c>
      <c r="AK46" s="2">
        <f>COUNTIFS('BA History'!$B:$B,$A$46,'BA History'!AC:AC, 1)</f>
        <v>6</v>
      </c>
      <c r="AL46" s="2">
        <f>COUNTIFS('BA History'!$B:$B,$A$46,'BA History'!AD:AD, 1)</f>
        <v>7</v>
      </c>
      <c r="AM46" s="2">
        <f>COUNTIFS('BA History'!$B:$B,$A$46,'BA History'!AE:AE, 1)</f>
        <v>18</v>
      </c>
      <c r="AN46" s="2">
        <f>COUNTIFS('BA History'!$B:$B,$A$46,'BA History'!AF:AF, 1)</f>
        <v>0</v>
      </c>
      <c r="AO46" s="2">
        <f>COUNTIFS('BA History'!$B:$B,$A$46,'BA History'!AG:AG, 1)</f>
        <v>10</v>
      </c>
    </row>
    <row r="47" spans="1:41" x14ac:dyDescent="0.25">
      <c r="A47" s="2" t="s">
        <v>166</v>
      </c>
      <c r="B47" s="2" t="s">
        <v>79</v>
      </c>
      <c r="C47" s="2">
        <v>1</v>
      </c>
      <c r="D47" s="2"/>
      <c r="E47" s="2"/>
      <c r="F47" s="34">
        <f>SUMIFS('BA History'!C:C,'BA History'!B:B,A47)</f>
        <v>40</v>
      </c>
      <c r="G47" s="66">
        <f>AVERAGEIFS('BA History'!C:C,'BA History'!B:B,A47)</f>
        <v>10</v>
      </c>
      <c r="H47" s="66">
        <f t="array" ref="H47">MEDIAN(IF('BA History'!B:B=A47, 'BA History'!C:C))</f>
        <v>8</v>
      </c>
      <c r="I47" s="35">
        <f t="array" ref="I47">MAX(IF('BA History'!B:B=A47, 'BA History'!C:C))</f>
        <v>21</v>
      </c>
      <c r="J47" s="34">
        <f>COUNTIFS('BA History'!B:B,A47,'BA History'!D:D, 1)</f>
        <v>3</v>
      </c>
      <c r="K47" s="2">
        <f>COUNTIFS('BA History'!B:B,A47,'BA History'!D:D, 0)</f>
        <v>1</v>
      </c>
      <c r="L47" s="75">
        <f>LOOKUP(2, 1/('BA History'!$B:$B=A47), 'BA History'!$AK:$AK)</f>
        <v>0.75</v>
      </c>
      <c r="M47" s="34">
        <f>SUMIFS('BA History'!F:F,'BA History'!B:B,A47)</f>
        <v>9</v>
      </c>
      <c r="N47" s="2">
        <f>SUMIFS('BA History'!E:E,'BA History'!B:B,A47)-M47</f>
        <v>8</v>
      </c>
      <c r="O47" s="75">
        <f>LOOKUP(2, 1/('BA History'!$B:$B=A47), 'BA History'!$AI:$AI)</f>
        <v>0.48750000000000004</v>
      </c>
      <c r="P47" s="34">
        <f>SUMIFS('BA History'!H:H,'BA History'!B:B,A47)</f>
        <v>38</v>
      </c>
      <c r="Q47" s="2">
        <f>SUMIFS('BA History'!G:G,'BA History'!B:B,A47)-P47</f>
        <v>35</v>
      </c>
      <c r="R47" s="89">
        <f>LOOKUP(2, 1/('BA History'!$B:$B=A47), 'BA History'!$AJ:$AJ)</f>
        <v>0.49249999999999999</v>
      </c>
      <c r="S47" s="2">
        <f>COUNTIFS('BA History'!$B:$B,$A$47,'BA History'!K:K, 1)</f>
        <v>1</v>
      </c>
      <c r="T47" s="2">
        <f>COUNTIFS('BA History'!$B:$B,$A$47,'BA History'!L:L, 1)</f>
        <v>0</v>
      </c>
      <c r="U47" s="2">
        <f>COUNTIFS('BA History'!$B:$B,$A$47,'BA History'!M:M, 1)</f>
        <v>1</v>
      </c>
      <c r="V47" s="2">
        <f>COUNTIFS('BA History'!$B:$B,$A$47,'BA History'!N:N, 1)</f>
        <v>1</v>
      </c>
      <c r="W47" s="2">
        <f>COUNTIFS('BA History'!$B:$B,$A$47,'BA History'!O:O, 1)</f>
        <v>0</v>
      </c>
      <c r="X47" s="2">
        <f>COUNTIFS('BA History'!$B:$B,$A$47,'BA History'!P:P, 1)</f>
        <v>0</v>
      </c>
      <c r="Y47" s="2">
        <f>COUNTIFS('BA History'!$B:$B,$A$47,'BA History'!Q:Q, 1)</f>
        <v>0</v>
      </c>
      <c r="Z47" s="2">
        <f>COUNTIFS('BA History'!$B:$B,$A$47,'BA History'!R:R, 1)</f>
        <v>0</v>
      </c>
      <c r="AA47" s="2">
        <f>COUNTIFS('BA History'!$B:$B,$A$47,'BA History'!S:S, 1)</f>
        <v>0</v>
      </c>
      <c r="AB47" s="2">
        <f>COUNTIFS('BA History'!$B:$B,$A$47,'BA History'!T:T, 1)</f>
        <v>0</v>
      </c>
      <c r="AC47" s="2">
        <f>COUNTIFS('BA History'!$B:$B,$A$47,'BA History'!U:U, 1)</f>
        <v>0</v>
      </c>
      <c r="AD47" s="2">
        <f>COUNTIFS('BA History'!$B:$B,$A$47,'BA History'!V:V, 1)</f>
        <v>0</v>
      </c>
      <c r="AE47" s="2">
        <f>COUNTIFS('BA History'!$B:$B,$A$47,'BA History'!W:W, 1)</f>
        <v>0</v>
      </c>
      <c r="AF47" s="2">
        <f>COUNTIFS('BA History'!$B:$B,$A$47,'BA History'!X:X, 1)</f>
        <v>0</v>
      </c>
      <c r="AG47" s="2">
        <f>COUNTIFS('BA History'!$B:$B,$A$47,'BA History'!Y:Y, 1)</f>
        <v>1</v>
      </c>
      <c r="AH47" s="2">
        <f>COUNTIFS('BA History'!$B:$B,$A$47,'BA History'!Z:Z, 1)</f>
        <v>2</v>
      </c>
      <c r="AI47" s="2">
        <f>COUNTIFS('BA History'!$B:$B,$A47,'BA History'!AA:AA, 1)</f>
        <v>0</v>
      </c>
      <c r="AJ47" s="2">
        <f>COUNTIFS('BA History'!$B:$B,$A$47,'BA History'!AB:AB, 1)</f>
        <v>0</v>
      </c>
      <c r="AK47" s="2">
        <f>COUNTIFS('BA History'!$B:$B,$A$47,'BA History'!AC:AC, 1)</f>
        <v>1</v>
      </c>
      <c r="AL47" s="2">
        <f>COUNTIFS('BA History'!$B:$B,$A$47,'BA History'!AD:AD, 1)</f>
        <v>0</v>
      </c>
      <c r="AM47" s="2">
        <f>COUNTIFS('BA History'!$B:$B,$A$47,'BA History'!AE:AE, 1)</f>
        <v>1</v>
      </c>
      <c r="AN47" s="2">
        <f>COUNTIFS('BA History'!$B:$B,$A$47,'BA History'!AF:AF, 1)</f>
        <v>0</v>
      </c>
      <c r="AO47" s="2">
        <f>COUNTIFS('BA History'!$B:$B,$A$47,'BA History'!AG:AG, 1)</f>
        <v>1</v>
      </c>
    </row>
    <row r="48" spans="1:41" x14ac:dyDescent="0.25">
      <c r="A48" s="2" t="s">
        <v>147</v>
      </c>
      <c r="B48" s="2" t="s">
        <v>79</v>
      </c>
      <c r="C48" s="2"/>
      <c r="D48" s="2"/>
      <c r="E48" s="2"/>
      <c r="F48" s="34">
        <f>SUMIFS('BA History'!C:C,'BA History'!B:B,A48)</f>
        <v>640</v>
      </c>
      <c r="G48" s="66">
        <f>AVERAGEIFS('BA History'!C:C,'BA History'!B:B,A48)</f>
        <v>15.238095238095237</v>
      </c>
      <c r="H48" s="66">
        <f t="array" ref="H48">MEDIAN(IF('BA History'!B:B=A48, 'BA History'!C:C))</f>
        <v>14</v>
      </c>
      <c r="I48" s="35">
        <f t="array" ref="I48">MAX(IF('BA History'!B:B=A48, 'BA History'!C:C))</f>
        <v>33</v>
      </c>
      <c r="J48" s="34">
        <f>COUNTIFS('BA History'!B:B,A48,'BA History'!D:D, 1)</f>
        <v>24</v>
      </c>
      <c r="K48" s="2">
        <f>COUNTIFS('BA History'!B:B,A48,'BA History'!D:D, 0)</f>
        <v>18</v>
      </c>
      <c r="L48" s="75">
        <f>LOOKUP(2, 1/('BA History'!$B:$B=A48), 'BA History'!$AK:$AK)</f>
        <v>0.5714285714285714</v>
      </c>
      <c r="M48" s="34">
        <f>SUMIFS('BA History'!F:F,'BA History'!B:B,A48)</f>
        <v>95</v>
      </c>
      <c r="N48" s="2">
        <f>SUMIFS('BA History'!E:E,'BA History'!B:B,A48)-M48</f>
        <v>78</v>
      </c>
      <c r="O48" s="75">
        <f>LOOKUP(2, 1/('BA History'!$B:$B=A48), 'BA History'!$AI:$AI)</f>
        <v>0.57023809523809532</v>
      </c>
      <c r="P48" s="34">
        <f>SUMIFS('BA History'!H:H,'BA History'!B:B,A48)</f>
        <v>377</v>
      </c>
      <c r="Q48" s="2">
        <f>SUMIFS('BA History'!G:G,'BA History'!B:B,A48)-P48</f>
        <v>346</v>
      </c>
      <c r="R48" s="89">
        <f>LOOKUP(2, 1/('BA History'!$B:$B=A48), 'BA History'!$AJ:$AJ)</f>
        <v>0.53309523809523807</v>
      </c>
      <c r="S48" s="2">
        <f>COUNTIFS('BA History'!$B:$B,$A$48,'BA History'!K:K, 1)</f>
        <v>7</v>
      </c>
      <c r="T48" s="2">
        <f>COUNTIFS('BA History'!$B:$B,$A$48,'BA History'!L:L, 1)</f>
        <v>7</v>
      </c>
      <c r="U48" s="2">
        <f>COUNTIFS('BA History'!$B:$B,$A$48,'BA History'!M:M, 1)</f>
        <v>6</v>
      </c>
      <c r="V48" s="2">
        <f>COUNTIFS('BA History'!$B:$B,$A$48,'BA History'!N:N, 1)</f>
        <v>8</v>
      </c>
      <c r="W48" s="2">
        <f>COUNTIFS('BA History'!$B:$B,$A$48,'BA History'!O:O, 1)</f>
        <v>2</v>
      </c>
      <c r="X48" s="2">
        <f>COUNTIFS('BA History'!$B:$B,$A$48,'BA History'!P:P, 1)</f>
        <v>2</v>
      </c>
      <c r="Y48" s="2">
        <f>COUNTIFS('BA History'!$B:$B,$A$48,'BA History'!Q:Q, 1)</f>
        <v>1</v>
      </c>
      <c r="Z48" s="2">
        <f>COUNTIFS('BA History'!$B:$B,$A$48,'BA History'!R:R, 1)</f>
        <v>2</v>
      </c>
      <c r="AA48" s="2">
        <f>COUNTIFS('BA History'!$B:$B,$A$48,'BA History'!S:S, 1)</f>
        <v>1</v>
      </c>
      <c r="AB48" s="2">
        <f>COUNTIFS('BA History'!$B:$B,$A$48,'BA History'!T:T, 1)</f>
        <v>0</v>
      </c>
      <c r="AC48" s="2">
        <f>COUNTIFS('BA History'!$B:$B,$A$48,'BA History'!U:U, 1)</f>
        <v>0</v>
      </c>
      <c r="AD48" s="2">
        <f>COUNTIFS('BA History'!$B:$B,$A$48,'BA History'!V:V, 1)</f>
        <v>2</v>
      </c>
      <c r="AE48" s="2">
        <f>COUNTIFS('BA History'!$B:$B,$A$48,'BA History'!W:W, 1)</f>
        <v>3</v>
      </c>
      <c r="AF48" s="2">
        <f>COUNTIFS('BA History'!$B:$B,$A$48,'BA History'!X:X, 1)</f>
        <v>0</v>
      </c>
      <c r="AG48" s="2">
        <f>COUNTIFS('BA History'!$B:$B,$A$48,'BA History'!Y:Y, 1)</f>
        <v>8</v>
      </c>
      <c r="AH48" s="2">
        <f>COUNTIFS('BA History'!$B:$B,$A$48,'BA History'!Z:Z, 1)</f>
        <v>13</v>
      </c>
      <c r="AI48" s="2">
        <f>COUNTIFS('BA History'!$B:$B,$A48,'BA History'!AA:AA, 1)</f>
        <v>0</v>
      </c>
      <c r="AJ48" s="2">
        <f>COUNTIFS('BA History'!$B:$B,$A$48,'BA History'!AB:AB, 1)</f>
        <v>0</v>
      </c>
      <c r="AK48" s="2">
        <f>COUNTIFS('BA History'!$B:$B,$A$48,'BA History'!AC:AC, 1)</f>
        <v>16</v>
      </c>
      <c r="AL48" s="2">
        <f>COUNTIFS('BA History'!$B:$B,$A$48,'BA History'!AD:AD, 1)</f>
        <v>1</v>
      </c>
      <c r="AM48" s="2">
        <f>COUNTIFS('BA History'!$B:$B,$A$48,'BA History'!AE:AE, 1)</f>
        <v>8</v>
      </c>
      <c r="AN48" s="2">
        <f>COUNTIFS('BA History'!$B:$B,$A$48,'BA History'!AF:AF, 1)</f>
        <v>0</v>
      </c>
      <c r="AO48" s="2">
        <f>COUNTIFS('BA History'!$B:$B,$A$48,'BA History'!AG:AG, 1)</f>
        <v>8</v>
      </c>
    </row>
    <row r="49" spans="1:41" x14ac:dyDescent="0.25">
      <c r="A49" s="2" t="s">
        <v>17</v>
      </c>
      <c r="B49" s="2" t="s">
        <v>79</v>
      </c>
      <c r="C49" s="2">
        <v>1</v>
      </c>
      <c r="D49" s="2">
        <v>1</v>
      </c>
      <c r="E49" s="2"/>
      <c r="F49" s="34">
        <f>SUMIFS('BA History'!C:C,'BA History'!B:B,A49)</f>
        <v>873</v>
      </c>
      <c r="G49" s="66">
        <f>AVERAGEIFS('BA History'!C:C,'BA History'!B:B,A49)</f>
        <v>19.84090909090909</v>
      </c>
      <c r="H49" s="66">
        <f t="array" ref="H49">MEDIAN(IF('BA History'!B:B=A49, 'BA History'!C:C))</f>
        <v>19</v>
      </c>
      <c r="I49" s="35">
        <f t="array" ref="I49">MAX(IF('BA History'!B:B=A49, 'BA History'!C:C))</f>
        <v>32</v>
      </c>
      <c r="J49" s="34">
        <f>COUNTIFS('BA History'!B:B,A49,'BA History'!D:D, 1)</f>
        <v>24</v>
      </c>
      <c r="K49" s="2">
        <f>COUNTIFS('BA History'!B:B,A49,'BA History'!D:D, 0)</f>
        <v>20</v>
      </c>
      <c r="L49" s="75">
        <f>LOOKUP(2, 1/('BA History'!$B:$B=A49), 'BA History'!$AK:$AK)</f>
        <v>0.54545454545454541</v>
      </c>
      <c r="M49" s="34">
        <f>SUMIFS('BA History'!F:F,'BA History'!B:B,A49)</f>
        <v>92</v>
      </c>
      <c r="N49" s="2">
        <f>SUMIFS('BA History'!E:E,'BA History'!B:B,A49)-M49</f>
        <v>82</v>
      </c>
      <c r="O49" s="75">
        <f>LOOKUP(2, 1/('BA History'!$B:$B=A49), 'BA History'!$AI:$AI)</f>
        <v>0.53568181818181815</v>
      </c>
      <c r="P49" s="34">
        <f>SUMIFS('BA History'!H:H,'BA History'!B:B,A49)</f>
        <v>364</v>
      </c>
      <c r="Q49" s="2">
        <f>SUMIFS('BA History'!G:G,'BA History'!B:B,A49)-P49</f>
        <v>358</v>
      </c>
      <c r="R49" s="89">
        <f>LOOKUP(2, 1/('BA History'!$B:$B=A49), 'BA History'!$AJ:$AJ)</f>
        <v>0.49954545454545463</v>
      </c>
      <c r="S49" s="2">
        <f>COUNTIFS('BA History'!$B:$B,$A$49,'BA History'!K:K, 1)</f>
        <v>6</v>
      </c>
      <c r="T49" s="2">
        <f>COUNTIFS('BA History'!$B:$B,$A$49,'BA History'!L:L, 1)</f>
        <v>3</v>
      </c>
      <c r="U49" s="2">
        <f>COUNTIFS('BA History'!$B:$B,$A$49,'BA History'!M:M, 1)</f>
        <v>8</v>
      </c>
      <c r="V49" s="2">
        <f>COUNTIFS('BA History'!$B:$B,$A$49,'BA History'!N:N, 1)</f>
        <v>9</v>
      </c>
      <c r="W49" s="2">
        <f>COUNTIFS('BA History'!$B:$B,$A$49,'BA History'!O:O, 1)</f>
        <v>1</v>
      </c>
      <c r="X49" s="2">
        <f>COUNTIFS('BA History'!$B:$B,$A$49,'BA History'!P:P, 1)</f>
        <v>1</v>
      </c>
      <c r="Y49" s="2">
        <f>COUNTIFS('BA History'!$B:$B,$A$49,'BA History'!Q:Q, 1)</f>
        <v>3</v>
      </c>
      <c r="Z49" s="2">
        <f>COUNTIFS('BA History'!$B:$B,$A$49,'BA History'!R:R, 1)</f>
        <v>1</v>
      </c>
      <c r="AA49" s="2">
        <f>COUNTIFS('BA History'!$B:$B,$A$49,'BA History'!S:S, 1)</f>
        <v>0</v>
      </c>
      <c r="AB49" s="2">
        <f>COUNTIFS('BA History'!$B:$B,$A$49,'BA History'!T:T, 1)</f>
        <v>0</v>
      </c>
      <c r="AC49" s="2">
        <f>COUNTIFS('BA History'!$B:$B,$A$49,'BA History'!U:U, 1)</f>
        <v>2</v>
      </c>
      <c r="AD49" s="2">
        <f>COUNTIFS('BA History'!$B:$B,$A$49,'BA History'!V:V, 1)</f>
        <v>4</v>
      </c>
      <c r="AE49" s="2">
        <f>COUNTIFS('BA History'!$B:$B,$A$49,'BA History'!W:W, 1)</f>
        <v>0</v>
      </c>
      <c r="AF49" s="2">
        <f>COUNTIFS('BA History'!$B:$B,$A$49,'BA History'!X:X, 1)</f>
        <v>0</v>
      </c>
      <c r="AG49" s="2">
        <f>COUNTIFS('BA History'!$B:$B,$A$49,'BA History'!Y:Y, 1)</f>
        <v>3</v>
      </c>
      <c r="AH49" s="2">
        <f>COUNTIFS('BA History'!$B:$B,$A$49,'BA History'!Z:Z, 1)</f>
        <v>10</v>
      </c>
      <c r="AI49" s="2">
        <f>COUNTIFS('BA History'!$B:$B,$A49,'BA History'!AA:AA, 1)</f>
        <v>0</v>
      </c>
      <c r="AJ49" s="2">
        <f>COUNTIFS('BA History'!$B:$B,$A$49,'BA History'!AB:AB, 1)</f>
        <v>2</v>
      </c>
      <c r="AK49" s="2">
        <f>COUNTIFS('BA History'!$B:$B,$A$49,'BA History'!AC:AC, 1)</f>
        <v>13</v>
      </c>
      <c r="AL49" s="2">
        <f>COUNTIFS('BA History'!$B:$B,$A$49,'BA History'!AD:AD, 1)</f>
        <v>8</v>
      </c>
      <c r="AM49" s="2">
        <f>COUNTIFS('BA History'!$B:$B,$A$49,'BA History'!AE:AE, 1)</f>
        <v>9</v>
      </c>
      <c r="AN49" s="2">
        <f>COUNTIFS('BA History'!$B:$B,$A$49,'BA History'!AF:AF, 1)</f>
        <v>3</v>
      </c>
      <c r="AO49" s="2">
        <f>COUNTIFS('BA History'!$B:$B,$A$49,'BA History'!AG:AG, 1)</f>
        <v>6</v>
      </c>
    </row>
    <row r="50" spans="1:41" ht="14.25" customHeight="1" x14ac:dyDescent="0.25">
      <c r="A50" s="1" t="s">
        <v>105</v>
      </c>
      <c r="B50" s="2" t="s">
        <v>79</v>
      </c>
      <c r="C50" s="2"/>
      <c r="D50" s="2"/>
      <c r="E50" s="2"/>
      <c r="F50" s="34">
        <f>SUMIFS('BA History'!C:C,'BA History'!B:B,A50)</f>
        <v>12</v>
      </c>
      <c r="G50" s="66">
        <f>AVERAGEIFS('BA History'!C:C,'BA History'!B:B,A50)</f>
        <v>12</v>
      </c>
      <c r="H50" s="66">
        <f t="array" ref="H50">MEDIAN(IF('BA History'!B:B=A50, 'BA History'!C:C))</f>
        <v>12</v>
      </c>
      <c r="I50" s="35">
        <f t="array" ref="I50">MAX(IF('BA History'!B:B=A50, 'BA History'!C:C))</f>
        <v>12</v>
      </c>
      <c r="J50" s="34">
        <f>COUNTIFS('BA History'!B:B,A50,'BA History'!D:D, 1)</f>
        <v>1</v>
      </c>
      <c r="K50" s="2">
        <f>COUNTIFS('BA History'!B:B,A50,'BA History'!D:D, 0)</f>
        <v>0</v>
      </c>
      <c r="L50" s="75">
        <f>LOOKUP(2, 1/('BA History'!$B:$B=A50), 'BA History'!$AK:$AK)</f>
        <v>1</v>
      </c>
      <c r="M50" s="34">
        <f>SUMIFS('BA History'!F:F,'BA History'!B:B,A50)</f>
        <v>3</v>
      </c>
      <c r="N50" s="2">
        <f>SUMIFS('BA History'!E:E,'BA History'!B:B,A50)-M50</f>
        <v>2</v>
      </c>
      <c r="O50" s="75">
        <f>LOOKUP(2, 1/('BA History'!$B:$B=A50), 'BA History'!$AI:$AI)</f>
        <v>0.6</v>
      </c>
      <c r="P50" s="34">
        <f>SUMIFS('BA History'!H:H,'BA History'!B:B,A50)</f>
        <v>9</v>
      </c>
      <c r="Q50" s="2">
        <f>SUMIFS('BA History'!G:G,'BA History'!B:B,A50)-P50</f>
        <v>10</v>
      </c>
      <c r="R50" s="89">
        <f>LOOKUP(2, 1/('BA History'!$B:$B=A50), 'BA History'!$AJ:$AJ)</f>
        <v>0.47</v>
      </c>
      <c r="S50" s="2">
        <f>COUNTIFS('BA History'!$B:$B,$A$50,'BA History'!K:K, 1)</f>
        <v>0</v>
      </c>
      <c r="T50" s="2">
        <f>COUNTIFS('BA History'!$B:$B,$A$50,'BA History'!L:L, 1)</f>
        <v>0</v>
      </c>
      <c r="U50" s="2">
        <f>COUNTIFS('BA History'!$B:$B,$A$50,'BA History'!M:M, 1)</f>
        <v>0</v>
      </c>
      <c r="V50" s="2">
        <f>COUNTIFS('BA History'!$B:$B,$A$50,'BA History'!N:N, 1)</f>
        <v>0</v>
      </c>
      <c r="W50" s="2">
        <f>COUNTIFS('BA History'!$B:$B,$A$50,'BA History'!O:O, 1)</f>
        <v>0</v>
      </c>
      <c r="X50" s="2">
        <f>COUNTIFS('BA History'!$B:$B,$A$50,'BA History'!P:P, 1)</f>
        <v>0</v>
      </c>
      <c r="Y50" s="2">
        <f>COUNTIFS('BA History'!$B:$B,$A$50,'BA History'!Q:Q, 1)</f>
        <v>0</v>
      </c>
      <c r="Z50" s="2">
        <f>COUNTIFS('BA History'!$B:$B,$A$50,'BA History'!R:R, 1)</f>
        <v>0</v>
      </c>
      <c r="AA50" s="2">
        <f>COUNTIFS('BA History'!$B:$B,$A$50,'BA History'!S:S, 1)</f>
        <v>0</v>
      </c>
      <c r="AB50" s="2">
        <f>COUNTIFS('BA History'!$B:$B,$A$50,'BA History'!T:T, 1)</f>
        <v>0</v>
      </c>
      <c r="AC50" s="2">
        <f>COUNTIFS('BA History'!$B:$B,$A$50,'BA History'!U:U, 1)</f>
        <v>1</v>
      </c>
      <c r="AD50" s="2">
        <f>COUNTIFS('BA History'!$B:$B,$A$50,'BA History'!V:V, 1)</f>
        <v>0</v>
      </c>
      <c r="AE50" s="2">
        <f>COUNTIFS('BA History'!$B:$B,$A$50,'BA History'!W:W, 1)</f>
        <v>0</v>
      </c>
      <c r="AF50" s="2">
        <f>COUNTIFS('BA History'!$B:$B,$A$50,'BA History'!X:X, 1)</f>
        <v>0</v>
      </c>
      <c r="AG50" s="2">
        <f>COUNTIFS('BA History'!$B:$B,$A$50,'BA History'!Y:Y, 1)</f>
        <v>0</v>
      </c>
      <c r="AH50" s="2">
        <f>COUNTIFS('BA History'!$B:$B,$A$50,'BA History'!Z:Z, 1)</f>
        <v>0</v>
      </c>
      <c r="AI50" s="2">
        <f>COUNTIFS('BA History'!$B:$B,$A50,'BA History'!AA:AA, 1)</f>
        <v>0</v>
      </c>
      <c r="AJ50" s="2">
        <f>COUNTIFS('BA History'!$B:$B,$A$50,'BA History'!AB:AB, 1)</f>
        <v>0</v>
      </c>
      <c r="AK50" s="2">
        <f>COUNTIFS('BA History'!$B:$B,$A$50,'BA History'!AC:AC, 1)</f>
        <v>1</v>
      </c>
      <c r="AL50" s="2">
        <f>COUNTIFS('BA History'!$B:$B,$A$50,'BA History'!AD:AD, 1)</f>
        <v>1</v>
      </c>
      <c r="AM50" s="2">
        <f>COUNTIFS('BA History'!$B:$B,$A$50,'BA History'!AE:AE, 1)</f>
        <v>0</v>
      </c>
      <c r="AN50" s="2">
        <f>COUNTIFS('BA History'!$B:$B,$A$50,'BA History'!AF:AF, 1)</f>
        <v>0</v>
      </c>
      <c r="AO50" s="2">
        <f>COUNTIFS('BA History'!$B:$B,$A$50,'BA History'!AG:AG, 1)</f>
        <v>0</v>
      </c>
    </row>
    <row r="51" spans="1:41" ht="14.25" customHeight="1" x14ac:dyDescent="0.25">
      <c r="A51" s="1" t="s">
        <v>143</v>
      </c>
      <c r="B51" s="2" t="s">
        <v>79</v>
      </c>
      <c r="C51" s="2"/>
      <c r="D51" s="2"/>
      <c r="E51" s="2"/>
      <c r="F51" s="34">
        <f>SUMIFS('BA History'!C:C,'BA History'!B:B,A51)</f>
        <v>4</v>
      </c>
      <c r="G51" s="66">
        <f>AVERAGEIFS('BA History'!C:C,'BA History'!B:B,A51)</f>
        <v>4</v>
      </c>
      <c r="H51" s="66">
        <f t="array" ref="H51">MEDIAN(IF('BA History'!B:B=A51, 'BA History'!C:C))</f>
        <v>4</v>
      </c>
      <c r="I51" s="35">
        <f t="array" ref="I51">MAX(IF('BA History'!B:B=A51, 'BA History'!C:C))</f>
        <v>4</v>
      </c>
      <c r="J51" s="34">
        <f>COUNTIFS('BA History'!B:B,A51,'BA History'!D:D, 1)</f>
        <v>0</v>
      </c>
      <c r="K51" s="2">
        <f>COUNTIFS('BA History'!B:B,A51,'BA History'!D:D, 0)</f>
        <v>1</v>
      </c>
      <c r="L51" s="75">
        <f>LOOKUP(2, 1/('BA History'!$B:$B=A51), 'BA History'!$AK:$AK)</f>
        <v>0</v>
      </c>
      <c r="M51" s="34">
        <f>SUMIFS('BA History'!F:F,'BA History'!B:B,A51)</f>
        <v>1</v>
      </c>
      <c r="N51" s="2">
        <f>SUMIFS('BA History'!E:E,'BA History'!B:B,A51)-M51</f>
        <v>3</v>
      </c>
      <c r="O51" s="75">
        <f>LOOKUP(2, 1/('BA History'!$B:$B=A51), 'BA History'!$AI:$AI)</f>
        <v>0.25</v>
      </c>
      <c r="P51" s="34">
        <f>SUMIFS('BA History'!H:H,'BA History'!B:B,A51)</f>
        <v>7</v>
      </c>
      <c r="Q51" s="2">
        <f>SUMIFS('BA History'!G:G,'BA History'!B:B,A51)-P51</f>
        <v>9</v>
      </c>
      <c r="R51" s="89">
        <f>LOOKUP(2, 1/('BA History'!$B:$B=A51), 'BA History'!$AJ:$AJ)</f>
        <v>0.44</v>
      </c>
      <c r="S51" s="2">
        <f>COUNTIFS('BA History'!$B:$B,$A$51,'BA History'!K:K, 1)</f>
        <v>0</v>
      </c>
      <c r="T51" s="2">
        <f>COUNTIFS('BA History'!$B:$B,$A$51,'BA History'!L:L, 1)</f>
        <v>0</v>
      </c>
      <c r="U51" s="2">
        <f>COUNTIFS('BA History'!$B:$B,$A$51,'BA History'!M:M, 1)</f>
        <v>0</v>
      </c>
      <c r="V51" s="2">
        <f>COUNTIFS('BA History'!$B:$B,$A$51,'BA History'!N:N, 1)</f>
        <v>0</v>
      </c>
      <c r="W51" s="2">
        <f>COUNTIFS('BA History'!$B:$B,$A$51,'BA History'!O:O, 1)</f>
        <v>0</v>
      </c>
      <c r="X51" s="2">
        <f>COUNTIFS('BA History'!$B:$B,$A$51,'BA History'!P:P, 1)</f>
        <v>0</v>
      </c>
      <c r="Y51" s="2">
        <f>COUNTIFS('BA History'!$B:$B,$A$51,'BA History'!Q:Q, 1)</f>
        <v>0</v>
      </c>
      <c r="Z51" s="2">
        <f>COUNTIFS('BA History'!$B:$B,$A$51,'BA History'!R:R, 1)</f>
        <v>0</v>
      </c>
      <c r="AA51" s="2">
        <f>COUNTIFS('BA History'!$B:$B,$A$51,'BA History'!S:S, 1)</f>
        <v>0</v>
      </c>
      <c r="AB51" s="2">
        <f>COUNTIFS('BA History'!$B:$B,$A$51,'BA History'!T:T, 1)</f>
        <v>0</v>
      </c>
      <c r="AC51" s="2">
        <f>COUNTIFS('BA History'!$B:$B,$A$51,'BA History'!U:U, 1)</f>
        <v>0</v>
      </c>
      <c r="AD51" s="2">
        <f>COUNTIFS('BA History'!$B:$B,$A$51,'BA History'!V:V, 1)</f>
        <v>0</v>
      </c>
      <c r="AE51" s="2">
        <f>COUNTIFS('BA History'!$B:$B,$A$51,'BA History'!W:W, 1)</f>
        <v>0</v>
      </c>
      <c r="AF51" s="2">
        <f>COUNTIFS('BA History'!$B:$B,$A$51,'BA History'!X:X, 1)</f>
        <v>0</v>
      </c>
      <c r="AG51" s="2">
        <f>COUNTIFS('BA History'!$B:$B,$A$51,'BA History'!Y:Y, 1)</f>
        <v>1</v>
      </c>
      <c r="AH51" s="2">
        <f>COUNTIFS('BA History'!$B:$B,$A$51,'BA History'!Z:Z, 1)</f>
        <v>0</v>
      </c>
      <c r="AI51" s="2">
        <f>COUNTIFS('BA History'!$B:$B,$A51,'BA History'!AA:AA, 1)</f>
        <v>0</v>
      </c>
      <c r="AJ51" s="2">
        <f>COUNTIFS('BA History'!$B:$B,$A$51,'BA History'!AB:AB, 1)</f>
        <v>0</v>
      </c>
      <c r="AK51" s="2">
        <f>COUNTIFS('BA History'!$B:$B,$A$51,'BA History'!AC:AC, 1)</f>
        <v>0</v>
      </c>
      <c r="AL51" s="2">
        <f>COUNTIFS('BA History'!$B:$B,$A$51,'BA History'!AD:AD, 1)</f>
        <v>0</v>
      </c>
      <c r="AM51" s="2">
        <f>COUNTIFS('BA History'!$B:$B,$A$51,'BA History'!AE:AE, 1)</f>
        <v>0</v>
      </c>
      <c r="AN51" s="2">
        <f>COUNTIFS('BA History'!$B:$B,$A$51,'BA History'!AF:AF, 1)</f>
        <v>0</v>
      </c>
      <c r="AO51" s="2">
        <f>COUNTIFS('BA History'!$B:$B,$A$51,'BA History'!AG:AG, 1)</f>
        <v>0</v>
      </c>
    </row>
    <row r="52" spans="1:41" x14ac:dyDescent="0.25">
      <c r="A52" s="1" t="s">
        <v>118</v>
      </c>
      <c r="B52" s="2" t="s">
        <v>79</v>
      </c>
      <c r="C52" s="2"/>
      <c r="D52" s="2"/>
      <c r="E52" s="2"/>
      <c r="F52" s="34">
        <f>SUMIFS('BA History'!C:C,'BA History'!B:B,A52)</f>
        <v>30</v>
      </c>
      <c r="G52" s="66">
        <f>AVERAGEIFS('BA History'!C:C,'BA History'!B:B,A52)</f>
        <v>15</v>
      </c>
      <c r="H52" s="66">
        <f t="array" ref="H52">MEDIAN(IF('BA History'!B:B=A52, 'BA History'!C:C))</f>
        <v>15</v>
      </c>
      <c r="I52" s="35">
        <f t="array" ref="I52">MAX(IF('BA History'!B:B=A52, 'BA History'!C:C))</f>
        <v>20</v>
      </c>
      <c r="J52" s="34">
        <f>COUNTIFS('BA History'!B:B,A52,'BA History'!D:D, 1)</f>
        <v>1</v>
      </c>
      <c r="K52" s="2">
        <f>COUNTIFS('BA History'!B:B,A52,'BA History'!D:D, 0)</f>
        <v>1</v>
      </c>
      <c r="L52" s="75">
        <f>LOOKUP(2, 1/('BA History'!$B:$B=A52), 'BA History'!$AK:$AK)</f>
        <v>0.5</v>
      </c>
      <c r="M52" s="34">
        <f>SUMIFS('BA History'!F:F,'BA History'!B:B,A52)</f>
        <v>4</v>
      </c>
      <c r="N52" s="2">
        <f>SUMIFS('BA History'!E:E,'BA History'!B:B,A52)-M52</f>
        <v>4</v>
      </c>
      <c r="O52" s="75">
        <f>LOOKUP(2, 1/('BA History'!$B:$B=A52), 'BA History'!$AI:$AI)</f>
        <v>0.5</v>
      </c>
      <c r="P52" s="34">
        <f>SUMIFS('BA History'!H:H,'BA History'!B:B,A52)</f>
        <v>15</v>
      </c>
      <c r="Q52" s="2">
        <f>SUMIFS('BA History'!G:G,'BA History'!B:B,A52)-P52</f>
        <v>15</v>
      </c>
      <c r="R52" s="89">
        <f>LOOKUP(2, 1/('BA History'!$B:$B=A52), 'BA History'!$AJ:$AJ)</f>
        <v>0.51</v>
      </c>
      <c r="S52" s="2">
        <f>COUNTIFS('BA History'!$B:$B,$A$52,'BA History'!K:K, 1)</f>
        <v>0</v>
      </c>
      <c r="T52" s="2">
        <f>COUNTIFS('BA History'!$B:$B,$A$52,'BA History'!L:L, 1)</f>
        <v>0</v>
      </c>
      <c r="U52" s="2">
        <f>COUNTIFS('BA History'!$B:$B,$A$52,'BA History'!M:M, 1)</f>
        <v>0</v>
      </c>
      <c r="V52" s="2">
        <f>COUNTIFS('BA History'!$B:$B,$A$52,'BA History'!N:N, 1)</f>
        <v>0</v>
      </c>
      <c r="W52" s="2">
        <f>COUNTIFS('BA History'!$B:$B,$A$52,'BA History'!O:O, 1)</f>
        <v>0</v>
      </c>
      <c r="X52" s="2">
        <f>COUNTIFS('BA History'!$B:$B,$A$52,'BA History'!P:P, 1)</f>
        <v>0</v>
      </c>
      <c r="Y52" s="2">
        <f>COUNTIFS('BA History'!$B:$B,$A$52,'BA History'!Q:Q, 1)</f>
        <v>0</v>
      </c>
      <c r="Z52" s="2">
        <f>COUNTIFS('BA History'!$B:$B,$A$52,'BA History'!R:R, 1)</f>
        <v>0</v>
      </c>
      <c r="AA52" s="2">
        <f>COUNTIFS('BA History'!$B:$B,$A$52,'BA History'!S:S, 1)</f>
        <v>0</v>
      </c>
      <c r="AB52" s="2">
        <f>COUNTIFS('BA History'!$B:$B,$A$52,'BA History'!T:T, 1)</f>
        <v>0</v>
      </c>
      <c r="AC52" s="2">
        <f>COUNTIFS('BA History'!$B:$B,$A$52,'BA History'!U:U, 1)</f>
        <v>0</v>
      </c>
      <c r="AD52" s="2">
        <f>COUNTIFS('BA History'!$B:$B,$A$52,'BA History'!V:V, 1)</f>
        <v>1</v>
      </c>
      <c r="AE52" s="2">
        <f>COUNTIFS('BA History'!$B:$B,$A$52,'BA History'!W:W, 1)</f>
        <v>0</v>
      </c>
      <c r="AF52" s="2">
        <f>COUNTIFS('BA History'!$B:$B,$A$52,'BA History'!X:X, 1)</f>
        <v>0</v>
      </c>
      <c r="AG52" s="2">
        <f>COUNTIFS('BA History'!$B:$B,$A$52,'BA History'!Y:Y, 1)</f>
        <v>0</v>
      </c>
      <c r="AH52" s="2">
        <f>COUNTIFS('BA History'!$B:$B,$A$52,'BA History'!Z:Z, 1)</f>
        <v>1</v>
      </c>
      <c r="AI52" s="2">
        <f>COUNTIFS('BA History'!$B:$B,$A52,'BA History'!AA:AA, 1)</f>
        <v>0</v>
      </c>
      <c r="AJ52" s="2">
        <f>COUNTIFS('BA History'!$B:$B,$A$52,'BA History'!AB:AB, 1)</f>
        <v>0</v>
      </c>
      <c r="AK52" s="2">
        <f>COUNTIFS('BA History'!$B:$B,$A$52,'BA History'!AC:AC, 1)</f>
        <v>0</v>
      </c>
      <c r="AL52" s="2">
        <f>COUNTIFS('BA History'!$B:$B,$A$52,'BA History'!AD:AD, 1)</f>
        <v>1</v>
      </c>
      <c r="AM52" s="2">
        <f>COUNTIFS('BA History'!$B:$B,$A$52,'BA History'!AE:AE, 1)</f>
        <v>1</v>
      </c>
      <c r="AN52" s="2">
        <f>COUNTIFS('BA History'!$B:$B,$A$52,'BA History'!AF:AF, 1)</f>
        <v>0</v>
      </c>
      <c r="AO52" s="2">
        <f>COUNTIFS('BA History'!$B:$B,$A$52,'BA History'!AG:AG, 1)</f>
        <v>0</v>
      </c>
    </row>
    <row r="53" spans="1:41" x14ac:dyDescent="0.25">
      <c r="A53" s="2" t="s">
        <v>6</v>
      </c>
      <c r="B53" s="1" t="s">
        <v>158</v>
      </c>
      <c r="C53" s="1"/>
      <c r="D53" s="1">
        <v>1</v>
      </c>
      <c r="E53" s="1">
        <v>1</v>
      </c>
      <c r="F53" s="34">
        <f>SUMIFS('BA History'!C:C,'BA History'!B:B,A53)</f>
        <v>1914</v>
      </c>
      <c r="G53" s="66">
        <f>AVERAGEIFS('BA History'!C:C,'BA History'!B:B,A53)</f>
        <v>23.62962962962963</v>
      </c>
      <c r="H53" s="66">
        <f t="array" ref="H53">MEDIAN(IF('BA History'!B:B=A53, 'BA History'!C:C))</f>
        <v>23</v>
      </c>
      <c r="I53" s="35">
        <f t="array" ref="I53">MAX(IF('BA History'!B:B=A53, 'BA History'!C:C))</f>
        <v>42</v>
      </c>
      <c r="J53" s="34">
        <f>COUNTIFS('BA History'!B:B,A53,'BA History'!D:D, 1)</f>
        <v>51</v>
      </c>
      <c r="K53" s="2">
        <f>COUNTIFS('BA History'!B:B,A53,'BA History'!D:D, 0)</f>
        <v>30</v>
      </c>
      <c r="L53" s="75">
        <f>LOOKUP(2, 1/('BA History'!$B:$B=A53), 'BA History'!$AK:$AK)</f>
        <v>0.62962962962962965</v>
      </c>
      <c r="M53" s="34">
        <f>SUMIFS('BA History'!F:F,'BA History'!B:B,A53)</f>
        <v>182</v>
      </c>
      <c r="N53" s="2">
        <f>SUMIFS('BA History'!E:E,'BA History'!B:B,A53)-M53</f>
        <v>144</v>
      </c>
      <c r="O53" s="75">
        <f>LOOKUP(2, 1/('BA History'!$B:$B=A53), 'BA History'!$AI:$AI)</f>
        <v>0.56148148148148158</v>
      </c>
      <c r="P53" s="34">
        <f>SUMIFS('BA History'!H:H,'BA History'!B:B,A53)</f>
        <v>722</v>
      </c>
      <c r="Q53" s="2">
        <f>SUMIFS('BA History'!G:G,'BA History'!B:B,A53)-P53</f>
        <v>643</v>
      </c>
      <c r="R53" s="89">
        <f>LOOKUP(2, 1/('BA History'!$B:$B=A53), 'BA History'!$AJ:$AJ)</f>
        <v>0.52987654320987643</v>
      </c>
      <c r="S53" s="2">
        <f>COUNTIFS('BA History'!$B:$B,$A$53,'BA History'!K:K, 1)</f>
        <v>9</v>
      </c>
      <c r="T53" s="2">
        <f>COUNTIFS('BA History'!$B:$B,$A$53,'BA History'!L:L, 1)</f>
        <v>8</v>
      </c>
      <c r="U53" s="2">
        <f>COUNTIFS('BA History'!$B:$B,$A$53,'BA History'!M:M, 1)</f>
        <v>17</v>
      </c>
      <c r="V53" s="2">
        <f>COUNTIFS('BA History'!$B:$B,$A$53,'BA History'!N:N, 1)</f>
        <v>14</v>
      </c>
      <c r="W53" s="2">
        <f>COUNTIFS('BA History'!$B:$B,$A$53,'BA History'!O:O, 1)</f>
        <v>3</v>
      </c>
      <c r="X53" s="2">
        <f>COUNTIFS('BA History'!$B:$B,$A$53,'BA History'!P:P, 1)</f>
        <v>2</v>
      </c>
      <c r="Y53" s="2">
        <f>COUNTIFS('BA History'!$B:$B,$A$53,'BA History'!Q:Q, 1)</f>
        <v>6</v>
      </c>
      <c r="Z53" s="2">
        <f>COUNTIFS('BA History'!$B:$B,$A$53,'BA History'!R:R, 1)</f>
        <v>5</v>
      </c>
      <c r="AA53" s="2">
        <f>COUNTIFS('BA History'!$B:$B,$A$53,'BA History'!S:S, 1)</f>
        <v>1</v>
      </c>
      <c r="AB53" s="2">
        <f>COUNTIFS('BA History'!$B:$B,$A$53,'BA History'!T:T, 1)</f>
        <v>0</v>
      </c>
      <c r="AC53" s="2">
        <f>COUNTIFS('BA History'!$B:$B,$A$53,'BA History'!U:U, 1)</f>
        <v>4</v>
      </c>
      <c r="AD53" s="2">
        <f>COUNTIFS('BA History'!$B:$B,$A$53,'BA History'!V:V, 1)</f>
        <v>12</v>
      </c>
      <c r="AE53" s="2">
        <f>COUNTIFS('BA History'!$B:$B,$A$53,'BA History'!W:W, 1)</f>
        <v>5</v>
      </c>
      <c r="AF53" s="2">
        <f>COUNTIFS('BA History'!$B:$B,$A$53,'BA History'!X:X, 1)</f>
        <v>2</v>
      </c>
      <c r="AG53" s="2">
        <f>COUNTIFS('BA History'!$B:$B,$A$53,'BA History'!Y:Y, 1)</f>
        <v>7</v>
      </c>
      <c r="AH53" s="2">
        <f>COUNTIFS('BA History'!$B:$B,$A$53,'BA History'!Z:Z, 1)</f>
        <v>24</v>
      </c>
      <c r="AI53" s="2">
        <f>COUNTIFS('BA History'!$B:$B,$A53,'BA History'!AA:AA, 1)</f>
        <v>1</v>
      </c>
      <c r="AJ53" s="2">
        <f>COUNTIFS('BA History'!$B:$B,$A$53,'BA History'!AB:AB, 1)</f>
        <v>2</v>
      </c>
      <c r="AK53" s="2">
        <f>COUNTIFS('BA History'!$B:$B,$A$53,'BA History'!AC:AC, 1)</f>
        <v>23</v>
      </c>
      <c r="AL53" s="2">
        <f>COUNTIFS('BA History'!$B:$B,$A$53,'BA History'!AD:AD, 1)</f>
        <v>9</v>
      </c>
      <c r="AM53" s="2">
        <f>COUNTIFS('BA History'!$B:$B,$A$53,'BA History'!AE:AE, 1)</f>
        <v>12</v>
      </c>
      <c r="AN53" s="2">
        <f>COUNTIFS('BA History'!$B:$B,$A$53,'BA History'!AF:AF, 1)</f>
        <v>2</v>
      </c>
      <c r="AO53" s="2">
        <f>COUNTIFS('BA History'!$B:$B,$A$53,'BA History'!AG:AG, 1)</f>
        <v>14</v>
      </c>
    </row>
    <row r="54" spans="1:41" x14ac:dyDescent="0.25">
      <c r="A54" s="2" t="s">
        <v>18</v>
      </c>
      <c r="B54" s="2" t="s">
        <v>79</v>
      </c>
      <c r="C54" s="2"/>
      <c r="D54" s="2"/>
      <c r="E54" s="2"/>
      <c r="F54" s="34">
        <f>SUMIFS('BA History'!C:C,'BA History'!B:B,A54)</f>
        <v>225</v>
      </c>
      <c r="G54" s="66">
        <f>AVERAGEIFS('BA History'!C:C,'BA History'!B:B,A54)</f>
        <v>18.75</v>
      </c>
      <c r="H54" s="66">
        <f t="array" ref="H54">MEDIAN(IF('BA History'!B:B=A54, 'BA History'!C:C))</f>
        <v>19</v>
      </c>
      <c r="I54" s="35">
        <f t="array" ref="I54">MAX(IF('BA History'!B:B=A54, 'BA History'!C:C))</f>
        <v>30</v>
      </c>
      <c r="J54" s="34">
        <f>COUNTIFS('BA History'!B:B,A54,'BA History'!D:D, 1)</f>
        <v>8</v>
      </c>
      <c r="K54" s="2">
        <f>COUNTIFS('BA History'!B:B,A54,'BA History'!D:D, 0)</f>
        <v>4</v>
      </c>
      <c r="L54" s="75">
        <f>LOOKUP(2, 1/('BA History'!$B:$B=A54), 'BA History'!$AK:$AK)</f>
        <v>0.66666666666666663</v>
      </c>
      <c r="M54" s="34">
        <f>SUMIFS('BA History'!F:F,'BA History'!B:B,A54)</f>
        <v>27</v>
      </c>
      <c r="N54" s="2">
        <f>SUMIFS('BA History'!E:E,'BA History'!B:B,A54)-M54</f>
        <v>16</v>
      </c>
      <c r="O54" s="75">
        <f>LOOKUP(2, 1/('BA History'!$B:$B=A54), 'BA History'!$AI:$AI)</f>
        <v>0.65416666666666667</v>
      </c>
      <c r="P54" s="34">
        <f>SUMIFS('BA History'!H:H,'BA History'!B:B,A54)</f>
        <v>103</v>
      </c>
      <c r="Q54" s="2">
        <f>SUMIFS('BA History'!G:G,'BA History'!B:B,A54)-P54</f>
        <v>83</v>
      </c>
      <c r="R54" s="89">
        <f>LOOKUP(2, 1/('BA History'!$B:$B=A54), 'BA History'!$AJ:$AJ)</f>
        <v>0.57083333333333319</v>
      </c>
      <c r="S54" s="2">
        <f>COUNTIFS('BA History'!$B:$B,$A$54,'BA History'!K:K, 1)</f>
        <v>0</v>
      </c>
      <c r="T54" s="2">
        <f>COUNTIFS('BA History'!$B:$B,$A$54,'BA History'!L:L, 1)</f>
        <v>4</v>
      </c>
      <c r="U54" s="2">
        <f>COUNTIFS('BA History'!$B:$B,$A$54,'BA History'!M:M, 1)</f>
        <v>1</v>
      </c>
      <c r="V54" s="2">
        <f>COUNTIFS('BA History'!$B:$B,$A$54,'BA History'!N:N, 1)</f>
        <v>5</v>
      </c>
      <c r="W54" s="2">
        <f>COUNTIFS('BA History'!$B:$B,$A$54,'BA History'!O:O, 1)</f>
        <v>0</v>
      </c>
      <c r="X54" s="2">
        <f>COUNTIFS('BA History'!$B:$B,$A$54,'BA History'!P:P, 1)</f>
        <v>0</v>
      </c>
      <c r="Y54" s="2">
        <f>COUNTIFS('BA History'!$B:$B,$A$54,'BA History'!Q:Q, 1)</f>
        <v>2</v>
      </c>
      <c r="Z54" s="2">
        <f>COUNTIFS('BA History'!$B:$B,$A$54,'BA History'!R:R, 1)</f>
        <v>1</v>
      </c>
      <c r="AA54" s="2">
        <f>COUNTIFS('BA History'!$B:$B,$A$54,'BA History'!S:S, 1)</f>
        <v>0</v>
      </c>
      <c r="AB54" s="2">
        <f>COUNTIFS('BA History'!$B:$B,$A$54,'BA History'!T:T, 1)</f>
        <v>0</v>
      </c>
      <c r="AC54" s="2">
        <f>COUNTIFS('BA History'!$B:$B,$A$54,'BA History'!U:U, 1)</f>
        <v>0</v>
      </c>
      <c r="AD54" s="2">
        <f>COUNTIFS('BA History'!$B:$B,$A$54,'BA History'!V:V, 1)</f>
        <v>1</v>
      </c>
      <c r="AE54" s="2">
        <f>COUNTIFS('BA History'!$B:$B,$A$54,'BA History'!W:W, 1)</f>
        <v>1</v>
      </c>
      <c r="AF54" s="2">
        <f>COUNTIFS('BA History'!$B:$B,$A$54,'BA History'!X:X, 1)</f>
        <v>1</v>
      </c>
      <c r="AG54" s="2">
        <f>COUNTIFS('BA History'!$B:$B,$A$54,'BA History'!Y:Y, 1)</f>
        <v>1</v>
      </c>
      <c r="AH54" s="2">
        <f>COUNTIFS('BA History'!$B:$B,$A$54,'BA History'!Z:Z, 1)</f>
        <v>4</v>
      </c>
      <c r="AI54" s="2">
        <f>COUNTIFS('BA History'!$B:$B,$A54,'BA History'!AA:AA, 1)</f>
        <v>0</v>
      </c>
      <c r="AJ54" s="2">
        <f>COUNTIFS('BA History'!$B:$B,$A$54,'BA History'!AB:AB, 1)</f>
        <v>2</v>
      </c>
      <c r="AK54" s="2">
        <f>COUNTIFS('BA History'!$B:$B,$A$54,'BA History'!AC:AC, 1)</f>
        <v>2</v>
      </c>
      <c r="AL54" s="2">
        <f>COUNTIFS('BA History'!$B:$B,$A$54,'BA History'!AD:AD, 1)</f>
        <v>0</v>
      </c>
      <c r="AM54" s="2">
        <f>COUNTIFS('BA History'!$B:$B,$A$54,'BA History'!AE:AE, 1)</f>
        <v>2</v>
      </c>
      <c r="AN54" s="2">
        <f>COUNTIFS('BA History'!$B:$B,$A$54,'BA History'!AF:AF, 1)</f>
        <v>0</v>
      </c>
      <c r="AO54" s="2">
        <f>COUNTIFS('BA History'!$B:$B,$A$54,'BA History'!AG:AG, 1)</f>
        <v>0</v>
      </c>
    </row>
    <row r="55" spans="1:41" x14ac:dyDescent="0.25">
      <c r="A55" s="2" t="s">
        <v>178</v>
      </c>
      <c r="B55" s="2" t="s">
        <v>79</v>
      </c>
      <c r="C55" s="2">
        <v>1</v>
      </c>
      <c r="D55" s="2"/>
      <c r="E55" s="2"/>
      <c r="F55" s="34">
        <f>SUMIFS('BA History'!C:C,'BA History'!B:B,A55)</f>
        <v>26</v>
      </c>
      <c r="G55" s="66">
        <f>AVERAGEIFS('BA History'!C:C,'BA History'!B:B,A55)</f>
        <v>13</v>
      </c>
      <c r="H55" s="66">
        <f t="array" ref="H55">MEDIAN(IF('BA History'!B:B=A55, 'BA History'!C:C))</f>
        <v>13</v>
      </c>
      <c r="I55" s="35">
        <f t="array" ref="I55">MAX(IF('BA History'!B:B=A55, 'BA History'!C:C))</f>
        <v>16</v>
      </c>
      <c r="J55" s="34">
        <f>COUNTIFS('BA History'!B:B,A55,'BA History'!D:D, 1)</f>
        <v>0</v>
      </c>
      <c r="K55" s="2">
        <f>COUNTIFS('BA History'!B:B,A55,'BA History'!D:D, 0)</f>
        <v>2</v>
      </c>
      <c r="L55" s="75">
        <f>LOOKUP(2, 1/('BA History'!$B:$B=A55), 'BA History'!$AK:$AK)</f>
        <v>0</v>
      </c>
      <c r="M55" s="34">
        <f>SUMIFS('BA History'!F:F,'BA History'!B:B,A55)</f>
        <v>3</v>
      </c>
      <c r="N55" s="2">
        <f>SUMIFS('BA History'!E:E,'BA History'!B:B,A55)-M55</f>
        <v>6</v>
      </c>
      <c r="O55" s="75">
        <f>LOOKUP(2, 1/('BA History'!$B:$B=A55), 'BA History'!$AI:$AI)</f>
        <v>0.32500000000000001</v>
      </c>
      <c r="P55" s="34">
        <f>SUMIFS('BA History'!H:H,'BA History'!B:B,A55)</f>
        <v>19</v>
      </c>
      <c r="Q55" s="2">
        <f>SUMIFS('BA History'!G:G,'BA History'!B:B,A55)-P55</f>
        <v>22</v>
      </c>
      <c r="R55" s="89">
        <f>LOOKUP(2, 1/('BA History'!$B:$B=A55), 'BA History'!$AJ:$AJ)</f>
        <v>0.46499999999999997</v>
      </c>
      <c r="S55" s="2">
        <f>COUNTIFS('BA History'!$B:$B,$A$55,'BA History'!K:K, 1)</f>
        <v>0</v>
      </c>
      <c r="T55" s="2">
        <f>COUNTIFS('BA History'!$B:$B,$A$55,'BA History'!L:L, 1)</f>
        <v>0</v>
      </c>
      <c r="U55" s="2">
        <f>COUNTIFS('BA History'!$B:$B,$A$55,'BA History'!M:M, 1)</f>
        <v>0</v>
      </c>
      <c r="V55" s="2">
        <f>COUNTIFS('BA History'!$B:$B,$A$55,'BA History'!N:N, 1)</f>
        <v>1</v>
      </c>
      <c r="W55" s="2">
        <f>COUNTIFS('BA History'!$B:$B,$A$55,'BA History'!O:O, 1)</f>
        <v>0</v>
      </c>
      <c r="X55" s="2">
        <f>COUNTIFS('BA History'!$B:$B,$A$55,'BA History'!P:P, 1)</f>
        <v>0</v>
      </c>
      <c r="Y55" s="2">
        <f>COUNTIFS('BA History'!$B:$B,$A$55,'BA History'!Q:Q, 1)</f>
        <v>0</v>
      </c>
      <c r="Z55" s="2">
        <f>COUNTIFS('BA History'!$B:$B,$A$55,'BA History'!R:R, 1)</f>
        <v>0</v>
      </c>
      <c r="AA55" s="2">
        <f>COUNTIFS('BA History'!$B:$B,$A$55,'BA History'!S:S, 1)</f>
        <v>0</v>
      </c>
      <c r="AB55" s="2">
        <f>COUNTIFS('BA History'!$B:$B,$A$55,'BA History'!T:T, 1)</f>
        <v>0</v>
      </c>
      <c r="AC55" s="2">
        <f>COUNTIFS('BA History'!$B:$B,$A$55,'BA History'!U:U, 1)</f>
        <v>0</v>
      </c>
      <c r="AD55" s="2">
        <f>COUNTIFS('BA History'!$B:$B,$A$55,'BA History'!V:V, 1)</f>
        <v>1</v>
      </c>
      <c r="AE55" s="2">
        <f>COUNTIFS('BA History'!$B:$B,$A$55,'BA History'!W:W, 1)</f>
        <v>0</v>
      </c>
      <c r="AF55" s="2">
        <f>COUNTIFS('BA History'!$B:$B,$A$55,'BA History'!X:X, 1)</f>
        <v>0</v>
      </c>
      <c r="AG55" s="2">
        <f>COUNTIFS('BA History'!$B:$B,$A$55,'BA History'!Y:Y, 1)</f>
        <v>0</v>
      </c>
      <c r="AH55" s="2">
        <f>COUNTIFS('BA History'!$B:$B,$A$55,'BA History'!Z:Z, 1)</f>
        <v>0</v>
      </c>
      <c r="AI55" s="2">
        <f>COUNTIFS('BA History'!$B:$B,$A55,'BA History'!AA:AA, 1)</f>
        <v>0</v>
      </c>
      <c r="AJ55" s="2">
        <f>COUNTIFS('BA History'!$B:$B,$A$55,'BA History'!AB:AB, 1)</f>
        <v>0</v>
      </c>
      <c r="AK55" s="2">
        <f>COUNTIFS('BA History'!$B:$B,$A$55,'BA History'!AC:AC, 1)</f>
        <v>0</v>
      </c>
      <c r="AL55" s="2">
        <f>COUNTIFS('BA History'!$B:$B,$A$55,'BA History'!AD:AD, 1)</f>
        <v>1</v>
      </c>
      <c r="AM55" s="2">
        <f>COUNTIFS('BA History'!$B:$B,$A$55,'BA History'!AE:AE, 1)</f>
        <v>0</v>
      </c>
      <c r="AN55" s="2">
        <f>COUNTIFS('BA History'!$B:$B,$A$55,'BA History'!AF:AF, 1)</f>
        <v>0</v>
      </c>
      <c r="AO55" s="2">
        <f>COUNTIFS('BA History'!$B:$B,$A$55,'BA History'!AG:AG, 1)</f>
        <v>0</v>
      </c>
    </row>
    <row r="56" spans="1:41" x14ac:dyDescent="0.25">
      <c r="A56" s="2" t="s">
        <v>113</v>
      </c>
      <c r="B56" s="2" t="s">
        <v>79</v>
      </c>
      <c r="C56" s="2">
        <v>1</v>
      </c>
      <c r="D56" s="2">
        <v>2</v>
      </c>
      <c r="E56" s="2"/>
      <c r="F56" s="34">
        <f>SUMIFS('BA History'!C:C,'BA History'!B:B,A56)</f>
        <v>897</v>
      </c>
      <c r="G56" s="66">
        <f>AVERAGEIFS('BA History'!C:C,'BA History'!B:B,A56)</f>
        <v>18.6875</v>
      </c>
      <c r="H56" s="66">
        <f t="array" ref="H56">MEDIAN(IF('BA History'!B:B=A56, 'BA History'!C:C))</f>
        <v>17</v>
      </c>
      <c r="I56" s="35">
        <f t="array" ref="I56">MAX(IF('BA History'!B:B=A56, 'BA History'!C:C))</f>
        <v>36</v>
      </c>
      <c r="J56" s="34">
        <f>COUNTIFS('BA History'!B:B,A56,'BA History'!D:D, 1)</f>
        <v>26</v>
      </c>
      <c r="K56" s="2">
        <f>COUNTIFS('BA History'!B:B,A56,'BA History'!D:D, 0)</f>
        <v>22</v>
      </c>
      <c r="L56" s="75">
        <f>LOOKUP(2, 1/('BA History'!$B:$B=A56), 'BA History'!$AK:$AK)</f>
        <v>0.54166666666666663</v>
      </c>
      <c r="M56" s="34">
        <f>SUMIFS('BA History'!F:F,'BA History'!B:B,A56)</f>
        <v>105</v>
      </c>
      <c r="N56" s="2">
        <f>SUMIFS('BA History'!E:E,'BA History'!B:B,A56)-M56</f>
        <v>89</v>
      </c>
      <c r="O56" s="75">
        <f>LOOKUP(2, 1/('BA History'!$B:$B=A56), 'BA History'!$AI:$AI)</f>
        <v>0.55416666666666659</v>
      </c>
      <c r="P56" s="34">
        <f>SUMIFS('BA History'!H:H,'BA History'!B:B,A56)</f>
        <v>413</v>
      </c>
      <c r="Q56" s="2">
        <f>SUMIFS('BA History'!G:G,'BA History'!B:B,A56)-P56</f>
        <v>391</v>
      </c>
      <c r="R56" s="89">
        <f>LOOKUP(2, 1/('BA History'!$B:$B=A56), 'BA History'!$AJ:$AJ)</f>
        <v>0.52166666666666672</v>
      </c>
      <c r="S56" s="2">
        <f>COUNTIFS('BA History'!$B:$B,$A$56,'BA History'!K:K, 1)</f>
        <v>5</v>
      </c>
      <c r="T56" s="2">
        <f>COUNTIFS('BA History'!$B:$B,$A$56,'BA History'!L:L, 1)</f>
        <v>6</v>
      </c>
      <c r="U56" s="2">
        <f>COUNTIFS('BA History'!$B:$B,$A$56,'BA History'!M:M, 1)</f>
        <v>13</v>
      </c>
      <c r="V56" s="2">
        <f>COUNTIFS('BA History'!$B:$B,$A$56,'BA History'!N:N, 1)</f>
        <v>10</v>
      </c>
      <c r="W56" s="2">
        <f>COUNTIFS('BA History'!$B:$B,$A$56,'BA History'!O:O, 1)</f>
        <v>2</v>
      </c>
      <c r="X56" s="2">
        <f>COUNTIFS('BA History'!$B:$B,$A$56,'BA History'!P:P, 1)</f>
        <v>1</v>
      </c>
      <c r="Y56" s="2">
        <f>COUNTIFS('BA History'!$B:$B,$A$56,'BA History'!Q:Q, 1)</f>
        <v>3</v>
      </c>
      <c r="Z56" s="2">
        <f>COUNTIFS('BA History'!$B:$B,$A$56,'BA History'!R:R, 1)</f>
        <v>2</v>
      </c>
      <c r="AA56" s="2">
        <f>COUNTIFS('BA History'!$B:$B,$A$56,'BA History'!S:S, 1)</f>
        <v>1</v>
      </c>
      <c r="AB56" s="2">
        <f>COUNTIFS('BA History'!$B:$B,$A$56,'BA History'!T:T, 1)</f>
        <v>0</v>
      </c>
      <c r="AC56" s="2">
        <f>COUNTIFS('BA History'!$B:$B,$A$56,'BA History'!U:U, 1)</f>
        <v>2</v>
      </c>
      <c r="AD56" s="2">
        <f>COUNTIFS('BA History'!$B:$B,$A$56,'BA History'!V:V, 1)</f>
        <v>7</v>
      </c>
      <c r="AE56" s="2">
        <f>COUNTIFS('BA History'!$B:$B,$A$56,'BA History'!W:W, 1)</f>
        <v>0</v>
      </c>
      <c r="AF56" s="2">
        <f>COUNTIFS('BA History'!$B:$B,$A$56,'BA History'!X:X, 1)</f>
        <v>0</v>
      </c>
      <c r="AG56" s="2">
        <f>COUNTIFS('BA History'!$B:$B,$A$56,'BA History'!Y:Y, 1)</f>
        <v>10</v>
      </c>
      <c r="AH56" s="2">
        <f>COUNTIFS('BA History'!$B:$B,$A$56,'BA History'!Z:Z, 1)</f>
        <v>11</v>
      </c>
      <c r="AI56" s="2">
        <f>COUNTIFS('BA History'!$B:$B,$A56,'BA History'!AA:AA, 1)</f>
        <v>0</v>
      </c>
      <c r="AJ56" s="2">
        <f>COUNTIFS('BA History'!$B:$B,$A$56,'BA History'!AB:AB, 1)</f>
        <v>2</v>
      </c>
      <c r="AK56" s="2">
        <f>COUNTIFS('BA History'!$B:$B,$A$56,'BA History'!AC:AC, 1)</f>
        <v>13</v>
      </c>
      <c r="AL56" s="2">
        <f>COUNTIFS('BA History'!$B:$B,$A$56,'BA History'!AD:AD, 1)</f>
        <v>8</v>
      </c>
      <c r="AM56" s="2">
        <f>COUNTIFS('BA History'!$B:$B,$A$56,'BA History'!AE:AE, 1)</f>
        <v>3</v>
      </c>
      <c r="AN56" s="2">
        <f>COUNTIFS('BA History'!$B:$B,$A$56,'BA History'!AF:AF, 1)</f>
        <v>0</v>
      </c>
      <c r="AO56" s="2">
        <f>COUNTIFS('BA History'!$B:$B,$A$56,'BA History'!AG:AG, 1)</f>
        <v>6</v>
      </c>
    </row>
    <row r="57" spans="1:41" x14ac:dyDescent="0.25">
      <c r="A57" s="2" t="s">
        <v>14</v>
      </c>
      <c r="B57" s="2" t="s">
        <v>79</v>
      </c>
      <c r="C57" s="2">
        <v>1</v>
      </c>
      <c r="D57" s="2"/>
      <c r="E57" s="2"/>
      <c r="F57" s="34">
        <f>SUMIFS('BA History'!C:C,'BA History'!B:B,A57)</f>
        <v>380</v>
      </c>
      <c r="G57" s="66">
        <f>AVERAGEIFS('BA History'!C:C,'BA History'!B:B,A57)</f>
        <v>16.521739130434781</v>
      </c>
      <c r="H57" s="66">
        <f t="array" ref="H57">MEDIAN(IF('BA History'!B:B=A57, 'BA History'!C:C))</f>
        <v>14</v>
      </c>
      <c r="I57" s="35">
        <f t="array" ref="I57">MAX(IF('BA History'!B:B=A57, 'BA History'!C:C))</f>
        <v>30</v>
      </c>
      <c r="J57" s="34">
        <f>COUNTIFS('BA History'!B:B,A57,'BA History'!D:D, 1)</f>
        <v>12</v>
      </c>
      <c r="K57" s="2">
        <f>COUNTIFS('BA History'!B:B,A57,'BA History'!D:D, 0)</f>
        <v>11</v>
      </c>
      <c r="L57" s="75">
        <f>LOOKUP(2, 1/('BA History'!$B:$B=A57), 'BA History'!$AK:$AK)</f>
        <v>0.52173913043478259</v>
      </c>
      <c r="M57" s="34">
        <f>SUMIFS('BA History'!F:F,'BA History'!B:B,A57)</f>
        <v>47</v>
      </c>
      <c r="N57" s="2">
        <f>SUMIFS('BA History'!E:E,'BA History'!B:B,A57)-M57</f>
        <v>48</v>
      </c>
      <c r="O57" s="75">
        <f>LOOKUP(2, 1/('BA History'!$B:$B=A57), 'BA History'!$AI:$AI)</f>
        <v>0.49869565217391298</v>
      </c>
      <c r="P57" s="34">
        <f>SUMIFS('BA History'!H:H,'BA History'!B:B,A57)</f>
        <v>198</v>
      </c>
      <c r="Q57" s="2">
        <f>SUMIFS('BA History'!G:G,'BA History'!B:B,A57)-P57</f>
        <v>195</v>
      </c>
      <c r="R57" s="89">
        <f>LOOKUP(2, 1/('BA History'!$B:$B=A57), 'BA History'!$AJ:$AJ)</f>
        <v>0.50173913043478258</v>
      </c>
      <c r="S57" s="2">
        <f>COUNTIFS('BA History'!$B:$B,$A$57,'BA History'!K:K, 1)</f>
        <v>1</v>
      </c>
      <c r="T57" s="2">
        <f>COUNTIFS('BA History'!$B:$B,$A$57,'BA History'!L:L, 1)</f>
        <v>3</v>
      </c>
      <c r="U57" s="2">
        <f>COUNTIFS('BA History'!$B:$B,$A$57,'BA History'!M:M, 1)</f>
        <v>0</v>
      </c>
      <c r="V57" s="2">
        <f>COUNTIFS('BA History'!$B:$B,$A$57,'BA History'!N:N, 1)</f>
        <v>3</v>
      </c>
      <c r="W57" s="2">
        <f>COUNTIFS('BA History'!$B:$B,$A$57,'BA History'!O:O, 1)</f>
        <v>0</v>
      </c>
      <c r="X57" s="2">
        <f>COUNTIFS('BA History'!$B:$B,$A$57,'BA History'!P:P, 1)</f>
        <v>0</v>
      </c>
      <c r="Y57" s="2">
        <f>COUNTIFS('BA History'!$B:$B,$A$57,'BA History'!Q:Q, 1)</f>
        <v>3</v>
      </c>
      <c r="Z57" s="2">
        <f>COUNTIFS('BA History'!$B:$B,$A$57,'BA History'!R:R, 1)</f>
        <v>2</v>
      </c>
      <c r="AA57" s="2">
        <f>COUNTIFS('BA History'!$B:$B,$A$57,'BA History'!S:S, 1)</f>
        <v>0</v>
      </c>
      <c r="AB57" s="2">
        <f>COUNTIFS('BA History'!$B:$B,$A$57,'BA History'!T:T, 1)</f>
        <v>1</v>
      </c>
      <c r="AC57" s="2">
        <f>COUNTIFS('BA History'!$B:$B,$A$57,'BA History'!U:U, 1)</f>
        <v>1</v>
      </c>
      <c r="AD57" s="2">
        <f>COUNTIFS('BA History'!$B:$B,$A$57,'BA History'!V:V, 1)</f>
        <v>2</v>
      </c>
      <c r="AE57" s="2">
        <f>COUNTIFS('BA History'!$B:$B,$A$57,'BA History'!W:W, 1)</f>
        <v>2</v>
      </c>
      <c r="AF57" s="2">
        <f>COUNTIFS('BA History'!$B:$B,$A$57,'BA History'!X:X, 1)</f>
        <v>1</v>
      </c>
      <c r="AG57" s="2">
        <f>COUNTIFS('BA History'!$B:$B,$A$57,'BA History'!Y:Y, 1)</f>
        <v>6</v>
      </c>
      <c r="AH57" s="2">
        <f>COUNTIFS('BA History'!$B:$B,$A$57,'BA History'!Z:Z, 1)</f>
        <v>8</v>
      </c>
      <c r="AI57" s="2">
        <f>COUNTIFS('BA History'!$B:$B,$A57,'BA History'!AA:AA, 1)</f>
        <v>0</v>
      </c>
      <c r="AJ57" s="2">
        <f>COUNTIFS('BA History'!$B:$B,$A$57,'BA History'!AB:AB, 1)</f>
        <v>1</v>
      </c>
      <c r="AK57" s="2">
        <f>COUNTIFS('BA History'!$B:$B,$A$57,'BA History'!AC:AC, 1)</f>
        <v>9</v>
      </c>
      <c r="AL57" s="2">
        <f>COUNTIFS('BA History'!$B:$B,$A$57,'BA History'!AD:AD, 1)</f>
        <v>4</v>
      </c>
      <c r="AM57" s="2">
        <f>COUNTIFS('BA History'!$B:$B,$A$57,'BA History'!AE:AE, 1)</f>
        <v>0</v>
      </c>
      <c r="AN57" s="2">
        <f>COUNTIFS('BA History'!$B:$B,$A$57,'BA History'!AF:AF, 1)</f>
        <v>0</v>
      </c>
      <c r="AO57" s="2">
        <f>COUNTIFS('BA History'!$B:$B,$A$57,'BA History'!AG:AG, 1)</f>
        <v>0</v>
      </c>
    </row>
    <row r="58" spans="1:41" x14ac:dyDescent="0.25">
      <c r="A58" s="2" t="s">
        <v>70</v>
      </c>
      <c r="B58" s="2" t="s">
        <v>79</v>
      </c>
      <c r="C58" s="2"/>
      <c r="D58" s="2"/>
      <c r="E58" s="2"/>
      <c r="F58" s="34">
        <f>SUMIFS('BA History'!C:C,'BA History'!B:B,A58)</f>
        <v>113</v>
      </c>
      <c r="G58" s="66">
        <f>AVERAGEIFS('BA History'!C:C,'BA History'!B:B,A58)</f>
        <v>11.3</v>
      </c>
      <c r="H58" s="66">
        <f t="array" ref="H58">MEDIAN(IF('BA History'!B:B=A58, 'BA History'!C:C))</f>
        <v>11</v>
      </c>
      <c r="I58" s="35">
        <f t="array" ref="I58">MAX(IF('BA History'!B:B=A58, 'BA History'!C:C))</f>
        <v>19</v>
      </c>
      <c r="J58" s="34">
        <f>COUNTIFS('BA History'!B:B,A58,'BA History'!D:D, 1)</f>
        <v>5</v>
      </c>
      <c r="K58" s="2">
        <f>COUNTIFS('BA History'!B:B,A58,'BA History'!D:D, 0)</f>
        <v>5</v>
      </c>
      <c r="L58" s="75">
        <f>LOOKUP(2, 1/('BA History'!$B:$B=A58), 'BA History'!$AK:$AK)</f>
        <v>0.5</v>
      </c>
      <c r="M58" s="34">
        <f>SUMIFS('BA History'!F:F,'BA History'!B:B,A58)</f>
        <v>18</v>
      </c>
      <c r="N58" s="2">
        <f>SUMIFS('BA History'!E:E,'BA History'!B:B,A58)-M58</f>
        <v>22</v>
      </c>
      <c r="O58" s="75">
        <f>LOOKUP(2, 1/('BA History'!$B:$B=A58), 'BA History'!$AI:$AI)</f>
        <v>0.43000000000000005</v>
      </c>
      <c r="P58" s="34">
        <f>SUMIFS('BA History'!H:H,'BA History'!B:B,A58)</f>
        <v>81</v>
      </c>
      <c r="Q58" s="2">
        <f>SUMIFS('BA History'!G:G,'BA History'!B:B,A58)-P58</f>
        <v>87</v>
      </c>
      <c r="R58" s="89">
        <f>LOOKUP(2, 1/('BA History'!$B:$B=A58), 'BA History'!$AJ:$AJ)</f>
        <v>0.47899999999999998</v>
      </c>
      <c r="S58" s="2">
        <f>COUNTIFS('BA History'!$B:$B,$A$58,'BA History'!K:K, 1)</f>
        <v>2</v>
      </c>
      <c r="T58" s="2">
        <f>COUNTIFS('BA History'!$B:$B,$A$58,'BA History'!L:L, 1)</f>
        <v>1</v>
      </c>
      <c r="U58" s="2">
        <f>COUNTIFS('BA History'!$B:$B,$A$58,'BA History'!M:M, 1)</f>
        <v>2</v>
      </c>
      <c r="V58" s="2">
        <f>COUNTIFS('BA History'!$B:$B,$A$58,'BA History'!N:N, 1)</f>
        <v>4</v>
      </c>
      <c r="W58" s="2">
        <f>COUNTIFS('BA History'!$B:$B,$A$58,'BA History'!O:O, 1)</f>
        <v>0</v>
      </c>
      <c r="X58" s="2">
        <f>COUNTIFS('BA History'!$B:$B,$A$58,'BA History'!P:P, 1)</f>
        <v>0</v>
      </c>
      <c r="Y58" s="2">
        <f>COUNTIFS('BA History'!$B:$B,$A$58,'BA History'!Q:Q, 1)</f>
        <v>0</v>
      </c>
      <c r="Z58" s="2">
        <f>COUNTIFS('BA History'!$B:$B,$A$58,'BA History'!R:R, 1)</f>
        <v>1</v>
      </c>
      <c r="AA58" s="2">
        <f>COUNTIFS('BA History'!$B:$B,$A$58,'BA History'!S:S, 1)</f>
        <v>0</v>
      </c>
      <c r="AB58" s="2">
        <f>COUNTIFS('BA History'!$B:$B,$A$58,'BA History'!T:T, 1)</f>
        <v>0</v>
      </c>
      <c r="AC58" s="2">
        <f>COUNTIFS('BA History'!$B:$B,$A$58,'BA History'!U:U, 1)</f>
        <v>0</v>
      </c>
      <c r="AD58" s="2">
        <f>COUNTIFS('BA History'!$B:$B,$A$58,'BA History'!V:V, 1)</f>
        <v>1</v>
      </c>
      <c r="AE58" s="2">
        <f>COUNTIFS('BA History'!$B:$B,$A$58,'BA History'!W:W, 1)</f>
        <v>1</v>
      </c>
      <c r="AF58" s="2">
        <f>COUNTIFS('BA History'!$B:$B,$A$58,'BA History'!X:X, 1)</f>
        <v>0</v>
      </c>
      <c r="AG58" s="2">
        <f>COUNTIFS('BA History'!$B:$B,$A$58,'BA History'!Y:Y, 1)</f>
        <v>1</v>
      </c>
      <c r="AH58" s="2">
        <f>COUNTIFS('BA History'!$B:$B,$A$58,'BA History'!Z:Z, 1)</f>
        <v>0</v>
      </c>
      <c r="AI58" s="2">
        <f>COUNTIFS('BA History'!$B:$B,$A58,'BA History'!AA:AA, 1)</f>
        <v>0</v>
      </c>
      <c r="AJ58" s="2">
        <f>COUNTIFS('BA History'!$B:$B,$A$58,'BA History'!AB:AB, 1)</f>
        <v>0</v>
      </c>
      <c r="AK58" s="2">
        <f>COUNTIFS('BA History'!$B:$B,$A$58,'BA History'!AC:AC, 1)</f>
        <v>0</v>
      </c>
      <c r="AL58" s="2">
        <f>COUNTIFS('BA History'!$B:$B,$A$58,'BA History'!AD:AD, 1)</f>
        <v>0</v>
      </c>
      <c r="AM58" s="2">
        <f>COUNTIFS('BA History'!$B:$B,$A$58,'BA History'!AE:AE, 1)</f>
        <v>3</v>
      </c>
      <c r="AN58" s="2">
        <f>COUNTIFS('BA History'!$B:$B,$A$58,'BA History'!AF:AF, 1)</f>
        <v>0</v>
      </c>
      <c r="AO58" s="2">
        <f>COUNTIFS('BA History'!$B:$B,$A$58,'BA History'!AG:AG, 1)</f>
        <v>2</v>
      </c>
    </row>
    <row r="59" spans="1:41" x14ac:dyDescent="0.25">
      <c r="A59" s="2" t="s">
        <v>4</v>
      </c>
      <c r="B59" s="1" t="s">
        <v>158</v>
      </c>
      <c r="C59" s="1">
        <v>1</v>
      </c>
      <c r="D59" s="1">
        <v>1</v>
      </c>
      <c r="E59" s="1"/>
      <c r="F59" s="34">
        <f>SUMIFS('BA History'!C:C,'BA History'!B:B,A59)</f>
        <v>1068</v>
      </c>
      <c r="G59" s="66">
        <f>AVERAGEIFS('BA History'!C:C,'BA History'!B:B,A59)</f>
        <v>24.837209302325583</v>
      </c>
      <c r="H59" s="66">
        <f t="array" ref="H59">MEDIAN(IF('BA History'!B:B=A59, 'BA History'!C:C))</f>
        <v>27</v>
      </c>
      <c r="I59" s="35">
        <f t="array" ref="I59">MAX(IF('BA History'!B:B=A59, 'BA History'!C:C))</f>
        <v>43</v>
      </c>
      <c r="J59" s="34">
        <f>COUNTIFS('BA History'!B:B,A59,'BA History'!D:D, 1)</f>
        <v>18</v>
      </c>
      <c r="K59" s="2">
        <f>COUNTIFS('BA History'!B:B,A59,'BA History'!D:D, 0)</f>
        <v>25</v>
      </c>
      <c r="L59" s="75">
        <f>LOOKUP(2, 1/('BA History'!$B:$B=A59), 'BA History'!$AK:$AK)</f>
        <v>0.41860465116279072</v>
      </c>
      <c r="M59" s="34">
        <f>SUMIFS('BA History'!F:F,'BA History'!B:B,A59)</f>
        <v>82</v>
      </c>
      <c r="N59" s="2">
        <f>SUMIFS('BA History'!E:E,'BA History'!B:B,A59)-M59</f>
        <v>96</v>
      </c>
      <c r="O59" s="75">
        <f>LOOKUP(2, 1/('BA History'!$B:$B=A59), 'BA History'!$AI:$AI)</f>
        <v>0.45930232558139544</v>
      </c>
      <c r="P59" s="34">
        <f>SUMIFS('BA History'!H:H,'BA History'!B:B,A59)</f>
        <v>354</v>
      </c>
      <c r="Q59" s="2">
        <f>SUMIFS('BA History'!G:G,'BA History'!B:B,A59)-P59</f>
        <v>387</v>
      </c>
      <c r="R59" s="89">
        <f>LOOKUP(2, 1/('BA History'!$B:$B=A59), 'BA History'!$AJ:$AJ)</f>
        <v>0.47348837209302314</v>
      </c>
      <c r="S59" s="2">
        <f>COUNTIFS('BA History'!$B:$B,$A$59,'BA History'!K:K, 1)</f>
        <v>4</v>
      </c>
      <c r="T59" s="2">
        <f>COUNTIFS('BA History'!$B:$B,$A$59,'BA History'!L:L, 1)</f>
        <v>8</v>
      </c>
      <c r="U59" s="2">
        <f>COUNTIFS('BA History'!$B:$B,$A$59,'BA History'!M:M, 1)</f>
        <v>8</v>
      </c>
      <c r="V59" s="2">
        <f>COUNTIFS('BA History'!$B:$B,$A$59,'BA History'!N:N, 1)</f>
        <v>9</v>
      </c>
      <c r="W59" s="2">
        <f>COUNTIFS('BA History'!$B:$B,$A$59,'BA History'!O:O, 1)</f>
        <v>1</v>
      </c>
      <c r="X59" s="2">
        <f>COUNTIFS('BA History'!$B:$B,$A$59,'BA History'!P:P, 1)</f>
        <v>0</v>
      </c>
      <c r="Y59" s="2">
        <f>COUNTIFS('BA History'!$B:$B,$A$59,'BA History'!Q:Q, 1)</f>
        <v>1</v>
      </c>
      <c r="Z59" s="2">
        <f>COUNTIFS('BA History'!$B:$B,$A$59,'BA History'!R:R, 1)</f>
        <v>0</v>
      </c>
      <c r="AA59" s="2">
        <f>COUNTIFS('BA History'!$B:$B,$A$59,'BA History'!S:S, 1)</f>
        <v>0</v>
      </c>
      <c r="AB59" s="2">
        <f>COUNTIFS('BA History'!$B:$B,$A$59,'BA History'!T:T, 1)</f>
        <v>0</v>
      </c>
      <c r="AC59" s="2">
        <f>COUNTIFS('BA History'!$B:$B,$A$59,'BA History'!U:U, 1)</f>
        <v>3</v>
      </c>
      <c r="AD59" s="2">
        <f>COUNTIFS('BA History'!$B:$B,$A$59,'BA History'!V:V, 1)</f>
        <v>3</v>
      </c>
      <c r="AE59" s="2">
        <f>COUNTIFS('BA History'!$B:$B,$A$59,'BA History'!W:W, 1)</f>
        <v>2</v>
      </c>
      <c r="AF59" s="2">
        <f>COUNTIFS('BA History'!$B:$B,$A$59,'BA History'!X:X, 1)</f>
        <v>0</v>
      </c>
      <c r="AG59" s="2">
        <f>COUNTIFS('BA History'!$B:$B,$A$59,'BA History'!Y:Y, 1)</f>
        <v>11</v>
      </c>
      <c r="AH59" s="2">
        <f>COUNTIFS('BA History'!$B:$B,$A$59,'BA History'!Z:Z, 1)</f>
        <v>5</v>
      </c>
      <c r="AI59" s="2">
        <f>COUNTIFS('BA History'!$B:$B,$A59,'BA History'!AA:AA, 1)</f>
        <v>1</v>
      </c>
      <c r="AJ59" s="2">
        <f>COUNTIFS('BA History'!$B:$B,$A$59,'BA History'!AB:AB, 1)</f>
        <v>2</v>
      </c>
      <c r="AK59" s="2">
        <f>COUNTIFS('BA History'!$B:$B,$A$59,'BA History'!AC:AC, 1)</f>
        <v>10</v>
      </c>
      <c r="AL59" s="2">
        <f>COUNTIFS('BA History'!$B:$B,$A$59,'BA History'!AD:AD, 1)</f>
        <v>7</v>
      </c>
      <c r="AM59" s="2">
        <f>COUNTIFS('BA History'!$B:$B,$A$59,'BA History'!AE:AE, 1)</f>
        <v>5</v>
      </c>
      <c r="AN59" s="2">
        <f>COUNTIFS('BA History'!$B:$B,$A$59,'BA History'!AF:AF, 1)</f>
        <v>1</v>
      </c>
      <c r="AO59" s="2">
        <f>COUNTIFS('BA History'!$B:$B,$A$59,'BA History'!AG:AG, 1)</f>
        <v>1</v>
      </c>
    </row>
    <row r="60" spans="1:41" x14ac:dyDescent="0.25">
      <c r="A60" s="1" t="s">
        <v>107</v>
      </c>
      <c r="B60" s="2" t="s">
        <v>79</v>
      </c>
      <c r="C60" s="2"/>
      <c r="D60" s="2"/>
      <c r="E60" s="2"/>
      <c r="F60" s="34">
        <f>SUMIFS('BA History'!C:C,'BA History'!B:B,A60)</f>
        <v>883</v>
      </c>
      <c r="G60" s="66">
        <f>AVERAGEIFS('BA History'!C:C,'BA History'!B:B,A60)</f>
        <v>16.351851851851851</v>
      </c>
      <c r="H60" s="66">
        <f t="array" ref="H60">MEDIAN(IF('BA History'!B:B=A60, 'BA History'!C:C))</f>
        <v>16</v>
      </c>
      <c r="I60" s="35">
        <f t="array" ref="I60">MAX(IF('BA History'!B:B=A60, 'BA History'!C:C))</f>
        <v>35</v>
      </c>
      <c r="J60" s="34">
        <f>COUNTIFS('BA History'!B:B,A60,'BA History'!D:D, 1)</f>
        <v>30</v>
      </c>
      <c r="K60" s="2">
        <f>COUNTIFS('BA History'!B:B,A60,'BA History'!D:D, 0)</f>
        <v>24</v>
      </c>
      <c r="L60" s="75">
        <f>LOOKUP(2, 1/('BA History'!$B:$B=A60), 'BA History'!$AK:$AK)</f>
        <v>0.55555555555555558</v>
      </c>
      <c r="M60" s="34">
        <f>SUMIFS('BA History'!F:F,'BA History'!B:B,A60)</f>
        <v>112</v>
      </c>
      <c r="N60" s="2">
        <f>SUMIFS('BA History'!E:E,'BA History'!B:B,A60)-M60</f>
        <v>106</v>
      </c>
      <c r="O60" s="75">
        <f>LOOKUP(2, 1/('BA History'!$B:$B=A60), 'BA History'!$AI:$AI)</f>
        <v>0.50740740740740753</v>
      </c>
      <c r="P60" s="34">
        <f>SUMIFS('BA History'!H:H,'BA History'!B:B,A60)</f>
        <v>466</v>
      </c>
      <c r="Q60" s="2">
        <f>SUMIFS('BA History'!G:G,'BA History'!B:B,A60)-P60</f>
        <v>440</v>
      </c>
      <c r="R60" s="89">
        <f>LOOKUP(2, 1/('BA History'!$B:$B=A60), 'BA History'!$AJ:$AJ)</f>
        <v>0.51111111111111107</v>
      </c>
      <c r="S60" s="2">
        <f>COUNTIFS('BA History'!$B:$B,$A$60,'BA History'!K:K, 1)</f>
        <v>6</v>
      </c>
      <c r="T60" s="2">
        <f>COUNTIFS('BA History'!$B:$B,$A$60,'BA History'!L:L, 1)</f>
        <v>3</v>
      </c>
      <c r="U60" s="2">
        <f>COUNTIFS('BA History'!$B:$B,$A$60,'BA History'!M:M, 1)</f>
        <v>15</v>
      </c>
      <c r="V60" s="2">
        <f>COUNTIFS('BA History'!$B:$B,$A$60,'BA History'!N:N, 1)</f>
        <v>13</v>
      </c>
      <c r="W60" s="2">
        <f>COUNTIFS('BA History'!$B:$B,$A$60,'BA History'!O:O, 1)</f>
        <v>4</v>
      </c>
      <c r="X60" s="2">
        <f>COUNTIFS('BA History'!$B:$B,$A$60,'BA History'!P:P, 1)</f>
        <v>1</v>
      </c>
      <c r="Y60" s="2">
        <f>COUNTIFS('BA History'!$B:$B,$A$60,'BA History'!Q:Q, 1)</f>
        <v>2</v>
      </c>
      <c r="Z60" s="2">
        <f>COUNTIFS('BA History'!$B:$B,$A$60,'BA History'!R:R, 1)</f>
        <v>2</v>
      </c>
      <c r="AA60" s="2">
        <f>COUNTIFS('BA History'!$B:$B,$A$60,'BA History'!S:S, 1)</f>
        <v>1</v>
      </c>
      <c r="AB60" s="2">
        <f>COUNTIFS('BA History'!$B:$B,$A$60,'BA History'!T:T, 1)</f>
        <v>0</v>
      </c>
      <c r="AC60" s="2">
        <f>COUNTIFS('BA History'!$B:$B,$A$60,'BA History'!U:U, 1)</f>
        <v>2</v>
      </c>
      <c r="AD60" s="2">
        <f>COUNTIFS('BA History'!$B:$B,$A$60,'BA History'!V:V, 1)</f>
        <v>3</v>
      </c>
      <c r="AE60" s="2">
        <f>COUNTIFS('BA History'!$B:$B,$A$60,'BA History'!W:W, 1)</f>
        <v>3</v>
      </c>
      <c r="AF60" s="2">
        <f>COUNTIFS('BA History'!$B:$B,$A$60,'BA History'!X:X, 1)</f>
        <v>0</v>
      </c>
      <c r="AG60" s="2">
        <f>COUNTIFS('BA History'!$B:$B,$A$60,'BA History'!Y:Y, 1)</f>
        <v>8</v>
      </c>
      <c r="AH60" s="2">
        <f>COUNTIFS('BA History'!$B:$B,$A$60,'BA History'!Z:Z, 1)</f>
        <v>13</v>
      </c>
      <c r="AI60" s="2">
        <f>COUNTIFS('BA History'!$B:$B,$A60,'BA History'!AA:AA, 1)</f>
        <v>1</v>
      </c>
      <c r="AJ60" s="2">
        <f>COUNTIFS('BA History'!$B:$B,$A$60,'BA History'!AB:AB, 1)</f>
        <v>1</v>
      </c>
      <c r="AK60" s="2">
        <f>COUNTIFS('BA History'!$B:$B,$A$60,'BA History'!AC:AC, 1)</f>
        <v>9</v>
      </c>
      <c r="AL60" s="2">
        <f>COUNTIFS('BA History'!$B:$B,$A$60,'BA History'!AD:AD, 1)</f>
        <v>5</v>
      </c>
      <c r="AM60" s="2">
        <f>COUNTIFS('BA History'!$B:$B,$A$60,'BA History'!AE:AE, 1)</f>
        <v>11</v>
      </c>
      <c r="AN60" s="2">
        <f>COUNTIFS('BA History'!$B:$B,$A$60,'BA History'!AF:AF, 1)</f>
        <v>1</v>
      </c>
      <c r="AO60" s="2">
        <f>COUNTIFS('BA History'!$B:$B,$A$60,'BA History'!AG:AG, 1)</f>
        <v>8</v>
      </c>
    </row>
    <row r="61" spans="1:41" x14ac:dyDescent="0.25">
      <c r="A61" s="2" t="s">
        <v>94</v>
      </c>
      <c r="B61" s="2" t="s">
        <v>79</v>
      </c>
      <c r="C61" s="2"/>
      <c r="D61" s="2"/>
      <c r="E61" s="2"/>
      <c r="F61" s="34">
        <f>SUMIFS('BA History'!C:C,'BA History'!B:B,A61)</f>
        <v>18</v>
      </c>
      <c r="G61" s="66">
        <f>AVERAGEIFS('BA History'!C:C,'BA History'!B:B,A61)</f>
        <v>18</v>
      </c>
      <c r="H61" s="66">
        <f t="array" ref="H61">MEDIAN(IF('BA History'!B:B=A61, 'BA History'!C:C))</f>
        <v>18</v>
      </c>
      <c r="I61" s="35">
        <f t="array" ref="I61">MAX(IF('BA History'!B:B=A61, 'BA History'!C:C))</f>
        <v>18</v>
      </c>
      <c r="J61" s="34">
        <f>COUNTIFS('BA History'!B:B,A61,'BA History'!D:D, 1)</f>
        <v>1</v>
      </c>
      <c r="K61" s="2">
        <f>COUNTIFS('BA History'!B:B,A61,'BA History'!D:D, 0)</f>
        <v>0</v>
      </c>
      <c r="L61" s="75">
        <f>LOOKUP(2, 1/('BA History'!$B:$B=A61), 'BA History'!$AK:$AK)</f>
        <v>1</v>
      </c>
      <c r="M61" s="34">
        <f>SUMIFS('BA History'!F:F,'BA History'!B:B,A61)</f>
        <v>3</v>
      </c>
      <c r="N61" s="2">
        <f>SUMIFS('BA History'!E:E,'BA History'!B:B,A61)-M61</f>
        <v>2</v>
      </c>
      <c r="O61" s="75">
        <f>LOOKUP(2, 1/('BA History'!$B:$B=A61), 'BA History'!$AI:$AI)</f>
        <v>0.6</v>
      </c>
      <c r="P61" s="34">
        <f>SUMIFS('BA History'!H:H,'BA History'!B:B,A61)</f>
        <v>11</v>
      </c>
      <c r="Q61" s="2">
        <f>SUMIFS('BA History'!G:G,'BA History'!B:B,A61)-P61</f>
        <v>10</v>
      </c>
      <c r="R61" s="89">
        <f>LOOKUP(2, 1/('BA History'!$B:$B=A61), 'BA History'!$AJ:$AJ)</f>
        <v>0.52</v>
      </c>
      <c r="S61" s="2">
        <f>COUNTIFS('BA History'!$B:$B,$A$61,'BA History'!K:K, 1)</f>
        <v>0</v>
      </c>
      <c r="T61" s="2">
        <f>COUNTIFS('BA History'!$B:$B,$A$61,'BA History'!L:L, 1)</f>
        <v>0</v>
      </c>
      <c r="U61" s="2">
        <f>COUNTIFS('BA History'!$B:$B,$A$61,'BA History'!M:M, 1)</f>
        <v>0</v>
      </c>
      <c r="V61" s="2">
        <f>COUNTIFS('BA History'!$B:$B,$A$61,'BA History'!N:N, 1)</f>
        <v>0</v>
      </c>
      <c r="W61" s="2">
        <f>COUNTIFS('BA History'!$B:$B,$A$61,'BA History'!O:O, 1)</f>
        <v>0</v>
      </c>
      <c r="X61" s="2">
        <f>COUNTIFS('BA History'!$B:$B,$A$61,'BA History'!P:P, 1)</f>
        <v>0</v>
      </c>
      <c r="Y61" s="2">
        <f>COUNTIFS('BA History'!$B:$B,$A$61,'BA History'!Q:Q, 1)</f>
        <v>0</v>
      </c>
      <c r="Z61" s="2">
        <f>COUNTIFS('BA History'!$B:$B,$A$61,'BA History'!R:R, 1)</f>
        <v>0</v>
      </c>
      <c r="AA61" s="2">
        <f>COUNTIFS('BA History'!$B:$B,$A$61,'BA History'!S:S, 1)</f>
        <v>0</v>
      </c>
      <c r="AB61" s="2">
        <f>COUNTIFS('BA History'!$B:$B,$A$61,'BA History'!T:T, 1)</f>
        <v>0</v>
      </c>
      <c r="AC61" s="2">
        <f>COUNTIFS('BA History'!$B:$B,$A$61,'BA History'!U:U, 1)</f>
        <v>0</v>
      </c>
      <c r="AD61" s="2">
        <f>COUNTIFS('BA History'!$B:$B,$A$61,'BA History'!V:V, 1)</f>
        <v>0</v>
      </c>
      <c r="AE61" s="2">
        <f>COUNTIFS('BA History'!$B:$B,$A$61,'BA History'!W:W, 1)</f>
        <v>1</v>
      </c>
      <c r="AF61" s="2">
        <f>COUNTIFS('BA History'!$B:$B,$A$61,'BA History'!X:X, 1)</f>
        <v>1</v>
      </c>
      <c r="AG61" s="2">
        <f>COUNTIFS('BA History'!$B:$B,$A$61,'BA History'!Y:Y, 1)</f>
        <v>0</v>
      </c>
      <c r="AH61" s="2">
        <f>COUNTIFS('BA History'!$B:$B,$A$61,'BA History'!Z:Z, 1)</f>
        <v>1</v>
      </c>
      <c r="AI61" s="2">
        <f>COUNTIFS('BA History'!$B:$B,$A61,'BA History'!AA:AA, 1)</f>
        <v>0</v>
      </c>
      <c r="AJ61" s="2">
        <f>COUNTIFS('BA History'!$B:$B,$A$61,'BA History'!AB:AB, 1)</f>
        <v>0</v>
      </c>
      <c r="AK61" s="2">
        <f>COUNTIFS('BA History'!$B:$B,$A$61,'BA History'!AC:AC, 1)</f>
        <v>0</v>
      </c>
      <c r="AL61" s="2">
        <f>COUNTIFS('BA History'!$B:$B,$A$61,'BA History'!AD:AD, 1)</f>
        <v>0</v>
      </c>
      <c r="AM61" s="2">
        <f>COUNTIFS('BA History'!$B:$B,$A$61,'BA History'!AE:AE, 1)</f>
        <v>0</v>
      </c>
      <c r="AN61" s="2">
        <f>COUNTIFS('BA History'!$B:$B,$A$61,'BA History'!AF:AF, 1)</f>
        <v>0</v>
      </c>
      <c r="AO61" s="2">
        <f>COUNTIFS('BA History'!$B:$B,$A$61,'BA History'!AG:AG, 1)</f>
        <v>0</v>
      </c>
    </row>
    <row r="62" spans="1:41" ht="15.75" thickBot="1" x14ac:dyDescent="0.3">
      <c r="A62" s="2" t="s">
        <v>55</v>
      </c>
      <c r="B62" s="2" t="s">
        <v>79</v>
      </c>
      <c r="C62" s="2"/>
      <c r="D62" s="2"/>
      <c r="E62" s="2"/>
      <c r="F62" s="34">
        <f>SUMIFS('BA History'!C:C,'BA History'!B:B,A62)</f>
        <v>2</v>
      </c>
      <c r="G62" s="66">
        <f>AVERAGEIFS('BA History'!C:C,'BA History'!B:B,A62)</f>
        <v>2</v>
      </c>
      <c r="H62" s="66">
        <f t="array" ref="H62">MEDIAN(IF('BA History'!B:B=A62, 'BA History'!C:C))</f>
        <v>2</v>
      </c>
      <c r="I62" s="35">
        <f t="array" ref="I62">MAX(IF('BA History'!B:B=A62, 'BA History'!C:C))</f>
        <v>2</v>
      </c>
      <c r="J62" s="34">
        <f>COUNTIFS('BA History'!B:B,A62,'BA History'!D:D, 1)</f>
        <v>0</v>
      </c>
      <c r="K62" s="2">
        <f>COUNTIFS('BA History'!B:B,A62,'BA History'!D:D, 0)</f>
        <v>1</v>
      </c>
      <c r="L62" s="75">
        <f>LOOKUP(2, 1/('BA History'!$B:$B=A62), 'BA History'!$AK:$AK)</f>
        <v>0</v>
      </c>
      <c r="M62" s="34">
        <f>SUMIFS('BA History'!F:F,'BA History'!B:B,A62)</f>
        <v>0</v>
      </c>
      <c r="N62" s="2">
        <f>SUMIFS('BA History'!E:E,'BA History'!B:B,A62)-M62</f>
        <v>3</v>
      </c>
      <c r="O62" s="75">
        <f>LOOKUP(2, 1/('BA History'!$B:$B=A62), 'BA History'!$AI:$AI)</f>
        <v>0</v>
      </c>
      <c r="P62" s="34">
        <f>SUMIFS('BA History'!H:H,'BA History'!B:B,A62)</f>
        <v>4</v>
      </c>
      <c r="Q62" s="48">
        <v>9</v>
      </c>
      <c r="R62" s="89">
        <f>LOOKUP(2, 1/('BA History'!$B:$B=A62), 'BA History'!$AJ:$AJ)</f>
        <v>0.31</v>
      </c>
      <c r="S62" s="2">
        <f>COUNTIFS('BA History'!$B:$B,$A$62,'BA History'!K:K, 1)</f>
        <v>0</v>
      </c>
      <c r="T62" s="2">
        <f>COUNTIFS('BA History'!$B:$B,$A$62,'BA History'!L:L, 1)</f>
        <v>0</v>
      </c>
      <c r="U62" s="2">
        <f>COUNTIFS('BA History'!$B:$B,$A$62,'BA History'!M:M, 1)</f>
        <v>0</v>
      </c>
      <c r="V62" s="2">
        <f>COUNTIFS('BA History'!$B:$B,$A$62,'BA History'!N:N, 1)</f>
        <v>0</v>
      </c>
      <c r="W62" s="2">
        <f>COUNTIFS('BA History'!$B:$B,$A$62,'BA History'!O:O, 1)</f>
        <v>0</v>
      </c>
      <c r="X62" s="2">
        <f>COUNTIFS('BA History'!$B:$B,$A$62,'BA History'!P:P, 1)</f>
        <v>0</v>
      </c>
      <c r="Y62" s="2">
        <f>COUNTIFS('BA History'!$B:$B,$A$62,'BA History'!Q:Q, 1)</f>
        <v>0</v>
      </c>
      <c r="Z62" s="2">
        <f>COUNTIFS('BA History'!$B:$B,$A$62,'BA History'!R:R, 1)</f>
        <v>0</v>
      </c>
      <c r="AA62" s="2">
        <f>COUNTIFS('BA History'!$B:$B,$A$62,'BA History'!S:S, 1)</f>
        <v>0</v>
      </c>
      <c r="AB62" s="2">
        <f>COUNTIFS('BA History'!$B:$B,$A$62,'BA History'!T:T, 1)</f>
        <v>0</v>
      </c>
      <c r="AC62" s="2">
        <f>COUNTIFS('BA History'!$B:$B,$A$62,'BA History'!U:U, 1)</f>
        <v>0</v>
      </c>
      <c r="AD62" s="2">
        <f>COUNTIFS('BA History'!$B:$B,$A$62,'BA History'!V:V, 1)</f>
        <v>0</v>
      </c>
      <c r="AE62" s="2">
        <f>COUNTIFS('BA History'!$B:$B,$A$62,'BA History'!W:W, 1)</f>
        <v>0</v>
      </c>
      <c r="AF62" s="2">
        <f>COUNTIFS('BA History'!$B:$B,$A$62,'BA History'!X:X, 1)</f>
        <v>0</v>
      </c>
      <c r="AG62" s="2">
        <f>COUNTIFS('BA History'!$B:$B,$A$62,'BA History'!Y:Y, 1)</f>
        <v>0</v>
      </c>
      <c r="AH62" s="2">
        <f>COUNTIFS('BA History'!$B:$B,$A$62,'BA History'!Z:Z, 1)</f>
        <v>0</v>
      </c>
      <c r="AI62" s="2">
        <f>COUNTIFS('BA History'!$B:$B,$A62,'BA History'!AA:AA, 1)</f>
        <v>0</v>
      </c>
      <c r="AJ62" s="2">
        <f>COUNTIFS('BA History'!$B:$B,$A$62,'BA History'!AB:AB, 1)</f>
        <v>0</v>
      </c>
      <c r="AK62" s="2">
        <f>COUNTIFS('BA History'!$B:$B,$A$62,'BA History'!AC:AC, 1)</f>
        <v>0</v>
      </c>
      <c r="AL62" s="2">
        <f>COUNTIFS('BA History'!$B:$B,$A$62,'BA History'!AD:AD, 1)</f>
        <v>0</v>
      </c>
      <c r="AM62" s="2">
        <f>COUNTIFS('BA History'!$B:$B,$A$62,'BA History'!AE:AE, 1)</f>
        <v>0</v>
      </c>
      <c r="AN62" s="2">
        <f>COUNTIFS('BA History'!$B:$B,$A$62,'BA History'!AF:AF, 1)</f>
        <v>0</v>
      </c>
      <c r="AO62" s="2">
        <f>COUNTIFS('BA History'!$B:$B,$A$62,'BA History'!AG:AG, 1)</f>
        <v>0</v>
      </c>
    </row>
  </sheetData>
  <autoFilter ref="A1:AO62" xr:uid="{DA548192-1F03-46EA-8AB8-115EB9A7CE5D}">
    <sortState xmlns:xlrd2="http://schemas.microsoft.com/office/spreadsheetml/2017/richdata2" ref="A2:AO62">
      <sortCondition ref="A1:A62"/>
    </sortState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48192-1F03-46EA-8AB8-115EB9A7CE5D}">
  <dimension ref="A1:AH47"/>
  <sheetViews>
    <sheetView workbookViewId="0">
      <pane xSplit="1" ySplit="1" topLeftCell="B11" activePane="bottomRight" state="frozen"/>
      <selection pane="topRight" activeCell="B1" sqref="B1"/>
      <selection pane="bottomLeft" activeCell="A2" sqref="A2"/>
      <selection pane="bottomRight" activeCell="E64" sqref="E64"/>
    </sheetView>
  </sheetViews>
  <sheetFormatPr defaultRowHeight="15" x14ac:dyDescent="0.25"/>
  <cols>
    <col min="1" max="1" width="11.5703125" bestFit="1" customWidth="1"/>
    <col min="4" max="4" width="17.140625" customWidth="1"/>
    <col min="5" max="15" width="9.140625" style="1"/>
    <col min="16" max="16" width="12" style="1" customWidth="1"/>
    <col min="17" max="19" width="9.140625" style="1"/>
    <col min="20" max="20" width="11.7109375" style="1" bestFit="1" customWidth="1"/>
    <col min="21" max="21" width="14.5703125" style="1" customWidth="1"/>
    <col min="22" max="24" width="9.140625" style="1"/>
    <col min="25" max="25" width="11.85546875" style="1" bestFit="1" customWidth="1"/>
    <col min="26" max="26" width="9.140625" style="1"/>
    <col min="27" max="27" width="13" style="1" customWidth="1"/>
    <col min="28" max="28" width="13.140625" style="1" customWidth="1"/>
    <col min="29" max="29" width="9.140625" style="1"/>
    <col min="30" max="30" width="12.85546875" style="1" customWidth="1"/>
    <col min="31" max="31" width="9.140625" style="1"/>
    <col min="32" max="32" width="12.42578125" style="1" bestFit="1" customWidth="1"/>
    <col min="33" max="33" width="12.42578125" style="1" customWidth="1"/>
    <col min="34" max="34" width="9.140625" style="1"/>
  </cols>
  <sheetData>
    <row r="1" spans="1:34" ht="30.75" thickBot="1" x14ac:dyDescent="0.3">
      <c r="A1" s="3" t="s">
        <v>0</v>
      </c>
      <c r="B1" s="31" t="s">
        <v>7</v>
      </c>
      <c r="C1" s="32" t="s">
        <v>36</v>
      </c>
      <c r="D1" s="33" t="s">
        <v>49</v>
      </c>
      <c r="E1" s="51" t="s">
        <v>97</v>
      </c>
      <c r="F1" s="52" t="s">
        <v>98</v>
      </c>
      <c r="G1" s="46" t="s">
        <v>123</v>
      </c>
      <c r="H1" s="51" t="s">
        <v>64</v>
      </c>
      <c r="I1" s="52" t="s">
        <v>101</v>
      </c>
      <c r="J1" s="46" t="s">
        <v>121</v>
      </c>
      <c r="K1" s="51" t="s">
        <v>99</v>
      </c>
      <c r="L1" s="52" t="s">
        <v>100</v>
      </c>
      <c r="M1" s="46" t="s">
        <v>122</v>
      </c>
      <c r="N1" s="68" t="s">
        <v>93</v>
      </c>
      <c r="O1" s="69" t="s">
        <v>41</v>
      </c>
      <c r="P1" s="69" t="s">
        <v>69</v>
      </c>
      <c r="Q1" s="70" t="s">
        <v>63</v>
      </c>
      <c r="R1" s="70" t="s">
        <v>116</v>
      </c>
      <c r="S1" s="69" t="s">
        <v>112</v>
      </c>
      <c r="T1" s="70" t="s">
        <v>32</v>
      </c>
      <c r="U1" s="69" t="s">
        <v>106</v>
      </c>
      <c r="V1" s="70" t="s">
        <v>62</v>
      </c>
      <c r="W1" s="69" t="s">
        <v>73</v>
      </c>
      <c r="X1" s="69" t="s">
        <v>91</v>
      </c>
      <c r="Y1" s="70" t="s">
        <v>95</v>
      </c>
      <c r="Z1" s="69" t="s">
        <v>92</v>
      </c>
      <c r="AA1" s="70" t="s">
        <v>67</v>
      </c>
      <c r="AB1" s="70" t="s">
        <v>56</v>
      </c>
      <c r="AC1" s="69" t="s">
        <v>104</v>
      </c>
      <c r="AD1" s="69" t="s">
        <v>66</v>
      </c>
      <c r="AE1" s="69" t="s">
        <v>72</v>
      </c>
      <c r="AF1" s="70" t="s">
        <v>68</v>
      </c>
      <c r="AG1" s="70" t="s">
        <v>135</v>
      </c>
      <c r="AH1" s="71" t="s">
        <v>96</v>
      </c>
    </row>
    <row r="2" spans="1:34" x14ac:dyDescent="0.25">
      <c r="A2" s="2" t="s">
        <v>37</v>
      </c>
      <c r="B2" s="34">
        <v>95</v>
      </c>
      <c r="C2" s="66">
        <f t="shared" ref="C2:C12" si="0">B2/(E2+F2)</f>
        <v>13.571428571428571</v>
      </c>
      <c r="D2" s="35">
        <v>19</v>
      </c>
      <c r="E2" s="34">
        <v>3</v>
      </c>
      <c r="F2" s="2">
        <v>4</v>
      </c>
      <c r="G2" s="75">
        <f t="shared" ref="G2:G12" si="1">E2/(E2+F2)</f>
        <v>0.42857142857142855</v>
      </c>
      <c r="H2" s="34">
        <v>17</v>
      </c>
      <c r="I2" s="2">
        <v>14</v>
      </c>
      <c r="J2" s="75">
        <f t="shared" ref="J2:J12" si="2">H2/(H2+I2)</f>
        <v>0.54838709677419351</v>
      </c>
      <c r="K2" s="34">
        <v>69</v>
      </c>
      <c r="L2" s="2">
        <v>62</v>
      </c>
      <c r="M2" s="75">
        <f t="shared" ref="M2:M12" si="3">K2/(K2+L2)</f>
        <v>0.52671755725190839</v>
      </c>
      <c r="N2" s="34">
        <v>1</v>
      </c>
      <c r="O2" s="2">
        <v>1</v>
      </c>
      <c r="P2" s="2">
        <v>2</v>
      </c>
      <c r="Q2" s="2">
        <v>0</v>
      </c>
      <c r="R2" s="2">
        <v>0</v>
      </c>
      <c r="S2" s="2">
        <v>0</v>
      </c>
      <c r="T2" s="2">
        <v>0</v>
      </c>
      <c r="U2" s="2">
        <v>2</v>
      </c>
      <c r="V2" s="2">
        <v>0</v>
      </c>
      <c r="W2" s="2">
        <v>0</v>
      </c>
      <c r="X2" s="2">
        <v>2</v>
      </c>
      <c r="Y2" s="2">
        <v>0</v>
      </c>
      <c r="Z2" s="2">
        <v>0</v>
      </c>
      <c r="AA2" s="2">
        <v>2</v>
      </c>
      <c r="AB2" s="2">
        <v>1</v>
      </c>
      <c r="AC2" s="2">
        <v>0</v>
      </c>
      <c r="AD2" s="2">
        <v>1</v>
      </c>
      <c r="AE2" s="2">
        <v>2</v>
      </c>
      <c r="AF2" s="2">
        <v>1</v>
      </c>
      <c r="AG2" s="2">
        <v>0</v>
      </c>
      <c r="AH2" s="47">
        <v>2</v>
      </c>
    </row>
    <row r="3" spans="1:34" x14ac:dyDescent="0.25">
      <c r="A3" s="2" t="s">
        <v>103</v>
      </c>
      <c r="B3" s="34">
        <v>17</v>
      </c>
      <c r="C3" s="66">
        <f t="shared" si="0"/>
        <v>8.5</v>
      </c>
      <c r="D3" s="47">
        <v>9</v>
      </c>
      <c r="E3" s="34">
        <v>0</v>
      </c>
      <c r="F3" s="2">
        <v>2</v>
      </c>
      <c r="G3" s="75">
        <f t="shared" si="1"/>
        <v>0</v>
      </c>
      <c r="H3" s="34">
        <v>3</v>
      </c>
      <c r="I3" s="2">
        <v>6</v>
      </c>
      <c r="J3" s="75">
        <f t="shared" si="2"/>
        <v>0.33333333333333331</v>
      </c>
      <c r="K3" s="34">
        <v>15</v>
      </c>
      <c r="L3" s="2">
        <v>22</v>
      </c>
      <c r="M3" s="75">
        <f t="shared" si="3"/>
        <v>0.40540540540540543</v>
      </c>
      <c r="N3" s="34">
        <v>0</v>
      </c>
      <c r="O3" s="2">
        <v>0</v>
      </c>
      <c r="P3" s="2">
        <v>0</v>
      </c>
      <c r="Q3" s="2">
        <v>1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v>1</v>
      </c>
      <c r="AC3" s="2">
        <v>0</v>
      </c>
      <c r="AD3" s="2">
        <v>0</v>
      </c>
      <c r="AE3" s="2">
        <v>0</v>
      </c>
      <c r="AF3" s="2">
        <v>1</v>
      </c>
      <c r="AG3" s="2">
        <v>0</v>
      </c>
      <c r="AH3" s="47">
        <v>0</v>
      </c>
    </row>
    <row r="4" spans="1:34" x14ac:dyDescent="0.25">
      <c r="A4" s="2" t="s">
        <v>71</v>
      </c>
      <c r="B4" s="34">
        <v>39</v>
      </c>
      <c r="C4" s="66">
        <f t="shared" si="0"/>
        <v>13</v>
      </c>
      <c r="D4" s="47">
        <v>18</v>
      </c>
      <c r="E4" s="34">
        <v>2</v>
      </c>
      <c r="F4" s="2">
        <v>1</v>
      </c>
      <c r="G4" s="75">
        <f t="shared" si="1"/>
        <v>0.66666666666666663</v>
      </c>
      <c r="H4" s="34">
        <v>7</v>
      </c>
      <c r="I4" s="2">
        <v>6</v>
      </c>
      <c r="J4" s="75">
        <f t="shared" si="2"/>
        <v>0.53846153846153844</v>
      </c>
      <c r="K4" s="34">
        <v>26</v>
      </c>
      <c r="L4" s="2">
        <v>28</v>
      </c>
      <c r="M4" s="75">
        <f t="shared" si="3"/>
        <v>0.48148148148148145</v>
      </c>
      <c r="N4" s="34">
        <v>0</v>
      </c>
      <c r="O4" s="2">
        <v>1</v>
      </c>
      <c r="P4" s="2">
        <v>1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2</v>
      </c>
      <c r="AB4" s="2">
        <v>0</v>
      </c>
      <c r="AC4" s="2">
        <v>0</v>
      </c>
      <c r="AD4" s="2">
        <v>0</v>
      </c>
      <c r="AE4" s="2">
        <v>0</v>
      </c>
      <c r="AF4" s="2">
        <v>2</v>
      </c>
      <c r="AG4" s="2">
        <v>1</v>
      </c>
      <c r="AH4" s="47">
        <v>0</v>
      </c>
    </row>
    <row r="5" spans="1:34" x14ac:dyDescent="0.25">
      <c r="A5" s="2" t="s">
        <v>114</v>
      </c>
      <c r="B5" s="36">
        <v>6</v>
      </c>
      <c r="C5" s="66">
        <f t="shared" si="0"/>
        <v>6</v>
      </c>
      <c r="D5" s="65">
        <v>6</v>
      </c>
      <c r="E5" s="36">
        <v>0</v>
      </c>
      <c r="F5" s="1">
        <v>1</v>
      </c>
      <c r="G5" s="75">
        <f t="shared" si="1"/>
        <v>0</v>
      </c>
      <c r="H5" s="36">
        <v>1</v>
      </c>
      <c r="I5" s="1">
        <v>3</v>
      </c>
      <c r="J5" s="75">
        <f t="shared" si="2"/>
        <v>0.25</v>
      </c>
      <c r="K5" s="36">
        <v>8</v>
      </c>
      <c r="L5" s="1">
        <v>11</v>
      </c>
      <c r="M5" s="75">
        <f t="shared" si="3"/>
        <v>0.42105263157894735</v>
      </c>
      <c r="N5" s="36">
        <v>0</v>
      </c>
      <c r="O5" s="1">
        <v>0</v>
      </c>
      <c r="P5" s="1">
        <v>0</v>
      </c>
      <c r="Q5" s="1">
        <v>0</v>
      </c>
      <c r="R5" s="1">
        <v>1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65">
        <v>0</v>
      </c>
    </row>
    <row r="6" spans="1:34" x14ac:dyDescent="0.25">
      <c r="A6" s="2" t="s">
        <v>35</v>
      </c>
      <c r="B6" s="34">
        <v>214</v>
      </c>
      <c r="C6" s="66">
        <f t="shared" si="0"/>
        <v>11.263157894736842</v>
      </c>
      <c r="D6" s="35">
        <v>20</v>
      </c>
      <c r="E6" s="34">
        <v>6</v>
      </c>
      <c r="F6" s="2">
        <v>13</v>
      </c>
      <c r="G6" s="75">
        <f t="shared" si="1"/>
        <v>0.31578947368421051</v>
      </c>
      <c r="H6" s="34">
        <v>33</v>
      </c>
      <c r="I6" s="2">
        <v>47</v>
      </c>
      <c r="J6" s="75">
        <f t="shared" si="2"/>
        <v>0.41249999999999998</v>
      </c>
      <c r="K6" s="34">
        <v>157</v>
      </c>
      <c r="L6" s="2">
        <v>176</v>
      </c>
      <c r="M6" s="75">
        <f t="shared" si="3"/>
        <v>0.47147147147147145</v>
      </c>
      <c r="N6" s="34">
        <v>0</v>
      </c>
      <c r="O6" s="2">
        <v>2</v>
      </c>
      <c r="P6" s="2">
        <v>2</v>
      </c>
      <c r="Q6" s="2">
        <v>2</v>
      </c>
      <c r="R6" s="1">
        <v>1</v>
      </c>
      <c r="S6" s="1">
        <v>0</v>
      </c>
      <c r="T6" s="2">
        <v>1</v>
      </c>
      <c r="U6" s="2">
        <v>3</v>
      </c>
      <c r="V6" s="2">
        <v>1</v>
      </c>
      <c r="W6" s="2">
        <v>1</v>
      </c>
      <c r="X6" s="2">
        <v>2</v>
      </c>
      <c r="Y6" s="2">
        <v>0</v>
      </c>
      <c r="Z6" s="2">
        <v>1</v>
      </c>
      <c r="AA6" s="2">
        <v>1</v>
      </c>
      <c r="AB6" s="2">
        <v>5</v>
      </c>
      <c r="AC6" s="2">
        <v>0</v>
      </c>
      <c r="AD6" s="2">
        <v>3</v>
      </c>
      <c r="AE6" s="2">
        <v>4</v>
      </c>
      <c r="AF6" s="2">
        <v>3</v>
      </c>
      <c r="AG6" s="2">
        <v>0</v>
      </c>
      <c r="AH6" s="47">
        <v>1</v>
      </c>
    </row>
    <row r="7" spans="1:34" x14ac:dyDescent="0.25">
      <c r="A7" s="2" t="s">
        <v>19</v>
      </c>
      <c r="B7" s="34">
        <v>88</v>
      </c>
      <c r="C7" s="66">
        <f t="shared" si="0"/>
        <v>8</v>
      </c>
      <c r="D7" s="35">
        <v>11</v>
      </c>
      <c r="E7" s="34">
        <v>9</v>
      </c>
      <c r="F7" s="2">
        <v>2</v>
      </c>
      <c r="G7" s="75">
        <f t="shared" si="1"/>
        <v>0.81818181818181823</v>
      </c>
      <c r="H7" s="34">
        <v>30</v>
      </c>
      <c r="I7" s="2">
        <v>16</v>
      </c>
      <c r="J7" s="75">
        <f t="shared" si="2"/>
        <v>0.65217391304347827</v>
      </c>
      <c r="K7" s="34">
        <v>106</v>
      </c>
      <c r="L7" s="2">
        <v>79</v>
      </c>
      <c r="M7" s="75">
        <f t="shared" si="3"/>
        <v>0.572972972972973</v>
      </c>
      <c r="N7" s="34">
        <v>1</v>
      </c>
      <c r="O7" s="2">
        <v>1</v>
      </c>
      <c r="P7" s="2">
        <v>2</v>
      </c>
      <c r="Q7" s="2">
        <v>2</v>
      </c>
      <c r="R7" s="1">
        <v>0</v>
      </c>
      <c r="S7" s="1">
        <v>0</v>
      </c>
      <c r="T7" s="2">
        <v>1</v>
      </c>
      <c r="U7" s="2">
        <v>1</v>
      </c>
      <c r="V7" s="2">
        <v>1</v>
      </c>
      <c r="W7" s="2">
        <v>2</v>
      </c>
      <c r="X7" s="2">
        <v>1</v>
      </c>
      <c r="Y7" s="2">
        <v>0</v>
      </c>
      <c r="Z7" s="2">
        <v>1</v>
      </c>
      <c r="AA7" s="2">
        <v>2</v>
      </c>
      <c r="AB7" s="2">
        <v>3</v>
      </c>
      <c r="AC7" s="2">
        <v>0</v>
      </c>
      <c r="AD7" s="2">
        <v>5</v>
      </c>
      <c r="AE7" s="2">
        <v>3</v>
      </c>
      <c r="AF7" s="2">
        <v>3</v>
      </c>
      <c r="AG7" s="2">
        <v>0</v>
      </c>
      <c r="AH7" s="47">
        <v>1</v>
      </c>
    </row>
    <row r="8" spans="1:34" x14ac:dyDescent="0.25">
      <c r="A8" s="2" t="s">
        <v>42</v>
      </c>
      <c r="B8" s="34">
        <v>233</v>
      </c>
      <c r="C8" s="66">
        <f t="shared" si="0"/>
        <v>16.642857142857142</v>
      </c>
      <c r="D8" s="35">
        <v>31</v>
      </c>
      <c r="E8" s="34">
        <v>6</v>
      </c>
      <c r="F8" s="2">
        <v>8</v>
      </c>
      <c r="G8" s="75">
        <f t="shared" si="1"/>
        <v>0.42857142857142855</v>
      </c>
      <c r="H8" s="34">
        <v>25</v>
      </c>
      <c r="I8" s="2">
        <v>33</v>
      </c>
      <c r="J8" s="75">
        <f t="shared" si="2"/>
        <v>0.43103448275862066</v>
      </c>
      <c r="K8" s="34">
        <v>109</v>
      </c>
      <c r="L8" s="2">
        <v>128</v>
      </c>
      <c r="M8" s="75">
        <f t="shared" si="3"/>
        <v>0.45991561181434598</v>
      </c>
      <c r="N8" s="34">
        <v>0</v>
      </c>
      <c r="O8" s="2">
        <v>5</v>
      </c>
      <c r="P8" s="2">
        <v>1</v>
      </c>
      <c r="Q8" s="2">
        <v>2</v>
      </c>
      <c r="R8" s="2">
        <v>0</v>
      </c>
      <c r="S8" s="2">
        <v>0</v>
      </c>
      <c r="T8" s="2">
        <v>1</v>
      </c>
      <c r="U8" s="2">
        <v>1</v>
      </c>
      <c r="V8" s="2">
        <v>0</v>
      </c>
      <c r="W8" s="2">
        <v>1</v>
      </c>
      <c r="X8" s="2">
        <v>2</v>
      </c>
      <c r="Y8" s="2">
        <v>1</v>
      </c>
      <c r="Z8" s="2">
        <v>0</v>
      </c>
      <c r="AA8" s="2">
        <v>2</v>
      </c>
      <c r="AB8" s="2">
        <v>4</v>
      </c>
      <c r="AC8" s="2">
        <v>1</v>
      </c>
      <c r="AD8" s="2">
        <v>0</v>
      </c>
      <c r="AE8" s="2">
        <v>1</v>
      </c>
      <c r="AF8" s="2">
        <v>2</v>
      </c>
      <c r="AG8" s="2">
        <v>0</v>
      </c>
      <c r="AH8" s="47">
        <v>1</v>
      </c>
    </row>
    <row r="9" spans="1:34" x14ac:dyDescent="0.25">
      <c r="A9" s="2" t="s">
        <v>25</v>
      </c>
      <c r="B9" s="34">
        <v>34</v>
      </c>
      <c r="C9" s="66">
        <f t="shared" si="0"/>
        <v>8.5</v>
      </c>
      <c r="D9" s="35">
        <v>12</v>
      </c>
      <c r="E9" s="34">
        <v>3</v>
      </c>
      <c r="F9" s="2">
        <v>1</v>
      </c>
      <c r="G9" s="75">
        <f t="shared" si="1"/>
        <v>0.75</v>
      </c>
      <c r="H9" s="34">
        <v>10</v>
      </c>
      <c r="I9" s="2">
        <v>5</v>
      </c>
      <c r="J9" s="75">
        <f t="shared" si="2"/>
        <v>0.66666666666666663</v>
      </c>
      <c r="K9" s="34">
        <v>36</v>
      </c>
      <c r="L9" s="2">
        <v>20</v>
      </c>
      <c r="M9" s="75">
        <f t="shared" si="3"/>
        <v>0.6428571428571429</v>
      </c>
      <c r="N9" s="34">
        <v>2</v>
      </c>
      <c r="O9" s="2">
        <v>0</v>
      </c>
      <c r="P9" s="2">
        <v>0</v>
      </c>
      <c r="Q9" s="2">
        <v>1</v>
      </c>
      <c r="R9" s="2">
        <v>0</v>
      </c>
      <c r="S9" s="1">
        <v>1</v>
      </c>
      <c r="T9" s="2">
        <v>1</v>
      </c>
      <c r="U9" s="2">
        <v>0</v>
      </c>
      <c r="V9" s="2">
        <v>0</v>
      </c>
      <c r="W9" s="2">
        <v>0</v>
      </c>
      <c r="X9" s="2">
        <v>1</v>
      </c>
      <c r="Y9" s="2">
        <v>0</v>
      </c>
      <c r="Z9" s="2">
        <v>0</v>
      </c>
      <c r="AA9" s="2">
        <v>1</v>
      </c>
      <c r="AB9" s="2">
        <v>2</v>
      </c>
      <c r="AC9" s="2">
        <v>0</v>
      </c>
      <c r="AD9" s="2">
        <v>1</v>
      </c>
      <c r="AE9" s="2">
        <v>0</v>
      </c>
      <c r="AF9" s="2">
        <v>0</v>
      </c>
      <c r="AG9" s="2">
        <v>0</v>
      </c>
      <c r="AH9" s="47">
        <v>0</v>
      </c>
    </row>
    <row r="10" spans="1:34" x14ac:dyDescent="0.25">
      <c r="A10" s="2" t="s">
        <v>115</v>
      </c>
      <c r="B10" s="36">
        <v>88</v>
      </c>
      <c r="C10" s="66">
        <f t="shared" si="0"/>
        <v>12.571428571428571</v>
      </c>
      <c r="D10" s="65">
        <v>14</v>
      </c>
      <c r="E10" s="36">
        <v>2</v>
      </c>
      <c r="F10" s="1">
        <v>5</v>
      </c>
      <c r="G10" s="75">
        <f t="shared" si="1"/>
        <v>0.2857142857142857</v>
      </c>
      <c r="H10" s="36">
        <v>13</v>
      </c>
      <c r="I10" s="1">
        <v>18</v>
      </c>
      <c r="J10" s="75">
        <f t="shared" si="2"/>
        <v>0.41935483870967744</v>
      </c>
      <c r="K10" s="36">
        <v>56</v>
      </c>
      <c r="L10" s="1">
        <v>64</v>
      </c>
      <c r="M10" s="75">
        <f t="shared" si="3"/>
        <v>0.46666666666666667</v>
      </c>
      <c r="N10" s="36">
        <v>0</v>
      </c>
      <c r="O10" s="1">
        <v>2</v>
      </c>
      <c r="P10" s="1">
        <v>1</v>
      </c>
      <c r="Q10" s="1">
        <v>0</v>
      </c>
      <c r="R10" s="1">
        <v>1</v>
      </c>
      <c r="S10" s="1">
        <v>0</v>
      </c>
      <c r="T10" s="1">
        <v>1</v>
      </c>
      <c r="U10" s="1">
        <v>0</v>
      </c>
      <c r="V10" s="1">
        <v>0</v>
      </c>
      <c r="W10" s="1">
        <v>1</v>
      </c>
      <c r="X10" s="1">
        <v>0</v>
      </c>
      <c r="Y10" s="1">
        <v>1</v>
      </c>
      <c r="Z10" s="1">
        <v>1</v>
      </c>
      <c r="AA10" s="1">
        <v>1</v>
      </c>
      <c r="AB10" s="1">
        <v>1</v>
      </c>
      <c r="AC10" s="1">
        <v>0</v>
      </c>
      <c r="AD10" s="1">
        <v>0</v>
      </c>
      <c r="AE10" s="1">
        <v>2</v>
      </c>
      <c r="AF10" s="1">
        <v>0</v>
      </c>
      <c r="AG10" s="1">
        <v>0</v>
      </c>
      <c r="AH10" s="65">
        <v>1</v>
      </c>
    </row>
    <row r="11" spans="1:34" x14ac:dyDescent="0.25">
      <c r="A11" s="2" t="s">
        <v>27</v>
      </c>
      <c r="B11" s="34">
        <v>71</v>
      </c>
      <c r="C11" s="66">
        <f t="shared" si="0"/>
        <v>14.2</v>
      </c>
      <c r="D11" s="35">
        <v>20</v>
      </c>
      <c r="E11" s="34">
        <v>2</v>
      </c>
      <c r="F11" s="2">
        <v>3</v>
      </c>
      <c r="G11" s="75">
        <f t="shared" si="1"/>
        <v>0.4</v>
      </c>
      <c r="H11" s="34">
        <v>11</v>
      </c>
      <c r="I11" s="2">
        <v>12</v>
      </c>
      <c r="J11" s="75">
        <f t="shared" si="2"/>
        <v>0.47826086956521741</v>
      </c>
      <c r="K11" s="34">
        <v>43</v>
      </c>
      <c r="L11" s="2">
        <v>51</v>
      </c>
      <c r="M11" s="75">
        <f t="shared" si="3"/>
        <v>0.45744680851063829</v>
      </c>
      <c r="N11" s="34">
        <v>0</v>
      </c>
      <c r="O11" s="2">
        <v>0</v>
      </c>
      <c r="P11" s="2">
        <v>1</v>
      </c>
      <c r="Q11" s="2">
        <v>2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1</v>
      </c>
      <c r="X11" s="2">
        <v>0</v>
      </c>
      <c r="Y11" s="2">
        <v>0</v>
      </c>
      <c r="Z11" s="2">
        <v>0</v>
      </c>
      <c r="AA11" s="2">
        <v>1</v>
      </c>
      <c r="AB11" s="2">
        <v>2</v>
      </c>
      <c r="AC11" s="2">
        <v>0</v>
      </c>
      <c r="AD11" s="2">
        <v>3</v>
      </c>
      <c r="AE11" s="2">
        <v>1</v>
      </c>
      <c r="AF11" s="2">
        <v>0</v>
      </c>
      <c r="AG11" s="2">
        <v>0</v>
      </c>
      <c r="AH11" s="47">
        <v>0</v>
      </c>
    </row>
    <row r="12" spans="1:34" x14ac:dyDescent="0.25">
      <c r="A12" s="2" t="s">
        <v>108</v>
      </c>
      <c r="B12" s="36">
        <v>3</v>
      </c>
      <c r="C12" s="66">
        <f t="shared" si="0"/>
        <v>3</v>
      </c>
      <c r="D12" s="65">
        <v>3</v>
      </c>
      <c r="E12" s="36">
        <v>0</v>
      </c>
      <c r="F12" s="1">
        <v>1</v>
      </c>
      <c r="G12" s="75">
        <f t="shared" si="1"/>
        <v>0</v>
      </c>
      <c r="H12" s="36">
        <v>2</v>
      </c>
      <c r="I12" s="1">
        <v>3</v>
      </c>
      <c r="J12" s="75">
        <f t="shared" si="2"/>
        <v>0.4</v>
      </c>
      <c r="K12" s="36">
        <v>10</v>
      </c>
      <c r="L12" s="1">
        <v>13</v>
      </c>
      <c r="M12" s="75">
        <f t="shared" si="3"/>
        <v>0.43478260869565216</v>
      </c>
      <c r="N12" s="36">
        <v>0</v>
      </c>
      <c r="O12" s="1">
        <v>0</v>
      </c>
      <c r="P12" s="1">
        <v>1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1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47">
        <v>0</v>
      </c>
    </row>
    <row r="13" spans="1:34" x14ac:dyDescent="0.25">
      <c r="A13" s="2" t="s">
        <v>78</v>
      </c>
      <c r="B13" s="36">
        <v>0</v>
      </c>
      <c r="C13" s="66">
        <v>0</v>
      </c>
      <c r="D13" s="65">
        <v>0</v>
      </c>
      <c r="E13" s="36">
        <v>0</v>
      </c>
      <c r="F13" s="1">
        <v>0</v>
      </c>
      <c r="G13" s="75" t="s">
        <v>79</v>
      </c>
      <c r="H13" s="36">
        <v>0</v>
      </c>
      <c r="I13" s="1">
        <v>0</v>
      </c>
      <c r="J13" s="75" t="s">
        <v>79</v>
      </c>
      <c r="K13" s="36">
        <v>0</v>
      </c>
      <c r="L13" s="1">
        <v>0</v>
      </c>
      <c r="M13" s="75" t="s">
        <v>79</v>
      </c>
      <c r="N13" s="36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65">
        <v>0</v>
      </c>
    </row>
    <row r="14" spans="1:34" x14ac:dyDescent="0.25">
      <c r="A14" s="2" t="s">
        <v>138</v>
      </c>
      <c r="B14" s="36"/>
      <c r="C14" s="66"/>
      <c r="D14" s="65"/>
      <c r="E14" s="36"/>
      <c r="G14" s="75"/>
      <c r="H14" s="36"/>
      <c r="J14" s="75"/>
      <c r="K14" s="36"/>
      <c r="M14" s="75"/>
      <c r="N14" s="36"/>
      <c r="AH14" s="65"/>
    </row>
    <row r="15" spans="1:34" x14ac:dyDescent="0.25">
      <c r="A15" s="2" t="s">
        <v>74</v>
      </c>
      <c r="B15" s="34">
        <v>9</v>
      </c>
      <c r="C15" s="66">
        <f t="shared" ref="C15:C47" si="4">B15/(E15+F15)</f>
        <v>9</v>
      </c>
      <c r="D15" s="47">
        <v>9</v>
      </c>
      <c r="E15" s="34">
        <v>0</v>
      </c>
      <c r="F15" s="2">
        <v>1</v>
      </c>
      <c r="G15" s="75">
        <f t="shared" ref="G15:G47" si="5">E15/(E15+F15)</f>
        <v>0</v>
      </c>
      <c r="H15" s="34">
        <v>1</v>
      </c>
      <c r="I15" s="2">
        <v>3</v>
      </c>
      <c r="J15" s="75">
        <f t="shared" ref="J15:J47" si="6">H15/(H15+I15)</f>
        <v>0.25</v>
      </c>
      <c r="K15" s="34">
        <v>6</v>
      </c>
      <c r="L15" s="2">
        <v>9</v>
      </c>
      <c r="M15" s="75">
        <f t="shared" ref="M15:M47" si="7">K15/(K15+L15)</f>
        <v>0.4</v>
      </c>
      <c r="N15" s="34">
        <v>0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0</v>
      </c>
      <c r="AB15" s="2">
        <v>1</v>
      </c>
      <c r="AC15" s="2">
        <v>0</v>
      </c>
      <c r="AD15" s="2">
        <v>0</v>
      </c>
      <c r="AE15" s="2">
        <v>0</v>
      </c>
      <c r="AF15" s="2">
        <v>0</v>
      </c>
      <c r="AG15" s="2">
        <v>0</v>
      </c>
      <c r="AH15" s="47">
        <v>0</v>
      </c>
    </row>
    <row r="16" spans="1:34" x14ac:dyDescent="0.25">
      <c r="A16" s="2" t="s">
        <v>89</v>
      </c>
      <c r="B16" s="34">
        <v>3</v>
      </c>
      <c r="C16" s="66">
        <f t="shared" si="4"/>
        <v>3</v>
      </c>
      <c r="D16" s="47">
        <v>3</v>
      </c>
      <c r="E16" s="34">
        <v>0</v>
      </c>
      <c r="F16" s="2">
        <v>1</v>
      </c>
      <c r="G16" s="75">
        <f t="shared" si="5"/>
        <v>0</v>
      </c>
      <c r="H16" s="34">
        <v>0</v>
      </c>
      <c r="I16" s="2">
        <v>3</v>
      </c>
      <c r="J16" s="75">
        <f t="shared" si="6"/>
        <v>0</v>
      </c>
      <c r="K16" s="34">
        <v>4</v>
      </c>
      <c r="L16" s="2">
        <v>9</v>
      </c>
      <c r="M16" s="75">
        <f t="shared" si="7"/>
        <v>0.30769230769230771</v>
      </c>
      <c r="N16" s="34">
        <v>0</v>
      </c>
      <c r="O16" s="2">
        <v>0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0</v>
      </c>
      <c r="AB16" s="2">
        <v>0</v>
      </c>
      <c r="AC16" s="2">
        <v>0</v>
      </c>
      <c r="AD16" s="2">
        <v>0</v>
      </c>
      <c r="AE16" s="2">
        <v>0</v>
      </c>
      <c r="AF16" s="2">
        <v>0</v>
      </c>
      <c r="AG16" s="2">
        <v>0</v>
      </c>
      <c r="AH16" s="47">
        <v>0</v>
      </c>
    </row>
    <row r="17" spans="1:34" x14ac:dyDescent="0.25">
      <c r="A17" s="2" t="s">
        <v>45</v>
      </c>
      <c r="B17" s="34">
        <v>32</v>
      </c>
      <c r="C17" s="66">
        <f t="shared" si="4"/>
        <v>10.666666666666666</v>
      </c>
      <c r="D17" s="35">
        <v>13</v>
      </c>
      <c r="E17" s="34">
        <v>2</v>
      </c>
      <c r="F17" s="2">
        <v>1</v>
      </c>
      <c r="G17" s="75">
        <f t="shared" si="5"/>
        <v>0.66666666666666663</v>
      </c>
      <c r="H17" s="34">
        <v>8</v>
      </c>
      <c r="I17" s="2">
        <v>5</v>
      </c>
      <c r="J17" s="75">
        <f t="shared" si="6"/>
        <v>0.61538461538461542</v>
      </c>
      <c r="K17" s="34">
        <v>32</v>
      </c>
      <c r="L17" s="2">
        <v>27</v>
      </c>
      <c r="M17" s="75">
        <f t="shared" si="7"/>
        <v>0.5423728813559322</v>
      </c>
      <c r="N17" s="34">
        <v>0</v>
      </c>
      <c r="O17" s="2">
        <v>0</v>
      </c>
      <c r="P17" s="2">
        <v>1</v>
      </c>
      <c r="Q17" s="2">
        <v>2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1</v>
      </c>
      <c r="X17" s="2">
        <v>0</v>
      </c>
      <c r="Y17" s="2">
        <v>0</v>
      </c>
      <c r="Z17" s="2">
        <v>0</v>
      </c>
      <c r="AA17" s="2">
        <v>1</v>
      </c>
      <c r="AB17" s="2">
        <v>1</v>
      </c>
      <c r="AC17" s="2">
        <v>0</v>
      </c>
      <c r="AD17" s="2">
        <v>1</v>
      </c>
      <c r="AE17" s="2">
        <v>1</v>
      </c>
      <c r="AF17" s="2">
        <v>0</v>
      </c>
      <c r="AG17" s="2">
        <v>0</v>
      </c>
      <c r="AH17" s="47">
        <v>0</v>
      </c>
    </row>
    <row r="18" spans="1:34" x14ac:dyDescent="0.25">
      <c r="A18" s="2" t="s">
        <v>50</v>
      </c>
      <c r="B18" s="34">
        <v>427</v>
      </c>
      <c r="C18" s="66">
        <f t="shared" si="4"/>
        <v>20.333333333333332</v>
      </c>
      <c r="D18" s="35">
        <v>31</v>
      </c>
      <c r="E18" s="34">
        <v>13</v>
      </c>
      <c r="F18" s="2">
        <v>8</v>
      </c>
      <c r="G18" s="75">
        <f t="shared" si="5"/>
        <v>0.61904761904761907</v>
      </c>
      <c r="H18" s="34">
        <v>49</v>
      </c>
      <c r="I18" s="2">
        <v>38</v>
      </c>
      <c r="J18" s="75">
        <f t="shared" si="6"/>
        <v>0.56321839080459768</v>
      </c>
      <c r="K18" s="34">
        <v>195</v>
      </c>
      <c r="L18" s="2">
        <v>177</v>
      </c>
      <c r="M18" s="75">
        <f t="shared" si="7"/>
        <v>0.52419354838709675</v>
      </c>
      <c r="N18" s="34">
        <v>2</v>
      </c>
      <c r="O18" s="2">
        <v>3</v>
      </c>
      <c r="P18" s="2">
        <v>1</v>
      </c>
      <c r="Q18" s="2">
        <v>4</v>
      </c>
      <c r="R18" s="2">
        <v>1</v>
      </c>
      <c r="S18" s="2">
        <v>1</v>
      </c>
      <c r="T18" s="2">
        <v>2</v>
      </c>
      <c r="U18" s="2">
        <v>1</v>
      </c>
      <c r="V18" s="2">
        <v>1</v>
      </c>
      <c r="W18" s="2">
        <v>0</v>
      </c>
      <c r="X18" s="2">
        <v>5</v>
      </c>
      <c r="Y18" s="2">
        <v>1</v>
      </c>
      <c r="Z18" s="2">
        <v>1</v>
      </c>
      <c r="AA18" s="2">
        <v>2</v>
      </c>
      <c r="AB18" s="2">
        <v>8</v>
      </c>
      <c r="AC18" s="2">
        <v>1</v>
      </c>
      <c r="AD18" s="2">
        <v>5</v>
      </c>
      <c r="AE18" s="2">
        <v>1</v>
      </c>
      <c r="AF18" s="2">
        <v>7</v>
      </c>
      <c r="AG18" s="2">
        <v>1</v>
      </c>
      <c r="AH18" s="47">
        <v>1</v>
      </c>
    </row>
    <row r="19" spans="1:34" x14ac:dyDescent="0.25">
      <c r="A19" s="2" t="s">
        <v>52</v>
      </c>
      <c r="B19" s="34">
        <v>98</v>
      </c>
      <c r="C19" s="66">
        <f t="shared" si="4"/>
        <v>12.25</v>
      </c>
      <c r="D19" s="35">
        <v>19</v>
      </c>
      <c r="E19" s="34">
        <v>2</v>
      </c>
      <c r="F19" s="2">
        <v>6</v>
      </c>
      <c r="G19" s="75">
        <f t="shared" si="5"/>
        <v>0.25</v>
      </c>
      <c r="H19" s="34">
        <v>14</v>
      </c>
      <c r="I19" s="2">
        <v>21</v>
      </c>
      <c r="J19" s="75">
        <f t="shared" si="6"/>
        <v>0.4</v>
      </c>
      <c r="K19" s="34">
        <v>60</v>
      </c>
      <c r="L19" s="2">
        <v>79</v>
      </c>
      <c r="M19" s="75">
        <f t="shared" si="7"/>
        <v>0.43165467625899279</v>
      </c>
      <c r="N19" s="34">
        <v>0</v>
      </c>
      <c r="O19" s="2">
        <v>2</v>
      </c>
      <c r="P19" s="2">
        <v>0</v>
      </c>
      <c r="Q19" s="2">
        <v>1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3</v>
      </c>
      <c r="X19" s="2">
        <v>0</v>
      </c>
      <c r="Y19" s="2">
        <v>0</v>
      </c>
      <c r="Z19" s="2">
        <v>0</v>
      </c>
      <c r="AA19" s="2">
        <v>0</v>
      </c>
      <c r="AB19" s="2">
        <v>2</v>
      </c>
      <c r="AC19" s="2">
        <v>0</v>
      </c>
      <c r="AD19" s="2">
        <v>3</v>
      </c>
      <c r="AE19" s="2">
        <v>2</v>
      </c>
      <c r="AF19" s="2">
        <v>1</v>
      </c>
      <c r="AG19" s="2">
        <v>0</v>
      </c>
      <c r="AH19" s="47">
        <v>0</v>
      </c>
    </row>
    <row r="20" spans="1:34" x14ac:dyDescent="0.25">
      <c r="A20" s="2" t="s">
        <v>102</v>
      </c>
      <c r="B20" s="34">
        <v>158</v>
      </c>
      <c r="C20" s="66">
        <f t="shared" si="4"/>
        <v>17.555555555555557</v>
      </c>
      <c r="D20" s="35">
        <v>31</v>
      </c>
      <c r="E20" s="34">
        <v>7</v>
      </c>
      <c r="F20" s="2">
        <v>2</v>
      </c>
      <c r="G20" s="75">
        <f t="shared" si="5"/>
        <v>0.77777777777777779</v>
      </c>
      <c r="H20" s="34">
        <v>24</v>
      </c>
      <c r="I20" s="2">
        <v>14</v>
      </c>
      <c r="J20" s="75">
        <f t="shared" si="6"/>
        <v>0.63157894736842102</v>
      </c>
      <c r="K20" s="34">
        <v>87</v>
      </c>
      <c r="L20" s="2">
        <v>63</v>
      </c>
      <c r="M20" s="75">
        <f t="shared" si="7"/>
        <v>0.57999999999999996</v>
      </c>
      <c r="N20" s="34">
        <v>2</v>
      </c>
      <c r="O20" s="2">
        <v>1</v>
      </c>
      <c r="P20" s="2">
        <v>2</v>
      </c>
      <c r="Q20" s="2">
        <v>1</v>
      </c>
      <c r="R20" s="1">
        <v>0</v>
      </c>
      <c r="S20" s="2">
        <v>0</v>
      </c>
      <c r="T20" s="2">
        <v>1</v>
      </c>
      <c r="U20" s="2">
        <v>1</v>
      </c>
      <c r="V20" s="2">
        <v>0</v>
      </c>
      <c r="W20" s="2">
        <v>0</v>
      </c>
      <c r="X20" s="2">
        <v>1</v>
      </c>
      <c r="Y20" s="2">
        <v>3</v>
      </c>
      <c r="Z20" s="2">
        <v>1</v>
      </c>
      <c r="AA20" s="2">
        <v>1</v>
      </c>
      <c r="AB20" s="2">
        <v>3</v>
      </c>
      <c r="AC20" s="2">
        <v>1</v>
      </c>
      <c r="AD20" s="2">
        <v>1</v>
      </c>
      <c r="AE20" s="2">
        <v>1</v>
      </c>
      <c r="AF20" s="2">
        <v>1</v>
      </c>
      <c r="AG20" s="2">
        <v>1</v>
      </c>
      <c r="AH20" s="47">
        <v>2</v>
      </c>
    </row>
    <row r="21" spans="1:34" x14ac:dyDescent="0.25">
      <c r="A21" s="2" t="s">
        <v>1</v>
      </c>
      <c r="B21" s="34">
        <v>325</v>
      </c>
      <c r="C21" s="66">
        <f t="shared" si="4"/>
        <v>29.545454545454547</v>
      </c>
      <c r="D21" s="35">
        <v>50</v>
      </c>
      <c r="E21" s="34">
        <v>5</v>
      </c>
      <c r="F21" s="2">
        <v>6</v>
      </c>
      <c r="G21" s="75">
        <f t="shared" si="5"/>
        <v>0.45454545454545453</v>
      </c>
      <c r="H21" s="34">
        <v>19</v>
      </c>
      <c r="I21" s="2">
        <v>26</v>
      </c>
      <c r="J21" s="75">
        <f t="shared" si="6"/>
        <v>0.42222222222222222</v>
      </c>
      <c r="K21" s="34">
        <v>90</v>
      </c>
      <c r="L21" s="2">
        <v>105</v>
      </c>
      <c r="M21" s="75">
        <f t="shared" si="7"/>
        <v>0.46153846153846156</v>
      </c>
      <c r="N21" s="34">
        <v>1</v>
      </c>
      <c r="O21" s="2">
        <v>2</v>
      </c>
      <c r="P21" s="2">
        <v>1</v>
      </c>
      <c r="Q21" s="2">
        <v>1</v>
      </c>
      <c r="R21" s="1">
        <v>1</v>
      </c>
      <c r="S21" s="1">
        <v>0</v>
      </c>
      <c r="T21" s="2">
        <v>0</v>
      </c>
      <c r="U21" s="2">
        <v>0</v>
      </c>
      <c r="V21" s="2">
        <v>0</v>
      </c>
      <c r="W21" s="2">
        <v>0</v>
      </c>
      <c r="X21" s="2">
        <v>2</v>
      </c>
      <c r="Y21" s="2">
        <v>1</v>
      </c>
      <c r="Z21" s="2">
        <v>0</v>
      </c>
      <c r="AA21" s="2">
        <v>2</v>
      </c>
      <c r="AB21" s="2">
        <v>1</v>
      </c>
      <c r="AC21" s="2">
        <v>1</v>
      </c>
      <c r="AD21" s="2">
        <v>1</v>
      </c>
      <c r="AE21" s="2">
        <v>1</v>
      </c>
      <c r="AF21" s="2">
        <v>3</v>
      </c>
      <c r="AG21" s="2">
        <v>1</v>
      </c>
      <c r="AH21" s="47">
        <v>0</v>
      </c>
    </row>
    <row r="22" spans="1:34" x14ac:dyDescent="0.25">
      <c r="A22" s="2" t="s">
        <v>46</v>
      </c>
      <c r="B22" s="34">
        <v>281</v>
      </c>
      <c r="C22" s="66">
        <f t="shared" si="4"/>
        <v>20.071428571428573</v>
      </c>
      <c r="D22" s="35">
        <v>27</v>
      </c>
      <c r="E22" s="34">
        <v>5</v>
      </c>
      <c r="F22" s="2">
        <v>9</v>
      </c>
      <c r="G22" s="75">
        <f t="shared" si="5"/>
        <v>0.35714285714285715</v>
      </c>
      <c r="H22" s="34">
        <v>28</v>
      </c>
      <c r="I22" s="2">
        <v>35</v>
      </c>
      <c r="J22" s="75">
        <f t="shared" si="6"/>
        <v>0.44444444444444442</v>
      </c>
      <c r="K22" s="34">
        <v>127</v>
      </c>
      <c r="L22" s="2">
        <v>135</v>
      </c>
      <c r="M22" s="75">
        <f t="shared" si="7"/>
        <v>0.48473282442748089</v>
      </c>
      <c r="N22" s="34">
        <v>2</v>
      </c>
      <c r="O22" s="2">
        <v>1</v>
      </c>
      <c r="P22" s="2">
        <v>1</v>
      </c>
      <c r="Q22" s="2">
        <v>3</v>
      </c>
      <c r="R22" s="2">
        <v>1</v>
      </c>
      <c r="S22" s="1">
        <v>0</v>
      </c>
      <c r="T22" s="2">
        <v>0</v>
      </c>
      <c r="U22" s="2">
        <v>1</v>
      </c>
      <c r="V22" s="2">
        <v>0</v>
      </c>
      <c r="W22" s="2">
        <v>1</v>
      </c>
      <c r="X22" s="2">
        <v>0</v>
      </c>
      <c r="Y22" s="2">
        <v>2</v>
      </c>
      <c r="Z22" s="2">
        <v>1</v>
      </c>
      <c r="AA22" s="2">
        <v>0</v>
      </c>
      <c r="AB22" s="2">
        <v>6</v>
      </c>
      <c r="AC22" s="2">
        <v>0</v>
      </c>
      <c r="AD22" s="2">
        <v>4</v>
      </c>
      <c r="AE22" s="2">
        <v>0</v>
      </c>
      <c r="AF22" s="2">
        <v>2</v>
      </c>
      <c r="AG22" s="2">
        <v>1</v>
      </c>
      <c r="AH22" s="47">
        <v>2</v>
      </c>
    </row>
    <row r="23" spans="1:34" x14ac:dyDescent="0.25">
      <c r="A23" s="2" t="s">
        <v>28</v>
      </c>
      <c r="B23" s="34">
        <v>205</v>
      </c>
      <c r="C23" s="66">
        <f t="shared" si="4"/>
        <v>15.76923076923077</v>
      </c>
      <c r="D23" s="35">
        <v>22</v>
      </c>
      <c r="E23" s="34">
        <v>5</v>
      </c>
      <c r="F23" s="2">
        <v>8</v>
      </c>
      <c r="G23" s="75">
        <f t="shared" si="5"/>
        <v>0.38461538461538464</v>
      </c>
      <c r="H23" s="34">
        <v>22</v>
      </c>
      <c r="I23" s="2">
        <v>29</v>
      </c>
      <c r="J23" s="75">
        <f t="shared" si="6"/>
        <v>0.43137254901960786</v>
      </c>
      <c r="K23" s="34">
        <v>101</v>
      </c>
      <c r="L23" s="2">
        <v>111</v>
      </c>
      <c r="M23" s="75">
        <f t="shared" si="7"/>
        <v>0.47641509433962265</v>
      </c>
      <c r="N23" s="34">
        <v>0</v>
      </c>
      <c r="O23" s="2">
        <v>2</v>
      </c>
      <c r="P23" s="2">
        <v>1</v>
      </c>
      <c r="Q23" s="2">
        <v>1</v>
      </c>
      <c r="R23" s="1">
        <v>1</v>
      </c>
      <c r="S23" s="1">
        <v>0</v>
      </c>
      <c r="T23" s="2">
        <v>1</v>
      </c>
      <c r="U23" s="2">
        <v>1</v>
      </c>
      <c r="V23" s="2">
        <v>1</v>
      </c>
      <c r="W23" s="2">
        <v>2</v>
      </c>
      <c r="X23" s="2">
        <v>1</v>
      </c>
      <c r="Y23" s="2">
        <v>0</v>
      </c>
      <c r="Z23" s="2">
        <v>1</v>
      </c>
      <c r="AA23" s="2">
        <v>1</v>
      </c>
      <c r="AB23" s="2">
        <v>3</v>
      </c>
      <c r="AC23" s="2">
        <v>0</v>
      </c>
      <c r="AD23" s="2">
        <v>3</v>
      </c>
      <c r="AE23" s="2">
        <v>1</v>
      </c>
      <c r="AF23" s="2">
        <v>2</v>
      </c>
      <c r="AG23" s="2">
        <v>0</v>
      </c>
      <c r="AH23" s="47">
        <v>0</v>
      </c>
    </row>
    <row r="24" spans="1:34" x14ac:dyDescent="0.25">
      <c r="A24" s="2" t="s">
        <v>53</v>
      </c>
      <c r="B24" s="34">
        <v>187</v>
      </c>
      <c r="C24" s="66">
        <f t="shared" si="4"/>
        <v>17</v>
      </c>
      <c r="D24" s="35">
        <v>36</v>
      </c>
      <c r="E24" s="34">
        <v>5</v>
      </c>
      <c r="F24" s="2">
        <v>6</v>
      </c>
      <c r="G24" s="75">
        <f t="shared" si="5"/>
        <v>0.45454545454545453</v>
      </c>
      <c r="H24" s="34">
        <v>22</v>
      </c>
      <c r="I24" s="2">
        <v>21</v>
      </c>
      <c r="J24" s="75">
        <f t="shared" si="6"/>
        <v>0.51162790697674421</v>
      </c>
      <c r="K24" s="34">
        <v>90</v>
      </c>
      <c r="L24" s="2">
        <v>85</v>
      </c>
      <c r="M24" s="75">
        <f t="shared" si="7"/>
        <v>0.51428571428571423</v>
      </c>
      <c r="N24" s="34">
        <v>1</v>
      </c>
      <c r="O24" s="2">
        <v>1</v>
      </c>
      <c r="P24" s="2">
        <v>0</v>
      </c>
      <c r="Q24" s="2">
        <v>3</v>
      </c>
      <c r="R24" s="2">
        <v>0</v>
      </c>
      <c r="S24" s="2">
        <v>0</v>
      </c>
      <c r="T24" s="2">
        <v>1</v>
      </c>
      <c r="U24" s="2">
        <v>0</v>
      </c>
      <c r="V24" s="2">
        <v>0</v>
      </c>
      <c r="W24" s="2">
        <v>0</v>
      </c>
      <c r="X24" s="2">
        <v>2</v>
      </c>
      <c r="Y24" s="2">
        <v>1</v>
      </c>
      <c r="Z24" s="2">
        <v>1</v>
      </c>
      <c r="AA24" s="2">
        <v>0</v>
      </c>
      <c r="AB24" s="2">
        <v>5</v>
      </c>
      <c r="AC24" s="2">
        <v>0</v>
      </c>
      <c r="AD24" s="2">
        <v>4</v>
      </c>
      <c r="AE24" s="2">
        <v>1</v>
      </c>
      <c r="AF24" s="2">
        <v>2</v>
      </c>
      <c r="AG24" s="2">
        <v>0</v>
      </c>
      <c r="AH24" s="47">
        <v>0</v>
      </c>
    </row>
    <row r="25" spans="1:34" x14ac:dyDescent="0.25">
      <c r="A25" s="2" t="s">
        <v>51</v>
      </c>
      <c r="B25" s="34">
        <v>5</v>
      </c>
      <c r="C25" s="66">
        <f t="shared" si="4"/>
        <v>5</v>
      </c>
      <c r="D25" s="35">
        <v>5</v>
      </c>
      <c r="E25" s="34">
        <v>0</v>
      </c>
      <c r="F25" s="2">
        <v>1</v>
      </c>
      <c r="G25" s="75">
        <f t="shared" si="5"/>
        <v>0</v>
      </c>
      <c r="H25" s="34">
        <v>0</v>
      </c>
      <c r="I25" s="2">
        <v>3</v>
      </c>
      <c r="J25" s="75">
        <f t="shared" si="6"/>
        <v>0</v>
      </c>
      <c r="K25" s="34">
        <v>2</v>
      </c>
      <c r="L25" s="2">
        <v>9</v>
      </c>
      <c r="M25" s="75">
        <f t="shared" si="7"/>
        <v>0.18181818181818182</v>
      </c>
      <c r="N25" s="34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  <c r="AC25" s="2">
        <v>0</v>
      </c>
      <c r="AD25" s="2">
        <v>0</v>
      </c>
      <c r="AE25" s="2">
        <v>0</v>
      </c>
      <c r="AF25" s="2">
        <v>0</v>
      </c>
      <c r="AG25" s="2">
        <v>0</v>
      </c>
      <c r="AH25" s="47">
        <v>0</v>
      </c>
    </row>
    <row r="26" spans="1:34" x14ac:dyDescent="0.25">
      <c r="A26" s="2" t="s">
        <v>47</v>
      </c>
      <c r="B26" s="34">
        <v>21</v>
      </c>
      <c r="C26" s="66">
        <f t="shared" si="4"/>
        <v>5.25</v>
      </c>
      <c r="D26" s="35">
        <v>8</v>
      </c>
      <c r="E26" s="34">
        <v>1</v>
      </c>
      <c r="F26" s="2">
        <v>3</v>
      </c>
      <c r="G26" s="75">
        <f t="shared" si="5"/>
        <v>0.25</v>
      </c>
      <c r="H26" s="34">
        <v>8</v>
      </c>
      <c r="I26" s="2">
        <v>11</v>
      </c>
      <c r="J26" s="75">
        <f t="shared" si="6"/>
        <v>0.42105263157894735</v>
      </c>
      <c r="K26" s="34">
        <v>32</v>
      </c>
      <c r="L26" s="2">
        <v>40</v>
      </c>
      <c r="M26" s="75">
        <f t="shared" si="7"/>
        <v>0.44444444444444442</v>
      </c>
      <c r="N26" s="34">
        <v>1</v>
      </c>
      <c r="O26" s="2">
        <v>1</v>
      </c>
      <c r="P26" s="2">
        <v>0</v>
      </c>
      <c r="Q26" s="2">
        <v>1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1</v>
      </c>
      <c r="Z26" s="2">
        <v>0</v>
      </c>
      <c r="AA26" s="2">
        <v>1</v>
      </c>
      <c r="AB26" s="2">
        <v>1</v>
      </c>
      <c r="AC26" s="2">
        <v>0</v>
      </c>
      <c r="AD26" s="2">
        <v>0</v>
      </c>
      <c r="AE26" s="2">
        <v>0</v>
      </c>
      <c r="AF26" s="2">
        <v>1</v>
      </c>
      <c r="AG26" s="2">
        <v>0</v>
      </c>
      <c r="AH26" s="47">
        <v>1</v>
      </c>
    </row>
    <row r="27" spans="1:34" x14ac:dyDescent="0.25">
      <c r="A27" s="2" t="s">
        <v>3</v>
      </c>
      <c r="B27" s="34">
        <v>166</v>
      </c>
      <c r="C27" s="66">
        <f t="shared" si="4"/>
        <v>23.714285714285715</v>
      </c>
      <c r="D27" s="35">
        <v>27</v>
      </c>
      <c r="E27" s="34">
        <v>2</v>
      </c>
      <c r="F27" s="2">
        <v>5</v>
      </c>
      <c r="G27" s="75">
        <f t="shared" si="5"/>
        <v>0.2857142857142857</v>
      </c>
      <c r="H27" s="34">
        <v>16</v>
      </c>
      <c r="I27" s="2">
        <v>20</v>
      </c>
      <c r="J27" s="75">
        <f t="shared" si="6"/>
        <v>0.44444444444444442</v>
      </c>
      <c r="K27" s="34">
        <v>74</v>
      </c>
      <c r="L27" s="2">
        <v>83</v>
      </c>
      <c r="M27" s="75">
        <f t="shared" si="7"/>
        <v>0.4713375796178344</v>
      </c>
      <c r="N27" s="34">
        <v>0</v>
      </c>
      <c r="O27" s="2">
        <v>2</v>
      </c>
      <c r="P27" s="2">
        <v>2</v>
      </c>
      <c r="Q27" s="2">
        <v>1</v>
      </c>
      <c r="R27" s="2">
        <v>0</v>
      </c>
      <c r="S27" s="1">
        <v>1</v>
      </c>
      <c r="T27" s="2">
        <v>0</v>
      </c>
      <c r="U27" s="2">
        <v>0</v>
      </c>
      <c r="V27" s="2">
        <v>0</v>
      </c>
      <c r="W27" s="2">
        <v>1</v>
      </c>
      <c r="X27" s="2">
        <v>0</v>
      </c>
      <c r="Y27" s="2">
        <v>0</v>
      </c>
      <c r="Z27" s="2">
        <v>0</v>
      </c>
      <c r="AA27" s="2">
        <v>2</v>
      </c>
      <c r="AB27" s="2">
        <v>1</v>
      </c>
      <c r="AC27" s="2">
        <v>0</v>
      </c>
      <c r="AD27" s="2">
        <v>1</v>
      </c>
      <c r="AE27" s="2">
        <v>3</v>
      </c>
      <c r="AF27" s="2">
        <v>2</v>
      </c>
      <c r="AG27" s="2">
        <v>0</v>
      </c>
      <c r="AH27" s="47">
        <v>0</v>
      </c>
    </row>
    <row r="28" spans="1:34" x14ac:dyDescent="0.25">
      <c r="A28" s="2" t="s">
        <v>15</v>
      </c>
      <c r="B28" s="34">
        <v>4</v>
      </c>
      <c r="C28" s="66">
        <f t="shared" si="4"/>
        <v>4</v>
      </c>
      <c r="D28" s="35">
        <v>4</v>
      </c>
      <c r="E28" s="34">
        <v>0</v>
      </c>
      <c r="F28" s="2">
        <v>1</v>
      </c>
      <c r="G28" s="75">
        <f t="shared" si="5"/>
        <v>0</v>
      </c>
      <c r="H28" s="34">
        <v>0</v>
      </c>
      <c r="I28" s="2">
        <v>2</v>
      </c>
      <c r="J28" s="75">
        <f t="shared" si="6"/>
        <v>0</v>
      </c>
      <c r="K28" s="34">
        <v>1</v>
      </c>
      <c r="L28" s="2">
        <v>6</v>
      </c>
      <c r="M28" s="75">
        <f t="shared" si="7"/>
        <v>0.14285714285714285</v>
      </c>
      <c r="N28" s="34">
        <v>0</v>
      </c>
      <c r="O28" s="2">
        <v>0</v>
      </c>
      <c r="P28" s="2">
        <v>0</v>
      </c>
      <c r="Q28" s="2">
        <v>0</v>
      </c>
      <c r="R28" s="2">
        <v>0</v>
      </c>
      <c r="S28" s="1">
        <v>0</v>
      </c>
      <c r="T28" s="2">
        <v>0</v>
      </c>
      <c r="U28" s="2">
        <v>0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0</v>
      </c>
      <c r="AE28" s="2">
        <v>0</v>
      </c>
      <c r="AF28" s="2">
        <v>0</v>
      </c>
      <c r="AG28" s="2">
        <v>0</v>
      </c>
      <c r="AH28" s="47">
        <v>0</v>
      </c>
    </row>
    <row r="29" spans="1:34" x14ac:dyDescent="0.25">
      <c r="A29" s="2" t="s">
        <v>90</v>
      </c>
      <c r="B29" s="34">
        <v>3</v>
      </c>
      <c r="C29" s="66">
        <f t="shared" si="4"/>
        <v>3</v>
      </c>
      <c r="D29" s="47">
        <v>3</v>
      </c>
      <c r="E29" s="34">
        <v>1</v>
      </c>
      <c r="F29" s="2">
        <v>0</v>
      </c>
      <c r="G29" s="75">
        <f t="shared" si="5"/>
        <v>1</v>
      </c>
      <c r="H29" s="34">
        <v>3</v>
      </c>
      <c r="I29" s="2">
        <v>0</v>
      </c>
      <c r="J29" s="75">
        <f t="shared" si="6"/>
        <v>1</v>
      </c>
      <c r="K29" s="34">
        <v>9</v>
      </c>
      <c r="L29" s="2">
        <v>5</v>
      </c>
      <c r="M29" s="75">
        <f t="shared" si="7"/>
        <v>0.6428571428571429</v>
      </c>
      <c r="N29" s="34">
        <v>0</v>
      </c>
      <c r="O29" s="2">
        <v>1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0</v>
      </c>
      <c r="X29" s="2">
        <v>1</v>
      </c>
      <c r="Y29" s="2">
        <v>0</v>
      </c>
      <c r="Z29" s="2">
        <v>0</v>
      </c>
      <c r="AA29" s="2">
        <v>0</v>
      </c>
      <c r="AB29" s="2">
        <v>0</v>
      </c>
      <c r="AC29" s="2">
        <v>0</v>
      </c>
      <c r="AD29" s="2">
        <v>1</v>
      </c>
      <c r="AE29" s="2">
        <v>1</v>
      </c>
      <c r="AF29" s="2">
        <v>1</v>
      </c>
      <c r="AG29" s="2">
        <v>0</v>
      </c>
      <c r="AH29" s="47">
        <v>0</v>
      </c>
    </row>
    <row r="30" spans="1:34" x14ac:dyDescent="0.25">
      <c r="A30" s="2" t="s">
        <v>13</v>
      </c>
      <c r="B30" s="34">
        <v>34</v>
      </c>
      <c r="C30" s="66">
        <f t="shared" si="4"/>
        <v>8.5</v>
      </c>
      <c r="D30" s="35">
        <v>12</v>
      </c>
      <c r="E30" s="34">
        <v>2</v>
      </c>
      <c r="F30" s="2">
        <v>2</v>
      </c>
      <c r="G30" s="75">
        <f t="shared" si="5"/>
        <v>0.5</v>
      </c>
      <c r="H30" s="34">
        <v>9</v>
      </c>
      <c r="I30" s="2">
        <v>8</v>
      </c>
      <c r="J30" s="75">
        <f t="shared" si="6"/>
        <v>0.52941176470588236</v>
      </c>
      <c r="K30" s="34">
        <v>34</v>
      </c>
      <c r="L30" s="2">
        <v>36</v>
      </c>
      <c r="M30" s="75">
        <f t="shared" si="7"/>
        <v>0.48571428571428571</v>
      </c>
      <c r="N30" s="34">
        <v>1</v>
      </c>
      <c r="O30" s="2">
        <v>0</v>
      </c>
      <c r="P30" s="2">
        <v>1</v>
      </c>
      <c r="Q30" s="2">
        <v>1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2</v>
      </c>
      <c r="AB30" s="2">
        <v>2</v>
      </c>
      <c r="AC30" s="2">
        <v>0</v>
      </c>
      <c r="AD30" s="2">
        <v>0</v>
      </c>
      <c r="AE30" s="2">
        <v>1</v>
      </c>
      <c r="AF30" s="2">
        <v>1</v>
      </c>
      <c r="AG30" s="2">
        <v>0</v>
      </c>
      <c r="AH30" s="47">
        <v>0</v>
      </c>
    </row>
    <row r="31" spans="1:34" x14ac:dyDescent="0.25">
      <c r="A31" s="2" t="s">
        <v>2</v>
      </c>
      <c r="B31" s="34">
        <v>400</v>
      </c>
      <c r="C31" s="66">
        <f t="shared" si="4"/>
        <v>23.529411764705884</v>
      </c>
      <c r="D31" s="35">
        <v>35</v>
      </c>
      <c r="E31" s="34">
        <v>9</v>
      </c>
      <c r="F31" s="2">
        <v>8</v>
      </c>
      <c r="G31" s="75">
        <f t="shared" si="5"/>
        <v>0.52941176470588236</v>
      </c>
      <c r="H31" s="34">
        <v>37</v>
      </c>
      <c r="I31" s="2">
        <v>34</v>
      </c>
      <c r="J31" s="75">
        <f t="shared" si="6"/>
        <v>0.52112676056338025</v>
      </c>
      <c r="K31" s="34">
        <v>147</v>
      </c>
      <c r="L31" s="2">
        <v>144</v>
      </c>
      <c r="M31" s="75">
        <f t="shared" si="7"/>
        <v>0.50515463917525771</v>
      </c>
      <c r="N31" s="34">
        <v>2</v>
      </c>
      <c r="O31" s="2">
        <v>1</v>
      </c>
      <c r="P31" s="2">
        <v>3</v>
      </c>
      <c r="Q31" s="2">
        <v>3</v>
      </c>
      <c r="R31" s="2">
        <v>0</v>
      </c>
      <c r="S31" s="1">
        <v>1</v>
      </c>
      <c r="T31" s="2">
        <v>0</v>
      </c>
      <c r="U31" s="2">
        <v>0</v>
      </c>
      <c r="V31" s="2">
        <v>0</v>
      </c>
      <c r="W31" s="2">
        <v>2</v>
      </c>
      <c r="X31" s="2">
        <v>2</v>
      </c>
      <c r="Y31" s="2">
        <v>1</v>
      </c>
      <c r="Z31" s="2">
        <v>1</v>
      </c>
      <c r="AA31" s="2">
        <v>4</v>
      </c>
      <c r="AB31" s="2">
        <v>4</v>
      </c>
      <c r="AC31" s="2">
        <v>0</v>
      </c>
      <c r="AD31" s="2">
        <v>6</v>
      </c>
      <c r="AE31" s="2">
        <v>3</v>
      </c>
      <c r="AF31" s="2">
        <v>3</v>
      </c>
      <c r="AG31" s="2">
        <v>0</v>
      </c>
      <c r="AH31" s="47">
        <v>1</v>
      </c>
    </row>
    <row r="32" spans="1:34" x14ac:dyDescent="0.25">
      <c r="A32" s="2" t="s">
        <v>54</v>
      </c>
      <c r="B32" s="34">
        <v>548</v>
      </c>
      <c r="C32" s="66">
        <f t="shared" si="4"/>
        <v>26.095238095238095</v>
      </c>
      <c r="D32" s="35">
        <v>37</v>
      </c>
      <c r="E32" s="34">
        <v>8</v>
      </c>
      <c r="F32" s="2">
        <v>13</v>
      </c>
      <c r="G32" s="75">
        <f t="shared" si="5"/>
        <v>0.38095238095238093</v>
      </c>
      <c r="H32" s="34">
        <v>44</v>
      </c>
      <c r="I32" s="2">
        <v>51</v>
      </c>
      <c r="J32" s="75">
        <f t="shared" si="6"/>
        <v>0.4631578947368421</v>
      </c>
      <c r="K32" s="34">
        <v>186</v>
      </c>
      <c r="L32" s="2">
        <v>208</v>
      </c>
      <c r="M32" s="75">
        <f t="shared" si="7"/>
        <v>0.4720812182741117</v>
      </c>
      <c r="N32" s="34">
        <v>1</v>
      </c>
      <c r="O32" s="2">
        <v>5</v>
      </c>
      <c r="P32" s="2">
        <v>3</v>
      </c>
      <c r="Q32" s="2">
        <v>1</v>
      </c>
      <c r="R32" s="1">
        <v>1</v>
      </c>
      <c r="S32" s="1">
        <v>0</v>
      </c>
      <c r="T32" s="2">
        <v>2</v>
      </c>
      <c r="U32" s="2">
        <v>2</v>
      </c>
      <c r="V32" s="2">
        <v>1</v>
      </c>
      <c r="W32" s="2">
        <v>3</v>
      </c>
      <c r="X32" s="2">
        <v>3</v>
      </c>
      <c r="Y32" s="2">
        <v>0</v>
      </c>
      <c r="Z32" s="2">
        <v>0</v>
      </c>
      <c r="AA32" s="2">
        <v>2</v>
      </c>
      <c r="AB32" s="2">
        <v>5</v>
      </c>
      <c r="AC32" s="2">
        <v>0</v>
      </c>
      <c r="AD32" s="2">
        <v>4</v>
      </c>
      <c r="AE32" s="2">
        <v>5</v>
      </c>
      <c r="AF32" s="2">
        <v>3</v>
      </c>
      <c r="AG32" s="2">
        <v>1</v>
      </c>
      <c r="AH32" s="47">
        <v>2</v>
      </c>
    </row>
    <row r="33" spans="1:34" x14ac:dyDescent="0.25">
      <c r="A33" s="2" t="s">
        <v>5</v>
      </c>
      <c r="B33" s="34">
        <v>128</v>
      </c>
      <c r="C33" s="66">
        <f t="shared" si="4"/>
        <v>25.6</v>
      </c>
      <c r="D33" s="35">
        <v>36</v>
      </c>
      <c r="E33" s="34">
        <v>4</v>
      </c>
      <c r="F33" s="2">
        <v>1</v>
      </c>
      <c r="G33" s="75">
        <f t="shared" si="5"/>
        <v>0.8</v>
      </c>
      <c r="H33" s="34">
        <v>15</v>
      </c>
      <c r="I33" s="2">
        <v>7</v>
      </c>
      <c r="J33" s="75">
        <f t="shared" si="6"/>
        <v>0.68181818181818177</v>
      </c>
      <c r="K33" s="34">
        <v>53</v>
      </c>
      <c r="L33" s="2">
        <v>39</v>
      </c>
      <c r="M33" s="75">
        <f t="shared" si="7"/>
        <v>0.57608695652173914</v>
      </c>
      <c r="N33" s="34">
        <v>0</v>
      </c>
      <c r="O33" s="2">
        <v>2</v>
      </c>
      <c r="P33" s="2">
        <v>1</v>
      </c>
      <c r="Q33" s="2">
        <v>1</v>
      </c>
      <c r="R33" s="1">
        <v>0</v>
      </c>
      <c r="S33" s="2">
        <v>0</v>
      </c>
      <c r="T33" s="2">
        <v>0</v>
      </c>
      <c r="U33" s="2">
        <v>0</v>
      </c>
      <c r="V33" s="2">
        <v>0</v>
      </c>
      <c r="W33" s="2">
        <v>1</v>
      </c>
      <c r="X33" s="2">
        <v>1</v>
      </c>
      <c r="Y33" s="2">
        <v>1</v>
      </c>
      <c r="Z33" s="2">
        <v>1</v>
      </c>
      <c r="AA33" s="2">
        <v>0</v>
      </c>
      <c r="AB33" s="2">
        <v>0</v>
      </c>
      <c r="AC33" s="2">
        <v>0</v>
      </c>
      <c r="AD33" s="2">
        <v>2</v>
      </c>
      <c r="AE33" s="2">
        <v>3</v>
      </c>
      <c r="AF33" s="2">
        <v>1</v>
      </c>
      <c r="AG33" s="2">
        <v>0</v>
      </c>
      <c r="AH33" s="47">
        <v>1</v>
      </c>
    </row>
    <row r="34" spans="1:34" x14ac:dyDescent="0.25">
      <c r="A34" s="2" t="s">
        <v>38</v>
      </c>
      <c r="B34" s="34">
        <v>9</v>
      </c>
      <c r="C34" s="66">
        <f t="shared" si="4"/>
        <v>3</v>
      </c>
      <c r="D34" s="35">
        <v>4</v>
      </c>
      <c r="E34" s="34">
        <v>2</v>
      </c>
      <c r="F34" s="2">
        <v>1</v>
      </c>
      <c r="G34" s="75">
        <f t="shared" si="5"/>
        <v>0.66666666666666663</v>
      </c>
      <c r="H34" s="34">
        <v>6</v>
      </c>
      <c r="I34" s="2">
        <v>6</v>
      </c>
      <c r="J34" s="75">
        <f t="shared" si="6"/>
        <v>0.5</v>
      </c>
      <c r="K34" s="34">
        <v>22</v>
      </c>
      <c r="L34" s="2">
        <v>25</v>
      </c>
      <c r="M34" s="75">
        <f t="shared" si="7"/>
        <v>0.46808510638297873</v>
      </c>
      <c r="N34" s="34">
        <v>1</v>
      </c>
      <c r="O34" s="2">
        <v>1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0</v>
      </c>
      <c r="W34" s="2">
        <v>0</v>
      </c>
      <c r="X34" s="2">
        <v>2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1</v>
      </c>
      <c r="AE34" s="2">
        <v>0</v>
      </c>
      <c r="AF34" s="2">
        <v>1</v>
      </c>
      <c r="AG34" s="2">
        <v>0</v>
      </c>
      <c r="AH34" s="47">
        <v>0</v>
      </c>
    </row>
    <row r="35" spans="1:34" x14ac:dyDescent="0.25">
      <c r="A35" s="2" t="s">
        <v>40</v>
      </c>
      <c r="B35" s="34">
        <v>367</v>
      </c>
      <c r="C35" s="66">
        <f t="shared" si="4"/>
        <v>18.350000000000001</v>
      </c>
      <c r="D35" s="35">
        <v>29</v>
      </c>
      <c r="E35" s="34">
        <v>9</v>
      </c>
      <c r="F35" s="2">
        <v>11</v>
      </c>
      <c r="G35" s="75">
        <f t="shared" si="5"/>
        <v>0.45</v>
      </c>
      <c r="H35" s="34">
        <v>51</v>
      </c>
      <c r="I35" s="2">
        <v>46</v>
      </c>
      <c r="J35" s="75">
        <f t="shared" si="6"/>
        <v>0.52577319587628868</v>
      </c>
      <c r="K35" s="34">
        <v>176</v>
      </c>
      <c r="L35" s="2">
        <v>185</v>
      </c>
      <c r="M35" s="75">
        <f t="shared" si="7"/>
        <v>0.48753462603878117</v>
      </c>
      <c r="N35" s="34">
        <v>0</v>
      </c>
      <c r="O35" s="2">
        <v>5</v>
      </c>
      <c r="P35" s="2">
        <v>4</v>
      </c>
      <c r="Q35" s="2">
        <v>5</v>
      </c>
      <c r="R35" s="2">
        <v>0</v>
      </c>
      <c r="S35" s="1">
        <v>1</v>
      </c>
      <c r="T35" s="2">
        <v>1</v>
      </c>
      <c r="U35" s="2">
        <v>2</v>
      </c>
      <c r="V35" s="2">
        <v>0</v>
      </c>
      <c r="W35" s="2">
        <v>2</v>
      </c>
      <c r="X35" s="2">
        <v>4</v>
      </c>
      <c r="Y35" s="2">
        <v>1</v>
      </c>
      <c r="Z35" s="2">
        <v>1</v>
      </c>
      <c r="AA35" s="2">
        <v>1</v>
      </c>
      <c r="AB35" s="2">
        <v>2</v>
      </c>
      <c r="AC35" s="2">
        <v>0</v>
      </c>
      <c r="AD35" s="2">
        <v>1</v>
      </c>
      <c r="AE35" s="2">
        <v>3</v>
      </c>
      <c r="AF35" s="2">
        <v>6</v>
      </c>
      <c r="AG35" s="2">
        <v>0</v>
      </c>
      <c r="AH35" s="47">
        <v>2</v>
      </c>
    </row>
    <row r="36" spans="1:34" x14ac:dyDescent="0.25">
      <c r="A36" s="2" t="s">
        <v>17</v>
      </c>
      <c r="B36" s="34">
        <v>342</v>
      </c>
      <c r="C36" s="66">
        <f t="shared" si="4"/>
        <v>21.375</v>
      </c>
      <c r="D36" s="35">
        <v>32</v>
      </c>
      <c r="E36" s="34">
        <v>5</v>
      </c>
      <c r="F36" s="2">
        <v>11</v>
      </c>
      <c r="G36" s="75">
        <f t="shared" si="5"/>
        <v>0.3125</v>
      </c>
      <c r="H36" s="34">
        <v>29</v>
      </c>
      <c r="I36" s="2">
        <v>39</v>
      </c>
      <c r="J36" s="75">
        <f t="shared" si="6"/>
        <v>0.4264705882352941</v>
      </c>
      <c r="K36" s="34">
        <v>127</v>
      </c>
      <c r="L36" s="2">
        <v>145</v>
      </c>
      <c r="M36" s="75">
        <f t="shared" si="7"/>
        <v>0.46691176470588236</v>
      </c>
      <c r="N36" s="34">
        <v>2</v>
      </c>
      <c r="O36" s="2">
        <v>1</v>
      </c>
      <c r="P36" s="2">
        <v>2</v>
      </c>
      <c r="Q36" s="2">
        <v>3</v>
      </c>
      <c r="R36" s="1">
        <v>0</v>
      </c>
      <c r="S36" s="1">
        <v>0</v>
      </c>
      <c r="T36" s="2">
        <v>0</v>
      </c>
      <c r="U36" s="2">
        <v>1</v>
      </c>
      <c r="V36" s="2">
        <v>0</v>
      </c>
      <c r="W36" s="2">
        <v>2</v>
      </c>
      <c r="X36" s="2">
        <v>2</v>
      </c>
      <c r="Y36" s="2">
        <v>0</v>
      </c>
      <c r="Z36" s="2">
        <v>0</v>
      </c>
      <c r="AA36" s="2">
        <v>0</v>
      </c>
      <c r="AB36" s="2">
        <v>5</v>
      </c>
      <c r="AC36" s="2">
        <v>0</v>
      </c>
      <c r="AD36" s="2">
        <v>4</v>
      </c>
      <c r="AE36" s="2">
        <v>3</v>
      </c>
      <c r="AF36" s="2">
        <v>3</v>
      </c>
      <c r="AG36" s="2">
        <v>0</v>
      </c>
      <c r="AH36" s="47">
        <v>1</v>
      </c>
    </row>
    <row r="37" spans="1:34" x14ac:dyDescent="0.25">
      <c r="A37" s="1" t="s">
        <v>105</v>
      </c>
      <c r="B37" s="36">
        <v>12</v>
      </c>
      <c r="C37" s="66">
        <f t="shared" si="4"/>
        <v>12</v>
      </c>
      <c r="D37" s="65">
        <v>12</v>
      </c>
      <c r="E37" s="36">
        <v>1</v>
      </c>
      <c r="F37" s="1">
        <v>0</v>
      </c>
      <c r="G37" s="75">
        <f t="shared" si="5"/>
        <v>1</v>
      </c>
      <c r="H37" s="36">
        <v>3</v>
      </c>
      <c r="I37" s="1">
        <v>2</v>
      </c>
      <c r="J37" s="75">
        <f t="shared" si="6"/>
        <v>0.6</v>
      </c>
      <c r="K37" s="36">
        <v>9</v>
      </c>
      <c r="L37" s="1">
        <v>10</v>
      </c>
      <c r="M37" s="75">
        <f t="shared" si="7"/>
        <v>0.47368421052631576</v>
      </c>
      <c r="N37" s="34">
        <v>0</v>
      </c>
      <c r="O37" s="1">
        <v>0</v>
      </c>
      <c r="P37" s="1">
        <v>0</v>
      </c>
      <c r="Q37" s="1">
        <v>0</v>
      </c>
      <c r="R37" s="2">
        <v>0</v>
      </c>
      <c r="S37" s="2">
        <v>0</v>
      </c>
      <c r="T37" s="1">
        <v>0</v>
      </c>
      <c r="U37" s="1">
        <v>0</v>
      </c>
      <c r="V37" s="1">
        <v>0</v>
      </c>
      <c r="W37" s="1">
        <v>1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2">
        <v>0</v>
      </c>
      <c r="AD37" s="1">
        <v>1</v>
      </c>
      <c r="AE37" s="1">
        <v>1</v>
      </c>
      <c r="AF37" s="1">
        <v>0</v>
      </c>
      <c r="AG37" s="1">
        <v>0</v>
      </c>
      <c r="AH37" s="47">
        <v>0</v>
      </c>
    </row>
    <row r="38" spans="1:34" x14ac:dyDescent="0.25">
      <c r="A38" s="1" t="s">
        <v>118</v>
      </c>
      <c r="B38" s="36">
        <v>10</v>
      </c>
      <c r="C38" s="1">
        <f t="shared" si="4"/>
        <v>10</v>
      </c>
      <c r="D38" s="65">
        <v>10</v>
      </c>
      <c r="E38" s="36">
        <v>1</v>
      </c>
      <c r="F38" s="1">
        <v>0</v>
      </c>
      <c r="G38" s="75">
        <f t="shared" si="5"/>
        <v>1</v>
      </c>
      <c r="H38" s="36">
        <v>3</v>
      </c>
      <c r="I38" s="1">
        <v>1</v>
      </c>
      <c r="J38" s="75">
        <f t="shared" si="6"/>
        <v>0.75</v>
      </c>
      <c r="K38" s="36">
        <v>9</v>
      </c>
      <c r="L38" s="1">
        <v>5</v>
      </c>
      <c r="M38" s="75">
        <f t="shared" si="7"/>
        <v>0.6428571428571429</v>
      </c>
      <c r="N38" s="36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1</v>
      </c>
      <c r="Y38" s="1">
        <v>0</v>
      </c>
      <c r="Z38" s="1">
        <v>0</v>
      </c>
      <c r="AA38" s="1">
        <v>0</v>
      </c>
      <c r="AB38" s="1">
        <v>1</v>
      </c>
      <c r="AC38" s="1">
        <v>0</v>
      </c>
      <c r="AD38" s="1">
        <v>0</v>
      </c>
      <c r="AE38" s="1">
        <v>1</v>
      </c>
      <c r="AF38" s="1">
        <v>0</v>
      </c>
      <c r="AG38" s="1">
        <v>0</v>
      </c>
      <c r="AH38" s="65">
        <v>0</v>
      </c>
    </row>
    <row r="39" spans="1:34" x14ac:dyDescent="0.25">
      <c r="A39" s="2" t="s">
        <v>6</v>
      </c>
      <c r="B39" s="34">
        <v>529</v>
      </c>
      <c r="C39" s="66">
        <f t="shared" si="4"/>
        <v>23</v>
      </c>
      <c r="D39" s="35">
        <v>37</v>
      </c>
      <c r="E39" s="34">
        <v>18</v>
      </c>
      <c r="F39" s="2">
        <v>5</v>
      </c>
      <c r="G39" s="75">
        <f t="shared" si="5"/>
        <v>0.78260869565217395</v>
      </c>
      <c r="H39" s="34">
        <v>61</v>
      </c>
      <c r="I39" s="2">
        <v>35</v>
      </c>
      <c r="J39" s="75">
        <f t="shared" si="6"/>
        <v>0.63541666666666663</v>
      </c>
      <c r="K39" s="34">
        <v>225</v>
      </c>
      <c r="L39" s="2">
        <v>171</v>
      </c>
      <c r="M39" s="75">
        <f t="shared" si="7"/>
        <v>0.56818181818181823</v>
      </c>
      <c r="N39" s="34">
        <v>3</v>
      </c>
      <c r="O39" s="2">
        <v>2</v>
      </c>
      <c r="P39" s="2">
        <v>3</v>
      </c>
      <c r="Q39" s="2">
        <v>4</v>
      </c>
      <c r="R39" s="2">
        <v>0</v>
      </c>
      <c r="S39" s="1">
        <v>0</v>
      </c>
      <c r="T39" s="2">
        <v>1</v>
      </c>
      <c r="U39" s="2">
        <v>3</v>
      </c>
      <c r="V39" s="2">
        <v>0</v>
      </c>
      <c r="W39" s="2">
        <v>2</v>
      </c>
      <c r="X39" s="2">
        <v>6</v>
      </c>
      <c r="Y39" s="2">
        <v>3</v>
      </c>
      <c r="Z39" s="2">
        <v>2</v>
      </c>
      <c r="AA39" s="2">
        <v>2</v>
      </c>
      <c r="AB39" s="2">
        <v>8</v>
      </c>
      <c r="AC39" s="2">
        <v>1</v>
      </c>
      <c r="AD39" s="2">
        <v>7</v>
      </c>
      <c r="AE39" s="2">
        <v>4</v>
      </c>
      <c r="AF39" s="2">
        <v>6</v>
      </c>
      <c r="AG39" s="2">
        <v>0</v>
      </c>
      <c r="AH39" s="47">
        <v>4</v>
      </c>
    </row>
    <row r="40" spans="1:34" x14ac:dyDescent="0.25">
      <c r="A40" s="2" t="s">
        <v>18</v>
      </c>
      <c r="B40" s="34">
        <v>55</v>
      </c>
      <c r="C40" s="66">
        <f t="shared" si="4"/>
        <v>18.333333333333332</v>
      </c>
      <c r="D40" s="35">
        <v>24</v>
      </c>
      <c r="E40" s="34">
        <v>2</v>
      </c>
      <c r="F40" s="2">
        <v>1</v>
      </c>
      <c r="G40" s="75">
        <f t="shared" si="5"/>
        <v>0.66666666666666663</v>
      </c>
      <c r="H40" s="34">
        <v>7</v>
      </c>
      <c r="I40" s="2">
        <v>5</v>
      </c>
      <c r="J40" s="75">
        <f t="shared" si="6"/>
        <v>0.58333333333333337</v>
      </c>
      <c r="K40" s="34">
        <v>26</v>
      </c>
      <c r="L40" s="2">
        <v>23</v>
      </c>
      <c r="M40" s="75">
        <f t="shared" si="7"/>
        <v>0.53061224489795922</v>
      </c>
      <c r="N40" s="34">
        <v>0</v>
      </c>
      <c r="O40" s="2">
        <v>2</v>
      </c>
      <c r="P40" s="2">
        <v>0</v>
      </c>
      <c r="Q40" s="2">
        <v>1</v>
      </c>
      <c r="R40" s="2">
        <v>0</v>
      </c>
      <c r="S40" s="2">
        <v>0</v>
      </c>
      <c r="T40" s="2">
        <v>0</v>
      </c>
      <c r="U40" s="2">
        <v>0</v>
      </c>
      <c r="V40" s="2">
        <v>0</v>
      </c>
      <c r="W40" s="2">
        <v>0</v>
      </c>
      <c r="X40" s="2">
        <v>0</v>
      </c>
      <c r="Y40" s="2">
        <v>1</v>
      </c>
      <c r="Z40" s="2">
        <v>1</v>
      </c>
      <c r="AA40" s="2">
        <v>0</v>
      </c>
      <c r="AB40" s="2">
        <v>1</v>
      </c>
      <c r="AC40" s="2">
        <v>0</v>
      </c>
      <c r="AD40" s="2">
        <v>0</v>
      </c>
      <c r="AE40" s="2">
        <v>0</v>
      </c>
      <c r="AF40" s="2">
        <v>1</v>
      </c>
      <c r="AG40" s="2">
        <v>0</v>
      </c>
      <c r="AH40" s="47">
        <v>0</v>
      </c>
    </row>
    <row r="41" spans="1:34" x14ac:dyDescent="0.25">
      <c r="A41" s="2" t="s">
        <v>113</v>
      </c>
      <c r="B41" s="36">
        <v>82</v>
      </c>
      <c r="C41" s="66">
        <f t="shared" si="4"/>
        <v>20.5</v>
      </c>
      <c r="D41" s="65">
        <v>28</v>
      </c>
      <c r="E41" s="36">
        <v>2</v>
      </c>
      <c r="F41" s="1">
        <v>2</v>
      </c>
      <c r="G41" s="75">
        <f t="shared" si="5"/>
        <v>0.5</v>
      </c>
      <c r="H41" s="36">
        <v>10</v>
      </c>
      <c r="I41" s="1">
        <v>10</v>
      </c>
      <c r="J41" s="75">
        <f t="shared" si="6"/>
        <v>0.5</v>
      </c>
      <c r="K41" s="36">
        <v>39</v>
      </c>
      <c r="L41" s="1">
        <v>42</v>
      </c>
      <c r="M41" s="75">
        <f t="shared" si="7"/>
        <v>0.48148148148148145</v>
      </c>
      <c r="N41" s="36">
        <v>0</v>
      </c>
      <c r="O41" s="1">
        <v>1</v>
      </c>
      <c r="P41" s="1">
        <v>2</v>
      </c>
      <c r="Q41" s="1">
        <v>0</v>
      </c>
      <c r="R41" s="1">
        <v>0</v>
      </c>
      <c r="S41" s="1">
        <v>0</v>
      </c>
      <c r="T41" s="1">
        <v>1</v>
      </c>
      <c r="U41" s="1">
        <v>0</v>
      </c>
      <c r="V41" s="1">
        <v>0</v>
      </c>
      <c r="W41" s="2">
        <v>1</v>
      </c>
      <c r="X41" s="1">
        <v>1</v>
      </c>
      <c r="Y41" s="1">
        <v>0</v>
      </c>
      <c r="Z41" s="1">
        <v>0</v>
      </c>
      <c r="AA41" s="1">
        <v>1</v>
      </c>
      <c r="AB41" s="1">
        <v>0</v>
      </c>
      <c r="AC41" s="1">
        <v>0</v>
      </c>
      <c r="AD41" s="1">
        <v>1</v>
      </c>
      <c r="AE41" s="2">
        <v>1</v>
      </c>
      <c r="AF41" s="1">
        <v>1</v>
      </c>
      <c r="AG41" s="1">
        <v>0</v>
      </c>
      <c r="AH41" s="65">
        <v>0</v>
      </c>
    </row>
    <row r="42" spans="1:34" x14ac:dyDescent="0.25">
      <c r="A42" s="2" t="s">
        <v>14</v>
      </c>
      <c r="B42" s="34">
        <v>183</v>
      </c>
      <c r="C42" s="66">
        <f t="shared" si="4"/>
        <v>16.636363636363637</v>
      </c>
      <c r="D42" s="35">
        <v>25</v>
      </c>
      <c r="E42" s="34">
        <v>5</v>
      </c>
      <c r="F42" s="2">
        <v>6</v>
      </c>
      <c r="G42" s="75">
        <f t="shared" si="5"/>
        <v>0.45454545454545453</v>
      </c>
      <c r="H42" s="34">
        <v>22</v>
      </c>
      <c r="I42" s="2">
        <v>26</v>
      </c>
      <c r="J42" s="75">
        <f t="shared" si="6"/>
        <v>0.45833333333333331</v>
      </c>
      <c r="K42" s="34">
        <v>94</v>
      </c>
      <c r="L42" s="2">
        <v>96</v>
      </c>
      <c r="M42" s="75">
        <f t="shared" si="7"/>
        <v>0.49473684210526314</v>
      </c>
      <c r="N42" s="34">
        <v>1</v>
      </c>
      <c r="O42" s="2">
        <v>1</v>
      </c>
      <c r="P42" s="2">
        <v>0</v>
      </c>
      <c r="Q42" s="2">
        <v>0</v>
      </c>
      <c r="R42" s="2">
        <v>0</v>
      </c>
      <c r="S42" s="2">
        <v>0</v>
      </c>
      <c r="T42" s="2">
        <v>2</v>
      </c>
      <c r="U42" s="2">
        <v>1</v>
      </c>
      <c r="V42" s="2">
        <v>1</v>
      </c>
      <c r="W42" s="2">
        <v>1</v>
      </c>
      <c r="X42" s="2">
        <v>0</v>
      </c>
      <c r="Y42" s="2">
        <v>2</v>
      </c>
      <c r="Z42" s="2">
        <v>1</v>
      </c>
      <c r="AA42" s="2">
        <v>1</v>
      </c>
      <c r="AB42" s="2">
        <v>5</v>
      </c>
      <c r="AC42" s="2">
        <v>1</v>
      </c>
      <c r="AD42" s="2">
        <v>3</v>
      </c>
      <c r="AE42" s="2">
        <v>2</v>
      </c>
      <c r="AF42" s="2">
        <v>0</v>
      </c>
      <c r="AG42" s="2">
        <v>0</v>
      </c>
      <c r="AH42" s="47">
        <v>0</v>
      </c>
    </row>
    <row r="43" spans="1:34" x14ac:dyDescent="0.25">
      <c r="A43" s="2" t="s">
        <v>70</v>
      </c>
      <c r="B43" s="34">
        <v>63</v>
      </c>
      <c r="C43" s="66">
        <f t="shared" si="4"/>
        <v>12.6</v>
      </c>
      <c r="D43" s="47">
        <v>19</v>
      </c>
      <c r="E43" s="34">
        <v>5</v>
      </c>
      <c r="F43" s="2">
        <v>0</v>
      </c>
      <c r="G43" s="75">
        <f t="shared" si="5"/>
        <v>1</v>
      </c>
      <c r="H43" s="34">
        <v>15</v>
      </c>
      <c r="I43" s="2">
        <v>7</v>
      </c>
      <c r="J43" s="75">
        <f t="shared" si="6"/>
        <v>0.68181818181818177</v>
      </c>
      <c r="K43" s="34">
        <v>52</v>
      </c>
      <c r="L43" s="2">
        <v>40</v>
      </c>
      <c r="M43" s="75">
        <f t="shared" si="7"/>
        <v>0.56521739130434778</v>
      </c>
      <c r="N43" s="34">
        <v>1</v>
      </c>
      <c r="O43" s="2">
        <v>1</v>
      </c>
      <c r="P43" s="2">
        <v>2</v>
      </c>
      <c r="Q43" s="2">
        <v>2</v>
      </c>
      <c r="R43" s="2">
        <v>0</v>
      </c>
      <c r="S43" s="2">
        <v>0</v>
      </c>
      <c r="T43" s="2">
        <v>0</v>
      </c>
      <c r="U43" s="2">
        <v>1</v>
      </c>
      <c r="V43" s="2">
        <v>0</v>
      </c>
      <c r="W43" s="2">
        <v>0</v>
      </c>
      <c r="X43" s="2">
        <v>1</v>
      </c>
      <c r="Y43" s="2">
        <v>1</v>
      </c>
      <c r="Z43" s="2">
        <v>0</v>
      </c>
      <c r="AA43" s="2">
        <v>1</v>
      </c>
      <c r="AB43" s="2">
        <v>0</v>
      </c>
      <c r="AC43" s="2">
        <v>0</v>
      </c>
      <c r="AD43" s="2">
        <v>0</v>
      </c>
      <c r="AE43" s="2">
        <v>0</v>
      </c>
      <c r="AF43" s="2">
        <v>3</v>
      </c>
      <c r="AG43" s="2">
        <v>0</v>
      </c>
      <c r="AH43" s="47">
        <v>2</v>
      </c>
    </row>
    <row r="44" spans="1:34" x14ac:dyDescent="0.25">
      <c r="A44" s="2" t="s">
        <v>4</v>
      </c>
      <c r="B44" s="34">
        <v>283</v>
      </c>
      <c r="C44" s="66">
        <f t="shared" si="4"/>
        <v>25.727272727272727</v>
      </c>
      <c r="D44" s="35">
        <v>41</v>
      </c>
      <c r="E44" s="34">
        <v>3</v>
      </c>
      <c r="F44" s="2">
        <v>8</v>
      </c>
      <c r="G44" s="75">
        <f t="shared" si="5"/>
        <v>0.27272727272727271</v>
      </c>
      <c r="H44" s="34">
        <v>20</v>
      </c>
      <c r="I44" s="2">
        <v>28</v>
      </c>
      <c r="J44" s="75">
        <f t="shared" si="6"/>
        <v>0.41666666666666669</v>
      </c>
      <c r="K44" s="34">
        <v>92</v>
      </c>
      <c r="L44" s="2">
        <v>106</v>
      </c>
      <c r="M44" s="75">
        <f t="shared" si="7"/>
        <v>0.46464646464646464</v>
      </c>
      <c r="N44" s="34">
        <v>0</v>
      </c>
      <c r="O44" s="2">
        <v>4</v>
      </c>
      <c r="P44" s="2">
        <v>3</v>
      </c>
      <c r="Q44" s="2">
        <v>2</v>
      </c>
      <c r="R44" s="1">
        <v>0</v>
      </c>
      <c r="S44" s="1">
        <v>0</v>
      </c>
      <c r="T44" s="2">
        <v>1</v>
      </c>
      <c r="U44" s="2">
        <v>0</v>
      </c>
      <c r="V44" s="2">
        <v>0</v>
      </c>
      <c r="W44" s="2">
        <v>1</v>
      </c>
      <c r="X44" s="2">
        <v>0</v>
      </c>
      <c r="Y44" s="2">
        <v>0</v>
      </c>
      <c r="Z44" s="2">
        <v>0</v>
      </c>
      <c r="AA44" s="2">
        <v>4</v>
      </c>
      <c r="AB44" s="2">
        <v>1</v>
      </c>
      <c r="AC44" s="2">
        <v>0</v>
      </c>
      <c r="AD44" s="2">
        <v>1</v>
      </c>
      <c r="AE44" s="2">
        <v>2</v>
      </c>
      <c r="AF44" s="2">
        <v>1</v>
      </c>
      <c r="AG44" s="2">
        <v>0</v>
      </c>
      <c r="AH44" s="47">
        <v>0</v>
      </c>
    </row>
    <row r="45" spans="1:34" x14ac:dyDescent="0.25">
      <c r="A45" s="1" t="s">
        <v>107</v>
      </c>
      <c r="B45" s="36">
        <v>103</v>
      </c>
      <c r="C45" s="66">
        <f t="shared" si="4"/>
        <v>14.714285714285714</v>
      </c>
      <c r="D45" s="65">
        <v>24</v>
      </c>
      <c r="E45" s="36">
        <v>4</v>
      </c>
      <c r="F45" s="1">
        <v>3</v>
      </c>
      <c r="G45" s="75">
        <f t="shared" si="5"/>
        <v>0.5714285714285714</v>
      </c>
      <c r="H45" s="36">
        <v>18</v>
      </c>
      <c r="I45" s="1">
        <v>14</v>
      </c>
      <c r="J45" s="75">
        <f t="shared" si="6"/>
        <v>0.5625</v>
      </c>
      <c r="K45" s="36">
        <v>74</v>
      </c>
      <c r="L45" s="1">
        <v>67</v>
      </c>
      <c r="M45" s="75">
        <f t="shared" si="7"/>
        <v>0.52482269503546097</v>
      </c>
      <c r="N45" s="34">
        <v>0</v>
      </c>
      <c r="O45" s="1">
        <v>0</v>
      </c>
      <c r="P45" s="1">
        <v>1</v>
      </c>
      <c r="Q45" s="1">
        <v>4</v>
      </c>
      <c r="R45" s="2">
        <v>0</v>
      </c>
      <c r="S45" s="2">
        <v>0</v>
      </c>
      <c r="T45" s="1">
        <v>0</v>
      </c>
      <c r="U45" s="1">
        <v>1</v>
      </c>
      <c r="V45" s="1">
        <v>0</v>
      </c>
      <c r="W45" s="1">
        <v>0</v>
      </c>
      <c r="X45" s="1">
        <v>2</v>
      </c>
      <c r="Y45" s="2">
        <v>0</v>
      </c>
      <c r="Z45" s="1">
        <v>0</v>
      </c>
      <c r="AA45" s="1">
        <v>2</v>
      </c>
      <c r="AB45" s="1">
        <v>3</v>
      </c>
      <c r="AC45" s="2">
        <v>0</v>
      </c>
      <c r="AD45" s="1">
        <v>0</v>
      </c>
      <c r="AE45" s="1">
        <v>2</v>
      </c>
      <c r="AF45" s="1">
        <v>2</v>
      </c>
      <c r="AG45" s="1">
        <v>0</v>
      </c>
      <c r="AH45" s="47">
        <v>1</v>
      </c>
    </row>
    <row r="46" spans="1:34" x14ac:dyDescent="0.25">
      <c r="A46" s="2" t="s">
        <v>94</v>
      </c>
      <c r="B46" s="34">
        <v>18</v>
      </c>
      <c r="C46" s="66">
        <f t="shared" si="4"/>
        <v>18</v>
      </c>
      <c r="D46" s="47">
        <v>18</v>
      </c>
      <c r="E46" s="34">
        <v>1</v>
      </c>
      <c r="F46" s="2">
        <v>0</v>
      </c>
      <c r="G46" s="75">
        <f t="shared" si="5"/>
        <v>1</v>
      </c>
      <c r="H46" s="34">
        <v>3</v>
      </c>
      <c r="I46" s="2">
        <v>2</v>
      </c>
      <c r="J46" s="75">
        <f t="shared" si="6"/>
        <v>0.6</v>
      </c>
      <c r="K46" s="34">
        <v>11</v>
      </c>
      <c r="L46" s="2">
        <v>10</v>
      </c>
      <c r="M46" s="75">
        <f t="shared" si="7"/>
        <v>0.52380952380952384</v>
      </c>
      <c r="N46" s="34">
        <v>0</v>
      </c>
      <c r="O46" s="2">
        <v>0</v>
      </c>
      <c r="P46" s="2">
        <v>0</v>
      </c>
      <c r="Q46" s="2">
        <v>0</v>
      </c>
      <c r="R46" s="1">
        <v>0</v>
      </c>
      <c r="S46" s="2">
        <v>0</v>
      </c>
      <c r="T46" s="2">
        <v>0</v>
      </c>
      <c r="U46" s="2">
        <v>0</v>
      </c>
      <c r="V46" s="2">
        <v>0</v>
      </c>
      <c r="W46" s="2">
        <v>0</v>
      </c>
      <c r="X46" s="2">
        <v>0</v>
      </c>
      <c r="Y46" s="2">
        <v>1</v>
      </c>
      <c r="Z46" s="2">
        <v>1</v>
      </c>
      <c r="AA46" s="2">
        <v>0</v>
      </c>
      <c r="AB46" s="2">
        <v>1</v>
      </c>
      <c r="AC46" s="2">
        <v>0</v>
      </c>
      <c r="AD46" s="2">
        <v>0</v>
      </c>
      <c r="AE46" s="2">
        <v>0</v>
      </c>
      <c r="AF46" s="2">
        <v>0</v>
      </c>
      <c r="AG46" s="2">
        <v>0</v>
      </c>
      <c r="AH46" s="47">
        <v>0</v>
      </c>
    </row>
    <row r="47" spans="1:34" ht="15.75" thickBot="1" x14ac:dyDescent="0.3">
      <c r="A47" s="2" t="s">
        <v>55</v>
      </c>
      <c r="B47" s="38">
        <v>6</v>
      </c>
      <c r="C47" s="67">
        <f t="shared" si="4"/>
        <v>6</v>
      </c>
      <c r="D47" s="40">
        <v>6</v>
      </c>
      <c r="E47" s="38">
        <v>0</v>
      </c>
      <c r="F47" s="48">
        <v>1</v>
      </c>
      <c r="G47" s="76">
        <f t="shared" si="5"/>
        <v>0</v>
      </c>
      <c r="H47" s="38">
        <v>0</v>
      </c>
      <c r="I47" s="48">
        <v>3</v>
      </c>
      <c r="J47" s="76">
        <f t="shared" si="6"/>
        <v>0</v>
      </c>
      <c r="K47" s="38">
        <v>4</v>
      </c>
      <c r="L47" s="48">
        <v>9</v>
      </c>
      <c r="M47" s="76">
        <f t="shared" si="7"/>
        <v>0.30769230769230771</v>
      </c>
      <c r="N47" s="38">
        <v>0</v>
      </c>
      <c r="O47" s="48">
        <v>0</v>
      </c>
      <c r="P47" s="48">
        <v>0</v>
      </c>
      <c r="Q47" s="48">
        <v>0</v>
      </c>
      <c r="R47" s="48">
        <v>0</v>
      </c>
      <c r="S47" s="48">
        <v>0</v>
      </c>
      <c r="T47" s="48">
        <v>0</v>
      </c>
      <c r="U47" s="48">
        <v>0</v>
      </c>
      <c r="V47" s="48">
        <v>0</v>
      </c>
      <c r="W47" s="48">
        <v>0</v>
      </c>
      <c r="X47" s="48">
        <v>0</v>
      </c>
      <c r="Y47" s="48">
        <v>0</v>
      </c>
      <c r="Z47" s="48">
        <v>0</v>
      </c>
      <c r="AA47" s="48">
        <v>0</v>
      </c>
      <c r="AB47" s="48">
        <v>0</v>
      </c>
      <c r="AC47" s="48">
        <v>0</v>
      </c>
      <c r="AD47" s="48">
        <v>0</v>
      </c>
      <c r="AE47" s="48">
        <v>0</v>
      </c>
      <c r="AF47" s="48">
        <v>0</v>
      </c>
      <c r="AG47" s="48">
        <v>0</v>
      </c>
      <c r="AH47" s="49">
        <v>0</v>
      </c>
    </row>
  </sheetData>
  <autoFilter ref="A1:AH47" xr:uid="{DA548192-1F03-46EA-8AB8-115EB9A7CE5D}">
    <sortState xmlns:xlrd2="http://schemas.microsoft.com/office/spreadsheetml/2017/richdata2" ref="A2:AH47">
      <sortCondition ref="A1:A47"/>
    </sortState>
  </autoFilter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0E10D-1157-4164-84BC-1BB5367BF023}">
  <sheetPr codeName="Sheet1"/>
  <dimension ref="A1:AK1290"/>
  <sheetViews>
    <sheetView workbookViewId="0">
      <pane xSplit="2" ySplit="1" topLeftCell="C1260" activePane="bottomRight" state="frozen"/>
      <selection pane="topRight" activeCell="C1" sqref="C1"/>
      <selection pane="bottomLeft" activeCell="A2" sqref="A2"/>
      <selection pane="bottomRight" activeCell="A1267" sqref="A1267:AG1290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4" max="34" width="14.140625" bestFit="1" customWidth="1"/>
    <col min="35" max="35" width="10.85546875" customWidth="1"/>
    <col min="36" max="36" width="9" customWidth="1"/>
    <col min="37" max="37" width="13.28515625" bestFit="1" customWidth="1"/>
  </cols>
  <sheetData>
    <row r="1" spans="1:37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144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70" t="s">
        <v>218</v>
      </c>
      <c r="AB1" s="69" t="s">
        <v>104</v>
      </c>
      <c r="AC1" s="69" t="s">
        <v>66</v>
      </c>
      <c r="AD1" s="69" t="s">
        <v>72</v>
      </c>
      <c r="AE1" s="70" t="s">
        <v>68</v>
      </c>
      <c r="AF1" s="70" t="s">
        <v>135</v>
      </c>
      <c r="AG1" s="71" t="s">
        <v>96</v>
      </c>
      <c r="AH1" s="83" t="s">
        <v>134</v>
      </c>
      <c r="AI1" s="83" t="s">
        <v>132</v>
      </c>
      <c r="AJ1" s="83" t="s">
        <v>133</v>
      </c>
      <c r="AK1" s="83" t="s">
        <v>136</v>
      </c>
    </row>
    <row r="2" spans="1:37" x14ac:dyDescent="0.25">
      <c r="A2" s="85">
        <v>46009</v>
      </c>
      <c r="B2" t="s">
        <v>50</v>
      </c>
      <c r="C2">
        <v>25</v>
      </c>
      <c r="D2">
        <v>1</v>
      </c>
      <c r="E2">
        <v>5</v>
      </c>
      <c r="F2">
        <v>3</v>
      </c>
      <c r="G2">
        <v>21</v>
      </c>
      <c r="H2">
        <v>14</v>
      </c>
      <c r="I2">
        <v>0.6</v>
      </c>
      <c r="J2">
        <v>0.67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1</v>
      </c>
      <c r="R2">
        <v>1</v>
      </c>
      <c r="S2">
        <v>0</v>
      </c>
      <c r="T2">
        <v>1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 s="86">
        <f>AVERAGEIFS($C$2:C2, $B$2:B2, B2)</f>
        <v>25</v>
      </c>
      <c r="AI2" s="86">
        <f>AVERAGEIFS($I$2:I2, $B$2:B2, B2)</f>
        <v>0.6</v>
      </c>
      <c r="AJ2" s="86">
        <f>AVERAGEIFS($J$2:J2, $B$2:B2, B2)</f>
        <v>0.67</v>
      </c>
      <c r="AK2" s="86">
        <f>AVERAGEIFS($D$2:D2, $B$2:B2, B2)</f>
        <v>1</v>
      </c>
    </row>
    <row r="3" spans="1:37" x14ac:dyDescent="0.25">
      <c r="A3" s="85">
        <v>46009</v>
      </c>
      <c r="B3" t="s">
        <v>54</v>
      </c>
      <c r="C3">
        <v>25</v>
      </c>
      <c r="D3">
        <v>1</v>
      </c>
      <c r="E3">
        <v>5</v>
      </c>
      <c r="F3">
        <v>3</v>
      </c>
      <c r="G3">
        <v>21</v>
      </c>
      <c r="H3">
        <v>14</v>
      </c>
      <c r="I3">
        <v>0.6</v>
      </c>
      <c r="J3">
        <v>0.67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1</v>
      </c>
      <c r="R3">
        <v>1</v>
      </c>
      <c r="S3">
        <v>0</v>
      </c>
      <c r="T3">
        <v>1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 s="86">
        <f>AVERAGEIFS($C$2:C3, $B$2:B3, B3)</f>
        <v>25</v>
      </c>
      <c r="AI3" s="86">
        <f>AVERAGEIFS($I$2:I3, $B$2:B3, B3)</f>
        <v>0.6</v>
      </c>
      <c r="AJ3" s="86">
        <f>AVERAGEIFS($J$2:J3, $B$2:B3, B3)</f>
        <v>0.67</v>
      </c>
      <c r="AK3" s="86">
        <f>AVERAGEIFS($D$2:D3, $B$2:B3, B3)</f>
        <v>1</v>
      </c>
    </row>
    <row r="4" spans="1:37" x14ac:dyDescent="0.25">
      <c r="A4" s="85">
        <v>46009</v>
      </c>
      <c r="B4" t="s">
        <v>14</v>
      </c>
      <c r="C4">
        <v>24</v>
      </c>
      <c r="D4">
        <v>1</v>
      </c>
      <c r="E4">
        <v>5</v>
      </c>
      <c r="F4">
        <v>3</v>
      </c>
      <c r="G4">
        <v>21</v>
      </c>
      <c r="H4">
        <v>14</v>
      </c>
      <c r="I4">
        <v>0.6</v>
      </c>
      <c r="J4">
        <v>0.67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1</v>
      </c>
      <c r="R4">
        <v>1</v>
      </c>
      <c r="S4">
        <v>0</v>
      </c>
      <c r="T4">
        <v>1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 s="86">
        <f>AVERAGEIFS($C$2:C4, $B$2:B4, B4)</f>
        <v>24</v>
      </c>
      <c r="AI4" s="86">
        <f>AVERAGEIFS($I$2:I4, $B$2:B4, B4)</f>
        <v>0.6</v>
      </c>
      <c r="AJ4" s="86">
        <f>AVERAGEIFS($J$2:J4, $B$2:B4, B4)</f>
        <v>0.67</v>
      </c>
      <c r="AK4" s="86">
        <f>AVERAGEIFS($D$2:D4, $B$2:B4, B4)</f>
        <v>1</v>
      </c>
    </row>
    <row r="5" spans="1:37" x14ac:dyDescent="0.25">
      <c r="A5" s="85">
        <v>46009</v>
      </c>
      <c r="B5" t="s">
        <v>28</v>
      </c>
      <c r="C5">
        <v>16</v>
      </c>
      <c r="D5">
        <v>1</v>
      </c>
      <c r="E5">
        <v>5</v>
      </c>
      <c r="F5">
        <v>3</v>
      </c>
      <c r="G5">
        <v>21</v>
      </c>
      <c r="H5">
        <v>14</v>
      </c>
      <c r="I5">
        <v>0.6</v>
      </c>
      <c r="J5">
        <v>0.67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1</v>
      </c>
      <c r="R5">
        <v>1</v>
      </c>
      <c r="S5">
        <v>0</v>
      </c>
      <c r="T5">
        <v>1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 s="86">
        <f>AVERAGEIFS($C$2:C5, $B$2:B5, B5)</f>
        <v>16</v>
      </c>
      <c r="AI5" s="86">
        <f>AVERAGEIFS($I$2:I5, $B$2:B5, B5)</f>
        <v>0.6</v>
      </c>
      <c r="AJ5" s="86">
        <f>AVERAGEIFS($J$2:J5, $B$2:B5, B5)</f>
        <v>0.67</v>
      </c>
      <c r="AK5" s="86">
        <f>AVERAGEIFS($D$2:D5, $B$2:B5, B5)</f>
        <v>1</v>
      </c>
    </row>
    <row r="6" spans="1:37" x14ac:dyDescent="0.25">
      <c r="A6" s="85">
        <v>46009</v>
      </c>
      <c r="B6" t="s">
        <v>19</v>
      </c>
      <c r="C6">
        <v>11</v>
      </c>
      <c r="D6">
        <v>1</v>
      </c>
      <c r="E6">
        <v>5</v>
      </c>
      <c r="F6">
        <v>3</v>
      </c>
      <c r="G6">
        <v>21</v>
      </c>
      <c r="H6">
        <v>14</v>
      </c>
      <c r="I6">
        <v>0.6</v>
      </c>
      <c r="J6">
        <v>0.67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1</v>
      </c>
      <c r="R6">
        <v>1</v>
      </c>
      <c r="S6">
        <v>0</v>
      </c>
      <c r="T6">
        <v>1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 s="86">
        <f>AVERAGEIFS($C$2:C6, $B$2:B6, B6)</f>
        <v>11</v>
      </c>
      <c r="AI6" s="86">
        <f>AVERAGEIFS($I$2:I6, $B$2:B6, B6)</f>
        <v>0.6</v>
      </c>
      <c r="AJ6" s="86">
        <f>AVERAGEIFS($J$2:J6, $B$2:B6, B6)</f>
        <v>0.67</v>
      </c>
      <c r="AK6" s="86">
        <f>AVERAGEIFS($D$2:D6, $B$2:B6, B6)</f>
        <v>1</v>
      </c>
    </row>
    <row r="7" spans="1:37" x14ac:dyDescent="0.25">
      <c r="A7" s="85">
        <v>46009</v>
      </c>
      <c r="B7" t="s">
        <v>35</v>
      </c>
      <c r="C7">
        <v>7</v>
      </c>
      <c r="D7">
        <v>1</v>
      </c>
      <c r="E7">
        <v>5</v>
      </c>
      <c r="F7">
        <v>3</v>
      </c>
      <c r="G7">
        <v>21</v>
      </c>
      <c r="H7">
        <v>14</v>
      </c>
      <c r="I7">
        <v>0.6</v>
      </c>
      <c r="J7">
        <v>0.67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1</v>
      </c>
      <c r="R7">
        <v>1</v>
      </c>
      <c r="S7">
        <v>0</v>
      </c>
      <c r="T7">
        <v>1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 s="86">
        <f>AVERAGEIFS($C$2:C7, $B$2:B7, B7)</f>
        <v>7</v>
      </c>
      <c r="AI7" s="86">
        <f>AVERAGEIFS($I$2:I7, $B$2:B7, B7)</f>
        <v>0.6</v>
      </c>
      <c r="AJ7" s="86">
        <f>AVERAGEIFS($J$2:J7, $B$2:B7, B7)</f>
        <v>0.67</v>
      </c>
      <c r="AK7" s="86">
        <f>AVERAGEIFS($D$2:D7, $B$2:B7, B7)</f>
        <v>1</v>
      </c>
    </row>
    <row r="8" spans="1:37" x14ac:dyDescent="0.25">
      <c r="A8" s="85">
        <v>46009</v>
      </c>
      <c r="B8" t="s">
        <v>53</v>
      </c>
      <c r="C8">
        <v>36</v>
      </c>
      <c r="D8">
        <v>0</v>
      </c>
      <c r="E8">
        <v>5</v>
      </c>
      <c r="F8">
        <v>2</v>
      </c>
      <c r="G8">
        <v>21</v>
      </c>
      <c r="H8">
        <v>7</v>
      </c>
      <c r="I8">
        <v>0.4</v>
      </c>
      <c r="J8">
        <v>0.33</v>
      </c>
      <c r="K8">
        <v>0</v>
      </c>
      <c r="L8">
        <v>0</v>
      </c>
      <c r="M8">
        <v>0</v>
      </c>
      <c r="N8">
        <v>1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1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 s="86">
        <f>AVERAGEIFS($C$2:C8, $B$2:B8, B8)</f>
        <v>36</v>
      </c>
      <c r="AI8" s="86">
        <f>AVERAGEIFS($I$2:I8, $B$2:B8, B8)</f>
        <v>0.4</v>
      </c>
      <c r="AJ8" s="86">
        <f>AVERAGEIFS($J$2:J8, $B$2:B8, B8)</f>
        <v>0.33</v>
      </c>
      <c r="AK8" s="86">
        <f>AVERAGEIFS($D$2:D8, $B$2:B8, B8)</f>
        <v>0</v>
      </c>
    </row>
    <row r="9" spans="1:37" x14ac:dyDescent="0.25">
      <c r="A9" s="85">
        <v>46009</v>
      </c>
      <c r="B9" t="s">
        <v>17</v>
      </c>
      <c r="C9">
        <v>28</v>
      </c>
      <c r="D9">
        <v>0</v>
      </c>
      <c r="E9">
        <v>5</v>
      </c>
      <c r="F9">
        <v>2</v>
      </c>
      <c r="G9">
        <v>21</v>
      </c>
      <c r="H9">
        <v>7</v>
      </c>
      <c r="I9">
        <v>0.4</v>
      </c>
      <c r="J9">
        <v>0.33</v>
      </c>
      <c r="K9">
        <v>0</v>
      </c>
      <c r="L9">
        <v>0</v>
      </c>
      <c r="M9">
        <v>0</v>
      </c>
      <c r="N9">
        <v>1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1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 s="86">
        <f>AVERAGEIFS($C$2:C9, $B$2:B9, B9)</f>
        <v>28</v>
      </c>
      <c r="AI9" s="86">
        <f>AVERAGEIFS($I$2:I9, $B$2:B9, B9)</f>
        <v>0.4</v>
      </c>
      <c r="AJ9" s="86">
        <f>AVERAGEIFS($J$2:J9, $B$2:B9, B9)</f>
        <v>0.33</v>
      </c>
      <c r="AK9" s="86">
        <f>AVERAGEIFS($D$2:D9, $B$2:B9, B9)</f>
        <v>0</v>
      </c>
    </row>
    <row r="10" spans="1:37" x14ac:dyDescent="0.25">
      <c r="A10" s="85">
        <v>46009</v>
      </c>
      <c r="B10" t="s">
        <v>46</v>
      </c>
      <c r="C10">
        <v>17</v>
      </c>
      <c r="D10">
        <v>0</v>
      </c>
      <c r="E10">
        <v>5</v>
      </c>
      <c r="F10">
        <v>2</v>
      </c>
      <c r="G10">
        <v>21</v>
      </c>
      <c r="H10">
        <v>7</v>
      </c>
      <c r="I10">
        <v>0.4</v>
      </c>
      <c r="J10">
        <v>0.33</v>
      </c>
      <c r="K10">
        <v>0</v>
      </c>
      <c r="L10">
        <v>0</v>
      </c>
      <c r="M10">
        <v>0</v>
      </c>
      <c r="N10">
        <v>1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 s="86">
        <f>AVERAGEIFS($C$2:C10, $B$2:B10, B10)</f>
        <v>17</v>
      </c>
      <c r="AI10" s="86">
        <f>AVERAGEIFS($I$2:I10, $B$2:B10, B10)</f>
        <v>0.4</v>
      </c>
      <c r="AJ10" s="86">
        <f>AVERAGEIFS($J$2:J10, $B$2:B10, B10)</f>
        <v>0.33</v>
      </c>
      <c r="AK10" s="86">
        <f>AVERAGEIFS($D$2:D10, $B$2:B10, B10)</f>
        <v>0</v>
      </c>
    </row>
    <row r="11" spans="1:37" x14ac:dyDescent="0.25">
      <c r="A11" s="85">
        <v>46009</v>
      </c>
      <c r="B11" t="s">
        <v>13</v>
      </c>
      <c r="C11">
        <v>12</v>
      </c>
      <c r="D11">
        <v>0</v>
      </c>
      <c r="E11">
        <v>5</v>
      </c>
      <c r="F11">
        <v>2</v>
      </c>
      <c r="G11">
        <v>21</v>
      </c>
      <c r="H11">
        <v>7</v>
      </c>
      <c r="I11">
        <v>0.4</v>
      </c>
      <c r="J11">
        <v>0.33</v>
      </c>
      <c r="K11">
        <v>0</v>
      </c>
      <c r="L11">
        <v>0</v>
      </c>
      <c r="M11">
        <v>0</v>
      </c>
      <c r="N11">
        <v>1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 s="86">
        <f>AVERAGEIFS($C$2:C11, $B$2:B11, B11)</f>
        <v>12</v>
      </c>
      <c r="AI11" s="86">
        <f>AVERAGEIFS($I$2:I11, $B$2:B11, B11)</f>
        <v>0.4</v>
      </c>
      <c r="AJ11" s="86">
        <f>AVERAGEIFS($J$2:J11, $B$2:B11, B11)</f>
        <v>0.33</v>
      </c>
      <c r="AK11" s="86">
        <f>AVERAGEIFS($D$2:D11, $B$2:B11, B11)</f>
        <v>0</v>
      </c>
    </row>
    <row r="12" spans="1:37" x14ac:dyDescent="0.25">
      <c r="A12" s="85">
        <v>46009</v>
      </c>
      <c r="B12" t="s">
        <v>27</v>
      </c>
      <c r="C12">
        <v>9</v>
      </c>
      <c r="D12">
        <v>0</v>
      </c>
      <c r="E12">
        <v>5</v>
      </c>
      <c r="F12">
        <v>2</v>
      </c>
      <c r="G12">
        <v>21</v>
      </c>
      <c r="H12">
        <v>7</v>
      </c>
      <c r="I12">
        <v>0.4</v>
      </c>
      <c r="J12">
        <v>0.33</v>
      </c>
      <c r="K12">
        <v>0</v>
      </c>
      <c r="L12">
        <v>0</v>
      </c>
      <c r="M12">
        <v>0</v>
      </c>
      <c r="N12">
        <v>1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 s="86">
        <f>AVERAGEIFS($C$2:C12, $B$2:B12, B12)</f>
        <v>9</v>
      </c>
      <c r="AI12" s="86">
        <f>AVERAGEIFS($I$2:I12, $B$2:B12, B12)</f>
        <v>0.4</v>
      </c>
      <c r="AJ12" s="86">
        <f>AVERAGEIFS($J$2:J12, $B$2:B12, B12)</f>
        <v>0.33</v>
      </c>
      <c r="AK12" s="86">
        <f>AVERAGEIFS($D$2:D12, $B$2:B12, B12)</f>
        <v>0</v>
      </c>
    </row>
    <row r="13" spans="1:37" x14ac:dyDescent="0.25">
      <c r="A13" s="85">
        <v>46009</v>
      </c>
      <c r="B13" t="s">
        <v>137</v>
      </c>
      <c r="C13">
        <v>3</v>
      </c>
      <c r="D13">
        <v>0</v>
      </c>
      <c r="E13">
        <v>5</v>
      </c>
      <c r="F13">
        <v>2</v>
      </c>
      <c r="G13">
        <v>21</v>
      </c>
      <c r="H13">
        <v>7</v>
      </c>
      <c r="I13">
        <v>0.4</v>
      </c>
      <c r="J13">
        <v>0.33</v>
      </c>
      <c r="K13">
        <v>0</v>
      </c>
      <c r="L13">
        <v>0</v>
      </c>
      <c r="M13">
        <v>0</v>
      </c>
      <c r="N13">
        <v>1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 s="86">
        <f>AVERAGEIFS($C$2:C13, $B$2:B13, B13)</f>
        <v>3</v>
      </c>
      <c r="AI13" s="86">
        <f>AVERAGEIFS($I$2:I13, $B$2:B13, B13)</f>
        <v>0.4</v>
      </c>
      <c r="AJ13" s="86">
        <f>AVERAGEIFS($J$2:J13, $B$2:B13, B13)</f>
        <v>0.33</v>
      </c>
      <c r="AK13" s="86">
        <f>AVERAGEIFS($D$2:D13, $B$2:B13, B13)</f>
        <v>0</v>
      </c>
    </row>
    <row r="14" spans="1:37" x14ac:dyDescent="0.25">
      <c r="A14" s="85">
        <v>46027</v>
      </c>
      <c r="B14" t="s">
        <v>19</v>
      </c>
      <c r="C14">
        <v>8</v>
      </c>
      <c r="D14">
        <v>1</v>
      </c>
      <c r="E14">
        <v>5</v>
      </c>
      <c r="F14">
        <v>3</v>
      </c>
      <c r="G14">
        <v>21</v>
      </c>
      <c r="H14">
        <v>10</v>
      </c>
      <c r="I14">
        <v>0.6</v>
      </c>
      <c r="J14">
        <v>0.48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1</v>
      </c>
      <c r="AF14">
        <v>0</v>
      </c>
      <c r="AG14">
        <v>0</v>
      </c>
      <c r="AH14" s="86">
        <f>AVERAGEIFS($C$2:C14, $B$2:B14, B14)</f>
        <v>9.5</v>
      </c>
      <c r="AI14" s="86">
        <f>AVERAGEIFS($I$2:I14, $B$2:B14, B14)</f>
        <v>0.6</v>
      </c>
      <c r="AJ14" s="86">
        <f>AVERAGEIFS($J$2:J14, $B$2:B14, B14)</f>
        <v>0.57499999999999996</v>
      </c>
      <c r="AK14" s="86">
        <f>AVERAGEIFS($D$2:D14, $B$2:B14, B14)</f>
        <v>1</v>
      </c>
    </row>
    <row r="15" spans="1:37" x14ac:dyDescent="0.25">
      <c r="A15" s="85">
        <v>46027</v>
      </c>
      <c r="B15" t="s">
        <v>50</v>
      </c>
      <c r="C15">
        <v>30</v>
      </c>
      <c r="D15">
        <v>1</v>
      </c>
      <c r="E15">
        <v>5</v>
      </c>
      <c r="F15">
        <v>3</v>
      </c>
      <c r="G15">
        <v>21</v>
      </c>
      <c r="H15">
        <v>10</v>
      </c>
      <c r="I15">
        <v>0.6</v>
      </c>
      <c r="J15">
        <v>0.48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1</v>
      </c>
      <c r="AF15">
        <v>0</v>
      </c>
      <c r="AG15">
        <v>0</v>
      </c>
      <c r="AH15" s="86">
        <f>AVERAGEIFS($C$2:C15, $B$2:B15, B15)</f>
        <v>27.5</v>
      </c>
      <c r="AI15" s="86">
        <f>AVERAGEIFS($I$2:I15, $B$2:B15, B15)</f>
        <v>0.6</v>
      </c>
      <c r="AJ15" s="86">
        <f>AVERAGEIFS($J$2:J15, $B$2:B15, B15)</f>
        <v>0.57499999999999996</v>
      </c>
      <c r="AK15" s="86">
        <f>AVERAGEIFS($D$2:D15, $B$2:B15, B15)</f>
        <v>1</v>
      </c>
    </row>
    <row r="16" spans="1:37" x14ac:dyDescent="0.25">
      <c r="A16" s="85">
        <v>46027</v>
      </c>
      <c r="B16" t="s">
        <v>3</v>
      </c>
      <c r="C16">
        <v>24</v>
      </c>
      <c r="D16">
        <v>1</v>
      </c>
      <c r="E16">
        <v>5</v>
      </c>
      <c r="F16">
        <v>3</v>
      </c>
      <c r="G16">
        <v>21</v>
      </c>
      <c r="H16">
        <v>10</v>
      </c>
      <c r="I16">
        <v>0.6</v>
      </c>
      <c r="J16">
        <v>0.48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1</v>
      </c>
      <c r="AF16">
        <v>0</v>
      </c>
      <c r="AG16">
        <v>0</v>
      </c>
      <c r="AH16" s="86">
        <f>AVERAGEIFS($C$2:C16, $B$2:B16, B16)</f>
        <v>24</v>
      </c>
      <c r="AI16" s="86">
        <f>AVERAGEIFS($I$2:I16, $B$2:B16, B16)</f>
        <v>0.6</v>
      </c>
      <c r="AJ16" s="86">
        <f>AVERAGEIFS($J$2:J16, $B$2:B16, B16)</f>
        <v>0.48</v>
      </c>
      <c r="AK16" s="86">
        <f>AVERAGEIFS($D$2:D16, $B$2:B16, B16)</f>
        <v>1</v>
      </c>
    </row>
    <row r="17" spans="1:37" x14ac:dyDescent="0.25">
      <c r="A17" s="85">
        <v>46027</v>
      </c>
      <c r="B17" t="s">
        <v>70</v>
      </c>
      <c r="C17">
        <v>13</v>
      </c>
      <c r="D17">
        <v>1</v>
      </c>
      <c r="E17">
        <v>5</v>
      </c>
      <c r="F17">
        <v>3</v>
      </c>
      <c r="G17">
        <v>21</v>
      </c>
      <c r="H17">
        <v>10</v>
      </c>
      <c r="I17">
        <v>0.6</v>
      </c>
      <c r="J17">
        <v>0.48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1</v>
      </c>
      <c r="AF17">
        <v>0</v>
      </c>
      <c r="AG17">
        <v>0</v>
      </c>
      <c r="AH17" s="86">
        <f>AVERAGEIFS($C$2:C17, $B$2:B17, B17)</f>
        <v>13</v>
      </c>
      <c r="AI17" s="86">
        <f>AVERAGEIFS($I$2:I17, $B$2:B17, B17)</f>
        <v>0.6</v>
      </c>
      <c r="AJ17" s="86">
        <f>AVERAGEIFS($J$2:J17, $B$2:B17, B17)</f>
        <v>0.48</v>
      </c>
      <c r="AK17" s="86">
        <f>AVERAGEIFS($D$2:D17, $B$2:B17, B17)</f>
        <v>1</v>
      </c>
    </row>
    <row r="18" spans="1:37" x14ac:dyDescent="0.25">
      <c r="A18" s="85">
        <v>46027</v>
      </c>
      <c r="B18" t="s">
        <v>13</v>
      </c>
      <c r="C18">
        <v>5</v>
      </c>
      <c r="D18">
        <v>1</v>
      </c>
      <c r="E18">
        <v>5</v>
      </c>
      <c r="F18">
        <v>3</v>
      </c>
      <c r="G18">
        <v>21</v>
      </c>
      <c r="H18">
        <v>10</v>
      </c>
      <c r="I18">
        <v>0.6</v>
      </c>
      <c r="J18">
        <v>0.48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1</v>
      </c>
      <c r="AF18">
        <v>0</v>
      </c>
      <c r="AG18">
        <v>0</v>
      </c>
      <c r="AH18" s="86">
        <f>AVERAGEIFS($C$2:C18, $B$2:B18, B18)</f>
        <v>8.5</v>
      </c>
      <c r="AI18" s="86">
        <f>AVERAGEIFS($I$2:I18, $B$2:B18, B18)</f>
        <v>0.5</v>
      </c>
      <c r="AJ18" s="86">
        <f>AVERAGEIFS($J$2:J18, $B$2:B18, B18)</f>
        <v>0.40500000000000003</v>
      </c>
      <c r="AK18" s="86">
        <f>AVERAGEIFS($D$2:D18, $B$2:B18, B18)</f>
        <v>0.5</v>
      </c>
    </row>
    <row r="19" spans="1:37" x14ac:dyDescent="0.25">
      <c r="A19" s="85">
        <v>46027</v>
      </c>
      <c r="B19" t="s">
        <v>71</v>
      </c>
      <c r="C19">
        <v>6</v>
      </c>
      <c r="D19">
        <v>1</v>
      </c>
      <c r="E19">
        <v>5</v>
      </c>
      <c r="F19">
        <v>3</v>
      </c>
      <c r="G19">
        <v>21</v>
      </c>
      <c r="H19">
        <v>10</v>
      </c>
      <c r="I19">
        <v>0.6</v>
      </c>
      <c r="J19">
        <v>0.48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1</v>
      </c>
      <c r="AF19">
        <v>0</v>
      </c>
      <c r="AG19">
        <v>0</v>
      </c>
      <c r="AH19" s="86">
        <f>AVERAGEIFS($C$2:C19, $B$2:B19, B19)</f>
        <v>6</v>
      </c>
      <c r="AI19" s="86">
        <f>AVERAGEIFS($I$2:I19, $B$2:B19, B19)</f>
        <v>0.6</v>
      </c>
      <c r="AJ19" s="86">
        <f>AVERAGEIFS($J$2:J19, $B$2:B19, B19)</f>
        <v>0.48</v>
      </c>
      <c r="AK19" s="86">
        <f>AVERAGEIFS($D$2:D19, $B$2:B19, B19)</f>
        <v>1</v>
      </c>
    </row>
    <row r="20" spans="1:37" x14ac:dyDescent="0.25">
      <c r="A20" s="85">
        <v>46027</v>
      </c>
      <c r="B20" t="s">
        <v>1</v>
      </c>
      <c r="C20">
        <v>32</v>
      </c>
      <c r="D20">
        <v>1</v>
      </c>
      <c r="E20">
        <v>5</v>
      </c>
      <c r="F20">
        <v>3</v>
      </c>
      <c r="G20">
        <v>21</v>
      </c>
      <c r="H20">
        <v>10</v>
      </c>
      <c r="I20">
        <v>0.6</v>
      </c>
      <c r="J20">
        <v>0.48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1</v>
      </c>
      <c r="AF20">
        <v>0</v>
      </c>
      <c r="AG20">
        <v>0</v>
      </c>
      <c r="AH20" s="86">
        <f>AVERAGEIFS($C$2:C20, $B$2:B20, B20)</f>
        <v>32</v>
      </c>
      <c r="AI20" s="86">
        <f>AVERAGEIFS($I$2:I20, $B$2:B20, B20)</f>
        <v>0.6</v>
      </c>
      <c r="AJ20" s="86">
        <f>AVERAGEIFS($J$2:J20, $B$2:B20, B20)</f>
        <v>0.48</v>
      </c>
      <c r="AK20" s="86">
        <f>AVERAGEIFS($D$2:D20, $B$2:B20, B20)</f>
        <v>1</v>
      </c>
    </row>
    <row r="21" spans="1:37" x14ac:dyDescent="0.25">
      <c r="A21" s="85">
        <v>46027</v>
      </c>
      <c r="B21" t="s">
        <v>6</v>
      </c>
      <c r="C21">
        <v>15</v>
      </c>
      <c r="D21">
        <v>1</v>
      </c>
      <c r="E21">
        <v>5</v>
      </c>
      <c r="F21">
        <v>3</v>
      </c>
      <c r="G21">
        <v>21</v>
      </c>
      <c r="H21">
        <v>10</v>
      </c>
      <c r="I21">
        <v>0.6</v>
      </c>
      <c r="J21">
        <v>0.48</v>
      </c>
      <c r="K21">
        <v>0</v>
      </c>
      <c r="L21">
        <v>0</v>
      </c>
      <c r="M21">
        <v>1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1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1</v>
      </c>
      <c r="AF21">
        <v>0</v>
      </c>
      <c r="AG21">
        <v>0</v>
      </c>
      <c r="AH21" s="86">
        <f>AVERAGEIFS($C$2:C21, $B$2:B21, B21)</f>
        <v>15</v>
      </c>
      <c r="AI21" s="86">
        <f>AVERAGEIFS($I$2:I21, $B$2:B21, B21)</f>
        <v>0.6</v>
      </c>
      <c r="AJ21" s="86">
        <f>AVERAGEIFS($J$2:J21, $B$2:B21, B21)</f>
        <v>0.48</v>
      </c>
      <c r="AK21" s="86">
        <f>AVERAGEIFS($D$2:D21, $B$2:B21, B21)</f>
        <v>1</v>
      </c>
    </row>
    <row r="22" spans="1:37" x14ac:dyDescent="0.25">
      <c r="A22" s="85">
        <v>46027</v>
      </c>
      <c r="B22" t="s">
        <v>54</v>
      </c>
      <c r="C22">
        <v>37</v>
      </c>
      <c r="D22">
        <v>0</v>
      </c>
      <c r="E22">
        <v>5</v>
      </c>
      <c r="F22">
        <v>2</v>
      </c>
      <c r="G22">
        <v>21</v>
      </c>
      <c r="H22">
        <v>11</v>
      </c>
      <c r="I22">
        <v>0.4</v>
      </c>
      <c r="J22">
        <v>0.52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1</v>
      </c>
      <c r="AA22">
        <v>0</v>
      </c>
      <c r="AB22">
        <v>0</v>
      </c>
      <c r="AC22">
        <v>1</v>
      </c>
      <c r="AD22">
        <v>0</v>
      </c>
      <c r="AE22">
        <v>0</v>
      </c>
      <c r="AF22">
        <v>0</v>
      </c>
      <c r="AG22">
        <v>0</v>
      </c>
      <c r="AH22" s="86">
        <f>AVERAGEIFS($C$2:C22, $B$2:B22, B22)</f>
        <v>31</v>
      </c>
      <c r="AI22" s="86">
        <f>AVERAGEIFS($I$2:I22, $B$2:B22, B22)</f>
        <v>0.5</v>
      </c>
      <c r="AJ22" s="86">
        <f>AVERAGEIFS($J$2:J22, $B$2:B22, B22)</f>
        <v>0.59499999999999997</v>
      </c>
      <c r="AK22" s="86">
        <f>AVERAGEIFS($D$2:D22, $B$2:B22, B22)</f>
        <v>0.5</v>
      </c>
    </row>
    <row r="23" spans="1:37" x14ac:dyDescent="0.25">
      <c r="A23" s="85">
        <v>46027</v>
      </c>
      <c r="B23" t="s">
        <v>14</v>
      </c>
      <c r="C23">
        <v>10</v>
      </c>
      <c r="D23">
        <v>0</v>
      </c>
      <c r="E23">
        <v>5</v>
      </c>
      <c r="F23">
        <v>2</v>
      </c>
      <c r="G23">
        <v>21</v>
      </c>
      <c r="H23">
        <v>11</v>
      </c>
      <c r="I23">
        <v>0.4</v>
      </c>
      <c r="J23">
        <v>0.52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1</v>
      </c>
      <c r="AA23">
        <v>0</v>
      </c>
      <c r="AB23">
        <v>0</v>
      </c>
      <c r="AC23">
        <v>1</v>
      </c>
      <c r="AD23">
        <v>0</v>
      </c>
      <c r="AE23">
        <v>0</v>
      </c>
      <c r="AF23">
        <v>0</v>
      </c>
      <c r="AG23">
        <v>0</v>
      </c>
      <c r="AH23" s="86">
        <f>AVERAGEIFS($C$2:C23, $B$2:B23, B23)</f>
        <v>17</v>
      </c>
      <c r="AI23" s="86">
        <f>AVERAGEIFS($I$2:I23, $B$2:B23, B23)</f>
        <v>0.5</v>
      </c>
      <c r="AJ23" s="86">
        <f>AVERAGEIFS($J$2:J23, $B$2:B23, B23)</f>
        <v>0.59499999999999997</v>
      </c>
      <c r="AK23" s="86">
        <f>AVERAGEIFS($D$2:D23, $B$2:B23, B23)</f>
        <v>0.5</v>
      </c>
    </row>
    <row r="24" spans="1:37" x14ac:dyDescent="0.25">
      <c r="A24" s="85">
        <v>46027</v>
      </c>
      <c r="B24" t="s">
        <v>46</v>
      </c>
      <c r="C24">
        <v>26</v>
      </c>
      <c r="D24">
        <v>0</v>
      </c>
      <c r="E24">
        <v>5</v>
      </c>
      <c r="F24">
        <v>2</v>
      </c>
      <c r="G24">
        <v>21</v>
      </c>
      <c r="H24">
        <v>11</v>
      </c>
      <c r="I24">
        <v>0.4</v>
      </c>
      <c r="J24">
        <v>0.52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1</v>
      </c>
      <c r="AA24">
        <v>0</v>
      </c>
      <c r="AB24">
        <v>0</v>
      </c>
      <c r="AC24">
        <v>1</v>
      </c>
      <c r="AD24">
        <v>0</v>
      </c>
      <c r="AE24">
        <v>0</v>
      </c>
      <c r="AF24">
        <v>0</v>
      </c>
      <c r="AG24">
        <v>0</v>
      </c>
      <c r="AH24" s="86">
        <f>AVERAGEIFS($C$2:C24, $B$2:B24, B24)</f>
        <v>21.5</v>
      </c>
      <c r="AI24" s="86">
        <f>AVERAGEIFS($I$2:I24, $B$2:B24, B24)</f>
        <v>0.4</v>
      </c>
      <c r="AJ24" s="86">
        <f>AVERAGEIFS($J$2:J24, $B$2:B24, B24)</f>
        <v>0.42500000000000004</v>
      </c>
      <c r="AK24" s="86">
        <f>AVERAGEIFS($D$2:D24, $B$2:B24, B24)</f>
        <v>0</v>
      </c>
    </row>
    <row r="25" spans="1:37" x14ac:dyDescent="0.25">
      <c r="A25" s="85">
        <v>46027</v>
      </c>
      <c r="B25" t="s">
        <v>27</v>
      </c>
      <c r="C25">
        <v>20</v>
      </c>
      <c r="D25">
        <v>0</v>
      </c>
      <c r="E25">
        <v>5</v>
      </c>
      <c r="F25">
        <v>2</v>
      </c>
      <c r="G25">
        <v>21</v>
      </c>
      <c r="H25">
        <v>11</v>
      </c>
      <c r="I25">
        <v>0.4</v>
      </c>
      <c r="J25">
        <v>0.52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1</v>
      </c>
      <c r="AA25">
        <v>0</v>
      </c>
      <c r="AB25">
        <v>0</v>
      </c>
      <c r="AC25">
        <v>1</v>
      </c>
      <c r="AD25">
        <v>0</v>
      </c>
      <c r="AE25">
        <v>0</v>
      </c>
      <c r="AF25">
        <v>0</v>
      </c>
      <c r="AG25">
        <v>0</v>
      </c>
      <c r="AH25" s="86">
        <f>AVERAGEIFS($C$2:C25, $B$2:B25, B25)</f>
        <v>14.5</v>
      </c>
      <c r="AI25" s="86">
        <f>AVERAGEIFS($I$2:I25, $B$2:B25, B25)</f>
        <v>0.4</v>
      </c>
      <c r="AJ25" s="86">
        <f>AVERAGEIFS($J$2:J25, $B$2:B25, B25)</f>
        <v>0.42500000000000004</v>
      </c>
      <c r="AK25" s="86">
        <f>AVERAGEIFS($D$2:D25, $B$2:B25, B25)</f>
        <v>0</v>
      </c>
    </row>
    <row r="26" spans="1:37" x14ac:dyDescent="0.25">
      <c r="A26" s="85">
        <v>46027</v>
      </c>
      <c r="B26" t="s">
        <v>35</v>
      </c>
      <c r="C26">
        <v>16</v>
      </c>
      <c r="D26">
        <v>0</v>
      </c>
      <c r="E26">
        <v>5</v>
      </c>
      <c r="F26">
        <v>2</v>
      </c>
      <c r="G26">
        <v>21</v>
      </c>
      <c r="H26">
        <v>11</v>
      </c>
      <c r="I26">
        <v>0.4</v>
      </c>
      <c r="J26">
        <v>0.52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1</v>
      </c>
      <c r="AA26">
        <v>0</v>
      </c>
      <c r="AB26">
        <v>0</v>
      </c>
      <c r="AC26">
        <v>1</v>
      </c>
      <c r="AD26">
        <v>0</v>
      </c>
      <c r="AE26">
        <v>0</v>
      </c>
      <c r="AF26">
        <v>0</v>
      </c>
      <c r="AG26">
        <v>0</v>
      </c>
      <c r="AH26" s="86">
        <f>AVERAGEIFS($C$2:C26, $B$2:B26, B26)</f>
        <v>11.5</v>
      </c>
      <c r="AI26" s="86">
        <f>AVERAGEIFS($I$2:I26, $B$2:B26, B26)</f>
        <v>0.5</v>
      </c>
      <c r="AJ26" s="86">
        <f>AVERAGEIFS($J$2:J26, $B$2:B26, B26)</f>
        <v>0.59499999999999997</v>
      </c>
      <c r="AK26" s="86">
        <f>AVERAGEIFS($D$2:D26, $B$2:B26, B26)</f>
        <v>0.5</v>
      </c>
    </row>
    <row r="27" spans="1:37" x14ac:dyDescent="0.25">
      <c r="A27" s="85">
        <v>46027</v>
      </c>
      <c r="B27" t="s">
        <v>53</v>
      </c>
      <c r="C27">
        <v>17</v>
      </c>
      <c r="D27">
        <v>0</v>
      </c>
      <c r="E27">
        <v>5</v>
      </c>
      <c r="F27">
        <v>2</v>
      </c>
      <c r="G27">
        <v>21</v>
      </c>
      <c r="H27">
        <v>11</v>
      </c>
      <c r="I27">
        <v>0.4</v>
      </c>
      <c r="J27">
        <v>0.52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>
        <v>0</v>
      </c>
      <c r="AB27">
        <v>0</v>
      </c>
      <c r="AC27">
        <v>1</v>
      </c>
      <c r="AD27">
        <v>0</v>
      </c>
      <c r="AE27">
        <v>0</v>
      </c>
      <c r="AF27">
        <v>0</v>
      </c>
      <c r="AG27">
        <v>0</v>
      </c>
      <c r="AH27" s="86">
        <f>AVERAGEIFS($C$2:C27, $B$2:B27, B27)</f>
        <v>26.5</v>
      </c>
      <c r="AI27" s="86">
        <f>AVERAGEIFS($I$2:I27, $B$2:B27, B27)</f>
        <v>0.4</v>
      </c>
      <c r="AJ27" s="86">
        <f>AVERAGEIFS($J$2:J27, $B$2:B27, B27)</f>
        <v>0.42500000000000004</v>
      </c>
      <c r="AK27" s="86">
        <f>AVERAGEIFS($D$2:D27, $B$2:B27, B27)</f>
        <v>0</v>
      </c>
    </row>
    <row r="28" spans="1:37" x14ac:dyDescent="0.25">
      <c r="A28" s="85">
        <v>46027</v>
      </c>
      <c r="B28" t="s">
        <v>17</v>
      </c>
      <c r="C28">
        <v>29</v>
      </c>
      <c r="D28">
        <v>0</v>
      </c>
      <c r="E28">
        <v>5</v>
      </c>
      <c r="F28">
        <v>2</v>
      </c>
      <c r="G28">
        <v>21</v>
      </c>
      <c r="H28">
        <v>11</v>
      </c>
      <c r="I28">
        <v>0.4</v>
      </c>
      <c r="J28">
        <v>0.52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>
        <v>0</v>
      </c>
      <c r="AB28">
        <v>0</v>
      </c>
      <c r="AC28">
        <v>1</v>
      </c>
      <c r="AD28">
        <v>0</v>
      </c>
      <c r="AE28">
        <v>0</v>
      </c>
      <c r="AF28">
        <v>0</v>
      </c>
      <c r="AG28">
        <v>0</v>
      </c>
      <c r="AH28" s="86">
        <f>AVERAGEIFS($C$2:C28, $B$2:B28, B28)</f>
        <v>28.5</v>
      </c>
      <c r="AI28" s="86">
        <f>AVERAGEIFS($I$2:I28, $B$2:B28, B28)</f>
        <v>0.4</v>
      </c>
      <c r="AJ28" s="86">
        <f>AVERAGEIFS($J$2:J28, $B$2:B28, B28)</f>
        <v>0.42500000000000004</v>
      </c>
      <c r="AK28" s="86">
        <f>AVERAGEIFS($D$2:D28, $B$2:B28, B28)</f>
        <v>0</v>
      </c>
    </row>
    <row r="29" spans="1:37" x14ac:dyDescent="0.25">
      <c r="A29" s="85">
        <v>46028</v>
      </c>
      <c r="B29" t="s">
        <v>54</v>
      </c>
      <c r="C29">
        <v>24</v>
      </c>
      <c r="D29">
        <v>1</v>
      </c>
      <c r="E29">
        <v>4</v>
      </c>
      <c r="F29">
        <v>3</v>
      </c>
      <c r="G29">
        <v>15</v>
      </c>
      <c r="H29">
        <v>9</v>
      </c>
      <c r="I29">
        <v>0.75</v>
      </c>
      <c r="J29">
        <v>0.6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1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1</v>
      </c>
      <c r="AD29">
        <v>1</v>
      </c>
      <c r="AE29">
        <v>0</v>
      </c>
      <c r="AF29">
        <v>0</v>
      </c>
      <c r="AG29">
        <v>0</v>
      </c>
      <c r="AH29" s="86">
        <f>AVERAGEIFS($C$2:C29, $B$2:B29, B29)</f>
        <v>28.666666666666668</v>
      </c>
      <c r="AI29" s="86">
        <f>AVERAGEIFS($I$2:I29, $B$2:B29, B29)</f>
        <v>0.58333333333333337</v>
      </c>
      <c r="AJ29" s="86">
        <f>AVERAGEIFS($J$2:J29, $B$2:B29, B29)</f>
        <v>0.59666666666666668</v>
      </c>
      <c r="AK29" s="86">
        <f>AVERAGEIFS($D$2:D29, $B$2:B29, B29)</f>
        <v>0.66666666666666663</v>
      </c>
    </row>
    <row r="30" spans="1:37" x14ac:dyDescent="0.25">
      <c r="A30" s="85">
        <v>46028</v>
      </c>
      <c r="B30" t="s">
        <v>5</v>
      </c>
      <c r="C30">
        <v>23</v>
      </c>
      <c r="D30">
        <v>1</v>
      </c>
      <c r="E30">
        <v>4</v>
      </c>
      <c r="F30">
        <v>3</v>
      </c>
      <c r="G30">
        <v>15</v>
      </c>
      <c r="H30">
        <v>9</v>
      </c>
      <c r="I30">
        <v>0.75</v>
      </c>
      <c r="J30">
        <v>0.6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1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1</v>
      </c>
      <c r="AD30">
        <v>1</v>
      </c>
      <c r="AE30">
        <v>0</v>
      </c>
      <c r="AF30">
        <v>0</v>
      </c>
      <c r="AG30">
        <v>0</v>
      </c>
      <c r="AH30" s="86">
        <f>AVERAGEIFS($C$2:C30, $B$2:B30, B30)</f>
        <v>23</v>
      </c>
      <c r="AI30" s="86">
        <f>AVERAGEIFS($I$2:I30, $B$2:B30, B30)</f>
        <v>0.75</v>
      </c>
      <c r="AJ30" s="86">
        <f>AVERAGEIFS($J$2:J30, $B$2:B30, B30)</f>
        <v>0.6</v>
      </c>
      <c r="AK30" s="86">
        <f>AVERAGEIFS($D$2:D30, $B$2:B30, B30)</f>
        <v>1</v>
      </c>
    </row>
    <row r="31" spans="1:37" x14ac:dyDescent="0.25">
      <c r="A31" s="85">
        <v>46028</v>
      </c>
      <c r="B31" t="s">
        <v>3</v>
      </c>
      <c r="C31">
        <v>21</v>
      </c>
      <c r="D31">
        <v>1</v>
      </c>
      <c r="E31">
        <v>4</v>
      </c>
      <c r="F31">
        <v>3</v>
      </c>
      <c r="G31">
        <v>15</v>
      </c>
      <c r="H31">
        <v>9</v>
      </c>
      <c r="I31">
        <v>0.75</v>
      </c>
      <c r="J31">
        <v>0.6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1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1</v>
      </c>
      <c r="AD31">
        <v>1</v>
      </c>
      <c r="AE31">
        <v>0</v>
      </c>
      <c r="AF31">
        <v>0</v>
      </c>
      <c r="AG31">
        <v>0</v>
      </c>
      <c r="AH31" s="86">
        <f>AVERAGEIFS($C$2:C31, $B$2:B31, B31)</f>
        <v>22.5</v>
      </c>
      <c r="AI31" s="86">
        <f>AVERAGEIFS($I$2:I31, $B$2:B31, B31)</f>
        <v>0.67500000000000004</v>
      </c>
      <c r="AJ31" s="86">
        <f>AVERAGEIFS($J$2:J31, $B$2:B31, B31)</f>
        <v>0.54</v>
      </c>
      <c r="AK31" s="86">
        <f>AVERAGEIFS($D$2:D31, $B$2:B31, B31)</f>
        <v>1</v>
      </c>
    </row>
    <row r="32" spans="1:37" x14ac:dyDescent="0.25">
      <c r="A32" s="85">
        <v>46028</v>
      </c>
      <c r="B32" t="s">
        <v>6</v>
      </c>
      <c r="C32">
        <v>21</v>
      </c>
      <c r="D32">
        <v>1</v>
      </c>
      <c r="E32">
        <v>4</v>
      </c>
      <c r="F32">
        <v>3</v>
      </c>
      <c r="G32">
        <v>15</v>
      </c>
      <c r="H32">
        <v>9</v>
      </c>
      <c r="I32">
        <v>0.75</v>
      </c>
      <c r="J32">
        <v>0.6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1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1</v>
      </c>
      <c r="AD32">
        <v>1</v>
      </c>
      <c r="AE32">
        <v>0</v>
      </c>
      <c r="AF32">
        <v>0</v>
      </c>
      <c r="AG32">
        <v>0</v>
      </c>
      <c r="AH32" s="86">
        <f>AVERAGEIFS($C$2:C32, $B$2:B32, B32)</f>
        <v>18</v>
      </c>
      <c r="AI32" s="86">
        <f>AVERAGEIFS($I$2:I32, $B$2:B32, B32)</f>
        <v>0.67500000000000004</v>
      </c>
      <c r="AJ32" s="86">
        <f>AVERAGEIFS($J$2:J32, $B$2:B32, B32)</f>
        <v>0.54</v>
      </c>
      <c r="AK32" s="86">
        <f>AVERAGEIFS($D$2:D32, $B$2:B32, B32)</f>
        <v>1</v>
      </c>
    </row>
    <row r="33" spans="1:37" x14ac:dyDescent="0.25">
      <c r="A33" s="85">
        <v>46028</v>
      </c>
      <c r="B33" t="s">
        <v>35</v>
      </c>
      <c r="C33">
        <v>14</v>
      </c>
      <c r="D33">
        <v>1</v>
      </c>
      <c r="E33">
        <v>4</v>
      </c>
      <c r="F33">
        <v>3</v>
      </c>
      <c r="G33">
        <v>15</v>
      </c>
      <c r="H33">
        <v>9</v>
      </c>
      <c r="I33">
        <v>0.75</v>
      </c>
      <c r="J33">
        <v>0.6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1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1</v>
      </c>
      <c r="AD33">
        <v>1</v>
      </c>
      <c r="AE33">
        <v>0</v>
      </c>
      <c r="AF33">
        <v>0</v>
      </c>
      <c r="AG33">
        <v>0</v>
      </c>
      <c r="AH33" s="86">
        <f>AVERAGEIFS($C$2:C33, $B$2:B33, B33)</f>
        <v>12.333333333333334</v>
      </c>
      <c r="AI33" s="86">
        <f>AVERAGEIFS($I$2:I33, $B$2:B33, B33)</f>
        <v>0.58333333333333337</v>
      </c>
      <c r="AJ33" s="86">
        <f>AVERAGEIFS($J$2:J33, $B$2:B33, B33)</f>
        <v>0.59666666666666668</v>
      </c>
      <c r="AK33" s="86">
        <f>AVERAGEIFS($D$2:D33, $B$2:B33, B33)</f>
        <v>0.66666666666666663</v>
      </c>
    </row>
    <row r="34" spans="1:37" x14ac:dyDescent="0.25">
      <c r="A34" s="85">
        <v>46028</v>
      </c>
      <c r="B34" t="s">
        <v>45</v>
      </c>
      <c r="C34">
        <v>11</v>
      </c>
      <c r="D34">
        <v>1</v>
      </c>
      <c r="E34">
        <v>4</v>
      </c>
      <c r="F34">
        <v>3</v>
      </c>
      <c r="G34">
        <v>15</v>
      </c>
      <c r="H34">
        <v>9</v>
      </c>
      <c r="I34">
        <v>0.75</v>
      </c>
      <c r="J34">
        <v>0.6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1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1</v>
      </c>
      <c r="AD34">
        <v>1</v>
      </c>
      <c r="AE34">
        <v>0</v>
      </c>
      <c r="AF34">
        <v>0</v>
      </c>
      <c r="AG34">
        <v>0</v>
      </c>
      <c r="AH34" s="86">
        <f>AVERAGEIFS($C$2:C34, $B$2:B34, B34)</f>
        <v>11</v>
      </c>
      <c r="AI34" s="86">
        <f>AVERAGEIFS($I$2:I34, $B$2:B34, B34)</f>
        <v>0.75</v>
      </c>
      <c r="AJ34" s="86">
        <f>AVERAGEIFS($J$2:J34, $B$2:B34, B34)</f>
        <v>0.6</v>
      </c>
      <c r="AK34" s="86">
        <f>AVERAGEIFS($D$2:D34, $B$2:B34, B34)</f>
        <v>1</v>
      </c>
    </row>
    <row r="35" spans="1:37" x14ac:dyDescent="0.25">
      <c r="A35" s="85">
        <v>46028</v>
      </c>
      <c r="B35" t="s">
        <v>14</v>
      </c>
      <c r="C35">
        <v>27</v>
      </c>
      <c r="D35">
        <v>0</v>
      </c>
      <c r="E35">
        <v>4</v>
      </c>
      <c r="F35">
        <v>1</v>
      </c>
      <c r="G35">
        <v>15</v>
      </c>
      <c r="H35">
        <v>6</v>
      </c>
      <c r="I35">
        <v>0.25</v>
      </c>
      <c r="J35">
        <v>0.4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1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 s="86">
        <f>AVERAGEIFS($C$2:C35, $B$2:B35, B35)</f>
        <v>20.333333333333332</v>
      </c>
      <c r="AI35" s="86">
        <f>AVERAGEIFS($I$2:I35, $B$2:B35, B35)</f>
        <v>0.41666666666666669</v>
      </c>
      <c r="AJ35" s="86">
        <f>AVERAGEIFS($J$2:J35, $B$2:B35, B35)</f>
        <v>0.52999999999999992</v>
      </c>
      <c r="AK35" s="86">
        <f>AVERAGEIFS($D$2:D35, $B$2:B35, B35)</f>
        <v>0.33333333333333331</v>
      </c>
    </row>
    <row r="36" spans="1:37" x14ac:dyDescent="0.25">
      <c r="A36" s="85">
        <v>46028</v>
      </c>
      <c r="B36" t="s">
        <v>50</v>
      </c>
      <c r="C36">
        <v>21</v>
      </c>
      <c r="D36">
        <v>0</v>
      </c>
      <c r="E36">
        <v>4</v>
      </c>
      <c r="F36">
        <v>1</v>
      </c>
      <c r="G36">
        <v>15</v>
      </c>
      <c r="H36">
        <v>6</v>
      </c>
      <c r="I36">
        <v>0.25</v>
      </c>
      <c r="J36">
        <v>0.4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1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 s="86">
        <f>AVERAGEIFS($C$2:C36, $B$2:B36, B36)</f>
        <v>25.333333333333332</v>
      </c>
      <c r="AI36" s="86">
        <f>AVERAGEIFS($I$2:I36, $B$2:B36, B36)</f>
        <v>0.48333333333333334</v>
      </c>
      <c r="AJ36" s="86">
        <f>AVERAGEIFS($J$2:J36, $B$2:B36, B36)</f>
        <v>0.51666666666666661</v>
      </c>
      <c r="AK36" s="86">
        <f>AVERAGEIFS($D$2:D36, $B$2:B36, B36)</f>
        <v>0.66666666666666663</v>
      </c>
    </row>
    <row r="37" spans="1:37" x14ac:dyDescent="0.25">
      <c r="A37" s="85">
        <v>46028</v>
      </c>
      <c r="B37" t="s">
        <v>46</v>
      </c>
      <c r="C37">
        <v>19</v>
      </c>
      <c r="D37">
        <v>0</v>
      </c>
      <c r="E37">
        <v>4</v>
      </c>
      <c r="F37">
        <v>1</v>
      </c>
      <c r="G37">
        <v>15</v>
      </c>
      <c r="H37">
        <v>6</v>
      </c>
      <c r="I37">
        <v>0.25</v>
      </c>
      <c r="J37">
        <v>0.4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1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 s="86">
        <f>AVERAGEIFS($C$2:C37, $B$2:B37, B37)</f>
        <v>20.666666666666668</v>
      </c>
      <c r="AI37" s="86">
        <f>AVERAGEIFS($I$2:I37, $B$2:B37, B37)</f>
        <v>0.35000000000000003</v>
      </c>
      <c r="AJ37" s="86">
        <f>AVERAGEIFS($J$2:J37, $B$2:B37, B37)</f>
        <v>0.41666666666666669</v>
      </c>
      <c r="AK37" s="86">
        <f>AVERAGEIFS($D$2:D37, $B$2:B37, B37)</f>
        <v>0</v>
      </c>
    </row>
    <row r="38" spans="1:37" x14ac:dyDescent="0.25">
      <c r="A38" s="85">
        <v>46028</v>
      </c>
      <c r="B38" t="s">
        <v>28</v>
      </c>
      <c r="C38">
        <v>11</v>
      </c>
      <c r="D38">
        <v>0</v>
      </c>
      <c r="E38">
        <v>4</v>
      </c>
      <c r="F38">
        <v>1</v>
      </c>
      <c r="G38">
        <v>15</v>
      </c>
      <c r="H38">
        <v>6</v>
      </c>
      <c r="I38">
        <v>0.25</v>
      </c>
      <c r="J38">
        <v>0.4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1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 s="86">
        <f>AVERAGEIFS($C$2:C38, $B$2:B38, B38)</f>
        <v>13.5</v>
      </c>
      <c r="AI38" s="86">
        <f>AVERAGEIFS($I$2:I38, $B$2:B38, B38)</f>
        <v>0.42499999999999999</v>
      </c>
      <c r="AJ38" s="86">
        <f>AVERAGEIFS($J$2:J38, $B$2:B38, B38)</f>
        <v>0.53500000000000003</v>
      </c>
      <c r="AK38" s="86">
        <f>AVERAGEIFS($D$2:D38, $B$2:B38, B38)</f>
        <v>0.5</v>
      </c>
    </row>
    <row r="39" spans="1:37" x14ac:dyDescent="0.25">
      <c r="A39" s="85">
        <v>46028</v>
      </c>
      <c r="B39" t="s">
        <v>74</v>
      </c>
      <c r="C39">
        <v>9</v>
      </c>
      <c r="D39">
        <v>0</v>
      </c>
      <c r="E39">
        <v>4</v>
      </c>
      <c r="F39">
        <v>1</v>
      </c>
      <c r="G39">
        <v>15</v>
      </c>
      <c r="H39">
        <v>6</v>
      </c>
      <c r="I39">
        <v>0.25</v>
      </c>
      <c r="J39">
        <v>0.4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1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 s="86">
        <f>AVERAGEIFS($C$2:C39, $B$2:B39, B39)</f>
        <v>9</v>
      </c>
      <c r="AI39" s="86">
        <f>AVERAGEIFS($I$2:I39, $B$2:B39, B39)</f>
        <v>0.25</v>
      </c>
      <c r="AJ39" s="86">
        <f>AVERAGEIFS($J$2:J39, $B$2:B39, B39)</f>
        <v>0.4</v>
      </c>
      <c r="AK39" s="86">
        <f>AVERAGEIFS($D$2:D39, $B$2:B39, B39)</f>
        <v>0</v>
      </c>
    </row>
    <row r="40" spans="1:37" ht="14.25" customHeight="1" x14ac:dyDescent="0.25">
      <c r="A40" s="85">
        <v>46028</v>
      </c>
      <c r="B40" t="s">
        <v>17</v>
      </c>
      <c r="C40">
        <v>12</v>
      </c>
      <c r="D40">
        <v>0</v>
      </c>
      <c r="E40">
        <v>4</v>
      </c>
      <c r="F40">
        <v>1</v>
      </c>
      <c r="G40">
        <v>15</v>
      </c>
      <c r="H40">
        <v>6</v>
      </c>
      <c r="I40">
        <v>0.25</v>
      </c>
      <c r="J40">
        <v>0.4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1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 s="86">
        <f>AVERAGEIFS($C$2:C40, $B$2:B40, B40)</f>
        <v>23</v>
      </c>
      <c r="AI40" s="86">
        <f>AVERAGEIFS($I$2:I40, $B$2:B40, B40)</f>
        <v>0.35000000000000003</v>
      </c>
      <c r="AJ40" s="86">
        <f>AVERAGEIFS($J$2:J40, $B$2:B40, B40)</f>
        <v>0.41666666666666669</v>
      </c>
      <c r="AK40" s="86">
        <f>AVERAGEIFS($D$2:D40, $B$2:B40, B40)</f>
        <v>0</v>
      </c>
    </row>
    <row r="41" spans="1:37" x14ac:dyDescent="0.25">
      <c r="A41" s="85">
        <v>46034</v>
      </c>
      <c r="B41" t="s">
        <v>18</v>
      </c>
      <c r="C41">
        <v>24</v>
      </c>
      <c r="D41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1</v>
      </c>
      <c r="M41">
        <v>0</v>
      </c>
      <c r="N41">
        <v>1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1</v>
      </c>
      <c r="AF41">
        <v>0</v>
      </c>
      <c r="AG41">
        <v>0</v>
      </c>
      <c r="AH41" s="86">
        <f>AVERAGEIFS($C$2:C41, $B$2:B41, B41)</f>
        <v>24</v>
      </c>
      <c r="AI41" s="86">
        <f>AVERAGEIFS($I$2:I41, $B$2:B41, B41)</f>
        <v>1</v>
      </c>
      <c r="AJ41" s="86">
        <f>AVERAGEIFS($J$2:J41, $B$2:B41, B41)</f>
        <v>0.69</v>
      </c>
      <c r="AK41" s="86">
        <f>AVERAGEIFS($D$2:D41, $B$2:B41, B41)</f>
        <v>1</v>
      </c>
    </row>
    <row r="42" spans="1:37" x14ac:dyDescent="0.25">
      <c r="A42" s="85">
        <v>46034</v>
      </c>
      <c r="B42" t="s">
        <v>5</v>
      </c>
      <c r="C42">
        <v>23</v>
      </c>
      <c r="D42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1</v>
      </c>
      <c r="M42">
        <v>0</v>
      </c>
      <c r="N42">
        <v>1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1</v>
      </c>
      <c r="AF42">
        <v>0</v>
      </c>
      <c r="AG42">
        <v>0</v>
      </c>
      <c r="AH42" s="86">
        <f>AVERAGEIFS($C$2:C42, $B$2:B42, B42)</f>
        <v>23</v>
      </c>
      <c r="AI42" s="86">
        <f>AVERAGEIFS($I$2:I42, $B$2:B42, B42)</f>
        <v>0.875</v>
      </c>
      <c r="AJ42" s="86">
        <f>AVERAGEIFS($J$2:J42, $B$2:B42, B42)</f>
        <v>0.64500000000000002</v>
      </c>
      <c r="AK42" s="86">
        <f>AVERAGEIFS($D$2:D42, $B$2:B42, B42)</f>
        <v>1</v>
      </c>
    </row>
    <row r="43" spans="1:37" x14ac:dyDescent="0.25">
      <c r="A43" s="85">
        <v>46034</v>
      </c>
      <c r="B43" t="s">
        <v>53</v>
      </c>
      <c r="C43">
        <v>18</v>
      </c>
      <c r="D43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1</v>
      </c>
      <c r="M43">
        <v>0</v>
      </c>
      <c r="N43">
        <v>1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1</v>
      </c>
      <c r="AF43">
        <v>0</v>
      </c>
      <c r="AG43">
        <v>0</v>
      </c>
      <c r="AH43" s="86">
        <f>AVERAGEIFS($C$2:C43, $B$2:B43, B43)</f>
        <v>23.666666666666668</v>
      </c>
      <c r="AI43" s="86">
        <f>AVERAGEIFS($I$2:I43, $B$2:B43, B43)</f>
        <v>0.6</v>
      </c>
      <c r="AJ43" s="86">
        <f>AVERAGEIFS($J$2:J43, $B$2:B43, B43)</f>
        <v>0.51333333333333331</v>
      </c>
      <c r="AK43" s="86">
        <f>AVERAGEIFS($D$2:D43, $B$2:B43, B43)</f>
        <v>0.33333333333333331</v>
      </c>
    </row>
    <row r="44" spans="1:37" x14ac:dyDescent="0.25">
      <c r="A44" s="85">
        <v>46034</v>
      </c>
      <c r="B44" t="s">
        <v>50</v>
      </c>
      <c r="C44">
        <v>16</v>
      </c>
      <c r="D44">
        <v>1</v>
      </c>
      <c r="E44">
        <v>3</v>
      </c>
      <c r="F44">
        <v>3</v>
      </c>
      <c r="G44">
        <v>13</v>
      </c>
      <c r="H44">
        <v>9</v>
      </c>
      <c r="I44">
        <v>1</v>
      </c>
      <c r="J44">
        <v>0.69</v>
      </c>
      <c r="K44">
        <v>0</v>
      </c>
      <c r="L44">
        <v>1</v>
      </c>
      <c r="M44">
        <v>0</v>
      </c>
      <c r="N44">
        <v>1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1</v>
      </c>
      <c r="AF44">
        <v>0</v>
      </c>
      <c r="AG44">
        <v>0</v>
      </c>
      <c r="AH44" s="86">
        <f>AVERAGEIFS($C$2:C44, $B$2:B44, B44)</f>
        <v>23</v>
      </c>
      <c r="AI44" s="86">
        <f>AVERAGEIFS($I$2:I44, $B$2:B44, B44)</f>
        <v>0.61250000000000004</v>
      </c>
      <c r="AJ44" s="86">
        <f>AVERAGEIFS($J$2:J44, $B$2:B44, B44)</f>
        <v>0.55999999999999994</v>
      </c>
      <c r="AK44" s="86">
        <f>AVERAGEIFS($D$2:D44, $B$2:B44, B44)</f>
        <v>0.75</v>
      </c>
    </row>
    <row r="45" spans="1:37" x14ac:dyDescent="0.25">
      <c r="A45" s="85">
        <v>46034</v>
      </c>
      <c r="B45" t="s">
        <v>70</v>
      </c>
      <c r="C45">
        <v>12</v>
      </c>
      <c r="D45">
        <v>1</v>
      </c>
      <c r="E45">
        <v>3</v>
      </c>
      <c r="F45">
        <v>3</v>
      </c>
      <c r="G45">
        <v>13</v>
      </c>
      <c r="H45">
        <v>9</v>
      </c>
      <c r="I45">
        <v>1</v>
      </c>
      <c r="J45">
        <v>0.69</v>
      </c>
      <c r="K45">
        <v>0</v>
      </c>
      <c r="L45">
        <v>1</v>
      </c>
      <c r="M45">
        <v>0</v>
      </c>
      <c r="N45">
        <v>1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1</v>
      </c>
      <c r="AF45">
        <v>0</v>
      </c>
      <c r="AG45">
        <v>0</v>
      </c>
      <c r="AH45" s="86">
        <f>AVERAGEIFS($C$2:C45, $B$2:B45, B45)</f>
        <v>12.5</v>
      </c>
      <c r="AI45" s="86">
        <f>AVERAGEIFS($I$2:I45, $B$2:B45, B45)</f>
        <v>0.8</v>
      </c>
      <c r="AJ45" s="86">
        <f>AVERAGEIFS($J$2:J45, $B$2:B45, B45)</f>
        <v>0.58499999999999996</v>
      </c>
      <c r="AK45" s="86">
        <f>AVERAGEIFS($D$2:D45, $B$2:B45, B45)</f>
        <v>1</v>
      </c>
    </row>
    <row r="46" spans="1:37" x14ac:dyDescent="0.25">
      <c r="A46" s="85">
        <v>46034</v>
      </c>
      <c r="B46" t="s">
        <v>19</v>
      </c>
      <c r="C46">
        <v>8</v>
      </c>
      <c r="D46">
        <v>1</v>
      </c>
      <c r="E46">
        <v>3</v>
      </c>
      <c r="F46">
        <v>3</v>
      </c>
      <c r="G46">
        <v>13</v>
      </c>
      <c r="H46">
        <v>9</v>
      </c>
      <c r="I46">
        <v>1</v>
      </c>
      <c r="J46">
        <v>0.69</v>
      </c>
      <c r="K46">
        <v>0</v>
      </c>
      <c r="L46">
        <v>1</v>
      </c>
      <c r="M46">
        <v>0</v>
      </c>
      <c r="N46">
        <v>1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1</v>
      </c>
      <c r="AF46">
        <v>0</v>
      </c>
      <c r="AG46">
        <v>0</v>
      </c>
      <c r="AH46" s="86">
        <f>AVERAGEIFS($C$2:C46, $B$2:B46, B46)</f>
        <v>9</v>
      </c>
      <c r="AI46" s="86">
        <f>AVERAGEIFS($I$2:I46, $B$2:B46, B46)</f>
        <v>0.73333333333333339</v>
      </c>
      <c r="AJ46" s="86">
        <f>AVERAGEIFS($J$2:J46, $B$2:B46, B46)</f>
        <v>0.61333333333333329</v>
      </c>
      <c r="AK46" s="86">
        <f>AVERAGEIFS($D$2:D46, $B$2:B46, B46)</f>
        <v>1</v>
      </c>
    </row>
    <row r="47" spans="1:37" x14ac:dyDescent="0.25">
      <c r="A47" s="85">
        <v>46034</v>
      </c>
      <c r="B47" t="s">
        <v>54</v>
      </c>
      <c r="C47">
        <v>25</v>
      </c>
      <c r="D47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 s="86">
        <f>AVERAGEIFS($C$2:C47, $B$2:B47, B47)</f>
        <v>27.75</v>
      </c>
      <c r="AI47" s="86">
        <f>AVERAGEIFS($I$2:I47, $B$2:B47, B47)</f>
        <v>0.4375</v>
      </c>
      <c r="AJ47" s="86">
        <f>AVERAGEIFS($J$2:J47, $B$2:B47, B47)</f>
        <v>0.52500000000000002</v>
      </c>
      <c r="AK47" s="86">
        <f>AVERAGEIFS($D$2:D47, $B$2:B47, B47)</f>
        <v>0.5</v>
      </c>
    </row>
    <row r="48" spans="1:37" x14ac:dyDescent="0.25">
      <c r="A48" s="85">
        <v>46034</v>
      </c>
      <c r="B48" t="s">
        <v>17</v>
      </c>
      <c r="C48">
        <v>19</v>
      </c>
      <c r="D48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 s="86">
        <f>AVERAGEIFS($C$2:C48, $B$2:B48, B48)</f>
        <v>22</v>
      </c>
      <c r="AI48" s="86">
        <f>AVERAGEIFS($I$2:I48, $B$2:B48, B48)</f>
        <v>0.26250000000000001</v>
      </c>
      <c r="AJ48" s="86">
        <f>AVERAGEIFS($J$2:J48, $B$2:B48, B48)</f>
        <v>0.39</v>
      </c>
      <c r="AK48" s="86">
        <f>AVERAGEIFS($D$2:D48, $B$2:B48, B48)</f>
        <v>0</v>
      </c>
    </row>
    <row r="49" spans="1:37" x14ac:dyDescent="0.25">
      <c r="A49" s="85">
        <v>46034</v>
      </c>
      <c r="B49" t="s">
        <v>6</v>
      </c>
      <c r="C49">
        <v>17</v>
      </c>
      <c r="D49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 s="86">
        <f>AVERAGEIFS($C$2:C49, $B$2:B49, B49)</f>
        <v>17.666666666666668</v>
      </c>
      <c r="AI49" s="86">
        <f>AVERAGEIFS($I$2:I49, $B$2:B49, B49)</f>
        <v>0.45</v>
      </c>
      <c r="AJ49" s="86">
        <f>AVERAGEIFS($J$2:J49, $B$2:B49, B49)</f>
        <v>0.46333333333333337</v>
      </c>
      <c r="AK49" s="86">
        <f>AVERAGEIFS($D$2:D49, $B$2:B49, B49)</f>
        <v>0.66666666666666663</v>
      </c>
    </row>
    <row r="50" spans="1:37" x14ac:dyDescent="0.25">
      <c r="A50" s="85">
        <v>46034</v>
      </c>
      <c r="B50" t="s">
        <v>35</v>
      </c>
      <c r="C50">
        <v>10</v>
      </c>
      <c r="D50">
        <v>0</v>
      </c>
      <c r="E50">
        <v>3</v>
      </c>
      <c r="F50">
        <v>0</v>
      </c>
      <c r="G50">
        <v>13</v>
      </c>
      <c r="H50">
        <v>4</v>
      </c>
      <c r="I50">
        <v>0</v>
      </c>
      <c r="J50">
        <v>0.31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 s="86">
        <f>AVERAGEIFS($C$2:C50, $B$2:B50, B50)</f>
        <v>11.75</v>
      </c>
      <c r="AI50" s="86">
        <f>AVERAGEIFS($I$2:I50, $B$2:B50, B50)</f>
        <v>0.4375</v>
      </c>
      <c r="AJ50" s="86">
        <f>AVERAGEIFS($J$2:J50, $B$2:B50, B50)</f>
        <v>0.52500000000000002</v>
      </c>
      <c r="AK50" s="86">
        <f>AVERAGEIFS($D$2:D50, $B$2:B50, B50)</f>
        <v>0.5</v>
      </c>
    </row>
    <row r="51" spans="1:37" x14ac:dyDescent="0.25">
      <c r="A51" s="85">
        <v>46034</v>
      </c>
      <c r="B51" t="s">
        <v>89</v>
      </c>
      <c r="C51">
        <v>3</v>
      </c>
      <c r="D51">
        <v>0</v>
      </c>
      <c r="E51">
        <v>3</v>
      </c>
      <c r="F51">
        <v>0</v>
      </c>
      <c r="G51">
        <v>13</v>
      </c>
      <c r="H51">
        <v>4</v>
      </c>
      <c r="I51">
        <v>0</v>
      </c>
      <c r="J51">
        <v>0.31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 s="86">
        <f>AVERAGEIFS($C$2:C51, $B$2:B51, B51)</f>
        <v>3</v>
      </c>
      <c r="AI51" s="86">
        <f>AVERAGEIFS($I$2:I51, $B$2:B51, B51)</f>
        <v>0</v>
      </c>
      <c r="AJ51" s="86">
        <f>AVERAGEIFS($J$2:J51, $B$2:B51, B51)</f>
        <v>0.31</v>
      </c>
      <c r="AK51" s="86">
        <f>AVERAGEIFS($D$2:D51, $B$2:B51, B51)</f>
        <v>0</v>
      </c>
    </row>
    <row r="52" spans="1:37" x14ac:dyDescent="0.25">
      <c r="A52" s="85">
        <v>46034</v>
      </c>
      <c r="B52" t="s">
        <v>55</v>
      </c>
      <c r="C52">
        <v>2</v>
      </c>
      <c r="D52">
        <v>0</v>
      </c>
      <c r="E52">
        <v>3</v>
      </c>
      <c r="F52">
        <v>0</v>
      </c>
      <c r="G52">
        <v>13</v>
      </c>
      <c r="H52">
        <v>4</v>
      </c>
      <c r="I52">
        <v>0</v>
      </c>
      <c r="J52">
        <v>0.31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 s="86">
        <f>AVERAGEIFS($C$2:C52, $B$2:B52, B52)</f>
        <v>2</v>
      </c>
      <c r="AI52" s="86">
        <f>AVERAGEIFS($I$2:I52, $B$2:B52, B52)</f>
        <v>0</v>
      </c>
      <c r="AJ52" s="86">
        <f>AVERAGEIFS($J$2:J52, $B$2:B52, B52)</f>
        <v>0.31</v>
      </c>
      <c r="AK52" s="86">
        <f>AVERAGEIFS($D$2:D52, $B$2:B52, B52)</f>
        <v>0</v>
      </c>
    </row>
    <row r="53" spans="1:37" x14ac:dyDescent="0.25">
      <c r="A53" s="85">
        <v>46036</v>
      </c>
      <c r="B53" t="s">
        <v>6</v>
      </c>
      <c r="C53">
        <v>35</v>
      </c>
      <c r="D53">
        <v>1</v>
      </c>
      <c r="E53">
        <v>3</v>
      </c>
      <c r="F53">
        <v>3</v>
      </c>
      <c r="G53">
        <v>14</v>
      </c>
      <c r="H53">
        <v>9</v>
      </c>
      <c r="I53">
        <v>1</v>
      </c>
      <c r="J53">
        <v>0.64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1</v>
      </c>
      <c r="AD53">
        <v>1</v>
      </c>
      <c r="AE53">
        <v>0</v>
      </c>
      <c r="AF53">
        <v>0</v>
      </c>
      <c r="AG53">
        <v>0</v>
      </c>
      <c r="AH53" s="86">
        <f>AVERAGEIFS($C$2:C53, $B$2:B53, B53)</f>
        <v>22</v>
      </c>
      <c r="AI53" s="86">
        <f>AVERAGEIFS($I$2:I53, $B$2:B53, B53)</f>
        <v>0.58750000000000002</v>
      </c>
      <c r="AJ53" s="86">
        <f>AVERAGEIFS($J$2:J53, $B$2:B53, B53)</f>
        <v>0.50750000000000006</v>
      </c>
      <c r="AK53" s="86">
        <f>AVERAGEIFS($D$2:D53, $B$2:B53, B53)</f>
        <v>0.75</v>
      </c>
    </row>
    <row r="54" spans="1:37" x14ac:dyDescent="0.25">
      <c r="A54" s="85">
        <v>46036</v>
      </c>
      <c r="B54" t="s">
        <v>54</v>
      </c>
      <c r="C54">
        <v>24</v>
      </c>
      <c r="D54">
        <v>1</v>
      </c>
      <c r="E54">
        <v>3</v>
      </c>
      <c r="F54">
        <v>3</v>
      </c>
      <c r="G54">
        <v>14</v>
      </c>
      <c r="H54">
        <v>9</v>
      </c>
      <c r="I54">
        <v>1</v>
      </c>
      <c r="J54">
        <v>0.64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1</v>
      </c>
      <c r="AD54">
        <v>1</v>
      </c>
      <c r="AE54">
        <v>0</v>
      </c>
      <c r="AF54">
        <v>0</v>
      </c>
      <c r="AG54">
        <v>0</v>
      </c>
      <c r="AH54" s="86">
        <f>AVERAGEIFS($C$2:C54, $B$2:B54, B54)</f>
        <v>27</v>
      </c>
      <c r="AI54" s="86">
        <f>AVERAGEIFS($I$2:I54, $B$2:B54, B54)</f>
        <v>0.55000000000000004</v>
      </c>
      <c r="AJ54" s="86">
        <f>AVERAGEIFS($J$2:J54, $B$2:B54, B54)</f>
        <v>0.54800000000000004</v>
      </c>
      <c r="AK54" s="86">
        <f>AVERAGEIFS($D$2:D54, $B$2:B54, B54)</f>
        <v>0.6</v>
      </c>
    </row>
    <row r="55" spans="1:37" x14ac:dyDescent="0.25">
      <c r="A55" s="85">
        <v>46036</v>
      </c>
      <c r="B55" t="s">
        <v>5</v>
      </c>
      <c r="C55">
        <v>23</v>
      </c>
      <c r="D55">
        <v>1</v>
      </c>
      <c r="E55">
        <v>3</v>
      </c>
      <c r="F55">
        <v>3</v>
      </c>
      <c r="G55">
        <v>14</v>
      </c>
      <c r="H55">
        <v>9</v>
      </c>
      <c r="I55">
        <v>1</v>
      </c>
      <c r="J55">
        <v>0.64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1</v>
      </c>
      <c r="AD55">
        <v>1</v>
      </c>
      <c r="AE55">
        <v>0</v>
      </c>
      <c r="AF55">
        <v>0</v>
      </c>
      <c r="AG55">
        <v>0</v>
      </c>
      <c r="AH55" s="86">
        <f>AVERAGEIFS($C$2:C55, $B$2:B55, B55)</f>
        <v>23</v>
      </c>
      <c r="AI55" s="86">
        <f>AVERAGEIFS($I$2:I55, $B$2:B55, B55)</f>
        <v>0.91666666666666663</v>
      </c>
      <c r="AJ55" s="86">
        <f>AVERAGEIFS($J$2:J55, $B$2:B55, B55)</f>
        <v>0.64333333333333342</v>
      </c>
      <c r="AK55" s="86">
        <f>AVERAGEIFS($D$2:D55, $B$2:B55, B55)</f>
        <v>1</v>
      </c>
    </row>
    <row r="56" spans="1:37" x14ac:dyDescent="0.25">
      <c r="A56" s="85">
        <v>46036</v>
      </c>
      <c r="B56" t="s">
        <v>53</v>
      </c>
      <c r="C56">
        <v>22</v>
      </c>
      <c r="D56">
        <v>1</v>
      </c>
      <c r="E56">
        <v>3</v>
      </c>
      <c r="F56">
        <v>3</v>
      </c>
      <c r="G56">
        <v>14</v>
      </c>
      <c r="H56">
        <v>9</v>
      </c>
      <c r="I56">
        <v>1</v>
      </c>
      <c r="J56">
        <v>0.64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1</v>
      </c>
      <c r="AD56">
        <v>1</v>
      </c>
      <c r="AE56">
        <v>0</v>
      </c>
      <c r="AF56">
        <v>0</v>
      </c>
      <c r="AG56">
        <v>0</v>
      </c>
      <c r="AH56" s="86">
        <f>AVERAGEIFS($C$2:C56, $B$2:B56, B56)</f>
        <v>23.25</v>
      </c>
      <c r="AI56" s="86">
        <f>AVERAGEIFS($I$2:I56, $B$2:B56, B56)</f>
        <v>0.7</v>
      </c>
      <c r="AJ56" s="86">
        <f>AVERAGEIFS($J$2:J56, $B$2:B56, B56)</f>
        <v>0.54500000000000004</v>
      </c>
      <c r="AK56" s="86">
        <f>AVERAGEIFS($D$2:D56, $B$2:B56, B56)</f>
        <v>0.5</v>
      </c>
    </row>
    <row r="57" spans="1:37" x14ac:dyDescent="0.25">
      <c r="A57" s="85">
        <v>46036</v>
      </c>
      <c r="B57" t="s">
        <v>37</v>
      </c>
      <c r="C57">
        <v>12</v>
      </c>
      <c r="D57">
        <v>1</v>
      </c>
      <c r="E57">
        <v>3</v>
      </c>
      <c r="F57">
        <v>3</v>
      </c>
      <c r="G57">
        <v>14</v>
      </c>
      <c r="H57">
        <v>9</v>
      </c>
      <c r="I57">
        <v>1</v>
      </c>
      <c r="J57">
        <v>0.64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1</v>
      </c>
      <c r="AD57">
        <v>1</v>
      </c>
      <c r="AE57">
        <v>0</v>
      </c>
      <c r="AF57">
        <v>0</v>
      </c>
      <c r="AG57">
        <v>0</v>
      </c>
      <c r="AH57" s="86">
        <f>AVERAGEIFS($C$2:C57, $B$2:B57, B57)</f>
        <v>12</v>
      </c>
      <c r="AI57" s="86">
        <f>AVERAGEIFS($I$2:I57, $B$2:B57, B57)</f>
        <v>1</v>
      </c>
      <c r="AJ57" s="86">
        <f>AVERAGEIFS($J$2:J57, $B$2:B57, B57)</f>
        <v>0.64</v>
      </c>
      <c r="AK57" s="86">
        <f>AVERAGEIFS($D$2:D57, $B$2:B57, B57)</f>
        <v>1</v>
      </c>
    </row>
    <row r="58" spans="1:37" x14ac:dyDescent="0.25">
      <c r="A58" s="85">
        <v>46036</v>
      </c>
      <c r="B58" t="s">
        <v>90</v>
      </c>
      <c r="C58">
        <v>3</v>
      </c>
      <c r="D58">
        <v>1</v>
      </c>
      <c r="E58">
        <v>3</v>
      </c>
      <c r="F58">
        <v>3</v>
      </c>
      <c r="G58">
        <v>14</v>
      </c>
      <c r="H58">
        <v>9</v>
      </c>
      <c r="I58">
        <v>1</v>
      </c>
      <c r="J58">
        <v>0.64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1</v>
      </c>
      <c r="AD58">
        <v>1</v>
      </c>
      <c r="AE58">
        <v>0</v>
      </c>
      <c r="AF58">
        <v>0</v>
      </c>
      <c r="AG58">
        <v>0</v>
      </c>
      <c r="AH58" s="86">
        <f>AVERAGEIFS($C$2:C58, $B$2:B58, B58)</f>
        <v>3</v>
      </c>
      <c r="AI58" s="86">
        <f>AVERAGEIFS($I$2:I58, $B$2:B58, B58)</f>
        <v>1</v>
      </c>
      <c r="AJ58" s="86">
        <f>AVERAGEIFS($J$2:J58, $B$2:B58, B58)</f>
        <v>0.64</v>
      </c>
      <c r="AK58" s="86">
        <f>AVERAGEIFS($D$2:D58, $B$2:B58, B58)</f>
        <v>1</v>
      </c>
    </row>
    <row r="59" spans="1:37" x14ac:dyDescent="0.25">
      <c r="A59" s="85">
        <v>46036</v>
      </c>
      <c r="B59" t="s">
        <v>1</v>
      </c>
      <c r="C59">
        <v>25</v>
      </c>
      <c r="D59">
        <v>0</v>
      </c>
      <c r="E59">
        <v>3</v>
      </c>
      <c r="F59">
        <v>0</v>
      </c>
      <c r="G59">
        <v>14</v>
      </c>
      <c r="H59">
        <v>5</v>
      </c>
      <c r="I59">
        <v>0</v>
      </c>
      <c r="J59">
        <v>0.36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 s="86">
        <f>AVERAGEIFS($C$2:C59, $B$2:B59, B59)</f>
        <v>28.5</v>
      </c>
      <c r="AI59" s="86">
        <f>AVERAGEIFS($I$2:I59, $B$2:B59, B59)</f>
        <v>0.3</v>
      </c>
      <c r="AJ59" s="86">
        <f>AVERAGEIFS($J$2:J59, $B$2:B59, B59)</f>
        <v>0.42</v>
      </c>
      <c r="AK59" s="86">
        <f>AVERAGEIFS($D$2:D59, $B$2:B59, B59)</f>
        <v>0.5</v>
      </c>
    </row>
    <row r="60" spans="1:37" x14ac:dyDescent="0.25">
      <c r="A60" s="85">
        <v>46036</v>
      </c>
      <c r="B60" t="s">
        <v>28</v>
      </c>
      <c r="C60">
        <v>19</v>
      </c>
      <c r="D60">
        <v>0</v>
      </c>
      <c r="E60">
        <v>3</v>
      </c>
      <c r="F60">
        <v>0</v>
      </c>
      <c r="G60">
        <v>14</v>
      </c>
      <c r="H60">
        <v>5</v>
      </c>
      <c r="I60">
        <v>0</v>
      </c>
      <c r="J60">
        <v>0.36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 s="86">
        <f>AVERAGEIFS($C$2:C60, $B$2:B60, B60)</f>
        <v>15.333333333333334</v>
      </c>
      <c r="AI60" s="86">
        <f>AVERAGEIFS($I$2:I60, $B$2:B60, B60)</f>
        <v>0.28333333333333333</v>
      </c>
      <c r="AJ60" s="86">
        <f>AVERAGEIFS($J$2:J60, $B$2:B60, B60)</f>
        <v>0.47666666666666674</v>
      </c>
      <c r="AK60" s="86">
        <f>AVERAGEIFS($D$2:D60, $B$2:B60, B60)</f>
        <v>0.33333333333333331</v>
      </c>
    </row>
    <row r="61" spans="1:37" x14ac:dyDescent="0.25">
      <c r="A61" s="85">
        <v>46036</v>
      </c>
      <c r="B61" t="s">
        <v>35</v>
      </c>
      <c r="C61">
        <v>17</v>
      </c>
      <c r="D61">
        <v>0</v>
      </c>
      <c r="E61">
        <v>3</v>
      </c>
      <c r="F61">
        <v>0</v>
      </c>
      <c r="G61">
        <v>14</v>
      </c>
      <c r="H61">
        <v>5</v>
      </c>
      <c r="I61">
        <v>0</v>
      </c>
      <c r="J61">
        <v>0.36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 s="86">
        <f>AVERAGEIFS($C$2:C61, $B$2:B61, B61)</f>
        <v>12.8</v>
      </c>
      <c r="AI61" s="86">
        <f>AVERAGEIFS($I$2:I61, $B$2:B61, B61)</f>
        <v>0.35</v>
      </c>
      <c r="AJ61" s="86">
        <f>AVERAGEIFS($J$2:J61, $B$2:B61, B61)</f>
        <v>0.49199999999999999</v>
      </c>
      <c r="AK61" s="86">
        <f>AVERAGEIFS($D$2:D61, $B$2:B61, B61)</f>
        <v>0.4</v>
      </c>
    </row>
    <row r="62" spans="1:37" x14ac:dyDescent="0.25">
      <c r="A62" s="85">
        <v>46036</v>
      </c>
      <c r="B62" t="s">
        <v>50</v>
      </c>
      <c r="C62">
        <v>16</v>
      </c>
      <c r="D62">
        <v>0</v>
      </c>
      <c r="E62">
        <v>3</v>
      </c>
      <c r="F62">
        <v>0</v>
      </c>
      <c r="G62">
        <v>14</v>
      </c>
      <c r="H62">
        <v>5</v>
      </c>
      <c r="I62">
        <v>0</v>
      </c>
      <c r="J62">
        <v>0.36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 s="86">
        <f>AVERAGEIFS($C$2:C62, $B$2:B62, B62)</f>
        <v>21.6</v>
      </c>
      <c r="AI62" s="86">
        <f>AVERAGEIFS($I$2:I62, $B$2:B62, B62)</f>
        <v>0.49000000000000005</v>
      </c>
      <c r="AJ62" s="86">
        <f>AVERAGEIFS($J$2:J62, $B$2:B62, B62)</f>
        <v>0.51999999999999991</v>
      </c>
      <c r="AK62" s="86">
        <f>AVERAGEIFS($D$2:D62, $B$2:B62, B62)</f>
        <v>0.6</v>
      </c>
    </row>
    <row r="63" spans="1:37" x14ac:dyDescent="0.25">
      <c r="A63" s="85">
        <v>46036</v>
      </c>
      <c r="B63" t="s">
        <v>2</v>
      </c>
      <c r="C63">
        <v>15</v>
      </c>
      <c r="D63">
        <v>0</v>
      </c>
      <c r="E63">
        <v>3</v>
      </c>
      <c r="F63">
        <v>0</v>
      </c>
      <c r="G63">
        <v>14</v>
      </c>
      <c r="H63">
        <v>5</v>
      </c>
      <c r="I63">
        <v>0</v>
      </c>
      <c r="J63">
        <v>0.36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 s="86">
        <f>AVERAGEIFS($C$2:C63, $B$2:B63, B63)</f>
        <v>15</v>
      </c>
      <c r="AI63" s="86">
        <f>AVERAGEIFS($I$2:I63, $B$2:B63, B63)</f>
        <v>0</v>
      </c>
      <c r="AJ63" s="86">
        <f>AVERAGEIFS($J$2:J63, $B$2:B63, B63)</f>
        <v>0.36</v>
      </c>
      <c r="AK63" s="86">
        <f>AVERAGEIFS($D$2:D63, $B$2:B63, B63)</f>
        <v>0</v>
      </c>
    </row>
    <row r="64" spans="1:37" x14ac:dyDescent="0.25">
      <c r="A64" s="85">
        <v>46036</v>
      </c>
      <c r="B64" t="s">
        <v>3</v>
      </c>
      <c r="C64">
        <v>7</v>
      </c>
      <c r="D64">
        <v>0</v>
      </c>
      <c r="E64">
        <v>3</v>
      </c>
      <c r="F64">
        <v>0</v>
      </c>
      <c r="G64">
        <v>14</v>
      </c>
      <c r="H64">
        <v>5</v>
      </c>
      <c r="I64">
        <v>0</v>
      </c>
      <c r="J64">
        <v>0.36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 s="86">
        <f>AVERAGEIFS($C$2:C64, $B$2:B64, B64)</f>
        <v>17.333333333333332</v>
      </c>
      <c r="AI64" s="86">
        <f>AVERAGEIFS($I$2:I64, $B$2:B64, B64)</f>
        <v>0.45</v>
      </c>
      <c r="AJ64" s="86">
        <f>AVERAGEIFS($J$2:J64, $B$2:B64, B64)</f>
        <v>0.48</v>
      </c>
      <c r="AK64" s="86">
        <f>AVERAGEIFS($D$2:D64, $B$2:B64, B64)</f>
        <v>0.66666666666666663</v>
      </c>
    </row>
    <row r="65" spans="1:37" x14ac:dyDescent="0.25">
      <c r="A65" s="85">
        <v>46052</v>
      </c>
      <c r="B65" t="s">
        <v>2</v>
      </c>
      <c r="C65">
        <v>22</v>
      </c>
      <c r="D65">
        <v>1</v>
      </c>
      <c r="E65">
        <v>3</v>
      </c>
      <c r="F65">
        <v>3</v>
      </c>
      <c r="G65">
        <v>11</v>
      </c>
      <c r="H65">
        <v>9</v>
      </c>
      <c r="I65">
        <v>1</v>
      </c>
      <c r="J65">
        <v>0.82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1</v>
      </c>
      <c r="AA65">
        <v>0</v>
      </c>
      <c r="AB65">
        <v>0</v>
      </c>
      <c r="AC65">
        <v>1</v>
      </c>
      <c r="AD65">
        <v>0</v>
      </c>
      <c r="AE65">
        <v>0</v>
      </c>
      <c r="AF65">
        <v>0</v>
      </c>
      <c r="AG65">
        <v>0</v>
      </c>
      <c r="AH65" s="86">
        <f>AVERAGEIFS($C$2:C65, $B$2:B65, B65)</f>
        <v>18.5</v>
      </c>
      <c r="AI65" s="86">
        <f>AVERAGEIFS($I$2:I65, $B$2:B65, B65)</f>
        <v>0.5</v>
      </c>
      <c r="AJ65" s="86">
        <f>AVERAGEIFS($J$2:J65, $B$2:B65, B65)</f>
        <v>0.59</v>
      </c>
      <c r="AK65" s="86">
        <f>AVERAGEIFS($D$2:D65, $B$2:B65, B65)</f>
        <v>0.5</v>
      </c>
    </row>
    <row r="66" spans="1:37" x14ac:dyDescent="0.25">
      <c r="A66" s="85">
        <v>46052</v>
      </c>
      <c r="B66" t="s">
        <v>6</v>
      </c>
      <c r="C66">
        <v>19</v>
      </c>
      <c r="D66">
        <v>1</v>
      </c>
      <c r="E66">
        <v>3</v>
      </c>
      <c r="F66">
        <v>3</v>
      </c>
      <c r="G66">
        <v>11</v>
      </c>
      <c r="H66">
        <v>9</v>
      </c>
      <c r="I66">
        <v>1</v>
      </c>
      <c r="J66">
        <v>0.82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1</v>
      </c>
      <c r="AA66">
        <v>0</v>
      </c>
      <c r="AB66">
        <v>0</v>
      </c>
      <c r="AC66">
        <v>1</v>
      </c>
      <c r="AD66">
        <v>0</v>
      </c>
      <c r="AE66">
        <v>0</v>
      </c>
      <c r="AF66">
        <v>0</v>
      </c>
      <c r="AG66">
        <v>0</v>
      </c>
      <c r="AH66" s="86">
        <f>AVERAGEIFS($C$2:C66, $B$2:B66, B66)</f>
        <v>21.4</v>
      </c>
      <c r="AI66" s="86">
        <f>AVERAGEIFS($I$2:I66, $B$2:B66, B66)</f>
        <v>0.67</v>
      </c>
      <c r="AJ66" s="86">
        <f>AVERAGEIFS($J$2:J66, $B$2:B66, B66)</f>
        <v>0.57000000000000006</v>
      </c>
      <c r="AK66" s="86">
        <f>AVERAGEIFS($D$2:D66, $B$2:B66, B66)</f>
        <v>0.8</v>
      </c>
    </row>
    <row r="67" spans="1:37" x14ac:dyDescent="0.25">
      <c r="A67" s="85">
        <v>46052</v>
      </c>
      <c r="B67" t="s">
        <v>19</v>
      </c>
      <c r="C67">
        <v>11</v>
      </c>
      <c r="D67">
        <v>1</v>
      </c>
      <c r="E67">
        <v>3</v>
      </c>
      <c r="F67">
        <v>3</v>
      </c>
      <c r="G67">
        <v>11</v>
      </c>
      <c r="H67">
        <v>9</v>
      </c>
      <c r="I67">
        <v>1</v>
      </c>
      <c r="J67">
        <v>0.82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1</v>
      </c>
      <c r="AA67">
        <v>0</v>
      </c>
      <c r="AB67">
        <v>0</v>
      </c>
      <c r="AC67">
        <v>1</v>
      </c>
      <c r="AD67">
        <v>0</v>
      </c>
      <c r="AE67">
        <v>0</v>
      </c>
      <c r="AF67">
        <v>0</v>
      </c>
      <c r="AG67">
        <v>0</v>
      </c>
      <c r="AH67" s="86">
        <f>AVERAGEIFS($C$2:C67, $B$2:B67, B67)</f>
        <v>9.5</v>
      </c>
      <c r="AI67" s="86">
        <f>AVERAGEIFS($I$2:I67, $B$2:B67, B67)</f>
        <v>0.8</v>
      </c>
      <c r="AJ67" s="86">
        <f>AVERAGEIFS($J$2:J67, $B$2:B67, B67)</f>
        <v>0.66499999999999992</v>
      </c>
      <c r="AK67" s="86">
        <f>AVERAGEIFS($D$2:D67, $B$2:B67, B67)</f>
        <v>1</v>
      </c>
    </row>
    <row r="68" spans="1:37" x14ac:dyDescent="0.25">
      <c r="A68" s="85">
        <v>46052</v>
      </c>
      <c r="B68" t="s">
        <v>50</v>
      </c>
      <c r="C68">
        <v>11</v>
      </c>
      <c r="D68">
        <v>1</v>
      </c>
      <c r="E68">
        <v>3</v>
      </c>
      <c r="F68">
        <v>3</v>
      </c>
      <c r="G68">
        <v>11</v>
      </c>
      <c r="H68">
        <v>9</v>
      </c>
      <c r="I68">
        <v>1</v>
      </c>
      <c r="J68">
        <v>0.82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1</v>
      </c>
      <c r="Y68">
        <v>0</v>
      </c>
      <c r="Z68">
        <v>1</v>
      </c>
      <c r="AA68">
        <v>0</v>
      </c>
      <c r="AB68">
        <v>0</v>
      </c>
      <c r="AC68">
        <v>1</v>
      </c>
      <c r="AD68">
        <v>0</v>
      </c>
      <c r="AE68">
        <v>0</v>
      </c>
      <c r="AF68">
        <v>0</v>
      </c>
      <c r="AG68">
        <v>0</v>
      </c>
      <c r="AH68" s="86">
        <f>AVERAGEIFS($C$2:C68, $B$2:B68, B68)</f>
        <v>19.833333333333332</v>
      </c>
      <c r="AI68" s="86">
        <f>AVERAGEIFS($I$2:I68, $B$2:B68, B68)</f>
        <v>0.57500000000000007</v>
      </c>
      <c r="AJ68" s="86">
        <f>AVERAGEIFS($J$2:J68, $B$2:B68, B68)</f>
        <v>0.56999999999999995</v>
      </c>
      <c r="AK68" s="86">
        <f>AVERAGEIFS($D$2:D68, $B$2:B68, B68)</f>
        <v>0.66666666666666663</v>
      </c>
    </row>
    <row r="69" spans="1:37" x14ac:dyDescent="0.25">
      <c r="A69" s="85">
        <v>46052</v>
      </c>
      <c r="B69" t="s">
        <v>28</v>
      </c>
      <c r="C69">
        <v>7</v>
      </c>
      <c r="D69">
        <v>1</v>
      </c>
      <c r="E69">
        <v>3</v>
      </c>
      <c r="F69">
        <v>3</v>
      </c>
      <c r="G69">
        <v>11</v>
      </c>
      <c r="H69">
        <v>9</v>
      </c>
      <c r="I69">
        <v>1</v>
      </c>
      <c r="J69">
        <v>0.82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1</v>
      </c>
      <c r="Y69">
        <v>0</v>
      </c>
      <c r="Z69">
        <v>1</v>
      </c>
      <c r="AA69">
        <v>0</v>
      </c>
      <c r="AB69">
        <v>0</v>
      </c>
      <c r="AC69">
        <v>1</v>
      </c>
      <c r="AD69">
        <v>0</v>
      </c>
      <c r="AE69">
        <v>0</v>
      </c>
      <c r="AF69">
        <v>0</v>
      </c>
      <c r="AG69">
        <v>0</v>
      </c>
      <c r="AH69" s="86">
        <f>AVERAGEIFS($C$2:C69, $B$2:B69, B69)</f>
        <v>13.25</v>
      </c>
      <c r="AI69" s="86">
        <f>AVERAGEIFS($I$2:I69, $B$2:B69, B69)</f>
        <v>0.46250000000000002</v>
      </c>
      <c r="AJ69" s="86">
        <f>AVERAGEIFS($J$2:J69, $B$2:B69, B69)</f>
        <v>0.5625</v>
      </c>
      <c r="AK69" s="86">
        <f>AVERAGEIFS($D$2:D69, $B$2:B69, B69)</f>
        <v>0.5</v>
      </c>
    </row>
    <row r="70" spans="1:37" x14ac:dyDescent="0.25">
      <c r="A70" s="85">
        <v>46052</v>
      </c>
      <c r="B70" t="s">
        <v>35</v>
      </c>
      <c r="C70">
        <v>6</v>
      </c>
      <c r="D70">
        <v>1</v>
      </c>
      <c r="E70">
        <v>3</v>
      </c>
      <c r="F70">
        <v>3</v>
      </c>
      <c r="G70">
        <v>11</v>
      </c>
      <c r="H70">
        <v>9</v>
      </c>
      <c r="I70">
        <v>1</v>
      </c>
      <c r="J70">
        <v>0.82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1</v>
      </c>
      <c r="Y70">
        <v>0</v>
      </c>
      <c r="Z70">
        <v>1</v>
      </c>
      <c r="AA70">
        <v>0</v>
      </c>
      <c r="AB70">
        <v>0</v>
      </c>
      <c r="AC70">
        <v>1</v>
      </c>
      <c r="AD70">
        <v>0</v>
      </c>
      <c r="AE70">
        <v>0</v>
      </c>
      <c r="AF70">
        <v>0</v>
      </c>
      <c r="AG70">
        <v>0</v>
      </c>
      <c r="AH70" s="86">
        <f>AVERAGEIFS($C$2:C70, $B$2:B70, B70)</f>
        <v>11.666666666666666</v>
      </c>
      <c r="AI70" s="86">
        <f>AVERAGEIFS($I$2:I70, $B$2:B70, B70)</f>
        <v>0.45833333333333331</v>
      </c>
      <c r="AJ70" s="86">
        <f>AVERAGEIFS($J$2:J70, $B$2:B70, B70)</f>
        <v>0.54666666666666663</v>
      </c>
      <c r="AK70" s="86">
        <f>AVERAGEIFS($D$2:D70, $B$2:B70, B70)</f>
        <v>0.5</v>
      </c>
    </row>
    <row r="71" spans="1:37" x14ac:dyDescent="0.25">
      <c r="A71" s="85">
        <v>46052</v>
      </c>
      <c r="B71" t="s">
        <v>17</v>
      </c>
      <c r="C71">
        <v>20</v>
      </c>
      <c r="D71">
        <v>0</v>
      </c>
      <c r="E71">
        <v>3</v>
      </c>
      <c r="F71">
        <v>0</v>
      </c>
      <c r="G71">
        <v>11</v>
      </c>
      <c r="H71">
        <v>2</v>
      </c>
      <c r="I71">
        <v>0</v>
      </c>
      <c r="J71">
        <v>0.18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 s="86">
        <f>AVERAGEIFS($C$2:C71, $B$2:B71, B71)</f>
        <v>21.6</v>
      </c>
      <c r="AI71" s="86">
        <f>AVERAGEIFS($I$2:I71, $B$2:B71, B71)</f>
        <v>0.21000000000000002</v>
      </c>
      <c r="AJ71" s="86">
        <f>AVERAGEIFS($J$2:J71, $B$2:B71, B71)</f>
        <v>0.34799999999999998</v>
      </c>
      <c r="AK71" s="86">
        <f>AVERAGEIFS($D$2:D71, $B$2:B71, B71)</f>
        <v>0</v>
      </c>
    </row>
    <row r="72" spans="1:37" x14ac:dyDescent="0.25">
      <c r="A72" s="85">
        <v>46052</v>
      </c>
      <c r="B72" t="s">
        <v>54</v>
      </c>
      <c r="C72">
        <v>17</v>
      </c>
      <c r="D72">
        <v>0</v>
      </c>
      <c r="E72">
        <v>3</v>
      </c>
      <c r="F72">
        <v>0</v>
      </c>
      <c r="G72">
        <v>11</v>
      </c>
      <c r="H72">
        <v>2</v>
      </c>
      <c r="I72">
        <v>0</v>
      </c>
      <c r="J72">
        <v>0.18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 s="86">
        <f>AVERAGEIFS($C$2:C72, $B$2:B72, B72)</f>
        <v>25.333333333333332</v>
      </c>
      <c r="AI72" s="86">
        <f>AVERAGEIFS($I$2:I72, $B$2:B72, B72)</f>
        <v>0.45833333333333331</v>
      </c>
      <c r="AJ72" s="86">
        <f>AVERAGEIFS($J$2:J72, $B$2:B72, B72)</f>
        <v>0.48666666666666675</v>
      </c>
      <c r="AK72" s="86">
        <f>AVERAGEIFS($D$2:D72, $B$2:B72, B72)</f>
        <v>0.5</v>
      </c>
    </row>
    <row r="73" spans="1:37" x14ac:dyDescent="0.25">
      <c r="A73" s="85">
        <v>46052</v>
      </c>
      <c r="B73" t="s">
        <v>14</v>
      </c>
      <c r="C73">
        <v>9</v>
      </c>
      <c r="D73">
        <v>0</v>
      </c>
      <c r="E73">
        <v>3</v>
      </c>
      <c r="F73">
        <v>0</v>
      </c>
      <c r="G73">
        <v>11</v>
      </c>
      <c r="H73">
        <v>2</v>
      </c>
      <c r="I73">
        <v>0</v>
      </c>
      <c r="J73">
        <v>0.18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 s="86">
        <f>AVERAGEIFS($C$2:C73, $B$2:B73, B73)</f>
        <v>17.5</v>
      </c>
      <c r="AI73" s="86">
        <f>AVERAGEIFS($I$2:I73, $B$2:B73, B73)</f>
        <v>0.3125</v>
      </c>
      <c r="AJ73" s="86">
        <f>AVERAGEIFS($J$2:J73, $B$2:B73, B73)</f>
        <v>0.44249999999999995</v>
      </c>
      <c r="AK73" s="86">
        <f>AVERAGEIFS($D$2:D73, $B$2:B73, B73)</f>
        <v>0.25</v>
      </c>
    </row>
    <row r="74" spans="1:37" x14ac:dyDescent="0.25">
      <c r="A74" s="85">
        <v>46052</v>
      </c>
      <c r="B74" t="s">
        <v>5</v>
      </c>
      <c r="C74">
        <v>6</v>
      </c>
      <c r="D74">
        <v>0</v>
      </c>
      <c r="E74">
        <v>3</v>
      </c>
      <c r="F74">
        <v>0</v>
      </c>
      <c r="G74">
        <v>11</v>
      </c>
      <c r="H74">
        <v>2</v>
      </c>
      <c r="I74">
        <v>0</v>
      </c>
      <c r="J74">
        <v>0.18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 s="86">
        <f>AVERAGEIFS($C$2:C74, $B$2:B74, B74)</f>
        <v>18.75</v>
      </c>
      <c r="AI74" s="86">
        <f>AVERAGEIFS($I$2:I74, $B$2:B74, B74)</f>
        <v>0.6875</v>
      </c>
      <c r="AJ74" s="86">
        <f>AVERAGEIFS($J$2:J74, $B$2:B74, B74)</f>
        <v>0.52750000000000008</v>
      </c>
      <c r="AK74" s="86">
        <f>AVERAGEIFS($D$2:D74, $B$2:B74, B74)</f>
        <v>0.75</v>
      </c>
    </row>
    <row r="75" spans="1:37" x14ac:dyDescent="0.25">
      <c r="A75" s="85">
        <v>46052</v>
      </c>
      <c r="B75" t="s">
        <v>51</v>
      </c>
      <c r="C75">
        <v>5</v>
      </c>
      <c r="D75">
        <v>0</v>
      </c>
      <c r="E75">
        <v>3</v>
      </c>
      <c r="F75">
        <v>0</v>
      </c>
      <c r="G75">
        <v>11</v>
      </c>
      <c r="H75">
        <v>2</v>
      </c>
      <c r="I75">
        <v>0</v>
      </c>
      <c r="J75">
        <v>0.18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 s="86">
        <f>AVERAGEIFS($C$2:C75, $B$2:B75, B75)</f>
        <v>5</v>
      </c>
      <c r="AI75" s="86">
        <f>AVERAGEIFS($I$2:I75, $B$2:B75, B75)</f>
        <v>0</v>
      </c>
      <c r="AJ75" s="86">
        <f>AVERAGEIFS($J$2:J75, $B$2:B75, B75)</f>
        <v>0.18</v>
      </c>
      <c r="AK75" s="86">
        <f>AVERAGEIFS($D$2:D75, $B$2:B75, B75)</f>
        <v>0</v>
      </c>
    </row>
    <row r="76" spans="1:37" x14ac:dyDescent="0.25">
      <c r="A76" s="85">
        <v>46052</v>
      </c>
      <c r="B76" t="s">
        <v>38</v>
      </c>
      <c r="C76">
        <v>2</v>
      </c>
      <c r="D76">
        <v>0</v>
      </c>
      <c r="E76">
        <v>3</v>
      </c>
      <c r="F76">
        <v>0</v>
      </c>
      <c r="G76">
        <v>11</v>
      </c>
      <c r="H76">
        <v>2</v>
      </c>
      <c r="I76">
        <v>0</v>
      </c>
      <c r="J76">
        <v>0.18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 s="86">
        <f>AVERAGEIFS($C$2:C76, $B$2:B76, B76)</f>
        <v>2</v>
      </c>
      <c r="AI76" s="86">
        <f>AVERAGEIFS($I$2:I76, $B$2:B76, B76)</f>
        <v>0</v>
      </c>
      <c r="AJ76" s="86">
        <f>AVERAGEIFS($J$2:J76, $B$2:B76, B76)</f>
        <v>0.18</v>
      </c>
      <c r="AK76" s="86">
        <f>AVERAGEIFS($D$2:D76, $B$2:B76, B76)</f>
        <v>0</v>
      </c>
    </row>
    <row r="77" spans="1:37" x14ac:dyDescent="0.25">
      <c r="A77" s="85">
        <v>46053</v>
      </c>
      <c r="B77" t="s">
        <v>54</v>
      </c>
      <c r="C77">
        <v>31</v>
      </c>
      <c r="D77">
        <v>1</v>
      </c>
      <c r="E77">
        <v>3</v>
      </c>
      <c r="F77">
        <v>2</v>
      </c>
      <c r="G77">
        <v>15</v>
      </c>
      <c r="H77">
        <v>8</v>
      </c>
      <c r="I77">
        <v>0.67</v>
      </c>
      <c r="J77">
        <v>0.53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>
        <v>0</v>
      </c>
      <c r="AB77">
        <v>0</v>
      </c>
      <c r="AC77">
        <v>0</v>
      </c>
      <c r="AD77">
        <v>1</v>
      </c>
      <c r="AE77">
        <v>0</v>
      </c>
      <c r="AF77">
        <v>0</v>
      </c>
      <c r="AG77">
        <v>0</v>
      </c>
      <c r="AH77" s="86">
        <f>AVERAGEIFS($C$2:C77, $B$2:B77, B77)</f>
        <v>26.142857142857142</v>
      </c>
      <c r="AI77" s="86">
        <f>AVERAGEIFS($I$2:I77, $B$2:B77, B77)</f>
        <v>0.48857142857142855</v>
      </c>
      <c r="AJ77" s="86">
        <f>AVERAGEIFS($J$2:J77, $B$2:B77, B77)</f>
        <v>0.49285714285714288</v>
      </c>
      <c r="AK77" s="86">
        <f>AVERAGEIFS($D$2:D77, $B$2:B77, B77)</f>
        <v>0.5714285714285714</v>
      </c>
    </row>
    <row r="78" spans="1:37" x14ac:dyDescent="0.25">
      <c r="A78" s="85">
        <v>46053</v>
      </c>
      <c r="B78" t="s">
        <v>17</v>
      </c>
      <c r="C78">
        <v>24</v>
      </c>
      <c r="D78">
        <v>1</v>
      </c>
      <c r="E78">
        <v>3</v>
      </c>
      <c r="F78">
        <v>2</v>
      </c>
      <c r="G78">
        <v>15</v>
      </c>
      <c r="H78">
        <v>8</v>
      </c>
      <c r="I78">
        <v>0.67</v>
      </c>
      <c r="J78">
        <v>0.53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>
        <v>0</v>
      </c>
      <c r="AB78">
        <v>0</v>
      </c>
      <c r="AC78">
        <v>0</v>
      </c>
      <c r="AD78">
        <v>1</v>
      </c>
      <c r="AE78">
        <v>0</v>
      </c>
      <c r="AF78">
        <v>0</v>
      </c>
      <c r="AG78">
        <v>0</v>
      </c>
      <c r="AH78" s="86">
        <f>AVERAGEIFS($C$2:C78, $B$2:B78, B78)</f>
        <v>22</v>
      </c>
      <c r="AI78" s="86">
        <f>AVERAGEIFS($I$2:I78, $B$2:B78, B78)</f>
        <v>0.28666666666666668</v>
      </c>
      <c r="AJ78" s="86">
        <f>AVERAGEIFS($J$2:J78, $B$2:B78, B78)</f>
        <v>0.37833333333333335</v>
      </c>
      <c r="AK78" s="86">
        <f>AVERAGEIFS($D$2:D78, $B$2:B78, B78)</f>
        <v>0.16666666666666666</v>
      </c>
    </row>
    <row r="79" spans="1:37" x14ac:dyDescent="0.25">
      <c r="A79" s="85">
        <v>46053</v>
      </c>
      <c r="B79" t="s">
        <v>14</v>
      </c>
      <c r="C79">
        <v>23</v>
      </c>
      <c r="D79">
        <v>1</v>
      </c>
      <c r="E79">
        <v>3</v>
      </c>
      <c r="F79">
        <v>2</v>
      </c>
      <c r="G79">
        <v>15</v>
      </c>
      <c r="H79">
        <v>8</v>
      </c>
      <c r="I79">
        <v>0.67</v>
      </c>
      <c r="J79">
        <v>0.53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>
        <v>0</v>
      </c>
      <c r="AB79">
        <v>0</v>
      </c>
      <c r="AC79">
        <v>0</v>
      </c>
      <c r="AD79">
        <v>1</v>
      </c>
      <c r="AE79">
        <v>0</v>
      </c>
      <c r="AF79">
        <v>0</v>
      </c>
      <c r="AG79">
        <v>0</v>
      </c>
      <c r="AH79" s="86">
        <f>AVERAGEIFS($C$2:C79, $B$2:B79, B79)</f>
        <v>18.600000000000001</v>
      </c>
      <c r="AI79" s="86">
        <f>AVERAGEIFS($I$2:I79, $B$2:B79, B79)</f>
        <v>0.38400000000000001</v>
      </c>
      <c r="AJ79" s="86">
        <f>AVERAGEIFS($J$2:J79, $B$2:B79, B79)</f>
        <v>0.45999999999999996</v>
      </c>
      <c r="AK79" s="86">
        <f>AVERAGEIFS($D$2:D79, $B$2:B79, B79)</f>
        <v>0.4</v>
      </c>
    </row>
    <row r="80" spans="1:37" x14ac:dyDescent="0.25">
      <c r="A80" s="85">
        <v>46053</v>
      </c>
      <c r="B80" t="s">
        <v>5</v>
      </c>
      <c r="C80">
        <v>22</v>
      </c>
      <c r="D80">
        <v>1</v>
      </c>
      <c r="E80">
        <v>3</v>
      </c>
      <c r="F80">
        <v>2</v>
      </c>
      <c r="G80">
        <v>15</v>
      </c>
      <c r="H80">
        <v>8</v>
      </c>
      <c r="I80">
        <v>0.67</v>
      </c>
      <c r="J80">
        <v>0.53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>
        <v>0</v>
      </c>
      <c r="AB80">
        <v>0</v>
      </c>
      <c r="AC80">
        <v>0</v>
      </c>
      <c r="AD80">
        <v>1</v>
      </c>
      <c r="AE80">
        <v>0</v>
      </c>
      <c r="AF80">
        <v>0</v>
      </c>
      <c r="AG80">
        <v>0</v>
      </c>
      <c r="AH80" s="86">
        <f>AVERAGEIFS($C$2:C80, $B$2:B80, B80)</f>
        <v>19.399999999999999</v>
      </c>
      <c r="AI80" s="86">
        <f>AVERAGEIFS($I$2:I80, $B$2:B80, B80)</f>
        <v>0.68399999999999994</v>
      </c>
      <c r="AJ80" s="86">
        <f>AVERAGEIFS($J$2:J80, $B$2:B80, B80)</f>
        <v>0.52800000000000014</v>
      </c>
      <c r="AK80" s="86">
        <f>AVERAGEIFS($D$2:D80, $B$2:B80, B80)</f>
        <v>0.8</v>
      </c>
    </row>
    <row r="81" spans="1:37" x14ac:dyDescent="0.25">
      <c r="A81" s="85">
        <v>46053</v>
      </c>
      <c r="B81" t="s">
        <v>51</v>
      </c>
      <c r="C81">
        <v>16</v>
      </c>
      <c r="D81">
        <v>1</v>
      </c>
      <c r="E81">
        <v>3</v>
      </c>
      <c r="F81">
        <v>2</v>
      </c>
      <c r="G81">
        <v>15</v>
      </c>
      <c r="H81">
        <v>8</v>
      </c>
      <c r="I81">
        <v>0.67</v>
      </c>
      <c r="J81">
        <v>0.53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1</v>
      </c>
      <c r="Z81">
        <v>0</v>
      </c>
      <c r="AA81">
        <v>0</v>
      </c>
      <c r="AB81">
        <v>0</v>
      </c>
      <c r="AC81">
        <v>0</v>
      </c>
      <c r="AD81">
        <v>1</v>
      </c>
      <c r="AE81">
        <v>0</v>
      </c>
      <c r="AF81">
        <v>0</v>
      </c>
      <c r="AG81">
        <v>0</v>
      </c>
      <c r="AH81" s="86">
        <f>AVERAGEIFS($C$2:C81, $B$2:B81, B81)</f>
        <v>10.5</v>
      </c>
      <c r="AI81" s="86">
        <f>AVERAGEIFS($I$2:I81, $B$2:B81, B81)</f>
        <v>0.33500000000000002</v>
      </c>
      <c r="AJ81" s="86">
        <f>AVERAGEIFS($J$2:J81, $B$2:B81, B81)</f>
        <v>0.35499999999999998</v>
      </c>
      <c r="AK81" s="86">
        <f>AVERAGEIFS($D$2:D81, $B$2:B81, B81)</f>
        <v>0.5</v>
      </c>
    </row>
    <row r="82" spans="1:37" x14ac:dyDescent="0.25">
      <c r="A82" s="85">
        <v>46053</v>
      </c>
      <c r="B82" t="s">
        <v>45</v>
      </c>
      <c r="C82">
        <v>3</v>
      </c>
      <c r="D82">
        <v>1</v>
      </c>
      <c r="E82">
        <v>3</v>
      </c>
      <c r="F82">
        <v>2</v>
      </c>
      <c r="G82">
        <v>15</v>
      </c>
      <c r="H82">
        <v>8</v>
      </c>
      <c r="I82">
        <v>0.67</v>
      </c>
      <c r="J82">
        <v>0.53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1</v>
      </c>
      <c r="Z82">
        <v>0</v>
      </c>
      <c r="AA82">
        <v>0</v>
      </c>
      <c r="AB82">
        <v>0</v>
      </c>
      <c r="AC82">
        <v>0</v>
      </c>
      <c r="AD82">
        <v>1</v>
      </c>
      <c r="AE82">
        <v>0</v>
      </c>
      <c r="AF82">
        <v>0</v>
      </c>
      <c r="AG82">
        <v>0</v>
      </c>
      <c r="AH82" s="86">
        <f>AVERAGEIFS($C$2:C82, $B$2:B82, B82)</f>
        <v>7</v>
      </c>
      <c r="AI82" s="86">
        <f>AVERAGEIFS($I$2:I82, $B$2:B82, B82)</f>
        <v>0.71</v>
      </c>
      <c r="AJ82" s="86">
        <f>AVERAGEIFS($J$2:J82, $B$2:B82, B82)</f>
        <v>0.56499999999999995</v>
      </c>
      <c r="AK82" s="86">
        <f>AVERAGEIFS($D$2:D82, $B$2:B82, B82)</f>
        <v>1</v>
      </c>
    </row>
    <row r="83" spans="1:37" x14ac:dyDescent="0.25">
      <c r="A83" s="85">
        <v>46053</v>
      </c>
      <c r="B83" t="s">
        <v>2</v>
      </c>
      <c r="C83">
        <v>27</v>
      </c>
      <c r="D83">
        <v>0</v>
      </c>
      <c r="E83">
        <v>3</v>
      </c>
      <c r="F83">
        <v>1</v>
      </c>
      <c r="G83">
        <v>15</v>
      </c>
      <c r="H83">
        <v>7</v>
      </c>
      <c r="I83">
        <v>0.33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1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 s="86">
        <f>AVERAGEIFS($C$2:C83, $B$2:B83, B83)</f>
        <v>21.333333333333332</v>
      </c>
      <c r="AI83" s="86">
        <f>AVERAGEIFS($I$2:I83, $B$2:B83, B83)</f>
        <v>0.44333333333333336</v>
      </c>
      <c r="AJ83" s="86">
        <f>AVERAGEIFS($J$2:J83, $B$2:B83, B83)</f>
        <v>0.54999999999999993</v>
      </c>
      <c r="AK83" s="86">
        <f>AVERAGEIFS($D$2:D83, $B$2:B83, B83)</f>
        <v>0.33333333333333331</v>
      </c>
    </row>
    <row r="84" spans="1:37" x14ac:dyDescent="0.25">
      <c r="A84" s="85">
        <v>46053</v>
      </c>
      <c r="B84" t="s">
        <v>28</v>
      </c>
      <c r="C84">
        <v>25</v>
      </c>
      <c r="D84">
        <v>0</v>
      </c>
      <c r="E84">
        <v>3</v>
      </c>
      <c r="F84">
        <v>1</v>
      </c>
      <c r="G84">
        <v>15</v>
      </c>
      <c r="H84">
        <v>7</v>
      </c>
      <c r="I84">
        <v>0.33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1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 s="86">
        <f>AVERAGEIFS($C$2:C84, $B$2:B84, B84)</f>
        <v>15.6</v>
      </c>
      <c r="AI84" s="86">
        <f>AVERAGEIFS($I$2:I84, $B$2:B84, B84)</f>
        <v>0.43600000000000005</v>
      </c>
      <c r="AJ84" s="86">
        <f>AVERAGEIFS($J$2:J84, $B$2:B84, B84)</f>
        <v>0.54399999999999993</v>
      </c>
      <c r="AK84" s="86">
        <f>AVERAGEIFS($D$2:D84, $B$2:B84, B84)</f>
        <v>0.4</v>
      </c>
    </row>
    <row r="85" spans="1:37" x14ac:dyDescent="0.25">
      <c r="A85" s="85">
        <v>46053</v>
      </c>
      <c r="B85" t="s">
        <v>6</v>
      </c>
      <c r="C85">
        <v>22</v>
      </c>
      <c r="D85">
        <v>0</v>
      </c>
      <c r="E85">
        <v>3</v>
      </c>
      <c r="F85">
        <v>1</v>
      </c>
      <c r="G85">
        <v>15</v>
      </c>
      <c r="H85">
        <v>7</v>
      </c>
      <c r="I85">
        <v>0.33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1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 s="86">
        <f>AVERAGEIFS($C$2:C85, $B$2:B85, B85)</f>
        <v>21.5</v>
      </c>
      <c r="AI85" s="86">
        <f>AVERAGEIFS($I$2:I85, $B$2:B85, B85)</f>
        <v>0.6133333333333334</v>
      </c>
      <c r="AJ85" s="86">
        <f>AVERAGEIFS($J$2:J85, $B$2:B85, B85)</f>
        <v>0.55333333333333334</v>
      </c>
      <c r="AK85" s="86">
        <f>AVERAGEIFS($D$2:D85, $B$2:B85, B85)</f>
        <v>0.66666666666666663</v>
      </c>
    </row>
    <row r="86" spans="1:37" x14ac:dyDescent="0.25">
      <c r="A86" s="85">
        <v>46053</v>
      </c>
      <c r="B86" t="s">
        <v>50</v>
      </c>
      <c r="C86">
        <v>16</v>
      </c>
      <c r="D86">
        <v>0</v>
      </c>
      <c r="E86">
        <v>3</v>
      </c>
      <c r="F86">
        <v>1</v>
      </c>
      <c r="G86">
        <v>15</v>
      </c>
      <c r="H86">
        <v>7</v>
      </c>
      <c r="I86">
        <v>0.33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1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 s="86">
        <f>AVERAGEIFS($C$2:C86, $B$2:B86, B86)</f>
        <v>19.285714285714285</v>
      </c>
      <c r="AI86" s="86">
        <f>AVERAGEIFS($I$2:I86, $B$2:B86, B86)</f>
        <v>0.54</v>
      </c>
      <c r="AJ86" s="86">
        <f>AVERAGEIFS($J$2:J86, $B$2:B86, B86)</f>
        <v>0.55571428571428572</v>
      </c>
      <c r="AK86" s="86">
        <f>AVERAGEIFS($D$2:D86, $B$2:B86, B86)</f>
        <v>0.5714285714285714</v>
      </c>
    </row>
    <row r="87" spans="1:37" x14ac:dyDescent="0.25">
      <c r="A87" s="85">
        <v>46053</v>
      </c>
      <c r="B87" t="s">
        <v>35</v>
      </c>
      <c r="C87">
        <v>14</v>
      </c>
      <c r="D87">
        <v>0</v>
      </c>
      <c r="E87">
        <v>3</v>
      </c>
      <c r="F87">
        <v>1</v>
      </c>
      <c r="G87">
        <v>15</v>
      </c>
      <c r="H87">
        <v>7</v>
      </c>
      <c r="I87">
        <v>0.33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1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 s="86">
        <f>AVERAGEIFS($C$2:C87, $B$2:B87, B87)</f>
        <v>12</v>
      </c>
      <c r="AI87" s="86">
        <f>AVERAGEIFS($I$2:I87, $B$2:B87, B87)</f>
        <v>0.44</v>
      </c>
      <c r="AJ87" s="86">
        <f>AVERAGEIFS($J$2:J87, $B$2:B87, B87)</f>
        <v>0.5357142857142857</v>
      </c>
      <c r="AK87" s="86">
        <f>AVERAGEIFS($D$2:D87, $B$2:B87, B87)</f>
        <v>0.42857142857142855</v>
      </c>
    </row>
    <row r="88" spans="1:37" x14ac:dyDescent="0.25">
      <c r="A88" s="85">
        <v>46053</v>
      </c>
      <c r="B88" t="s">
        <v>19</v>
      </c>
      <c r="C88">
        <v>8</v>
      </c>
      <c r="D88">
        <v>0</v>
      </c>
      <c r="E88">
        <v>3</v>
      </c>
      <c r="F88">
        <v>1</v>
      </c>
      <c r="G88">
        <v>15</v>
      </c>
      <c r="H88">
        <v>7</v>
      </c>
      <c r="I88">
        <v>0.33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1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 s="86">
        <f>AVERAGEIFS($C$2:C88, $B$2:B88, B88)</f>
        <v>9.1999999999999993</v>
      </c>
      <c r="AI88" s="86">
        <f>AVERAGEIFS($I$2:I88, $B$2:B88, B88)</f>
        <v>0.70600000000000007</v>
      </c>
      <c r="AJ88" s="86">
        <f>AVERAGEIFS($J$2:J88, $B$2:B88, B88)</f>
        <v>0.626</v>
      </c>
      <c r="AK88" s="86">
        <f>AVERAGEIFS($D$2:D88, $B$2:B88, B88)</f>
        <v>0.8</v>
      </c>
    </row>
    <row r="89" spans="1:37" x14ac:dyDescent="0.25">
      <c r="A89" s="85">
        <v>46056</v>
      </c>
      <c r="B89" t="s">
        <v>1</v>
      </c>
      <c r="C89">
        <v>23</v>
      </c>
      <c r="D89">
        <v>1</v>
      </c>
      <c r="E89">
        <v>4</v>
      </c>
      <c r="F89">
        <v>3</v>
      </c>
      <c r="G89">
        <v>15</v>
      </c>
      <c r="H89">
        <v>9</v>
      </c>
      <c r="I89">
        <v>0.75</v>
      </c>
      <c r="J89">
        <v>0.6</v>
      </c>
      <c r="K89">
        <v>1</v>
      </c>
      <c r="L89">
        <v>1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1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 s="86">
        <f>AVERAGEIFS($C$2:C89, $B$2:B89, B89)</f>
        <v>26.666666666666668</v>
      </c>
      <c r="AI89" s="86">
        <f>AVERAGEIFS($I$2:I89, $B$2:B89, B89)</f>
        <v>0.45</v>
      </c>
      <c r="AJ89" s="86">
        <f>AVERAGEIFS($J$2:J89, $B$2:B89, B89)</f>
        <v>0.48</v>
      </c>
      <c r="AK89" s="86">
        <f>AVERAGEIFS($D$2:D89, $B$2:B89, B89)</f>
        <v>0.66666666666666663</v>
      </c>
    </row>
    <row r="90" spans="1:37" x14ac:dyDescent="0.25">
      <c r="A90" s="85">
        <v>46056</v>
      </c>
      <c r="B90" t="s">
        <v>50</v>
      </c>
      <c r="C90">
        <v>22</v>
      </c>
      <c r="D90">
        <v>1</v>
      </c>
      <c r="E90">
        <v>4</v>
      </c>
      <c r="F90">
        <v>3</v>
      </c>
      <c r="G90">
        <v>15</v>
      </c>
      <c r="H90">
        <v>9</v>
      </c>
      <c r="I90">
        <v>0.75</v>
      </c>
      <c r="J90">
        <v>0.6</v>
      </c>
      <c r="K90">
        <v>1</v>
      </c>
      <c r="L90">
        <v>1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1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 s="86">
        <f>AVERAGEIFS($C$2:C90, $B$2:B90, B90)</f>
        <v>19.625</v>
      </c>
      <c r="AI90" s="86">
        <f>AVERAGEIFS($I$2:I90, $B$2:B90, B90)</f>
        <v>0.56625000000000003</v>
      </c>
      <c r="AJ90" s="86">
        <f>AVERAGEIFS($J$2:J90, $B$2:B90, B90)</f>
        <v>0.56124999999999992</v>
      </c>
      <c r="AK90" s="86">
        <f>AVERAGEIFS($D$2:D90, $B$2:B90, B90)</f>
        <v>0.625</v>
      </c>
    </row>
    <row r="91" spans="1:37" x14ac:dyDescent="0.25">
      <c r="A91" s="85">
        <v>46056</v>
      </c>
      <c r="B91" t="s">
        <v>37</v>
      </c>
      <c r="C91">
        <v>19</v>
      </c>
      <c r="D91">
        <v>1</v>
      </c>
      <c r="E91">
        <v>4</v>
      </c>
      <c r="F91">
        <v>3</v>
      </c>
      <c r="G91">
        <v>15</v>
      </c>
      <c r="H91">
        <v>9</v>
      </c>
      <c r="I91">
        <v>0.75</v>
      </c>
      <c r="J91">
        <v>0.6</v>
      </c>
      <c r="K91">
        <v>1</v>
      </c>
      <c r="L91">
        <v>1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1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 s="86">
        <f>AVERAGEIFS($C$2:C91, $B$2:B91, B91)</f>
        <v>15.5</v>
      </c>
      <c r="AI91" s="86">
        <f>AVERAGEIFS($I$2:I91, $B$2:B91, B91)</f>
        <v>0.875</v>
      </c>
      <c r="AJ91" s="86">
        <f>AVERAGEIFS($J$2:J91, $B$2:B91, B91)</f>
        <v>0.62</v>
      </c>
      <c r="AK91" s="86">
        <f>AVERAGEIFS($D$2:D91, $B$2:B91, B91)</f>
        <v>1</v>
      </c>
    </row>
    <row r="92" spans="1:37" x14ac:dyDescent="0.25">
      <c r="A92" s="85">
        <v>46056</v>
      </c>
      <c r="B92" t="s">
        <v>17</v>
      </c>
      <c r="C92">
        <v>15</v>
      </c>
      <c r="D92">
        <v>1</v>
      </c>
      <c r="E92">
        <v>4</v>
      </c>
      <c r="F92">
        <v>3</v>
      </c>
      <c r="G92">
        <v>15</v>
      </c>
      <c r="H92">
        <v>9</v>
      </c>
      <c r="I92">
        <v>0.75</v>
      </c>
      <c r="J92">
        <v>0.6</v>
      </c>
      <c r="K92">
        <v>1</v>
      </c>
      <c r="L92">
        <v>1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1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 s="86">
        <f>AVERAGEIFS($C$2:C92, $B$2:B92, B92)</f>
        <v>21</v>
      </c>
      <c r="AI92" s="86">
        <f>AVERAGEIFS($I$2:I92, $B$2:B92, B92)</f>
        <v>0.35285714285714287</v>
      </c>
      <c r="AJ92" s="86">
        <f>AVERAGEIFS($J$2:J92, $B$2:B92, B92)</f>
        <v>0.41000000000000003</v>
      </c>
      <c r="AK92" s="86">
        <f>AVERAGEIFS($D$2:D92, $B$2:B92, B92)</f>
        <v>0.2857142857142857</v>
      </c>
    </row>
    <row r="93" spans="1:37" x14ac:dyDescent="0.25">
      <c r="A93" s="85">
        <v>46056</v>
      </c>
      <c r="B93" t="s">
        <v>54</v>
      </c>
      <c r="C93">
        <v>14</v>
      </c>
      <c r="D93">
        <v>1</v>
      </c>
      <c r="E93">
        <v>4</v>
      </c>
      <c r="F93">
        <v>3</v>
      </c>
      <c r="G93">
        <v>15</v>
      </c>
      <c r="H93">
        <v>9</v>
      </c>
      <c r="I93">
        <v>0.75</v>
      </c>
      <c r="J93">
        <v>0.6</v>
      </c>
      <c r="K93">
        <v>1</v>
      </c>
      <c r="L93">
        <v>1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1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 s="86">
        <f>AVERAGEIFS($C$2:C93, $B$2:B93, B93)</f>
        <v>24.625</v>
      </c>
      <c r="AI93" s="86">
        <f>AVERAGEIFS($I$2:I93, $B$2:B93, B93)</f>
        <v>0.52124999999999999</v>
      </c>
      <c r="AJ93" s="86">
        <f>AVERAGEIFS($J$2:J93, $B$2:B93, B93)</f>
        <v>0.50624999999999998</v>
      </c>
      <c r="AK93" s="86">
        <f>AVERAGEIFS($D$2:D93, $B$2:B93, B93)</f>
        <v>0.625</v>
      </c>
    </row>
    <row r="94" spans="1:37" x14ac:dyDescent="0.25">
      <c r="A94" s="85">
        <v>46056</v>
      </c>
      <c r="B94" t="s">
        <v>38</v>
      </c>
      <c r="C94">
        <v>3</v>
      </c>
      <c r="D94">
        <v>1</v>
      </c>
      <c r="E94">
        <v>4</v>
      </c>
      <c r="F94">
        <v>3</v>
      </c>
      <c r="G94">
        <v>15</v>
      </c>
      <c r="H94">
        <v>9</v>
      </c>
      <c r="I94">
        <v>0.75</v>
      </c>
      <c r="J94">
        <v>0.6</v>
      </c>
      <c r="K94">
        <v>1</v>
      </c>
      <c r="L94">
        <v>1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1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 s="86">
        <f>AVERAGEIFS($C$2:C94, $B$2:B94, B94)</f>
        <v>2.5</v>
      </c>
      <c r="AI94" s="86">
        <f>AVERAGEIFS($I$2:I94, $B$2:B94, B94)</f>
        <v>0.375</v>
      </c>
      <c r="AJ94" s="86">
        <f>AVERAGEIFS($J$2:J94, $B$2:B94, B94)</f>
        <v>0.39</v>
      </c>
      <c r="AK94" s="86">
        <f>AVERAGEIFS($D$2:D94, $B$2:B94, B94)</f>
        <v>0.5</v>
      </c>
    </row>
    <row r="95" spans="1:37" x14ac:dyDescent="0.25">
      <c r="A95" s="85">
        <v>46056</v>
      </c>
      <c r="B95" t="s">
        <v>2</v>
      </c>
      <c r="C95">
        <v>25</v>
      </c>
      <c r="D95">
        <v>0</v>
      </c>
      <c r="E95">
        <v>4</v>
      </c>
      <c r="F95">
        <v>1</v>
      </c>
      <c r="G95">
        <v>15</v>
      </c>
      <c r="H95">
        <v>6</v>
      </c>
      <c r="I95">
        <v>0.25</v>
      </c>
      <c r="J95">
        <v>0.4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1</v>
      </c>
      <c r="AD95">
        <v>0</v>
      </c>
      <c r="AE95">
        <v>0</v>
      </c>
      <c r="AF95">
        <v>0</v>
      </c>
      <c r="AG95">
        <v>0</v>
      </c>
      <c r="AH95" s="86">
        <f>AVERAGEIFS($C$2:C95, $B$2:B95, B95)</f>
        <v>22.25</v>
      </c>
      <c r="AI95" s="86">
        <f>AVERAGEIFS($I$2:I95, $B$2:B95, B95)</f>
        <v>0.39500000000000002</v>
      </c>
      <c r="AJ95" s="86">
        <f>AVERAGEIFS($J$2:J95, $B$2:B95, B95)</f>
        <v>0.51249999999999996</v>
      </c>
      <c r="AK95" s="86">
        <f>AVERAGEIFS($D$2:D95, $B$2:B95, B95)</f>
        <v>0.25</v>
      </c>
    </row>
    <row r="96" spans="1:37" x14ac:dyDescent="0.25">
      <c r="A96" s="85">
        <v>46056</v>
      </c>
      <c r="B96" t="s">
        <v>46</v>
      </c>
      <c r="C96">
        <v>18</v>
      </c>
      <c r="D96">
        <v>0</v>
      </c>
      <c r="E96">
        <v>4</v>
      </c>
      <c r="F96">
        <v>1</v>
      </c>
      <c r="G96">
        <v>15</v>
      </c>
      <c r="H96">
        <v>6</v>
      </c>
      <c r="I96">
        <v>0.25</v>
      </c>
      <c r="J96">
        <v>0.4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1</v>
      </c>
      <c r="AD96">
        <v>0</v>
      </c>
      <c r="AE96">
        <v>0</v>
      </c>
      <c r="AF96">
        <v>0</v>
      </c>
      <c r="AG96">
        <v>0</v>
      </c>
      <c r="AH96" s="86">
        <f>AVERAGEIFS($C$2:C96, $B$2:B96, B96)</f>
        <v>20</v>
      </c>
      <c r="AI96" s="86">
        <f>AVERAGEIFS($I$2:I96, $B$2:B96, B96)</f>
        <v>0.32500000000000001</v>
      </c>
      <c r="AJ96" s="86">
        <f>AVERAGEIFS($J$2:J96, $B$2:B96, B96)</f>
        <v>0.41249999999999998</v>
      </c>
      <c r="AK96" s="86">
        <f>AVERAGEIFS($D$2:D96, $B$2:B96, B96)</f>
        <v>0</v>
      </c>
    </row>
    <row r="97" spans="1:37" x14ac:dyDescent="0.25">
      <c r="A97" s="85">
        <v>46056</v>
      </c>
      <c r="B97" t="s">
        <v>53</v>
      </c>
      <c r="C97">
        <v>18</v>
      </c>
      <c r="D97">
        <v>0</v>
      </c>
      <c r="E97">
        <v>4</v>
      </c>
      <c r="F97">
        <v>1</v>
      </c>
      <c r="G97">
        <v>15</v>
      </c>
      <c r="H97">
        <v>6</v>
      </c>
      <c r="I97">
        <v>0.25</v>
      </c>
      <c r="J97">
        <v>0.4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1</v>
      </c>
      <c r="AD97">
        <v>0</v>
      </c>
      <c r="AE97">
        <v>0</v>
      </c>
      <c r="AF97">
        <v>0</v>
      </c>
      <c r="AG97">
        <v>0</v>
      </c>
      <c r="AH97" s="86">
        <f>AVERAGEIFS($C$2:C97, $B$2:B97, B97)</f>
        <v>22.2</v>
      </c>
      <c r="AI97" s="86">
        <f>AVERAGEIFS($I$2:I97, $B$2:B97, B97)</f>
        <v>0.61</v>
      </c>
      <c r="AJ97" s="86">
        <f>AVERAGEIFS($J$2:J97, $B$2:B97, B97)</f>
        <v>0.51600000000000001</v>
      </c>
      <c r="AK97" s="86">
        <f>AVERAGEIFS($D$2:D97, $B$2:B97, B97)</f>
        <v>0.4</v>
      </c>
    </row>
    <row r="98" spans="1:37" x14ac:dyDescent="0.25">
      <c r="A98" s="85">
        <v>46056</v>
      </c>
      <c r="B98" t="s">
        <v>14</v>
      </c>
      <c r="C98">
        <v>13</v>
      </c>
      <c r="D98">
        <v>0</v>
      </c>
      <c r="E98">
        <v>4</v>
      </c>
      <c r="F98">
        <v>1</v>
      </c>
      <c r="G98">
        <v>15</v>
      </c>
      <c r="H98">
        <v>6</v>
      </c>
      <c r="I98">
        <v>0.25</v>
      </c>
      <c r="J98">
        <v>0.4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1</v>
      </c>
      <c r="AD98">
        <v>0</v>
      </c>
      <c r="AE98">
        <v>0</v>
      </c>
      <c r="AF98">
        <v>0</v>
      </c>
      <c r="AG98">
        <v>0</v>
      </c>
      <c r="AH98" s="86">
        <f>AVERAGEIFS($C$2:C98, $B$2:B98, B98)</f>
        <v>17.666666666666668</v>
      </c>
      <c r="AI98" s="86">
        <f>AVERAGEIFS($I$2:I98, $B$2:B98, B98)</f>
        <v>0.36166666666666664</v>
      </c>
      <c r="AJ98" s="86">
        <f>AVERAGEIFS($J$2:J98, $B$2:B98, B98)</f>
        <v>0.44999999999999996</v>
      </c>
      <c r="AK98" s="86">
        <f>AVERAGEIFS($D$2:D98, $B$2:B98, B98)</f>
        <v>0.33333333333333331</v>
      </c>
    </row>
    <row r="99" spans="1:37" x14ac:dyDescent="0.25">
      <c r="A99" s="85">
        <v>46056</v>
      </c>
      <c r="B99" t="s">
        <v>52</v>
      </c>
      <c r="C99">
        <v>12</v>
      </c>
      <c r="D99">
        <v>0</v>
      </c>
      <c r="E99">
        <v>4</v>
      </c>
      <c r="F99">
        <v>1</v>
      </c>
      <c r="G99">
        <v>15</v>
      </c>
      <c r="H99">
        <v>6</v>
      </c>
      <c r="I99">
        <v>0.25</v>
      </c>
      <c r="J99">
        <v>0.4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1</v>
      </c>
      <c r="AD99">
        <v>0</v>
      </c>
      <c r="AE99">
        <v>0</v>
      </c>
      <c r="AF99">
        <v>0</v>
      </c>
      <c r="AG99">
        <v>0</v>
      </c>
      <c r="AH99" s="86">
        <f>AVERAGEIFS($C$2:C99, $B$2:B99, B99)</f>
        <v>12</v>
      </c>
      <c r="AI99" s="86">
        <f>AVERAGEIFS($I$2:I99, $B$2:B99, B99)</f>
        <v>0.25</v>
      </c>
      <c r="AJ99" s="86">
        <f>AVERAGEIFS($J$2:J99, $B$2:B99, B99)</f>
        <v>0.4</v>
      </c>
      <c r="AK99" s="86">
        <f>AVERAGEIFS($D$2:D99, $B$2:B99, B99)</f>
        <v>0</v>
      </c>
    </row>
    <row r="100" spans="1:37" x14ac:dyDescent="0.25">
      <c r="A100" s="85">
        <v>46056</v>
      </c>
      <c r="B100" t="s">
        <v>19</v>
      </c>
      <c r="C100">
        <v>9</v>
      </c>
      <c r="D100">
        <v>0</v>
      </c>
      <c r="E100">
        <v>4</v>
      </c>
      <c r="F100">
        <v>1</v>
      </c>
      <c r="G100">
        <v>15</v>
      </c>
      <c r="H100">
        <v>6</v>
      </c>
      <c r="I100">
        <v>0.25</v>
      </c>
      <c r="J100">
        <v>0.4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1</v>
      </c>
      <c r="AD100">
        <v>0</v>
      </c>
      <c r="AE100">
        <v>0</v>
      </c>
      <c r="AF100">
        <v>0</v>
      </c>
      <c r="AG100">
        <v>0</v>
      </c>
      <c r="AH100" s="86">
        <f>AVERAGEIFS($C$2:C100, $B$2:B100, B100)</f>
        <v>9.1666666666666661</v>
      </c>
      <c r="AI100" s="86">
        <f>AVERAGEIFS($I$2:I100, $B$2:B100, B100)</f>
        <v>0.63</v>
      </c>
      <c r="AJ100" s="86">
        <f>AVERAGEIFS($J$2:J100, $B$2:B100, B100)</f>
        <v>0.58833333333333326</v>
      </c>
      <c r="AK100" s="86">
        <f>AVERAGEIFS($D$2:D100, $B$2:B100, B100)</f>
        <v>0.66666666666666663</v>
      </c>
    </row>
    <row r="101" spans="1:37" x14ac:dyDescent="0.25">
      <c r="A101" s="85">
        <v>46057</v>
      </c>
      <c r="B101" t="s">
        <v>46</v>
      </c>
      <c r="C101">
        <v>22</v>
      </c>
      <c r="D101">
        <v>1</v>
      </c>
      <c r="E101">
        <v>5</v>
      </c>
      <c r="F101">
        <v>3</v>
      </c>
      <c r="G101">
        <v>21</v>
      </c>
      <c r="H101">
        <v>11</v>
      </c>
      <c r="I101">
        <v>0.6</v>
      </c>
      <c r="J101">
        <v>0.52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1</v>
      </c>
      <c r="Y101">
        <v>0</v>
      </c>
      <c r="Z101">
        <v>1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 s="86">
        <f>AVERAGEIFS($C$2:C101, $B$2:B101, B101)</f>
        <v>20.399999999999999</v>
      </c>
      <c r="AI101" s="86">
        <f>AVERAGEIFS($I$2:I101, $B$2:B101, B101)</f>
        <v>0.38</v>
      </c>
      <c r="AJ101" s="86">
        <f>AVERAGEIFS($J$2:J101, $B$2:B101, B101)</f>
        <v>0.434</v>
      </c>
      <c r="AK101" s="86">
        <f>AVERAGEIFS($D$2:D101, $B$2:B101, B101)</f>
        <v>0.2</v>
      </c>
    </row>
    <row r="102" spans="1:37" x14ac:dyDescent="0.25">
      <c r="A102" s="85">
        <v>46057</v>
      </c>
      <c r="B102" t="s">
        <v>94</v>
      </c>
      <c r="C102">
        <v>18</v>
      </c>
      <c r="D102">
        <v>1</v>
      </c>
      <c r="E102">
        <v>5</v>
      </c>
      <c r="F102">
        <v>3</v>
      </c>
      <c r="G102">
        <v>21</v>
      </c>
      <c r="H102">
        <v>11</v>
      </c>
      <c r="I102">
        <v>0.6</v>
      </c>
      <c r="J102">
        <v>0.52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1</v>
      </c>
      <c r="Y102">
        <v>0</v>
      </c>
      <c r="Z102">
        <v>1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 s="86">
        <f>AVERAGEIFS($C$2:C102, $B$2:B102, B102)</f>
        <v>18</v>
      </c>
      <c r="AI102" s="86">
        <f>AVERAGEIFS($I$2:I102, $B$2:B102, B102)</f>
        <v>0.6</v>
      </c>
      <c r="AJ102" s="86">
        <f>AVERAGEIFS($J$2:J102, $B$2:B102, B102)</f>
        <v>0.52</v>
      </c>
      <c r="AK102" s="86">
        <f>AVERAGEIFS($D$2:D102, $B$2:B102, B102)</f>
        <v>1</v>
      </c>
    </row>
    <row r="103" spans="1:37" x14ac:dyDescent="0.25">
      <c r="A103" s="85">
        <v>46057</v>
      </c>
      <c r="B103" t="s">
        <v>18</v>
      </c>
      <c r="C103">
        <v>14</v>
      </c>
      <c r="D103">
        <v>1</v>
      </c>
      <c r="E103">
        <v>5</v>
      </c>
      <c r="F103">
        <v>3</v>
      </c>
      <c r="G103">
        <v>21</v>
      </c>
      <c r="H103">
        <v>11</v>
      </c>
      <c r="I103">
        <v>0.6</v>
      </c>
      <c r="J103">
        <v>0.52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1</v>
      </c>
      <c r="Y103">
        <v>0</v>
      </c>
      <c r="Z103">
        <v>1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 s="86">
        <f>AVERAGEIFS($C$2:C103, $B$2:B103, B103)</f>
        <v>19</v>
      </c>
      <c r="AI103" s="86">
        <f>AVERAGEIFS($I$2:I103, $B$2:B103, B103)</f>
        <v>0.8</v>
      </c>
      <c r="AJ103" s="86">
        <f>AVERAGEIFS($J$2:J103, $B$2:B103, B103)</f>
        <v>0.60499999999999998</v>
      </c>
      <c r="AK103" s="86">
        <f>AVERAGEIFS($D$2:D103, $B$2:B103, B103)</f>
        <v>1</v>
      </c>
    </row>
    <row r="104" spans="1:37" x14ac:dyDescent="0.25">
      <c r="A104" s="85">
        <v>46057</v>
      </c>
      <c r="B104" t="s">
        <v>14</v>
      </c>
      <c r="C104">
        <v>13</v>
      </c>
      <c r="D104">
        <v>1</v>
      </c>
      <c r="E104">
        <v>5</v>
      </c>
      <c r="F104">
        <v>3</v>
      </c>
      <c r="G104">
        <v>21</v>
      </c>
      <c r="H104">
        <v>11</v>
      </c>
      <c r="I104">
        <v>0.6</v>
      </c>
      <c r="J104">
        <v>0.52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1</v>
      </c>
      <c r="Y104">
        <v>0</v>
      </c>
      <c r="Z104">
        <v>1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 s="86">
        <f>AVERAGEIFS($C$2:C104, $B$2:B104, B104)</f>
        <v>17</v>
      </c>
      <c r="AI104" s="86">
        <f>AVERAGEIFS($I$2:I104, $B$2:B104, B104)</f>
        <v>0.39571428571428574</v>
      </c>
      <c r="AJ104" s="86">
        <f>AVERAGEIFS($J$2:J104, $B$2:B104, B104)</f>
        <v>0.45999999999999996</v>
      </c>
      <c r="AK104" s="86">
        <f>AVERAGEIFS($D$2:D104, $B$2:B104, B104)</f>
        <v>0.42857142857142855</v>
      </c>
    </row>
    <row r="105" spans="1:37" x14ac:dyDescent="0.25">
      <c r="A105" s="85">
        <v>46057</v>
      </c>
      <c r="B105" t="s">
        <v>53</v>
      </c>
      <c r="C105">
        <v>12</v>
      </c>
      <c r="D105">
        <v>1</v>
      </c>
      <c r="E105">
        <v>5</v>
      </c>
      <c r="F105">
        <v>3</v>
      </c>
      <c r="G105">
        <v>21</v>
      </c>
      <c r="H105">
        <v>11</v>
      </c>
      <c r="I105">
        <v>0.6</v>
      </c>
      <c r="J105">
        <v>0.52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1</v>
      </c>
      <c r="Y105">
        <v>0</v>
      </c>
      <c r="Z105">
        <v>1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 s="86">
        <f>AVERAGEIFS($C$2:C105, $B$2:B105, B105)</f>
        <v>20.5</v>
      </c>
      <c r="AI105" s="86">
        <f>AVERAGEIFS($I$2:I105, $B$2:B105, B105)</f>
        <v>0.60833333333333328</v>
      </c>
      <c r="AJ105" s="86">
        <f>AVERAGEIFS($J$2:J105, $B$2:B105, B105)</f>
        <v>0.51666666666666672</v>
      </c>
      <c r="AK105" s="86">
        <f>AVERAGEIFS($D$2:D105, $B$2:B105, B105)</f>
        <v>0.5</v>
      </c>
    </row>
    <row r="106" spans="1:37" x14ac:dyDescent="0.25">
      <c r="A106" s="85">
        <v>46057</v>
      </c>
      <c r="B106" t="s">
        <v>54</v>
      </c>
      <c r="C106">
        <v>25</v>
      </c>
      <c r="D106">
        <v>0</v>
      </c>
      <c r="E106">
        <v>5</v>
      </c>
      <c r="F106">
        <v>2</v>
      </c>
      <c r="G106">
        <v>21</v>
      </c>
      <c r="H106">
        <v>10</v>
      </c>
      <c r="I106">
        <v>0.4</v>
      </c>
      <c r="J106">
        <v>0.48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1</v>
      </c>
      <c r="AF106">
        <v>0</v>
      </c>
      <c r="AG106">
        <v>1</v>
      </c>
      <c r="AH106" s="86">
        <f>AVERAGEIFS($C$2:C106, $B$2:B106, B106)</f>
        <v>24.666666666666668</v>
      </c>
      <c r="AI106" s="86">
        <f>AVERAGEIFS($I$2:I106, $B$2:B106, B106)</f>
        <v>0.50777777777777777</v>
      </c>
      <c r="AJ106" s="86">
        <f>AVERAGEIFS($J$2:J106, $B$2:B106, B106)</f>
        <v>0.5033333333333333</v>
      </c>
      <c r="AK106" s="86">
        <f>AVERAGEIFS($D$2:D106, $B$2:B106, B106)</f>
        <v>0.55555555555555558</v>
      </c>
    </row>
    <row r="107" spans="1:37" x14ac:dyDescent="0.25">
      <c r="A107" s="85">
        <v>46057</v>
      </c>
      <c r="B107" t="s">
        <v>17</v>
      </c>
      <c r="C107">
        <v>20</v>
      </c>
      <c r="D107">
        <v>0</v>
      </c>
      <c r="E107">
        <v>5</v>
      </c>
      <c r="F107">
        <v>2</v>
      </c>
      <c r="G107">
        <v>21</v>
      </c>
      <c r="H107">
        <v>10</v>
      </c>
      <c r="I107">
        <v>0.4</v>
      </c>
      <c r="J107">
        <v>0.48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1</v>
      </c>
      <c r="AF107">
        <v>0</v>
      </c>
      <c r="AG107">
        <v>1</v>
      </c>
      <c r="AH107" s="86">
        <f>AVERAGEIFS($C$2:C107, $B$2:B107, B107)</f>
        <v>20.875</v>
      </c>
      <c r="AI107" s="86">
        <f>AVERAGEIFS($I$2:I107, $B$2:B107, B107)</f>
        <v>0.35875000000000001</v>
      </c>
      <c r="AJ107" s="86">
        <f>AVERAGEIFS($J$2:J107, $B$2:B107, B107)</f>
        <v>0.41875000000000001</v>
      </c>
      <c r="AK107" s="86">
        <f>AVERAGEIFS($D$2:D107, $B$2:B107, B107)</f>
        <v>0.25</v>
      </c>
    </row>
    <row r="108" spans="1:37" x14ac:dyDescent="0.25">
      <c r="A108" s="85">
        <v>46057</v>
      </c>
      <c r="B108" t="s">
        <v>50</v>
      </c>
      <c r="C108">
        <v>13</v>
      </c>
      <c r="D108">
        <v>0</v>
      </c>
      <c r="E108">
        <v>5</v>
      </c>
      <c r="F108">
        <v>2</v>
      </c>
      <c r="G108">
        <v>21</v>
      </c>
      <c r="H108">
        <v>10</v>
      </c>
      <c r="I108">
        <v>0.4</v>
      </c>
      <c r="J108">
        <v>0.48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1</v>
      </c>
      <c r="AF108">
        <v>0</v>
      </c>
      <c r="AG108">
        <v>1</v>
      </c>
      <c r="AH108" s="86">
        <f>AVERAGEIFS($C$2:C108, $B$2:B108, B108)</f>
        <v>18.888888888888889</v>
      </c>
      <c r="AI108" s="86">
        <f>AVERAGEIFS($I$2:I108, $B$2:B108, B108)</f>
        <v>0.54777777777777781</v>
      </c>
      <c r="AJ108" s="86">
        <f>AVERAGEIFS($J$2:J108, $B$2:B108, B108)</f>
        <v>0.55222222222222206</v>
      </c>
      <c r="AK108" s="86">
        <f>AVERAGEIFS($D$2:D108, $B$2:B108, B108)</f>
        <v>0.55555555555555558</v>
      </c>
    </row>
    <row r="109" spans="1:37" x14ac:dyDescent="0.25">
      <c r="A109" s="85">
        <v>46057</v>
      </c>
      <c r="B109" t="s">
        <v>19</v>
      </c>
      <c r="C109">
        <v>10</v>
      </c>
      <c r="D109">
        <v>0</v>
      </c>
      <c r="E109">
        <v>5</v>
      </c>
      <c r="F109">
        <v>2</v>
      </c>
      <c r="G109">
        <v>21</v>
      </c>
      <c r="H109">
        <v>10</v>
      </c>
      <c r="I109">
        <v>0.4</v>
      </c>
      <c r="J109">
        <v>0.48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1</v>
      </c>
      <c r="AF109">
        <v>0</v>
      </c>
      <c r="AG109">
        <v>1</v>
      </c>
      <c r="AH109" s="86">
        <f>AVERAGEIFS($C$2:C109, $B$2:B109, B109)</f>
        <v>9.2857142857142865</v>
      </c>
      <c r="AI109" s="86">
        <f>AVERAGEIFS($I$2:I109, $B$2:B109, B109)</f>
        <v>0.5971428571428572</v>
      </c>
      <c r="AJ109" s="86">
        <f>AVERAGEIFS($J$2:J109, $B$2:B109, B109)</f>
        <v>0.57285714285714284</v>
      </c>
      <c r="AK109" s="86">
        <f>AVERAGEIFS($D$2:D109, $B$2:B109, B109)</f>
        <v>0.5714285714285714</v>
      </c>
    </row>
    <row r="110" spans="1:37" x14ac:dyDescent="0.25">
      <c r="A110" s="85">
        <v>46057</v>
      </c>
      <c r="B110" t="s">
        <v>37</v>
      </c>
      <c r="C110">
        <v>9</v>
      </c>
      <c r="D110">
        <v>0</v>
      </c>
      <c r="E110">
        <v>5</v>
      </c>
      <c r="F110">
        <v>2</v>
      </c>
      <c r="G110">
        <v>21</v>
      </c>
      <c r="H110">
        <v>10</v>
      </c>
      <c r="I110">
        <v>0.4</v>
      </c>
      <c r="J110">
        <v>0.48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1</v>
      </c>
      <c r="AF110">
        <v>0</v>
      </c>
      <c r="AG110">
        <v>1</v>
      </c>
      <c r="AH110" s="86">
        <f>AVERAGEIFS($C$2:C110, $B$2:B110, B110)</f>
        <v>13.333333333333334</v>
      </c>
      <c r="AI110" s="86">
        <f>AVERAGEIFS($I$2:I110, $B$2:B110, B110)</f>
        <v>0.71666666666666667</v>
      </c>
      <c r="AJ110" s="86">
        <f>AVERAGEIFS($J$2:J110, $B$2:B110, B110)</f>
        <v>0.57333333333333336</v>
      </c>
      <c r="AK110" s="86">
        <f>AVERAGEIFS($D$2:D110, $B$2:B110, B110)</f>
        <v>0.66666666666666663</v>
      </c>
    </row>
    <row r="111" spans="1:37" x14ac:dyDescent="0.25">
      <c r="A111" s="85">
        <v>46058</v>
      </c>
      <c r="B111" t="s">
        <v>6</v>
      </c>
      <c r="C111">
        <v>25</v>
      </c>
      <c r="D111">
        <v>1</v>
      </c>
      <c r="E111">
        <v>3</v>
      </c>
      <c r="F111">
        <v>3</v>
      </c>
      <c r="G111">
        <v>14</v>
      </c>
      <c r="H111">
        <v>8</v>
      </c>
      <c r="I111">
        <v>1</v>
      </c>
      <c r="J111">
        <v>0.56999999999999995</v>
      </c>
      <c r="K111">
        <v>1</v>
      </c>
      <c r="L111">
        <v>0</v>
      </c>
      <c r="M111">
        <v>1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1</v>
      </c>
      <c r="AG111">
        <v>0</v>
      </c>
      <c r="AH111" s="86">
        <f>AVERAGEIFS($C$2:C111, $B$2:B111, B111)</f>
        <v>22</v>
      </c>
      <c r="AI111" s="86">
        <f>AVERAGEIFS($I$2:I111, $B$2:B111, B111)</f>
        <v>0.66857142857142848</v>
      </c>
      <c r="AJ111" s="86">
        <f>AVERAGEIFS($J$2:J111, $B$2:B111, B111)</f>
        <v>0.55571428571428572</v>
      </c>
      <c r="AK111" s="86">
        <f>AVERAGEIFS($D$2:D111, $B$2:B111, B111)</f>
        <v>0.7142857142857143</v>
      </c>
    </row>
    <row r="112" spans="1:37" x14ac:dyDescent="0.25">
      <c r="A112" s="85">
        <v>46058</v>
      </c>
      <c r="B112" t="s">
        <v>54</v>
      </c>
      <c r="C112">
        <v>17</v>
      </c>
      <c r="D112">
        <v>1</v>
      </c>
      <c r="E112">
        <v>3</v>
      </c>
      <c r="F112">
        <v>3</v>
      </c>
      <c r="G112">
        <v>14</v>
      </c>
      <c r="H112">
        <v>8</v>
      </c>
      <c r="I112">
        <v>1</v>
      </c>
      <c r="J112">
        <v>0.56999999999999995</v>
      </c>
      <c r="K112">
        <v>1</v>
      </c>
      <c r="L112">
        <v>0</v>
      </c>
      <c r="M112">
        <v>1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1</v>
      </c>
      <c r="AG112">
        <v>0</v>
      </c>
      <c r="AH112" s="86">
        <f>AVERAGEIFS($C$2:C112, $B$2:B112, B112)</f>
        <v>23.9</v>
      </c>
      <c r="AI112" s="86">
        <f>AVERAGEIFS($I$2:I112, $B$2:B112, B112)</f>
        <v>0.55700000000000005</v>
      </c>
      <c r="AJ112" s="86">
        <f>AVERAGEIFS($J$2:J112, $B$2:B112, B112)</f>
        <v>0.51</v>
      </c>
      <c r="AK112" s="86">
        <f>AVERAGEIFS($D$2:D112, $B$2:B112, B112)</f>
        <v>0.6</v>
      </c>
    </row>
    <row r="113" spans="1:37" x14ac:dyDescent="0.25">
      <c r="A113" s="85">
        <v>46058</v>
      </c>
      <c r="B113" t="s">
        <v>46</v>
      </c>
      <c r="C113">
        <v>16</v>
      </c>
      <c r="D113">
        <v>1</v>
      </c>
      <c r="E113">
        <v>3</v>
      </c>
      <c r="F113">
        <v>3</v>
      </c>
      <c r="G113">
        <v>14</v>
      </c>
      <c r="H113">
        <v>8</v>
      </c>
      <c r="I113">
        <v>1</v>
      </c>
      <c r="J113">
        <v>0.56999999999999995</v>
      </c>
      <c r="K113">
        <v>1</v>
      </c>
      <c r="L113">
        <v>0</v>
      </c>
      <c r="M113">
        <v>1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1</v>
      </c>
      <c r="AG113">
        <v>0</v>
      </c>
      <c r="AH113" s="86">
        <f>AVERAGEIFS($C$2:C113, $B$2:B113, B113)</f>
        <v>19.666666666666668</v>
      </c>
      <c r="AI113" s="86">
        <f>AVERAGEIFS($I$2:I113, $B$2:B113, B113)</f>
        <v>0.48333333333333334</v>
      </c>
      <c r="AJ113" s="86">
        <f>AVERAGEIFS($J$2:J113, $B$2:B113, B113)</f>
        <v>0.45666666666666661</v>
      </c>
      <c r="AK113" s="86">
        <f>AVERAGEIFS($D$2:D113, $B$2:B113, B113)</f>
        <v>0.33333333333333331</v>
      </c>
    </row>
    <row r="114" spans="1:37" x14ac:dyDescent="0.25">
      <c r="A114" s="85">
        <v>46058</v>
      </c>
      <c r="B114" t="s">
        <v>17</v>
      </c>
      <c r="C114">
        <v>13</v>
      </c>
      <c r="D114">
        <v>1</v>
      </c>
      <c r="E114">
        <v>3</v>
      </c>
      <c r="F114">
        <v>3</v>
      </c>
      <c r="G114">
        <v>14</v>
      </c>
      <c r="H114">
        <v>8</v>
      </c>
      <c r="I114">
        <v>1</v>
      </c>
      <c r="J114">
        <v>0.56999999999999995</v>
      </c>
      <c r="K114">
        <v>1</v>
      </c>
      <c r="L114">
        <v>0</v>
      </c>
      <c r="M114">
        <v>1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1</v>
      </c>
      <c r="AG114">
        <v>0</v>
      </c>
      <c r="AH114" s="86">
        <f>AVERAGEIFS($C$2:C114, $B$2:B114, B114)</f>
        <v>20</v>
      </c>
      <c r="AI114" s="86">
        <f>AVERAGEIFS($I$2:I114, $B$2:B114, B114)</f>
        <v>0.43</v>
      </c>
      <c r="AJ114" s="86">
        <f>AVERAGEIFS($J$2:J114, $B$2:B114, B114)</f>
        <v>0.43555555555555553</v>
      </c>
      <c r="AK114" s="86">
        <f>AVERAGEIFS($D$2:D114, $B$2:B114, B114)</f>
        <v>0.33333333333333331</v>
      </c>
    </row>
    <row r="115" spans="1:37" x14ac:dyDescent="0.25">
      <c r="A115" s="85">
        <v>46058</v>
      </c>
      <c r="B115" t="s">
        <v>35</v>
      </c>
      <c r="C115">
        <v>8</v>
      </c>
      <c r="D115">
        <v>1</v>
      </c>
      <c r="E115">
        <v>3</v>
      </c>
      <c r="F115">
        <v>3</v>
      </c>
      <c r="G115">
        <v>14</v>
      </c>
      <c r="H115">
        <v>8</v>
      </c>
      <c r="I115">
        <v>1</v>
      </c>
      <c r="J115">
        <v>0.56999999999999995</v>
      </c>
      <c r="K115">
        <v>1</v>
      </c>
      <c r="L115">
        <v>0</v>
      </c>
      <c r="M115">
        <v>1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1</v>
      </c>
      <c r="AG115">
        <v>0</v>
      </c>
      <c r="AH115" s="86">
        <f>AVERAGEIFS($C$2:C115, $B$2:B115, B115)</f>
        <v>11.5</v>
      </c>
      <c r="AI115" s="86">
        <f>AVERAGEIFS($I$2:I115, $B$2:B115, B115)</f>
        <v>0.51</v>
      </c>
      <c r="AJ115" s="86">
        <f>AVERAGEIFS($J$2:J115, $B$2:B115, B115)</f>
        <v>0.54</v>
      </c>
      <c r="AK115" s="86">
        <f>AVERAGEIFS($D$2:D115, $B$2:B115, B115)</f>
        <v>0.5</v>
      </c>
    </row>
    <row r="116" spans="1:37" x14ac:dyDescent="0.25">
      <c r="A116" s="85">
        <v>46058</v>
      </c>
      <c r="B116" t="s">
        <v>2</v>
      </c>
      <c r="C116">
        <v>19</v>
      </c>
      <c r="D116">
        <v>0</v>
      </c>
      <c r="E116">
        <v>3</v>
      </c>
      <c r="F116">
        <v>0</v>
      </c>
      <c r="G116">
        <v>14</v>
      </c>
      <c r="H116">
        <v>6</v>
      </c>
      <c r="I116">
        <v>0</v>
      </c>
      <c r="J116">
        <v>0.43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 s="86">
        <f>AVERAGEIFS($C$2:C116, $B$2:B116, B116)</f>
        <v>21.6</v>
      </c>
      <c r="AI116" s="86">
        <f>AVERAGEIFS($I$2:I116, $B$2:B116, B116)</f>
        <v>0.316</v>
      </c>
      <c r="AJ116" s="86">
        <f>AVERAGEIFS($J$2:J116, $B$2:B116, B116)</f>
        <v>0.496</v>
      </c>
      <c r="AK116" s="86">
        <f>AVERAGEIFS($D$2:D116, $B$2:B116, B116)</f>
        <v>0.2</v>
      </c>
    </row>
    <row r="117" spans="1:37" x14ac:dyDescent="0.25">
      <c r="A117" s="85">
        <v>46058</v>
      </c>
      <c r="B117" t="s">
        <v>44</v>
      </c>
      <c r="C117">
        <v>17</v>
      </c>
      <c r="D117">
        <v>0</v>
      </c>
      <c r="E117">
        <v>3</v>
      </c>
      <c r="F117">
        <v>0</v>
      </c>
      <c r="G117">
        <v>14</v>
      </c>
      <c r="H117">
        <v>6</v>
      </c>
      <c r="I117">
        <v>0</v>
      </c>
      <c r="J117">
        <v>0.43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 s="86">
        <f>AVERAGEIFS($C$2:C117, $B$2:B117, B117)</f>
        <v>17</v>
      </c>
      <c r="AI117" s="86">
        <f>AVERAGEIFS($I$2:I117, $B$2:B117, B117)</f>
        <v>0</v>
      </c>
      <c r="AJ117" s="86">
        <f>AVERAGEIFS($J$2:J117, $B$2:B117, B117)</f>
        <v>0.43</v>
      </c>
      <c r="AK117" s="86">
        <f>AVERAGEIFS($D$2:D117, $B$2:B117, B117)</f>
        <v>0</v>
      </c>
    </row>
    <row r="118" spans="1:37" x14ac:dyDescent="0.25">
      <c r="A118" s="85">
        <v>46058</v>
      </c>
      <c r="B118" t="s">
        <v>5</v>
      </c>
      <c r="C118">
        <v>15</v>
      </c>
      <c r="D118">
        <v>0</v>
      </c>
      <c r="E118">
        <v>3</v>
      </c>
      <c r="F118">
        <v>0</v>
      </c>
      <c r="G118">
        <v>14</v>
      </c>
      <c r="H118">
        <v>6</v>
      </c>
      <c r="I118">
        <v>0</v>
      </c>
      <c r="J118">
        <v>0.43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 s="86">
        <f>AVERAGEIFS($C$2:C118, $B$2:B118, B118)</f>
        <v>18.666666666666668</v>
      </c>
      <c r="AI118" s="86">
        <f>AVERAGEIFS($I$2:I118, $B$2:B118, B118)</f>
        <v>0.56999999999999995</v>
      </c>
      <c r="AJ118" s="86">
        <f>AVERAGEIFS($J$2:J118, $B$2:B118, B118)</f>
        <v>0.51166666666666683</v>
      </c>
      <c r="AK118" s="86">
        <f>AVERAGEIFS($D$2:D118, $B$2:B118, B118)</f>
        <v>0.66666666666666663</v>
      </c>
    </row>
    <row r="119" spans="1:37" x14ac:dyDescent="0.25">
      <c r="A119" s="85">
        <v>46058</v>
      </c>
      <c r="B119" t="s">
        <v>19</v>
      </c>
      <c r="C119">
        <v>7</v>
      </c>
      <c r="D119">
        <v>0</v>
      </c>
      <c r="E119">
        <v>3</v>
      </c>
      <c r="F119">
        <v>0</v>
      </c>
      <c r="G119">
        <v>14</v>
      </c>
      <c r="H119">
        <v>6</v>
      </c>
      <c r="I119">
        <v>0</v>
      </c>
      <c r="J119">
        <v>0.43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 s="86">
        <f>AVERAGEIFS($C$2:C119, $B$2:B119, B119)</f>
        <v>9</v>
      </c>
      <c r="AI119" s="86">
        <f>AVERAGEIFS($I$2:I119, $B$2:B119, B119)</f>
        <v>0.52250000000000008</v>
      </c>
      <c r="AJ119" s="86">
        <f>AVERAGEIFS($J$2:J119, $B$2:B119, B119)</f>
        <v>0.55499999999999994</v>
      </c>
      <c r="AK119" s="86">
        <f>AVERAGEIFS($D$2:D119, $B$2:B119, B119)</f>
        <v>0.5</v>
      </c>
    </row>
    <row r="120" spans="1:37" x14ac:dyDescent="0.25">
      <c r="A120" s="85">
        <v>46058</v>
      </c>
      <c r="B120" t="s">
        <v>50</v>
      </c>
      <c r="C120">
        <v>7</v>
      </c>
      <c r="D120">
        <v>0</v>
      </c>
      <c r="E120">
        <v>3</v>
      </c>
      <c r="F120">
        <v>0</v>
      </c>
      <c r="G120">
        <v>14</v>
      </c>
      <c r="H120">
        <v>6</v>
      </c>
      <c r="I120">
        <v>0</v>
      </c>
      <c r="J120">
        <v>0.43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 s="86">
        <f>AVERAGEIFS($C$2:C120, $B$2:B120, B120)</f>
        <v>17.7</v>
      </c>
      <c r="AI120" s="86">
        <f>AVERAGEIFS($I$2:I120, $B$2:B120, B120)</f>
        <v>0.49300000000000005</v>
      </c>
      <c r="AJ120" s="86">
        <f>AVERAGEIFS($J$2:J120, $B$2:B120, B120)</f>
        <v>0.53999999999999981</v>
      </c>
      <c r="AK120" s="86">
        <f>AVERAGEIFS($D$2:D120, $B$2:B120, B120)</f>
        <v>0.5</v>
      </c>
    </row>
    <row r="121" spans="1:37" x14ac:dyDescent="0.25">
      <c r="A121" s="85">
        <v>46061</v>
      </c>
      <c r="B121" t="s">
        <v>42</v>
      </c>
      <c r="C121">
        <v>17</v>
      </c>
      <c r="D121">
        <v>1</v>
      </c>
      <c r="E121">
        <v>5</v>
      </c>
      <c r="F121">
        <v>3</v>
      </c>
      <c r="G121">
        <v>24</v>
      </c>
      <c r="H121">
        <v>13</v>
      </c>
      <c r="I121">
        <v>0.6</v>
      </c>
      <c r="J121">
        <v>0.54</v>
      </c>
      <c r="K121">
        <v>0</v>
      </c>
      <c r="L121">
        <v>1</v>
      </c>
      <c r="M121">
        <v>1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1</v>
      </c>
      <c r="AE121">
        <v>0</v>
      </c>
      <c r="AF121">
        <v>0</v>
      </c>
      <c r="AG121">
        <v>0</v>
      </c>
      <c r="AH121" s="86">
        <f>AVERAGEIFS($C$2:C121, $B$2:B121, B121)</f>
        <v>17</v>
      </c>
      <c r="AI121" s="86">
        <f>AVERAGEIFS($I$2:I121, $B$2:B121, B121)</f>
        <v>0.6</v>
      </c>
      <c r="AJ121" s="86">
        <f>AVERAGEIFS($J$2:J121, $B$2:B121, B121)</f>
        <v>0.54</v>
      </c>
      <c r="AK121" s="86">
        <f>AVERAGEIFS($D$2:D121, $B$2:B121, B121)</f>
        <v>1</v>
      </c>
    </row>
    <row r="122" spans="1:37" x14ac:dyDescent="0.25">
      <c r="A122" s="85">
        <v>46061</v>
      </c>
      <c r="B122" t="s">
        <v>40</v>
      </c>
      <c r="C122">
        <v>17</v>
      </c>
      <c r="D122">
        <v>1</v>
      </c>
      <c r="E122">
        <v>5</v>
      </c>
      <c r="F122">
        <v>3</v>
      </c>
      <c r="G122">
        <v>24</v>
      </c>
      <c r="H122">
        <v>13</v>
      </c>
      <c r="I122">
        <v>0.6</v>
      </c>
      <c r="J122">
        <v>0.54</v>
      </c>
      <c r="K122">
        <v>0</v>
      </c>
      <c r="L122">
        <v>1</v>
      </c>
      <c r="M122">
        <v>1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1</v>
      </c>
      <c r="AE122">
        <v>0</v>
      </c>
      <c r="AF122">
        <v>0</v>
      </c>
      <c r="AG122">
        <v>0</v>
      </c>
      <c r="AH122" s="86">
        <f>AVERAGEIFS($C$2:C122, $B$2:B122, B122)</f>
        <v>17</v>
      </c>
      <c r="AI122" s="86">
        <f>AVERAGEIFS($I$2:I122, $B$2:B122, B122)</f>
        <v>0.6</v>
      </c>
      <c r="AJ122" s="86">
        <f>AVERAGEIFS($J$2:J122, $B$2:B122, B122)</f>
        <v>0.54</v>
      </c>
      <c r="AK122" s="86">
        <f>AVERAGEIFS($D$2:D122, $B$2:B122, B122)</f>
        <v>1</v>
      </c>
    </row>
    <row r="123" spans="1:37" x14ac:dyDescent="0.25">
      <c r="A123" s="85">
        <v>46061</v>
      </c>
      <c r="B123" t="s">
        <v>5</v>
      </c>
      <c r="C123">
        <v>36</v>
      </c>
      <c r="D123">
        <v>1</v>
      </c>
      <c r="E123">
        <v>5</v>
      </c>
      <c r="F123">
        <v>3</v>
      </c>
      <c r="G123">
        <v>24</v>
      </c>
      <c r="H123">
        <v>13</v>
      </c>
      <c r="I123">
        <v>0.6</v>
      </c>
      <c r="J123">
        <v>0.54</v>
      </c>
      <c r="K123">
        <v>0</v>
      </c>
      <c r="L123">
        <v>1</v>
      </c>
      <c r="M123">
        <v>1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1</v>
      </c>
      <c r="AE123">
        <v>0</v>
      </c>
      <c r="AF123">
        <v>0</v>
      </c>
      <c r="AG123">
        <v>0</v>
      </c>
      <c r="AH123" s="86">
        <f>AVERAGEIFS($C$2:C123, $B$2:B123, B123)</f>
        <v>21.142857142857142</v>
      </c>
      <c r="AI123" s="86">
        <f>AVERAGEIFS($I$2:I123, $B$2:B123, B123)</f>
        <v>0.57428571428571418</v>
      </c>
      <c r="AJ123" s="86">
        <f>AVERAGEIFS($J$2:J123, $B$2:B123, B123)</f>
        <v>0.51571428571428579</v>
      </c>
      <c r="AK123" s="86">
        <f>AVERAGEIFS($D$2:D123, $B$2:B123, B123)</f>
        <v>0.7142857142857143</v>
      </c>
    </row>
    <row r="124" spans="1:37" x14ac:dyDescent="0.25">
      <c r="A124" s="85">
        <v>46061</v>
      </c>
      <c r="B124" t="s">
        <v>54</v>
      </c>
      <c r="C124">
        <v>27</v>
      </c>
      <c r="D124">
        <v>1</v>
      </c>
      <c r="E124">
        <v>5</v>
      </c>
      <c r="F124">
        <v>3</v>
      </c>
      <c r="G124">
        <v>24</v>
      </c>
      <c r="H124">
        <v>13</v>
      </c>
      <c r="I124">
        <v>0.6</v>
      </c>
      <c r="J124">
        <v>0.54</v>
      </c>
      <c r="K124">
        <v>0</v>
      </c>
      <c r="L124">
        <v>1</v>
      </c>
      <c r="M124">
        <v>1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1</v>
      </c>
      <c r="AE124">
        <v>0</v>
      </c>
      <c r="AF124">
        <v>0</v>
      </c>
      <c r="AG124">
        <v>0</v>
      </c>
      <c r="AH124" s="86">
        <f>AVERAGEIFS($C$2:C124, $B$2:B124, B124)</f>
        <v>24.181818181818183</v>
      </c>
      <c r="AI124" s="86">
        <f>AVERAGEIFS($I$2:I124, $B$2:B124, B124)</f>
        <v>0.56090909090909091</v>
      </c>
      <c r="AJ124" s="86">
        <f>AVERAGEIFS($J$2:J124, $B$2:B124, B124)</f>
        <v>0.5127272727272727</v>
      </c>
      <c r="AK124" s="86">
        <f>AVERAGEIFS($D$2:D124, $B$2:B124, B124)</f>
        <v>0.63636363636363635</v>
      </c>
    </row>
    <row r="125" spans="1:37" x14ac:dyDescent="0.25">
      <c r="A125" s="85">
        <v>46061</v>
      </c>
      <c r="B125" t="s">
        <v>3</v>
      </c>
      <c r="C125">
        <v>14</v>
      </c>
      <c r="D125">
        <v>1</v>
      </c>
      <c r="E125">
        <v>5</v>
      </c>
      <c r="F125">
        <v>3</v>
      </c>
      <c r="G125">
        <v>24</v>
      </c>
      <c r="H125">
        <v>13</v>
      </c>
      <c r="I125">
        <v>0.6</v>
      </c>
      <c r="J125">
        <v>0.54</v>
      </c>
      <c r="K125">
        <v>0</v>
      </c>
      <c r="L125">
        <v>1</v>
      </c>
      <c r="M125">
        <v>1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1</v>
      </c>
      <c r="AE125">
        <v>0</v>
      </c>
      <c r="AF125">
        <v>0</v>
      </c>
      <c r="AG125">
        <v>0</v>
      </c>
      <c r="AH125" s="86">
        <f>AVERAGEIFS($C$2:C125, $B$2:B125, B125)</f>
        <v>16.5</v>
      </c>
      <c r="AI125" s="86">
        <f>AVERAGEIFS($I$2:I125, $B$2:B125, B125)</f>
        <v>0.48750000000000004</v>
      </c>
      <c r="AJ125" s="86">
        <f>AVERAGEIFS($J$2:J125, $B$2:B125, B125)</f>
        <v>0.495</v>
      </c>
      <c r="AK125" s="86">
        <f>AVERAGEIFS($D$2:D125, $B$2:B125, B125)</f>
        <v>0.75</v>
      </c>
    </row>
    <row r="126" spans="1:37" x14ac:dyDescent="0.25">
      <c r="A126" s="85">
        <v>46061</v>
      </c>
      <c r="B126" t="s">
        <v>50</v>
      </c>
      <c r="C126">
        <v>21</v>
      </c>
      <c r="D126">
        <v>0</v>
      </c>
      <c r="E126">
        <v>5</v>
      </c>
      <c r="F126">
        <v>2</v>
      </c>
      <c r="G126">
        <v>24</v>
      </c>
      <c r="H126">
        <v>11</v>
      </c>
      <c r="I126">
        <v>0.4</v>
      </c>
      <c r="J126">
        <v>0.46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1</v>
      </c>
      <c r="AA126">
        <v>0</v>
      </c>
      <c r="AB126">
        <v>0</v>
      </c>
      <c r="AC126">
        <v>1</v>
      </c>
      <c r="AD126">
        <v>0</v>
      </c>
      <c r="AE126">
        <v>0</v>
      </c>
      <c r="AF126">
        <v>0</v>
      </c>
      <c r="AG126">
        <v>0</v>
      </c>
      <c r="AH126" s="86">
        <f>AVERAGEIFS($C$2:C126, $B$2:B126, B126)</f>
        <v>18</v>
      </c>
      <c r="AI126" s="86">
        <f>AVERAGEIFS($I$2:I126, $B$2:B126, B126)</f>
        <v>0.48454545454545461</v>
      </c>
      <c r="AJ126" s="86">
        <f>AVERAGEIFS($J$2:J126, $B$2:B126, B126)</f>
        <v>0.5327272727272726</v>
      </c>
      <c r="AK126" s="86">
        <f>AVERAGEIFS($D$2:D126, $B$2:B126, B126)</f>
        <v>0.45454545454545453</v>
      </c>
    </row>
    <row r="127" spans="1:37" x14ac:dyDescent="0.25">
      <c r="A127" s="85">
        <v>46061</v>
      </c>
      <c r="B127" t="s">
        <v>6</v>
      </c>
      <c r="C127">
        <v>19</v>
      </c>
      <c r="D127">
        <v>0</v>
      </c>
      <c r="E127">
        <v>5</v>
      </c>
      <c r="F127">
        <v>2</v>
      </c>
      <c r="G127">
        <v>24</v>
      </c>
      <c r="H127">
        <v>11</v>
      </c>
      <c r="I127">
        <v>0.4</v>
      </c>
      <c r="J127">
        <v>0.46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1</v>
      </c>
      <c r="AA127">
        <v>0</v>
      </c>
      <c r="AB127">
        <v>0</v>
      </c>
      <c r="AC127">
        <v>1</v>
      </c>
      <c r="AD127">
        <v>0</v>
      </c>
      <c r="AE127">
        <v>0</v>
      </c>
      <c r="AF127">
        <v>0</v>
      </c>
      <c r="AG127">
        <v>0</v>
      </c>
      <c r="AH127" s="86">
        <f>AVERAGEIFS($C$2:C127, $B$2:B127, B127)</f>
        <v>21.625</v>
      </c>
      <c r="AI127" s="86">
        <f>AVERAGEIFS($I$2:I127, $B$2:B127, B127)</f>
        <v>0.63500000000000001</v>
      </c>
      <c r="AJ127" s="86">
        <f>AVERAGEIFS($J$2:J127, $B$2:B127, B127)</f>
        <v>0.54375000000000007</v>
      </c>
      <c r="AK127" s="86">
        <f>AVERAGEIFS($D$2:D127, $B$2:B127, B127)</f>
        <v>0.625</v>
      </c>
    </row>
    <row r="128" spans="1:37" x14ac:dyDescent="0.25">
      <c r="A128" s="85">
        <v>46061</v>
      </c>
      <c r="B128" t="s">
        <v>52</v>
      </c>
      <c r="C128">
        <v>19</v>
      </c>
      <c r="D128">
        <v>0</v>
      </c>
      <c r="E128">
        <v>5</v>
      </c>
      <c r="F128">
        <v>2</v>
      </c>
      <c r="G128">
        <v>24</v>
      </c>
      <c r="H128">
        <v>11</v>
      </c>
      <c r="I128">
        <v>0.4</v>
      </c>
      <c r="J128">
        <v>0.46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1</v>
      </c>
      <c r="AA128">
        <v>0</v>
      </c>
      <c r="AB128">
        <v>0</v>
      </c>
      <c r="AC128">
        <v>1</v>
      </c>
      <c r="AD128">
        <v>0</v>
      </c>
      <c r="AE128">
        <v>0</v>
      </c>
      <c r="AF128">
        <v>0</v>
      </c>
      <c r="AG128">
        <v>0</v>
      </c>
      <c r="AH128" s="86">
        <f>AVERAGEIFS($C$2:C128, $B$2:B128, B128)</f>
        <v>15.5</v>
      </c>
      <c r="AI128" s="86">
        <f>AVERAGEIFS($I$2:I128, $B$2:B128, B128)</f>
        <v>0.32500000000000001</v>
      </c>
      <c r="AJ128" s="86">
        <f>AVERAGEIFS($J$2:J128, $B$2:B128, B128)</f>
        <v>0.43000000000000005</v>
      </c>
      <c r="AK128" s="86">
        <f>AVERAGEIFS($D$2:D128, $B$2:B128, B128)</f>
        <v>0</v>
      </c>
    </row>
    <row r="129" spans="1:37" x14ac:dyDescent="0.25">
      <c r="A129" s="85">
        <v>46061</v>
      </c>
      <c r="B129" t="s">
        <v>46</v>
      </c>
      <c r="C129">
        <v>13</v>
      </c>
      <c r="D129">
        <v>0</v>
      </c>
      <c r="E129">
        <v>5</v>
      </c>
      <c r="F129">
        <v>2</v>
      </c>
      <c r="G129">
        <v>24</v>
      </c>
      <c r="H129">
        <v>11</v>
      </c>
      <c r="I129">
        <v>0.4</v>
      </c>
      <c r="J129">
        <v>0.46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1</v>
      </c>
      <c r="AA129">
        <v>0</v>
      </c>
      <c r="AB129">
        <v>0</v>
      </c>
      <c r="AC129">
        <v>1</v>
      </c>
      <c r="AD129">
        <v>0</v>
      </c>
      <c r="AE129">
        <v>0</v>
      </c>
      <c r="AF129">
        <v>0</v>
      </c>
      <c r="AG129">
        <v>0</v>
      </c>
      <c r="AH129" s="86">
        <f>AVERAGEIFS($C$2:C129, $B$2:B129, B129)</f>
        <v>18.714285714285715</v>
      </c>
      <c r="AI129" s="86">
        <f>AVERAGEIFS($I$2:I129, $B$2:B129, B129)</f>
        <v>0.47142857142857142</v>
      </c>
      <c r="AJ129" s="86">
        <f>AVERAGEIFS($J$2:J129, $B$2:B129, B129)</f>
        <v>0.45714285714285713</v>
      </c>
      <c r="AK129" s="86">
        <f>AVERAGEIFS($D$2:D129, $B$2:B129, B129)</f>
        <v>0.2857142857142857</v>
      </c>
    </row>
    <row r="130" spans="1:37" x14ac:dyDescent="0.25">
      <c r="A130" s="85">
        <v>46061</v>
      </c>
      <c r="B130" t="s">
        <v>4</v>
      </c>
      <c r="C130">
        <v>27</v>
      </c>
      <c r="D130">
        <v>0</v>
      </c>
      <c r="E130">
        <v>5</v>
      </c>
      <c r="F130">
        <v>2</v>
      </c>
      <c r="G130">
        <v>24</v>
      </c>
      <c r="H130">
        <v>11</v>
      </c>
      <c r="I130">
        <v>0.4</v>
      </c>
      <c r="J130">
        <v>0.46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>
        <v>0</v>
      </c>
      <c r="AB130">
        <v>0</v>
      </c>
      <c r="AC130">
        <v>1</v>
      </c>
      <c r="AD130">
        <v>0</v>
      </c>
      <c r="AE130">
        <v>0</v>
      </c>
      <c r="AF130">
        <v>0</v>
      </c>
      <c r="AG130">
        <v>0</v>
      </c>
      <c r="AH130" s="86">
        <f>AVERAGEIFS($C$2:C130, $B$2:B130, B130)</f>
        <v>27</v>
      </c>
      <c r="AI130" s="86">
        <f>AVERAGEIFS($I$2:I130, $B$2:B130, B130)</f>
        <v>0.4</v>
      </c>
      <c r="AJ130" s="86">
        <f>AVERAGEIFS($J$2:J130, $B$2:B130, B130)</f>
        <v>0.46</v>
      </c>
      <c r="AK130" s="86">
        <f>AVERAGEIFS($D$2:D130, $B$2:B130, B130)</f>
        <v>0</v>
      </c>
    </row>
    <row r="131" spans="1:37" x14ac:dyDescent="0.25">
      <c r="A131" s="85">
        <v>46063</v>
      </c>
      <c r="B131" t="s">
        <v>2</v>
      </c>
      <c r="C131">
        <v>19</v>
      </c>
      <c r="D131">
        <v>1</v>
      </c>
      <c r="E131">
        <v>4</v>
      </c>
      <c r="F131">
        <v>3</v>
      </c>
      <c r="G131">
        <v>14</v>
      </c>
      <c r="H131">
        <v>11</v>
      </c>
      <c r="I131">
        <v>0.75</v>
      </c>
      <c r="J131">
        <v>0.79</v>
      </c>
      <c r="K131">
        <v>1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1</v>
      </c>
      <c r="AD131">
        <v>0</v>
      </c>
      <c r="AE131">
        <v>0</v>
      </c>
      <c r="AF131">
        <v>0</v>
      </c>
      <c r="AG131">
        <v>0</v>
      </c>
      <c r="AH131" s="86">
        <f>AVERAGEIFS($C$2:C131, $B$2:B131, B131)</f>
        <v>21.166666666666668</v>
      </c>
      <c r="AI131" s="86">
        <f>AVERAGEIFS($I$2:I131, $B$2:B131, B131)</f>
        <v>0.38833333333333336</v>
      </c>
      <c r="AJ131" s="86">
        <f>AVERAGEIFS($J$2:J131, $B$2:B131, B131)</f>
        <v>0.54500000000000004</v>
      </c>
      <c r="AK131" s="86">
        <f>AVERAGEIFS($D$2:D131, $B$2:B131, B131)</f>
        <v>0.33333333333333331</v>
      </c>
    </row>
    <row r="132" spans="1:37" x14ac:dyDescent="0.25">
      <c r="A132" s="85">
        <v>46063</v>
      </c>
      <c r="B132" t="s">
        <v>46</v>
      </c>
      <c r="C132">
        <v>17</v>
      </c>
      <c r="D132">
        <v>1</v>
      </c>
      <c r="E132">
        <v>4</v>
      </c>
      <c r="F132">
        <v>3</v>
      </c>
      <c r="G132">
        <v>14</v>
      </c>
      <c r="H132">
        <v>11</v>
      </c>
      <c r="I132">
        <v>0.75</v>
      </c>
      <c r="J132">
        <v>0.79</v>
      </c>
      <c r="K132">
        <v>1</v>
      </c>
      <c r="L132">
        <v>0</v>
      </c>
      <c r="M132">
        <v>0</v>
      </c>
      <c r="N132">
        <v>1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1</v>
      </c>
      <c r="AD132">
        <v>0</v>
      </c>
      <c r="AE132">
        <v>0</v>
      </c>
      <c r="AF132">
        <v>0</v>
      </c>
      <c r="AG132">
        <v>0</v>
      </c>
      <c r="AH132" s="86">
        <f>AVERAGEIFS($C$2:C132, $B$2:B132, B132)</f>
        <v>18.5</v>
      </c>
      <c r="AI132" s="86">
        <f>AVERAGEIFS($I$2:I132, $B$2:B132, B132)</f>
        <v>0.50624999999999998</v>
      </c>
      <c r="AJ132" s="86">
        <f>AVERAGEIFS($J$2:J132, $B$2:B132, B132)</f>
        <v>0.49874999999999997</v>
      </c>
      <c r="AK132" s="86">
        <f>AVERAGEIFS($D$2:D132, $B$2:B132, B132)</f>
        <v>0.375</v>
      </c>
    </row>
    <row r="133" spans="1:37" x14ac:dyDescent="0.25">
      <c r="A133" s="85">
        <v>46063</v>
      </c>
      <c r="B133" t="s">
        <v>17</v>
      </c>
      <c r="C133">
        <v>13</v>
      </c>
      <c r="D133">
        <v>1</v>
      </c>
      <c r="E133">
        <v>4</v>
      </c>
      <c r="F133">
        <v>3</v>
      </c>
      <c r="G133">
        <v>14</v>
      </c>
      <c r="H133">
        <v>11</v>
      </c>
      <c r="I133">
        <v>0.75</v>
      </c>
      <c r="J133">
        <v>0.79</v>
      </c>
      <c r="K133">
        <v>1</v>
      </c>
      <c r="L133">
        <v>0</v>
      </c>
      <c r="M133">
        <v>0</v>
      </c>
      <c r="N133">
        <v>1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1</v>
      </c>
      <c r="AD133">
        <v>0</v>
      </c>
      <c r="AE133">
        <v>0</v>
      </c>
      <c r="AF133">
        <v>0</v>
      </c>
      <c r="AG133">
        <v>0</v>
      </c>
      <c r="AH133" s="86">
        <f>AVERAGEIFS($C$2:C133, $B$2:B133, B133)</f>
        <v>19.3</v>
      </c>
      <c r="AI133" s="86">
        <f>AVERAGEIFS($I$2:I133, $B$2:B133, B133)</f>
        <v>0.46200000000000002</v>
      </c>
      <c r="AJ133" s="86">
        <f>AVERAGEIFS($J$2:J133, $B$2:B133, B133)</f>
        <v>0.47099999999999997</v>
      </c>
      <c r="AK133" s="86">
        <f>AVERAGEIFS($D$2:D133, $B$2:B133, B133)</f>
        <v>0.4</v>
      </c>
    </row>
    <row r="134" spans="1:37" x14ac:dyDescent="0.25">
      <c r="A134" s="85">
        <v>46063</v>
      </c>
      <c r="B134" t="s">
        <v>6</v>
      </c>
      <c r="C134">
        <v>12</v>
      </c>
      <c r="D134">
        <v>1</v>
      </c>
      <c r="E134">
        <v>4</v>
      </c>
      <c r="F134">
        <v>3</v>
      </c>
      <c r="G134">
        <v>14</v>
      </c>
      <c r="H134">
        <v>11</v>
      </c>
      <c r="I134">
        <v>0.75</v>
      </c>
      <c r="J134">
        <v>0.79</v>
      </c>
      <c r="K134">
        <v>1</v>
      </c>
      <c r="L134">
        <v>0</v>
      </c>
      <c r="M134">
        <v>0</v>
      </c>
      <c r="N134">
        <v>1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1</v>
      </c>
      <c r="AD134">
        <v>0</v>
      </c>
      <c r="AE134">
        <v>0</v>
      </c>
      <c r="AF134">
        <v>0</v>
      </c>
      <c r="AG134">
        <v>0</v>
      </c>
      <c r="AH134" s="86">
        <f>AVERAGEIFS($C$2:C134, $B$2:B134, B134)</f>
        <v>20.555555555555557</v>
      </c>
      <c r="AI134" s="86">
        <f>AVERAGEIFS($I$2:I134, $B$2:B134, B134)</f>
        <v>0.64777777777777779</v>
      </c>
      <c r="AJ134" s="86">
        <f>AVERAGEIFS($J$2:J134, $B$2:B134, B134)</f>
        <v>0.57111111111111112</v>
      </c>
      <c r="AK134" s="86">
        <f>AVERAGEIFS($D$2:D134, $B$2:B134, B134)</f>
        <v>0.66666666666666663</v>
      </c>
    </row>
    <row r="135" spans="1:37" x14ac:dyDescent="0.25">
      <c r="A135" s="85">
        <v>46063</v>
      </c>
      <c r="B135" t="s">
        <v>25</v>
      </c>
      <c r="C135">
        <v>10</v>
      </c>
      <c r="D135">
        <v>1</v>
      </c>
      <c r="E135">
        <v>4</v>
      </c>
      <c r="F135">
        <v>3</v>
      </c>
      <c r="G135">
        <v>14</v>
      </c>
      <c r="H135">
        <v>11</v>
      </c>
      <c r="I135">
        <v>0.75</v>
      </c>
      <c r="J135">
        <v>0.79</v>
      </c>
      <c r="K135">
        <v>1</v>
      </c>
      <c r="L135">
        <v>0</v>
      </c>
      <c r="M135">
        <v>0</v>
      </c>
      <c r="N135">
        <v>1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1</v>
      </c>
      <c r="AD135">
        <v>0</v>
      </c>
      <c r="AE135">
        <v>0</v>
      </c>
      <c r="AF135">
        <v>0</v>
      </c>
      <c r="AG135">
        <v>0</v>
      </c>
      <c r="AH135" s="86">
        <f>AVERAGEIFS($C$2:C135, $B$2:B135, B135)</f>
        <v>10</v>
      </c>
      <c r="AI135" s="86">
        <f>AVERAGEIFS($I$2:I135, $B$2:B135, B135)</f>
        <v>0.75</v>
      </c>
      <c r="AJ135" s="86">
        <f>AVERAGEIFS($J$2:J135, $B$2:B135, B135)</f>
        <v>0.79</v>
      </c>
      <c r="AK135" s="86">
        <f>AVERAGEIFS($D$2:D135, $B$2:B135, B135)</f>
        <v>1</v>
      </c>
    </row>
    <row r="136" spans="1:37" x14ac:dyDescent="0.25">
      <c r="A136" s="85">
        <v>46063</v>
      </c>
      <c r="B136" t="s">
        <v>19</v>
      </c>
      <c r="C136">
        <v>3</v>
      </c>
      <c r="D136">
        <v>1</v>
      </c>
      <c r="E136">
        <v>4</v>
      </c>
      <c r="F136">
        <v>3</v>
      </c>
      <c r="G136">
        <v>14</v>
      </c>
      <c r="H136">
        <v>11</v>
      </c>
      <c r="I136">
        <v>0.75</v>
      </c>
      <c r="J136">
        <v>0.79</v>
      </c>
      <c r="K136">
        <v>1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1</v>
      </c>
      <c r="AD136">
        <v>0</v>
      </c>
      <c r="AE136">
        <v>0</v>
      </c>
      <c r="AF136">
        <v>0</v>
      </c>
      <c r="AG136">
        <v>0</v>
      </c>
      <c r="AH136" s="86">
        <f>AVERAGEIFS($C$2:C136, $B$2:B136, B136)</f>
        <v>8.3333333333333339</v>
      </c>
      <c r="AI136" s="86">
        <f>AVERAGEIFS($I$2:I136, $B$2:B136, B136)</f>
        <v>0.54777777777777781</v>
      </c>
      <c r="AJ136" s="86">
        <f>AVERAGEIFS($J$2:J136, $B$2:B136, B136)</f>
        <v>0.58111111111111102</v>
      </c>
      <c r="AK136" s="86">
        <f>AVERAGEIFS($D$2:D136, $B$2:B136, B136)</f>
        <v>0.55555555555555558</v>
      </c>
    </row>
    <row r="137" spans="1:37" x14ac:dyDescent="0.25">
      <c r="A137" s="85">
        <v>46063</v>
      </c>
      <c r="B137" t="s">
        <v>54</v>
      </c>
      <c r="C137">
        <v>19</v>
      </c>
      <c r="D137">
        <v>0</v>
      </c>
      <c r="E137">
        <v>4</v>
      </c>
      <c r="F137">
        <v>1</v>
      </c>
      <c r="G137">
        <v>14</v>
      </c>
      <c r="H137">
        <v>3</v>
      </c>
      <c r="I137">
        <v>0.25</v>
      </c>
      <c r="J137">
        <v>0.21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 s="86">
        <f>AVERAGEIFS($C$2:C137, $B$2:B137, B137)</f>
        <v>23.75</v>
      </c>
      <c r="AI137" s="86">
        <f>AVERAGEIFS($I$2:I137, $B$2:B137, B137)</f>
        <v>0.53500000000000003</v>
      </c>
      <c r="AJ137" s="86">
        <f>AVERAGEIFS($J$2:J137, $B$2:B137, B137)</f>
        <v>0.48749999999999999</v>
      </c>
      <c r="AK137" s="86">
        <f>AVERAGEIFS($D$2:D137, $B$2:B137, B137)</f>
        <v>0.58333333333333337</v>
      </c>
    </row>
    <row r="138" spans="1:37" x14ac:dyDescent="0.25">
      <c r="A138" s="85">
        <v>46063</v>
      </c>
      <c r="B138" t="s">
        <v>4</v>
      </c>
      <c r="C138">
        <v>12</v>
      </c>
      <c r="D138">
        <v>0</v>
      </c>
      <c r="E138">
        <v>4</v>
      </c>
      <c r="F138">
        <v>1</v>
      </c>
      <c r="G138">
        <v>14</v>
      </c>
      <c r="H138">
        <v>3</v>
      </c>
      <c r="I138">
        <v>0.25</v>
      </c>
      <c r="J138">
        <v>0.21</v>
      </c>
      <c r="K138">
        <v>0</v>
      </c>
      <c r="L138">
        <v>1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 s="86">
        <f>AVERAGEIFS($C$2:C138, $B$2:B138, B138)</f>
        <v>19.5</v>
      </c>
      <c r="AI138" s="86">
        <f>AVERAGEIFS($I$2:I138, $B$2:B138, B138)</f>
        <v>0.32500000000000001</v>
      </c>
      <c r="AJ138" s="86">
        <f>AVERAGEIFS($J$2:J138, $B$2:B138, B138)</f>
        <v>0.33500000000000002</v>
      </c>
      <c r="AK138" s="86">
        <f>AVERAGEIFS($D$2:D138, $B$2:B138, B138)</f>
        <v>0</v>
      </c>
    </row>
    <row r="139" spans="1:37" x14ac:dyDescent="0.25">
      <c r="A139" s="85">
        <v>46063</v>
      </c>
      <c r="B139" t="s">
        <v>35</v>
      </c>
      <c r="C139">
        <v>11</v>
      </c>
      <c r="D139">
        <v>0</v>
      </c>
      <c r="E139">
        <v>4</v>
      </c>
      <c r="F139">
        <v>1</v>
      </c>
      <c r="G139">
        <v>14</v>
      </c>
      <c r="H139">
        <v>3</v>
      </c>
      <c r="I139">
        <v>0.25</v>
      </c>
      <c r="J139">
        <v>0.21</v>
      </c>
      <c r="K139">
        <v>0</v>
      </c>
      <c r="L139">
        <v>1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 s="86">
        <f>AVERAGEIFS($C$2:C139, $B$2:B139, B139)</f>
        <v>11.444444444444445</v>
      </c>
      <c r="AI139" s="86">
        <f>AVERAGEIFS($I$2:I139, $B$2:B139, B139)</f>
        <v>0.4811111111111111</v>
      </c>
      <c r="AJ139" s="86">
        <f>AVERAGEIFS($J$2:J139, $B$2:B139, B139)</f>
        <v>0.50333333333333341</v>
      </c>
      <c r="AK139" s="86">
        <f>AVERAGEIFS($D$2:D139, $B$2:B139, B139)</f>
        <v>0.44444444444444442</v>
      </c>
    </row>
    <row r="140" spans="1:37" x14ac:dyDescent="0.25">
      <c r="A140" s="85">
        <v>46063</v>
      </c>
      <c r="B140" t="s">
        <v>42</v>
      </c>
      <c r="C140">
        <v>11</v>
      </c>
      <c r="D140">
        <v>0</v>
      </c>
      <c r="E140">
        <v>4</v>
      </c>
      <c r="F140">
        <v>1</v>
      </c>
      <c r="G140">
        <v>14</v>
      </c>
      <c r="H140">
        <v>3</v>
      </c>
      <c r="I140">
        <v>0.25</v>
      </c>
      <c r="J140">
        <v>0.21</v>
      </c>
      <c r="K140">
        <v>0</v>
      </c>
      <c r="L140">
        <v>1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 s="86">
        <f>AVERAGEIFS($C$2:C140, $B$2:B140, B140)</f>
        <v>14</v>
      </c>
      <c r="AI140" s="86">
        <f>AVERAGEIFS($I$2:I140, $B$2:B140, B140)</f>
        <v>0.42499999999999999</v>
      </c>
      <c r="AJ140" s="86">
        <f>AVERAGEIFS($J$2:J140, $B$2:B140, B140)</f>
        <v>0.375</v>
      </c>
      <c r="AK140" s="86">
        <f>AVERAGEIFS($D$2:D140, $B$2:B140, B140)</f>
        <v>0.5</v>
      </c>
    </row>
    <row r="141" spans="1:37" x14ac:dyDescent="0.25">
      <c r="A141" s="85">
        <v>46063</v>
      </c>
      <c r="B141" t="s">
        <v>52</v>
      </c>
      <c r="C141">
        <v>5</v>
      </c>
      <c r="D141">
        <v>0</v>
      </c>
      <c r="E141">
        <v>4</v>
      </c>
      <c r="F141">
        <v>1</v>
      </c>
      <c r="G141">
        <v>14</v>
      </c>
      <c r="H141">
        <v>3</v>
      </c>
      <c r="I141">
        <v>0.25</v>
      </c>
      <c r="J141">
        <v>0.21</v>
      </c>
      <c r="K141">
        <v>0</v>
      </c>
      <c r="L141">
        <v>1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 s="86">
        <f>AVERAGEIFS($C$2:C141, $B$2:B141, B141)</f>
        <v>12</v>
      </c>
      <c r="AI141" s="86">
        <f>AVERAGEIFS($I$2:I141, $B$2:B141, B141)</f>
        <v>0.3</v>
      </c>
      <c r="AJ141" s="86">
        <f>AVERAGEIFS($J$2:J141, $B$2:B141, B141)</f>
        <v>0.35666666666666669</v>
      </c>
      <c r="AK141" s="86">
        <f>AVERAGEIFS($D$2:D141, $B$2:B141, B141)</f>
        <v>0</v>
      </c>
    </row>
    <row r="142" spans="1:37" x14ac:dyDescent="0.25">
      <c r="A142" s="85">
        <v>46063</v>
      </c>
      <c r="B142" t="s">
        <v>40</v>
      </c>
      <c r="C142">
        <v>5</v>
      </c>
      <c r="D142">
        <v>0</v>
      </c>
      <c r="E142">
        <v>4</v>
      </c>
      <c r="F142">
        <v>1</v>
      </c>
      <c r="G142">
        <v>14</v>
      </c>
      <c r="H142">
        <v>3</v>
      </c>
      <c r="I142">
        <v>0.25</v>
      </c>
      <c r="J142">
        <v>0.21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 s="86">
        <f>AVERAGEIFS($C$2:C142, $B$2:B142, B142)</f>
        <v>11</v>
      </c>
      <c r="AI142" s="86">
        <f>AVERAGEIFS($I$2:I142, $B$2:B142, B142)</f>
        <v>0.42499999999999999</v>
      </c>
      <c r="AJ142" s="86">
        <f>AVERAGEIFS($J$2:J142, $B$2:B142, B142)</f>
        <v>0.375</v>
      </c>
      <c r="AK142" s="86">
        <f>AVERAGEIFS($D$2:D142, $B$2:B142, B142)</f>
        <v>0.5</v>
      </c>
    </row>
    <row r="143" spans="1:37" x14ac:dyDescent="0.25">
      <c r="A143" s="85">
        <v>46064</v>
      </c>
      <c r="B143" t="s">
        <v>50</v>
      </c>
      <c r="C143">
        <v>29</v>
      </c>
      <c r="D143">
        <v>1</v>
      </c>
      <c r="E143">
        <v>4</v>
      </c>
      <c r="F143">
        <v>3</v>
      </c>
      <c r="G143">
        <v>14</v>
      </c>
      <c r="H143">
        <v>9</v>
      </c>
      <c r="I143">
        <v>0.75</v>
      </c>
      <c r="J143">
        <v>0.64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1</v>
      </c>
      <c r="W143">
        <v>0</v>
      </c>
      <c r="X143">
        <v>0</v>
      </c>
      <c r="Y143">
        <v>1</v>
      </c>
      <c r="Z143">
        <v>1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 s="86">
        <f>AVERAGEIFS($C$2:C143, $B$2:B143, B143)</f>
        <v>18.916666666666668</v>
      </c>
      <c r="AI143" s="86">
        <f>AVERAGEIFS($I$2:I143, $B$2:B143, B143)</f>
        <v>0.50666666666666671</v>
      </c>
      <c r="AJ143" s="86">
        <f>AVERAGEIFS($J$2:J143, $B$2:B143, B143)</f>
        <v>0.54166666666666652</v>
      </c>
      <c r="AK143" s="86">
        <f>AVERAGEIFS($D$2:D143, $B$2:B143, B143)</f>
        <v>0.5</v>
      </c>
    </row>
    <row r="144" spans="1:37" x14ac:dyDescent="0.25">
      <c r="A144" s="85">
        <v>46064</v>
      </c>
      <c r="B144" t="s">
        <v>6</v>
      </c>
      <c r="C144">
        <v>23</v>
      </c>
      <c r="D144">
        <v>1</v>
      </c>
      <c r="E144">
        <v>4</v>
      </c>
      <c r="F144">
        <v>3</v>
      </c>
      <c r="G144">
        <v>14</v>
      </c>
      <c r="H144">
        <v>9</v>
      </c>
      <c r="I144">
        <v>0.75</v>
      </c>
      <c r="J144">
        <v>0.64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1</v>
      </c>
      <c r="W144">
        <v>0</v>
      </c>
      <c r="X144">
        <v>0</v>
      </c>
      <c r="Y144">
        <v>1</v>
      </c>
      <c r="Z144">
        <v>1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 s="86">
        <f>AVERAGEIFS($C$2:C144, $B$2:B144, B144)</f>
        <v>20.8</v>
      </c>
      <c r="AI144" s="86">
        <f>AVERAGEIFS($I$2:I144, $B$2:B144, B144)</f>
        <v>0.65800000000000003</v>
      </c>
      <c r="AJ144" s="86">
        <f>AVERAGEIFS($J$2:J144, $B$2:B144, B144)</f>
        <v>0.57800000000000007</v>
      </c>
      <c r="AK144" s="86">
        <f>AVERAGEIFS($D$2:D144, $B$2:B144, B144)</f>
        <v>0.7</v>
      </c>
    </row>
    <row r="145" spans="1:37" x14ac:dyDescent="0.25">
      <c r="A145" s="85">
        <v>46064</v>
      </c>
      <c r="B145" t="s">
        <v>2</v>
      </c>
      <c r="C145">
        <v>20</v>
      </c>
      <c r="D145">
        <v>1</v>
      </c>
      <c r="E145">
        <v>4</v>
      </c>
      <c r="F145">
        <v>3</v>
      </c>
      <c r="G145">
        <v>14</v>
      </c>
      <c r="H145">
        <v>9</v>
      </c>
      <c r="I145">
        <v>0.75</v>
      </c>
      <c r="J145">
        <v>0.64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1</v>
      </c>
      <c r="W145">
        <v>0</v>
      </c>
      <c r="X145">
        <v>0</v>
      </c>
      <c r="Y145">
        <v>1</v>
      </c>
      <c r="Z145">
        <v>1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 s="86">
        <f>AVERAGEIFS($C$2:C145, $B$2:B145, B145)</f>
        <v>21</v>
      </c>
      <c r="AI145" s="86">
        <f>AVERAGEIFS($I$2:I145, $B$2:B145, B145)</f>
        <v>0.44</v>
      </c>
      <c r="AJ145" s="86">
        <f>AVERAGEIFS($J$2:J145, $B$2:B145, B145)</f>
        <v>0.55857142857142861</v>
      </c>
      <c r="AK145" s="86">
        <f>AVERAGEIFS($D$2:D145, $B$2:B145, B145)</f>
        <v>0.42857142857142855</v>
      </c>
    </row>
    <row r="146" spans="1:37" x14ac:dyDescent="0.25">
      <c r="A146" s="85">
        <v>46064</v>
      </c>
      <c r="B146" t="s">
        <v>25</v>
      </c>
      <c r="C146">
        <v>12</v>
      </c>
      <c r="D146">
        <v>1</v>
      </c>
      <c r="E146">
        <v>4</v>
      </c>
      <c r="F146">
        <v>3</v>
      </c>
      <c r="G146">
        <v>14</v>
      </c>
      <c r="H146">
        <v>9</v>
      </c>
      <c r="I146">
        <v>0.75</v>
      </c>
      <c r="J146">
        <v>0.64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1</v>
      </c>
      <c r="W146">
        <v>0</v>
      </c>
      <c r="X146">
        <v>0</v>
      </c>
      <c r="Y146">
        <v>1</v>
      </c>
      <c r="Z146">
        <v>1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 s="86">
        <f>AVERAGEIFS($C$2:C146, $B$2:B146, B146)</f>
        <v>11</v>
      </c>
      <c r="AI146" s="86">
        <f>AVERAGEIFS($I$2:I146, $B$2:B146, B146)</f>
        <v>0.75</v>
      </c>
      <c r="AJ146" s="86">
        <f>AVERAGEIFS($J$2:J146, $B$2:B146, B146)</f>
        <v>0.71500000000000008</v>
      </c>
      <c r="AK146" s="86">
        <f>AVERAGEIFS($D$2:D146, $B$2:B146, B146)</f>
        <v>1</v>
      </c>
    </row>
    <row r="147" spans="1:37" x14ac:dyDescent="0.25">
      <c r="A147" s="85">
        <v>46064</v>
      </c>
      <c r="B147" t="s">
        <v>42</v>
      </c>
      <c r="C147">
        <v>6</v>
      </c>
      <c r="D147">
        <v>1</v>
      </c>
      <c r="E147">
        <v>4</v>
      </c>
      <c r="F147">
        <v>3</v>
      </c>
      <c r="G147">
        <v>14</v>
      </c>
      <c r="H147">
        <v>9</v>
      </c>
      <c r="I147">
        <v>0.75</v>
      </c>
      <c r="J147">
        <v>0.64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1</v>
      </c>
      <c r="W147">
        <v>0</v>
      </c>
      <c r="X147">
        <v>0</v>
      </c>
      <c r="Y147">
        <v>1</v>
      </c>
      <c r="Z147">
        <v>1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 s="86">
        <f>AVERAGEIFS($C$2:C147, $B$2:B147, B147)</f>
        <v>11.333333333333334</v>
      </c>
      <c r="AI147" s="86">
        <f>AVERAGEIFS($I$2:I147, $B$2:B147, B147)</f>
        <v>0.53333333333333333</v>
      </c>
      <c r="AJ147" s="86">
        <f>AVERAGEIFS($J$2:J147, $B$2:B147, B147)</f>
        <v>0.46333333333333337</v>
      </c>
      <c r="AK147" s="86">
        <f>AVERAGEIFS($D$2:D147, $B$2:B147, B147)</f>
        <v>0.66666666666666663</v>
      </c>
    </row>
    <row r="148" spans="1:37" x14ac:dyDescent="0.25">
      <c r="A148" s="85">
        <v>46064</v>
      </c>
      <c r="B148" t="s">
        <v>19</v>
      </c>
      <c r="C148">
        <v>5</v>
      </c>
      <c r="D148">
        <v>1</v>
      </c>
      <c r="E148">
        <v>4</v>
      </c>
      <c r="F148">
        <v>3</v>
      </c>
      <c r="G148">
        <v>14</v>
      </c>
      <c r="H148">
        <v>9</v>
      </c>
      <c r="I148">
        <v>0.75</v>
      </c>
      <c r="J148">
        <v>0.64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1</v>
      </c>
      <c r="W148">
        <v>0</v>
      </c>
      <c r="X148">
        <v>0</v>
      </c>
      <c r="Y148">
        <v>1</v>
      </c>
      <c r="Z148">
        <v>1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 s="86">
        <f>AVERAGEIFS($C$2:C148, $B$2:B148, B148)</f>
        <v>8</v>
      </c>
      <c r="AI148" s="86">
        <f>AVERAGEIFS($I$2:I148, $B$2:B148, B148)</f>
        <v>0.56800000000000006</v>
      </c>
      <c r="AJ148" s="86">
        <f>AVERAGEIFS($J$2:J148, $B$2:B148, B148)</f>
        <v>0.58699999999999997</v>
      </c>
      <c r="AK148" s="86">
        <f>AVERAGEIFS($D$2:D148, $B$2:B148, B148)</f>
        <v>0.6</v>
      </c>
    </row>
    <row r="149" spans="1:37" x14ac:dyDescent="0.25">
      <c r="A149" s="85">
        <v>46064</v>
      </c>
      <c r="B149" t="s">
        <v>54</v>
      </c>
      <c r="C149">
        <v>32</v>
      </c>
      <c r="D149">
        <v>0</v>
      </c>
      <c r="E149">
        <v>4</v>
      </c>
      <c r="F149">
        <v>1</v>
      </c>
      <c r="G149">
        <v>14</v>
      </c>
      <c r="H149">
        <v>5</v>
      </c>
      <c r="I149">
        <v>0.25</v>
      </c>
      <c r="J149">
        <v>0.36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1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 s="86">
        <f>AVERAGEIFS($C$2:C149, $B$2:B149, B149)</f>
        <v>24.384615384615383</v>
      </c>
      <c r="AI149" s="86">
        <f>AVERAGEIFS($I$2:I149, $B$2:B149, B149)</f>
        <v>0.5130769230769231</v>
      </c>
      <c r="AJ149" s="86">
        <f>AVERAGEIFS($J$2:J149, $B$2:B149, B149)</f>
        <v>0.47769230769230769</v>
      </c>
      <c r="AK149" s="86">
        <f>AVERAGEIFS($D$2:D149, $B$2:B149, B149)</f>
        <v>0.53846153846153844</v>
      </c>
    </row>
    <row r="150" spans="1:37" x14ac:dyDescent="0.25">
      <c r="A150" s="85">
        <v>46064</v>
      </c>
      <c r="B150" t="s">
        <v>17</v>
      </c>
      <c r="C150">
        <v>18</v>
      </c>
      <c r="D150">
        <v>0</v>
      </c>
      <c r="E150">
        <v>4</v>
      </c>
      <c r="F150">
        <v>1</v>
      </c>
      <c r="G150">
        <v>14</v>
      </c>
      <c r="H150">
        <v>5</v>
      </c>
      <c r="I150">
        <v>0.25</v>
      </c>
      <c r="J150">
        <v>0.36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1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 s="86">
        <f>AVERAGEIFS($C$2:C150, $B$2:B150, B150)</f>
        <v>19.181818181818183</v>
      </c>
      <c r="AI150" s="86">
        <f>AVERAGEIFS($I$2:I150, $B$2:B150, B150)</f>
        <v>0.44272727272727275</v>
      </c>
      <c r="AJ150" s="86">
        <f>AVERAGEIFS($J$2:J150, $B$2:B150, B150)</f>
        <v>0.46090909090909093</v>
      </c>
      <c r="AK150" s="86">
        <f>AVERAGEIFS($D$2:D150, $B$2:B150, B150)</f>
        <v>0.36363636363636365</v>
      </c>
    </row>
    <row r="151" spans="1:37" x14ac:dyDescent="0.25">
      <c r="A151" s="85">
        <v>46064</v>
      </c>
      <c r="B151" t="s">
        <v>46</v>
      </c>
      <c r="C151">
        <v>17</v>
      </c>
      <c r="D151">
        <v>0</v>
      </c>
      <c r="E151">
        <v>4</v>
      </c>
      <c r="F151">
        <v>1</v>
      </c>
      <c r="G151">
        <v>14</v>
      </c>
      <c r="H151">
        <v>5</v>
      </c>
      <c r="I151">
        <v>0.25</v>
      </c>
      <c r="J151">
        <v>0.36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1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 s="86">
        <f>AVERAGEIFS($C$2:C151, $B$2:B151, B151)</f>
        <v>18.333333333333332</v>
      </c>
      <c r="AI151" s="86">
        <f>AVERAGEIFS($I$2:I151, $B$2:B151, B151)</f>
        <v>0.47777777777777775</v>
      </c>
      <c r="AJ151" s="86">
        <f>AVERAGEIFS($J$2:J151, $B$2:B151, B151)</f>
        <v>0.48333333333333328</v>
      </c>
      <c r="AK151" s="86">
        <f>AVERAGEIFS($D$2:D151, $B$2:B151, B151)</f>
        <v>0.33333333333333331</v>
      </c>
    </row>
    <row r="152" spans="1:37" x14ac:dyDescent="0.25">
      <c r="A152" s="85">
        <v>46064</v>
      </c>
      <c r="B152" t="s">
        <v>52</v>
      </c>
      <c r="C152">
        <v>14</v>
      </c>
      <c r="D152">
        <v>0</v>
      </c>
      <c r="E152">
        <v>4</v>
      </c>
      <c r="F152">
        <v>1</v>
      </c>
      <c r="G152">
        <v>14</v>
      </c>
      <c r="H152">
        <v>5</v>
      </c>
      <c r="I152">
        <v>0.25</v>
      </c>
      <c r="J152">
        <v>0.36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1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 s="86">
        <f>AVERAGEIFS($C$2:C152, $B$2:B152, B152)</f>
        <v>12.5</v>
      </c>
      <c r="AI152" s="86">
        <f>AVERAGEIFS($I$2:I152, $B$2:B152, B152)</f>
        <v>0.28749999999999998</v>
      </c>
      <c r="AJ152" s="86">
        <f>AVERAGEIFS($J$2:J152, $B$2:B152, B152)</f>
        <v>0.35750000000000004</v>
      </c>
      <c r="AK152" s="86">
        <f>AVERAGEIFS($D$2:D152, $B$2:B152, B152)</f>
        <v>0</v>
      </c>
    </row>
    <row r="153" spans="1:37" x14ac:dyDescent="0.25">
      <c r="A153" s="85">
        <v>46064</v>
      </c>
      <c r="B153" t="s">
        <v>28</v>
      </c>
      <c r="C153">
        <v>12</v>
      </c>
      <c r="D153">
        <v>0</v>
      </c>
      <c r="E153">
        <v>4</v>
      </c>
      <c r="F153">
        <v>1</v>
      </c>
      <c r="G153">
        <v>14</v>
      </c>
      <c r="H153">
        <v>5</v>
      </c>
      <c r="I153">
        <v>0.25</v>
      </c>
      <c r="J153">
        <v>0.36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1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 s="86">
        <f>AVERAGEIFS($C$2:C153, $B$2:B153, B153)</f>
        <v>15</v>
      </c>
      <c r="AI153" s="86">
        <f>AVERAGEIFS($I$2:I153, $B$2:B153, B153)</f>
        <v>0.40500000000000003</v>
      </c>
      <c r="AJ153" s="86">
        <f>AVERAGEIFS($J$2:J153, $B$2:B153, B153)</f>
        <v>0.51333333333333331</v>
      </c>
      <c r="AK153" s="86">
        <f>AVERAGEIFS($D$2:D153, $B$2:B153, B153)</f>
        <v>0.33333333333333331</v>
      </c>
    </row>
    <row r="154" spans="1:37" x14ac:dyDescent="0.25">
      <c r="A154" s="85">
        <v>46064</v>
      </c>
      <c r="B154" t="s">
        <v>40</v>
      </c>
      <c r="C154">
        <v>2</v>
      </c>
      <c r="D154">
        <v>0</v>
      </c>
      <c r="E154">
        <v>4</v>
      </c>
      <c r="F154">
        <v>1</v>
      </c>
      <c r="G154">
        <v>14</v>
      </c>
      <c r="H154">
        <v>5</v>
      </c>
      <c r="I154">
        <v>0.25</v>
      </c>
      <c r="J154">
        <v>0.36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1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 s="86">
        <f>AVERAGEIFS($C$2:C154, $B$2:B154, B154)</f>
        <v>8</v>
      </c>
      <c r="AI154" s="86">
        <f>AVERAGEIFS($I$2:I154, $B$2:B154, B154)</f>
        <v>0.3666666666666667</v>
      </c>
      <c r="AJ154" s="86">
        <f>AVERAGEIFS($J$2:J154, $B$2:B154, B154)</f>
        <v>0.36999999999999994</v>
      </c>
      <c r="AK154" s="86">
        <f>AVERAGEIFS($D$2:D154, $B$2:B154, B154)</f>
        <v>0.33333333333333331</v>
      </c>
    </row>
    <row r="155" spans="1:37" x14ac:dyDescent="0.25">
      <c r="A155" s="85">
        <v>46065</v>
      </c>
      <c r="B155" t="s">
        <v>2</v>
      </c>
      <c r="C155">
        <v>26</v>
      </c>
      <c r="D155">
        <v>1</v>
      </c>
      <c r="E155">
        <v>3</v>
      </c>
      <c r="F155">
        <v>3</v>
      </c>
      <c r="G155">
        <v>15</v>
      </c>
      <c r="H155">
        <v>9</v>
      </c>
      <c r="I155">
        <v>1</v>
      </c>
      <c r="J155">
        <v>0.6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0</v>
      </c>
      <c r="AC155">
        <v>1</v>
      </c>
      <c r="AD155">
        <v>1</v>
      </c>
      <c r="AE155">
        <v>0</v>
      </c>
      <c r="AF155">
        <v>0</v>
      </c>
      <c r="AG155">
        <v>0</v>
      </c>
      <c r="AH155" s="86">
        <f>AVERAGEIFS($C$2:C155, $B$2:B155, B155)</f>
        <v>21.625</v>
      </c>
      <c r="AI155" s="86">
        <f>AVERAGEIFS($I$2:I155, $B$2:B155, B155)</f>
        <v>0.51</v>
      </c>
      <c r="AJ155" s="86">
        <f>AVERAGEIFS($J$2:J155, $B$2:B155, B155)</f>
        <v>0.56374999999999997</v>
      </c>
      <c r="AK155" s="86">
        <f>AVERAGEIFS($D$2:D155, $B$2:B155, B155)</f>
        <v>0.5</v>
      </c>
    </row>
    <row r="156" spans="1:37" x14ac:dyDescent="0.25">
      <c r="A156" s="85">
        <v>46065</v>
      </c>
      <c r="B156" t="s">
        <v>50</v>
      </c>
      <c r="C156">
        <v>23</v>
      </c>
      <c r="D156">
        <v>1</v>
      </c>
      <c r="E156">
        <v>3</v>
      </c>
      <c r="F156">
        <v>3</v>
      </c>
      <c r="G156">
        <v>15</v>
      </c>
      <c r="H156">
        <v>9</v>
      </c>
      <c r="I156">
        <v>1</v>
      </c>
      <c r="J156">
        <v>0.6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1</v>
      </c>
      <c r="AA156">
        <v>0</v>
      </c>
      <c r="AB156">
        <v>0</v>
      </c>
      <c r="AC156">
        <v>1</v>
      </c>
      <c r="AD156">
        <v>1</v>
      </c>
      <c r="AE156">
        <v>0</v>
      </c>
      <c r="AF156">
        <v>0</v>
      </c>
      <c r="AG156">
        <v>0</v>
      </c>
      <c r="AH156" s="86">
        <f>AVERAGEIFS($C$2:C156, $B$2:B156, B156)</f>
        <v>19.23076923076923</v>
      </c>
      <c r="AI156" s="86">
        <f>AVERAGEIFS($I$2:I156, $B$2:B156, B156)</f>
        <v>0.54461538461538472</v>
      </c>
      <c r="AJ156" s="86">
        <f>AVERAGEIFS($J$2:J156, $B$2:B156, B156)</f>
        <v>0.54615384615384599</v>
      </c>
      <c r="AK156" s="86">
        <f>AVERAGEIFS($D$2:D156, $B$2:B156, B156)</f>
        <v>0.53846153846153844</v>
      </c>
    </row>
    <row r="157" spans="1:37" x14ac:dyDescent="0.25">
      <c r="A157" s="85">
        <v>46065</v>
      </c>
      <c r="B157" t="s">
        <v>6</v>
      </c>
      <c r="C157">
        <v>21</v>
      </c>
      <c r="D157">
        <v>1</v>
      </c>
      <c r="E157">
        <v>3</v>
      </c>
      <c r="F157">
        <v>3</v>
      </c>
      <c r="G157">
        <v>15</v>
      </c>
      <c r="H157">
        <v>9</v>
      </c>
      <c r="I157">
        <v>1</v>
      </c>
      <c r="J157">
        <v>0.6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1</v>
      </c>
      <c r="AA157">
        <v>0</v>
      </c>
      <c r="AB157">
        <v>0</v>
      </c>
      <c r="AC157">
        <v>1</v>
      </c>
      <c r="AD157">
        <v>1</v>
      </c>
      <c r="AE157">
        <v>0</v>
      </c>
      <c r="AF157">
        <v>0</v>
      </c>
      <c r="AG157">
        <v>0</v>
      </c>
      <c r="AH157" s="86">
        <f>AVERAGEIFS($C$2:C157, $B$2:B157, B157)</f>
        <v>20.818181818181817</v>
      </c>
      <c r="AI157" s="86">
        <f>AVERAGEIFS($I$2:I157, $B$2:B157, B157)</f>
        <v>0.68909090909090909</v>
      </c>
      <c r="AJ157" s="86">
        <f>AVERAGEIFS($J$2:J157, $B$2:B157, B157)</f>
        <v>0.57999999999999996</v>
      </c>
      <c r="AK157" s="86">
        <f>AVERAGEIFS($D$2:D157, $B$2:B157, B157)</f>
        <v>0.72727272727272729</v>
      </c>
    </row>
    <row r="158" spans="1:37" x14ac:dyDescent="0.25">
      <c r="A158" s="85">
        <v>46065</v>
      </c>
      <c r="B158" t="s">
        <v>17</v>
      </c>
      <c r="C158">
        <v>15</v>
      </c>
      <c r="D158">
        <v>1</v>
      </c>
      <c r="E158">
        <v>3</v>
      </c>
      <c r="F158">
        <v>3</v>
      </c>
      <c r="G158">
        <v>15</v>
      </c>
      <c r="H158">
        <v>9</v>
      </c>
      <c r="I158">
        <v>1</v>
      </c>
      <c r="J158">
        <v>0.6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>
        <v>0</v>
      </c>
      <c r="AB158">
        <v>0</v>
      </c>
      <c r="AC158">
        <v>1</v>
      </c>
      <c r="AD158">
        <v>1</v>
      </c>
      <c r="AE158">
        <v>0</v>
      </c>
      <c r="AF158">
        <v>0</v>
      </c>
      <c r="AG158">
        <v>0</v>
      </c>
      <c r="AH158" s="86">
        <f>AVERAGEIFS($C$2:C158, $B$2:B158, B158)</f>
        <v>18.833333333333332</v>
      </c>
      <c r="AI158" s="86">
        <f>AVERAGEIFS($I$2:I158, $B$2:B158, B158)</f>
        <v>0.48916666666666669</v>
      </c>
      <c r="AJ158" s="86">
        <f>AVERAGEIFS($J$2:J158, $B$2:B158, B158)</f>
        <v>0.47249999999999998</v>
      </c>
      <c r="AK158" s="86">
        <f>AVERAGEIFS($D$2:D158, $B$2:B158, B158)</f>
        <v>0.41666666666666669</v>
      </c>
    </row>
    <row r="159" spans="1:37" x14ac:dyDescent="0.25">
      <c r="A159" s="85">
        <v>46065</v>
      </c>
      <c r="B159" t="s">
        <v>28</v>
      </c>
      <c r="C159">
        <v>15</v>
      </c>
      <c r="D159">
        <v>1</v>
      </c>
      <c r="E159">
        <v>3</v>
      </c>
      <c r="F159">
        <v>3</v>
      </c>
      <c r="G159">
        <v>15</v>
      </c>
      <c r="H159">
        <v>9</v>
      </c>
      <c r="I159">
        <v>1</v>
      </c>
      <c r="J159">
        <v>0.6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>
        <v>0</v>
      </c>
      <c r="AB159">
        <v>0</v>
      </c>
      <c r="AC159">
        <v>1</v>
      </c>
      <c r="AD159">
        <v>1</v>
      </c>
      <c r="AE159">
        <v>0</v>
      </c>
      <c r="AF159">
        <v>0</v>
      </c>
      <c r="AG159">
        <v>0</v>
      </c>
      <c r="AH159" s="86">
        <f>AVERAGEIFS($C$2:C159, $B$2:B159, B159)</f>
        <v>15</v>
      </c>
      <c r="AI159" s="86">
        <f>AVERAGEIFS($I$2:I159, $B$2:B159, B159)</f>
        <v>0.49000000000000005</v>
      </c>
      <c r="AJ159" s="86">
        <f>AVERAGEIFS($J$2:J159, $B$2:B159, B159)</f>
        <v>0.52571428571428569</v>
      </c>
      <c r="AK159" s="86">
        <f>AVERAGEIFS($D$2:D159, $B$2:B159, B159)</f>
        <v>0.42857142857142855</v>
      </c>
    </row>
    <row r="160" spans="1:37" x14ac:dyDescent="0.25">
      <c r="A160" s="85">
        <v>46065</v>
      </c>
      <c r="B160" t="s">
        <v>19</v>
      </c>
      <c r="C160">
        <v>10</v>
      </c>
      <c r="D160">
        <v>1</v>
      </c>
      <c r="E160">
        <v>3</v>
      </c>
      <c r="F160">
        <v>3</v>
      </c>
      <c r="G160">
        <v>15</v>
      </c>
      <c r="H160">
        <v>9</v>
      </c>
      <c r="I160">
        <v>1</v>
      </c>
      <c r="J160">
        <v>0.6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>
        <v>0</v>
      </c>
      <c r="AB160">
        <v>0</v>
      </c>
      <c r="AC160">
        <v>1</v>
      </c>
      <c r="AD160">
        <v>1</v>
      </c>
      <c r="AE160">
        <v>0</v>
      </c>
      <c r="AF160">
        <v>0</v>
      </c>
      <c r="AG160">
        <v>0</v>
      </c>
      <c r="AH160" s="86">
        <f>AVERAGEIFS($C$2:C160, $B$2:B160, B160)</f>
        <v>8.1818181818181817</v>
      </c>
      <c r="AI160" s="86">
        <f>AVERAGEIFS($I$2:I160, $B$2:B160, B160)</f>
        <v>0.6072727272727273</v>
      </c>
      <c r="AJ160" s="86">
        <f>AVERAGEIFS($J$2:J160, $B$2:B160, B160)</f>
        <v>0.58818181818181803</v>
      </c>
      <c r="AK160" s="86">
        <f>AVERAGEIFS($D$2:D160, $B$2:B160, B160)</f>
        <v>0.63636363636363635</v>
      </c>
    </row>
    <row r="161" spans="1:37" x14ac:dyDescent="0.25">
      <c r="A161" s="85">
        <v>46065</v>
      </c>
      <c r="B161" t="s">
        <v>40</v>
      </c>
      <c r="C161">
        <v>22</v>
      </c>
      <c r="D161">
        <v>0</v>
      </c>
      <c r="E161">
        <v>3</v>
      </c>
      <c r="F161">
        <v>0</v>
      </c>
      <c r="G161">
        <v>15</v>
      </c>
      <c r="H161">
        <v>6</v>
      </c>
      <c r="I161">
        <v>0</v>
      </c>
      <c r="J161">
        <v>0.4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 s="86">
        <f>AVERAGEIFS($C$2:C161, $B$2:B161, B161)</f>
        <v>11.5</v>
      </c>
      <c r="AI161" s="86">
        <f>AVERAGEIFS($I$2:I161, $B$2:B161, B161)</f>
        <v>0.27500000000000002</v>
      </c>
      <c r="AJ161" s="86">
        <f>AVERAGEIFS($J$2:J161, $B$2:B161, B161)</f>
        <v>0.37749999999999995</v>
      </c>
      <c r="AK161" s="86">
        <f>AVERAGEIFS($D$2:D161, $B$2:B161, B161)</f>
        <v>0.25</v>
      </c>
    </row>
    <row r="162" spans="1:37" x14ac:dyDescent="0.25">
      <c r="A162" s="85">
        <v>46065</v>
      </c>
      <c r="B162" t="s">
        <v>4</v>
      </c>
      <c r="C162">
        <v>17</v>
      </c>
      <c r="D162">
        <v>0</v>
      </c>
      <c r="E162">
        <v>3</v>
      </c>
      <c r="F162">
        <v>0</v>
      </c>
      <c r="G162">
        <v>15</v>
      </c>
      <c r="H162">
        <v>6</v>
      </c>
      <c r="I162">
        <v>0</v>
      </c>
      <c r="J162">
        <v>0.4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 s="86">
        <f>AVERAGEIFS($C$2:C162, $B$2:B162, B162)</f>
        <v>18.666666666666668</v>
      </c>
      <c r="AI162" s="86">
        <f>AVERAGEIFS($I$2:I162, $B$2:B162, B162)</f>
        <v>0.21666666666666667</v>
      </c>
      <c r="AJ162" s="86">
        <f>AVERAGEIFS($J$2:J162, $B$2:B162, B162)</f>
        <v>0.35666666666666669</v>
      </c>
      <c r="AK162" s="86">
        <f>AVERAGEIFS($D$2:D162, $B$2:B162, B162)</f>
        <v>0</v>
      </c>
    </row>
    <row r="163" spans="1:37" x14ac:dyDescent="0.25">
      <c r="A163" s="85">
        <v>46065</v>
      </c>
      <c r="B163" t="s">
        <v>42</v>
      </c>
      <c r="C163">
        <v>16</v>
      </c>
      <c r="D163">
        <v>0</v>
      </c>
      <c r="E163">
        <v>3</v>
      </c>
      <c r="F163">
        <v>0</v>
      </c>
      <c r="G163">
        <v>15</v>
      </c>
      <c r="H163">
        <v>6</v>
      </c>
      <c r="I163">
        <v>0</v>
      </c>
      <c r="J163">
        <v>0.4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 s="86">
        <f>AVERAGEIFS($C$2:C163, $B$2:B163, B163)</f>
        <v>12.5</v>
      </c>
      <c r="AI163" s="86">
        <f>AVERAGEIFS($I$2:I163, $B$2:B163, B163)</f>
        <v>0.4</v>
      </c>
      <c r="AJ163" s="86">
        <f>AVERAGEIFS($J$2:J163, $B$2:B163, B163)</f>
        <v>0.44750000000000001</v>
      </c>
      <c r="AK163" s="86">
        <f>AVERAGEIFS($D$2:D163, $B$2:B163, B163)</f>
        <v>0.5</v>
      </c>
    </row>
    <row r="164" spans="1:37" x14ac:dyDescent="0.25">
      <c r="A164" s="85">
        <v>46065</v>
      </c>
      <c r="B164" t="s">
        <v>1</v>
      </c>
      <c r="C164">
        <v>16</v>
      </c>
      <c r="D164">
        <v>0</v>
      </c>
      <c r="E164">
        <v>3</v>
      </c>
      <c r="F164">
        <v>0</v>
      </c>
      <c r="G164">
        <v>15</v>
      </c>
      <c r="H164">
        <v>6</v>
      </c>
      <c r="I164">
        <v>0</v>
      </c>
      <c r="J164">
        <v>0.4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 s="86">
        <f>AVERAGEIFS($C$2:C164, $B$2:B164, B164)</f>
        <v>24</v>
      </c>
      <c r="AI164" s="86">
        <f>AVERAGEIFS($I$2:I164, $B$2:B164, B164)</f>
        <v>0.33750000000000002</v>
      </c>
      <c r="AJ164" s="86">
        <f>AVERAGEIFS($J$2:J164, $B$2:B164, B164)</f>
        <v>0.45999999999999996</v>
      </c>
      <c r="AK164" s="86">
        <f>AVERAGEIFS($D$2:D164, $B$2:B164, B164)</f>
        <v>0.5</v>
      </c>
    </row>
    <row r="165" spans="1:37" x14ac:dyDescent="0.25">
      <c r="A165" s="85">
        <v>46065</v>
      </c>
      <c r="B165" t="s">
        <v>35</v>
      </c>
      <c r="C165">
        <v>11</v>
      </c>
      <c r="D165">
        <v>0</v>
      </c>
      <c r="E165">
        <v>3</v>
      </c>
      <c r="F165">
        <v>0</v>
      </c>
      <c r="G165">
        <v>15</v>
      </c>
      <c r="H165">
        <v>6</v>
      </c>
      <c r="I165">
        <v>0</v>
      </c>
      <c r="J165">
        <v>0.4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 s="86">
        <f>AVERAGEIFS($C$2:C165, $B$2:B165, B165)</f>
        <v>11.4</v>
      </c>
      <c r="AI165" s="86">
        <f>AVERAGEIFS($I$2:I165, $B$2:B165, B165)</f>
        <v>0.433</v>
      </c>
      <c r="AJ165" s="86">
        <f>AVERAGEIFS($J$2:J165, $B$2:B165, B165)</f>
        <v>0.49300000000000005</v>
      </c>
      <c r="AK165" s="86">
        <f>AVERAGEIFS($D$2:D165, $B$2:B165, B165)</f>
        <v>0.4</v>
      </c>
    </row>
    <row r="166" spans="1:37" x14ac:dyDescent="0.25">
      <c r="A166" s="85">
        <v>46065</v>
      </c>
      <c r="B166" t="s">
        <v>53</v>
      </c>
      <c r="C166">
        <v>11</v>
      </c>
      <c r="D166">
        <v>0</v>
      </c>
      <c r="E166">
        <v>3</v>
      </c>
      <c r="F166">
        <v>0</v>
      </c>
      <c r="G166">
        <v>15</v>
      </c>
      <c r="H166">
        <v>6</v>
      </c>
      <c r="I166">
        <v>0</v>
      </c>
      <c r="J166">
        <v>0.4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  <c r="AH166" s="86">
        <f>AVERAGEIFS($C$2:C166, $B$2:B166, B166)</f>
        <v>19.142857142857142</v>
      </c>
      <c r="AI166" s="86">
        <f>AVERAGEIFS($I$2:I166, $B$2:B166, B166)</f>
        <v>0.52142857142857146</v>
      </c>
      <c r="AJ166" s="86">
        <f>AVERAGEIFS($J$2:J166, $B$2:B166, B166)</f>
        <v>0.5</v>
      </c>
      <c r="AK166" s="86">
        <f>AVERAGEIFS($D$2:D166, $B$2:B166, B166)</f>
        <v>0.42857142857142855</v>
      </c>
    </row>
    <row r="167" spans="1:37" x14ac:dyDescent="0.25">
      <c r="A167" s="85">
        <v>46066</v>
      </c>
      <c r="B167" t="s">
        <v>1</v>
      </c>
      <c r="C167">
        <v>27</v>
      </c>
      <c r="D167">
        <v>1</v>
      </c>
      <c r="E167">
        <v>5</v>
      </c>
      <c r="F167">
        <v>3</v>
      </c>
      <c r="G167">
        <v>22</v>
      </c>
      <c r="H167">
        <v>11</v>
      </c>
      <c r="I167">
        <v>0.6</v>
      </c>
      <c r="J167">
        <v>0.5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0</v>
      </c>
      <c r="Y167">
        <v>0</v>
      </c>
      <c r="Z167">
        <v>1</v>
      </c>
      <c r="AA167">
        <v>0</v>
      </c>
      <c r="AB167">
        <v>1</v>
      </c>
      <c r="AC167">
        <v>0</v>
      </c>
      <c r="AD167">
        <v>0</v>
      </c>
      <c r="AE167">
        <v>0</v>
      </c>
      <c r="AF167">
        <v>0</v>
      </c>
      <c r="AG167">
        <v>0</v>
      </c>
      <c r="AH167" s="86">
        <f>AVERAGEIFS($C$2:C167, $B$2:B167, B167)</f>
        <v>24.6</v>
      </c>
      <c r="AI167" s="86">
        <f>AVERAGEIFS($I$2:I167, $B$2:B167, B167)</f>
        <v>0.39</v>
      </c>
      <c r="AJ167" s="86">
        <f>AVERAGEIFS($J$2:J167, $B$2:B167, B167)</f>
        <v>0.46799999999999997</v>
      </c>
      <c r="AK167" s="86">
        <f>AVERAGEIFS($D$2:D167, $B$2:B167, B167)</f>
        <v>0.6</v>
      </c>
    </row>
    <row r="168" spans="1:37" x14ac:dyDescent="0.25">
      <c r="A168" s="85">
        <v>46066</v>
      </c>
      <c r="B168" t="s">
        <v>6</v>
      </c>
      <c r="C168">
        <v>25</v>
      </c>
      <c r="D168">
        <v>1</v>
      </c>
      <c r="E168">
        <v>5</v>
      </c>
      <c r="F168">
        <v>3</v>
      </c>
      <c r="G168">
        <v>22</v>
      </c>
      <c r="H168">
        <v>11</v>
      </c>
      <c r="I168">
        <v>0.6</v>
      </c>
      <c r="J168">
        <v>0.5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0</v>
      </c>
      <c r="Y168">
        <v>0</v>
      </c>
      <c r="Z168">
        <v>1</v>
      </c>
      <c r="AA168">
        <v>0</v>
      </c>
      <c r="AB168">
        <v>1</v>
      </c>
      <c r="AC168">
        <v>0</v>
      </c>
      <c r="AD168">
        <v>0</v>
      </c>
      <c r="AE168">
        <v>0</v>
      </c>
      <c r="AF168">
        <v>0</v>
      </c>
      <c r="AG168">
        <v>0</v>
      </c>
      <c r="AH168" s="86">
        <f>AVERAGEIFS($C$2:C168, $B$2:B168, B168)</f>
        <v>21.166666666666668</v>
      </c>
      <c r="AI168" s="86">
        <f>AVERAGEIFS($I$2:I168, $B$2:B168, B168)</f>
        <v>0.68166666666666664</v>
      </c>
      <c r="AJ168" s="86">
        <f>AVERAGEIFS($J$2:J168, $B$2:B168, B168)</f>
        <v>0.57333333333333336</v>
      </c>
      <c r="AK168" s="86">
        <f>AVERAGEIFS($D$2:D168, $B$2:B168, B168)</f>
        <v>0.75</v>
      </c>
    </row>
    <row r="169" spans="1:37" x14ac:dyDescent="0.25">
      <c r="A169" s="85">
        <v>46066</v>
      </c>
      <c r="B169" t="s">
        <v>14</v>
      </c>
      <c r="C169">
        <v>21</v>
      </c>
      <c r="D169">
        <v>1</v>
      </c>
      <c r="E169">
        <v>5</v>
      </c>
      <c r="F169">
        <v>3</v>
      </c>
      <c r="G169">
        <v>22</v>
      </c>
      <c r="H169">
        <v>11</v>
      </c>
      <c r="I169">
        <v>0.6</v>
      </c>
      <c r="J169">
        <v>0.5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0</v>
      </c>
      <c r="Y169">
        <v>0</v>
      </c>
      <c r="Z169">
        <v>1</v>
      </c>
      <c r="AA169">
        <v>0</v>
      </c>
      <c r="AB169">
        <v>1</v>
      </c>
      <c r="AC169">
        <v>0</v>
      </c>
      <c r="AD169">
        <v>0</v>
      </c>
      <c r="AE169">
        <v>0</v>
      </c>
      <c r="AF169">
        <v>0</v>
      </c>
      <c r="AG169">
        <v>0</v>
      </c>
      <c r="AH169" s="86">
        <f>AVERAGEIFS($C$2:C169, $B$2:B169, B169)</f>
        <v>17.5</v>
      </c>
      <c r="AI169" s="86">
        <f>AVERAGEIFS($I$2:I169, $B$2:B169, B169)</f>
        <v>0.42125000000000001</v>
      </c>
      <c r="AJ169" s="86">
        <f>AVERAGEIFS($J$2:J169, $B$2:B169, B169)</f>
        <v>0.46499999999999997</v>
      </c>
      <c r="AK169" s="86">
        <f>AVERAGEIFS($D$2:D169, $B$2:B169, B169)</f>
        <v>0.5</v>
      </c>
    </row>
    <row r="170" spans="1:37" x14ac:dyDescent="0.25">
      <c r="A170" s="85">
        <v>46066</v>
      </c>
      <c r="B170" t="s">
        <v>50</v>
      </c>
      <c r="C170">
        <v>20</v>
      </c>
      <c r="D170">
        <v>1</v>
      </c>
      <c r="E170">
        <v>5</v>
      </c>
      <c r="F170">
        <v>3</v>
      </c>
      <c r="G170">
        <v>22</v>
      </c>
      <c r="H170">
        <v>11</v>
      </c>
      <c r="I170">
        <v>0.6</v>
      </c>
      <c r="J170">
        <v>0.5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0</v>
      </c>
      <c r="Y170">
        <v>0</v>
      </c>
      <c r="Z170">
        <v>1</v>
      </c>
      <c r="AA170">
        <v>0</v>
      </c>
      <c r="AB170">
        <v>1</v>
      </c>
      <c r="AC170">
        <v>0</v>
      </c>
      <c r="AD170">
        <v>0</v>
      </c>
      <c r="AE170">
        <v>0</v>
      </c>
      <c r="AF170">
        <v>0</v>
      </c>
      <c r="AG170">
        <v>0</v>
      </c>
      <c r="AH170" s="86">
        <f>AVERAGEIFS($C$2:C170, $B$2:B170, B170)</f>
        <v>19.285714285714285</v>
      </c>
      <c r="AI170" s="86">
        <f>AVERAGEIFS($I$2:I170, $B$2:B170, B170)</f>
        <v>0.5485714285714286</v>
      </c>
      <c r="AJ170" s="86">
        <f>AVERAGEIFS($J$2:J170, $B$2:B170, B170)</f>
        <v>0.5428571428571427</v>
      </c>
      <c r="AK170" s="86">
        <f>AVERAGEIFS($D$2:D170, $B$2:B170, B170)</f>
        <v>0.5714285714285714</v>
      </c>
    </row>
    <row r="171" spans="1:37" x14ac:dyDescent="0.25">
      <c r="A171" s="85">
        <v>46066</v>
      </c>
      <c r="B171" t="s">
        <v>44</v>
      </c>
      <c r="C171">
        <v>15</v>
      </c>
      <c r="D171">
        <v>1</v>
      </c>
      <c r="E171">
        <v>5</v>
      </c>
      <c r="F171">
        <v>3</v>
      </c>
      <c r="G171">
        <v>22</v>
      </c>
      <c r="H171">
        <v>11</v>
      </c>
      <c r="I171">
        <v>0.6</v>
      </c>
      <c r="J171">
        <v>0.5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0</v>
      </c>
      <c r="Y171">
        <v>0</v>
      </c>
      <c r="Z171">
        <v>1</v>
      </c>
      <c r="AA171">
        <v>0</v>
      </c>
      <c r="AB171">
        <v>1</v>
      </c>
      <c r="AC171">
        <v>0</v>
      </c>
      <c r="AD171">
        <v>0</v>
      </c>
      <c r="AE171">
        <v>0</v>
      </c>
      <c r="AF171">
        <v>0</v>
      </c>
      <c r="AG171">
        <v>0</v>
      </c>
      <c r="AH171" s="86">
        <f>AVERAGEIFS($C$2:C171, $B$2:B171, B171)</f>
        <v>16</v>
      </c>
      <c r="AI171" s="86">
        <f>AVERAGEIFS($I$2:I171, $B$2:B171, B171)</f>
        <v>0.3</v>
      </c>
      <c r="AJ171" s="86">
        <f>AVERAGEIFS($J$2:J171, $B$2:B171, B171)</f>
        <v>0.46499999999999997</v>
      </c>
      <c r="AK171" s="86">
        <f>AVERAGEIFS($D$2:D171, $B$2:B171, B171)</f>
        <v>0.5</v>
      </c>
    </row>
    <row r="172" spans="1:37" x14ac:dyDescent="0.25">
      <c r="A172" s="85">
        <v>46066</v>
      </c>
      <c r="B172" t="s">
        <v>42</v>
      </c>
      <c r="C172">
        <v>13</v>
      </c>
      <c r="D172">
        <v>1</v>
      </c>
      <c r="E172">
        <v>5</v>
      </c>
      <c r="F172">
        <v>3</v>
      </c>
      <c r="G172">
        <v>22</v>
      </c>
      <c r="H172">
        <v>11</v>
      </c>
      <c r="I172">
        <v>0.6</v>
      </c>
      <c r="J172">
        <v>0.5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0</v>
      </c>
      <c r="Y172">
        <v>0</v>
      </c>
      <c r="Z172">
        <v>1</v>
      </c>
      <c r="AA172">
        <v>0</v>
      </c>
      <c r="AB172">
        <v>1</v>
      </c>
      <c r="AC172">
        <v>0</v>
      </c>
      <c r="AD172">
        <v>0</v>
      </c>
      <c r="AE172">
        <v>0</v>
      </c>
      <c r="AF172">
        <v>0</v>
      </c>
      <c r="AG172">
        <v>0</v>
      </c>
      <c r="AH172" s="86">
        <f>AVERAGEIFS($C$2:C172, $B$2:B172, B172)</f>
        <v>12.6</v>
      </c>
      <c r="AI172" s="86">
        <f>AVERAGEIFS($I$2:I172, $B$2:B172, B172)</f>
        <v>0.44000000000000006</v>
      </c>
      <c r="AJ172" s="86">
        <f>AVERAGEIFS($J$2:J172, $B$2:B172, B172)</f>
        <v>0.45800000000000002</v>
      </c>
      <c r="AK172" s="86">
        <f>AVERAGEIFS($D$2:D172, $B$2:B172, B172)</f>
        <v>0.6</v>
      </c>
    </row>
    <row r="173" spans="1:37" x14ac:dyDescent="0.25">
      <c r="A173" s="85">
        <v>46066</v>
      </c>
      <c r="B173" t="s">
        <v>17</v>
      </c>
      <c r="C173">
        <v>32</v>
      </c>
      <c r="D173">
        <v>0</v>
      </c>
      <c r="E173">
        <v>5</v>
      </c>
      <c r="F173">
        <v>2</v>
      </c>
      <c r="G173">
        <v>22</v>
      </c>
      <c r="H173">
        <v>11</v>
      </c>
      <c r="I173">
        <v>0.4</v>
      </c>
      <c r="J173">
        <v>0.5</v>
      </c>
      <c r="K173">
        <v>0</v>
      </c>
      <c r="L173">
        <v>0</v>
      </c>
      <c r="M173">
        <v>0</v>
      </c>
      <c r="N173">
        <v>1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1</v>
      </c>
      <c r="AF173">
        <v>0</v>
      </c>
      <c r="AG173">
        <v>0</v>
      </c>
      <c r="AH173" s="86">
        <f>AVERAGEIFS($C$2:C173, $B$2:B173, B173)</f>
        <v>19.846153846153847</v>
      </c>
      <c r="AI173" s="86">
        <f>AVERAGEIFS($I$2:I173, $B$2:B173, B173)</f>
        <v>0.48230769230769233</v>
      </c>
      <c r="AJ173" s="86">
        <f>AVERAGEIFS($J$2:J173, $B$2:B173, B173)</f>
        <v>0.47461538461538461</v>
      </c>
      <c r="AK173" s="86">
        <f>AVERAGEIFS($D$2:D173, $B$2:B173, B173)</f>
        <v>0.38461538461538464</v>
      </c>
    </row>
    <row r="174" spans="1:37" x14ac:dyDescent="0.25">
      <c r="A174" s="85">
        <v>46066</v>
      </c>
      <c r="B174" t="s">
        <v>46</v>
      </c>
      <c r="C174">
        <v>27</v>
      </c>
      <c r="D174">
        <v>0</v>
      </c>
      <c r="E174">
        <v>5</v>
      </c>
      <c r="F174">
        <v>2</v>
      </c>
      <c r="G174">
        <v>22</v>
      </c>
      <c r="H174">
        <v>11</v>
      </c>
      <c r="I174">
        <v>0.4</v>
      </c>
      <c r="J174">
        <v>0.5</v>
      </c>
      <c r="K174">
        <v>0</v>
      </c>
      <c r="L174">
        <v>0</v>
      </c>
      <c r="M174">
        <v>0</v>
      </c>
      <c r="N174">
        <v>1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1</v>
      </c>
      <c r="AF174">
        <v>0</v>
      </c>
      <c r="AG174">
        <v>0</v>
      </c>
      <c r="AH174" s="86">
        <f>AVERAGEIFS($C$2:C174, $B$2:B174, B174)</f>
        <v>19.2</v>
      </c>
      <c r="AI174" s="86">
        <f>AVERAGEIFS($I$2:I174, $B$2:B174, B174)</f>
        <v>0.47000000000000003</v>
      </c>
      <c r="AJ174" s="86">
        <f>AVERAGEIFS($J$2:J174, $B$2:B174, B174)</f>
        <v>0.48499999999999999</v>
      </c>
      <c r="AK174" s="86">
        <f>AVERAGEIFS($D$2:D174, $B$2:B174, B174)</f>
        <v>0.3</v>
      </c>
    </row>
    <row r="175" spans="1:37" x14ac:dyDescent="0.25">
      <c r="A175" s="85">
        <v>46066</v>
      </c>
      <c r="B175" t="s">
        <v>2</v>
      </c>
      <c r="C175">
        <v>25</v>
      </c>
      <c r="D175">
        <v>0</v>
      </c>
      <c r="E175">
        <v>5</v>
      </c>
      <c r="F175">
        <v>2</v>
      </c>
      <c r="G175">
        <v>22</v>
      </c>
      <c r="H175">
        <v>11</v>
      </c>
      <c r="I175">
        <v>0.4</v>
      </c>
      <c r="J175">
        <v>0.5</v>
      </c>
      <c r="K175">
        <v>0</v>
      </c>
      <c r="L175">
        <v>0</v>
      </c>
      <c r="M175">
        <v>0</v>
      </c>
      <c r="N175">
        <v>1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1</v>
      </c>
      <c r="AF175">
        <v>0</v>
      </c>
      <c r="AG175">
        <v>0</v>
      </c>
      <c r="AH175" s="86">
        <f>AVERAGEIFS($C$2:C175, $B$2:B175, B175)</f>
        <v>22</v>
      </c>
      <c r="AI175" s="86">
        <f>AVERAGEIFS($I$2:I175, $B$2:B175, B175)</f>
        <v>0.49777777777777782</v>
      </c>
      <c r="AJ175" s="86">
        <f>AVERAGEIFS($J$2:J175, $B$2:B175, B175)</f>
        <v>0.55666666666666664</v>
      </c>
      <c r="AK175" s="86">
        <f>AVERAGEIFS($D$2:D175, $B$2:B175, B175)</f>
        <v>0.44444444444444442</v>
      </c>
    </row>
    <row r="176" spans="1:37" x14ac:dyDescent="0.25">
      <c r="A176" s="85">
        <v>46066</v>
      </c>
      <c r="B176" t="s">
        <v>40</v>
      </c>
      <c r="C176">
        <v>18</v>
      </c>
      <c r="D176">
        <v>0</v>
      </c>
      <c r="E176">
        <v>5</v>
      </c>
      <c r="F176">
        <v>2</v>
      </c>
      <c r="G176">
        <v>22</v>
      </c>
      <c r="H176">
        <v>11</v>
      </c>
      <c r="I176">
        <v>0.4</v>
      </c>
      <c r="J176">
        <v>0.5</v>
      </c>
      <c r="K176">
        <v>0</v>
      </c>
      <c r="L176">
        <v>0</v>
      </c>
      <c r="M176">
        <v>0</v>
      </c>
      <c r="N176">
        <v>1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1</v>
      </c>
      <c r="AF176">
        <v>0</v>
      </c>
      <c r="AG176">
        <v>0</v>
      </c>
      <c r="AH176" s="86">
        <f>AVERAGEIFS($C$2:C176, $B$2:B176, B176)</f>
        <v>12.8</v>
      </c>
      <c r="AI176" s="86">
        <f>AVERAGEIFS($I$2:I176, $B$2:B176, B176)</f>
        <v>0.3</v>
      </c>
      <c r="AJ176" s="86">
        <f>AVERAGEIFS($J$2:J176, $B$2:B176, B176)</f>
        <v>0.40199999999999997</v>
      </c>
      <c r="AK176" s="86">
        <f>AVERAGEIFS($D$2:D176, $B$2:B176, B176)</f>
        <v>0.2</v>
      </c>
    </row>
    <row r="177" spans="1:37" x14ac:dyDescent="0.25">
      <c r="A177" s="85">
        <v>46066</v>
      </c>
      <c r="B177" t="s">
        <v>103</v>
      </c>
      <c r="C177">
        <v>9</v>
      </c>
      <c r="D177">
        <v>0</v>
      </c>
      <c r="E177">
        <v>5</v>
      </c>
      <c r="F177">
        <v>2</v>
      </c>
      <c r="G177">
        <v>22</v>
      </c>
      <c r="H177">
        <v>11</v>
      </c>
      <c r="I177">
        <v>0.4</v>
      </c>
      <c r="J177">
        <v>0.5</v>
      </c>
      <c r="K177">
        <v>0</v>
      </c>
      <c r="L177">
        <v>0</v>
      </c>
      <c r="M177">
        <v>0</v>
      </c>
      <c r="N177">
        <v>1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1</v>
      </c>
      <c r="AF177">
        <v>0</v>
      </c>
      <c r="AG177">
        <v>0</v>
      </c>
      <c r="AH177" s="86">
        <f>AVERAGEIFS($C$2:C177, $B$2:B177, B177)</f>
        <v>9</v>
      </c>
      <c r="AI177" s="86">
        <f>AVERAGEIFS($I$2:I177, $B$2:B177, B177)</f>
        <v>0.4</v>
      </c>
      <c r="AJ177" s="86">
        <f>AVERAGEIFS($J$2:J177, $B$2:B177, B177)</f>
        <v>0.5</v>
      </c>
      <c r="AK177" s="86">
        <f>AVERAGEIFS($D$2:D177, $B$2:B177, B177)</f>
        <v>0</v>
      </c>
    </row>
    <row r="178" spans="1:37" x14ac:dyDescent="0.25">
      <c r="A178" s="85">
        <v>46066</v>
      </c>
      <c r="B178" t="s">
        <v>35</v>
      </c>
      <c r="C178">
        <v>6</v>
      </c>
      <c r="D178">
        <v>0</v>
      </c>
      <c r="E178">
        <v>5</v>
      </c>
      <c r="F178">
        <v>2</v>
      </c>
      <c r="G178">
        <v>22</v>
      </c>
      <c r="H178">
        <v>11</v>
      </c>
      <c r="I178">
        <v>0.4</v>
      </c>
      <c r="J178">
        <v>0.5</v>
      </c>
      <c r="K178">
        <v>0</v>
      </c>
      <c r="L178">
        <v>0</v>
      </c>
      <c r="M178">
        <v>0</v>
      </c>
      <c r="N178">
        <v>1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1</v>
      </c>
      <c r="AF178">
        <v>0</v>
      </c>
      <c r="AG178">
        <v>0</v>
      </c>
      <c r="AH178" s="86">
        <f>AVERAGEIFS($C$2:C178, $B$2:B178, B178)</f>
        <v>10.909090909090908</v>
      </c>
      <c r="AI178" s="86">
        <f>AVERAGEIFS($I$2:I178, $B$2:B178, B178)</f>
        <v>0.43000000000000005</v>
      </c>
      <c r="AJ178" s="86">
        <f>AVERAGEIFS($J$2:J178, $B$2:B178, B178)</f>
        <v>0.49363636363636371</v>
      </c>
      <c r="AK178" s="86">
        <f>AVERAGEIFS($D$2:D178, $B$2:B178, B178)</f>
        <v>0.36363636363636365</v>
      </c>
    </row>
    <row r="179" spans="1:37" x14ac:dyDescent="0.25">
      <c r="A179" s="85">
        <v>46068</v>
      </c>
      <c r="B179" t="s">
        <v>2</v>
      </c>
      <c r="C179">
        <v>34</v>
      </c>
      <c r="D179">
        <v>1</v>
      </c>
      <c r="E179">
        <v>5</v>
      </c>
      <c r="F179">
        <v>3</v>
      </c>
      <c r="G179">
        <v>19</v>
      </c>
      <c r="H179">
        <v>9</v>
      </c>
      <c r="I179">
        <v>0.6</v>
      </c>
      <c r="J179">
        <v>0.47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1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1</v>
      </c>
      <c r="AD179">
        <v>1</v>
      </c>
      <c r="AE179">
        <v>0</v>
      </c>
      <c r="AF179">
        <v>0</v>
      </c>
      <c r="AG179">
        <v>0</v>
      </c>
      <c r="AH179" s="86">
        <f>AVERAGEIFS($C$2:C179, $B$2:B179, B179)</f>
        <v>23.2</v>
      </c>
      <c r="AI179" s="86">
        <f>AVERAGEIFS($I$2:I179, $B$2:B179, B179)</f>
        <v>0.50800000000000001</v>
      </c>
      <c r="AJ179" s="86">
        <f>AVERAGEIFS($J$2:J179, $B$2:B179, B179)</f>
        <v>0.54799999999999993</v>
      </c>
      <c r="AK179" s="86">
        <f>AVERAGEIFS($D$2:D179, $B$2:B179, B179)</f>
        <v>0.5</v>
      </c>
    </row>
    <row r="180" spans="1:37" x14ac:dyDescent="0.25">
      <c r="A180" s="85">
        <v>46068</v>
      </c>
      <c r="B180" t="s">
        <v>14</v>
      </c>
      <c r="C180">
        <v>25</v>
      </c>
      <c r="D180">
        <v>1</v>
      </c>
      <c r="E180">
        <v>5</v>
      </c>
      <c r="F180">
        <v>3</v>
      </c>
      <c r="G180">
        <v>19</v>
      </c>
      <c r="H180">
        <v>9</v>
      </c>
      <c r="I180">
        <v>0.6</v>
      </c>
      <c r="J180">
        <v>0.47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1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1</v>
      </c>
      <c r="AD180">
        <v>1</v>
      </c>
      <c r="AE180">
        <v>0</v>
      </c>
      <c r="AF180">
        <v>0</v>
      </c>
      <c r="AG180">
        <v>0</v>
      </c>
      <c r="AH180" s="86">
        <f>AVERAGEIFS($C$2:C180, $B$2:B180, B180)</f>
        <v>18.333333333333332</v>
      </c>
      <c r="AI180" s="86">
        <f>AVERAGEIFS($I$2:I180, $B$2:B180, B180)</f>
        <v>0.44111111111111112</v>
      </c>
      <c r="AJ180" s="86">
        <f>AVERAGEIFS($J$2:J180, $B$2:B180, B180)</f>
        <v>0.4655555555555555</v>
      </c>
      <c r="AK180" s="86">
        <f>AVERAGEIFS($D$2:D180, $B$2:B180, B180)</f>
        <v>0.55555555555555558</v>
      </c>
    </row>
    <row r="181" spans="1:37" x14ac:dyDescent="0.25">
      <c r="A181" s="85">
        <v>46068</v>
      </c>
      <c r="B181" t="s">
        <v>52</v>
      </c>
      <c r="C181">
        <v>18</v>
      </c>
      <c r="D181">
        <v>1</v>
      </c>
      <c r="E181">
        <v>5</v>
      </c>
      <c r="F181">
        <v>3</v>
      </c>
      <c r="G181">
        <v>19</v>
      </c>
      <c r="H181">
        <v>9</v>
      </c>
      <c r="I181">
        <v>0.6</v>
      </c>
      <c r="J181">
        <v>0.47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1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1</v>
      </c>
      <c r="AD181">
        <v>1</v>
      </c>
      <c r="AE181">
        <v>0</v>
      </c>
      <c r="AF181">
        <v>0</v>
      </c>
      <c r="AG181">
        <v>0</v>
      </c>
      <c r="AH181" s="86">
        <f>AVERAGEIFS($C$2:C181, $B$2:B181, B181)</f>
        <v>13.6</v>
      </c>
      <c r="AI181" s="86">
        <f>AVERAGEIFS($I$2:I181, $B$2:B181, B181)</f>
        <v>0.35</v>
      </c>
      <c r="AJ181" s="86">
        <f>AVERAGEIFS($J$2:J181, $B$2:B181, B181)</f>
        <v>0.38</v>
      </c>
      <c r="AK181" s="86">
        <f>AVERAGEIFS($D$2:D181, $B$2:B181, B181)</f>
        <v>0.2</v>
      </c>
    </row>
    <row r="182" spans="1:37" x14ac:dyDescent="0.25">
      <c r="A182" s="85">
        <v>46068</v>
      </c>
      <c r="B182" t="s">
        <v>27</v>
      </c>
      <c r="C182">
        <v>15</v>
      </c>
      <c r="D182">
        <v>1</v>
      </c>
      <c r="E182">
        <v>5</v>
      </c>
      <c r="F182">
        <v>3</v>
      </c>
      <c r="G182">
        <v>19</v>
      </c>
      <c r="H182">
        <v>9</v>
      </c>
      <c r="I182">
        <v>0.6</v>
      </c>
      <c r="J182">
        <v>0.47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1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1</v>
      </c>
      <c r="AD182">
        <v>1</v>
      </c>
      <c r="AE182">
        <v>0</v>
      </c>
      <c r="AF182">
        <v>0</v>
      </c>
      <c r="AG182">
        <v>0</v>
      </c>
      <c r="AH182" s="86">
        <f>AVERAGEIFS($C$2:C182, $B$2:B182, B182)</f>
        <v>14.666666666666666</v>
      </c>
      <c r="AI182" s="86">
        <f>AVERAGEIFS($I$2:I182, $B$2:B182, B182)</f>
        <v>0.46666666666666662</v>
      </c>
      <c r="AJ182" s="86">
        <f>AVERAGEIFS($J$2:J182, $B$2:B182, B182)</f>
        <v>0.44</v>
      </c>
      <c r="AK182" s="86">
        <f>AVERAGEIFS($D$2:D182, $B$2:B182, B182)</f>
        <v>0.33333333333333331</v>
      </c>
    </row>
    <row r="183" spans="1:37" x14ac:dyDescent="0.25">
      <c r="A183" s="85">
        <v>46068</v>
      </c>
      <c r="B183" t="s">
        <v>105</v>
      </c>
      <c r="C183">
        <v>12</v>
      </c>
      <c r="D183">
        <v>1</v>
      </c>
      <c r="E183">
        <v>5</v>
      </c>
      <c r="F183">
        <v>3</v>
      </c>
      <c r="G183">
        <v>19</v>
      </c>
      <c r="H183">
        <v>9</v>
      </c>
      <c r="I183">
        <v>0.6</v>
      </c>
      <c r="J183">
        <v>0.47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1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1</v>
      </c>
      <c r="AD183">
        <v>1</v>
      </c>
      <c r="AE183">
        <v>0</v>
      </c>
      <c r="AF183">
        <v>0</v>
      </c>
      <c r="AG183">
        <v>0</v>
      </c>
      <c r="AH183" s="86">
        <f>AVERAGEIFS($C$2:C183, $B$2:B183, B183)</f>
        <v>12</v>
      </c>
      <c r="AI183" s="86">
        <f>AVERAGEIFS($I$2:I183, $B$2:B183, B183)</f>
        <v>0.6</v>
      </c>
      <c r="AJ183" s="86">
        <f>AVERAGEIFS($J$2:J183, $B$2:B183, B183)</f>
        <v>0.47</v>
      </c>
      <c r="AK183" s="86">
        <f>AVERAGEIFS($D$2:D183, $B$2:B183, B183)</f>
        <v>1</v>
      </c>
    </row>
    <row r="184" spans="1:37" x14ac:dyDescent="0.25">
      <c r="A184" s="85">
        <v>46068</v>
      </c>
      <c r="B184" t="s">
        <v>19</v>
      </c>
      <c r="C184">
        <v>7</v>
      </c>
      <c r="D184">
        <v>1</v>
      </c>
      <c r="E184">
        <v>5</v>
      </c>
      <c r="F184">
        <v>3</v>
      </c>
      <c r="G184">
        <v>19</v>
      </c>
      <c r="H184">
        <v>9</v>
      </c>
      <c r="I184">
        <v>0.6</v>
      </c>
      <c r="J184">
        <v>0.47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1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1</v>
      </c>
      <c r="AD184">
        <v>1</v>
      </c>
      <c r="AE184">
        <v>0</v>
      </c>
      <c r="AF184">
        <v>0</v>
      </c>
      <c r="AG184">
        <v>0</v>
      </c>
      <c r="AH184" s="86">
        <f>AVERAGEIFS($C$2:C184, $B$2:B184, B184)</f>
        <v>8.0833333333333339</v>
      </c>
      <c r="AI184" s="86">
        <f>AVERAGEIFS($I$2:I184, $B$2:B184, B184)</f>
        <v>0.60666666666666669</v>
      </c>
      <c r="AJ184" s="86">
        <f>AVERAGEIFS($J$2:J184, $B$2:B184, B184)</f>
        <v>0.57833333333333325</v>
      </c>
      <c r="AK184" s="86">
        <f>AVERAGEIFS($D$2:D184, $B$2:B184, B184)</f>
        <v>0.66666666666666663</v>
      </c>
    </row>
    <row r="185" spans="1:37" x14ac:dyDescent="0.25">
      <c r="A185" s="85">
        <v>46068</v>
      </c>
      <c r="B185" t="s">
        <v>6</v>
      </c>
      <c r="C185">
        <v>25</v>
      </c>
      <c r="D185">
        <v>0</v>
      </c>
      <c r="E185">
        <v>5</v>
      </c>
      <c r="F185">
        <v>2</v>
      </c>
      <c r="G185">
        <v>19</v>
      </c>
      <c r="H185">
        <v>10</v>
      </c>
      <c r="I185">
        <v>0.4</v>
      </c>
      <c r="J185">
        <v>0.53</v>
      </c>
      <c r="K185">
        <v>0</v>
      </c>
      <c r="L185">
        <v>0</v>
      </c>
      <c r="M185">
        <v>1</v>
      </c>
      <c r="N185">
        <v>0</v>
      </c>
      <c r="O185">
        <v>0</v>
      </c>
      <c r="P185">
        <v>0</v>
      </c>
      <c r="Q185">
        <v>0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 s="86">
        <f>AVERAGEIFS($C$2:C185, $B$2:B185, B185)</f>
        <v>21.46153846153846</v>
      </c>
      <c r="AI185" s="86">
        <f>AVERAGEIFS($I$2:I185, $B$2:B185, B185)</f>
        <v>0.66</v>
      </c>
      <c r="AJ185" s="86">
        <f>AVERAGEIFS($J$2:J185, $B$2:B185, B185)</f>
        <v>0.57000000000000006</v>
      </c>
      <c r="AK185" s="86">
        <f>AVERAGEIFS($D$2:D185, $B$2:B185, B185)</f>
        <v>0.69230769230769229</v>
      </c>
    </row>
    <row r="186" spans="1:37" x14ac:dyDescent="0.25">
      <c r="A186" s="85">
        <v>46068</v>
      </c>
      <c r="B186" t="s">
        <v>17</v>
      </c>
      <c r="C186">
        <v>24</v>
      </c>
      <c r="D186">
        <v>0</v>
      </c>
      <c r="E186">
        <v>5</v>
      </c>
      <c r="F186">
        <v>2</v>
      </c>
      <c r="G186">
        <v>19</v>
      </c>
      <c r="H186">
        <v>10</v>
      </c>
      <c r="I186">
        <v>0.4</v>
      </c>
      <c r="J186">
        <v>0.53</v>
      </c>
      <c r="K186">
        <v>0</v>
      </c>
      <c r="L186">
        <v>0</v>
      </c>
      <c r="M186">
        <v>1</v>
      </c>
      <c r="N186">
        <v>0</v>
      </c>
      <c r="O186">
        <v>0</v>
      </c>
      <c r="P186">
        <v>0</v>
      </c>
      <c r="Q186">
        <v>0</v>
      </c>
      <c r="R186">
        <v>1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 s="86">
        <f>AVERAGEIFS($C$2:C186, $B$2:B186, B186)</f>
        <v>20.142857142857142</v>
      </c>
      <c r="AI186" s="86">
        <f>AVERAGEIFS($I$2:I186, $B$2:B186, B186)</f>
        <v>0.47642857142857148</v>
      </c>
      <c r="AJ186" s="86">
        <f>AVERAGEIFS($J$2:J186, $B$2:B186, B186)</f>
        <v>0.47857142857142859</v>
      </c>
      <c r="AK186" s="86">
        <f>AVERAGEIFS($D$2:D186, $B$2:B186, B186)</f>
        <v>0.35714285714285715</v>
      </c>
    </row>
    <row r="187" spans="1:37" x14ac:dyDescent="0.25">
      <c r="A187" s="85">
        <v>46068</v>
      </c>
      <c r="B187" t="s">
        <v>40</v>
      </c>
      <c r="C187">
        <v>23</v>
      </c>
      <c r="D187">
        <v>0</v>
      </c>
      <c r="E187">
        <v>5</v>
      </c>
      <c r="F187">
        <v>2</v>
      </c>
      <c r="G187">
        <v>19</v>
      </c>
      <c r="H187">
        <v>10</v>
      </c>
      <c r="I187">
        <v>0.4</v>
      </c>
      <c r="J187">
        <v>0.53</v>
      </c>
      <c r="K187">
        <v>0</v>
      </c>
      <c r="L187">
        <v>0</v>
      </c>
      <c r="M187">
        <v>1</v>
      </c>
      <c r="N187">
        <v>0</v>
      </c>
      <c r="O187">
        <v>0</v>
      </c>
      <c r="P187">
        <v>0</v>
      </c>
      <c r="Q187">
        <v>0</v>
      </c>
      <c r="R187">
        <v>1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 s="86">
        <f>AVERAGEIFS($C$2:C187, $B$2:B187, B187)</f>
        <v>14.5</v>
      </c>
      <c r="AI187" s="86">
        <f>AVERAGEIFS($I$2:I187, $B$2:B187, B187)</f>
        <v>0.31666666666666665</v>
      </c>
      <c r="AJ187" s="86">
        <f>AVERAGEIFS($J$2:J187, $B$2:B187, B187)</f>
        <v>0.42333333333333334</v>
      </c>
      <c r="AK187" s="86">
        <f>AVERAGEIFS($D$2:D187, $B$2:B187, B187)</f>
        <v>0.16666666666666666</v>
      </c>
    </row>
    <row r="188" spans="1:37" x14ac:dyDescent="0.25">
      <c r="A188" s="85">
        <v>46068</v>
      </c>
      <c r="B188" t="s">
        <v>44</v>
      </c>
      <c r="C188">
        <v>14</v>
      </c>
      <c r="D188">
        <v>0</v>
      </c>
      <c r="E188">
        <v>5</v>
      </c>
      <c r="F188">
        <v>2</v>
      </c>
      <c r="G188">
        <v>19</v>
      </c>
      <c r="H188">
        <v>10</v>
      </c>
      <c r="I188">
        <v>0.4</v>
      </c>
      <c r="J188">
        <v>0.53</v>
      </c>
      <c r="K188">
        <v>0</v>
      </c>
      <c r="L188">
        <v>0</v>
      </c>
      <c r="M188">
        <v>1</v>
      </c>
      <c r="N188">
        <v>0</v>
      </c>
      <c r="O188">
        <v>0</v>
      </c>
      <c r="P188">
        <v>0</v>
      </c>
      <c r="Q188">
        <v>0</v>
      </c>
      <c r="R188">
        <v>1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 s="86">
        <f>AVERAGEIFS($C$2:C188, $B$2:B188, B188)</f>
        <v>15.333333333333334</v>
      </c>
      <c r="AI188" s="86">
        <f>AVERAGEIFS($I$2:I188, $B$2:B188, B188)</f>
        <v>0.33333333333333331</v>
      </c>
      <c r="AJ188" s="86">
        <f>AVERAGEIFS($J$2:J188, $B$2:B188, B188)</f>
        <v>0.48666666666666664</v>
      </c>
      <c r="AK188" s="86">
        <f>AVERAGEIFS($D$2:D188, $B$2:B188, B188)</f>
        <v>0.33333333333333331</v>
      </c>
    </row>
    <row r="189" spans="1:37" x14ac:dyDescent="0.25">
      <c r="A189" s="85">
        <v>46068</v>
      </c>
      <c r="B189" t="s">
        <v>37</v>
      </c>
      <c r="C189">
        <v>16</v>
      </c>
      <c r="D189">
        <v>0</v>
      </c>
      <c r="E189">
        <v>5</v>
      </c>
      <c r="F189">
        <v>2</v>
      </c>
      <c r="G189">
        <v>19</v>
      </c>
      <c r="H189">
        <v>10</v>
      </c>
      <c r="I189">
        <v>0.4</v>
      </c>
      <c r="J189">
        <v>0.53</v>
      </c>
      <c r="K189">
        <v>0</v>
      </c>
      <c r="L189">
        <v>0</v>
      </c>
      <c r="M189">
        <v>1</v>
      </c>
      <c r="N189">
        <v>0</v>
      </c>
      <c r="O189">
        <v>0</v>
      </c>
      <c r="P189">
        <v>0</v>
      </c>
      <c r="Q189">
        <v>0</v>
      </c>
      <c r="R189">
        <v>1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 s="86">
        <f>AVERAGEIFS($C$2:C189, $B$2:B189, B189)</f>
        <v>14</v>
      </c>
      <c r="AI189" s="86">
        <f>AVERAGEIFS($I$2:I189, $B$2:B189, B189)</f>
        <v>0.63749999999999996</v>
      </c>
      <c r="AJ189" s="86">
        <f>AVERAGEIFS($J$2:J189, $B$2:B189, B189)</f>
        <v>0.5625</v>
      </c>
      <c r="AK189" s="86">
        <f>AVERAGEIFS($D$2:D189, $B$2:B189, B189)</f>
        <v>0.5</v>
      </c>
    </row>
    <row r="190" spans="1:37" x14ac:dyDescent="0.25">
      <c r="A190" s="85">
        <v>46068</v>
      </c>
      <c r="B190" t="s">
        <v>35</v>
      </c>
      <c r="C190">
        <v>7</v>
      </c>
      <c r="D190">
        <v>0</v>
      </c>
      <c r="E190">
        <v>5</v>
      </c>
      <c r="F190">
        <v>2</v>
      </c>
      <c r="G190">
        <v>19</v>
      </c>
      <c r="H190">
        <v>10</v>
      </c>
      <c r="I190">
        <v>0.4</v>
      </c>
      <c r="J190">
        <v>0.53</v>
      </c>
      <c r="K190">
        <v>0</v>
      </c>
      <c r="L190">
        <v>0</v>
      </c>
      <c r="M190">
        <v>1</v>
      </c>
      <c r="N190">
        <v>0</v>
      </c>
      <c r="O190">
        <v>0</v>
      </c>
      <c r="P190">
        <v>0</v>
      </c>
      <c r="Q190">
        <v>0</v>
      </c>
      <c r="R190">
        <v>1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 s="86">
        <f>AVERAGEIFS($C$2:C190, $B$2:B190, B190)</f>
        <v>10.583333333333334</v>
      </c>
      <c r="AI190" s="86">
        <f>AVERAGEIFS($I$2:I190, $B$2:B190, B190)</f>
        <v>0.42750000000000005</v>
      </c>
      <c r="AJ190" s="86">
        <f>AVERAGEIFS($J$2:J190, $B$2:B190, B190)</f>
        <v>0.49666666666666676</v>
      </c>
      <c r="AK190" s="86">
        <f>AVERAGEIFS($D$2:D190, $B$2:B190, B190)</f>
        <v>0.33333333333333331</v>
      </c>
    </row>
    <row r="191" spans="1:37" x14ac:dyDescent="0.25">
      <c r="A191" s="85">
        <v>46073</v>
      </c>
      <c r="B191" t="s">
        <v>50</v>
      </c>
      <c r="C191">
        <v>31</v>
      </c>
      <c r="D191">
        <v>1</v>
      </c>
      <c r="E191">
        <v>5</v>
      </c>
      <c r="F191">
        <v>3</v>
      </c>
      <c r="G191">
        <v>23</v>
      </c>
      <c r="H191">
        <v>13</v>
      </c>
      <c r="I191">
        <v>0.6</v>
      </c>
      <c r="J191">
        <v>0.56999999999999995</v>
      </c>
      <c r="K191">
        <v>0</v>
      </c>
      <c r="L191">
        <v>0</v>
      </c>
      <c r="M191">
        <v>0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1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1</v>
      </c>
      <c r="AF191">
        <v>0</v>
      </c>
      <c r="AG191">
        <v>0</v>
      </c>
      <c r="AH191" s="86">
        <f>AVERAGEIFS($C$2:C191, $B$2:B191, B191)</f>
        <v>20.066666666666666</v>
      </c>
      <c r="AI191" s="86">
        <f>AVERAGEIFS($I$2:I191, $B$2:B191, B191)</f>
        <v>0.55200000000000005</v>
      </c>
      <c r="AJ191" s="86">
        <f>AVERAGEIFS($J$2:J191, $B$2:B191, B191)</f>
        <v>0.54466666666666652</v>
      </c>
      <c r="AK191" s="86">
        <f>AVERAGEIFS($D$2:D191, $B$2:B191, B191)</f>
        <v>0.6</v>
      </c>
    </row>
    <row r="192" spans="1:37" x14ac:dyDescent="0.25">
      <c r="A192" s="85">
        <v>46073</v>
      </c>
      <c r="B192" t="s">
        <v>6</v>
      </c>
      <c r="C192">
        <v>31</v>
      </c>
      <c r="D192">
        <v>1</v>
      </c>
      <c r="E192">
        <v>5</v>
      </c>
      <c r="F192">
        <v>3</v>
      </c>
      <c r="G192">
        <v>23</v>
      </c>
      <c r="H192">
        <v>13</v>
      </c>
      <c r="I192">
        <v>0.6</v>
      </c>
      <c r="J192">
        <v>0.56999999999999995</v>
      </c>
      <c r="K192">
        <v>0</v>
      </c>
      <c r="L192">
        <v>0</v>
      </c>
      <c r="M192">
        <v>0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1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1</v>
      </c>
      <c r="AF192">
        <v>0</v>
      </c>
      <c r="AG192">
        <v>0</v>
      </c>
      <c r="AH192" s="86">
        <f>AVERAGEIFS($C$2:C192, $B$2:B192, B192)</f>
        <v>22.142857142857142</v>
      </c>
      <c r="AI192" s="86">
        <f>AVERAGEIFS($I$2:I192, $B$2:B192, B192)</f>
        <v>0.65571428571428569</v>
      </c>
      <c r="AJ192" s="86">
        <f>AVERAGEIFS($J$2:J192, $B$2:B192, B192)</f>
        <v>0.57000000000000006</v>
      </c>
      <c r="AK192" s="86">
        <f>AVERAGEIFS($D$2:D192, $B$2:B192, B192)</f>
        <v>0.7142857142857143</v>
      </c>
    </row>
    <row r="193" spans="1:37" x14ac:dyDescent="0.25">
      <c r="A193" s="85">
        <v>46073</v>
      </c>
      <c r="B193" t="s">
        <v>40</v>
      </c>
      <c r="C193">
        <v>23</v>
      </c>
      <c r="D193">
        <v>1</v>
      </c>
      <c r="E193">
        <v>5</v>
      </c>
      <c r="F193">
        <v>3</v>
      </c>
      <c r="G193">
        <v>23</v>
      </c>
      <c r="H193">
        <v>13</v>
      </c>
      <c r="I193">
        <v>0.6</v>
      </c>
      <c r="J193">
        <v>0.56999999999999995</v>
      </c>
      <c r="K193">
        <v>0</v>
      </c>
      <c r="L193">
        <v>0</v>
      </c>
      <c r="M193">
        <v>0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1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1</v>
      </c>
      <c r="AF193">
        <v>0</v>
      </c>
      <c r="AG193">
        <v>0</v>
      </c>
      <c r="AH193" s="86">
        <f>AVERAGEIFS($C$2:C193, $B$2:B193, B193)</f>
        <v>15.714285714285714</v>
      </c>
      <c r="AI193" s="86">
        <f>AVERAGEIFS($I$2:I193, $B$2:B193, B193)</f>
        <v>0.35714285714285715</v>
      </c>
      <c r="AJ193" s="86">
        <f>AVERAGEIFS($J$2:J193, $B$2:B193, B193)</f>
        <v>0.44428571428571428</v>
      </c>
      <c r="AK193" s="86">
        <f>AVERAGEIFS($D$2:D193, $B$2:B193, B193)</f>
        <v>0.2857142857142857</v>
      </c>
    </row>
    <row r="194" spans="1:37" x14ac:dyDescent="0.25">
      <c r="A194" s="85">
        <v>46073</v>
      </c>
      <c r="B194" t="s">
        <v>1</v>
      </c>
      <c r="C194">
        <v>34</v>
      </c>
      <c r="D194">
        <v>1</v>
      </c>
      <c r="E194">
        <v>5</v>
      </c>
      <c r="F194">
        <v>3</v>
      </c>
      <c r="G194">
        <v>23</v>
      </c>
      <c r="H194">
        <v>13</v>
      </c>
      <c r="I194">
        <v>0.6</v>
      </c>
      <c r="J194">
        <v>0.56999999999999995</v>
      </c>
      <c r="K194">
        <v>0</v>
      </c>
      <c r="L194">
        <v>0</v>
      </c>
      <c r="M194">
        <v>0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1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1</v>
      </c>
      <c r="AF194">
        <v>0</v>
      </c>
      <c r="AG194">
        <v>0</v>
      </c>
      <c r="AH194" s="86">
        <f>AVERAGEIFS($C$2:C194, $B$2:B194, B194)</f>
        <v>26.166666666666668</v>
      </c>
      <c r="AI194" s="86">
        <f>AVERAGEIFS($I$2:I194, $B$2:B194, B194)</f>
        <v>0.42500000000000004</v>
      </c>
      <c r="AJ194" s="86">
        <f>AVERAGEIFS($J$2:J194, $B$2:B194, B194)</f>
        <v>0.48499999999999993</v>
      </c>
      <c r="AK194" s="86">
        <f>AVERAGEIFS($D$2:D194, $B$2:B194, B194)</f>
        <v>0.66666666666666663</v>
      </c>
    </row>
    <row r="195" spans="1:37" x14ac:dyDescent="0.25">
      <c r="A195" s="85">
        <v>46073</v>
      </c>
      <c r="B195" t="s">
        <v>35</v>
      </c>
      <c r="C195">
        <v>20</v>
      </c>
      <c r="D195">
        <v>1</v>
      </c>
      <c r="E195">
        <v>5</v>
      </c>
      <c r="F195">
        <v>3</v>
      </c>
      <c r="G195">
        <v>23</v>
      </c>
      <c r="H195">
        <v>13</v>
      </c>
      <c r="I195">
        <v>0.6</v>
      </c>
      <c r="J195">
        <v>0.56999999999999995</v>
      </c>
      <c r="K195">
        <v>0</v>
      </c>
      <c r="L195">
        <v>0</v>
      </c>
      <c r="M195">
        <v>0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1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1</v>
      </c>
      <c r="AF195">
        <v>0</v>
      </c>
      <c r="AG195">
        <v>0</v>
      </c>
      <c r="AH195" s="86">
        <f>AVERAGEIFS($C$2:C195, $B$2:B195, B195)</f>
        <v>11.307692307692308</v>
      </c>
      <c r="AI195" s="86">
        <f>AVERAGEIFS($I$2:I195, $B$2:B195, B195)</f>
        <v>0.4407692307692308</v>
      </c>
      <c r="AJ195" s="86">
        <f>AVERAGEIFS($J$2:J195, $B$2:B195, B195)</f>
        <v>0.50230769230769234</v>
      </c>
      <c r="AK195" s="86">
        <f>AVERAGEIFS($D$2:D195, $B$2:B195, B195)</f>
        <v>0.38461538461538464</v>
      </c>
    </row>
    <row r="196" spans="1:37" x14ac:dyDescent="0.25">
      <c r="A196" s="85">
        <v>46073</v>
      </c>
      <c r="B196" t="s">
        <v>42</v>
      </c>
      <c r="C196">
        <v>31</v>
      </c>
      <c r="D196">
        <v>1</v>
      </c>
      <c r="E196">
        <v>5</v>
      </c>
      <c r="F196">
        <v>3</v>
      </c>
      <c r="G196">
        <v>23</v>
      </c>
      <c r="H196">
        <v>13</v>
      </c>
      <c r="I196">
        <v>0.6</v>
      </c>
      <c r="J196">
        <v>0.56999999999999995</v>
      </c>
      <c r="K196">
        <v>0</v>
      </c>
      <c r="L196">
        <v>0</v>
      </c>
      <c r="M196">
        <v>0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1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1</v>
      </c>
      <c r="AF196">
        <v>0</v>
      </c>
      <c r="AG196">
        <v>0</v>
      </c>
      <c r="AH196" s="86">
        <f>AVERAGEIFS($C$2:C196, $B$2:B196, B196)</f>
        <v>15.666666666666666</v>
      </c>
      <c r="AI196" s="86">
        <f>AVERAGEIFS($I$2:I196, $B$2:B196, B196)</f>
        <v>0.46666666666666673</v>
      </c>
      <c r="AJ196" s="86">
        <f>AVERAGEIFS($J$2:J196, $B$2:B196, B196)</f>
        <v>0.47666666666666663</v>
      </c>
      <c r="AK196" s="86">
        <f>AVERAGEIFS($D$2:D196, $B$2:B196, B196)</f>
        <v>0.66666666666666663</v>
      </c>
    </row>
    <row r="197" spans="1:37" x14ac:dyDescent="0.25">
      <c r="A197" s="85">
        <v>46073</v>
      </c>
      <c r="B197" t="s">
        <v>107</v>
      </c>
      <c r="C197">
        <v>9</v>
      </c>
      <c r="D197">
        <v>1</v>
      </c>
      <c r="E197">
        <v>5</v>
      </c>
      <c r="F197">
        <v>3</v>
      </c>
      <c r="G197">
        <v>23</v>
      </c>
      <c r="H197">
        <v>13</v>
      </c>
      <c r="I197">
        <v>0.6</v>
      </c>
      <c r="J197">
        <v>0.56999999999999995</v>
      </c>
      <c r="K197">
        <v>0</v>
      </c>
      <c r="L197">
        <v>0</v>
      </c>
      <c r="M197">
        <v>0</v>
      </c>
      <c r="N197">
        <v>1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1</v>
      </c>
      <c r="AF197">
        <v>0</v>
      </c>
      <c r="AG197">
        <v>0</v>
      </c>
      <c r="AH197" s="86">
        <f>AVERAGEIFS($C$2:C197, $B$2:B197, B197)</f>
        <v>9</v>
      </c>
      <c r="AI197" s="86">
        <f>AVERAGEIFS($I$2:I197, $B$2:B197, B197)</f>
        <v>0.6</v>
      </c>
      <c r="AJ197" s="86">
        <f>AVERAGEIFS($J$2:J197, $B$2:B197, B197)</f>
        <v>0.56999999999999995</v>
      </c>
      <c r="AK197" s="86">
        <f>AVERAGEIFS($D$2:D197, $B$2:B197, B197)</f>
        <v>1</v>
      </c>
    </row>
    <row r="198" spans="1:37" x14ac:dyDescent="0.25">
      <c r="A198" s="85">
        <v>46073</v>
      </c>
      <c r="B198" t="s">
        <v>38</v>
      </c>
      <c r="C198">
        <v>3</v>
      </c>
      <c r="D198">
        <v>0</v>
      </c>
      <c r="E198">
        <v>5</v>
      </c>
      <c r="F198">
        <v>2</v>
      </c>
      <c r="G198">
        <v>23</v>
      </c>
      <c r="H198">
        <v>10</v>
      </c>
      <c r="I198">
        <v>0.4</v>
      </c>
      <c r="J198">
        <v>0.43</v>
      </c>
      <c r="K198">
        <v>0</v>
      </c>
      <c r="L198">
        <v>0</v>
      </c>
      <c r="M198">
        <v>1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1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 s="86">
        <f>AVERAGEIFS($C$2:C198, $B$2:B198, B198)</f>
        <v>2.6666666666666665</v>
      </c>
      <c r="AI198" s="86">
        <f>AVERAGEIFS($I$2:I198, $B$2:B198, B198)</f>
        <v>0.3833333333333333</v>
      </c>
      <c r="AJ198" s="86">
        <f>AVERAGEIFS($J$2:J198, $B$2:B198, B198)</f>
        <v>0.40333333333333332</v>
      </c>
      <c r="AK198" s="86">
        <f>AVERAGEIFS($D$2:D198, $B$2:B198, B198)</f>
        <v>0.33333333333333331</v>
      </c>
    </row>
    <row r="199" spans="1:37" x14ac:dyDescent="0.25">
      <c r="A199" s="85">
        <v>46073</v>
      </c>
      <c r="B199" t="s">
        <v>54</v>
      </c>
      <c r="C199">
        <v>30</v>
      </c>
      <c r="D199">
        <v>0</v>
      </c>
      <c r="E199">
        <v>5</v>
      </c>
      <c r="F199">
        <v>2</v>
      </c>
      <c r="G199">
        <v>23</v>
      </c>
      <c r="H199">
        <v>10</v>
      </c>
      <c r="I199">
        <v>0.4</v>
      </c>
      <c r="J199">
        <v>0.43</v>
      </c>
      <c r="K199">
        <v>0</v>
      </c>
      <c r="L199">
        <v>0</v>
      </c>
      <c r="M199">
        <v>1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1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0</v>
      </c>
      <c r="AH199" s="86">
        <f>AVERAGEIFS($C$2:C199, $B$2:B199, B199)</f>
        <v>24.785714285714285</v>
      </c>
      <c r="AI199" s="86">
        <f>AVERAGEIFS($I$2:I199, $B$2:B199, B199)</f>
        <v>0.505</v>
      </c>
      <c r="AJ199" s="86">
        <f>AVERAGEIFS($J$2:J199, $B$2:B199, B199)</f>
        <v>0.47428571428571425</v>
      </c>
      <c r="AK199" s="86">
        <f>AVERAGEIFS($D$2:D199, $B$2:B199, B199)</f>
        <v>0.5</v>
      </c>
    </row>
    <row r="200" spans="1:37" x14ac:dyDescent="0.25">
      <c r="A200" s="85">
        <v>46073</v>
      </c>
      <c r="B200" t="s">
        <v>2</v>
      </c>
      <c r="C200">
        <v>35</v>
      </c>
      <c r="D200">
        <v>0</v>
      </c>
      <c r="E200">
        <v>5</v>
      </c>
      <c r="F200">
        <v>2</v>
      </c>
      <c r="G200">
        <v>23</v>
      </c>
      <c r="H200">
        <v>10</v>
      </c>
      <c r="I200">
        <v>0.4</v>
      </c>
      <c r="J200">
        <v>0.43</v>
      </c>
      <c r="K200">
        <v>0</v>
      </c>
      <c r="L200">
        <v>0</v>
      </c>
      <c r="M200">
        <v>1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1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0</v>
      </c>
      <c r="AH200" s="86">
        <f>AVERAGEIFS($C$2:C200, $B$2:B200, B200)</f>
        <v>24.272727272727273</v>
      </c>
      <c r="AI200" s="86">
        <f>AVERAGEIFS($I$2:I200, $B$2:B200, B200)</f>
        <v>0.49818181818181823</v>
      </c>
      <c r="AJ200" s="86">
        <f>AVERAGEIFS($J$2:J200, $B$2:B200, B200)</f>
        <v>0.53727272727272724</v>
      </c>
      <c r="AK200" s="86">
        <f>AVERAGEIFS($D$2:D200, $B$2:B200, B200)</f>
        <v>0.45454545454545453</v>
      </c>
    </row>
    <row r="201" spans="1:37" x14ac:dyDescent="0.25">
      <c r="A201" s="85">
        <v>46073</v>
      </c>
      <c r="B201" t="s">
        <v>4</v>
      </c>
      <c r="C201">
        <v>32</v>
      </c>
      <c r="D201">
        <v>0</v>
      </c>
      <c r="E201">
        <v>5</v>
      </c>
      <c r="F201">
        <v>2</v>
      </c>
      <c r="G201">
        <v>23</v>
      </c>
      <c r="H201">
        <v>10</v>
      </c>
      <c r="I201">
        <v>0.4</v>
      </c>
      <c r="J201">
        <v>0.43</v>
      </c>
      <c r="K201">
        <v>0</v>
      </c>
      <c r="L201">
        <v>0</v>
      </c>
      <c r="M201">
        <v>1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1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v>0</v>
      </c>
      <c r="AH201" s="86">
        <f>AVERAGEIFS($C$2:C201, $B$2:B201, B201)</f>
        <v>22</v>
      </c>
      <c r="AI201" s="86">
        <f>AVERAGEIFS($I$2:I201, $B$2:B201, B201)</f>
        <v>0.26250000000000001</v>
      </c>
      <c r="AJ201" s="86">
        <f>AVERAGEIFS($J$2:J201, $B$2:B201, B201)</f>
        <v>0.375</v>
      </c>
      <c r="AK201" s="86">
        <f>AVERAGEIFS($D$2:D201, $B$2:B201, B201)</f>
        <v>0</v>
      </c>
    </row>
    <row r="202" spans="1:37" x14ac:dyDescent="0.25">
      <c r="A202" s="85">
        <v>46073</v>
      </c>
      <c r="B202" t="s">
        <v>37</v>
      </c>
      <c r="C202">
        <v>12</v>
      </c>
      <c r="D202">
        <v>0</v>
      </c>
      <c r="E202">
        <v>5</v>
      </c>
      <c r="F202">
        <v>2</v>
      </c>
      <c r="G202">
        <v>23</v>
      </c>
      <c r="H202">
        <v>10</v>
      </c>
      <c r="I202">
        <v>0.4</v>
      </c>
      <c r="J202">
        <v>0.43</v>
      </c>
      <c r="K202">
        <v>0</v>
      </c>
      <c r="L202">
        <v>0</v>
      </c>
      <c r="M202">
        <v>1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1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 s="86">
        <f>AVERAGEIFS($C$2:C202, $B$2:B202, B202)</f>
        <v>13.6</v>
      </c>
      <c r="AI202" s="86">
        <f>AVERAGEIFS($I$2:I202, $B$2:B202, B202)</f>
        <v>0.59</v>
      </c>
      <c r="AJ202" s="86">
        <f>AVERAGEIFS($J$2:J202, $B$2:B202, B202)</f>
        <v>0.53600000000000003</v>
      </c>
      <c r="AK202" s="86">
        <f>AVERAGEIFS($D$2:D202, $B$2:B202, B202)</f>
        <v>0.4</v>
      </c>
    </row>
    <row r="203" spans="1:37" x14ac:dyDescent="0.25">
      <c r="A203" s="85">
        <v>46073</v>
      </c>
      <c r="B203" t="s">
        <v>28</v>
      </c>
      <c r="C203">
        <v>18</v>
      </c>
      <c r="D203">
        <v>0</v>
      </c>
      <c r="E203">
        <v>5</v>
      </c>
      <c r="F203">
        <v>2</v>
      </c>
      <c r="G203">
        <v>23</v>
      </c>
      <c r="H203">
        <v>10</v>
      </c>
      <c r="I203">
        <v>0.4</v>
      </c>
      <c r="J203">
        <v>0.43</v>
      </c>
      <c r="K203">
        <v>0</v>
      </c>
      <c r="L203">
        <v>0</v>
      </c>
      <c r="M203">
        <v>1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1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 s="86">
        <f>AVERAGEIFS($C$2:C203, $B$2:B203, B203)</f>
        <v>15.375</v>
      </c>
      <c r="AI203" s="86">
        <f>AVERAGEIFS($I$2:I203, $B$2:B203, B203)</f>
        <v>0.47875000000000001</v>
      </c>
      <c r="AJ203" s="86">
        <f>AVERAGEIFS($J$2:J203, $B$2:B203, B203)</f>
        <v>0.51374999999999993</v>
      </c>
      <c r="AK203" s="86">
        <f>AVERAGEIFS($D$2:D203, $B$2:B203, B203)</f>
        <v>0.375</v>
      </c>
    </row>
    <row r="204" spans="1:37" x14ac:dyDescent="0.25">
      <c r="A204" s="85">
        <v>46073</v>
      </c>
      <c r="B204" t="s">
        <v>113</v>
      </c>
      <c r="C204">
        <v>18</v>
      </c>
      <c r="D204">
        <v>0</v>
      </c>
      <c r="E204">
        <v>5</v>
      </c>
      <c r="F204">
        <v>2</v>
      </c>
      <c r="G204">
        <v>23</v>
      </c>
      <c r="H204">
        <v>10</v>
      </c>
      <c r="I204">
        <v>0.4</v>
      </c>
      <c r="J204">
        <v>0.43</v>
      </c>
      <c r="K204">
        <v>0</v>
      </c>
      <c r="L204">
        <v>0</v>
      </c>
      <c r="M204">
        <v>1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1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 s="86">
        <f>AVERAGEIFS($C$2:C204, $B$2:B204, B204)</f>
        <v>18</v>
      </c>
      <c r="AI204" s="86">
        <f>AVERAGEIFS($I$2:I204, $B$2:B204, B204)</f>
        <v>0.4</v>
      </c>
      <c r="AJ204" s="86">
        <f>AVERAGEIFS($J$2:J204, $B$2:B204, B204)</f>
        <v>0.43</v>
      </c>
      <c r="AK204" s="86">
        <f>AVERAGEIFS($D$2:D204, $B$2:B204, B204)</f>
        <v>0</v>
      </c>
    </row>
    <row r="205" spans="1:37" x14ac:dyDescent="0.25">
      <c r="A205" s="85">
        <v>46076</v>
      </c>
      <c r="B205" t="s">
        <v>42</v>
      </c>
      <c r="C205">
        <v>10</v>
      </c>
      <c r="D205">
        <v>1</v>
      </c>
      <c r="E205">
        <v>4</v>
      </c>
      <c r="F205">
        <v>3</v>
      </c>
      <c r="G205">
        <v>18</v>
      </c>
      <c r="H205">
        <v>11</v>
      </c>
      <c r="I205">
        <v>0.75</v>
      </c>
      <c r="J205">
        <v>0.61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1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1</v>
      </c>
      <c r="AH205" s="86">
        <f>AVERAGEIFS($C$2:C205, $B$2:B205, B205)</f>
        <v>14.857142857142858</v>
      </c>
      <c r="AI205" s="86">
        <f>AVERAGEIFS($I$2:I205, $B$2:B205, B205)</f>
        <v>0.50714285714285723</v>
      </c>
      <c r="AJ205" s="86">
        <f>AVERAGEIFS($J$2:J205, $B$2:B205, B205)</f>
        <v>0.49571428571428566</v>
      </c>
      <c r="AK205" s="86">
        <f>AVERAGEIFS($D$2:D205, $B$2:B205, B205)</f>
        <v>0.7142857142857143</v>
      </c>
    </row>
    <row r="206" spans="1:37" x14ac:dyDescent="0.25">
      <c r="A206" s="85">
        <v>46076</v>
      </c>
      <c r="B206" t="s">
        <v>54</v>
      </c>
      <c r="C206">
        <v>21</v>
      </c>
      <c r="D206">
        <v>1</v>
      </c>
      <c r="E206">
        <v>4</v>
      </c>
      <c r="F206">
        <v>3</v>
      </c>
      <c r="G206">
        <v>18</v>
      </c>
      <c r="H206">
        <v>11</v>
      </c>
      <c r="I206">
        <v>0.75</v>
      </c>
      <c r="J206">
        <v>0.61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1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>
        <v>1</v>
      </c>
      <c r="AH206" s="86">
        <f>AVERAGEIFS($C$2:C206, $B$2:B206, B206)</f>
        <v>24.533333333333335</v>
      </c>
      <c r="AI206" s="86">
        <f>AVERAGEIFS($I$2:I206, $B$2:B206, B206)</f>
        <v>0.52133333333333332</v>
      </c>
      <c r="AJ206" s="86">
        <f>AVERAGEIFS($J$2:J206, $B$2:B206, B206)</f>
        <v>0.48333333333333334</v>
      </c>
      <c r="AK206" s="86">
        <f>AVERAGEIFS($D$2:D206, $B$2:B206, B206)</f>
        <v>0.53333333333333333</v>
      </c>
    </row>
    <row r="207" spans="1:37" x14ac:dyDescent="0.25">
      <c r="A207" s="85">
        <v>46076</v>
      </c>
      <c r="B207" t="s">
        <v>6</v>
      </c>
      <c r="C207">
        <v>21</v>
      </c>
      <c r="D207">
        <v>1</v>
      </c>
      <c r="E207">
        <v>4</v>
      </c>
      <c r="F207">
        <v>3</v>
      </c>
      <c r="G207">
        <v>18</v>
      </c>
      <c r="H207">
        <v>11</v>
      </c>
      <c r="I207">
        <v>0.75</v>
      </c>
      <c r="J207">
        <v>0.61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1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0</v>
      </c>
      <c r="AG207">
        <v>1</v>
      </c>
      <c r="AH207" s="86">
        <f>AVERAGEIFS($C$2:C207, $B$2:B207, B207)</f>
        <v>22.066666666666666</v>
      </c>
      <c r="AI207" s="86">
        <f>AVERAGEIFS($I$2:I207, $B$2:B207, B207)</f>
        <v>0.66200000000000003</v>
      </c>
      <c r="AJ207" s="86">
        <f>AVERAGEIFS($J$2:J207, $B$2:B207, B207)</f>
        <v>0.57266666666666666</v>
      </c>
      <c r="AK207" s="86">
        <f>AVERAGEIFS($D$2:D207, $B$2:B207, B207)</f>
        <v>0.73333333333333328</v>
      </c>
    </row>
    <row r="208" spans="1:37" x14ac:dyDescent="0.25">
      <c r="A208" s="85">
        <v>46076</v>
      </c>
      <c r="B208" t="s">
        <v>37</v>
      </c>
      <c r="C208">
        <v>13</v>
      </c>
      <c r="D208">
        <v>1</v>
      </c>
      <c r="E208">
        <v>4</v>
      </c>
      <c r="F208">
        <v>3</v>
      </c>
      <c r="G208">
        <v>18</v>
      </c>
      <c r="H208">
        <v>11</v>
      </c>
      <c r="I208">
        <v>0.75</v>
      </c>
      <c r="J208">
        <v>0.61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1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0</v>
      </c>
      <c r="AG208">
        <v>1</v>
      </c>
      <c r="AH208" s="86">
        <f>AVERAGEIFS($C$2:C208, $B$2:B208, B208)</f>
        <v>13.5</v>
      </c>
      <c r="AI208" s="86">
        <f>AVERAGEIFS($I$2:I208, $B$2:B208, B208)</f>
        <v>0.61666666666666659</v>
      </c>
      <c r="AJ208" s="86">
        <f>AVERAGEIFS($J$2:J208, $B$2:B208, B208)</f>
        <v>0.54833333333333334</v>
      </c>
      <c r="AK208" s="86">
        <f>AVERAGEIFS($D$2:D208, $B$2:B208, B208)</f>
        <v>0.5</v>
      </c>
    </row>
    <row r="209" spans="1:37" x14ac:dyDescent="0.25">
      <c r="A209" s="85">
        <v>46076</v>
      </c>
      <c r="B209" t="s">
        <v>107</v>
      </c>
      <c r="C209">
        <v>16</v>
      </c>
      <c r="D209">
        <v>1</v>
      </c>
      <c r="E209">
        <v>4</v>
      </c>
      <c r="F209">
        <v>3</v>
      </c>
      <c r="G209">
        <v>18</v>
      </c>
      <c r="H209">
        <v>11</v>
      </c>
      <c r="I209">
        <v>0.75</v>
      </c>
      <c r="J209">
        <v>0.61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1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1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1</v>
      </c>
      <c r="AH209" s="86">
        <f>AVERAGEIFS($C$2:C209, $B$2:B209, B209)</f>
        <v>12.5</v>
      </c>
      <c r="AI209" s="86">
        <f>AVERAGEIFS($I$2:I209, $B$2:B209, B209)</f>
        <v>0.67500000000000004</v>
      </c>
      <c r="AJ209" s="86">
        <f>AVERAGEIFS($J$2:J209, $B$2:B209, B209)</f>
        <v>0.59</v>
      </c>
      <c r="AK209" s="86">
        <f>AVERAGEIFS($D$2:D209, $B$2:B209, B209)</f>
        <v>1</v>
      </c>
    </row>
    <row r="210" spans="1:37" x14ac:dyDescent="0.25">
      <c r="A210" s="85">
        <v>46076</v>
      </c>
      <c r="B210" t="s">
        <v>40</v>
      </c>
      <c r="C210">
        <v>18</v>
      </c>
      <c r="D210">
        <v>0</v>
      </c>
      <c r="E210">
        <v>4</v>
      </c>
      <c r="F210">
        <v>1</v>
      </c>
      <c r="G210">
        <v>18</v>
      </c>
      <c r="H210">
        <v>7</v>
      </c>
      <c r="I210">
        <v>0.25</v>
      </c>
      <c r="J210">
        <v>0.39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1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0</v>
      </c>
      <c r="AH210" s="86">
        <f>AVERAGEIFS($C$2:C210, $B$2:B210, B210)</f>
        <v>16</v>
      </c>
      <c r="AI210" s="86">
        <f>AVERAGEIFS($I$2:I210, $B$2:B210, B210)</f>
        <v>0.34375</v>
      </c>
      <c r="AJ210" s="86">
        <f>AVERAGEIFS($J$2:J210, $B$2:B210, B210)</f>
        <v>0.4375</v>
      </c>
      <c r="AK210" s="86">
        <f>AVERAGEIFS($D$2:D210, $B$2:B210, B210)</f>
        <v>0.25</v>
      </c>
    </row>
    <row r="211" spans="1:37" x14ac:dyDescent="0.25">
      <c r="A211" s="85">
        <v>46076</v>
      </c>
      <c r="B211" t="s">
        <v>2</v>
      </c>
      <c r="C211">
        <v>22</v>
      </c>
      <c r="D211">
        <v>0</v>
      </c>
      <c r="E211">
        <v>4</v>
      </c>
      <c r="F211">
        <v>1</v>
      </c>
      <c r="G211">
        <v>18</v>
      </c>
      <c r="H211">
        <v>7</v>
      </c>
      <c r="I211">
        <v>0.25</v>
      </c>
      <c r="J211">
        <v>0.39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1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v>0</v>
      </c>
      <c r="AH211" s="86">
        <f>AVERAGEIFS($C$2:C211, $B$2:B211, B211)</f>
        <v>24.083333333333332</v>
      </c>
      <c r="AI211" s="86">
        <f>AVERAGEIFS($I$2:I211, $B$2:B211, B211)</f>
        <v>0.47750000000000004</v>
      </c>
      <c r="AJ211" s="86">
        <f>AVERAGEIFS($J$2:J211, $B$2:B211, B211)</f>
        <v>0.52499999999999991</v>
      </c>
      <c r="AK211" s="86">
        <f>AVERAGEIFS($D$2:D211, $B$2:B211, B211)</f>
        <v>0.41666666666666669</v>
      </c>
    </row>
    <row r="212" spans="1:37" x14ac:dyDescent="0.25">
      <c r="A212" s="85">
        <v>46076</v>
      </c>
      <c r="B212" t="s">
        <v>50</v>
      </c>
      <c r="C212">
        <v>22</v>
      </c>
      <c r="D212">
        <v>0</v>
      </c>
      <c r="E212">
        <v>4</v>
      </c>
      <c r="F212">
        <v>1</v>
      </c>
      <c r="G212">
        <v>18</v>
      </c>
      <c r="H212">
        <v>7</v>
      </c>
      <c r="I212">
        <v>0.25</v>
      </c>
      <c r="J212">
        <v>0.39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1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 s="86">
        <f>AVERAGEIFS($C$2:C212, $B$2:B212, B212)</f>
        <v>20.1875</v>
      </c>
      <c r="AI212" s="86">
        <f>AVERAGEIFS($I$2:I212, $B$2:B212, B212)</f>
        <v>0.53312500000000007</v>
      </c>
      <c r="AJ212" s="86">
        <f>AVERAGEIFS($J$2:J212, $B$2:B212, B212)</f>
        <v>0.53499999999999992</v>
      </c>
      <c r="AK212" s="86">
        <f>AVERAGEIFS($D$2:D212, $B$2:B212, B212)</f>
        <v>0.5625</v>
      </c>
    </row>
    <row r="213" spans="1:37" x14ac:dyDescent="0.25">
      <c r="A213" s="85">
        <v>46076</v>
      </c>
      <c r="B213" t="s">
        <v>3</v>
      </c>
      <c r="C213">
        <v>18</v>
      </c>
      <c r="D213">
        <v>0</v>
      </c>
      <c r="E213">
        <v>4</v>
      </c>
      <c r="F213">
        <v>1</v>
      </c>
      <c r="G213">
        <v>18</v>
      </c>
      <c r="H213">
        <v>7</v>
      </c>
      <c r="I213">
        <v>0.25</v>
      </c>
      <c r="J213">
        <v>0.39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1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 s="86">
        <f>AVERAGEIFS($C$2:C213, $B$2:B213, B213)</f>
        <v>16.8</v>
      </c>
      <c r="AI213" s="86">
        <f>AVERAGEIFS($I$2:I213, $B$2:B213, B213)</f>
        <v>0.44000000000000006</v>
      </c>
      <c r="AJ213" s="86">
        <f>AVERAGEIFS($J$2:J213, $B$2:B213, B213)</f>
        <v>0.47400000000000003</v>
      </c>
      <c r="AK213" s="86">
        <f>AVERAGEIFS($D$2:D213, $B$2:B213, B213)</f>
        <v>0.6</v>
      </c>
    </row>
    <row r="214" spans="1:37" x14ac:dyDescent="0.25">
      <c r="A214" s="85">
        <v>46076</v>
      </c>
      <c r="B214" t="s">
        <v>25</v>
      </c>
      <c r="C214">
        <v>2</v>
      </c>
      <c r="D214">
        <v>0</v>
      </c>
      <c r="E214">
        <v>4</v>
      </c>
      <c r="F214">
        <v>1</v>
      </c>
      <c r="G214">
        <v>18</v>
      </c>
      <c r="H214">
        <v>7</v>
      </c>
      <c r="I214">
        <v>0.25</v>
      </c>
      <c r="J214">
        <v>0.39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1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 s="86">
        <f>AVERAGEIFS($C$2:C214, $B$2:B214, B214)</f>
        <v>8</v>
      </c>
      <c r="AI214" s="86">
        <f>AVERAGEIFS($I$2:I214, $B$2:B214, B214)</f>
        <v>0.58333333333333337</v>
      </c>
      <c r="AJ214" s="86">
        <f>AVERAGEIFS($J$2:J214, $B$2:B214, B214)</f>
        <v>0.6066666666666668</v>
      </c>
      <c r="AK214" s="86">
        <f>AVERAGEIFS($D$2:D214, $B$2:B214, B214)</f>
        <v>0.66666666666666663</v>
      </c>
    </row>
    <row r="215" spans="1:37" x14ac:dyDescent="0.25">
      <c r="A215" s="85">
        <v>46077</v>
      </c>
      <c r="B215" t="s">
        <v>17</v>
      </c>
      <c r="C215">
        <v>29</v>
      </c>
      <c r="D215">
        <v>1</v>
      </c>
      <c r="E215">
        <v>5</v>
      </c>
      <c r="F215">
        <v>3</v>
      </c>
      <c r="G215">
        <v>21</v>
      </c>
      <c r="H215">
        <v>11</v>
      </c>
      <c r="I215">
        <v>0.6</v>
      </c>
      <c r="J215">
        <v>0.52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1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1</v>
      </c>
      <c r="AD215">
        <v>0</v>
      </c>
      <c r="AE215">
        <v>1</v>
      </c>
      <c r="AF215">
        <v>0</v>
      </c>
      <c r="AG215">
        <v>0</v>
      </c>
      <c r="AH215" s="86">
        <f>AVERAGEIFS($C$2:C215, $B$2:B215, B215)</f>
        <v>20.733333333333334</v>
      </c>
      <c r="AI215" s="86">
        <f>AVERAGEIFS($I$2:I215, $B$2:B215, B215)</f>
        <v>0.48466666666666669</v>
      </c>
      <c r="AJ215" s="86">
        <f>AVERAGEIFS($J$2:J215, $B$2:B215, B215)</f>
        <v>0.48133333333333339</v>
      </c>
      <c r="AK215" s="86">
        <f>AVERAGEIFS($D$2:D215, $B$2:B215, B215)</f>
        <v>0.4</v>
      </c>
    </row>
    <row r="216" spans="1:37" x14ac:dyDescent="0.25">
      <c r="A216" s="85">
        <v>46077</v>
      </c>
      <c r="B216" t="s">
        <v>113</v>
      </c>
      <c r="C216">
        <v>28</v>
      </c>
      <c r="D216">
        <v>1</v>
      </c>
      <c r="E216">
        <v>5</v>
      </c>
      <c r="F216">
        <v>3</v>
      </c>
      <c r="G216">
        <v>21</v>
      </c>
      <c r="H216">
        <v>11</v>
      </c>
      <c r="I216">
        <v>0.6</v>
      </c>
      <c r="J216">
        <v>0.52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1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1</v>
      </c>
      <c r="AD216">
        <v>0</v>
      </c>
      <c r="AE216">
        <v>1</v>
      </c>
      <c r="AF216">
        <v>0</v>
      </c>
      <c r="AG216">
        <v>0</v>
      </c>
      <c r="AH216" s="86">
        <f>AVERAGEIFS($C$2:C216, $B$2:B216, B216)</f>
        <v>23</v>
      </c>
      <c r="AI216" s="86">
        <f>AVERAGEIFS($I$2:I216, $B$2:B216, B216)</f>
        <v>0.5</v>
      </c>
      <c r="AJ216" s="86">
        <f>AVERAGEIFS($J$2:J216, $B$2:B216, B216)</f>
        <v>0.47499999999999998</v>
      </c>
      <c r="AK216" s="86">
        <f>AVERAGEIFS($D$2:D216, $B$2:B216, B216)</f>
        <v>0.5</v>
      </c>
    </row>
    <row r="217" spans="1:37" x14ac:dyDescent="0.25">
      <c r="A217" s="85">
        <v>46077</v>
      </c>
      <c r="B217" t="s">
        <v>54</v>
      </c>
      <c r="C217">
        <v>25</v>
      </c>
      <c r="D217">
        <v>1</v>
      </c>
      <c r="E217">
        <v>5</v>
      </c>
      <c r="F217">
        <v>3</v>
      </c>
      <c r="G217">
        <v>21</v>
      </c>
      <c r="H217">
        <v>11</v>
      </c>
      <c r="I217">
        <v>0.6</v>
      </c>
      <c r="J217">
        <v>0.52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1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1</v>
      </c>
      <c r="AD217">
        <v>0</v>
      </c>
      <c r="AE217">
        <v>1</v>
      </c>
      <c r="AF217">
        <v>0</v>
      </c>
      <c r="AG217">
        <v>0</v>
      </c>
      <c r="AH217" s="86">
        <f>AVERAGEIFS($C$2:C217, $B$2:B217, B217)</f>
        <v>24.5625</v>
      </c>
      <c r="AI217" s="86">
        <f>AVERAGEIFS($I$2:I217, $B$2:B217, B217)</f>
        <v>0.52625</v>
      </c>
      <c r="AJ217" s="86">
        <f>AVERAGEIFS($J$2:J217, $B$2:B217, B217)</f>
        <v>0.48562499999999997</v>
      </c>
      <c r="AK217" s="86">
        <f>AVERAGEIFS($D$2:D217, $B$2:B217, B217)</f>
        <v>0.5625</v>
      </c>
    </row>
    <row r="218" spans="1:37" x14ac:dyDescent="0.25">
      <c r="A218" s="85">
        <v>46077</v>
      </c>
      <c r="B218" t="s">
        <v>6</v>
      </c>
      <c r="C218">
        <v>24</v>
      </c>
      <c r="D218">
        <v>1</v>
      </c>
      <c r="E218">
        <v>5</v>
      </c>
      <c r="F218">
        <v>3</v>
      </c>
      <c r="G218">
        <v>21</v>
      </c>
      <c r="H218">
        <v>11</v>
      </c>
      <c r="I218">
        <v>0.6</v>
      </c>
      <c r="J218">
        <v>0.52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1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1</v>
      </c>
      <c r="AD218">
        <v>0</v>
      </c>
      <c r="AE218">
        <v>1</v>
      </c>
      <c r="AF218">
        <v>0</v>
      </c>
      <c r="AG218">
        <v>0</v>
      </c>
      <c r="AH218" s="86">
        <f>AVERAGEIFS($C$2:C218, $B$2:B218, B218)</f>
        <v>22.1875</v>
      </c>
      <c r="AI218" s="86">
        <f>AVERAGEIFS($I$2:I218, $B$2:B218, B218)</f>
        <v>0.65812499999999996</v>
      </c>
      <c r="AJ218" s="86">
        <f>AVERAGEIFS($J$2:J218, $B$2:B218, B218)</f>
        <v>0.56937499999999996</v>
      </c>
      <c r="AK218" s="86">
        <f>AVERAGEIFS($D$2:D218, $B$2:B218, B218)</f>
        <v>0.75</v>
      </c>
    </row>
    <row r="219" spans="1:37" x14ac:dyDescent="0.25">
      <c r="A219" s="85">
        <v>46077</v>
      </c>
      <c r="B219" t="s">
        <v>50</v>
      </c>
      <c r="C219">
        <v>22</v>
      </c>
      <c r="D219">
        <v>1</v>
      </c>
      <c r="E219">
        <v>5</v>
      </c>
      <c r="F219">
        <v>3</v>
      </c>
      <c r="G219">
        <v>21</v>
      </c>
      <c r="H219">
        <v>11</v>
      </c>
      <c r="I219">
        <v>0.6</v>
      </c>
      <c r="J219">
        <v>0.52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1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1</v>
      </c>
      <c r="AD219">
        <v>0</v>
      </c>
      <c r="AE219">
        <v>1</v>
      </c>
      <c r="AF219">
        <v>0</v>
      </c>
      <c r="AG219">
        <v>0</v>
      </c>
      <c r="AH219" s="86">
        <f>AVERAGEIFS($C$2:C219, $B$2:B219, B219)</f>
        <v>20.294117647058822</v>
      </c>
      <c r="AI219" s="86">
        <f>AVERAGEIFS($I$2:I219, $B$2:B219, B219)</f>
        <v>0.53705882352941181</v>
      </c>
      <c r="AJ219" s="86">
        <f>AVERAGEIFS($J$2:J219, $B$2:B219, B219)</f>
        <v>0.53411764705882347</v>
      </c>
      <c r="AK219" s="86">
        <f>AVERAGEIFS($D$2:D219, $B$2:B219, B219)</f>
        <v>0.58823529411764708</v>
      </c>
    </row>
    <row r="220" spans="1:37" x14ac:dyDescent="0.25">
      <c r="A220" s="85">
        <v>46077</v>
      </c>
      <c r="B220" t="s">
        <v>28</v>
      </c>
      <c r="C220">
        <v>22</v>
      </c>
      <c r="D220">
        <v>1</v>
      </c>
      <c r="E220">
        <v>5</v>
      </c>
      <c r="F220">
        <v>3</v>
      </c>
      <c r="G220">
        <v>21</v>
      </c>
      <c r="H220">
        <v>11</v>
      </c>
      <c r="I220">
        <v>0.6</v>
      </c>
      <c r="J220">
        <v>0.52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1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1</v>
      </c>
      <c r="AD220">
        <v>0</v>
      </c>
      <c r="AE220">
        <v>1</v>
      </c>
      <c r="AF220">
        <v>0</v>
      </c>
      <c r="AG220">
        <v>0</v>
      </c>
      <c r="AH220" s="86">
        <f>AVERAGEIFS($C$2:C220, $B$2:B220, B220)</f>
        <v>16.111111111111111</v>
      </c>
      <c r="AI220" s="86">
        <f>AVERAGEIFS($I$2:I220, $B$2:B220, B220)</f>
        <v>0.49222222222222217</v>
      </c>
      <c r="AJ220" s="86">
        <f>AVERAGEIFS($J$2:J220, $B$2:B220, B220)</f>
        <v>0.51444444444444437</v>
      </c>
      <c r="AK220" s="86">
        <f>AVERAGEIFS($D$2:D220, $B$2:B220, B220)</f>
        <v>0.44444444444444442</v>
      </c>
    </row>
    <row r="221" spans="1:37" x14ac:dyDescent="0.25">
      <c r="A221" s="85">
        <v>46077</v>
      </c>
      <c r="B221" t="s">
        <v>40</v>
      </c>
      <c r="C221">
        <v>18</v>
      </c>
      <c r="D221">
        <v>1</v>
      </c>
      <c r="E221">
        <v>5</v>
      </c>
      <c r="F221">
        <v>3</v>
      </c>
      <c r="G221">
        <v>21</v>
      </c>
      <c r="H221">
        <v>11</v>
      </c>
      <c r="I221">
        <v>0.6</v>
      </c>
      <c r="J221">
        <v>0.52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1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1</v>
      </c>
      <c r="AD221">
        <v>0</v>
      </c>
      <c r="AE221">
        <v>1</v>
      </c>
      <c r="AF221">
        <v>0</v>
      </c>
      <c r="AG221">
        <v>0</v>
      </c>
      <c r="AH221" s="86">
        <f>AVERAGEIFS($C$2:C221, $B$2:B221, B221)</f>
        <v>16.222222222222221</v>
      </c>
      <c r="AI221" s="86">
        <f>AVERAGEIFS($I$2:I221, $B$2:B221, B221)</f>
        <v>0.37222222222222223</v>
      </c>
      <c r="AJ221" s="86">
        <f>AVERAGEIFS($J$2:J221, $B$2:B221, B221)</f>
        <v>0.4466666666666666</v>
      </c>
      <c r="AK221" s="86">
        <f>AVERAGEIFS($D$2:D221, $B$2:B221, B221)</f>
        <v>0.33333333333333331</v>
      </c>
    </row>
    <row r="222" spans="1:37" x14ac:dyDescent="0.25">
      <c r="A222" s="85">
        <v>46077</v>
      </c>
      <c r="B222" t="s">
        <v>38</v>
      </c>
      <c r="C222">
        <v>4</v>
      </c>
      <c r="D222">
        <v>1</v>
      </c>
      <c r="E222">
        <v>5</v>
      </c>
      <c r="F222">
        <v>3</v>
      </c>
      <c r="G222">
        <v>21</v>
      </c>
      <c r="H222">
        <v>11</v>
      </c>
      <c r="I222">
        <v>0.6</v>
      </c>
      <c r="J222">
        <v>0.52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1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1</v>
      </c>
      <c r="AD222">
        <v>0</v>
      </c>
      <c r="AE222">
        <v>1</v>
      </c>
      <c r="AF222">
        <v>0</v>
      </c>
      <c r="AG222">
        <v>0</v>
      </c>
      <c r="AH222" s="86">
        <f>AVERAGEIFS($C$2:C222, $B$2:B222, B222)</f>
        <v>3</v>
      </c>
      <c r="AI222" s="86">
        <f>AVERAGEIFS($I$2:I222, $B$2:B222, B222)</f>
        <v>0.4375</v>
      </c>
      <c r="AJ222" s="86">
        <f>AVERAGEIFS($J$2:J222, $B$2:B222, B222)</f>
        <v>0.4325</v>
      </c>
      <c r="AK222" s="86">
        <f>AVERAGEIFS($D$2:D222, $B$2:B222, B222)</f>
        <v>0.5</v>
      </c>
    </row>
    <row r="223" spans="1:37" x14ac:dyDescent="0.25">
      <c r="A223" s="85">
        <v>46077</v>
      </c>
      <c r="B223" t="s">
        <v>4</v>
      </c>
      <c r="C223">
        <v>41</v>
      </c>
      <c r="D223">
        <v>0</v>
      </c>
      <c r="E223">
        <v>5</v>
      </c>
      <c r="F223">
        <v>2</v>
      </c>
      <c r="G223">
        <v>21</v>
      </c>
      <c r="H223">
        <v>10</v>
      </c>
      <c r="I223">
        <v>0.4</v>
      </c>
      <c r="J223">
        <v>0.48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1</v>
      </c>
      <c r="Z223">
        <v>0</v>
      </c>
      <c r="AA223">
        <v>0</v>
      </c>
      <c r="AB223">
        <v>0</v>
      </c>
      <c r="AC223">
        <v>0</v>
      </c>
      <c r="AD223">
        <v>1</v>
      </c>
      <c r="AE223">
        <v>0</v>
      </c>
      <c r="AF223">
        <v>0</v>
      </c>
      <c r="AG223">
        <v>0</v>
      </c>
      <c r="AH223" s="86">
        <f>AVERAGEIFS($C$2:C223, $B$2:B223, B223)</f>
        <v>25.8</v>
      </c>
      <c r="AI223" s="86">
        <f>AVERAGEIFS($I$2:I223, $B$2:B223, B223)</f>
        <v>0.29000000000000004</v>
      </c>
      <c r="AJ223" s="86">
        <f>AVERAGEIFS($J$2:J223, $B$2:B223, B223)</f>
        <v>0.39600000000000002</v>
      </c>
      <c r="AK223" s="86">
        <f>AVERAGEIFS($D$2:D223, $B$2:B223, B223)</f>
        <v>0</v>
      </c>
    </row>
    <row r="224" spans="1:37" x14ac:dyDescent="0.25">
      <c r="A224" s="85">
        <v>46077</v>
      </c>
      <c r="B224" t="s">
        <v>1</v>
      </c>
      <c r="C224">
        <v>38</v>
      </c>
      <c r="D224">
        <v>0</v>
      </c>
      <c r="E224">
        <v>5</v>
      </c>
      <c r="F224">
        <v>2</v>
      </c>
      <c r="G224">
        <v>21</v>
      </c>
      <c r="H224">
        <v>10</v>
      </c>
      <c r="I224">
        <v>0.4</v>
      </c>
      <c r="J224">
        <v>0.48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1</v>
      </c>
      <c r="Z224">
        <v>0</v>
      </c>
      <c r="AA224">
        <v>0</v>
      </c>
      <c r="AB224">
        <v>0</v>
      </c>
      <c r="AC224">
        <v>0</v>
      </c>
      <c r="AD224">
        <v>1</v>
      </c>
      <c r="AE224">
        <v>0</v>
      </c>
      <c r="AF224">
        <v>0</v>
      </c>
      <c r="AG224">
        <v>0</v>
      </c>
      <c r="AH224" s="86">
        <f>AVERAGEIFS($C$2:C224, $B$2:B224, B224)</f>
        <v>27.857142857142858</v>
      </c>
      <c r="AI224" s="86">
        <f>AVERAGEIFS($I$2:I224, $B$2:B224, B224)</f>
        <v>0.42142857142857143</v>
      </c>
      <c r="AJ224" s="86">
        <f>AVERAGEIFS($J$2:J224, $B$2:B224, B224)</f>
        <v>0.48428571428571426</v>
      </c>
      <c r="AK224" s="86">
        <f>AVERAGEIFS($D$2:D224, $B$2:B224, B224)</f>
        <v>0.5714285714285714</v>
      </c>
    </row>
    <row r="225" spans="1:37" x14ac:dyDescent="0.25">
      <c r="A225" s="85">
        <v>46077</v>
      </c>
      <c r="B225" t="s">
        <v>3</v>
      </c>
      <c r="C225">
        <v>27</v>
      </c>
      <c r="D225">
        <v>0</v>
      </c>
      <c r="E225">
        <v>5</v>
      </c>
      <c r="F225">
        <v>2</v>
      </c>
      <c r="G225">
        <v>21</v>
      </c>
      <c r="H225">
        <v>10</v>
      </c>
      <c r="I225">
        <v>0.4</v>
      </c>
      <c r="J225">
        <v>0.48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1</v>
      </c>
      <c r="Z225">
        <v>0</v>
      </c>
      <c r="AA225">
        <v>0</v>
      </c>
      <c r="AB225">
        <v>0</v>
      </c>
      <c r="AC225">
        <v>0</v>
      </c>
      <c r="AD225">
        <v>1</v>
      </c>
      <c r="AE225">
        <v>0</v>
      </c>
      <c r="AF225">
        <v>0</v>
      </c>
      <c r="AG225">
        <v>0</v>
      </c>
      <c r="AH225" s="86">
        <f>AVERAGEIFS($C$2:C225, $B$2:B225, B225)</f>
        <v>18.5</v>
      </c>
      <c r="AI225" s="86">
        <f>AVERAGEIFS($I$2:I225, $B$2:B225, B225)</f>
        <v>0.43333333333333335</v>
      </c>
      <c r="AJ225" s="86">
        <f>AVERAGEIFS($J$2:J225, $B$2:B225, B225)</f>
        <v>0.47500000000000003</v>
      </c>
      <c r="AK225" s="86">
        <f>AVERAGEIFS($D$2:D225, $B$2:B225, B225)</f>
        <v>0.5</v>
      </c>
    </row>
    <row r="226" spans="1:37" x14ac:dyDescent="0.25">
      <c r="A226" s="85">
        <v>46077</v>
      </c>
      <c r="B226" t="s">
        <v>37</v>
      </c>
      <c r="C226">
        <v>14</v>
      </c>
      <c r="D226">
        <v>0</v>
      </c>
      <c r="E226">
        <v>5</v>
      </c>
      <c r="F226">
        <v>2</v>
      </c>
      <c r="G226">
        <v>21</v>
      </c>
      <c r="H226">
        <v>10</v>
      </c>
      <c r="I226">
        <v>0.4</v>
      </c>
      <c r="J226">
        <v>0.48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1</v>
      </c>
      <c r="Z226">
        <v>0</v>
      </c>
      <c r="AA226">
        <v>0</v>
      </c>
      <c r="AB226">
        <v>0</v>
      </c>
      <c r="AC226">
        <v>0</v>
      </c>
      <c r="AD226">
        <v>1</v>
      </c>
      <c r="AE226">
        <v>0</v>
      </c>
      <c r="AF226">
        <v>0</v>
      </c>
      <c r="AG226">
        <v>0</v>
      </c>
      <c r="AH226" s="86">
        <f>AVERAGEIFS($C$2:C226, $B$2:B226, B226)</f>
        <v>13.571428571428571</v>
      </c>
      <c r="AI226" s="86">
        <f>AVERAGEIFS($I$2:I226, $B$2:B226, B226)</f>
        <v>0.58571428571428563</v>
      </c>
      <c r="AJ226" s="86">
        <f>AVERAGEIFS($J$2:J226, $B$2:B226, B226)</f>
        <v>0.53857142857142859</v>
      </c>
      <c r="AK226" s="86">
        <f>AVERAGEIFS($D$2:D226, $B$2:B226, B226)</f>
        <v>0.42857142857142855</v>
      </c>
    </row>
    <row r="227" spans="1:37" x14ac:dyDescent="0.25">
      <c r="A227" s="85">
        <v>46077</v>
      </c>
      <c r="B227" t="s">
        <v>107</v>
      </c>
      <c r="C227">
        <v>14</v>
      </c>
      <c r="D227">
        <v>0</v>
      </c>
      <c r="E227">
        <v>5</v>
      </c>
      <c r="F227">
        <v>2</v>
      </c>
      <c r="G227">
        <v>21</v>
      </c>
      <c r="H227">
        <v>10</v>
      </c>
      <c r="I227">
        <v>0.4</v>
      </c>
      <c r="J227">
        <v>0.48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1</v>
      </c>
      <c r="Z227">
        <v>0</v>
      </c>
      <c r="AA227">
        <v>0</v>
      </c>
      <c r="AB227">
        <v>0</v>
      </c>
      <c r="AC227">
        <v>0</v>
      </c>
      <c r="AD227">
        <v>1</v>
      </c>
      <c r="AE227">
        <v>0</v>
      </c>
      <c r="AF227">
        <v>0</v>
      </c>
      <c r="AG227">
        <v>0</v>
      </c>
      <c r="AH227" s="86">
        <f>AVERAGEIFS($C$2:C227, $B$2:B227, B227)</f>
        <v>13</v>
      </c>
      <c r="AI227" s="86">
        <f>AVERAGEIFS($I$2:I227, $B$2:B227, B227)</f>
        <v>0.58333333333333337</v>
      </c>
      <c r="AJ227" s="86">
        <f>AVERAGEIFS($J$2:J227, $B$2:B227, B227)</f>
        <v>0.55333333333333334</v>
      </c>
      <c r="AK227" s="86">
        <f>AVERAGEIFS($D$2:D227, $B$2:B227, B227)</f>
        <v>0.66666666666666663</v>
      </c>
    </row>
    <row r="228" spans="1:37" x14ac:dyDescent="0.25">
      <c r="A228" s="85">
        <v>46077</v>
      </c>
      <c r="B228" t="s">
        <v>13</v>
      </c>
      <c r="C228">
        <v>11</v>
      </c>
      <c r="D228">
        <v>0</v>
      </c>
      <c r="E228">
        <v>5</v>
      </c>
      <c r="F228">
        <v>2</v>
      </c>
      <c r="G228">
        <v>21</v>
      </c>
      <c r="H228">
        <v>10</v>
      </c>
      <c r="I228">
        <v>0.4</v>
      </c>
      <c r="J228">
        <v>0.48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1</v>
      </c>
      <c r="Z228">
        <v>0</v>
      </c>
      <c r="AA228">
        <v>0</v>
      </c>
      <c r="AB228">
        <v>0</v>
      </c>
      <c r="AC228">
        <v>0</v>
      </c>
      <c r="AD228">
        <v>1</v>
      </c>
      <c r="AE228">
        <v>0</v>
      </c>
      <c r="AF228">
        <v>0</v>
      </c>
      <c r="AG228">
        <v>0</v>
      </c>
      <c r="AH228" s="86">
        <f>AVERAGEIFS($C$2:C228, $B$2:B228, B228)</f>
        <v>9.3333333333333339</v>
      </c>
      <c r="AI228" s="86">
        <f>AVERAGEIFS($I$2:I228, $B$2:B228, B228)</f>
        <v>0.46666666666666662</v>
      </c>
      <c r="AJ228" s="86">
        <f>AVERAGEIFS($J$2:J228, $B$2:B228, B228)</f>
        <v>0.43</v>
      </c>
      <c r="AK228" s="86">
        <f>AVERAGEIFS($D$2:D228, $B$2:B228, B228)</f>
        <v>0.33333333333333331</v>
      </c>
    </row>
    <row r="229" spans="1:37" x14ac:dyDescent="0.25">
      <c r="A229" s="85">
        <v>46077</v>
      </c>
      <c r="B229" t="s">
        <v>14</v>
      </c>
      <c r="C229">
        <v>10</v>
      </c>
      <c r="D229">
        <v>0</v>
      </c>
      <c r="E229">
        <v>5</v>
      </c>
      <c r="F229">
        <v>2</v>
      </c>
      <c r="G229">
        <v>21</v>
      </c>
      <c r="H229">
        <v>10</v>
      </c>
      <c r="I229">
        <v>0.4</v>
      </c>
      <c r="J229">
        <v>0.48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1</v>
      </c>
      <c r="Z229">
        <v>0</v>
      </c>
      <c r="AA229">
        <v>0</v>
      </c>
      <c r="AB229">
        <v>0</v>
      </c>
      <c r="AC229">
        <v>0</v>
      </c>
      <c r="AD229">
        <v>1</v>
      </c>
      <c r="AE229">
        <v>0</v>
      </c>
      <c r="AF229">
        <v>0</v>
      </c>
      <c r="AG229">
        <v>0</v>
      </c>
      <c r="AH229" s="86">
        <f>AVERAGEIFS($C$2:C229, $B$2:B229, B229)</f>
        <v>17.5</v>
      </c>
      <c r="AI229" s="86">
        <f>AVERAGEIFS($I$2:I229, $B$2:B229, B229)</f>
        <v>0.437</v>
      </c>
      <c r="AJ229" s="86">
        <f>AVERAGEIFS($J$2:J229, $B$2:B229, B229)</f>
        <v>0.46699999999999997</v>
      </c>
      <c r="AK229" s="86">
        <f>AVERAGEIFS($D$2:D229, $B$2:B229, B229)</f>
        <v>0.5</v>
      </c>
    </row>
    <row r="230" spans="1:37" x14ac:dyDescent="0.25">
      <c r="A230" s="85">
        <v>46077</v>
      </c>
      <c r="B230" t="s">
        <v>35</v>
      </c>
      <c r="C230">
        <v>9</v>
      </c>
      <c r="D230">
        <v>0</v>
      </c>
      <c r="E230">
        <v>5</v>
      </c>
      <c r="F230">
        <v>2</v>
      </c>
      <c r="G230">
        <v>21</v>
      </c>
      <c r="H230">
        <v>10</v>
      </c>
      <c r="I230">
        <v>0.4</v>
      </c>
      <c r="J230">
        <v>0.48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1</v>
      </c>
      <c r="Z230">
        <v>0</v>
      </c>
      <c r="AA230">
        <v>0</v>
      </c>
      <c r="AB230">
        <v>0</v>
      </c>
      <c r="AC230">
        <v>0</v>
      </c>
      <c r="AD230">
        <v>1</v>
      </c>
      <c r="AE230">
        <v>0</v>
      </c>
      <c r="AF230">
        <v>0</v>
      </c>
      <c r="AG230">
        <v>0</v>
      </c>
      <c r="AH230" s="86">
        <f>AVERAGEIFS($C$2:C230, $B$2:B230, B230)</f>
        <v>11.142857142857142</v>
      </c>
      <c r="AI230" s="86">
        <f>AVERAGEIFS($I$2:I230, $B$2:B230, B230)</f>
        <v>0.43785714285714289</v>
      </c>
      <c r="AJ230" s="86">
        <f>AVERAGEIFS($J$2:J230, $B$2:B230, B230)</f>
        <v>0.50071428571428578</v>
      </c>
      <c r="AK230" s="86">
        <f>AVERAGEIFS($D$2:D230, $B$2:B230, B230)</f>
        <v>0.35714285714285715</v>
      </c>
    </row>
    <row r="231" spans="1:37" x14ac:dyDescent="0.25">
      <c r="A231" s="85">
        <v>46078</v>
      </c>
      <c r="B231" t="s">
        <v>50</v>
      </c>
      <c r="C231">
        <v>20</v>
      </c>
      <c r="D231">
        <v>0</v>
      </c>
      <c r="E231">
        <v>5</v>
      </c>
      <c r="F231">
        <v>2</v>
      </c>
      <c r="G231">
        <v>25</v>
      </c>
      <c r="H231">
        <v>12</v>
      </c>
      <c r="I231">
        <v>0.4</v>
      </c>
      <c r="J231">
        <v>0.48</v>
      </c>
      <c r="K231">
        <v>0</v>
      </c>
      <c r="L231">
        <v>0</v>
      </c>
      <c r="M231">
        <v>0</v>
      </c>
      <c r="N231">
        <v>1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1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 s="86">
        <f>AVERAGEIFS($C$2:C231, $B$2:B231, B231)</f>
        <v>20.277777777777779</v>
      </c>
      <c r="AI231" s="86">
        <f>AVERAGEIFS($I$2:I231, $B$2:B231, B231)</f>
        <v>0.5294444444444445</v>
      </c>
      <c r="AJ231" s="86">
        <f>AVERAGEIFS($J$2:J231, $B$2:B231, B231)</f>
        <v>0.53111111111111109</v>
      </c>
      <c r="AK231" s="86">
        <f>AVERAGEIFS($D$2:D231, $B$2:B231, B231)</f>
        <v>0.55555555555555558</v>
      </c>
    </row>
    <row r="232" spans="1:37" x14ac:dyDescent="0.25">
      <c r="A232" s="85">
        <v>46078</v>
      </c>
      <c r="B232" t="s">
        <v>54</v>
      </c>
      <c r="C232">
        <v>20</v>
      </c>
      <c r="D232">
        <v>0</v>
      </c>
      <c r="E232">
        <v>5</v>
      </c>
      <c r="F232">
        <v>2</v>
      </c>
      <c r="G232">
        <v>25</v>
      </c>
      <c r="H232">
        <v>12</v>
      </c>
      <c r="I232">
        <v>0.4</v>
      </c>
      <c r="J232">
        <v>0.48</v>
      </c>
      <c r="K232">
        <v>0</v>
      </c>
      <c r="L232">
        <v>0</v>
      </c>
      <c r="M232">
        <v>0</v>
      </c>
      <c r="N232">
        <v>1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1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 s="86">
        <f>AVERAGEIFS($C$2:C232, $B$2:B232, B232)</f>
        <v>24.294117647058822</v>
      </c>
      <c r="AI232" s="86">
        <f>AVERAGEIFS($I$2:I232, $B$2:B232, B232)</f>
        <v>0.51882352941176468</v>
      </c>
      <c r="AJ232" s="86">
        <f>AVERAGEIFS($J$2:J232, $B$2:B232, B232)</f>
        <v>0.48529411764705882</v>
      </c>
      <c r="AK232" s="86">
        <f>AVERAGEIFS($D$2:D232, $B$2:B232, B232)</f>
        <v>0.52941176470588236</v>
      </c>
    </row>
    <row r="233" spans="1:37" x14ac:dyDescent="0.25">
      <c r="A233" s="85">
        <v>46078</v>
      </c>
      <c r="B233" t="s">
        <v>3</v>
      </c>
      <c r="C233">
        <v>22</v>
      </c>
      <c r="D233">
        <v>0</v>
      </c>
      <c r="E233">
        <v>5</v>
      </c>
      <c r="F233">
        <v>2</v>
      </c>
      <c r="G233">
        <v>25</v>
      </c>
      <c r="H233">
        <v>12</v>
      </c>
      <c r="I233">
        <v>0.4</v>
      </c>
      <c r="J233">
        <v>0.48</v>
      </c>
      <c r="K233">
        <v>0</v>
      </c>
      <c r="L233">
        <v>0</v>
      </c>
      <c r="M233">
        <v>0</v>
      </c>
      <c r="N233">
        <v>1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1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 s="86">
        <f>AVERAGEIFS($C$2:C233, $B$2:B233, B233)</f>
        <v>19</v>
      </c>
      <c r="AI233" s="86">
        <f>AVERAGEIFS($I$2:I233, $B$2:B233, B233)</f>
        <v>0.42857142857142855</v>
      </c>
      <c r="AJ233" s="86">
        <f>AVERAGEIFS($J$2:J233, $B$2:B233, B233)</f>
        <v>0.4757142857142857</v>
      </c>
      <c r="AK233" s="86">
        <f>AVERAGEIFS($D$2:D233, $B$2:B233, B233)</f>
        <v>0.42857142857142855</v>
      </c>
    </row>
    <row r="234" spans="1:37" x14ac:dyDescent="0.25">
      <c r="A234" s="85">
        <v>46078</v>
      </c>
      <c r="B234" t="s">
        <v>107</v>
      </c>
      <c r="C234">
        <v>16</v>
      </c>
      <c r="D234">
        <v>0</v>
      </c>
      <c r="E234">
        <v>5</v>
      </c>
      <c r="F234">
        <v>2</v>
      </c>
      <c r="G234">
        <v>25</v>
      </c>
      <c r="H234">
        <v>12</v>
      </c>
      <c r="I234">
        <v>0.4</v>
      </c>
      <c r="J234">
        <v>0.48</v>
      </c>
      <c r="K234">
        <v>0</v>
      </c>
      <c r="L234">
        <v>0</v>
      </c>
      <c r="M234">
        <v>0</v>
      </c>
      <c r="N234">
        <v>1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 s="86">
        <f>AVERAGEIFS($C$2:C234, $B$2:B234, B234)</f>
        <v>13.75</v>
      </c>
      <c r="AI234" s="86">
        <f>AVERAGEIFS($I$2:I234, $B$2:B234, B234)</f>
        <v>0.53749999999999998</v>
      </c>
      <c r="AJ234" s="86">
        <f>AVERAGEIFS($J$2:J234, $B$2:B234, B234)</f>
        <v>0.53499999999999992</v>
      </c>
      <c r="AK234" s="86">
        <f>AVERAGEIFS($D$2:D234, $B$2:B234, B234)</f>
        <v>0.5</v>
      </c>
    </row>
    <row r="235" spans="1:37" x14ac:dyDescent="0.25">
      <c r="A235" s="85">
        <v>46078</v>
      </c>
      <c r="B235" t="s">
        <v>45</v>
      </c>
      <c r="C235">
        <v>7</v>
      </c>
      <c r="D235">
        <v>0</v>
      </c>
      <c r="E235">
        <v>5</v>
      </c>
      <c r="F235">
        <v>2</v>
      </c>
      <c r="G235">
        <v>25</v>
      </c>
      <c r="H235">
        <v>12</v>
      </c>
      <c r="I235">
        <v>0.4</v>
      </c>
      <c r="J235">
        <v>0.48</v>
      </c>
      <c r="K235">
        <v>0</v>
      </c>
      <c r="L235">
        <v>0</v>
      </c>
      <c r="M235">
        <v>0</v>
      </c>
      <c r="N235">
        <v>1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 s="86">
        <f>AVERAGEIFS($C$2:C235, $B$2:B235, B235)</f>
        <v>7</v>
      </c>
      <c r="AI235" s="86">
        <f>AVERAGEIFS($I$2:I235, $B$2:B235, B235)</f>
        <v>0.60666666666666658</v>
      </c>
      <c r="AJ235" s="86">
        <f>AVERAGEIFS($J$2:J235, $B$2:B235, B235)</f>
        <v>0.53666666666666663</v>
      </c>
      <c r="AK235" s="86">
        <f>AVERAGEIFS($D$2:D235, $B$2:B235, B235)</f>
        <v>0.66666666666666663</v>
      </c>
    </row>
    <row r="236" spans="1:37" x14ac:dyDescent="0.25">
      <c r="A236" s="85">
        <v>46078</v>
      </c>
      <c r="B236" t="s">
        <v>6</v>
      </c>
      <c r="C236">
        <v>20</v>
      </c>
      <c r="D236">
        <v>1</v>
      </c>
      <c r="E236">
        <v>5</v>
      </c>
      <c r="F236">
        <v>3</v>
      </c>
      <c r="G236">
        <v>25</v>
      </c>
      <c r="H236">
        <v>13</v>
      </c>
      <c r="I236">
        <v>0.6</v>
      </c>
      <c r="J236">
        <v>0.52</v>
      </c>
      <c r="K236">
        <v>0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1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1</v>
      </c>
      <c r="AH236" s="86">
        <f>AVERAGEIFS($C$2:C236, $B$2:B236, B236)</f>
        <v>22.058823529411764</v>
      </c>
      <c r="AI236" s="86">
        <f>AVERAGEIFS($I$2:I236, $B$2:B236, B236)</f>
        <v>0.65470588235294114</v>
      </c>
      <c r="AJ236" s="86">
        <f>AVERAGEIFS($J$2:J236, $B$2:B236, B236)</f>
        <v>0.56647058823529406</v>
      </c>
      <c r="AK236" s="86">
        <f>AVERAGEIFS($D$2:D236, $B$2:B236, B236)</f>
        <v>0.76470588235294112</v>
      </c>
    </row>
    <row r="237" spans="1:37" x14ac:dyDescent="0.25">
      <c r="A237" s="85">
        <v>46078</v>
      </c>
      <c r="B237" t="s">
        <v>46</v>
      </c>
      <c r="C237">
        <v>26</v>
      </c>
      <c r="D237">
        <v>1</v>
      </c>
      <c r="E237">
        <v>5</v>
      </c>
      <c r="F237">
        <v>3</v>
      </c>
      <c r="G237">
        <v>25</v>
      </c>
      <c r="H237">
        <v>13</v>
      </c>
      <c r="I237">
        <v>0.6</v>
      </c>
      <c r="J237">
        <v>0.52</v>
      </c>
      <c r="K237">
        <v>0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1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1</v>
      </c>
      <c r="AH237" s="86">
        <f>AVERAGEIFS($C$2:C237, $B$2:B237, B237)</f>
        <v>19.818181818181817</v>
      </c>
      <c r="AI237" s="86">
        <f>AVERAGEIFS($I$2:I237, $B$2:B237, B237)</f>
        <v>0.48181818181818181</v>
      </c>
      <c r="AJ237" s="86">
        <f>AVERAGEIFS($J$2:J237, $B$2:B237, B237)</f>
        <v>0.48818181818181811</v>
      </c>
      <c r="AK237" s="86">
        <f>AVERAGEIFS($D$2:D237, $B$2:B237, B237)</f>
        <v>0.36363636363636365</v>
      </c>
    </row>
    <row r="238" spans="1:37" x14ac:dyDescent="0.25">
      <c r="A238" s="85">
        <v>46078</v>
      </c>
      <c r="B238" t="s">
        <v>70</v>
      </c>
      <c r="C238">
        <v>8</v>
      </c>
      <c r="D238">
        <v>1</v>
      </c>
      <c r="E238">
        <v>5</v>
      </c>
      <c r="F238">
        <v>3</v>
      </c>
      <c r="G238">
        <v>25</v>
      </c>
      <c r="H238">
        <v>13</v>
      </c>
      <c r="I238">
        <v>0.6</v>
      </c>
      <c r="J238">
        <v>0.52</v>
      </c>
      <c r="K238">
        <v>0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1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1</v>
      </c>
      <c r="AH238" s="86">
        <f>AVERAGEIFS($C$2:C238, $B$2:B238, B238)</f>
        <v>11</v>
      </c>
      <c r="AI238" s="86">
        <f>AVERAGEIFS($I$2:I238, $B$2:B238, B238)</f>
        <v>0.73333333333333339</v>
      </c>
      <c r="AJ238" s="86">
        <f>AVERAGEIFS($J$2:J238, $B$2:B238, B238)</f>
        <v>0.56333333333333335</v>
      </c>
      <c r="AK238" s="86">
        <f>AVERAGEIFS($D$2:D238, $B$2:B238, B238)</f>
        <v>1</v>
      </c>
    </row>
    <row r="239" spans="1:37" x14ac:dyDescent="0.25">
      <c r="A239" s="85">
        <v>46078</v>
      </c>
      <c r="B239" t="s">
        <v>40</v>
      </c>
      <c r="C239">
        <v>24</v>
      </c>
      <c r="D239">
        <v>1</v>
      </c>
      <c r="E239">
        <v>5</v>
      </c>
      <c r="F239">
        <v>3</v>
      </c>
      <c r="G239">
        <v>25</v>
      </c>
      <c r="H239">
        <v>13</v>
      </c>
      <c r="I239">
        <v>0.6</v>
      </c>
      <c r="J239">
        <v>0.52</v>
      </c>
      <c r="K239">
        <v>0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1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1</v>
      </c>
      <c r="AH239" s="86">
        <f>AVERAGEIFS($C$2:C239, $B$2:B239, B239)</f>
        <v>17</v>
      </c>
      <c r="AI239" s="86">
        <f>AVERAGEIFS($I$2:I239, $B$2:B239, B239)</f>
        <v>0.39500000000000002</v>
      </c>
      <c r="AJ239" s="86">
        <f>AVERAGEIFS($J$2:J239, $B$2:B239, B239)</f>
        <v>0.4539999999999999</v>
      </c>
      <c r="AK239" s="86">
        <f>AVERAGEIFS($D$2:D239, $B$2:B239, B239)</f>
        <v>0.4</v>
      </c>
    </row>
    <row r="240" spans="1:37" x14ac:dyDescent="0.25">
      <c r="A240" s="85">
        <v>46078</v>
      </c>
      <c r="B240" t="s">
        <v>35</v>
      </c>
      <c r="C240">
        <v>16</v>
      </c>
      <c r="D240">
        <v>1</v>
      </c>
      <c r="E240">
        <v>5</v>
      </c>
      <c r="F240">
        <v>3</v>
      </c>
      <c r="G240">
        <v>25</v>
      </c>
      <c r="H240">
        <v>13</v>
      </c>
      <c r="I240">
        <v>0.6</v>
      </c>
      <c r="J240">
        <v>0.52</v>
      </c>
      <c r="K240">
        <v>0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1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1</v>
      </c>
      <c r="AH240" s="86">
        <f>AVERAGEIFS($C$2:C240, $B$2:B240, B240)</f>
        <v>11.466666666666667</v>
      </c>
      <c r="AI240" s="86">
        <f>AVERAGEIFS($I$2:I240, $B$2:B240, B240)</f>
        <v>0.44866666666666671</v>
      </c>
      <c r="AJ240" s="86">
        <f>AVERAGEIFS($J$2:J240, $B$2:B240, B240)</f>
        <v>0.50200000000000011</v>
      </c>
      <c r="AK240" s="86">
        <f>AVERAGEIFS($D$2:D240, $B$2:B240, B240)</f>
        <v>0.4</v>
      </c>
    </row>
    <row r="241" spans="1:37" x14ac:dyDescent="0.25">
      <c r="A241" s="85">
        <v>46079</v>
      </c>
      <c r="B241" t="s">
        <v>4</v>
      </c>
      <c r="C241">
        <v>29</v>
      </c>
      <c r="D241">
        <v>1</v>
      </c>
      <c r="E241">
        <v>4</v>
      </c>
      <c r="F241">
        <v>3</v>
      </c>
      <c r="G241">
        <v>19</v>
      </c>
      <c r="H241">
        <v>11</v>
      </c>
      <c r="I241">
        <v>0.75</v>
      </c>
      <c r="J241">
        <v>0.57999999999999996</v>
      </c>
      <c r="K241">
        <v>0</v>
      </c>
      <c r="L241">
        <v>0</v>
      </c>
      <c r="M241">
        <v>1</v>
      </c>
      <c r="N241">
        <v>1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1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 s="86">
        <f>AVERAGEIFS($C$2:C241, $B$2:B241, B241)</f>
        <v>26.333333333333332</v>
      </c>
      <c r="AI241" s="86">
        <f>AVERAGEIFS($I$2:I241, $B$2:B241, B241)</f>
        <v>0.3666666666666667</v>
      </c>
      <c r="AJ241" s="86">
        <f>AVERAGEIFS($J$2:J241, $B$2:B241, B241)</f>
        <v>0.42666666666666669</v>
      </c>
      <c r="AK241" s="86">
        <f>AVERAGEIFS($D$2:D241, $B$2:B241, B241)</f>
        <v>0.16666666666666666</v>
      </c>
    </row>
    <row r="242" spans="1:37" x14ac:dyDescent="0.25">
      <c r="A242" s="85">
        <v>46079</v>
      </c>
      <c r="B242" t="s">
        <v>2</v>
      </c>
      <c r="C242">
        <v>33</v>
      </c>
      <c r="D242">
        <v>1</v>
      </c>
      <c r="E242">
        <v>4</v>
      </c>
      <c r="F242">
        <v>3</v>
      </c>
      <c r="G242">
        <v>19</v>
      </c>
      <c r="H242">
        <v>11</v>
      </c>
      <c r="I242">
        <v>0.75</v>
      </c>
      <c r="J242">
        <v>0.57999999999999996</v>
      </c>
      <c r="K242">
        <v>0</v>
      </c>
      <c r="L242">
        <v>0</v>
      </c>
      <c r="M242">
        <v>1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1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 s="86">
        <f>AVERAGEIFS($C$2:C242, $B$2:B242, B242)</f>
        <v>24.76923076923077</v>
      </c>
      <c r="AI242" s="86">
        <f>AVERAGEIFS($I$2:I242, $B$2:B242, B242)</f>
        <v>0.49846153846153851</v>
      </c>
      <c r="AJ242" s="86">
        <f>AVERAGEIFS($J$2:J242, $B$2:B242, B242)</f>
        <v>0.52923076923076917</v>
      </c>
      <c r="AK242" s="86">
        <f>AVERAGEIFS($D$2:D242, $B$2:B242, B242)</f>
        <v>0.46153846153846156</v>
      </c>
    </row>
    <row r="243" spans="1:37" x14ac:dyDescent="0.25">
      <c r="A243" s="85">
        <v>46079</v>
      </c>
      <c r="B243" t="s">
        <v>40</v>
      </c>
      <c r="C243">
        <v>29</v>
      </c>
      <c r="D243">
        <v>1</v>
      </c>
      <c r="E243">
        <v>4</v>
      </c>
      <c r="F243">
        <v>3</v>
      </c>
      <c r="G243">
        <v>19</v>
      </c>
      <c r="H243">
        <v>11</v>
      </c>
      <c r="I243">
        <v>0.75</v>
      </c>
      <c r="J243">
        <v>0.57999999999999996</v>
      </c>
      <c r="K243">
        <v>0</v>
      </c>
      <c r="L243">
        <v>0</v>
      </c>
      <c r="M243">
        <v>1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1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 s="86">
        <f>AVERAGEIFS($C$2:C243, $B$2:B243, B243)</f>
        <v>18.09090909090909</v>
      </c>
      <c r="AI243" s="86">
        <f>AVERAGEIFS($I$2:I243, $B$2:B243, B243)</f>
        <v>0.4272727272727273</v>
      </c>
      <c r="AJ243" s="86">
        <f>AVERAGEIFS($J$2:J243, $B$2:B243, B243)</f>
        <v>0.4654545454545454</v>
      </c>
      <c r="AK243" s="86">
        <f>AVERAGEIFS($D$2:D243, $B$2:B243, B243)</f>
        <v>0.45454545454545453</v>
      </c>
    </row>
    <row r="244" spans="1:37" x14ac:dyDescent="0.25">
      <c r="A244" s="85">
        <v>46079</v>
      </c>
      <c r="B244" t="s">
        <v>44</v>
      </c>
      <c r="C244">
        <v>31</v>
      </c>
      <c r="D244">
        <v>1</v>
      </c>
      <c r="E244">
        <v>4</v>
      </c>
      <c r="F244">
        <v>3</v>
      </c>
      <c r="G244">
        <v>19</v>
      </c>
      <c r="H244">
        <v>11</v>
      </c>
      <c r="I244">
        <v>0.75</v>
      </c>
      <c r="J244">
        <v>0.57999999999999996</v>
      </c>
      <c r="K244">
        <v>0</v>
      </c>
      <c r="L244">
        <v>0</v>
      </c>
      <c r="M244">
        <v>1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1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 s="86">
        <f>AVERAGEIFS($C$2:C244, $B$2:B244, B244)</f>
        <v>19.25</v>
      </c>
      <c r="AI244" s="86">
        <f>AVERAGEIFS($I$2:I244, $B$2:B244, B244)</f>
        <v>0.4375</v>
      </c>
      <c r="AJ244" s="86">
        <f>AVERAGEIFS($J$2:J244, $B$2:B244, B244)</f>
        <v>0.51</v>
      </c>
      <c r="AK244" s="86">
        <f>AVERAGEIFS($D$2:D244, $B$2:B244, B244)</f>
        <v>0.5</v>
      </c>
    </row>
    <row r="245" spans="1:37" x14ac:dyDescent="0.25">
      <c r="A245" s="85">
        <v>46079</v>
      </c>
      <c r="B245" t="s">
        <v>107</v>
      </c>
      <c r="C245">
        <v>24</v>
      </c>
      <c r="D245">
        <v>1</v>
      </c>
      <c r="E245">
        <v>4</v>
      </c>
      <c r="F245">
        <v>3</v>
      </c>
      <c r="G245">
        <v>19</v>
      </c>
      <c r="H245">
        <v>11</v>
      </c>
      <c r="I245">
        <v>0.75</v>
      </c>
      <c r="J245">
        <v>0.57999999999999996</v>
      </c>
      <c r="K245">
        <v>0</v>
      </c>
      <c r="L245">
        <v>0</v>
      </c>
      <c r="M245">
        <v>1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1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 s="86">
        <f>AVERAGEIFS($C$2:C245, $B$2:B245, B245)</f>
        <v>15.8</v>
      </c>
      <c r="AI245" s="86">
        <f>AVERAGEIFS($I$2:I245, $B$2:B245, B245)</f>
        <v>0.57999999999999996</v>
      </c>
      <c r="AJ245" s="86">
        <f>AVERAGEIFS($J$2:J245, $B$2:B245, B245)</f>
        <v>0.54399999999999993</v>
      </c>
      <c r="AK245" s="86">
        <f>AVERAGEIFS($D$2:D245, $B$2:B245, B245)</f>
        <v>0.6</v>
      </c>
    </row>
    <row r="246" spans="1:37" x14ac:dyDescent="0.25">
      <c r="A246" s="85">
        <v>46079</v>
      </c>
      <c r="B246" t="s">
        <v>27</v>
      </c>
      <c r="C246">
        <v>17</v>
      </c>
      <c r="D246">
        <v>1</v>
      </c>
      <c r="E246">
        <v>4</v>
      </c>
      <c r="F246">
        <v>3</v>
      </c>
      <c r="G246">
        <v>19</v>
      </c>
      <c r="H246">
        <v>11</v>
      </c>
      <c r="I246">
        <v>0.75</v>
      </c>
      <c r="J246">
        <v>0.57999999999999996</v>
      </c>
      <c r="K246">
        <v>0</v>
      </c>
      <c r="L246">
        <v>0</v>
      </c>
      <c r="M246">
        <v>1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1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 s="86">
        <f>AVERAGEIFS($C$2:C246, $B$2:B246, B246)</f>
        <v>15.25</v>
      </c>
      <c r="AI246" s="86">
        <f>AVERAGEIFS($I$2:I246, $B$2:B246, B246)</f>
        <v>0.53749999999999998</v>
      </c>
      <c r="AJ246" s="86">
        <f>AVERAGEIFS($J$2:J246, $B$2:B246, B246)</f>
        <v>0.47499999999999998</v>
      </c>
      <c r="AK246" s="86">
        <f>AVERAGEIFS($D$2:D246, $B$2:B246, B246)</f>
        <v>0.5</v>
      </c>
    </row>
    <row r="247" spans="1:37" x14ac:dyDescent="0.25">
      <c r="A247" s="85">
        <v>46079</v>
      </c>
      <c r="B247" t="s">
        <v>45</v>
      </c>
      <c r="C247">
        <v>13</v>
      </c>
      <c r="D247">
        <v>1</v>
      </c>
      <c r="E247">
        <v>4</v>
      </c>
      <c r="F247">
        <v>3</v>
      </c>
      <c r="G247">
        <v>19</v>
      </c>
      <c r="H247">
        <v>11</v>
      </c>
      <c r="I247">
        <v>0.75</v>
      </c>
      <c r="J247">
        <v>0.57999999999999996</v>
      </c>
      <c r="K247">
        <v>0</v>
      </c>
      <c r="L247">
        <v>0</v>
      </c>
      <c r="M247">
        <v>1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1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 s="86">
        <f>AVERAGEIFS($C$2:C247, $B$2:B247, B247)</f>
        <v>8.5</v>
      </c>
      <c r="AI247" s="86">
        <f>AVERAGEIFS($I$2:I247, $B$2:B247, B247)</f>
        <v>0.64249999999999996</v>
      </c>
      <c r="AJ247" s="86">
        <f>AVERAGEIFS($J$2:J247, $B$2:B247, B247)</f>
        <v>0.54749999999999999</v>
      </c>
      <c r="AK247" s="86">
        <f>AVERAGEIFS($D$2:D247, $B$2:B247, B247)</f>
        <v>0.75</v>
      </c>
    </row>
    <row r="248" spans="1:37" x14ac:dyDescent="0.25">
      <c r="A248" s="85">
        <v>46079</v>
      </c>
      <c r="B248" t="s">
        <v>113</v>
      </c>
      <c r="C248">
        <v>18</v>
      </c>
      <c r="D248">
        <v>1</v>
      </c>
      <c r="E248">
        <v>4</v>
      </c>
      <c r="F248">
        <v>3</v>
      </c>
      <c r="G248">
        <v>19</v>
      </c>
      <c r="H248">
        <v>11</v>
      </c>
      <c r="I248">
        <v>0.75</v>
      </c>
      <c r="J248">
        <v>0.57999999999999996</v>
      </c>
      <c r="K248">
        <v>0</v>
      </c>
      <c r="L248">
        <v>0</v>
      </c>
      <c r="M248">
        <v>1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1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 s="86">
        <f>AVERAGEIFS($C$2:C248, $B$2:B248, B248)</f>
        <v>21.333333333333332</v>
      </c>
      <c r="AI248" s="86">
        <f>AVERAGEIFS($I$2:I248, $B$2:B248, B248)</f>
        <v>0.58333333333333337</v>
      </c>
      <c r="AJ248" s="86">
        <f>AVERAGEIFS($J$2:J248, $B$2:B248, B248)</f>
        <v>0.5099999999999999</v>
      </c>
      <c r="AK248" s="86">
        <f>AVERAGEIFS($D$2:D248, $B$2:B248, B248)</f>
        <v>0.66666666666666663</v>
      </c>
    </row>
    <row r="249" spans="1:37" x14ac:dyDescent="0.25">
      <c r="A249" s="85">
        <v>46079</v>
      </c>
      <c r="B249" t="s">
        <v>1</v>
      </c>
      <c r="C249">
        <v>44</v>
      </c>
      <c r="D249">
        <v>0</v>
      </c>
      <c r="E249">
        <v>4</v>
      </c>
      <c r="F249">
        <v>1</v>
      </c>
      <c r="G249">
        <v>19</v>
      </c>
      <c r="H249">
        <v>8</v>
      </c>
      <c r="I249">
        <v>0.25</v>
      </c>
      <c r="J249">
        <v>0.42</v>
      </c>
      <c r="K249">
        <v>0</v>
      </c>
      <c r="L249">
        <v>0</v>
      </c>
      <c r="M249">
        <v>0</v>
      </c>
      <c r="N249">
        <v>0</v>
      </c>
      <c r="O249">
        <v>1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0</v>
      </c>
      <c r="AH249" s="86">
        <f>AVERAGEIFS($C$2:C249, $B$2:B249, B249)</f>
        <v>29.875</v>
      </c>
      <c r="AI249" s="86">
        <f>AVERAGEIFS($I$2:I249, $B$2:B249, B249)</f>
        <v>0.4</v>
      </c>
      <c r="AJ249" s="86">
        <f>AVERAGEIFS($J$2:J249, $B$2:B249, B249)</f>
        <v>0.47624999999999995</v>
      </c>
      <c r="AK249" s="86">
        <f>AVERAGEIFS($D$2:D249, $B$2:B249, B249)</f>
        <v>0.5</v>
      </c>
    </row>
    <row r="250" spans="1:37" x14ac:dyDescent="0.25">
      <c r="A250" s="85">
        <v>46079</v>
      </c>
      <c r="B250" t="s">
        <v>54</v>
      </c>
      <c r="C250">
        <v>36</v>
      </c>
      <c r="D250">
        <v>0</v>
      </c>
      <c r="E250">
        <v>4</v>
      </c>
      <c r="F250">
        <v>1</v>
      </c>
      <c r="G250">
        <v>19</v>
      </c>
      <c r="H250">
        <v>8</v>
      </c>
      <c r="I250">
        <v>0.25</v>
      </c>
      <c r="J250">
        <v>0.42</v>
      </c>
      <c r="K250">
        <v>0</v>
      </c>
      <c r="L250">
        <v>0</v>
      </c>
      <c r="M250">
        <v>0</v>
      </c>
      <c r="N250">
        <v>0</v>
      </c>
      <c r="O250">
        <v>1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 s="86">
        <f>AVERAGEIFS($C$2:C250, $B$2:B250, B250)</f>
        <v>24.944444444444443</v>
      </c>
      <c r="AI250" s="86">
        <f>AVERAGEIFS($I$2:I250, $B$2:B250, B250)</f>
        <v>0.50388888888888894</v>
      </c>
      <c r="AJ250" s="86">
        <f>AVERAGEIFS($J$2:J250, $B$2:B250, B250)</f>
        <v>0.48166666666666669</v>
      </c>
      <c r="AK250" s="86">
        <f>AVERAGEIFS($D$2:D250, $B$2:B250, B250)</f>
        <v>0.5</v>
      </c>
    </row>
    <row r="251" spans="1:37" x14ac:dyDescent="0.25">
      <c r="A251" s="85">
        <v>46079</v>
      </c>
      <c r="B251" t="s">
        <v>50</v>
      </c>
      <c r="C251">
        <v>28</v>
      </c>
      <c r="D251">
        <v>0</v>
      </c>
      <c r="E251">
        <v>4</v>
      </c>
      <c r="F251">
        <v>1</v>
      </c>
      <c r="G251">
        <v>19</v>
      </c>
      <c r="H251">
        <v>8</v>
      </c>
      <c r="I251">
        <v>0.25</v>
      </c>
      <c r="J251">
        <v>0.42</v>
      </c>
      <c r="K251">
        <v>0</v>
      </c>
      <c r="L251">
        <v>0</v>
      </c>
      <c r="M251">
        <v>0</v>
      </c>
      <c r="N251">
        <v>0</v>
      </c>
      <c r="O251">
        <v>1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 s="86">
        <f>AVERAGEIFS($C$2:C251, $B$2:B251, B251)</f>
        <v>20.684210526315791</v>
      </c>
      <c r="AI251" s="86">
        <f>AVERAGEIFS($I$2:I251, $B$2:B251, B251)</f>
        <v>0.51473684210526327</v>
      </c>
      <c r="AJ251" s="86">
        <f>AVERAGEIFS($J$2:J251, $B$2:B251, B251)</f>
        <v>0.52526315789473677</v>
      </c>
      <c r="AK251" s="86">
        <f>AVERAGEIFS($D$2:D251, $B$2:B251, B251)</f>
        <v>0.52631578947368418</v>
      </c>
    </row>
    <row r="252" spans="1:37" x14ac:dyDescent="0.25">
      <c r="A252" s="85">
        <v>46079</v>
      </c>
      <c r="B252" t="s">
        <v>28</v>
      </c>
      <c r="C252">
        <v>21</v>
      </c>
      <c r="D252">
        <v>0</v>
      </c>
      <c r="E252">
        <v>4</v>
      </c>
      <c r="F252">
        <v>1</v>
      </c>
      <c r="G252">
        <v>19</v>
      </c>
      <c r="H252">
        <v>8</v>
      </c>
      <c r="I252">
        <v>0.25</v>
      </c>
      <c r="J252">
        <v>0.42</v>
      </c>
      <c r="K252">
        <v>0</v>
      </c>
      <c r="L252">
        <v>0</v>
      </c>
      <c r="M252">
        <v>0</v>
      </c>
      <c r="N252">
        <v>0</v>
      </c>
      <c r="O252">
        <v>1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 s="86">
        <f>AVERAGEIFS($C$2:C252, $B$2:B252, B252)</f>
        <v>16.600000000000001</v>
      </c>
      <c r="AI252" s="86">
        <f>AVERAGEIFS($I$2:I252, $B$2:B252, B252)</f>
        <v>0.46799999999999997</v>
      </c>
      <c r="AJ252" s="86">
        <f>AVERAGEIFS($J$2:J252, $B$2:B252, B252)</f>
        <v>0.50499999999999989</v>
      </c>
      <c r="AK252" s="86">
        <f>AVERAGEIFS($D$2:D252, $B$2:B252, B252)</f>
        <v>0.4</v>
      </c>
    </row>
    <row r="253" spans="1:37" x14ac:dyDescent="0.25">
      <c r="A253" s="85">
        <v>46079</v>
      </c>
      <c r="B253" t="s">
        <v>114</v>
      </c>
      <c r="C253">
        <v>6</v>
      </c>
      <c r="D253">
        <v>0</v>
      </c>
      <c r="E253">
        <v>4</v>
      </c>
      <c r="F253">
        <v>1</v>
      </c>
      <c r="G253">
        <v>19</v>
      </c>
      <c r="H253">
        <v>8</v>
      </c>
      <c r="I253">
        <v>0.25</v>
      </c>
      <c r="J253">
        <v>0.42</v>
      </c>
      <c r="K253">
        <v>0</v>
      </c>
      <c r="L253">
        <v>0</v>
      </c>
      <c r="M253">
        <v>0</v>
      </c>
      <c r="N253">
        <v>0</v>
      </c>
      <c r="O253">
        <v>1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 s="86">
        <f>AVERAGEIFS($C$2:C253, $B$2:B253, B253)</f>
        <v>6</v>
      </c>
      <c r="AI253" s="86">
        <f>AVERAGEIFS($I$2:I253, $B$2:B253, B253)</f>
        <v>0.25</v>
      </c>
      <c r="AJ253" s="86">
        <f>AVERAGEIFS($J$2:J253, $B$2:B253, B253)</f>
        <v>0.42</v>
      </c>
      <c r="AK253" s="86">
        <f>AVERAGEIFS($D$2:D253, $B$2:B253, B253)</f>
        <v>0</v>
      </c>
    </row>
    <row r="254" spans="1:37" x14ac:dyDescent="0.25">
      <c r="A254" s="85">
        <v>46079</v>
      </c>
      <c r="B254" t="s">
        <v>35</v>
      </c>
      <c r="C254">
        <v>12</v>
      </c>
      <c r="D254">
        <v>0</v>
      </c>
      <c r="E254">
        <v>4</v>
      </c>
      <c r="F254">
        <v>1</v>
      </c>
      <c r="G254">
        <v>19</v>
      </c>
      <c r="H254">
        <v>8</v>
      </c>
      <c r="I254">
        <v>0.25</v>
      </c>
      <c r="J254">
        <v>0.42</v>
      </c>
      <c r="K254">
        <v>0</v>
      </c>
      <c r="L254">
        <v>0</v>
      </c>
      <c r="M254">
        <v>0</v>
      </c>
      <c r="N254">
        <v>0</v>
      </c>
      <c r="O254">
        <v>1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 s="86">
        <f>AVERAGEIFS($C$2:C254, $B$2:B254, B254)</f>
        <v>11.5</v>
      </c>
      <c r="AI254" s="86">
        <f>AVERAGEIFS($I$2:I254, $B$2:B254, B254)</f>
        <v>0.43625000000000003</v>
      </c>
      <c r="AJ254" s="86">
        <f>AVERAGEIFS($J$2:J254, $B$2:B254, B254)</f>
        <v>0.49687500000000007</v>
      </c>
      <c r="AK254" s="86">
        <f>AVERAGEIFS($D$2:D254, $B$2:B254, B254)</f>
        <v>0.375</v>
      </c>
    </row>
    <row r="255" spans="1:37" x14ac:dyDescent="0.25">
      <c r="A255" s="85">
        <v>46079</v>
      </c>
      <c r="B255" t="s">
        <v>115</v>
      </c>
      <c r="C255">
        <v>14</v>
      </c>
      <c r="D255">
        <v>0</v>
      </c>
      <c r="E255">
        <v>4</v>
      </c>
      <c r="F255">
        <v>1</v>
      </c>
      <c r="G255">
        <v>19</v>
      </c>
      <c r="H255">
        <v>8</v>
      </c>
      <c r="I255">
        <v>0.25</v>
      </c>
      <c r="J255">
        <v>0.42</v>
      </c>
      <c r="K255">
        <v>0</v>
      </c>
      <c r="L255">
        <v>0</v>
      </c>
      <c r="M255">
        <v>0</v>
      </c>
      <c r="N255">
        <v>0</v>
      </c>
      <c r="O255">
        <v>1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 s="86">
        <f>AVERAGEIFS($C$2:C255, $B$2:B255, B255)</f>
        <v>14</v>
      </c>
      <c r="AI255" s="86">
        <f>AVERAGEIFS($I$2:I255, $B$2:B255, B255)</f>
        <v>0.25</v>
      </c>
      <c r="AJ255" s="86">
        <f>AVERAGEIFS($J$2:J255, $B$2:B255, B255)</f>
        <v>0.42</v>
      </c>
      <c r="AK255" s="86">
        <f>AVERAGEIFS($D$2:D255, $B$2:B255, B255)</f>
        <v>0</v>
      </c>
    </row>
    <row r="256" spans="1:37" x14ac:dyDescent="0.25">
      <c r="A256" s="85">
        <v>46079</v>
      </c>
      <c r="B256" t="s">
        <v>46</v>
      </c>
      <c r="C256">
        <v>24</v>
      </c>
      <c r="D256">
        <v>0</v>
      </c>
      <c r="E256">
        <v>4</v>
      </c>
      <c r="F256">
        <v>1</v>
      </c>
      <c r="G256">
        <v>19</v>
      </c>
      <c r="H256">
        <v>8</v>
      </c>
      <c r="I256">
        <v>0.25</v>
      </c>
      <c r="J256">
        <v>0.42</v>
      </c>
      <c r="K256">
        <v>0</v>
      </c>
      <c r="L256">
        <v>0</v>
      </c>
      <c r="M256">
        <v>0</v>
      </c>
      <c r="N256">
        <v>0</v>
      </c>
      <c r="O256">
        <v>1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>
        <v>0</v>
      </c>
      <c r="AH256" s="86">
        <f>AVERAGEIFS($C$2:C256, $B$2:B256, B256)</f>
        <v>20.166666666666668</v>
      </c>
      <c r="AI256" s="86">
        <f>AVERAGEIFS($I$2:I256, $B$2:B256, B256)</f>
        <v>0.46249999999999997</v>
      </c>
      <c r="AJ256" s="86">
        <f>AVERAGEIFS($J$2:J256, $B$2:B256, B256)</f>
        <v>0.48249999999999993</v>
      </c>
      <c r="AK256" s="86">
        <f>AVERAGEIFS($D$2:D256, $B$2:B256, B256)</f>
        <v>0.33333333333333331</v>
      </c>
    </row>
    <row r="257" spans="1:37" x14ac:dyDescent="0.25">
      <c r="A257" s="85">
        <v>46080</v>
      </c>
      <c r="B257" t="s">
        <v>4</v>
      </c>
      <c r="C257">
        <v>39</v>
      </c>
      <c r="D257">
        <v>1</v>
      </c>
      <c r="E257">
        <v>5</v>
      </c>
      <c r="F257">
        <v>3</v>
      </c>
      <c r="G257">
        <v>19</v>
      </c>
      <c r="H257">
        <v>11</v>
      </c>
      <c r="I257">
        <v>0.6</v>
      </c>
      <c r="J257">
        <v>0.57999999999999996</v>
      </c>
      <c r="K257">
        <v>0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1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1</v>
      </c>
      <c r="AE257">
        <v>0</v>
      </c>
      <c r="AF257">
        <v>0</v>
      </c>
      <c r="AG257">
        <v>0</v>
      </c>
      <c r="AH257" s="86">
        <f>AVERAGEIFS($C$2:C257, $B$2:B257, B257)</f>
        <v>28.142857142857142</v>
      </c>
      <c r="AI257" s="86">
        <f>AVERAGEIFS($I$2:I257, $B$2:B257, B257)</f>
        <v>0.4</v>
      </c>
      <c r="AJ257" s="86">
        <f>AVERAGEIFS($J$2:J257, $B$2:B257, B257)</f>
        <v>0.44857142857142857</v>
      </c>
      <c r="AK257" s="86">
        <f>AVERAGEIFS($D$2:D257, $B$2:B257, B257)</f>
        <v>0.2857142857142857</v>
      </c>
    </row>
    <row r="258" spans="1:37" x14ac:dyDescent="0.25">
      <c r="A258" s="85">
        <v>46080</v>
      </c>
      <c r="B258" t="s">
        <v>54</v>
      </c>
      <c r="C258">
        <v>34</v>
      </c>
      <c r="D258">
        <v>1</v>
      </c>
      <c r="E258">
        <v>5</v>
      </c>
      <c r="F258">
        <v>3</v>
      </c>
      <c r="G258">
        <v>19</v>
      </c>
      <c r="H258">
        <v>11</v>
      </c>
      <c r="I258">
        <v>0.6</v>
      </c>
      <c r="J258">
        <v>0.57999999999999996</v>
      </c>
      <c r="K258">
        <v>0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1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0</v>
      </c>
      <c r="AD258">
        <v>1</v>
      </c>
      <c r="AE258">
        <v>0</v>
      </c>
      <c r="AF258">
        <v>0</v>
      </c>
      <c r="AG258">
        <v>0</v>
      </c>
      <c r="AH258" s="86">
        <f>AVERAGEIFS($C$2:C258, $B$2:B258, B258)</f>
        <v>25.421052631578949</v>
      </c>
      <c r="AI258" s="86">
        <f>AVERAGEIFS($I$2:I258, $B$2:B258, B258)</f>
        <v>0.50894736842105259</v>
      </c>
      <c r="AJ258" s="86">
        <f>AVERAGEIFS($J$2:J258, $B$2:B258, B258)</f>
        <v>0.48684210526315791</v>
      </c>
      <c r="AK258" s="86">
        <f>AVERAGEIFS($D$2:D258, $B$2:B258, B258)</f>
        <v>0.52631578947368418</v>
      </c>
    </row>
    <row r="259" spans="1:37" x14ac:dyDescent="0.25">
      <c r="A259" s="85">
        <v>46080</v>
      </c>
      <c r="B259" t="s">
        <v>19</v>
      </c>
      <c r="C259">
        <v>6</v>
      </c>
      <c r="D259">
        <v>1</v>
      </c>
      <c r="E259">
        <v>5</v>
      </c>
      <c r="F259">
        <v>3</v>
      </c>
      <c r="G259">
        <v>19</v>
      </c>
      <c r="H259">
        <v>11</v>
      </c>
      <c r="I259">
        <v>0.6</v>
      </c>
      <c r="J259">
        <v>0.57999999999999996</v>
      </c>
      <c r="K259">
        <v>0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1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1</v>
      </c>
      <c r="AE259">
        <v>0</v>
      </c>
      <c r="AF259">
        <v>0</v>
      </c>
      <c r="AG259">
        <v>0</v>
      </c>
      <c r="AH259" s="86">
        <f>AVERAGEIFS($C$2:C259, $B$2:B259, B259)</f>
        <v>7.9230769230769234</v>
      </c>
      <c r="AI259" s="86">
        <f>AVERAGEIFS($I$2:I259, $B$2:B259, B259)</f>
        <v>0.60615384615384615</v>
      </c>
      <c r="AJ259" s="86">
        <f>AVERAGEIFS($J$2:J259, $B$2:B259, B259)</f>
        <v>0.57846153846153836</v>
      </c>
      <c r="AK259" s="86">
        <f>AVERAGEIFS($D$2:D259, $B$2:B259, B259)</f>
        <v>0.69230769230769229</v>
      </c>
    </row>
    <row r="260" spans="1:37" x14ac:dyDescent="0.25">
      <c r="A260" s="85">
        <v>46080</v>
      </c>
      <c r="B260" t="s">
        <v>113</v>
      </c>
      <c r="C260">
        <v>23</v>
      </c>
      <c r="D260">
        <v>1</v>
      </c>
      <c r="E260">
        <v>5</v>
      </c>
      <c r="F260">
        <v>3</v>
      </c>
      <c r="G260">
        <v>19</v>
      </c>
      <c r="H260">
        <v>11</v>
      </c>
      <c r="I260">
        <v>0.6</v>
      </c>
      <c r="J260">
        <v>0.57999999999999996</v>
      </c>
      <c r="K260">
        <v>0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1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1</v>
      </c>
      <c r="AE260">
        <v>0</v>
      </c>
      <c r="AF260">
        <v>0</v>
      </c>
      <c r="AG260">
        <v>0</v>
      </c>
      <c r="AH260" s="86">
        <f>AVERAGEIFS($C$2:C260, $B$2:B260, B260)</f>
        <v>21.75</v>
      </c>
      <c r="AI260" s="86">
        <f>AVERAGEIFS($I$2:I260, $B$2:B260, B260)</f>
        <v>0.58750000000000002</v>
      </c>
      <c r="AJ260" s="86">
        <f>AVERAGEIFS($J$2:J260, $B$2:B260, B260)</f>
        <v>0.52749999999999997</v>
      </c>
      <c r="AK260" s="86">
        <f>AVERAGEIFS($D$2:D260, $B$2:B260, B260)</f>
        <v>0.75</v>
      </c>
    </row>
    <row r="261" spans="1:37" x14ac:dyDescent="0.25">
      <c r="A261" s="85">
        <v>46080</v>
      </c>
      <c r="B261" t="s">
        <v>115</v>
      </c>
      <c r="C261">
        <v>9</v>
      </c>
      <c r="D261">
        <v>1</v>
      </c>
      <c r="E261">
        <v>5</v>
      </c>
      <c r="F261">
        <v>3</v>
      </c>
      <c r="G261">
        <v>19</v>
      </c>
      <c r="H261">
        <v>11</v>
      </c>
      <c r="I261">
        <v>0.6</v>
      </c>
      <c r="J261">
        <v>0.57999999999999996</v>
      </c>
      <c r="K261">
        <v>0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1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1</v>
      </c>
      <c r="AE261">
        <v>0</v>
      </c>
      <c r="AF261">
        <v>0</v>
      </c>
      <c r="AG261">
        <v>0</v>
      </c>
      <c r="AH261" s="86">
        <f>AVERAGEIFS($C$2:C261, $B$2:B261, B261)</f>
        <v>11.5</v>
      </c>
      <c r="AI261" s="86">
        <f>AVERAGEIFS($I$2:I261, $B$2:B261, B261)</f>
        <v>0.42499999999999999</v>
      </c>
      <c r="AJ261" s="86">
        <f>AVERAGEIFS($J$2:J261, $B$2:B261, B261)</f>
        <v>0.5</v>
      </c>
      <c r="AK261" s="86">
        <f>AVERAGEIFS($D$2:D261, $B$2:B261, B261)</f>
        <v>0.5</v>
      </c>
    </row>
    <row r="262" spans="1:37" x14ac:dyDescent="0.25">
      <c r="A262" s="85">
        <v>46080</v>
      </c>
      <c r="B262" t="s">
        <v>17</v>
      </c>
      <c r="C262">
        <v>28</v>
      </c>
      <c r="D262">
        <v>1</v>
      </c>
      <c r="E262">
        <v>5</v>
      </c>
      <c r="F262">
        <v>3</v>
      </c>
      <c r="G262">
        <v>19</v>
      </c>
      <c r="H262">
        <v>11</v>
      </c>
      <c r="I262">
        <v>0.6</v>
      </c>
      <c r="J262">
        <v>0.57999999999999996</v>
      </c>
      <c r="K262">
        <v>0</v>
      </c>
      <c r="L262">
        <v>0</v>
      </c>
      <c r="M262">
        <v>1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1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1</v>
      </c>
      <c r="AE262">
        <v>0</v>
      </c>
      <c r="AF262">
        <v>0</v>
      </c>
      <c r="AG262">
        <v>0</v>
      </c>
      <c r="AH262" s="86">
        <f>AVERAGEIFS($C$2:C262, $B$2:B262, B262)</f>
        <v>21.1875</v>
      </c>
      <c r="AI262" s="86">
        <f>AVERAGEIFS($I$2:I262, $B$2:B262, B262)</f>
        <v>0.49187500000000001</v>
      </c>
      <c r="AJ262" s="86">
        <f>AVERAGEIFS($J$2:J262, $B$2:B262, B262)</f>
        <v>0.48750000000000004</v>
      </c>
      <c r="AK262" s="86">
        <f>AVERAGEIFS($D$2:D262, $B$2:B262, B262)</f>
        <v>0.4375</v>
      </c>
    </row>
    <row r="263" spans="1:37" x14ac:dyDescent="0.25">
      <c r="A263" s="85">
        <v>46080</v>
      </c>
      <c r="B263" t="s">
        <v>35</v>
      </c>
      <c r="C263">
        <v>20</v>
      </c>
      <c r="D263">
        <v>0</v>
      </c>
      <c r="E263">
        <v>5</v>
      </c>
      <c r="F263">
        <v>2</v>
      </c>
      <c r="G263">
        <v>19</v>
      </c>
      <c r="H263">
        <v>8</v>
      </c>
      <c r="I263">
        <v>0.4</v>
      </c>
      <c r="J263">
        <v>0.42</v>
      </c>
      <c r="K263">
        <v>0</v>
      </c>
      <c r="L263">
        <v>1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1</v>
      </c>
      <c r="AF263">
        <v>0</v>
      </c>
      <c r="AG263">
        <v>0</v>
      </c>
      <c r="AH263" s="86">
        <f>AVERAGEIFS($C$2:C263, $B$2:B263, B263)</f>
        <v>12</v>
      </c>
      <c r="AI263" s="86">
        <f>AVERAGEIFS($I$2:I263, $B$2:B263, B263)</f>
        <v>0.43411764705882355</v>
      </c>
      <c r="AJ263" s="86">
        <f>AVERAGEIFS($J$2:J263, $B$2:B263, B263)</f>
        <v>0.49235294117647066</v>
      </c>
      <c r="AK263" s="86">
        <f>AVERAGEIFS($D$2:D263, $B$2:B263, B263)</f>
        <v>0.35294117647058826</v>
      </c>
    </row>
    <row r="264" spans="1:37" x14ac:dyDescent="0.25">
      <c r="A264" s="85">
        <v>46080</v>
      </c>
      <c r="B264" t="s">
        <v>6</v>
      </c>
      <c r="C264">
        <v>37</v>
      </c>
      <c r="D264">
        <v>0</v>
      </c>
      <c r="E264">
        <v>5</v>
      </c>
      <c r="F264">
        <v>2</v>
      </c>
      <c r="G264">
        <v>19</v>
      </c>
      <c r="H264">
        <v>8</v>
      </c>
      <c r="I264">
        <v>0.4</v>
      </c>
      <c r="J264">
        <v>0.42</v>
      </c>
      <c r="K264">
        <v>0</v>
      </c>
      <c r="L264">
        <v>1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1</v>
      </c>
      <c r="AF264">
        <v>0</v>
      </c>
      <c r="AG264">
        <v>0</v>
      </c>
      <c r="AH264" s="86">
        <f>AVERAGEIFS($C$2:C264, $B$2:B264, B264)</f>
        <v>22.888888888888889</v>
      </c>
      <c r="AI264" s="86">
        <f>AVERAGEIFS($I$2:I264, $B$2:B264, B264)</f>
        <v>0.64055555555555554</v>
      </c>
      <c r="AJ264" s="86">
        <f>AVERAGEIFS($J$2:J264, $B$2:B264, B264)</f>
        <v>0.55833333333333324</v>
      </c>
      <c r="AK264" s="86">
        <f>AVERAGEIFS($D$2:D264, $B$2:B264, B264)</f>
        <v>0.72222222222222221</v>
      </c>
    </row>
    <row r="265" spans="1:37" x14ac:dyDescent="0.25">
      <c r="A265" s="85">
        <v>46080</v>
      </c>
      <c r="B265" t="s">
        <v>2</v>
      </c>
      <c r="C265">
        <v>24</v>
      </c>
      <c r="D265">
        <v>0</v>
      </c>
      <c r="E265">
        <v>5</v>
      </c>
      <c r="F265">
        <v>2</v>
      </c>
      <c r="G265">
        <v>19</v>
      </c>
      <c r="H265">
        <v>8</v>
      </c>
      <c r="I265">
        <v>0.4</v>
      </c>
      <c r="J265">
        <v>0.42</v>
      </c>
      <c r="K265">
        <v>0</v>
      </c>
      <c r="L265">
        <v>1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1</v>
      </c>
      <c r="AF265">
        <v>0</v>
      </c>
      <c r="AG265">
        <v>0</v>
      </c>
      <c r="AH265" s="86">
        <f>AVERAGEIFS($C$2:C265, $B$2:B265, B265)</f>
        <v>24.714285714285715</v>
      </c>
      <c r="AI265" s="86">
        <f>AVERAGEIFS($I$2:I265, $B$2:B265, B265)</f>
        <v>0.49142857142857149</v>
      </c>
      <c r="AJ265" s="86">
        <f>AVERAGEIFS($J$2:J265, $B$2:B265, B265)</f>
        <v>0.52142857142857135</v>
      </c>
      <c r="AK265" s="86">
        <f>AVERAGEIFS($D$2:D265, $B$2:B265, B265)</f>
        <v>0.42857142857142855</v>
      </c>
    </row>
    <row r="266" spans="1:37" x14ac:dyDescent="0.25">
      <c r="A266" s="85">
        <v>46080</v>
      </c>
      <c r="B266" t="s">
        <v>3</v>
      </c>
      <c r="C266">
        <v>24</v>
      </c>
      <c r="D266">
        <v>0</v>
      </c>
      <c r="E266">
        <v>5</v>
      </c>
      <c r="F266">
        <v>2</v>
      </c>
      <c r="G266">
        <v>19</v>
      </c>
      <c r="H266">
        <v>8</v>
      </c>
      <c r="I266">
        <v>0.4</v>
      </c>
      <c r="J266">
        <v>0.42</v>
      </c>
      <c r="K266">
        <v>0</v>
      </c>
      <c r="L266">
        <v>1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0</v>
      </c>
      <c r="AE266">
        <v>1</v>
      </c>
      <c r="AF266">
        <v>0</v>
      </c>
      <c r="AG266">
        <v>0</v>
      </c>
      <c r="AH266" s="86">
        <f>AVERAGEIFS($C$2:C266, $B$2:B266, B266)</f>
        <v>19.625</v>
      </c>
      <c r="AI266" s="86">
        <f>AVERAGEIFS($I$2:I266, $B$2:B266, B266)</f>
        <v>0.42499999999999999</v>
      </c>
      <c r="AJ266" s="86">
        <f>AVERAGEIFS($J$2:J266, $B$2:B266, B266)</f>
        <v>0.46875</v>
      </c>
      <c r="AK266" s="86">
        <f>AVERAGEIFS($D$2:D266, $B$2:B266, B266)</f>
        <v>0.375</v>
      </c>
    </row>
    <row r="267" spans="1:37" x14ac:dyDescent="0.25">
      <c r="A267" s="85">
        <v>46080</v>
      </c>
      <c r="B267" t="s">
        <v>137</v>
      </c>
      <c r="C267">
        <v>8</v>
      </c>
      <c r="D267">
        <v>0</v>
      </c>
      <c r="E267">
        <v>5</v>
      </c>
      <c r="F267">
        <v>2</v>
      </c>
      <c r="G267">
        <v>19</v>
      </c>
      <c r="H267">
        <v>8</v>
      </c>
      <c r="I267">
        <v>0.4</v>
      </c>
      <c r="J267">
        <v>0.42</v>
      </c>
      <c r="K267">
        <v>0</v>
      </c>
      <c r="L267">
        <v>1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1</v>
      </c>
      <c r="AF267">
        <v>0</v>
      </c>
      <c r="AG267">
        <v>0</v>
      </c>
      <c r="AH267" s="86">
        <f>AVERAGEIFS($C$2:C267, $B$2:B267, B267)</f>
        <v>5.5</v>
      </c>
      <c r="AI267" s="86">
        <f>AVERAGEIFS($I$2:I267, $B$2:B267, B267)</f>
        <v>0.4</v>
      </c>
      <c r="AJ267" s="86">
        <f>AVERAGEIFS($J$2:J267, $B$2:B267, B267)</f>
        <v>0.375</v>
      </c>
      <c r="AK267" s="86">
        <f>AVERAGEIFS($D$2:D267, $B$2:B267, B267)</f>
        <v>0</v>
      </c>
    </row>
    <row r="268" spans="1:37" x14ac:dyDescent="0.25">
      <c r="A268" s="85">
        <v>46080</v>
      </c>
      <c r="B268" t="s">
        <v>40</v>
      </c>
      <c r="C268">
        <v>24</v>
      </c>
      <c r="D268">
        <v>0</v>
      </c>
      <c r="E268">
        <v>5</v>
      </c>
      <c r="F268">
        <v>2</v>
      </c>
      <c r="G268">
        <v>19</v>
      </c>
      <c r="H268">
        <v>8</v>
      </c>
      <c r="I268">
        <v>0.4</v>
      </c>
      <c r="J268">
        <v>0.42</v>
      </c>
      <c r="K268">
        <v>0</v>
      </c>
      <c r="L268">
        <v>1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1</v>
      </c>
      <c r="AF268">
        <v>0</v>
      </c>
      <c r="AG268">
        <v>0</v>
      </c>
      <c r="AH268" s="86">
        <f>AVERAGEIFS($C$2:C268, $B$2:B268, B268)</f>
        <v>18.583333333333332</v>
      </c>
      <c r="AI268" s="86">
        <f>AVERAGEIFS($I$2:I268, $B$2:B268, B268)</f>
        <v>0.42500000000000004</v>
      </c>
      <c r="AJ268" s="86">
        <f>AVERAGEIFS($J$2:J268, $B$2:B268, B268)</f>
        <v>0.46166666666666661</v>
      </c>
      <c r="AK268" s="86">
        <f>AVERAGEIFS($D$2:D268, $B$2:B268, B268)</f>
        <v>0.41666666666666669</v>
      </c>
    </row>
    <row r="269" spans="1:37" x14ac:dyDescent="0.25">
      <c r="A269" s="85">
        <v>46081</v>
      </c>
      <c r="B269" t="s">
        <v>4</v>
      </c>
      <c r="C269">
        <v>17</v>
      </c>
      <c r="D269">
        <v>0</v>
      </c>
      <c r="E269">
        <v>4</v>
      </c>
      <c r="F269">
        <v>1</v>
      </c>
      <c r="G269">
        <v>14</v>
      </c>
      <c r="H269">
        <v>5</v>
      </c>
      <c r="I269">
        <v>0.25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1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 s="86">
        <f>AVERAGEIFS($C$2:C269, $B$2:B269, B269)</f>
        <v>26.75</v>
      </c>
      <c r="AI269" s="86">
        <f>AVERAGEIFS($I$2:I269, $B$2:B269, B269)</f>
        <v>0.38125000000000003</v>
      </c>
      <c r="AJ269" s="86">
        <f>AVERAGEIFS($J$2:J269, $B$2:B269, B269)</f>
        <v>0.4375</v>
      </c>
      <c r="AK269" s="86">
        <f>AVERAGEIFS($D$2:D269, $B$2:B269, B269)</f>
        <v>0.25</v>
      </c>
    </row>
    <row r="270" spans="1:37" x14ac:dyDescent="0.25">
      <c r="A270" s="85">
        <v>46081</v>
      </c>
      <c r="B270" t="s">
        <v>54</v>
      </c>
      <c r="C270">
        <v>14</v>
      </c>
      <c r="D270">
        <v>0</v>
      </c>
      <c r="E270">
        <v>4</v>
      </c>
      <c r="F270">
        <v>1</v>
      </c>
      <c r="G270">
        <v>14</v>
      </c>
      <c r="H270">
        <v>5</v>
      </c>
      <c r="I270">
        <v>0.25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1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 s="86">
        <f>AVERAGEIFS($C$2:C270, $B$2:B270, B270)</f>
        <v>24.85</v>
      </c>
      <c r="AI270" s="86">
        <f>AVERAGEIFS($I$2:I270, $B$2:B270, B270)</f>
        <v>0.496</v>
      </c>
      <c r="AJ270" s="86">
        <f>AVERAGEIFS($J$2:J270, $B$2:B270, B270)</f>
        <v>0.48049999999999998</v>
      </c>
      <c r="AK270" s="86">
        <f>AVERAGEIFS($D$2:D270, $B$2:B270, B270)</f>
        <v>0.5</v>
      </c>
    </row>
    <row r="271" spans="1:37" x14ac:dyDescent="0.25">
      <c r="A271" s="85">
        <v>46081</v>
      </c>
      <c r="B271" t="s">
        <v>42</v>
      </c>
      <c r="C271">
        <v>16</v>
      </c>
      <c r="D271">
        <v>0</v>
      </c>
      <c r="E271">
        <v>4</v>
      </c>
      <c r="F271">
        <v>1</v>
      </c>
      <c r="G271">
        <v>14</v>
      </c>
      <c r="H271">
        <v>5</v>
      </c>
      <c r="I271">
        <v>0.25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 s="86">
        <f>AVERAGEIFS($C$2:C271, $B$2:B271, B271)</f>
        <v>15</v>
      </c>
      <c r="AI271" s="86">
        <f>AVERAGEIFS($I$2:I271, $B$2:B271, B271)</f>
        <v>0.47500000000000003</v>
      </c>
      <c r="AJ271" s="86">
        <f>AVERAGEIFS($J$2:J271, $B$2:B271, B271)</f>
        <v>0.47874999999999995</v>
      </c>
      <c r="AK271" s="86">
        <f>AVERAGEIFS($D$2:D271, $B$2:B271, B271)</f>
        <v>0.625</v>
      </c>
    </row>
    <row r="272" spans="1:37" x14ac:dyDescent="0.25">
      <c r="A272" s="85">
        <v>46081</v>
      </c>
      <c r="B272" t="s">
        <v>71</v>
      </c>
      <c r="C272">
        <v>13</v>
      </c>
      <c r="D272">
        <v>0</v>
      </c>
      <c r="E272">
        <v>4</v>
      </c>
      <c r="F272">
        <v>1</v>
      </c>
      <c r="G272">
        <v>14</v>
      </c>
      <c r="H272">
        <v>5</v>
      </c>
      <c r="I272">
        <v>0.25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 s="86">
        <f>AVERAGEIFS($C$2:C272, $B$2:B272, B272)</f>
        <v>9.5</v>
      </c>
      <c r="AI272" s="86">
        <f>AVERAGEIFS($I$2:I272, $B$2:B272, B272)</f>
        <v>0.42499999999999999</v>
      </c>
      <c r="AJ272" s="86">
        <f>AVERAGEIFS($J$2:J272, $B$2:B272, B272)</f>
        <v>0.42</v>
      </c>
      <c r="AK272" s="86">
        <f>AVERAGEIFS($D$2:D272, $B$2:B272, B272)</f>
        <v>0.5</v>
      </c>
    </row>
    <row r="273" spans="1:37" x14ac:dyDescent="0.25">
      <c r="A273" s="85">
        <v>46081</v>
      </c>
      <c r="B273" t="s">
        <v>115</v>
      </c>
      <c r="C273">
        <v>8</v>
      </c>
      <c r="D273">
        <v>0</v>
      </c>
      <c r="E273">
        <v>4</v>
      </c>
      <c r="F273">
        <v>1</v>
      </c>
      <c r="G273">
        <v>14</v>
      </c>
      <c r="H273">
        <v>5</v>
      </c>
      <c r="I273">
        <v>0.25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 s="86">
        <f>AVERAGEIFS($C$2:C273, $B$2:B273, B273)</f>
        <v>10.333333333333334</v>
      </c>
      <c r="AI273" s="86">
        <f>AVERAGEIFS($I$2:I273, $B$2:B273, B273)</f>
        <v>0.3666666666666667</v>
      </c>
      <c r="AJ273" s="86">
        <f>AVERAGEIFS($J$2:J273, $B$2:B273, B273)</f>
        <v>0.45333333333333331</v>
      </c>
      <c r="AK273" s="86">
        <f>AVERAGEIFS($D$2:D273, $B$2:B273, B273)</f>
        <v>0.33333333333333331</v>
      </c>
    </row>
    <row r="274" spans="1:37" x14ac:dyDescent="0.25">
      <c r="A274" s="85">
        <v>46081</v>
      </c>
      <c r="B274" t="s">
        <v>137</v>
      </c>
      <c r="C274">
        <v>3</v>
      </c>
      <c r="D274">
        <v>0</v>
      </c>
      <c r="E274">
        <v>4</v>
      </c>
      <c r="F274">
        <v>1</v>
      </c>
      <c r="G274">
        <v>14</v>
      </c>
      <c r="H274">
        <v>5</v>
      </c>
      <c r="I274">
        <v>0.25</v>
      </c>
      <c r="J274">
        <v>0.36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 s="86">
        <f>AVERAGEIFS($C$2:C274, $B$2:B274, B274)</f>
        <v>4.666666666666667</v>
      </c>
      <c r="AI274" s="86">
        <f>AVERAGEIFS($I$2:I274, $B$2:B274, B274)</f>
        <v>0.35000000000000003</v>
      </c>
      <c r="AJ274" s="86">
        <f>AVERAGEIFS($J$2:J274, $B$2:B274, B274)</f>
        <v>0.36999999999999994</v>
      </c>
      <c r="AK274" s="86">
        <f>AVERAGEIFS($D$2:D274, $B$2:B274, B274)</f>
        <v>0</v>
      </c>
    </row>
    <row r="275" spans="1:37" x14ac:dyDescent="0.25">
      <c r="A275" s="85">
        <v>46081</v>
      </c>
      <c r="B275" t="s">
        <v>35</v>
      </c>
      <c r="C275">
        <v>13</v>
      </c>
      <c r="D275">
        <v>1</v>
      </c>
      <c r="E275">
        <v>4</v>
      </c>
      <c r="F275">
        <v>3</v>
      </c>
      <c r="G275">
        <v>14</v>
      </c>
      <c r="H275">
        <v>9</v>
      </c>
      <c r="I275">
        <v>0.75</v>
      </c>
      <c r="J275">
        <v>0.64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</v>
      </c>
      <c r="W275">
        <v>0</v>
      </c>
      <c r="X275">
        <v>0</v>
      </c>
      <c r="Y275">
        <v>0</v>
      </c>
      <c r="Z275">
        <v>1</v>
      </c>
      <c r="AA275">
        <v>0</v>
      </c>
      <c r="AB275">
        <v>0</v>
      </c>
      <c r="AC275">
        <v>0</v>
      </c>
      <c r="AD275">
        <v>1</v>
      </c>
      <c r="AE275">
        <v>0</v>
      </c>
      <c r="AF275">
        <v>0</v>
      </c>
      <c r="AG275">
        <v>0</v>
      </c>
      <c r="AH275" s="86">
        <f>AVERAGEIFS($C$2:C275, $B$2:B275, B275)</f>
        <v>12.055555555555555</v>
      </c>
      <c r="AI275" s="86">
        <f>AVERAGEIFS($I$2:I275, $B$2:B275, B275)</f>
        <v>0.45166666666666672</v>
      </c>
      <c r="AJ275" s="86">
        <f>AVERAGEIFS($J$2:J275, $B$2:B275, B275)</f>
        <v>0.50055555555555564</v>
      </c>
      <c r="AK275" s="86">
        <f>AVERAGEIFS($D$2:D275, $B$2:B275, B275)</f>
        <v>0.3888888888888889</v>
      </c>
    </row>
    <row r="276" spans="1:37" x14ac:dyDescent="0.25">
      <c r="A276" s="85">
        <v>46081</v>
      </c>
      <c r="B276" t="s">
        <v>44</v>
      </c>
      <c r="C276">
        <v>12</v>
      </c>
      <c r="D276">
        <v>1</v>
      </c>
      <c r="E276">
        <v>4</v>
      </c>
      <c r="F276">
        <v>3</v>
      </c>
      <c r="G276">
        <v>14</v>
      </c>
      <c r="H276">
        <v>9</v>
      </c>
      <c r="I276">
        <v>0.75</v>
      </c>
      <c r="J276">
        <v>0.64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1</v>
      </c>
      <c r="W276">
        <v>0</v>
      </c>
      <c r="X276">
        <v>0</v>
      </c>
      <c r="Y276">
        <v>0</v>
      </c>
      <c r="Z276">
        <v>1</v>
      </c>
      <c r="AA276">
        <v>0</v>
      </c>
      <c r="AB276">
        <v>0</v>
      </c>
      <c r="AC276">
        <v>0</v>
      </c>
      <c r="AD276">
        <v>1</v>
      </c>
      <c r="AE276">
        <v>0</v>
      </c>
      <c r="AF276">
        <v>0</v>
      </c>
      <c r="AG276">
        <v>0</v>
      </c>
      <c r="AH276" s="86">
        <f>AVERAGEIFS($C$2:C276, $B$2:B276, B276)</f>
        <v>17.8</v>
      </c>
      <c r="AI276" s="86">
        <f>AVERAGEIFS($I$2:I276, $B$2:B276, B276)</f>
        <v>0.5</v>
      </c>
      <c r="AJ276" s="86">
        <f>AVERAGEIFS($J$2:J276, $B$2:B276, B276)</f>
        <v>0.53600000000000003</v>
      </c>
      <c r="AK276" s="86">
        <f>AVERAGEIFS($D$2:D276, $B$2:B276, B276)</f>
        <v>0.6</v>
      </c>
    </row>
    <row r="277" spans="1:37" x14ac:dyDescent="0.25">
      <c r="A277" s="85">
        <v>46081</v>
      </c>
      <c r="B277" t="s">
        <v>2</v>
      </c>
      <c r="C277">
        <v>23</v>
      </c>
      <c r="D277">
        <v>1</v>
      </c>
      <c r="E277">
        <v>4</v>
      </c>
      <c r="F277">
        <v>3</v>
      </c>
      <c r="G277">
        <v>14</v>
      </c>
      <c r="H277">
        <v>9</v>
      </c>
      <c r="I277">
        <v>0.75</v>
      </c>
      <c r="J277">
        <v>0.64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1</v>
      </c>
      <c r="W277">
        <v>0</v>
      </c>
      <c r="X277">
        <v>0</v>
      </c>
      <c r="Y277">
        <v>0</v>
      </c>
      <c r="Z277">
        <v>1</v>
      </c>
      <c r="AA277">
        <v>0</v>
      </c>
      <c r="AB277">
        <v>0</v>
      </c>
      <c r="AC277">
        <v>0</v>
      </c>
      <c r="AD277">
        <v>1</v>
      </c>
      <c r="AE277">
        <v>0</v>
      </c>
      <c r="AF277">
        <v>0</v>
      </c>
      <c r="AG277">
        <v>0</v>
      </c>
      <c r="AH277" s="86">
        <f>AVERAGEIFS($C$2:C277, $B$2:B277, B277)</f>
        <v>24.6</v>
      </c>
      <c r="AI277" s="86">
        <f>AVERAGEIFS($I$2:I277, $B$2:B277, B277)</f>
        <v>0.50866666666666671</v>
      </c>
      <c r="AJ277" s="86">
        <f>AVERAGEIFS($J$2:J277, $B$2:B277, B277)</f>
        <v>0.52933333333333321</v>
      </c>
      <c r="AK277" s="86">
        <f>AVERAGEIFS($D$2:D277, $B$2:B277, B277)</f>
        <v>0.46666666666666667</v>
      </c>
    </row>
    <row r="278" spans="1:37" x14ac:dyDescent="0.25">
      <c r="A278" s="85">
        <v>46081</v>
      </c>
      <c r="B278" t="s">
        <v>40</v>
      </c>
      <c r="C278">
        <v>7</v>
      </c>
      <c r="D278">
        <v>1</v>
      </c>
      <c r="E278">
        <v>4</v>
      </c>
      <c r="F278">
        <v>3</v>
      </c>
      <c r="G278">
        <v>14</v>
      </c>
      <c r="H278">
        <v>9</v>
      </c>
      <c r="I278">
        <v>0.75</v>
      </c>
      <c r="J278">
        <v>0.64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X278">
        <v>0</v>
      </c>
      <c r="Y278">
        <v>0</v>
      </c>
      <c r="Z278">
        <v>1</v>
      </c>
      <c r="AA278">
        <v>0</v>
      </c>
      <c r="AB278">
        <v>0</v>
      </c>
      <c r="AC278">
        <v>0</v>
      </c>
      <c r="AD278">
        <v>1</v>
      </c>
      <c r="AE278">
        <v>0</v>
      </c>
      <c r="AF278">
        <v>0</v>
      </c>
      <c r="AG278">
        <v>0</v>
      </c>
      <c r="AH278" s="86">
        <f>AVERAGEIFS($C$2:C278, $B$2:B278, B278)</f>
        <v>17.692307692307693</v>
      </c>
      <c r="AI278" s="86">
        <f>AVERAGEIFS($I$2:I278, $B$2:B278, B278)</f>
        <v>0.45000000000000007</v>
      </c>
      <c r="AJ278" s="86">
        <f>AVERAGEIFS($J$2:J278, $B$2:B278, B278)</f>
        <v>0.47538461538461529</v>
      </c>
      <c r="AK278" s="86">
        <f>AVERAGEIFS($D$2:D278, $B$2:B278, B278)</f>
        <v>0.46153846153846156</v>
      </c>
    </row>
    <row r="279" spans="1:37" x14ac:dyDescent="0.25">
      <c r="A279" s="85">
        <v>46081</v>
      </c>
      <c r="B279" t="s">
        <v>6</v>
      </c>
      <c r="C279">
        <v>23</v>
      </c>
      <c r="D279">
        <v>1</v>
      </c>
      <c r="E279">
        <v>4</v>
      </c>
      <c r="F279">
        <v>3</v>
      </c>
      <c r="G279">
        <v>14</v>
      </c>
      <c r="H279">
        <v>9</v>
      </c>
      <c r="I279">
        <v>0.75</v>
      </c>
      <c r="J279">
        <v>0.64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0</v>
      </c>
      <c r="Z279">
        <v>1</v>
      </c>
      <c r="AA279">
        <v>0</v>
      </c>
      <c r="AB279">
        <v>0</v>
      </c>
      <c r="AC279">
        <v>0</v>
      </c>
      <c r="AD279">
        <v>1</v>
      </c>
      <c r="AE279">
        <v>0</v>
      </c>
      <c r="AF279">
        <v>0</v>
      </c>
      <c r="AG279">
        <v>0</v>
      </c>
      <c r="AH279" s="86">
        <f>AVERAGEIFS($C$2:C279, $B$2:B279, B279)</f>
        <v>22.894736842105264</v>
      </c>
      <c r="AI279" s="86">
        <f>AVERAGEIFS($I$2:I279, $B$2:B279, B279)</f>
        <v>0.64631578947368418</v>
      </c>
      <c r="AJ279" s="86">
        <f>AVERAGEIFS($J$2:J279, $B$2:B279, B279)</f>
        <v>0.56263157894736837</v>
      </c>
      <c r="AK279" s="86">
        <f>AVERAGEIFS($D$2:D279, $B$2:B279, B279)</f>
        <v>0.73684210526315785</v>
      </c>
    </row>
    <row r="280" spans="1:37" x14ac:dyDescent="0.25">
      <c r="A280" s="85">
        <v>46081</v>
      </c>
      <c r="B280" t="s">
        <v>118</v>
      </c>
      <c r="C280">
        <v>10</v>
      </c>
      <c r="D280">
        <v>1</v>
      </c>
      <c r="E280">
        <v>4</v>
      </c>
      <c r="F280">
        <v>3</v>
      </c>
      <c r="G280">
        <v>14</v>
      </c>
      <c r="H280">
        <v>9</v>
      </c>
      <c r="I280">
        <v>0.75</v>
      </c>
      <c r="J280">
        <v>0.64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1</v>
      </c>
      <c r="W280">
        <v>0</v>
      </c>
      <c r="X280">
        <v>0</v>
      </c>
      <c r="Y280">
        <v>0</v>
      </c>
      <c r="Z280">
        <v>1</v>
      </c>
      <c r="AA280">
        <v>0</v>
      </c>
      <c r="AB280">
        <v>0</v>
      </c>
      <c r="AC280">
        <v>0</v>
      </c>
      <c r="AD280">
        <v>1</v>
      </c>
      <c r="AE280">
        <v>0</v>
      </c>
      <c r="AF280">
        <v>0</v>
      </c>
      <c r="AG280">
        <v>0</v>
      </c>
      <c r="AH280" s="86">
        <f>AVERAGEIFS($C$2:C280, $B$2:B280, B280)</f>
        <v>10</v>
      </c>
      <c r="AI280" s="86">
        <f>AVERAGEIFS($I$2:I280, $B$2:B280, B280)</f>
        <v>0.75</v>
      </c>
      <c r="AJ280" s="86">
        <f>AVERAGEIFS($J$2:J280, $B$2:B280, B280)</f>
        <v>0.64</v>
      </c>
      <c r="AK280" s="86">
        <f>AVERAGEIFS($D$2:D280, $B$2:B280, B280)</f>
        <v>1</v>
      </c>
    </row>
    <row r="281" spans="1:37" x14ac:dyDescent="0.25">
      <c r="A281" s="85">
        <v>46082</v>
      </c>
      <c r="B281" t="s">
        <v>42</v>
      </c>
      <c r="C281">
        <v>23</v>
      </c>
      <c r="D281">
        <v>0</v>
      </c>
      <c r="E281">
        <v>5</v>
      </c>
      <c r="F281">
        <v>2</v>
      </c>
      <c r="G281">
        <v>18</v>
      </c>
      <c r="H281">
        <v>7</v>
      </c>
      <c r="I281">
        <v>0.4</v>
      </c>
      <c r="J281">
        <v>0.39</v>
      </c>
      <c r="K281">
        <v>0</v>
      </c>
      <c r="L281">
        <v>1</v>
      </c>
      <c r="M281">
        <v>0</v>
      </c>
      <c r="N281">
        <v>0</v>
      </c>
      <c r="O281">
        <v>0</v>
      </c>
      <c r="P281">
        <v>0</v>
      </c>
      <c r="Q281">
        <v>1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 s="86">
        <f>AVERAGEIFS($C$2:C281, $B$2:B281, B281)</f>
        <v>15.888888888888889</v>
      </c>
      <c r="AI281" s="86">
        <f>AVERAGEIFS($I$2:I281, $B$2:B281, B281)</f>
        <v>0.46666666666666667</v>
      </c>
      <c r="AJ281" s="86">
        <f>AVERAGEIFS($J$2:J281, $B$2:B281, B281)</f>
        <v>0.46888888888888886</v>
      </c>
      <c r="AK281" s="86">
        <f>AVERAGEIFS($D$2:D281, $B$2:B281, B281)</f>
        <v>0.55555555555555558</v>
      </c>
    </row>
    <row r="282" spans="1:37" x14ac:dyDescent="0.25">
      <c r="A282" s="85">
        <v>46082</v>
      </c>
      <c r="B282" t="s">
        <v>4</v>
      </c>
      <c r="C282">
        <v>24</v>
      </c>
      <c r="D282">
        <v>0</v>
      </c>
      <c r="E282">
        <v>5</v>
      </c>
      <c r="F282">
        <v>2</v>
      </c>
      <c r="G282">
        <v>18</v>
      </c>
      <c r="H282">
        <v>7</v>
      </c>
      <c r="I282">
        <v>0.4</v>
      </c>
      <c r="J282">
        <v>0.39</v>
      </c>
      <c r="K282">
        <v>0</v>
      </c>
      <c r="L282">
        <v>1</v>
      </c>
      <c r="M282">
        <v>0</v>
      </c>
      <c r="N282">
        <v>0</v>
      </c>
      <c r="O282">
        <v>0</v>
      </c>
      <c r="P282">
        <v>0</v>
      </c>
      <c r="Q282">
        <v>1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 s="86">
        <f>AVERAGEIFS($C$2:C282, $B$2:B282, B282)</f>
        <v>26.444444444444443</v>
      </c>
      <c r="AI282" s="86">
        <f>AVERAGEIFS($I$2:I282, $B$2:B282, B282)</f>
        <v>0.38333333333333336</v>
      </c>
      <c r="AJ282" s="86">
        <f>AVERAGEIFS($J$2:J282, $B$2:B282, B282)</f>
        <v>0.43222222222222223</v>
      </c>
      <c r="AK282" s="86">
        <f>AVERAGEIFS($D$2:D282, $B$2:B282, B282)</f>
        <v>0.22222222222222221</v>
      </c>
    </row>
    <row r="283" spans="1:37" x14ac:dyDescent="0.25">
      <c r="A283" s="85">
        <v>46082</v>
      </c>
      <c r="B283" t="s">
        <v>54</v>
      </c>
      <c r="C283">
        <v>28</v>
      </c>
      <c r="D283">
        <v>0</v>
      </c>
      <c r="E283">
        <v>5</v>
      </c>
      <c r="F283">
        <v>2</v>
      </c>
      <c r="G283">
        <v>18</v>
      </c>
      <c r="H283">
        <v>7</v>
      </c>
      <c r="I283">
        <v>0.4</v>
      </c>
      <c r="J283">
        <v>0.39</v>
      </c>
      <c r="K283">
        <v>0</v>
      </c>
      <c r="L283">
        <v>1</v>
      </c>
      <c r="M283">
        <v>0</v>
      </c>
      <c r="N283">
        <v>0</v>
      </c>
      <c r="O283">
        <v>0</v>
      </c>
      <c r="P283">
        <v>0</v>
      </c>
      <c r="Q283">
        <v>1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 s="86">
        <f>AVERAGEIFS($C$2:C283, $B$2:B283, B283)</f>
        <v>25</v>
      </c>
      <c r="AI283" s="86">
        <f>AVERAGEIFS($I$2:I283, $B$2:B283, B283)</f>
        <v>0.49142857142857144</v>
      </c>
      <c r="AJ283" s="86">
        <f>AVERAGEIFS($J$2:J283, $B$2:B283, B283)</f>
        <v>0.47619047619047616</v>
      </c>
      <c r="AK283" s="86">
        <f>AVERAGEIFS($D$2:D283, $B$2:B283, B283)</f>
        <v>0.47619047619047616</v>
      </c>
    </row>
    <row r="284" spans="1:37" x14ac:dyDescent="0.25">
      <c r="A284" s="85">
        <v>46082</v>
      </c>
      <c r="B284" t="s">
        <v>40</v>
      </c>
      <c r="C284">
        <v>20</v>
      </c>
      <c r="D284">
        <v>0</v>
      </c>
      <c r="E284">
        <v>5</v>
      </c>
      <c r="F284">
        <v>2</v>
      </c>
      <c r="G284">
        <v>18</v>
      </c>
      <c r="H284">
        <v>7</v>
      </c>
      <c r="I284">
        <v>0.4</v>
      </c>
      <c r="J284">
        <v>0.39</v>
      </c>
      <c r="K284">
        <v>0</v>
      </c>
      <c r="L284">
        <v>1</v>
      </c>
      <c r="M284">
        <v>0</v>
      </c>
      <c r="N284">
        <v>0</v>
      </c>
      <c r="O284">
        <v>0</v>
      </c>
      <c r="P284">
        <v>0</v>
      </c>
      <c r="Q284">
        <v>1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 s="86">
        <f>AVERAGEIFS($C$2:C284, $B$2:B284, B284)</f>
        <v>17.857142857142858</v>
      </c>
      <c r="AI284" s="86">
        <f>AVERAGEIFS($I$2:I284, $B$2:B284, B284)</f>
        <v>0.44642857142857151</v>
      </c>
      <c r="AJ284" s="86">
        <f>AVERAGEIFS($J$2:J284, $B$2:B284, B284)</f>
        <v>0.46928571428571419</v>
      </c>
      <c r="AK284" s="86">
        <f>AVERAGEIFS($D$2:D284, $B$2:B284, B284)</f>
        <v>0.42857142857142855</v>
      </c>
    </row>
    <row r="285" spans="1:37" x14ac:dyDescent="0.25">
      <c r="A285" s="85">
        <v>46082</v>
      </c>
      <c r="B285" t="s">
        <v>115</v>
      </c>
      <c r="C285">
        <v>13</v>
      </c>
      <c r="D285">
        <v>0</v>
      </c>
      <c r="E285">
        <v>5</v>
      </c>
      <c r="F285">
        <v>2</v>
      </c>
      <c r="G285">
        <v>18</v>
      </c>
      <c r="H285">
        <v>7</v>
      </c>
      <c r="I285">
        <v>0.4</v>
      </c>
      <c r="J285">
        <v>0.39</v>
      </c>
      <c r="K285">
        <v>0</v>
      </c>
      <c r="L285">
        <v>1</v>
      </c>
      <c r="M285">
        <v>0</v>
      </c>
      <c r="N285">
        <v>0</v>
      </c>
      <c r="O285">
        <v>0</v>
      </c>
      <c r="P285">
        <v>0</v>
      </c>
      <c r="Q285">
        <v>1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 s="86">
        <f>AVERAGEIFS($C$2:C285, $B$2:B285, B285)</f>
        <v>11</v>
      </c>
      <c r="AI285" s="86">
        <f>AVERAGEIFS($I$2:I285, $B$2:B285, B285)</f>
        <v>0.375</v>
      </c>
      <c r="AJ285" s="86">
        <f>AVERAGEIFS($J$2:J285, $B$2:B285, B285)</f>
        <v>0.4375</v>
      </c>
      <c r="AK285" s="86">
        <f>AVERAGEIFS($D$2:D285, $B$2:B285, B285)</f>
        <v>0.25</v>
      </c>
    </row>
    <row r="286" spans="1:37" x14ac:dyDescent="0.25">
      <c r="A286" s="85">
        <v>46082</v>
      </c>
      <c r="B286" t="s">
        <v>113</v>
      </c>
      <c r="C286">
        <v>13</v>
      </c>
      <c r="D286">
        <v>0</v>
      </c>
      <c r="E286">
        <v>5</v>
      </c>
      <c r="F286">
        <v>2</v>
      </c>
      <c r="G286">
        <v>18</v>
      </c>
      <c r="H286">
        <v>7</v>
      </c>
      <c r="I286">
        <v>0.4</v>
      </c>
      <c r="J286">
        <v>0.39</v>
      </c>
      <c r="K286">
        <v>0</v>
      </c>
      <c r="L286">
        <v>1</v>
      </c>
      <c r="M286">
        <v>0</v>
      </c>
      <c r="N286">
        <v>0</v>
      </c>
      <c r="O286">
        <v>0</v>
      </c>
      <c r="P286">
        <v>0</v>
      </c>
      <c r="Q286">
        <v>1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  <c r="AH286" s="86">
        <f>AVERAGEIFS($C$2:C286, $B$2:B286, B286)</f>
        <v>20</v>
      </c>
      <c r="AI286" s="86">
        <f>AVERAGEIFS($I$2:I286, $B$2:B286, B286)</f>
        <v>0.55000000000000004</v>
      </c>
      <c r="AJ286" s="86">
        <f>AVERAGEIFS($J$2:J286, $B$2:B286, B286)</f>
        <v>0.5</v>
      </c>
      <c r="AK286" s="86">
        <f>AVERAGEIFS($D$2:D286, $B$2:B286, B286)</f>
        <v>0.6</v>
      </c>
    </row>
    <row r="287" spans="1:37" x14ac:dyDescent="0.25">
      <c r="A287" s="85">
        <v>46082</v>
      </c>
      <c r="B287" t="s">
        <v>6</v>
      </c>
      <c r="C287">
        <v>36</v>
      </c>
      <c r="D287">
        <v>1</v>
      </c>
      <c r="E287">
        <v>5</v>
      </c>
      <c r="F287">
        <v>3</v>
      </c>
      <c r="G287">
        <v>18</v>
      </c>
      <c r="H287">
        <v>11</v>
      </c>
      <c r="I287">
        <v>0.6</v>
      </c>
      <c r="J287">
        <v>0.61</v>
      </c>
      <c r="K287">
        <v>1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1</v>
      </c>
      <c r="AH287" s="86">
        <f>AVERAGEIFS($C$2:C287, $B$2:B287, B287)</f>
        <v>23.55</v>
      </c>
      <c r="AI287" s="86">
        <f>AVERAGEIFS($I$2:I287, $B$2:B287, B287)</f>
        <v>0.64399999999999991</v>
      </c>
      <c r="AJ287" s="86">
        <f>AVERAGEIFS($J$2:J287, $B$2:B287, B287)</f>
        <v>0.56499999999999995</v>
      </c>
      <c r="AK287" s="86">
        <f>AVERAGEIFS($D$2:D287, $B$2:B287, B287)</f>
        <v>0.75</v>
      </c>
    </row>
    <row r="288" spans="1:37" x14ac:dyDescent="0.25">
      <c r="A288" s="85">
        <v>46082</v>
      </c>
      <c r="B288" t="s">
        <v>2</v>
      </c>
      <c r="C288">
        <v>24</v>
      </c>
      <c r="D288">
        <v>1</v>
      </c>
      <c r="E288">
        <v>5</v>
      </c>
      <c r="F288">
        <v>3</v>
      </c>
      <c r="G288">
        <v>18</v>
      </c>
      <c r="H288">
        <v>11</v>
      </c>
      <c r="I288">
        <v>0.6</v>
      </c>
      <c r="J288">
        <v>0.61</v>
      </c>
      <c r="K288">
        <v>1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  <c r="AG288">
        <v>1</v>
      </c>
      <c r="AH288" s="86">
        <f>AVERAGEIFS($C$2:C288, $B$2:B288, B288)</f>
        <v>24.5625</v>
      </c>
      <c r="AI288" s="86">
        <f>AVERAGEIFS($I$2:I288, $B$2:B288, B288)</f>
        <v>0.51437500000000003</v>
      </c>
      <c r="AJ288" s="86">
        <f>AVERAGEIFS($J$2:J288, $B$2:B288, B288)</f>
        <v>0.53437499999999993</v>
      </c>
      <c r="AK288" s="86">
        <f>AVERAGEIFS($D$2:D288, $B$2:B288, B288)</f>
        <v>0.5</v>
      </c>
    </row>
    <row r="289" spans="1:37" x14ac:dyDescent="0.25">
      <c r="A289" s="85">
        <v>46082</v>
      </c>
      <c r="B289" t="s">
        <v>44</v>
      </c>
      <c r="C289">
        <v>22</v>
      </c>
      <c r="D289">
        <v>1</v>
      </c>
      <c r="E289">
        <v>5</v>
      </c>
      <c r="F289">
        <v>3</v>
      </c>
      <c r="G289">
        <v>18</v>
      </c>
      <c r="H289">
        <v>11</v>
      </c>
      <c r="I289">
        <v>0.6</v>
      </c>
      <c r="J289">
        <v>0.61</v>
      </c>
      <c r="K289">
        <v>1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1</v>
      </c>
      <c r="AH289" s="86">
        <f>AVERAGEIFS($C$2:C289, $B$2:B289, B289)</f>
        <v>18.5</v>
      </c>
      <c r="AI289" s="86">
        <f>AVERAGEIFS($I$2:I289, $B$2:B289, B289)</f>
        <v>0.51666666666666672</v>
      </c>
      <c r="AJ289" s="86">
        <f>AVERAGEIFS($J$2:J289, $B$2:B289, B289)</f>
        <v>0.54833333333333334</v>
      </c>
      <c r="AK289" s="86">
        <f>AVERAGEIFS($D$2:D289, $B$2:B289, B289)</f>
        <v>0.66666666666666663</v>
      </c>
    </row>
    <row r="290" spans="1:37" x14ac:dyDescent="0.25">
      <c r="A290" s="85">
        <v>46082</v>
      </c>
      <c r="B290" t="s">
        <v>46</v>
      </c>
      <c r="C290">
        <v>18</v>
      </c>
      <c r="D290">
        <v>1</v>
      </c>
      <c r="E290">
        <v>5</v>
      </c>
      <c r="F290">
        <v>3</v>
      </c>
      <c r="G290">
        <v>18</v>
      </c>
      <c r="H290">
        <v>11</v>
      </c>
      <c r="I290">
        <v>0.6</v>
      </c>
      <c r="J290">
        <v>0.61</v>
      </c>
      <c r="K290">
        <v>1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0</v>
      </c>
      <c r="AG290">
        <v>1</v>
      </c>
      <c r="AH290" s="86">
        <f>AVERAGEIFS($C$2:C290, $B$2:B290, B290)</f>
        <v>20</v>
      </c>
      <c r="AI290" s="86">
        <f>AVERAGEIFS($I$2:I290, $B$2:B290, B290)</f>
        <v>0.47307692307692306</v>
      </c>
      <c r="AJ290" s="86">
        <f>AVERAGEIFS($J$2:J290, $B$2:B290, B290)</f>
        <v>0.49230769230769228</v>
      </c>
      <c r="AK290" s="86">
        <f>AVERAGEIFS($D$2:D290, $B$2:B290, B290)</f>
        <v>0.38461538461538464</v>
      </c>
    </row>
    <row r="291" spans="1:37" x14ac:dyDescent="0.25">
      <c r="A291" s="85">
        <v>46082</v>
      </c>
      <c r="B291" t="s">
        <v>137</v>
      </c>
      <c r="C291">
        <v>7</v>
      </c>
      <c r="D291">
        <v>1</v>
      </c>
      <c r="E291">
        <v>5</v>
      </c>
      <c r="F291">
        <v>3</v>
      </c>
      <c r="G291">
        <v>18</v>
      </c>
      <c r="H291">
        <v>11</v>
      </c>
      <c r="I291">
        <v>0.6</v>
      </c>
      <c r="J291">
        <v>0.61</v>
      </c>
      <c r="K291">
        <v>1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1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1</v>
      </c>
      <c r="AH291" s="86">
        <f>AVERAGEIFS($C$2:C291, $B$2:B291, B291)</f>
        <v>5.25</v>
      </c>
      <c r="AI291" s="86">
        <f>AVERAGEIFS($I$2:I291, $B$2:B291, B291)</f>
        <v>0.41249999999999998</v>
      </c>
      <c r="AJ291" s="86">
        <f>AVERAGEIFS($J$2:J291, $B$2:B291, B291)</f>
        <v>0.42999999999999994</v>
      </c>
      <c r="AK291" s="86">
        <f>AVERAGEIFS($D$2:D291, $B$2:B291, B291)</f>
        <v>0.25</v>
      </c>
    </row>
    <row r="292" spans="1:37" x14ac:dyDescent="0.25">
      <c r="A292" s="85">
        <v>46082</v>
      </c>
      <c r="B292" t="s">
        <v>70</v>
      </c>
      <c r="C292">
        <v>11</v>
      </c>
      <c r="D292">
        <v>1</v>
      </c>
      <c r="E292">
        <v>5</v>
      </c>
      <c r="F292">
        <v>3</v>
      </c>
      <c r="G292">
        <v>18</v>
      </c>
      <c r="H292">
        <v>11</v>
      </c>
      <c r="I292">
        <v>0.6</v>
      </c>
      <c r="J292">
        <v>0.61</v>
      </c>
      <c r="K292">
        <v>1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1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1</v>
      </c>
      <c r="AH292" s="86">
        <f>AVERAGEIFS($C$2:C292, $B$2:B292, B292)</f>
        <v>11</v>
      </c>
      <c r="AI292" s="86">
        <f>AVERAGEIFS($I$2:I292, $B$2:B292, B292)</f>
        <v>0.70000000000000007</v>
      </c>
      <c r="AJ292" s="86">
        <f>AVERAGEIFS($J$2:J292, $B$2:B292, B292)</f>
        <v>0.57499999999999996</v>
      </c>
      <c r="AK292" s="86">
        <f>AVERAGEIFS($D$2:D292, $B$2:B292, B292)</f>
        <v>1</v>
      </c>
    </row>
    <row r="293" spans="1:37" x14ac:dyDescent="0.25">
      <c r="A293" s="85">
        <v>46083</v>
      </c>
      <c r="B293" t="s">
        <v>17</v>
      </c>
      <c r="C293">
        <v>25</v>
      </c>
      <c r="D293">
        <v>0</v>
      </c>
      <c r="E293">
        <v>5</v>
      </c>
      <c r="F293">
        <v>2</v>
      </c>
      <c r="G293">
        <v>20</v>
      </c>
      <c r="H293">
        <v>8</v>
      </c>
      <c r="I293">
        <v>0.4</v>
      </c>
      <c r="J293">
        <v>0.4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>
        <v>0</v>
      </c>
      <c r="AB293">
        <v>0</v>
      </c>
      <c r="AC293">
        <v>0</v>
      </c>
      <c r="AD293">
        <v>1</v>
      </c>
      <c r="AE293">
        <v>0</v>
      </c>
      <c r="AF293">
        <v>0</v>
      </c>
      <c r="AG293">
        <v>0</v>
      </c>
      <c r="AH293" s="86">
        <f>AVERAGEIFS($C$2:C293, $B$2:B293, B293)</f>
        <v>21.411764705882351</v>
      </c>
      <c r="AI293" s="86">
        <f>AVERAGEIFS($I$2:I293, $B$2:B293, B293)</f>
        <v>0.4864705882352941</v>
      </c>
      <c r="AJ293" s="86">
        <f>AVERAGEIFS($J$2:J293, $B$2:B293, B293)</f>
        <v>0.48235294117647065</v>
      </c>
      <c r="AK293" s="86">
        <f>AVERAGEIFS($D$2:D293, $B$2:B293, B293)</f>
        <v>0.41176470588235292</v>
      </c>
    </row>
    <row r="294" spans="1:37" x14ac:dyDescent="0.25">
      <c r="A294" s="85">
        <v>46083</v>
      </c>
      <c r="B294" t="s">
        <v>54</v>
      </c>
      <c r="C294">
        <v>24</v>
      </c>
      <c r="D294">
        <v>0</v>
      </c>
      <c r="E294">
        <v>5</v>
      </c>
      <c r="F294">
        <v>2</v>
      </c>
      <c r="G294">
        <v>20</v>
      </c>
      <c r="H294">
        <v>8</v>
      </c>
      <c r="I294">
        <v>0.4</v>
      </c>
      <c r="J294">
        <v>0.4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>
        <v>0</v>
      </c>
      <c r="AB294">
        <v>0</v>
      </c>
      <c r="AC294">
        <v>0</v>
      </c>
      <c r="AD294">
        <v>1</v>
      </c>
      <c r="AE294">
        <v>0</v>
      </c>
      <c r="AF294">
        <v>0</v>
      </c>
      <c r="AG294">
        <v>0</v>
      </c>
      <c r="AH294" s="86">
        <f>AVERAGEIFS($C$2:C294, $B$2:B294, B294)</f>
        <v>24.954545454545453</v>
      </c>
      <c r="AI294" s="86">
        <f>AVERAGEIFS($I$2:I294, $B$2:B294, B294)</f>
        <v>0.4872727272727273</v>
      </c>
      <c r="AJ294" s="86">
        <f>AVERAGEIFS($J$2:J294, $B$2:B294, B294)</f>
        <v>0.47272727272727272</v>
      </c>
      <c r="AK294" s="86">
        <f>AVERAGEIFS($D$2:D294, $B$2:B294, B294)</f>
        <v>0.45454545454545453</v>
      </c>
    </row>
    <row r="295" spans="1:37" x14ac:dyDescent="0.25">
      <c r="A295" s="85">
        <v>46083</v>
      </c>
      <c r="B295" t="s">
        <v>115</v>
      </c>
      <c r="C295">
        <v>23</v>
      </c>
      <c r="D295">
        <v>0</v>
      </c>
      <c r="E295">
        <v>5</v>
      </c>
      <c r="F295">
        <v>2</v>
      </c>
      <c r="G295">
        <v>20</v>
      </c>
      <c r="H295">
        <v>8</v>
      </c>
      <c r="I295">
        <v>0.4</v>
      </c>
      <c r="J295">
        <v>0.4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>
        <v>0</v>
      </c>
      <c r="AB295">
        <v>0</v>
      </c>
      <c r="AC295">
        <v>0</v>
      </c>
      <c r="AD295">
        <v>1</v>
      </c>
      <c r="AE295">
        <v>0</v>
      </c>
      <c r="AF295">
        <v>0</v>
      </c>
      <c r="AG295">
        <v>0</v>
      </c>
      <c r="AH295" s="86">
        <f>AVERAGEIFS($C$2:C295, $B$2:B295, B295)</f>
        <v>13.4</v>
      </c>
      <c r="AI295" s="86">
        <f>AVERAGEIFS($I$2:I295, $B$2:B295, B295)</f>
        <v>0.38</v>
      </c>
      <c r="AJ295" s="86">
        <f>AVERAGEIFS($J$2:J295, $B$2:B295, B295)</f>
        <v>0.43</v>
      </c>
      <c r="AK295" s="86">
        <f>AVERAGEIFS($D$2:D295, $B$2:B295, B295)</f>
        <v>0.2</v>
      </c>
    </row>
    <row r="296" spans="1:37" x14ac:dyDescent="0.25">
      <c r="A296" s="85">
        <v>46083</v>
      </c>
      <c r="B296" t="s">
        <v>107</v>
      </c>
      <c r="C296">
        <v>16</v>
      </c>
      <c r="D296">
        <v>0</v>
      </c>
      <c r="E296">
        <v>5</v>
      </c>
      <c r="F296">
        <v>2</v>
      </c>
      <c r="G296">
        <v>20</v>
      </c>
      <c r="H296">
        <v>8</v>
      </c>
      <c r="I296">
        <v>0.4</v>
      </c>
      <c r="J296">
        <v>0.4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>
        <v>0</v>
      </c>
      <c r="AB296">
        <v>0</v>
      </c>
      <c r="AC296">
        <v>0</v>
      </c>
      <c r="AD296">
        <v>1</v>
      </c>
      <c r="AE296">
        <v>0</v>
      </c>
      <c r="AF296">
        <v>0</v>
      </c>
      <c r="AG296">
        <v>0</v>
      </c>
      <c r="AH296" s="86">
        <f>AVERAGEIFS($C$2:C296, $B$2:B296, B296)</f>
        <v>15.833333333333334</v>
      </c>
      <c r="AI296" s="86">
        <f>AVERAGEIFS($I$2:I296, $B$2:B296, B296)</f>
        <v>0.54999999999999993</v>
      </c>
      <c r="AJ296" s="86">
        <f>AVERAGEIFS($J$2:J296, $B$2:B296, B296)</f>
        <v>0.51999999999999991</v>
      </c>
      <c r="AK296" s="86">
        <f>AVERAGEIFS($D$2:D296, $B$2:B296, B296)</f>
        <v>0.5</v>
      </c>
    </row>
    <row r="297" spans="1:37" x14ac:dyDescent="0.25">
      <c r="A297" s="85">
        <v>46083</v>
      </c>
      <c r="B297" t="s">
        <v>52</v>
      </c>
      <c r="C297">
        <v>16</v>
      </c>
      <c r="D297">
        <v>0</v>
      </c>
      <c r="E297">
        <v>5</v>
      </c>
      <c r="F297">
        <v>2</v>
      </c>
      <c r="G297">
        <v>20</v>
      </c>
      <c r="H297">
        <v>8</v>
      </c>
      <c r="I297">
        <v>0.4</v>
      </c>
      <c r="J297">
        <v>0.4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1</v>
      </c>
      <c r="AA297">
        <v>0</v>
      </c>
      <c r="AB297">
        <v>0</v>
      </c>
      <c r="AC297">
        <v>0</v>
      </c>
      <c r="AD297">
        <v>1</v>
      </c>
      <c r="AE297">
        <v>0</v>
      </c>
      <c r="AF297">
        <v>0</v>
      </c>
      <c r="AG297">
        <v>0</v>
      </c>
      <c r="AH297" s="86">
        <f>AVERAGEIFS($C$2:C297, $B$2:B297, B297)</f>
        <v>14</v>
      </c>
      <c r="AI297" s="86">
        <f>AVERAGEIFS($I$2:I297, $B$2:B297, B297)</f>
        <v>0.35833333333333334</v>
      </c>
      <c r="AJ297" s="86">
        <f>AVERAGEIFS($J$2:J297, $B$2:B297, B297)</f>
        <v>0.38333333333333336</v>
      </c>
      <c r="AK297" s="86">
        <f>AVERAGEIFS($D$2:D297, $B$2:B297, B297)</f>
        <v>0.16666666666666666</v>
      </c>
    </row>
    <row r="298" spans="1:37" x14ac:dyDescent="0.25">
      <c r="A298" s="85">
        <v>46083</v>
      </c>
      <c r="B298" t="s">
        <v>40</v>
      </c>
      <c r="C298">
        <v>15</v>
      </c>
      <c r="D298">
        <v>0</v>
      </c>
      <c r="E298">
        <v>5</v>
      </c>
      <c r="F298">
        <v>2</v>
      </c>
      <c r="G298">
        <v>20</v>
      </c>
      <c r="H298">
        <v>8</v>
      </c>
      <c r="I298">
        <v>0.4</v>
      </c>
      <c r="J298">
        <v>0.4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1</v>
      </c>
      <c r="AA298">
        <v>0</v>
      </c>
      <c r="AB298">
        <v>0</v>
      </c>
      <c r="AC298">
        <v>0</v>
      </c>
      <c r="AD298">
        <v>1</v>
      </c>
      <c r="AE298">
        <v>0</v>
      </c>
      <c r="AF298">
        <v>0</v>
      </c>
      <c r="AG298">
        <v>0</v>
      </c>
      <c r="AH298" s="86">
        <f>AVERAGEIFS($C$2:C298, $B$2:B298, B298)</f>
        <v>17.666666666666668</v>
      </c>
      <c r="AI298" s="86">
        <f>AVERAGEIFS($I$2:I298, $B$2:B298, B298)</f>
        <v>0.44333333333333341</v>
      </c>
      <c r="AJ298" s="86">
        <f>AVERAGEIFS($J$2:J298, $B$2:B298, B298)</f>
        <v>0.46466666666666662</v>
      </c>
      <c r="AK298" s="86">
        <f>AVERAGEIFS($D$2:D298, $B$2:B298, B298)</f>
        <v>0.4</v>
      </c>
    </row>
    <row r="299" spans="1:37" x14ac:dyDescent="0.25">
      <c r="A299" s="85">
        <v>46083</v>
      </c>
      <c r="B299" t="s">
        <v>35</v>
      </c>
      <c r="C299">
        <v>8</v>
      </c>
      <c r="D299">
        <v>0</v>
      </c>
      <c r="E299">
        <v>5</v>
      </c>
      <c r="F299">
        <v>2</v>
      </c>
      <c r="G299">
        <v>20</v>
      </c>
      <c r="H299">
        <v>8</v>
      </c>
      <c r="I299">
        <v>0.4</v>
      </c>
      <c r="J299">
        <v>0.4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1</v>
      </c>
      <c r="AA299">
        <v>0</v>
      </c>
      <c r="AB299">
        <v>0</v>
      </c>
      <c r="AC299">
        <v>0</v>
      </c>
      <c r="AD299">
        <v>1</v>
      </c>
      <c r="AE299">
        <v>0</v>
      </c>
      <c r="AF299">
        <v>0</v>
      </c>
      <c r="AG299">
        <v>0</v>
      </c>
      <c r="AH299" s="86">
        <f>AVERAGEIFS($C$2:C299, $B$2:B299, B299)</f>
        <v>11.842105263157896</v>
      </c>
      <c r="AI299" s="86">
        <f>AVERAGEIFS($I$2:I299, $B$2:B299, B299)</f>
        <v>0.44894736842105271</v>
      </c>
      <c r="AJ299" s="86">
        <f>AVERAGEIFS($J$2:J299, $B$2:B299, B299)</f>
        <v>0.49526315789473696</v>
      </c>
      <c r="AK299" s="86">
        <f>AVERAGEIFS($D$2:D299, $B$2:B299, B299)</f>
        <v>0.36842105263157893</v>
      </c>
    </row>
    <row r="300" spans="1:37" x14ac:dyDescent="0.25">
      <c r="A300" s="85">
        <v>46084</v>
      </c>
      <c r="B300" t="s">
        <v>50</v>
      </c>
      <c r="C300">
        <v>10</v>
      </c>
      <c r="D300">
        <v>0</v>
      </c>
      <c r="E300">
        <v>4</v>
      </c>
      <c r="F300">
        <v>1</v>
      </c>
      <c r="G300">
        <v>14</v>
      </c>
      <c r="H300">
        <v>4</v>
      </c>
      <c r="I300">
        <v>0.25</v>
      </c>
      <c r="J300">
        <v>0.28999999999999998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1</v>
      </c>
      <c r="AD300">
        <v>0</v>
      </c>
      <c r="AE300">
        <v>0</v>
      </c>
      <c r="AF300">
        <v>0</v>
      </c>
      <c r="AG300">
        <v>0</v>
      </c>
      <c r="AH300" s="86">
        <f>AVERAGEIFS($C$2:C300, $B$2:B300, B300)</f>
        <v>20.149999999999999</v>
      </c>
      <c r="AI300" s="86">
        <f>AVERAGEIFS($I$2:I300, $B$2:B300, B300)</f>
        <v>0.50150000000000006</v>
      </c>
      <c r="AJ300" s="86">
        <f>AVERAGEIFS($J$2:J300, $B$2:B300, B300)</f>
        <v>0.51349999999999985</v>
      </c>
      <c r="AK300" s="86">
        <f>AVERAGEIFS($D$2:D300, $B$2:B300, B300)</f>
        <v>0.5</v>
      </c>
    </row>
    <row r="301" spans="1:37" x14ac:dyDescent="0.25">
      <c r="A301" s="85">
        <v>46084</v>
      </c>
      <c r="B301" t="s">
        <v>2</v>
      </c>
      <c r="C301">
        <v>18</v>
      </c>
      <c r="D301">
        <v>0</v>
      </c>
      <c r="E301">
        <v>4</v>
      </c>
      <c r="F301">
        <v>1</v>
      </c>
      <c r="G301">
        <v>14</v>
      </c>
      <c r="H301">
        <v>4</v>
      </c>
      <c r="I301">
        <v>0.25</v>
      </c>
      <c r="J301">
        <v>0.28999999999999998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1</v>
      </c>
      <c r="AD301">
        <v>0</v>
      </c>
      <c r="AE301">
        <v>0</v>
      </c>
      <c r="AF301">
        <v>0</v>
      </c>
      <c r="AG301">
        <v>0</v>
      </c>
      <c r="AH301" s="86">
        <f>AVERAGEIFS($C$2:C301, $B$2:B301, B301)</f>
        <v>24.176470588235293</v>
      </c>
      <c r="AI301" s="86">
        <f>AVERAGEIFS($I$2:I301, $B$2:B301, B301)</f>
        <v>0.49882352941176472</v>
      </c>
      <c r="AJ301" s="86">
        <f>AVERAGEIFS($J$2:J301, $B$2:B301, B301)</f>
        <v>0.51999999999999991</v>
      </c>
      <c r="AK301" s="86">
        <f>AVERAGEIFS($D$2:D301, $B$2:B301, B301)</f>
        <v>0.47058823529411764</v>
      </c>
    </row>
    <row r="302" spans="1:37" x14ac:dyDescent="0.25">
      <c r="A302" s="85">
        <v>46084</v>
      </c>
      <c r="B302" t="s">
        <v>1</v>
      </c>
      <c r="C302">
        <v>23</v>
      </c>
      <c r="D302">
        <v>0</v>
      </c>
      <c r="E302">
        <v>4</v>
      </c>
      <c r="F302">
        <v>1</v>
      </c>
      <c r="G302">
        <v>14</v>
      </c>
      <c r="H302">
        <v>4</v>
      </c>
      <c r="I302">
        <v>0.25</v>
      </c>
      <c r="J302">
        <v>0.28999999999999998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1</v>
      </c>
      <c r="AD302">
        <v>0</v>
      </c>
      <c r="AE302">
        <v>0</v>
      </c>
      <c r="AF302">
        <v>0</v>
      </c>
      <c r="AG302">
        <v>0</v>
      </c>
      <c r="AH302" s="86">
        <f>AVERAGEIFS($C$2:C302, $B$2:B302, B302)</f>
        <v>29.111111111111111</v>
      </c>
      <c r="AI302" s="86">
        <f>AVERAGEIFS($I$2:I302, $B$2:B302, B302)</f>
        <v>0.38333333333333336</v>
      </c>
      <c r="AJ302" s="86">
        <f>AVERAGEIFS($J$2:J302, $B$2:B302, B302)</f>
        <v>0.45555555555555549</v>
      </c>
      <c r="AK302" s="86">
        <f>AVERAGEIFS($D$2:D302, $B$2:B302, B302)</f>
        <v>0.44444444444444442</v>
      </c>
    </row>
    <row r="303" spans="1:37" x14ac:dyDescent="0.25">
      <c r="A303" s="85">
        <v>46084</v>
      </c>
      <c r="B303" t="s">
        <v>53</v>
      </c>
      <c r="C303">
        <v>17</v>
      </c>
      <c r="D303">
        <v>0</v>
      </c>
      <c r="E303">
        <v>4</v>
      </c>
      <c r="F303">
        <v>1</v>
      </c>
      <c r="G303">
        <v>14</v>
      </c>
      <c r="H303">
        <v>4</v>
      </c>
      <c r="I303">
        <v>0.25</v>
      </c>
      <c r="J303">
        <v>0.28999999999999998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1</v>
      </c>
      <c r="AD303">
        <v>0</v>
      </c>
      <c r="AE303">
        <v>0</v>
      </c>
      <c r="AF303">
        <v>0</v>
      </c>
      <c r="AG303">
        <v>0</v>
      </c>
      <c r="AH303" s="86">
        <f>AVERAGEIFS($C$2:C303, $B$2:B303, B303)</f>
        <v>18.875</v>
      </c>
      <c r="AI303" s="86">
        <f>AVERAGEIFS($I$2:I303, $B$2:B303, B303)</f>
        <v>0.48749999999999999</v>
      </c>
      <c r="AJ303" s="86">
        <f>AVERAGEIFS($J$2:J303, $B$2:B303, B303)</f>
        <v>0.47375</v>
      </c>
      <c r="AK303" s="86">
        <f>AVERAGEIFS($D$2:D303, $B$2:B303, B303)</f>
        <v>0.375</v>
      </c>
    </row>
    <row r="304" spans="1:37" x14ac:dyDescent="0.25">
      <c r="A304" s="85">
        <v>46084</v>
      </c>
      <c r="B304" t="s">
        <v>44</v>
      </c>
      <c r="C304">
        <v>11</v>
      </c>
      <c r="D304">
        <v>0</v>
      </c>
      <c r="E304">
        <v>4</v>
      </c>
      <c r="F304">
        <v>1</v>
      </c>
      <c r="G304">
        <v>14</v>
      </c>
      <c r="H304">
        <v>4</v>
      </c>
      <c r="I304">
        <v>0.25</v>
      </c>
      <c r="J304">
        <v>0.28999999999999998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1</v>
      </c>
      <c r="AD304">
        <v>0</v>
      </c>
      <c r="AE304">
        <v>0</v>
      </c>
      <c r="AF304">
        <v>0</v>
      </c>
      <c r="AG304">
        <v>0</v>
      </c>
      <c r="AH304" s="86">
        <f>AVERAGEIFS($C$2:C304, $B$2:B304, B304)</f>
        <v>17.428571428571427</v>
      </c>
      <c r="AI304" s="86">
        <f>AVERAGEIFS($I$2:I304, $B$2:B304, B304)</f>
        <v>0.47857142857142859</v>
      </c>
      <c r="AJ304" s="86">
        <f>AVERAGEIFS($J$2:J304, $B$2:B304, B304)</f>
        <v>0.51142857142857145</v>
      </c>
      <c r="AK304" s="86">
        <f>AVERAGEIFS($D$2:D304, $B$2:B304, B304)</f>
        <v>0.5714285714285714</v>
      </c>
    </row>
    <row r="305" spans="1:37" x14ac:dyDescent="0.25">
      <c r="A305" s="85">
        <v>46084</v>
      </c>
      <c r="B305" t="s">
        <v>27</v>
      </c>
      <c r="C305">
        <v>10</v>
      </c>
      <c r="D305">
        <v>0</v>
      </c>
      <c r="E305">
        <v>4</v>
      </c>
      <c r="F305">
        <v>1</v>
      </c>
      <c r="G305">
        <v>14</v>
      </c>
      <c r="H305">
        <v>4</v>
      </c>
      <c r="I305">
        <v>0.25</v>
      </c>
      <c r="J305">
        <v>0.28999999999999998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1</v>
      </c>
      <c r="AD305">
        <v>0</v>
      </c>
      <c r="AE305">
        <v>0</v>
      </c>
      <c r="AF305">
        <v>0</v>
      </c>
      <c r="AG305">
        <v>0</v>
      </c>
      <c r="AH305" s="86">
        <f>AVERAGEIFS($C$2:C305, $B$2:B305, B305)</f>
        <v>14.2</v>
      </c>
      <c r="AI305" s="86">
        <f>AVERAGEIFS($I$2:I305, $B$2:B305, B305)</f>
        <v>0.48</v>
      </c>
      <c r="AJ305" s="86">
        <f>AVERAGEIFS($J$2:J305, $B$2:B305, B305)</f>
        <v>0.438</v>
      </c>
      <c r="AK305" s="86">
        <f>AVERAGEIFS($D$2:D305, $B$2:B305, B305)</f>
        <v>0.4</v>
      </c>
    </row>
    <row r="306" spans="1:37" x14ac:dyDescent="0.25">
      <c r="A306" s="85">
        <v>46084</v>
      </c>
      <c r="B306" t="s">
        <v>6</v>
      </c>
      <c r="C306">
        <v>16</v>
      </c>
      <c r="D306">
        <v>1</v>
      </c>
      <c r="E306">
        <v>4</v>
      </c>
      <c r="F306">
        <v>3</v>
      </c>
      <c r="G306">
        <v>14</v>
      </c>
      <c r="H306">
        <v>10</v>
      </c>
      <c r="I306">
        <v>0.75</v>
      </c>
      <c r="J306">
        <v>0.71</v>
      </c>
      <c r="K306">
        <v>0</v>
      </c>
      <c r="L306">
        <v>1</v>
      </c>
      <c r="M306">
        <v>0</v>
      </c>
      <c r="N306">
        <v>1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1</v>
      </c>
      <c r="AF306">
        <v>0</v>
      </c>
      <c r="AG306">
        <v>0</v>
      </c>
      <c r="AH306" s="86">
        <f>AVERAGEIFS($C$2:C306, $B$2:B306, B306)</f>
        <v>23.19047619047619</v>
      </c>
      <c r="AI306" s="86">
        <f>AVERAGEIFS($I$2:I306, $B$2:B306, B306)</f>
        <v>0.64904761904761898</v>
      </c>
      <c r="AJ306" s="86">
        <f>AVERAGEIFS($J$2:J306, $B$2:B306, B306)</f>
        <v>0.5719047619047618</v>
      </c>
      <c r="AK306" s="86">
        <f>AVERAGEIFS($D$2:D306, $B$2:B306, B306)</f>
        <v>0.76190476190476186</v>
      </c>
    </row>
    <row r="307" spans="1:37" x14ac:dyDescent="0.25">
      <c r="A307" s="85">
        <v>46084</v>
      </c>
      <c r="B307" t="s">
        <v>4</v>
      </c>
      <c r="C307">
        <v>18</v>
      </c>
      <c r="D307">
        <v>1</v>
      </c>
      <c r="E307">
        <v>4</v>
      </c>
      <c r="F307">
        <v>3</v>
      </c>
      <c r="G307">
        <v>14</v>
      </c>
      <c r="H307">
        <v>10</v>
      </c>
      <c r="I307">
        <v>0.75</v>
      </c>
      <c r="J307">
        <v>0.71</v>
      </c>
      <c r="K307">
        <v>0</v>
      </c>
      <c r="L307">
        <v>1</v>
      </c>
      <c r="M307">
        <v>0</v>
      </c>
      <c r="N307">
        <v>1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1</v>
      </c>
      <c r="AF307">
        <v>0</v>
      </c>
      <c r="AG307">
        <v>0</v>
      </c>
      <c r="AH307" s="86">
        <f>AVERAGEIFS($C$2:C307, $B$2:B307, B307)</f>
        <v>25.6</v>
      </c>
      <c r="AI307" s="86">
        <f>AVERAGEIFS($I$2:I307, $B$2:B307, B307)</f>
        <v>0.42000000000000004</v>
      </c>
      <c r="AJ307" s="86">
        <f>AVERAGEIFS($J$2:J307, $B$2:B307, B307)</f>
        <v>0.45999999999999996</v>
      </c>
      <c r="AK307" s="86">
        <f>AVERAGEIFS($D$2:D307, $B$2:B307, B307)</f>
        <v>0.3</v>
      </c>
    </row>
    <row r="308" spans="1:37" x14ac:dyDescent="0.25">
      <c r="A308" s="85">
        <v>46084</v>
      </c>
      <c r="B308" t="s">
        <v>52</v>
      </c>
      <c r="C308">
        <v>13</v>
      </c>
      <c r="D308">
        <v>1</v>
      </c>
      <c r="E308">
        <v>4</v>
      </c>
      <c r="F308">
        <v>3</v>
      </c>
      <c r="G308">
        <v>14</v>
      </c>
      <c r="H308">
        <v>10</v>
      </c>
      <c r="I308">
        <v>0.75</v>
      </c>
      <c r="J308">
        <v>0.71</v>
      </c>
      <c r="K308">
        <v>0</v>
      </c>
      <c r="L308">
        <v>1</v>
      </c>
      <c r="M308">
        <v>0</v>
      </c>
      <c r="N308">
        <v>1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1</v>
      </c>
      <c r="AF308">
        <v>0</v>
      </c>
      <c r="AG308">
        <v>0</v>
      </c>
      <c r="AH308" s="86">
        <f>AVERAGEIFS($C$2:C308, $B$2:B308, B308)</f>
        <v>13.857142857142858</v>
      </c>
      <c r="AI308" s="86">
        <f>AVERAGEIFS($I$2:I308, $B$2:B308, B308)</f>
        <v>0.41428571428571426</v>
      </c>
      <c r="AJ308" s="86">
        <f>AVERAGEIFS($J$2:J308, $B$2:B308, B308)</f>
        <v>0.43000000000000005</v>
      </c>
      <c r="AK308" s="86">
        <f>AVERAGEIFS($D$2:D308, $B$2:B308, B308)</f>
        <v>0.2857142857142857</v>
      </c>
    </row>
    <row r="309" spans="1:37" x14ac:dyDescent="0.25">
      <c r="A309" s="85">
        <v>46084</v>
      </c>
      <c r="B309" t="s">
        <v>40</v>
      </c>
      <c r="C309">
        <v>18</v>
      </c>
      <c r="D309">
        <v>1</v>
      </c>
      <c r="E309">
        <v>4</v>
      </c>
      <c r="F309">
        <v>3</v>
      </c>
      <c r="G309">
        <v>14</v>
      </c>
      <c r="H309">
        <v>10</v>
      </c>
      <c r="I309">
        <v>0.75</v>
      </c>
      <c r="J309">
        <v>0.71</v>
      </c>
      <c r="K309">
        <v>0</v>
      </c>
      <c r="L309">
        <v>1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1</v>
      </c>
      <c r="AF309">
        <v>0</v>
      </c>
      <c r="AG309">
        <v>0</v>
      </c>
      <c r="AH309" s="86">
        <f>AVERAGEIFS($C$2:C309, $B$2:B309, B309)</f>
        <v>17.6875</v>
      </c>
      <c r="AI309" s="86">
        <f>AVERAGEIFS($I$2:I309, $B$2:B309, B309)</f>
        <v>0.46250000000000008</v>
      </c>
      <c r="AJ309" s="86">
        <f>AVERAGEIFS($J$2:J309, $B$2:B309, B309)</f>
        <v>0.47999999999999993</v>
      </c>
      <c r="AK309" s="86">
        <f>AVERAGEIFS($D$2:D309, $B$2:B309, B309)</f>
        <v>0.4375</v>
      </c>
    </row>
    <row r="310" spans="1:37" x14ac:dyDescent="0.25">
      <c r="A310" s="85">
        <v>46084</v>
      </c>
      <c r="B310" t="s">
        <v>42</v>
      </c>
      <c r="C310">
        <v>28</v>
      </c>
      <c r="D310">
        <v>1</v>
      </c>
      <c r="E310">
        <v>4</v>
      </c>
      <c r="F310">
        <v>3</v>
      </c>
      <c r="G310">
        <v>14</v>
      </c>
      <c r="H310">
        <v>10</v>
      </c>
      <c r="I310">
        <v>0.75</v>
      </c>
      <c r="J310">
        <v>0.71</v>
      </c>
      <c r="K310">
        <v>0</v>
      </c>
      <c r="L310">
        <v>1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1</v>
      </c>
      <c r="AF310">
        <v>0</v>
      </c>
      <c r="AG310">
        <v>0</v>
      </c>
      <c r="AH310" s="86">
        <f>AVERAGEIFS($C$2:C310, $B$2:B310, B310)</f>
        <v>17.100000000000001</v>
      </c>
      <c r="AI310" s="86">
        <f>AVERAGEIFS($I$2:I310, $B$2:B310, B310)</f>
        <v>0.495</v>
      </c>
      <c r="AJ310" s="86">
        <f>AVERAGEIFS($J$2:J310, $B$2:B310, B310)</f>
        <v>0.49299999999999999</v>
      </c>
      <c r="AK310" s="86">
        <f>AVERAGEIFS($D$2:D310, $B$2:B310, B310)</f>
        <v>0.6</v>
      </c>
    </row>
    <row r="311" spans="1:37" x14ac:dyDescent="0.25">
      <c r="A311" s="85">
        <v>46084</v>
      </c>
      <c r="B311" t="s">
        <v>28</v>
      </c>
      <c r="C311">
        <v>21</v>
      </c>
      <c r="D311">
        <v>1</v>
      </c>
      <c r="E311">
        <v>4</v>
      </c>
      <c r="F311">
        <v>3</v>
      </c>
      <c r="G311">
        <v>14</v>
      </c>
      <c r="H311">
        <v>10</v>
      </c>
      <c r="I311">
        <v>0.75</v>
      </c>
      <c r="J311">
        <v>0.71</v>
      </c>
      <c r="K311">
        <v>0</v>
      </c>
      <c r="L311">
        <v>1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1</v>
      </c>
      <c r="AF311">
        <v>0</v>
      </c>
      <c r="AG311">
        <v>0</v>
      </c>
      <c r="AH311" s="86">
        <f>AVERAGEIFS($C$2:C311, $B$2:B311, B311)</f>
        <v>17</v>
      </c>
      <c r="AI311" s="86">
        <f>AVERAGEIFS($I$2:I311, $B$2:B311, B311)</f>
        <v>0.4936363636363636</v>
      </c>
      <c r="AJ311" s="86">
        <f>AVERAGEIFS($J$2:J311, $B$2:B311, B311)</f>
        <v>0.52363636363636357</v>
      </c>
      <c r="AK311" s="86">
        <f>AVERAGEIFS($D$2:D311, $B$2:B311, B311)</f>
        <v>0.45454545454545453</v>
      </c>
    </row>
    <row r="312" spans="1:37" x14ac:dyDescent="0.25">
      <c r="A312" s="85">
        <v>46085</v>
      </c>
      <c r="B312" t="s">
        <v>44</v>
      </c>
      <c r="C312">
        <v>21</v>
      </c>
      <c r="D312">
        <v>1</v>
      </c>
      <c r="E312">
        <v>3</v>
      </c>
      <c r="F312">
        <v>3</v>
      </c>
      <c r="G312">
        <v>10</v>
      </c>
      <c r="H312">
        <v>9</v>
      </c>
      <c r="I312">
        <v>1</v>
      </c>
      <c r="J312">
        <v>0.9</v>
      </c>
      <c r="K312">
        <v>1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1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1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H312" s="86">
        <f>AVERAGEIFS($C$2:C312, $B$2:B312, B312)</f>
        <v>17.875</v>
      </c>
      <c r="AI312" s="86">
        <f>AVERAGEIFS($I$2:I312, $B$2:B312, B312)</f>
        <v>0.54374999999999996</v>
      </c>
      <c r="AJ312" s="86">
        <f>AVERAGEIFS($J$2:J312, $B$2:B312, B312)</f>
        <v>0.56000000000000005</v>
      </c>
      <c r="AK312" s="86">
        <f>AVERAGEIFS($D$2:D312, $B$2:B312, B312)</f>
        <v>0.625</v>
      </c>
    </row>
    <row r="313" spans="1:37" x14ac:dyDescent="0.25">
      <c r="A313" s="85">
        <v>46085</v>
      </c>
      <c r="B313" t="s">
        <v>6</v>
      </c>
      <c r="C313">
        <v>19</v>
      </c>
      <c r="D313">
        <v>1</v>
      </c>
      <c r="E313">
        <v>3</v>
      </c>
      <c r="F313">
        <v>3</v>
      </c>
      <c r="G313">
        <v>10</v>
      </c>
      <c r="H313">
        <v>9</v>
      </c>
      <c r="I313">
        <v>1</v>
      </c>
      <c r="J313">
        <v>0.9</v>
      </c>
      <c r="K313">
        <v>1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1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1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H313" s="86">
        <f>AVERAGEIFS($C$2:C313, $B$2:B313, B313)</f>
        <v>23</v>
      </c>
      <c r="AI313" s="86">
        <f>AVERAGEIFS($I$2:I313, $B$2:B313, B313)</f>
        <v>0.66499999999999992</v>
      </c>
      <c r="AJ313" s="86">
        <f>AVERAGEIFS($J$2:J313, $B$2:B313, B313)</f>
        <v>0.58681818181818179</v>
      </c>
      <c r="AK313" s="86">
        <f>AVERAGEIFS($D$2:D313, $B$2:B313, B313)</f>
        <v>0.77272727272727271</v>
      </c>
    </row>
    <row r="314" spans="1:37" x14ac:dyDescent="0.25">
      <c r="A314" s="85">
        <v>46085</v>
      </c>
      <c r="B314" t="s">
        <v>14</v>
      </c>
      <c r="C314">
        <v>11</v>
      </c>
      <c r="D314">
        <v>1</v>
      </c>
      <c r="E314">
        <v>3</v>
      </c>
      <c r="F314">
        <v>3</v>
      </c>
      <c r="G314">
        <v>10</v>
      </c>
      <c r="H314">
        <v>9</v>
      </c>
      <c r="I314">
        <v>1</v>
      </c>
      <c r="J314">
        <v>0.9</v>
      </c>
      <c r="K314">
        <v>1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1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1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 s="86">
        <f>AVERAGEIFS($C$2:C314, $B$2:B314, B314)</f>
        <v>16.90909090909091</v>
      </c>
      <c r="AI314" s="86">
        <f>AVERAGEIFS($I$2:I314, $B$2:B314, B314)</f>
        <v>0.48818181818181822</v>
      </c>
      <c r="AJ314" s="86">
        <f>AVERAGEIFS($J$2:J314, $B$2:B314, B314)</f>
        <v>0.50636363636363635</v>
      </c>
      <c r="AK314" s="86">
        <f>AVERAGEIFS($D$2:D314, $B$2:B314, B314)</f>
        <v>0.54545454545454541</v>
      </c>
    </row>
    <row r="315" spans="1:37" x14ac:dyDescent="0.25">
      <c r="A315" s="85">
        <v>46085</v>
      </c>
      <c r="B315" t="s">
        <v>25</v>
      </c>
      <c r="C315">
        <v>10</v>
      </c>
      <c r="D315">
        <v>1</v>
      </c>
      <c r="E315">
        <v>3</v>
      </c>
      <c r="F315">
        <v>3</v>
      </c>
      <c r="G315">
        <v>10</v>
      </c>
      <c r="H315">
        <v>9</v>
      </c>
      <c r="I315">
        <v>1</v>
      </c>
      <c r="J315">
        <v>0.9</v>
      </c>
      <c r="K315">
        <v>1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1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1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 s="86">
        <f>AVERAGEIFS($C$2:C315, $B$2:B315, B315)</f>
        <v>8.5</v>
      </c>
      <c r="AI315" s="86">
        <f>AVERAGEIFS($I$2:I315, $B$2:B315, B315)</f>
        <v>0.6875</v>
      </c>
      <c r="AJ315" s="86">
        <f>AVERAGEIFS($J$2:J315, $B$2:B315, B315)</f>
        <v>0.68</v>
      </c>
      <c r="AK315" s="86">
        <f>AVERAGEIFS($D$2:D315, $B$2:B315, B315)</f>
        <v>0.75</v>
      </c>
    </row>
    <row r="316" spans="1:37" x14ac:dyDescent="0.25">
      <c r="A316" s="85">
        <v>46085</v>
      </c>
      <c r="B316" t="s">
        <v>50</v>
      </c>
      <c r="C316">
        <v>10</v>
      </c>
      <c r="D316">
        <v>1</v>
      </c>
      <c r="E316">
        <v>3</v>
      </c>
      <c r="F316">
        <v>3</v>
      </c>
      <c r="G316">
        <v>10</v>
      </c>
      <c r="H316">
        <v>9</v>
      </c>
      <c r="I316">
        <v>1</v>
      </c>
      <c r="J316">
        <v>0.9</v>
      </c>
      <c r="K316">
        <v>1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1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1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 s="86">
        <f>AVERAGEIFS($C$2:C316, $B$2:B316, B316)</f>
        <v>19.666666666666668</v>
      </c>
      <c r="AI316" s="86">
        <f>AVERAGEIFS($I$2:I316, $B$2:B316, B316)</f>
        <v>0.52523809523809528</v>
      </c>
      <c r="AJ316" s="86">
        <f>AVERAGEIFS($J$2:J316, $B$2:B316, B316)</f>
        <v>0.53190476190476177</v>
      </c>
      <c r="AK316" s="86">
        <f>AVERAGEIFS($D$2:D316, $B$2:B316, B316)</f>
        <v>0.52380952380952384</v>
      </c>
    </row>
    <row r="317" spans="1:37" x14ac:dyDescent="0.25">
      <c r="A317" s="85">
        <v>46085</v>
      </c>
      <c r="B317" t="s">
        <v>53</v>
      </c>
      <c r="C317">
        <v>10</v>
      </c>
      <c r="D317">
        <v>1</v>
      </c>
      <c r="E317">
        <v>3</v>
      </c>
      <c r="F317">
        <v>3</v>
      </c>
      <c r="G317">
        <v>10</v>
      </c>
      <c r="H317">
        <v>9</v>
      </c>
      <c r="I317">
        <v>1</v>
      </c>
      <c r="J317">
        <v>0.9</v>
      </c>
      <c r="K317">
        <v>1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1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1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0</v>
      </c>
      <c r="AH317" s="86">
        <f>AVERAGEIFS($C$2:C317, $B$2:B317, B317)</f>
        <v>17.888888888888889</v>
      </c>
      <c r="AI317" s="86">
        <f>AVERAGEIFS($I$2:I317, $B$2:B317, B317)</f>
        <v>0.54444444444444451</v>
      </c>
      <c r="AJ317" s="86">
        <f>AVERAGEIFS($J$2:J317, $B$2:B317, B317)</f>
        <v>0.52111111111111119</v>
      </c>
      <c r="AK317" s="86">
        <f>AVERAGEIFS($D$2:D317, $B$2:B317, B317)</f>
        <v>0.44444444444444442</v>
      </c>
    </row>
    <row r="318" spans="1:37" x14ac:dyDescent="0.25">
      <c r="A318" s="85">
        <v>46085</v>
      </c>
      <c r="B318" t="s">
        <v>13</v>
      </c>
      <c r="C318">
        <v>6</v>
      </c>
      <c r="D318">
        <v>1</v>
      </c>
      <c r="E318">
        <v>3</v>
      </c>
      <c r="F318">
        <v>3</v>
      </c>
      <c r="G318">
        <v>10</v>
      </c>
      <c r="H318">
        <v>9</v>
      </c>
      <c r="I318">
        <v>1</v>
      </c>
      <c r="J318">
        <v>0.9</v>
      </c>
      <c r="K318">
        <v>1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1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1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0</v>
      </c>
      <c r="AH318" s="86">
        <f>AVERAGEIFS($C$2:C318, $B$2:B318, B318)</f>
        <v>8.5</v>
      </c>
      <c r="AI318" s="86">
        <f>AVERAGEIFS($I$2:I318, $B$2:B318, B318)</f>
        <v>0.6</v>
      </c>
      <c r="AJ318" s="86">
        <f>AVERAGEIFS($J$2:J318, $B$2:B318, B318)</f>
        <v>0.54749999999999999</v>
      </c>
      <c r="AK318" s="86">
        <f>AVERAGEIFS($D$2:D318, $B$2:B318, B318)</f>
        <v>0.5</v>
      </c>
    </row>
    <row r="319" spans="1:37" x14ac:dyDescent="0.25">
      <c r="A319" s="85">
        <v>46085</v>
      </c>
      <c r="B319" t="s">
        <v>17</v>
      </c>
      <c r="C319">
        <v>15</v>
      </c>
      <c r="D319">
        <v>0</v>
      </c>
      <c r="E319">
        <v>3</v>
      </c>
      <c r="F319">
        <v>0</v>
      </c>
      <c r="G319">
        <v>10</v>
      </c>
      <c r="H319">
        <v>1</v>
      </c>
      <c r="I319">
        <v>0</v>
      </c>
      <c r="J319">
        <v>0.1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 s="86">
        <f>AVERAGEIFS($C$2:C319, $B$2:B319, B319)</f>
        <v>21.055555555555557</v>
      </c>
      <c r="AI319" s="86">
        <f>AVERAGEIFS($I$2:I319, $B$2:B319, B319)</f>
        <v>0.45944444444444443</v>
      </c>
      <c r="AJ319" s="86">
        <f>AVERAGEIFS($J$2:J319, $B$2:B319, B319)</f>
        <v>0.46111111111111114</v>
      </c>
      <c r="AK319" s="86">
        <f>AVERAGEIFS($D$2:D319, $B$2:B319, B319)</f>
        <v>0.3888888888888889</v>
      </c>
    </row>
    <row r="320" spans="1:37" x14ac:dyDescent="0.25">
      <c r="A320" s="85">
        <v>46085</v>
      </c>
      <c r="B320" t="s">
        <v>1</v>
      </c>
      <c r="C320">
        <v>13</v>
      </c>
      <c r="D320">
        <v>0</v>
      </c>
      <c r="E320">
        <v>3</v>
      </c>
      <c r="F320">
        <v>0</v>
      </c>
      <c r="G320">
        <v>10</v>
      </c>
      <c r="H320">
        <v>1</v>
      </c>
      <c r="I320">
        <v>0</v>
      </c>
      <c r="J320">
        <v>0.1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>
        <v>0</v>
      </c>
      <c r="AH320" s="86">
        <f>AVERAGEIFS($C$2:C320, $B$2:B320, B320)</f>
        <v>27.5</v>
      </c>
      <c r="AI320" s="86">
        <f>AVERAGEIFS($I$2:I320, $B$2:B320, B320)</f>
        <v>0.34500000000000003</v>
      </c>
      <c r="AJ320" s="86">
        <f>AVERAGEIFS($J$2:J320, $B$2:B320, B320)</f>
        <v>0.41999999999999993</v>
      </c>
      <c r="AK320" s="86">
        <f>AVERAGEIFS($D$2:D320, $B$2:B320, B320)</f>
        <v>0.4</v>
      </c>
    </row>
    <row r="321" spans="1:37" x14ac:dyDescent="0.25">
      <c r="A321" s="85">
        <v>46085</v>
      </c>
      <c r="B321" t="s">
        <v>28</v>
      </c>
      <c r="C321">
        <v>10</v>
      </c>
      <c r="D321">
        <v>0</v>
      </c>
      <c r="E321">
        <v>3</v>
      </c>
      <c r="F321">
        <v>0</v>
      </c>
      <c r="G321">
        <v>10</v>
      </c>
      <c r="H321">
        <v>1</v>
      </c>
      <c r="I321">
        <v>0</v>
      </c>
      <c r="J321">
        <v>0.1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H321" s="86">
        <f>AVERAGEIFS($C$2:C321, $B$2:B321, B321)</f>
        <v>16.416666666666668</v>
      </c>
      <c r="AI321" s="86">
        <f>AVERAGEIFS($I$2:I321, $B$2:B321, B321)</f>
        <v>0.45249999999999996</v>
      </c>
      <c r="AJ321" s="86">
        <f>AVERAGEIFS($J$2:J321, $B$2:B321, B321)</f>
        <v>0.48833333333333323</v>
      </c>
      <c r="AK321" s="86">
        <f>AVERAGEIFS($D$2:D321, $B$2:B321, B321)</f>
        <v>0.41666666666666669</v>
      </c>
    </row>
    <row r="322" spans="1:37" x14ac:dyDescent="0.25">
      <c r="A322" s="85">
        <v>46085</v>
      </c>
      <c r="B322" t="s">
        <v>40</v>
      </c>
      <c r="C322">
        <v>9</v>
      </c>
      <c r="D322">
        <v>0</v>
      </c>
      <c r="E322">
        <v>3</v>
      </c>
      <c r="F322">
        <v>0</v>
      </c>
      <c r="G322">
        <v>10</v>
      </c>
      <c r="H322">
        <v>1</v>
      </c>
      <c r="I322">
        <v>0</v>
      </c>
      <c r="J322">
        <v>0.1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>
        <v>0</v>
      </c>
      <c r="AH322" s="86">
        <f>AVERAGEIFS($C$2:C322, $B$2:B322, B322)</f>
        <v>17.176470588235293</v>
      </c>
      <c r="AI322" s="86">
        <f>AVERAGEIFS($I$2:I322, $B$2:B322, B322)</f>
        <v>0.43529411764705889</v>
      </c>
      <c r="AJ322" s="86">
        <f>AVERAGEIFS($J$2:J322, $B$2:B322, B322)</f>
        <v>0.4576470588235293</v>
      </c>
      <c r="AK322" s="86">
        <f>AVERAGEIFS($D$2:D322, $B$2:B322, B322)</f>
        <v>0.41176470588235292</v>
      </c>
    </row>
    <row r="323" spans="1:37" x14ac:dyDescent="0.25">
      <c r="A323" s="85">
        <v>46085</v>
      </c>
      <c r="B323" t="s">
        <v>35</v>
      </c>
      <c r="C323">
        <v>8</v>
      </c>
      <c r="D323">
        <v>0</v>
      </c>
      <c r="E323">
        <v>3</v>
      </c>
      <c r="F323">
        <v>0</v>
      </c>
      <c r="G323">
        <v>10</v>
      </c>
      <c r="H323">
        <v>1</v>
      </c>
      <c r="I323">
        <v>0</v>
      </c>
      <c r="J323">
        <v>0.1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>
        <v>0</v>
      </c>
      <c r="AH323" s="86">
        <f>AVERAGEIFS($C$2:C323, $B$2:B323, B323)</f>
        <v>11.65</v>
      </c>
      <c r="AI323" s="86">
        <f>AVERAGEIFS($I$2:I323, $B$2:B323, B323)</f>
        <v>0.42650000000000005</v>
      </c>
      <c r="AJ323" s="86">
        <f>AVERAGEIFS($J$2:J323, $B$2:B323, B323)</f>
        <v>0.47550000000000009</v>
      </c>
      <c r="AK323" s="86">
        <f>AVERAGEIFS($D$2:D323, $B$2:B323, B323)</f>
        <v>0.35</v>
      </c>
    </row>
    <row r="324" spans="1:37" x14ac:dyDescent="0.25">
      <c r="A324" s="85">
        <v>46085</v>
      </c>
      <c r="B324" t="s">
        <v>42</v>
      </c>
      <c r="C324">
        <v>6</v>
      </c>
      <c r="D324">
        <v>0</v>
      </c>
      <c r="E324">
        <v>3</v>
      </c>
      <c r="F324">
        <v>0</v>
      </c>
      <c r="G324">
        <v>10</v>
      </c>
      <c r="H324">
        <v>1</v>
      </c>
      <c r="I324">
        <v>0</v>
      </c>
      <c r="J324">
        <v>0.1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0</v>
      </c>
      <c r="AH324" s="86">
        <f>AVERAGEIFS($C$2:C324, $B$2:B324, B324)</f>
        <v>16.09090909090909</v>
      </c>
      <c r="AI324" s="86">
        <f>AVERAGEIFS($I$2:I324, $B$2:B324, B324)</f>
        <v>0.45</v>
      </c>
      <c r="AJ324" s="86">
        <f>AVERAGEIFS($J$2:J324, $B$2:B324, B324)</f>
        <v>0.45727272727272722</v>
      </c>
      <c r="AK324" s="86">
        <f>AVERAGEIFS($D$2:D324, $B$2:B324, B324)</f>
        <v>0.54545454545454541</v>
      </c>
    </row>
    <row r="325" spans="1:37" x14ac:dyDescent="0.25">
      <c r="A325" s="85">
        <v>46085</v>
      </c>
      <c r="B325" t="s">
        <v>15</v>
      </c>
      <c r="C325">
        <v>4</v>
      </c>
      <c r="D325">
        <v>0</v>
      </c>
      <c r="E325">
        <v>3</v>
      </c>
      <c r="F325">
        <v>0</v>
      </c>
      <c r="G325">
        <v>10</v>
      </c>
      <c r="H325">
        <v>1</v>
      </c>
      <c r="I325">
        <v>0</v>
      </c>
      <c r="J325">
        <v>0.1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H325" s="86">
        <f>AVERAGEIFS($C$2:C325, $B$2:B325, B325)</f>
        <v>4</v>
      </c>
      <c r="AI325" s="86">
        <f>AVERAGEIFS($I$2:I325, $B$2:B325, B325)</f>
        <v>0</v>
      </c>
      <c r="AJ325" s="86">
        <f>AVERAGEIFS($J$2:J325, $B$2:B325, B325)</f>
        <v>0.1</v>
      </c>
      <c r="AK325" s="86">
        <f>AVERAGEIFS($D$2:D325, $B$2:B325, B325)</f>
        <v>0</v>
      </c>
    </row>
    <row r="326" spans="1:37" x14ac:dyDescent="0.25">
      <c r="A326" s="85">
        <v>46086</v>
      </c>
      <c r="B326" t="s">
        <v>6</v>
      </c>
      <c r="C326">
        <v>21</v>
      </c>
      <c r="D326">
        <v>1</v>
      </c>
      <c r="E326">
        <v>4</v>
      </c>
      <c r="F326">
        <v>3</v>
      </c>
      <c r="G326">
        <v>15</v>
      </c>
      <c r="H326">
        <v>9</v>
      </c>
      <c r="I326">
        <v>0.75</v>
      </c>
      <c r="J326">
        <v>0.6</v>
      </c>
      <c r="K326">
        <v>0</v>
      </c>
      <c r="L326">
        <v>0</v>
      </c>
      <c r="M326">
        <v>0</v>
      </c>
      <c r="N326">
        <v>1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1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0</v>
      </c>
      <c r="AE326">
        <v>1</v>
      </c>
      <c r="AF326">
        <v>0</v>
      </c>
      <c r="AG326">
        <v>0</v>
      </c>
      <c r="AH326" s="86">
        <f>AVERAGEIFS($C$2:C326, $B$2:B326, B326)</f>
        <v>22.913043478260871</v>
      </c>
      <c r="AI326" s="86">
        <f>AVERAGEIFS($I$2:I326, $B$2:B326, B326)</f>
        <v>0.66869565217391302</v>
      </c>
      <c r="AJ326" s="86">
        <f>AVERAGEIFS($J$2:J326, $B$2:B326, B326)</f>
        <v>0.58739130434782605</v>
      </c>
      <c r="AK326" s="86">
        <f>AVERAGEIFS($D$2:D326, $B$2:B326, B326)</f>
        <v>0.78260869565217395</v>
      </c>
    </row>
    <row r="327" spans="1:37" x14ac:dyDescent="0.25">
      <c r="A327" s="85">
        <v>46086</v>
      </c>
      <c r="B327" t="s">
        <v>50</v>
      </c>
      <c r="C327">
        <v>20</v>
      </c>
      <c r="D327">
        <v>1</v>
      </c>
      <c r="E327">
        <v>4</v>
      </c>
      <c r="F327">
        <v>3</v>
      </c>
      <c r="G327">
        <v>15</v>
      </c>
      <c r="H327">
        <v>9</v>
      </c>
      <c r="I327">
        <v>0.75</v>
      </c>
      <c r="J327">
        <v>0.6</v>
      </c>
      <c r="K327">
        <v>0</v>
      </c>
      <c r="L327">
        <v>0</v>
      </c>
      <c r="M327">
        <v>0</v>
      </c>
      <c r="N327">
        <v>1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1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0</v>
      </c>
      <c r="AE327">
        <v>1</v>
      </c>
      <c r="AF327">
        <v>0</v>
      </c>
      <c r="AG327">
        <v>0</v>
      </c>
      <c r="AH327" s="86">
        <f>AVERAGEIFS($C$2:C327, $B$2:B327, B327)</f>
        <v>19.681818181818183</v>
      </c>
      <c r="AI327" s="86">
        <f>AVERAGEIFS($I$2:I327, $B$2:B327, B327)</f>
        <v>0.53545454545454552</v>
      </c>
      <c r="AJ327" s="86">
        <f>AVERAGEIFS($J$2:J327, $B$2:B327, B327)</f>
        <v>0.53499999999999992</v>
      </c>
      <c r="AK327" s="86">
        <f>AVERAGEIFS($D$2:D327, $B$2:B327, B327)</f>
        <v>0.54545454545454541</v>
      </c>
    </row>
    <row r="328" spans="1:37" x14ac:dyDescent="0.25">
      <c r="A328" s="85">
        <v>46086</v>
      </c>
      <c r="B328" t="s">
        <v>40</v>
      </c>
      <c r="C328">
        <v>19</v>
      </c>
      <c r="D328">
        <v>1</v>
      </c>
      <c r="E328">
        <v>4</v>
      </c>
      <c r="F328">
        <v>3</v>
      </c>
      <c r="G328">
        <v>15</v>
      </c>
      <c r="H328">
        <v>9</v>
      </c>
      <c r="I328">
        <v>0.75</v>
      </c>
      <c r="J328">
        <v>0.6</v>
      </c>
      <c r="K328">
        <v>0</v>
      </c>
      <c r="L328">
        <v>0</v>
      </c>
      <c r="M328">
        <v>0</v>
      </c>
      <c r="N328">
        <v>1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1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0</v>
      </c>
      <c r="AE328">
        <v>1</v>
      </c>
      <c r="AF328">
        <v>0</v>
      </c>
      <c r="AG328">
        <v>0</v>
      </c>
      <c r="AH328" s="86">
        <f>AVERAGEIFS($C$2:C328, $B$2:B328, B328)</f>
        <v>17.277777777777779</v>
      </c>
      <c r="AI328" s="86">
        <f>AVERAGEIFS($I$2:I328, $B$2:B328, B328)</f>
        <v>0.45277777777777789</v>
      </c>
      <c r="AJ328" s="86">
        <f>AVERAGEIFS($J$2:J328, $B$2:B328, B328)</f>
        <v>0.4655555555555555</v>
      </c>
      <c r="AK328" s="86">
        <f>AVERAGEIFS($D$2:D328, $B$2:B328, B328)</f>
        <v>0.44444444444444442</v>
      </c>
    </row>
    <row r="329" spans="1:37" x14ac:dyDescent="0.25">
      <c r="A329" s="85">
        <v>46086</v>
      </c>
      <c r="B329" t="s">
        <v>70</v>
      </c>
      <c r="C329">
        <v>19</v>
      </c>
      <c r="D329">
        <v>1</v>
      </c>
      <c r="E329">
        <v>4</v>
      </c>
      <c r="F329">
        <v>3</v>
      </c>
      <c r="G329">
        <v>15</v>
      </c>
      <c r="H329">
        <v>9</v>
      </c>
      <c r="I329">
        <v>0.75</v>
      </c>
      <c r="J329">
        <v>0.6</v>
      </c>
      <c r="K329">
        <v>0</v>
      </c>
      <c r="L329">
        <v>0</v>
      </c>
      <c r="M329">
        <v>0</v>
      </c>
      <c r="N329">
        <v>1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1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0</v>
      </c>
      <c r="AE329">
        <v>1</v>
      </c>
      <c r="AF329">
        <v>0</v>
      </c>
      <c r="AG329">
        <v>0</v>
      </c>
      <c r="AH329" s="86">
        <f>AVERAGEIFS($C$2:C329, $B$2:B329, B329)</f>
        <v>12.6</v>
      </c>
      <c r="AI329" s="86">
        <f>AVERAGEIFS($I$2:I329, $B$2:B329, B329)</f>
        <v>0.71000000000000008</v>
      </c>
      <c r="AJ329" s="86">
        <f>AVERAGEIFS($J$2:J329, $B$2:B329, B329)</f>
        <v>0.57999999999999996</v>
      </c>
      <c r="AK329" s="86">
        <f>AVERAGEIFS($D$2:D329, $B$2:B329, B329)</f>
        <v>1</v>
      </c>
    </row>
    <row r="330" spans="1:37" x14ac:dyDescent="0.25">
      <c r="A330" s="85">
        <v>46086</v>
      </c>
      <c r="B330" t="s">
        <v>107</v>
      </c>
      <c r="C330">
        <v>18</v>
      </c>
      <c r="D330">
        <v>1</v>
      </c>
      <c r="E330">
        <v>4</v>
      </c>
      <c r="F330">
        <v>3</v>
      </c>
      <c r="G330">
        <v>15</v>
      </c>
      <c r="H330">
        <v>9</v>
      </c>
      <c r="I330">
        <v>0.75</v>
      </c>
      <c r="J330">
        <v>0.6</v>
      </c>
      <c r="K330">
        <v>0</v>
      </c>
      <c r="L330">
        <v>0</v>
      </c>
      <c r="M330">
        <v>0</v>
      </c>
      <c r="N330">
        <v>1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1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0</v>
      </c>
      <c r="AE330">
        <v>1</v>
      </c>
      <c r="AF330">
        <v>0</v>
      </c>
      <c r="AG330">
        <v>0</v>
      </c>
      <c r="AH330" s="86">
        <f>AVERAGEIFS($C$2:C330, $B$2:B330, B330)</f>
        <v>16.142857142857142</v>
      </c>
      <c r="AI330" s="86">
        <f>AVERAGEIFS($I$2:I330, $B$2:B330, B330)</f>
        <v>0.57857142857142851</v>
      </c>
      <c r="AJ330" s="86">
        <f>AVERAGEIFS($J$2:J330, $B$2:B330, B330)</f>
        <v>0.53142857142857136</v>
      </c>
      <c r="AK330" s="86">
        <f>AVERAGEIFS($D$2:D330, $B$2:B330, B330)</f>
        <v>0.5714285714285714</v>
      </c>
    </row>
    <row r="331" spans="1:37" x14ac:dyDescent="0.25">
      <c r="A331" s="85">
        <v>46086</v>
      </c>
      <c r="B331" t="s">
        <v>53</v>
      </c>
      <c r="C331">
        <v>17</v>
      </c>
      <c r="D331">
        <v>1</v>
      </c>
      <c r="E331">
        <v>4</v>
      </c>
      <c r="F331">
        <v>3</v>
      </c>
      <c r="G331">
        <v>15</v>
      </c>
      <c r="H331">
        <v>9</v>
      </c>
      <c r="I331">
        <v>0.75</v>
      </c>
      <c r="J331">
        <v>0.6</v>
      </c>
      <c r="K331">
        <v>0</v>
      </c>
      <c r="L331">
        <v>0</v>
      </c>
      <c r="M331">
        <v>0</v>
      </c>
      <c r="N331">
        <v>1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0</v>
      </c>
      <c r="AE331">
        <v>1</v>
      </c>
      <c r="AF331">
        <v>0</v>
      </c>
      <c r="AG331">
        <v>0</v>
      </c>
      <c r="AH331" s="86">
        <f>AVERAGEIFS($C$2:C331, $B$2:B331, B331)</f>
        <v>17.8</v>
      </c>
      <c r="AI331" s="86">
        <f>AVERAGEIFS($I$2:I331, $B$2:B331, B331)</f>
        <v>0.56500000000000006</v>
      </c>
      <c r="AJ331" s="86">
        <f>AVERAGEIFS($J$2:J331, $B$2:B331, B331)</f>
        <v>0.52900000000000003</v>
      </c>
      <c r="AK331" s="86">
        <f>AVERAGEIFS($D$2:D331, $B$2:B331, B331)</f>
        <v>0.5</v>
      </c>
    </row>
    <row r="332" spans="1:37" x14ac:dyDescent="0.25">
      <c r="A332" s="85">
        <v>46086</v>
      </c>
      <c r="B332" t="s">
        <v>4</v>
      </c>
      <c r="C332">
        <v>27</v>
      </c>
      <c r="D332">
        <v>0</v>
      </c>
      <c r="E332">
        <v>4</v>
      </c>
      <c r="F332">
        <v>1</v>
      </c>
      <c r="G332">
        <v>15</v>
      </c>
      <c r="H332">
        <v>6</v>
      </c>
      <c r="I332">
        <v>0.25</v>
      </c>
      <c r="J332">
        <v>0.4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>
        <v>0</v>
      </c>
      <c r="AH332" s="86">
        <f>AVERAGEIFS($C$2:C332, $B$2:B332, B332)</f>
        <v>25.727272727272727</v>
      </c>
      <c r="AI332" s="86">
        <f>AVERAGEIFS($I$2:I332, $B$2:B332, B332)</f>
        <v>0.40454545454545454</v>
      </c>
      <c r="AJ332" s="86">
        <f>AVERAGEIFS($J$2:J332, $B$2:B332, B332)</f>
        <v>0.45454545454545453</v>
      </c>
      <c r="AK332" s="86">
        <f>AVERAGEIFS($D$2:D332, $B$2:B332, B332)</f>
        <v>0.27272727272727271</v>
      </c>
    </row>
    <row r="333" spans="1:37" x14ac:dyDescent="0.25">
      <c r="A333" s="85">
        <v>46086</v>
      </c>
      <c r="B333" t="s">
        <v>18</v>
      </c>
      <c r="C333">
        <v>17</v>
      </c>
      <c r="D333">
        <v>0</v>
      </c>
      <c r="E333">
        <v>4</v>
      </c>
      <c r="F333">
        <v>1</v>
      </c>
      <c r="G333">
        <v>15</v>
      </c>
      <c r="H333">
        <v>6</v>
      </c>
      <c r="I333">
        <v>0.25</v>
      </c>
      <c r="J333">
        <v>0.4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v>0</v>
      </c>
      <c r="AH333" s="86">
        <f>AVERAGEIFS($C$2:C333, $B$2:B333, B333)</f>
        <v>18.333333333333332</v>
      </c>
      <c r="AI333" s="86">
        <f>AVERAGEIFS($I$2:I333, $B$2:B333, B333)</f>
        <v>0.6166666666666667</v>
      </c>
      <c r="AJ333" s="86">
        <f>AVERAGEIFS($J$2:J333, $B$2:B333, B333)</f>
        <v>0.53666666666666663</v>
      </c>
      <c r="AK333" s="86">
        <f>AVERAGEIFS($D$2:D333, $B$2:B333, B333)</f>
        <v>0.66666666666666663</v>
      </c>
    </row>
    <row r="334" spans="1:37" x14ac:dyDescent="0.25">
      <c r="A334" s="85">
        <v>46086</v>
      </c>
      <c r="B334" t="s">
        <v>28</v>
      </c>
      <c r="C334">
        <v>17</v>
      </c>
      <c r="D334">
        <v>0</v>
      </c>
      <c r="E334">
        <v>4</v>
      </c>
      <c r="F334">
        <v>1</v>
      </c>
      <c r="G334">
        <v>15</v>
      </c>
      <c r="H334">
        <v>6</v>
      </c>
      <c r="I334">
        <v>0.25</v>
      </c>
      <c r="J334">
        <v>0.4</v>
      </c>
      <c r="K334">
        <v>0</v>
      </c>
      <c r="L334">
        <v>1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 s="86">
        <f>AVERAGEIFS($C$2:C334, $B$2:B334, B334)</f>
        <v>16.46153846153846</v>
      </c>
      <c r="AI334" s="86">
        <f>AVERAGEIFS($I$2:I334, $B$2:B334, B334)</f>
        <v>0.43692307692307691</v>
      </c>
      <c r="AJ334" s="86">
        <f>AVERAGEIFS($J$2:J334, $B$2:B334, B334)</f>
        <v>0.48153846153846147</v>
      </c>
      <c r="AK334" s="86">
        <f>AVERAGEIFS($D$2:D334, $B$2:B334, B334)</f>
        <v>0.38461538461538464</v>
      </c>
    </row>
    <row r="335" spans="1:37" x14ac:dyDescent="0.25">
      <c r="A335" s="85">
        <v>46086</v>
      </c>
      <c r="B335" t="s">
        <v>42</v>
      </c>
      <c r="C335">
        <v>16</v>
      </c>
      <c r="D335">
        <v>0</v>
      </c>
      <c r="E335">
        <v>4</v>
      </c>
      <c r="F335">
        <v>1</v>
      </c>
      <c r="G335">
        <v>15</v>
      </c>
      <c r="H335">
        <v>6</v>
      </c>
      <c r="I335">
        <v>0.25</v>
      </c>
      <c r="J335">
        <v>0.4</v>
      </c>
      <c r="K335">
        <v>0</v>
      </c>
      <c r="L335">
        <v>1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 s="86">
        <f>AVERAGEIFS($C$2:C335, $B$2:B335, B335)</f>
        <v>16.083333333333332</v>
      </c>
      <c r="AI335" s="86">
        <f>AVERAGEIFS($I$2:I335, $B$2:B335, B335)</f>
        <v>0.43333333333333335</v>
      </c>
      <c r="AJ335" s="86">
        <f>AVERAGEIFS($J$2:J335, $B$2:B335, B335)</f>
        <v>0.45249999999999996</v>
      </c>
      <c r="AK335" s="86">
        <f>AVERAGEIFS($D$2:D335, $B$2:B335, B335)</f>
        <v>0.5</v>
      </c>
    </row>
    <row r="336" spans="1:37" x14ac:dyDescent="0.25">
      <c r="A336" s="85">
        <v>46086</v>
      </c>
      <c r="B336" t="s">
        <v>14</v>
      </c>
      <c r="C336">
        <v>14</v>
      </c>
      <c r="D336">
        <v>0</v>
      </c>
      <c r="E336">
        <v>4</v>
      </c>
      <c r="F336">
        <v>1</v>
      </c>
      <c r="G336">
        <v>15</v>
      </c>
      <c r="H336">
        <v>6</v>
      </c>
      <c r="I336">
        <v>0.25</v>
      </c>
      <c r="J336">
        <v>0.4</v>
      </c>
      <c r="K336">
        <v>0</v>
      </c>
      <c r="L336">
        <v>1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 s="86">
        <f>AVERAGEIFS($C$2:C336, $B$2:B336, B336)</f>
        <v>16.666666666666668</v>
      </c>
      <c r="AI336" s="86">
        <f>AVERAGEIFS($I$2:I336, $B$2:B336, B336)</f>
        <v>0.46833333333333332</v>
      </c>
      <c r="AJ336" s="86">
        <f>AVERAGEIFS($J$2:J336, $B$2:B336, B336)</f>
        <v>0.49750000000000005</v>
      </c>
      <c r="AK336" s="86">
        <f>AVERAGEIFS($D$2:D336, $B$2:B336, B336)</f>
        <v>0.5</v>
      </c>
    </row>
    <row r="337" spans="1:37" x14ac:dyDescent="0.25">
      <c r="A337" s="85">
        <v>46086</v>
      </c>
      <c r="B337" t="s">
        <v>115</v>
      </c>
      <c r="C337">
        <v>11</v>
      </c>
      <c r="D337">
        <v>0</v>
      </c>
      <c r="E337">
        <v>4</v>
      </c>
      <c r="F337">
        <v>1</v>
      </c>
      <c r="G337">
        <v>15</v>
      </c>
      <c r="H337">
        <v>6</v>
      </c>
      <c r="I337">
        <v>0.25</v>
      </c>
      <c r="J337">
        <v>0.4</v>
      </c>
      <c r="K337">
        <v>0</v>
      </c>
      <c r="L337">
        <v>1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H337" s="86">
        <f>AVERAGEIFS($C$2:C337, $B$2:B337, B337)</f>
        <v>13</v>
      </c>
      <c r="AI337" s="86">
        <f>AVERAGEIFS($I$2:I337, $B$2:B337, B337)</f>
        <v>0.35833333333333334</v>
      </c>
      <c r="AJ337" s="86">
        <f>AVERAGEIFS($J$2:J337, $B$2:B337, B337)</f>
        <v>0.42499999999999999</v>
      </c>
      <c r="AK337" s="86">
        <f>AVERAGEIFS($D$2:D337, $B$2:B337, B337)</f>
        <v>0.16666666666666666</v>
      </c>
    </row>
    <row r="338" spans="1:37" x14ac:dyDescent="0.25">
      <c r="A338" s="85">
        <v>46087</v>
      </c>
      <c r="B338" t="s">
        <v>1</v>
      </c>
      <c r="C338">
        <v>50</v>
      </c>
      <c r="D338">
        <v>1</v>
      </c>
      <c r="E338">
        <v>4</v>
      </c>
      <c r="F338">
        <v>3</v>
      </c>
      <c r="G338">
        <v>19</v>
      </c>
      <c r="H338">
        <v>11</v>
      </c>
      <c r="I338">
        <v>0.75</v>
      </c>
      <c r="J338">
        <v>0.57999999999999996</v>
      </c>
      <c r="K338">
        <v>0</v>
      </c>
      <c r="L338">
        <v>1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1</v>
      </c>
      <c r="AF338">
        <v>1</v>
      </c>
      <c r="AG338">
        <v>0</v>
      </c>
      <c r="AH338" s="86">
        <f>AVERAGEIFS($C$2:C338, $B$2:B338, B338)</f>
        <v>29.545454545454547</v>
      </c>
      <c r="AI338" s="86">
        <f>AVERAGEIFS($I$2:I338, $B$2:B338, B338)</f>
        <v>0.38181818181818183</v>
      </c>
      <c r="AJ338" s="86">
        <f>AVERAGEIFS($J$2:J338, $B$2:B338, B338)</f>
        <v>0.43454545454545451</v>
      </c>
      <c r="AK338" s="86">
        <f>AVERAGEIFS($D$2:D338, $B$2:B338, B338)</f>
        <v>0.45454545454545453</v>
      </c>
    </row>
    <row r="339" spans="1:37" x14ac:dyDescent="0.25">
      <c r="A339" s="85">
        <v>46087</v>
      </c>
      <c r="B339" t="s">
        <v>54</v>
      </c>
      <c r="C339">
        <v>23</v>
      </c>
      <c r="D339">
        <v>1</v>
      </c>
      <c r="E339">
        <v>4</v>
      </c>
      <c r="F339">
        <v>3</v>
      </c>
      <c r="G339">
        <v>19</v>
      </c>
      <c r="H339">
        <v>11</v>
      </c>
      <c r="I339">
        <v>0.75</v>
      </c>
      <c r="J339">
        <v>0.57999999999999996</v>
      </c>
      <c r="K339">
        <v>0</v>
      </c>
      <c r="L339">
        <v>1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1</v>
      </c>
      <c r="AF339">
        <v>1</v>
      </c>
      <c r="AG339">
        <v>0</v>
      </c>
      <c r="AH339" s="86">
        <f>AVERAGEIFS($C$2:C339, $B$2:B339, B339)</f>
        <v>24.869565217391305</v>
      </c>
      <c r="AI339" s="86">
        <f>AVERAGEIFS($I$2:I339, $B$2:B339, B339)</f>
        <v>0.4986956521739131</v>
      </c>
      <c r="AJ339" s="86">
        <f>AVERAGEIFS($J$2:J339, $B$2:B339, B339)</f>
        <v>0.47739130434782612</v>
      </c>
      <c r="AK339" s="86">
        <f>AVERAGEIFS($D$2:D339, $B$2:B339, B339)</f>
        <v>0.47826086956521741</v>
      </c>
    </row>
    <row r="340" spans="1:37" x14ac:dyDescent="0.25">
      <c r="A340" s="85">
        <v>46087</v>
      </c>
      <c r="B340" t="s">
        <v>71</v>
      </c>
      <c r="C340">
        <v>18</v>
      </c>
      <c r="D340">
        <v>1</v>
      </c>
      <c r="E340">
        <v>4</v>
      </c>
      <c r="F340">
        <v>3</v>
      </c>
      <c r="G340">
        <v>19</v>
      </c>
      <c r="H340">
        <v>11</v>
      </c>
      <c r="I340">
        <v>0.75</v>
      </c>
      <c r="J340">
        <v>0.57999999999999996</v>
      </c>
      <c r="K340">
        <v>0</v>
      </c>
      <c r="L340">
        <v>1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0</v>
      </c>
      <c r="AE340">
        <v>1</v>
      </c>
      <c r="AF340">
        <v>1</v>
      </c>
      <c r="AG340">
        <v>0</v>
      </c>
      <c r="AH340" s="86">
        <f>AVERAGEIFS($C$2:C340, $B$2:B340, B340)</f>
        <v>12.333333333333334</v>
      </c>
      <c r="AI340" s="86">
        <f>AVERAGEIFS($I$2:I340, $B$2:B340, B340)</f>
        <v>0.53333333333333333</v>
      </c>
      <c r="AJ340" s="86">
        <f>AVERAGEIFS($J$2:J340, $B$2:B340, B340)</f>
        <v>0.47333333333333333</v>
      </c>
      <c r="AK340" s="86">
        <f>AVERAGEIFS($D$2:D340, $B$2:B340, B340)</f>
        <v>0.66666666666666663</v>
      </c>
    </row>
    <row r="341" spans="1:37" x14ac:dyDescent="0.25">
      <c r="A341" s="85">
        <v>46087</v>
      </c>
      <c r="B341" t="s">
        <v>46</v>
      </c>
      <c r="C341">
        <v>18</v>
      </c>
      <c r="D341">
        <v>1</v>
      </c>
      <c r="E341">
        <v>4</v>
      </c>
      <c r="F341">
        <v>3</v>
      </c>
      <c r="G341">
        <v>19</v>
      </c>
      <c r="H341">
        <v>11</v>
      </c>
      <c r="I341">
        <v>0.75</v>
      </c>
      <c r="J341">
        <v>0.57999999999999996</v>
      </c>
      <c r="K341">
        <v>0</v>
      </c>
      <c r="L341">
        <v>1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1</v>
      </c>
      <c r="AF341">
        <v>1</v>
      </c>
      <c r="AG341">
        <v>0</v>
      </c>
      <c r="AH341" s="86">
        <f>AVERAGEIFS($C$2:C341, $B$2:B341, B341)</f>
        <v>19.857142857142858</v>
      </c>
      <c r="AI341" s="86">
        <f>AVERAGEIFS($I$2:I341, $B$2:B341, B341)</f>
        <v>0.49285714285714283</v>
      </c>
      <c r="AJ341" s="86">
        <f>AVERAGEIFS($J$2:J341, $B$2:B341, B341)</f>
        <v>0.49857142857142855</v>
      </c>
      <c r="AK341" s="86">
        <f>AVERAGEIFS($D$2:D341, $B$2:B341, B341)</f>
        <v>0.42857142857142855</v>
      </c>
    </row>
    <row r="342" spans="1:37" x14ac:dyDescent="0.25">
      <c r="A342" s="85">
        <v>46087</v>
      </c>
      <c r="B342" t="s">
        <v>50</v>
      </c>
      <c r="C342">
        <v>18</v>
      </c>
      <c r="D342">
        <v>1</v>
      </c>
      <c r="E342">
        <v>4</v>
      </c>
      <c r="F342">
        <v>3</v>
      </c>
      <c r="G342">
        <v>19</v>
      </c>
      <c r="H342">
        <v>11</v>
      </c>
      <c r="I342">
        <v>0.75</v>
      </c>
      <c r="J342">
        <v>0.57999999999999996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1</v>
      </c>
      <c r="AF342">
        <v>1</v>
      </c>
      <c r="AG342">
        <v>0</v>
      </c>
      <c r="AH342" s="86">
        <f>AVERAGEIFS($C$2:C342, $B$2:B342, B342)</f>
        <v>19.608695652173914</v>
      </c>
      <c r="AI342" s="86">
        <f>AVERAGEIFS($I$2:I342, $B$2:B342, B342)</f>
        <v>0.5447826086956522</v>
      </c>
      <c r="AJ342" s="86">
        <f>AVERAGEIFS($J$2:J342, $B$2:B342, B342)</f>
        <v>0.53695652173913033</v>
      </c>
      <c r="AK342" s="86">
        <f>AVERAGEIFS($D$2:D342, $B$2:B342, B342)</f>
        <v>0.56521739130434778</v>
      </c>
    </row>
    <row r="343" spans="1:37" x14ac:dyDescent="0.25">
      <c r="A343" s="85">
        <v>46087</v>
      </c>
      <c r="B343" t="s">
        <v>44</v>
      </c>
      <c r="C343">
        <v>15</v>
      </c>
      <c r="D343">
        <v>1</v>
      </c>
      <c r="E343">
        <v>4</v>
      </c>
      <c r="F343">
        <v>3</v>
      </c>
      <c r="G343">
        <v>19</v>
      </c>
      <c r="H343">
        <v>11</v>
      </c>
      <c r="I343">
        <v>0.75</v>
      </c>
      <c r="J343">
        <v>0.57999999999999996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1</v>
      </c>
      <c r="AF343">
        <v>1</v>
      </c>
      <c r="AG343">
        <v>0</v>
      </c>
      <c r="AH343" s="86">
        <f>AVERAGEIFS($C$2:C343, $B$2:B343, B343)</f>
        <v>17.555555555555557</v>
      </c>
      <c r="AI343" s="86">
        <f>AVERAGEIFS($I$2:I343, $B$2:B343, B343)</f>
        <v>0.56666666666666665</v>
      </c>
      <c r="AJ343" s="86">
        <f>AVERAGEIFS($J$2:J343, $B$2:B343, B343)</f>
        <v>0.56222222222222229</v>
      </c>
      <c r="AK343" s="86">
        <f>AVERAGEIFS($D$2:D343, $B$2:B343, B343)</f>
        <v>0.66666666666666663</v>
      </c>
    </row>
    <row r="344" spans="1:37" x14ac:dyDescent="0.25">
      <c r="A344" s="85">
        <v>46087</v>
      </c>
      <c r="B344" t="s">
        <v>2</v>
      </c>
      <c r="C344">
        <v>28</v>
      </c>
      <c r="D344">
        <v>0</v>
      </c>
      <c r="E344">
        <v>4</v>
      </c>
      <c r="F344">
        <v>1</v>
      </c>
      <c r="G344">
        <v>19</v>
      </c>
      <c r="H344">
        <v>8</v>
      </c>
      <c r="I344">
        <v>0.25</v>
      </c>
      <c r="J344">
        <v>0.42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1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>
        <v>0</v>
      </c>
      <c r="AH344" s="86">
        <f>AVERAGEIFS($C$2:C344, $B$2:B344, B344)</f>
        <v>24.388888888888889</v>
      </c>
      <c r="AI344" s="86">
        <f>AVERAGEIFS($I$2:I344, $B$2:B344, B344)</f>
        <v>0.48500000000000004</v>
      </c>
      <c r="AJ344" s="86">
        <f>AVERAGEIFS($J$2:J344, $B$2:B344, B344)</f>
        <v>0.51444444444444437</v>
      </c>
      <c r="AK344" s="86">
        <f>AVERAGEIFS($D$2:D344, $B$2:B344, B344)</f>
        <v>0.44444444444444442</v>
      </c>
    </row>
    <row r="345" spans="1:37" x14ac:dyDescent="0.25">
      <c r="A345" s="85">
        <v>46087</v>
      </c>
      <c r="B345" t="s">
        <v>40</v>
      </c>
      <c r="C345">
        <v>25</v>
      </c>
      <c r="D345">
        <v>0</v>
      </c>
      <c r="E345">
        <v>4</v>
      </c>
      <c r="F345">
        <v>1</v>
      </c>
      <c r="G345">
        <v>19</v>
      </c>
      <c r="H345">
        <v>8</v>
      </c>
      <c r="I345">
        <v>0.25</v>
      </c>
      <c r="J345">
        <v>0.42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1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0</v>
      </c>
      <c r="AH345" s="86">
        <f>AVERAGEIFS($C$2:C345, $B$2:B345, B345)</f>
        <v>17.684210526315791</v>
      </c>
      <c r="AI345" s="86">
        <f>AVERAGEIFS($I$2:I345, $B$2:B345, B345)</f>
        <v>0.44210526315789483</v>
      </c>
      <c r="AJ345" s="86">
        <f>AVERAGEIFS($J$2:J345, $B$2:B345, B345)</f>
        <v>0.46315789473684205</v>
      </c>
      <c r="AK345" s="86">
        <f>AVERAGEIFS($D$2:D345, $B$2:B345, B345)</f>
        <v>0.42105263157894735</v>
      </c>
    </row>
    <row r="346" spans="1:37" x14ac:dyDescent="0.25">
      <c r="A346" s="85">
        <v>46087</v>
      </c>
      <c r="B346" t="s">
        <v>6</v>
      </c>
      <c r="C346">
        <v>22</v>
      </c>
      <c r="D346">
        <v>0</v>
      </c>
      <c r="E346">
        <v>4</v>
      </c>
      <c r="F346">
        <v>1</v>
      </c>
      <c r="G346">
        <v>19</v>
      </c>
      <c r="H346">
        <v>8</v>
      </c>
      <c r="I346">
        <v>0.25</v>
      </c>
      <c r="J346">
        <v>0.42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1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v>0</v>
      </c>
      <c r="AH346" s="86">
        <f>AVERAGEIFS($C$2:C346, $B$2:B346, B346)</f>
        <v>22.875</v>
      </c>
      <c r="AI346" s="86">
        <f>AVERAGEIFS($I$2:I346, $B$2:B346, B346)</f>
        <v>0.65125</v>
      </c>
      <c r="AJ346" s="86">
        <f>AVERAGEIFS($J$2:J346, $B$2:B346, B346)</f>
        <v>0.58041666666666658</v>
      </c>
      <c r="AK346" s="86">
        <f>AVERAGEIFS($D$2:D346, $B$2:B346, B346)</f>
        <v>0.75</v>
      </c>
    </row>
    <row r="347" spans="1:37" x14ac:dyDescent="0.25">
      <c r="A347" s="85">
        <v>46087</v>
      </c>
      <c r="B347" t="s">
        <v>42</v>
      </c>
      <c r="C347">
        <v>21</v>
      </c>
      <c r="D347">
        <v>0</v>
      </c>
      <c r="E347">
        <v>4</v>
      </c>
      <c r="F347">
        <v>1</v>
      </c>
      <c r="G347">
        <v>19</v>
      </c>
      <c r="H347">
        <v>8</v>
      </c>
      <c r="I347">
        <v>0.25</v>
      </c>
      <c r="J347">
        <v>0.42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1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 s="86">
        <f>AVERAGEIFS($C$2:C347, $B$2:B347, B347)</f>
        <v>16.46153846153846</v>
      </c>
      <c r="AI347" s="86">
        <f>AVERAGEIFS($I$2:I347, $B$2:B347, B347)</f>
        <v>0.41923076923076924</v>
      </c>
      <c r="AJ347" s="86">
        <f>AVERAGEIFS($J$2:J347, $B$2:B347, B347)</f>
        <v>0.44999999999999996</v>
      </c>
      <c r="AK347" s="86">
        <f>AVERAGEIFS($D$2:D347, $B$2:B347, B347)</f>
        <v>0.46153846153846156</v>
      </c>
    </row>
    <row r="348" spans="1:37" x14ac:dyDescent="0.25">
      <c r="A348" s="85">
        <v>46087</v>
      </c>
      <c r="B348" t="s">
        <v>28</v>
      </c>
      <c r="C348">
        <v>16</v>
      </c>
      <c r="D348">
        <v>0</v>
      </c>
      <c r="E348">
        <v>4</v>
      </c>
      <c r="F348">
        <v>1</v>
      </c>
      <c r="G348">
        <v>19</v>
      </c>
      <c r="H348">
        <v>8</v>
      </c>
      <c r="I348">
        <v>0.25</v>
      </c>
      <c r="J348">
        <v>0.42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1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v>0</v>
      </c>
      <c r="AH348" s="86">
        <f>AVERAGEIFS($C$2:C348, $B$2:B348, B348)</f>
        <v>16.428571428571427</v>
      </c>
      <c r="AI348" s="86">
        <f>AVERAGEIFS($I$2:I348, $B$2:B348, B348)</f>
        <v>0.42357142857142854</v>
      </c>
      <c r="AJ348" s="86">
        <f>AVERAGEIFS($J$2:J348, $B$2:B348, B348)</f>
        <v>0.47714285714285704</v>
      </c>
      <c r="AK348" s="86">
        <f>AVERAGEIFS($D$2:D348, $B$2:B348, B348)</f>
        <v>0.35714285714285715</v>
      </c>
    </row>
    <row r="349" spans="1:37" x14ac:dyDescent="0.25">
      <c r="A349" s="85">
        <v>46087</v>
      </c>
      <c r="B349" t="s">
        <v>52</v>
      </c>
      <c r="C349">
        <v>11</v>
      </c>
      <c r="D349">
        <v>0</v>
      </c>
      <c r="E349">
        <v>4</v>
      </c>
      <c r="F349">
        <v>1</v>
      </c>
      <c r="G349">
        <v>19</v>
      </c>
      <c r="H349">
        <v>8</v>
      </c>
      <c r="I349">
        <v>0.25</v>
      </c>
      <c r="J349">
        <v>0.42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1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 s="86">
        <f>AVERAGEIFS($C$2:C349, $B$2:B349, B349)</f>
        <v>13.5</v>
      </c>
      <c r="AI349" s="86">
        <f>AVERAGEIFS($I$2:I349, $B$2:B349, B349)</f>
        <v>0.39374999999999999</v>
      </c>
      <c r="AJ349" s="86">
        <f>AVERAGEIFS($J$2:J349, $B$2:B349, B349)</f>
        <v>0.42875000000000002</v>
      </c>
      <c r="AK349" s="86">
        <f>AVERAGEIFS($D$2:D349, $B$2:B349, B349)</f>
        <v>0.25</v>
      </c>
    </row>
    <row r="350" spans="1:37" x14ac:dyDescent="0.25">
      <c r="A350" s="85">
        <v>46088</v>
      </c>
      <c r="B350" t="s">
        <v>6</v>
      </c>
      <c r="C350">
        <v>26</v>
      </c>
      <c r="D350">
        <v>1</v>
      </c>
      <c r="E350">
        <v>4</v>
      </c>
      <c r="F350">
        <v>3</v>
      </c>
      <c r="G350">
        <v>15</v>
      </c>
      <c r="H350">
        <v>11</v>
      </c>
      <c r="I350">
        <v>0.75</v>
      </c>
      <c r="J350">
        <v>0.73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1</v>
      </c>
      <c r="X350">
        <v>1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0</v>
      </c>
      <c r="AG350">
        <v>1</v>
      </c>
      <c r="AH350" s="86">
        <f>AVERAGEIFS($C$2:C350, $B$2:B350, B350)</f>
        <v>23</v>
      </c>
      <c r="AI350" s="86">
        <f>AVERAGEIFS($I$2:I350, $B$2:B350, B350)</f>
        <v>0.6552</v>
      </c>
      <c r="AJ350" s="86">
        <f>AVERAGEIFS($J$2:J350, $B$2:B350, B350)</f>
        <v>0.58639999999999992</v>
      </c>
      <c r="AK350" s="86">
        <f>AVERAGEIFS($D$2:D350, $B$2:B350, B350)</f>
        <v>0.76</v>
      </c>
    </row>
    <row r="351" spans="1:37" x14ac:dyDescent="0.25">
      <c r="A351" s="85">
        <v>46088</v>
      </c>
      <c r="B351" t="s">
        <v>40</v>
      </c>
      <c r="C351">
        <v>21</v>
      </c>
      <c r="D351">
        <v>1</v>
      </c>
      <c r="E351">
        <v>4</v>
      </c>
      <c r="F351">
        <v>3</v>
      </c>
      <c r="G351">
        <v>15</v>
      </c>
      <c r="H351">
        <v>11</v>
      </c>
      <c r="I351">
        <v>0.75</v>
      </c>
      <c r="J351">
        <v>0.73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1</v>
      </c>
      <c r="X351">
        <v>1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  <c r="AG351">
        <v>1</v>
      </c>
      <c r="AH351" s="86">
        <f>AVERAGEIFS($C$2:C351, $B$2:B351, B351)</f>
        <v>17.850000000000001</v>
      </c>
      <c r="AI351" s="86">
        <f>AVERAGEIFS($I$2:I351, $B$2:B351, B351)</f>
        <v>0.45750000000000013</v>
      </c>
      <c r="AJ351" s="86">
        <f>AVERAGEIFS($J$2:J351, $B$2:B351, B351)</f>
        <v>0.47649999999999998</v>
      </c>
      <c r="AK351" s="86">
        <f>AVERAGEIFS($D$2:D351, $B$2:B351, B351)</f>
        <v>0.45</v>
      </c>
    </row>
    <row r="352" spans="1:37" x14ac:dyDescent="0.25">
      <c r="A352" s="85">
        <v>46088</v>
      </c>
      <c r="B352" t="s">
        <v>5</v>
      </c>
      <c r="C352">
        <v>17</v>
      </c>
      <c r="D352">
        <v>1</v>
      </c>
      <c r="E352">
        <v>4</v>
      </c>
      <c r="F352">
        <v>3</v>
      </c>
      <c r="G352">
        <v>15</v>
      </c>
      <c r="H352">
        <v>11</v>
      </c>
      <c r="I352">
        <v>0.75</v>
      </c>
      <c r="J352">
        <v>0.73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1</v>
      </c>
      <c r="X352">
        <v>1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1</v>
      </c>
      <c r="AH352" s="86">
        <f>AVERAGEIFS($C$2:C352, $B$2:B352, B352)</f>
        <v>20.625</v>
      </c>
      <c r="AI352" s="86">
        <f>AVERAGEIFS($I$2:I352, $B$2:B352, B352)</f>
        <v>0.59624999999999995</v>
      </c>
      <c r="AJ352" s="86">
        <f>AVERAGEIFS($J$2:J352, $B$2:B352, B352)</f>
        <v>0.54250000000000009</v>
      </c>
      <c r="AK352" s="86">
        <f>AVERAGEIFS($D$2:D352, $B$2:B352, B352)</f>
        <v>0.75</v>
      </c>
    </row>
    <row r="353" spans="1:37" x14ac:dyDescent="0.25">
      <c r="A353" s="85">
        <v>46088</v>
      </c>
      <c r="B353" t="s">
        <v>44</v>
      </c>
      <c r="C353">
        <v>17</v>
      </c>
      <c r="D353">
        <v>1</v>
      </c>
      <c r="E353">
        <v>4</v>
      </c>
      <c r="F353">
        <v>3</v>
      </c>
      <c r="G353">
        <v>15</v>
      </c>
      <c r="H353">
        <v>11</v>
      </c>
      <c r="I353">
        <v>0.75</v>
      </c>
      <c r="J353">
        <v>0.73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1</v>
      </c>
      <c r="X353">
        <v>1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1</v>
      </c>
      <c r="AH353" s="86">
        <f>AVERAGEIFS($C$2:C353, $B$2:B353, B353)</f>
        <v>17.5</v>
      </c>
      <c r="AI353" s="86">
        <f>AVERAGEIFS($I$2:I353, $B$2:B353, B353)</f>
        <v>0.58499999999999996</v>
      </c>
      <c r="AJ353" s="86">
        <f>AVERAGEIFS($J$2:J353, $B$2:B353, B353)</f>
        <v>0.57900000000000007</v>
      </c>
      <c r="AK353" s="86">
        <f>AVERAGEIFS($D$2:D353, $B$2:B353, B353)</f>
        <v>0.7</v>
      </c>
    </row>
    <row r="354" spans="1:37" x14ac:dyDescent="0.25">
      <c r="A354" s="85">
        <v>46088</v>
      </c>
      <c r="B354" t="s">
        <v>115</v>
      </c>
      <c r="C354">
        <v>10</v>
      </c>
      <c r="D354">
        <v>1</v>
      </c>
      <c r="E354">
        <v>4</v>
      </c>
      <c r="F354">
        <v>3</v>
      </c>
      <c r="G354">
        <v>15</v>
      </c>
      <c r="H354">
        <v>11</v>
      </c>
      <c r="I354">
        <v>0.75</v>
      </c>
      <c r="J354">
        <v>0.73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1</v>
      </c>
      <c r="X354">
        <v>1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1</v>
      </c>
      <c r="AH354" s="86">
        <f>AVERAGEIFS($C$2:C354, $B$2:B354, B354)</f>
        <v>12.571428571428571</v>
      </c>
      <c r="AI354" s="86">
        <f>AVERAGEIFS($I$2:I354, $B$2:B354, B354)</f>
        <v>0.41428571428571426</v>
      </c>
      <c r="AJ354" s="86">
        <f>AVERAGEIFS($J$2:J354, $B$2:B354, B354)</f>
        <v>0.46857142857142853</v>
      </c>
      <c r="AK354" s="86">
        <f>AVERAGEIFS($D$2:D354, $B$2:B354, B354)</f>
        <v>0.2857142857142857</v>
      </c>
    </row>
    <row r="355" spans="1:37" x14ac:dyDescent="0.25">
      <c r="A355" s="85">
        <v>46088</v>
      </c>
      <c r="B355" t="s">
        <v>42</v>
      </c>
      <c r="C355">
        <v>19</v>
      </c>
      <c r="D355">
        <v>0</v>
      </c>
      <c r="E355">
        <v>4</v>
      </c>
      <c r="F355">
        <v>1</v>
      </c>
      <c r="G355">
        <v>15</v>
      </c>
      <c r="H355">
        <v>4</v>
      </c>
      <c r="I355">
        <v>0.25</v>
      </c>
      <c r="J355">
        <v>0.27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v>0</v>
      </c>
      <c r="AH355" s="86">
        <f>AVERAGEIFS($C$2:C355, $B$2:B355, B355)</f>
        <v>16.642857142857142</v>
      </c>
      <c r="AI355" s="86">
        <f>AVERAGEIFS($I$2:I355, $B$2:B355, B355)</f>
        <v>0.40714285714285714</v>
      </c>
      <c r="AJ355" s="86">
        <f>AVERAGEIFS($J$2:J355, $B$2:B355, B355)</f>
        <v>0.43714285714285711</v>
      </c>
      <c r="AK355" s="86">
        <f>AVERAGEIFS($D$2:D355, $B$2:B355, B355)</f>
        <v>0.42857142857142855</v>
      </c>
    </row>
    <row r="356" spans="1:37" x14ac:dyDescent="0.25">
      <c r="A356" s="85">
        <v>46088</v>
      </c>
      <c r="B356" t="s">
        <v>46</v>
      </c>
      <c r="C356">
        <v>19</v>
      </c>
      <c r="D356">
        <v>0</v>
      </c>
      <c r="E356">
        <v>4</v>
      </c>
      <c r="F356">
        <v>1</v>
      </c>
      <c r="G356">
        <v>15</v>
      </c>
      <c r="H356">
        <v>4</v>
      </c>
      <c r="I356">
        <v>0.25</v>
      </c>
      <c r="J356">
        <v>0.27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 s="86">
        <f>AVERAGEIFS($C$2:C356, $B$2:B356, B356)</f>
        <v>19.8</v>
      </c>
      <c r="AI356" s="86">
        <f>AVERAGEIFS($I$2:I356, $B$2:B356, B356)</f>
        <v>0.47666666666666663</v>
      </c>
      <c r="AJ356" s="86">
        <f>AVERAGEIFS($J$2:J356, $B$2:B356, B356)</f>
        <v>0.48333333333333334</v>
      </c>
      <c r="AK356" s="86">
        <f>AVERAGEIFS($D$2:D356, $B$2:B356, B356)</f>
        <v>0.4</v>
      </c>
    </row>
    <row r="357" spans="1:37" x14ac:dyDescent="0.25">
      <c r="A357" s="85">
        <v>46088</v>
      </c>
      <c r="B357" t="s">
        <v>54</v>
      </c>
      <c r="C357">
        <v>14</v>
      </c>
      <c r="D357">
        <v>0</v>
      </c>
      <c r="E357">
        <v>4</v>
      </c>
      <c r="F357">
        <v>1</v>
      </c>
      <c r="G357">
        <v>15</v>
      </c>
      <c r="H357">
        <v>4</v>
      </c>
      <c r="I357">
        <v>0.25</v>
      </c>
      <c r="J357">
        <v>0.27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 s="86">
        <f>AVERAGEIFS($C$2:C357, $B$2:B357, B357)</f>
        <v>24.416666666666668</v>
      </c>
      <c r="AI357" s="86">
        <f>AVERAGEIFS($I$2:I357, $B$2:B357, B357)</f>
        <v>0.48833333333333334</v>
      </c>
      <c r="AJ357" s="86">
        <f>AVERAGEIFS($J$2:J357, $B$2:B357, B357)</f>
        <v>0.46875</v>
      </c>
      <c r="AK357" s="86">
        <f>AVERAGEIFS($D$2:D357, $B$2:B357, B357)</f>
        <v>0.45833333333333331</v>
      </c>
    </row>
    <row r="358" spans="1:37" x14ac:dyDescent="0.25">
      <c r="A358" s="85">
        <v>46088</v>
      </c>
      <c r="B358" t="s">
        <v>35</v>
      </c>
      <c r="C358">
        <v>10</v>
      </c>
      <c r="D358">
        <v>0</v>
      </c>
      <c r="E358">
        <v>4</v>
      </c>
      <c r="F358">
        <v>1</v>
      </c>
      <c r="G358">
        <v>15</v>
      </c>
      <c r="H358">
        <v>4</v>
      </c>
      <c r="I358">
        <v>0.25</v>
      </c>
      <c r="J358">
        <v>0.27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 s="86">
        <f>AVERAGEIFS($C$2:C358, $B$2:B358, B358)</f>
        <v>11.571428571428571</v>
      </c>
      <c r="AI358" s="86">
        <f>AVERAGEIFS($I$2:I358, $B$2:B358, B358)</f>
        <v>0.41809523809523813</v>
      </c>
      <c r="AJ358" s="86">
        <f>AVERAGEIFS($J$2:J358, $B$2:B358, B358)</f>
        <v>0.46571428571428575</v>
      </c>
      <c r="AK358" s="86">
        <f>AVERAGEIFS($D$2:D358, $B$2:B358, B358)</f>
        <v>0.33333333333333331</v>
      </c>
    </row>
    <row r="359" spans="1:37" x14ac:dyDescent="0.25">
      <c r="A359" s="85">
        <v>46088</v>
      </c>
      <c r="B359" t="s">
        <v>103</v>
      </c>
      <c r="C359">
        <v>8</v>
      </c>
      <c r="D359">
        <v>0</v>
      </c>
      <c r="E359">
        <v>4</v>
      </c>
      <c r="F359">
        <v>1</v>
      </c>
      <c r="G359">
        <v>15</v>
      </c>
      <c r="H359">
        <v>4</v>
      </c>
      <c r="I359">
        <v>0.25</v>
      </c>
      <c r="J359">
        <v>0.27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 s="86">
        <f>AVERAGEIFS($C$2:C359, $B$2:B359, B359)</f>
        <v>8.5</v>
      </c>
      <c r="AI359" s="86">
        <f>AVERAGEIFS($I$2:I359, $B$2:B359, B359)</f>
        <v>0.32500000000000001</v>
      </c>
      <c r="AJ359" s="86">
        <f>AVERAGEIFS($J$2:J359, $B$2:B359, B359)</f>
        <v>0.38500000000000001</v>
      </c>
      <c r="AK359" s="86">
        <f>AVERAGEIFS($D$2:D359, $B$2:B359, B359)</f>
        <v>0</v>
      </c>
    </row>
    <row r="360" spans="1:37" x14ac:dyDescent="0.25">
      <c r="A360" s="85">
        <v>46089</v>
      </c>
      <c r="B360" t="s">
        <v>54</v>
      </c>
      <c r="C360">
        <v>35</v>
      </c>
      <c r="D360">
        <v>1</v>
      </c>
      <c r="E360">
        <v>4</v>
      </c>
      <c r="F360">
        <v>3</v>
      </c>
      <c r="G360">
        <v>17</v>
      </c>
      <c r="H360">
        <v>10</v>
      </c>
      <c r="I360">
        <v>0.75</v>
      </c>
      <c r="J360">
        <v>0.59</v>
      </c>
      <c r="K360">
        <v>1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1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1</v>
      </c>
      <c r="AF360">
        <v>0</v>
      </c>
      <c r="AG360">
        <v>0</v>
      </c>
      <c r="AH360" s="86">
        <f>AVERAGEIFS($C$2:C360, $B$2:B360, B360)</f>
        <v>24.84</v>
      </c>
      <c r="AI360" s="86">
        <f>AVERAGEIFS($I$2:I360, $B$2:B360, B360)</f>
        <v>0.49880000000000002</v>
      </c>
      <c r="AJ360" s="86">
        <f>AVERAGEIFS($J$2:J360, $B$2:B360, B360)</f>
        <v>0.47360000000000002</v>
      </c>
      <c r="AK360" s="86">
        <f>AVERAGEIFS($D$2:D360, $B$2:B360, B360)</f>
        <v>0.48</v>
      </c>
    </row>
    <row r="361" spans="1:37" x14ac:dyDescent="0.25">
      <c r="A361" s="85">
        <v>46089</v>
      </c>
      <c r="B361" t="s">
        <v>44</v>
      </c>
      <c r="C361">
        <v>27</v>
      </c>
      <c r="D361">
        <v>1</v>
      </c>
      <c r="E361">
        <v>4</v>
      </c>
      <c r="F361">
        <v>3</v>
      </c>
      <c r="G361">
        <v>17</v>
      </c>
      <c r="H361">
        <v>10</v>
      </c>
      <c r="I361">
        <v>0.75</v>
      </c>
      <c r="J361">
        <v>0.59</v>
      </c>
      <c r="K361">
        <v>1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1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1</v>
      </c>
      <c r="AF361">
        <v>0</v>
      </c>
      <c r="AG361">
        <v>0</v>
      </c>
      <c r="AH361" s="86">
        <f>AVERAGEIFS($C$2:C361, $B$2:B361, B361)</f>
        <v>18.363636363636363</v>
      </c>
      <c r="AI361" s="86">
        <f>AVERAGEIFS($I$2:I361, $B$2:B361, B361)</f>
        <v>0.6</v>
      </c>
      <c r="AJ361" s="86">
        <f>AVERAGEIFS($J$2:J361, $B$2:B361, B361)</f>
        <v>0.58000000000000007</v>
      </c>
      <c r="AK361" s="86">
        <f>AVERAGEIFS($D$2:D361, $B$2:B361, B361)</f>
        <v>0.72727272727272729</v>
      </c>
    </row>
    <row r="362" spans="1:37" x14ac:dyDescent="0.25">
      <c r="A362" s="85">
        <v>46089</v>
      </c>
      <c r="B362" t="s">
        <v>6</v>
      </c>
      <c r="C362">
        <v>26</v>
      </c>
      <c r="D362">
        <v>1</v>
      </c>
      <c r="E362">
        <v>4</v>
      </c>
      <c r="F362">
        <v>3</v>
      </c>
      <c r="G362">
        <v>17</v>
      </c>
      <c r="H362">
        <v>10</v>
      </c>
      <c r="I362">
        <v>0.75</v>
      </c>
      <c r="J362">
        <v>0.59</v>
      </c>
      <c r="K362">
        <v>1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1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1</v>
      </c>
      <c r="AF362">
        <v>0</v>
      </c>
      <c r="AG362">
        <v>0</v>
      </c>
      <c r="AH362" s="86">
        <f>AVERAGEIFS($C$2:C362, $B$2:B362, B362)</f>
        <v>23.115384615384617</v>
      </c>
      <c r="AI362" s="86">
        <f>AVERAGEIFS($I$2:I362, $B$2:B362, B362)</f>
        <v>0.65884615384615386</v>
      </c>
      <c r="AJ362" s="86">
        <f>AVERAGEIFS($J$2:J362, $B$2:B362, B362)</f>
        <v>0.58653846153846145</v>
      </c>
      <c r="AK362" s="86">
        <f>AVERAGEIFS($D$2:D362, $B$2:B362, B362)</f>
        <v>0.76923076923076927</v>
      </c>
    </row>
    <row r="363" spans="1:37" x14ac:dyDescent="0.25">
      <c r="A363" s="85">
        <v>46089</v>
      </c>
      <c r="B363" t="s">
        <v>5</v>
      </c>
      <c r="C363">
        <v>23</v>
      </c>
      <c r="D363">
        <v>1</v>
      </c>
      <c r="E363">
        <v>4</v>
      </c>
      <c r="F363">
        <v>3</v>
      </c>
      <c r="G363">
        <v>17</v>
      </c>
      <c r="H363">
        <v>10</v>
      </c>
      <c r="I363">
        <v>0.75</v>
      </c>
      <c r="J363">
        <v>0.59</v>
      </c>
      <c r="K363">
        <v>1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1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1</v>
      </c>
      <c r="AF363">
        <v>0</v>
      </c>
      <c r="AG363">
        <v>0</v>
      </c>
      <c r="AH363" s="86">
        <f>AVERAGEIFS($C$2:C363, $B$2:B363, B363)</f>
        <v>20.888888888888889</v>
      </c>
      <c r="AI363" s="86">
        <f>AVERAGEIFS($I$2:I363, $B$2:B363, B363)</f>
        <v>0.61333333333333329</v>
      </c>
      <c r="AJ363" s="86">
        <f>AVERAGEIFS($J$2:J363, $B$2:B363, B363)</f>
        <v>0.54777777777777781</v>
      </c>
      <c r="AK363" s="86">
        <f>AVERAGEIFS($D$2:D363, $B$2:B363, B363)</f>
        <v>0.77777777777777779</v>
      </c>
    </row>
    <row r="364" spans="1:37" x14ac:dyDescent="0.25">
      <c r="A364" s="85">
        <v>46089</v>
      </c>
      <c r="B364" t="s">
        <v>115</v>
      </c>
      <c r="C364">
        <v>21</v>
      </c>
      <c r="D364">
        <v>1</v>
      </c>
      <c r="E364">
        <v>4</v>
      </c>
      <c r="F364">
        <v>3</v>
      </c>
      <c r="G364">
        <v>17</v>
      </c>
      <c r="H364">
        <v>10</v>
      </c>
      <c r="I364">
        <v>0.75</v>
      </c>
      <c r="J364">
        <v>0.59</v>
      </c>
      <c r="K364">
        <v>1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1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1</v>
      </c>
      <c r="AF364">
        <v>0</v>
      </c>
      <c r="AG364">
        <v>0</v>
      </c>
      <c r="AH364" s="86">
        <f>AVERAGEIFS($C$2:C364, $B$2:B364, B364)</f>
        <v>13.625</v>
      </c>
      <c r="AI364" s="86">
        <f>AVERAGEIFS($I$2:I364, $B$2:B364, B364)</f>
        <v>0.45624999999999999</v>
      </c>
      <c r="AJ364" s="86">
        <f>AVERAGEIFS($J$2:J364, $B$2:B364, B364)</f>
        <v>0.48374999999999996</v>
      </c>
      <c r="AK364" s="86">
        <f>AVERAGEIFS($D$2:D364, $B$2:B364, B364)</f>
        <v>0.375</v>
      </c>
    </row>
    <row r="365" spans="1:37" x14ac:dyDescent="0.25">
      <c r="A365" s="85">
        <v>46089</v>
      </c>
      <c r="B365" t="s">
        <v>46</v>
      </c>
      <c r="C365">
        <v>20</v>
      </c>
      <c r="D365">
        <v>1</v>
      </c>
      <c r="E365">
        <v>4</v>
      </c>
      <c r="F365">
        <v>3</v>
      </c>
      <c r="G365">
        <v>17</v>
      </c>
      <c r="H365">
        <v>10</v>
      </c>
      <c r="I365">
        <v>0.75</v>
      </c>
      <c r="J365">
        <v>0.59</v>
      </c>
      <c r="K365">
        <v>1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1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1</v>
      </c>
      <c r="AF365">
        <v>0</v>
      </c>
      <c r="AG365">
        <v>0</v>
      </c>
      <c r="AH365" s="86">
        <f>AVERAGEIFS($C$2:C365, $B$2:B365, B365)</f>
        <v>19.8125</v>
      </c>
      <c r="AI365" s="86">
        <f>AVERAGEIFS($I$2:I365, $B$2:B365, B365)</f>
        <v>0.49374999999999997</v>
      </c>
      <c r="AJ365" s="86">
        <f>AVERAGEIFS($J$2:J365, $B$2:B365, B365)</f>
        <v>0.49</v>
      </c>
      <c r="AK365" s="86">
        <f>AVERAGEIFS($D$2:D365, $B$2:B365, B365)</f>
        <v>0.4375</v>
      </c>
    </row>
    <row r="366" spans="1:37" x14ac:dyDescent="0.25">
      <c r="A366" s="85">
        <v>46089</v>
      </c>
      <c r="B366" t="s">
        <v>71</v>
      </c>
      <c r="C366">
        <v>19</v>
      </c>
      <c r="D366">
        <v>1</v>
      </c>
      <c r="E366">
        <v>4</v>
      </c>
      <c r="F366">
        <v>3</v>
      </c>
      <c r="G366">
        <v>17</v>
      </c>
      <c r="H366">
        <v>10</v>
      </c>
      <c r="I366">
        <v>0.75</v>
      </c>
      <c r="J366">
        <v>0.59</v>
      </c>
      <c r="K366">
        <v>1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1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0</v>
      </c>
      <c r="AE366">
        <v>1</v>
      </c>
      <c r="AF366">
        <v>0</v>
      </c>
      <c r="AG366">
        <v>0</v>
      </c>
      <c r="AH366" s="86">
        <f>AVERAGEIFS($C$2:C366, $B$2:B366, B366)</f>
        <v>14</v>
      </c>
      <c r="AI366" s="86">
        <f>AVERAGEIFS($I$2:I366, $B$2:B366, B366)</f>
        <v>0.58750000000000002</v>
      </c>
      <c r="AJ366" s="86">
        <f>AVERAGEIFS($J$2:J366, $B$2:B366, B366)</f>
        <v>0.50249999999999995</v>
      </c>
      <c r="AK366" s="86">
        <f>AVERAGEIFS($D$2:D366, $B$2:B366, B366)</f>
        <v>0.75</v>
      </c>
    </row>
    <row r="367" spans="1:37" x14ac:dyDescent="0.25">
      <c r="A367" s="85">
        <v>46089</v>
      </c>
      <c r="B367" t="s">
        <v>35</v>
      </c>
      <c r="C367">
        <v>16</v>
      </c>
      <c r="D367">
        <v>1</v>
      </c>
      <c r="E367">
        <v>4</v>
      </c>
      <c r="F367">
        <v>3</v>
      </c>
      <c r="G367">
        <v>17</v>
      </c>
      <c r="H367">
        <v>10</v>
      </c>
      <c r="I367">
        <v>0.75</v>
      </c>
      <c r="J367">
        <v>0.59</v>
      </c>
      <c r="K367">
        <v>1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1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1</v>
      </c>
      <c r="AF367">
        <v>0</v>
      </c>
      <c r="AG367">
        <v>0</v>
      </c>
      <c r="AH367" s="86">
        <f>AVERAGEIFS($C$2:C367, $B$2:B367, B367)</f>
        <v>11.772727272727273</v>
      </c>
      <c r="AI367" s="86">
        <f>AVERAGEIFS($I$2:I367, $B$2:B367, B367)</f>
        <v>0.43318181818181822</v>
      </c>
      <c r="AJ367" s="86">
        <f>AVERAGEIFS($J$2:J367, $B$2:B367, B367)</f>
        <v>0.47136363636363643</v>
      </c>
      <c r="AK367" s="86">
        <f>AVERAGEIFS($D$2:D367, $B$2:B367, B367)</f>
        <v>0.36363636363636365</v>
      </c>
    </row>
    <row r="368" spans="1:37" x14ac:dyDescent="0.25">
      <c r="A368" s="85">
        <v>46089</v>
      </c>
      <c r="B368" t="s">
        <v>42</v>
      </c>
      <c r="C368">
        <v>34</v>
      </c>
      <c r="D368">
        <v>0</v>
      </c>
      <c r="E368">
        <v>4</v>
      </c>
      <c r="F368">
        <v>1</v>
      </c>
      <c r="G368">
        <v>17</v>
      </c>
      <c r="H368">
        <v>7</v>
      </c>
      <c r="I368">
        <v>0.25</v>
      </c>
      <c r="J368">
        <v>0.41</v>
      </c>
      <c r="K368">
        <v>0</v>
      </c>
      <c r="L368">
        <v>0</v>
      </c>
      <c r="M368">
        <v>0</v>
      </c>
      <c r="N368">
        <v>1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>
        <v>0</v>
      </c>
      <c r="AH368" s="86">
        <f>AVERAGEIFS($C$2:C368, $B$2:B368, B368)</f>
        <v>17.8</v>
      </c>
      <c r="AI368" s="86">
        <f>AVERAGEIFS($I$2:I368, $B$2:B368, B368)</f>
        <v>0.39666666666666667</v>
      </c>
      <c r="AJ368" s="86">
        <f>AVERAGEIFS($J$2:J368, $B$2:B368, B368)</f>
        <v>0.43533333333333329</v>
      </c>
      <c r="AK368" s="86">
        <f>AVERAGEIFS($D$2:D368, $B$2:B368, B368)</f>
        <v>0.4</v>
      </c>
    </row>
    <row r="369" spans="1:37" x14ac:dyDescent="0.25">
      <c r="A369" s="85">
        <v>46089</v>
      </c>
      <c r="B369" t="s">
        <v>2</v>
      </c>
      <c r="C369">
        <v>29</v>
      </c>
      <c r="D369">
        <v>0</v>
      </c>
      <c r="E369">
        <v>4</v>
      </c>
      <c r="F369">
        <v>1</v>
      </c>
      <c r="G369">
        <v>17</v>
      </c>
      <c r="H369">
        <v>7</v>
      </c>
      <c r="I369">
        <v>0.25</v>
      </c>
      <c r="J369">
        <v>0.41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 s="86">
        <f>AVERAGEIFS($C$2:C369, $B$2:B369, B369)</f>
        <v>24.631578947368421</v>
      </c>
      <c r="AI369" s="86">
        <f>AVERAGEIFS($I$2:I369, $B$2:B369, B369)</f>
        <v>0.47263157894736846</v>
      </c>
      <c r="AJ369" s="86">
        <f>AVERAGEIFS($J$2:J369, $B$2:B369, B369)</f>
        <v>0.50894736842105248</v>
      </c>
      <c r="AK369" s="86">
        <f>AVERAGEIFS($D$2:D369, $B$2:B369, B369)</f>
        <v>0.42105263157894735</v>
      </c>
    </row>
    <row r="370" spans="1:37" x14ac:dyDescent="0.25">
      <c r="A370" s="85">
        <v>46089</v>
      </c>
      <c r="B370" t="s">
        <v>4</v>
      </c>
      <c r="C370">
        <v>25</v>
      </c>
      <c r="D370">
        <v>0</v>
      </c>
      <c r="E370">
        <v>4</v>
      </c>
      <c r="F370">
        <v>1</v>
      </c>
      <c r="G370">
        <v>17</v>
      </c>
      <c r="H370">
        <v>7</v>
      </c>
      <c r="I370">
        <v>0.25</v>
      </c>
      <c r="J370">
        <v>0.41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0</v>
      </c>
      <c r="AH370" s="86">
        <f>AVERAGEIFS($C$2:C370, $B$2:B370, B370)</f>
        <v>25.666666666666668</v>
      </c>
      <c r="AI370" s="86">
        <f>AVERAGEIFS($I$2:I370, $B$2:B370, B370)</f>
        <v>0.39166666666666666</v>
      </c>
      <c r="AJ370" s="86">
        <f>AVERAGEIFS($J$2:J370, $B$2:B370, B370)</f>
        <v>0.45083333333333336</v>
      </c>
      <c r="AK370" s="86">
        <f>AVERAGEIFS($D$2:D370, $B$2:B370, B370)</f>
        <v>0.25</v>
      </c>
    </row>
    <row r="371" spans="1:37" x14ac:dyDescent="0.25">
      <c r="A371" s="85">
        <v>46089</v>
      </c>
      <c r="B371" t="s">
        <v>17</v>
      </c>
      <c r="C371">
        <v>23</v>
      </c>
      <c r="D371">
        <v>0</v>
      </c>
      <c r="E371">
        <v>4</v>
      </c>
      <c r="F371">
        <v>1</v>
      </c>
      <c r="G371">
        <v>17</v>
      </c>
      <c r="H371">
        <v>7</v>
      </c>
      <c r="I371">
        <v>0.25</v>
      </c>
      <c r="J371">
        <v>0.41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>
        <v>0</v>
      </c>
      <c r="AH371" s="86">
        <f>AVERAGEIFS($C$2:C371, $B$2:B371, B371)</f>
        <v>21.157894736842106</v>
      </c>
      <c r="AI371" s="86">
        <f>AVERAGEIFS($I$2:I371, $B$2:B371, B371)</f>
        <v>0.44842105263157894</v>
      </c>
      <c r="AJ371" s="86">
        <f>AVERAGEIFS($J$2:J371, $B$2:B371, B371)</f>
        <v>0.45842105263157901</v>
      </c>
      <c r="AK371" s="86">
        <f>AVERAGEIFS($D$2:D371, $B$2:B371, B371)</f>
        <v>0.36842105263157893</v>
      </c>
    </row>
    <row r="372" spans="1:37" x14ac:dyDescent="0.25">
      <c r="A372" s="85">
        <v>46089</v>
      </c>
      <c r="B372" t="s">
        <v>107</v>
      </c>
      <c r="C372">
        <v>19</v>
      </c>
      <c r="D372">
        <v>0</v>
      </c>
      <c r="E372">
        <v>4</v>
      </c>
      <c r="F372">
        <v>1</v>
      </c>
      <c r="G372">
        <v>17</v>
      </c>
      <c r="H372">
        <v>7</v>
      </c>
      <c r="I372">
        <v>0.25</v>
      </c>
      <c r="J372">
        <v>0.41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>
        <v>0</v>
      </c>
      <c r="AH372" s="86">
        <f>AVERAGEIFS($C$2:C372, $B$2:B372, B372)</f>
        <v>16.5</v>
      </c>
      <c r="AI372" s="86">
        <f>AVERAGEIFS($I$2:I372, $B$2:B372, B372)</f>
        <v>0.53749999999999998</v>
      </c>
      <c r="AJ372" s="86">
        <f>AVERAGEIFS($J$2:J372, $B$2:B372, B372)</f>
        <v>0.51624999999999999</v>
      </c>
      <c r="AK372" s="86">
        <f>AVERAGEIFS($D$2:D372, $B$2:B372, B372)</f>
        <v>0.5</v>
      </c>
    </row>
    <row r="373" spans="1:37" x14ac:dyDescent="0.25">
      <c r="A373" s="85">
        <v>46089</v>
      </c>
      <c r="B373" t="s">
        <v>28</v>
      </c>
      <c r="C373">
        <v>18</v>
      </c>
      <c r="D373">
        <v>0</v>
      </c>
      <c r="E373">
        <v>4</v>
      </c>
      <c r="F373">
        <v>1</v>
      </c>
      <c r="G373">
        <v>17</v>
      </c>
      <c r="H373">
        <v>7</v>
      </c>
      <c r="I373">
        <v>0.25</v>
      </c>
      <c r="J373">
        <v>0.41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>
        <v>0</v>
      </c>
      <c r="AH373" s="86">
        <f>AVERAGEIFS($C$2:C373, $B$2:B373, B373)</f>
        <v>16.533333333333335</v>
      </c>
      <c r="AI373" s="86">
        <f>AVERAGEIFS($I$2:I373, $B$2:B373, B373)</f>
        <v>0.41199999999999998</v>
      </c>
      <c r="AJ373" s="86">
        <f>AVERAGEIFS($J$2:J373, $B$2:B373, B373)</f>
        <v>0.47266666666666662</v>
      </c>
      <c r="AK373" s="86">
        <f>AVERAGEIFS($D$2:D373, $B$2:B373, B373)</f>
        <v>0.33333333333333331</v>
      </c>
    </row>
    <row r="374" spans="1:37" x14ac:dyDescent="0.25">
      <c r="A374" s="85">
        <v>46089</v>
      </c>
      <c r="B374" t="s">
        <v>40</v>
      </c>
      <c r="C374">
        <v>18</v>
      </c>
      <c r="D374">
        <v>0</v>
      </c>
      <c r="E374">
        <v>4</v>
      </c>
      <c r="F374">
        <v>1</v>
      </c>
      <c r="G374">
        <v>17</v>
      </c>
      <c r="H374">
        <v>7</v>
      </c>
      <c r="I374">
        <v>0.25</v>
      </c>
      <c r="J374">
        <v>0.41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v>0</v>
      </c>
      <c r="AH374" s="86">
        <f>AVERAGEIFS($C$2:C374, $B$2:B374, B374)</f>
        <v>17.857142857142858</v>
      </c>
      <c r="AI374" s="86">
        <f>AVERAGEIFS($I$2:I374, $B$2:B374, B374)</f>
        <v>0.44761904761904769</v>
      </c>
      <c r="AJ374" s="86">
        <f>AVERAGEIFS($J$2:J374, $B$2:B374, B374)</f>
        <v>0.47333333333333333</v>
      </c>
      <c r="AK374" s="86">
        <f>AVERAGEIFS($D$2:D374, $B$2:B374, B374)</f>
        <v>0.42857142857142855</v>
      </c>
    </row>
    <row r="375" spans="1:37" x14ac:dyDescent="0.25">
      <c r="A375" s="85">
        <v>46089</v>
      </c>
      <c r="B375" t="s">
        <v>147</v>
      </c>
      <c r="C375">
        <v>12</v>
      </c>
      <c r="D375">
        <v>0</v>
      </c>
      <c r="E375">
        <v>4</v>
      </c>
      <c r="F375">
        <v>1</v>
      </c>
      <c r="G375">
        <v>17</v>
      </c>
      <c r="H375">
        <v>7</v>
      </c>
      <c r="I375">
        <v>0.25</v>
      </c>
      <c r="J375">
        <v>0.41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>
        <v>0</v>
      </c>
      <c r="AH375" s="86">
        <f>AVERAGEIFS($C$2:C375, $B$2:B375, B375)</f>
        <v>12</v>
      </c>
      <c r="AI375" s="86">
        <f>AVERAGEIFS($I$2:I375, $B$2:B375, B375)</f>
        <v>0.25</v>
      </c>
      <c r="AJ375" s="86">
        <f>AVERAGEIFS($J$2:J375, $B$2:B375, B375)</f>
        <v>0.41</v>
      </c>
      <c r="AK375" s="86">
        <f>AVERAGEIFS($D$2:D375, $B$2:B375, B375)</f>
        <v>0</v>
      </c>
    </row>
    <row r="376" spans="1:37" x14ac:dyDescent="0.25">
      <c r="A376" s="85">
        <v>46090</v>
      </c>
      <c r="B376" t="s">
        <v>35</v>
      </c>
      <c r="C376">
        <v>15</v>
      </c>
      <c r="D376">
        <v>0</v>
      </c>
      <c r="E376">
        <v>5</v>
      </c>
      <c r="F376">
        <v>2</v>
      </c>
      <c r="G376">
        <v>22</v>
      </c>
      <c r="H376">
        <v>10</v>
      </c>
      <c r="I376">
        <v>0.4</v>
      </c>
      <c r="J376">
        <v>0.45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1</v>
      </c>
      <c r="AC376">
        <v>1</v>
      </c>
      <c r="AD376">
        <v>0</v>
      </c>
      <c r="AE376">
        <v>0</v>
      </c>
      <c r="AF376">
        <v>0</v>
      </c>
      <c r="AG376">
        <v>0</v>
      </c>
      <c r="AH376" s="86">
        <f>AVERAGEIFS($C$2:C376, $B$2:B376, B376)</f>
        <v>11.913043478260869</v>
      </c>
      <c r="AI376" s="86">
        <f>AVERAGEIFS($I$2:I376, $B$2:B376, B376)</f>
        <v>0.43173913043478268</v>
      </c>
      <c r="AJ376" s="86">
        <f>AVERAGEIFS($J$2:J376, $B$2:B376, B376)</f>
        <v>0.47043478260869565</v>
      </c>
      <c r="AK376" s="86">
        <f>AVERAGEIFS($D$2:D376, $B$2:B376, B376)</f>
        <v>0.34782608695652173</v>
      </c>
    </row>
    <row r="377" spans="1:37" x14ac:dyDescent="0.25">
      <c r="A377" s="85">
        <v>46090</v>
      </c>
      <c r="B377" t="s">
        <v>54</v>
      </c>
      <c r="C377">
        <v>24</v>
      </c>
      <c r="D377">
        <v>0</v>
      </c>
      <c r="E377">
        <v>5</v>
      </c>
      <c r="F377">
        <v>2</v>
      </c>
      <c r="G377">
        <v>22</v>
      </c>
      <c r="H377">
        <v>10</v>
      </c>
      <c r="I377">
        <v>0.4</v>
      </c>
      <c r="J377">
        <v>0.45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1</v>
      </c>
      <c r="AC377">
        <v>1</v>
      </c>
      <c r="AD377">
        <v>0</v>
      </c>
      <c r="AE377">
        <v>0</v>
      </c>
      <c r="AF377">
        <v>0</v>
      </c>
      <c r="AG377">
        <v>0</v>
      </c>
      <c r="AH377" s="86">
        <f>AVERAGEIFS($C$2:C377, $B$2:B377, B377)</f>
        <v>24.807692307692307</v>
      </c>
      <c r="AI377" s="86">
        <f>AVERAGEIFS($I$2:I377, $B$2:B377, B377)</f>
        <v>0.49500000000000005</v>
      </c>
      <c r="AJ377" s="86">
        <f>AVERAGEIFS($J$2:J377, $B$2:B377, B377)</f>
        <v>0.47269230769230763</v>
      </c>
      <c r="AK377" s="86">
        <f>AVERAGEIFS($D$2:D377, $B$2:B377, B377)</f>
        <v>0.46153846153846156</v>
      </c>
    </row>
    <row r="378" spans="1:37" x14ac:dyDescent="0.25">
      <c r="A378" s="85">
        <v>46090</v>
      </c>
      <c r="B378" t="s">
        <v>5</v>
      </c>
      <c r="C378">
        <v>19</v>
      </c>
      <c r="D378">
        <v>0</v>
      </c>
      <c r="E378">
        <v>5</v>
      </c>
      <c r="F378">
        <v>2</v>
      </c>
      <c r="G378">
        <v>22</v>
      </c>
      <c r="H378">
        <v>10</v>
      </c>
      <c r="I378">
        <v>0.4</v>
      </c>
      <c r="J378">
        <v>0.45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1</v>
      </c>
      <c r="AC378">
        <v>1</v>
      </c>
      <c r="AD378">
        <v>0</v>
      </c>
      <c r="AE378">
        <v>0</v>
      </c>
      <c r="AF378">
        <v>0</v>
      </c>
      <c r="AG378">
        <v>0</v>
      </c>
      <c r="AH378" s="86">
        <f>AVERAGEIFS($C$2:C378, $B$2:B378, B378)</f>
        <v>20.7</v>
      </c>
      <c r="AI378" s="86">
        <f>AVERAGEIFS($I$2:I378, $B$2:B378, B378)</f>
        <v>0.59199999999999997</v>
      </c>
      <c r="AJ378" s="86">
        <f>AVERAGEIFS($J$2:J378, $B$2:B378, B378)</f>
        <v>0.53800000000000003</v>
      </c>
      <c r="AK378" s="86">
        <f>AVERAGEIFS($D$2:D378, $B$2:B378, B378)</f>
        <v>0.7</v>
      </c>
    </row>
    <row r="379" spans="1:37" x14ac:dyDescent="0.25">
      <c r="A379" s="85">
        <v>46090</v>
      </c>
      <c r="B379" t="s">
        <v>46</v>
      </c>
      <c r="C379">
        <v>14</v>
      </c>
      <c r="D379">
        <v>0</v>
      </c>
      <c r="E379">
        <v>5</v>
      </c>
      <c r="F379">
        <v>2</v>
      </c>
      <c r="G379">
        <v>22</v>
      </c>
      <c r="H379">
        <v>10</v>
      </c>
      <c r="I379">
        <v>0.4</v>
      </c>
      <c r="J379">
        <v>0.45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1</v>
      </c>
      <c r="AC379">
        <v>1</v>
      </c>
      <c r="AD379">
        <v>0</v>
      </c>
      <c r="AE379">
        <v>0</v>
      </c>
      <c r="AF379">
        <v>0</v>
      </c>
      <c r="AG379">
        <v>0</v>
      </c>
      <c r="AH379" s="86">
        <f>AVERAGEIFS($C$2:C379, $B$2:B379, B379)</f>
        <v>19.470588235294116</v>
      </c>
      <c r="AI379" s="86">
        <f>AVERAGEIFS($I$2:I379, $B$2:B379, B379)</f>
        <v>0.48823529411764699</v>
      </c>
      <c r="AJ379" s="86">
        <f>AVERAGEIFS($J$2:J379, $B$2:B379, B379)</f>
        <v>0.48764705882352938</v>
      </c>
      <c r="AK379" s="86">
        <f>AVERAGEIFS($D$2:D379, $B$2:B379, B379)</f>
        <v>0.41176470588235292</v>
      </c>
    </row>
    <row r="380" spans="1:37" x14ac:dyDescent="0.25">
      <c r="A380" s="85">
        <v>46090</v>
      </c>
      <c r="B380" t="s">
        <v>45</v>
      </c>
      <c r="C380">
        <v>11</v>
      </c>
      <c r="D380">
        <v>0</v>
      </c>
      <c r="E380">
        <v>5</v>
      </c>
      <c r="F380">
        <v>2</v>
      </c>
      <c r="G380">
        <v>22</v>
      </c>
      <c r="H380">
        <v>10</v>
      </c>
      <c r="I380">
        <v>0.4</v>
      </c>
      <c r="J380">
        <v>0.45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1</v>
      </c>
      <c r="AC380">
        <v>1</v>
      </c>
      <c r="AD380">
        <v>0</v>
      </c>
      <c r="AE380">
        <v>0</v>
      </c>
      <c r="AF380">
        <v>0</v>
      </c>
      <c r="AG380">
        <v>0</v>
      </c>
      <c r="AH380" s="86">
        <f>AVERAGEIFS($C$2:C380, $B$2:B380, B380)</f>
        <v>9</v>
      </c>
      <c r="AI380" s="86">
        <f>AVERAGEIFS($I$2:I380, $B$2:B380, B380)</f>
        <v>0.59399999999999997</v>
      </c>
      <c r="AJ380" s="86">
        <f>AVERAGEIFS($J$2:J380, $B$2:B380, B380)</f>
        <v>0.52800000000000002</v>
      </c>
      <c r="AK380" s="86">
        <f>AVERAGEIFS($D$2:D380, $B$2:B380, B380)</f>
        <v>0.6</v>
      </c>
    </row>
    <row r="381" spans="1:37" x14ac:dyDescent="0.25">
      <c r="A381" s="85">
        <v>46090</v>
      </c>
      <c r="B381" t="s">
        <v>167</v>
      </c>
      <c r="C381">
        <v>10</v>
      </c>
      <c r="D381">
        <v>0</v>
      </c>
      <c r="E381">
        <v>5</v>
      </c>
      <c r="F381">
        <v>2</v>
      </c>
      <c r="G381">
        <v>22</v>
      </c>
      <c r="H381">
        <v>10</v>
      </c>
      <c r="I381">
        <v>0.4</v>
      </c>
      <c r="J381">
        <v>0.45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0</v>
      </c>
      <c r="AB381">
        <v>1</v>
      </c>
      <c r="AC381">
        <v>1</v>
      </c>
      <c r="AD381">
        <v>0</v>
      </c>
      <c r="AE381">
        <v>0</v>
      </c>
      <c r="AF381">
        <v>0</v>
      </c>
      <c r="AG381">
        <v>0</v>
      </c>
      <c r="AH381" s="86">
        <f>AVERAGEIFS($C$2:C381, $B$2:B381, B381)</f>
        <v>10</v>
      </c>
      <c r="AI381" s="86">
        <f>AVERAGEIFS($I$2:I381, $B$2:B381, B381)</f>
        <v>0.4</v>
      </c>
      <c r="AJ381" s="86">
        <f>AVERAGEIFS($J$2:J381, $B$2:B381, B381)</f>
        <v>0.45</v>
      </c>
      <c r="AK381" s="86">
        <f>AVERAGEIFS($D$2:D381, $B$2:B381, B381)</f>
        <v>0</v>
      </c>
    </row>
    <row r="382" spans="1:37" x14ac:dyDescent="0.25">
      <c r="A382" s="85">
        <v>46090</v>
      </c>
      <c r="B382" t="s">
        <v>71</v>
      </c>
      <c r="C382">
        <v>19</v>
      </c>
      <c r="D382">
        <v>1</v>
      </c>
      <c r="E382">
        <v>5</v>
      </c>
      <c r="F382">
        <v>3</v>
      </c>
      <c r="G382">
        <v>22</v>
      </c>
      <c r="H382">
        <v>12</v>
      </c>
      <c r="I382">
        <v>0.6</v>
      </c>
      <c r="J382">
        <v>0.55000000000000004</v>
      </c>
      <c r="K382">
        <v>0</v>
      </c>
      <c r="L382">
        <v>0</v>
      </c>
      <c r="M382">
        <v>1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1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0</v>
      </c>
      <c r="AG382">
        <v>1</v>
      </c>
      <c r="AH382" s="86">
        <f>AVERAGEIFS($C$2:C382, $B$2:B382, B382)</f>
        <v>15</v>
      </c>
      <c r="AI382" s="86">
        <f>AVERAGEIFS($I$2:I382, $B$2:B382, B382)</f>
        <v>0.59000000000000008</v>
      </c>
      <c r="AJ382" s="86">
        <f>AVERAGEIFS($J$2:J382, $B$2:B382, B382)</f>
        <v>0.5119999999999999</v>
      </c>
      <c r="AK382" s="86">
        <f>AVERAGEIFS($D$2:D382, $B$2:B382, B382)</f>
        <v>0.8</v>
      </c>
    </row>
    <row r="383" spans="1:37" x14ac:dyDescent="0.25">
      <c r="A383" s="85">
        <v>46090</v>
      </c>
      <c r="B383" t="s">
        <v>44</v>
      </c>
      <c r="C383">
        <v>18</v>
      </c>
      <c r="D383">
        <v>1</v>
      </c>
      <c r="E383">
        <v>5</v>
      </c>
      <c r="F383">
        <v>3</v>
      </c>
      <c r="G383">
        <v>22</v>
      </c>
      <c r="H383">
        <v>12</v>
      </c>
      <c r="I383">
        <v>0.6</v>
      </c>
      <c r="J383">
        <v>0.55000000000000004</v>
      </c>
      <c r="K383">
        <v>0</v>
      </c>
      <c r="L383">
        <v>0</v>
      </c>
      <c r="M383">
        <v>1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1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  <c r="AG383">
        <v>1</v>
      </c>
      <c r="AH383" s="86">
        <f>AVERAGEIFS($C$2:C383, $B$2:B383, B383)</f>
        <v>18.333333333333332</v>
      </c>
      <c r="AI383" s="86">
        <f>AVERAGEIFS($I$2:I383, $B$2:B383, B383)</f>
        <v>0.6</v>
      </c>
      <c r="AJ383" s="86">
        <f>AVERAGEIFS($J$2:J383, $B$2:B383, B383)</f>
        <v>0.57750000000000001</v>
      </c>
      <c r="AK383" s="86">
        <f>AVERAGEIFS($D$2:D383, $B$2:B383, B383)</f>
        <v>0.75</v>
      </c>
    </row>
    <row r="384" spans="1:37" x14ac:dyDescent="0.25">
      <c r="A384" s="85">
        <v>46090</v>
      </c>
      <c r="B384" t="s">
        <v>2</v>
      </c>
      <c r="C384">
        <v>22</v>
      </c>
      <c r="D384">
        <v>1</v>
      </c>
      <c r="E384">
        <v>5</v>
      </c>
      <c r="F384">
        <v>3</v>
      </c>
      <c r="G384">
        <v>22</v>
      </c>
      <c r="H384">
        <v>12</v>
      </c>
      <c r="I384">
        <v>0.6</v>
      </c>
      <c r="J384">
        <v>0.55000000000000004</v>
      </c>
      <c r="K384">
        <v>0</v>
      </c>
      <c r="L384">
        <v>0</v>
      </c>
      <c r="M384">
        <v>1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1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1</v>
      </c>
      <c r="AH384" s="86">
        <f>AVERAGEIFS($C$2:C384, $B$2:B384, B384)</f>
        <v>24.5</v>
      </c>
      <c r="AI384" s="86">
        <f>AVERAGEIFS($I$2:I384, $B$2:B384, B384)</f>
        <v>0.47899999999999998</v>
      </c>
      <c r="AJ384" s="86">
        <f>AVERAGEIFS($J$2:J384, $B$2:B384, B384)</f>
        <v>0.5109999999999999</v>
      </c>
      <c r="AK384" s="86">
        <f>AVERAGEIFS($D$2:D384, $B$2:B384, B384)</f>
        <v>0.45</v>
      </c>
    </row>
    <row r="385" spans="1:37" x14ac:dyDescent="0.25">
      <c r="A385" s="85">
        <v>46090</v>
      </c>
      <c r="B385" t="s">
        <v>6</v>
      </c>
      <c r="C385">
        <v>15</v>
      </c>
      <c r="D385">
        <v>1</v>
      </c>
      <c r="E385">
        <v>5</v>
      </c>
      <c r="F385">
        <v>3</v>
      </c>
      <c r="G385">
        <v>22</v>
      </c>
      <c r="H385">
        <v>12</v>
      </c>
      <c r="I385">
        <v>0.6</v>
      </c>
      <c r="J385">
        <v>0.55000000000000004</v>
      </c>
      <c r="K385">
        <v>0</v>
      </c>
      <c r="L385">
        <v>0</v>
      </c>
      <c r="M385">
        <v>1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1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1</v>
      </c>
      <c r="AH385" s="86">
        <f>AVERAGEIFS($C$2:C385, $B$2:B385, B385)</f>
        <v>22.814814814814813</v>
      </c>
      <c r="AI385" s="86">
        <f>AVERAGEIFS($I$2:I385, $B$2:B385, B385)</f>
        <v>0.65666666666666673</v>
      </c>
      <c r="AJ385" s="86">
        <f>AVERAGEIFS($J$2:J385, $B$2:B385, B385)</f>
        <v>0.58518518518518514</v>
      </c>
      <c r="AK385" s="86">
        <f>AVERAGEIFS($D$2:D385, $B$2:B385, B385)</f>
        <v>0.77777777777777779</v>
      </c>
    </row>
    <row r="386" spans="1:37" x14ac:dyDescent="0.25">
      <c r="A386" s="85">
        <v>46090</v>
      </c>
      <c r="B386" t="s">
        <v>107</v>
      </c>
      <c r="C386">
        <v>16</v>
      </c>
      <c r="D386">
        <v>1</v>
      </c>
      <c r="E386">
        <v>5</v>
      </c>
      <c r="F386">
        <v>3</v>
      </c>
      <c r="G386">
        <v>22</v>
      </c>
      <c r="H386">
        <v>12</v>
      </c>
      <c r="I386">
        <v>0.6</v>
      </c>
      <c r="J386">
        <v>0.55000000000000004</v>
      </c>
      <c r="K386">
        <v>0</v>
      </c>
      <c r="L386">
        <v>0</v>
      </c>
      <c r="M386">
        <v>1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1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1</v>
      </c>
      <c r="AH386" s="86">
        <f>AVERAGEIFS($C$2:C386, $B$2:B386, B386)</f>
        <v>16.444444444444443</v>
      </c>
      <c r="AI386" s="86">
        <f>AVERAGEIFS($I$2:I386, $B$2:B386, B386)</f>
        <v>0.5444444444444444</v>
      </c>
      <c r="AJ386" s="86">
        <f>AVERAGEIFS($J$2:J386, $B$2:B386, B386)</f>
        <v>0.52</v>
      </c>
      <c r="AK386" s="86">
        <f>AVERAGEIFS($D$2:D386, $B$2:B386, B386)</f>
        <v>0.55555555555555558</v>
      </c>
    </row>
    <row r="387" spans="1:37" x14ac:dyDescent="0.25">
      <c r="A387" s="85">
        <v>46090</v>
      </c>
      <c r="B387" t="s">
        <v>147</v>
      </c>
      <c r="C387">
        <v>8</v>
      </c>
      <c r="D387">
        <v>1</v>
      </c>
      <c r="E387">
        <v>5</v>
      </c>
      <c r="F387">
        <v>3</v>
      </c>
      <c r="G387">
        <v>22</v>
      </c>
      <c r="H387">
        <v>12</v>
      </c>
      <c r="I387">
        <v>0.6</v>
      </c>
      <c r="J387">
        <v>0.55000000000000004</v>
      </c>
      <c r="K387">
        <v>0</v>
      </c>
      <c r="L387">
        <v>0</v>
      </c>
      <c r="M387">
        <v>1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1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1</v>
      </c>
      <c r="AH387" s="86">
        <f>AVERAGEIFS($C$2:C387, $B$2:B387, B387)</f>
        <v>10</v>
      </c>
      <c r="AI387" s="86">
        <f>AVERAGEIFS($I$2:I387, $B$2:B387, B387)</f>
        <v>0.42499999999999999</v>
      </c>
      <c r="AJ387" s="86">
        <f>AVERAGEIFS($J$2:J387, $B$2:B387, B387)</f>
        <v>0.48</v>
      </c>
      <c r="AK387" s="86">
        <f>AVERAGEIFS($D$2:D387, $B$2:B387, B387)</f>
        <v>0.5</v>
      </c>
    </row>
    <row r="388" spans="1:37" x14ac:dyDescent="0.25">
      <c r="A388" s="85">
        <v>46091</v>
      </c>
      <c r="B388" t="s">
        <v>5</v>
      </c>
      <c r="C388">
        <v>35</v>
      </c>
      <c r="D388">
        <v>1</v>
      </c>
      <c r="E388">
        <v>4</v>
      </c>
      <c r="F388">
        <v>3</v>
      </c>
      <c r="G388">
        <v>16</v>
      </c>
      <c r="H388">
        <v>11</v>
      </c>
      <c r="I388">
        <v>0.75</v>
      </c>
      <c r="J388">
        <v>0.69</v>
      </c>
      <c r="K388">
        <v>0</v>
      </c>
      <c r="L388">
        <v>0</v>
      </c>
      <c r="M388">
        <v>0</v>
      </c>
      <c r="N388">
        <v>1</v>
      </c>
      <c r="O388">
        <v>1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1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0</v>
      </c>
      <c r="AH388" s="86">
        <f>AVERAGEIFS($C$2:C388, $B$2:B388, B388)</f>
        <v>22</v>
      </c>
      <c r="AI388" s="86">
        <f>AVERAGEIFS($I$2:I388, $B$2:B388, B388)</f>
        <v>0.60636363636363633</v>
      </c>
      <c r="AJ388" s="86">
        <f>AVERAGEIFS($J$2:J388, $B$2:B388, B388)</f>
        <v>0.55181818181818187</v>
      </c>
      <c r="AK388" s="86">
        <f>AVERAGEIFS($D$2:D388, $B$2:B388, B388)</f>
        <v>0.72727272727272729</v>
      </c>
    </row>
    <row r="389" spans="1:37" x14ac:dyDescent="0.25">
      <c r="A389" s="85">
        <v>46091</v>
      </c>
      <c r="B389" t="s">
        <v>40</v>
      </c>
      <c r="C389">
        <v>28</v>
      </c>
      <c r="D389">
        <v>1</v>
      </c>
      <c r="E389">
        <v>4</v>
      </c>
      <c r="F389">
        <v>3</v>
      </c>
      <c r="G389">
        <v>16</v>
      </c>
      <c r="H389">
        <v>11</v>
      </c>
      <c r="I389">
        <v>0.75</v>
      </c>
      <c r="J389">
        <v>0.69</v>
      </c>
      <c r="K389">
        <v>0</v>
      </c>
      <c r="L389">
        <v>0</v>
      </c>
      <c r="M389">
        <v>0</v>
      </c>
      <c r="N389">
        <v>1</v>
      </c>
      <c r="O389">
        <v>1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1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>
        <v>0</v>
      </c>
      <c r="AH389" s="86">
        <f>AVERAGEIFS($C$2:C389, $B$2:B389, B389)</f>
        <v>18.318181818181817</v>
      </c>
      <c r="AI389" s="86">
        <f>AVERAGEIFS($I$2:I389, $B$2:B389, B389)</f>
        <v>0.46136363636363648</v>
      </c>
      <c r="AJ389" s="86">
        <f>AVERAGEIFS($J$2:J389, $B$2:B389, B389)</f>
        <v>0.48318181818181816</v>
      </c>
      <c r="AK389" s="86">
        <f>AVERAGEIFS($D$2:D389, $B$2:B389, B389)</f>
        <v>0.45454545454545453</v>
      </c>
    </row>
    <row r="390" spans="1:37" x14ac:dyDescent="0.25">
      <c r="A390" s="85">
        <v>46091</v>
      </c>
      <c r="B390" t="s">
        <v>6</v>
      </c>
      <c r="C390">
        <v>27</v>
      </c>
      <c r="D390">
        <v>1</v>
      </c>
      <c r="E390">
        <v>4</v>
      </c>
      <c r="F390">
        <v>3</v>
      </c>
      <c r="G390">
        <v>16</v>
      </c>
      <c r="H390">
        <v>11</v>
      </c>
      <c r="I390">
        <v>0.75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1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1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>
        <v>0</v>
      </c>
      <c r="AH390" s="86">
        <f>AVERAGEIFS($C$2:C390, $B$2:B390, B390)</f>
        <v>22.964285714285715</v>
      </c>
      <c r="AI390" s="86">
        <f>AVERAGEIFS($I$2:I390, $B$2:B390, B390)</f>
        <v>0.66</v>
      </c>
      <c r="AJ390" s="86">
        <f>AVERAGEIFS($J$2:J390, $B$2:B390, B390)</f>
        <v>0.58892857142857136</v>
      </c>
      <c r="AK390" s="86">
        <f>AVERAGEIFS($D$2:D390, $B$2:B390, B390)</f>
        <v>0.7857142857142857</v>
      </c>
    </row>
    <row r="391" spans="1:37" x14ac:dyDescent="0.25">
      <c r="A391" s="85">
        <v>46091</v>
      </c>
      <c r="B391" t="s">
        <v>53</v>
      </c>
      <c r="C391">
        <v>22</v>
      </c>
      <c r="D391">
        <v>1</v>
      </c>
      <c r="E391">
        <v>4</v>
      </c>
      <c r="F391">
        <v>3</v>
      </c>
      <c r="G391">
        <v>16</v>
      </c>
      <c r="H391">
        <v>11</v>
      </c>
      <c r="I391">
        <v>0.75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1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1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>
        <v>0</v>
      </c>
      <c r="AH391" s="86">
        <f>AVERAGEIFS($C$2:C391, $B$2:B391, B391)</f>
        <v>18.181818181818183</v>
      </c>
      <c r="AI391" s="86">
        <f>AVERAGEIFS($I$2:I391, $B$2:B391, B391)</f>
        <v>0.5818181818181819</v>
      </c>
      <c r="AJ391" s="86">
        <f>AVERAGEIFS($J$2:J391, $B$2:B391, B391)</f>
        <v>0.5436363636363637</v>
      </c>
      <c r="AK391" s="86">
        <f>AVERAGEIFS($D$2:D391, $B$2:B391, B391)</f>
        <v>0.54545454545454541</v>
      </c>
    </row>
    <row r="392" spans="1:37" x14ac:dyDescent="0.25">
      <c r="A392" s="85">
        <v>46091</v>
      </c>
      <c r="B392" t="s">
        <v>2</v>
      </c>
      <c r="C392">
        <v>22</v>
      </c>
      <c r="D392">
        <v>1</v>
      </c>
      <c r="E392">
        <v>4</v>
      </c>
      <c r="F392">
        <v>3</v>
      </c>
      <c r="G392">
        <v>16</v>
      </c>
      <c r="H392">
        <v>11</v>
      </c>
      <c r="I392">
        <v>0.75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1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1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>
        <v>0</v>
      </c>
      <c r="AH392" s="86">
        <f>AVERAGEIFS($C$2:C392, $B$2:B392, B392)</f>
        <v>24.38095238095238</v>
      </c>
      <c r="AI392" s="86">
        <f>AVERAGEIFS($I$2:I392, $B$2:B392, B392)</f>
        <v>0.4919047619047619</v>
      </c>
      <c r="AJ392" s="86">
        <f>AVERAGEIFS($J$2:J392, $B$2:B392, B392)</f>
        <v>0.5195238095238095</v>
      </c>
      <c r="AK392" s="86">
        <f>AVERAGEIFS($D$2:D392, $B$2:B392, B392)</f>
        <v>0.47619047619047616</v>
      </c>
    </row>
    <row r="393" spans="1:37" x14ac:dyDescent="0.25">
      <c r="A393" s="85">
        <v>46091</v>
      </c>
      <c r="B393" t="s">
        <v>107</v>
      </c>
      <c r="C393">
        <v>13</v>
      </c>
      <c r="D393">
        <v>1</v>
      </c>
      <c r="E393">
        <v>4</v>
      </c>
      <c r="F393">
        <v>3</v>
      </c>
      <c r="G393">
        <v>16</v>
      </c>
      <c r="H393">
        <v>11</v>
      </c>
      <c r="I393">
        <v>0.75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1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1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>
        <v>0</v>
      </c>
      <c r="AH393" s="86">
        <f>AVERAGEIFS($C$2:C393, $B$2:B393, B393)</f>
        <v>16.100000000000001</v>
      </c>
      <c r="AI393" s="86">
        <f>AVERAGEIFS($I$2:I393, $B$2:B393, B393)</f>
        <v>0.56499999999999995</v>
      </c>
      <c r="AJ393" s="86">
        <f>AVERAGEIFS($J$2:J393, $B$2:B393, B393)</f>
        <v>0.53699999999999992</v>
      </c>
      <c r="AK393" s="86">
        <f>AVERAGEIFS($D$2:D393, $B$2:B393, B393)</f>
        <v>0.6</v>
      </c>
    </row>
    <row r="394" spans="1:37" x14ac:dyDescent="0.25">
      <c r="A394" s="85">
        <v>46091</v>
      </c>
      <c r="B394" t="s">
        <v>4</v>
      </c>
      <c r="C394">
        <v>30</v>
      </c>
      <c r="D394">
        <v>0</v>
      </c>
      <c r="E394">
        <v>4</v>
      </c>
      <c r="F394">
        <v>1</v>
      </c>
      <c r="G394">
        <v>16</v>
      </c>
      <c r="H394">
        <v>5</v>
      </c>
      <c r="I394">
        <v>0.25</v>
      </c>
      <c r="J394">
        <v>0.31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0</v>
      </c>
      <c r="AD394">
        <v>1</v>
      </c>
      <c r="AE394">
        <v>0</v>
      </c>
      <c r="AF394">
        <v>0</v>
      </c>
      <c r="AG394">
        <v>0</v>
      </c>
      <c r="AH394" s="86">
        <f>AVERAGEIFS($C$2:C394, $B$2:B394, B394)</f>
        <v>26</v>
      </c>
      <c r="AI394" s="86">
        <f>AVERAGEIFS($I$2:I394, $B$2:B394, B394)</f>
        <v>0.3807692307692308</v>
      </c>
      <c r="AJ394" s="86">
        <f>AVERAGEIFS($J$2:J394, $B$2:B394, B394)</f>
        <v>0.44</v>
      </c>
      <c r="AK394" s="86">
        <f>AVERAGEIFS($D$2:D394, $B$2:B394, B394)</f>
        <v>0.23076923076923078</v>
      </c>
    </row>
    <row r="395" spans="1:37" x14ac:dyDescent="0.25">
      <c r="A395" s="85">
        <v>46091</v>
      </c>
      <c r="B395" t="s">
        <v>1</v>
      </c>
      <c r="C395">
        <v>25</v>
      </c>
      <c r="D395">
        <v>0</v>
      </c>
      <c r="E395">
        <v>4</v>
      </c>
      <c r="F395">
        <v>1</v>
      </c>
      <c r="G395">
        <v>16</v>
      </c>
      <c r="H395">
        <v>5</v>
      </c>
      <c r="I395">
        <v>0.25</v>
      </c>
      <c r="J395">
        <v>0.31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0</v>
      </c>
      <c r="AD395">
        <v>1</v>
      </c>
      <c r="AE395">
        <v>0</v>
      </c>
      <c r="AF395">
        <v>0</v>
      </c>
      <c r="AG395">
        <v>0</v>
      </c>
      <c r="AH395" s="86">
        <f>AVERAGEIFS($C$2:C395, $B$2:B395, B395)</f>
        <v>29.166666666666668</v>
      </c>
      <c r="AI395" s="86">
        <f>AVERAGEIFS($I$2:I395, $B$2:B395, B395)</f>
        <v>0.37083333333333335</v>
      </c>
      <c r="AJ395" s="86">
        <f>AVERAGEIFS($J$2:J395, $B$2:B395, B395)</f>
        <v>0.42416666666666658</v>
      </c>
      <c r="AK395" s="86">
        <f>AVERAGEIFS($D$2:D395, $B$2:B395, B395)</f>
        <v>0.41666666666666669</v>
      </c>
    </row>
    <row r="396" spans="1:37" x14ac:dyDescent="0.25">
      <c r="A396" s="85">
        <v>46091</v>
      </c>
      <c r="B396" t="s">
        <v>44</v>
      </c>
      <c r="C396">
        <v>20</v>
      </c>
      <c r="D396">
        <v>0</v>
      </c>
      <c r="E396">
        <v>4</v>
      </c>
      <c r="F396">
        <v>1</v>
      </c>
      <c r="G396">
        <v>16</v>
      </c>
      <c r="H396">
        <v>5</v>
      </c>
      <c r="I396">
        <v>0.25</v>
      </c>
      <c r="J396">
        <v>0.31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0</v>
      </c>
      <c r="AD396">
        <v>1</v>
      </c>
      <c r="AE396">
        <v>0</v>
      </c>
      <c r="AF396">
        <v>0</v>
      </c>
      <c r="AG396">
        <v>0</v>
      </c>
      <c r="AH396" s="86">
        <f>AVERAGEIFS($C$2:C396, $B$2:B396, B396)</f>
        <v>18.46153846153846</v>
      </c>
      <c r="AI396" s="86">
        <f>AVERAGEIFS($I$2:I396, $B$2:B396, B396)</f>
        <v>0.57307692307692304</v>
      </c>
      <c r="AJ396" s="86">
        <f>AVERAGEIFS($J$2:J396, $B$2:B396, B396)</f>
        <v>0.55692307692307697</v>
      </c>
      <c r="AK396" s="86">
        <f>AVERAGEIFS($D$2:D396, $B$2:B396, B396)</f>
        <v>0.69230769230769229</v>
      </c>
    </row>
    <row r="397" spans="1:37" x14ac:dyDescent="0.25">
      <c r="A397" s="85">
        <v>46091</v>
      </c>
      <c r="B397" t="s">
        <v>17</v>
      </c>
      <c r="C397">
        <v>18</v>
      </c>
      <c r="D397">
        <v>0</v>
      </c>
      <c r="E397">
        <v>4</v>
      </c>
      <c r="F397">
        <v>1</v>
      </c>
      <c r="G397">
        <v>16</v>
      </c>
      <c r="H397">
        <v>5</v>
      </c>
      <c r="I397">
        <v>0.25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1</v>
      </c>
      <c r="AE397">
        <v>0</v>
      </c>
      <c r="AF397">
        <v>0</v>
      </c>
      <c r="AG397">
        <v>0</v>
      </c>
      <c r="AH397" s="86">
        <f>AVERAGEIFS($C$2:C397, $B$2:B397, B397)</f>
        <v>21</v>
      </c>
      <c r="AI397" s="86">
        <f>AVERAGEIFS($I$2:I397, $B$2:B397, B397)</f>
        <v>0.4385</v>
      </c>
      <c r="AJ397" s="86">
        <f>AVERAGEIFS($J$2:J397, $B$2:B397, B397)</f>
        <v>0.45100000000000007</v>
      </c>
      <c r="AK397" s="86">
        <f>AVERAGEIFS($D$2:D397, $B$2:B397, B397)</f>
        <v>0.35</v>
      </c>
    </row>
    <row r="398" spans="1:37" x14ac:dyDescent="0.25">
      <c r="A398" s="85">
        <v>46091</v>
      </c>
      <c r="B398" t="s">
        <v>113</v>
      </c>
      <c r="C398">
        <v>15</v>
      </c>
      <c r="D398">
        <v>0</v>
      </c>
      <c r="E398">
        <v>4</v>
      </c>
      <c r="F398">
        <v>1</v>
      </c>
      <c r="G398">
        <v>16</v>
      </c>
      <c r="H398">
        <v>5</v>
      </c>
      <c r="I398">
        <v>0.25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1</v>
      </c>
      <c r="AE398">
        <v>0</v>
      </c>
      <c r="AF398">
        <v>0</v>
      </c>
      <c r="AG398">
        <v>0</v>
      </c>
      <c r="AH398" s="86">
        <f>AVERAGEIFS($C$2:C398, $B$2:B398, B398)</f>
        <v>19.166666666666668</v>
      </c>
      <c r="AI398" s="86">
        <f>AVERAGEIFS($I$2:I398, $B$2:B398, B398)</f>
        <v>0.5</v>
      </c>
      <c r="AJ398" s="86">
        <f>AVERAGEIFS($J$2:J398, $B$2:B398, B398)</f>
        <v>0.46833333333333332</v>
      </c>
      <c r="AK398" s="86">
        <f>AVERAGEIFS($D$2:D398, $B$2:B398, B398)</f>
        <v>0.5</v>
      </c>
    </row>
    <row r="399" spans="1:37" x14ac:dyDescent="0.25">
      <c r="A399" s="85">
        <v>46091</v>
      </c>
      <c r="B399" t="s">
        <v>42</v>
      </c>
      <c r="C399">
        <v>13</v>
      </c>
      <c r="D399">
        <v>0</v>
      </c>
      <c r="E399">
        <v>4</v>
      </c>
      <c r="F399">
        <v>1</v>
      </c>
      <c r="G399">
        <v>16</v>
      </c>
      <c r="H399">
        <v>5</v>
      </c>
      <c r="I399">
        <v>0.25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0</v>
      </c>
      <c r="AD399">
        <v>1</v>
      </c>
      <c r="AE399">
        <v>0</v>
      </c>
      <c r="AF399">
        <v>0</v>
      </c>
      <c r="AG399">
        <v>0</v>
      </c>
      <c r="AH399" s="86">
        <f>AVERAGEIFS($C$2:C399, $B$2:B399, B399)</f>
        <v>17.5</v>
      </c>
      <c r="AI399" s="86">
        <f>AVERAGEIFS($I$2:I399, $B$2:B399, B399)</f>
        <v>0.38750000000000001</v>
      </c>
      <c r="AJ399" s="86">
        <f>AVERAGEIFS($J$2:J399, $B$2:B399, B399)</f>
        <v>0.42749999999999994</v>
      </c>
      <c r="AK399" s="86">
        <f>AVERAGEIFS($D$2:D399, $B$2:B399, B399)</f>
        <v>0.375</v>
      </c>
    </row>
    <row r="400" spans="1:37" x14ac:dyDescent="0.25">
      <c r="A400" s="85">
        <v>46092</v>
      </c>
      <c r="B400" t="s">
        <v>40</v>
      </c>
      <c r="C400">
        <v>19</v>
      </c>
      <c r="D400">
        <v>1</v>
      </c>
      <c r="E400">
        <v>3</v>
      </c>
      <c r="F400">
        <v>3</v>
      </c>
      <c r="G400">
        <v>11</v>
      </c>
      <c r="H400">
        <v>9</v>
      </c>
      <c r="I400">
        <v>1</v>
      </c>
      <c r="J400">
        <v>0.82</v>
      </c>
      <c r="K400">
        <v>0</v>
      </c>
      <c r="L400">
        <v>0</v>
      </c>
      <c r="M400">
        <v>1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1</v>
      </c>
      <c r="Z400">
        <v>0</v>
      </c>
      <c r="AA400">
        <v>0</v>
      </c>
      <c r="AB400">
        <v>0</v>
      </c>
      <c r="AC400">
        <v>1</v>
      </c>
      <c r="AD400">
        <v>0</v>
      </c>
      <c r="AE400">
        <v>0</v>
      </c>
      <c r="AF400">
        <v>0</v>
      </c>
      <c r="AG400">
        <v>0</v>
      </c>
      <c r="AH400" s="86">
        <f>AVERAGEIFS($C$2:C400, $B$2:B400, B400)</f>
        <v>18.347826086956523</v>
      </c>
      <c r="AI400" s="86">
        <f>AVERAGEIFS($I$2:I400, $B$2:B400, B400)</f>
        <v>0.48478260869565226</v>
      </c>
      <c r="AJ400" s="86">
        <f>AVERAGEIFS($J$2:J400, $B$2:B400, B400)</f>
        <v>0.4978260869565217</v>
      </c>
      <c r="AK400" s="86">
        <f>AVERAGEIFS($D$2:D400, $B$2:B400, B400)</f>
        <v>0.47826086956521741</v>
      </c>
    </row>
    <row r="401" spans="1:37" x14ac:dyDescent="0.25">
      <c r="A401" s="85">
        <v>46092</v>
      </c>
      <c r="B401" t="s">
        <v>54</v>
      </c>
      <c r="C401">
        <v>24</v>
      </c>
      <c r="D401">
        <v>1</v>
      </c>
      <c r="E401">
        <v>3</v>
      </c>
      <c r="F401">
        <v>3</v>
      </c>
      <c r="G401">
        <v>11</v>
      </c>
      <c r="H401">
        <v>9</v>
      </c>
      <c r="I401">
        <v>1</v>
      </c>
      <c r="J401">
        <v>0.82</v>
      </c>
      <c r="K401">
        <v>0</v>
      </c>
      <c r="L401">
        <v>0</v>
      </c>
      <c r="M401">
        <v>1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1</v>
      </c>
      <c r="Z401">
        <v>0</v>
      </c>
      <c r="AA401">
        <v>0</v>
      </c>
      <c r="AB401">
        <v>0</v>
      </c>
      <c r="AC401">
        <v>1</v>
      </c>
      <c r="AD401">
        <v>0</v>
      </c>
      <c r="AE401">
        <v>0</v>
      </c>
      <c r="AF401">
        <v>0</v>
      </c>
      <c r="AG401">
        <v>0</v>
      </c>
      <c r="AH401" s="86">
        <f>AVERAGEIFS($C$2:C401, $B$2:B401, B401)</f>
        <v>24.777777777777779</v>
      </c>
      <c r="AI401" s="86">
        <f>AVERAGEIFS($I$2:I401, $B$2:B401, B401)</f>
        <v>0.51370370370370377</v>
      </c>
      <c r="AJ401" s="86">
        <f>AVERAGEIFS($J$2:J401, $B$2:B401, B401)</f>
        <v>0.48555555555555552</v>
      </c>
      <c r="AK401" s="86">
        <f>AVERAGEIFS($D$2:D401, $B$2:B401, B401)</f>
        <v>0.48148148148148145</v>
      </c>
    </row>
    <row r="402" spans="1:37" x14ac:dyDescent="0.25">
      <c r="A402" s="85">
        <v>46092</v>
      </c>
      <c r="B402" t="s">
        <v>2</v>
      </c>
      <c r="C402">
        <v>17</v>
      </c>
      <c r="D402">
        <v>1</v>
      </c>
      <c r="E402">
        <v>3</v>
      </c>
      <c r="F402">
        <v>3</v>
      </c>
      <c r="G402">
        <v>11</v>
      </c>
      <c r="H402">
        <v>9</v>
      </c>
      <c r="I402">
        <v>1</v>
      </c>
      <c r="J402">
        <v>0.82</v>
      </c>
      <c r="K402">
        <v>0</v>
      </c>
      <c r="L402">
        <v>0</v>
      </c>
      <c r="M402">
        <v>1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1</v>
      </c>
      <c r="Z402">
        <v>0</v>
      </c>
      <c r="AA402">
        <v>0</v>
      </c>
      <c r="AB402">
        <v>0</v>
      </c>
      <c r="AC402">
        <v>1</v>
      </c>
      <c r="AD402">
        <v>0</v>
      </c>
      <c r="AE402">
        <v>0</v>
      </c>
      <c r="AF402">
        <v>0</v>
      </c>
      <c r="AG402">
        <v>0</v>
      </c>
      <c r="AH402" s="86">
        <f>AVERAGEIFS($C$2:C402, $B$2:B402, B402)</f>
        <v>24.045454545454547</v>
      </c>
      <c r="AI402" s="86">
        <f>AVERAGEIFS($I$2:I402, $B$2:B402, B402)</f>
        <v>0.51500000000000001</v>
      </c>
      <c r="AJ402" s="86">
        <f>AVERAGEIFS($J$2:J402, $B$2:B402, B402)</f>
        <v>0.53318181818181809</v>
      </c>
      <c r="AK402" s="86">
        <f>AVERAGEIFS($D$2:D402, $B$2:B402, B402)</f>
        <v>0.5</v>
      </c>
    </row>
    <row r="403" spans="1:37" x14ac:dyDescent="0.25">
      <c r="A403" s="85">
        <v>46092</v>
      </c>
      <c r="B403" t="s">
        <v>113</v>
      </c>
      <c r="C403">
        <v>16</v>
      </c>
      <c r="D403">
        <v>1</v>
      </c>
      <c r="E403">
        <v>3</v>
      </c>
      <c r="F403">
        <v>3</v>
      </c>
      <c r="G403">
        <v>11</v>
      </c>
      <c r="H403">
        <v>9</v>
      </c>
      <c r="I403">
        <v>1</v>
      </c>
      <c r="J403">
        <v>0.82</v>
      </c>
      <c r="K403">
        <v>0</v>
      </c>
      <c r="L403">
        <v>0</v>
      </c>
      <c r="M403">
        <v>1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1</v>
      </c>
      <c r="Z403">
        <v>0</v>
      </c>
      <c r="AA403">
        <v>0</v>
      </c>
      <c r="AB403">
        <v>0</v>
      </c>
      <c r="AC403">
        <v>1</v>
      </c>
      <c r="AD403">
        <v>0</v>
      </c>
      <c r="AE403">
        <v>0</v>
      </c>
      <c r="AF403">
        <v>0</v>
      </c>
      <c r="AG403">
        <v>0</v>
      </c>
      <c r="AH403" s="86">
        <f>AVERAGEIFS($C$2:C403, $B$2:B403, B403)</f>
        <v>18.714285714285715</v>
      </c>
      <c r="AI403" s="86">
        <f>AVERAGEIFS($I$2:I403, $B$2:B403, B403)</f>
        <v>0.5714285714285714</v>
      </c>
      <c r="AJ403" s="86">
        <f>AVERAGEIFS($J$2:J403, $B$2:B403, B403)</f>
        <v>0.51857142857142857</v>
      </c>
      <c r="AK403" s="86">
        <f>AVERAGEIFS($D$2:D403, $B$2:B403, B403)</f>
        <v>0.5714285714285714</v>
      </c>
    </row>
    <row r="404" spans="1:37" x14ac:dyDescent="0.25">
      <c r="A404" s="85">
        <v>46092</v>
      </c>
      <c r="B404" t="s">
        <v>35</v>
      </c>
      <c r="C404">
        <v>9</v>
      </c>
      <c r="D404">
        <v>1</v>
      </c>
      <c r="E404">
        <v>3</v>
      </c>
      <c r="F404">
        <v>3</v>
      </c>
      <c r="G404">
        <v>11</v>
      </c>
      <c r="H404">
        <v>9</v>
      </c>
      <c r="I404">
        <v>1</v>
      </c>
      <c r="J404">
        <v>0.82</v>
      </c>
      <c r="K404">
        <v>0</v>
      </c>
      <c r="L404">
        <v>0</v>
      </c>
      <c r="M404">
        <v>1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1</v>
      </c>
      <c r="Z404">
        <v>0</v>
      </c>
      <c r="AA404">
        <v>0</v>
      </c>
      <c r="AB404">
        <v>0</v>
      </c>
      <c r="AC404">
        <v>1</v>
      </c>
      <c r="AD404">
        <v>0</v>
      </c>
      <c r="AE404">
        <v>0</v>
      </c>
      <c r="AF404">
        <v>0</v>
      </c>
      <c r="AG404">
        <v>0</v>
      </c>
      <c r="AH404" s="86">
        <f>AVERAGEIFS($C$2:C404, $B$2:B404, B404)</f>
        <v>11.791666666666666</v>
      </c>
      <c r="AI404" s="86">
        <f>AVERAGEIFS($I$2:I404, $B$2:B404, B404)</f>
        <v>0.45541666666666675</v>
      </c>
      <c r="AJ404" s="86">
        <f>AVERAGEIFS($J$2:J404, $B$2:B404, B404)</f>
        <v>0.48500000000000004</v>
      </c>
      <c r="AK404" s="86">
        <f>AVERAGEIFS($D$2:D404, $B$2:B404, B404)</f>
        <v>0.375</v>
      </c>
    </row>
    <row r="405" spans="1:37" x14ac:dyDescent="0.25">
      <c r="A405" s="85">
        <v>46092</v>
      </c>
      <c r="B405" t="s">
        <v>147</v>
      </c>
      <c r="C405">
        <v>3</v>
      </c>
      <c r="D405">
        <v>1</v>
      </c>
      <c r="E405">
        <v>3</v>
      </c>
      <c r="F405">
        <v>3</v>
      </c>
      <c r="G405">
        <v>11</v>
      </c>
      <c r="H405">
        <v>9</v>
      </c>
      <c r="I405">
        <v>1</v>
      </c>
      <c r="J405">
        <v>0.82</v>
      </c>
      <c r="K405">
        <v>0</v>
      </c>
      <c r="L405">
        <v>0</v>
      </c>
      <c r="M405">
        <v>1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1</v>
      </c>
      <c r="Z405">
        <v>0</v>
      </c>
      <c r="AA405">
        <v>0</v>
      </c>
      <c r="AB405">
        <v>0</v>
      </c>
      <c r="AC405">
        <v>1</v>
      </c>
      <c r="AD405">
        <v>0</v>
      </c>
      <c r="AE405">
        <v>0</v>
      </c>
      <c r="AF405">
        <v>0</v>
      </c>
      <c r="AG405">
        <v>0</v>
      </c>
      <c r="AH405" s="86">
        <f>AVERAGEIFS($C$2:C405, $B$2:B405, B405)</f>
        <v>7.666666666666667</v>
      </c>
      <c r="AI405" s="86">
        <f>AVERAGEIFS($I$2:I405, $B$2:B405, B405)</f>
        <v>0.6166666666666667</v>
      </c>
      <c r="AJ405" s="86">
        <f>AVERAGEIFS($J$2:J405, $B$2:B405, B405)</f>
        <v>0.59333333333333327</v>
      </c>
      <c r="AK405" s="86">
        <f>AVERAGEIFS($D$2:D405, $B$2:B405, B405)</f>
        <v>0.66666666666666663</v>
      </c>
    </row>
    <row r="406" spans="1:37" x14ac:dyDescent="0.25">
      <c r="A406" s="85">
        <v>46092</v>
      </c>
      <c r="B406" t="s">
        <v>44</v>
      </c>
      <c r="C406">
        <v>10</v>
      </c>
      <c r="D406">
        <v>0</v>
      </c>
      <c r="E406">
        <v>3</v>
      </c>
      <c r="F406">
        <v>0</v>
      </c>
      <c r="G406">
        <v>11</v>
      </c>
      <c r="H406">
        <v>2</v>
      </c>
      <c r="I406">
        <v>0</v>
      </c>
      <c r="J406">
        <v>0.18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 s="86">
        <f>AVERAGEIFS($C$2:C406, $B$2:B406, B406)</f>
        <v>17.857142857142858</v>
      </c>
      <c r="AI406" s="86">
        <f>AVERAGEIFS($I$2:I406, $B$2:B406, B406)</f>
        <v>0.53214285714285714</v>
      </c>
      <c r="AJ406" s="86">
        <f>AVERAGEIFS($J$2:J406, $B$2:B406, B406)</f>
        <v>0.53</v>
      </c>
      <c r="AK406" s="86">
        <f>AVERAGEIFS($D$2:D406, $B$2:B406, B406)</f>
        <v>0.6428571428571429</v>
      </c>
    </row>
    <row r="407" spans="1:37" x14ac:dyDescent="0.25">
      <c r="A407" s="85">
        <v>46092</v>
      </c>
      <c r="B407" t="s">
        <v>6</v>
      </c>
      <c r="C407">
        <v>17</v>
      </c>
      <c r="D407">
        <v>0</v>
      </c>
      <c r="E407">
        <v>3</v>
      </c>
      <c r="F407">
        <v>0</v>
      </c>
      <c r="G407">
        <v>11</v>
      </c>
      <c r="H407">
        <v>2</v>
      </c>
      <c r="I407">
        <v>0</v>
      </c>
      <c r="J407">
        <v>0.18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v>0</v>
      </c>
      <c r="AH407" s="86">
        <f>AVERAGEIFS($C$2:C407, $B$2:B407, B407)</f>
        <v>22.758620689655171</v>
      </c>
      <c r="AI407" s="86">
        <f>AVERAGEIFS($I$2:I407, $B$2:B407, B407)</f>
        <v>0.63724137931034486</v>
      </c>
      <c r="AJ407" s="86">
        <f>AVERAGEIFS($J$2:J407, $B$2:B407, B407)</f>
        <v>0.57482758620689645</v>
      </c>
      <c r="AK407" s="86">
        <f>AVERAGEIFS($D$2:D407, $B$2:B407, B407)</f>
        <v>0.75862068965517238</v>
      </c>
    </row>
    <row r="408" spans="1:37" x14ac:dyDescent="0.25">
      <c r="A408" s="85">
        <v>46092</v>
      </c>
      <c r="B408" t="s">
        <v>71</v>
      </c>
      <c r="C408">
        <v>13</v>
      </c>
      <c r="D408">
        <v>0</v>
      </c>
      <c r="E408">
        <v>3</v>
      </c>
      <c r="F408">
        <v>0</v>
      </c>
      <c r="G408">
        <v>11</v>
      </c>
      <c r="H408">
        <v>2</v>
      </c>
      <c r="I408">
        <v>0</v>
      </c>
      <c r="J408">
        <v>0.18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0</v>
      </c>
      <c r="AH408" s="86">
        <f>AVERAGEIFS($C$2:C408, $B$2:B408, B408)</f>
        <v>14.666666666666666</v>
      </c>
      <c r="AI408" s="86">
        <f>AVERAGEIFS($I$2:I408, $B$2:B408, B408)</f>
        <v>0.4916666666666667</v>
      </c>
      <c r="AJ408" s="86">
        <f>AVERAGEIFS($J$2:J408, $B$2:B408, B408)</f>
        <v>0.45666666666666661</v>
      </c>
      <c r="AK408" s="86">
        <f>AVERAGEIFS($D$2:D408, $B$2:B408, B408)</f>
        <v>0.66666666666666663</v>
      </c>
    </row>
    <row r="409" spans="1:37" x14ac:dyDescent="0.25">
      <c r="A409" s="85">
        <v>46092</v>
      </c>
      <c r="B409" t="s">
        <v>53</v>
      </c>
      <c r="C409">
        <v>10</v>
      </c>
      <c r="D409">
        <v>0</v>
      </c>
      <c r="E409">
        <v>3</v>
      </c>
      <c r="F409">
        <v>0</v>
      </c>
      <c r="G409">
        <v>11</v>
      </c>
      <c r="H409">
        <v>2</v>
      </c>
      <c r="I409">
        <v>0</v>
      </c>
      <c r="J409">
        <v>0.18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0</v>
      </c>
      <c r="AH409" s="86">
        <f>AVERAGEIFS($C$2:C409, $B$2:B409, B409)</f>
        <v>17.5</v>
      </c>
      <c r="AI409" s="86">
        <f>AVERAGEIFS($I$2:I409, $B$2:B409, B409)</f>
        <v>0.53333333333333333</v>
      </c>
      <c r="AJ409" s="86">
        <f>AVERAGEIFS($J$2:J409, $B$2:B409, B409)</f>
        <v>0.51333333333333331</v>
      </c>
      <c r="AK409" s="86">
        <f>AVERAGEIFS($D$2:D409, $B$2:B409, B409)</f>
        <v>0.5</v>
      </c>
    </row>
    <row r="410" spans="1:37" x14ac:dyDescent="0.25">
      <c r="A410" s="85">
        <v>46092</v>
      </c>
      <c r="B410" t="s">
        <v>28</v>
      </c>
      <c r="C410">
        <v>5</v>
      </c>
      <c r="D410">
        <v>0</v>
      </c>
      <c r="E410">
        <v>3</v>
      </c>
      <c r="F410">
        <v>0</v>
      </c>
      <c r="G410">
        <v>11</v>
      </c>
      <c r="H410">
        <v>2</v>
      </c>
      <c r="I410">
        <v>0</v>
      </c>
      <c r="J410">
        <v>0.18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v>0</v>
      </c>
      <c r="AH410" s="86">
        <f>AVERAGEIFS($C$2:C410, $B$2:B410, B410)</f>
        <v>15.8125</v>
      </c>
      <c r="AI410" s="86">
        <f>AVERAGEIFS($I$2:I410, $B$2:B410, B410)</f>
        <v>0.38624999999999998</v>
      </c>
      <c r="AJ410" s="86">
        <f>AVERAGEIFS($J$2:J410, $B$2:B410, B410)</f>
        <v>0.45437499999999992</v>
      </c>
      <c r="AK410" s="86">
        <f>AVERAGEIFS($D$2:D410, $B$2:B410, B410)</f>
        <v>0.3125</v>
      </c>
    </row>
    <row r="411" spans="1:37" x14ac:dyDescent="0.25">
      <c r="A411" s="85">
        <v>46092</v>
      </c>
      <c r="B411" t="s">
        <v>27</v>
      </c>
      <c r="C411">
        <v>10</v>
      </c>
      <c r="D411">
        <v>0</v>
      </c>
      <c r="E411">
        <v>3</v>
      </c>
      <c r="F411">
        <v>0</v>
      </c>
      <c r="G411">
        <v>11</v>
      </c>
      <c r="H411">
        <v>2</v>
      </c>
      <c r="I411">
        <v>0</v>
      </c>
      <c r="J411">
        <v>0.18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>
        <v>0</v>
      </c>
      <c r="AH411" s="86">
        <f>AVERAGEIFS($C$2:C411, $B$2:B411, B411)</f>
        <v>13.5</v>
      </c>
      <c r="AI411" s="86">
        <f>AVERAGEIFS($I$2:I411, $B$2:B411, B411)</f>
        <v>0.39999999999999997</v>
      </c>
      <c r="AJ411" s="86">
        <f>AVERAGEIFS($J$2:J411, $B$2:B411, B411)</f>
        <v>0.39500000000000002</v>
      </c>
      <c r="AK411" s="86">
        <f>AVERAGEIFS($D$2:D411, $B$2:B411, B411)</f>
        <v>0.33333333333333331</v>
      </c>
    </row>
    <row r="412" spans="1:37" x14ac:dyDescent="0.25">
      <c r="A412" s="85">
        <v>46093</v>
      </c>
      <c r="B412" t="s">
        <v>141</v>
      </c>
      <c r="C412">
        <v>4</v>
      </c>
      <c r="D412">
        <v>1</v>
      </c>
      <c r="E412">
        <v>4</v>
      </c>
      <c r="F412">
        <v>3</v>
      </c>
      <c r="G412">
        <v>14</v>
      </c>
      <c r="H412">
        <v>9</v>
      </c>
      <c r="I412">
        <v>0.75</v>
      </c>
      <c r="J412">
        <v>0.64</v>
      </c>
      <c r="K412">
        <v>0</v>
      </c>
      <c r="L412">
        <v>1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1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v>1</v>
      </c>
      <c r="AD412">
        <v>0</v>
      </c>
      <c r="AE412">
        <v>0</v>
      </c>
      <c r="AF412">
        <v>0</v>
      </c>
      <c r="AG412">
        <v>0</v>
      </c>
      <c r="AH412" s="86">
        <f>AVERAGEIFS($C$2:C412, $B$2:B412, B412)</f>
        <v>4</v>
      </c>
      <c r="AI412" s="86">
        <f>AVERAGEIFS($I$2:I412, $B$2:B412, B412)</f>
        <v>0.75</v>
      </c>
      <c r="AJ412" s="86">
        <f>AVERAGEIFS($J$2:J412, $B$2:B412, B412)</f>
        <v>0.64</v>
      </c>
      <c r="AK412" s="86">
        <f>AVERAGEIFS($D$2:D412, $B$2:B412, B412)</f>
        <v>1</v>
      </c>
    </row>
    <row r="413" spans="1:37" x14ac:dyDescent="0.25">
      <c r="A413" s="85">
        <v>46093</v>
      </c>
      <c r="B413" t="s">
        <v>1</v>
      </c>
      <c r="C413">
        <v>23</v>
      </c>
      <c r="D413">
        <v>1</v>
      </c>
      <c r="E413">
        <v>4</v>
      </c>
      <c r="F413">
        <v>3</v>
      </c>
      <c r="G413">
        <v>14</v>
      </c>
      <c r="H413">
        <v>9</v>
      </c>
      <c r="I413">
        <v>0.75</v>
      </c>
      <c r="J413">
        <v>0.64</v>
      </c>
      <c r="K413">
        <v>0</v>
      </c>
      <c r="L413">
        <v>1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1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1</v>
      </c>
      <c r="AD413">
        <v>0</v>
      </c>
      <c r="AE413">
        <v>0</v>
      </c>
      <c r="AF413">
        <v>0</v>
      </c>
      <c r="AG413">
        <v>0</v>
      </c>
      <c r="AH413" s="86">
        <f>AVERAGEIFS($C$2:C413, $B$2:B413, B413)</f>
        <v>28.692307692307693</v>
      </c>
      <c r="AI413" s="86">
        <f>AVERAGEIFS($I$2:I413, $B$2:B413, B413)</f>
        <v>0.4</v>
      </c>
      <c r="AJ413" s="86">
        <f>AVERAGEIFS($J$2:J413, $B$2:B413, B413)</f>
        <v>0.44076923076923069</v>
      </c>
      <c r="AK413" s="86">
        <f>AVERAGEIFS($D$2:D413, $B$2:B413, B413)</f>
        <v>0.46153846153846156</v>
      </c>
    </row>
    <row r="414" spans="1:37" x14ac:dyDescent="0.25">
      <c r="A414" s="85">
        <v>46093</v>
      </c>
      <c r="B414" t="s">
        <v>54</v>
      </c>
      <c r="C414">
        <v>24</v>
      </c>
      <c r="D414">
        <v>1</v>
      </c>
      <c r="E414">
        <v>4</v>
      </c>
      <c r="F414">
        <v>3</v>
      </c>
      <c r="G414">
        <v>14</v>
      </c>
      <c r="H414">
        <v>9</v>
      </c>
      <c r="I414">
        <v>0.75</v>
      </c>
      <c r="J414">
        <v>0.64</v>
      </c>
      <c r="K414">
        <v>0</v>
      </c>
      <c r="L414">
        <v>1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1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v>1</v>
      </c>
      <c r="AD414">
        <v>0</v>
      </c>
      <c r="AE414">
        <v>0</v>
      </c>
      <c r="AF414">
        <v>0</v>
      </c>
      <c r="AG414">
        <v>0</v>
      </c>
      <c r="AH414" s="86">
        <f>AVERAGEIFS($C$2:C414, $B$2:B414, B414)</f>
        <v>24.75</v>
      </c>
      <c r="AI414" s="86">
        <f>AVERAGEIFS($I$2:I414, $B$2:B414, B414)</f>
        <v>0.52214285714285713</v>
      </c>
      <c r="AJ414" s="86">
        <f>AVERAGEIFS($J$2:J414, $B$2:B414, B414)</f>
        <v>0.49107142857142855</v>
      </c>
      <c r="AK414" s="86">
        <f>AVERAGEIFS($D$2:D414, $B$2:B414, B414)</f>
        <v>0.5</v>
      </c>
    </row>
    <row r="415" spans="1:37" x14ac:dyDescent="0.25">
      <c r="A415" s="85">
        <v>46093</v>
      </c>
      <c r="B415" t="s">
        <v>150</v>
      </c>
      <c r="C415">
        <v>9</v>
      </c>
      <c r="D415">
        <v>1</v>
      </c>
      <c r="E415">
        <v>4</v>
      </c>
      <c r="F415">
        <v>3</v>
      </c>
      <c r="G415">
        <v>14</v>
      </c>
      <c r="H415">
        <v>9</v>
      </c>
      <c r="I415">
        <v>0.75</v>
      </c>
      <c r="J415">
        <v>0.64</v>
      </c>
      <c r="K415">
        <v>0</v>
      </c>
      <c r="L415">
        <v>1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1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1</v>
      </c>
      <c r="AD415">
        <v>0</v>
      </c>
      <c r="AE415">
        <v>0</v>
      </c>
      <c r="AF415">
        <v>0</v>
      </c>
      <c r="AG415">
        <v>0</v>
      </c>
      <c r="AH415" s="86">
        <f>AVERAGEIFS($C$2:C415, $B$2:B415, B415)</f>
        <v>9</v>
      </c>
      <c r="AI415" s="86">
        <f>AVERAGEIFS($I$2:I415, $B$2:B415, B415)</f>
        <v>0.75</v>
      </c>
      <c r="AJ415" s="86">
        <f>AVERAGEIFS($J$2:J415, $B$2:B415, B415)</f>
        <v>0.64</v>
      </c>
      <c r="AK415" s="86">
        <f>AVERAGEIFS($D$2:D415, $B$2:B415, B415)</f>
        <v>1</v>
      </c>
    </row>
    <row r="416" spans="1:37" x14ac:dyDescent="0.25">
      <c r="A416" s="85">
        <v>46093</v>
      </c>
      <c r="B416" t="s">
        <v>147</v>
      </c>
      <c r="C416">
        <v>3</v>
      </c>
      <c r="D416">
        <v>1</v>
      </c>
      <c r="E416">
        <v>4</v>
      </c>
      <c r="F416">
        <v>3</v>
      </c>
      <c r="G416">
        <v>14</v>
      </c>
      <c r="H416">
        <v>9</v>
      </c>
      <c r="I416">
        <v>0.75</v>
      </c>
      <c r="J416">
        <v>0.64</v>
      </c>
      <c r="K416">
        <v>0</v>
      </c>
      <c r="L416">
        <v>1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1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1</v>
      </c>
      <c r="AD416">
        <v>0</v>
      </c>
      <c r="AE416">
        <v>0</v>
      </c>
      <c r="AF416">
        <v>0</v>
      </c>
      <c r="AG416">
        <v>0</v>
      </c>
      <c r="AH416" s="86">
        <f>AVERAGEIFS($C$2:C416, $B$2:B416, B416)</f>
        <v>6.5</v>
      </c>
      <c r="AI416" s="86">
        <f>AVERAGEIFS($I$2:I416, $B$2:B416, B416)</f>
        <v>0.65</v>
      </c>
      <c r="AJ416" s="86">
        <f>AVERAGEIFS($J$2:J416, $B$2:B416, B416)</f>
        <v>0.60499999999999998</v>
      </c>
      <c r="AK416" s="86">
        <f>AVERAGEIFS($D$2:D416, $B$2:B416, B416)</f>
        <v>0.75</v>
      </c>
    </row>
    <row r="417" spans="1:37" x14ac:dyDescent="0.25">
      <c r="A417" s="85">
        <v>46093</v>
      </c>
      <c r="B417" t="s">
        <v>50</v>
      </c>
      <c r="C417">
        <v>15</v>
      </c>
      <c r="D417">
        <v>1</v>
      </c>
      <c r="E417">
        <v>4</v>
      </c>
      <c r="F417">
        <v>3</v>
      </c>
      <c r="G417">
        <v>14</v>
      </c>
      <c r="H417">
        <v>9</v>
      </c>
      <c r="I417">
        <v>0.75</v>
      </c>
      <c r="J417">
        <v>0.64</v>
      </c>
      <c r="K417">
        <v>0</v>
      </c>
      <c r="L417">
        <v>1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1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1</v>
      </c>
      <c r="AD417">
        <v>0</v>
      </c>
      <c r="AE417">
        <v>0</v>
      </c>
      <c r="AF417">
        <v>0</v>
      </c>
      <c r="AG417">
        <v>0</v>
      </c>
      <c r="AH417" s="86">
        <f>AVERAGEIFS($C$2:C417, $B$2:B417, B417)</f>
        <v>19.416666666666668</v>
      </c>
      <c r="AI417" s="86">
        <f>AVERAGEIFS($I$2:I417, $B$2:B417, B417)</f>
        <v>0.55333333333333334</v>
      </c>
      <c r="AJ417" s="86">
        <f>AVERAGEIFS($J$2:J417, $B$2:B417, B417)</f>
        <v>0.5412499999999999</v>
      </c>
      <c r="AK417" s="86">
        <f>AVERAGEIFS($D$2:D417, $B$2:B417, B417)</f>
        <v>0.58333333333333337</v>
      </c>
    </row>
    <row r="418" spans="1:37" x14ac:dyDescent="0.25">
      <c r="A418" s="85">
        <v>46093</v>
      </c>
      <c r="B418" t="s">
        <v>71</v>
      </c>
      <c r="C418">
        <v>1</v>
      </c>
      <c r="D418">
        <v>1</v>
      </c>
      <c r="E418">
        <v>4</v>
      </c>
      <c r="F418">
        <v>3</v>
      </c>
      <c r="G418">
        <v>14</v>
      </c>
      <c r="H418">
        <v>9</v>
      </c>
      <c r="I418">
        <v>0.75</v>
      </c>
      <c r="J418">
        <v>0.64</v>
      </c>
      <c r="K418">
        <v>0</v>
      </c>
      <c r="L418">
        <v>1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1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1</v>
      </c>
      <c r="AD418">
        <v>0</v>
      </c>
      <c r="AE418">
        <v>0</v>
      </c>
      <c r="AF418">
        <v>0</v>
      </c>
      <c r="AG418">
        <v>0</v>
      </c>
      <c r="AH418" s="86">
        <f>AVERAGEIFS($C$2:C418, $B$2:B418, B418)</f>
        <v>12.714285714285714</v>
      </c>
      <c r="AI418" s="86">
        <f>AVERAGEIFS($I$2:I418, $B$2:B418, B418)</f>
        <v>0.52857142857142858</v>
      </c>
      <c r="AJ418" s="86">
        <f>AVERAGEIFS($J$2:J418, $B$2:B418, B418)</f>
        <v>0.48285714285714282</v>
      </c>
      <c r="AK418" s="86">
        <f>AVERAGEIFS($D$2:D418, $B$2:B418, B418)</f>
        <v>0.7142857142857143</v>
      </c>
    </row>
    <row r="419" spans="1:37" x14ac:dyDescent="0.25">
      <c r="A419" s="85">
        <v>46093</v>
      </c>
      <c r="B419" t="s">
        <v>140</v>
      </c>
      <c r="C419">
        <v>12</v>
      </c>
      <c r="D419">
        <v>0</v>
      </c>
      <c r="E419">
        <v>4</v>
      </c>
      <c r="F419">
        <v>1</v>
      </c>
      <c r="G419">
        <v>14</v>
      </c>
      <c r="H419">
        <v>5</v>
      </c>
      <c r="I419">
        <v>0.25</v>
      </c>
      <c r="J419">
        <v>0.36</v>
      </c>
      <c r="K419">
        <v>0</v>
      </c>
      <c r="L419">
        <v>0</v>
      </c>
      <c r="M419">
        <v>0</v>
      </c>
      <c r="N419">
        <v>1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>
        <v>0</v>
      </c>
      <c r="AH419" s="86">
        <f>AVERAGEIFS($C$2:C419, $B$2:B419, B419)</f>
        <v>12</v>
      </c>
      <c r="AI419" s="86">
        <f>AVERAGEIFS($I$2:I419, $B$2:B419, B419)</f>
        <v>0.25</v>
      </c>
      <c r="AJ419" s="86">
        <f>AVERAGEIFS($J$2:J419, $B$2:B419, B419)</f>
        <v>0.36</v>
      </c>
      <c r="AK419" s="86">
        <f>AVERAGEIFS($D$2:D419, $B$2:B419, B419)</f>
        <v>0</v>
      </c>
    </row>
    <row r="420" spans="1:37" x14ac:dyDescent="0.25">
      <c r="A420" s="85">
        <v>46093</v>
      </c>
      <c r="B420" t="s">
        <v>113</v>
      </c>
      <c r="C420">
        <v>15</v>
      </c>
      <c r="D420">
        <v>0</v>
      </c>
      <c r="E420">
        <v>4</v>
      </c>
      <c r="F420">
        <v>1</v>
      </c>
      <c r="G420">
        <v>14</v>
      </c>
      <c r="H420">
        <v>5</v>
      </c>
      <c r="I420">
        <v>0.25</v>
      </c>
      <c r="J420">
        <v>0.36</v>
      </c>
      <c r="K420">
        <v>0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v>0</v>
      </c>
      <c r="AH420" s="86">
        <f>AVERAGEIFS($C$2:C420, $B$2:B420, B420)</f>
        <v>18.25</v>
      </c>
      <c r="AI420" s="86">
        <f>AVERAGEIFS($I$2:I420, $B$2:B420, B420)</f>
        <v>0.53125</v>
      </c>
      <c r="AJ420" s="86">
        <f>AVERAGEIFS($J$2:J420, $B$2:B420, B420)</f>
        <v>0.49874999999999997</v>
      </c>
      <c r="AK420" s="86">
        <f>AVERAGEIFS($D$2:D420, $B$2:B420, B420)</f>
        <v>0.5</v>
      </c>
    </row>
    <row r="421" spans="1:37" x14ac:dyDescent="0.25">
      <c r="A421" s="85">
        <v>46093</v>
      </c>
      <c r="B421" t="s">
        <v>52</v>
      </c>
      <c r="C421">
        <v>17</v>
      </c>
      <c r="D421">
        <v>0</v>
      </c>
      <c r="E421">
        <v>4</v>
      </c>
      <c r="F421">
        <v>1</v>
      </c>
      <c r="G421">
        <v>14</v>
      </c>
      <c r="H421">
        <v>5</v>
      </c>
      <c r="I421">
        <v>0.25</v>
      </c>
      <c r="J421">
        <v>0.36</v>
      </c>
      <c r="K421">
        <v>0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0</v>
      </c>
      <c r="AH421" s="86">
        <f>AVERAGEIFS($C$2:C421, $B$2:B421, B421)</f>
        <v>13.888888888888889</v>
      </c>
      <c r="AI421" s="86">
        <f>AVERAGEIFS($I$2:I421, $B$2:B421, B421)</f>
        <v>0.37777777777777777</v>
      </c>
      <c r="AJ421" s="86">
        <f>AVERAGEIFS($J$2:J421, $B$2:B421, B421)</f>
        <v>0.4211111111111111</v>
      </c>
      <c r="AK421" s="86">
        <f>AVERAGEIFS($D$2:D421, $B$2:B421, B421)</f>
        <v>0.22222222222222221</v>
      </c>
    </row>
    <row r="422" spans="1:37" x14ac:dyDescent="0.25">
      <c r="A422" s="85">
        <v>46093</v>
      </c>
      <c r="B422" t="s">
        <v>40</v>
      </c>
      <c r="C422">
        <v>9</v>
      </c>
      <c r="D422">
        <v>0</v>
      </c>
      <c r="E422">
        <v>4</v>
      </c>
      <c r="F422">
        <v>1</v>
      </c>
      <c r="G422">
        <v>14</v>
      </c>
      <c r="H422">
        <v>5</v>
      </c>
      <c r="I422">
        <v>0.25</v>
      </c>
      <c r="J422">
        <v>0.36</v>
      </c>
      <c r="K422">
        <v>0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0</v>
      </c>
      <c r="AH422" s="86">
        <f>AVERAGEIFS($C$2:C422, $B$2:B422, B422)</f>
        <v>17.958333333333332</v>
      </c>
      <c r="AI422" s="86">
        <f>AVERAGEIFS($I$2:I422, $B$2:B422, B422)</f>
        <v>0.47500000000000009</v>
      </c>
      <c r="AJ422" s="86">
        <f>AVERAGEIFS($J$2:J422, $B$2:B422, B422)</f>
        <v>0.49208333333333326</v>
      </c>
      <c r="AK422" s="86">
        <f>AVERAGEIFS($D$2:D422, $B$2:B422, B422)</f>
        <v>0.45833333333333331</v>
      </c>
    </row>
    <row r="423" spans="1:37" x14ac:dyDescent="0.25">
      <c r="A423" s="85">
        <v>46093</v>
      </c>
      <c r="B423" t="s">
        <v>4</v>
      </c>
      <c r="C423">
        <v>16</v>
      </c>
      <c r="D423">
        <v>0</v>
      </c>
      <c r="E423">
        <v>4</v>
      </c>
      <c r="F423">
        <v>1</v>
      </c>
      <c r="G423">
        <v>14</v>
      </c>
      <c r="H423">
        <v>5</v>
      </c>
      <c r="I423">
        <v>0.25</v>
      </c>
      <c r="J423">
        <v>0.36</v>
      </c>
      <c r="K423">
        <v>0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0</v>
      </c>
      <c r="AH423" s="86">
        <f>AVERAGEIFS($C$2:C423, $B$2:B423, B423)</f>
        <v>25.285714285714285</v>
      </c>
      <c r="AI423" s="86">
        <f>AVERAGEIFS($I$2:I423, $B$2:B423, B423)</f>
        <v>0.37142857142857144</v>
      </c>
      <c r="AJ423" s="86">
        <f>AVERAGEIFS($J$2:J423, $B$2:B423, B423)</f>
        <v>0.43428571428571427</v>
      </c>
      <c r="AK423" s="86">
        <f>AVERAGEIFS($D$2:D423, $B$2:B423, B423)</f>
        <v>0.21428571428571427</v>
      </c>
    </row>
    <row r="424" spans="1:37" x14ac:dyDescent="0.25">
      <c r="A424" s="85">
        <v>46093</v>
      </c>
      <c r="B424" t="s">
        <v>107</v>
      </c>
      <c r="C424">
        <v>5</v>
      </c>
      <c r="D424">
        <v>0</v>
      </c>
      <c r="E424">
        <v>4</v>
      </c>
      <c r="F424">
        <v>1</v>
      </c>
      <c r="G424">
        <v>14</v>
      </c>
      <c r="H424">
        <v>5</v>
      </c>
      <c r="I424">
        <v>0.25</v>
      </c>
      <c r="J424">
        <v>0.36</v>
      </c>
      <c r="K424">
        <v>0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0</v>
      </c>
      <c r="AH424" s="86">
        <f>AVERAGEIFS($C$2:C424, $B$2:B424, B424)</f>
        <v>15.090909090909092</v>
      </c>
      <c r="AI424" s="86">
        <f>AVERAGEIFS($I$2:I424, $B$2:B424, B424)</f>
        <v>0.53636363636363626</v>
      </c>
      <c r="AJ424" s="86">
        <f>AVERAGEIFS($J$2:J424, $B$2:B424, B424)</f>
        <v>0.52090909090909088</v>
      </c>
      <c r="AK424" s="86">
        <f>AVERAGEIFS($D$2:D424, $B$2:B424, B424)</f>
        <v>0.54545454545454541</v>
      </c>
    </row>
    <row r="425" spans="1:37" x14ac:dyDescent="0.25">
      <c r="A425" s="85">
        <v>46094</v>
      </c>
      <c r="B425" t="s">
        <v>54</v>
      </c>
      <c r="C425">
        <v>27</v>
      </c>
      <c r="D425">
        <v>1</v>
      </c>
      <c r="E425">
        <v>4</v>
      </c>
      <c r="F425">
        <v>3</v>
      </c>
      <c r="G425">
        <v>16</v>
      </c>
      <c r="H425">
        <v>10</v>
      </c>
      <c r="I425">
        <v>0.75</v>
      </c>
      <c r="J425">
        <v>0.63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1</v>
      </c>
      <c r="Z425">
        <v>1</v>
      </c>
      <c r="AA425">
        <v>0</v>
      </c>
      <c r="AB425">
        <v>0</v>
      </c>
      <c r="AC425">
        <v>1</v>
      </c>
      <c r="AD425">
        <v>0</v>
      </c>
      <c r="AE425">
        <v>0</v>
      </c>
      <c r="AF425">
        <v>0</v>
      </c>
      <c r="AG425">
        <v>0</v>
      </c>
      <c r="AH425" s="86">
        <f>AVERAGEIFS($C$2:C425, $B$2:B425, B425)</f>
        <v>24.827586206896552</v>
      </c>
      <c r="AI425" s="86">
        <f>AVERAGEIFS($I$2:I425, $B$2:B425, B425)</f>
        <v>0.53</v>
      </c>
      <c r="AJ425" s="86">
        <f>AVERAGEIFS($J$2:J425, $B$2:B425, B425)</f>
        <v>0.49586206896551727</v>
      </c>
      <c r="AK425" s="86">
        <f>AVERAGEIFS($D$2:D425, $B$2:B425, B425)</f>
        <v>0.51724137931034486</v>
      </c>
    </row>
    <row r="426" spans="1:37" x14ac:dyDescent="0.25">
      <c r="A426" s="85">
        <v>46094</v>
      </c>
      <c r="B426" t="s">
        <v>2</v>
      </c>
      <c r="C426">
        <v>19</v>
      </c>
      <c r="D426">
        <v>1</v>
      </c>
      <c r="E426">
        <v>4</v>
      </c>
      <c r="F426">
        <v>3</v>
      </c>
      <c r="G426">
        <v>16</v>
      </c>
      <c r="H426">
        <v>10</v>
      </c>
      <c r="I426">
        <v>0.75</v>
      </c>
      <c r="J426">
        <v>0.63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1</v>
      </c>
      <c r="Z426">
        <v>1</v>
      </c>
      <c r="AA426">
        <v>0</v>
      </c>
      <c r="AB426">
        <v>0</v>
      </c>
      <c r="AC426">
        <v>1</v>
      </c>
      <c r="AD426">
        <v>0</v>
      </c>
      <c r="AE426">
        <v>0</v>
      </c>
      <c r="AF426">
        <v>0</v>
      </c>
      <c r="AG426">
        <v>0</v>
      </c>
      <c r="AH426" s="86">
        <f>AVERAGEIFS($C$2:C426, $B$2:B426, B426)</f>
        <v>23.826086956521738</v>
      </c>
      <c r="AI426" s="86">
        <f>AVERAGEIFS($I$2:I426, $B$2:B426, B426)</f>
        <v>0.52521739130434786</v>
      </c>
      <c r="AJ426" s="86">
        <f>AVERAGEIFS($J$2:J426, $B$2:B426, B426)</f>
        <v>0.53739130434782612</v>
      </c>
      <c r="AK426" s="86">
        <f>AVERAGEIFS($D$2:D426, $B$2:B426, B426)</f>
        <v>0.52173913043478259</v>
      </c>
    </row>
    <row r="427" spans="1:37" x14ac:dyDescent="0.25">
      <c r="A427" s="85">
        <v>46094</v>
      </c>
      <c r="B427" t="s">
        <v>113</v>
      </c>
      <c r="C427">
        <v>11</v>
      </c>
      <c r="D427">
        <v>1</v>
      </c>
      <c r="E427">
        <v>4</v>
      </c>
      <c r="F427">
        <v>3</v>
      </c>
      <c r="G427">
        <v>16</v>
      </c>
      <c r="H427">
        <v>10</v>
      </c>
      <c r="I427">
        <v>0.75</v>
      </c>
      <c r="J427">
        <v>0.63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1</v>
      </c>
      <c r="Z427">
        <v>1</v>
      </c>
      <c r="AA427">
        <v>0</v>
      </c>
      <c r="AB427">
        <v>0</v>
      </c>
      <c r="AC427">
        <v>1</v>
      </c>
      <c r="AD427">
        <v>0</v>
      </c>
      <c r="AE427">
        <v>0</v>
      </c>
      <c r="AF427">
        <v>0</v>
      </c>
      <c r="AG427">
        <v>0</v>
      </c>
      <c r="AH427" s="86">
        <f>AVERAGEIFS($C$2:C427, $B$2:B427, B427)</f>
        <v>17.444444444444443</v>
      </c>
      <c r="AI427" s="86">
        <f>AVERAGEIFS($I$2:I427, $B$2:B427, B427)</f>
        <v>0.55555555555555558</v>
      </c>
      <c r="AJ427" s="86">
        <f>AVERAGEIFS($J$2:J427, $B$2:B427, B427)</f>
        <v>0.51333333333333331</v>
      </c>
      <c r="AK427" s="86">
        <f>AVERAGEIFS($D$2:D427, $B$2:B427, B427)</f>
        <v>0.55555555555555558</v>
      </c>
    </row>
    <row r="428" spans="1:37" x14ac:dyDescent="0.25">
      <c r="A428" s="85">
        <v>46094</v>
      </c>
      <c r="B428" t="s">
        <v>53</v>
      </c>
      <c r="C428">
        <v>18</v>
      </c>
      <c r="D428">
        <v>1</v>
      </c>
      <c r="E428">
        <v>4</v>
      </c>
      <c r="F428">
        <v>3</v>
      </c>
      <c r="G428">
        <v>16</v>
      </c>
      <c r="H428">
        <v>10</v>
      </c>
      <c r="I428">
        <v>0.75</v>
      </c>
      <c r="J428">
        <v>0.63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1</v>
      </c>
      <c r="Z428">
        <v>1</v>
      </c>
      <c r="AA428">
        <v>0</v>
      </c>
      <c r="AB428">
        <v>0</v>
      </c>
      <c r="AC428">
        <v>1</v>
      </c>
      <c r="AD428">
        <v>0</v>
      </c>
      <c r="AE428">
        <v>0</v>
      </c>
      <c r="AF428">
        <v>0</v>
      </c>
      <c r="AG428">
        <v>0</v>
      </c>
      <c r="AH428" s="86">
        <f>AVERAGEIFS($C$2:C428, $B$2:B428, B428)</f>
        <v>17.53846153846154</v>
      </c>
      <c r="AI428" s="86">
        <f>AVERAGEIFS($I$2:I428, $B$2:B428, B428)</f>
        <v>0.55000000000000004</v>
      </c>
      <c r="AJ428" s="86">
        <f>AVERAGEIFS($J$2:J428, $B$2:B428, B428)</f>
        <v>0.52230769230769236</v>
      </c>
      <c r="AK428" s="86">
        <f>AVERAGEIFS($D$2:D428, $B$2:B428, B428)</f>
        <v>0.53846153846153844</v>
      </c>
    </row>
    <row r="429" spans="1:37" x14ac:dyDescent="0.25">
      <c r="A429" s="85">
        <v>46094</v>
      </c>
      <c r="B429" t="s">
        <v>35</v>
      </c>
      <c r="C429">
        <v>6</v>
      </c>
      <c r="D429">
        <v>1</v>
      </c>
      <c r="E429">
        <v>4</v>
      </c>
      <c r="F429">
        <v>3</v>
      </c>
      <c r="G429">
        <v>16</v>
      </c>
      <c r="H429">
        <v>10</v>
      </c>
      <c r="I429">
        <v>0.75</v>
      </c>
      <c r="J429">
        <v>0.63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1</v>
      </c>
      <c r="Z429">
        <v>1</v>
      </c>
      <c r="AA429">
        <v>0</v>
      </c>
      <c r="AB429">
        <v>0</v>
      </c>
      <c r="AC429">
        <v>1</v>
      </c>
      <c r="AD429">
        <v>0</v>
      </c>
      <c r="AE429">
        <v>0</v>
      </c>
      <c r="AF429">
        <v>0</v>
      </c>
      <c r="AG429">
        <v>0</v>
      </c>
      <c r="AH429" s="86">
        <f>AVERAGEIFS($C$2:C429, $B$2:B429, B429)</f>
        <v>11.56</v>
      </c>
      <c r="AI429" s="86">
        <f>AVERAGEIFS($I$2:I429, $B$2:B429, B429)</f>
        <v>0.46720000000000006</v>
      </c>
      <c r="AJ429" s="86">
        <f>AVERAGEIFS($J$2:J429, $B$2:B429, B429)</f>
        <v>0.49080000000000007</v>
      </c>
      <c r="AK429" s="86">
        <f>AVERAGEIFS($D$2:D429, $B$2:B429, B429)</f>
        <v>0.4</v>
      </c>
    </row>
    <row r="430" spans="1:37" x14ac:dyDescent="0.25">
      <c r="A430" s="85">
        <v>46094</v>
      </c>
      <c r="B430" t="s">
        <v>147</v>
      </c>
      <c r="C430">
        <v>6</v>
      </c>
      <c r="D430">
        <v>1</v>
      </c>
      <c r="E430">
        <v>4</v>
      </c>
      <c r="F430">
        <v>3</v>
      </c>
      <c r="G430">
        <v>16</v>
      </c>
      <c r="H430">
        <v>10</v>
      </c>
      <c r="I430">
        <v>0.75</v>
      </c>
      <c r="J430">
        <v>0.63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1</v>
      </c>
      <c r="Z430">
        <v>1</v>
      </c>
      <c r="AA430">
        <v>0</v>
      </c>
      <c r="AB430">
        <v>0</v>
      </c>
      <c r="AC430">
        <v>1</v>
      </c>
      <c r="AD430">
        <v>0</v>
      </c>
      <c r="AE430">
        <v>0</v>
      </c>
      <c r="AF430">
        <v>0</v>
      </c>
      <c r="AG430">
        <v>0</v>
      </c>
      <c r="AH430" s="86">
        <f>AVERAGEIFS($C$2:C430, $B$2:B430, B430)</f>
        <v>6.4</v>
      </c>
      <c r="AI430" s="86">
        <f>AVERAGEIFS($I$2:I430, $B$2:B430, B430)</f>
        <v>0.67</v>
      </c>
      <c r="AJ430" s="86">
        <f>AVERAGEIFS($J$2:J430, $B$2:B430, B430)</f>
        <v>0.61</v>
      </c>
      <c r="AK430" s="86">
        <f>AVERAGEIFS($D$2:D430, $B$2:B430, B430)</f>
        <v>0.8</v>
      </c>
    </row>
    <row r="431" spans="1:37" x14ac:dyDescent="0.25">
      <c r="A431" s="85">
        <v>46094</v>
      </c>
      <c r="B431" t="s">
        <v>1</v>
      </c>
      <c r="C431">
        <v>24</v>
      </c>
      <c r="D431">
        <v>0</v>
      </c>
      <c r="E431">
        <v>4</v>
      </c>
      <c r="F431">
        <v>1</v>
      </c>
      <c r="G431">
        <v>16</v>
      </c>
      <c r="H431">
        <v>6</v>
      </c>
      <c r="I431">
        <v>0.25</v>
      </c>
      <c r="J431">
        <v>0.38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0</v>
      </c>
      <c r="AE431">
        <v>1</v>
      </c>
      <c r="AF431">
        <v>0</v>
      </c>
      <c r="AG431">
        <v>0</v>
      </c>
      <c r="AH431" s="86">
        <f>AVERAGEIFS($C$2:C431, $B$2:B431, B431)</f>
        <v>28.357142857142858</v>
      </c>
      <c r="AI431" s="86">
        <f>AVERAGEIFS($I$2:I431, $B$2:B431, B431)</f>
        <v>0.38928571428571429</v>
      </c>
      <c r="AJ431" s="86">
        <f>AVERAGEIFS($J$2:J431, $B$2:B431, B431)</f>
        <v>0.43642857142857133</v>
      </c>
      <c r="AK431" s="86">
        <f>AVERAGEIFS($D$2:D431, $B$2:B431, B431)</f>
        <v>0.42857142857142855</v>
      </c>
    </row>
    <row r="432" spans="1:37" x14ac:dyDescent="0.25">
      <c r="A432" s="85">
        <v>46094</v>
      </c>
      <c r="B432" t="s">
        <v>4</v>
      </c>
      <c r="C432">
        <v>13</v>
      </c>
      <c r="D432">
        <v>0</v>
      </c>
      <c r="E432">
        <v>4</v>
      </c>
      <c r="F432">
        <v>1</v>
      </c>
      <c r="G432">
        <v>16</v>
      </c>
      <c r="H432">
        <v>6</v>
      </c>
      <c r="I432">
        <v>0.25</v>
      </c>
      <c r="J432">
        <v>0.38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0</v>
      </c>
      <c r="AE432">
        <v>1</v>
      </c>
      <c r="AF432">
        <v>0</v>
      </c>
      <c r="AG432">
        <v>0</v>
      </c>
      <c r="AH432" s="86">
        <f>AVERAGEIFS($C$2:C432, $B$2:B432, B432)</f>
        <v>24.466666666666665</v>
      </c>
      <c r="AI432" s="86">
        <f>AVERAGEIFS($I$2:I432, $B$2:B432, B432)</f>
        <v>0.36333333333333334</v>
      </c>
      <c r="AJ432" s="86">
        <f>AVERAGEIFS($J$2:J432, $B$2:B432, B432)</f>
        <v>0.43066666666666664</v>
      </c>
      <c r="AK432" s="86">
        <f>AVERAGEIFS($D$2:D432, $B$2:B432, B432)</f>
        <v>0.2</v>
      </c>
    </row>
    <row r="433" spans="1:37" x14ac:dyDescent="0.25">
      <c r="A433" s="85">
        <v>46094</v>
      </c>
      <c r="B433" t="s">
        <v>40</v>
      </c>
      <c r="C433">
        <v>8</v>
      </c>
      <c r="D433">
        <v>0</v>
      </c>
      <c r="E433">
        <v>4</v>
      </c>
      <c r="F433">
        <v>1</v>
      </c>
      <c r="G433">
        <v>16</v>
      </c>
      <c r="H433">
        <v>6</v>
      </c>
      <c r="I433">
        <v>0.25</v>
      </c>
      <c r="J433">
        <v>0.38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1</v>
      </c>
      <c r="AF433">
        <v>0</v>
      </c>
      <c r="AG433">
        <v>0</v>
      </c>
      <c r="AH433" s="86">
        <f>AVERAGEIFS($C$2:C433, $B$2:B433, B433)</f>
        <v>17.559999999999999</v>
      </c>
      <c r="AI433" s="86">
        <f>AVERAGEIFS($I$2:I433, $B$2:B433, B433)</f>
        <v>0.46600000000000008</v>
      </c>
      <c r="AJ433" s="86">
        <f>AVERAGEIFS($J$2:J433, $B$2:B433, B433)</f>
        <v>0.48759999999999998</v>
      </c>
      <c r="AK433" s="86">
        <f>AVERAGEIFS($D$2:D433, $B$2:B433, B433)</f>
        <v>0.44</v>
      </c>
    </row>
    <row r="434" spans="1:37" x14ac:dyDescent="0.25">
      <c r="A434" s="85">
        <v>46094</v>
      </c>
      <c r="B434" t="s">
        <v>142</v>
      </c>
      <c r="C434">
        <v>8</v>
      </c>
      <c r="D434">
        <v>0</v>
      </c>
      <c r="E434">
        <v>4</v>
      </c>
      <c r="F434">
        <v>1</v>
      </c>
      <c r="G434">
        <v>16</v>
      </c>
      <c r="H434">
        <v>6</v>
      </c>
      <c r="I434">
        <v>0.25</v>
      </c>
      <c r="J434">
        <v>0.38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1</v>
      </c>
      <c r="AF434">
        <v>0</v>
      </c>
      <c r="AG434">
        <v>0</v>
      </c>
      <c r="AH434" s="86">
        <f>AVERAGEIFS($C$2:C434, $B$2:B434, B434)</f>
        <v>8</v>
      </c>
      <c r="AI434" s="86">
        <f>AVERAGEIFS($I$2:I434, $B$2:B434, B434)</f>
        <v>0.25</v>
      </c>
      <c r="AJ434" s="86">
        <f>AVERAGEIFS($J$2:J434, $B$2:B434, B434)</f>
        <v>0.38</v>
      </c>
      <c r="AK434" s="86">
        <f>AVERAGEIFS($D$2:D434, $B$2:B434, B434)</f>
        <v>0</v>
      </c>
    </row>
    <row r="435" spans="1:37" x14ac:dyDescent="0.25">
      <c r="A435" s="85">
        <v>46094</v>
      </c>
      <c r="B435" t="s">
        <v>28</v>
      </c>
      <c r="C435">
        <v>10</v>
      </c>
      <c r="D435">
        <v>0</v>
      </c>
      <c r="E435">
        <v>4</v>
      </c>
      <c r="F435">
        <v>1</v>
      </c>
      <c r="G435">
        <v>16</v>
      </c>
      <c r="H435">
        <v>6</v>
      </c>
      <c r="I435">
        <v>0.25</v>
      </c>
      <c r="J435">
        <v>0.38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1</v>
      </c>
      <c r="AF435">
        <v>0</v>
      </c>
      <c r="AG435">
        <v>0</v>
      </c>
      <c r="AH435" s="86">
        <f>AVERAGEIFS($C$2:C435, $B$2:B435, B435)</f>
        <v>15.470588235294118</v>
      </c>
      <c r="AI435" s="86">
        <f>AVERAGEIFS($I$2:I435, $B$2:B435, B435)</f>
        <v>0.37823529411764706</v>
      </c>
      <c r="AJ435" s="86">
        <f>AVERAGEIFS($J$2:J435, $B$2:B435, B435)</f>
        <v>0.4499999999999999</v>
      </c>
      <c r="AK435" s="86">
        <f>AVERAGEIFS($D$2:D435, $B$2:B435, B435)</f>
        <v>0.29411764705882354</v>
      </c>
    </row>
    <row r="436" spans="1:37" x14ac:dyDescent="0.25">
      <c r="A436" s="85">
        <v>46094</v>
      </c>
      <c r="B436" t="s">
        <v>118</v>
      </c>
      <c r="C436">
        <v>20</v>
      </c>
      <c r="D436">
        <v>0</v>
      </c>
      <c r="E436">
        <v>4</v>
      </c>
      <c r="F436">
        <v>1</v>
      </c>
      <c r="G436">
        <v>16</v>
      </c>
      <c r="H436">
        <v>6</v>
      </c>
      <c r="I436">
        <v>0.25</v>
      </c>
      <c r="J436">
        <v>0.38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1</v>
      </c>
      <c r="AF436">
        <v>0</v>
      </c>
      <c r="AG436">
        <v>0</v>
      </c>
      <c r="AH436" s="86">
        <f>AVERAGEIFS($C$2:C436, $B$2:B436, B436)</f>
        <v>15</v>
      </c>
      <c r="AI436" s="86">
        <f>AVERAGEIFS($I$2:I436, $B$2:B436, B436)</f>
        <v>0.5</v>
      </c>
      <c r="AJ436" s="86">
        <f>AVERAGEIFS($J$2:J436, $B$2:B436, B436)</f>
        <v>0.51</v>
      </c>
      <c r="AK436" s="86">
        <f>AVERAGEIFS($D$2:D436, $B$2:B436, B436)</f>
        <v>0.5</v>
      </c>
    </row>
    <row r="437" spans="1:37" x14ac:dyDescent="0.25">
      <c r="A437" s="85">
        <v>46094</v>
      </c>
      <c r="B437" t="s">
        <v>54</v>
      </c>
      <c r="C437">
        <v>15</v>
      </c>
      <c r="D437">
        <v>1</v>
      </c>
      <c r="E437">
        <v>3</v>
      </c>
      <c r="F437">
        <v>3</v>
      </c>
      <c r="G437">
        <v>10</v>
      </c>
      <c r="H437">
        <v>9</v>
      </c>
      <c r="I437">
        <v>1</v>
      </c>
      <c r="J437">
        <v>0.9</v>
      </c>
      <c r="K437">
        <v>1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0</v>
      </c>
      <c r="AG437">
        <v>1</v>
      </c>
      <c r="AH437" s="86">
        <f>AVERAGEIFS($C$2:C437, $B$2:B437, B437)</f>
        <v>24.5</v>
      </c>
      <c r="AI437" s="86">
        <f>AVERAGEIFS($I$2:I437, $B$2:B437, B437)</f>
        <v>0.54566666666666674</v>
      </c>
      <c r="AJ437" s="86">
        <f>AVERAGEIFS($J$2:J437, $B$2:B437, B437)</f>
        <v>0.50933333333333342</v>
      </c>
      <c r="AK437" s="86">
        <f>AVERAGEIFS($D$2:D437, $B$2:B437, B437)</f>
        <v>0.53333333333333333</v>
      </c>
    </row>
    <row r="438" spans="1:37" x14ac:dyDescent="0.25">
      <c r="A438" s="85">
        <v>46094</v>
      </c>
      <c r="B438" t="s">
        <v>2</v>
      </c>
      <c r="C438">
        <v>11</v>
      </c>
      <c r="D438">
        <v>1</v>
      </c>
      <c r="E438">
        <v>3</v>
      </c>
      <c r="F438">
        <v>3</v>
      </c>
      <c r="G438">
        <v>10</v>
      </c>
      <c r="H438">
        <v>9</v>
      </c>
      <c r="I438">
        <v>1</v>
      </c>
      <c r="J438">
        <v>0.9</v>
      </c>
      <c r="K438">
        <v>1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0</v>
      </c>
      <c r="AG438">
        <v>1</v>
      </c>
      <c r="AH438" s="86">
        <f>AVERAGEIFS($C$2:C438, $B$2:B438, B438)</f>
        <v>23.291666666666668</v>
      </c>
      <c r="AI438" s="86">
        <f>AVERAGEIFS($I$2:I438, $B$2:B438, B438)</f>
        <v>0.54500000000000004</v>
      </c>
      <c r="AJ438" s="86">
        <f>AVERAGEIFS($J$2:J438, $B$2:B438, B438)</f>
        <v>0.55249999999999999</v>
      </c>
      <c r="AK438" s="86">
        <f>AVERAGEIFS($D$2:D438, $B$2:B438, B438)</f>
        <v>0.54166666666666663</v>
      </c>
    </row>
    <row r="439" spans="1:37" x14ac:dyDescent="0.25">
      <c r="A439" s="85">
        <v>46094</v>
      </c>
      <c r="B439" t="s">
        <v>107</v>
      </c>
      <c r="C439">
        <v>5</v>
      </c>
      <c r="D439">
        <v>1</v>
      </c>
      <c r="E439">
        <v>3</v>
      </c>
      <c r="F439">
        <v>3</v>
      </c>
      <c r="G439">
        <v>10</v>
      </c>
      <c r="H439">
        <v>9</v>
      </c>
      <c r="I439">
        <v>1</v>
      </c>
      <c r="J439">
        <v>0.9</v>
      </c>
      <c r="K439">
        <v>1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0</v>
      </c>
      <c r="AG439">
        <v>1</v>
      </c>
      <c r="AH439" s="86">
        <f>AVERAGEIFS($C$2:C439, $B$2:B439, B439)</f>
        <v>14.25</v>
      </c>
      <c r="AI439" s="86">
        <f>AVERAGEIFS($I$2:I439, $B$2:B439, B439)</f>
        <v>0.57499999999999996</v>
      </c>
      <c r="AJ439" s="86">
        <f>AVERAGEIFS($J$2:J439, $B$2:B439, B439)</f>
        <v>0.55249999999999999</v>
      </c>
      <c r="AK439" s="86">
        <f>AVERAGEIFS($D$2:D439, $B$2:B439, B439)</f>
        <v>0.58333333333333337</v>
      </c>
    </row>
    <row r="440" spans="1:37" x14ac:dyDescent="0.25">
      <c r="A440" s="85">
        <v>46094</v>
      </c>
      <c r="B440" t="s">
        <v>40</v>
      </c>
      <c r="C440">
        <v>13</v>
      </c>
      <c r="D440">
        <v>1</v>
      </c>
      <c r="E440">
        <v>3</v>
      </c>
      <c r="F440">
        <v>3</v>
      </c>
      <c r="G440">
        <v>10</v>
      </c>
      <c r="H440">
        <v>9</v>
      </c>
      <c r="I440">
        <v>1</v>
      </c>
      <c r="J440">
        <v>0.9</v>
      </c>
      <c r="K440">
        <v>1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0</v>
      </c>
      <c r="AG440">
        <v>1</v>
      </c>
      <c r="AH440" s="86">
        <f>AVERAGEIFS($C$2:C440, $B$2:B440, B440)</f>
        <v>17.384615384615383</v>
      </c>
      <c r="AI440" s="86">
        <f>AVERAGEIFS($I$2:I440, $B$2:B440, B440)</f>
        <v>0.48653846153846164</v>
      </c>
      <c r="AJ440" s="86">
        <f>AVERAGEIFS($J$2:J440, $B$2:B440, B440)</f>
        <v>0.5034615384615384</v>
      </c>
      <c r="AK440" s="86">
        <f>AVERAGEIFS($D$2:D440, $B$2:B440, B440)</f>
        <v>0.46153846153846156</v>
      </c>
    </row>
    <row r="441" spans="1:37" x14ac:dyDescent="0.25">
      <c r="A441" s="85">
        <v>46094</v>
      </c>
      <c r="B441" t="s">
        <v>147</v>
      </c>
      <c r="C441">
        <v>5</v>
      </c>
      <c r="D441">
        <v>1</v>
      </c>
      <c r="E441">
        <v>3</v>
      </c>
      <c r="F441">
        <v>3</v>
      </c>
      <c r="G441">
        <v>10</v>
      </c>
      <c r="H441">
        <v>9</v>
      </c>
      <c r="I441">
        <v>1</v>
      </c>
      <c r="J441">
        <v>0.9</v>
      </c>
      <c r="K441">
        <v>1</v>
      </c>
      <c r="L441">
        <v>0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0</v>
      </c>
      <c r="AG441">
        <v>1</v>
      </c>
      <c r="AH441" s="86">
        <f>AVERAGEIFS($C$2:C441, $B$2:B441, B441)</f>
        <v>6.166666666666667</v>
      </c>
      <c r="AI441" s="86">
        <f>AVERAGEIFS($I$2:I441, $B$2:B441, B441)</f>
        <v>0.72499999999999998</v>
      </c>
      <c r="AJ441" s="86">
        <f>AVERAGEIFS($J$2:J441, $B$2:B441, B441)</f>
        <v>0.65833333333333333</v>
      </c>
      <c r="AK441" s="86">
        <f>AVERAGEIFS($D$2:D441, $B$2:B441, B441)</f>
        <v>0.83333333333333337</v>
      </c>
    </row>
    <row r="442" spans="1:37" x14ac:dyDescent="0.25">
      <c r="A442" s="85">
        <v>46094</v>
      </c>
      <c r="B442" t="s">
        <v>28</v>
      </c>
      <c r="C442">
        <v>8</v>
      </c>
      <c r="D442">
        <v>1</v>
      </c>
      <c r="E442">
        <v>3</v>
      </c>
      <c r="F442">
        <v>3</v>
      </c>
      <c r="G442">
        <v>10</v>
      </c>
      <c r="H442">
        <v>9</v>
      </c>
      <c r="I442">
        <v>1</v>
      </c>
      <c r="J442">
        <v>0.9</v>
      </c>
      <c r="K442">
        <v>1</v>
      </c>
      <c r="L442">
        <v>0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0</v>
      </c>
      <c r="AG442">
        <v>1</v>
      </c>
      <c r="AH442" s="86">
        <f>AVERAGEIFS($C$2:C442, $B$2:B442, B442)</f>
        <v>15.055555555555555</v>
      </c>
      <c r="AI442" s="86">
        <f>AVERAGEIFS($I$2:I442, $B$2:B442, B442)</f>
        <v>0.41277777777777774</v>
      </c>
      <c r="AJ442" s="86">
        <f>AVERAGEIFS($J$2:J442, $B$2:B442, B442)</f>
        <v>0.47499999999999992</v>
      </c>
      <c r="AK442" s="86">
        <f>AVERAGEIFS($D$2:D442, $B$2:B442, B442)</f>
        <v>0.33333333333333331</v>
      </c>
    </row>
    <row r="443" spans="1:37" x14ac:dyDescent="0.25">
      <c r="A443" s="85">
        <v>46095</v>
      </c>
      <c r="B443" t="s">
        <v>1</v>
      </c>
      <c r="C443">
        <v>4</v>
      </c>
      <c r="D443">
        <v>0</v>
      </c>
      <c r="E443">
        <v>3</v>
      </c>
      <c r="F443">
        <v>0</v>
      </c>
      <c r="G443">
        <v>10</v>
      </c>
      <c r="H443">
        <v>1</v>
      </c>
      <c r="I443">
        <v>0</v>
      </c>
      <c r="J443">
        <v>0.1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>
        <v>0</v>
      </c>
      <c r="AH443" s="86">
        <f>AVERAGEIFS($C$2:C443, $B$2:B443, B443)</f>
        <v>26.733333333333334</v>
      </c>
      <c r="AI443" s="86">
        <f>AVERAGEIFS($I$2:I443, $B$2:B443, B443)</f>
        <v>0.36333333333333334</v>
      </c>
      <c r="AJ443" s="86">
        <f>AVERAGEIFS($J$2:J443, $B$2:B443, B443)</f>
        <v>0.41399999999999987</v>
      </c>
      <c r="AK443" s="86">
        <f>AVERAGEIFS($D$2:D443, $B$2:B443, B443)</f>
        <v>0.4</v>
      </c>
    </row>
    <row r="444" spans="1:37" x14ac:dyDescent="0.25">
      <c r="A444" s="85">
        <v>46095</v>
      </c>
      <c r="B444" t="s">
        <v>4</v>
      </c>
      <c r="C444">
        <v>5</v>
      </c>
      <c r="D444">
        <v>0</v>
      </c>
      <c r="E444">
        <v>3</v>
      </c>
      <c r="F444">
        <v>0</v>
      </c>
      <c r="G444">
        <v>10</v>
      </c>
      <c r="H444">
        <v>1</v>
      </c>
      <c r="I444">
        <v>0</v>
      </c>
      <c r="J444">
        <v>0.1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>
        <v>0</v>
      </c>
      <c r="AH444" s="86">
        <f>AVERAGEIFS($C$2:C444, $B$2:B444, B444)</f>
        <v>23.25</v>
      </c>
      <c r="AI444" s="86">
        <f>AVERAGEIFS($I$2:I444, $B$2:B444, B444)</f>
        <v>0.34062500000000001</v>
      </c>
      <c r="AJ444" s="86">
        <f>AVERAGEIFS($J$2:J444, $B$2:B444, B444)</f>
        <v>0.41</v>
      </c>
      <c r="AK444" s="86">
        <f>AVERAGEIFS($D$2:D444, $B$2:B444, B444)</f>
        <v>0.1875</v>
      </c>
    </row>
    <row r="445" spans="1:37" x14ac:dyDescent="0.25">
      <c r="A445" s="85">
        <v>46095</v>
      </c>
      <c r="B445" t="s">
        <v>53</v>
      </c>
      <c r="C445">
        <v>3</v>
      </c>
      <c r="D445">
        <v>0</v>
      </c>
      <c r="E445">
        <v>3</v>
      </c>
      <c r="F445">
        <v>0</v>
      </c>
      <c r="G445">
        <v>10</v>
      </c>
      <c r="H445">
        <v>1</v>
      </c>
      <c r="I445">
        <v>0</v>
      </c>
      <c r="J445">
        <v>0.1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>
        <v>0</v>
      </c>
      <c r="AH445" s="86">
        <f>AVERAGEIFS($C$2:C445, $B$2:B445, B445)</f>
        <v>16.5</v>
      </c>
      <c r="AI445" s="86">
        <f>AVERAGEIFS($I$2:I445, $B$2:B445, B445)</f>
        <v>0.51071428571428579</v>
      </c>
      <c r="AJ445" s="86">
        <f>AVERAGEIFS($J$2:J445, $B$2:B445, B445)</f>
        <v>0.4921428571428571</v>
      </c>
      <c r="AK445" s="86">
        <f>AVERAGEIFS($D$2:D445, $B$2:B445, B445)</f>
        <v>0.5</v>
      </c>
    </row>
    <row r="446" spans="1:37" x14ac:dyDescent="0.25">
      <c r="A446" s="85">
        <v>46095</v>
      </c>
      <c r="B446" t="s">
        <v>113</v>
      </c>
      <c r="C446">
        <v>2</v>
      </c>
      <c r="D446">
        <v>0</v>
      </c>
      <c r="E446">
        <v>3</v>
      </c>
      <c r="F446">
        <v>0</v>
      </c>
      <c r="G446">
        <v>10</v>
      </c>
      <c r="H446">
        <v>1</v>
      </c>
      <c r="I446">
        <v>0</v>
      </c>
      <c r="J446">
        <v>0.1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>
        <v>0</v>
      </c>
      <c r="AH446" s="86">
        <f>AVERAGEIFS($C$2:C446, $B$2:B446, B446)</f>
        <v>15.9</v>
      </c>
      <c r="AI446" s="86">
        <f>AVERAGEIFS($I$2:I446, $B$2:B446, B446)</f>
        <v>0.5</v>
      </c>
      <c r="AJ446" s="86">
        <f>AVERAGEIFS($J$2:J446, $B$2:B446, B446)</f>
        <v>0.47199999999999998</v>
      </c>
      <c r="AK446" s="86">
        <f>AVERAGEIFS($D$2:D446, $B$2:B446, B446)</f>
        <v>0.5</v>
      </c>
    </row>
    <row r="447" spans="1:37" x14ac:dyDescent="0.25">
      <c r="A447" s="85">
        <v>46095</v>
      </c>
      <c r="B447" t="s">
        <v>146</v>
      </c>
      <c r="C447">
        <v>6</v>
      </c>
      <c r="D447">
        <v>0</v>
      </c>
      <c r="E447">
        <v>3</v>
      </c>
      <c r="F447">
        <v>0</v>
      </c>
      <c r="G447">
        <v>10</v>
      </c>
      <c r="H447">
        <v>1</v>
      </c>
      <c r="I447">
        <v>0</v>
      </c>
      <c r="J447">
        <v>0.1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>
        <v>0</v>
      </c>
      <c r="AH447" s="86">
        <f>AVERAGEIFS($C$2:C447, $B$2:B447, B447)</f>
        <v>6</v>
      </c>
      <c r="AI447" s="86">
        <f>AVERAGEIFS($I$2:I447, $B$2:B447, B447)</f>
        <v>0</v>
      </c>
      <c r="AJ447" s="86">
        <f>AVERAGEIFS($J$2:J447, $B$2:B447, B447)</f>
        <v>0.1</v>
      </c>
      <c r="AK447" s="86">
        <f>AVERAGEIFS($D$2:D447, $B$2:B447, B447)</f>
        <v>0</v>
      </c>
    </row>
    <row r="448" spans="1:37" x14ac:dyDescent="0.25">
      <c r="A448" s="85">
        <v>46095</v>
      </c>
      <c r="B448" t="s">
        <v>35</v>
      </c>
      <c r="C448">
        <v>3</v>
      </c>
      <c r="D448">
        <v>0</v>
      </c>
      <c r="E448">
        <v>3</v>
      </c>
      <c r="F448">
        <v>0</v>
      </c>
      <c r="G448">
        <v>10</v>
      </c>
      <c r="H448">
        <v>1</v>
      </c>
      <c r="I448">
        <v>0</v>
      </c>
      <c r="J448">
        <v>0.1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>
        <v>0</v>
      </c>
      <c r="AH448" s="86">
        <f>AVERAGEIFS($C$2:C448, $B$2:B448, B448)</f>
        <v>11.23076923076923</v>
      </c>
      <c r="AI448" s="86">
        <f>AVERAGEIFS($I$2:I448, $B$2:B448, B448)</f>
        <v>0.44923076923076927</v>
      </c>
      <c r="AJ448" s="86">
        <f>AVERAGEIFS($J$2:J448, $B$2:B448, B448)</f>
        <v>0.47576923076923083</v>
      </c>
      <c r="AK448" s="86">
        <f>AVERAGEIFS($D$2:D448, $B$2:B448, B448)</f>
        <v>0.38461538461538464</v>
      </c>
    </row>
    <row r="449" spans="1:37" x14ac:dyDescent="0.25">
      <c r="A449" s="85">
        <v>46095</v>
      </c>
      <c r="B449" t="s">
        <v>6</v>
      </c>
      <c r="C449">
        <v>21</v>
      </c>
      <c r="D449">
        <v>0</v>
      </c>
      <c r="E449">
        <v>3</v>
      </c>
      <c r="F449">
        <v>0</v>
      </c>
      <c r="G449">
        <v>13</v>
      </c>
      <c r="H449">
        <v>4</v>
      </c>
      <c r="I449">
        <v>0</v>
      </c>
      <c r="J449">
        <v>0.31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>
        <v>0</v>
      </c>
      <c r="AH449" s="86">
        <f>AVERAGEIFS($C$2:C449, $B$2:B449, B449)</f>
        <v>22.7</v>
      </c>
      <c r="AI449" s="86">
        <f>AVERAGEIFS($I$2:I449, $B$2:B449, B449)</f>
        <v>0.61599999999999999</v>
      </c>
      <c r="AJ449" s="86">
        <f>AVERAGEIFS($J$2:J449, $B$2:B449, B449)</f>
        <v>0.56599999999999995</v>
      </c>
      <c r="AK449" s="86">
        <f>AVERAGEIFS($D$2:D449, $B$2:B449, B449)</f>
        <v>0.73333333333333328</v>
      </c>
    </row>
    <row r="450" spans="1:37" x14ac:dyDescent="0.25">
      <c r="A450" s="85">
        <v>46095</v>
      </c>
      <c r="B450" t="s">
        <v>71</v>
      </c>
      <c r="C450">
        <v>10</v>
      </c>
      <c r="D450">
        <v>0</v>
      </c>
      <c r="E450">
        <v>3</v>
      </c>
      <c r="F450">
        <v>0</v>
      </c>
      <c r="G450">
        <v>13</v>
      </c>
      <c r="H450">
        <v>4</v>
      </c>
      <c r="I450">
        <v>0</v>
      </c>
      <c r="J450">
        <v>0.31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v>0</v>
      </c>
      <c r="AH450" s="86">
        <f>AVERAGEIFS($C$2:C450, $B$2:B450, B450)</f>
        <v>12.375</v>
      </c>
      <c r="AI450" s="86">
        <f>AVERAGEIFS($I$2:I450, $B$2:B450, B450)</f>
        <v>0.46250000000000002</v>
      </c>
      <c r="AJ450" s="86">
        <f>AVERAGEIFS($J$2:J450, $B$2:B450, B450)</f>
        <v>0.46124999999999999</v>
      </c>
      <c r="AK450" s="86">
        <f>AVERAGEIFS($D$2:D450, $B$2:B450, B450)</f>
        <v>0.625</v>
      </c>
    </row>
    <row r="451" spans="1:37" x14ac:dyDescent="0.25">
      <c r="A451" s="85">
        <v>46095</v>
      </c>
      <c r="B451" t="s">
        <v>35</v>
      </c>
      <c r="C451">
        <v>8</v>
      </c>
      <c r="D451">
        <v>0</v>
      </c>
      <c r="E451">
        <v>3</v>
      </c>
      <c r="F451">
        <v>0</v>
      </c>
      <c r="G451">
        <v>13</v>
      </c>
      <c r="H451">
        <v>4</v>
      </c>
      <c r="I451">
        <v>0</v>
      </c>
      <c r="J451">
        <v>0.31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>
        <v>0</v>
      </c>
      <c r="AH451" s="86">
        <f>AVERAGEIFS($C$2:C451, $B$2:B451, B451)</f>
        <v>11.111111111111111</v>
      </c>
      <c r="AI451" s="86">
        <f>AVERAGEIFS($I$2:I451, $B$2:B451, B451)</f>
        <v>0.43259259259259264</v>
      </c>
      <c r="AJ451" s="86">
        <f>AVERAGEIFS($J$2:J451, $B$2:B451, B451)</f>
        <v>0.46962962962962967</v>
      </c>
      <c r="AK451" s="86">
        <f>AVERAGEIFS($D$2:D451, $B$2:B451, B451)</f>
        <v>0.37037037037037035</v>
      </c>
    </row>
    <row r="452" spans="1:37" x14ac:dyDescent="0.25">
      <c r="A452" s="85">
        <v>46095</v>
      </c>
      <c r="B452" t="s">
        <v>147</v>
      </c>
      <c r="C452">
        <v>3</v>
      </c>
      <c r="D452">
        <v>0</v>
      </c>
      <c r="E452">
        <v>3</v>
      </c>
      <c r="F452">
        <v>0</v>
      </c>
      <c r="G452">
        <v>13</v>
      </c>
      <c r="H452">
        <v>4</v>
      </c>
      <c r="I452">
        <v>0</v>
      </c>
      <c r="J452">
        <v>0.31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>
        <v>0</v>
      </c>
      <c r="AH452" s="86">
        <f>AVERAGEIFS($C$2:C452, $B$2:B452, B452)</f>
        <v>5.7142857142857144</v>
      </c>
      <c r="AI452" s="86">
        <f>AVERAGEIFS($I$2:I452, $B$2:B452, B452)</f>
        <v>0.62142857142857133</v>
      </c>
      <c r="AJ452" s="86">
        <f>AVERAGEIFS($J$2:J452, $B$2:B452, B452)</f>
        <v>0.60857142857142854</v>
      </c>
      <c r="AK452" s="86">
        <f>AVERAGEIFS($D$2:D452, $B$2:B452, B452)</f>
        <v>0.7142857142857143</v>
      </c>
    </row>
    <row r="453" spans="1:37" x14ac:dyDescent="0.25">
      <c r="A453" s="85">
        <v>46095</v>
      </c>
      <c r="B453" t="s">
        <v>142</v>
      </c>
      <c r="C453">
        <v>9</v>
      </c>
      <c r="D453">
        <v>0</v>
      </c>
      <c r="E453">
        <v>3</v>
      </c>
      <c r="F453">
        <v>0</v>
      </c>
      <c r="G453">
        <v>13</v>
      </c>
      <c r="H453">
        <v>4</v>
      </c>
      <c r="I453">
        <v>0</v>
      </c>
      <c r="J453">
        <v>0.31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>
        <v>0</v>
      </c>
      <c r="AH453" s="86">
        <f>AVERAGEIFS($C$2:C453, $B$2:B453, B453)</f>
        <v>8.5</v>
      </c>
      <c r="AI453" s="86">
        <f>AVERAGEIFS($I$2:I453, $B$2:B453, B453)</f>
        <v>0.125</v>
      </c>
      <c r="AJ453" s="86">
        <f>AVERAGEIFS($J$2:J453, $B$2:B453, B453)</f>
        <v>0.34499999999999997</v>
      </c>
      <c r="AK453" s="86">
        <f>AVERAGEIFS($D$2:D453, $B$2:B453, B453)</f>
        <v>0</v>
      </c>
    </row>
    <row r="454" spans="1:37" x14ac:dyDescent="0.25">
      <c r="A454" s="85">
        <v>46095</v>
      </c>
      <c r="B454" t="s">
        <v>54</v>
      </c>
      <c r="C454">
        <v>20</v>
      </c>
      <c r="D454">
        <v>0</v>
      </c>
      <c r="E454">
        <v>3</v>
      </c>
      <c r="F454">
        <v>0</v>
      </c>
      <c r="G454">
        <v>13</v>
      </c>
      <c r="H454">
        <v>4</v>
      </c>
      <c r="I454">
        <v>0</v>
      </c>
      <c r="J454">
        <v>0.31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>
        <v>0</v>
      </c>
      <c r="AH454" s="86">
        <f>AVERAGEIFS($C$2:C454, $B$2:B454, B454)</f>
        <v>24.35483870967742</v>
      </c>
      <c r="AI454" s="86">
        <f>AVERAGEIFS($I$2:I454, $B$2:B454, B454)</f>
        <v>0.52806451612903227</v>
      </c>
      <c r="AJ454" s="86">
        <f>AVERAGEIFS($J$2:J454, $B$2:B454, B454)</f>
        <v>0.50290322580645164</v>
      </c>
      <c r="AK454" s="86">
        <f>AVERAGEIFS($D$2:D454, $B$2:B454, B454)</f>
        <v>0.5161290322580645</v>
      </c>
    </row>
    <row r="455" spans="1:37" x14ac:dyDescent="0.25">
      <c r="A455" s="85">
        <v>46095</v>
      </c>
      <c r="B455" t="s">
        <v>28</v>
      </c>
      <c r="C455">
        <v>12</v>
      </c>
      <c r="D455">
        <v>1</v>
      </c>
      <c r="E455">
        <v>3</v>
      </c>
      <c r="F455">
        <v>3</v>
      </c>
      <c r="G455">
        <v>13</v>
      </c>
      <c r="H455">
        <v>9</v>
      </c>
      <c r="I455">
        <v>1</v>
      </c>
      <c r="J455">
        <v>0.69</v>
      </c>
      <c r="K455">
        <v>0</v>
      </c>
      <c r="L455">
        <v>0</v>
      </c>
      <c r="M455">
        <v>1</v>
      </c>
      <c r="N455">
        <v>0</v>
      </c>
      <c r="O455">
        <v>1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0</v>
      </c>
      <c r="AD455">
        <v>1</v>
      </c>
      <c r="AE455">
        <v>0</v>
      </c>
      <c r="AF455">
        <v>0</v>
      </c>
      <c r="AG455">
        <v>0</v>
      </c>
      <c r="AH455" s="86">
        <f>AVERAGEIFS($C$2:C455, $B$2:B455, B455)</f>
        <v>14.894736842105264</v>
      </c>
      <c r="AI455" s="86">
        <f>AVERAGEIFS($I$2:I455, $B$2:B455, B455)</f>
        <v>0.44368421052631579</v>
      </c>
      <c r="AJ455" s="86">
        <f>AVERAGEIFS($J$2:J455, $B$2:B455, B455)</f>
        <v>0.48631578947368415</v>
      </c>
      <c r="AK455" s="86">
        <f>AVERAGEIFS($D$2:D455, $B$2:B455, B455)</f>
        <v>0.36842105263157893</v>
      </c>
    </row>
    <row r="456" spans="1:37" x14ac:dyDescent="0.25">
      <c r="A456" s="85">
        <v>46095</v>
      </c>
      <c r="B456" t="s">
        <v>1</v>
      </c>
      <c r="C456">
        <v>22</v>
      </c>
      <c r="D456">
        <v>1</v>
      </c>
      <c r="E456">
        <v>3</v>
      </c>
      <c r="F456">
        <v>3</v>
      </c>
      <c r="G456">
        <v>13</v>
      </c>
      <c r="H456">
        <v>9</v>
      </c>
      <c r="I456">
        <v>1</v>
      </c>
      <c r="J456">
        <v>0.69</v>
      </c>
      <c r="K456">
        <v>0</v>
      </c>
      <c r="L456">
        <v>0</v>
      </c>
      <c r="M456">
        <v>1</v>
      </c>
      <c r="N456">
        <v>0</v>
      </c>
      <c r="O456">
        <v>1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0</v>
      </c>
      <c r="AD456">
        <v>1</v>
      </c>
      <c r="AE456">
        <v>0</v>
      </c>
      <c r="AF456">
        <v>0</v>
      </c>
      <c r="AG456">
        <v>0</v>
      </c>
      <c r="AH456" s="86">
        <f>AVERAGEIFS($C$2:C456, $B$2:B456, B456)</f>
        <v>26.4375</v>
      </c>
      <c r="AI456" s="86">
        <f>AVERAGEIFS($I$2:I456, $B$2:B456, B456)</f>
        <v>0.40312500000000001</v>
      </c>
      <c r="AJ456" s="86">
        <f>AVERAGEIFS($J$2:J456, $B$2:B456, B456)</f>
        <v>0.43124999999999991</v>
      </c>
      <c r="AK456" s="86">
        <f>AVERAGEIFS($D$2:D456, $B$2:B456, B456)</f>
        <v>0.4375</v>
      </c>
    </row>
    <row r="457" spans="1:37" x14ac:dyDescent="0.25">
      <c r="A457" s="85">
        <v>46095</v>
      </c>
      <c r="B457" t="s">
        <v>146</v>
      </c>
      <c r="C457">
        <v>9</v>
      </c>
      <c r="D457">
        <v>1</v>
      </c>
      <c r="E457">
        <v>3</v>
      </c>
      <c r="F457">
        <v>3</v>
      </c>
      <c r="G457">
        <v>13</v>
      </c>
      <c r="H457">
        <v>9</v>
      </c>
      <c r="I457">
        <v>1</v>
      </c>
      <c r="J457">
        <v>0.69</v>
      </c>
      <c r="K457">
        <v>0</v>
      </c>
      <c r="L457">
        <v>0</v>
      </c>
      <c r="M457">
        <v>1</v>
      </c>
      <c r="N457">
        <v>0</v>
      </c>
      <c r="O457">
        <v>1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0</v>
      </c>
      <c r="AD457">
        <v>1</v>
      </c>
      <c r="AE457">
        <v>0</v>
      </c>
      <c r="AF457">
        <v>0</v>
      </c>
      <c r="AG457">
        <v>0</v>
      </c>
      <c r="AH457" s="86">
        <f>AVERAGEIFS($C$2:C457, $B$2:B457, B457)</f>
        <v>7.5</v>
      </c>
      <c r="AI457" s="86">
        <f>AVERAGEIFS($I$2:I457, $B$2:B457, B457)</f>
        <v>0.5</v>
      </c>
      <c r="AJ457" s="86">
        <f>AVERAGEIFS($J$2:J457, $B$2:B457, B457)</f>
        <v>0.39499999999999996</v>
      </c>
      <c r="AK457" s="86">
        <f>AVERAGEIFS($D$2:D457, $B$2:B457, B457)</f>
        <v>0.5</v>
      </c>
    </row>
    <row r="458" spans="1:37" x14ac:dyDescent="0.25">
      <c r="A458" s="85">
        <v>46095</v>
      </c>
      <c r="B458" t="s">
        <v>113</v>
      </c>
      <c r="C458">
        <v>15</v>
      </c>
      <c r="D458">
        <v>1</v>
      </c>
      <c r="E458">
        <v>3</v>
      </c>
      <c r="F458">
        <v>3</v>
      </c>
      <c r="G458">
        <v>13</v>
      </c>
      <c r="H458">
        <v>9</v>
      </c>
      <c r="I458">
        <v>1</v>
      </c>
      <c r="J458">
        <v>0.69</v>
      </c>
      <c r="K458">
        <v>0</v>
      </c>
      <c r="L458">
        <v>0</v>
      </c>
      <c r="M458">
        <v>1</v>
      </c>
      <c r="N458">
        <v>0</v>
      </c>
      <c r="O458">
        <v>1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0</v>
      </c>
      <c r="AD458">
        <v>1</v>
      </c>
      <c r="AE458">
        <v>0</v>
      </c>
      <c r="AF458">
        <v>0</v>
      </c>
      <c r="AG458">
        <v>0</v>
      </c>
      <c r="AH458" s="86">
        <f>AVERAGEIFS($C$2:C458, $B$2:B458, B458)</f>
        <v>15.818181818181818</v>
      </c>
      <c r="AI458" s="86">
        <f>AVERAGEIFS($I$2:I458, $B$2:B458, B458)</f>
        <v>0.54545454545454541</v>
      </c>
      <c r="AJ458" s="86">
        <f>AVERAGEIFS($J$2:J458, $B$2:B458, B458)</f>
        <v>0.49181818181818182</v>
      </c>
      <c r="AK458" s="86">
        <f>AVERAGEIFS($D$2:D458, $B$2:B458, B458)</f>
        <v>0.54545454545454541</v>
      </c>
    </row>
    <row r="459" spans="1:37" x14ac:dyDescent="0.25">
      <c r="A459" s="85">
        <v>46095</v>
      </c>
      <c r="B459" t="s">
        <v>107</v>
      </c>
      <c r="C459">
        <v>12</v>
      </c>
      <c r="D459">
        <v>1</v>
      </c>
      <c r="E459">
        <v>3</v>
      </c>
      <c r="F459">
        <v>3</v>
      </c>
      <c r="G459">
        <v>13</v>
      </c>
      <c r="H459">
        <v>9</v>
      </c>
      <c r="I459">
        <v>1</v>
      </c>
      <c r="J459">
        <v>0.69</v>
      </c>
      <c r="K459">
        <v>0</v>
      </c>
      <c r="L459">
        <v>0</v>
      </c>
      <c r="M459">
        <v>1</v>
      </c>
      <c r="N459">
        <v>0</v>
      </c>
      <c r="O459">
        <v>1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0</v>
      </c>
      <c r="AD459">
        <v>1</v>
      </c>
      <c r="AE459">
        <v>0</v>
      </c>
      <c r="AF459">
        <v>0</v>
      </c>
      <c r="AG459">
        <v>0</v>
      </c>
      <c r="AH459" s="86">
        <f>AVERAGEIFS($C$2:C459, $B$2:B459, B459)</f>
        <v>14.076923076923077</v>
      </c>
      <c r="AI459" s="86">
        <f>AVERAGEIFS($I$2:I459, $B$2:B459, B459)</f>
        <v>0.60769230769230764</v>
      </c>
      <c r="AJ459" s="86">
        <f>AVERAGEIFS($J$2:J459, $B$2:B459, B459)</f>
        <v>0.56307692307692314</v>
      </c>
      <c r="AK459" s="86">
        <f>AVERAGEIFS($D$2:D459, $B$2:B459, B459)</f>
        <v>0.61538461538461542</v>
      </c>
    </row>
    <row r="460" spans="1:37" x14ac:dyDescent="0.25">
      <c r="A460" s="85">
        <v>46095</v>
      </c>
      <c r="B460" t="s">
        <v>40</v>
      </c>
      <c r="C460">
        <v>16</v>
      </c>
      <c r="D460">
        <v>1</v>
      </c>
      <c r="E460">
        <v>3</v>
      </c>
      <c r="F460">
        <v>3</v>
      </c>
      <c r="G460">
        <v>13</v>
      </c>
      <c r="H460">
        <v>9</v>
      </c>
      <c r="I460">
        <v>1</v>
      </c>
      <c r="J460">
        <v>0.69</v>
      </c>
      <c r="K460">
        <v>0</v>
      </c>
      <c r="L460">
        <v>0</v>
      </c>
      <c r="M460">
        <v>1</v>
      </c>
      <c r="N460">
        <v>0</v>
      </c>
      <c r="O460">
        <v>1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0</v>
      </c>
      <c r="AD460">
        <v>1</v>
      </c>
      <c r="AE460">
        <v>0</v>
      </c>
      <c r="AF460">
        <v>0</v>
      </c>
      <c r="AG460">
        <v>0</v>
      </c>
      <c r="AH460" s="86">
        <f>AVERAGEIFS($C$2:C460, $B$2:B460, B460)</f>
        <v>17.333333333333332</v>
      </c>
      <c r="AI460" s="86">
        <f>AVERAGEIFS($I$2:I460, $B$2:B460, B460)</f>
        <v>0.50555555555555565</v>
      </c>
      <c r="AJ460" s="86">
        <f>AVERAGEIFS($J$2:J460, $B$2:B460, B460)</f>
        <v>0.51037037037037036</v>
      </c>
      <c r="AK460" s="86">
        <f>AVERAGEIFS($D$2:D460, $B$2:B460, B460)</f>
        <v>0.48148148148148145</v>
      </c>
    </row>
    <row r="461" spans="1:37" x14ac:dyDescent="0.25">
      <c r="A461" s="85">
        <v>46095</v>
      </c>
      <c r="B461" t="s">
        <v>54</v>
      </c>
      <c r="C461">
        <v>18</v>
      </c>
      <c r="D461">
        <v>1</v>
      </c>
      <c r="E461">
        <v>4</v>
      </c>
      <c r="F461">
        <v>3</v>
      </c>
      <c r="G461">
        <v>14</v>
      </c>
      <c r="H461">
        <v>10</v>
      </c>
      <c r="I461">
        <v>0.75</v>
      </c>
      <c r="J461">
        <v>0.71</v>
      </c>
      <c r="K461">
        <v>0</v>
      </c>
      <c r="L461">
        <v>1</v>
      </c>
      <c r="M461">
        <v>0</v>
      </c>
      <c r="N461">
        <v>0</v>
      </c>
      <c r="O461">
        <v>0</v>
      </c>
      <c r="P461">
        <v>1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1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 s="86">
        <f>AVERAGEIFS($C$2:C461, $B$2:B461, B461)</f>
        <v>24.15625</v>
      </c>
      <c r="AI461" s="86">
        <f>AVERAGEIFS($I$2:I461, $B$2:B461, B461)</f>
        <v>0.53500000000000003</v>
      </c>
      <c r="AJ461" s="86">
        <f>AVERAGEIFS($J$2:J461, $B$2:B461, B461)</f>
        <v>0.50937500000000002</v>
      </c>
      <c r="AK461" s="86">
        <f>AVERAGEIFS($D$2:D461, $B$2:B461, B461)</f>
        <v>0.53125</v>
      </c>
    </row>
    <row r="462" spans="1:37" x14ac:dyDescent="0.25">
      <c r="A462" s="85">
        <v>46095</v>
      </c>
      <c r="B462" t="s">
        <v>28</v>
      </c>
      <c r="C462">
        <v>5</v>
      </c>
      <c r="D462">
        <v>1</v>
      </c>
      <c r="E462">
        <v>4</v>
      </c>
      <c r="F462">
        <v>3</v>
      </c>
      <c r="G462">
        <v>14</v>
      </c>
      <c r="H462">
        <v>10</v>
      </c>
      <c r="I462">
        <v>0.75</v>
      </c>
      <c r="J462">
        <v>0.71</v>
      </c>
      <c r="K462">
        <v>0</v>
      </c>
      <c r="L462">
        <v>1</v>
      </c>
      <c r="M462">
        <v>0</v>
      </c>
      <c r="N462">
        <v>0</v>
      </c>
      <c r="O462">
        <v>0</v>
      </c>
      <c r="P462">
        <v>1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1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 s="86">
        <f>AVERAGEIFS($C$2:C462, $B$2:B462, B462)</f>
        <v>14.4</v>
      </c>
      <c r="AI462" s="86">
        <f>AVERAGEIFS($I$2:I462, $B$2:B462, B462)</f>
        <v>0.45899999999999996</v>
      </c>
      <c r="AJ462" s="86">
        <f>AVERAGEIFS($J$2:J462, $B$2:B462, B462)</f>
        <v>0.49749999999999994</v>
      </c>
      <c r="AK462" s="86">
        <f>AVERAGEIFS($D$2:D462, $B$2:B462, B462)</f>
        <v>0.4</v>
      </c>
    </row>
    <row r="463" spans="1:37" x14ac:dyDescent="0.25">
      <c r="A463" s="85">
        <v>46095</v>
      </c>
      <c r="B463" t="s">
        <v>107</v>
      </c>
      <c r="C463">
        <v>9</v>
      </c>
      <c r="D463">
        <v>1</v>
      </c>
      <c r="E463">
        <v>4</v>
      </c>
      <c r="F463">
        <v>3</v>
      </c>
      <c r="G463">
        <v>14</v>
      </c>
      <c r="H463">
        <v>10</v>
      </c>
      <c r="I463">
        <v>0.75</v>
      </c>
      <c r="J463">
        <v>0.71</v>
      </c>
      <c r="K463">
        <v>0</v>
      </c>
      <c r="L463">
        <v>1</v>
      </c>
      <c r="M463">
        <v>0</v>
      </c>
      <c r="N463">
        <v>0</v>
      </c>
      <c r="O463">
        <v>0</v>
      </c>
      <c r="P463">
        <v>1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1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 s="86">
        <f>AVERAGEIFS($C$2:C463, $B$2:B463, B463)</f>
        <v>13.714285714285714</v>
      </c>
      <c r="AI463" s="86">
        <f>AVERAGEIFS($I$2:I463, $B$2:B463, B463)</f>
        <v>0.61785714285714277</v>
      </c>
      <c r="AJ463" s="86">
        <f>AVERAGEIFS($J$2:J463, $B$2:B463, B463)</f>
        <v>0.57357142857142862</v>
      </c>
      <c r="AK463" s="86">
        <f>AVERAGEIFS($D$2:D463, $B$2:B463, B463)</f>
        <v>0.6428571428571429</v>
      </c>
    </row>
    <row r="464" spans="1:37" x14ac:dyDescent="0.25">
      <c r="A464" s="85">
        <v>46095</v>
      </c>
      <c r="B464" t="s">
        <v>71</v>
      </c>
      <c r="C464">
        <v>14</v>
      </c>
      <c r="D464">
        <v>1</v>
      </c>
      <c r="E464">
        <v>4</v>
      </c>
      <c r="F464">
        <v>3</v>
      </c>
      <c r="G464">
        <v>14</v>
      </c>
      <c r="H464">
        <v>10</v>
      </c>
      <c r="I464">
        <v>0.75</v>
      </c>
      <c r="J464">
        <v>0.71</v>
      </c>
      <c r="K464">
        <v>0</v>
      </c>
      <c r="L464">
        <v>1</v>
      </c>
      <c r="M464">
        <v>0</v>
      </c>
      <c r="N464">
        <v>0</v>
      </c>
      <c r="O464">
        <v>0</v>
      </c>
      <c r="P464">
        <v>1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1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 s="86">
        <f>AVERAGEIFS($C$2:C464, $B$2:B464, B464)</f>
        <v>12.555555555555555</v>
      </c>
      <c r="AI464" s="86">
        <f>AVERAGEIFS($I$2:I464, $B$2:B464, B464)</f>
        <v>0.49444444444444446</v>
      </c>
      <c r="AJ464" s="86">
        <f>AVERAGEIFS($J$2:J464, $B$2:B464, B464)</f>
        <v>0.48888888888888893</v>
      </c>
      <c r="AK464" s="86">
        <f>AVERAGEIFS($D$2:D464, $B$2:B464, B464)</f>
        <v>0.66666666666666663</v>
      </c>
    </row>
    <row r="465" spans="1:37" x14ac:dyDescent="0.25">
      <c r="A465" s="85">
        <v>46095</v>
      </c>
      <c r="B465" t="s">
        <v>35</v>
      </c>
      <c r="C465">
        <v>16</v>
      </c>
      <c r="D465">
        <v>1</v>
      </c>
      <c r="E465">
        <v>4</v>
      </c>
      <c r="F465">
        <v>3</v>
      </c>
      <c r="G465">
        <v>14</v>
      </c>
      <c r="H465">
        <v>10</v>
      </c>
      <c r="I465">
        <v>0.75</v>
      </c>
      <c r="J465">
        <v>0.71</v>
      </c>
      <c r="K465">
        <v>0</v>
      </c>
      <c r="L465">
        <v>1</v>
      </c>
      <c r="M465">
        <v>0</v>
      </c>
      <c r="N465">
        <v>0</v>
      </c>
      <c r="O465">
        <v>0</v>
      </c>
      <c r="P465">
        <v>1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1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0</v>
      </c>
      <c r="AH465" s="86">
        <f>AVERAGEIFS($C$2:C465, $B$2:B465, B465)</f>
        <v>11.285714285714286</v>
      </c>
      <c r="AI465" s="86">
        <f>AVERAGEIFS($I$2:I465, $B$2:B465, B465)</f>
        <v>0.44392857142857151</v>
      </c>
      <c r="AJ465" s="86">
        <f>AVERAGEIFS($J$2:J465, $B$2:B465, B465)</f>
        <v>0.47821428571428576</v>
      </c>
      <c r="AK465" s="86">
        <f>AVERAGEIFS($D$2:D465, $B$2:B465, B465)</f>
        <v>0.39285714285714285</v>
      </c>
    </row>
    <row r="466" spans="1:37" x14ac:dyDescent="0.25">
      <c r="A466" s="85">
        <v>46095</v>
      </c>
      <c r="B466" t="s">
        <v>146</v>
      </c>
      <c r="C466">
        <v>2</v>
      </c>
      <c r="D466">
        <v>0</v>
      </c>
      <c r="E466">
        <v>4</v>
      </c>
      <c r="F466">
        <v>1</v>
      </c>
      <c r="G466">
        <v>14</v>
      </c>
      <c r="H466">
        <v>4</v>
      </c>
      <c r="I466">
        <v>0.25</v>
      </c>
      <c r="J466">
        <v>0.28999999999999998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0</v>
      </c>
      <c r="AE466">
        <v>1</v>
      </c>
      <c r="AF466">
        <v>0</v>
      </c>
      <c r="AG466">
        <v>0</v>
      </c>
      <c r="AH466" s="86">
        <f>AVERAGEIFS($C$2:C466, $B$2:B466, B466)</f>
        <v>5.666666666666667</v>
      </c>
      <c r="AI466" s="86">
        <f>AVERAGEIFS($I$2:I466, $B$2:B466, B466)</f>
        <v>0.41666666666666669</v>
      </c>
      <c r="AJ466" s="86">
        <f>AVERAGEIFS($J$2:J466, $B$2:B466, B466)</f>
        <v>0.35999999999999993</v>
      </c>
      <c r="AK466" s="86">
        <f>AVERAGEIFS($D$2:D466, $B$2:B466, B466)</f>
        <v>0.33333333333333331</v>
      </c>
    </row>
    <row r="467" spans="1:37" x14ac:dyDescent="0.25">
      <c r="A467" s="85">
        <v>46095</v>
      </c>
      <c r="B467" t="s">
        <v>142</v>
      </c>
      <c r="C467">
        <v>8</v>
      </c>
      <c r="D467">
        <v>0</v>
      </c>
      <c r="E467">
        <v>4</v>
      </c>
      <c r="F467">
        <v>1</v>
      </c>
      <c r="G467">
        <v>14</v>
      </c>
      <c r="H467">
        <v>4</v>
      </c>
      <c r="I467">
        <v>0.25</v>
      </c>
      <c r="J467">
        <v>0.28999999999999998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0</v>
      </c>
      <c r="AE467">
        <v>1</v>
      </c>
      <c r="AF467">
        <v>0</v>
      </c>
      <c r="AG467">
        <v>0</v>
      </c>
      <c r="AH467" s="86">
        <f>AVERAGEIFS($C$2:C467, $B$2:B467, B467)</f>
        <v>8.3333333333333339</v>
      </c>
      <c r="AI467" s="86">
        <f>AVERAGEIFS($I$2:I467, $B$2:B467, B467)</f>
        <v>0.16666666666666666</v>
      </c>
      <c r="AJ467" s="86">
        <f>AVERAGEIFS($J$2:J467, $B$2:B467, B467)</f>
        <v>0.32666666666666666</v>
      </c>
      <c r="AK467" s="86">
        <f>AVERAGEIFS($D$2:D467, $B$2:B467, B467)</f>
        <v>0</v>
      </c>
    </row>
    <row r="468" spans="1:37" x14ac:dyDescent="0.25">
      <c r="A468" s="85">
        <v>46095</v>
      </c>
      <c r="B468" t="s">
        <v>40</v>
      </c>
      <c r="C468">
        <v>7</v>
      </c>
      <c r="D468">
        <v>0</v>
      </c>
      <c r="E468">
        <v>4</v>
      </c>
      <c r="F468">
        <v>1</v>
      </c>
      <c r="G468">
        <v>14</v>
      </c>
      <c r="H468">
        <v>4</v>
      </c>
      <c r="I468">
        <v>0.25</v>
      </c>
      <c r="J468">
        <v>0.28999999999999998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0</v>
      </c>
      <c r="AE468">
        <v>1</v>
      </c>
      <c r="AF468">
        <v>0</v>
      </c>
      <c r="AG468">
        <v>0</v>
      </c>
      <c r="AH468" s="86">
        <f>AVERAGEIFS($C$2:C468, $B$2:B468, B468)</f>
        <v>16.964285714285715</v>
      </c>
      <c r="AI468" s="86">
        <f>AVERAGEIFS($I$2:I468, $B$2:B468, B468)</f>
        <v>0.4964285714285715</v>
      </c>
      <c r="AJ468" s="86">
        <f>AVERAGEIFS($J$2:J468, $B$2:B468, B468)</f>
        <v>0.50249999999999995</v>
      </c>
      <c r="AK468" s="86">
        <f>AVERAGEIFS($D$2:D468, $B$2:B468, B468)</f>
        <v>0.4642857142857143</v>
      </c>
    </row>
    <row r="469" spans="1:37" x14ac:dyDescent="0.25">
      <c r="A469" s="85">
        <v>46095</v>
      </c>
      <c r="B469" t="s">
        <v>6</v>
      </c>
      <c r="C469">
        <v>16</v>
      </c>
      <c r="D469">
        <v>0</v>
      </c>
      <c r="E469">
        <v>4</v>
      </c>
      <c r="F469">
        <v>1</v>
      </c>
      <c r="G469">
        <v>14</v>
      </c>
      <c r="H469">
        <v>4</v>
      </c>
      <c r="I469">
        <v>0.25</v>
      </c>
      <c r="J469">
        <v>0.28999999999999998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1</v>
      </c>
      <c r="AF469">
        <v>0</v>
      </c>
      <c r="AG469">
        <v>0</v>
      </c>
      <c r="AH469" s="86">
        <f>AVERAGEIFS($C$2:C469, $B$2:B469, B469)</f>
        <v>22.483870967741936</v>
      </c>
      <c r="AI469" s="86">
        <f>AVERAGEIFS($I$2:I469, $B$2:B469, B469)</f>
        <v>0.60419354838709682</v>
      </c>
      <c r="AJ469" s="86">
        <f>AVERAGEIFS($J$2:J469, $B$2:B469, B469)</f>
        <v>0.55709677419354831</v>
      </c>
      <c r="AK469" s="86">
        <f>AVERAGEIFS($D$2:D469, $B$2:B469, B469)</f>
        <v>0.70967741935483875</v>
      </c>
    </row>
    <row r="470" spans="1:37" x14ac:dyDescent="0.25">
      <c r="A470" s="85">
        <v>46095</v>
      </c>
      <c r="B470" t="s">
        <v>113</v>
      </c>
      <c r="C470">
        <v>16</v>
      </c>
      <c r="D470">
        <v>0</v>
      </c>
      <c r="E470">
        <v>4</v>
      </c>
      <c r="F470">
        <v>1</v>
      </c>
      <c r="G470">
        <v>14</v>
      </c>
      <c r="H470">
        <v>4</v>
      </c>
      <c r="I470">
        <v>0.25</v>
      </c>
      <c r="J470">
        <v>0.28999999999999998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1</v>
      </c>
      <c r="AF470">
        <v>0</v>
      </c>
      <c r="AG470">
        <v>0</v>
      </c>
      <c r="AH470" s="86">
        <f>AVERAGEIFS($C$2:C470, $B$2:B470, B470)</f>
        <v>15.833333333333334</v>
      </c>
      <c r="AI470" s="86">
        <f>AVERAGEIFS($I$2:I470, $B$2:B470, B470)</f>
        <v>0.52083333333333337</v>
      </c>
      <c r="AJ470" s="86">
        <f>AVERAGEIFS($J$2:J470, $B$2:B470, B470)</f>
        <v>0.47500000000000003</v>
      </c>
      <c r="AK470" s="86">
        <f>AVERAGEIFS($D$2:D470, $B$2:B470, B470)</f>
        <v>0.5</v>
      </c>
    </row>
    <row r="471" spans="1:37" x14ac:dyDescent="0.25">
      <c r="A471" s="85">
        <v>46096</v>
      </c>
      <c r="B471" t="s">
        <v>50</v>
      </c>
      <c r="C471">
        <v>12</v>
      </c>
      <c r="D471">
        <v>0</v>
      </c>
      <c r="E471">
        <v>4</v>
      </c>
      <c r="F471">
        <v>1</v>
      </c>
      <c r="G471">
        <v>16</v>
      </c>
      <c r="H471">
        <v>7</v>
      </c>
      <c r="I471">
        <v>0.25</v>
      </c>
      <c r="J471">
        <v>0.44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1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 s="86">
        <f>AVERAGEIFS($C$2:C471, $B$2:B471, B471)</f>
        <v>19.12</v>
      </c>
      <c r="AI471" s="86">
        <f>AVERAGEIFS($I$2:I471, $B$2:B471, B471)</f>
        <v>0.54120000000000001</v>
      </c>
      <c r="AJ471" s="86">
        <f>AVERAGEIFS($J$2:J471, $B$2:B471, B471)</f>
        <v>0.5371999999999999</v>
      </c>
      <c r="AK471" s="86">
        <f>AVERAGEIFS($D$2:D471, $B$2:B471, B471)</f>
        <v>0.56000000000000005</v>
      </c>
    </row>
    <row r="472" spans="1:37" x14ac:dyDescent="0.25">
      <c r="A472" s="85">
        <v>46096</v>
      </c>
      <c r="B472" t="s">
        <v>54</v>
      </c>
      <c r="C472">
        <v>26</v>
      </c>
      <c r="D472">
        <v>0</v>
      </c>
      <c r="E472">
        <v>4</v>
      </c>
      <c r="F472">
        <v>1</v>
      </c>
      <c r="G472">
        <v>16</v>
      </c>
      <c r="H472">
        <v>7</v>
      </c>
      <c r="I472">
        <v>0.25</v>
      </c>
      <c r="J472">
        <v>0.44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1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  <c r="AH472" s="86">
        <f>AVERAGEIFS($C$2:C472, $B$2:B472, B472)</f>
        <v>24.212121212121211</v>
      </c>
      <c r="AI472" s="86">
        <f>AVERAGEIFS($I$2:I472, $B$2:B472, B472)</f>
        <v>0.52636363636363637</v>
      </c>
      <c r="AJ472" s="86">
        <f>AVERAGEIFS($J$2:J472, $B$2:B472, B472)</f>
        <v>0.50727272727272732</v>
      </c>
      <c r="AK472" s="86">
        <f>AVERAGEIFS($D$2:D472, $B$2:B472, B472)</f>
        <v>0.51515151515151514</v>
      </c>
    </row>
    <row r="473" spans="1:37" x14ac:dyDescent="0.25">
      <c r="A473" s="85">
        <v>46096</v>
      </c>
      <c r="B473" t="s">
        <v>71</v>
      </c>
      <c r="C473">
        <v>13</v>
      </c>
      <c r="D473">
        <v>0</v>
      </c>
      <c r="E473">
        <v>4</v>
      </c>
      <c r="F473">
        <v>1</v>
      </c>
      <c r="G473">
        <v>16</v>
      </c>
      <c r="H473">
        <v>7</v>
      </c>
      <c r="I473">
        <v>0.25</v>
      </c>
      <c r="J473">
        <v>0.44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1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 s="86">
        <f>AVERAGEIFS($C$2:C473, $B$2:B473, B473)</f>
        <v>12.6</v>
      </c>
      <c r="AI473" s="86">
        <f>AVERAGEIFS($I$2:I473, $B$2:B473, B473)</f>
        <v>0.47000000000000003</v>
      </c>
      <c r="AJ473" s="86">
        <f>AVERAGEIFS($J$2:J473, $B$2:B473, B473)</f>
        <v>0.4840000000000001</v>
      </c>
      <c r="AK473" s="86">
        <f>AVERAGEIFS($D$2:D473, $B$2:B473, B473)</f>
        <v>0.6</v>
      </c>
    </row>
    <row r="474" spans="1:37" x14ac:dyDescent="0.25">
      <c r="A474" s="85">
        <v>46096</v>
      </c>
      <c r="B474" t="s">
        <v>113</v>
      </c>
      <c r="C474">
        <v>16</v>
      </c>
      <c r="D474">
        <v>0</v>
      </c>
      <c r="E474">
        <v>4</v>
      </c>
      <c r="F474">
        <v>1</v>
      </c>
      <c r="G474">
        <v>16</v>
      </c>
      <c r="H474">
        <v>7</v>
      </c>
      <c r="I474">
        <v>0.25</v>
      </c>
      <c r="J474">
        <v>0.44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1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 s="86">
        <f>AVERAGEIFS($C$2:C474, $B$2:B474, B474)</f>
        <v>15.846153846153847</v>
      </c>
      <c r="AI474" s="86">
        <f>AVERAGEIFS($I$2:I474, $B$2:B474, B474)</f>
        <v>0.5</v>
      </c>
      <c r="AJ474" s="86">
        <f>AVERAGEIFS($J$2:J474, $B$2:B474, B474)</f>
        <v>0.47230769230769237</v>
      </c>
      <c r="AK474" s="86">
        <f>AVERAGEIFS($D$2:D474, $B$2:B474, B474)</f>
        <v>0.46153846153846156</v>
      </c>
    </row>
    <row r="475" spans="1:37" x14ac:dyDescent="0.25">
      <c r="A475" s="85">
        <v>46096</v>
      </c>
      <c r="B475" t="s">
        <v>35</v>
      </c>
      <c r="C475">
        <v>9</v>
      </c>
      <c r="D475">
        <v>0</v>
      </c>
      <c r="E475">
        <v>4</v>
      </c>
      <c r="F475">
        <v>1</v>
      </c>
      <c r="G475">
        <v>16</v>
      </c>
      <c r="H475">
        <v>7</v>
      </c>
      <c r="I475">
        <v>0.25</v>
      </c>
      <c r="J475">
        <v>0.44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1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 s="86">
        <f>AVERAGEIFS($C$2:C475, $B$2:B475, B475)</f>
        <v>11.206896551724139</v>
      </c>
      <c r="AI475" s="86">
        <f>AVERAGEIFS($I$2:I475, $B$2:B475, B475)</f>
        <v>0.4372413793103449</v>
      </c>
      <c r="AJ475" s="86">
        <f>AVERAGEIFS($J$2:J475, $B$2:B475, B475)</f>
        <v>0.47689655172413792</v>
      </c>
      <c r="AK475" s="86">
        <f>AVERAGEIFS($D$2:D475, $B$2:B475, B475)</f>
        <v>0.37931034482758619</v>
      </c>
    </row>
    <row r="476" spans="1:37" x14ac:dyDescent="0.25">
      <c r="A476" s="85">
        <v>46096</v>
      </c>
      <c r="B476" t="s">
        <v>143</v>
      </c>
      <c r="C476">
        <v>4</v>
      </c>
      <c r="D476">
        <v>0</v>
      </c>
      <c r="E476">
        <v>4</v>
      </c>
      <c r="F476">
        <v>1</v>
      </c>
      <c r="G476">
        <v>16</v>
      </c>
      <c r="H476">
        <v>7</v>
      </c>
      <c r="I476">
        <v>0.25</v>
      </c>
      <c r="J476">
        <v>0.44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1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 s="86">
        <f>AVERAGEIFS($C$2:C476, $B$2:B476, B476)</f>
        <v>4</v>
      </c>
      <c r="AI476" s="86">
        <f>AVERAGEIFS($I$2:I476, $B$2:B476, B476)</f>
        <v>0.25</v>
      </c>
      <c r="AJ476" s="86">
        <f>AVERAGEIFS($J$2:J476, $B$2:B476, B476)</f>
        <v>0.44</v>
      </c>
      <c r="AK476" s="86">
        <f>AVERAGEIFS($D$2:D476, $B$2:B476, B476)</f>
        <v>0</v>
      </c>
    </row>
    <row r="477" spans="1:37" x14ac:dyDescent="0.25">
      <c r="A477" s="85">
        <v>46096</v>
      </c>
      <c r="B477" t="s">
        <v>2</v>
      </c>
      <c r="C477">
        <v>22</v>
      </c>
      <c r="D477">
        <v>1</v>
      </c>
      <c r="E477">
        <v>4</v>
      </c>
      <c r="F477">
        <v>3</v>
      </c>
      <c r="G477">
        <v>16</v>
      </c>
      <c r="H477">
        <v>9</v>
      </c>
      <c r="I477">
        <v>0.75</v>
      </c>
      <c r="J477">
        <v>0.56000000000000005</v>
      </c>
      <c r="K477">
        <v>1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1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1</v>
      </c>
      <c r="AF477">
        <v>0</v>
      </c>
      <c r="AG477">
        <v>0</v>
      </c>
      <c r="AH477" s="86">
        <f>AVERAGEIFS($C$2:C477, $B$2:B477, B477)</f>
        <v>23.24</v>
      </c>
      <c r="AI477" s="86">
        <f>AVERAGEIFS($I$2:I477, $B$2:B477, B477)</f>
        <v>0.55320000000000003</v>
      </c>
      <c r="AJ477" s="86">
        <f>AVERAGEIFS($J$2:J477, $B$2:B477, B477)</f>
        <v>0.55279999999999996</v>
      </c>
      <c r="AK477" s="86">
        <f>AVERAGEIFS($D$2:D477, $B$2:B477, B477)</f>
        <v>0.56000000000000005</v>
      </c>
    </row>
    <row r="478" spans="1:37" x14ac:dyDescent="0.25">
      <c r="A478" s="85">
        <v>46096</v>
      </c>
      <c r="B478" t="s">
        <v>107</v>
      </c>
      <c r="C478">
        <v>22</v>
      </c>
      <c r="D478">
        <v>1</v>
      </c>
      <c r="E478">
        <v>4</v>
      </c>
      <c r="F478">
        <v>3</v>
      </c>
      <c r="G478">
        <v>16</v>
      </c>
      <c r="H478">
        <v>9</v>
      </c>
      <c r="I478">
        <v>0.75</v>
      </c>
      <c r="J478">
        <v>0.56000000000000005</v>
      </c>
      <c r="K478">
        <v>1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1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1</v>
      </c>
      <c r="AF478">
        <v>0</v>
      </c>
      <c r="AG478">
        <v>0</v>
      </c>
      <c r="AH478" s="86">
        <f>AVERAGEIFS($C$2:C478, $B$2:B478, B478)</f>
        <v>14.266666666666667</v>
      </c>
      <c r="AI478" s="86">
        <f>AVERAGEIFS($I$2:I478, $B$2:B478, B478)</f>
        <v>0.62666666666666659</v>
      </c>
      <c r="AJ478" s="86">
        <f>AVERAGEIFS($J$2:J478, $B$2:B478, B478)</f>
        <v>0.57266666666666677</v>
      </c>
      <c r="AK478" s="86">
        <f>AVERAGEIFS($D$2:D478, $B$2:B478, B478)</f>
        <v>0.66666666666666663</v>
      </c>
    </row>
    <row r="479" spans="1:37" x14ac:dyDescent="0.25">
      <c r="A479" s="85">
        <v>46096</v>
      </c>
      <c r="B479" t="s">
        <v>40</v>
      </c>
      <c r="C479">
        <v>15</v>
      </c>
      <c r="D479">
        <v>1</v>
      </c>
      <c r="E479">
        <v>4</v>
      </c>
      <c r="F479">
        <v>3</v>
      </c>
      <c r="G479">
        <v>16</v>
      </c>
      <c r="H479">
        <v>9</v>
      </c>
      <c r="I479">
        <v>0.75</v>
      </c>
      <c r="J479">
        <v>0.56000000000000005</v>
      </c>
      <c r="K479">
        <v>1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1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1</v>
      </c>
      <c r="AF479">
        <v>0</v>
      </c>
      <c r="AG479">
        <v>0</v>
      </c>
      <c r="AH479" s="86">
        <f>AVERAGEIFS($C$2:C479, $B$2:B479, B479)</f>
        <v>16.896551724137932</v>
      </c>
      <c r="AI479" s="86">
        <f>AVERAGEIFS($I$2:I479, $B$2:B479, B479)</f>
        <v>0.50517241379310351</v>
      </c>
      <c r="AJ479" s="86">
        <f>AVERAGEIFS($J$2:J479, $B$2:B479, B479)</f>
        <v>0.50448275862068959</v>
      </c>
      <c r="AK479" s="86">
        <f>AVERAGEIFS($D$2:D479, $B$2:B479, B479)</f>
        <v>0.48275862068965519</v>
      </c>
    </row>
    <row r="480" spans="1:37" x14ac:dyDescent="0.25">
      <c r="A480" s="85">
        <v>46096</v>
      </c>
      <c r="B480" t="s">
        <v>42</v>
      </c>
      <c r="C480">
        <v>15</v>
      </c>
      <c r="D480">
        <v>1</v>
      </c>
      <c r="E480">
        <v>4</v>
      </c>
      <c r="F480">
        <v>3</v>
      </c>
      <c r="G480">
        <v>16</v>
      </c>
      <c r="H480">
        <v>9</v>
      </c>
      <c r="I480">
        <v>0.75</v>
      </c>
      <c r="J480">
        <v>0.56000000000000005</v>
      </c>
      <c r="K480">
        <v>1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1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1</v>
      </c>
      <c r="AF480">
        <v>0</v>
      </c>
      <c r="AG480">
        <v>0</v>
      </c>
      <c r="AH480" s="86">
        <f>AVERAGEIFS($C$2:C480, $B$2:B480, B480)</f>
        <v>17.352941176470587</v>
      </c>
      <c r="AI480" s="86">
        <f>AVERAGEIFS($I$2:I480, $B$2:B480, B480)</f>
        <v>0.4088235294117647</v>
      </c>
      <c r="AJ480" s="86">
        <f>AVERAGEIFS($J$2:J480, $B$2:B480, B480)</f>
        <v>0.43529411764705872</v>
      </c>
      <c r="AK480" s="86">
        <f>AVERAGEIFS($D$2:D480, $B$2:B480, B480)</f>
        <v>0.41176470588235292</v>
      </c>
    </row>
    <row r="481" spans="1:37" x14ac:dyDescent="0.25">
      <c r="A481" s="85">
        <v>46096</v>
      </c>
      <c r="B481" t="s">
        <v>103</v>
      </c>
      <c r="C481">
        <v>13</v>
      </c>
      <c r="D481">
        <v>1</v>
      </c>
      <c r="E481">
        <v>4</v>
      </c>
      <c r="F481">
        <v>3</v>
      </c>
      <c r="G481">
        <v>16</v>
      </c>
      <c r="H481">
        <v>9</v>
      </c>
      <c r="I481">
        <v>0.75</v>
      </c>
      <c r="J481">
        <v>0.56000000000000005</v>
      </c>
      <c r="K481">
        <v>1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1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1</v>
      </c>
      <c r="AF481">
        <v>0</v>
      </c>
      <c r="AG481">
        <v>0</v>
      </c>
      <c r="AH481" s="86">
        <f>AVERAGEIFS($C$2:C481, $B$2:B481, B481)</f>
        <v>10</v>
      </c>
      <c r="AI481" s="86">
        <f>AVERAGEIFS($I$2:I481, $B$2:B481, B481)</f>
        <v>0.46666666666666662</v>
      </c>
      <c r="AJ481" s="86">
        <f>AVERAGEIFS($J$2:J481, $B$2:B481, B481)</f>
        <v>0.44333333333333336</v>
      </c>
      <c r="AK481" s="86">
        <f>AVERAGEIFS($D$2:D481, $B$2:B481, B481)</f>
        <v>0.33333333333333331</v>
      </c>
    </row>
    <row r="482" spans="1:37" x14ac:dyDescent="0.25">
      <c r="A482" s="85">
        <v>46096</v>
      </c>
      <c r="B482" t="s">
        <v>140</v>
      </c>
      <c r="C482">
        <v>10</v>
      </c>
      <c r="D482">
        <v>1</v>
      </c>
      <c r="E482">
        <v>4</v>
      </c>
      <c r="F482">
        <v>3</v>
      </c>
      <c r="G482">
        <v>16</v>
      </c>
      <c r="H482">
        <v>9</v>
      </c>
      <c r="I482">
        <v>0.75</v>
      </c>
      <c r="J482">
        <v>0.56000000000000005</v>
      </c>
      <c r="K482">
        <v>1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1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0</v>
      </c>
      <c r="AE482">
        <v>1</v>
      </c>
      <c r="AF482">
        <v>0</v>
      </c>
      <c r="AG482">
        <v>0</v>
      </c>
      <c r="AH482" s="86">
        <f>AVERAGEIFS($C$2:C482, $B$2:B482, B482)</f>
        <v>11</v>
      </c>
      <c r="AI482" s="86">
        <f>AVERAGEIFS($I$2:I482, $B$2:B482, B482)</f>
        <v>0.5</v>
      </c>
      <c r="AJ482" s="86">
        <f>AVERAGEIFS($J$2:J482, $B$2:B482, B482)</f>
        <v>0.46</v>
      </c>
      <c r="AK482" s="86">
        <f>AVERAGEIFS($D$2:D482, $B$2:B482, B482)</f>
        <v>0.5</v>
      </c>
    </row>
    <row r="483" spans="1:37" x14ac:dyDescent="0.25">
      <c r="A483" s="85">
        <v>46098</v>
      </c>
      <c r="B483" t="s">
        <v>40</v>
      </c>
      <c r="C483">
        <v>24</v>
      </c>
      <c r="D483">
        <v>1</v>
      </c>
      <c r="E483">
        <v>3</v>
      </c>
      <c r="F483">
        <v>3</v>
      </c>
      <c r="G483">
        <v>13</v>
      </c>
      <c r="H483">
        <v>9</v>
      </c>
      <c r="I483">
        <v>1</v>
      </c>
      <c r="J483">
        <v>0.69</v>
      </c>
      <c r="K483">
        <v>0</v>
      </c>
      <c r="L483">
        <v>0</v>
      </c>
      <c r="M483">
        <v>1</v>
      </c>
      <c r="N483">
        <v>0</v>
      </c>
      <c r="O483">
        <v>0</v>
      </c>
      <c r="P483">
        <v>0</v>
      </c>
      <c r="Q483">
        <v>1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1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v>0</v>
      </c>
      <c r="AH483" s="86">
        <f>AVERAGEIFS($C$2:C483, $B$2:B483, B483)</f>
        <v>17.133333333333333</v>
      </c>
      <c r="AI483" s="86">
        <f>AVERAGEIFS($I$2:I483, $B$2:B483, B483)</f>
        <v>0.52166666666666672</v>
      </c>
      <c r="AJ483" s="86">
        <f>AVERAGEIFS($J$2:J483, $B$2:B483, B483)</f>
        <v>0.5106666666666666</v>
      </c>
      <c r="AK483" s="86">
        <f>AVERAGEIFS($D$2:D483, $B$2:B483, B483)</f>
        <v>0.5</v>
      </c>
    </row>
    <row r="484" spans="1:37" x14ac:dyDescent="0.25">
      <c r="A484" s="85">
        <v>46098</v>
      </c>
      <c r="B484" t="s">
        <v>6</v>
      </c>
      <c r="C484">
        <v>21</v>
      </c>
      <c r="D484">
        <v>1</v>
      </c>
      <c r="E484">
        <v>3</v>
      </c>
      <c r="F484">
        <v>3</v>
      </c>
      <c r="G484">
        <v>13</v>
      </c>
      <c r="H484">
        <v>9</v>
      </c>
      <c r="I484">
        <v>1</v>
      </c>
      <c r="J484">
        <v>0.69</v>
      </c>
      <c r="K484">
        <v>0</v>
      </c>
      <c r="L484">
        <v>0</v>
      </c>
      <c r="M484">
        <v>1</v>
      </c>
      <c r="N484">
        <v>0</v>
      </c>
      <c r="O484">
        <v>0</v>
      </c>
      <c r="P484">
        <v>0</v>
      </c>
      <c r="Q484">
        <v>1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1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 s="86">
        <f>AVERAGEIFS($C$2:C484, $B$2:B484, B484)</f>
        <v>22.4375</v>
      </c>
      <c r="AI484" s="86">
        <f>AVERAGEIFS($I$2:I484, $B$2:B484, B484)</f>
        <v>0.61656250000000001</v>
      </c>
      <c r="AJ484" s="86">
        <f>AVERAGEIFS($J$2:J484, $B$2:B484, B484)</f>
        <v>0.56124999999999992</v>
      </c>
      <c r="AK484" s="86">
        <f>AVERAGEIFS($D$2:D484, $B$2:B484, B484)</f>
        <v>0.71875</v>
      </c>
    </row>
    <row r="485" spans="1:37" x14ac:dyDescent="0.25">
      <c r="A485" s="85">
        <v>46098</v>
      </c>
      <c r="B485" t="s">
        <v>107</v>
      </c>
      <c r="C485">
        <v>16</v>
      </c>
      <c r="D485">
        <v>1</v>
      </c>
      <c r="E485">
        <v>3</v>
      </c>
      <c r="F485">
        <v>3</v>
      </c>
      <c r="G485">
        <v>13</v>
      </c>
      <c r="H485">
        <v>9</v>
      </c>
      <c r="I485">
        <v>1</v>
      </c>
      <c r="J485">
        <v>0.69</v>
      </c>
      <c r="K485">
        <v>0</v>
      </c>
      <c r="L485">
        <v>0</v>
      </c>
      <c r="M485">
        <v>1</v>
      </c>
      <c r="N485">
        <v>0</v>
      </c>
      <c r="O485">
        <v>0</v>
      </c>
      <c r="P485">
        <v>0</v>
      </c>
      <c r="Q485">
        <v>1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1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 s="86">
        <f>AVERAGEIFS($C$2:C485, $B$2:B485, B485)</f>
        <v>14.375</v>
      </c>
      <c r="AI485" s="86">
        <f>AVERAGEIFS($I$2:I485, $B$2:B485, B485)</f>
        <v>0.64999999999999991</v>
      </c>
      <c r="AJ485" s="86">
        <f>AVERAGEIFS($J$2:J485, $B$2:B485, B485)</f>
        <v>0.58000000000000007</v>
      </c>
      <c r="AK485" s="86">
        <f>AVERAGEIFS($D$2:D485, $B$2:B485, B485)</f>
        <v>0.6875</v>
      </c>
    </row>
    <row r="486" spans="1:37" x14ac:dyDescent="0.25">
      <c r="A486" s="85">
        <v>46098</v>
      </c>
      <c r="B486" t="s">
        <v>52</v>
      </c>
      <c r="C486">
        <v>10</v>
      </c>
      <c r="D486">
        <v>1</v>
      </c>
      <c r="E486">
        <v>3</v>
      </c>
      <c r="F486">
        <v>3</v>
      </c>
      <c r="G486">
        <v>13</v>
      </c>
      <c r="H486">
        <v>9</v>
      </c>
      <c r="I486">
        <v>1</v>
      </c>
      <c r="J486">
        <v>0.69</v>
      </c>
      <c r="K486">
        <v>0</v>
      </c>
      <c r="L486">
        <v>0</v>
      </c>
      <c r="M486">
        <v>1</v>
      </c>
      <c r="N486">
        <v>0</v>
      </c>
      <c r="O486">
        <v>0</v>
      </c>
      <c r="P486">
        <v>0</v>
      </c>
      <c r="Q486">
        <v>1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1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 s="86">
        <f>AVERAGEIFS($C$2:C486, $B$2:B486, B486)</f>
        <v>13.5</v>
      </c>
      <c r="AI486" s="86">
        <f>AVERAGEIFS($I$2:I486, $B$2:B486, B486)</f>
        <v>0.44000000000000006</v>
      </c>
      <c r="AJ486" s="86">
        <f>AVERAGEIFS($J$2:J486, $B$2:B486, B486)</f>
        <v>0.44800000000000006</v>
      </c>
      <c r="AK486" s="86">
        <f>AVERAGEIFS($D$2:D486, $B$2:B486, B486)</f>
        <v>0.3</v>
      </c>
    </row>
    <row r="487" spans="1:37" x14ac:dyDescent="0.25">
      <c r="A487" s="85">
        <v>46098</v>
      </c>
      <c r="B487" t="s">
        <v>25</v>
      </c>
      <c r="C487">
        <v>9</v>
      </c>
      <c r="D487">
        <v>1</v>
      </c>
      <c r="E487">
        <v>3</v>
      </c>
      <c r="F487">
        <v>3</v>
      </c>
      <c r="G487">
        <v>13</v>
      </c>
      <c r="H487">
        <v>9</v>
      </c>
      <c r="I487">
        <v>1</v>
      </c>
      <c r="J487">
        <v>0.69</v>
      </c>
      <c r="K487">
        <v>0</v>
      </c>
      <c r="L487">
        <v>0</v>
      </c>
      <c r="M487">
        <v>1</v>
      </c>
      <c r="N487">
        <v>0</v>
      </c>
      <c r="O487">
        <v>0</v>
      </c>
      <c r="P487">
        <v>0</v>
      </c>
      <c r="Q487">
        <v>1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1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 s="86">
        <f>AVERAGEIFS($C$2:C487, $B$2:B487, B487)</f>
        <v>8.6</v>
      </c>
      <c r="AI487" s="86">
        <f>AVERAGEIFS($I$2:I487, $B$2:B487, B487)</f>
        <v>0.75</v>
      </c>
      <c r="AJ487" s="86">
        <f>AVERAGEIFS($J$2:J487, $B$2:B487, B487)</f>
        <v>0.68200000000000005</v>
      </c>
      <c r="AK487" s="86">
        <f>AVERAGEIFS($D$2:D487, $B$2:B487, B487)</f>
        <v>0.8</v>
      </c>
    </row>
    <row r="488" spans="1:37" x14ac:dyDescent="0.25">
      <c r="A488" s="85">
        <v>46098</v>
      </c>
      <c r="B488" t="s">
        <v>46</v>
      </c>
      <c r="C488">
        <v>22</v>
      </c>
      <c r="D488">
        <v>0</v>
      </c>
      <c r="E488">
        <v>3</v>
      </c>
      <c r="F488">
        <v>0</v>
      </c>
      <c r="G488">
        <v>13</v>
      </c>
      <c r="H488">
        <v>4</v>
      </c>
      <c r="I488">
        <v>0</v>
      </c>
      <c r="J488">
        <v>0.31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0</v>
      </c>
      <c r="AH488" s="86">
        <f>AVERAGEIFS($C$2:C488, $B$2:B488, B488)</f>
        <v>19.611111111111111</v>
      </c>
      <c r="AI488" s="86">
        <f>AVERAGEIFS($I$2:I488, $B$2:B488, B488)</f>
        <v>0.46111111111111103</v>
      </c>
      <c r="AJ488" s="86">
        <f>AVERAGEIFS($J$2:J488, $B$2:B488, B488)</f>
        <v>0.47777777777777775</v>
      </c>
      <c r="AK488" s="86">
        <f>AVERAGEIFS($D$2:D488, $B$2:B488, B488)</f>
        <v>0.3888888888888889</v>
      </c>
    </row>
    <row r="489" spans="1:37" x14ac:dyDescent="0.25">
      <c r="A489" s="85">
        <v>46098</v>
      </c>
      <c r="B489" t="s">
        <v>54</v>
      </c>
      <c r="C489">
        <v>19</v>
      </c>
      <c r="D489">
        <v>0</v>
      </c>
      <c r="E489">
        <v>3</v>
      </c>
      <c r="F489">
        <v>0</v>
      </c>
      <c r="G489">
        <v>13</v>
      </c>
      <c r="H489">
        <v>4</v>
      </c>
      <c r="I489">
        <v>0</v>
      </c>
      <c r="J489">
        <v>0.31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>
        <v>0</v>
      </c>
      <c r="AH489" s="86">
        <f>AVERAGEIFS($C$2:C489, $B$2:B489, B489)</f>
        <v>24.058823529411764</v>
      </c>
      <c r="AI489" s="86">
        <f>AVERAGEIFS($I$2:I489, $B$2:B489, B489)</f>
        <v>0.51088235294117645</v>
      </c>
      <c r="AJ489" s="86">
        <f>AVERAGEIFS($J$2:J489, $B$2:B489, B489)</f>
        <v>0.50147058823529411</v>
      </c>
      <c r="AK489" s="86">
        <f>AVERAGEIFS($D$2:D489, $B$2:B489, B489)</f>
        <v>0.5</v>
      </c>
    </row>
    <row r="490" spans="1:37" x14ac:dyDescent="0.25">
      <c r="A490" s="85">
        <v>46098</v>
      </c>
      <c r="B490" t="s">
        <v>17</v>
      </c>
      <c r="C490">
        <v>15</v>
      </c>
      <c r="D490">
        <v>0</v>
      </c>
      <c r="E490">
        <v>3</v>
      </c>
      <c r="F490">
        <v>0</v>
      </c>
      <c r="G490">
        <v>13</v>
      </c>
      <c r="H490">
        <v>4</v>
      </c>
      <c r="I490">
        <v>0</v>
      </c>
      <c r="J490">
        <v>0.31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>
        <v>0</v>
      </c>
      <c r="AH490" s="86">
        <f>AVERAGEIFS($C$2:C490, $B$2:B490, B490)</f>
        <v>20.714285714285715</v>
      </c>
      <c r="AI490" s="86">
        <f>AVERAGEIFS($I$2:I490, $B$2:B490, B490)</f>
        <v>0.41761904761904761</v>
      </c>
      <c r="AJ490" s="86">
        <f>AVERAGEIFS($J$2:J490, $B$2:B490, B490)</f>
        <v>0.44428571428571439</v>
      </c>
      <c r="AK490" s="86">
        <f>AVERAGEIFS($D$2:D490, $B$2:B490, B490)</f>
        <v>0.33333333333333331</v>
      </c>
    </row>
    <row r="491" spans="1:37" x14ac:dyDescent="0.25">
      <c r="A491" s="85">
        <v>46098</v>
      </c>
      <c r="B491" t="s">
        <v>45</v>
      </c>
      <c r="C491">
        <v>7</v>
      </c>
      <c r="D491">
        <v>0</v>
      </c>
      <c r="E491">
        <v>3</v>
      </c>
      <c r="F491">
        <v>0</v>
      </c>
      <c r="G491">
        <v>13</v>
      </c>
      <c r="H491">
        <v>4</v>
      </c>
      <c r="I491">
        <v>0</v>
      </c>
      <c r="J491">
        <v>0.31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>
        <v>0</v>
      </c>
      <c r="AH491" s="86">
        <f>AVERAGEIFS($C$2:C491, $B$2:B491, B491)</f>
        <v>8.6666666666666661</v>
      </c>
      <c r="AI491" s="86">
        <f>AVERAGEIFS($I$2:I491, $B$2:B491, B491)</f>
        <v>0.49499999999999994</v>
      </c>
      <c r="AJ491" s="86">
        <f>AVERAGEIFS($J$2:J491, $B$2:B491, B491)</f>
        <v>0.4916666666666667</v>
      </c>
      <c r="AK491" s="86">
        <f>AVERAGEIFS($D$2:D491, $B$2:B491, B491)</f>
        <v>0.5</v>
      </c>
    </row>
    <row r="492" spans="1:37" x14ac:dyDescent="0.25">
      <c r="A492" s="85">
        <v>46098</v>
      </c>
      <c r="B492" t="s">
        <v>44</v>
      </c>
      <c r="C492">
        <v>5</v>
      </c>
      <c r="D492">
        <v>0</v>
      </c>
      <c r="E492">
        <v>3</v>
      </c>
      <c r="F492">
        <v>0</v>
      </c>
      <c r="G492">
        <v>13</v>
      </c>
      <c r="H492">
        <v>4</v>
      </c>
      <c r="I492">
        <v>0</v>
      </c>
      <c r="J492">
        <v>0.31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>
        <v>0</v>
      </c>
      <c r="AH492" s="86">
        <f>AVERAGEIFS($C$2:C492, $B$2:B492, B492)</f>
        <v>17</v>
      </c>
      <c r="AI492" s="86">
        <f>AVERAGEIFS($I$2:I492, $B$2:B492, B492)</f>
        <v>0.49666666666666665</v>
      </c>
      <c r="AJ492" s="86">
        <f>AVERAGEIFS($J$2:J492, $B$2:B492, B492)</f>
        <v>0.51533333333333331</v>
      </c>
      <c r="AK492" s="86">
        <f>AVERAGEIFS($D$2:D492, $B$2:B492, B492)</f>
        <v>0.6</v>
      </c>
    </row>
    <row r="493" spans="1:37" x14ac:dyDescent="0.25">
      <c r="A493" s="85">
        <v>46099</v>
      </c>
      <c r="B493" t="s">
        <v>18</v>
      </c>
      <c r="C493">
        <v>18</v>
      </c>
      <c r="D493">
        <v>1</v>
      </c>
      <c r="E493">
        <v>3</v>
      </c>
      <c r="F493">
        <v>3</v>
      </c>
      <c r="G493">
        <v>10</v>
      </c>
      <c r="H493">
        <v>9</v>
      </c>
      <c r="I493">
        <v>1</v>
      </c>
      <c r="J493">
        <v>0.9</v>
      </c>
      <c r="K493">
        <v>0</v>
      </c>
      <c r="L493">
        <v>1</v>
      </c>
      <c r="M493">
        <v>0</v>
      </c>
      <c r="N493">
        <v>0</v>
      </c>
      <c r="O493">
        <v>0</v>
      </c>
      <c r="P493">
        <v>0</v>
      </c>
      <c r="Q493">
        <v>1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1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>
        <v>0</v>
      </c>
      <c r="AH493" s="86">
        <f>AVERAGEIFS($C$2:C493, $B$2:B493, B493)</f>
        <v>18.25</v>
      </c>
      <c r="AI493" s="86">
        <f>AVERAGEIFS($I$2:I493, $B$2:B493, B493)</f>
        <v>0.71250000000000002</v>
      </c>
      <c r="AJ493" s="86">
        <f>AVERAGEIFS($J$2:J493, $B$2:B493, B493)</f>
        <v>0.62749999999999995</v>
      </c>
      <c r="AK493" s="86">
        <f>AVERAGEIFS($D$2:D493, $B$2:B493, B493)</f>
        <v>0.75</v>
      </c>
    </row>
    <row r="494" spans="1:37" x14ac:dyDescent="0.25">
      <c r="A494" s="85">
        <v>46099</v>
      </c>
      <c r="B494" t="s">
        <v>50</v>
      </c>
      <c r="C494">
        <v>18</v>
      </c>
      <c r="D494">
        <v>1</v>
      </c>
      <c r="E494">
        <v>3</v>
      </c>
      <c r="F494">
        <v>3</v>
      </c>
      <c r="G494">
        <v>10</v>
      </c>
      <c r="H494">
        <v>9</v>
      </c>
      <c r="I494">
        <v>1</v>
      </c>
      <c r="J494">
        <v>0.9</v>
      </c>
      <c r="K494">
        <v>0</v>
      </c>
      <c r="L494">
        <v>1</v>
      </c>
      <c r="M494">
        <v>0</v>
      </c>
      <c r="N494">
        <v>0</v>
      </c>
      <c r="O494">
        <v>0</v>
      </c>
      <c r="P494">
        <v>0</v>
      </c>
      <c r="Q494">
        <v>1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1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0</v>
      </c>
      <c r="AH494" s="86">
        <f>AVERAGEIFS($C$2:C494, $B$2:B494, B494)</f>
        <v>19.076923076923077</v>
      </c>
      <c r="AI494" s="86">
        <f>AVERAGEIFS($I$2:I494, $B$2:B494, B494)</f>
        <v>0.55884615384615388</v>
      </c>
      <c r="AJ494" s="86">
        <f>AVERAGEIFS($J$2:J494, $B$2:B494, B494)</f>
        <v>0.55115384615384611</v>
      </c>
      <c r="AK494" s="86">
        <f>AVERAGEIFS($D$2:D494, $B$2:B494, B494)</f>
        <v>0.57692307692307687</v>
      </c>
    </row>
    <row r="495" spans="1:37" x14ac:dyDescent="0.25">
      <c r="A495" s="85">
        <v>46099</v>
      </c>
      <c r="B495" t="s">
        <v>5</v>
      </c>
      <c r="C495">
        <v>15</v>
      </c>
      <c r="D495">
        <v>1</v>
      </c>
      <c r="E495">
        <v>3</v>
      </c>
      <c r="F495">
        <v>3</v>
      </c>
      <c r="G495">
        <v>10</v>
      </c>
      <c r="H495">
        <v>9</v>
      </c>
      <c r="I495">
        <v>1</v>
      </c>
      <c r="J495">
        <v>0.9</v>
      </c>
      <c r="K495">
        <v>0</v>
      </c>
      <c r="L495">
        <v>1</v>
      </c>
      <c r="M495">
        <v>0</v>
      </c>
      <c r="N495">
        <v>0</v>
      </c>
      <c r="O495">
        <v>0</v>
      </c>
      <c r="P495">
        <v>0</v>
      </c>
      <c r="Q495">
        <v>1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1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 s="86">
        <f>AVERAGEIFS($C$2:C495, $B$2:B495, B495)</f>
        <v>21.416666666666668</v>
      </c>
      <c r="AI495" s="86">
        <f>AVERAGEIFS($I$2:I495, $B$2:B495, B495)</f>
        <v>0.63916666666666666</v>
      </c>
      <c r="AJ495" s="86">
        <f>AVERAGEIFS($J$2:J495, $B$2:B495, B495)</f>
        <v>0.58083333333333342</v>
      </c>
      <c r="AK495" s="86">
        <f>AVERAGEIFS($D$2:D495, $B$2:B495, B495)</f>
        <v>0.75</v>
      </c>
    </row>
    <row r="496" spans="1:37" x14ac:dyDescent="0.25">
      <c r="A496" s="85">
        <v>46099</v>
      </c>
      <c r="B496" t="s">
        <v>14</v>
      </c>
      <c r="C496">
        <v>14</v>
      </c>
      <c r="D496">
        <v>1</v>
      </c>
      <c r="E496">
        <v>3</v>
      </c>
      <c r="F496">
        <v>3</v>
      </c>
      <c r="G496">
        <v>10</v>
      </c>
      <c r="H496">
        <v>9</v>
      </c>
      <c r="I496">
        <v>1</v>
      </c>
      <c r="J496">
        <v>0.9</v>
      </c>
      <c r="K496">
        <v>0</v>
      </c>
      <c r="L496">
        <v>1</v>
      </c>
      <c r="M496">
        <v>0</v>
      </c>
      <c r="N496">
        <v>0</v>
      </c>
      <c r="O496">
        <v>0</v>
      </c>
      <c r="P496">
        <v>0</v>
      </c>
      <c r="Q496">
        <v>1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1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 s="86">
        <f>AVERAGEIFS($C$2:C496, $B$2:B496, B496)</f>
        <v>16.46153846153846</v>
      </c>
      <c r="AI496" s="86">
        <f>AVERAGEIFS($I$2:I496, $B$2:B496, B496)</f>
        <v>0.50923076923076926</v>
      </c>
      <c r="AJ496" s="86">
        <f>AVERAGEIFS($J$2:J496, $B$2:B496, B496)</f>
        <v>0.52846153846153854</v>
      </c>
      <c r="AK496" s="86">
        <f>AVERAGEIFS($D$2:D496, $B$2:B496, B496)</f>
        <v>0.53846153846153844</v>
      </c>
    </row>
    <row r="497" spans="1:37" x14ac:dyDescent="0.25">
      <c r="A497" s="85">
        <v>46099</v>
      </c>
      <c r="B497" t="s">
        <v>53</v>
      </c>
      <c r="C497">
        <v>10</v>
      </c>
      <c r="D497">
        <v>1</v>
      </c>
      <c r="E497">
        <v>3</v>
      </c>
      <c r="F497">
        <v>3</v>
      </c>
      <c r="G497">
        <v>10</v>
      </c>
      <c r="H497">
        <v>9</v>
      </c>
      <c r="I497">
        <v>1</v>
      </c>
      <c r="J497">
        <v>0.9</v>
      </c>
      <c r="K497">
        <v>0</v>
      </c>
      <c r="L497">
        <v>1</v>
      </c>
      <c r="M497">
        <v>0</v>
      </c>
      <c r="N497">
        <v>0</v>
      </c>
      <c r="O497">
        <v>0</v>
      </c>
      <c r="P497">
        <v>0</v>
      </c>
      <c r="Q497">
        <v>1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1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H497" s="86">
        <f>AVERAGEIFS($C$2:C497, $B$2:B497, B497)</f>
        <v>16.066666666666666</v>
      </c>
      <c r="AI497" s="86">
        <f>AVERAGEIFS($I$2:I497, $B$2:B497, B497)</f>
        <v>0.54333333333333333</v>
      </c>
      <c r="AJ497" s="86">
        <f>AVERAGEIFS($J$2:J497, $B$2:B497, B497)</f>
        <v>0.51933333333333331</v>
      </c>
      <c r="AK497" s="86">
        <f>AVERAGEIFS($D$2:D497, $B$2:B497, B497)</f>
        <v>0.53333333333333333</v>
      </c>
    </row>
    <row r="498" spans="1:37" x14ac:dyDescent="0.25">
      <c r="A498" s="85">
        <v>46099</v>
      </c>
      <c r="B498" t="s">
        <v>113</v>
      </c>
      <c r="C498">
        <v>16</v>
      </c>
      <c r="D498">
        <v>0</v>
      </c>
      <c r="E498">
        <v>3</v>
      </c>
      <c r="F498">
        <v>0</v>
      </c>
      <c r="G498">
        <v>10</v>
      </c>
      <c r="H498">
        <v>1</v>
      </c>
      <c r="I498">
        <v>0</v>
      </c>
      <c r="J498">
        <v>0.1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v>0</v>
      </c>
      <c r="AH498" s="86">
        <f>AVERAGEIFS($C$2:C498, $B$2:B498, B498)</f>
        <v>15.857142857142858</v>
      </c>
      <c r="AI498" s="86">
        <f>AVERAGEIFS($I$2:I498, $B$2:B498, B498)</f>
        <v>0.4642857142857143</v>
      </c>
      <c r="AJ498" s="86">
        <f>AVERAGEIFS($J$2:J498, $B$2:B498, B498)</f>
        <v>0.44571428571428573</v>
      </c>
      <c r="AK498" s="86">
        <f>AVERAGEIFS($D$2:D498, $B$2:B498, B498)</f>
        <v>0.42857142857142855</v>
      </c>
    </row>
    <row r="499" spans="1:37" x14ac:dyDescent="0.25">
      <c r="A499" s="85">
        <v>46099</v>
      </c>
      <c r="B499" t="s">
        <v>4</v>
      </c>
      <c r="C499">
        <v>15</v>
      </c>
      <c r="D499">
        <v>0</v>
      </c>
      <c r="E499">
        <v>3</v>
      </c>
      <c r="F499">
        <v>0</v>
      </c>
      <c r="G499">
        <v>10</v>
      </c>
      <c r="H499">
        <v>1</v>
      </c>
      <c r="I499">
        <v>0</v>
      </c>
      <c r="J499">
        <v>0.1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>
        <v>0</v>
      </c>
      <c r="AH499" s="86">
        <f>AVERAGEIFS($C$2:C499, $B$2:B499, B499)</f>
        <v>22.764705882352942</v>
      </c>
      <c r="AI499" s="86">
        <f>AVERAGEIFS($I$2:I499, $B$2:B499, B499)</f>
        <v>0.32058823529411767</v>
      </c>
      <c r="AJ499" s="86">
        <f>AVERAGEIFS($J$2:J499, $B$2:B499, B499)</f>
        <v>0.3917647058823529</v>
      </c>
      <c r="AK499" s="86">
        <f>AVERAGEIFS($D$2:D499, $B$2:B499, B499)</f>
        <v>0.17647058823529413</v>
      </c>
    </row>
    <row r="500" spans="1:37" x14ac:dyDescent="0.25">
      <c r="A500" s="85">
        <v>46099</v>
      </c>
      <c r="B500" t="s">
        <v>42</v>
      </c>
      <c r="C500">
        <v>9</v>
      </c>
      <c r="D500">
        <v>0</v>
      </c>
      <c r="E500">
        <v>3</v>
      </c>
      <c r="F500">
        <v>0</v>
      </c>
      <c r="G500">
        <v>10</v>
      </c>
      <c r="H500">
        <v>1</v>
      </c>
      <c r="I500">
        <v>0</v>
      </c>
      <c r="J500">
        <v>0.1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>
        <v>0</v>
      </c>
      <c r="AH500" s="86">
        <f>AVERAGEIFS($C$2:C500, $B$2:B500, B500)</f>
        <v>16.888888888888889</v>
      </c>
      <c r="AI500" s="86">
        <f>AVERAGEIFS($I$2:I500, $B$2:B500, B500)</f>
        <v>0.38611111111111113</v>
      </c>
      <c r="AJ500" s="86">
        <f>AVERAGEIFS($J$2:J500, $B$2:B500, B500)</f>
        <v>0.41666666666666657</v>
      </c>
      <c r="AK500" s="86">
        <f>AVERAGEIFS($D$2:D500, $B$2:B500, B500)</f>
        <v>0.3888888888888889</v>
      </c>
    </row>
    <row r="501" spans="1:37" x14ac:dyDescent="0.25">
      <c r="A501" s="85">
        <v>46099</v>
      </c>
      <c r="B501" t="s">
        <v>147</v>
      </c>
      <c r="C501">
        <v>8</v>
      </c>
      <c r="D501">
        <v>0</v>
      </c>
      <c r="E501">
        <v>3</v>
      </c>
      <c r="F501">
        <v>0</v>
      </c>
      <c r="G501">
        <v>10</v>
      </c>
      <c r="H501">
        <v>1</v>
      </c>
      <c r="I501">
        <v>0</v>
      </c>
      <c r="J501">
        <v>0.1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>
        <v>0</v>
      </c>
      <c r="AH501" s="86">
        <f>AVERAGEIFS($C$2:C501, $B$2:B501, B501)</f>
        <v>6</v>
      </c>
      <c r="AI501" s="86">
        <f>AVERAGEIFS($I$2:I501, $B$2:B501, B501)</f>
        <v>0.54374999999999996</v>
      </c>
      <c r="AJ501" s="86">
        <f>AVERAGEIFS($J$2:J501, $B$2:B501, B501)</f>
        <v>0.54499999999999993</v>
      </c>
      <c r="AK501" s="86">
        <f>AVERAGEIFS($D$2:D501, $B$2:B501, B501)</f>
        <v>0.625</v>
      </c>
    </row>
    <row r="502" spans="1:37" ht="14.25" customHeight="1" x14ac:dyDescent="0.25">
      <c r="A502" s="85">
        <v>46099</v>
      </c>
      <c r="B502" t="s">
        <v>37</v>
      </c>
      <c r="C502">
        <v>6</v>
      </c>
      <c r="D502">
        <v>0</v>
      </c>
      <c r="E502">
        <v>3</v>
      </c>
      <c r="F502">
        <v>0</v>
      </c>
      <c r="G502">
        <v>10</v>
      </c>
      <c r="H502">
        <v>1</v>
      </c>
      <c r="I502">
        <v>0</v>
      </c>
      <c r="J502">
        <v>0.1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>
        <v>0</v>
      </c>
      <c r="AH502" s="86">
        <f>AVERAGEIFS($C$2:C502, $B$2:B502, B502)</f>
        <v>12.625</v>
      </c>
      <c r="AI502" s="86">
        <f>AVERAGEIFS($I$2:I502, $B$2:B502, B502)</f>
        <v>0.51249999999999996</v>
      </c>
      <c r="AJ502" s="86">
        <f>AVERAGEIFS($J$2:J502, $B$2:B502, B502)</f>
        <v>0.48375000000000001</v>
      </c>
      <c r="AK502" s="86">
        <f>AVERAGEIFS($D$2:D502, $B$2:B502, B502)</f>
        <v>0.375</v>
      </c>
    </row>
    <row r="503" spans="1:37" x14ac:dyDescent="0.25">
      <c r="A503" s="85">
        <v>46099</v>
      </c>
      <c r="B503" t="s">
        <v>54</v>
      </c>
      <c r="C503">
        <v>32</v>
      </c>
      <c r="D503">
        <v>1</v>
      </c>
      <c r="E503">
        <v>4</v>
      </c>
      <c r="F503">
        <v>3</v>
      </c>
      <c r="G503">
        <v>19</v>
      </c>
      <c r="H503">
        <v>11</v>
      </c>
      <c r="I503">
        <v>0.75</v>
      </c>
      <c r="J503">
        <v>0.57999999999999996</v>
      </c>
      <c r="K503">
        <v>0</v>
      </c>
      <c r="L503">
        <v>0</v>
      </c>
      <c r="M503">
        <v>0</v>
      </c>
      <c r="N503">
        <v>1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1</v>
      </c>
      <c r="AC503">
        <v>0</v>
      </c>
      <c r="AD503">
        <v>0</v>
      </c>
      <c r="AE503">
        <v>1</v>
      </c>
      <c r="AF503">
        <v>0</v>
      </c>
      <c r="AG503">
        <v>0</v>
      </c>
      <c r="AH503" s="86">
        <f>AVERAGEIFS($C$2:C503, $B$2:B503, B503)</f>
        <v>24.285714285714285</v>
      </c>
      <c r="AI503" s="86">
        <f>AVERAGEIFS($I$2:I503, $B$2:B503, B503)</f>
        <v>0.51771428571428579</v>
      </c>
      <c r="AJ503" s="86">
        <f>AVERAGEIFS($J$2:J503, $B$2:B503, B503)</f>
        <v>0.50371428571428567</v>
      </c>
      <c r="AK503" s="86">
        <f>AVERAGEIFS($D$2:D503, $B$2:B503, B503)</f>
        <v>0.51428571428571423</v>
      </c>
    </row>
    <row r="504" spans="1:37" x14ac:dyDescent="0.25">
      <c r="A504" s="85">
        <v>46099</v>
      </c>
      <c r="B504" t="s">
        <v>17</v>
      </c>
      <c r="C504">
        <v>30</v>
      </c>
      <c r="D504">
        <v>1</v>
      </c>
      <c r="E504">
        <v>4</v>
      </c>
      <c r="F504">
        <v>3</v>
      </c>
      <c r="G504">
        <v>19</v>
      </c>
      <c r="H504">
        <v>11</v>
      </c>
      <c r="I504">
        <v>0.75</v>
      </c>
      <c r="J504">
        <v>0.57999999999999996</v>
      </c>
      <c r="K504">
        <v>0</v>
      </c>
      <c r="L504">
        <v>0</v>
      </c>
      <c r="M504">
        <v>0</v>
      </c>
      <c r="N504">
        <v>1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1</v>
      </c>
      <c r="AC504">
        <v>0</v>
      </c>
      <c r="AD504">
        <v>0</v>
      </c>
      <c r="AE504">
        <v>1</v>
      </c>
      <c r="AF504">
        <v>0</v>
      </c>
      <c r="AG504">
        <v>0</v>
      </c>
      <c r="AH504" s="86">
        <f>AVERAGEIFS($C$2:C504, $B$2:B504, B504)</f>
        <v>21.136363636363637</v>
      </c>
      <c r="AI504" s="86">
        <f>AVERAGEIFS($I$2:I504, $B$2:B504, B504)</f>
        <v>0.43272727272727268</v>
      </c>
      <c r="AJ504" s="86">
        <f>AVERAGEIFS($J$2:J504, $B$2:B504, B504)</f>
        <v>0.45045454545454555</v>
      </c>
      <c r="AK504" s="86">
        <f>AVERAGEIFS($D$2:D504, $B$2:B504, B504)</f>
        <v>0.36363636363636365</v>
      </c>
    </row>
    <row r="505" spans="1:37" x14ac:dyDescent="0.25">
      <c r="A505" s="85">
        <v>46099</v>
      </c>
      <c r="B505" t="s">
        <v>5</v>
      </c>
      <c r="C505">
        <v>19</v>
      </c>
      <c r="D505">
        <v>1</v>
      </c>
      <c r="E505">
        <v>4</v>
      </c>
      <c r="F505">
        <v>3</v>
      </c>
      <c r="G505">
        <v>19</v>
      </c>
      <c r="H505">
        <v>11</v>
      </c>
      <c r="I505">
        <v>0.75</v>
      </c>
      <c r="J505">
        <v>0.57999999999999996</v>
      </c>
      <c r="K505">
        <v>0</v>
      </c>
      <c r="L505">
        <v>0</v>
      </c>
      <c r="M505">
        <v>0</v>
      </c>
      <c r="N505">
        <v>1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0</v>
      </c>
      <c r="AB505">
        <v>1</v>
      </c>
      <c r="AC505">
        <v>0</v>
      </c>
      <c r="AD505">
        <v>0</v>
      </c>
      <c r="AE505">
        <v>1</v>
      </c>
      <c r="AF505">
        <v>0</v>
      </c>
      <c r="AG505">
        <v>0</v>
      </c>
      <c r="AH505" s="86">
        <f>AVERAGEIFS($C$2:C505, $B$2:B505, B505)</f>
        <v>21.23076923076923</v>
      </c>
      <c r="AI505" s="86">
        <f>AVERAGEIFS($I$2:I505, $B$2:B505, B505)</f>
        <v>0.64769230769230768</v>
      </c>
      <c r="AJ505" s="86">
        <f>AVERAGEIFS($J$2:J505, $B$2:B505, B505)</f>
        <v>0.58076923076923082</v>
      </c>
      <c r="AK505" s="86">
        <f>AVERAGEIFS($D$2:D505, $B$2:B505, B505)</f>
        <v>0.76923076923076927</v>
      </c>
    </row>
    <row r="506" spans="1:37" x14ac:dyDescent="0.25">
      <c r="A506" s="85">
        <v>46099</v>
      </c>
      <c r="B506" t="s">
        <v>107</v>
      </c>
      <c r="C506">
        <v>19</v>
      </c>
      <c r="D506">
        <v>1</v>
      </c>
      <c r="E506">
        <v>4</v>
      </c>
      <c r="F506">
        <v>3</v>
      </c>
      <c r="G506">
        <v>19</v>
      </c>
      <c r="H506">
        <v>11</v>
      </c>
      <c r="I506">
        <v>0.75</v>
      </c>
      <c r="J506">
        <v>0.57999999999999996</v>
      </c>
      <c r="K506">
        <v>0</v>
      </c>
      <c r="L506">
        <v>0</v>
      </c>
      <c r="M506">
        <v>0</v>
      </c>
      <c r="N506">
        <v>1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0</v>
      </c>
      <c r="AB506">
        <v>1</v>
      </c>
      <c r="AC506">
        <v>0</v>
      </c>
      <c r="AD506">
        <v>0</v>
      </c>
      <c r="AE506">
        <v>1</v>
      </c>
      <c r="AF506">
        <v>0</v>
      </c>
      <c r="AG506">
        <v>0</v>
      </c>
      <c r="AH506" s="86">
        <f>AVERAGEIFS($C$2:C506, $B$2:B506, B506)</f>
        <v>14.647058823529411</v>
      </c>
      <c r="AI506" s="86">
        <f>AVERAGEIFS($I$2:I506, $B$2:B506, B506)</f>
        <v>0.65588235294117636</v>
      </c>
      <c r="AJ506" s="86">
        <f>AVERAGEIFS($J$2:J506, $B$2:B506, B506)</f>
        <v>0.58000000000000007</v>
      </c>
      <c r="AK506" s="86">
        <f>AVERAGEIFS($D$2:D506, $B$2:B506, B506)</f>
        <v>0.70588235294117652</v>
      </c>
    </row>
    <row r="507" spans="1:37" x14ac:dyDescent="0.25">
      <c r="A507" s="85">
        <v>46099</v>
      </c>
      <c r="B507" t="s">
        <v>40</v>
      </c>
      <c r="C507">
        <v>16</v>
      </c>
      <c r="D507">
        <v>1</v>
      </c>
      <c r="E507">
        <v>4</v>
      </c>
      <c r="F507">
        <v>3</v>
      </c>
      <c r="G507">
        <v>19</v>
      </c>
      <c r="H507">
        <v>11</v>
      </c>
      <c r="I507">
        <v>0.75</v>
      </c>
      <c r="J507">
        <v>0.57999999999999996</v>
      </c>
      <c r="K507">
        <v>0</v>
      </c>
      <c r="L507">
        <v>0</v>
      </c>
      <c r="M507">
        <v>0</v>
      </c>
      <c r="N507">
        <v>1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0</v>
      </c>
      <c r="AB507">
        <v>1</v>
      </c>
      <c r="AC507">
        <v>0</v>
      </c>
      <c r="AD507">
        <v>0</v>
      </c>
      <c r="AE507">
        <v>1</v>
      </c>
      <c r="AF507">
        <v>0</v>
      </c>
      <c r="AG507">
        <v>0</v>
      </c>
      <c r="AH507" s="86">
        <f>AVERAGEIFS($C$2:C507, $B$2:B507, B507)</f>
        <v>17.096774193548388</v>
      </c>
      <c r="AI507" s="86">
        <f>AVERAGEIFS($I$2:I507, $B$2:B507, B507)</f>
        <v>0.52903225806451615</v>
      </c>
      <c r="AJ507" s="86">
        <f>AVERAGEIFS($J$2:J507, $B$2:B507, B507)</f>
        <v>0.51290322580645153</v>
      </c>
      <c r="AK507" s="86">
        <f>AVERAGEIFS($D$2:D507, $B$2:B507, B507)</f>
        <v>0.5161290322580645</v>
      </c>
    </row>
    <row r="508" spans="1:37" x14ac:dyDescent="0.25">
      <c r="A508" s="85">
        <v>46099</v>
      </c>
      <c r="B508" t="s">
        <v>18</v>
      </c>
      <c r="C508">
        <v>10</v>
      </c>
      <c r="D508">
        <v>1</v>
      </c>
      <c r="E508">
        <v>4</v>
      </c>
      <c r="F508">
        <v>3</v>
      </c>
      <c r="G508">
        <v>19</v>
      </c>
      <c r="H508">
        <v>11</v>
      </c>
      <c r="I508">
        <v>0.75</v>
      </c>
      <c r="J508">
        <v>0.57999999999999996</v>
      </c>
      <c r="K508">
        <v>0</v>
      </c>
      <c r="L508">
        <v>0</v>
      </c>
      <c r="M508">
        <v>0</v>
      </c>
      <c r="N508">
        <v>1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0</v>
      </c>
      <c r="AB508">
        <v>1</v>
      </c>
      <c r="AC508">
        <v>0</v>
      </c>
      <c r="AD508">
        <v>0</v>
      </c>
      <c r="AE508">
        <v>1</v>
      </c>
      <c r="AF508">
        <v>0</v>
      </c>
      <c r="AG508">
        <v>0</v>
      </c>
      <c r="AH508" s="86">
        <f>AVERAGEIFS($C$2:C508, $B$2:B508, B508)</f>
        <v>16.600000000000001</v>
      </c>
      <c r="AI508" s="86">
        <f>AVERAGEIFS($I$2:I508, $B$2:B508, B508)</f>
        <v>0.72</v>
      </c>
      <c r="AJ508" s="86">
        <f>AVERAGEIFS($J$2:J508, $B$2:B508, B508)</f>
        <v>0.61799999999999999</v>
      </c>
      <c r="AK508" s="86">
        <f>AVERAGEIFS($D$2:D508, $B$2:B508, B508)</f>
        <v>0.8</v>
      </c>
    </row>
    <row r="509" spans="1:37" x14ac:dyDescent="0.25">
      <c r="A509" s="85">
        <v>46099</v>
      </c>
      <c r="B509" t="s">
        <v>35</v>
      </c>
      <c r="C509">
        <v>9</v>
      </c>
      <c r="D509">
        <v>1</v>
      </c>
      <c r="E509">
        <v>4</v>
      </c>
      <c r="F509">
        <v>3</v>
      </c>
      <c r="G509">
        <v>19</v>
      </c>
      <c r="H509">
        <v>11</v>
      </c>
      <c r="I509">
        <v>0.75</v>
      </c>
      <c r="J509">
        <v>0.57999999999999996</v>
      </c>
      <c r="K509">
        <v>0</v>
      </c>
      <c r="L509">
        <v>0</v>
      </c>
      <c r="M509">
        <v>0</v>
      </c>
      <c r="N509">
        <v>1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0</v>
      </c>
      <c r="AB509">
        <v>1</v>
      </c>
      <c r="AC509">
        <v>0</v>
      </c>
      <c r="AD509">
        <v>0</v>
      </c>
      <c r="AE509">
        <v>1</v>
      </c>
      <c r="AF509">
        <v>0</v>
      </c>
      <c r="AG509">
        <v>0</v>
      </c>
      <c r="AH509" s="86">
        <f>AVERAGEIFS($C$2:C509, $B$2:B509, B509)</f>
        <v>11.133333333333333</v>
      </c>
      <c r="AI509" s="86">
        <f>AVERAGEIFS($I$2:I509, $B$2:B509, B509)</f>
        <v>0.44766666666666671</v>
      </c>
      <c r="AJ509" s="86">
        <f>AVERAGEIFS($J$2:J509, $B$2:B509, B509)</f>
        <v>0.48033333333333333</v>
      </c>
      <c r="AK509" s="86">
        <f>AVERAGEIFS($D$2:D509, $B$2:B509, B509)</f>
        <v>0.4</v>
      </c>
    </row>
    <row r="510" spans="1:37" x14ac:dyDescent="0.25">
      <c r="A510" s="85">
        <v>46099</v>
      </c>
      <c r="B510" t="s">
        <v>28</v>
      </c>
      <c r="C510">
        <v>6</v>
      </c>
      <c r="D510">
        <v>1</v>
      </c>
      <c r="E510">
        <v>4</v>
      </c>
      <c r="F510">
        <v>3</v>
      </c>
      <c r="G510">
        <v>19</v>
      </c>
      <c r="H510">
        <v>11</v>
      </c>
      <c r="I510">
        <v>0.75</v>
      </c>
      <c r="J510">
        <v>0.57999999999999996</v>
      </c>
      <c r="K510">
        <v>0</v>
      </c>
      <c r="L510">
        <v>0</v>
      </c>
      <c r="M510">
        <v>0</v>
      </c>
      <c r="N510">
        <v>1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0</v>
      </c>
      <c r="AB510">
        <v>1</v>
      </c>
      <c r="AC510">
        <v>0</v>
      </c>
      <c r="AD510">
        <v>0</v>
      </c>
      <c r="AE510">
        <v>1</v>
      </c>
      <c r="AF510">
        <v>0</v>
      </c>
      <c r="AG510">
        <v>0</v>
      </c>
      <c r="AH510" s="86">
        <f>AVERAGEIFS($C$2:C510, $B$2:B510, B510)</f>
        <v>14</v>
      </c>
      <c r="AI510" s="86">
        <f>AVERAGEIFS($I$2:I510, $B$2:B510, B510)</f>
        <v>0.47285714285714286</v>
      </c>
      <c r="AJ510" s="86">
        <f>AVERAGEIFS($J$2:J510, $B$2:B510, B510)</f>
        <v>0.50142857142857145</v>
      </c>
      <c r="AK510" s="86">
        <f>AVERAGEIFS($D$2:D510, $B$2:B510, B510)</f>
        <v>0.42857142857142855</v>
      </c>
    </row>
    <row r="511" spans="1:37" x14ac:dyDescent="0.25">
      <c r="A511" s="85">
        <v>46099</v>
      </c>
      <c r="B511" t="s">
        <v>6</v>
      </c>
      <c r="C511">
        <v>27</v>
      </c>
      <c r="D511">
        <v>0</v>
      </c>
      <c r="E511">
        <v>4</v>
      </c>
      <c r="F511">
        <v>1</v>
      </c>
      <c r="G511">
        <v>19</v>
      </c>
      <c r="H511">
        <v>8</v>
      </c>
      <c r="I511">
        <v>0.25</v>
      </c>
      <c r="J511">
        <v>0.42</v>
      </c>
      <c r="K511">
        <v>0</v>
      </c>
      <c r="L511">
        <v>0</v>
      </c>
      <c r="M511">
        <v>0</v>
      </c>
      <c r="N511">
        <v>0</v>
      </c>
      <c r="O511">
        <v>1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>
        <v>0</v>
      </c>
      <c r="AH511" s="86">
        <f>AVERAGEIFS($C$2:C511, $B$2:B511, B511)</f>
        <v>22.575757575757574</v>
      </c>
      <c r="AI511" s="86">
        <f>AVERAGEIFS($I$2:I511, $B$2:B511, B511)</f>
        <v>0.60545454545454547</v>
      </c>
      <c r="AJ511" s="86">
        <f>AVERAGEIFS($J$2:J511, $B$2:B511, B511)</f>
        <v>0.55696969696969689</v>
      </c>
      <c r="AK511" s="86">
        <f>AVERAGEIFS($D$2:D511, $B$2:B511, B511)</f>
        <v>0.69696969696969702</v>
      </c>
    </row>
    <row r="512" spans="1:37" x14ac:dyDescent="0.25">
      <c r="A512" s="85">
        <v>46099</v>
      </c>
      <c r="B512" t="s">
        <v>42</v>
      </c>
      <c r="C512">
        <v>25</v>
      </c>
      <c r="D512">
        <v>0</v>
      </c>
      <c r="E512">
        <v>4</v>
      </c>
      <c r="F512">
        <v>1</v>
      </c>
      <c r="G512">
        <v>19</v>
      </c>
      <c r="H512">
        <v>8</v>
      </c>
      <c r="I512">
        <v>0.25</v>
      </c>
      <c r="J512">
        <v>0.42</v>
      </c>
      <c r="K512">
        <v>0</v>
      </c>
      <c r="L512">
        <v>0</v>
      </c>
      <c r="M512">
        <v>0</v>
      </c>
      <c r="N512">
        <v>0</v>
      </c>
      <c r="O512">
        <v>1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v>0</v>
      </c>
      <c r="AH512" s="86">
        <f>AVERAGEIFS($C$2:C512, $B$2:B512, B512)</f>
        <v>17.315789473684209</v>
      </c>
      <c r="AI512" s="86">
        <f>AVERAGEIFS($I$2:I512, $B$2:B512, B512)</f>
        <v>0.37894736842105264</v>
      </c>
      <c r="AJ512" s="86">
        <f>AVERAGEIFS($J$2:J512, $B$2:B512, B512)</f>
        <v>0.41684210526315779</v>
      </c>
      <c r="AK512" s="86">
        <f>AVERAGEIFS($D$2:D512, $B$2:B512, B512)</f>
        <v>0.36842105263157893</v>
      </c>
    </row>
    <row r="513" spans="1:37" x14ac:dyDescent="0.25">
      <c r="A513" s="85">
        <v>46099</v>
      </c>
      <c r="B513" t="s">
        <v>146</v>
      </c>
      <c r="C513">
        <v>18</v>
      </c>
      <c r="D513">
        <v>0</v>
      </c>
      <c r="E513">
        <v>4</v>
      </c>
      <c r="F513">
        <v>1</v>
      </c>
      <c r="G513">
        <v>19</v>
      </c>
      <c r="H513">
        <v>8</v>
      </c>
      <c r="I513">
        <v>0.25</v>
      </c>
      <c r="J513">
        <v>0.42</v>
      </c>
      <c r="K513">
        <v>0</v>
      </c>
      <c r="L513">
        <v>0</v>
      </c>
      <c r="M513">
        <v>0</v>
      </c>
      <c r="N513">
        <v>0</v>
      </c>
      <c r="O513">
        <v>1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>
        <v>0</v>
      </c>
      <c r="AH513" s="86">
        <f>AVERAGEIFS($C$2:C513, $B$2:B513, B513)</f>
        <v>8.75</v>
      </c>
      <c r="AI513" s="86">
        <f>AVERAGEIFS($I$2:I513, $B$2:B513, B513)</f>
        <v>0.375</v>
      </c>
      <c r="AJ513" s="86">
        <f>AVERAGEIFS($J$2:J513, $B$2:B513, B513)</f>
        <v>0.37499999999999994</v>
      </c>
      <c r="AK513" s="86">
        <f>AVERAGEIFS($D$2:D513, $B$2:B513, B513)</f>
        <v>0.25</v>
      </c>
    </row>
    <row r="514" spans="1:37" x14ac:dyDescent="0.25">
      <c r="A514" s="85">
        <v>46099</v>
      </c>
      <c r="B514" t="s">
        <v>44</v>
      </c>
      <c r="C514">
        <v>16</v>
      </c>
      <c r="D514">
        <v>0</v>
      </c>
      <c r="E514">
        <v>4</v>
      </c>
      <c r="F514">
        <v>1</v>
      </c>
      <c r="G514">
        <v>19</v>
      </c>
      <c r="H514">
        <v>8</v>
      </c>
      <c r="I514">
        <v>0.25</v>
      </c>
      <c r="J514">
        <v>0.42</v>
      </c>
      <c r="K514">
        <v>0</v>
      </c>
      <c r="L514">
        <v>0</v>
      </c>
      <c r="M514">
        <v>0</v>
      </c>
      <c r="N514">
        <v>0</v>
      </c>
      <c r="O514">
        <v>1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v>0</v>
      </c>
      <c r="AH514" s="86">
        <f>AVERAGEIFS($C$2:C514, $B$2:B514, B514)</f>
        <v>16.9375</v>
      </c>
      <c r="AI514" s="86">
        <f>AVERAGEIFS($I$2:I514, $B$2:B514, B514)</f>
        <v>0.48124999999999996</v>
      </c>
      <c r="AJ514" s="86">
        <f>AVERAGEIFS($J$2:J514, $B$2:B514, B514)</f>
        <v>0.50937500000000002</v>
      </c>
      <c r="AK514" s="86">
        <f>AVERAGEIFS($D$2:D514, $B$2:B514, B514)</f>
        <v>0.5625</v>
      </c>
    </row>
    <row r="515" spans="1:37" x14ac:dyDescent="0.25">
      <c r="A515" s="85">
        <v>46099</v>
      </c>
      <c r="B515" t="s">
        <v>25</v>
      </c>
      <c r="C515">
        <v>15</v>
      </c>
      <c r="D515">
        <v>0</v>
      </c>
      <c r="E515">
        <v>4</v>
      </c>
      <c r="F515">
        <v>1</v>
      </c>
      <c r="G515">
        <v>19</v>
      </c>
      <c r="H515">
        <v>8</v>
      </c>
      <c r="I515">
        <v>0.25</v>
      </c>
      <c r="J515">
        <v>0.42</v>
      </c>
      <c r="K515">
        <v>0</v>
      </c>
      <c r="L515">
        <v>0</v>
      </c>
      <c r="M515">
        <v>0</v>
      </c>
      <c r="N515">
        <v>0</v>
      </c>
      <c r="O515">
        <v>1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>
        <v>0</v>
      </c>
      <c r="AH515" s="86">
        <f>AVERAGEIFS($C$2:C515, $B$2:B515, B515)</f>
        <v>9.6666666666666661</v>
      </c>
      <c r="AI515" s="86">
        <f>AVERAGEIFS($I$2:I515, $B$2:B515, B515)</f>
        <v>0.66666666666666663</v>
      </c>
      <c r="AJ515" s="86">
        <f>AVERAGEIFS($J$2:J515, $B$2:B515, B515)</f>
        <v>0.63833333333333331</v>
      </c>
      <c r="AK515" s="86">
        <f>AVERAGEIFS($D$2:D515, $B$2:B515, B515)</f>
        <v>0.66666666666666663</v>
      </c>
    </row>
    <row r="516" spans="1:37" x14ac:dyDescent="0.25">
      <c r="A516" s="85">
        <v>46099</v>
      </c>
      <c r="B516" t="s">
        <v>45</v>
      </c>
      <c r="C516">
        <v>14</v>
      </c>
      <c r="D516">
        <v>0</v>
      </c>
      <c r="E516">
        <v>4</v>
      </c>
      <c r="F516">
        <v>1</v>
      </c>
      <c r="G516">
        <v>19</v>
      </c>
      <c r="H516">
        <v>8</v>
      </c>
      <c r="I516">
        <v>0.25</v>
      </c>
      <c r="J516">
        <v>0.42</v>
      </c>
      <c r="K516">
        <v>0</v>
      </c>
      <c r="L516">
        <v>0</v>
      </c>
      <c r="M516">
        <v>0</v>
      </c>
      <c r="N516">
        <v>0</v>
      </c>
      <c r="O516">
        <v>1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>
        <v>0</v>
      </c>
      <c r="AH516" s="86">
        <f>AVERAGEIFS($C$2:C516, $B$2:B516, B516)</f>
        <v>9.4285714285714288</v>
      </c>
      <c r="AI516" s="86">
        <f>AVERAGEIFS($I$2:I516, $B$2:B516, B516)</f>
        <v>0.45999999999999996</v>
      </c>
      <c r="AJ516" s="86">
        <f>AVERAGEIFS($J$2:J516, $B$2:B516, B516)</f>
        <v>0.48142857142857143</v>
      </c>
      <c r="AK516" s="86">
        <f>AVERAGEIFS($D$2:D516, $B$2:B516, B516)</f>
        <v>0.42857142857142855</v>
      </c>
    </row>
    <row r="517" spans="1:37" x14ac:dyDescent="0.25">
      <c r="A517" s="85">
        <v>46099</v>
      </c>
      <c r="B517" t="s">
        <v>150</v>
      </c>
      <c r="C517">
        <v>14</v>
      </c>
      <c r="D517">
        <v>0</v>
      </c>
      <c r="E517">
        <v>4</v>
      </c>
      <c r="F517">
        <v>1</v>
      </c>
      <c r="G517">
        <v>19</v>
      </c>
      <c r="H517">
        <v>8</v>
      </c>
      <c r="I517">
        <v>0.25</v>
      </c>
      <c r="J517">
        <v>0.42</v>
      </c>
      <c r="K517">
        <v>0</v>
      </c>
      <c r="L517">
        <v>0</v>
      </c>
      <c r="M517">
        <v>0</v>
      </c>
      <c r="N517">
        <v>0</v>
      </c>
      <c r="O517">
        <v>1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>
        <v>0</v>
      </c>
      <c r="AH517" s="86">
        <f>AVERAGEIFS($C$2:C517, $B$2:B517, B517)</f>
        <v>11.5</v>
      </c>
      <c r="AI517" s="86">
        <f>AVERAGEIFS($I$2:I517, $B$2:B517, B517)</f>
        <v>0.5</v>
      </c>
      <c r="AJ517" s="86">
        <f>AVERAGEIFS($J$2:J517, $B$2:B517, B517)</f>
        <v>0.53</v>
      </c>
      <c r="AK517" s="86">
        <f>AVERAGEIFS($D$2:D517, $B$2:B517, B517)</f>
        <v>0.5</v>
      </c>
    </row>
    <row r="518" spans="1:37" x14ac:dyDescent="0.25">
      <c r="A518" s="85">
        <v>46099</v>
      </c>
      <c r="B518" t="s">
        <v>50</v>
      </c>
      <c r="C518">
        <v>11</v>
      </c>
      <c r="D518">
        <v>0</v>
      </c>
      <c r="E518">
        <v>4</v>
      </c>
      <c r="F518">
        <v>1</v>
      </c>
      <c r="G518">
        <v>19</v>
      </c>
      <c r="H518">
        <v>8</v>
      </c>
      <c r="I518">
        <v>0.25</v>
      </c>
      <c r="J518">
        <v>0.42</v>
      </c>
      <c r="K518">
        <v>0</v>
      </c>
      <c r="L518">
        <v>0</v>
      </c>
      <c r="M518">
        <v>0</v>
      </c>
      <c r="N518">
        <v>0</v>
      </c>
      <c r="O518">
        <v>1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>
        <v>0</v>
      </c>
      <c r="AH518" s="86">
        <f>AVERAGEIFS($C$2:C518, $B$2:B518, B518)</f>
        <v>18.777777777777779</v>
      </c>
      <c r="AI518" s="86">
        <f>AVERAGEIFS($I$2:I518, $B$2:B518, B518)</f>
        <v>0.54740740740740745</v>
      </c>
      <c r="AJ518" s="86">
        <f>AVERAGEIFS($J$2:J518, $B$2:B518, B518)</f>
        <v>0.54629629629629628</v>
      </c>
      <c r="AK518" s="86">
        <f>AVERAGEIFS($D$2:D518, $B$2:B518, B518)</f>
        <v>0.55555555555555558</v>
      </c>
    </row>
    <row r="519" spans="1:37" x14ac:dyDescent="0.25">
      <c r="A519" s="85">
        <v>46100</v>
      </c>
      <c r="B519" t="s">
        <v>54</v>
      </c>
      <c r="C519">
        <v>27</v>
      </c>
      <c r="D519">
        <v>1</v>
      </c>
      <c r="E519">
        <v>5</v>
      </c>
      <c r="F519">
        <v>3</v>
      </c>
      <c r="G519">
        <v>20</v>
      </c>
      <c r="H519">
        <v>11</v>
      </c>
      <c r="I519">
        <v>0.6</v>
      </c>
      <c r="J519">
        <v>0.55000000000000004</v>
      </c>
      <c r="K519">
        <v>0</v>
      </c>
      <c r="L519">
        <v>0</v>
      </c>
      <c r="M519">
        <v>0</v>
      </c>
      <c r="N519">
        <v>1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1</v>
      </c>
      <c r="AA519">
        <v>0</v>
      </c>
      <c r="AB519">
        <v>0</v>
      </c>
      <c r="AC519">
        <v>1</v>
      </c>
      <c r="AD519">
        <v>0</v>
      </c>
      <c r="AE519">
        <v>0</v>
      </c>
      <c r="AF519">
        <v>0</v>
      </c>
      <c r="AG519">
        <v>0</v>
      </c>
      <c r="AH519" s="86">
        <f>AVERAGEIFS($C$2:C519, $B$2:B519, B519)</f>
        <v>24.361111111111111</v>
      </c>
      <c r="AI519" s="86">
        <f>AVERAGEIFS($I$2:I519, $B$2:B519, B519)</f>
        <v>0.52</v>
      </c>
      <c r="AJ519" s="86">
        <f>AVERAGEIFS($J$2:J519, $B$2:B519, B519)</f>
        <v>0.505</v>
      </c>
      <c r="AK519" s="86">
        <f>AVERAGEIFS($D$2:D519, $B$2:B519, B519)</f>
        <v>0.52777777777777779</v>
      </c>
    </row>
    <row r="520" spans="1:37" x14ac:dyDescent="0.25">
      <c r="A520" s="85">
        <v>46100</v>
      </c>
      <c r="B520" t="s">
        <v>6</v>
      </c>
      <c r="C520">
        <v>19</v>
      </c>
      <c r="D520">
        <v>1</v>
      </c>
      <c r="E520">
        <v>5</v>
      </c>
      <c r="F520">
        <v>3</v>
      </c>
      <c r="G520">
        <v>20</v>
      </c>
      <c r="H520">
        <v>11</v>
      </c>
      <c r="I520">
        <v>0.6</v>
      </c>
      <c r="J520">
        <v>0.55000000000000004</v>
      </c>
      <c r="K520">
        <v>0</v>
      </c>
      <c r="L520">
        <v>0</v>
      </c>
      <c r="M520">
        <v>0</v>
      </c>
      <c r="N520">
        <v>1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1</v>
      </c>
      <c r="AA520">
        <v>0</v>
      </c>
      <c r="AB520">
        <v>0</v>
      </c>
      <c r="AC520">
        <v>1</v>
      </c>
      <c r="AD520">
        <v>0</v>
      </c>
      <c r="AE520">
        <v>0</v>
      </c>
      <c r="AF520">
        <v>0</v>
      </c>
      <c r="AG520">
        <v>0</v>
      </c>
      <c r="AH520" s="86">
        <f>AVERAGEIFS($C$2:C520, $B$2:B520, B520)</f>
        <v>22.470588235294116</v>
      </c>
      <c r="AI520" s="86">
        <f>AVERAGEIFS($I$2:I520, $B$2:B520, B520)</f>
        <v>0.60529411764705887</v>
      </c>
      <c r="AJ520" s="86">
        <f>AVERAGEIFS($J$2:J520, $B$2:B520, B520)</f>
        <v>0.55676470588235294</v>
      </c>
      <c r="AK520" s="86">
        <f>AVERAGEIFS($D$2:D520, $B$2:B520, B520)</f>
        <v>0.70588235294117652</v>
      </c>
    </row>
    <row r="521" spans="1:37" x14ac:dyDescent="0.25">
      <c r="A521" s="85">
        <v>46100</v>
      </c>
      <c r="B521" t="s">
        <v>107</v>
      </c>
      <c r="C521">
        <v>21</v>
      </c>
      <c r="D521">
        <v>1</v>
      </c>
      <c r="E521">
        <v>5</v>
      </c>
      <c r="F521">
        <v>3</v>
      </c>
      <c r="G521">
        <v>20</v>
      </c>
      <c r="H521">
        <v>11</v>
      </c>
      <c r="I521">
        <v>0.6</v>
      </c>
      <c r="J521">
        <v>0.55000000000000004</v>
      </c>
      <c r="K521">
        <v>0</v>
      </c>
      <c r="L521">
        <v>0</v>
      </c>
      <c r="M521">
        <v>0</v>
      </c>
      <c r="N521">
        <v>1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1</v>
      </c>
      <c r="AA521">
        <v>0</v>
      </c>
      <c r="AB521">
        <v>0</v>
      </c>
      <c r="AC521">
        <v>1</v>
      </c>
      <c r="AD521">
        <v>0</v>
      </c>
      <c r="AE521">
        <v>0</v>
      </c>
      <c r="AF521">
        <v>0</v>
      </c>
      <c r="AG521">
        <v>0</v>
      </c>
      <c r="AH521" s="86">
        <f>AVERAGEIFS($C$2:C521, $B$2:B521, B521)</f>
        <v>15</v>
      </c>
      <c r="AI521" s="86">
        <f>AVERAGEIFS($I$2:I521, $B$2:B521, B521)</f>
        <v>0.65277777777777768</v>
      </c>
      <c r="AJ521" s="86">
        <f>AVERAGEIFS($J$2:J521, $B$2:B521, B521)</f>
        <v>0.57833333333333348</v>
      </c>
      <c r="AK521" s="86">
        <f>AVERAGEIFS($D$2:D521, $B$2:B521, B521)</f>
        <v>0.72222222222222221</v>
      </c>
    </row>
    <row r="522" spans="1:37" x14ac:dyDescent="0.25">
      <c r="A522" s="85">
        <v>46100</v>
      </c>
      <c r="B522" t="s">
        <v>42</v>
      </c>
      <c r="C522">
        <v>19</v>
      </c>
      <c r="D522">
        <v>1</v>
      </c>
      <c r="E522">
        <v>5</v>
      </c>
      <c r="F522">
        <v>3</v>
      </c>
      <c r="G522">
        <v>20</v>
      </c>
      <c r="H522">
        <v>11</v>
      </c>
      <c r="I522">
        <v>0.6</v>
      </c>
      <c r="J522">
        <v>0.55000000000000004</v>
      </c>
      <c r="K522">
        <v>0</v>
      </c>
      <c r="L522">
        <v>0</v>
      </c>
      <c r="M522">
        <v>0</v>
      </c>
      <c r="N522">
        <v>1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1</v>
      </c>
      <c r="AA522">
        <v>0</v>
      </c>
      <c r="AB522">
        <v>0</v>
      </c>
      <c r="AC522">
        <v>1</v>
      </c>
      <c r="AD522">
        <v>0</v>
      </c>
      <c r="AE522">
        <v>0</v>
      </c>
      <c r="AF522">
        <v>0</v>
      </c>
      <c r="AG522">
        <v>0</v>
      </c>
      <c r="AH522" s="86">
        <f>AVERAGEIFS($C$2:C522, $B$2:B522, B522)</f>
        <v>17.399999999999999</v>
      </c>
      <c r="AI522" s="86">
        <f>AVERAGEIFS($I$2:I522, $B$2:B522, B522)</f>
        <v>0.39</v>
      </c>
      <c r="AJ522" s="86">
        <f>AVERAGEIFS($J$2:J522, $B$2:B522, B522)</f>
        <v>0.42349999999999993</v>
      </c>
      <c r="AK522" s="86">
        <f>AVERAGEIFS($D$2:D522, $B$2:B522, B522)</f>
        <v>0.4</v>
      </c>
    </row>
    <row r="523" spans="1:37" x14ac:dyDescent="0.25">
      <c r="A523" s="85">
        <v>46100</v>
      </c>
      <c r="B523" t="s">
        <v>140</v>
      </c>
      <c r="C523">
        <v>18</v>
      </c>
      <c r="D523">
        <v>1</v>
      </c>
      <c r="E523">
        <v>5</v>
      </c>
      <c r="F523">
        <v>3</v>
      </c>
      <c r="G523">
        <v>20</v>
      </c>
      <c r="H523">
        <v>11</v>
      </c>
      <c r="I523">
        <v>0.6</v>
      </c>
      <c r="J523">
        <v>0.55000000000000004</v>
      </c>
      <c r="K523">
        <v>0</v>
      </c>
      <c r="L523">
        <v>0</v>
      </c>
      <c r="M523">
        <v>0</v>
      </c>
      <c r="N523">
        <v>1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1</v>
      </c>
      <c r="AA523">
        <v>0</v>
      </c>
      <c r="AB523">
        <v>0</v>
      </c>
      <c r="AC523">
        <v>1</v>
      </c>
      <c r="AD523">
        <v>0</v>
      </c>
      <c r="AE523">
        <v>0</v>
      </c>
      <c r="AF523">
        <v>0</v>
      </c>
      <c r="AG523">
        <v>0</v>
      </c>
      <c r="AH523" s="86">
        <f>AVERAGEIFS($C$2:C523, $B$2:B523, B523)</f>
        <v>13.333333333333334</v>
      </c>
      <c r="AI523" s="86">
        <f>AVERAGEIFS($I$2:I523, $B$2:B523, B523)</f>
        <v>0.53333333333333333</v>
      </c>
      <c r="AJ523" s="86">
        <f>AVERAGEIFS($J$2:J523, $B$2:B523, B523)</f>
        <v>0.49000000000000005</v>
      </c>
      <c r="AK523" s="86">
        <f>AVERAGEIFS($D$2:D523, $B$2:B523, B523)</f>
        <v>0.66666666666666663</v>
      </c>
    </row>
    <row r="524" spans="1:37" x14ac:dyDescent="0.25">
      <c r="A524" s="85">
        <v>46100</v>
      </c>
      <c r="B524" t="s">
        <v>147</v>
      </c>
      <c r="C524">
        <v>17</v>
      </c>
      <c r="D524">
        <v>1</v>
      </c>
      <c r="E524">
        <v>5</v>
      </c>
      <c r="F524">
        <v>3</v>
      </c>
      <c r="G524">
        <v>20</v>
      </c>
      <c r="H524">
        <v>11</v>
      </c>
      <c r="I524">
        <v>0.6</v>
      </c>
      <c r="J524">
        <v>0.55000000000000004</v>
      </c>
      <c r="K524">
        <v>0</v>
      </c>
      <c r="L524">
        <v>0</v>
      </c>
      <c r="M524">
        <v>0</v>
      </c>
      <c r="N524">
        <v>1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1</v>
      </c>
      <c r="AA524">
        <v>0</v>
      </c>
      <c r="AB524">
        <v>0</v>
      </c>
      <c r="AC524">
        <v>1</v>
      </c>
      <c r="AD524">
        <v>0</v>
      </c>
      <c r="AE524">
        <v>0</v>
      </c>
      <c r="AF524">
        <v>0</v>
      </c>
      <c r="AG524">
        <v>0</v>
      </c>
      <c r="AH524" s="86">
        <f>AVERAGEIFS($C$2:C524, $B$2:B524, B524)</f>
        <v>7.2222222222222223</v>
      </c>
      <c r="AI524" s="86">
        <f>AVERAGEIFS($I$2:I524, $B$2:B524, B524)</f>
        <v>0.54999999999999993</v>
      </c>
      <c r="AJ524" s="86">
        <f>AVERAGEIFS($J$2:J524, $B$2:B524, B524)</f>
        <v>0.54555555555555546</v>
      </c>
      <c r="AK524" s="86">
        <f>AVERAGEIFS($D$2:D524, $B$2:B524, B524)</f>
        <v>0.66666666666666663</v>
      </c>
    </row>
    <row r="525" spans="1:37" x14ac:dyDescent="0.25">
      <c r="A525" s="85">
        <v>46100</v>
      </c>
      <c r="B525" t="s">
        <v>1</v>
      </c>
      <c r="C525">
        <v>26</v>
      </c>
      <c r="D525">
        <v>0</v>
      </c>
      <c r="E525">
        <v>5</v>
      </c>
      <c r="F525">
        <v>2</v>
      </c>
      <c r="G525">
        <v>20</v>
      </c>
      <c r="H525">
        <v>9</v>
      </c>
      <c r="I525">
        <v>0.4</v>
      </c>
      <c r="J525">
        <v>0.45</v>
      </c>
      <c r="K525">
        <v>0</v>
      </c>
      <c r="L525">
        <v>0</v>
      </c>
      <c r="M525">
        <v>0</v>
      </c>
      <c r="N525">
        <v>0</v>
      </c>
      <c r="O525">
        <v>1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1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>
        <v>0</v>
      </c>
      <c r="AH525" s="86">
        <f>AVERAGEIFS($C$2:C525, $B$2:B525, B525)</f>
        <v>26.411764705882351</v>
      </c>
      <c r="AI525" s="86">
        <f>AVERAGEIFS($I$2:I525, $B$2:B525, B525)</f>
        <v>0.40294117647058825</v>
      </c>
      <c r="AJ525" s="86">
        <f>AVERAGEIFS($J$2:J525, $B$2:B525, B525)</f>
        <v>0.4323529411764705</v>
      </c>
      <c r="AK525" s="86">
        <f>AVERAGEIFS($D$2:D525, $B$2:B525, B525)</f>
        <v>0.41176470588235292</v>
      </c>
    </row>
    <row r="526" spans="1:37" x14ac:dyDescent="0.25">
      <c r="A526" s="85">
        <v>46100</v>
      </c>
      <c r="B526" t="s">
        <v>52</v>
      </c>
      <c r="C526">
        <v>29</v>
      </c>
      <c r="D526">
        <v>0</v>
      </c>
      <c r="E526">
        <v>5</v>
      </c>
      <c r="F526">
        <v>2</v>
      </c>
      <c r="G526">
        <v>20</v>
      </c>
      <c r="H526">
        <v>9</v>
      </c>
      <c r="I526">
        <v>0.4</v>
      </c>
      <c r="J526">
        <v>0.45</v>
      </c>
      <c r="K526">
        <v>0</v>
      </c>
      <c r="L526">
        <v>0</v>
      </c>
      <c r="M526">
        <v>0</v>
      </c>
      <c r="N526">
        <v>0</v>
      </c>
      <c r="O526">
        <v>1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1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>
        <v>0</v>
      </c>
      <c r="AH526" s="86">
        <f>AVERAGEIFS($C$2:C526, $B$2:B526, B526)</f>
        <v>14.909090909090908</v>
      </c>
      <c r="AI526" s="86">
        <f>AVERAGEIFS($I$2:I526, $B$2:B526, B526)</f>
        <v>0.43636363636363645</v>
      </c>
      <c r="AJ526" s="86">
        <f>AVERAGEIFS($J$2:J526, $B$2:B526, B526)</f>
        <v>0.44818181818181824</v>
      </c>
      <c r="AK526" s="86">
        <f>AVERAGEIFS($D$2:D526, $B$2:B526, B526)</f>
        <v>0.27272727272727271</v>
      </c>
    </row>
    <row r="527" spans="1:37" x14ac:dyDescent="0.25">
      <c r="A527" s="85">
        <v>46100</v>
      </c>
      <c r="B527" t="s">
        <v>38</v>
      </c>
      <c r="C527">
        <v>11</v>
      </c>
      <c r="D527">
        <v>0</v>
      </c>
      <c r="E527">
        <v>5</v>
      </c>
      <c r="F527">
        <v>2</v>
      </c>
      <c r="G527">
        <v>20</v>
      </c>
      <c r="H527">
        <v>9</v>
      </c>
      <c r="I527">
        <v>0.4</v>
      </c>
      <c r="J527">
        <v>0.45</v>
      </c>
      <c r="K527">
        <v>0</v>
      </c>
      <c r="L527">
        <v>0</v>
      </c>
      <c r="M527">
        <v>0</v>
      </c>
      <c r="N527">
        <v>0</v>
      </c>
      <c r="O527">
        <v>1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1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>
        <v>0</v>
      </c>
      <c r="AH527" s="86">
        <f>AVERAGEIFS($C$2:C527, $B$2:B527, B527)</f>
        <v>4.5999999999999996</v>
      </c>
      <c r="AI527" s="86">
        <f>AVERAGEIFS($I$2:I527, $B$2:B527, B527)</f>
        <v>0.43</v>
      </c>
      <c r="AJ527" s="86">
        <f>AVERAGEIFS($J$2:J527, $B$2:B527, B527)</f>
        <v>0.43600000000000005</v>
      </c>
      <c r="AK527" s="86">
        <f>AVERAGEIFS($D$2:D527, $B$2:B527, B527)</f>
        <v>0.4</v>
      </c>
    </row>
    <row r="528" spans="1:37" x14ac:dyDescent="0.25">
      <c r="A528" s="85">
        <v>46100</v>
      </c>
      <c r="B528" t="s">
        <v>28</v>
      </c>
      <c r="C528">
        <v>16</v>
      </c>
      <c r="D528">
        <v>0</v>
      </c>
      <c r="E528">
        <v>5</v>
      </c>
      <c r="F528">
        <v>2</v>
      </c>
      <c r="G528">
        <v>20</v>
      </c>
      <c r="H528">
        <v>9</v>
      </c>
      <c r="I528">
        <v>0.4</v>
      </c>
      <c r="J528">
        <v>0.45</v>
      </c>
      <c r="K528">
        <v>0</v>
      </c>
      <c r="L528">
        <v>0</v>
      </c>
      <c r="M528">
        <v>0</v>
      </c>
      <c r="N528">
        <v>0</v>
      </c>
      <c r="O528">
        <v>1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1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>
        <v>0</v>
      </c>
      <c r="AH528" s="86">
        <f>AVERAGEIFS($C$2:C528, $B$2:B528, B528)</f>
        <v>14.090909090909092</v>
      </c>
      <c r="AI528" s="86">
        <f>AVERAGEIFS($I$2:I528, $B$2:B528, B528)</f>
        <v>0.46954545454545454</v>
      </c>
      <c r="AJ528" s="86">
        <f>AVERAGEIFS($J$2:J528, $B$2:B528, B528)</f>
        <v>0.49909090909090903</v>
      </c>
      <c r="AK528" s="86">
        <f>AVERAGEIFS($D$2:D528, $B$2:B528, B528)</f>
        <v>0.40909090909090912</v>
      </c>
    </row>
    <row r="529" spans="1:37" x14ac:dyDescent="0.25">
      <c r="A529" s="85">
        <v>46100</v>
      </c>
      <c r="B529" t="s">
        <v>4</v>
      </c>
      <c r="C529">
        <v>31</v>
      </c>
      <c r="D529">
        <v>0</v>
      </c>
      <c r="E529">
        <v>5</v>
      </c>
      <c r="F529">
        <v>2</v>
      </c>
      <c r="G529">
        <v>20</v>
      </c>
      <c r="H529">
        <v>9</v>
      </c>
      <c r="I529">
        <v>0.4</v>
      </c>
      <c r="J529">
        <v>0.45</v>
      </c>
      <c r="K529">
        <v>0</v>
      </c>
      <c r="L529">
        <v>0</v>
      </c>
      <c r="M529">
        <v>0</v>
      </c>
      <c r="N529">
        <v>0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1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>
        <v>0</v>
      </c>
      <c r="AH529" s="86">
        <f>AVERAGEIFS($C$2:C529, $B$2:B529, B529)</f>
        <v>23.222222222222221</v>
      </c>
      <c r="AI529" s="86">
        <f>AVERAGEIFS($I$2:I529, $B$2:B529, B529)</f>
        <v>0.32500000000000001</v>
      </c>
      <c r="AJ529" s="86">
        <f>AVERAGEIFS($J$2:J529, $B$2:B529, B529)</f>
        <v>0.39499999999999996</v>
      </c>
      <c r="AK529" s="86">
        <f>AVERAGEIFS($D$2:D529, $B$2:B529, B529)</f>
        <v>0.16666666666666666</v>
      </c>
    </row>
    <row r="530" spans="1:37" x14ac:dyDescent="0.25">
      <c r="A530" s="85">
        <v>46100</v>
      </c>
      <c r="B530" t="s">
        <v>40</v>
      </c>
      <c r="C530">
        <v>16</v>
      </c>
      <c r="D530">
        <v>0</v>
      </c>
      <c r="E530">
        <v>5</v>
      </c>
      <c r="F530">
        <v>2</v>
      </c>
      <c r="G530">
        <v>20</v>
      </c>
      <c r="H530">
        <v>9</v>
      </c>
      <c r="I530">
        <v>0.4</v>
      </c>
      <c r="J530">
        <v>0.45</v>
      </c>
      <c r="K530">
        <v>0</v>
      </c>
      <c r="L530">
        <v>0</v>
      </c>
      <c r="M530">
        <v>0</v>
      </c>
      <c r="N530">
        <v>0</v>
      </c>
      <c r="O530">
        <v>1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1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>
        <v>0</v>
      </c>
      <c r="AH530" s="86">
        <f>AVERAGEIFS($C$2:C530, $B$2:B530, B530)</f>
        <v>17.0625</v>
      </c>
      <c r="AI530" s="86">
        <f>AVERAGEIFS($I$2:I530, $B$2:B530, B530)</f>
        <v>0.52500000000000002</v>
      </c>
      <c r="AJ530" s="86">
        <f>AVERAGEIFS($J$2:J530, $B$2:B530, B530)</f>
        <v>0.51093749999999993</v>
      </c>
      <c r="AK530" s="86">
        <f>AVERAGEIFS($D$2:D530, $B$2:B530, B530)</f>
        <v>0.5</v>
      </c>
    </row>
    <row r="531" spans="1:37" x14ac:dyDescent="0.25">
      <c r="A531" s="85">
        <v>46101</v>
      </c>
      <c r="B531" t="s">
        <v>40</v>
      </c>
      <c r="C531">
        <v>24</v>
      </c>
      <c r="D531">
        <v>0</v>
      </c>
      <c r="E531">
        <v>5</v>
      </c>
      <c r="F531">
        <v>2</v>
      </c>
      <c r="G531">
        <v>17</v>
      </c>
      <c r="H531">
        <v>6</v>
      </c>
      <c r="I531">
        <v>0.4</v>
      </c>
      <c r="J531">
        <v>0.35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1</v>
      </c>
      <c r="Z531">
        <v>0</v>
      </c>
      <c r="AA531">
        <v>0</v>
      </c>
      <c r="AB531">
        <v>0</v>
      </c>
      <c r="AC531">
        <v>0</v>
      </c>
      <c r="AD531">
        <v>0</v>
      </c>
      <c r="AE531">
        <v>1</v>
      </c>
      <c r="AF531">
        <v>0</v>
      </c>
      <c r="AG531">
        <v>0</v>
      </c>
      <c r="AH531" s="86">
        <f>AVERAGEIFS($C$2:C531, $B$2:B531, B531)</f>
        <v>17.272727272727273</v>
      </c>
      <c r="AI531" s="86">
        <f>AVERAGEIFS($I$2:I531, $B$2:B531, B531)</f>
        <v>0.52121212121212124</v>
      </c>
      <c r="AJ531" s="86">
        <f>AVERAGEIFS($J$2:J531, $B$2:B531, B531)</f>
        <v>0.50606060606060599</v>
      </c>
      <c r="AK531" s="86">
        <f>AVERAGEIFS($D$2:D531, $B$2:B531, B531)</f>
        <v>0.48484848484848486</v>
      </c>
    </row>
    <row r="532" spans="1:37" x14ac:dyDescent="0.25">
      <c r="A532" s="85">
        <v>46101</v>
      </c>
      <c r="B532" t="s">
        <v>54</v>
      </c>
      <c r="C532">
        <v>25</v>
      </c>
      <c r="D532">
        <v>0</v>
      </c>
      <c r="E532">
        <v>5</v>
      </c>
      <c r="F532">
        <v>2</v>
      </c>
      <c r="G532">
        <v>17</v>
      </c>
      <c r="H532">
        <v>6</v>
      </c>
      <c r="I532">
        <v>0.4</v>
      </c>
      <c r="J532">
        <v>0.35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1</v>
      </c>
      <c r="Z532">
        <v>0</v>
      </c>
      <c r="AA532">
        <v>0</v>
      </c>
      <c r="AB532">
        <v>0</v>
      </c>
      <c r="AC532">
        <v>0</v>
      </c>
      <c r="AD532">
        <v>0</v>
      </c>
      <c r="AE532">
        <v>1</v>
      </c>
      <c r="AF532">
        <v>0</v>
      </c>
      <c r="AG532">
        <v>0</v>
      </c>
      <c r="AH532" s="86">
        <f>AVERAGEIFS($C$2:C532, $B$2:B532, B532)</f>
        <v>24.378378378378379</v>
      </c>
      <c r="AI532" s="86">
        <f>AVERAGEIFS($I$2:I532, $B$2:B532, B532)</f>
        <v>0.51675675675675681</v>
      </c>
      <c r="AJ532" s="86">
        <f>AVERAGEIFS($J$2:J532, $B$2:B532, B532)</f>
        <v>0.5008108108108108</v>
      </c>
      <c r="AK532" s="86">
        <f>AVERAGEIFS($D$2:D532, $B$2:B532, B532)</f>
        <v>0.51351351351351349</v>
      </c>
    </row>
    <row r="533" spans="1:37" x14ac:dyDescent="0.25">
      <c r="A533" s="85">
        <v>46101</v>
      </c>
      <c r="B533" t="s">
        <v>42</v>
      </c>
      <c r="C533">
        <v>21</v>
      </c>
      <c r="D533">
        <v>0</v>
      </c>
      <c r="E533">
        <v>5</v>
      </c>
      <c r="F533">
        <v>2</v>
      </c>
      <c r="G533">
        <v>17</v>
      </c>
      <c r="H533">
        <v>6</v>
      </c>
      <c r="I533">
        <v>0.4</v>
      </c>
      <c r="J533">
        <v>0.35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1</v>
      </c>
      <c r="Z533">
        <v>0</v>
      </c>
      <c r="AA533">
        <v>0</v>
      </c>
      <c r="AB533">
        <v>0</v>
      </c>
      <c r="AC533">
        <v>0</v>
      </c>
      <c r="AD533">
        <v>0</v>
      </c>
      <c r="AE533">
        <v>1</v>
      </c>
      <c r="AF533">
        <v>0</v>
      </c>
      <c r="AG533">
        <v>0</v>
      </c>
      <c r="AH533" s="86">
        <f>AVERAGEIFS($C$2:C533, $B$2:B533, B533)</f>
        <v>17.571428571428573</v>
      </c>
      <c r="AI533" s="86">
        <f>AVERAGEIFS($I$2:I533, $B$2:B533, B533)</f>
        <v>0.39047619047619042</v>
      </c>
      <c r="AJ533" s="86">
        <f>AVERAGEIFS($J$2:J533, $B$2:B533, B533)</f>
        <v>0.41999999999999993</v>
      </c>
      <c r="AK533" s="86">
        <f>AVERAGEIFS($D$2:D533, $B$2:B533, B533)</f>
        <v>0.38095238095238093</v>
      </c>
    </row>
    <row r="534" spans="1:37" x14ac:dyDescent="0.25">
      <c r="A534" s="85">
        <v>46101</v>
      </c>
      <c r="B534" t="s">
        <v>71</v>
      </c>
      <c r="C534">
        <v>15</v>
      </c>
      <c r="D534">
        <v>0</v>
      </c>
      <c r="E534">
        <v>5</v>
      </c>
      <c r="F534">
        <v>2</v>
      </c>
      <c r="G534">
        <v>17</v>
      </c>
      <c r="H534">
        <v>6</v>
      </c>
      <c r="I534">
        <v>0.4</v>
      </c>
      <c r="J534">
        <v>0.35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1</v>
      </c>
      <c r="Z534">
        <v>0</v>
      </c>
      <c r="AA534">
        <v>0</v>
      </c>
      <c r="AB534">
        <v>0</v>
      </c>
      <c r="AC534">
        <v>0</v>
      </c>
      <c r="AD534">
        <v>0</v>
      </c>
      <c r="AE534">
        <v>1</v>
      </c>
      <c r="AF534">
        <v>0</v>
      </c>
      <c r="AG534">
        <v>0</v>
      </c>
      <c r="AH534" s="86">
        <f>AVERAGEIFS($C$2:C534, $B$2:B534, B534)</f>
        <v>12.818181818181818</v>
      </c>
      <c r="AI534" s="86">
        <f>AVERAGEIFS($I$2:I534, $B$2:B534, B534)</f>
        <v>0.46363636363636368</v>
      </c>
      <c r="AJ534" s="86">
        <f>AVERAGEIFS($J$2:J534, $B$2:B534, B534)</f>
        <v>0.47181818181818186</v>
      </c>
      <c r="AK534" s="86">
        <f>AVERAGEIFS($D$2:D534, $B$2:B534, B534)</f>
        <v>0.54545454545454541</v>
      </c>
    </row>
    <row r="535" spans="1:37" x14ac:dyDescent="0.25">
      <c r="A535" s="85">
        <v>46101</v>
      </c>
      <c r="B535" t="s">
        <v>150</v>
      </c>
      <c r="C535">
        <v>12</v>
      </c>
      <c r="D535">
        <v>0</v>
      </c>
      <c r="E535">
        <v>5</v>
      </c>
      <c r="F535">
        <v>2</v>
      </c>
      <c r="G535">
        <v>17</v>
      </c>
      <c r="H535">
        <v>6</v>
      </c>
      <c r="I535">
        <v>0.4</v>
      </c>
      <c r="J535">
        <v>0.35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1</v>
      </c>
      <c r="Z535">
        <v>0</v>
      </c>
      <c r="AA535">
        <v>0</v>
      </c>
      <c r="AB535">
        <v>0</v>
      </c>
      <c r="AC535">
        <v>0</v>
      </c>
      <c r="AD535">
        <v>0</v>
      </c>
      <c r="AE535">
        <v>1</v>
      </c>
      <c r="AF535">
        <v>0</v>
      </c>
      <c r="AG535">
        <v>0</v>
      </c>
      <c r="AH535" s="86">
        <f>AVERAGEIFS($C$2:C535, $B$2:B535, B535)</f>
        <v>11.666666666666666</v>
      </c>
      <c r="AI535" s="86">
        <f>AVERAGEIFS($I$2:I535, $B$2:B535, B535)</f>
        <v>0.46666666666666662</v>
      </c>
      <c r="AJ535" s="86">
        <f>AVERAGEIFS($J$2:J535, $B$2:B535, B535)</f>
        <v>0.47000000000000003</v>
      </c>
      <c r="AK535" s="86">
        <f>AVERAGEIFS($D$2:D535, $B$2:B535, B535)</f>
        <v>0.33333333333333331</v>
      </c>
    </row>
    <row r="536" spans="1:37" x14ac:dyDescent="0.25">
      <c r="A536" s="85">
        <v>46101</v>
      </c>
      <c r="B536" t="s">
        <v>147</v>
      </c>
      <c r="C536">
        <v>14</v>
      </c>
      <c r="D536">
        <v>0</v>
      </c>
      <c r="E536">
        <v>5</v>
      </c>
      <c r="F536">
        <v>2</v>
      </c>
      <c r="G536">
        <v>17</v>
      </c>
      <c r="H536">
        <v>6</v>
      </c>
      <c r="I536">
        <v>0.4</v>
      </c>
      <c r="J536">
        <v>0.35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1</v>
      </c>
      <c r="Z536">
        <v>0</v>
      </c>
      <c r="AA536">
        <v>0</v>
      </c>
      <c r="AB536">
        <v>0</v>
      </c>
      <c r="AC536">
        <v>0</v>
      </c>
      <c r="AD536">
        <v>0</v>
      </c>
      <c r="AE536">
        <v>1</v>
      </c>
      <c r="AF536">
        <v>0</v>
      </c>
      <c r="AG536">
        <v>0</v>
      </c>
      <c r="AH536" s="86">
        <f>AVERAGEIFS($C$2:C536, $B$2:B536, B536)</f>
        <v>7.9</v>
      </c>
      <c r="AI536" s="86">
        <f>AVERAGEIFS($I$2:I536, $B$2:B536, B536)</f>
        <v>0.53499999999999992</v>
      </c>
      <c r="AJ536" s="86">
        <f>AVERAGEIFS($J$2:J536, $B$2:B536, B536)</f>
        <v>0.52599999999999991</v>
      </c>
      <c r="AK536" s="86">
        <f>AVERAGEIFS($D$2:D536, $B$2:B536, B536)</f>
        <v>0.6</v>
      </c>
    </row>
    <row r="537" spans="1:37" x14ac:dyDescent="0.25">
      <c r="A537" s="85">
        <v>46101</v>
      </c>
      <c r="B537" t="s">
        <v>1</v>
      </c>
      <c r="C537">
        <v>21</v>
      </c>
      <c r="D537">
        <v>1</v>
      </c>
      <c r="E537">
        <v>5</v>
      </c>
      <c r="F537">
        <v>3</v>
      </c>
      <c r="G537">
        <v>17</v>
      </c>
      <c r="H537">
        <v>11</v>
      </c>
      <c r="I537">
        <v>0.6</v>
      </c>
      <c r="J537">
        <v>0.65</v>
      </c>
      <c r="K537">
        <v>0</v>
      </c>
      <c r="L537">
        <v>1</v>
      </c>
      <c r="M537">
        <v>1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  <c r="AG537">
        <v>1</v>
      </c>
      <c r="AH537" s="86">
        <f>AVERAGEIFS($C$2:C537, $B$2:B537, B537)</f>
        <v>26.111111111111111</v>
      </c>
      <c r="AI537" s="86">
        <f>AVERAGEIFS($I$2:I537, $B$2:B537, B537)</f>
        <v>0.41388888888888892</v>
      </c>
      <c r="AJ537" s="86">
        <f>AVERAGEIFS($J$2:J537, $B$2:B537, B537)</f>
        <v>0.44444444444444442</v>
      </c>
      <c r="AK537" s="86">
        <f>AVERAGEIFS($D$2:D537, $B$2:B537, B537)</f>
        <v>0.44444444444444442</v>
      </c>
    </row>
    <row r="538" spans="1:37" x14ac:dyDescent="0.25">
      <c r="A538" s="85">
        <v>46101</v>
      </c>
      <c r="B538" t="s">
        <v>6</v>
      </c>
      <c r="C538">
        <v>31</v>
      </c>
      <c r="D538">
        <v>1</v>
      </c>
      <c r="E538">
        <v>5</v>
      </c>
      <c r="F538">
        <v>3</v>
      </c>
      <c r="G538">
        <v>17</v>
      </c>
      <c r="H538">
        <v>11</v>
      </c>
      <c r="I538">
        <v>0.6</v>
      </c>
      <c r="J538">
        <v>0.65</v>
      </c>
      <c r="K538">
        <v>0</v>
      </c>
      <c r="L538">
        <v>1</v>
      </c>
      <c r="M538">
        <v>1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1</v>
      </c>
      <c r="AH538" s="86">
        <f>AVERAGEIFS($C$2:C538, $B$2:B538, B538)</f>
        <v>22.714285714285715</v>
      </c>
      <c r="AI538" s="86">
        <f>AVERAGEIFS($I$2:I538, $B$2:B538, B538)</f>
        <v>0.6051428571428572</v>
      </c>
      <c r="AJ538" s="86">
        <f>AVERAGEIFS($J$2:J538, $B$2:B538, B538)</f>
        <v>0.55942857142857139</v>
      </c>
      <c r="AK538" s="86">
        <f>AVERAGEIFS($D$2:D538, $B$2:B538, B538)</f>
        <v>0.7142857142857143</v>
      </c>
    </row>
    <row r="539" spans="1:37" x14ac:dyDescent="0.25">
      <c r="A539" s="85">
        <v>46101</v>
      </c>
      <c r="B539" t="s">
        <v>46</v>
      </c>
      <c r="C539">
        <v>23</v>
      </c>
      <c r="D539">
        <v>1</v>
      </c>
      <c r="E539">
        <v>5</v>
      </c>
      <c r="F539">
        <v>3</v>
      </c>
      <c r="G539">
        <v>17</v>
      </c>
      <c r="H539">
        <v>11</v>
      </c>
      <c r="I539">
        <v>0.6</v>
      </c>
      <c r="J539">
        <v>0.65</v>
      </c>
      <c r="K539">
        <v>0</v>
      </c>
      <c r="L539">
        <v>1</v>
      </c>
      <c r="M539">
        <v>1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1</v>
      </c>
      <c r="AH539" s="86">
        <f>AVERAGEIFS($C$2:C539, $B$2:B539, B539)</f>
        <v>19.789473684210527</v>
      </c>
      <c r="AI539" s="86">
        <f>AVERAGEIFS($I$2:I539, $B$2:B539, B539)</f>
        <v>0.46842105263157885</v>
      </c>
      <c r="AJ539" s="86">
        <f>AVERAGEIFS($J$2:J539, $B$2:B539, B539)</f>
        <v>0.48684210526315791</v>
      </c>
      <c r="AK539" s="86">
        <f>AVERAGEIFS($D$2:D539, $B$2:B539, B539)</f>
        <v>0.42105263157894735</v>
      </c>
    </row>
    <row r="540" spans="1:37" x14ac:dyDescent="0.25">
      <c r="A540" s="85">
        <v>46101</v>
      </c>
      <c r="B540" t="s">
        <v>140</v>
      </c>
      <c r="C540">
        <v>23</v>
      </c>
      <c r="D540">
        <v>1</v>
      </c>
      <c r="E540">
        <v>5</v>
      </c>
      <c r="F540">
        <v>3</v>
      </c>
      <c r="G540">
        <v>17</v>
      </c>
      <c r="H540">
        <v>11</v>
      </c>
      <c r="I540">
        <v>0.6</v>
      </c>
      <c r="J540">
        <v>0.65</v>
      </c>
      <c r="K540">
        <v>0</v>
      </c>
      <c r="L540">
        <v>1</v>
      </c>
      <c r="M540">
        <v>1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0</v>
      </c>
      <c r="AG540">
        <v>1</v>
      </c>
      <c r="AH540" s="86">
        <f>AVERAGEIFS($C$2:C540, $B$2:B540, B540)</f>
        <v>15.75</v>
      </c>
      <c r="AI540" s="86">
        <f>AVERAGEIFS($I$2:I540, $B$2:B540, B540)</f>
        <v>0.55000000000000004</v>
      </c>
      <c r="AJ540" s="86">
        <f>AVERAGEIFS($J$2:J540, $B$2:B540, B540)</f>
        <v>0.53</v>
      </c>
      <c r="AK540" s="86">
        <f>AVERAGEIFS($D$2:D540, $B$2:B540, B540)</f>
        <v>0.75</v>
      </c>
    </row>
    <row r="541" spans="1:37" x14ac:dyDescent="0.25">
      <c r="A541" s="85">
        <v>46101</v>
      </c>
      <c r="B541" t="s">
        <v>44</v>
      </c>
      <c r="C541">
        <v>9</v>
      </c>
      <c r="D541">
        <v>1</v>
      </c>
      <c r="E541">
        <v>5</v>
      </c>
      <c r="F541">
        <v>3</v>
      </c>
      <c r="G541">
        <v>17</v>
      </c>
      <c r="H541">
        <v>11</v>
      </c>
      <c r="I541">
        <v>0.6</v>
      </c>
      <c r="J541">
        <v>0.65</v>
      </c>
      <c r="K541">
        <v>0</v>
      </c>
      <c r="L541">
        <v>1</v>
      </c>
      <c r="M541">
        <v>1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0</v>
      </c>
      <c r="AG541">
        <v>1</v>
      </c>
      <c r="AH541" s="86">
        <f>AVERAGEIFS($C$2:C541, $B$2:B541, B541)</f>
        <v>16.470588235294116</v>
      </c>
      <c r="AI541" s="86">
        <f>AVERAGEIFS($I$2:I541, $B$2:B541, B541)</f>
        <v>0.48823529411764699</v>
      </c>
      <c r="AJ541" s="86">
        <f>AVERAGEIFS($J$2:J541, $B$2:B541, B541)</f>
        <v>0.51764705882352946</v>
      </c>
      <c r="AK541" s="86">
        <f>AVERAGEIFS($D$2:D541, $B$2:B541, B541)</f>
        <v>0.58823529411764708</v>
      </c>
    </row>
    <row r="542" spans="1:37" x14ac:dyDescent="0.25">
      <c r="A542" s="85">
        <v>46101</v>
      </c>
      <c r="B542" t="s">
        <v>107</v>
      </c>
      <c r="C542">
        <v>16</v>
      </c>
      <c r="D542">
        <v>1</v>
      </c>
      <c r="E542">
        <v>5</v>
      </c>
      <c r="F542">
        <v>3</v>
      </c>
      <c r="G542">
        <v>17</v>
      </c>
      <c r="H542">
        <v>11</v>
      </c>
      <c r="I542">
        <v>0.6</v>
      </c>
      <c r="J542">
        <v>0.65</v>
      </c>
      <c r="K542">
        <v>0</v>
      </c>
      <c r="L542">
        <v>1</v>
      </c>
      <c r="M542">
        <v>1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1</v>
      </c>
      <c r="AH542" s="86">
        <f>AVERAGEIFS($C$2:C542, $B$2:B542, B542)</f>
        <v>15.052631578947368</v>
      </c>
      <c r="AI542" s="86">
        <f>AVERAGEIFS($I$2:I542, $B$2:B542, B542)</f>
        <v>0.64999999999999991</v>
      </c>
      <c r="AJ542" s="86">
        <f>AVERAGEIFS($J$2:J542, $B$2:B542, B542)</f>
        <v>0.5821052631578949</v>
      </c>
      <c r="AK542" s="86">
        <f>AVERAGEIFS($D$2:D542, $B$2:B542, B542)</f>
        <v>0.73684210526315785</v>
      </c>
    </row>
    <row r="543" spans="1:37" x14ac:dyDescent="0.25">
      <c r="A543" s="85">
        <v>46102</v>
      </c>
      <c r="B543" t="s">
        <v>42</v>
      </c>
      <c r="C543">
        <v>29</v>
      </c>
      <c r="D543">
        <v>1</v>
      </c>
      <c r="E543">
        <v>5</v>
      </c>
      <c r="F543">
        <v>3</v>
      </c>
      <c r="G543">
        <v>24</v>
      </c>
      <c r="H543">
        <v>13</v>
      </c>
      <c r="I543">
        <v>0.6</v>
      </c>
      <c r="J543">
        <v>0.54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1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0</v>
      </c>
      <c r="AE543">
        <v>1</v>
      </c>
      <c r="AF543">
        <v>0</v>
      </c>
      <c r="AG543">
        <v>0</v>
      </c>
      <c r="AH543" s="86">
        <f>AVERAGEIFS($C$2:C543, $B$2:B543, B543)</f>
        <v>18.09090909090909</v>
      </c>
      <c r="AI543" s="86">
        <f>AVERAGEIFS($I$2:I543, $B$2:B543, B543)</f>
        <v>0.39999999999999997</v>
      </c>
      <c r="AJ543" s="86">
        <f>AVERAGEIFS($J$2:J543, $B$2:B543, B543)</f>
        <v>0.42545454545454542</v>
      </c>
      <c r="AK543" s="86">
        <f>AVERAGEIFS($D$2:D543, $B$2:B543, B543)</f>
        <v>0.40909090909090912</v>
      </c>
    </row>
    <row r="544" spans="1:37" x14ac:dyDescent="0.25">
      <c r="A544" s="85">
        <v>46102</v>
      </c>
      <c r="B544" t="s">
        <v>5</v>
      </c>
      <c r="C544">
        <v>26</v>
      </c>
      <c r="D544">
        <v>1</v>
      </c>
      <c r="E544">
        <v>5</v>
      </c>
      <c r="F544">
        <v>3</v>
      </c>
      <c r="G544">
        <v>24</v>
      </c>
      <c r="H544">
        <v>13</v>
      </c>
      <c r="I544">
        <v>0.6</v>
      </c>
      <c r="J544">
        <v>0.54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1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0</v>
      </c>
      <c r="AE544">
        <v>1</v>
      </c>
      <c r="AF544">
        <v>0</v>
      </c>
      <c r="AG544">
        <v>0</v>
      </c>
      <c r="AH544" s="86">
        <f>AVERAGEIFS($C$2:C544, $B$2:B544, B544)</f>
        <v>21.571428571428573</v>
      </c>
      <c r="AI544" s="86">
        <f>AVERAGEIFS($I$2:I544, $B$2:B544, B544)</f>
        <v>0.64428571428571424</v>
      </c>
      <c r="AJ544" s="86">
        <f>AVERAGEIFS($J$2:J544, $B$2:B544, B544)</f>
        <v>0.57785714285714285</v>
      </c>
      <c r="AK544" s="86">
        <f>AVERAGEIFS($D$2:D544, $B$2:B544, B544)</f>
        <v>0.7857142857142857</v>
      </c>
    </row>
    <row r="545" spans="1:37" x14ac:dyDescent="0.25">
      <c r="A545" s="85">
        <v>46102</v>
      </c>
      <c r="B545" t="s">
        <v>54</v>
      </c>
      <c r="C545">
        <v>23</v>
      </c>
      <c r="D545">
        <v>1</v>
      </c>
      <c r="E545">
        <v>5</v>
      </c>
      <c r="F545">
        <v>3</v>
      </c>
      <c r="G545">
        <v>24</v>
      </c>
      <c r="H545">
        <v>13</v>
      </c>
      <c r="I545">
        <v>0.6</v>
      </c>
      <c r="J545">
        <v>0.54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1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0</v>
      </c>
      <c r="AE545">
        <v>1</v>
      </c>
      <c r="AF545">
        <v>0</v>
      </c>
      <c r="AG545">
        <v>0</v>
      </c>
      <c r="AH545" s="86">
        <f>AVERAGEIFS($C$2:C545, $B$2:B545, B545)</f>
        <v>24.342105263157894</v>
      </c>
      <c r="AI545" s="86">
        <f>AVERAGEIFS($I$2:I545, $B$2:B545, B545)</f>
        <v>0.51894736842105271</v>
      </c>
      <c r="AJ545" s="86">
        <f>AVERAGEIFS($J$2:J545, $B$2:B545, B545)</f>
        <v>0.50184210526315787</v>
      </c>
      <c r="AK545" s="86">
        <f>AVERAGEIFS($D$2:D545, $B$2:B545, B545)</f>
        <v>0.52631578947368418</v>
      </c>
    </row>
    <row r="546" spans="1:37" x14ac:dyDescent="0.25">
      <c r="A546" s="85">
        <v>46102</v>
      </c>
      <c r="B546" t="s">
        <v>17</v>
      </c>
      <c r="C546">
        <v>19</v>
      </c>
      <c r="D546">
        <v>1</v>
      </c>
      <c r="E546">
        <v>5</v>
      </c>
      <c r="F546">
        <v>3</v>
      </c>
      <c r="G546">
        <v>24</v>
      </c>
      <c r="H546">
        <v>13</v>
      </c>
      <c r="I546">
        <v>0.6</v>
      </c>
      <c r="J546">
        <v>0.54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1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0</v>
      </c>
      <c r="AE546">
        <v>1</v>
      </c>
      <c r="AF546">
        <v>0</v>
      </c>
      <c r="AG546">
        <v>0</v>
      </c>
      <c r="AH546" s="86">
        <f>AVERAGEIFS($C$2:C546, $B$2:B546, B546)</f>
        <v>21.043478260869566</v>
      </c>
      <c r="AI546" s="86">
        <f>AVERAGEIFS($I$2:I546, $B$2:B546, B546)</f>
        <v>0.43999999999999995</v>
      </c>
      <c r="AJ546" s="86">
        <f>AVERAGEIFS($J$2:J546, $B$2:B546, B546)</f>
        <v>0.45434782608695662</v>
      </c>
      <c r="AK546" s="86">
        <f>AVERAGEIFS($D$2:D546, $B$2:B546, B546)</f>
        <v>0.39130434782608697</v>
      </c>
    </row>
    <row r="547" spans="1:37" x14ac:dyDescent="0.25">
      <c r="A547" s="85">
        <v>46102</v>
      </c>
      <c r="B547" t="s">
        <v>141</v>
      </c>
      <c r="C547">
        <v>14</v>
      </c>
      <c r="D547">
        <v>1</v>
      </c>
      <c r="E547">
        <v>5</v>
      </c>
      <c r="F547">
        <v>3</v>
      </c>
      <c r="G547">
        <v>24</v>
      </c>
      <c r="H547">
        <v>13</v>
      </c>
      <c r="I547">
        <v>0.6</v>
      </c>
      <c r="J547">
        <v>0.54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1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0</v>
      </c>
      <c r="AE547">
        <v>1</v>
      </c>
      <c r="AF547">
        <v>0</v>
      </c>
      <c r="AG547">
        <v>0</v>
      </c>
      <c r="AH547" s="86">
        <f>AVERAGEIFS($C$2:C547, $B$2:B547, B547)</f>
        <v>9</v>
      </c>
      <c r="AI547" s="86">
        <f>AVERAGEIFS($I$2:I547, $B$2:B547, B547)</f>
        <v>0.67500000000000004</v>
      </c>
      <c r="AJ547" s="86">
        <f>AVERAGEIFS($J$2:J547, $B$2:B547, B547)</f>
        <v>0.59000000000000008</v>
      </c>
      <c r="AK547" s="86">
        <f>AVERAGEIFS($D$2:D547, $B$2:B547, B547)</f>
        <v>1</v>
      </c>
    </row>
    <row r="548" spans="1:37" x14ac:dyDescent="0.25">
      <c r="A548" s="85">
        <v>46102</v>
      </c>
      <c r="B548" t="s">
        <v>44</v>
      </c>
      <c r="C548">
        <v>11</v>
      </c>
      <c r="D548">
        <v>1</v>
      </c>
      <c r="E548">
        <v>5</v>
      </c>
      <c r="F548">
        <v>3</v>
      </c>
      <c r="G548">
        <v>24</v>
      </c>
      <c r="H548">
        <v>13</v>
      </c>
      <c r="I548">
        <v>0.6</v>
      </c>
      <c r="J548">
        <v>0.54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1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0</v>
      </c>
      <c r="AE548">
        <v>1</v>
      </c>
      <c r="AF548">
        <v>0</v>
      </c>
      <c r="AG548">
        <v>0</v>
      </c>
      <c r="AH548" s="86">
        <f>AVERAGEIFS($C$2:C548, $B$2:B548, B548)</f>
        <v>16.166666666666668</v>
      </c>
      <c r="AI548" s="86">
        <f>AVERAGEIFS($I$2:I548, $B$2:B548, B548)</f>
        <v>0.49444444444444435</v>
      </c>
      <c r="AJ548" s="86">
        <f>AVERAGEIFS($J$2:J548, $B$2:B548, B548)</f>
        <v>0.51888888888888884</v>
      </c>
      <c r="AK548" s="86">
        <f>AVERAGEIFS($D$2:D548, $B$2:B548, B548)</f>
        <v>0.61111111111111116</v>
      </c>
    </row>
    <row r="549" spans="1:37" x14ac:dyDescent="0.25">
      <c r="A549" s="85">
        <v>46102</v>
      </c>
      <c r="B549" t="s">
        <v>35</v>
      </c>
      <c r="C549">
        <v>1</v>
      </c>
      <c r="D549">
        <v>1</v>
      </c>
      <c r="E549">
        <v>5</v>
      </c>
      <c r="F549">
        <v>3</v>
      </c>
      <c r="G549">
        <v>24</v>
      </c>
      <c r="H549">
        <v>13</v>
      </c>
      <c r="I549">
        <v>0.6</v>
      </c>
      <c r="J549">
        <v>0.54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1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</v>
      </c>
      <c r="AD549">
        <v>0</v>
      </c>
      <c r="AE549">
        <v>1</v>
      </c>
      <c r="AF549">
        <v>0</v>
      </c>
      <c r="AG549">
        <v>0</v>
      </c>
      <c r="AH549" s="86">
        <f>AVERAGEIFS($C$2:C549, $B$2:B549, B549)</f>
        <v>10.806451612903226</v>
      </c>
      <c r="AI549" s="86">
        <f>AVERAGEIFS($I$2:I549, $B$2:B549, B549)</f>
        <v>0.45258064516129037</v>
      </c>
      <c r="AJ549" s="86">
        <f>AVERAGEIFS($J$2:J549, $B$2:B549, B549)</f>
        <v>0.48225806451612901</v>
      </c>
      <c r="AK549" s="86">
        <f>AVERAGEIFS($D$2:D549, $B$2:B549, B549)</f>
        <v>0.41935483870967744</v>
      </c>
    </row>
    <row r="550" spans="1:37" x14ac:dyDescent="0.25">
      <c r="A550" s="85">
        <v>46102</v>
      </c>
      <c r="B550" t="s">
        <v>4</v>
      </c>
      <c r="C550">
        <v>31</v>
      </c>
      <c r="D550">
        <v>0</v>
      </c>
      <c r="E550">
        <v>5</v>
      </c>
      <c r="F550">
        <v>2</v>
      </c>
      <c r="G550">
        <v>24</v>
      </c>
      <c r="H550">
        <v>11</v>
      </c>
      <c r="I550">
        <v>0.4</v>
      </c>
      <c r="J550">
        <v>0.46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1</v>
      </c>
      <c r="Z550">
        <v>1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>
        <v>0</v>
      </c>
      <c r="AH550" s="86">
        <f>AVERAGEIFS($C$2:C550, $B$2:B550, B550)</f>
        <v>23.631578947368421</v>
      </c>
      <c r="AI550" s="86">
        <f>AVERAGEIFS($I$2:I550, $B$2:B550, B550)</f>
        <v>0.32894736842105265</v>
      </c>
      <c r="AJ550" s="86">
        <f>AVERAGEIFS($J$2:J550, $B$2:B550, B550)</f>
        <v>0.3984210526315789</v>
      </c>
      <c r="AK550" s="86">
        <f>AVERAGEIFS($D$2:D550, $B$2:B550, B550)</f>
        <v>0.15789473684210525</v>
      </c>
    </row>
    <row r="551" spans="1:37" x14ac:dyDescent="0.25">
      <c r="A551" s="85">
        <v>46102</v>
      </c>
      <c r="B551" t="s">
        <v>13</v>
      </c>
      <c r="C551">
        <v>21</v>
      </c>
      <c r="D551">
        <v>0</v>
      </c>
      <c r="E551">
        <v>5</v>
      </c>
      <c r="F551">
        <v>2</v>
      </c>
      <c r="G551">
        <v>24</v>
      </c>
      <c r="H551">
        <v>11</v>
      </c>
      <c r="I551">
        <v>0.4</v>
      </c>
      <c r="J551">
        <v>0.46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1</v>
      </c>
      <c r="Z551">
        <v>1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>
        <v>0</v>
      </c>
      <c r="AH551" s="86">
        <f>AVERAGEIFS($C$2:C551, $B$2:B551, B551)</f>
        <v>11</v>
      </c>
      <c r="AI551" s="86">
        <f>AVERAGEIFS($I$2:I551, $B$2:B551, B551)</f>
        <v>0.55999999999999994</v>
      </c>
      <c r="AJ551" s="86">
        <f>AVERAGEIFS($J$2:J551, $B$2:B551, B551)</f>
        <v>0.53</v>
      </c>
      <c r="AK551" s="86">
        <f>AVERAGEIFS($D$2:D551, $B$2:B551, B551)</f>
        <v>0.4</v>
      </c>
    </row>
    <row r="552" spans="1:37" x14ac:dyDescent="0.25">
      <c r="A552" s="85">
        <v>46102</v>
      </c>
      <c r="B552" t="s">
        <v>14</v>
      </c>
      <c r="C552">
        <v>21</v>
      </c>
      <c r="D552">
        <v>0</v>
      </c>
      <c r="E552">
        <v>5</v>
      </c>
      <c r="F552">
        <v>2</v>
      </c>
      <c r="G552">
        <v>24</v>
      </c>
      <c r="H552">
        <v>11</v>
      </c>
      <c r="I552">
        <v>0.4</v>
      </c>
      <c r="J552">
        <v>0.46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1</v>
      </c>
      <c r="Z552">
        <v>1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>
        <v>0</v>
      </c>
      <c r="AH552" s="86">
        <f>AVERAGEIFS($C$2:C552, $B$2:B552, B552)</f>
        <v>16.785714285714285</v>
      </c>
      <c r="AI552" s="86">
        <f>AVERAGEIFS($I$2:I552, $B$2:B552, B552)</f>
        <v>0.50142857142857145</v>
      </c>
      <c r="AJ552" s="86">
        <f>AVERAGEIFS($J$2:J552, $B$2:B552, B552)</f>
        <v>0.52357142857142869</v>
      </c>
      <c r="AK552" s="86">
        <f>AVERAGEIFS($D$2:D552, $B$2:B552, B552)</f>
        <v>0.5</v>
      </c>
    </row>
    <row r="553" spans="1:37" x14ac:dyDescent="0.25">
      <c r="A553" s="85">
        <v>46102</v>
      </c>
      <c r="B553" t="s">
        <v>40</v>
      </c>
      <c r="C553">
        <v>20</v>
      </c>
      <c r="D553">
        <v>0</v>
      </c>
      <c r="E553">
        <v>5</v>
      </c>
      <c r="F553">
        <v>2</v>
      </c>
      <c r="G553">
        <v>24</v>
      </c>
      <c r="H553">
        <v>11</v>
      </c>
      <c r="I553">
        <v>0.4</v>
      </c>
      <c r="J553">
        <v>0.46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1</v>
      </c>
      <c r="Z553">
        <v>1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>
        <v>0</v>
      </c>
      <c r="AH553" s="86">
        <f>AVERAGEIFS($C$2:C553, $B$2:B553, B553)</f>
        <v>17.352941176470587</v>
      </c>
      <c r="AI553" s="86">
        <f>AVERAGEIFS($I$2:I553, $B$2:B553, B553)</f>
        <v>0.51764705882352935</v>
      </c>
      <c r="AJ553" s="86">
        <f>AVERAGEIFS($J$2:J553, $B$2:B553, B553)</f>
        <v>0.50470588235294123</v>
      </c>
      <c r="AK553" s="86">
        <f>AVERAGEIFS($D$2:D553, $B$2:B553, B553)</f>
        <v>0.47058823529411764</v>
      </c>
    </row>
    <row r="554" spans="1:37" x14ac:dyDescent="0.25">
      <c r="A554" s="85">
        <v>46102</v>
      </c>
      <c r="B554" t="s">
        <v>6</v>
      </c>
      <c r="C554">
        <v>16</v>
      </c>
      <c r="D554">
        <v>0</v>
      </c>
      <c r="E554">
        <v>5</v>
      </c>
      <c r="F554">
        <v>2</v>
      </c>
      <c r="G554">
        <v>24</v>
      </c>
      <c r="H554">
        <v>11</v>
      </c>
      <c r="I554">
        <v>0.4</v>
      </c>
      <c r="J554">
        <v>0.46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1</v>
      </c>
      <c r="Z554">
        <v>1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>
        <v>0</v>
      </c>
      <c r="AH554" s="86">
        <f>AVERAGEIFS($C$2:C554, $B$2:B554, B554)</f>
        <v>22.527777777777779</v>
      </c>
      <c r="AI554" s="86">
        <f>AVERAGEIFS($I$2:I554, $B$2:B554, B554)</f>
        <v>0.59944444444444445</v>
      </c>
      <c r="AJ554" s="86">
        <f>AVERAGEIFS($J$2:J554, $B$2:B554, B554)</f>
        <v>0.55666666666666664</v>
      </c>
      <c r="AK554" s="86">
        <f>AVERAGEIFS($D$2:D554, $B$2:B554, B554)</f>
        <v>0.69444444444444442</v>
      </c>
    </row>
    <row r="555" spans="1:37" x14ac:dyDescent="0.25">
      <c r="A555" s="85">
        <v>46102</v>
      </c>
      <c r="B555" t="s">
        <v>147</v>
      </c>
      <c r="C555">
        <v>12</v>
      </c>
      <c r="D555">
        <v>0</v>
      </c>
      <c r="E555">
        <v>5</v>
      </c>
      <c r="F555">
        <v>2</v>
      </c>
      <c r="G555">
        <v>24</v>
      </c>
      <c r="H555">
        <v>11</v>
      </c>
      <c r="I555">
        <v>0.4</v>
      </c>
      <c r="J555">
        <v>0.46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1</v>
      </c>
      <c r="Z555">
        <v>1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v>0</v>
      </c>
      <c r="AH555" s="86">
        <f>AVERAGEIFS($C$2:C555, $B$2:B555, B555)</f>
        <v>8.2727272727272734</v>
      </c>
      <c r="AI555" s="86">
        <f>AVERAGEIFS($I$2:I555, $B$2:B555, B555)</f>
        <v>0.52272727272727271</v>
      </c>
      <c r="AJ555" s="86">
        <f>AVERAGEIFS($J$2:J555, $B$2:B555, B555)</f>
        <v>0.51999999999999991</v>
      </c>
      <c r="AK555" s="86">
        <f>AVERAGEIFS($D$2:D555, $B$2:B555, B555)</f>
        <v>0.54545454545454541</v>
      </c>
    </row>
    <row r="556" spans="1:37" x14ac:dyDescent="0.25">
      <c r="A556" s="85">
        <v>46102</v>
      </c>
      <c r="B556" t="s">
        <v>40</v>
      </c>
      <c r="C556">
        <v>19</v>
      </c>
      <c r="D556">
        <v>1</v>
      </c>
      <c r="E556">
        <v>3</v>
      </c>
      <c r="F556">
        <v>3</v>
      </c>
      <c r="G556">
        <v>13</v>
      </c>
      <c r="H556">
        <v>9</v>
      </c>
      <c r="I556">
        <v>1</v>
      </c>
      <c r="J556">
        <v>0.69</v>
      </c>
      <c r="K556">
        <v>1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1</v>
      </c>
      <c r="AD556">
        <v>0</v>
      </c>
      <c r="AE556">
        <v>0</v>
      </c>
      <c r="AF556">
        <v>0</v>
      </c>
      <c r="AG556">
        <v>1</v>
      </c>
      <c r="AH556" s="86">
        <f>AVERAGEIFS($C$2:C556, $B$2:B556, B556)</f>
        <v>17.399999999999999</v>
      </c>
      <c r="AI556" s="86">
        <f>AVERAGEIFS($I$2:I556, $B$2:B556, B556)</f>
        <v>0.53142857142857136</v>
      </c>
      <c r="AJ556" s="86">
        <f>AVERAGEIFS($J$2:J556, $B$2:B556, B556)</f>
        <v>0.51</v>
      </c>
      <c r="AK556" s="86">
        <f>AVERAGEIFS($D$2:D556, $B$2:B556, B556)</f>
        <v>0.48571428571428571</v>
      </c>
    </row>
    <row r="557" spans="1:37" x14ac:dyDescent="0.25">
      <c r="A557" s="85">
        <v>46102</v>
      </c>
      <c r="B557" t="s">
        <v>13</v>
      </c>
      <c r="C557">
        <v>16</v>
      </c>
      <c r="D557">
        <v>1</v>
      </c>
      <c r="E557">
        <v>3</v>
      </c>
      <c r="F557">
        <v>3</v>
      </c>
      <c r="G557">
        <v>13</v>
      </c>
      <c r="H557">
        <v>9</v>
      </c>
      <c r="I557">
        <v>1</v>
      </c>
      <c r="J557">
        <v>0.69</v>
      </c>
      <c r="K557">
        <v>1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1</v>
      </c>
      <c r="AD557">
        <v>0</v>
      </c>
      <c r="AE557">
        <v>0</v>
      </c>
      <c r="AF557">
        <v>0</v>
      </c>
      <c r="AG557">
        <v>1</v>
      </c>
      <c r="AH557" s="86">
        <f>AVERAGEIFS($C$2:C557, $B$2:B557, B557)</f>
        <v>11.833333333333334</v>
      </c>
      <c r="AI557" s="86">
        <f>AVERAGEIFS($I$2:I557, $B$2:B557, B557)</f>
        <v>0.6333333333333333</v>
      </c>
      <c r="AJ557" s="86">
        <f>AVERAGEIFS($J$2:J557, $B$2:B557, B557)</f>
        <v>0.55666666666666664</v>
      </c>
      <c r="AK557" s="86">
        <f>AVERAGEIFS($D$2:D557, $B$2:B557, B557)</f>
        <v>0.5</v>
      </c>
    </row>
    <row r="558" spans="1:37" x14ac:dyDescent="0.25">
      <c r="A558" s="85">
        <v>46102</v>
      </c>
      <c r="B558" t="s">
        <v>54</v>
      </c>
      <c r="C558">
        <v>16</v>
      </c>
      <c r="D558">
        <v>1</v>
      </c>
      <c r="E558">
        <v>3</v>
      </c>
      <c r="F558">
        <v>3</v>
      </c>
      <c r="G558">
        <v>13</v>
      </c>
      <c r="H558">
        <v>9</v>
      </c>
      <c r="I558">
        <v>1</v>
      </c>
      <c r="J558">
        <v>0.69</v>
      </c>
      <c r="K558">
        <v>1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1</v>
      </c>
      <c r="AD558">
        <v>0</v>
      </c>
      <c r="AE558">
        <v>0</v>
      </c>
      <c r="AF558">
        <v>0</v>
      </c>
      <c r="AG558">
        <v>1</v>
      </c>
      <c r="AH558" s="86">
        <f>AVERAGEIFS($C$2:C558, $B$2:B558, B558)</f>
        <v>24.128205128205128</v>
      </c>
      <c r="AI558" s="86">
        <f>AVERAGEIFS($I$2:I558, $B$2:B558, B558)</f>
        <v>0.5312820512820513</v>
      </c>
      <c r="AJ558" s="86">
        <f>AVERAGEIFS($J$2:J558, $B$2:B558, B558)</f>
        <v>0.50666666666666671</v>
      </c>
      <c r="AK558" s="86">
        <f>AVERAGEIFS($D$2:D558, $B$2:B558, B558)</f>
        <v>0.53846153846153844</v>
      </c>
    </row>
    <row r="559" spans="1:37" x14ac:dyDescent="0.25">
      <c r="A559" s="85">
        <v>46102</v>
      </c>
      <c r="B559" t="s">
        <v>147</v>
      </c>
      <c r="C559">
        <v>14</v>
      </c>
      <c r="D559">
        <v>1</v>
      </c>
      <c r="E559">
        <v>3</v>
      </c>
      <c r="F559">
        <v>3</v>
      </c>
      <c r="G559">
        <v>13</v>
      </c>
      <c r="H559">
        <v>9</v>
      </c>
      <c r="I559">
        <v>1</v>
      </c>
      <c r="J559">
        <v>0.69</v>
      </c>
      <c r="K559">
        <v>1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1</v>
      </c>
      <c r="AD559">
        <v>0</v>
      </c>
      <c r="AE559">
        <v>0</v>
      </c>
      <c r="AF559">
        <v>0</v>
      </c>
      <c r="AG559">
        <v>1</v>
      </c>
      <c r="AH559" s="86">
        <f>AVERAGEIFS($C$2:C559, $B$2:B559, B559)</f>
        <v>8.75</v>
      </c>
      <c r="AI559" s="86">
        <f>AVERAGEIFS($I$2:I559, $B$2:B559, B559)</f>
        <v>0.5625</v>
      </c>
      <c r="AJ559" s="86">
        <f>AVERAGEIFS($J$2:J559, $B$2:B559, B559)</f>
        <v>0.53416666666666657</v>
      </c>
      <c r="AK559" s="86">
        <f>AVERAGEIFS($D$2:D559, $B$2:B559, B559)</f>
        <v>0.58333333333333337</v>
      </c>
    </row>
    <row r="560" spans="1:37" x14ac:dyDescent="0.25">
      <c r="A560" s="85">
        <v>46102</v>
      </c>
      <c r="B560" t="s">
        <v>17</v>
      </c>
      <c r="C560">
        <v>12</v>
      </c>
      <c r="D560">
        <v>1</v>
      </c>
      <c r="E560">
        <v>3</v>
      </c>
      <c r="F560">
        <v>3</v>
      </c>
      <c r="G560">
        <v>13</v>
      </c>
      <c r="H560">
        <v>9</v>
      </c>
      <c r="I560">
        <v>1</v>
      </c>
      <c r="J560">
        <v>0.69</v>
      </c>
      <c r="K560">
        <v>1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v>1</v>
      </c>
      <c r="AD560">
        <v>0</v>
      </c>
      <c r="AE560">
        <v>0</v>
      </c>
      <c r="AF560">
        <v>0</v>
      </c>
      <c r="AG560">
        <v>1</v>
      </c>
      <c r="AH560" s="86">
        <f>AVERAGEIFS($C$2:C560, $B$2:B560, B560)</f>
        <v>20.666666666666668</v>
      </c>
      <c r="AI560" s="86">
        <f>AVERAGEIFS($I$2:I560, $B$2:B560, B560)</f>
        <v>0.46333333333333332</v>
      </c>
      <c r="AJ560" s="86">
        <f>AVERAGEIFS($J$2:J560, $B$2:B560, B560)</f>
        <v>0.46416666666666678</v>
      </c>
      <c r="AK560" s="86">
        <f>AVERAGEIFS($D$2:D560, $B$2:B560, B560)</f>
        <v>0.41666666666666669</v>
      </c>
    </row>
    <row r="561" spans="1:37" x14ac:dyDescent="0.25">
      <c r="A561" s="85">
        <v>46102</v>
      </c>
      <c r="B561" t="s">
        <v>44</v>
      </c>
      <c r="C561">
        <v>17</v>
      </c>
      <c r="D561">
        <v>0</v>
      </c>
      <c r="E561">
        <v>3</v>
      </c>
      <c r="F561">
        <v>0</v>
      </c>
      <c r="G561">
        <v>13</v>
      </c>
      <c r="H561">
        <v>4</v>
      </c>
      <c r="I561">
        <v>0</v>
      </c>
      <c r="J561">
        <v>0.31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>
        <v>0</v>
      </c>
      <c r="AH561" s="86">
        <f>AVERAGEIFS($C$2:C561, $B$2:B561, B561)</f>
        <v>16.210526315789473</v>
      </c>
      <c r="AI561" s="86">
        <f>AVERAGEIFS($I$2:I561, $B$2:B561, B561)</f>
        <v>0.46842105263157885</v>
      </c>
      <c r="AJ561" s="86">
        <f>AVERAGEIFS($J$2:J561, $B$2:B561, B561)</f>
        <v>0.50789473684210529</v>
      </c>
      <c r="AK561" s="86">
        <f>AVERAGEIFS($D$2:D561, $B$2:B561, B561)</f>
        <v>0.57894736842105265</v>
      </c>
    </row>
    <row r="562" spans="1:37" x14ac:dyDescent="0.25">
      <c r="A562" s="85">
        <v>46102</v>
      </c>
      <c r="B562" t="s">
        <v>107</v>
      </c>
      <c r="C562">
        <v>17</v>
      </c>
      <c r="D562">
        <v>0</v>
      </c>
      <c r="E562">
        <v>3</v>
      </c>
      <c r="F562">
        <v>0</v>
      </c>
      <c r="G562">
        <v>13</v>
      </c>
      <c r="H562">
        <v>4</v>
      </c>
      <c r="I562">
        <v>0</v>
      </c>
      <c r="J562">
        <v>0.31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>
        <v>0</v>
      </c>
      <c r="AH562" s="86">
        <f>AVERAGEIFS($C$2:C562, $B$2:B562, B562)</f>
        <v>15.15</v>
      </c>
      <c r="AI562" s="86">
        <f>AVERAGEIFS($I$2:I562, $B$2:B562, B562)</f>
        <v>0.61749999999999994</v>
      </c>
      <c r="AJ562" s="86">
        <f>AVERAGEIFS($J$2:J562, $B$2:B562, B562)</f>
        <v>0.56850000000000012</v>
      </c>
      <c r="AK562" s="86">
        <f>AVERAGEIFS($D$2:D562, $B$2:B562, B562)</f>
        <v>0.7</v>
      </c>
    </row>
    <row r="563" spans="1:37" x14ac:dyDescent="0.25">
      <c r="A563" s="85">
        <v>46102</v>
      </c>
      <c r="B563" t="s">
        <v>6</v>
      </c>
      <c r="C563">
        <v>12</v>
      </c>
      <c r="D563">
        <v>0</v>
      </c>
      <c r="E563">
        <v>3</v>
      </c>
      <c r="F563">
        <v>0</v>
      </c>
      <c r="G563">
        <v>13</v>
      </c>
      <c r="H563">
        <v>4</v>
      </c>
      <c r="I563">
        <v>0</v>
      </c>
      <c r="J563">
        <v>0.31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>
        <v>0</v>
      </c>
      <c r="AH563" s="86">
        <f>AVERAGEIFS($C$2:C563, $B$2:B563, B563)</f>
        <v>22.243243243243242</v>
      </c>
      <c r="AI563" s="86">
        <f>AVERAGEIFS($I$2:I563, $B$2:B563, B563)</f>
        <v>0.58324324324324328</v>
      </c>
      <c r="AJ563" s="86">
        <f>AVERAGEIFS($J$2:J563, $B$2:B563, B563)</f>
        <v>0.54999999999999993</v>
      </c>
      <c r="AK563" s="86">
        <f>AVERAGEIFS($D$2:D563, $B$2:B563, B563)</f>
        <v>0.67567567567567566</v>
      </c>
    </row>
    <row r="564" spans="1:37" x14ac:dyDescent="0.25">
      <c r="A564" s="85">
        <v>46102</v>
      </c>
      <c r="B564" t="s">
        <v>70</v>
      </c>
      <c r="C564">
        <v>10</v>
      </c>
      <c r="D564">
        <v>0</v>
      </c>
      <c r="E564">
        <v>3</v>
      </c>
      <c r="F564">
        <v>0</v>
      </c>
      <c r="G564">
        <v>13</v>
      </c>
      <c r="H564">
        <v>4</v>
      </c>
      <c r="I564">
        <v>0</v>
      </c>
      <c r="J564">
        <v>0.31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>
        <v>0</v>
      </c>
      <c r="AH564" s="86">
        <f>AVERAGEIFS($C$2:C564, $B$2:B564, B564)</f>
        <v>12.166666666666666</v>
      </c>
      <c r="AI564" s="86">
        <f>AVERAGEIFS($I$2:I564, $B$2:B564, B564)</f>
        <v>0.59166666666666667</v>
      </c>
      <c r="AJ564" s="86">
        <f>AVERAGEIFS($J$2:J564, $B$2:B564, B564)</f>
        <v>0.53500000000000003</v>
      </c>
      <c r="AK564" s="86">
        <f>AVERAGEIFS($D$2:D564, $B$2:B564, B564)</f>
        <v>0.83333333333333337</v>
      </c>
    </row>
    <row r="565" spans="1:37" x14ac:dyDescent="0.25">
      <c r="A565" s="85">
        <v>46102</v>
      </c>
      <c r="B565" t="s">
        <v>146</v>
      </c>
      <c r="C565">
        <v>8</v>
      </c>
      <c r="D565">
        <v>0</v>
      </c>
      <c r="E565">
        <v>3</v>
      </c>
      <c r="F565">
        <v>0</v>
      </c>
      <c r="G565">
        <v>13</v>
      </c>
      <c r="H565">
        <v>4</v>
      </c>
      <c r="I565">
        <v>0</v>
      </c>
      <c r="J565">
        <v>0.31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>
        <v>0</v>
      </c>
      <c r="AH565" s="86">
        <f>AVERAGEIFS($C$2:C565, $B$2:B565, B565)</f>
        <v>8.6</v>
      </c>
      <c r="AI565" s="86">
        <f>AVERAGEIFS($I$2:I565, $B$2:B565, B565)</f>
        <v>0.3</v>
      </c>
      <c r="AJ565" s="86">
        <f>AVERAGEIFS($J$2:J565, $B$2:B565, B565)</f>
        <v>0.36199999999999999</v>
      </c>
      <c r="AK565" s="86">
        <f>AVERAGEIFS($D$2:D565, $B$2:B565, B565)</f>
        <v>0.2</v>
      </c>
    </row>
    <row r="566" spans="1:37" x14ac:dyDescent="0.25">
      <c r="A566" s="85">
        <v>46104</v>
      </c>
      <c r="B566" t="s">
        <v>40</v>
      </c>
      <c r="C566">
        <v>28</v>
      </c>
      <c r="D566">
        <v>0</v>
      </c>
      <c r="E566">
        <v>5</v>
      </c>
      <c r="F566">
        <v>1</v>
      </c>
      <c r="G566">
        <v>19</v>
      </c>
      <c r="H566">
        <v>5</v>
      </c>
      <c r="I566">
        <v>0.2</v>
      </c>
      <c r="J566">
        <v>0.26</v>
      </c>
      <c r="K566">
        <v>0</v>
      </c>
      <c r="L566">
        <v>1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>
        <v>0</v>
      </c>
      <c r="AH566" s="86">
        <f>AVERAGEIFS($C$2:C566, $B$2:B566, B566)</f>
        <v>17.694444444444443</v>
      </c>
      <c r="AI566" s="86">
        <f>AVERAGEIFS($I$2:I566, $B$2:B566, B566)</f>
        <v>0.52222222222222214</v>
      </c>
      <c r="AJ566" s="86">
        <f>AVERAGEIFS($J$2:J566, $B$2:B566, B566)</f>
        <v>0.50305555555555559</v>
      </c>
      <c r="AK566" s="86">
        <f>AVERAGEIFS($D$2:D566, $B$2:B566, B566)</f>
        <v>0.47222222222222221</v>
      </c>
    </row>
    <row r="567" spans="1:37" x14ac:dyDescent="0.25">
      <c r="A567" s="85">
        <v>46104</v>
      </c>
      <c r="B567" t="s">
        <v>28</v>
      </c>
      <c r="C567">
        <v>17</v>
      </c>
      <c r="D567">
        <v>0</v>
      </c>
      <c r="E567">
        <v>5</v>
      </c>
      <c r="F567">
        <v>1</v>
      </c>
      <c r="G567">
        <v>19</v>
      </c>
      <c r="H567">
        <v>5</v>
      </c>
      <c r="I567">
        <v>0.2</v>
      </c>
      <c r="J567">
        <v>0.26</v>
      </c>
      <c r="K567">
        <v>0</v>
      </c>
      <c r="L567">
        <v>1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>
        <v>0</v>
      </c>
      <c r="AH567" s="86">
        <f>AVERAGEIFS($C$2:C567, $B$2:B567, B567)</f>
        <v>14.217391304347826</v>
      </c>
      <c r="AI567" s="86">
        <f>AVERAGEIFS($I$2:I567, $B$2:B567, B567)</f>
        <v>0.45782608695652172</v>
      </c>
      <c r="AJ567" s="86">
        <f>AVERAGEIFS($J$2:J567, $B$2:B567, B567)</f>
        <v>0.48869565217391298</v>
      </c>
      <c r="AK567" s="86">
        <f>AVERAGEIFS($D$2:D567, $B$2:B567, B567)</f>
        <v>0.39130434782608697</v>
      </c>
    </row>
    <row r="568" spans="1:37" x14ac:dyDescent="0.25">
      <c r="A568" s="85">
        <v>46104</v>
      </c>
      <c r="B568" t="s">
        <v>50</v>
      </c>
      <c r="C568">
        <v>12</v>
      </c>
      <c r="D568">
        <v>0</v>
      </c>
      <c r="E568">
        <v>5</v>
      </c>
      <c r="F568">
        <v>1</v>
      </c>
      <c r="G568">
        <v>19</v>
      </c>
      <c r="H568">
        <v>5</v>
      </c>
      <c r="I568">
        <v>0.2</v>
      </c>
      <c r="J568">
        <v>0.26</v>
      </c>
      <c r="K568">
        <v>0</v>
      </c>
      <c r="L568">
        <v>1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>
        <v>0</v>
      </c>
      <c r="AH568" s="86">
        <f>AVERAGEIFS($C$2:C568, $B$2:B568, B568)</f>
        <v>18.535714285714285</v>
      </c>
      <c r="AI568" s="86">
        <f>AVERAGEIFS($I$2:I568, $B$2:B568, B568)</f>
        <v>0.53500000000000003</v>
      </c>
      <c r="AJ568" s="86">
        <f>AVERAGEIFS($J$2:J568, $B$2:B568, B568)</f>
        <v>0.53607142857142853</v>
      </c>
      <c r="AK568" s="86">
        <f>AVERAGEIFS($D$2:D568, $B$2:B568, B568)</f>
        <v>0.5357142857142857</v>
      </c>
    </row>
    <row r="569" spans="1:37" x14ac:dyDescent="0.25">
      <c r="A569" s="85">
        <v>46104</v>
      </c>
      <c r="B569" t="s">
        <v>147</v>
      </c>
      <c r="C569">
        <v>10</v>
      </c>
      <c r="D569">
        <v>0</v>
      </c>
      <c r="E569">
        <v>5</v>
      </c>
      <c r="F569">
        <v>1</v>
      </c>
      <c r="G569">
        <v>19</v>
      </c>
      <c r="H569">
        <v>5</v>
      </c>
      <c r="I569">
        <v>0.2</v>
      </c>
      <c r="J569">
        <v>0.26</v>
      </c>
      <c r="K569">
        <v>0</v>
      </c>
      <c r="L569">
        <v>1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 s="86">
        <f>AVERAGEIFS($C$2:C569, $B$2:B569, B569)</f>
        <v>8.8461538461538467</v>
      </c>
      <c r="AI569" s="86">
        <f>AVERAGEIFS($I$2:I569, $B$2:B569, B569)</f>
        <v>0.5346153846153846</v>
      </c>
      <c r="AJ569" s="86">
        <f>AVERAGEIFS($J$2:J569, $B$2:B569, B569)</f>
        <v>0.51307692307692299</v>
      </c>
      <c r="AK569" s="86">
        <f>AVERAGEIFS($D$2:D569, $B$2:B569, B569)</f>
        <v>0.53846153846153844</v>
      </c>
    </row>
    <row r="570" spans="1:37" x14ac:dyDescent="0.25">
      <c r="A570" s="85">
        <v>46104</v>
      </c>
      <c r="B570" t="s">
        <v>27</v>
      </c>
      <c r="C570">
        <v>7</v>
      </c>
      <c r="D570">
        <v>0</v>
      </c>
      <c r="E570">
        <v>5</v>
      </c>
      <c r="F570">
        <v>1</v>
      </c>
      <c r="G570">
        <v>19</v>
      </c>
      <c r="H570">
        <v>5</v>
      </c>
      <c r="I570">
        <v>0.2</v>
      </c>
      <c r="J570">
        <v>0.26</v>
      </c>
      <c r="K570">
        <v>0</v>
      </c>
      <c r="L570">
        <v>1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>
        <v>0</v>
      </c>
      <c r="AH570" s="86">
        <f>AVERAGEIFS($C$2:C570, $B$2:B570, B570)</f>
        <v>12.571428571428571</v>
      </c>
      <c r="AI570" s="86">
        <f>AVERAGEIFS($I$2:I570, $B$2:B570, B570)</f>
        <v>0.37142857142857144</v>
      </c>
      <c r="AJ570" s="86">
        <f>AVERAGEIFS($J$2:J570, $B$2:B570, B570)</f>
        <v>0.37571428571428572</v>
      </c>
      <c r="AK570" s="86">
        <f>AVERAGEIFS($D$2:D570, $B$2:B570, B570)</f>
        <v>0.2857142857142857</v>
      </c>
    </row>
    <row r="571" spans="1:37" x14ac:dyDescent="0.25">
      <c r="A571" s="85">
        <v>46104</v>
      </c>
      <c r="B571" t="s">
        <v>151</v>
      </c>
      <c r="C571">
        <v>7</v>
      </c>
      <c r="D571">
        <v>0</v>
      </c>
      <c r="E571">
        <v>5</v>
      </c>
      <c r="F571">
        <v>1</v>
      </c>
      <c r="G571">
        <v>19</v>
      </c>
      <c r="H571">
        <v>5</v>
      </c>
      <c r="I571">
        <v>0.2</v>
      </c>
      <c r="J571">
        <v>0.26</v>
      </c>
      <c r="K571">
        <v>0</v>
      </c>
      <c r="L571">
        <v>1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 s="86">
        <f>AVERAGEIFS($C$2:C571, $B$2:B571, B571)</f>
        <v>7</v>
      </c>
      <c r="AI571" s="86">
        <f>AVERAGEIFS($I$2:I571, $B$2:B571, B571)</f>
        <v>0.2</v>
      </c>
      <c r="AJ571" s="86">
        <f>AVERAGEIFS($J$2:J571, $B$2:B571, B571)</f>
        <v>0.26</v>
      </c>
      <c r="AK571" s="86">
        <f>AVERAGEIFS($D$2:D571, $B$2:B571, B571)</f>
        <v>0</v>
      </c>
    </row>
    <row r="572" spans="1:37" x14ac:dyDescent="0.25">
      <c r="A572" s="85">
        <v>46104</v>
      </c>
      <c r="B572" t="s">
        <v>54</v>
      </c>
      <c r="C572">
        <v>20</v>
      </c>
      <c r="D572">
        <v>1</v>
      </c>
      <c r="E572">
        <v>5</v>
      </c>
      <c r="F572">
        <v>4</v>
      </c>
      <c r="G572">
        <v>19</v>
      </c>
      <c r="H572">
        <v>14</v>
      </c>
      <c r="I572">
        <v>0.8</v>
      </c>
      <c r="J572">
        <v>0.74</v>
      </c>
      <c r="K572">
        <v>0</v>
      </c>
      <c r="L572">
        <v>0</v>
      </c>
      <c r="M572">
        <v>1</v>
      </c>
      <c r="N572">
        <v>1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1</v>
      </c>
      <c r="AD572">
        <v>1</v>
      </c>
      <c r="AE572">
        <v>0</v>
      </c>
      <c r="AF572">
        <v>0</v>
      </c>
      <c r="AG572">
        <v>0</v>
      </c>
      <c r="AH572" s="86">
        <f>AVERAGEIFS($C$2:C572, $B$2:B572, B572)</f>
        <v>24.024999999999999</v>
      </c>
      <c r="AI572" s="86">
        <f>AVERAGEIFS($I$2:I572, $B$2:B572, B572)</f>
        <v>0.53800000000000003</v>
      </c>
      <c r="AJ572" s="86">
        <f>AVERAGEIFS($J$2:J572, $B$2:B572, B572)</f>
        <v>0.51249999999999996</v>
      </c>
      <c r="AK572" s="86">
        <f>AVERAGEIFS($D$2:D572, $B$2:B572, B572)</f>
        <v>0.55000000000000004</v>
      </c>
    </row>
    <row r="573" spans="1:37" x14ac:dyDescent="0.25">
      <c r="A573" s="85">
        <v>46104</v>
      </c>
      <c r="B573" t="s">
        <v>71</v>
      </c>
      <c r="C573">
        <v>19</v>
      </c>
      <c r="D573">
        <v>1</v>
      </c>
      <c r="E573">
        <v>5</v>
      </c>
      <c r="F573">
        <v>4</v>
      </c>
      <c r="G573">
        <v>19</v>
      </c>
      <c r="H573">
        <v>14</v>
      </c>
      <c r="I573">
        <v>0.8</v>
      </c>
      <c r="J573">
        <v>0.74</v>
      </c>
      <c r="K573">
        <v>0</v>
      </c>
      <c r="L573">
        <v>0</v>
      </c>
      <c r="M573">
        <v>1</v>
      </c>
      <c r="N573">
        <v>1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1</v>
      </c>
      <c r="AD573">
        <v>1</v>
      </c>
      <c r="AE573">
        <v>0</v>
      </c>
      <c r="AF573">
        <v>0</v>
      </c>
      <c r="AG573">
        <v>0</v>
      </c>
      <c r="AH573" s="86">
        <f>AVERAGEIFS($C$2:C573, $B$2:B573, B573)</f>
        <v>13.333333333333334</v>
      </c>
      <c r="AI573" s="86">
        <f>AVERAGEIFS($I$2:I573, $B$2:B573, B573)</f>
        <v>0.4916666666666667</v>
      </c>
      <c r="AJ573" s="86">
        <f>AVERAGEIFS($J$2:J573, $B$2:B573, B573)</f>
        <v>0.4941666666666667</v>
      </c>
      <c r="AK573" s="86">
        <f>AVERAGEIFS($D$2:D573, $B$2:B573, B573)</f>
        <v>0.58333333333333337</v>
      </c>
    </row>
    <row r="574" spans="1:37" x14ac:dyDescent="0.25">
      <c r="A574" s="85">
        <v>46104</v>
      </c>
      <c r="B574" t="s">
        <v>44</v>
      </c>
      <c r="C574">
        <v>24</v>
      </c>
      <c r="D574">
        <v>1</v>
      </c>
      <c r="E574">
        <v>5</v>
      </c>
      <c r="F574">
        <v>4</v>
      </c>
      <c r="G574">
        <v>19</v>
      </c>
      <c r="H574">
        <v>14</v>
      </c>
      <c r="I574">
        <v>0.8</v>
      </c>
      <c r="J574">
        <v>0.74</v>
      </c>
      <c r="K574">
        <v>0</v>
      </c>
      <c r="L574">
        <v>0</v>
      </c>
      <c r="M574">
        <v>1</v>
      </c>
      <c r="N574">
        <v>1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0</v>
      </c>
      <c r="AC574">
        <v>1</v>
      </c>
      <c r="AD574">
        <v>1</v>
      </c>
      <c r="AE574">
        <v>0</v>
      </c>
      <c r="AF574">
        <v>0</v>
      </c>
      <c r="AG574">
        <v>0</v>
      </c>
      <c r="AH574" s="86">
        <f>AVERAGEIFS($C$2:C574, $B$2:B574, B574)</f>
        <v>16.600000000000001</v>
      </c>
      <c r="AI574" s="86">
        <f>AVERAGEIFS($I$2:I574, $B$2:B574, B574)</f>
        <v>0.48499999999999999</v>
      </c>
      <c r="AJ574" s="86">
        <f>AVERAGEIFS($J$2:J574, $B$2:B574, B574)</f>
        <v>0.51950000000000007</v>
      </c>
      <c r="AK574" s="86">
        <f>AVERAGEIFS($D$2:D574, $B$2:B574, B574)</f>
        <v>0.6</v>
      </c>
    </row>
    <row r="575" spans="1:37" x14ac:dyDescent="0.25">
      <c r="A575" s="85">
        <v>46104</v>
      </c>
      <c r="B575" t="s">
        <v>152</v>
      </c>
      <c r="C575">
        <v>12</v>
      </c>
      <c r="D575">
        <v>1</v>
      </c>
      <c r="E575">
        <v>5</v>
      </c>
      <c r="F575">
        <v>4</v>
      </c>
      <c r="G575">
        <v>19</v>
      </c>
      <c r="H575">
        <v>14</v>
      </c>
      <c r="I575">
        <v>0.8</v>
      </c>
      <c r="J575">
        <v>0.74</v>
      </c>
      <c r="K575">
        <v>0</v>
      </c>
      <c r="L575">
        <v>0</v>
      </c>
      <c r="M575">
        <v>1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0</v>
      </c>
      <c r="AC575">
        <v>1</v>
      </c>
      <c r="AD575">
        <v>1</v>
      </c>
      <c r="AE575">
        <v>0</v>
      </c>
      <c r="AF575">
        <v>0</v>
      </c>
      <c r="AG575">
        <v>0</v>
      </c>
      <c r="AH575" s="86">
        <f>AVERAGEIFS($C$2:C575, $B$2:B575, B575)</f>
        <v>12</v>
      </c>
      <c r="AI575" s="86">
        <f>AVERAGEIFS($I$2:I575, $B$2:B575, B575)</f>
        <v>0.8</v>
      </c>
      <c r="AJ575" s="86">
        <f>AVERAGEIFS($J$2:J575, $B$2:B575, B575)</f>
        <v>0.74</v>
      </c>
      <c r="AK575" s="86">
        <f>AVERAGEIFS($D$2:D575, $B$2:B575, B575)</f>
        <v>1</v>
      </c>
    </row>
    <row r="576" spans="1:37" x14ac:dyDescent="0.25">
      <c r="A576" s="85">
        <v>46104</v>
      </c>
      <c r="B576" t="s">
        <v>113</v>
      </c>
      <c r="C576">
        <v>17</v>
      </c>
      <c r="D576">
        <v>1</v>
      </c>
      <c r="E576">
        <v>5</v>
      </c>
      <c r="F576">
        <v>4</v>
      </c>
      <c r="G576">
        <v>19</v>
      </c>
      <c r="H576">
        <v>14</v>
      </c>
      <c r="I576">
        <v>0.8</v>
      </c>
      <c r="J576">
        <v>0.74</v>
      </c>
      <c r="K576">
        <v>0</v>
      </c>
      <c r="L576">
        <v>0</v>
      </c>
      <c r="M576">
        <v>1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0</v>
      </c>
      <c r="AC576">
        <v>1</v>
      </c>
      <c r="AD576">
        <v>1</v>
      </c>
      <c r="AE576">
        <v>0</v>
      </c>
      <c r="AF576">
        <v>0</v>
      </c>
      <c r="AG576">
        <v>0</v>
      </c>
      <c r="AH576" s="86">
        <f>AVERAGEIFS($C$2:C576, $B$2:B576, B576)</f>
        <v>15.933333333333334</v>
      </c>
      <c r="AI576" s="86">
        <f>AVERAGEIFS($I$2:I576, $B$2:B576, B576)</f>
        <v>0.48666666666666664</v>
      </c>
      <c r="AJ576" s="86">
        <f>AVERAGEIFS($J$2:J576, $B$2:B576, B576)</f>
        <v>0.46533333333333338</v>
      </c>
      <c r="AK576" s="86">
        <f>AVERAGEIFS($D$2:D576, $B$2:B576, B576)</f>
        <v>0.46666666666666667</v>
      </c>
    </row>
    <row r="577" spans="1:37" x14ac:dyDescent="0.25">
      <c r="A577" s="85">
        <v>46104</v>
      </c>
      <c r="B577" t="s">
        <v>35</v>
      </c>
      <c r="C577">
        <v>7</v>
      </c>
      <c r="D577">
        <v>1</v>
      </c>
      <c r="E577">
        <v>5</v>
      </c>
      <c r="F577">
        <v>4</v>
      </c>
      <c r="G577">
        <v>19</v>
      </c>
      <c r="H577">
        <v>14</v>
      </c>
      <c r="I577">
        <v>0.8</v>
      </c>
      <c r="J577">
        <v>0.74</v>
      </c>
      <c r="K577">
        <v>0</v>
      </c>
      <c r="L577">
        <v>0</v>
      </c>
      <c r="M577">
        <v>1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0</v>
      </c>
      <c r="AC577">
        <v>1</v>
      </c>
      <c r="AD577">
        <v>1</v>
      </c>
      <c r="AE577">
        <v>0</v>
      </c>
      <c r="AF577">
        <v>0</v>
      </c>
      <c r="AG577">
        <v>0</v>
      </c>
      <c r="AH577" s="86">
        <f>AVERAGEIFS($C$2:C577, $B$2:B577, B577)</f>
        <v>10.6875</v>
      </c>
      <c r="AI577" s="86">
        <f>AVERAGEIFS($I$2:I577, $B$2:B577, B577)</f>
        <v>0.46343750000000006</v>
      </c>
      <c r="AJ577" s="86">
        <f>AVERAGEIFS($J$2:J577, $B$2:B577, B577)</f>
        <v>0.49031249999999998</v>
      </c>
      <c r="AK577" s="86">
        <f>AVERAGEIFS($D$2:D577, $B$2:B577, B577)</f>
        <v>0.4375</v>
      </c>
    </row>
    <row r="578" spans="1:37" x14ac:dyDescent="0.25">
      <c r="A578" s="85">
        <v>46105</v>
      </c>
      <c r="B578" t="s">
        <v>4</v>
      </c>
      <c r="C578">
        <v>17</v>
      </c>
      <c r="D578">
        <v>1</v>
      </c>
      <c r="E578">
        <v>3</v>
      </c>
      <c r="F578">
        <v>3</v>
      </c>
      <c r="G578">
        <v>12</v>
      </c>
      <c r="H578">
        <v>9</v>
      </c>
      <c r="I578">
        <v>1</v>
      </c>
      <c r="J578">
        <v>0.75</v>
      </c>
      <c r="K578">
        <v>0</v>
      </c>
      <c r="L578">
        <v>0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1</v>
      </c>
      <c r="W578">
        <v>0</v>
      </c>
      <c r="X578">
        <v>0</v>
      </c>
      <c r="Y578">
        <v>1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>
        <v>0</v>
      </c>
      <c r="AH578" s="86">
        <f>AVERAGEIFS($C$2:C578, $B$2:B578, B578)</f>
        <v>23.3</v>
      </c>
      <c r="AI578" s="86">
        <f>AVERAGEIFS($I$2:I578, $B$2:B578, B578)</f>
        <v>0.36250000000000004</v>
      </c>
      <c r="AJ578" s="86">
        <f>AVERAGEIFS($J$2:J578, $B$2:B578, B578)</f>
        <v>0.41600000000000004</v>
      </c>
      <c r="AK578" s="86">
        <f>AVERAGEIFS($D$2:D578, $B$2:B578, B578)</f>
        <v>0.2</v>
      </c>
    </row>
    <row r="579" spans="1:37" x14ac:dyDescent="0.25">
      <c r="A579" s="85">
        <v>46105</v>
      </c>
      <c r="B579" t="s">
        <v>6</v>
      </c>
      <c r="C579">
        <v>20</v>
      </c>
      <c r="D579">
        <v>1</v>
      </c>
      <c r="E579">
        <v>3</v>
      </c>
      <c r="F579">
        <v>3</v>
      </c>
      <c r="G579">
        <v>12</v>
      </c>
      <c r="H579">
        <v>9</v>
      </c>
      <c r="I579">
        <v>1</v>
      </c>
      <c r="J579">
        <v>0.75</v>
      </c>
      <c r="K579">
        <v>0</v>
      </c>
      <c r="L579">
        <v>0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1</v>
      </c>
      <c r="W579">
        <v>0</v>
      </c>
      <c r="X579">
        <v>0</v>
      </c>
      <c r="Y579">
        <v>1</v>
      </c>
      <c r="Z579">
        <v>0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G579">
        <v>0</v>
      </c>
      <c r="AH579" s="86">
        <f>AVERAGEIFS($C$2:C579, $B$2:B579, B579)</f>
        <v>22.184210526315791</v>
      </c>
      <c r="AI579" s="86">
        <f>AVERAGEIFS($I$2:I579, $B$2:B579, B579)</f>
        <v>0.59421052631578952</v>
      </c>
      <c r="AJ579" s="86">
        <f>AVERAGEIFS($J$2:J579, $B$2:B579, B579)</f>
        <v>0.55526315789473679</v>
      </c>
      <c r="AK579" s="86">
        <f>AVERAGEIFS($D$2:D579, $B$2:B579, B579)</f>
        <v>0.68421052631578949</v>
      </c>
    </row>
    <row r="580" spans="1:37" x14ac:dyDescent="0.25">
      <c r="A580" s="85">
        <v>46105</v>
      </c>
      <c r="B580" t="s">
        <v>5</v>
      </c>
      <c r="C580">
        <v>10</v>
      </c>
      <c r="D580">
        <v>1</v>
      </c>
      <c r="E580">
        <v>3</v>
      </c>
      <c r="F580">
        <v>3</v>
      </c>
      <c r="G580">
        <v>12</v>
      </c>
      <c r="H580">
        <v>9</v>
      </c>
      <c r="I580">
        <v>1</v>
      </c>
      <c r="J580">
        <v>0.75</v>
      </c>
      <c r="K580">
        <v>0</v>
      </c>
      <c r="L580">
        <v>0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1</v>
      </c>
      <c r="W580">
        <v>0</v>
      </c>
      <c r="X580">
        <v>0</v>
      </c>
      <c r="Y580">
        <v>1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>
        <v>0</v>
      </c>
      <c r="AH580" s="86">
        <f>AVERAGEIFS($C$2:C580, $B$2:B580, B580)</f>
        <v>20.8</v>
      </c>
      <c r="AI580" s="86">
        <f>AVERAGEIFS($I$2:I580, $B$2:B580, B580)</f>
        <v>0.66799999999999993</v>
      </c>
      <c r="AJ580" s="86">
        <f>AVERAGEIFS($J$2:J580, $B$2:B580, B580)</f>
        <v>0.58933333333333338</v>
      </c>
      <c r="AK580" s="86">
        <f>AVERAGEIFS($D$2:D580, $B$2:B580, B580)</f>
        <v>0.8</v>
      </c>
    </row>
    <row r="581" spans="1:37" x14ac:dyDescent="0.25">
      <c r="A581" s="85">
        <v>46105</v>
      </c>
      <c r="B581" t="s">
        <v>42</v>
      </c>
      <c r="C581">
        <v>18</v>
      </c>
      <c r="D581">
        <v>1</v>
      </c>
      <c r="E581">
        <v>3</v>
      </c>
      <c r="F581">
        <v>3</v>
      </c>
      <c r="G581">
        <v>12</v>
      </c>
      <c r="H581">
        <v>9</v>
      </c>
      <c r="I581">
        <v>1</v>
      </c>
      <c r="J581">
        <v>0.75</v>
      </c>
      <c r="K581">
        <v>0</v>
      </c>
      <c r="L581">
        <v>0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1</v>
      </c>
      <c r="W581">
        <v>0</v>
      </c>
      <c r="X581">
        <v>0</v>
      </c>
      <c r="Y581">
        <v>1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 s="86">
        <f>AVERAGEIFS($C$2:C581, $B$2:B581, B581)</f>
        <v>18.086956521739129</v>
      </c>
      <c r="AI581" s="86">
        <f>AVERAGEIFS($I$2:I581, $B$2:B581, B581)</f>
        <v>0.42608695652173906</v>
      </c>
      <c r="AJ581" s="86">
        <f>AVERAGEIFS($J$2:J581, $B$2:B581, B581)</f>
        <v>0.43956521739130433</v>
      </c>
      <c r="AK581" s="86">
        <f>AVERAGEIFS($D$2:D581, $B$2:B581, B581)</f>
        <v>0.43478260869565216</v>
      </c>
    </row>
    <row r="582" spans="1:37" x14ac:dyDescent="0.25">
      <c r="A582" s="85">
        <v>46105</v>
      </c>
      <c r="B582" t="s">
        <v>71</v>
      </c>
      <c r="C582">
        <v>8</v>
      </c>
      <c r="D582">
        <v>1</v>
      </c>
      <c r="E582">
        <v>3</v>
      </c>
      <c r="F582">
        <v>3</v>
      </c>
      <c r="G582">
        <v>12</v>
      </c>
      <c r="H582">
        <v>9</v>
      </c>
      <c r="I582">
        <v>1</v>
      </c>
      <c r="J582">
        <v>0.75</v>
      </c>
      <c r="K582">
        <v>0</v>
      </c>
      <c r="L582">
        <v>0</v>
      </c>
      <c r="M582">
        <v>0</v>
      </c>
      <c r="N582">
        <v>1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1</v>
      </c>
      <c r="W582">
        <v>0</v>
      </c>
      <c r="X582">
        <v>0</v>
      </c>
      <c r="Y582">
        <v>1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0</v>
      </c>
      <c r="AH582" s="86">
        <f>AVERAGEIFS($C$2:C582, $B$2:B582, B582)</f>
        <v>12.923076923076923</v>
      </c>
      <c r="AI582" s="86">
        <f>AVERAGEIFS($I$2:I582, $B$2:B582, B582)</f>
        <v>0.53076923076923077</v>
      </c>
      <c r="AJ582" s="86">
        <f>AVERAGEIFS($J$2:J582, $B$2:B582, B582)</f>
        <v>0.51384615384615384</v>
      </c>
      <c r="AK582" s="86">
        <f>AVERAGEIFS($D$2:D582, $B$2:B582, B582)</f>
        <v>0.61538461538461542</v>
      </c>
    </row>
    <row r="583" spans="1:37" x14ac:dyDescent="0.25">
      <c r="A583" s="85">
        <v>46105</v>
      </c>
      <c r="B583" t="s">
        <v>113</v>
      </c>
      <c r="C583">
        <v>22</v>
      </c>
      <c r="D583">
        <v>1</v>
      </c>
      <c r="E583">
        <v>3</v>
      </c>
      <c r="F583">
        <v>3</v>
      </c>
      <c r="G583">
        <v>12</v>
      </c>
      <c r="H583">
        <v>9</v>
      </c>
      <c r="I583">
        <v>1</v>
      </c>
      <c r="J583">
        <v>0.75</v>
      </c>
      <c r="K583">
        <v>0</v>
      </c>
      <c r="L583">
        <v>0</v>
      </c>
      <c r="M583">
        <v>0</v>
      </c>
      <c r="N583">
        <v>1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1</v>
      </c>
      <c r="W583">
        <v>0</v>
      </c>
      <c r="X583">
        <v>0</v>
      </c>
      <c r="Y583">
        <v>1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 s="86">
        <f>AVERAGEIFS($C$2:C583, $B$2:B583, B583)</f>
        <v>16.3125</v>
      </c>
      <c r="AI583" s="86">
        <f>AVERAGEIFS($I$2:I583, $B$2:B583, B583)</f>
        <v>0.51875000000000004</v>
      </c>
      <c r="AJ583" s="86">
        <f>AVERAGEIFS($J$2:J583, $B$2:B583, B583)</f>
        <v>0.48312500000000003</v>
      </c>
      <c r="AK583" s="86">
        <f>AVERAGEIFS($D$2:D583, $B$2:B583, B583)</f>
        <v>0.5</v>
      </c>
    </row>
    <row r="584" spans="1:37" x14ac:dyDescent="0.25">
      <c r="A584" s="85">
        <v>46105</v>
      </c>
      <c r="B584" t="s">
        <v>44</v>
      </c>
      <c r="C584">
        <v>16</v>
      </c>
      <c r="D584">
        <v>1</v>
      </c>
      <c r="E584">
        <v>3</v>
      </c>
      <c r="F584">
        <v>3</v>
      </c>
      <c r="G584">
        <v>12</v>
      </c>
      <c r="H584">
        <v>9</v>
      </c>
      <c r="I584">
        <v>1</v>
      </c>
      <c r="J584">
        <v>0.75</v>
      </c>
      <c r="K584">
        <v>0</v>
      </c>
      <c r="L584">
        <v>0</v>
      </c>
      <c r="M584">
        <v>0</v>
      </c>
      <c r="N584">
        <v>1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1</v>
      </c>
      <c r="W584">
        <v>0</v>
      </c>
      <c r="X584">
        <v>0</v>
      </c>
      <c r="Y584">
        <v>1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 s="86">
        <f>AVERAGEIFS($C$2:C584, $B$2:B584, B584)</f>
        <v>16.571428571428573</v>
      </c>
      <c r="AI584" s="86">
        <f>AVERAGEIFS($I$2:I584, $B$2:B584, B584)</f>
        <v>0.50952380952380949</v>
      </c>
      <c r="AJ584" s="86">
        <f>AVERAGEIFS($J$2:J584, $B$2:B584, B584)</f>
        <v>0.53047619047619055</v>
      </c>
      <c r="AK584" s="86">
        <f>AVERAGEIFS($D$2:D584, $B$2:B584, B584)</f>
        <v>0.61904761904761907</v>
      </c>
    </row>
    <row r="585" spans="1:37" x14ac:dyDescent="0.25">
      <c r="A585" s="85">
        <v>46105</v>
      </c>
      <c r="B585" t="s">
        <v>28</v>
      </c>
      <c r="C585">
        <v>13</v>
      </c>
      <c r="D585">
        <v>1</v>
      </c>
      <c r="E585">
        <v>3</v>
      </c>
      <c r="F585">
        <v>3</v>
      </c>
      <c r="G585">
        <v>12</v>
      </c>
      <c r="H585">
        <v>9</v>
      </c>
      <c r="I585">
        <v>1</v>
      </c>
      <c r="J585">
        <v>0.75</v>
      </c>
      <c r="K585">
        <v>0</v>
      </c>
      <c r="L585">
        <v>0</v>
      </c>
      <c r="M585">
        <v>0</v>
      </c>
      <c r="N585">
        <v>1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1</v>
      </c>
      <c r="W585">
        <v>0</v>
      </c>
      <c r="X585">
        <v>0</v>
      </c>
      <c r="Y585">
        <v>1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>
        <v>0</v>
      </c>
      <c r="AH585" s="86">
        <f>AVERAGEIFS($C$2:C585, $B$2:B585, B585)</f>
        <v>14.166666666666666</v>
      </c>
      <c r="AI585" s="86">
        <f>AVERAGEIFS($I$2:I585, $B$2:B585, B585)</f>
        <v>0.48041666666666666</v>
      </c>
      <c r="AJ585" s="86">
        <f>AVERAGEIFS($J$2:J585, $B$2:B585, B585)</f>
        <v>0.49958333333333327</v>
      </c>
      <c r="AK585" s="86">
        <f>AVERAGEIFS($D$2:D585, $B$2:B585, B585)</f>
        <v>0.41666666666666669</v>
      </c>
    </row>
    <row r="586" spans="1:37" x14ac:dyDescent="0.25">
      <c r="A586" s="85">
        <v>46105</v>
      </c>
      <c r="B586" t="s">
        <v>2</v>
      </c>
      <c r="C586">
        <v>17</v>
      </c>
      <c r="D586">
        <v>0</v>
      </c>
      <c r="E586">
        <v>3</v>
      </c>
      <c r="F586">
        <v>0</v>
      </c>
      <c r="G586">
        <v>12</v>
      </c>
      <c r="H586">
        <v>3</v>
      </c>
      <c r="I586">
        <v>0</v>
      </c>
      <c r="J586">
        <v>0.25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>
        <v>0</v>
      </c>
      <c r="AH586" s="86">
        <f>AVERAGEIFS($C$2:C586, $B$2:B586, B586)</f>
        <v>23</v>
      </c>
      <c r="AI586" s="86">
        <f>AVERAGEIFS($I$2:I586, $B$2:B586, B586)</f>
        <v>0.53192307692307694</v>
      </c>
      <c r="AJ586" s="86">
        <f>AVERAGEIFS($J$2:J586, $B$2:B586, B586)</f>
        <v>0.54115384615384621</v>
      </c>
      <c r="AK586" s="86">
        <f>AVERAGEIFS($D$2:D586, $B$2:B586, B586)</f>
        <v>0.53846153846153844</v>
      </c>
    </row>
    <row r="587" spans="1:37" x14ac:dyDescent="0.25">
      <c r="A587" s="85">
        <v>46105</v>
      </c>
      <c r="B587" t="s">
        <v>54</v>
      </c>
      <c r="C587">
        <v>17</v>
      </c>
      <c r="D587">
        <v>0</v>
      </c>
      <c r="E587">
        <v>3</v>
      </c>
      <c r="F587">
        <v>0</v>
      </c>
      <c r="G587">
        <v>12</v>
      </c>
      <c r="H587">
        <v>3</v>
      </c>
      <c r="I587">
        <v>0</v>
      </c>
      <c r="J587">
        <v>0.25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>
        <v>0</v>
      </c>
      <c r="AH587" s="86">
        <f>AVERAGEIFS($C$2:C587, $B$2:B587, B587)</f>
        <v>23.853658536585368</v>
      </c>
      <c r="AI587" s="86">
        <f>AVERAGEIFS($I$2:I587, $B$2:B587, B587)</f>
        <v>0.52487804878048783</v>
      </c>
      <c r="AJ587" s="86">
        <f>AVERAGEIFS($J$2:J587, $B$2:B587, B587)</f>
        <v>0.50609756097560976</v>
      </c>
      <c r="AK587" s="86">
        <f>AVERAGEIFS($D$2:D587, $B$2:B587, B587)</f>
        <v>0.53658536585365857</v>
      </c>
    </row>
    <row r="588" spans="1:37" x14ac:dyDescent="0.25">
      <c r="A588" s="85">
        <v>46105</v>
      </c>
      <c r="B588" t="s">
        <v>40</v>
      </c>
      <c r="C588">
        <v>14</v>
      </c>
      <c r="D588">
        <v>0</v>
      </c>
      <c r="E588">
        <v>3</v>
      </c>
      <c r="F588">
        <v>0</v>
      </c>
      <c r="G588">
        <v>12</v>
      </c>
      <c r="H588">
        <v>3</v>
      </c>
      <c r="I588">
        <v>0</v>
      </c>
      <c r="J588">
        <v>0.25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>
        <v>0</v>
      </c>
      <c r="AH588" s="86">
        <f>AVERAGEIFS($C$2:C588, $B$2:B588, B588)</f>
        <v>17.594594594594593</v>
      </c>
      <c r="AI588" s="86">
        <f>AVERAGEIFS($I$2:I588, $B$2:B588, B588)</f>
        <v>0.50810810810810803</v>
      </c>
      <c r="AJ588" s="86">
        <f>AVERAGEIFS($J$2:J588, $B$2:B588, B588)</f>
        <v>0.49621621621621631</v>
      </c>
      <c r="AK588" s="86">
        <f>AVERAGEIFS($D$2:D588, $B$2:B588, B588)</f>
        <v>0.45945945945945948</v>
      </c>
    </row>
    <row r="589" spans="1:37" x14ac:dyDescent="0.25">
      <c r="A589" s="85">
        <v>46105</v>
      </c>
      <c r="B589" t="s">
        <v>46</v>
      </c>
      <c r="C589">
        <v>13</v>
      </c>
      <c r="D589">
        <v>0</v>
      </c>
      <c r="E589">
        <v>3</v>
      </c>
      <c r="F589">
        <v>0</v>
      </c>
      <c r="G589">
        <v>12</v>
      </c>
      <c r="H589">
        <v>3</v>
      </c>
      <c r="I589">
        <v>0</v>
      </c>
      <c r="J589">
        <v>0.25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0</v>
      </c>
      <c r="AG589">
        <v>0</v>
      </c>
      <c r="AH589" s="86">
        <f>AVERAGEIFS($C$2:C589, $B$2:B589, B589)</f>
        <v>19.45</v>
      </c>
      <c r="AI589" s="86">
        <f>AVERAGEIFS($I$2:I589, $B$2:B589, B589)</f>
        <v>0.44499999999999995</v>
      </c>
      <c r="AJ589" s="86">
        <f>AVERAGEIFS($J$2:J589, $B$2:B589, B589)</f>
        <v>0.47499999999999998</v>
      </c>
      <c r="AK589" s="86">
        <f>AVERAGEIFS($D$2:D589, $B$2:B589, B589)</f>
        <v>0.4</v>
      </c>
    </row>
    <row r="590" spans="1:37" x14ac:dyDescent="0.25">
      <c r="A590" s="85">
        <v>46105</v>
      </c>
      <c r="B590" t="s">
        <v>107</v>
      </c>
      <c r="C590">
        <v>17</v>
      </c>
      <c r="D590">
        <v>0</v>
      </c>
      <c r="E590">
        <v>3</v>
      </c>
      <c r="F590">
        <v>0</v>
      </c>
      <c r="G590">
        <v>12</v>
      </c>
      <c r="H590">
        <v>3</v>
      </c>
      <c r="I590">
        <v>0</v>
      </c>
      <c r="J590">
        <v>0.25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>
        <v>0</v>
      </c>
      <c r="AH590" s="86">
        <f>AVERAGEIFS($C$2:C590, $B$2:B590, B590)</f>
        <v>15.238095238095237</v>
      </c>
      <c r="AI590" s="86">
        <f>AVERAGEIFS($I$2:I590, $B$2:B590, B590)</f>
        <v>0.588095238095238</v>
      </c>
      <c r="AJ590" s="86">
        <f>AVERAGEIFS($J$2:J590, $B$2:B590, B590)</f>
        <v>0.55333333333333345</v>
      </c>
      <c r="AK590" s="86">
        <f>AVERAGEIFS($D$2:D590, $B$2:B590, B590)</f>
        <v>0.66666666666666663</v>
      </c>
    </row>
    <row r="591" spans="1:37" x14ac:dyDescent="0.25">
      <c r="A591" s="85">
        <v>46105</v>
      </c>
      <c r="B591" t="s">
        <v>13</v>
      </c>
      <c r="C591">
        <v>5</v>
      </c>
      <c r="D591">
        <v>0</v>
      </c>
      <c r="E591">
        <v>3</v>
      </c>
      <c r="F591">
        <v>0</v>
      </c>
      <c r="G591">
        <v>12</v>
      </c>
      <c r="H591">
        <v>3</v>
      </c>
      <c r="I591">
        <v>0</v>
      </c>
      <c r="J591">
        <v>0.25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>
        <v>0</v>
      </c>
      <c r="AH591" s="86">
        <f>AVERAGEIFS($C$2:C591, $B$2:B591, B591)</f>
        <v>10.857142857142858</v>
      </c>
      <c r="AI591" s="86">
        <f>AVERAGEIFS($I$2:I591, $B$2:B591, B591)</f>
        <v>0.54285714285714282</v>
      </c>
      <c r="AJ591" s="86">
        <f>AVERAGEIFS($J$2:J591, $B$2:B591, B591)</f>
        <v>0.51285714285714279</v>
      </c>
      <c r="AK591" s="86">
        <f>AVERAGEIFS($D$2:D591, $B$2:B591, B591)</f>
        <v>0.42857142857142855</v>
      </c>
    </row>
    <row r="592" spans="1:37" x14ac:dyDescent="0.25">
      <c r="A592" s="85">
        <v>46105</v>
      </c>
      <c r="B592" t="s">
        <v>140</v>
      </c>
      <c r="C592">
        <v>11</v>
      </c>
      <c r="D592">
        <v>0</v>
      </c>
      <c r="E592">
        <v>3</v>
      </c>
      <c r="F592">
        <v>0</v>
      </c>
      <c r="G592">
        <v>12</v>
      </c>
      <c r="H592">
        <v>3</v>
      </c>
      <c r="I592">
        <v>0</v>
      </c>
      <c r="J592">
        <v>0.25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>
        <v>0</v>
      </c>
      <c r="AH592" s="86">
        <f>AVERAGEIFS($C$2:C592, $B$2:B592, B592)</f>
        <v>14.8</v>
      </c>
      <c r="AI592" s="86">
        <f>AVERAGEIFS($I$2:I592, $B$2:B592, B592)</f>
        <v>0.44000000000000006</v>
      </c>
      <c r="AJ592" s="86">
        <f>AVERAGEIFS($J$2:J592, $B$2:B592, B592)</f>
        <v>0.47400000000000003</v>
      </c>
      <c r="AK592" s="86">
        <f>AVERAGEIFS($D$2:D592, $B$2:B592, B592)</f>
        <v>0.6</v>
      </c>
    </row>
    <row r="593" spans="1:37" x14ac:dyDescent="0.25">
      <c r="A593" s="85">
        <v>46105</v>
      </c>
      <c r="B593" t="s">
        <v>27</v>
      </c>
      <c r="C593">
        <v>5</v>
      </c>
      <c r="D593">
        <v>0</v>
      </c>
      <c r="E593">
        <v>3</v>
      </c>
      <c r="F593">
        <v>0</v>
      </c>
      <c r="G593">
        <v>12</v>
      </c>
      <c r="H593">
        <v>3</v>
      </c>
      <c r="I593">
        <v>0</v>
      </c>
      <c r="J593">
        <v>0.25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>
        <v>0</v>
      </c>
      <c r="AH593" s="86">
        <f>AVERAGEIFS($C$2:C593, $B$2:B593, B593)</f>
        <v>11.625</v>
      </c>
      <c r="AI593" s="86">
        <f>AVERAGEIFS($I$2:I593, $B$2:B593, B593)</f>
        <v>0.32500000000000001</v>
      </c>
      <c r="AJ593" s="86">
        <f>AVERAGEIFS($J$2:J593, $B$2:B593, B593)</f>
        <v>0.36</v>
      </c>
      <c r="AK593" s="86">
        <f>AVERAGEIFS($D$2:D593, $B$2:B593, B593)</f>
        <v>0.25</v>
      </c>
    </row>
    <row r="594" spans="1:37" x14ac:dyDescent="0.25">
      <c r="A594" s="85">
        <v>46106</v>
      </c>
      <c r="B594" t="s">
        <v>5</v>
      </c>
      <c r="C594">
        <v>25</v>
      </c>
      <c r="D594">
        <v>1</v>
      </c>
      <c r="E594">
        <v>5</v>
      </c>
      <c r="F594">
        <v>3</v>
      </c>
      <c r="G594">
        <v>21</v>
      </c>
      <c r="H594">
        <v>9</v>
      </c>
      <c r="I594">
        <v>0.6</v>
      </c>
      <c r="J594">
        <v>0.43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1</v>
      </c>
      <c r="AA594">
        <v>0</v>
      </c>
      <c r="AB594">
        <v>1</v>
      </c>
      <c r="AC594">
        <v>0</v>
      </c>
      <c r="AD594">
        <v>1</v>
      </c>
      <c r="AE594">
        <v>0</v>
      </c>
      <c r="AF594">
        <v>0</v>
      </c>
      <c r="AG594">
        <v>0</v>
      </c>
      <c r="AH594" s="86">
        <f>AVERAGEIFS($C$2:C594, $B$2:B594, B594)</f>
        <v>21.0625</v>
      </c>
      <c r="AI594" s="86">
        <f>AVERAGEIFS($I$2:I594, $B$2:B594, B594)</f>
        <v>0.66374999999999995</v>
      </c>
      <c r="AJ594" s="86">
        <f>AVERAGEIFS($J$2:J594, $B$2:B594, B594)</f>
        <v>0.57937499999999997</v>
      </c>
      <c r="AK594" s="86">
        <f>AVERAGEIFS($D$2:D594, $B$2:B594, B594)</f>
        <v>0.8125</v>
      </c>
    </row>
    <row r="595" spans="1:37" x14ac:dyDescent="0.25">
      <c r="A595" s="85">
        <v>46106</v>
      </c>
      <c r="B595" t="s">
        <v>54</v>
      </c>
      <c r="C595">
        <v>34</v>
      </c>
      <c r="D595">
        <v>1</v>
      </c>
      <c r="E595">
        <v>5</v>
      </c>
      <c r="F595">
        <v>3</v>
      </c>
      <c r="G595">
        <v>21</v>
      </c>
      <c r="H595">
        <v>9</v>
      </c>
      <c r="I595">
        <v>0.6</v>
      </c>
      <c r="J595">
        <v>0.43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1</v>
      </c>
      <c r="AA595">
        <v>0</v>
      </c>
      <c r="AB595">
        <v>1</v>
      </c>
      <c r="AC595">
        <v>0</v>
      </c>
      <c r="AD595">
        <v>1</v>
      </c>
      <c r="AE595">
        <v>0</v>
      </c>
      <c r="AF595">
        <v>0</v>
      </c>
      <c r="AG595">
        <v>0</v>
      </c>
      <c r="AH595" s="86">
        <f>AVERAGEIFS($C$2:C595, $B$2:B595, B595)</f>
        <v>24.095238095238095</v>
      </c>
      <c r="AI595" s="86">
        <f>AVERAGEIFS($I$2:I595, $B$2:B595, B595)</f>
        <v>0.52666666666666673</v>
      </c>
      <c r="AJ595" s="86">
        <f>AVERAGEIFS($J$2:J595, $B$2:B595, B595)</f>
        <v>0.50428571428571423</v>
      </c>
      <c r="AK595" s="86">
        <f>AVERAGEIFS($D$2:D595, $B$2:B595, B595)</f>
        <v>0.54761904761904767</v>
      </c>
    </row>
    <row r="596" spans="1:37" x14ac:dyDescent="0.25">
      <c r="A596" s="85">
        <v>46106</v>
      </c>
      <c r="B596" t="s">
        <v>42</v>
      </c>
      <c r="C596">
        <v>17</v>
      </c>
      <c r="D596">
        <v>1</v>
      </c>
      <c r="E596">
        <v>5</v>
      </c>
      <c r="F596">
        <v>3</v>
      </c>
      <c r="G596">
        <v>21</v>
      </c>
      <c r="H596">
        <v>9</v>
      </c>
      <c r="I596">
        <v>0.6</v>
      </c>
      <c r="J596">
        <v>0.43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1</v>
      </c>
      <c r="AA596">
        <v>0</v>
      </c>
      <c r="AB596">
        <v>1</v>
      </c>
      <c r="AC596">
        <v>0</v>
      </c>
      <c r="AD596">
        <v>1</v>
      </c>
      <c r="AE596">
        <v>0</v>
      </c>
      <c r="AF596">
        <v>0</v>
      </c>
      <c r="AG596">
        <v>0</v>
      </c>
      <c r="AH596" s="86">
        <f>AVERAGEIFS($C$2:C596, $B$2:B596, B596)</f>
        <v>18.041666666666668</v>
      </c>
      <c r="AI596" s="86">
        <f>AVERAGEIFS($I$2:I596, $B$2:B596, B596)</f>
        <v>0.43333333333333329</v>
      </c>
      <c r="AJ596" s="86">
        <f>AVERAGEIFS($J$2:J596, $B$2:B596, B596)</f>
        <v>0.43916666666666665</v>
      </c>
      <c r="AK596" s="86">
        <f>AVERAGEIFS($D$2:D596, $B$2:B596, B596)</f>
        <v>0.45833333333333331</v>
      </c>
    </row>
    <row r="597" spans="1:37" x14ac:dyDescent="0.25">
      <c r="A597" s="85">
        <v>46106</v>
      </c>
      <c r="B597" t="s">
        <v>28</v>
      </c>
      <c r="C597">
        <v>10</v>
      </c>
      <c r="D597">
        <v>1</v>
      </c>
      <c r="E597">
        <v>5</v>
      </c>
      <c r="F597">
        <v>3</v>
      </c>
      <c r="G597">
        <v>21</v>
      </c>
      <c r="H597">
        <v>9</v>
      </c>
      <c r="I597">
        <v>0.6</v>
      </c>
      <c r="J597">
        <v>0.43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1</v>
      </c>
      <c r="AA597">
        <v>0</v>
      </c>
      <c r="AB597">
        <v>1</v>
      </c>
      <c r="AC597">
        <v>0</v>
      </c>
      <c r="AD597">
        <v>1</v>
      </c>
      <c r="AE597">
        <v>0</v>
      </c>
      <c r="AF597">
        <v>0</v>
      </c>
      <c r="AG597">
        <v>0</v>
      </c>
      <c r="AH597" s="86">
        <f>AVERAGEIFS($C$2:C597, $B$2:B597, B597)</f>
        <v>14</v>
      </c>
      <c r="AI597" s="86">
        <f>AVERAGEIFS($I$2:I597, $B$2:B597, B597)</f>
        <v>0.48519999999999996</v>
      </c>
      <c r="AJ597" s="86">
        <f>AVERAGEIFS($J$2:J597, $B$2:B597, B597)</f>
        <v>0.49679999999999991</v>
      </c>
      <c r="AK597" s="86">
        <f>AVERAGEIFS($D$2:D597, $B$2:B597, B597)</f>
        <v>0.44</v>
      </c>
    </row>
    <row r="598" spans="1:37" x14ac:dyDescent="0.25">
      <c r="A598" s="85">
        <v>46106</v>
      </c>
      <c r="B598" t="s">
        <v>44</v>
      </c>
      <c r="C598">
        <v>2</v>
      </c>
      <c r="D598">
        <v>1</v>
      </c>
      <c r="E598">
        <v>5</v>
      </c>
      <c r="F598">
        <v>3</v>
      </c>
      <c r="G598">
        <v>21</v>
      </c>
      <c r="H598">
        <v>9</v>
      </c>
      <c r="I598">
        <v>0.6</v>
      </c>
      <c r="J598">
        <v>0.43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1</v>
      </c>
      <c r="AA598">
        <v>0</v>
      </c>
      <c r="AB598">
        <v>1</v>
      </c>
      <c r="AC598">
        <v>0</v>
      </c>
      <c r="AD598">
        <v>1</v>
      </c>
      <c r="AE598">
        <v>0</v>
      </c>
      <c r="AF598">
        <v>0</v>
      </c>
      <c r="AG598">
        <v>0</v>
      </c>
      <c r="AH598" s="86">
        <f>AVERAGEIFS($C$2:C598, $B$2:B598, B598)</f>
        <v>15.909090909090908</v>
      </c>
      <c r="AI598" s="86">
        <f>AVERAGEIFS($I$2:I598, $B$2:B598, B598)</f>
        <v>0.51363636363636356</v>
      </c>
      <c r="AJ598" s="86">
        <f>AVERAGEIFS($J$2:J598, $B$2:B598, B598)</f>
        <v>0.52590909090909088</v>
      </c>
      <c r="AK598" s="86">
        <f>AVERAGEIFS($D$2:D598, $B$2:B598, B598)</f>
        <v>0.63636363636363635</v>
      </c>
    </row>
    <row r="599" spans="1:37" x14ac:dyDescent="0.25">
      <c r="A599" s="85">
        <v>46106</v>
      </c>
      <c r="B599" t="s">
        <v>71</v>
      </c>
      <c r="C599">
        <v>12</v>
      </c>
      <c r="D599">
        <v>1</v>
      </c>
      <c r="E599">
        <v>5</v>
      </c>
      <c r="F599">
        <v>3</v>
      </c>
      <c r="G599">
        <v>21</v>
      </c>
      <c r="H599">
        <v>9</v>
      </c>
      <c r="I599">
        <v>0.6</v>
      </c>
      <c r="J599">
        <v>0.43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1</v>
      </c>
      <c r="AA599">
        <v>0</v>
      </c>
      <c r="AB599">
        <v>1</v>
      </c>
      <c r="AC599">
        <v>0</v>
      </c>
      <c r="AD599">
        <v>1</v>
      </c>
      <c r="AE599">
        <v>0</v>
      </c>
      <c r="AF599">
        <v>0</v>
      </c>
      <c r="AG599">
        <v>0</v>
      </c>
      <c r="AH599" s="86">
        <f>AVERAGEIFS($C$2:C599, $B$2:B599, B599)</f>
        <v>12.857142857142858</v>
      </c>
      <c r="AI599" s="86">
        <f>AVERAGEIFS($I$2:I599, $B$2:B599, B599)</f>
        <v>0.5357142857142857</v>
      </c>
      <c r="AJ599" s="86">
        <f>AVERAGEIFS($J$2:J599, $B$2:B599, B599)</f>
        <v>0.5078571428571429</v>
      </c>
      <c r="AK599" s="86">
        <f>AVERAGEIFS($D$2:D599, $B$2:B599, B599)</f>
        <v>0.6428571428571429</v>
      </c>
    </row>
    <row r="600" spans="1:37" x14ac:dyDescent="0.25">
      <c r="A600" s="85">
        <v>46106</v>
      </c>
      <c r="B600" t="s">
        <v>46</v>
      </c>
      <c r="C600">
        <v>11</v>
      </c>
      <c r="D600">
        <v>1</v>
      </c>
      <c r="E600">
        <v>5</v>
      </c>
      <c r="F600">
        <v>3</v>
      </c>
      <c r="G600">
        <v>21</v>
      </c>
      <c r="H600">
        <v>9</v>
      </c>
      <c r="I600">
        <v>0.6</v>
      </c>
      <c r="J600">
        <v>0.43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1</v>
      </c>
      <c r="AA600">
        <v>0</v>
      </c>
      <c r="AB600">
        <v>1</v>
      </c>
      <c r="AC600">
        <v>0</v>
      </c>
      <c r="AD600">
        <v>1</v>
      </c>
      <c r="AE600">
        <v>0</v>
      </c>
      <c r="AF600">
        <v>0</v>
      </c>
      <c r="AG600">
        <v>0</v>
      </c>
      <c r="AH600" s="86">
        <f>AVERAGEIFS($C$2:C600, $B$2:B600, B600)</f>
        <v>19.047619047619047</v>
      </c>
      <c r="AI600" s="86">
        <f>AVERAGEIFS($I$2:I600, $B$2:B600, B600)</f>
        <v>0.45238095238095227</v>
      </c>
      <c r="AJ600" s="86">
        <f>AVERAGEIFS($J$2:J600, $B$2:B600, B600)</f>
        <v>0.47285714285714286</v>
      </c>
      <c r="AK600" s="86">
        <f>AVERAGEIFS($D$2:D600, $B$2:B600, B600)</f>
        <v>0.42857142857142855</v>
      </c>
    </row>
    <row r="601" spans="1:37" x14ac:dyDescent="0.25">
      <c r="A601" s="85">
        <v>46106</v>
      </c>
      <c r="B601" t="s">
        <v>40</v>
      </c>
      <c r="C601">
        <v>18</v>
      </c>
      <c r="D601">
        <v>0</v>
      </c>
      <c r="E601">
        <v>5</v>
      </c>
      <c r="F601">
        <v>2</v>
      </c>
      <c r="G601">
        <v>21</v>
      </c>
      <c r="H601">
        <v>12</v>
      </c>
      <c r="I601">
        <v>0.4</v>
      </c>
      <c r="J601">
        <v>0.56999999999999995</v>
      </c>
      <c r="K601">
        <v>0</v>
      </c>
      <c r="L601">
        <v>0</v>
      </c>
      <c r="M601">
        <v>1</v>
      </c>
      <c r="N601">
        <v>0</v>
      </c>
      <c r="O601">
        <v>0</v>
      </c>
      <c r="P601">
        <v>0</v>
      </c>
      <c r="Q601">
        <v>1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G601">
        <v>0</v>
      </c>
      <c r="AH601" s="86">
        <f>AVERAGEIFS($C$2:C601, $B$2:B601, B601)</f>
        <v>17.605263157894736</v>
      </c>
      <c r="AI601" s="86">
        <f>AVERAGEIFS($I$2:I601, $B$2:B601, B601)</f>
        <v>0.50526315789473675</v>
      </c>
      <c r="AJ601" s="86">
        <f>AVERAGEIFS($J$2:J601, $B$2:B601, B601)</f>
        <v>0.49815789473684219</v>
      </c>
      <c r="AK601" s="86">
        <f>AVERAGEIFS($D$2:D601, $B$2:B601, B601)</f>
        <v>0.44736842105263158</v>
      </c>
    </row>
    <row r="602" spans="1:37" x14ac:dyDescent="0.25">
      <c r="A602" s="85">
        <v>46106</v>
      </c>
      <c r="B602" t="s">
        <v>6</v>
      </c>
      <c r="C602">
        <v>24</v>
      </c>
      <c r="D602">
        <v>0</v>
      </c>
      <c r="E602">
        <v>5</v>
      </c>
      <c r="F602">
        <v>2</v>
      </c>
      <c r="G602">
        <v>21</v>
      </c>
      <c r="H602">
        <v>12</v>
      </c>
      <c r="I602">
        <v>0.4</v>
      </c>
      <c r="J602">
        <v>0.56999999999999995</v>
      </c>
      <c r="K602">
        <v>0</v>
      </c>
      <c r="L602">
        <v>0</v>
      </c>
      <c r="M602">
        <v>1</v>
      </c>
      <c r="N602">
        <v>0</v>
      </c>
      <c r="O602">
        <v>0</v>
      </c>
      <c r="P602">
        <v>0</v>
      </c>
      <c r="Q602">
        <v>1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>
        <v>0</v>
      </c>
      <c r="AH602" s="86">
        <f>AVERAGEIFS($C$2:C602, $B$2:B602, B602)</f>
        <v>22.23076923076923</v>
      </c>
      <c r="AI602" s="86">
        <f>AVERAGEIFS($I$2:I602, $B$2:B602, B602)</f>
        <v>0.58923076923076922</v>
      </c>
      <c r="AJ602" s="86">
        <f>AVERAGEIFS($J$2:J602, $B$2:B602, B602)</f>
        <v>0.55564102564102558</v>
      </c>
      <c r="AK602" s="86">
        <f>AVERAGEIFS($D$2:D602, $B$2:B602, B602)</f>
        <v>0.66666666666666663</v>
      </c>
    </row>
    <row r="603" spans="1:37" x14ac:dyDescent="0.25">
      <c r="A603" s="85">
        <v>46106</v>
      </c>
      <c r="B603" t="s">
        <v>113</v>
      </c>
      <c r="C603">
        <v>17</v>
      </c>
      <c r="D603">
        <v>0</v>
      </c>
      <c r="E603">
        <v>5</v>
      </c>
      <c r="F603">
        <v>2</v>
      </c>
      <c r="G603">
        <v>21</v>
      </c>
      <c r="H603">
        <v>12</v>
      </c>
      <c r="I603">
        <v>0.4</v>
      </c>
      <c r="J603">
        <v>0.56999999999999995</v>
      </c>
      <c r="K603">
        <v>0</v>
      </c>
      <c r="L603">
        <v>0</v>
      </c>
      <c r="M603">
        <v>1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>
        <v>0</v>
      </c>
      <c r="AH603" s="86">
        <f>AVERAGEIFS($C$2:C603, $B$2:B603, B603)</f>
        <v>16.352941176470587</v>
      </c>
      <c r="AI603" s="86">
        <f>AVERAGEIFS($I$2:I603, $B$2:B603, B603)</f>
        <v>0.51176470588235301</v>
      </c>
      <c r="AJ603" s="86">
        <f>AVERAGEIFS($J$2:J603, $B$2:B603, B603)</f>
        <v>0.4882352941176471</v>
      </c>
      <c r="AK603" s="86">
        <f>AVERAGEIFS($D$2:D603, $B$2:B603, B603)</f>
        <v>0.47058823529411764</v>
      </c>
    </row>
    <row r="604" spans="1:37" x14ac:dyDescent="0.25">
      <c r="A604" s="85">
        <v>46106</v>
      </c>
      <c r="B604" t="s">
        <v>107</v>
      </c>
      <c r="C604">
        <v>20</v>
      </c>
      <c r="D604">
        <v>0</v>
      </c>
      <c r="E604">
        <v>5</v>
      </c>
      <c r="F604">
        <v>2</v>
      </c>
      <c r="G604">
        <v>21</v>
      </c>
      <c r="H604">
        <v>12</v>
      </c>
      <c r="I604">
        <v>0.4</v>
      </c>
      <c r="J604">
        <v>0.56999999999999995</v>
      </c>
      <c r="K604">
        <v>0</v>
      </c>
      <c r="L604">
        <v>0</v>
      </c>
      <c r="M604">
        <v>1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>
        <v>0</v>
      </c>
      <c r="AH604" s="86">
        <f>AVERAGEIFS($C$2:C604, $B$2:B604, B604)</f>
        <v>15.454545454545455</v>
      </c>
      <c r="AI604" s="86">
        <f>AVERAGEIFS($I$2:I604, $B$2:B604, B604)</f>
        <v>0.57954545454545447</v>
      </c>
      <c r="AJ604" s="86">
        <f>AVERAGEIFS($J$2:J604, $B$2:B604, B604)</f>
        <v>0.55409090909090919</v>
      </c>
      <c r="AK604" s="86">
        <f>AVERAGEIFS($D$2:D604, $B$2:B604, B604)</f>
        <v>0.63636363636363635</v>
      </c>
    </row>
    <row r="605" spans="1:37" x14ac:dyDescent="0.25">
      <c r="A605" s="85">
        <v>46106</v>
      </c>
      <c r="B605" t="s">
        <v>140</v>
      </c>
      <c r="C605">
        <v>14</v>
      </c>
      <c r="D605">
        <v>0</v>
      </c>
      <c r="E605">
        <v>5</v>
      </c>
      <c r="F605">
        <v>2</v>
      </c>
      <c r="G605">
        <v>21</v>
      </c>
      <c r="H605">
        <v>12</v>
      </c>
      <c r="I605">
        <v>0.4</v>
      </c>
      <c r="J605">
        <v>0.56999999999999995</v>
      </c>
      <c r="K605">
        <v>0</v>
      </c>
      <c r="L605">
        <v>0</v>
      </c>
      <c r="M605">
        <v>1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>
        <v>0</v>
      </c>
      <c r="AH605" s="86">
        <f>AVERAGEIFS($C$2:C605, $B$2:B605, B605)</f>
        <v>14.666666666666666</v>
      </c>
      <c r="AI605" s="86">
        <f>AVERAGEIFS($I$2:I605, $B$2:B605, B605)</f>
        <v>0.43333333333333335</v>
      </c>
      <c r="AJ605" s="86">
        <f>AVERAGEIFS($J$2:J605, $B$2:B605, B605)</f>
        <v>0.49</v>
      </c>
      <c r="AK605" s="86">
        <f>AVERAGEIFS($D$2:D605, $B$2:B605, B605)</f>
        <v>0.5</v>
      </c>
    </row>
    <row r="606" spans="1:37" x14ac:dyDescent="0.25">
      <c r="A606" s="85">
        <v>46106</v>
      </c>
      <c r="B606" t="s">
        <v>150</v>
      </c>
      <c r="C606">
        <v>13</v>
      </c>
      <c r="D606">
        <v>0</v>
      </c>
      <c r="E606">
        <v>5</v>
      </c>
      <c r="F606">
        <v>2</v>
      </c>
      <c r="G606">
        <v>21</v>
      </c>
      <c r="H606">
        <v>12</v>
      </c>
      <c r="I606">
        <v>0.4</v>
      </c>
      <c r="J606">
        <v>0.56999999999999995</v>
      </c>
      <c r="K606">
        <v>0</v>
      </c>
      <c r="L606">
        <v>0</v>
      </c>
      <c r="M606">
        <v>1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>
        <v>0</v>
      </c>
      <c r="AH606" s="86">
        <f>AVERAGEIFS($C$2:C606, $B$2:B606, B606)</f>
        <v>12</v>
      </c>
      <c r="AI606" s="86">
        <f>AVERAGEIFS($I$2:I606, $B$2:B606, B606)</f>
        <v>0.44999999999999996</v>
      </c>
      <c r="AJ606" s="86">
        <f>AVERAGEIFS($J$2:J606, $B$2:B606, B606)</f>
        <v>0.495</v>
      </c>
      <c r="AK606" s="86">
        <f>AVERAGEIFS($D$2:D606, $B$2:B606, B606)</f>
        <v>0.25</v>
      </c>
    </row>
    <row r="607" spans="1:37" x14ac:dyDescent="0.25">
      <c r="A607" s="85">
        <v>46107</v>
      </c>
      <c r="B607" t="s">
        <v>52</v>
      </c>
      <c r="C607">
        <v>31</v>
      </c>
      <c r="D607">
        <v>1</v>
      </c>
      <c r="E607">
        <v>5</v>
      </c>
      <c r="F607">
        <v>3</v>
      </c>
      <c r="G607">
        <v>21</v>
      </c>
      <c r="H607">
        <v>12</v>
      </c>
      <c r="I607">
        <v>0.6</v>
      </c>
      <c r="J607">
        <v>0.56999999999999995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1</v>
      </c>
      <c r="X607">
        <v>0</v>
      </c>
      <c r="Y607">
        <v>0</v>
      </c>
      <c r="Z607">
        <v>1</v>
      </c>
      <c r="AA607">
        <v>0</v>
      </c>
      <c r="AB607">
        <v>0</v>
      </c>
      <c r="AC607">
        <v>1</v>
      </c>
      <c r="AD607">
        <v>0</v>
      </c>
      <c r="AE607">
        <v>0</v>
      </c>
      <c r="AF607">
        <v>0</v>
      </c>
      <c r="AG607">
        <v>0</v>
      </c>
      <c r="AH607" s="86">
        <f>AVERAGEIFS($C$2:C607, $B$2:B607, B607)</f>
        <v>16.25</v>
      </c>
      <c r="AI607" s="86">
        <f>AVERAGEIFS($I$2:I607, $B$2:B607, B607)</f>
        <v>0.45</v>
      </c>
      <c r="AJ607" s="86">
        <f>AVERAGEIFS($J$2:J607, $B$2:B607, B607)</f>
        <v>0.45833333333333343</v>
      </c>
      <c r="AK607" s="86">
        <f>AVERAGEIFS($D$2:D607, $B$2:B607, B607)</f>
        <v>0.33333333333333331</v>
      </c>
    </row>
    <row r="608" spans="1:37" x14ac:dyDescent="0.25">
      <c r="A608" s="85">
        <v>46107</v>
      </c>
      <c r="B608" t="s">
        <v>107</v>
      </c>
      <c r="C608">
        <v>29</v>
      </c>
      <c r="D608">
        <v>1</v>
      </c>
      <c r="E608">
        <v>5</v>
      </c>
      <c r="F608">
        <v>3</v>
      </c>
      <c r="G608">
        <v>21</v>
      </c>
      <c r="H608">
        <v>12</v>
      </c>
      <c r="I608">
        <v>0.6</v>
      </c>
      <c r="J608">
        <v>0.56999999999999995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1</v>
      </c>
      <c r="X608">
        <v>0</v>
      </c>
      <c r="Y608">
        <v>0</v>
      </c>
      <c r="Z608">
        <v>1</v>
      </c>
      <c r="AA608">
        <v>0</v>
      </c>
      <c r="AB608">
        <v>0</v>
      </c>
      <c r="AC608">
        <v>1</v>
      </c>
      <c r="AD608">
        <v>0</v>
      </c>
      <c r="AE608">
        <v>0</v>
      </c>
      <c r="AF608">
        <v>0</v>
      </c>
      <c r="AG608">
        <v>0</v>
      </c>
      <c r="AH608" s="86">
        <f>AVERAGEIFS($C$2:C608, $B$2:B608, B608)</f>
        <v>16.043478260869566</v>
      </c>
      <c r="AI608" s="86">
        <f>AVERAGEIFS($I$2:I608, $B$2:B608, B608)</f>
        <v>0.58043478260869552</v>
      </c>
      <c r="AJ608" s="86">
        <f>AVERAGEIFS($J$2:J608, $B$2:B608, B608)</f>
        <v>0.55478260869565232</v>
      </c>
      <c r="AK608" s="86">
        <f>AVERAGEIFS($D$2:D608, $B$2:B608, B608)</f>
        <v>0.65217391304347827</v>
      </c>
    </row>
    <row r="609" spans="1:37" x14ac:dyDescent="0.25">
      <c r="A609" s="85">
        <v>46107</v>
      </c>
      <c r="B609" t="s">
        <v>6</v>
      </c>
      <c r="C609">
        <v>27</v>
      </c>
      <c r="D609">
        <v>1</v>
      </c>
      <c r="E609">
        <v>5</v>
      </c>
      <c r="F609">
        <v>3</v>
      </c>
      <c r="G609">
        <v>21</v>
      </c>
      <c r="H609">
        <v>12</v>
      </c>
      <c r="I609">
        <v>0.6</v>
      </c>
      <c r="J609">
        <v>0.56999999999999995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1</v>
      </c>
      <c r="X609">
        <v>0</v>
      </c>
      <c r="Y609">
        <v>0</v>
      </c>
      <c r="Z609">
        <v>1</v>
      </c>
      <c r="AA609">
        <v>0</v>
      </c>
      <c r="AB609">
        <v>0</v>
      </c>
      <c r="AC609">
        <v>1</v>
      </c>
      <c r="AD609">
        <v>0</v>
      </c>
      <c r="AE609">
        <v>0</v>
      </c>
      <c r="AF609">
        <v>0</v>
      </c>
      <c r="AG609">
        <v>0</v>
      </c>
      <c r="AH609" s="86">
        <f>AVERAGEIFS($C$2:C609, $B$2:B609, B609)</f>
        <v>22.35</v>
      </c>
      <c r="AI609" s="86">
        <f>AVERAGEIFS($I$2:I609, $B$2:B609, B609)</f>
        <v>0.58950000000000002</v>
      </c>
      <c r="AJ609" s="86">
        <f>AVERAGEIFS($J$2:J609, $B$2:B609, B609)</f>
        <v>0.55599999999999994</v>
      </c>
      <c r="AK609" s="86">
        <f>AVERAGEIFS($D$2:D609, $B$2:B609, B609)</f>
        <v>0.67500000000000004</v>
      </c>
    </row>
    <row r="610" spans="1:37" x14ac:dyDescent="0.25">
      <c r="A610" s="85">
        <v>46107</v>
      </c>
      <c r="B610" t="s">
        <v>150</v>
      </c>
      <c r="C610">
        <v>15</v>
      </c>
      <c r="D610">
        <v>1</v>
      </c>
      <c r="E610">
        <v>5</v>
      </c>
      <c r="F610">
        <v>3</v>
      </c>
      <c r="G610">
        <v>21</v>
      </c>
      <c r="H610">
        <v>12</v>
      </c>
      <c r="I610">
        <v>0.6</v>
      </c>
      <c r="J610">
        <v>0.56999999999999995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1</v>
      </c>
      <c r="X610">
        <v>0</v>
      </c>
      <c r="Y610">
        <v>0</v>
      </c>
      <c r="Z610">
        <v>1</v>
      </c>
      <c r="AA610">
        <v>0</v>
      </c>
      <c r="AB610">
        <v>0</v>
      </c>
      <c r="AC610">
        <v>1</v>
      </c>
      <c r="AD610">
        <v>0</v>
      </c>
      <c r="AE610">
        <v>0</v>
      </c>
      <c r="AF610">
        <v>0</v>
      </c>
      <c r="AG610">
        <v>0</v>
      </c>
      <c r="AH610" s="86">
        <f>AVERAGEIFS($C$2:C610, $B$2:B610, B610)</f>
        <v>12.6</v>
      </c>
      <c r="AI610" s="86">
        <f>AVERAGEIFS($I$2:I610, $B$2:B610, B610)</f>
        <v>0.48</v>
      </c>
      <c r="AJ610" s="86">
        <f>AVERAGEIFS($J$2:J610, $B$2:B610, B610)</f>
        <v>0.51</v>
      </c>
      <c r="AK610" s="86">
        <f>AVERAGEIFS($D$2:D610, $B$2:B610, B610)</f>
        <v>0.4</v>
      </c>
    </row>
    <row r="611" spans="1:37" x14ac:dyDescent="0.25">
      <c r="A611" s="85">
        <v>46107</v>
      </c>
      <c r="B611" t="s">
        <v>71</v>
      </c>
      <c r="C611">
        <v>13</v>
      </c>
      <c r="D611">
        <v>1</v>
      </c>
      <c r="E611">
        <v>5</v>
      </c>
      <c r="F611">
        <v>3</v>
      </c>
      <c r="G611">
        <v>21</v>
      </c>
      <c r="H611">
        <v>12</v>
      </c>
      <c r="I611">
        <v>0.6</v>
      </c>
      <c r="J611">
        <v>0.56999999999999995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1</v>
      </c>
      <c r="X611">
        <v>0</v>
      </c>
      <c r="Y611">
        <v>0</v>
      </c>
      <c r="Z611">
        <v>1</v>
      </c>
      <c r="AA611">
        <v>0</v>
      </c>
      <c r="AB611">
        <v>0</v>
      </c>
      <c r="AC611">
        <v>1</v>
      </c>
      <c r="AD611">
        <v>0</v>
      </c>
      <c r="AE611">
        <v>0</v>
      </c>
      <c r="AF611">
        <v>0</v>
      </c>
      <c r="AG611">
        <v>0</v>
      </c>
      <c r="AH611" s="86">
        <f>AVERAGEIFS($C$2:C611, $B$2:B611, B611)</f>
        <v>12.866666666666667</v>
      </c>
      <c r="AI611" s="86">
        <f>AVERAGEIFS($I$2:I611, $B$2:B611, B611)</f>
        <v>0.53999999999999992</v>
      </c>
      <c r="AJ611" s="86">
        <f>AVERAGEIFS($J$2:J611, $B$2:B611, B611)</f>
        <v>0.51200000000000001</v>
      </c>
      <c r="AK611" s="86">
        <f>AVERAGEIFS($D$2:D611, $B$2:B611, B611)</f>
        <v>0.66666666666666663</v>
      </c>
    </row>
    <row r="612" spans="1:37" x14ac:dyDescent="0.25">
      <c r="A612" s="85">
        <v>46107</v>
      </c>
      <c r="B612" t="s">
        <v>153</v>
      </c>
      <c r="C612">
        <v>8</v>
      </c>
      <c r="D612">
        <v>1</v>
      </c>
      <c r="E612">
        <v>5</v>
      </c>
      <c r="F612">
        <v>3</v>
      </c>
      <c r="G612">
        <v>21</v>
      </c>
      <c r="H612">
        <v>12</v>
      </c>
      <c r="I612">
        <v>0.6</v>
      </c>
      <c r="J612">
        <v>0.56999999999999995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1</v>
      </c>
      <c r="X612">
        <v>0</v>
      </c>
      <c r="Y612">
        <v>0</v>
      </c>
      <c r="Z612">
        <v>1</v>
      </c>
      <c r="AA612">
        <v>0</v>
      </c>
      <c r="AB612">
        <v>0</v>
      </c>
      <c r="AC612">
        <v>1</v>
      </c>
      <c r="AD612">
        <v>0</v>
      </c>
      <c r="AE612">
        <v>0</v>
      </c>
      <c r="AF612">
        <v>0</v>
      </c>
      <c r="AG612">
        <v>0</v>
      </c>
      <c r="AH612" s="86">
        <f>AVERAGEIFS($C$2:C612, $B$2:B612, B612)</f>
        <v>8</v>
      </c>
      <c r="AI612" s="86">
        <f>AVERAGEIFS($I$2:I612, $B$2:B612, B612)</f>
        <v>0.6</v>
      </c>
      <c r="AJ612" s="86">
        <f>AVERAGEIFS($J$2:J612, $B$2:B612, B612)</f>
        <v>0.56999999999999995</v>
      </c>
      <c r="AK612" s="86">
        <f>AVERAGEIFS($D$2:D612, $B$2:B612, B612)</f>
        <v>1</v>
      </c>
    </row>
    <row r="613" spans="1:37" x14ac:dyDescent="0.25">
      <c r="A613" s="85">
        <v>46107</v>
      </c>
      <c r="B613" t="s">
        <v>1</v>
      </c>
      <c r="C613">
        <v>46</v>
      </c>
      <c r="D613">
        <v>0</v>
      </c>
      <c r="E613">
        <v>5</v>
      </c>
      <c r="F613">
        <v>2</v>
      </c>
      <c r="G613">
        <v>21</v>
      </c>
      <c r="H613">
        <v>9</v>
      </c>
      <c r="I613">
        <v>0.4</v>
      </c>
      <c r="J613">
        <v>0.43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0</v>
      </c>
      <c r="AD613">
        <v>0</v>
      </c>
      <c r="AE613">
        <v>1</v>
      </c>
      <c r="AF613">
        <v>0</v>
      </c>
      <c r="AG613">
        <v>1</v>
      </c>
      <c r="AH613" s="86">
        <f>AVERAGEIFS($C$2:C613, $B$2:B613, B613)</f>
        <v>27.157894736842106</v>
      </c>
      <c r="AI613" s="86">
        <f>AVERAGEIFS($I$2:I613, $B$2:B613, B613)</f>
        <v>0.41315789473684211</v>
      </c>
      <c r="AJ613" s="86">
        <f>AVERAGEIFS($J$2:J613, $B$2:B613, B613)</f>
        <v>0.44368421052631579</v>
      </c>
      <c r="AK613" s="86">
        <f>AVERAGEIFS($D$2:D613, $B$2:B613, B613)</f>
        <v>0.42105263157894735</v>
      </c>
    </row>
    <row r="614" spans="1:37" x14ac:dyDescent="0.25">
      <c r="A614" s="85">
        <v>46107</v>
      </c>
      <c r="B614" t="s">
        <v>13</v>
      </c>
      <c r="C614">
        <v>19</v>
      </c>
      <c r="D614">
        <v>0</v>
      </c>
      <c r="E614">
        <v>5</v>
      </c>
      <c r="F614">
        <v>2</v>
      </c>
      <c r="G614">
        <v>21</v>
      </c>
      <c r="H614">
        <v>9</v>
      </c>
      <c r="I614">
        <v>0.4</v>
      </c>
      <c r="J614">
        <v>0.43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</v>
      </c>
      <c r="AD614">
        <v>0</v>
      </c>
      <c r="AE614">
        <v>1</v>
      </c>
      <c r="AF614">
        <v>0</v>
      </c>
      <c r="AG614">
        <v>1</v>
      </c>
      <c r="AH614" s="86">
        <f>AVERAGEIFS($C$2:C614, $B$2:B614, B614)</f>
        <v>11.875</v>
      </c>
      <c r="AI614" s="86">
        <f>AVERAGEIFS($I$2:I614, $B$2:B614, B614)</f>
        <v>0.52500000000000002</v>
      </c>
      <c r="AJ614" s="86">
        <f>AVERAGEIFS($J$2:J614, $B$2:B614, B614)</f>
        <v>0.50249999999999995</v>
      </c>
      <c r="AK614" s="86">
        <f>AVERAGEIFS($D$2:D614, $B$2:B614, B614)</f>
        <v>0.375</v>
      </c>
    </row>
    <row r="615" spans="1:37" x14ac:dyDescent="0.25">
      <c r="A615" s="85">
        <v>46107</v>
      </c>
      <c r="B615" t="s">
        <v>50</v>
      </c>
      <c r="C615">
        <v>16</v>
      </c>
      <c r="D615">
        <v>0</v>
      </c>
      <c r="E615">
        <v>5</v>
      </c>
      <c r="F615">
        <v>2</v>
      </c>
      <c r="G615">
        <v>21</v>
      </c>
      <c r="H615">
        <v>9</v>
      </c>
      <c r="I615">
        <v>0.4</v>
      </c>
      <c r="J615">
        <v>0.43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</v>
      </c>
      <c r="AB615">
        <v>0</v>
      </c>
      <c r="AC615">
        <v>0</v>
      </c>
      <c r="AD615">
        <v>0</v>
      </c>
      <c r="AE615">
        <v>1</v>
      </c>
      <c r="AF615">
        <v>0</v>
      </c>
      <c r="AG615">
        <v>1</v>
      </c>
      <c r="AH615" s="86">
        <f>AVERAGEIFS($C$2:C615, $B$2:B615, B615)</f>
        <v>18.448275862068964</v>
      </c>
      <c r="AI615" s="86">
        <f>AVERAGEIFS($I$2:I615, $B$2:B615, B615)</f>
        <v>0.53034482758620693</v>
      </c>
      <c r="AJ615" s="86">
        <f>AVERAGEIFS($J$2:J615, $B$2:B615, B615)</f>
        <v>0.53241379310344816</v>
      </c>
      <c r="AK615" s="86">
        <f>AVERAGEIFS($D$2:D615, $B$2:B615, B615)</f>
        <v>0.51724137931034486</v>
      </c>
    </row>
    <row r="616" spans="1:37" x14ac:dyDescent="0.25">
      <c r="A616" s="85">
        <v>46107</v>
      </c>
      <c r="B616" t="s">
        <v>140</v>
      </c>
      <c r="C616">
        <v>14</v>
      </c>
      <c r="D616">
        <v>0</v>
      </c>
      <c r="E616">
        <v>5</v>
      </c>
      <c r="F616">
        <v>2</v>
      </c>
      <c r="G616">
        <v>21</v>
      </c>
      <c r="H616">
        <v>9</v>
      </c>
      <c r="I616">
        <v>0.4</v>
      </c>
      <c r="J616">
        <v>0.43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</v>
      </c>
      <c r="AC616">
        <v>0</v>
      </c>
      <c r="AD616">
        <v>0</v>
      </c>
      <c r="AE616">
        <v>1</v>
      </c>
      <c r="AF616">
        <v>0</v>
      </c>
      <c r="AG616">
        <v>1</v>
      </c>
      <c r="AH616" s="86">
        <f>AVERAGEIFS($C$2:C616, $B$2:B616, B616)</f>
        <v>14.571428571428571</v>
      </c>
      <c r="AI616" s="86">
        <f>AVERAGEIFS($I$2:I616, $B$2:B616, B616)</f>
        <v>0.42857142857142855</v>
      </c>
      <c r="AJ616" s="86">
        <f>AVERAGEIFS($J$2:J616, $B$2:B616, B616)</f>
        <v>0.48142857142857143</v>
      </c>
      <c r="AK616" s="86">
        <f>AVERAGEIFS($D$2:D616, $B$2:B616, B616)</f>
        <v>0.42857142857142855</v>
      </c>
    </row>
    <row r="617" spans="1:37" x14ac:dyDescent="0.25">
      <c r="A617" s="85">
        <v>46107</v>
      </c>
      <c r="B617" t="s">
        <v>40</v>
      </c>
      <c r="C617">
        <v>12</v>
      </c>
      <c r="D617">
        <v>0</v>
      </c>
      <c r="E617">
        <v>5</v>
      </c>
      <c r="F617">
        <v>2</v>
      </c>
      <c r="G617">
        <v>21</v>
      </c>
      <c r="H617">
        <v>9</v>
      </c>
      <c r="I617">
        <v>0.4</v>
      </c>
      <c r="J617">
        <v>0.43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0</v>
      </c>
      <c r="AB617">
        <v>0</v>
      </c>
      <c r="AC617">
        <v>0</v>
      </c>
      <c r="AD617">
        <v>0</v>
      </c>
      <c r="AE617">
        <v>1</v>
      </c>
      <c r="AF617">
        <v>0</v>
      </c>
      <c r="AG617">
        <v>1</v>
      </c>
      <c r="AH617" s="86">
        <f>AVERAGEIFS($C$2:C617, $B$2:B617, B617)</f>
        <v>17.46153846153846</v>
      </c>
      <c r="AI617" s="86">
        <f>AVERAGEIFS($I$2:I617, $B$2:B617, B617)</f>
        <v>0.50256410256410244</v>
      </c>
      <c r="AJ617" s="86">
        <f>AVERAGEIFS($J$2:J617, $B$2:B617, B617)</f>
        <v>0.49641025641025649</v>
      </c>
      <c r="AK617" s="86">
        <f>AVERAGEIFS($D$2:D617, $B$2:B617, B617)</f>
        <v>0.4358974358974359</v>
      </c>
    </row>
    <row r="618" spans="1:37" x14ac:dyDescent="0.25">
      <c r="A618" s="85">
        <v>46107</v>
      </c>
      <c r="B618" t="s">
        <v>35</v>
      </c>
      <c r="C618">
        <v>5</v>
      </c>
      <c r="D618">
        <v>0</v>
      </c>
      <c r="E618">
        <v>5</v>
      </c>
      <c r="F618">
        <v>2</v>
      </c>
      <c r="G618">
        <v>21</v>
      </c>
      <c r="H618">
        <v>9</v>
      </c>
      <c r="I618">
        <v>0.4</v>
      </c>
      <c r="J618">
        <v>0.43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</v>
      </c>
      <c r="AC618">
        <v>0</v>
      </c>
      <c r="AD618">
        <v>0</v>
      </c>
      <c r="AE618">
        <v>1</v>
      </c>
      <c r="AF618">
        <v>0</v>
      </c>
      <c r="AG618">
        <v>1</v>
      </c>
      <c r="AH618" s="86">
        <f>AVERAGEIFS($C$2:C618, $B$2:B618, B618)</f>
        <v>10.515151515151516</v>
      </c>
      <c r="AI618" s="86">
        <f>AVERAGEIFS($I$2:I618, $B$2:B618, B618)</f>
        <v>0.4615151515151516</v>
      </c>
      <c r="AJ618" s="86">
        <f>AVERAGEIFS($J$2:J618, $B$2:B618, B618)</f>
        <v>0.48848484848484852</v>
      </c>
      <c r="AK618" s="86">
        <f>AVERAGEIFS($D$2:D618, $B$2:B618, B618)</f>
        <v>0.42424242424242425</v>
      </c>
    </row>
    <row r="619" spans="1:37" x14ac:dyDescent="0.25">
      <c r="A619" s="85">
        <v>46107</v>
      </c>
      <c r="B619" t="s">
        <v>1</v>
      </c>
      <c r="C619">
        <v>20</v>
      </c>
      <c r="D619">
        <v>1</v>
      </c>
      <c r="E619">
        <v>3</v>
      </c>
      <c r="F619">
        <v>3</v>
      </c>
      <c r="G619">
        <v>10</v>
      </c>
      <c r="H619">
        <v>9</v>
      </c>
      <c r="I619">
        <v>1</v>
      </c>
      <c r="J619">
        <v>0.9</v>
      </c>
      <c r="K619">
        <v>1</v>
      </c>
      <c r="L619">
        <v>0</v>
      </c>
      <c r="M619">
        <v>1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0</v>
      </c>
      <c r="AC619">
        <v>1</v>
      </c>
      <c r="AD619">
        <v>0</v>
      </c>
      <c r="AE619">
        <v>0</v>
      </c>
      <c r="AF619">
        <v>0</v>
      </c>
      <c r="AG619">
        <v>0</v>
      </c>
      <c r="AH619" s="86">
        <f>AVERAGEIFS($C$2:C619, $B$2:B619, B619)</f>
        <v>26.8</v>
      </c>
      <c r="AI619" s="86">
        <f>AVERAGEIFS($I$2:I619, $B$2:B619, B619)</f>
        <v>0.44250000000000006</v>
      </c>
      <c r="AJ619" s="86">
        <f>AVERAGEIFS($J$2:J619, $B$2:B619, B619)</f>
        <v>0.46650000000000003</v>
      </c>
      <c r="AK619" s="86">
        <f>AVERAGEIFS($D$2:D619, $B$2:B619, B619)</f>
        <v>0.45</v>
      </c>
    </row>
    <row r="620" spans="1:37" x14ac:dyDescent="0.25">
      <c r="A620" s="85">
        <v>46107</v>
      </c>
      <c r="B620" t="s">
        <v>50</v>
      </c>
      <c r="C620">
        <v>19</v>
      </c>
      <c r="D620">
        <v>1</v>
      </c>
      <c r="E620">
        <v>3</v>
      </c>
      <c r="F620">
        <v>3</v>
      </c>
      <c r="G620">
        <v>10</v>
      </c>
      <c r="H620">
        <v>9</v>
      </c>
      <c r="I620">
        <v>1</v>
      </c>
      <c r="J620">
        <v>0.9</v>
      </c>
      <c r="K620">
        <v>1</v>
      </c>
      <c r="L620">
        <v>0</v>
      </c>
      <c r="M620">
        <v>1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0</v>
      </c>
      <c r="AC620">
        <v>1</v>
      </c>
      <c r="AD620">
        <v>0</v>
      </c>
      <c r="AE620">
        <v>0</v>
      </c>
      <c r="AF620">
        <v>0</v>
      </c>
      <c r="AG620">
        <v>0</v>
      </c>
      <c r="AH620" s="86">
        <f>AVERAGEIFS($C$2:C620, $B$2:B620, B620)</f>
        <v>18.466666666666665</v>
      </c>
      <c r="AI620" s="86">
        <f>AVERAGEIFS($I$2:I620, $B$2:B620, B620)</f>
        <v>0.54600000000000004</v>
      </c>
      <c r="AJ620" s="86">
        <f>AVERAGEIFS($J$2:J620, $B$2:B620, B620)</f>
        <v>0.54466666666666652</v>
      </c>
      <c r="AK620" s="86">
        <f>AVERAGEIFS($D$2:D620, $B$2:B620, B620)</f>
        <v>0.53333333333333333</v>
      </c>
    </row>
    <row r="621" spans="1:37" x14ac:dyDescent="0.25">
      <c r="A621" s="85">
        <v>46107</v>
      </c>
      <c r="B621" t="s">
        <v>52</v>
      </c>
      <c r="C621">
        <v>13</v>
      </c>
      <c r="D621">
        <v>1</v>
      </c>
      <c r="E621">
        <v>3</v>
      </c>
      <c r="F621">
        <v>3</v>
      </c>
      <c r="G621">
        <v>10</v>
      </c>
      <c r="H621">
        <v>9</v>
      </c>
      <c r="I621">
        <v>1</v>
      </c>
      <c r="J621">
        <v>0.9</v>
      </c>
      <c r="K621">
        <v>1</v>
      </c>
      <c r="L621">
        <v>0</v>
      </c>
      <c r="M621">
        <v>1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0</v>
      </c>
      <c r="AC621">
        <v>1</v>
      </c>
      <c r="AD621">
        <v>0</v>
      </c>
      <c r="AE621">
        <v>0</v>
      </c>
      <c r="AF621">
        <v>0</v>
      </c>
      <c r="AG621">
        <v>0</v>
      </c>
      <c r="AH621" s="86">
        <f>AVERAGEIFS($C$2:C621, $B$2:B621, B621)</f>
        <v>16</v>
      </c>
      <c r="AI621" s="86">
        <f>AVERAGEIFS($I$2:I621, $B$2:B621, B621)</f>
        <v>0.49230769230769234</v>
      </c>
      <c r="AJ621" s="86">
        <f>AVERAGEIFS($J$2:J621, $B$2:B621, B621)</f>
        <v>0.49230769230769239</v>
      </c>
      <c r="AK621" s="86">
        <f>AVERAGEIFS($D$2:D621, $B$2:B621, B621)</f>
        <v>0.38461538461538464</v>
      </c>
    </row>
    <row r="622" spans="1:37" x14ac:dyDescent="0.25">
      <c r="A622" s="85">
        <v>46107</v>
      </c>
      <c r="B622" t="s">
        <v>113</v>
      </c>
      <c r="C622">
        <v>15</v>
      </c>
      <c r="D622">
        <v>1</v>
      </c>
      <c r="E622">
        <v>3</v>
      </c>
      <c r="F622">
        <v>3</v>
      </c>
      <c r="G622">
        <v>10</v>
      </c>
      <c r="H622">
        <v>9</v>
      </c>
      <c r="I622">
        <v>1</v>
      </c>
      <c r="J622">
        <v>0.9</v>
      </c>
      <c r="K622">
        <v>1</v>
      </c>
      <c r="L622">
        <v>0</v>
      </c>
      <c r="M622">
        <v>1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0</v>
      </c>
      <c r="AC622">
        <v>1</v>
      </c>
      <c r="AD622">
        <v>0</v>
      </c>
      <c r="AE622">
        <v>0</v>
      </c>
      <c r="AF622">
        <v>0</v>
      </c>
      <c r="AG622">
        <v>0</v>
      </c>
      <c r="AH622" s="86">
        <f>AVERAGEIFS($C$2:C622, $B$2:B622, B622)</f>
        <v>16.277777777777779</v>
      </c>
      <c r="AI622" s="86">
        <f>AVERAGEIFS($I$2:I622, $B$2:B622, B622)</f>
        <v>0.53888888888888897</v>
      </c>
      <c r="AJ622" s="86">
        <f>AVERAGEIFS($J$2:J622, $B$2:B622, B622)</f>
        <v>0.51111111111111118</v>
      </c>
      <c r="AK622" s="86">
        <f>AVERAGEIFS($D$2:D622, $B$2:B622, B622)</f>
        <v>0.5</v>
      </c>
    </row>
    <row r="623" spans="1:37" x14ac:dyDescent="0.25">
      <c r="A623" s="85">
        <v>46107</v>
      </c>
      <c r="B623" t="s">
        <v>13</v>
      </c>
      <c r="C623">
        <v>11</v>
      </c>
      <c r="D623">
        <v>1</v>
      </c>
      <c r="E623">
        <v>3</v>
      </c>
      <c r="F623">
        <v>3</v>
      </c>
      <c r="G623">
        <v>10</v>
      </c>
      <c r="H623">
        <v>9</v>
      </c>
      <c r="I623">
        <v>1</v>
      </c>
      <c r="J623">
        <v>0.9</v>
      </c>
      <c r="K623">
        <v>1</v>
      </c>
      <c r="L623">
        <v>0</v>
      </c>
      <c r="M623">
        <v>1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0</v>
      </c>
      <c r="AC623">
        <v>1</v>
      </c>
      <c r="AD623">
        <v>0</v>
      </c>
      <c r="AE623">
        <v>0</v>
      </c>
      <c r="AF623">
        <v>0</v>
      </c>
      <c r="AG623">
        <v>0</v>
      </c>
      <c r="AH623" s="86">
        <f>AVERAGEIFS($C$2:C623, $B$2:B623, B623)</f>
        <v>11.777777777777779</v>
      </c>
      <c r="AI623" s="86">
        <f>AVERAGEIFS($I$2:I623, $B$2:B623, B623)</f>
        <v>0.57777777777777783</v>
      </c>
      <c r="AJ623" s="86">
        <f>AVERAGEIFS($J$2:J623, $B$2:B623, B623)</f>
        <v>0.54666666666666663</v>
      </c>
      <c r="AK623" s="86">
        <f>AVERAGEIFS($D$2:D623, $B$2:B623, B623)</f>
        <v>0.44444444444444442</v>
      </c>
    </row>
    <row r="624" spans="1:37" x14ac:dyDescent="0.25">
      <c r="A624" s="85">
        <v>46107</v>
      </c>
      <c r="B624" t="s">
        <v>141</v>
      </c>
      <c r="C624">
        <v>16</v>
      </c>
      <c r="D624">
        <v>1</v>
      </c>
      <c r="E624">
        <v>3</v>
      </c>
      <c r="F624">
        <v>3</v>
      </c>
      <c r="G624">
        <v>10</v>
      </c>
      <c r="H624">
        <v>9</v>
      </c>
      <c r="I624">
        <v>1</v>
      </c>
      <c r="J624">
        <v>0.9</v>
      </c>
      <c r="K624">
        <v>1</v>
      </c>
      <c r="L624">
        <v>0</v>
      </c>
      <c r="M624">
        <v>1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0</v>
      </c>
      <c r="AC624">
        <v>1</v>
      </c>
      <c r="AD624">
        <v>0</v>
      </c>
      <c r="AE624">
        <v>0</v>
      </c>
      <c r="AF624">
        <v>0</v>
      </c>
      <c r="AG624">
        <v>0</v>
      </c>
      <c r="AH624" s="86">
        <f>AVERAGEIFS($C$2:C624, $B$2:B624, B624)</f>
        <v>11.333333333333334</v>
      </c>
      <c r="AI624" s="86">
        <f>AVERAGEIFS($I$2:I624, $B$2:B624, B624)</f>
        <v>0.78333333333333333</v>
      </c>
      <c r="AJ624" s="86">
        <f>AVERAGEIFS($J$2:J624, $B$2:B624, B624)</f>
        <v>0.69333333333333336</v>
      </c>
      <c r="AK624" s="86">
        <f>AVERAGEIFS($D$2:D624, $B$2:B624, B624)</f>
        <v>1</v>
      </c>
    </row>
    <row r="625" spans="1:37" x14ac:dyDescent="0.25">
      <c r="A625" s="85">
        <v>46107</v>
      </c>
      <c r="B625" t="s">
        <v>137</v>
      </c>
      <c r="C625">
        <v>11</v>
      </c>
      <c r="D625">
        <v>1</v>
      </c>
      <c r="E625">
        <v>3</v>
      </c>
      <c r="F625">
        <v>3</v>
      </c>
      <c r="G625">
        <v>10</v>
      </c>
      <c r="H625">
        <v>9</v>
      </c>
      <c r="I625">
        <v>1</v>
      </c>
      <c r="J625">
        <v>0.9</v>
      </c>
      <c r="K625">
        <v>1</v>
      </c>
      <c r="L625">
        <v>0</v>
      </c>
      <c r="M625">
        <v>1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0</v>
      </c>
      <c r="AC625">
        <v>1</v>
      </c>
      <c r="AD625">
        <v>0</v>
      </c>
      <c r="AE625">
        <v>0</v>
      </c>
      <c r="AF625">
        <v>0</v>
      </c>
      <c r="AG625">
        <v>0</v>
      </c>
      <c r="AH625" s="86">
        <f>AVERAGEIFS($C$2:C625, $B$2:B625, B625)</f>
        <v>6.4</v>
      </c>
      <c r="AI625" s="86">
        <f>AVERAGEIFS($I$2:I625, $B$2:B625, B625)</f>
        <v>0.53</v>
      </c>
      <c r="AJ625" s="86">
        <f>AVERAGEIFS($J$2:J625, $B$2:B625, B625)</f>
        <v>0.52399999999999991</v>
      </c>
      <c r="AK625" s="86">
        <f>AVERAGEIFS($D$2:D625, $B$2:B625, B625)</f>
        <v>0.4</v>
      </c>
    </row>
    <row r="626" spans="1:37" x14ac:dyDescent="0.25">
      <c r="A626" s="85">
        <v>46107</v>
      </c>
      <c r="B626" t="s">
        <v>6</v>
      </c>
      <c r="C626">
        <v>16</v>
      </c>
      <c r="D626">
        <v>0</v>
      </c>
      <c r="E626">
        <v>3</v>
      </c>
      <c r="F626">
        <v>0</v>
      </c>
      <c r="G626">
        <v>10</v>
      </c>
      <c r="H626">
        <v>1</v>
      </c>
      <c r="I626">
        <v>0</v>
      </c>
      <c r="J626">
        <v>0.1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>
        <v>0</v>
      </c>
      <c r="AH626" s="86">
        <f>AVERAGEIFS($C$2:C626, $B$2:B626, B626)</f>
        <v>22.195121951219512</v>
      </c>
      <c r="AI626" s="86">
        <f>AVERAGEIFS($I$2:I626, $B$2:B626, B626)</f>
        <v>0.57512195121951226</v>
      </c>
      <c r="AJ626" s="86">
        <f>AVERAGEIFS($J$2:J626, $B$2:B626, B626)</f>
        <v>0.54487804878048784</v>
      </c>
      <c r="AK626" s="86">
        <f>AVERAGEIFS($D$2:D626, $B$2:B626, B626)</f>
        <v>0.65853658536585369</v>
      </c>
    </row>
    <row r="627" spans="1:37" x14ac:dyDescent="0.25">
      <c r="A627" s="85">
        <v>46107</v>
      </c>
      <c r="B627" t="s">
        <v>71</v>
      </c>
      <c r="C627">
        <v>12</v>
      </c>
      <c r="D627">
        <v>0</v>
      </c>
      <c r="E627">
        <v>3</v>
      </c>
      <c r="F627">
        <v>0</v>
      </c>
      <c r="G627">
        <v>10</v>
      </c>
      <c r="H627">
        <v>1</v>
      </c>
      <c r="I627">
        <v>0</v>
      </c>
      <c r="J627">
        <v>0.1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0</v>
      </c>
      <c r="AF627">
        <v>0</v>
      </c>
      <c r="AG627">
        <v>0</v>
      </c>
      <c r="AH627" s="86">
        <f>AVERAGEIFS($C$2:C627, $B$2:B627, B627)</f>
        <v>12.8125</v>
      </c>
      <c r="AI627" s="86">
        <f>AVERAGEIFS($I$2:I627, $B$2:B627, B627)</f>
        <v>0.50624999999999998</v>
      </c>
      <c r="AJ627" s="86">
        <f>AVERAGEIFS($J$2:J627, $B$2:B627, B627)</f>
        <v>0.48625000000000002</v>
      </c>
      <c r="AK627" s="86">
        <f>AVERAGEIFS($D$2:D627, $B$2:B627, B627)</f>
        <v>0.625</v>
      </c>
    </row>
    <row r="628" spans="1:37" x14ac:dyDescent="0.25">
      <c r="A628" s="85">
        <v>46107</v>
      </c>
      <c r="B628" t="s">
        <v>107</v>
      </c>
      <c r="C628">
        <v>14</v>
      </c>
      <c r="D628">
        <v>0</v>
      </c>
      <c r="E628">
        <v>3</v>
      </c>
      <c r="F628">
        <v>0</v>
      </c>
      <c r="G628">
        <v>10</v>
      </c>
      <c r="H628">
        <v>1</v>
      </c>
      <c r="I628">
        <v>0</v>
      </c>
      <c r="J628">
        <v>0.1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>
        <v>0</v>
      </c>
      <c r="AH628" s="86">
        <f>AVERAGEIFS($C$2:C628, $B$2:B628, B628)</f>
        <v>15.958333333333334</v>
      </c>
      <c r="AI628" s="86">
        <f>AVERAGEIFS($I$2:I628, $B$2:B628, B628)</f>
        <v>0.55624999999999991</v>
      </c>
      <c r="AJ628" s="86">
        <f>AVERAGEIFS($J$2:J628, $B$2:B628, B628)</f>
        <v>0.53583333333333349</v>
      </c>
      <c r="AK628" s="86">
        <f>AVERAGEIFS($D$2:D628, $B$2:B628, B628)</f>
        <v>0.625</v>
      </c>
    </row>
    <row r="629" spans="1:37" x14ac:dyDescent="0.25">
      <c r="A629" s="85">
        <v>46107</v>
      </c>
      <c r="B629" t="s">
        <v>140</v>
      </c>
      <c r="C629">
        <v>6</v>
      </c>
      <c r="D629">
        <v>0</v>
      </c>
      <c r="E629">
        <v>3</v>
      </c>
      <c r="F629">
        <v>0</v>
      </c>
      <c r="G629">
        <v>10</v>
      </c>
      <c r="H629">
        <v>1</v>
      </c>
      <c r="I629">
        <v>0</v>
      </c>
      <c r="J629">
        <v>0.1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>
        <v>0</v>
      </c>
      <c r="AH629" s="86">
        <f>AVERAGEIFS($C$2:C629, $B$2:B629, B629)</f>
        <v>13.5</v>
      </c>
      <c r="AI629" s="86">
        <f>AVERAGEIFS($I$2:I629, $B$2:B629, B629)</f>
        <v>0.375</v>
      </c>
      <c r="AJ629" s="86">
        <f>AVERAGEIFS($J$2:J629, $B$2:B629, B629)</f>
        <v>0.43375000000000002</v>
      </c>
      <c r="AK629" s="86">
        <f>AVERAGEIFS($D$2:D629, $B$2:B629, B629)</f>
        <v>0.375</v>
      </c>
    </row>
    <row r="630" spans="1:37" x14ac:dyDescent="0.25">
      <c r="A630" s="85">
        <v>46107</v>
      </c>
      <c r="B630" t="s">
        <v>28</v>
      </c>
      <c r="C630">
        <v>7</v>
      </c>
      <c r="D630">
        <v>0</v>
      </c>
      <c r="E630">
        <v>3</v>
      </c>
      <c r="F630">
        <v>0</v>
      </c>
      <c r="G630">
        <v>10</v>
      </c>
      <c r="H630">
        <v>1</v>
      </c>
      <c r="I630">
        <v>0</v>
      </c>
      <c r="J630">
        <v>0.1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>
        <v>0</v>
      </c>
      <c r="AH630" s="86">
        <f>AVERAGEIFS($C$2:C630, $B$2:B630, B630)</f>
        <v>13.73076923076923</v>
      </c>
      <c r="AI630" s="86">
        <f>AVERAGEIFS($I$2:I630, $B$2:B630, B630)</f>
        <v>0.46653846153846151</v>
      </c>
      <c r="AJ630" s="86">
        <f>AVERAGEIFS($J$2:J630, $B$2:B630, B630)</f>
        <v>0.48153846153846147</v>
      </c>
      <c r="AK630" s="86">
        <f>AVERAGEIFS($D$2:D630, $B$2:B630, B630)</f>
        <v>0.42307692307692307</v>
      </c>
    </row>
    <row r="631" spans="1:37" x14ac:dyDescent="0.25">
      <c r="A631" s="85">
        <v>46107</v>
      </c>
      <c r="B631" t="s">
        <v>153</v>
      </c>
      <c r="C631">
        <v>11</v>
      </c>
      <c r="D631">
        <v>0</v>
      </c>
      <c r="E631">
        <v>3</v>
      </c>
      <c r="F631">
        <v>0</v>
      </c>
      <c r="G631">
        <v>10</v>
      </c>
      <c r="H631">
        <v>1</v>
      </c>
      <c r="I631">
        <v>0</v>
      </c>
      <c r="J631">
        <v>0.1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>
        <v>0</v>
      </c>
      <c r="AH631" s="86">
        <f>AVERAGEIFS($C$2:C631, $B$2:B631, B631)</f>
        <v>9.5</v>
      </c>
      <c r="AI631" s="86">
        <f>AVERAGEIFS($I$2:I631, $B$2:B631, B631)</f>
        <v>0.3</v>
      </c>
      <c r="AJ631" s="86">
        <f>AVERAGEIFS($J$2:J631, $B$2:B631, B631)</f>
        <v>0.33499999999999996</v>
      </c>
      <c r="AK631" s="86">
        <f>AVERAGEIFS($D$2:D631, $B$2:B631, B631)</f>
        <v>0.5</v>
      </c>
    </row>
    <row r="632" spans="1:37" x14ac:dyDescent="0.25">
      <c r="A632" s="85">
        <v>46107</v>
      </c>
      <c r="B632" t="s">
        <v>40</v>
      </c>
      <c r="C632">
        <v>16</v>
      </c>
      <c r="D632">
        <v>0</v>
      </c>
      <c r="E632">
        <v>3</v>
      </c>
      <c r="F632">
        <v>0</v>
      </c>
      <c r="G632">
        <v>10</v>
      </c>
      <c r="H632">
        <v>1</v>
      </c>
      <c r="I632">
        <v>0</v>
      </c>
      <c r="J632">
        <v>0.1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>
        <v>0</v>
      </c>
      <c r="AH632" s="86">
        <f>AVERAGEIFS($C$2:C632, $B$2:B632, B632)</f>
        <v>17.425000000000001</v>
      </c>
      <c r="AI632" s="86">
        <f>AVERAGEIFS($I$2:I632, $B$2:B632, B632)</f>
        <v>0.48999999999999988</v>
      </c>
      <c r="AJ632" s="86">
        <f>AVERAGEIFS($J$2:J632, $B$2:B632, B632)</f>
        <v>0.4865000000000001</v>
      </c>
      <c r="AK632" s="86">
        <f>AVERAGEIFS($D$2:D632, $B$2:B632, B632)</f>
        <v>0.42499999999999999</v>
      </c>
    </row>
    <row r="633" spans="1:37" x14ac:dyDescent="0.25">
      <c r="A633" s="85">
        <v>46107</v>
      </c>
      <c r="B633" t="s">
        <v>54</v>
      </c>
      <c r="C633">
        <v>9</v>
      </c>
      <c r="D633">
        <v>1</v>
      </c>
      <c r="E633">
        <v>3</v>
      </c>
      <c r="F633">
        <v>3</v>
      </c>
      <c r="G633">
        <v>11</v>
      </c>
      <c r="H633">
        <v>9</v>
      </c>
      <c r="I633">
        <v>1</v>
      </c>
      <c r="J633">
        <v>0.82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1</v>
      </c>
      <c r="Z633">
        <v>0</v>
      </c>
      <c r="AA633">
        <v>0</v>
      </c>
      <c r="AB633">
        <v>0</v>
      </c>
      <c r="AC633">
        <v>1</v>
      </c>
      <c r="AD633">
        <v>0</v>
      </c>
      <c r="AE633">
        <v>1</v>
      </c>
      <c r="AF633">
        <v>0</v>
      </c>
      <c r="AG633">
        <v>0</v>
      </c>
      <c r="AH633" s="86">
        <f>AVERAGEIFS($C$2:C633, $B$2:B633, B633)</f>
        <v>23.744186046511629</v>
      </c>
      <c r="AI633" s="86">
        <f>AVERAGEIFS($I$2:I633, $B$2:B633, B633)</f>
        <v>0.53767441860465126</v>
      </c>
      <c r="AJ633" s="86">
        <f>AVERAGEIFS($J$2:J633, $B$2:B633, B633)</f>
        <v>0.51162790697674421</v>
      </c>
      <c r="AK633" s="86">
        <f>AVERAGEIFS($D$2:D633, $B$2:B633, B633)</f>
        <v>0.55813953488372092</v>
      </c>
    </row>
    <row r="634" spans="1:37" x14ac:dyDescent="0.25">
      <c r="A634" s="85">
        <v>46107</v>
      </c>
      <c r="B634" t="s">
        <v>2</v>
      </c>
      <c r="C634">
        <v>30</v>
      </c>
      <c r="D634">
        <v>1</v>
      </c>
      <c r="E634">
        <v>3</v>
      </c>
      <c r="F634">
        <v>3</v>
      </c>
      <c r="G634">
        <v>11</v>
      </c>
      <c r="H634">
        <v>9</v>
      </c>
      <c r="I634">
        <v>1</v>
      </c>
      <c r="J634">
        <v>0.82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1</v>
      </c>
      <c r="Z634">
        <v>0</v>
      </c>
      <c r="AA634">
        <v>0</v>
      </c>
      <c r="AB634">
        <v>0</v>
      </c>
      <c r="AC634">
        <v>1</v>
      </c>
      <c r="AD634">
        <v>0</v>
      </c>
      <c r="AE634">
        <v>1</v>
      </c>
      <c r="AF634">
        <v>0</v>
      </c>
      <c r="AG634">
        <v>0</v>
      </c>
      <c r="AH634" s="86">
        <f>AVERAGEIFS($C$2:C634, $B$2:B634, B634)</f>
        <v>23.25925925925926</v>
      </c>
      <c r="AI634" s="86">
        <f>AVERAGEIFS($I$2:I634, $B$2:B634, B634)</f>
        <v>0.54925925925925922</v>
      </c>
      <c r="AJ634" s="86">
        <f>AVERAGEIFS($J$2:J634, $B$2:B634, B634)</f>
        <v>0.55148148148148146</v>
      </c>
      <c r="AK634" s="86">
        <f>AVERAGEIFS($D$2:D634, $B$2:B634, B634)</f>
        <v>0.55555555555555558</v>
      </c>
    </row>
    <row r="635" spans="1:37" x14ac:dyDescent="0.25">
      <c r="A635" s="85">
        <v>46107</v>
      </c>
      <c r="B635" t="s">
        <v>4</v>
      </c>
      <c r="C635">
        <v>19</v>
      </c>
      <c r="D635">
        <v>1</v>
      </c>
      <c r="E635">
        <v>3</v>
      </c>
      <c r="F635">
        <v>3</v>
      </c>
      <c r="G635">
        <v>11</v>
      </c>
      <c r="H635">
        <v>9</v>
      </c>
      <c r="I635">
        <v>1</v>
      </c>
      <c r="J635">
        <v>0.82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1</v>
      </c>
      <c r="Z635">
        <v>0</v>
      </c>
      <c r="AA635">
        <v>0</v>
      </c>
      <c r="AB635">
        <v>0</v>
      </c>
      <c r="AC635">
        <v>1</v>
      </c>
      <c r="AD635">
        <v>0</v>
      </c>
      <c r="AE635">
        <v>1</v>
      </c>
      <c r="AF635">
        <v>0</v>
      </c>
      <c r="AG635">
        <v>0</v>
      </c>
      <c r="AH635" s="86">
        <f>AVERAGEIFS($C$2:C635, $B$2:B635, B635)</f>
        <v>23.095238095238095</v>
      </c>
      <c r="AI635" s="86">
        <f>AVERAGEIFS($I$2:I635, $B$2:B635, B635)</f>
        <v>0.39285714285714285</v>
      </c>
      <c r="AJ635" s="86">
        <f>AVERAGEIFS($J$2:J635, $B$2:B635, B635)</f>
        <v>0.43523809523809526</v>
      </c>
      <c r="AK635" s="86">
        <f>AVERAGEIFS($D$2:D635, $B$2:B635, B635)</f>
        <v>0.23809523809523808</v>
      </c>
    </row>
    <row r="636" spans="1:37" x14ac:dyDescent="0.25">
      <c r="A636" s="85">
        <v>46107</v>
      </c>
      <c r="B636" t="s">
        <v>44</v>
      </c>
      <c r="C636">
        <v>14</v>
      </c>
      <c r="D636">
        <v>1</v>
      </c>
      <c r="E636">
        <v>3</v>
      </c>
      <c r="F636">
        <v>3</v>
      </c>
      <c r="G636">
        <v>11</v>
      </c>
      <c r="H636">
        <v>9</v>
      </c>
      <c r="I636">
        <v>1</v>
      </c>
      <c r="J636">
        <v>0.82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1</v>
      </c>
      <c r="Z636">
        <v>0</v>
      </c>
      <c r="AA636">
        <v>0</v>
      </c>
      <c r="AB636">
        <v>0</v>
      </c>
      <c r="AC636">
        <v>1</v>
      </c>
      <c r="AD636">
        <v>0</v>
      </c>
      <c r="AE636">
        <v>1</v>
      </c>
      <c r="AF636">
        <v>0</v>
      </c>
      <c r="AG636">
        <v>0</v>
      </c>
      <c r="AH636" s="86">
        <f>AVERAGEIFS($C$2:C636, $B$2:B636, B636)</f>
        <v>15.826086956521738</v>
      </c>
      <c r="AI636" s="86">
        <f>AVERAGEIFS($I$2:I636, $B$2:B636, B636)</f>
        <v>0.53478260869565208</v>
      </c>
      <c r="AJ636" s="86">
        <f>AVERAGEIFS($J$2:J636, $B$2:B636, B636)</f>
        <v>0.53869565217391302</v>
      </c>
      <c r="AK636" s="86">
        <f>AVERAGEIFS($D$2:D636, $B$2:B636, B636)</f>
        <v>0.65217391304347827</v>
      </c>
    </row>
    <row r="637" spans="1:37" x14ac:dyDescent="0.25">
      <c r="A637" s="85">
        <v>46107</v>
      </c>
      <c r="B637" t="s">
        <v>42</v>
      </c>
      <c r="C637">
        <v>24</v>
      </c>
      <c r="D637">
        <v>1</v>
      </c>
      <c r="E637">
        <v>3</v>
      </c>
      <c r="F637">
        <v>3</v>
      </c>
      <c r="G637">
        <v>11</v>
      </c>
      <c r="H637">
        <v>9</v>
      </c>
      <c r="I637">
        <v>1</v>
      </c>
      <c r="J637">
        <v>0.82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1</v>
      </c>
      <c r="Z637">
        <v>0</v>
      </c>
      <c r="AA637">
        <v>0</v>
      </c>
      <c r="AB637">
        <v>0</v>
      </c>
      <c r="AC637">
        <v>1</v>
      </c>
      <c r="AD637">
        <v>0</v>
      </c>
      <c r="AE637">
        <v>1</v>
      </c>
      <c r="AF637">
        <v>0</v>
      </c>
      <c r="AG637">
        <v>0</v>
      </c>
      <c r="AH637" s="86">
        <f>AVERAGEIFS($C$2:C637, $B$2:B637, B637)</f>
        <v>18.28</v>
      </c>
      <c r="AI637" s="86">
        <f>AVERAGEIFS($I$2:I637, $B$2:B637, B637)</f>
        <v>0.45599999999999996</v>
      </c>
      <c r="AJ637" s="86">
        <f>AVERAGEIFS($J$2:J637, $B$2:B637, B637)</f>
        <v>0.45439999999999997</v>
      </c>
      <c r="AK637" s="86">
        <f>AVERAGEIFS($D$2:D637, $B$2:B637, B637)</f>
        <v>0.48</v>
      </c>
    </row>
    <row r="638" spans="1:37" x14ac:dyDescent="0.25">
      <c r="A638" s="85">
        <v>46107</v>
      </c>
      <c r="B638" t="s">
        <v>107</v>
      </c>
      <c r="C638">
        <v>19</v>
      </c>
      <c r="D638">
        <v>1</v>
      </c>
      <c r="E638">
        <v>3</v>
      </c>
      <c r="F638">
        <v>3</v>
      </c>
      <c r="G638">
        <v>11</v>
      </c>
      <c r="H638">
        <v>9</v>
      </c>
      <c r="I638">
        <v>1</v>
      </c>
      <c r="J638">
        <v>0.82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1</v>
      </c>
      <c r="Z638">
        <v>0</v>
      </c>
      <c r="AA638">
        <v>0</v>
      </c>
      <c r="AB638">
        <v>0</v>
      </c>
      <c r="AC638">
        <v>1</v>
      </c>
      <c r="AD638">
        <v>0</v>
      </c>
      <c r="AE638">
        <v>1</v>
      </c>
      <c r="AF638">
        <v>0</v>
      </c>
      <c r="AG638">
        <v>0</v>
      </c>
      <c r="AH638" s="86">
        <f>AVERAGEIFS($C$2:C638, $B$2:B638, B638)</f>
        <v>16.079999999999998</v>
      </c>
      <c r="AI638" s="86">
        <f>AVERAGEIFS($I$2:I638, $B$2:B638, B638)</f>
        <v>0.57399999999999995</v>
      </c>
      <c r="AJ638" s="86">
        <f>AVERAGEIFS($J$2:J638, $B$2:B638, B638)</f>
        <v>0.54720000000000013</v>
      </c>
      <c r="AK638" s="86">
        <f>AVERAGEIFS($D$2:D638, $B$2:B638, B638)</f>
        <v>0.64</v>
      </c>
    </row>
    <row r="639" spans="1:37" x14ac:dyDescent="0.25">
      <c r="A639" s="85">
        <v>46107</v>
      </c>
      <c r="B639" t="s">
        <v>17</v>
      </c>
      <c r="C639">
        <v>11</v>
      </c>
      <c r="D639">
        <v>1</v>
      </c>
      <c r="E639">
        <v>3</v>
      </c>
      <c r="F639">
        <v>3</v>
      </c>
      <c r="G639">
        <v>11</v>
      </c>
      <c r="H639">
        <v>9</v>
      </c>
      <c r="I639">
        <v>1</v>
      </c>
      <c r="J639">
        <v>0.82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1</v>
      </c>
      <c r="Z639">
        <v>0</v>
      </c>
      <c r="AA639">
        <v>0</v>
      </c>
      <c r="AB639">
        <v>0</v>
      </c>
      <c r="AC639">
        <v>1</v>
      </c>
      <c r="AD639">
        <v>0</v>
      </c>
      <c r="AE639">
        <v>1</v>
      </c>
      <c r="AF639">
        <v>0</v>
      </c>
      <c r="AG639">
        <v>0</v>
      </c>
      <c r="AH639" s="86">
        <f>AVERAGEIFS($C$2:C639, $B$2:B639, B639)</f>
        <v>20.28</v>
      </c>
      <c r="AI639" s="86">
        <f>AVERAGEIFS($I$2:I639, $B$2:B639, B639)</f>
        <v>0.48479999999999995</v>
      </c>
      <c r="AJ639" s="86">
        <f>AVERAGEIFS($J$2:J639, $B$2:B639, B639)</f>
        <v>0.4784000000000001</v>
      </c>
      <c r="AK639" s="86">
        <f>AVERAGEIFS($D$2:D639, $B$2:B639, B639)</f>
        <v>0.44</v>
      </c>
    </row>
    <row r="640" spans="1:37" x14ac:dyDescent="0.25">
      <c r="A640" s="85">
        <v>46107</v>
      </c>
      <c r="B640" t="s">
        <v>147</v>
      </c>
      <c r="C640">
        <v>10</v>
      </c>
      <c r="D640">
        <v>1</v>
      </c>
      <c r="E640">
        <v>3</v>
      </c>
      <c r="F640">
        <v>3</v>
      </c>
      <c r="G640">
        <v>11</v>
      </c>
      <c r="H640">
        <v>9</v>
      </c>
      <c r="I640">
        <v>1</v>
      </c>
      <c r="J640">
        <v>0.82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1</v>
      </c>
      <c r="Z640">
        <v>0</v>
      </c>
      <c r="AA640">
        <v>0</v>
      </c>
      <c r="AB640">
        <v>0</v>
      </c>
      <c r="AC640">
        <v>1</v>
      </c>
      <c r="AD640">
        <v>0</v>
      </c>
      <c r="AE640">
        <v>1</v>
      </c>
      <c r="AF640">
        <v>0</v>
      </c>
      <c r="AG640">
        <v>0</v>
      </c>
      <c r="AH640" s="86">
        <f>AVERAGEIFS($C$2:C640, $B$2:B640, B640)</f>
        <v>8.9285714285714288</v>
      </c>
      <c r="AI640" s="86">
        <f>AVERAGEIFS($I$2:I640, $B$2:B640, B640)</f>
        <v>0.56785714285714284</v>
      </c>
      <c r="AJ640" s="86">
        <f>AVERAGEIFS($J$2:J640, $B$2:B640, B640)</f>
        <v>0.53499999999999992</v>
      </c>
      <c r="AK640" s="86">
        <f>AVERAGEIFS($D$2:D640, $B$2:B640, B640)</f>
        <v>0.5714285714285714</v>
      </c>
    </row>
    <row r="641" spans="1:37" x14ac:dyDescent="0.25">
      <c r="A641" s="85">
        <v>46107</v>
      </c>
      <c r="B641" t="s">
        <v>1</v>
      </c>
      <c r="C641">
        <v>26</v>
      </c>
      <c r="D641">
        <v>0</v>
      </c>
      <c r="E641">
        <v>3</v>
      </c>
      <c r="F641">
        <v>0</v>
      </c>
      <c r="G641">
        <v>11</v>
      </c>
      <c r="H641">
        <v>2</v>
      </c>
      <c r="I641">
        <v>0</v>
      </c>
      <c r="J641">
        <v>0.18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0</v>
      </c>
      <c r="AF641">
        <v>0</v>
      </c>
      <c r="AG641">
        <v>0</v>
      </c>
      <c r="AH641" s="86">
        <f>AVERAGEIFS($C$2:C641, $B$2:B641, B641)</f>
        <v>26.761904761904763</v>
      </c>
      <c r="AI641" s="86">
        <f>AVERAGEIFS($I$2:I641, $B$2:B641, B641)</f>
        <v>0.42142857142857149</v>
      </c>
      <c r="AJ641" s="86">
        <f>AVERAGEIFS($J$2:J641, $B$2:B641, B641)</f>
        <v>0.45285714285714285</v>
      </c>
      <c r="AK641" s="86">
        <f>AVERAGEIFS($D$2:D641, $B$2:B641, B641)</f>
        <v>0.42857142857142855</v>
      </c>
    </row>
    <row r="642" spans="1:37" x14ac:dyDescent="0.25">
      <c r="A642" s="85">
        <v>46107</v>
      </c>
      <c r="B642" t="s">
        <v>6</v>
      </c>
      <c r="C642">
        <v>8</v>
      </c>
      <c r="D642">
        <v>0</v>
      </c>
      <c r="E642">
        <v>3</v>
      </c>
      <c r="F642">
        <v>0</v>
      </c>
      <c r="G642">
        <v>11</v>
      </c>
      <c r="H642">
        <v>2</v>
      </c>
      <c r="I642">
        <v>0</v>
      </c>
      <c r="J642">
        <v>0.18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0</v>
      </c>
      <c r="AF642">
        <v>0</v>
      </c>
      <c r="AG642">
        <v>0</v>
      </c>
      <c r="AH642" s="86">
        <f>AVERAGEIFS($C$2:C642, $B$2:B642, B642)</f>
        <v>21.857142857142858</v>
      </c>
      <c r="AI642" s="86">
        <f>AVERAGEIFS($I$2:I642, $B$2:B642, B642)</f>
        <v>0.5614285714285715</v>
      </c>
      <c r="AJ642" s="86">
        <f>AVERAGEIFS($J$2:J642, $B$2:B642, B642)</f>
        <v>0.53619047619047622</v>
      </c>
      <c r="AK642" s="86">
        <f>AVERAGEIFS($D$2:D642, $B$2:B642, B642)</f>
        <v>0.6428571428571429</v>
      </c>
    </row>
    <row r="643" spans="1:37" x14ac:dyDescent="0.25">
      <c r="A643" s="85">
        <v>46107</v>
      </c>
      <c r="B643" t="s">
        <v>40</v>
      </c>
      <c r="C643">
        <v>19</v>
      </c>
      <c r="D643">
        <v>0</v>
      </c>
      <c r="E643">
        <v>3</v>
      </c>
      <c r="F643">
        <v>0</v>
      </c>
      <c r="G643">
        <v>11</v>
      </c>
      <c r="H643">
        <v>2</v>
      </c>
      <c r="I643">
        <v>0</v>
      </c>
      <c r="J643">
        <v>0.18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0</v>
      </c>
      <c r="AF643">
        <v>0</v>
      </c>
      <c r="AG643">
        <v>0</v>
      </c>
      <c r="AH643" s="86">
        <f>AVERAGEIFS($C$2:C643, $B$2:B643, B643)</f>
        <v>17.463414634146343</v>
      </c>
      <c r="AI643" s="86">
        <f>AVERAGEIFS($I$2:I643, $B$2:B643, B643)</f>
        <v>0.47804878048780475</v>
      </c>
      <c r="AJ643" s="86">
        <f>AVERAGEIFS($J$2:J643, $B$2:B643, B643)</f>
        <v>0.47902439024390253</v>
      </c>
      <c r="AK643" s="86">
        <f>AVERAGEIFS($D$2:D643, $B$2:B643, B643)</f>
        <v>0.41463414634146339</v>
      </c>
    </row>
    <row r="644" spans="1:37" x14ac:dyDescent="0.25">
      <c r="A644" s="85">
        <v>46107</v>
      </c>
      <c r="B644" t="s">
        <v>46</v>
      </c>
      <c r="C644">
        <v>12</v>
      </c>
      <c r="D644">
        <v>0</v>
      </c>
      <c r="E644">
        <v>3</v>
      </c>
      <c r="F644">
        <v>0</v>
      </c>
      <c r="G644">
        <v>11</v>
      </c>
      <c r="H644">
        <v>2</v>
      </c>
      <c r="I644">
        <v>0</v>
      </c>
      <c r="J644">
        <v>0.18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  <c r="AG644">
        <v>0</v>
      </c>
      <c r="AH644" s="86">
        <f>AVERAGEIFS($C$2:C644, $B$2:B644, B644)</f>
        <v>18.727272727272727</v>
      </c>
      <c r="AI644" s="86">
        <f>AVERAGEIFS($I$2:I644, $B$2:B644, B644)</f>
        <v>0.43181818181818171</v>
      </c>
      <c r="AJ644" s="86">
        <f>AVERAGEIFS($J$2:J644, $B$2:B644, B644)</f>
        <v>0.45954545454545453</v>
      </c>
      <c r="AK644" s="86">
        <f>AVERAGEIFS($D$2:D644, $B$2:B644, B644)</f>
        <v>0.40909090909090912</v>
      </c>
    </row>
    <row r="645" spans="1:37" x14ac:dyDescent="0.25">
      <c r="A645" s="85">
        <v>46107</v>
      </c>
      <c r="B645" t="s">
        <v>113</v>
      </c>
      <c r="C645">
        <v>13</v>
      </c>
      <c r="D645">
        <v>0</v>
      </c>
      <c r="E645">
        <v>3</v>
      </c>
      <c r="F645">
        <v>0</v>
      </c>
      <c r="G645">
        <v>11</v>
      </c>
      <c r="H645">
        <v>2</v>
      </c>
      <c r="I645">
        <v>0</v>
      </c>
      <c r="J645">
        <v>0.18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0</v>
      </c>
      <c r="AD645">
        <v>0</v>
      </c>
      <c r="AE645">
        <v>0</v>
      </c>
      <c r="AF645">
        <v>0</v>
      </c>
      <c r="AG645">
        <v>0</v>
      </c>
      <c r="AH645" s="86">
        <f>AVERAGEIFS($C$2:C645, $B$2:B645, B645)</f>
        <v>16.105263157894736</v>
      </c>
      <c r="AI645" s="86">
        <f>AVERAGEIFS($I$2:I645, $B$2:B645, B645)</f>
        <v>0.51052631578947372</v>
      </c>
      <c r="AJ645" s="86">
        <f>AVERAGEIFS($J$2:J645, $B$2:B645, B645)</f>
        <v>0.49368421052631584</v>
      </c>
      <c r="AK645" s="86">
        <f>AVERAGEIFS($D$2:D645, $B$2:B645, B645)</f>
        <v>0.47368421052631576</v>
      </c>
    </row>
    <row r="646" spans="1:37" x14ac:dyDescent="0.25">
      <c r="A646" s="85">
        <v>46107</v>
      </c>
      <c r="B646" t="s">
        <v>141</v>
      </c>
      <c r="C646">
        <v>11</v>
      </c>
      <c r="D646">
        <v>0</v>
      </c>
      <c r="E646">
        <v>3</v>
      </c>
      <c r="F646">
        <v>0</v>
      </c>
      <c r="G646">
        <v>11</v>
      </c>
      <c r="H646">
        <v>2</v>
      </c>
      <c r="I646">
        <v>0</v>
      </c>
      <c r="J646">
        <v>0.18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0</v>
      </c>
      <c r="AD646">
        <v>0</v>
      </c>
      <c r="AE646">
        <v>0</v>
      </c>
      <c r="AF646">
        <v>0</v>
      </c>
      <c r="AG646">
        <v>0</v>
      </c>
      <c r="AH646" s="86">
        <f>AVERAGEIFS($C$2:C646, $B$2:B646, B646)</f>
        <v>11.25</v>
      </c>
      <c r="AI646" s="86">
        <f>AVERAGEIFS($I$2:I646, $B$2:B646, B646)</f>
        <v>0.58750000000000002</v>
      </c>
      <c r="AJ646" s="86">
        <f>AVERAGEIFS($J$2:J646, $B$2:B646, B646)</f>
        <v>0.56500000000000006</v>
      </c>
      <c r="AK646" s="86">
        <f>AVERAGEIFS($D$2:D646, $B$2:B646, B646)</f>
        <v>0.75</v>
      </c>
    </row>
    <row r="647" spans="1:37" x14ac:dyDescent="0.25">
      <c r="A647" s="85">
        <v>46107</v>
      </c>
      <c r="B647" t="s">
        <v>50</v>
      </c>
      <c r="C647">
        <v>21</v>
      </c>
      <c r="D647">
        <v>0</v>
      </c>
      <c r="E647">
        <v>3</v>
      </c>
      <c r="F647">
        <v>0</v>
      </c>
      <c r="G647">
        <v>11</v>
      </c>
      <c r="H647">
        <v>2</v>
      </c>
      <c r="I647">
        <v>0</v>
      </c>
      <c r="J647">
        <v>0.18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  <c r="AG647">
        <v>0</v>
      </c>
      <c r="AH647" s="86">
        <f>AVERAGEIFS($C$2:C647, $B$2:B647, B647)</f>
        <v>18.548387096774192</v>
      </c>
      <c r="AI647" s="86">
        <f>AVERAGEIFS($I$2:I647, $B$2:B647, B647)</f>
        <v>0.5283870967741936</v>
      </c>
      <c r="AJ647" s="86">
        <f>AVERAGEIFS($J$2:J647, $B$2:B647, B647)</f>
        <v>0.53290322580645144</v>
      </c>
      <c r="AK647" s="86">
        <f>AVERAGEIFS($D$2:D647, $B$2:B647, B647)</f>
        <v>0.5161290322580645</v>
      </c>
    </row>
    <row r="648" spans="1:37" x14ac:dyDescent="0.25">
      <c r="A648" s="85">
        <v>46107</v>
      </c>
      <c r="B648" t="s">
        <v>28</v>
      </c>
      <c r="C648">
        <v>15</v>
      </c>
      <c r="D648">
        <v>0</v>
      </c>
      <c r="E648">
        <v>3</v>
      </c>
      <c r="F648">
        <v>0</v>
      </c>
      <c r="G648">
        <v>11</v>
      </c>
      <c r="H648">
        <v>2</v>
      </c>
      <c r="I648">
        <v>0</v>
      </c>
      <c r="J648">
        <v>0.18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G648">
        <v>0</v>
      </c>
      <c r="AH648" s="86">
        <f>AVERAGEIFS($C$2:C648, $B$2:B648, B648)</f>
        <v>13.777777777777779</v>
      </c>
      <c r="AI648" s="86">
        <f>AVERAGEIFS($I$2:I648, $B$2:B648, B648)</f>
        <v>0.44925925925925925</v>
      </c>
      <c r="AJ648" s="86">
        <f>AVERAGEIFS($J$2:J648, $B$2:B648, B648)</f>
        <v>0.47037037037037027</v>
      </c>
      <c r="AK648" s="86">
        <f>AVERAGEIFS($D$2:D648, $B$2:B648, B648)</f>
        <v>0.40740740740740738</v>
      </c>
    </row>
    <row r="649" spans="1:37" x14ac:dyDescent="0.25">
      <c r="A649" s="85">
        <v>46108</v>
      </c>
      <c r="B649" t="s">
        <v>40</v>
      </c>
      <c r="C649">
        <v>35</v>
      </c>
      <c r="D649">
        <v>0</v>
      </c>
      <c r="E649">
        <v>5</v>
      </c>
      <c r="F649">
        <v>2</v>
      </c>
      <c r="G649">
        <v>23</v>
      </c>
      <c r="H649">
        <v>11</v>
      </c>
      <c r="I649">
        <v>0.4</v>
      </c>
      <c r="J649">
        <v>0.48</v>
      </c>
      <c r="K649">
        <v>0</v>
      </c>
      <c r="L649">
        <v>0</v>
      </c>
      <c r="M649">
        <v>1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1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0</v>
      </c>
      <c r="AD649">
        <v>0</v>
      </c>
      <c r="AE649">
        <v>0</v>
      </c>
      <c r="AF649">
        <v>0</v>
      </c>
      <c r="AG649">
        <v>0</v>
      </c>
      <c r="AH649" s="86">
        <f>AVERAGEIFS($C$2:C649, $B$2:B649, B649)</f>
        <v>17.88095238095238</v>
      </c>
      <c r="AI649" s="86">
        <f>AVERAGEIFS($I$2:I649, $B$2:B649, B649)</f>
        <v>0.476190476190476</v>
      </c>
      <c r="AJ649" s="86">
        <f>AVERAGEIFS($J$2:J649, $B$2:B649, B649)</f>
        <v>0.47904761904761917</v>
      </c>
      <c r="AK649" s="86">
        <f>AVERAGEIFS($D$2:D649, $B$2:B649, B649)</f>
        <v>0.40476190476190477</v>
      </c>
    </row>
    <row r="650" spans="1:37" x14ac:dyDescent="0.25">
      <c r="A650" s="85">
        <v>46108</v>
      </c>
      <c r="B650" t="s">
        <v>54</v>
      </c>
      <c r="C650">
        <v>32</v>
      </c>
      <c r="D650">
        <v>0</v>
      </c>
      <c r="E650">
        <v>5</v>
      </c>
      <c r="F650">
        <v>2</v>
      </c>
      <c r="G650">
        <v>23</v>
      </c>
      <c r="H650">
        <v>11</v>
      </c>
      <c r="I650">
        <v>0.4</v>
      </c>
      <c r="J650">
        <v>0.48</v>
      </c>
      <c r="K650">
        <v>0</v>
      </c>
      <c r="L650">
        <v>0</v>
      </c>
      <c r="M650">
        <v>1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1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G650">
        <v>0</v>
      </c>
      <c r="AH650" s="86">
        <f>AVERAGEIFS($C$2:C650, $B$2:B650, B650)</f>
        <v>23.931818181818183</v>
      </c>
      <c r="AI650" s="86">
        <f>AVERAGEIFS($I$2:I650, $B$2:B650, B650)</f>
        <v>0.53454545454545466</v>
      </c>
      <c r="AJ650" s="86">
        <f>AVERAGEIFS($J$2:J650, $B$2:B650, B650)</f>
        <v>0.51090909090909087</v>
      </c>
      <c r="AK650" s="86">
        <f>AVERAGEIFS($D$2:D650, $B$2:B650, B650)</f>
        <v>0.54545454545454541</v>
      </c>
    </row>
    <row r="651" spans="1:37" x14ac:dyDescent="0.25">
      <c r="A651" s="85">
        <v>46108</v>
      </c>
      <c r="B651" t="s">
        <v>107</v>
      </c>
      <c r="C651">
        <v>22</v>
      </c>
      <c r="D651">
        <v>0</v>
      </c>
      <c r="E651">
        <v>5</v>
      </c>
      <c r="F651">
        <v>2</v>
      </c>
      <c r="G651">
        <v>23</v>
      </c>
      <c r="H651">
        <v>11</v>
      </c>
      <c r="I651">
        <v>0.4</v>
      </c>
      <c r="J651">
        <v>0.48</v>
      </c>
      <c r="K651">
        <v>0</v>
      </c>
      <c r="L651">
        <v>0</v>
      </c>
      <c r="M651">
        <v>1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1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>
        <v>0</v>
      </c>
      <c r="AH651" s="86">
        <f>AVERAGEIFS($C$2:C651, $B$2:B651, B651)</f>
        <v>16.307692307692307</v>
      </c>
      <c r="AI651" s="86">
        <f>AVERAGEIFS($I$2:I651, $B$2:B651, B651)</f>
        <v>0.56730769230769229</v>
      </c>
      <c r="AJ651" s="86">
        <f>AVERAGEIFS($J$2:J651, $B$2:B651, B651)</f>
        <v>0.54461538461538472</v>
      </c>
      <c r="AK651" s="86">
        <f>AVERAGEIFS($D$2:D651, $B$2:B651, B651)</f>
        <v>0.61538461538461542</v>
      </c>
    </row>
    <row r="652" spans="1:37" x14ac:dyDescent="0.25">
      <c r="A652" s="85">
        <v>46108</v>
      </c>
      <c r="B652" t="s">
        <v>150</v>
      </c>
      <c r="C652">
        <v>17</v>
      </c>
      <c r="D652">
        <v>0</v>
      </c>
      <c r="E652">
        <v>5</v>
      </c>
      <c r="F652">
        <v>2</v>
      </c>
      <c r="G652">
        <v>23</v>
      </c>
      <c r="H652">
        <v>11</v>
      </c>
      <c r="I652">
        <v>0.4</v>
      </c>
      <c r="J652">
        <v>0.48</v>
      </c>
      <c r="K652">
        <v>0</v>
      </c>
      <c r="L652">
        <v>0</v>
      </c>
      <c r="M652">
        <v>1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1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>
        <v>0</v>
      </c>
      <c r="AH652" s="86">
        <f>AVERAGEIFS($C$2:C652, $B$2:B652, B652)</f>
        <v>13.333333333333334</v>
      </c>
      <c r="AI652" s="86">
        <f>AVERAGEIFS($I$2:I652, $B$2:B652, B652)</f>
        <v>0.46666666666666662</v>
      </c>
      <c r="AJ652" s="86">
        <f>AVERAGEIFS($J$2:J652, $B$2:B652, B652)</f>
        <v>0.505</v>
      </c>
      <c r="AK652" s="86">
        <f>AVERAGEIFS($D$2:D652, $B$2:B652, B652)</f>
        <v>0.33333333333333331</v>
      </c>
    </row>
    <row r="653" spans="1:37" x14ac:dyDescent="0.25">
      <c r="A653" s="85">
        <v>46108</v>
      </c>
      <c r="B653" t="s">
        <v>140</v>
      </c>
      <c r="C653">
        <v>15</v>
      </c>
      <c r="D653">
        <v>0</v>
      </c>
      <c r="E653">
        <v>5</v>
      </c>
      <c r="F653">
        <v>2</v>
      </c>
      <c r="G653">
        <v>23</v>
      </c>
      <c r="H653">
        <v>11</v>
      </c>
      <c r="I653">
        <v>0.4</v>
      </c>
      <c r="J653">
        <v>0.48</v>
      </c>
      <c r="K653">
        <v>0</v>
      </c>
      <c r="L653">
        <v>0</v>
      </c>
      <c r="M653">
        <v>1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1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>
        <v>0</v>
      </c>
      <c r="AH653" s="86">
        <f>AVERAGEIFS($C$2:C653, $B$2:B653, B653)</f>
        <v>13.666666666666666</v>
      </c>
      <c r="AI653" s="86">
        <f>AVERAGEIFS($I$2:I653, $B$2:B653, B653)</f>
        <v>0.37777777777777777</v>
      </c>
      <c r="AJ653" s="86">
        <f>AVERAGEIFS($J$2:J653, $B$2:B653, B653)</f>
        <v>0.43888888888888888</v>
      </c>
      <c r="AK653" s="86">
        <f>AVERAGEIFS($D$2:D653, $B$2:B653, B653)</f>
        <v>0.33333333333333331</v>
      </c>
    </row>
    <row r="654" spans="1:37" x14ac:dyDescent="0.25">
      <c r="A654" s="85">
        <v>46108</v>
      </c>
      <c r="B654" t="s">
        <v>137</v>
      </c>
      <c r="C654">
        <v>8</v>
      </c>
      <c r="D654">
        <v>0</v>
      </c>
      <c r="E654">
        <v>5</v>
      </c>
      <c r="F654">
        <v>2</v>
      </c>
      <c r="G654">
        <v>23</v>
      </c>
      <c r="H654">
        <v>11</v>
      </c>
      <c r="I654">
        <v>0.4</v>
      </c>
      <c r="J654">
        <v>0.48</v>
      </c>
      <c r="K654">
        <v>0</v>
      </c>
      <c r="L654">
        <v>0</v>
      </c>
      <c r="M654">
        <v>1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1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>
        <v>0</v>
      </c>
      <c r="AH654" s="86">
        <f>AVERAGEIFS($C$2:C654, $B$2:B654, B654)</f>
        <v>6.666666666666667</v>
      </c>
      <c r="AI654" s="86">
        <f>AVERAGEIFS($I$2:I654, $B$2:B654, B654)</f>
        <v>0.5083333333333333</v>
      </c>
      <c r="AJ654" s="86">
        <f>AVERAGEIFS($J$2:J654, $B$2:B654, B654)</f>
        <v>0.51666666666666661</v>
      </c>
      <c r="AK654" s="86">
        <f>AVERAGEIFS($D$2:D654, $B$2:B654, B654)</f>
        <v>0.33333333333333331</v>
      </c>
    </row>
    <row r="655" spans="1:37" x14ac:dyDescent="0.25">
      <c r="A655" s="85">
        <v>46108</v>
      </c>
      <c r="B655" t="s">
        <v>42</v>
      </c>
      <c r="C655">
        <v>25</v>
      </c>
      <c r="D655">
        <v>1</v>
      </c>
      <c r="E655">
        <v>5</v>
      </c>
      <c r="F655">
        <v>3</v>
      </c>
      <c r="G655">
        <v>23</v>
      </c>
      <c r="H655">
        <v>12</v>
      </c>
      <c r="I655">
        <v>0.6</v>
      </c>
      <c r="J655">
        <v>0.52</v>
      </c>
      <c r="K655">
        <v>0</v>
      </c>
      <c r="L655">
        <v>1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1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1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>
        <v>0</v>
      </c>
      <c r="AH655" s="86">
        <f>AVERAGEIFS($C$2:C655, $B$2:B655, B655)</f>
        <v>18.53846153846154</v>
      </c>
      <c r="AI655" s="86">
        <f>AVERAGEIFS($I$2:I655, $B$2:B655, B655)</f>
        <v>0.46153846153846145</v>
      </c>
      <c r="AJ655" s="86">
        <f>AVERAGEIFS($J$2:J655, $B$2:B655, B655)</f>
        <v>0.45692307692307688</v>
      </c>
      <c r="AK655" s="86">
        <f>AVERAGEIFS($D$2:D655, $B$2:B655, B655)</f>
        <v>0.5</v>
      </c>
    </row>
    <row r="656" spans="1:37" x14ac:dyDescent="0.25">
      <c r="A656" s="85">
        <v>46108</v>
      </c>
      <c r="B656" t="s">
        <v>1</v>
      </c>
      <c r="C656">
        <v>28</v>
      </c>
      <c r="D656">
        <v>1</v>
      </c>
      <c r="E656">
        <v>5</v>
      </c>
      <c r="F656">
        <v>3</v>
      </c>
      <c r="G656">
        <v>23</v>
      </c>
      <c r="H656">
        <v>12</v>
      </c>
      <c r="I656">
        <v>0.6</v>
      </c>
      <c r="J656">
        <v>0.52</v>
      </c>
      <c r="K656">
        <v>0</v>
      </c>
      <c r="L656">
        <v>1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1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1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>
        <v>0</v>
      </c>
      <c r="AH656" s="86">
        <f>AVERAGEIFS($C$2:C656, $B$2:B656, B656)</f>
        <v>26.818181818181817</v>
      </c>
      <c r="AI656" s="86">
        <f>AVERAGEIFS($I$2:I656, $B$2:B656, B656)</f>
        <v>0.42954545454545462</v>
      </c>
      <c r="AJ656" s="86">
        <f>AVERAGEIFS($J$2:J656, $B$2:B656, B656)</f>
        <v>0.45590909090909087</v>
      </c>
      <c r="AK656" s="86">
        <f>AVERAGEIFS($D$2:D656, $B$2:B656, B656)</f>
        <v>0.45454545454545453</v>
      </c>
    </row>
    <row r="657" spans="1:37" x14ac:dyDescent="0.25">
      <c r="A657" s="85">
        <v>46108</v>
      </c>
      <c r="B657" t="s">
        <v>6</v>
      </c>
      <c r="C657">
        <v>25</v>
      </c>
      <c r="D657">
        <v>1</v>
      </c>
      <c r="E657">
        <v>5</v>
      </c>
      <c r="F657">
        <v>3</v>
      </c>
      <c r="G657">
        <v>23</v>
      </c>
      <c r="H657">
        <v>12</v>
      </c>
      <c r="I657">
        <v>0.6</v>
      </c>
      <c r="J657">
        <v>0.52</v>
      </c>
      <c r="K657">
        <v>0</v>
      </c>
      <c r="L657">
        <v>1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1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1</v>
      </c>
      <c r="AA657">
        <v>0</v>
      </c>
      <c r="AB657">
        <v>0</v>
      </c>
      <c r="AC657">
        <v>0</v>
      </c>
      <c r="AD657">
        <v>0</v>
      </c>
      <c r="AE657">
        <v>0</v>
      </c>
      <c r="AF657">
        <v>0</v>
      </c>
      <c r="AG657">
        <v>0</v>
      </c>
      <c r="AH657" s="86">
        <f>AVERAGEIFS($C$2:C657, $B$2:B657, B657)</f>
        <v>21.930232558139537</v>
      </c>
      <c r="AI657" s="86">
        <f>AVERAGEIFS($I$2:I657, $B$2:B657, B657)</f>
        <v>0.56232558139534894</v>
      </c>
      <c r="AJ657" s="86">
        <f>AVERAGEIFS($J$2:J657, $B$2:B657, B657)</f>
        <v>0.53581395348837202</v>
      </c>
      <c r="AK657" s="86">
        <f>AVERAGEIFS($D$2:D657, $B$2:B657, B657)</f>
        <v>0.65116279069767447</v>
      </c>
    </row>
    <row r="658" spans="1:37" x14ac:dyDescent="0.25">
      <c r="A658" s="85">
        <v>46108</v>
      </c>
      <c r="B658" t="s">
        <v>44</v>
      </c>
      <c r="C658">
        <v>22</v>
      </c>
      <c r="D658">
        <v>1</v>
      </c>
      <c r="E658">
        <v>5</v>
      </c>
      <c r="F658">
        <v>3</v>
      </c>
      <c r="G658">
        <v>23</v>
      </c>
      <c r="H658">
        <v>12</v>
      </c>
      <c r="I658">
        <v>0.6</v>
      </c>
      <c r="J658">
        <v>0.52</v>
      </c>
      <c r="K658">
        <v>0</v>
      </c>
      <c r="L658">
        <v>1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1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1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>
        <v>0</v>
      </c>
      <c r="AH658" s="86">
        <f>AVERAGEIFS($C$2:C658, $B$2:B658, B658)</f>
        <v>16.083333333333332</v>
      </c>
      <c r="AI658" s="86">
        <f>AVERAGEIFS($I$2:I658, $B$2:B658, B658)</f>
        <v>0.53749999999999998</v>
      </c>
      <c r="AJ658" s="86">
        <f>AVERAGEIFS($J$2:J658, $B$2:B658, B658)</f>
        <v>0.53791666666666671</v>
      </c>
      <c r="AK658" s="86">
        <f>AVERAGEIFS($D$2:D658, $B$2:B658, B658)</f>
        <v>0.66666666666666663</v>
      </c>
    </row>
    <row r="659" spans="1:37" x14ac:dyDescent="0.25">
      <c r="A659" s="85">
        <v>46108</v>
      </c>
      <c r="B659" t="s">
        <v>35</v>
      </c>
      <c r="C659">
        <v>17</v>
      </c>
      <c r="D659">
        <v>1</v>
      </c>
      <c r="E659">
        <v>5</v>
      </c>
      <c r="F659">
        <v>3</v>
      </c>
      <c r="G659">
        <v>23</v>
      </c>
      <c r="H659">
        <v>12</v>
      </c>
      <c r="I659">
        <v>0.6</v>
      </c>
      <c r="J659">
        <v>0.52</v>
      </c>
      <c r="K659">
        <v>0</v>
      </c>
      <c r="L659">
        <v>1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1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1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>
        <v>0</v>
      </c>
      <c r="AH659" s="86">
        <f>AVERAGEIFS($C$2:C659, $B$2:B659, B659)</f>
        <v>10.705882352941176</v>
      </c>
      <c r="AI659" s="86">
        <f>AVERAGEIFS($I$2:I659, $B$2:B659, B659)</f>
        <v>0.46558823529411769</v>
      </c>
      <c r="AJ659" s="86">
        <f>AVERAGEIFS($J$2:J659, $B$2:B659, B659)</f>
        <v>0.48941176470588238</v>
      </c>
      <c r="AK659" s="86">
        <f>AVERAGEIFS($D$2:D659, $B$2:B659, B659)</f>
        <v>0.44117647058823528</v>
      </c>
    </row>
    <row r="660" spans="1:37" x14ac:dyDescent="0.25">
      <c r="A660" s="85">
        <v>46108</v>
      </c>
      <c r="B660" t="s">
        <v>153</v>
      </c>
      <c r="C660">
        <v>13</v>
      </c>
      <c r="D660">
        <v>1</v>
      </c>
      <c r="E660">
        <v>5</v>
      </c>
      <c r="F660">
        <v>3</v>
      </c>
      <c r="G660">
        <v>23</v>
      </c>
      <c r="H660">
        <v>12</v>
      </c>
      <c r="I660">
        <v>0.6</v>
      </c>
      <c r="J660">
        <v>0.52</v>
      </c>
      <c r="K660">
        <v>0</v>
      </c>
      <c r="L660">
        <v>1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1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1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>
        <v>0</v>
      </c>
      <c r="AH660" s="86">
        <f>AVERAGEIFS($C$2:C660, $B$2:B660, B660)</f>
        <v>10.666666666666666</v>
      </c>
      <c r="AI660" s="86">
        <f>AVERAGEIFS($I$2:I660, $B$2:B660, B660)</f>
        <v>0.39999999999999997</v>
      </c>
      <c r="AJ660" s="86">
        <f>AVERAGEIFS($J$2:J660, $B$2:B660, B660)</f>
        <v>0.39666666666666667</v>
      </c>
      <c r="AK660" s="86">
        <f>AVERAGEIFS($D$2:D660, $B$2:B660, B660)</f>
        <v>0.66666666666666663</v>
      </c>
    </row>
    <row r="661" spans="1:37" x14ac:dyDescent="0.25">
      <c r="A661" s="85">
        <v>46109</v>
      </c>
      <c r="B661" t="s">
        <v>4</v>
      </c>
      <c r="C661">
        <v>31</v>
      </c>
      <c r="D661">
        <v>0</v>
      </c>
      <c r="E661">
        <v>4</v>
      </c>
      <c r="F661">
        <v>1</v>
      </c>
      <c r="G661">
        <v>18</v>
      </c>
      <c r="H661">
        <v>7</v>
      </c>
      <c r="I661">
        <v>0.25</v>
      </c>
      <c r="J661">
        <v>0.39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>
        <v>0</v>
      </c>
      <c r="AH661" s="86">
        <f>AVERAGEIFS($C$2:C661, $B$2:B661, B661)</f>
        <v>23.454545454545453</v>
      </c>
      <c r="AI661" s="86">
        <f>AVERAGEIFS($I$2:I661, $B$2:B661, B661)</f>
        <v>0.38636363636363635</v>
      </c>
      <c r="AJ661" s="86">
        <f>AVERAGEIFS($J$2:J661, $B$2:B661, B661)</f>
        <v>0.43318181818181822</v>
      </c>
      <c r="AK661" s="86">
        <f>AVERAGEIFS($D$2:D661, $B$2:B661, B661)</f>
        <v>0.22727272727272727</v>
      </c>
    </row>
    <row r="662" spans="1:37" x14ac:dyDescent="0.25">
      <c r="A662" s="85">
        <v>46109</v>
      </c>
      <c r="B662" t="s">
        <v>42</v>
      </c>
      <c r="C662">
        <v>29</v>
      </c>
      <c r="D662">
        <v>0</v>
      </c>
      <c r="E662">
        <v>4</v>
      </c>
      <c r="F662">
        <v>1</v>
      </c>
      <c r="G662">
        <v>18</v>
      </c>
      <c r="H662">
        <v>7</v>
      </c>
      <c r="I662">
        <v>0.25</v>
      </c>
      <c r="J662">
        <v>0.39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>
        <v>0</v>
      </c>
      <c r="AH662" s="86">
        <f>AVERAGEIFS($C$2:C662, $B$2:B662, B662)</f>
        <v>18.925925925925927</v>
      </c>
      <c r="AI662" s="86">
        <f>AVERAGEIFS($I$2:I662, $B$2:B662, B662)</f>
        <v>0.45370370370370366</v>
      </c>
      <c r="AJ662" s="86">
        <f>AVERAGEIFS($J$2:J662, $B$2:B662, B662)</f>
        <v>0.45444444444444443</v>
      </c>
      <c r="AK662" s="86">
        <f>AVERAGEIFS($D$2:D662, $B$2:B662, B662)</f>
        <v>0.48148148148148145</v>
      </c>
    </row>
    <row r="663" spans="1:37" x14ac:dyDescent="0.25">
      <c r="A663" s="85">
        <v>46109</v>
      </c>
      <c r="B663" t="s">
        <v>40</v>
      </c>
      <c r="C663">
        <v>27</v>
      </c>
      <c r="D663">
        <v>0</v>
      </c>
      <c r="E663">
        <v>4</v>
      </c>
      <c r="F663">
        <v>1</v>
      </c>
      <c r="G663">
        <v>18</v>
      </c>
      <c r="H663">
        <v>7</v>
      </c>
      <c r="I663">
        <v>0.25</v>
      </c>
      <c r="J663">
        <v>0.39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>
        <v>0</v>
      </c>
      <c r="AH663" s="86">
        <f>AVERAGEIFS($C$2:C663, $B$2:B663, B663)</f>
        <v>18.093023255813954</v>
      </c>
      <c r="AI663" s="86">
        <f>AVERAGEIFS($I$2:I663, $B$2:B663, B663)</f>
        <v>0.47093023255813937</v>
      </c>
      <c r="AJ663" s="86">
        <f>AVERAGEIFS($J$2:J663, $B$2:B663, B663)</f>
        <v>0.47697674418604663</v>
      </c>
      <c r="AK663" s="86">
        <f>AVERAGEIFS($D$2:D663, $B$2:B663, B663)</f>
        <v>0.39534883720930231</v>
      </c>
    </row>
    <row r="664" spans="1:37" x14ac:dyDescent="0.25">
      <c r="A664" s="85">
        <v>46109</v>
      </c>
      <c r="B664" t="s">
        <v>141</v>
      </c>
      <c r="C664">
        <v>22</v>
      </c>
      <c r="D664">
        <v>0</v>
      </c>
      <c r="E664">
        <v>4</v>
      </c>
      <c r="F664">
        <v>1</v>
      </c>
      <c r="G664">
        <v>18</v>
      </c>
      <c r="H664">
        <v>7</v>
      </c>
      <c r="I664">
        <v>0.25</v>
      </c>
      <c r="J664">
        <v>0.39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>
        <v>0</v>
      </c>
      <c r="AH664" s="86">
        <f>AVERAGEIFS($C$2:C664, $B$2:B664, B664)</f>
        <v>13.4</v>
      </c>
      <c r="AI664" s="86">
        <f>AVERAGEIFS($I$2:I664, $B$2:B664, B664)</f>
        <v>0.52</v>
      </c>
      <c r="AJ664" s="86">
        <f>AVERAGEIFS($J$2:J664, $B$2:B664, B664)</f>
        <v>0.53</v>
      </c>
      <c r="AK664" s="86">
        <f>AVERAGEIFS($D$2:D664, $B$2:B664, B664)</f>
        <v>0.6</v>
      </c>
    </row>
    <row r="665" spans="1:37" x14ac:dyDescent="0.25">
      <c r="A665" s="85">
        <v>46109</v>
      </c>
      <c r="B665" t="s">
        <v>147</v>
      </c>
      <c r="C665">
        <v>21</v>
      </c>
      <c r="D665">
        <v>0</v>
      </c>
      <c r="E665">
        <v>4</v>
      </c>
      <c r="F665">
        <v>1</v>
      </c>
      <c r="G665">
        <v>18</v>
      </c>
      <c r="H665">
        <v>7</v>
      </c>
      <c r="I665">
        <v>0.25</v>
      </c>
      <c r="J665">
        <v>0.39</v>
      </c>
      <c r="K665">
        <v>1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>
        <v>0</v>
      </c>
      <c r="AH665" s="86">
        <f>AVERAGEIFS($C$2:C665, $B$2:B665, B665)</f>
        <v>9.7333333333333325</v>
      </c>
      <c r="AI665" s="86">
        <f>AVERAGEIFS($I$2:I665, $B$2:B665, B665)</f>
        <v>0.54666666666666663</v>
      </c>
      <c r="AJ665" s="86">
        <f>AVERAGEIFS($J$2:J665, $B$2:B665, B665)</f>
        <v>0.52533333333333321</v>
      </c>
      <c r="AK665" s="86">
        <f>AVERAGEIFS($D$2:D665, $B$2:B665, B665)</f>
        <v>0.53333333333333333</v>
      </c>
    </row>
    <row r="666" spans="1:37" x14ac:dyDescent="0.25">
      <c r="A666" s="85">
        <v>46109</v>
      </c>
      <c r="B666" t="s">
        <v>113</v>
      </c>
      <c r="C666">
        <v>20</v>
      </c>
      <c r="D666">
        <v>0</v>
      </c>
      <c r="E666">
        <v>4</v>
      </c>
      <c r="F666">
        <v>1</v>
      </c>
      <c r="G666">
        <v>18</v>
      </c>
      <c r="H666">
        <v>7</v>
      </c>
      <c r="I666">
        <v>0.25</v>
      </c>
      <c r="J666">
        <v>0.39</v>
      </c>
      <c r="K666">
        <v>1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>
        <v>0</v>
      </c>
      <c r="AH666" s="86">
        <f>AVERAGEIFS($C$2:C666, $B$2:B666, B666)</f>
        <v>16.3</v>
      </c>
      <c r="AI666" s="86">
        <f>AVERAGEIFS($I$2:I666, $B$2:B666, B666)</f>
        <v>0.49750000000000005</v>
      </c>
      <c r="AJ666" s="86">
        <f>AVERAGEIFS($J$2:J666, $B$2:B666, B666)</f>
        <v>0.48850000000000005</v>
      </c>
      <c r="AK666" s="86">
        <f>AVERAGEIFS($D$2:D666, $B$2:B666, B666)</f>
        <v>0.45</v>
      </c>
    </row>
    <row r="667" spans="1:37" x14ac:dyDescent="0.25">
      <c r="A667" s="85">
        <v>46109</v>
      </c>
      <c r="B667" t="s">
        <v>13</v>
      </c>
      <c r="C667">
        <v>20</v>
      </c>
      <c r="D667">
        <v>0</v>
      </c>
      <c r="E667">
        <v>4</v>
      </c>
      <c r="F667">
        <v>1</v>
      </c>
      <c r="G667">
        <v>18</v>
      </c>
      <c r="H667">
        <v>7</v>
      </c>
      <c r="I667">
        <v>0.25</v>
      </c>
      <c r="J667">
        <v>0.39</v>
      </c>
      <c r="K667">
        <v>1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>
        <v>0</v>
      </c>
      <c r="AH667" s="86">
        <f>AVERAGEIFS($C$2:C667, $B$2:B667, B667)</f>
        <v>12.6</v>
      </c>
      <c r="AI667" s="86">
        <f>AVERAGEIFS($I$2:I667, $B$2:B667, B667)</f>
        <v>0.54500000000000004</v>
      </c>
      <c r="AJ667" s="86">
        <f>AVERAGEIFS($J$2:J667, $B$2:B667, B667)</f>
        <v>0.53099999999999992</v>
      </c>
      <c r="AK667" s="86">
        <f>AVERAGEIFS($D$2:D667, $B$2:B667, B667)</f>
        <v>0.4</v>
      </c>
    </row>
    <row r="668" spans="1:37" x14ac:dyDescent="0.25">
      <c r="A668" s="85">
        <v>46109</v>
      </c>
      <c r="B668" t="s">
        <v>46</v>
      </c>
      <c r="C668">
        <v>13</v>
      </c>
      <c r="D668">
        <v>0</v>
      </c>
      <c r="E668">
        <v>4</v>
      </c>
      <c r="F668">
        <v>1</v>
      </c>
      <c r="G668">
        <v>18</v>
      </c>
      <c r="H668">
        <v>7</v>
      </c>
      <c r="I668">
        <v>0.25</v>
      </c>
      <c r="J668">
        <v>0.39</v>
      </c>
      <c r="K668">
        <v>1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0</v>
      </c>
      <c r="AH668" s="86">
        <f>AVERAGEIFS($C$2:C668, $B$2:B668, B668)</f>
        <v>18.478260869565219</v>
      </c>
      <c r="AI668" s="86">
        <f>AVERAGEIFS($I$2:I668, $B$2:B668, B668)</f>
        <v>0.42391304347826081</v>
      </c>
      <c r="AJ668" s="86">
        <f>AVERAGEIFS($J$2:J668, $B$2:B668, B668)</f>
        <v>0.45652173913043476</v>
      </c>
      <c r="AK668" s="86">
        <f>AVERAGEIFS($D$2:D668, $B$2:B668, B668)</f>
        <v>0.39130434782608697</v>
      </c>
    </row>
    <row r="669" spans="1:37" x14ac:dyDescent="0.25">
      <c r="A669" s="85">
        <v>46109</v>
      </c>
      <c r="B669" t="s">
        <v>50</v>
      </c>
      <c r="C669">
        <v>13</v>
      </c>
      <c r="D669">
        <v>1</v>
      </c>
      <c r="E669">
        <v>4</v>
      </c>
      <c r="F669">
        <v>3</v>
      </c>
      <c r="G669">
        <v>18</v>
      </c>
      <c r="H669">
        <v>11</v>
      </c>
      <c r="I669">
        <v>0.75</v>
      </c>
      <c r="J669">
        <v>0.61</v>
      </c>
      <c r="K669">
        <v>0</v>
      </c>
      <c r="L669">
        <v>0</v>
      </c>
      <c r="M669">
        <v>0</v>
      </c>
      <c r="N669">
        <v>1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1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0</v>
      </c>
      <c r="AC669">
        <v>1</v>
      </c>
      <c r="AD669">
        <v>0</v>
      </c>
      <c r="AE669">
        <v>0</v>
      </c>
      <c r="AF669">
        <v>0</v>
      </c>
      <c r="AG669">
        <v>0</v>
      </c>
      <c r="AH669" s="86">
        <f>AVERAGEIFS($C$2:C669, $B$2:B669, B669)</f>
        <v>18.375</v>
      </c>
      <c r="AI669" s="86">
        <f>AVERAGEIFS($I$2:I669, $B$2:B669, B669)</f>
        <v>0.53531250000000008</v>
      </c>
      <c r="AJ669" s="86">
        <f>AVERAGEIFS($J$2:J669, $B$2:B669, B669)</f>
        <v>0.53531249999999986</v>
      </c>
      <c r="AK669" s="86">
        <f>AVERAGEIFS($D$2:D669, $B$2:B669, B669)</f>
        <v>0.53125</v>
      </c>
    </row>
    <row r="670" spans="1:37" x14ac:dyDescent="0.25">
      <c r="A670" s="85">
        <v>46109</v>
      </c>
      <c r="B670" t="s">
        <v>6</v>
      </c>
      <c r="C670">
        <v>32</v>
      </c>
      <c r="D670">
        <v>1</v>
      </c>
      <c r="E670">
        <v>4</v>
      </c>
      <c r="F670">
        <v>3</v>
      </c>
      <c r="G670">
        <v>18</v>
      </c>
      <c r="H670">
        <v>11</v>
      </c>
      <c r="I670">
        <v>0.75</v>
      </c>
      <c r="J670">
        <v>0.61</v>
      </c>
      <c r="K670">
        <v>0</v>
      </c>
      <c r="L670">
        <v>0</v>
      </c>
      <c r="M670">
        <v>0</v>
      </c>
      <c r="N670">
        <v>1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1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0</v>
      </c>
      <c r="AC670">
        <v>1</v>
      </c>
      <c r="AD670">
        <v>0</v>
      </c>
      <c r="AE670">
        <v>0</v>
      </c>
      <c r="AF670">
        <v>0</v>
      </c>
      <c r="AG670">
        <v>0</v>
      </c>
      <c r="AH670" s="86">
        <f>AVERAGEIFS($C$2:C670, $B$2:B670, B670)</f>
        <v>22.15909090909091</v>
      </c>
      <c r="AI670" s="86">
        <f>AVERAGEIFS($I$2:I670, $B$2:B670, B670)</f>
        <v>0.56659090909090915</v>
      </c>
      <c r="AJ670" s="86">
        <f>AVERAGEIFS($J$2:J670, $B$2:B670, B670)</f>
        <v>0.53749999999999998</v>
      </c>
      <c r="AK670" s="86">
        <f>AVERAGEIFS($D$2:D670, $B$2:B670, B670)</f>
        <v>0.65909090909090906</v>
      </c>
    </row>
    <row r="671" spans="1:37" x14ac:dyDescent="0.25">
      <c r="A671" s="85">
        <v>46109</v>
      </c>
      <c r="B671" t="s">
        <v>54</v>
      </c>
      <c r="C671">
        <v>31</v>
      </c>
      <c r="D671">
        <v>1</v>
      </c>
      <c r="E671">
        <v>4</v>
      </c>
      <c r="F671">
        <v>3</v>
      </c>
      <c r="G671">
        <v>18</v>
      </c>
      <c r="H671">
        <v>11</v>
      </c>
      <c r="I671">
        <v>0.75</v>
      </c>
      <c r="J671">
        <v>0.61</v>
      </c>
      <c r="K671">
        <v>0</v>
      </c>
      <c r="L671">
        <v>0</v>
      </c>
      <c r="M671">
        <v>0</v>
      </c>
      <c r="N671">
        <v>1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1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0</v>
      </c>
      <c r="AC671">
        <v>1</v>
      </c>
      <c r="AD671">
        <v>0</v>
      </c>
      <c r="AE671">
        <v>0</v>
      </c>
      <c r="AF671">
        <v>0</v>
      </c>
      <c r="AG671">
        <v>0</v>
      </c>
      <c r="AH671" s="86">
        <f>AVERAGEIFS($C$2:C671, $B$2:B671, B671)</f>
        <v>24.088888888888889</v>
      </c>
      <c r="AI671" s="86">
        <f>AVERAGEIFS($I$2:I671, $B$2:B671, B671)</f>
        <v>0.53933333333333344</v>
      </c>
      <c r="AJ671" s="86">
        <f>AVERAGEIFS($J$2:J671, $B$2:B671, B671)</f>
        <v>0.51311111111111107</v>
      </c>
      <c r="AK671" s="86">
        <f>AVERAGEIFS($D$2:D671, $B$2:B671, B671)</f>
        <v>0.55555555555555558</v>
      </c>
    </row>
    <row r="672" spans="1:37" x14ac:dyDescent="0.25">
      <c r="A672" s="85">
        <v>46109</v>
      </c>
      <c r="B672" t="s">
        <v>44</v>
      </c>
      <c r="C672">
        <v>15</v>
      </c>
      <c r="D672">
        <v>1</v>
      </c>
      <c r="E672">
        <v>4</v>
      </c>
      <c r="F672">
        <v>3</v>
      </c>
      <c r="G672">
        <v>18</v>
      </c>
      <c r="H672">
        <v>11</v>
      </c>
      <c r="I672">
        <v>0.75</v>
      </c>
      <c r="J672">
        <v>0.61</v>
      </c>
      <c r="K672">
        <v>0</v>
      </c>
      <c r="L672">
        <v>0</v>
      </c>
      <c r="M672">
        <v>0</v>
      </c>
      <c r="N672">
        <v>1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1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0</v>
      </c>
      <c r="AC672">
        <v>1</v>
      </c>
      <c r="AD672">
        <v>0</v>
      </c>
      <c r="AE672">
        <v>0</v>
      </c>
      <c r="AF672">
        <v>0</v>
      </c>
      <c r="AG672">
        <v>0</v>
      </c>
      <c r="AH672" s="86">
        <f>AVERAGEIFS($C$2:C672, $B$2:B672, B672)</f>
        <v>16.04</v>
      </c>
      <c r="AI672" s="86">
        <f>AVERAGEIFS($I$2:I672, $B$2:B672, B672)</f>
        <v>0.54599999999999993</v>
      </c>
      <c r="AJ672" s="86">
        <f>AVERAGEIFS($J$2:J672, $B$2:B672, B672)</f>
        <v>0.54079999999999995</v>
      </c>
      <c r="AK672" s="86">
        <f>AVERAGEIFS($D$2:D672, $B$2:B672, B672)</f>
        <v>0.68</v>
      </c>
    </row>
    <row r="673" spans="1:37" x14ac:dyDescent="0.25">
      <c r="A673" s="85">
        <v>46109</v>
      </c>
      <c r="B673" t="s">
        <v>14</v>
      </c>
      <c r="C673">
        <v>21</v>
      </c>
      <c r="D673">
        <v>1</v>
      </c>
      <c r="E673">
        <v>4</v>
      </c>
      <c r="F673">
        <v>3</v>
      </c>
      <c r="G673">
        <v>18</v>
      </c>
      <c r="H673">
        <v>11</v>
      </c>
      <c r="I673">
        <v>0.75</v>
      </c>
      <c r="J673">
        <v>0.61</v>
      </c>
      <c r="K673">
        <v>0</v>
      </c>
      <c r="L673">
        <v>0</v>
      </c>
      <c r="M673">
        <v>0</v>
      </c>
      <c r="N673">
        <v>1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1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0</v>
      </c>
      <c r="AC673">
        <v>1</v>
      </c>
      <c r="AD673">
        <v>0</v>
      </c>
      <c r="AE673">
        <v>0</v>
      </c>
      <c r="AF673">
        <v>0</v>
      </c>
      <c r="AG673">
        <v>0</v>
      </c>
      <c r="AH673" s="86">
        <f>AVERAGEIFS($C$2:C673, $B$2:B673, B673)</f>
        <v>17.066666666666666</v>
      </c>
      <c r="AI673" s="86">
        <f>AVERAGEIFS($I$2:I673, $B$2:B673, B673)</f>
        <v>0.51800000000000002</v>
      </c>
      <c r="AJ673" s="86">
        <f>AVERAGEIFS($J$2:J673, $B$2:B673, B673)</f>
        <v>0.52933333333333343</v>
      </c>
      <c r="AK673" s="86">
        <f>AVERAGEIFS($D$2:D673, $B$2:B673, B673)</f>
        <v>0.53333333333333333</v>
      </c>
    </row>
    <row r="674" spans="1:37" x14ac:dyDescent="0.25">
      <c r="A674" s="85">
        <v>46109</v>
      </c>
      <c r="B674" t="s">
        <v>2</v>
      </c>
      <c r="C674">
        <v>43</v>
      </c>
      <c r="D674">
        <v>1</v>
      </c>
      <c r="E674">
        <v>4</v>
      </c>
      <c r="F674">
        <v>3</v>
      </c>
      <c r="G674">
        <v>18</v>
      </c>
      <c r="H674">
        <v>11</v>
      </c>
      <c r="I674">
        <v>0.75</v>
      </c>
      <c r="J674">
        <v>0.61</v>
      </c>
      <c r="K674">
        <v>0</v>
      </c>
      <c r="L674">
        <v>0</v>
      </c>
      <c r="M674">
        <v>0</v>
      </c>
      <c r="N674">
        <v>1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1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0</v>
      </c>
      <c r="AC674">
        <v>1</v>
      </c>
      <c r="AD674">
        <v>0</v>
      </c>
      <c r="AE674">
        <v>0</v>
      </c>
      <c r="AF674">
        <v>0</v>
      </c>
      <c r="AG674">
        <v>0</v>
      </c>
      <c r="AH674" s="86">
        <f>AVERAGEIFS($C$2:C674, $B$2:B674, B674)</f>
        <v>23.964285714285715</v>
      </c>
      <c r="AI674" s="86">
        <f>AVERAGEIFS($I$2:I674, $B$2:B674, B674)</f>
        <v>0.55642857142857138</v>
      </c>
      <c r="AJ674" s="86">
        <f>AVERAGEIFS($J$2:J674, $B$2:B674, B674)</f>
        <v>0.5535714285714286</v>
      </c>
      <c r="AK674" s="86">
        <f>AVERAGEIFS($D$2:D674, $B$2:B674, B674)</f>
        <v>0.5714285714285714</v>
      </c>
    </row>
    <row r="675" spans="1:37" x14ac:dyDescent="0.25">
      <c r="A675" s="85">
        <v>46109</v>
      </c>
      <c r="B675" t="s">
        <v>153</v>
      </c>
      <c r="C675">
        <v>11</v>
      </c>
      <c r="D675">
        <v>1</v>
      </c>
      <c r="E675">
        <v>4</v>
      </c>
      <c r="F675">
        <v>3</v>
      </c>
      <c r="G675">
        <v>18</v>
      </c>
      <c r="H675">
        <v>11</v>
      </c>
      <c r="I675">
        <v>0.75</v>
      </c>
      <c r="J675">
        <v>0.61</v>
      </c>
      <c r="K675">
        <v>0</v>
      </c>
      <c r="L675">
        <v>0</v>
      </c>
      <c r="M675">
        <v>0</v>
      </c>
      <c r="N675">
        <v>1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1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0</v>
      </c>
      <c r="AC675">
        <v>1</v>
      </c>
      <c r="AD675">
        <v>0</v>
      </c>
      <c r="AE675">
        <v>0</v>
      </c>
      <c r="AF675">
        <v>0</v>
      </c>
      <c r="AG675">
        <v>0</v>
      </c>
      <c r="AH675" s="86">
        <f>AVERAGEIFS($C$2:C675, $B$2:B675, B675)</f>
        <v>10.75</v>
      </c>
      <c r="AI675" s="86">
        <f>AVERAGEIFS($I$2:I675, $B$2:B675, B675)</f>
        <v>0.48749999999999999</v>
      </c>
      <c r="AJ675" s="86">
        <f>AVERAGEIFS($J$2:J675, $B$2:B675, B675)</f>
        <v>0.44999999999999996</v>
      </c>
      <c r="AK675" s="86">
        <f>AVERAGEIFS($D$2:D675, $B$2:B675, B675)</f>
        <v>0.75</v>
      </c>
    </row>
    <row r="676" spans="1:37" x14ac:dyDescent="0.25">
      <c r="A676" s="85">
        <v>46109</v>
      </c>
      <c r="B676" t="s">
        <v>18</v>
      </c>
      <c r="C676">
        <v>20</v>
      </c>
      <c r="D676">
        <v>1</v>
      </c>
      <c r="E676">
        <v>4</v>
      </c>
      <c r="F676">
        <v>3</v>
      </c>
      <c r="G676">
        <v>18</v>
      </c>
      <c r="H676">
        <v>11</v>
      </c>
      <c r="I676">
        <v>0.75</v>
      </c>
      <c r="J676">
        <v>0.61</v>
      </c>
      <c r="K676">
        <v>0</v>
      </c>
      <c r="L676">
        <v>0</v>
      </c>
      <c r="M676">
        <v>0</v>
      </c>
      <c r="N676">
        <v>1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1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0</v>
      </c>
      <c r="AC676">
        <v>1</v>
      </c>
      <c r="AD676">
        <v>0</v>
      </c>
      <c r="AE676">
        <v>0</v>
      </c>
      <c r="AF676">
        <v>0</v>
      </c>
      <c r="AG676">
        <v>0</v>
      </c>
      <c r="AH676" s="86">
        <f>AVERAGEIFS($C$2:C676, $B$2:B676, B676)</f>
        <v>17.166666666666668</v>
      </c>
      <c r="AI676" s="86">
        <f>AVERAGEIFS($I$2:I676, $B$2:B676, B676)</f>
        <v>0.72499999999999998</v>
      </c>
      <c r="AJ676" s="86">
        <f>AVERAGEIFS($J$2:J676, $B$2:B676, B676)</f>
        <v>0.61666666666666659</v>
      </c>
      <c r="AK676" s="86">
        <f>AVERAGEIFS($D$2:D676, $B$2:B676, B676)</f>
        <v>0.83333333333333337</v>
      </c>
    </row>
    <row r="677" spans="1:37" x14ac:dyDescent="0.25">
      <c r="A677" s="85">
        <v>46109</v>
      </c>
      <c r="B677" t="s">
        <v>140</v>
      </c>
      <c r="C677">
        <v>16</v>
      </c>
      <c r="D677">
        <v>1</v>
      </c>
      <c r="E677">
        <v>4</v>
      </c>
      <c r="F677">
        <v>3</v>
      </c>
      <c r="G677">
        <v>18</v>
      </c>
      <c r="H677">
        <v>11</v>
      </c>
      <c r="I677">
        <v>0.75</v>
      </c>
      <c r="J677">
        <v>0.61</v>
      </c>
      <c r="K677">
        <v>0</v>
      </c>
      <c r="L677">
        <v>0</v>
      </c>
      <c r="M677">
        <v>0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1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0</v>
      </c>
      <c r="AC677">
        <v>1</v>
      </c>
      <c r="AD677">
        <v>0</v>
      </c>
      <c r="AE677">
        <v>0</v>
      </c>
      <c r="AF677">
        <v>0</v>
      </c>
      <c r="AG677">
        <v>0</v>
      </c>
      <c r="AH677" s="86">
        <f>AVERAGEIFS($C$2:C677, $B$2:B677, B677)</f>
        <v>13.9</v>
      </c>
      <c r="AI677" s="86">
        <f>AVERAGEIFS($I$2:I677, $B$2:B677, B677)</f>
        <v>0.41500000000000004</v>
      </c>
      <c r="AJ677" s="86">
        <f>AVERAGEIFS($J$2:J677, $B$2:B677, B677)</f>
        <v>0.45600000000000007</v>
      </c>
      <c r="AK677" s="86">
        <f>AVERAGEIFS($D$2:D677, $B$2:B677, B677)</f>
        <v>0.4</v>
      </c>
    </row>
    <row r="678" spans="1:37" x14ac:dyDescent="0.25">
      <c r="A678" s="85">
        <v>46110</v>
      </c>
      <c r="B678" t="s">
        <v>18</v>
      </c>
      <c r="C678">
        <v>26</v>
      </c>
      <c r="D678">
        <v>1</v>
      </c>
      <c r="E678">
        <v>3</v>
      </c>
      <c r="F678">
        <v>3</v>
      </c>
      <c r="G678">
        <v>14</v>
      </c>
      <c r="H678">
        <v>9</v>
      </c>
      <c r="I678">
        <v>1</v>
      </c>
      <c r="J678">
        <v>0.64</v>
      </c>
      <c r="K678">
        <v>0</v>
      </c>
      <c r="L678">
        <v>0</v>
      </c>
      <c r="M678">
        <v>1</v>
      </c>
      <c r="N678">
        <v>0</v>
      </c>
      <c r="O678">
        <v>0</v>
      </c>
      <c r="P678">
        <v>0</v>
      </c>
      <c r="Q678">
        <v>0</v>
      </c>
      <c r="R678">
        <v>1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1</v>
      </c>
      <c r="AA678">
        <v>0</v>
      </c>
      <c r="AB678">
        <v>0</v>
      </c>
      <c r="AC678">
        <v>0</v>
      </c>
      <c r="AD678">
        <v>0</v>
      </c>
      <c r="AE678">
        <v>0</v>
      </c>
      <c r="AF678">
        <v>0</v>
      </c>
      <c r="AG678">
        <v>0</v>
      </c>
      <c r="AH678" s="86">
        <f>AVERAGEIFS($C$2:C678, $B$2:B678, B678)</f>
        <v>18.428571428571427</v>
      </c>
      <c r="AI678" s="86">
        <f>AVERAGEIFS($I$2:I678, $B$2:B678, B678)</f>
        <v>0.76428571428571423</v>
      </c>
      <c r="AJ678" s="86">
        <f>AVERAGEIFS($J$2:J678, $B$2:B678, B678)</f>
        <v>0.62</v>
      </c>
      <c r="AK678" s="86">
        <f>AVERAGEIFS($D$2:D678, $B$2:B678, B678)</f>
        <v>0.8571428571428571</v>
      </c>
    </row>
    <row r="679" spans="1:37" x14ac:dyDescent="0.25">
      <c r="A679" s="85">
        <v>46110</v>
      </c>
      <c r="B679" t="s">
        <v>2</v>
      </c>
      <c r="C679">
        <v>25</v>
      </c>
      <c r="D679">
        <v>1</v>
      </c>
      <c r="E679">
        <v>3</v>
      </c>
      <c r="F679">
        <v>3</v>
      </c>
      <c r="G679">
        <v>14</v>
      </c>
      <c r="H679">
        <v>9</v>
      </c>
      <c r="I679">
        <v>1</v>
      </c>
      <c r="J679">
        <v>0.64</v>
      </c>
      <c r="K679">
        <v>0</v>
      </c>
      <c r="L679">
        <v>0</v>
      </c>
      <c r="M679">
        <v>1</v>
      </c>
      <c r="N679">
        <v>0</v>
      </c>
      <c r="O679">
        <v>0</v>
      </c>
      <c r="P679">
        <v>0</v>
      </c>
      <c r="Q679">
        <v>0</v>
      </c>
      <c r="R679">
        <v>1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1</v>
      </c>
      <c r="AA679">
        <v>0</v>
      </c>
      <c r="AB679">
        <v>0</v>
      </c>
      <c r="AC679">
        <v>0</v>
      </c>
      <c r="AD679">
        <v>0</v>
      </c>
      <c r="AE679">
        <v>0</v>
      </c>
      <c r="AF679">
        <v>0</v>
      </c>
      <c r="AG679">
        <v>0</v>
      </c>
      <c r="AH679" s="86">
        <f>AVERAGEIFS($C$2:C679, $B$2:B679, B679)</f>
        <v>24</v>
      </c>
      <c r="AI679" s="86">
        <f>AVERAGEIFS($I$2:I679, $B$2:B679, B679)</f>
        <v>0.57172413793103438</v>
      </c>
      <c r="AJ679" s="86">
        <f>AVERAGEIFS($J$2:J679, $B$2:B679, B679)</f>
        <v>0.55655172413793108</v>
      </c>
      <c r="AK679" s="86">
        <f>AVERAGEIFS($D$2:D679, $B$2:B679, B679)</f>
        <v>0.58620689655172409</v>
      </c>
    </row>
    <row r="680" spans="1:37" x14ac:dyDescent="0.25">
      <c r="A680" s="85">
        <v>46110</v>
      </c>
      <c r="B680" t="s">
        <v>40</v>
      </c>
      <c r="C680">
        <v>18</v>
      </c>
      <c r="D680">
        <v>1</v>
      </c>
      <c r="E680">
        <v>3</v>
      </c>
      <c r="F680">
        <v>3</v>
      </c>
      <c r="G680">
        <v>14</v>
      </c>
      <c r="H680">
        <v>9</v>
      </c>
      <c r="I680">
        <v>1</v>
      </c>
      <c r="J680">
        <v>0.64</v>
      </c>
      <c r="K680">
        <v>0</v>
      </c>
      <c r="L680">
        <v>0</v>
      </c>
      <c r="M680">
        <v>1</v>
      </c>
      <c r="N680">
        <v>0</v>
      </c>
      <c r="O680">
        <v>0</v>
      </c>
      <c r="P680">
        <v>0</v>
      </c>
      <c r="Q680">
        <v>0</v>
      </c>
      <c r="R680">
        <v>1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1</v>
      </c>
      <c r="AA680">
        <v>0</v>
      </c>
      <c r="AB680">
        <v>0</v>
      </c>
      <c r="AC680">
        <v>0</v>
      </c>
      <c r="AD680">
        <v>0</v>
      </c>
      <c r="AE680">
        <v>0</v>
      </c>
      <c r="AF680">
        <v>0</v>
      </c>
      <c r="AG680">
        <v>0</v>
      </c>
      <c r="AH680" s="86">
        <f>AVERAGEIFS($C$2:C680, $B$2:B680, B680)</f>
        <v>18.09090909090909</v>
      </c>
      <c r="AI680" s="86">
        <f>AVERAGEIFS($I$2:I680, $B$2:B680, B680)</f>
        <v>0.4829545454545453</v>
      </c>
      <c r="AJ680" s="86">
        <f>AVERAGEIFS($J$2:J680, $B$2:B680, B680)</f>
        <v>0.48068181818181832</v>
      </c>
      <c r="AK680" s="86">
        <f>AVERAGEIFS($D$2:D680, $B$2:B680, B680)</f>
        <v>0.40909090909090912</v>
      </c>
    </row>
    <row r="681" spans="1:37" x14ac:dyDescent="0.25">
      <c r="A681" s="85">
        <v>46110</v>
      </c>
      <c r="B681" t="s">
        <v>147</v>
      </c>
      <c r="C681">
        <v>15</v>
      </c>
      <c r="D681">
        <v>1</v>
      </c>
      <c r="E681">
        <v>3</v>
      </c>
      <c r="F681">
        <v>3</v>
      </c>
      <c r="G681">
        <v>14</v>
      </c>
      <c r="H681">
        <v>9</v>
      </c>
      <c r="I681">
        <v>1</v>
      </c>
      <c r="J681">
        <v>0.64</v>
      </c>
      <c r="K681">
        <v>0</v>
      </c>
      <c r="L681">
        <v>0</v>
      </c>
      <c r="M681">
        <v>1</v>
      </c>
      <c r="N681">
        <v>0</v>
      </c>
      <c r="O681">
        <v>0</v>
      </c>
      <c r="P681">
        <v>0</v>
      </c>
      <c r="Q681">
        <v>0</v>
      </c>
      <c r="R681">
        <v>1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1</v>
      </c>
      <c r="AA681">
        <v>0</v>
      </c>
      <c r="AB681">
        <v>0</v>
      </c>
      <c r="AC681">
        <v>0</v>
      </c>
      <c r="AD681">
        <v>0</v>
      </c>
      <c r="AE681">
        <v>0</v>
      </c>
      <c r="AF681">
        <v>0</v>
      </c>
      <c r="AG681">
        <v>0</v>
      </c>
      <c r="AH681" s="86">
        <f>AVERAGEIFS($C$2:C681, $B$2:B681, B681)</f>
        <v>10.0625</v>
      </c>
      <c r="AI681" s="86">
        <f>AVERAGEIFS($I$2:I681, $B$2:B681, B681)</f>
        <v>0.57499999999999996</v>
      </c>
      <c r="AJ681" s="86">
        <f>AVERAGEIFS($J$2:J681, $B$2:B681, B681)</f>
        <v>0.53249999999999986</v>
      </c>
      <c r="AK681" s="86">
        <f>AVERAGEIFS($D$2:D681, $B$2:B681, B681)</f>
        <v>0.5625</v>
      </c>
    </row>
    <row r="682" spans="1:37" x14ac:dyDescent="0.25">
      <c r="A682" s="85">
        <v>46110</v>
      </c>
      <c r="B682" t="s">
        <v>113</v>
      </c>
      <c r="C682">
        <v>12</v>
      </c>
      <c r="D682">
        <v>1</v>
      </c>
      <c r="E682">
        <v>3</v>
      </c>
      <c r="F682">
        <v>3</v>
      </c>
      <c r="G682">
        <v>14</v>
      </c>
      <c r="H682">
        <v>9</v>
      </c>
      <c r="I682">
        <v>1</v>
      </c>
      <c r="J682">
        <v>0.64</v>
      </c>
      <c r="K682">
        <v>0</v>
      </c>
      <c r="L682">
        <v>0</v>
      </c>
      <c r="M682">
        <v>1</v>
      </c>
      <c r="N682">
        <v>0</v>
      </c>
      <c r="O682">
        <v>0</v>
      </c>
      <c r="P682">
        <v>0</v>
      </c>
      <c r="Q682">
        <v>0</v>
      </c>
      <c r="R682">
        <v>1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1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  <c r="AG682">
        <v>0</v>
      </c>
      <c r="AH682" s="86">
        <f>AVERAGEIFS($C$2:C682, $B$2:B682, B682)</f>
        <v>16.095238095238095</v>
      </c>
      <c r="AI682" s="86">
        <f>AVERAGEIFS($I$2:I682, $B$2:B682, B682)</f>
        <v>0.52142857142857146</v>
      </c>
      <c r="AJ682" s="86">
        <f>AVERAGEIFS($J$2:J682, $B$2:B682, B682)</f>
        <v>0.49571428571428583</v>
      </c>
      <c r="AK682" s="86">
        <f>AVERAGEIFS($D$2:D682, $B$2:B682, B682)</f>
        <v>0.47619047619047616</v>
      </c>
    </row>
    <row r="683" spans="1:37" x14ac:dyDescent="0.25">
      <c r="A683" s="85">
        <v>46110</v>
      </c>
      <c r="B683" t="s">
        <v>140</v>
      </c>
      <c r="C683">
        <v>7</v>
      </c>
      <c r="D683">
        <v>1</v>
      </c>
      <c r="E683">
        <v>3</v>
      </c>
      <c r="F683">
        <v>3</v>
      </c>
      <c r="G683">
        <v>14</v>
      </c>
      <c r="H683">
        <v>9</v>
      </c>
      <c r="I683">
        <v>1</v>
      </c>
      <c r="J683">
        <v>0.64</v>
      </c>
      <c r="K683">
        <v>0</v>
      </c>
      <c r="L683">
        <v>0</v>
      </c>
      <c r="M683">
        <v>1</v>
      </c>
      <c r="N683">
        <v>0</v>
      </c>
      <c r="O683">
        <v>0</v>
      </c>
      <c r="P683">
        <v>0</v>
      </c>
      <c r="Q683">
        <v>0</v>
      </c>
      <c r="R683">
        <v>1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1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>
        <v>0</v>
      </c>
      <c r="AH683" s="86">
        <f>AVERAGEIFS($C$2:C683, $B$2:B683, B683)</f>
        <v>13.272727272727273</v>
      </c>
      <c r="AI683" s="86">
        <f>AVERAGEIFS($I$2:I683, $B$2:B683, B683)</f>
        <v>0.4681818181818182</v>
      </c>
      <c r="AJ683" s="86">
        <f>AVERAGEIFS($J$2:J683, $B$2:B683, B683)</f>
        <v>0.47272727272727272</v>
      </c>
      <c r="AK683" s="86">
        <f>AVERAGEIFS($D$2:D683, $B$2:B683, B683)</f>
        <v>0.45454545454545453</v>
      </c>
    </row>
    <row r="684" spans="1:37" x14ac:dyDescent="0.25">
      <c r="A684" s="85">
        <v>46110</v>
      </c>
      <c r="B684" t="s">
        <v>54</v>
      </c>
      <c r="C684">
        <v>20</v>
      </c>
      <c r="D684">
        <v>0</v>
      </c>
      <c r="E684">
        <v>3</v>
      </c>
      <c r="F684">
        <v>0</v>
      </c>
      <c r="G684">
        <v>14</v>
      </c>
      <c r="H684">
        <v>5</v>
      </c>
      <c r="I684">
        <v>0</v>
      </c>
      <c r="J684">
        <v>0.36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>
        <v>0</v>
      </c>
      <c r="AH684" s="86">
        <f>AVERAGEIFS($C$2:C684, $B$2:B684, B684)</f>
        <v>24</v>
      </c>
      <c r="AI684" s="86">
        <f>AVERAGEIFS($I$2:I684, $B$2:B684, B684)</f>
        <v>0.52760869565217394</v>
      </c>
      <c r="AJ684" s="86">
        <f>AVERAGEIFS($J$2:J684, $B$2:B684, B684)</f>
        <v>0.50978260869565217</v>
      </c>
      <c r="AK684" s="86">
        <f>AVERAGEIFS($D$2:D684, $B$2:B684, B684)</f>
        <v>0.54347826086956519</v>
      </c>
    </row>
    <row r="685" spans="1:37" x14ac:dyDescent="0.25">
      <c r="A685" s="85">
        <v>46110</v>
      </c>
      <c r="B685" t="s">
        <v>6</v>
      </c>
      <c r="C685">
        <v>20</v>
      </c>
      <c r="D685">
        <v>0</v>
      </c>
      <c r="E685">
        <v>3</v>
      </c>
      <c r="F685">
        <v>0</v>
      </c>
      <c r="G685">
        <v>14</v>
      </c>
      <c r="H685">
        <v>5</v>
      </c>
      <c r="I685">
        <v>0</v>
      </c>
      <c r="J685">
        <v>0.36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>
        <v>0</v>
      </c>
      <c r="AH685" s="86">
        <f>AVERAGEIFS($C$2:C685, $B$2:B685, B685)</f>
        <v>22.111111111111111</v>
      </c>
      <c r="AI685" s="86">
        <f>AVERAGEIFS($I$2:I685, $B$2:B685, B685)</f>
        <v>0.55400000000000005</v>
      </c>
      <c r="AJ685" s="86">
        <f>AVERAGEIFS($J$2:J685, $B$2:B685, B685)</f>
        <v>0.53355555555555556</v>
      </c>
      <c r="AK685" s="86">
        <f>AVERAGEIFS($D$2:D685, $B$2:B685, B685)</f>
        <v>0.64444444444444449</v>
      </c>
    </row>
    <row r="686" spans="1:37" x14ac:dyDescent="0.25">
      <c r="A686" s="85">
        <v>46110</v>
      </c>
      <c r="B686" t="s">
        <v>71</v>
      </c>
      <c r="C686">
        <v>13</v>
      </c>
      <c r="D686">
        <v>0</v>
      </c>
      <c r="E686">
        <v>3</v>
      </c>
      <c r="F686">
        <v>0</v>
      </c>
      <c r="G686">
        <v>14</v>
      </c>
      <c r="H686">
        <v>5</v>
      </c>
      <c r="I686">
        <v>0</v>
      </c>
      <c r="J686">
        <v>0.36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>
        <v>0</v>
      </c>
      <c r="AH686" s="86">
        <f>AVERAGEIFS($C$2:C686, $B$2:B686, B686)</f>
        <v>12.823529411764707</v>
      </c>
      <c r="AI686" s="86">
        <f>AVERAGEIFS($I$2:I686, $B$2:B686, B686)</f>
        <v>0.47647058823529409</v>
      </c>
      <c r="AJ686" s="86">
        <f>AVERAGEIFS($J$2:J686, $B$2:B686, B686)</f>
        <v>0.47882352941176476</v>
      </c>
      <c r="AK686" s="86">
        <f>AVERAGEIFS($D$2:D686, $B$2:B686, B686)</f>
        <v>0.58823529411764708</v>
      </c>
    </row>
    <row r="687" spans="1:37" x14ac:dyDescent="0.25">
      <c r="A687" s="85">
        <v>46110</v>
      </c>
      <c r="B687" t="s">
        <v>44</v>
      </c>
      <c r="C687">
        <v>10</v>
      </c>
      <c r="D687">
        <v>0</v>
      </c>
      <c r="E687">
        <v>3</v>
      </c>
      <c r="F687">
        <v>0</v>
      </c>
      <c r="G687">
        <v>14</v>
      </c>
      <c r="H687">
        <v>5</v>
      </c>
      <c r="I687">
        <v>0</v>
      </c>
      <c r="J687">
        <v>0.36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>
        <v>0</v>
      </c>
      <c r="AH687" s="86">
        <f>AVERAGEIFS($C$2:C687, $B$2:B687, B687)</f>
        <v>15.807692307692308</v>
      </c>
      <c r="AI687" s="86">
        <f>AVERAGEIFS($I$2:I687, $B$2:B687, B687)</f>
        <v>0.52499999999999991</v>
      </c>
      <c r="AJ687" s="86">
        <f>AVERAGEIFS($J$2:J687, $B$2:B687, B687)</f>
        <v>0.53384615384615386</v>
      </c>
      <c r="AK687" s="86">
        <f>AVERAGEIFS($D$2:D687, $B$2:B687, B687)</f>
        <v>0.65384615384615385</v>
      </c>
    </row>
    <row r="688" spans="1:37" x14ac:dyDescent="0.25">
      <c r="A688" s="85">
        <v>46110</v>
      </c>
      <c r="B688" t="s">
        <v>141</v>
      </c>
      <c r="C688">
        <v>15</v>
      </c>
      <c r="D688">
        <v>0</v>
      </c>
      <c r="E688">
        <v>3</v>
      </c>
      <c r="F688">
        <v>0</v>
      </c>
      <c r="G688">
        <v>14</v>
      </c>
      <c r="H688">
        <v>5</v>
      </c>
      <c r="I688">
        <v>0</v>
      </c>
      <c r="J688">
        <v>0.36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>
        <v>0</v>
      </c>
      <c r="AH688" s="86">
        <f>AVERAGEIFS($C$2:C688, $B$2:B688, B688)</f>
        <v>13.666666666666666</v>
      </c>
      <c r="AI688" s="86">
        <f>AVERAGEIFS($I$2:I688, $B$2:B688, B688)</f>
        <v>0.43333333333333335</v>
      </c>
      <c r="AJ688" s="86">
        <f>AVERAGEIFS($J$2:J688, $B$2:B688, B688)</f>
        <v>0.50166666666666671</v>
      </c>
      <c r="AK688" s="86">
        <f>AVERAGEIFS($D$2:D688, $B$2:B688, B688)</f>
        <v>0.5</v>
      </c>
    </row>
    <row r="689" spans="1:37" x14ac:dyDescent="0.25">
      <c r="A689" s="85">
        <v>46110</v>
      </c>
      <c r="B689" t="s">
        <v>13</v>
      </c>
      <c r="C689">
        <v>20</v>
      </c>
      <c r="D689">
        <v>0</v>
      </c>
      <c r="E689">
        <v>3</v>
      </c>
      <c r="F689">
        <v>0</v>
      </c>
      <c r="G689">
        <v>14</v>
      </c>
      <c r="H689">
        <v>5</v>
      </c>
      <c r="I689">
        <v>0</v>
      </c>
      <c r="J689">
        <v>0.36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>
        <v>0</v>
      </c>
      <c r="AD689">
        <v>0</v>
      </c>
      <c r="AE689">
        <v>0</v>
      </c>
      <c r="AF689">
        <v>0</v>
      </c>
      <c r="AG689">
        <v>0</v>
      </c>
      <c r="AH689" s="86">
        <f>AVERAGEIFS($C$2:C689, $B$2:B689, B689)</f>
        <v>13.272727272727273</v>
      </c>
      <c r="AI689" s="86">
        <f>AVERAGEIFS($I$2:I689, $B$2:B689, B689)</f>
        <v>0.49545454545454548</v>
      </c>
      <c r="AJ689" s="86">
        <f>AVERAGEIFS($J$2:J689, $B$2:B689, B689)</f>
        <v>0.5154545454545455</v>
      </c>
      <c r="AK689" s="86">
        <f>AVERAGEIFS($D$2:D689, $B$2:B689, B689)</f>
        <v>0.36363636363636365</v>
      </c>
    </row>
    <row r="690" spans="1:37" x14ac:dyDescent="0.25">
      <c r="A690" s="85">
        <v>46112</v>
      </c>
      <c r="B690" t="s">
        <v>1</v>
      </c>
      <c r="C690">
        <v>38</v>
      </c>
      <c r="D690">
        <v>1</v>
      </c>
      <c r="E690">
        <v>4</v>
      </c>
      <c r="F690">
        <v>3</v>
      </c>
      <c r="G690">
        <v>18</v>
      </c>
      <c r="H690">
        <v>10</v>
      </c>
      <c r="I690">
        <v>0.75</v>
      </c>
      <c r="J690">
        <v>0.56000000000000005</v>
      </c>
      <c r="K690">
        <v>0</v>
      </c>
      <c r="L690">
        <v>0</v>
      </c>
      <c r="M690">
        <v>0</v>
      </c>
      <c r="N690">
        <v>1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1</v>
      </c>
      <c r="W690">
        <v>0</v>
      </c>
      <c r="X690">
        <v>0</v>
      </c>
      <c r="Y690">
        <v>0</v>
      </c>
      <c r="Z690">
        <v>1</v>
      </c>
      <c r="AA690">
        <v>0</v>
      </c>
      <c r="AB690">
        <v>0</v>
      </c>
      <c r="AC690">
        <v>0</v>
      </c>
      <c r="AD690">
        <v>0</v>
      </c>
      <c r="AE690">
        <v>0</v>
      </c>
      <c r="AF690">
        <v>0</v>
      </c>
      <c r="AG690">
        <v>0</v>
      </c>
      <c r="AH690" s="86">
        <f>AVERAGEIFS($C$2:C690, $B$2:B690, B690)</f>
        <v>27.304347826086957</v>
      </c>
      <c r="AI690" s="86">
        <f>AVERAGEIFS($I$2:I690, $B$2:B690, B690)</f>
        <v>0.44347826086956527</v>
      </c>
      <c r="AJ690" s="86">
        <f>AVERAGEIFS($J$2:J690, $B$2:B690, B690)</f>
        <v>0.46043478260869564</v>
      </c>
      <c r="AK690" s="86">
        <f>AVERAGEIFS($D$2:D690, $B$2:B690, B690)</f>
        <v>0.47826086956521741</v>
      </c>
    </row>
    <row r="691" spans="1:37" x14ac:dyDescent="0.25">
      <c r="A691" s="85">
        <v>46112</v>
      </c>
      <c r="B691" t="s">
        <v>147</v>
      </c>
      <c r="C691">
        <v>33</v>
      </c>
      <c r="D691">
        <v>1</v>
      </c>
      <c r="E691">
        <v>4</v>
      </c>
      <c r="F691">
        <v>3</v>
      </c>
      <c r="G691">
        <v>18</v>
      </c>
      <c r="H691">
        <v>10</v>
      </c>
      <c r="I691">
        <v>0.75</v>
      </c>
      <c r="J691">
        <v>0.56000000000000005</v>
      </c>
      <c r="K691">
        <v>0</v>
      </c>
      <c r="L691">
        <v>0</v>
      </c>
      <c r="M691">
        <v>0</v>
      </c>
      <c r="N691">
        <v>1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1</v>
      </c>
      <c r="W691">
        <v>0</v>
      </c>
      <c r="X691">
        <v>0</v>
      </c>
      <c r="Y691">
        <v>0</v>
      </c>
      <c r="Z691">
        <v>1</v>
      </c>
      <c r="AA691">
        <v>0</v>
      </c>
      <c r="AB691">
        <v>0</v>
      </c>
      <c r="AC691">
        <v>0</v>
      </c>
      <c r="AD691">
        <v>0</v>
      </c>
      <c r="AE691">
        <v>0</v>
      </c>
      <c r="AF691">
        <v>0</v>
      </c>
      <c r="AG691">
        <v>0</v>
      </c>
      <c r="AH691" s="86">
        <f>AVERAGEIFS($C$2:C691, $B$2:B691, B691)</f>
        <v>11.411764705882353</v>
      </c>
      <c r="AI691" s="86">
        <f>AVERAGEIFS($I$2:I691, $B$2:B691, B691)</f>
        <v>0.58529411764705874</v>
      </c>
      <c r="AJ691" s="86">
        <f>AVERAGEIFS($J$2:J691, $B$2:B691, B691)</f>
        <v>0.53411764705882347</v>
      </c>
      <c r="AK691" s="86">
        <f>AVERAGEIFS($D$2:D691, $B$2:B691, B691)</f>
        <v>0.58823529411764708</v>
      </c>
    </row>
    <row r="692" spans="1:37" x14ac:dyDescent="0.25">
      <c r="A692" s="85">
        <v>46112</v>
      </c>
      <c r="B692" t="s">
        <v>17</v>
      </c>
      <c r="C692">
        <v>32</v>
      </c>
      <c r="D692">
        <v>1</v>
      </c>
      <c r="E692">
        <v>4</v>
      </c>
      <c r="F692">
        <v>3</v>
      </c>
      <c r="G692">
        <v>18</v>
      </c>
      <c r="H692">
        <v>10</v>
      </c>
      <c r="I692">
        <v>0.75</v>
      </c>
      <c r="J692">
        <v>0.56000000000000005</v>
      </c>
      <c r="K692">
        <v>0</v>
      </c>
      <c r="L692">
        <v>0</v>
      </c>
      <c r="M692">
        <v>0</v>
      </c>
      <c r="N692">
        <v>1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1</v>
      </c>
      <c r="W692">
        <v>0</v>
      </c>
      <c r="X692">
        <v>0</v>
      </c>
      <c r="Y692">
        <v>0</v>
      </c>
      <c r="Z692">
        <v>1</v>
      </c>
      <c r="AA692">
        <v>0</v>
      </c>
      <c r="AB692">
        <v>0</v>
      </c>
      <c r="AC692">
        <v>0</v>
      </c>
      <c r="AD692">
        <v>0</v>
      </c>
      <c r="AE692">
        <v>0</v>
      </c>
      <c r="AF692">
        <v>0</v>
      </c>
      <c r="AG692">
        <v>0</v>
      </c>
      <c r="AH692" s="86">
        <f>AVERAGEIFS($C$2:C692, $B$2:B692, B692)</f>
        <v>20.73076923076923</v>
      </c>
      <c r="AI692" s="86">
        <f>AVERAGEIFS($I$2:I692, $B$2:B692, B692)</f>
        <v>0.495</v>
      </c>
      <c r="AJ692" s="86">
        <f>AVERAGEIFS($J$2:J692, $B$2:B692, B692)</f>
        <v>0.48153846153846164</v>
      </c>
      <c r="AK692" s="86">
        <f>AVERAGEIFS($D$2:D692, $B$2:B692, B692)</f>
        <v>0.46153846153846156</v>
      </c>
    </row>
    <row r="693" spans="1:37" x14ac:dyDescent="0.25">
      <c r="A693" s="85">
        <v>46112</v>
      </c>
      <c r="B693" t="s">
        <v>54</v>
      </c>
      <c r="C693">
        <v>29</v>
      </c>
      <c r="D693">
        <v>1</v>
      </c>
      <c r="E693">
        <v>4</v>
      </c>
      <c r="F693">
        <v>3</v>
      </c>
      <c r="G693">
        <v>18</v>
      </c>
      <c r="H693">
        <v>10</v>
      </c>
      <c r="I693">
        <v>0.75</v>
      </c>
      <c r="J693">
        <v>0.56000000000000005</v>
      </c>
      <c r="K693">
        <v>0</v>
      </c>
      <c r="L693">
        <v>0</v>
      </c>
      <c r="M693">
        <v>0</v>
      </c>
      <c r="N693">
        <v>1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1</v>
      </c>
      <c r="W693">
        <v>0</v>
      </c>
      <c r="X693">
        <v>0</v>
      </c>
      <c r="Y693">
        <v>0</v>
      </c>
      <c r="Z693">
        <v>1</v>
      </c>
      <c r="AA693">
        <v>0</v>
      </c>
      <c r="AB693">
        <v>0</v>
      </c>
      <c r="AC693">
        <v>0</v>
      </c>
      <c r="AD693">
        <v>0</v>
      </c>
      <c r="AE693">
        <v>0</v>
      </c>
      <c r="AF693">
        <v>0</v>
      </c>
      <c r="AG693">
        <v>0</v>
      </c>
      <c r="AH693" s="86">
        <f>AVERAGEIFS($C$2:C693, $B$2:B693, B693)</f>
        <v>24.106382978723403</v>
      </c>
      <c r="AI693" s="86">
        <f>AVERAGEIFS($I$2:I693, $B$2:B693, B693)</f>
        <v>0.53234042553191496</v>
      </c>
      <c r="AJ693" s="86">
        <f>AVERAGEIFS($J$2:J693, $B$2:B693, B693)</f>
        <v>0.51085106382978718</v>
      </c>
      <c r="AK693" s="86">
        <f>AVERAGEIFS($D$2:D693, $B$2:B693, B693)</f>
        <v>0.55319148936170215</v>
      </c>
    </row>
    <row r="694" spans="1:37" x14ac:dyDescent="0.25">
      <c r="A694" s="85">
        <v>46112</v>
      </c>
      <c r="B694" t="s">
        <v>35</v>
      </c>
      <c r="C694">
        <v>24</v>
      </c>
      <c r="D694">
        <v>1</v>
      </c>
      <c r="E694">
        <v>4</v>
      </c>
      <c r="F694">
        <v>3</v>
      </c>
      <c r="G694">
        <v>18</v>
      </c>
      <c r="H694">
        <v>10</v>
      </c>
      <c r="I694">
        <v>0.75</v>
      </c>
      <c r="J694">
        <v>0.56000000000000005</v>
      </c>
      <c r="K694">
        <v>0</v>
      </c>
      <c r="L694">
        <v>0</v>
      </c>
      <c r="M694">
        <v>0</v>
      </c>
      <c r="N694">
        <v>1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1</v>
      </c>
      <c r="W694">
        <v>0</v>
      </c>
      <c r="X694">
        <v>0</v>
      </c>
      <c r="Y694">
        <v>0</v>
      </c>
      <c r="Z694">
        <v>1</v>
      </c>
      <c r="AA694">
        <v>0</v>
      </c>
      <c r="AB694">
        <v>0</v>
      </c>
      <c r="AC694">
        <v>0</v>
      </c>
      <c r="AD694">
        <v>0</v>
      </c>
      <c r="AE694">
        <v>0</v>
      </c>
      <c r="AF694">
        <v>0</v>
      </c>
      <c r="AG694">
        <v>0</v>
      </c>
      <c r="AH694" s="86">
        <f>AVERAGEIFS($C$2:C694, $B$2:B694, B694)</f>
        <v>11.085714285714285</v>
      </c>
      <c r="AI694" s="86">
        <f>AVERAGEIFS($I$2:I694, $B$2:B694, B694)</f>
        <v>0.47371428571428575</v>
      </c>
      <c r="AJ694" s="86">
        <f>AVERAGEIFS($J$2:J694, $B$2:B694, B694)</f>
        <v>0.49142857142857138</v>
      </c>
      <c r="AK694" s="86">
        <f>AVERAGEIFS($D$2:D694, $B$2:B694, B694)</f>
        <v>0.45714285714285713</v>
      </c>
    </row>
    <row r="695" spans="1:37" x14ac:dyDescent="0.25">
      <c r="A695" s="85">
        <v>46112</v>
      </c>
      <c r="B695" t="s">
        <v>50</v>
      </c>
      <c r="C695">
        <v>24</v>
      </c>
      <c r="D695">
        <v>1</v>
      </c>
      <c r="E695">
        <v>4</v>
      </c>
      <c r="F695">
        <v>3</v>
      </c>
      <c r="G695">
        <v>18</v>
      </c>
      <c r="H695">
        <v>10</v>
      </c>
      <c r="I695">
        <v>0.75</v>
      </c>
      <c r="J695">
        <v>0.56000000000000005</v>
      </c>
      <c r="K695">
        <v>0</v>
      </c>
      <c r="L695">
        <v>0</v>
      </c>
      <c r="M695">
        <v>0</v>
      </c>
      <c r="N695">
        <v>1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1</v>
      </c>
      <c r="W695">
        <v>0</v>
      </c>
      <c r="X695">
        <v>0</v>
      </c>
      <c r="Y695">
        <v>0</v>
      </c>
      <c r="Z695">
        <v>1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G695">
        <v>0</v>
      </c>
      <c r="AH695" s="86">
        <f>AVERAGEIFS($C$2:C695, $B$2:B695, B695)</f>
        <v>18.545454545454547</v>
      </c>
      <c r="AI695" s="86">
        <f>AVERAGEIFS($I$2:I695, $B$2:B695, B695)</f>
        <v>0.54181818181818187</v>
      </c>
      <c r="AJ695" s="86">
        <f>AVERAGEIFS($J$2:J695, $B$2:B695, B695)</f>
        <v>0.5360606060606059</v>
      </c>
      <c r="AK695" s="86">
        <f>AVERAGEIFS($D$2:D695, $B$2:B695, B695)</f>
        <v>0.54545454545454541</v>
      </c>
    </row>
    <row r="696" spans="1:37" x14ac:dyDescent="0.25">
      <c r="A696" s="85">
        <v>46112</v>
      </c>
      <c r="B696" t="s">
        <v>113</v>
      </c>
      <c r="C696">
        <v>23</v>
      </c>
      <c r="D696">
        <v>1</v>
      </c>
      <c r="E696">
        <v>4</v>
      </c>
      <c r="F696">
        <v>3</v>
      </c>
      <c r="G696">
        <v>18</v>
      </c>
      <c r="H696">
        <v>10</v>
      </c>
      <c r="I696">
        <v>0.75</v>
      </c>
      <c r="J696">
        <v>0.56000000000000005</v>
      </c>
      <c r="K696">
        <v>0</v>
      </c>
      <c r="L696">
        <v>0</v>
      </c>
      <c r="M696">
        <v>0</v>
      </c>
      <c r="N696">
        <v>1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1</v>
      </c>
      <c r="W696">
        <v>0</v>
      </c>
      <c r="X696">
        <v>0</v>
      </c>
      <c r="Y696">
        <v>0</v>
      </c>
      <c r="Z696">
        <v>1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>
        <v>0</v>
      </c>
      <c r="AH696" s="86">
        <f>AVERAGEIFS($C$2:C696, $B$2:B696, B696)</f>
        <v>16.40909090909091</v>
      </c>
      <c r="AI696" s="86">
        <f>AVERAGEIFS($I$2:I696, $B$2:B696, B696)</f>
        <v>0.53181818181818186</v>
      </c>
      <c r="AJ696" s="86">
        <f>AVERAGEIFS($J$2:J696, $B$2:B696, B696)</f>
        <v>0.49863636363636377</v>
      </c>
      <c r="AK696" s="86">
        <f>AVERAGEIFS($D$2:D696, $B$2:B696, B696)</f>
        <v>0.5</v>
      </c>
    </row>
    <row r="697" spans="1:37" x14ac:dyDescent="0.25">
      <c r="A697" s="85">
        <v>46112</v>
      </c>
      <c r="B697" t="s">
        <v>40</v>
      </c>
      <c r="C697">
        <v>18</v>
      </c>
      <c r="D697">
        <v>1</v>
      </c>
      <c r="E697">
        <v>4</v>
      </c>
      <c r="F697">
        <v>3</v>
      </c>
      <c r="G697">
        <v>18</v>
      </c>
      <c r="H697">
        <v>10</v>
      </c>
      <c r="I697">
        <v>0.75</v>
      </c>
      <c r="J697">
        <v>0.56000000000000005</v>
      </c>
      <c r="K697">
        <v>0</v>
      </c>
      <c r="L697">
        <v>0</v>
      </c>
      <c r="M697">
        <v>0</v>
      </c>
      <c r="N697">
        <v>1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1</v>
      </c>
      <c r="W697">
        <v>0</v>
      </c>
      <c r="X697">
        <v>0</v>
      </c>
      <c r="Y697">
        <v>0</v>
      </c>
      <c r="Z697">
        <v>1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>
        <v>0</v>
      </c>
      <c r="AH697" s="86">
        <f>AVERAGEIFS($C$2:C697, $B$2:B697, B697)</f>
        <v>18.088888888888889</v>
      </c>
      <c r="AI697" s="86">
        <f>AVERAGEIFS($I$2:I697, $B$2:B697, B697)</f>
        <v>0.48888888888888871</v>
      </c>
      <c r="AJ697" s="86">
        <f>AVERAGEIFS($J$2:J697, $B$2:B697, B697)</f>
        <v>0.48244444444444456</v>
      </c>
      <c r="AK697" s="86">
        <f>AVERAGEIFS($D$2:D697, $B$2:B697, B697)</f>
        <v>0.42222222222222222</v>
      </c>
    </row>
    <row r="698" spans="1:37" x14ac:dyDescent="0.25">
      <c r="A698" s="85">
        <v>46112</v>
      </c>
      <c r="B698" t="s">
        <v>44</v>
      </c>
      <c r="C698">
        <v>36</v>
      </c>
      <c r="D698">
        <v>0</v>
      </c>
      <c r="E698">
        <v>4</v>
      </c>
      <c r="F698">
        <v>1</v>
      </c>
      <c r="G698">
        <v>18</v>
      </c>
      <c r="H698">
        <v>8</v>
      </c>
      <c r="I698">
        <v>0.25</v>
      </c>
      <c r="J698">
        <v>0.44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>
        <v>1</v>
      </c>
      <c r="AD698">
        <v>0</v>
      </c>
      <c r="AE698">
        <v>0</v>
      </c>
      <c r="AF698">
        <v>0</v>
      </c>
      <c r="AG698">
        <v>0</v>
      </c>
      <c r="AH698" s="86">
        <f>AVERAGEIFS($C$2:C698, $B$2:B698, B698)</f>
        <v>16.555555555555557</v>
      </c>
      <c r="AI698" s="86">
        <f>AVERAGEIFS($I$2:I698, $B$2:B698, B698)</f>
        <v>0.51481481481481473</v>
      </c>
      <c r="AJ698" s="86">
        <f>AVERAGEIFS($J$2:J698, $B$2:B698, B698)</f>
        <v>0.53037037037037027</v>
      </c>
      <c r="AK698" s="86">
        <f>AVERAGEIFS($D$2:D698, $B$2:B698, B698)</f>
        <v>0.62962962962962965</v>
      </c>
    </row>
    <row r="699" spans="1:37" x14ac:dyDescent="0.25">
      <c r="A699" s="85">
        <v>46112</v>
      </c>
      <c r="B699" t="s">
        <v>107</v>
      </c>
      <c r="C699">
        <v>35</v>
      </c>
      <c r="D699">
        <v>0</v>
      </c>
      <c r="E699">
        <v>4</v>
      </c>
      <c r="F699">
        <v>1</v>
      </c>
      <c r="G699">
        <v>18</v>
      </c>
      <c r="H699">
        <v>8</v>
      </c>
      <c r="I699">
        <v>0.25</v>
      </c>
      <c r="J699">
        <v>0.44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0</v>
      </c>
      <c r="AC699">
        <v>1</v>
      </c>
      <c r="AD699">
        <v>0</v>
      </c>
      <c r="AE699">
        <v>0</v>
      </c>
      <c r="AF699">
        <v>0</v>
      </c>
      <c r="AG699">
        <v>0</v>
      </c>
      <c r="AH699" s="86">
        <f>AVERAGEIFS($C$2:C699, $B$2:B699, B699)</f>
        <v>17</v>
      </c>
      <c r="AI699" s="86">
        <f>AVERAGEIFS($I$2:I699, $B$2:B699, B699)</f>
        <v>0.55555555555555547</v>
      </c>
      <c r="AJ699" s="86">
        <f>AVERAGEIFS($J$2:J699, $B$2:B699, B699)</f>
        <v>0.54074074074074086</v>
      </c>
      <c r="AK699" s="86">
        <f>AVERAGEIFS($D$2:D699, $B$2:B699, B699)</f>
        <v>0.59259259259259256</v>
      </c>
    </row>
    <row r="700" spans="1:37" x14ac:dyDescent="0.25">
      <c r="A700" s="85">
        <v>46112</v>
      </c>
      <c r="B700" t="s">
        <v>2</v>
      </c>
      <c r="C700">
        <v>34</v>
      </c>
      <c r="D700">
        <v>0</v>
      </c>
      <c r="E700">
        <v>4</v>
      </c>
      <c r="F700">
        <v>1</v>
      </c>
      <c r="G700">
        <v>18</v>
      </c>
      <c r="H700">
        <v>8</v>
      </c>
      <c r="I700">
        <v>0.25</v>
      </c>
      <c r="J700">
        <v>0.44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0</v>
      </c>
      <c r="AC700">
        <v>1</v>
      </c>
      <c r="AD700">
        <v>0</v>
      </c>
      <c r="AE700">
        <v>0</v>
      </c>
      <c r="AF700">
        <v>0</v>
      </c>
      <c r="AG700">
        <v>0</v>
      </c>
      <c r="AH700" s="86">
        <f>AVERAGEIFS($C$2:C700, $B$2:B700, B700)</f>
        <v>24.333333333333332</v>
      </c>
      <c r="AI700" s="86">
        <f>AVERAGEIFS($I$2:I700, $B$2:B700, B700)</f>
        <v>0.56099999999999994</v>
      </c>
      <c r="AJ700" s="86">
        <f>AVERAGEIFS($J$2:J700, $B$2:B700, B700)</f>
        <v>0.55266666666666675</v>
      </c>
      <c r="AK700" s="86">
        <f>AVERAGEIFS($D$2:D700, $B$2:B700, B700)</f>
        <v>0.56666666666666665</v>
      </c>
    </row>
    <row r="701" spans="1:37" x14ac:dyDescent="0.25">
      <c r="A701" s="85">
        <v>46112</v>
      </c>
      <c r="B701" t="s">
        <v>4</v>
      </c>
      <c r="C701">
        <v>31</v>
      </c>
      <c r="D701">
        <v>0</v>
      </c>
      <c r="E701">
        <v>4</v>
      </c>
      <c r="F701">
        <v>1</v>
      </c>
      <c r="G701">
        <v>18</v>
      </c>
      <c r="H701">
        <v>8</v>
      </c>
      <c r="I701">
        <v>0.25</v>
      </c>
      <c r="J701">
        <v>0.44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0</v>
      </c>
      <c r="AC701">
        <v>1</v>
      </c>
      <c r="AD701">
        <v>0</v>
      </c>
      <c r="AE701">
        <v>0</v>
      </c>
      <c r="AF701">
        <v>0</v>
      </c>
      <c r="AG701">
        <v>0</v>
      </c>
      <c r="AH701" s="86">
        <f>AVERAGEIFS($C$2:C701, $B$2:B701, B701)</f>
        <v>23.782608695652176</v>
      </c>
      <c r="AI701" s="86">
        <f>AVERAGEIFS($I$2:I701, $B$2:B701, B701)</f>
        <v>0.38043478260869568</v>
      </c>
      <c r="AJ701" s="86">
        <f>AVERAGEIFS($J$2:J701, $B$2:B701, B701)</f>
        <v>0.43347826086956526</v>
      </c>
      <c r="AK701" s="86">
        <f>AVERAGEIFS($D$2:D701, $B$2:B701, B701)</f>
        <v>0.21739130434782608</v>
      </c>
    </row>
    <row r="702" spans="1:37" x14ac:dyDescent="0.25">
      <c r="A702" s="85">
        <v>46112</v>
      </c>
      <c r="B702" t="s">
        <v>14</v>
      </c>
      <c r="C702">
        <v>30</v>
      </c>
      <c r="D702">
        <v>0</v>
      </c>
      <c r="E702">
        <v>4</v>
      </c>
      <c r="F702">
        <v>1</v>
      </c>
      <c r="G702">
        <v>18</v>
      </c>
      <c r="H702">
        <v>8</v>
      </c>
      <c r="I702">
        <v>0.25</v>
      </c>
      <c r="J702">
        <v>0.44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>
        <v>1</v>
      </c>
      <c r="AD702">
        <v>0</v>
      </c>
      <c r="AE702">
        <v>0</v>
      </c>
      <c r="AF702">
        <v>0</v>
      </c>
      <c r="AG702">
        <v>0</v>
      </c>
      <c r="AH702" s="86">
        <f>AVERAGEIFS($C$2:C702, $B$2:B702, B702)</f>
        <v>17.875</v>
      </c>
      <c r="AI702" s="86">
        <f>AVERAGEIFS($I$2:I702, $B$2:B702, B702)</f>
        <v>0.50124999999999997</v>
      </c>
      <c r="AJ702" s="86">
        <f>AVERAGEIFS($J$2:J702, $B$2:B702, B702)</f>
        <v>0.52375000000000005</v>
      </c>
      <c r="AK702" s="86">
        <f>AVERAGEIFS($D$2:D702, $B$2:B702, B702)</f>
        <v>0.5</v>
      </c>
    </row>
    <row r="703" spans="1:37" x14ac:dyDescent="0.25">
      <c r="A703" s="85">
        <v>46112</v>
      </c>
      <c r="B703" t="s">
        <v>6</v>
      </c>
      <c r="C703">
        <v>29</v>
      </c>
      <c r="D703">
        <v>0</v>
      </c>
      <c r="E703">
        <v>4</v>
      </c>
      <c r="F703">
        <v>1</v>
      </c>
      <c r="G703">
        <v>18</v>
      </c>
      <c r="H703">
        <v>8</v>
      </c>
      <c r="I703">
        <v>0.25</v>
      </c>
      <c r="J703">
        <v>0.44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0</v>
      </c>
      <c r="AC703">
        <v>1</v>
      </c>
      <c r="AD703">
        <v>0</v>
      </c>
      <c r="AE703">
        <v>0</v>
      </c>
      <c r="AF703">
        <v>0</v>
      </c>
      <c r="AG703">
        <v>0</v>
      </c>
      <c r="AH703" s="86">
        <f>AVERAGEIFS($C$2:C703, $B$2:B703, B703)</f>
        <v>22.260869565217391</v>
      </c>
      <c r="AI703" s="86">
        <f>AVERAGEIFS($I$2:I703, $B$2:B703, B703)</f>
        <v>0.54739130434782612</v>
      </c>
      <c r="AJ703" s="86">
        <f>AVERAGEIFS($J$2:J703, $B$2:B703, B703)</f>
        <v>0.53152173913043477</v>
      </c>
      <c r="AK703" s="86">
        <f>AVERAGEIFS($D$2:D703, $B$2:B703, B703)</f>
        <v>0.63043478260869568</v>
      </c>
    </row>
    <row r="704" spans="1:37" x14ac:dyDescent="0.25">
      <c r="A704" s="85">
        <v>46112</v>
      </c>
      <c r="B704" t="s">
        <v>42</v>
      </c>
      <c r="C704">
        <v>19</v>
      </c>
      <c r="D704">
        <v>0</v>
      </c>
      <c r="E704">
        <v>4</v>
      </c>
      <c r="F704">
        <v>1</v>
      </c>
      <c r="G704">
        <v>18</v>
      </c>
      <c r="H704">
        <v>8</v>
      </c>
      <c r="I704">
        <v>0.25</v>
      </c>
      <c r="J704">
        <v>0.44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0</v>
      </c>
      <c r="AC704">
        <v>1</v>
      </c>
      <c r="AD704">
        <v>0</v>
      </c>
      <c r="AE704">
        <v>0</v>
      </c>
      <c r="AF704">
        <v>0</v>
      </c>
      <c r="AG704">
        <v>0</v>
      </c>
      <c r="AH704" s="86">
        <f>AVERAGEIFS($C$2:C704, $B$2:B704, B704)</f>
        <v>18.928571428571427</v>
      </c>
      <c r="AI704" s="86">
        <f>AVERAGEIFS($I$2:I704, $B$2:B704, B704)</f>
        <v>0.44642857142857134</v>
      </c>
      <c r="AJ704" s="86">
        <f>AVERAGEIFS($J$2:J704, $B$2:B704, B704)</f>
        <v>0.4539285714285714</v>
      </c>
      <c r="AK704" s="86">
        <f>AVERAGEIFS($D$2:D704, $B$2:B704, B704)</f>
        <v>0.4642857142857143</v>
      </c>
    </row>
    <row r="705" spans="1:37" x14ac:dyDescent="0.25">
      <c r="A705" s="85">
        <v>46112</v>
      </c>
      <c r="B705" t="s">
        <v>153</v>
      </c>
      <c r="C705">
        <v>14</v>
      </c>
      <c r="D705">
        <v>0</v>
      </c>
      <c r="E705">
        <v>4</v>
      </c>
      <c r="F705">
        <v>1</v>
      </c>
      <c r="G705">
        <v>18</v>
      </c>
      <c r="H705">
        <v>8</v>
      </c>
      <c r="I705">
        <v>0.25</v>
      </c>
      <c r="J705">
        <v>0.44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0</v>
      </c>
      <c r="AC705">
        <v>1</v>
      </c>
      <c r="AD705">
        <v>0</v>
      </c>
      <c r="AE705">
        <v>0</v>
      </c>
      <c r="AF705">
        <v>0</v>
      </c>
      <c r="AG705">
        <v>0</v>
      </c>
      <c r="AH705" s="86">
        <f>AVERAGEIFS($C$2:C705, $B$2:B705, B705)</f>
        <v>11.4</v>
      </c>
      <c r="AI705" s="86">
        <f>AVERAGEIFS($I$2:I705, $B$2:B705, B705)</f>
        <v>0.44000000000000006</v>
      </c>
      <c r="AJ705" s="86">
        <f>AVERAGEIFS($J$2:J705, $B$2:B705, B705)</f>
        <v>0.44799999999999995</v>
      </c>
      <c r="AK705" s="86">
        <f>AVERAGEIFS($D$2:D705, $B$2:B705, B705)</f>
        <v>0.6</v>
      </c>
    </row>
    <row r="706" spans="1:37" x14ac:dyDescent="0.25">
      <c r="A706" s="85">
        <v>46114</v>
      </c>
      <c r="B706" t="s">
        <v>1</v>
      </c>
      <c r="C706">
        <v>22</v>
      </c>
      <c r="D706">
        <v>0</v>
      </c>
      <c r="E706">
        <v>3</v>
      </c>
      <c r="F706">
        <v>0</v>
      </c>
      <c r="G706">
        <v>13</v>
      </c>
      <c r="H706">
        <v>4</v>
      </c>
      <c r="I706">
        <v>0</v>
      </c>
      <c r="J706">
        <v>0.31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>
        <v>0</v>
      </c>
      <c r="AH706" s="86">
        <f>AVERAGEIFS($C$2:C706, $B$2:B706, B706)</f>
        <v>27.083333333333332</v>
      </c>
      <c r="AI706" s="86">
        <f>AVERAGEIFS($I$2:I706, $B$2:B706, B706)</f>
        <v>0.42500000000000004</v>
      </c>
      <c r="AJ706" s="86">
        <f>AVERAGEIFS($J$2:J706, $B$2:B706, B706)</f>
        <v>0.45416666666666666</v>
      </c>
      <c r="AK706" s="86">
        <f>AVERAGEIFS($D$2:D706, $B$2:B706, B706)</f>
        <v>0.45833333333333331</v>
      </c>
    </row>
    <row r="707" spans="1:37" x14ac:dyDescent="0.25">
      <c r="A707" s="85">
        <v>46114</v>
      </c>
      <c r="B707" t="s">
        <v>46</v>
      </c>
      <c r="C707">
        <v>5</v>
      </c>
      <c r="D707">
        <v>0</v>
      </c>
      <c r="E707">
        <v>3</v>
      </c>
      <c r="F707">
        <v>0</v>
      </c>
      <c r="G707">
        <v>13</v>
      </c>
      <c r="H707">
        <v>4</v>
      </c>
      <c r="I707">
        <v>0</v>
      </c>
      <c r="J707">
        <v>0.31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0</v>
      </c>
      <c r="AG707">
        <v>0</v>
      </c>
      <c r="AH707" s="86">
        <f>AVERAGEIFS($C$2:C707, $B$2:B707, B707)</f>
        <v>17.916666666666668</v>
      </c>
      <c r="AI707" s="86">
        <f>AVERAGEIFS($I$2:I707, $B$2:B707, B707)</f>
        <v>0.40624999999999994</v>
      </c>
      <c r="AJ707" s="86">
        <f>AVERAGEIFS($J$2:J707, $B$2:B707, B707)</f>
        <v>0.45041666666666669</v>
      </c>
      <c r="AK707" s="86">
        <f>AVERAGEIFS($D$2:D707, $B$2:B707, B707)</f>
        <v>0.375</v>
      </c>
    </row>
    <row r="708" spans="1:37" x14ac:dyDescent="0.25">
      <c r="A708" s="85">
        <v>46114</v>
      </c>
      <c r="B708" t="s">
        <v>107</v>
      </c>
      <c r="C708">
        <v>7</v>
      </c>
      <c r="D708">
        <v>0</v>
      </c>
      <c r="E708">
        <v>3</v>
      </c>
      <c r="F708">
        <v>0</v>
      </c>
      <c r="G708">
        <v>13</v>
      </c>
      <c r="H708">
        <v>4</v>
      </c>
      <c r="I708">
        <v>0</v>
      </c>
      <c r="J708">
        <v>0.31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0</v>
      </c>
      <c r="AG708">
        <v>0</v>
      </c>
      <c r="AH708" s="86">
        <f>AVERAGEIFS($C$2:C708, $B$2:B708, B708)</f>
        <v>16.642857142857142</v>
      </c>
      <c r="AI708" s="86">
        <f>AVERAGEIFS($I$2:I708, $B$2:B708, B708)</f>
        <v>0.5357142857142857</v>
      </c>
      <c r="AJ708" s="86">
        <f>AVERAGEIFS($J$2:J708, $B$2:B708, B708)</f>
        <v>0.53250000000000008</v>
      </c>
      <c r="AK708" s="86">
        <f>AVERAGEIFS($D$2:D708, $B$2:B708, B708)</f>
        <v>0.5714285714285714</v>
      </c>
    </row>
    <row r="709" spans="1:37" x14ac:dyDescent="0.25">
      <c r="A709" s="85">
        <v>46114</v>
      </c>
      <c r="B709" t="s">
        <v>141</v>
      </c>
      <c r="C709">
        <v>1</v>
      </c>
      <c r="D709">
        <v>0</v>
      </c>
      <c r="E709">
        <v>3</v>
      </c>
      <c r="F709">
        <v>0</v>
      </c>
      <c r="G709">
        <v>13</v>
      </c>
      <c r="H709">
        <v>4</v>
      </c>
      <c r="I709">
        <v>0</v>
      </c>
      <c r="J709">
        <v>0.31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0</v>
      </c>
      <c r="AG709">
        <v>0</v>
      </c>
      <c r="AH709" s="86">
        <f>AVERAGEIFS($C$2:C709, $B$2:B709, B709)</f>
        <v>11.857142857142858</v>
      </c>
      <c r="AI709" s="86">
        <f>AVERAGEIFS($I$2:I709, $B$2:B709, B709)</f>
        <v>0.37142857142857144</v>
      </c>
      <c r="AJ709" s="86">
        <f>AVERAGEIFS($J$2:J709, $B$2:B709, B709)</f>
        <v>0.47428571428571431</v>
      </c>
      <c r="AK709" s="86">
        <f>AVERAGEIFS($D$2:D709, $B$2:B709, B709)</f>
        <v>0.42857142857142855</v>
      </c>
    </row>
    <row r="710" spans="1:37" x14ac:dyDescent="0.25">
      <c r="A710" s="85">
        <v>46114</v>
      </c>
      <c r="B710" t="s">
        <v>140</v>
      </c>
      <c r="C710">
        <v>9</v>
      </c>
      <c r="D710">
        <v>0</v>
      </c>
      <c r="E710">
        <v>3</v>
      </c>
      <c r="F710">
        <v>0</v>
      </c>
      <c r="G710">
        <v>13</v>
      </c>
      <c r="H710">
        <v>4</v>
      </c>
      <c r="I710">
        <v>0</v>
      </c>
      <c r="J710">
        <v>0.31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  <c r="AG710">
        <v>0</v>
      </c>
      <c r="AH710" s="86">
        <f>AVERAGEIFS($C$2:C710, $B$2:B710, B710)</f>
        <v>12.916666666666666</v>
      </c>
      <c r="AI710" s="86">
        <f>AVERAGEIFS($I$2:I710, $B$2:B710, B710)</f>
        <v>0.4291666666666667</v>
      </c>
      <c r="AJ710" s="86">
        <f>AVERAGEIFS($J$2:J710, $B$2:B710, B710)</f>
        <v>0.45916666666666667</v>
      </c>
      <c r="AK710" s="86">
        <f>AVERAGEIFS($D$2:D710, $B$2:B710, B710)</f>
        <v>0.41666666666666669</v>
      </c>
    </row>
    <row r="711" spans="1:37" x14ac:dyDescent="0.25">
      <c r="A711" s="85">
        <v>46114</v>
      </c>
      <c r="B711" t="s">
        <v>54</v>
      </c>
      <c r="C711">
        <v>16</v>
      </c>
      <c r="D711">
        <v>1</v>
      </c>
      <c r="E711">
        <v>3</v>
      </c>
      <c r="F711">
        <v>3</v>
      </c>
      <c r="G711">
        <v>13</v>
      </c>
      <c r="H711">
        <v>9</v>
      </c>
      <c r="I711">
        <v>1</v>
      </c>
      <c r="J711">
        <v>0.69</v>
      </c>
      <c r="K711">
        <v>0</v>
      </c>
      <c r="L711">
        <v>1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0</v>
      </c>
      <c r="AD711">
        <v>1</v>
      </c>
      <c r="AE711">
        <v>0</v>
      </c>
      <c r="AF711">
        <v>0</v>
      </c>
      <c r="AG711">
        <v>1</v>
      </c>
      <c r="AH711" s="86">
        <f>AVERAGEIFS($C$2:C711, $B$2:B711, B711)</f>
        <v>23.9375</v>
      </c>
      <c r="AI711" s="86">
        <f>AVERAGEIFS($I$2:I711, $B$2:B711, B711)</f>
        <v>0.54208333333333336</v>
      </c>
      <c r="AJ711" s="86">
        <f>AVERAGEIFS($J$2:J711, $B$2:B711, B711)</f>
        <v>0.51458333333333328</v>
      </c>
      <c r="AK711" s="86">
        <f>AVERAGEIFS($D$2:D711, $B$2:B711, B711)</f>
        <v>0.5625</v>
      </c>
    </row>
    <row r="712" spans="1:37" x14ac:dyDescent="0.25">
      <c r="A712" s="85">
        <v>46114</v>
      </c>
      <c r="B712" t="s">
        <v>4</v>
      </c>
      <c r="C712">
        <v>16</v>
      </c>
      <c r="D712">
        <v>1</v>
      </c>
      <c r="E712">
        <v>3</v>
      </c>
      <c r="F712">
        <v>3</v>
      </c>
      <c r="G712">
        <v>13</v>
      </c>
      <c r="H712">
        <v>9</v>
      </c>
      <c r="I712">
        <v>1</v>
      </c>
      <c r="J712">
        <v>0.69</v>
      </c>
      <c r="K712">
        <v>0</v>
      </c>
      <c r="L712">
        <v>1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0</v>
      </c>
      <c r="AD712">
        <v>1</v>
      </c>
      <c r="AE712">
        <v>0</v>
      </c>
      <c r="AF712">
        <v>0</v>
      </c>
      <c r="AG712">
        <v>1</v>
      </c>
      <c r="AH712" s="86">
        <f>AVERAGEIFS($C$2:C712, $B$2:B712, B712)</f>
        <v>23.458333333333332</v>
      </c>
      <c r="AI712" s="86">
        <f>AVERAGEIFS($I$2:I712, $B$2:B712, B712)</f>
        <v>0.40625</v>
      </c>
      <c r="AJ712" s="86">
        <f>AVERAGEIFS($J$2:J712, $B$2:B712, B712)</f>
        <v>0.44416666666666665</v>
      </c>
      <c r="AK712" s="86">
        <f>AVERAGEIFS($D$2:D712, $B$2:B712, B712)</f>
        <v>0.25</v>
      </c>
    </row>
    <row r="713" spans="1:37" x14ac:dyDescent="0.25">
      <c r="A713" s="85">
        <v>46114</v>
      </c>
      <c r="B713" t="s">
        <v>113</v>
      </c>
      <c r="C713">
        <v>11</v>
      </c>
      <c r="D713">
        <v>1</v>
      </c>
      <c r="E713">
        <v>3</v>
      </c>
      <c r="F713">
        <v>3</v>
      </c>
      <c r="G713">
        <v>13</v>
      </c>
      <c r="H713">
        <v>9</v>
      </c>
      <c r="I713">
        <v>1</v>
      </c>
      <c r="J713">
        <v>0.69</v>
      </c>
      <c r="K713">
        <v>0</v>
      </c>
      <c r="L713">
        <v>1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0</v>
      </c>
      <c r="AD713">
        <v>1</v>
      </c>
      <c r="AE713">
        <v>0</v>
      </c>
      <c r="AF713">
        <v>0</v>
      </c>
      <c r="AG713">
        <v>1</v>
      </c>
      <c r="AH713" s="86">
        <f>AVERAGEIFS($C$2:C713, $B$2:B713, B713)</f>
        <v>16.173913043478262</v>
      </c>
      <c r="AI713" s="86">
        <f>AVERAGEIFS($I$2:I713, $B$2:B713, B713)</f>
        <v>0.55217391304347829</v>
      </c>
      <c r="AJ713" s="86">
        <f>AVERAGEIFS($J$2:J713, $B$2:B713, B713)</f>
        <v>0.50695652173913053</v>
      </c>
      <c r="AK713" s="86">
        <f>AVERAGEIFS($D$2:D713, $B$2:B713, B713)</f>
        <v>0.52173913043478259</v>
      </c>
    </row>
    <row r="714" spans="1:37" x14ac:dyDescent="0.25">
      <c r="A714" s="85">
        <v>46114</v>
      </c>
      <c r="B714" t="s">
        <v>53</v>
      </c>
      <c r="C714">
        <v>11</v>
      </c>
      <c r="D714">
        <v>1</v>
      </c>
      <c r="E714">
        <v>3</v>
      </c>
      <c r="F714">
        <v>3</v>
      </c>
      <c r="G714">
        <v>13</v>
      </c>
      <c r="H714">
        <v>9</v>
      </c>
      <c r="I714">
        <v>1</v>
      </c>
      <c r="J714">
        <v>0.69</v>
      </c>
      <c r="K714">
        <v>0</v>
      </c>
      <c r="L714">
        <v>1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0</v>
      </c>
      <c r="AD714">
        <v>1</v>
      </c>
      <c r="AE714">
        <v>0</v>
      </c>
      <c r="AF714">
        <v>0</v>
      </c>
      <c r="AG714">
        <v>1</v>
      </c>
      <c r="AH714" s="86">
        <f>AVERAGEIFS($C$2:C714, $B$2:B714, B714)</f>
        <v>15.75</v>
      </c>
      <c r="AI714" s="86">
        <f>AVERAGEIFS($I$2:I714, $B$2:B714, B714)</f>
        <v>0.57187500000000002</v>
      </c>
      <c r="AJ714" s="86">
        <f>AVERAGEIFS($J$2:J714, $B$2:B714, B714)</f>
        <v>0.53</v>
      </c>
      <c r="AK714" s="86">
        <f>AVERAGEIFS($D$2:D714, $B$2:B714, B714)</f>
        <v>0.5625</v>
      </c>
    </row>
    <row r="715" spans="1:37" x14ac:dyDescent="0.25">
      <c r="A715" s="85">
        <v>46114</v>
      </c>
      <c r="B715" t="s">
        <v>13</v>
      </c>
      <c r="C715">
        <v>14</v>
      </c>
      <c r="D715">
        <v>1</v>
      </c>
      <c r="E715">
        <v>3</v>
      </c>
      <c r="F715">
        <v>3</v>
      </c>
      <c r="G715">
        <v>13</v>
      </c>
      <c r="H715">
        <v>9</v>
      </c>
      <c r="I715">
        <v>1</v>
      </c>
      <c r="J715">
        <v>0.69</v>
      </c>
      <c r="K715">
        <v>0</v>
      </c>
      <c r="L715">
        <v>1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0</v>
      </c>
      <c r="AD715">
        <v>1</v>
      </c>
      <c r="AE715">
        <v>0</v>
      </c>
      <c r="AF715">
        <v>0</v>
      </c>
      <c r="AG715">
        <v>1</v>
      </c>
      <c r="AH715" s="86">
        <f>AVERAGEIFS($C$2:C715, $B$2:B715, B715)</f>
        <v>13.333333333333334</v>
      </c>
      <c r="AI715" s="86">
        <f>AVERAGEIFS($I$2:I715, $B$2:B715, B715)</f>
        <v>0.53749999999999998</v>
      </c>
      <c r="AJ715" s="86">
        <f>AVERAGEIFS($J$2:J715, $B$2:B715, B715)</f>
        <v>0.52999999999999992</v>
      </c>
      <c r="AK715" s="86">
        <f>AVERAGEIFS($D$2:D715, $B$2:B715, B715)</f>
        <v>0.41666666666666669</v>
      </c>
    </row>
    <row r="716" spans="1:37" x14ac:dyDescent="0.25">
      <c r="A716" s="85">
        <v>46114</v>
      </c>
      <c r="B716" t="s">
        <v>40</v>
      </c>
      <c r="C716">
        <v>25</v>
      </c>
      <c r="D716">
        <v>1</v>
      </c>
      <c r="E716">
        <v>4</v>
      </c>
      <c r="F716">
        <v>3</v>
      </c>
      <c r="G716">
        <v>18</v>
      </c>
      <c r="H716">
        <v>10</v>
      </c>
      <c r="I716">
        <v>0.75</v>
      </c>
      <c r="J716">
        <v>0.56000000000000005</v>
      </c>
      <c r="K716">
        <v>0</v>
      </c>
      <c r="L716">
        <v>0</v>
      </c>
      <c r="M716">
        <v>1</v>
      </c>
      <c r="N716">
        <v>0</v>
      </c>
      <c r="O716">
        <v>0</v>
      </c>
      <c r="P716">
        <v>0</v>
      </c>
      <c r="Q716">
        <v>1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1</v>
      </c>
      <c r="AA716">
        <v>0</v>
      </c>
      <c r="AB716">
        <v>0</v>
      </c>
      <c r="AC716">
        <v>0</v>
      </c>
      <c r="AD716">
        <v>0</v>
      </c>
      <c r="AE716">
        <v>0</v>
      </c>
      <c r="AF716">
        <v>0</v>
      </c>
      <c r="AG716">
        <v>0</v>
      </c>
      <c r="AH716" s="86">
        <f>AVERAGEIFS($C$2:C716, $B$2:B716, B716)</f>
        <v>18.239130434782609</v>
      </c>
      <c r="AI716" s="86">
        <f>AVERAGEIFS($I$2:I716, $B$2:B716, B716)</f>
        <v>0.49456521739130421</v>
      </c>
      <c r="AJ716" s="86">
        <f>AVERAGEIFS($J$2:J716, $B$2:B716, B716)</f>
        <v>0.48413043478260875</v>
      </c>
      <c r="AK716" s="86">
        <f>AVERAGEIFS($D$2:D716, $B$2:B716, B716)</f>
        <v>0.43478260869565216</v>
      </c>
    </row>
    <row r="717" spans="1:37" x14ac:dyDescent="0.25">
      <c r="A717" s="85">
        <v>46114</v>
      </c>
      <c r="B717" t="s">
        <v>6</v>
      </c>
      <c r="C717">
        <v>22</v>
      </c>
      <c r="D717">
        <v>1</v>
      </c>
      <c r="E717">
        <v>4</v>
      </c>
      <c r="F717">
        <v>3</v>
      </c>
      <c r="G717">
        <v>18</v>
      </c>
      <c r="H717">
        <v>10</v>
      </c>
      <c r="I717">
        <v>0.75</v>
      </c>
      <c r="J717">
        <v>0.56000000000000005</v>
      </c>
      <c r="K717">
        <v>0</v>
      </c>
      <c r="L717">
        <v>0</v>
      </c>
      <c r="M717">
        <v>1</v>
      </c>
      <c r="N717">
        <v>0</v>
      </c>
      <c r="O717">
        <v>0</v>
      </c>
      <c r="P717">
        <v>0</v>
      </c>
      <c r="Q717">
        <v>1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1</v>
      </c>
      <c r="AA717">
        <v>0</v>
      </c>
      <c r="AB717">
        <v>0</v>
      </c>
      <c r="AC717">
        <v>0</v>
      </c>
      <c r="AD717">
        <v>0</v>
      </c>
      <c r="AE717">
        <v>0</v>
      </c>
      <c r="AF717">
        <v>0</v>
      </c>
      <c r="AG717">
        <v>0</v>
      </c>
      <c r="AH717" s="86">
        <f>AVERAGEIFS($C$2:C717, $B$2:B717, B717)</f>
        <v>22.25531914893617</v>
      </c>
      <c r="AI717" s="86">
        <f>AVERAGEIFS($I$2:I717, $B$2:B717, B717)</f>
        <v>0.55170212765957449</v>
      </c>
      <c r="AJ717" s="86">
        <f>AVERAGEIFS($J$2:J717, $B$2:B717, B717)</f>
        <v>0.53212765957446806</v>
      </c>
      <c r="AK717" s="86">
        <f>AVERAGEIFS($D$2:D717, $B$2:B717, B717)</f>
        <v>0.63829787234042556</v>
      </c>
    </row>
    <row r="718" spans="1:37" x14ac:dyDescent="0.25">
      <c r="A718" s="85">
        <v>46114</v>
      </c>
      <c r="B718" t="s">
        <v>17</v>
      </c>
      <c r="C718">
        <v>19</v>
      </c>
      <c r="D718">
        <v>1</v>
      </c>
      <c r="E718">
        <v>4</v>
      </c>
      <c r="F718">
        <v>3</v>
      </c>
      <c r="G718">
        <v>18</v>
      </c>
      <c r="H718">
        <v>10</v>
      </c>
      <c r="I718">
        <v>0.75</v>
      </c>
      <c r="J718">
        <v>0.56000000000000005</v>
      </c>
      <c r="K718">
        <v>0</v>
      </c>
      <c r="L718">
        <v>0</v>
      </c>
      <c r="M718">
        <v>1</v>
      </c>
      <c r="N718">
        <v>0</v>
      </c>
      <c r="O718">
        <v>0</v>
      </c>
      <c r="P718">
        <v>0</v>
      </c>
      <c r="Q718">
        <v>1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1</v>
      </c>
      <c r="AA718">
        <v>0</v>
      </c>
      <c r="AB718">
        <v>0</v>
      </c>
      <c r="AC718">
        <v>0</v>
      </c>
      <c r="AD718">
        <v>0</v>
      </c>
      <c r="AE718">
        <v>0</v>
      </c>
      <c r="AF718">
        <v>0</v>
      </c>
      <c r="AG718">
        <v>0</v>
      </c>
      <c r="AH718" s="86">
        <f>AVERAGEIFS($C$2:C718, $B$2:B718, B718)</f>
        <v>20.666666666666668</v>
      </c>
      <c r="AI718" s="86">
        <f>AVERAGEIFS($I$2:I718, $B$2:B718, B718)</f>
        <v>0.50444444444444436</v>
      </c>
      <c r="AJ718" s="86">
        <f>AVERAGEIFS($J$2:J718, $B$2:B718, B718)</f>
        <v>0.48444444444444457</v>
      </c>
      <c r="AK718" s="86">
        <f>AVERAGEIFS($D$2:D718, $B$2:B718, B718)</f>
        <v>0.48148148148148145</v>
      </c>
    </row>
    <row r="719" spans="1:37" x14ac:dyDescent="0.25">
      <c r="A719" s="85">
        <v>46114</v>
      </c>
      <c r="B719" t="s">
        <v>44</v>
      </c>
      <c r="C719">
        <v>18</v>
      </c>
      <c r="D719">
        <v>1</v>
      </c>
      <c r="E719">
        <v>4</v>
      </c>
      <c r="F719">
        <v>3</v>
      </c>
      <c r="G719">
        <v>18</v>
      </c>
      <c r="H719">
        <v>10</v>
      </c>
      <c r="I719">
        <v>0.75</v>
      </c>
      <c r="J719">
        <v>0.56000000000000005</v>
      </c>
      <c r="K719">
        <v>0</v>
      </c>
      <c r="L719">
        <v>0</v>
      </c>
      <c r="M719">
        <v>1</v>
      </c>
      <c r="N719">
        <v>0</v>
      </c>
      <c r="O719">
        <v>0</v>
      </c>
      <c r="P719">
        <v>0</v>
      </c>
      <c r="Q719">
        <v>1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1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G719">
        <v>0</v>
      </c>
      <c r="AH719" s="86">
        <f>AVERAGEIFS($C$2:C719, $B$2:B719, B719)</f>
        <v>16.607142857142858</v>
      </c>
      <c r="AI719" s="86">
        <f>AVERAGEIFS($I$2:I719, $B$2:B719, B719)</f>
        <v>0.52321428571428563</v>
      </c>
      <c r="AJ719" s="86">
        <f>AVERAGEIFS($J$2:J719, $B$2:B719, B719)</f>
        <v>0.53142857142857136</v>
      </c>
      <c r="AK719" s="86">
        <f>AVERAGEIFS($D$2:D719, $B$2:B719, B719)</f>
        <v>0.6428571428571429</v>
      </c>
    </row>
    <row r="720" spans="1:37" x14ac:dyDescent="0.25">
      <c r="A720" s="85">
        <v>46114</v>
      </c>
      <c r="B720" t="s">
        <v>37</v>
      </c>
      <c r="C720">
        <v>14</v>
      </c>
      <c r="D720">
        <v>1</v>
      </c>
      <c r="E720">
        <v>4</v>
      </c>
      <c r="F720">
        <v>3</v>
      </c>
      <c r="G720">
        <v>18</v>
      </c>
      <c r="H720">
        <v>10</v>
      </c>
      <c r="I720">
        <v>0.75</v>
      </c>
      <c r="J720">
        <v>0.56000000000000005</v>
      </c>
      <c r="K720">
        <v>0</v>
      </c>
      <c r="L720">
        <v>0</v>
      </c>
      <c r="M720">
        <v>1</v>
      </c>
      <c r="N720">
        <v>0</v>
      </c>
      <c r="O720">
        <v>0</v>
      </c>
      <c r="P720">
        <v>0</v>
      </c>
      <c r="Q720">
        <v>1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1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0</v>
      </c>
      <c r="AG720">
        <v>0</v>
      </c>
      <c r="AH720" s="86">
        <f>AVERAGEIFS($C$2:C720, $B$2:B720, B720)</f>
        <v>12.777777777777779</v>
      </c>
      <c r="AI720" s="86">
        <f>AVERAGEIFS($I$2:I720, $B$2:B720, B720)</f>
        <v>0.53888888888888886</v>
      </c>
      <c r="AJ720" s="86">
        <f>AVERAGEIFS($J$2:J720, $B$2:B720, B720)</f>
        <v>0.49222222222222217</v>
      </c>
      <c r="AK720" s="86">
        <f>AVERAGEIFS($D$2:D720, $B$2:B720, B720)</f>
        <v>0.44444444444444442</v>
      </c>
    </row>
    <row r="721" spans="1:37" x14ac:dyDescent="0.25">
      <c r="A721" s="85">
        <v>46114</v>
      </c>
      <c r="B721" t="s">
        <v>2</v>
      </c>
      <c r="C721">
        <v>33</v>
      </c>
      <c r="D721">
        <v>0</v>
      </c>
      <c r="E721">
        <v>4</v>
      </c>
      <c r="F721">
        <v>1</v>
      </c>
      <c r="G721">
        <v>18</v>
      </c>
      <c r="H721">
        <v>8</v>
      </c>
      <c r="I721">
        <v>0.25</v>
      </c>
      <c r="J721">
        <v>0.44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0</v>
      </c>
      <c r="AC721">
        <v>1</v>
      </c>
      <c r="AD721">
        <v>0</v>
      </c>
      <c r="AE721">
        <v>0</v>
      </c>
      <c r="AF721">
        <v>0</v>
      </c>
      <c r="AG721">
        <v>0</v>
      </c>
      <c r="AH721" s="86">
        <f>AVERAGEIFS($C$2:C721, $B$2:B721, B721)</f>
        <v>24.612903225806452</v>
      </c>
      <c r="AI721" s="86">
        <f>AVERAGEIFS($I$2:I721, $B$2:B721, B721)</f>
        <v>0.55096774193548381</v>
      </c>
      <c r="AJ721" s="86">
        <f>AVERAGEIFS($J$2:J721, $B$2:B721, B721)</f>
        <v>0.54903225806451628</v>
      </c>
      <c r="AK721" s="86">
        <f>AVERAGEIFS($D$2:D721, $B$2:B721, B721)</f>
        <v>0.54838709677419351</v>
      </c>
    </row>
    <row r="722" spans="1:37" x14ac:dyDescent="0.25">
      <c r="A722" s="85">
        <v>46114</v>
      </c>
      <c r="B722" t="s">
        <v>42</v>
      </c>
      <c r="C722">
        <v>25</v>
      </c>
      <c r="D722">
        <v>0</v>
      </c>
      <c r="E722">
        <v>4</v>
      </c>
      <c r="F722">
        <v>1</v>
      </c>
      <c r="G722">
        <v>18</v>
      </c>
      <c r="H722">
        <v>8</v>
      </c>
      <c r="I722">
        <v>0.25</v>
      </c>
      <c r="J722">
        <v>0.44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0</v>
      </c>
      <c r="AC722">
        <v>1</v>
      </c>
      <c r="AD722">
        <v>0</v>
      </c>
      <c r="AE722">
        <v>0</v>
      </c>
      <c r="AF722">
        <v>0</v>
      </c>
      <c r="AG722">
        <v>0</v>
      </c>
      <c r="AH722" s="86">
        <f>AVERAGEIFS($C$2:C722, $B$2:B722, B722)</f>
        <v>19.137931034482758</v>
      </c>
      <c r="AI722" s="86">
        <f>AVERAGEIFS($I$2:I722, $B$2:B722, B722)</f>
        <v>0.43965517241379304</v>
      </c>
      <c r="AJ722" s="86">
        <f>AVERAGEIFS($J$2:J722, $B$2:B722, B722)</f>
        <v>0.45344827586206893</v>
      </c>
      <c r="AK722" s="86">
        <f>AVERAGEIFS($D$2:D722, $B$2:B722, B722)</f>
        <v>0.44827586206896552</v>
      </c>
    </row>
    <row r="723" spans="1:37" x14ac:dyDescent="0.25">
      <c r="A723" s="85">
        <v>46114</v>
      </c>
      <c r="B723" t="s">
        <v>147</v>
      </c>
      <c r="C723">
        <v>15</v>
      </c>
      <c r="D723">
        <v>0</v>
      </c>
      <c r="E723">
        <v>4</v>
      </c>
      <c r="F723">
        <v>1</v>
      </c>
      <c r="G723">
        <v>18</v>
      </c>
      <c r="H723">
        <v>8</v>
      </c>
      <c r="I723">
        <v>0.25</v>
      </c>
      <c r="J723">
        <v>0.44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0</v>
      </c>
      <c r="AC723">
        <v>1</v>
      </c>
      <c r="AD723">
        <v>0</v>
      </c>
      <c r="AE723">
        <v>0</v>
      </c>
      <c r="AF723">
        <v>0</v>
      </c>
      <c r="AG723">
        <v>0</v>
      </c>
      <c r="AH723" s="86">
        <f>AVERAGEIFS($C$2:C723, $B$2:B723, B723)</f>
        <v>11.611111111111111</v>
      </c>
      <c r="AI723" s="86">
        <f>AVERAGEIFS($I$2:I723, $B$2:B723, B723)</f>
        <v>0.56666666666666665</v>
      </c>
      <c r="AJ723" s="86">
        <f>AVERAGEIFS($J$2:J723, $B$2:B723, B723)</f>
        <v>0.52888888888888874</v>
      </c>
      <c r="AK723" s="86">
        <f>AVERAGEIFS($D$2:D723, $B$2:B723, B723)</f>
        <v>0.55555555555555558</v>
      </c>
    </row>
    <row r="724" spans="1:37" x14ac:dyDescent="0.25">
      <c r="A724" s="85">
        <v>46114</v>
      </c>
      <c r="B724" t="s">
        <v>14</v>
      </c>
      <c r="C724">
        <v>10</v>
      </c>
      <c r="D724">
        <v>0</v>
      </c>
      <c r="E724">
        <v>4</v>
      </c>
      <c r="F724">
        <v>1</v>
      </c>
      <c r="G724">
        <v>18</v>
      </c>
      <c r="H724">
        <v>8</v>
      </c>
      <c r="I724">
        <v>0.25</v>
      </c>
      <c r="J724">
        <v>0.44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0</v>
      </c>
      <c r="AC724">
        <v>1</v>
      </c>
      <c r="AD724">
        <v>0</v>
      </c>
      <c r="AE724">
        <v>0</v>
      </c>
      <c r="AF724">
        <v>0</v>
      </c>
      <c r="AG724">
        <v>0</v>
      </c>
      <c r="AH724" s="86">
        <f>AVERAGEIFS($C$2:C724, $B$2:B724, B724)</f>
        <v>17.411764705882351</v>
      </c>
      <c r="AI724" s="86">
        <f>AVERAGEIFS($I$2:I724, $B$2:B724, B724)</f>
        <v>0.4864705882352941</v>
      </c>
      <c r="AJ724" s="86">
        <f>AVERAGEIFS($J$2:J724, $B$2:B724, B724)</f>
        <v>0.51882352941176468</v>
      </c>
      <c r="AK724" s="86">
        <f>AVERAGEIFS($D$2:D724, $B$2:B724, B724)</f>
        <v>0.47058823529411764</v>
      </c>
    </row>
    <row r="725" spans="1:37" x14ac:dyDescent="0.25">
      <c r="A725" s="85">
        <v>46114</v>
      </c>
      <c r="B725" t="s">
        <v>71</v>
      </c>
      <c r="C725">
        <v>9</v>
      </c>
      <c r="D725">
        <v>0</v>
      </c>
      <c r="E725">
        <v>4</v>
      </c>
      <c r="F725">
        <v>1</v>
      </c>
      <c r="G725">
        <v>18</v>
      </c>
      <c r="H725">
        <v>8</v>
      </c>
      <c r="I725">
        <v>0.25</v>
      </c>
      <c r="J725">
        <v>0.44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>
        <v>0</v>
      </c>
      <c r="AB725">
        <v>0</v>
      </c>
      <c r="AC725">
        <v>1</v>
      </c>
      <c r="AD725">
        <v>0</v>
      </c>
      <c r="AE725">
        <v>0</v>
      </c>
      <c r="AF725">
        <v>0</v>
      </c>
      <c r="AG725">
        <v>0</v>
      </c>
      <c r="AH725" s="86">
        <f>AVERAGEIFS($C$2:C725, $B$2:B725, B725)</f>
        <v>12.611111111111111</v>
      </c>
      <c r="AI725" s="86">
        <f>AVERAGEIFS($I$2:I725, $B$2:B725, B725)</f>
        <v>0.46388888888888885</v>
      </c>
      <c r="AJ725" s="86">
        <f>AVERAGEIFS($J$2:J725, $B$2:B725, B725)</f>
        <v>0.47666666666666668</v>
      </c>
      <c r="AK725" s="86">
        <f>AVERAGEIFS($D$2:D725, $B$2:B725, B725)</f>
        <v>0.55555555555555558</v>
      </c>
    </row>
    <row r="726" spans="1:37" x14ac:dyDescent="0.25">
      <c r="A726" s="85">
        <v>46115</v>
      </c>
      <c r="B726" t="s">
        <v>150</v>
      </c>
      <c r="C726">
        <v>21</v>
      </c>
      <c r="D726">
        <v>1</v>
      </c>
      <c r="E726">
        <v>4</v>
      </c>
      <c r="F726">
        <v>3</v>
      </c>
      <c r="G726">
        <v>18</v>
      </c>
      <c r="H726">
        <v>11</v>
      </c>
      <c r="I726">
        <v>0.75</v>
      </c>
      <c r="J726">
        <v>0.61</v>
      </c>
      <c r="K726">
        <v>0</v>
      </c>
      <c r="L726">
        <v>0</v>
      </c>
      <c r="M726">
        <v>1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0</v>
      </c>
      <c r="AC726">
        <v>1</v>
      </c>
      <c r="AD726">
        <v>0</v>
      </c>
      <c r="AE726">
        <v>1</v>
      </c>
      <c r="AF726">
        <v>0</v>
      </c>
      <c r="AG726">
        <v>0</v>
      </c>
      <c r="AH726" s="86">
        <f>AVERAGEIFS($C$2:C726, $B$2:B726, B726)</f>
        <v>14.428571428571429</v>
      </c>
      <c r="AI726" s="86">
        <f>AVERAGEIFS($I$2:I726, $B$2:B726, B726)</f>
        <v>0.50714285714285712</v>
      </c>
      <c r="AJ726" s="86">
        <f>AVERAGEIFS($J$2:J726, $B$2:B726, B726)</f>
        <v>0.51999999999999991</v>
      </c>
      <c r="AK726" s="86">
        <f>AVERAGEIFS($D$2:D726, $B$2:B726, B726)</f>
        <v>0.42857142857142855</v>
      </c>
    </row>
    <row r="727" spans="1:37" x14ac:dyDescent="0.25">
      <c r="A727" s="85">
        <v>46115</v>
      </c>
      <c r="B727" t="s">
        <v>17</v>
      </c>
      <c r="C727">
        <v>19</v>
      </c>
      <c r="D727">
        <v>1</v>
      </c>
      <c r="E727">
        <v>4</v>
      </c>
      <c r="F727">
        <v>3</v>
      </c>
      <c r="G727">
        <v>18</v>
      </c>
      <c r="H727">
        <v>11</v>
      </c>
      <c r="I727">
        <v>0.75</v>
      </c>
      <c r="J727">
        <v>0.61</v>
      </c>
      <c r="K727">
        <v>0</v>
      </c>
      <c r="L727">
        <v>0</v>
      </c>
      <c r="M727">
        <v>1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>
        <v>0</v>
      </c>
      <c r="AB727">
        <v>0</v>
      </c>
      <c r="AC727">
        <v>1</v>
      </c>
      <c r="AD727">
        <v>0</v>
      </c>
      <c r="AE727">
        <v>1</v>
      </c>
      <c r="AF727">
        <v>0</v>
      </c>
      <c r="AG727">
        <v>0</v>
      </c>
      <c r="AH727" s="86">
        <f>AVERAGEIFS($C$2:C727, $B$2:B727, B727)</f>
        <v>20.607142857142858</v>
      </c>
      <c r="AI727" s="86">
        <f>AVERAGEIFS($I$2:I727, $B$2:B727, B727)</f>
        <v>0.51321428571428573</v>
      </c>
      <c r="AJ727" s="86">
        <f>AVERAGEIFS($J$2:J727, $B$2:B727, B727)</f>
        <v>0.48892857142857155</v>
      </c>
      <c r="AK727" s="86">
        <f>AVERAGEIFS($D$2:D727, $B$2:B727, B727)</f>
        <v>0.5</v>
      </c>
    </row>
    <row r="728" spans="1:37" x14ac:dyDescent="0.25">
      <c r="A728" s="85">
        <v>46115</v>
      </c>
      <c r="B728" t="s">
        <v>107</v>
      </c>
      <c r="C728">
        <v>19</v>
      </c>
      <c r="D728">
        <v>1</v>
      </c>
      <c r="E728">
        <v>4</v>
      </c>
      <c r="F728">
        <v>3</v>
      </c>
      <c r="G728">
        <v>18</v>
      </c>
      <c r="H728">
        <v>11</v>
      </c>
      <c r="I728">
        <v>0.75</v>
      </c>
      <c r="J728">
        <v>0.61</v>
      </c>
      <c r="K728">
        <v>0</v>
      </c>
      <c r="L728">
        <v>0</v>
      </c>
      <c r="M728">
        <v>1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0</v>
      </c>
      <c r="AC728">
        <v>1</v>
      </c>
      <c r="AD728">
        <v>0</v>
      </c>
      <c r="AE728">
        <v>1</v>
      </c>
      <c r="AF728">
        <v>0</v>
      </c>
      <c r="AG728">
        <v>0</v>
      </c>
      <c r="AH728" s="86">
        <f>AVERAGEIFS($C$2:C728, $B$2:B728, B728)</f>
        <v>16.724137931034484</v>
      </c>
      <c r="AI728" s="86">
        <f>AVERAGEIFS($I$2:I728, $B$2:B728, B728)</f>
        <v>0.54310344827586199</v>
      </c>
      <c r="AJ728" s="86">
        <f>AVERAGEIFS($J$2:J728, $B$2:B728, B728)</f>
        <v>0.53517241379310354</v>
      </c>
      <c r="AK728" s="86">
        <f>AVERAGEIFS($D$2:D728, $B$2:B728, B728)</f>
        <v>0.58620689655172409</v>
      </c>
    </row>
    <row r="729" spans="1:37" x14ac:dyDescent="0.25">
      <c r="A729" s="85">
        <v>46115</v>
      </c>
      <c r="B729" t="s">
        <v>6</v>
      </c>
      <c r="C729">
        <v>17</v>
      </c>
      <c r="D729">
        <v>1</v>
      </c>
      <c r="E729">
        <v>4</v>
      </c>
      <c r="F729">
        <v>3</v>
      </c>
      <c r="G729">
        <v>18</v>
      </c>
      <c r="H729">
        <v>11</v>
      </c>
      <c r="I729">
        <v>0.75</v>
      </c>
      <c r="J729">
        <v>0.61</v>
      </c>
      <c r="K729">
        <v>0</v>
      </c>
      <c r="L729">
        <v>0</v>
      </c>
      <c r="M729">
        <v>1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0</v>
      </c>
      <c r="AC729">
        <v>1</v>
      </c>
      <c r="AD729">
        <v>0</v>
      </c>
      <c r="AE729">
        <v>1</v>
      </c>
      <c r="AF729">
        <v>0</v>
      </c>
      <c r="AG729">
        <v>0</v>
      </c>
      <c r="AH729" s="86">
        <f>AVERAGEIFS($C$2:C729, $B$2:B729, B729)</f>
        <v>22.145833333333332</v>
      </c>
      <c r="AI729" s="86">
        <f>AVERAGEIFS($I$2:I729, $B$2:B729, B729)</f>
        <v>0.5558333333333334</v>
      </c>
      <c r="AJ729" s="86">
        <f>AVERAGEIFS($J$2:J729, $B$2:B729, B729)</f>
        <v>0.53374999999999995</v>
      </c>
      <c r="AK729" s="86">
        <f>AVERAGEIFS($D$2:D729, $B$2:B729, B729)</f>
        <v>0.64583333333333337</v>
      </c>
    </row>
    <row r="730" spans="1:37" x14ac:dyDescent="0.25">
      <c r="A730" s="85">
        <v>46115</v>
      </c>
      <c r="B730" t="s">
        <v>40</v>
      </c>
      <c r="C730">
        <v>17</v>
      </c>
      <c r="D730">
        <v>1</v>
      </c>
      <c r="E730">
        <v>4</v>
      </c>
      <c r="F730">
        <v>3</v>
      </c>
      <c r="G730">
        <v>18</v>
      </c>
      <c r="H730">
        <v>11</v>
      </c>
      <c r="I730">
        <v>0.75</v>
      </c>
      <c r="J730">
        <v>0.61</v>
      </c>
      <c r="K730">
        <v>0</v>
      </c>
      <c r="L730">
        <v>0</v>
      </c>
      <c r="M730">
        <v>1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0</v>
      </c>
      <c r="AC730">
        <v>1</v>
      </c>
      <c r="AD730">
        <v>0</v>
      </c>
      <c r="AE730">
        <v>1</v>
      </c>
      <c r="AF730">
        <v>0</v>
      </c>
      <c r="AG730">
        <v>0</v>
      </c>
      <c r="AH730" s="86">
        <f>AVERAGEIFS($C$2:C730, $B$2:B730, B730)</f>
        <v>18.212765957446809</v>
      </c>
      <c r="AI730" s="86">
        <f>AVERAGEIFS($I$2:I730, $B$2:B730, B730)</f>
        <v>0.49999999999999983</v>
      </c>
      <c r="AJ730" s="86">
        <f>AVERAGEIFS($J$2:J730, $B$2:B730, B730)</f>
        <v>0.48680851063829794</v>
      </c>
      <c r="AK730" s="86">
        <f>AVERAGEIFS($D$2:D730, $B$2:B730, B730)</f>
        <v>0.44680851063829785</v>
      </c>
    </row>
    <row r="731" spans="1:37" x14ac:dyDescent="0.25">
      <c r="A731" s="85">
        <v>46115</v>
      </c>
      <c r="B731" t="s">
        <v>140</v>
      </c>
      <c r="C731">
        <v>15</v>
      </c>
      <c r="D731">
        <v>1</v>
      </c>
      <c r="E731">
        <v>4</v>
      </c>
      <c r="F731">
        <v>3</v>
      </c>
      <c r="G731">
        <v>18</v>
      </c>
      <c r="H731">
        <v>11</v>
      </c>
      <c r="I731">
        <v>0.75</v>
      </c>
      <c r="J731">
        <v>0.61</v>
      </c>
      <c r="K731">
        <v>0</v>
      </c>
      <c r="L731">
        <v>0</v>
      </c>
      <c r="M731">
        <v>1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0</v>
      </c>
      <c r="AC731">
        <v>1</v>
      </c>
      <c r="AD731">
        <v>0</v>
      </c>
      <c r="AE731">
        <v>1</v>
      </c>
      <c r="AF731">
        <v>0</v>
      </c>
      <c r="AG731">
        <v>0</v>
      </c>
      <c r="AH731" s="86">
        <f>AVERAGEIFS($C$2:C731, $B$2:B731, B731)</f>
        <v>13.076923076923077</v>
      </c>
      <c r="AI731" s="86">
        <f>AVERAGEIFS($I$2:I731, $B$2:B731, B731)</f>
        <v>0.4538461538461539</v>
      </c>
      <c r="AJ731" s="86">
        <f>AVERAGEIFS($J$2:J731, $B$2:B731, B731)</f>
        <v>0.47076923076923077</v>
      </c>
      <c r="AK731" s="86">
        <f>AVERAGEIFS($D$2:D731, $B$2:B731, B731)</f>
        <v>0.46153846153846156</v>
      </c>
    </row>
    <row r="732" spans="1:37" x14ac:dyDescent="0.25">
      <c r="A732" s="85">
        <v>46115</v>
      </c>
      <c r="B732" t="s">
        <v>1</v>
      </c>
      <c r="C732">
        <v>24</v>
      </c>
      <c r="D732">
        <v>0</v>
      </c>
      <c r="E732">
        <v>4</v>
      </c>
      <c r="F732">
        <v>1</v>
      </c>
      <c r="G732">
        <v>18</v>
      </c>
      <c r="H732">
        <v>7</v>
      </c>
      <c r="I732">
        <v>0.25</v>
      </c>
      <c r="J732">
        <v>0.39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1</v>
      </c>
      <c r="X732">
        <v>0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>
        <v>0</v>
      </c>
      <c r="AH732" s="86">
        <f>AVERAGEIFS($C$2:C732, $B$2:B732, B732)</f>
        <v>26.96</v>
      </c>
      <c r="AI732" s="86">
        <f>AVERAGEIFS($I$2:I732, $B$2:B732, B732)</f>
        <v>0.41800000000000004</v>
      </c>
      <c r="AJ732" s="86">
        <f>AVERAGEIFS($J$2:J732, $B$2:B732, B732)</f>
        <v>0.45160000000000006</v>
      </c>
      <c r="AK732" s="86">
        <f>AVERAGEIFS($D$2:D732, $B$2:B732, B732)</f>
        <v>0.44</v>
      </c>
    </row>
    <row r="733" spans="1:37" x14ac:dyDescent="0.25">
      <c r="A733" s="85">
        <v>46115</v>
      </c>
      <c r="B733" t="s">
        <v>44</v>
      </c>
      <c r="C733">
        <v>20</v>
      </c>
      <c r="D733">
        <v>0</v>
      </c>
      <c r="E733">
        <v>4</v>
      </c>
      <c r="F733">
        <v>1</v>
      </c>
      <c r="G733">
        <v>18</v>
      </c>
      <c r="H733">
        <v>7</v>
      </c>
      <c r="I733">
        <v>0.25</v>
      </c>
      <c r="J733">
        <v>0.39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1</v>
      </c>
      <c r="X733">
        <v>0</v>
      </c>
      <c r="Y733">
        <v>0</v>
      </c>
      <c r="Z733">
        <v>0</v>
      </c>
      <c r="AA733">
        <v>0</v>
      </c>
      <c r="AB733">
        <v>0</v>
      </c>
      <c r="AC733">
        <v>0</v>
      </c>
      <c r="AD733">
        <v>0</v>
      </c>
      <c r="AE733">
        <v>0</v>
      </c>
      <c r="AF733">
        <v>0</v>
      </c>
      <c r="AG733">
        <v>0</v>
      </c>
      <c r="AH733" s="86">
        <f>AVERAGEIFS($C$2:C733, $B$2:B733, B733)</f>
        <v>16.724137931034484</v>
      </c>
      <c r="AI733" s="86">
        <f>AVERAGEIFS($I$2:I733, $B$2:B733, B733)</f>
        <v>0.51379310344827578</v>
      </c>
      <c r="AJ733" s="86">
        <f>AVERAGEIFS($J$2:J733, $B$2:B733, B733)</f>
        <v>0.52655172413793105</v>
      </c>
      <c r="AK733" s="86">
        <f>AVERAGEIFS($D$2:D733, $B$2:B733, B733)</f>
        <v>0.62068965517241381</v>
      </c>
    </row>
    <row r="734" spans="1:37" x14ac:dyDescent="0.25">
      <c r="A734" s="85">
        <v>46115</v>
      </c>
      <c r="B734" t="s">
        <v>13</v>
      </c>
      <c r="C734">
        <v>20</v>
      </c>
      <c r="D734">
        <v>0</v>
      </c>
      <c r="E734">
        <v>4</v>
      </c>
      <c r="F734">
        <v>1</v>
      </c>
      <c r="G734">
        <v>18</v>
      </c>
      <c r="H734">
        <v>7</v>
      </c>
      <c r="I734">
        <v>0.25</v>
      </c>
      <c r="J734">
        <v>0.39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1</v>
      </c>
      <c r="X734">
        <v>0</v>
      </c>
      <c r="Y734">
        <v>0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  <c r="AG734">
        <v>0</v>
      </c>
      <c r="AH734" s="86">
        <f>AVERAGEIFS($C$2:C734, $B$2:B734, B734)</f>
        <v>13.846153846153847</v>
      </c>
      <c r="AI734" s="86">
        <f>AVERAGEIFS($I$2:I734, $B$2:B734, B734)</f>
        <v>0.51538461538461544</v>
      </c>
      <c r="AJ734" s="86">
        <f>AVERAGEIFS($J$2:J734, $B$2:B734, B734)</f>
        <v>0.51923076923076916</v>
      </c>
      <c r="AK734" s="86">
        <f>AVERAGEIFS($D$2:D734, $B$2:B734, B734)</f>
        <v>0.38461538461538464</v>
      </c>
    </row>
    <row r="735" spans="1:37" x14ac:dyDescent="0.25">
      <c r="A735" s="85">
        <v>46115</v>
      </c>
      <c r="B735" t="s">
        <v>50</v>
      </c>
      <c r="C735">
        <v>14</v>
      </c>
      <c r="D735">
        <v>0</v>
      </c>
      <c r="E735">
        <v>4</v>
      </c>
      <c r="F735">
        <v>1</v>
      </c>
      <c r="G735">
        <v>18</v>
      </c>
      <c r="H735">
        <v>7</v>
      </c>
      <c r="I735">
        <v>0.25</v>
      </c>
      <c r="J735">
        <v>0.39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1</v>
      </c>
      <c r="X735">
        <v>0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  <c r="AG735">
        <v>0</v>
      </c>
      <c r="AH735" s="86">
        <f>AVERAGEIFS($C$2:C735, $B$2:B735, B735)</f>
        <v>18.411764705882351</v>
      </c>
      <c r="AI735" s="86">
        <f>AVERAGEIFS($I$2:I735, $B$2:B735, B735)</f>
        <v>0.53323529411764714</v>
      </c>
      <c r="AJ735" s="86">
        <f>AVERAGEIFS($J$2:J735, $B$2:B735, B735)</f>
        <v>0.53176470588235281</v>
      </c>
      <c r="AK735" s="86">
        <f>AVERAGEIFS($D$2:D735, $B$2:B735, B735)</f>
        <v>0.52941176470588236</v>
      </c>
    </row>
    <row r="736" spans="1:37" x14ac:dyDescent="0.25">
      <c r="A736" s="85">
        <v>46115</v>
      </c>
      <c r="B736" t="s">
        <v>71</v>
      </c>
      <c r="C736">
        <v>8</v>
      </c>
      <c r="D736">
        <v>0</v>
      </c>
      <c r="E736">
        <v>4</v>
      </c>
      <c r="F736">
        <v>1</v>
      </c>
      <c r="G736">
        <v>18</v>
      </c>
      <c r="H736">
        <v>7</v>
      </c>
      <c r="I736">
        <v>0.25</v>
      </c>
      <c r="J736">
        <v>0.39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1</v>
      </c>
      <c r="X736">
        <v>0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  <c r="AG736">
        <v>0</v>
      </c>
      <c r="AH736" s="86">
        <f>AVERAGEIFS($C$2:C736, $B$2:B736, B736)</f>
        <v>12.368421052631579</v>
      </c>
      <c r="AI736" s="86">
        <f>AVERAGEIFS($I$2:I736, $B$2:B736, B736)</f>
        <v>0.45263157894736838</v>
      </c>
      <c r="AJ736" s="86">
        <f>AVERAGEIFS($J$2:J736, $B$2:B736, B736)</f>
        <v>0.47210526315789475</v>
      </c>
      <c r="AK736" s="86">
        <f>AVERAGEIFS($D$2:D736, $B$2:B736, B736)</f>
        <v>0.52631578947368418</v>
      </c>
    </row>
    <row r="737" spans="1:37" x14ac:dyDescent="0.25">
      <c r="A737" s="85">
        <v>46115</v>
      </c>
      <c r="B737" t="s">
        <v>46</v>
      </c>
      <c r="C737">
        <v>7</v>
      </c>
      <c r="D737">
        <v>0</v>
      </c>
      <c r="E737">
        <v>4</v>
      </c>
      <c r="F737">
        <v>1</v>
      </c>
      <c r="G737">
        <v>18</v>
      </c>
      <c r="H737">
        <v>7</v>
      </c>
      <c r="I737">
        <v>0.25</v>
      </c>
      <c r="J737">
        <v>0.39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1</v>
      </c>
      <c r="X737">
        <v>0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  <c r="AG737">
        <v>0</v>
      </c>
      <c r="AH737" s="86">
        <f>AVERAGEIFS($C$2:C737, $B$2:B737, B737)</f>
        <v>17.48</v>
      </c>
      <c r="AI737" s="86">
        <f>AVERAGEIFS($I$2:I737, $B$2:B737, B737)</f>
        <v>0.39999999999999991</v>
      </c>
      <c r="AJ737" s="86">
        <f>AVERAGEIFS($J$2:J737, $B$2:B737, B737)</f>
        <v>0.44800000000000006</v>
      </c>
      <c r="AK737" s="86">
        <f>AVERAGEIFS($D$2:D737, $B$2:B737, B737)</f>
        <v>0.36</v>
      </c>
    </row>
    <row r="738" spans="1:37" x14ac:dyDescent="0.25">
      <c r="A738" s="85">
        <v>46115</v>
      </c>
      <c r="B738" t="s">
        <v>35</v>
      </c>
      <c r="C738">
        <v>3</v>
      </c>
      <c r="D738">
        <v>0</v>
      </c>
      <c r="E738">
        <v>4</v>
      </c>
      <c r="F738">
        <v>1</v>
      </c>
      <c r="G738">
        <v>18</v>
      </c>
      <c r="H738">
        <v>7</v>
      </c>
      <c r="I738">
        <v>0.25</v>
      </c>
      <c r="J738">
        <v>0.39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1</v>
      </c>
      <c r="X738">
        <v>0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>
        <v>0</v>
      </c>
      <c r="AH738" s="86">
        <f>AVERAGEIFS($C$2:C738, $B$2:B738, B738)</f>
        <v>10.861111111111111</v>
      </c>
      <c r="AI738" s="86">
        <f>AVERAGEIFS($I$2:I738, $B$2:B738, B738)</f>
        <v>0.46750000000000003</v>
      </c>
      <c r="AJ738" s="86">
        <f>AVERAGEIFS($J$2:J738, $B$2:B738, B738)</f>
        <v>0.48861111111111111</v>
      </c>
      <c r="AK738" s="86">
        <f>AVERAGEIFS($D$2:D738, $B$2:B738, B738)</f>
        <v>0.44444444444444442</v>
      </c>
    </row>
    <row r="739" spans="1:37" x14ac:dyDescent="0.25">
      <c r="A739" s="85">
        <v>46118</v>
      </c>
      <c r="B739" t="s">
        <v>6</v>
      </c>
      <c r="C739">
        <v>27</v>
      </c>
      <c r="D739">
        <v>1</v>
      </c>
      <c r="E739">
        <v>5</v>
      </c>
      <c r="F739">
        <v>3</v>
      </c>
      <c r="G739">
        <v>20</v>
      </c>
      <c r="H739">
        <v>12</v>
      </c>
      <c r="I739">
        <v>0.6</v>
      </c>
      <c r="J739">
        <v>0.6</v>
      </c>
      <c r="K739">
        <v>0</v>
      </c>
      <c r="L739">
        <v>1</v>
      </c>
      <c r="M739">
        <v>0</v>
      </c>
      <c r="N739">
        <v>1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0</v>
      </c>
      <c r="AD739">
        <v>1</v>
      </c>
      <c r="AE739">
        <v>0</v>
      </c>
      <c r="AF739">
        <v>0</v>
      </c>
      <c r="AG739">
        <v>0</v>
      </c>
      <c r="AH739" s="86">
        <f>AVERAGEIFS($C$2:C739, $B$2:B739, B739)</f>
        <v>22.244897959183675</v>
      </c>
      <c r="AI739" s="86">
        <f>AVERAGEIFS($I$2:I739, $B$2:B739, B739)</f>
        <v>0.55673469387755115</v>
      </c>
      <c r="AJ739" s="86">
        <f>AVERAGEIFS($J$2:J739, $B$2:B739, B739)</f>
        <v>0.53510204081632651</v>
      </c>
      <c r="AK739" s="86">
        <f>AVERAGEIFS($D$2:D739, $B$2:B739, B739)</f>
        <v>0.65306122448979587</v>
      </c>
    </row>
    <row r="740" spans="1:37" x14ac:dyDescent="0.25">
      <c r="A740" s="85">
        <v>46118</v>
      </c>
      <c r="B740" t="s">
        <v>40</v>
      </c>
      <c r="C740">
        <v>14</v>
      </c>
      <c r="D740">
        <v>1</v>
      </c>
      <c r="E740">
        <v>5</v>
      </c>
      <c r="F740">
        <v>3</v>
      </c>
      <c r="G740">
        <v>20</v>
      </c>
      <c r="H740">
        <v>12</v>
      </c>
      <c r="I740">
        <v>0.6</v>
      </c>
      <c r="J740">
        <v>0.6</v>
      </c>
      <c r="K740">
        <v>0</v>
      </c>
      <c r="L740">
        <v>1</v>
      </c>
      <c r="M740">
        <v>0</v>
      </c>
      <c r="N740">
        <v>1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0</v>
      </c>
      <c r="AD740">
        <v>1</v>
      </c>
      <c r="AE740">
        <v>0</v>
      </c>
      <c r="AF740">
        <v>0</v>
      </c>
      <c r="AG740">
        <v>0</v>
      </c>
      <c r="AH740" s="86">
        <f>AVERAGEIFS($C$2:C740, $B$2:B740, B740)</f>
        <v>18.125</v>
      </c>
      <c r="AI740" s="86">
        <f>AVERAGEIFS($I$2:I740, $B$2:B740, B740)</f>
        <v>0.50208333333333321</v>
      </c>
      <c r="AJ740" s="86">
        <f>AVERAGEIFS($J$2:J740, $B$2:B740, B740)</f>
        <v>0.48916666666666675</v>
      </c>
      <c r="AK740" s="86">
        <f>AVERAGEIFS($D$2:D740, $B$2:B740, B740)</f>
        <v>0.45833333333333331</v>
      </c>
    </row>
    <row r="741" spans="1:37" x14ac:dyDescent="0.25">
      <c r="A741" s="85">
        <v>46118</v>
      </c>
      <c r="B741" t="s">
        <v>113</v>
      </c>
      <c r="C741">
        <v>21</v>
      </c>
      <c r="D741">
        <v>1</v>
      </c>
      <c r="E741">
        <v>5</v>
      </c>
      <c r="F741">
        <v>3</v>
      </c>
      <c r="G741">
        <v>20</v>
      </c>
      <c r="H741">
        <v>12</v>
      </c>
      <c r="I741">
        <v>0.6</v>
      </c>
      <c r="J741">
        <v>0.6</v>
      </c>
      <c r="K741">
        <v>0</v>
      </c>
      <c r="L741">
        <v>1</v>
      </c>
      <c r="M741">
        <v>0</v>
      </c>
      <c r="N741">
        <v>1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</v>
      </c>
      <c r="AC741">
        <v>0</v>
      </c>
      <c r="AD741">
        <v>1</v>
      </c>
      <c r="AE741">
        <v>0</v>
      </c>
      <c r="AF741">
        <v>0</v>
      </c>
      <c r="AG741">
        <v>0</v>
      </c>
      <c r="AH741" s="86">
        <f>AVERAGEIFS($C$2:C741, $B$2:B741, B741)</f>
        <v>16.375</v>
      </c>
      <c r="AI741" s="86">
        <f>AVERAGEIFS($I$2:I741, $B$2:B741, B741)</f>
        <v>0.5541666666666667</v>
      </c>
      <c r="AJ741" s="86">
        <f>AVERAGEIFS($J$2:J741, $B$2:B741, B741)</f>
        <v>0.51083333333333336</v>
      </c>
      <c r="AK741" s="86">
        <f>AVERAGEIFS($D$2:D741, $B$2:B741, B741)</f>
        <v>0.54166666666666663</v>
      </c>
    </row>
    <row r="742" spans="1:37" x14ac:dyDescent="0.25">
      <c r="A742" s="85">
        <v>46118</v>
      </c>
      <c r="B742" t="s">
        <v>4</v>
      </c>
      <c r="C742">
        <v>25</v>
      </c>
      <c r="D742">
        <v>1</v>
      </c>
      <c r="E742">
        <v>5</v>
      </c>
      <c r="F742">
        <v>3</v>
      </c>
      <c r="G742">
        <v>20</v>
      </c>
      <c r="H742">
        <v>12</v>
      </c>
      <c r="I742">
        <v>0.6</v>
      </c>
      <c r="J742">
        <v>0.6</v>
      </c>
      <c r="K742">
        <v>0</v>
      </c>
      <c r="L742">
        <v>1</v>
      </c>
      <c r="M742">
        <v>0</v>
      </c>
      <c r="N742">
        <v>1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0</v>
      </c>
      <c r="AD742">
        <v>1</v>
      </c>
      <c r="AE742">
        <v>0</v>
      </c>
      <c r="AF742">
        <v>0</v>
      </c>
      <c r="AG742">
        <v>0</v>
      </c>
      <c r="AH742" s="86">
        <f>AVERAGEIFS($C$2:C742, $B$2:B742, B742)</f>
        <v>23.52</v>
      </c>
      <c r="AI742" s="86">
        <f>AVERAGEIFS($I$2:I742, $B$2:B742, B742)</f>
        <v>0.41399999999999998</v>
      </c>
      <c r="AJ742" s="86">
        <f>AVERAGEIFS($J$2:J742, $B$2:B742, B742)</f>
        <v>0.45039999999999997</v>
      </c>
      <c r="AK742" s="86">
        <f>AVERAGEIFS($D$2:D742, $B$2:B742, B742)</f>
        <v>0.28000000000000003</v>
      </c>
    </row>
    <row r="743" spans="1:37" x14ac:dyDescent="0.25">
      <c r="A743" s="85">
        <v>46118</v>
      </c>
      <c r="B743" t="s">
        <v>44</v>
      </c>
      <c r="C743">
        <v>17</v>
      </c>
      <c r="D743">
        <v>1</v>
      </c>
      <c r="E743">
        <v>5</v>
      </c>
      <c r="F743">
        <v>3</v>
      </c>
      <c r="G743">
        <v>20</v>
      </c>
      <c r="H743">
        <v>12</v>
      </c>
      <c r="I743">
        <v>0.6</v>
      </c>
      <c r="J743">
        <v>0.6</v>
      </c>
      <c r="K743">
        <v>0</v>
      </c>
      <c r="L743">
        <v>1</v>
      </c>
      <c r="M743">
        <v>0</v>
      </c>
      <c r="N743">
        <v>1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0</v>
      </c>
      <c r="AD743">
        <v>1</v>
      </c>
      <c r="AE743">
        <v>0</v>
      </c>
      <c r="AF743">
        <v>0</v>
      </c>
      <c r="AG743">
        <v>0</v>
      </c>
      <c r="AH743" s="86">
        <f>AVERAGEIFS($C$2:C743, $B$2:B743, B743)</f>
        <v>16.733333333333334</v>
      </c>
      <c r="AI743" s="86">
        <f>AVERAGEIFS($I$2:I743, $B$2:B743, B743)</f>
        <v>0.51666666666666661</v>
      </c>
      <c r="AJ743" s="86">
        <f>AVERAGEIFS($J$2:J743, $B$2:B743, B743)</f>
        <v>0.52900000000000003</v>
      </c>
      <c r="AK743" s="86">
        <f>AVERAGEIFS($D$2:D743, $B$2:B743, B743)</f>
        <v>0.6333333333333333</v>
      </c>
    </row>
    <row r="744" spans="1:37" x14ac:dyDescent="0.25">
      <c r="A744" s="85">
        <v>46118</v>
      </c>
      <c r="B744" t="s">
        <v>141</v>
      </c>
      <c r="C744">
        <v>14</v>
      </c>
      <c r="D744">
        <v>1</v>
      </c>
      <c r="E744">
        <v>5</v>
      </c>
      <c r="F744">
        <v>3</v>
      </c>
      <c r="G744">
        <v>20</v>
      </c>
      <c r="H744">
        <v>12</v>
      </c>
      <c r="I744">
        <v>0.6</v>
      </c>
      <c r="J744">
        <v>0.6</v>
      </c>
      <c r="K744">
        <v>0</v>
      </c>
      <c r="L744">
        <v>1</v>
      </c>
      <c r="M744">
        <v>0</v>
      </c>
      <c r="N744">
        <v>1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0</v>
      </c>
      <c r="AD744">
        <v>1</v>
      </c>
      <c r="AE744">
        <v>0</v>
      </c>
      <c r="AF744">
        <v>0</v>
      </c>
      <c r="AG744">
        <v>0</v>
      </c>
      <c r="AH744" s="86">
        <f>AVERAGEIFS($C$2:C744, $B$2:B744, B744)</f>
        <v>12.125</v>
      </c>
      <c r="AI744" s="86">
        <f>AVERAGEIFS($I$2:I744, $B$2:B744, B744)</f>
        <v>0.4</v>
      </c>
      <c r="AJ744" s="86">
        <f>AVERAGEIFS($J$2:J744, $B$2:B744, B744)</f>
        <v>0.49000000000000005</v>
      </c>
      <c r="AK744" s="86">
        <f>AVERAGEIFS($D$2:D744, $B$2:B744, B744)</f>
        <v>0.5</v>
      </c>
    </row>
    <row r="745" spans="1:37" x14ac:dyDescent="0.25">
      <c r="A745" s="85">
        <v>46118</v>
      </c>
      <c r="B745" t="s">
        <v>1</v>
      </c>
      <c r="C745">
        <v>22</v>
      </c>
      <c r="D745">
        <v>0</v>
      </c>
      <c r="E745">
        <v>5</v>
      </c>
      <c r="F745">
        <v>2</v>
      </c>
      <c r="G745">
        <v>20</v>
      </c>
      <c r="H745">
        <v>8</v>
      </c>
      <c r="I745">
        <v>0.4</v>
      </c>
      <c r="J745">
        <v>0.4</v>
      </c>
      <c r="K745">
        <v>1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1</v>
      </c>
      <c r="Z745">
        <v>0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>
        <v>0</v>
      </c>
      <c r="AH745" s="86">
        <f>AVERAGEIFS($C$2:C745, $B$2:B745, B745)</f>
        <v>26.76923076923077</v>
      </c>
      <c r="AI745" s="86">
        <f>AVERAGEIFS($I$2:I745, $B$2:B745, B745)</f>
        <v>0.41730769230769238</v>
      </c>
      <c r="AJ745" s="86">
        <f>AVERAGEIFS($J$2:J745, $B$2:B745, B745)</f>
        <v>0.44961538461538464</v>
      </c>
      <c r="AK745" s="86">
        <f>AVERAGEIFS($D$2:D745, $B$2:B745, B745)</f>
        <v>0.42307692307692307</v>
      </c>
    </row>
    <row r="746" spans="1:37" x14ac:dyDescent="0.25">
      <c r="A746" s="85">
        <v>46118</v>
      </c>
      <c r="B746" t="s">
        <v>107</v>
      </c>
      <c r="C746">
        <v>22</v>
      </c>
      <c r="D746">
        <v>0</v>
      </c>
      <c r="E746">
        <v>5</v>
      </c>
      <c r="F746">
        <v>2</v>
      </c>
      <c r="G746">
        <v>20</v>
      </c>
      <c r="H746">
        <v>8</v>
      </c>
      <c r="I746">
        <v>0.4</v>
      </c>
      <c r="J746">
        <v>0.4</v>
      </c>
      <c r="K746">
        <v>1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1</v>
      </c>
      <c r="Z746">
        <v>0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>
        <v>0</v>
      </c>
      <c r="AH746" s="86">
        <f>AVERAGEIFS($C$2:C746, $B$2:B746, B746)</f>
        <v>16.899999999999999</v>
      </c>
      <c r="AI746" s="86">
        <f>AVERAGEIFS($I$2:I746, $B$2:B746, B746)</f>
        <v>0.53833333333333333</v>
      </c>
      <c r="AJ746" s="86">
        <f>AVERAGEIFS($J$2:J746, $B$2:B746, B746)</f>
        <v>0.53066666666666673</v>
      </c>
      <c r="AK746" s="86">
        <f>AVERAGEIFS($D$2:D746, $B$2:B746, B746)</f>
        <v>0.56666666666666665</v>
      </c>
    </row>
    <row r="747" spans="1:37" x14ac:dyDescent="0.25">
      <c r="A747" s="85">
        <v>46118</v>
      </c>
      <c r="B747" t="s">
        <v>71</v>
      </c>
      <c r="C747">
        <v>8</v>
      </c>
      <c r="D747">
        <v>0</v>
      </c>
      <c r="E747">
        <v>5</v>
      </c>
      <c r="F747">
        <v>2</v>
      </c>
      <c r="G747">
        <v>20</v>
      </c>
      <c r="H747">
        <v>8</v>
      </c>
      <c r="I747">
        <v>0.4</v>
      </c>
      <c r="J747">
        <v>0.4</v>
      </c>
      <c r="K747">
        <v>1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1</v>
      </c>
      <c r="Z747">
        <v>0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>
        <v>0</v>
      </c>
      <c r="AH747" s="86">
        <f>AVERAGEIFS($C$2:C747, $B$2:B747, B747)</f>
        <v>12.15</v>
      </c>
      <c r="AI747" s="86">
        <f>AVERAGEIFS($I$2:I747, $B$2:B747, B747)</f>
        <v>0.45</v>
      </c>
      <c r="AJ747" s="86">
        <f>AVERAGEIFS($J$2:J747, $B$2:B747, B747)</f>
        <v>0.46850000000000003</v>
      </c>
      <c r="AK747" s="86">
        <f>AVERAGEIFS($D$2:D747, $B$2:B747, B747)</f>
        <v>0.5</v>
      </c>
    </row>
    <row r="748" spans="1:37" x14ac:dyDescent="0.25">
      <c r="A748" s="85">
        <v>46118</v>
      </c>
      <c r="B748" t="s">
        <v>46</v>
      </c>
      <c r="C748">
        <v>23</v>
      </c>
      <c r="D748">
        <v>0</v>
      </c>
      <c r="E748">
        <v>5</v>
      </c>
      <c r="F748">
        <v>2</v>
      </c>
      <c r="G748">
        <v>20</v>
      </c>
      <c r="H748">
        <v>8</v>
      </c>
      <c r="I748">
        <v>0.4</v>
      </c>
      <c r="J748">
        <v>0.4</v>
      </c>
      <c r="K748">
        <v>1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1</v>
      </c>
      <c r="Z748">
        <v>0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  <c r="AG748">
        <v>0</v>
      </c>
      <c r="AH748" s="86">
        <f>AVERAGEIFS($C$2:C748, $B$2:B748, B748)</f>
        <v>17.692307692307693</v>
      </c>
      <c r="AI748" s="86">
        <f>AVERAGEIFS($I$2:I748, $B$2:B748, B748)</f>
        <v>0.39999999999999997</v>
      </c>
      <c r="AJ748" s="86">
        <f>AVERAGEIFS($J$2:J748, $B$2:B748, B748)</f>
        <v>0.44615384615384623</v>
      </c>
      <c r="AK748" s="86">
        <f>AVERAGEIFS($D$2:D748, $B$2:B748, B748)</f>
        <v>0.34615384615384615</v>
      </c>
    </row>
    <row r="749" spans="1:37" x14ac:dyDescent="0.25">
      <c r="A749" s="85">
        <v>46118</v>
      </c>
      <c r="B749" t="s">
        <v>53</v>
      </c>
      <c r="C749">
        <v>11</v>
      </c>
      <c r="D749">
        <v>0</v>
      </c>
      <c r="E749">
        <v>5</v>
      </c>
      <c r="F749">
        <v>2</v>
      </c>
      <c r="G749">
        <v>20</v>
      </c>
      <c r="H749">
        <v>8</v>
      </c>
      <c r="I749">
        <v>0.4</v>
      </c>
      <c r="J749">
        <v>0.4</v>
      </c>
      <c r="K749">
        <v>1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1</v>
      </c>
      <c r="Z749">
        <v>0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>
        <v>0</v>
      </c>
      <c r="AH749" s="86">
        <f>AVERAGEIFS($C$2:C749, $B$2:B749, B749)</f>
        <v>15.470588235294118</v>
      </c>
      <c r="AI749" s="86">
        <f>AVERAGEIFS($I$2:I749, $B$2:B749, B749)</f>
        <v>0.56176470588235294</v>
      </c>
      <c r="AJ749" s="86">
        <f>AVERAGEIFS($J$2:J749, $B$2:B749, B749)</f>
        <v>0.52235294117647069</v>
      </c>
      <c r="AK749" s="86">
        <f>AVERAGEIFS($D$2:D749, $B$2:B749, B749)</f>
        <v>0.52941176470588236</v>
      </c>
    </row>
    <row r="750" spans="1:37" x14ac:dyDescent="0.25">
      <c r="A750" s="85">
        <v>46118</v>
      </c>
      <c r="B750" t="s">
        <v>42</v>
      </c>
      <c r="C750">
        <v>21</v>
      </c>
      <c r="D750">
        <v>0</v>
      </c>
      <c r="E750">
        <v>5</v>
      </c>
      <c r="F750">
        <v>2</v>
      </c>
      <c r="G750">
        <v>20</v>
      </c>
      <c r="H750">
        <v>8</v>
      </c>
      <c r="I750">
        <v>0.4</v>
      </c>
      <c r="J750">
        <v>0.4</v>
      </c>
      <c r="K750">
        <v>1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1</v>
      </c>
      <c r="Z750">
        <v>0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>
        <v>0</v>
      </c>
      <c r="AH750" s="86">
        <f>AVERAGEIFS($C$2:C750, $B$2:B750, B750)</f>
        <v>19.2</v>
      </c>
      <c r="AI750" s="86">
        <f>AVERAGEIFS($I$2:I750, $B$2:B750, B750)</f>
        <v>0.4383333333333333</v>
      </c>
      <c r="AJ750" s="86">
        <f>AVERAGEIFS($J$2:J750, $B$2:B750, B750)</f>
        <v>0.45166666666666661</v>
      </c>
      <c r="AK750" s="86">
        <f>AVERAGEIFS($D$2:D750, $B$2:B750, B750)</f>
        <v>0.43333333333333335</v>
      </c>
    </row>
    <row r="751" spans="1:37" x14ac:dyDescent="0.25">
      <c r="A751" s="85">
        <v>46118</v>
      </c>
      <c r="B751" t="s">
        <v>2</v>
      </c>
      <c r="C751">
        <v>15</v>
      </c>
      <c r="D751">
        <v>1</v>
      </c>
      <c r="E751">
        <v>3</v>
      </c>
      <c r="F751">
        <v>3</v>
      </c>
      <c r="G751">
        <v>10</v>
      </c>
      <c r="H751">
        <v>9</v>
      </c>
      <c r="I751">
        <v>1</v>
      </c>
      <c r="J751">
        <v>0.9</v>
      </c>
      <c r="K751">
        <v>0</v>
      </c>
      <c r="L751">
        <v>0</v>
      </c>
      <c r="M751">
        <v>0</v>
      </c>
      <c r="N751">
        <v>1</v>
      </c>
      <c r="O751">
        <v>0</v>
      </c>
      <c r="P751">
        <v>0</v>
      </c>
      <c r="Q751">
        <v>1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1</v>
      </c>
      <c r="AA751">
        <v>0</v>
      </c>
      <c r="AB751">
        <v>0</v>
      </c>
      <c r="AC751">
        <v>0</v>
      </c>
      <c r="AD751">
        <v>0</v>
      </c>
      <c r="AE751">
        <v>0</v>
      </c>
      <c r="AF751">
        <v>0</v>
      </c>
      <c r="AG751">
        <v>0</v>
      </c>
      <c r="AH751" s="86">
        <f>AVERAGEIFS($C$2:C751, $B$2:B751, B751)</f>
        <v>24.3125</v>
      </c>
      <c r="AI751" s="86">
        <f>AVERAGEIFS($I$2:I751, $B$2:B751, B751)</f>
        <v>0.56499999999999995</v>
      </c>
      <c r="AJ751" s="86">
        <f>AVERAGEIFS($J$2:J751, $B$2:B751, B751)</f>
        <v>0.56000000000000005</v>
      </c>
      <c r="AK751" s="86">
        <f>AVERAGEIFS($D$2:D751, $B$2:B751, B751)</f>
        <v>0.5625</v>
      </c>
    </row>
    <row r="752" spans="1:37" x14ac:dyDescent="0.25">
      <c r="A752" s="85">
        <v>46118</v>
      </c>
      <c r="B752" t="s">
        <v>54</v>
      </c>
      <c r="C752">
        <v>16</v>
      </c>
      <c r="D752">
        <v>1</v>
      </c>
      <c r="E752">
        <v>3</v>
      </c>
      <c r="F752">
        <v>3</v>
      </c>
      <c r="G752">
        <v>10</v>
      </c>
      <c r="H752">
        <v>9</v>
      </c>
      <c r="I752">
        <v>1</v>
      </c>
      <c r="J752">
        <v>0.9</v>
      </c>
      <c r="K752">
        <v>0</v>
      </c>
      <c r="L752">
        <v>0</v>
      </c>
      <c r="M752">
        <v>0</v>
      </c>
      <c r="N752">
        <v>1</v>
      </c>
      <c r="O752">
        <v>0</v>
      </c>
      <c r="P752">
        <v>0</v>
      </c>
      <c r="Q752">
        <v>1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1</v>
      </c>
      <c r="AA752">
        <v>0</v>
      </c>
      <c r="AB752">
        <v>0</v>
      </c>
      <c r="AC752">
        <v>0</v>
      </c>
      <c r="AD752">
        <v>0</v>
      </c>
      <c r="AE752">
        <v>0</v>
      </c>
      <c r="AF752">
        <v>0</v>
      </c>
      <c r="AG752">
        <v>0</v>
      </c>
      <c r="AH752" s="86">
        <f>AVERAGEIFS($C$2:C752, $B$2:B752, B752)</f>
        <v>23.775510204081634</v>
      </c>
      <c r="AI752" s="86">
        <f>AVERAGEIFS($I$2:I752, $B$2:B752, B752)</f>
        <v>0.55142857142857149</v>
      </c>
      <c r="AJ752" s="86">
        <f>AVERAGEIFS($J$2:J752, $B$2:B752, B752)</f>
        <v>0.52244897959183667</v>
      </c>
      <c r="AK752" s="86">
        <f>AVERAGEIFS($D$2:D752, $B$2:B752, B752)</f>
        <v>0.5714285714285714</v>
      </c>
    </row>
    <row r="753" spans="1:37" x14ac:dyDescent="0.25">
      <c r="A753" s="85">
        <v>46118</v>
      </c>
      <c r="B753" t="s">
        <v>147</v>
      </c>
      <c r="C753">
        <v>12</v>
      </c>
      <c r="D753">
        <v>1</v>
      </c>
      <c r="E753">
        <v>3</v>
      </c>
      <c r="F753">
        <v>3</v>
      </c>
      <c r="G753">
        <v>10</v>
      </c>
      <c r="H753">
        <v>9</v>
      </c>
      <c r="I753">
        <v>1</v>
      </c>
      <c r="J753">
        <v>0.9</v>
      </c>
      <c r="K753">
        <v>0</v>
      </c>
      <c r="L753">
        <v>0</v>
      </c>
      <c r="M753">
        <v>0</v>
      </c>
      <c r="N753">
        <v>1</v>
      </c>
      <c r="O753">
        <v>0</v>
      </c>
      <c r="P753">
        <v>0</v>
      </c>
      <c r="Q753">
        <v>1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1</v>
      </c>
      <c r="AA753">
        <v>0</v>
      </c>
      <c r="AB753">
        <v>0</v>
      </c>
      <c r="AC753">
        <v>0</v>
      </c>
      <c r="AD753">
        <v>0</v>
      </c>
      <c r="AE753">
        <v>0</v>
      </c>
      <c r="AF753">
        <v>0</v>
      </c>
      <c r="AG753">
        <v>0</v>
      </c>
      <c r="AH753" s="86">
        <f>AVERAGEIFS($C$2:C753, $B$2:B753, B753)</f>
        <v>11.631578947368421</v>
      </c>
      <c r="AI753" s="86">
        <f>AVERAGEIFS($I$2:I753, $B$2:B753, B753)</f>
        <v>0.58947368421052626</v>
      </c>
      <c r="AJ753" s="86">
        <f>AVERAGEIFS($J$2:J753, $B$2:B753, B753)</f>
        <v>0.54842105263157881</v>
      </c>
      <c r="AK753" s="86">
        <f>AVERAGEIFS($D$2:D753, $B$2:B753, B753)</f>
        <v>0.57894736842105265</v>
      </c>
    </row>
    <row r="754" spans="1:37" x14ac:dyDescent="0.25">
      <c r="A754" s="85">
        <v>46118</v>
      </c>
      <c r="B754" t="s">
        <v>17</v>
      </c>
      <c r="C754">
        <v>11</v>
      </c>
      <c r="D754">
        <v>1</v>
      </c>
      <c r="E754">
        <v>3</v>
      </c>
      <c r="F754">
        <v>3</v>
      </c>
      <c r="G754">
        <v>10</v>
      </c>
      <c r="H754">
        <v>9</v>
      </c>
      <c r="I754">
        <v>1</v>
      </c>
      <c r="J754">
        <v>0.9</v>
      </c>
      <c r="K754">
        <v>0</v>
      </c>
      <c r="L754">
        <v>0</v>
      </c>
      <c r="M754">
        <v>0</v>
      </c>
      <c r="N754">
        <v>1</v>
      </c>
      <c r="O754">
        <v>0</v>
      </c>
      <c r="P754">
        <v>0</v>
      </c>
      <c r="Q754">
        <v>1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1</v>
      </c>
      <c r="AA754">
        <v>0</v>
      </c>
      <c r="AB754">
        <v>0</v>
      </c>
      <c r="AC754">
        <v>0</v>
      </c>
      <c r="AD754">
        <v>0</v>
      </c>
      <c r="AE754">
        <v>0</v>
      </c>
      <c r="AF754">
        <v>0</v>
      </c>
      <c r="AG754">
        <v>0</v>
      </c>
      <c r="AH754" s="86">
        <f>AVERAGEIFS($C$2:C754, $B$2:B754, B754)</f>
        <v>20.275862068965516</v>
      </c>
      <c r="AI754" s="86">
        <f>AVERAGEIFS($I$2:I754, $B$2:B754, B754)</f>
        <v>0.53</v>
      </c>
      <c r="AJ754" s="86">
        <f>AVERAGEIFS($J$2:J754, $B$2:B754, B754)</f>
        <v>0.50310344827586218</v>
      </c>
      <c r="AK754" s="86">
        <f>AVERAGEIFS($D$2:D754, $B$2:B754, B754)</f>
        <v>0.51724137931034486</v>
      </c>
    </row>
    <row r="755" spans="1:37" x14ac:dyDescent="0.25">
      <c r="A755" s="85">
        <v>46118</v>
      </c>
      <c r="B755" t="s">
        <v>150</v>
      </c>
      <c r="C755">
        <v>14</v>
      </c>
      <c r="D755">
        <v>1</v>
      </c>
      <c r="E755">
        <v>3</v>
      </c>
      <c r="F755">
        <v>3</v>
      </c>
      <c r="G755">
        <v>10</v>
      </c>
      <c r="H755">
        <v>9</v>
      </c>
      <c r="I755">
        <v>1</v>
      </c>
      <c r="J755">
        <v>0.9</v>
      </c>
      <c r="K755">
        <v>0</v>
      </c>
      <c r="L755">
        <v>0</v>
      </c>
      <c r="M755">
        <v>0</v>
      </c>
      <c r="N755">
        <v>1</v>
      </c>
      <c r="O755">
        <v>0</v>
      </c>
      <c r="P755">
        <v>0</v>
      </c>
      <c r="Q755">
        <v>1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0</v>
      </c>
      <c r="Y755">
        <v>0</v>
      </c>
      <c r="Z755">
        <v>1</v>
      </c>
      <c r="AA755">
        <v>0</v>
      </c>
      <c r="AB755">
        <v>0</v>
      </c>
      <c r="AC755">
        <v>0</v>
      </c>
      <c r="AD755">
        <v>0</v>
      </c>
      <c r="AE755">
        <v>0</v>
      </c>
      <c r="AF755">
        <v>0</v>
      </c>
      <c r="AG755">
        <v>0</v>
      </c>
      <c r="AH755" s="86">
        <f>AVERAGEIFS($C$2:C755, $B$2:B755, B755)</f>
        <v>14.375</v>
      </c>
      <c r="AI755" s="86">
        <f>AVERAGEIFS($I$2:I755, $B$2:B755, B755)</f>
        <v>0.56874999999999998</v>
      </c>
      <c r="AJ755" s="86">
        <f>AVERAGEIFS($J$2:J755, $B$2:B755, B755)</f>
        <v>0.5675</v>
      </c>
      <c r="AK755" s="86">
        <f>AVERAGEIFS($D$2:D755, $B$2:B755, B755)</f>
        <v>0.5</v>
      </c>
    </row>
    <row r="756" spans="1:37" x14ac:dyDescent="0.25">
      <c r="A756" s="85">
        <v>46118</v>
      </c>
      <c r="B756" t="s">
        <v>113</v>
      </c>
      <c r="C756">
        <v>18</v>
      </c>
      <c r="D756">
        <v>1</v>
      </c>
      <c r="E756">
        <v>3</v>
      </c>
      <c r="F756">
        <v>3</v>
      </c>
      <c r="G756">
        <v>10</v>
      </c>
      <c r="H756">
        <v>9</v>
      </c>
      <c r="I756">
        <v>1</v>
      </c>
      <c r="J756">
        <v>0.9</v>
      </c>
      <c r="K756">
        <v>0</v>
      </c>
      <c r="L756">
        <v>0</v>
      </c>
      <c r="M756">
        <v>0</v>
      </c>
      <c r="N756">
        <v>1</v>
      </c>
      <c r="O756">
        <v>0</v>
      </c>
      <c r="P756">
        <v>0</v>
      </c>
      <c r="Q756">
        <v>1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1</v>
      </c>
      <c r="AA756">
        <v>0</v>
      </c>
      <c r="AB756">
        <v>0</v>
      </c>
      <c r="AC756">
        <v>0</v>
      </c>
      <c r="AD756">
        <v>0</v>
      </c>
      <c r="AE756">
        <v>0</v>
      </c>
      <c r="AF756">
        <v>0</v>
      </c>
      <c r="AG756">
        <v>0</v>
      </c>
      <c r="AH756" s="86">
        <f>AVERAGEIFS($C$2:C756, $B$2:B756, B756)</f>
        <v>16.440000000000001</v>
      </c>
      <c r="AI756" s="86">
        <f>AVERAGEIFS($I$2:I756, $B$2:B756, B756)</f>
        <v>0.57200000000000006</v>
      </c>
      <c r="AJ756" s="86">
        <f>AVERAGEIFS($J$2:J756, $B$2:B756, B756)</f>
        <v>0.52640000000000009</v>
      </c>
      <c r="AK756" s="86">
        <f>AVERAGEIFS($D$2:D756, $B$2:B756, B756)</f>
        <v>0.56000000000000005</v>
      </c>
    </row>
    <row r="757" spans="1:37" x14ac:dyDescent="0.25">
      <c r="A757" s="85">
        <v>46118</v>
      </c>
      <c r="B757" t="s">
        <v>6</v>
      </c>
      <c r="C757">
        <v>10</v>
      </c>
      <c r="D757">
        <v>0</v>
      </c>
      <c r="E757">
        <v>3</v>
      </c>
      <c r="F757">
        <v>0</v>
      </c>
      <c r="G757">
        <v>10</v>
      </c>
      <c r="H757">
        <v>1</v>
      </c>
      <c r="I757">
        <v>0</v>
      </c>
      <c r="J757">
        <v>0.1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G757">
        <v>0</v>
      </c>
      <c r="AH757" s="86">
        <f>AVERAGEIFS($C$2:C757, $B$2:B757, B757)</f>
        <v>22</v>
      </c>
      <c r="AI757" s="86">
        <f>AVERAGEIFS($I$2:I757, $B$2:B757, B757)</f>
        <v>0.54560000000000008</v>
      </c>
      <c r="AJ757" s="86">
        <f>AVERAGEIFS($J$2:J757, $B$2:B757, B757)</f>
        <v>0.52639999999999998</v>
      </c>
      <c r="AK757" s="86">
        <f>AVERAGEIFS($D$2:D757, $B$2:B757, B757)</f>
        <v>0.64</v>
      </c>
    </row>
    <row r="758" spans="1:37" x14ac:dyDescent="0.25">
      <c r="A758" s="85">
        <v>46118</v>
      </c>
      <c r="B758" t="s">
        <v>146</v>
      </c>
      <c r="C758">
        <v>4</v>
      </c>
      <c r="D758">
        <v>0</v>
      </c>
      <c r="E758">
        <v>3</v>
      </c>
      <c r="F758">
        <v>0</v>
      </c>
      <c r="G758">
        <v>10</v>
      </c>
      <c r="H758">
        <v>1</v>
      </c>
      <c r="I758">
        <v>0</v>
      </c>
      <c r="J758">
        <v>0.1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>
        <v>0</v>
      </c>
      <c r="AH758" s="86">
        <f>AVERAGEIFS($C$2:C758, $B$2:B758, B758)</f>
        <v>7.833333333333333</v>
      </c>
      <c r="AI758" s="86">
        <f>AVERAGEIFS($I$2:I758, $B$2:B758, B758)</f>
        <v>0.25</v>
      </c>
      <c r="AJ758" s="86">
        <f>AVERAGEIFS($J$2:J758, $B$2:B758, B758)</f>
        <v>0.3183333333333333</v>
      </c>
      <c r="AK758" s="86">
        <f>AVERAGEIFS($D$2:D758, $B$2:B758, B758)</f>
        <v>0.16666666666666666</v>
      </c>
    </row>
    <row r="759" spans="1:37" x14ac:dyDescent="0.25">
      <c r="A759" s="85">
        <v>46118</v>
      </c>
      <c r="B759" t="s">
        <v>50</v>
      </c>
      <c r="C759">
        <v>13</v>
      </c>
      <c r="D759">
        <v>0</v>
      </c>
      <c r="E759">
        <v>3</v>
      </c>
      <c r="F759">
        <v>0</v>
      </c>
      <c r="G759">
        <v>10</v>
      </c>
      <c r="H759">
        <v>1</v>
      </c>
      <c r="I759">
        <v>0</v>
      </c>
      <c r="J759">
        <v>0.1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>
        <v>0</v>
      </c>
      <c r="AH759" s="86">
        <f>AVERAGEIFS($C$2:C759, $B$2:B759, B759)</f>
        <v>18.257142857142856</v>
      </c>
      <c r="AI759" s="86">
        <f>AVERAGEIFS($I$2:I759, $B$2:B759, B759)</f>
        <v>0.51800000000000013</v>
      </c>
      <c r="AJ759" s="86">
        <f>AVERAGEIFS($J$2:J759, $B$2:B759, B759)</f>
        <v>0.51942857142857135</v>
      </c>
      <c r="AK759" s="86">
        <f>AVERAGEIFS($D$2:D759, $B$2:B759, B759)</f>
        <v>0.51428571428571423</v>
      </c>
    </row>
    <row r="760" spans="1:37" x14ac:dyDescent="0.25">
      <c r="A760" s="85">
        <v>46118</v>
      </c>
      <c r="B760" t="s">
        <v>28</v>
      </c>
      <c r="C760">
        <v>9</v>
      </c>
      <c r="D760">
        <v>0</v>
      </c>
      <c r="E760">
        <v>3</v>
      </c>
      <c r="F760">
        <v>0</v>
      </c>
      <c r="G760">
        <v>10</v>
      </c>
      <c r="H760">
        <v>1</v>
      </c>
      <c r="I760">
        <v>0</v>
      </c>
      <c r="J760">
        <v>0.1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>
        <v>0</v>
      </c>
      <c r="AH760" s="86">
        <f>AVERAGEIFS($C$2:C760, $B$2:B760, B760)</f>
        <v>13.607142857142858</v>
      </c>
      <c r="AI760" s="86">
        <f>AVERAGEIFS($I$2:I760, $B$2:B760, B760)</f>
        <v>0.43321428571428566</v>
      </c>
      <c r="AJ760" s="86">
        <f>AVERAGEIFS($J$2:J760, $B$2:B760, B760)</f>
        <v>0.45714285714285702</v>
      </c>
      <c r="AK760" s="86">
        <f>AVERAGEIFS($D$2:D760, $B$2:B760, B760)</f>
        <v>0.39285714285714285</v>
      </c>
    </row>
    <row r="761" spans="1:37" x14ac:dyDescent="0.25">
      <c r="A761" s="85">
        <v>46118</v>
      </c>
      <c r="B761" t="s">
        <v>40</v>
      </c>
      <c r="C761">
        <v>10</v>
      </c>
      <c r="D761">
        <v>0</v>
      </c>
      <c r="E761">
        <v>3</v>
      </c>
      <c r="F761">
        <v>0</v>
      </c>
      <c r="G761">
        <v>10</v>
      </c>
      <c r="H761">
        <v>1</v>
      </c>
      <c r="I761">
        <v>0</v>
      </c>
      <c r="J761">
        <v>0.1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>
        <v>0</v>
      </c>
      <c r="AH761" s="86">
        <f>AVERAGEIFS($C$2:C761, $B$2:B761, B761)</f>
        <v>17.959183673469386</v>
      </c>
      <c r="AI761" s="86">
        <f>AVERAGEIFS($I$2:I761, $B$2:B761, B761)</f>
        <v>0.49183673469387745</v>
      </c>
      <c r="AJ761" s="86">
        <f>AVERAGEIFS($J$2:J761, $B$2:B761, B761)</f>
        <v>0.48122448979591848</v>
      </c>
      <c r="AK761" s="86">
        <f>AVERAGEIFS($D$2:D761, $B$2:B761, B761)</f>
        <v>0.44897959183673469</v>
      </c>
    </row>
    <row r="762" spans="1:37" x14ac:dyDescent="0.25">
      <c r="A762" s="85">
        <v>46118</v>
      </c>
      <c r="B762" t="s">
        <v>107</v>
      </c>
      <c r="C762">
        <v>12</v>
      </c>
      <c r="D762">
        <v>0</v>
      </c>
      <c r="E762">
        <v>3</v>
      </c>
      <c r="F762">
        <v>0</v>
      </c>
      <c r="G762">
        <v>10</v>
      </c>
      <c r="H762">
        <v>1</v>
      </c>
      <c r="I762">
        <v>0</v>
      </c>
      <c r="J762">
        <v>0.1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>
        <v>0</v>
      </c>
      <c r="AH762" s="86">
        <f>AVERAGEIFS($C$2:C762, $B$2:B762, B762)</f>
        <v>16.741935483870968</v>
      </c>
      <c r="AI762" s="86">
        <f>AVERAGEIFS($I$2:I762, $B$2:B762, B762)</f>
        <v>0.52096774193548379</v>
      </c>
      <c r="AJ762" s="86">
        <f>AVERAGEIFS($J$2:J762, $B$2:B762, B762)</f>
        <v>0.51677419354838716</v>
      </c>
      <c r="AK762" s="86">
        <f>AVERAGEIFS($D$2:D762, $B$2:B762, B762)</f>
        <v>0.54838709677419351</v>
      </c>
    </row>
    <row r="763" spans="1:37" x14ac:dyDescent="0.25">
      <c r="A763" s="85">
        <v>46119</v>
      </c>
      <c r="B763" t="s">
        <v>4</v>
      </c>
      <c r="C763">
        <v>38</v>
      </c>
      <c r="D763">
        <v>1</v>
      </c>
      <c r="E763">
        <v>5</v>
      </c>
      <c r="F763">
        <v>3</v>
      </c>
      <c r="G763">
        <v>24</v>
      </c>
      <c r="H763">
        <v>12</v>
      </c>
      <c r="I763">
        <v>0.6</v>
      </c>
      <c r="J763">
        <v>0.5</v>
      </c>
      <c r="K763">
        <v>0</v>
      </c>
      <c r="L763">
        <v>0</v>
      </c>
      <c r="M763">
        <v>1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>
        <v>0</v>
      </c>
      <c r="AB763">
        <v>0</v>
      </c>
      <c r="AC763">
        <v>1</v>
      </c>
      <c r="AD763">
        <v>0</v>
      </c>
      <c r="AE763">
        <v>0</v>
      </c>
      <c r="AF763">
        <v>0</v>
      </c>
      <c r="AG763">
        <v>0</v>
      </c>
      <c r="AH763" s="86">
        <f>AVERAGEIFS($C$2:C763, $B$2:B763, B763)</f>
        <v>24.076923076923077</v>
      </c>
      <c r="AI763" s="86">
        <f>AVERAGEIFS($I$2:I763, $B$2:B763, B763)</f>
        <v>0.4211538461538461</v>
      </c>
      <c r="AJ763" s="86">
        <f>AVERAGEIFS($J$2:J763, $B$2:B763, B763)</f>
        <v>0.4523076923076923</v>
      </c>
      <c r="AK763" s="86">
        <f>AVERAGEIFS($D$2:D763, $B$2:B763, B763)</f>
        <v>0.30769230769230771</v>
      </c>
    </row>
    <row r="764" spans="1:37" x14ac:dyDescent="0.25">
      <c r="A764" s="85">
        <v>46119</v>
      </c>
      <c r="B764" t="s">
        <v>42</v>
      </c>
      <c r="C764">
        <v>40</v>
      </c>
      <c r="D764">
        <v>1</v>
      </c>
      <c r="E764">
        <v>5</v>
      </c>
      <c r="F764">
        <v>3</v>
      </c>
      <c r="G764">
        <v>24</v>
      </c>
      <c r="H764">
        <v>12</v>
      </c>
      <c r="I764">
        <v>0.6</v>
      </c>
      <c r="J764">
        <v>0.5</v>
      </c>
      <c r="K764">
        <v>0</v>
      </c>
      <c r="L764">
        <v>0</v>
      </c>
      <c r="M764">
        <v>1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>
        <v>0</v>
      </c>
      <c r="AB764">
        <v>0</v>
      </c>
      <c r="AC764">
        <v>1</v>
      </c>
      <c r="AD764">
        <v>0</v>
      </c>
      <c r="AE764">
        <v>0</v>
      </c>
      <c r="AF764">
        <v>0</v>
      </c>
      <c r="AG764">
        <v>0</v>
      </c>
      <c r="AH764" s="86">
        <f>AVERAGEIFS($C$2:C764, $B$2:B764, B764)</f>
        <v>19.870967741935484</v>
      </c>
      <c r="AI764" s="86">
        <f>AVERAGEIFS($I$2:I764, $B$2:B764, B764)</f>
        <v>0.44354838709677413</v>
      </c>
      <c r="AJ764" s="86">
        <f>AVERAGEIFS($J$2:J764, $B$2:B764, B764)</f>
        <v>0.45322580645161287</v>
      </c>
      <c r="AK764" s="86">
        <f>AVERAGEIFS($D$2:D764, $B$2:B764, B764)</f>
        <v>0.45161290322580644</v>
      </c>
    </row>
    <row r="765" spans="1:37" x14ac:dyDescent="0.25">
      <c r="A765" s="85">
        <v>46119</v>
      </c>
      <c r="B765" t="s">
        <v>44</v>
      </c>
      <c r="C765">
        <v>24</v>
      </c>
      <c r="D765">
        <v>1</v>
      </c>
      <c r="E765">
        <v>5</v>
      </c>
      <c r="F765">
        <v>3</v>
      </c>
      <c r="G765">
        <v>24</v>
      </c>
      <c r="H765">
        <v>12</v>
      </c>
      <c r="I765">
        <v>0.6</v>
      </c>
      <c r="J765">
        <v>0.5</v>
      </c>
      <c r="K765">
        <v>0</v>
      </c>
      <c r="L765">
        <v>0</v>
      </c>
      <c r="M765">
        <v>1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>
        <v>0</v>
      </c>
      <c r="AB765">
        <v>0</v>
      </c>
      <c r="AC765">
        <v>1</v>
      </c>
      <c r="AD765">
        <v>0</v>
      </c>
      <c r="AE765">
        <v>0</v>
      </c>
      <c r="AF765">
        <v>0</v>
      </c>
      <c r="AG765">
        <v>0</v>
      </c>
      <c r="AH765" s="86">
        <f>AVERAGEIFS($C$2:C765, $B$2:B765, B765)</f>
        <v>16.967741935483872</v>
      </c>
      <c r="AI765" s="86">
        <f>AVERAGEIFS($I$2:I765, $B$2:B765, B765)</f>
        <v>0.51935483870967736</v>
      </c>
      <c r="AJ765" s="86">
        <f>AVERAGEIFS($J$2:J765, $B$2:B765, B765)</f>
        <v>0.52806451612903216</v>
      </c>
      <c r="AK765" s="86">
        <f>AVERAGEIFS($D$2:D765, $B$2:B765, B765)</f>
        <v>0.64516129032258063</v>
      </c>
    </row>
    <row r="766" spans="1:37" x14ac:dyDescent="0.25">
      <c r="A766" s="85">
        <v>46119</v>
      </c>
      <c r="B766" t="s">
        <v>113</v>
      </c>
      <c r="C766">
        <v>21</v>
      </c>
      <c r="D766">
        <v>1</v>
      </c>
      <c r="E766">
        <v>5</v>
      </c>
      <c r="F766">
        <v>3</v>
      </c>
      <c r="G766">
        <v>24</v>
      </c>
      <c r="H766">
        <v>12</v>
      </c>
      <c r="I766">
        <v>0.6</v>
      </c>
      <c r="J766">
        <v>0.5</v>
      </c>
      <c r="K766">
        <v>0</v>
      </c>
      <c r="L766">
        <v>0</v>
      </c>
      <c r="M766">
        <v>1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>
        <v>0</v>
      </c>
      <c r="AB766">
        <v>0</v>
      </c>
      <c r="AC766">
        <v>1</v>
      </c>
      <c r="AD766">
        <v>0</v>
      </c>
      <c r="AE766">
        <v>0</v>
      </c>
      <c r="AF766">
        <v>0</v>
      </c>
      <c r="AG766">
        <v>0</v>
      </c>
      <c r="AH766" s="86">
        <f>AVERAGEIFS($C$2:C766, $B$2:B766, B766)</f>
        <v>16.615384615384617</v>
      </c>
      <c r="AI766" s="86">
        <f>AVERAGEIFS($I$2:I766, $B$2:B766, B766)</f>
        <v>0.57307692307692304</v>
      </c>
      <c r="AJ766" s="86">
        <f>AVERAGEIFS($J$2:J766, $B$2:B766, B766)</f>
        <v>0.52538461538461545</v>
      </c>
      <c r="AK766" s="86">
        <f>AVERAGEIFS($D$2:D766, $B$2:B766, B766)</f>
        <v>0.57692307692307687</v>
      </c>
    </row>
    <row r="767" spans="1:37" x14ac:dyDescent="0.25">
      <c r="A767" s="85">
        <v>46119</v>
      </c>
      <c r="B767" t="s">
        <v>5</v>
      </c>
      <c r="C767">
        <v>19</v>
      </c>
      <c r="D767">
        <v>1</v>
      </c>
      <c r="E767">
        <v>5</v>
      </c>
      <c r="F767">
        <v>3</v>
      </c>
      <c r="G767">
        <v>24</v>
      </c>
      <c r="H767">
        <v>12</v>
      </c>
      <c r="I767">
        <v>0.6</v>
      </c>
      <c r="J767">
        <v>0.5</v>
      </c>
      <c r="K767">
        <v>0</v>
      </c>
      <c r="L767">
        <v>0</v>
      </c>
      <c r="M767">
        <v>1</v>
      </c>
      <c r="N767">
        <v>1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0</v>
      </c>
      <c r="AA767">
        <v>0</v>
      </c>
      <c r="AB767">
        <v>0</v>
      </c>
      <c r="AC767">
        <v>1</v>
      </c>
      <c r="AD767">
        <v>0</v>
      </c>
      <c r="AE767">
        <v>0</v>
      </c>
      <c r="AF767">
        <v>0</v>
      </c>
      <c r="AG767">
        <v>0</v>
      </c>
      <c r="AH767" s="86">
        <f>AVERAGEIFS($C$2:C767, $B$2:B767, B767)</f>
        <v>20.941176470588236</v>
      </c>
      <c r="AI767" s="86">
        <f>AVERAGEIFS($I$2:I767, $B$2:B767, B767)</f>
        <v>0.65999999999999992</v>
      </c>
      <c r="AJ767" s="86">
        <f>AVERAGEIFS($J$2:J767, $B$2:B767, B767)</f>
        <v>0.57470588235294118</v>
      </c>
      <c r="AK767" s="86">
        <f>AVERAGEIFS($D$2:D767, $B$2:B767, B767)</f>
        <v>0.82352941176470584</v>
      </c>
    </row>
    <row r="768" spans="1:37" x14ac:dyDescent="0.25">
      <c r="A768" s="85">
        <v>46119</v>
      </c>
      <c r="B768" t="s">
        <v>50</v>
      </c>
      <c r="C768">
        <v>13</v>
      </c>
      <c r="D768">
        <v>1</v>
      </c>
      <c r="E768">
        <v>5</v>
      </c>
      <c r="F768">
        <v>3</v>
      </c>
      <c r="G768">
        <v>24</v>
      </c>
      <c r="H768">
        <v>12</v>
      </c>
      <c r="I768">
        <v>0.6</v>
      </c>
      <c r="J768">
        <v>0.5</v>
      </c>
      <c r="K768">
        <v>0</v>
      </c>
      <c r="L768">
        <v>0</v>
      </c>
      <c r="M768">
        <v>1</v>
      </c>
      <c r="N768">
        <v>1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0</v>
      </c>
      <c r="AA768">
        <v>0</v>
      </c>
      <c r="AB768">
        <v>0</v>
      </c>
      <c r="AC768">
        <v>1</v>
      </c>
      <c r="AD768">
        <v>0</v>
      </c>
      <c r="AE768">
        <v>0</v>
      </c>
      <c r="AF768">
        <v>0</v>
      </c>
      <c r="AG768">
        <v>0</v>
      </c>
      <c r="AH768" s="86">
        <f>AVERAGEIFS($C$2:C768, $B$2:B768, B768)</f>
        <v>18.111111111111111</v>
      </c>
      <c r="AI768" s="86">
        <f>AVERAGEIFS($I$2:I768, $B$2:B768, B768)</f>
        <v>0.52027777777777784</v>
      </c>
      <c r="AJ768" s="86">
        <f>AVERAGEIFS($J$2:J768, $B$2:B768, B768)</f>
        <v>0.51888888888888873</v>
      </c>
      <c r="AK768" s="86">
        <f>AVERAGEIFS($D$2:D768, $B$2:B768, B768)</f>
        <v>0.52777777777777779</v>
      </c>
    </row>
    <row r="769" spans="1:37" x14ac:dyDescent="0.25">
      <c r="A769" s="85">
        <v>46119</v>
      </c>
      <c r="B769" t="s">
        <v>71</v>
      </c>
      <c r="C769">
        <v>8</v>
      </c>
      <c r="D769">
        <v>0</v>
      </c>
      <c r="E769">
        <v>5</v>
      </c>
      <c r="F769">
        <v>2</v>
      </c>
      <c r="G769">
        <v>24</v>
      </c>
      <c r="H769">
        <v>12</v>
      </c>
      <c r="I769">
        <v>0.4</v>
      </c>
      <c r="J769">
        <v>0.5</v>
      </c>
      <c r="K769">
        <v>0</v>
      </c>
      <c r="L769">
        <v>1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0</v>
      </c>
      <c r="AA769">
        <v>0</v>
      </c>
      <c r="AB769">
        <v>0</v>
      </c>
      <c r="AC769">
        <v>0</v>
      </c>
      <c r="AD769">
        <v>0</v>
      </c>
      <c r="AE769">
        <v>0</v>
      </c>
      <c r="AF769">
        <v>0</v>
      </c>
      <c r="AG769">
        <v>1</v>
      </c>
      <c r="AH769" s="86">
        <f>AVERAGEIFS($C$2:C769, $B$2:B769, B769)</f>
        <v>11.952380952380953</v>
      </c>
      <c r="AI769" s="86">
        <f>AVERAGEIFS($I$2:I769, $B$2:B769, B769)</f>
        <v>0.44761904761904764</v>
      </c>
      <c r="AJ769" s="86">
        <f>AVERAGEIFS($J$2:J769, $B$2:B769, B769)</f>
        <v>0.47000000000000003</v>
      </c>
      <c r="AK769" s="86">
        <f>AVERAGEIFS($D$2:D769, $B$2:B769, B769)</f>
        <v>0.47619047619047616</v>
      </c>
    </row>
    <row r="770" spans="1:37" x14ac:dyDescent="0.25">
      <c r="A770" s="85">
        <v>46119</v>
      </c>
      <c r="B770" t="s">
        <v>6</v>
      </c>
      <c r="C770">
        <v>31</v>
      </c>
      <c r="D770">
        <v>0</v>
      </c>
      <c r="E770">
        <v>5</v>
      </c>
      <c r="F770">
        <v>2</v>
      </c>
      <c r="G770">
        <v>24</v>
      </c>
      <c r="H770">
        <v>12</v>
      </c>
      <c r="I770">
        <v>0.4</v>
      </c>
      <c r="J770">
        <v>0.5</v>
      </c>
      <c r="K770">
        <v>0</v>
      </c>
      <c r="L770">
        <v>1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0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0</v>
      </c>
      <c r="AG770">
        <v>1</v>
      </c>
      <c r="AH770" s="86">
        <f>AVERAGEIFS($C$2:C770, $B$2:B770, B770)</f>
        <v>22.176470588235293</v>
      </c>
      <c r="AI770" s="86">
        <f>AVERAGEIFS($I$2:I770, $B$2:B770, B770)</f>
        <v>0.54274509803921578</v>
      </c>
      <c r="AJ770" s="86">
        <f>AVERAGEIFS($J$2:J770, $B$2:B770, B770)</f>
        <v>0.52588235294117647</v>
      </c>
      <c r="AK770" s="86">
        <f>AVERAGEIFS($D$2:D770, $B$2:B770, B770)</f>
        <v>0.62745098039215685</v>
      </c>
    </row>
    <row r="771" spans="1:37" x14ac:dyDescent="0.25">
      <c r="A771" s="85">
        <v>46119</v>
      </c>
      <c r="B771" t="s">
        <v>147</v>
      </c>
      <c r="C771">
        <v>13</v>
      </c>
      <c r="D771">
        <v>0</v>
      </c>
      <c r="E771">
        <v>5</v>
      </c>
      <c r="F771">
        <v>2</v>
      </c>
      <c r="G771">
        <v>24</v>
      </c>
      <c r="H771">
        <v>12</v>
      </c>
      <c r="I771">
        <v>0.4</v>
      </c>
      <c r="J771">
        <v>0.5</v>
      </c>
      <c r="K771">
        <v>0</v>
      </c>
      <c r="L771">
        <v>1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0</v>
      </c>
      <c r="AA771">
        <v>0</v>
      </c>
      <c r="AB771">
        <v>0</v>
      </c>
      <c r="AC771">
        <v>0</v>
      </c>
      <c r="AD771">
        <v>0</v>
      </c>
      <c r="AE771">
        <v>0</v>
      </c>
      <c r="AF771">
        <v>0</v>
      </c>
      <c r="AG771">
        <v>1</v>
      </c>
      <c r="AH771" s="86">
        <f>AVERAGEIFS($C$2:C771, $B$2:B771, B771)</f>
        <v>11.7</v>
      </c>
      <c r="AI771" s="86">
        <f>AVERAGEIFS($I$2:I771, $B$2:B771, B771)</f>
        <v>0.57999999999999996</v>
      </c>
      <c r="AJ771" s="86">
        <f>AVERAGEIFS($J$2:J771, $B$2:B771, B771)</f>
        <v>0.54599999999999993</v>
      </c>
      <c r="AK771" s="86">
        <f>AVERAGEIFS($D$2:D771, $B$2:B771, B771)</f>
        <v>0.55000000000000004</v>
      </c>
    </row>
    <row r="772" spans="1:37" x14ac:dyDescent="0.25">
      <c r="A772" s="85">
        <v>46119</v>
      </c>
      <c r="B772" t="s">
        <v>46</v>
      </c>
      <c r="C772">
        <v>34</v>
      </c>
      <c r="D772">
        <v>0</v>
      </c>
      <c r="E772">
        <v>5</v>
      </c>
      <c r="F772">
        <v>2</v>
      </c>
      <c r="G772">
        <v>24</v>
      </c>
      <c r="H772">
        <v>12</v>
      </c>
      <c r="I772">
        <v>0.4</v>
      </c>
      <c r="J772">
        <v>0.5</v>
      </c>
      <c r="K772">
        <v>0</v>
      </c>
      <c r="L772">
        <v>1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0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0</v>
      </c>
      <c r="AG772">
        <v>1</v>
      </c>
      <c r="AH772" s="86">
        <f>AVERAGEIFS($C$2:C772, $B$2:B772, B772)</f>
        <v>18.296296296296298</v>
      </c>
      <c r="AI772" s="86">
        <f>AVERAGEIFS($I$2:I772, $B$2:B772, B772)</f>
        <v>0.39999999999999997</v>
      </c>
      <c r="AJ772" s="86">
        <f>AVERAGEIFS($J$2:J772, $B$2:B772, B772)</f>
        <v>0.44814814814814818</v>
      </c>
      <c r="AK772" s="86">
        <f>AVERAGEIFS($D$2:D772, $B$2:B772, B772)</f>
        <v>0.33333333333333331</v>
      </c>
    </row>
    <row r="773" spans="1:37" x14ac:dyDescent="0.25">
      <c r="A773" s="85">
        <v>46119</v>
      </c>
      <c r="B773" t="s">
        <v>53</v>
      </c>
      <c r="C773">
        <v>27</v>
      </c>
      <c r="D773">
        <v>0</v>
      </c>
      <c r="E773">
        <v>5</v>
      </c>
      <c r="F773">
        <v>2</v>
      </c>
      <c r="G773">
        <v>24</v>
      </c>
      <c r="H773">
        <v>12</v>
      </c>
      <c r="I773">
        <v>0.4</v>
      </c>
      <c r="J773">
        <v>0.5</v>
      </c>
      <c r="K773">
        <v>0</v>
      </c>
      <c r="L773">
        <v>1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0</v>
      </c>
      <c r="AG773">
        <v>1</v>
      </c>
      <c r="AH773" s="86">
        <f>AVERAGEIFS($C$2:C773, $B$2:B773, B773)</f>
        <v>16.111111111111111</v>
      </c>
      <c r="AI773" s="86">
        <f>AVERAGEIFS($I$2:I773, $B$2:B773, B773)</f>
        <v>0.55277777777777781</v>
      </c>
      <c r="AJ773" s="86">
        <f>AVERAGEIFS($J$2:J773, $B$2:B773, B773)</f>
        <v>0.52111111111111119</v>
      </c>
      <c r="AK773" s="86">
        <f>AVERAGEIFS($D$2:D773, $B$2:B773, B773)</f>
        <v>0.5</v>
      </c>
    </row>
    <row r="774" spans="1:37" x14ac:dyDescent="0.25">
      <c r="A774" s="85">
        <v>46119</v>
      </c>
      <c r="B774" t="s">
        <v>40</v>
      </c>
      <c r="C774">
        <v>37</v>
      </c>
      <c r="D774">
        <v>0</v>
      </c>
      <c r="E774">
        <v>5</v>
      </c>
      <c r="F774">
        <v>2</v>
      </c>
      <c r="G774">
        <v>24</v>
      </c>
      <c r="H774">
        <v>12</v>
      </c>
      <c r="I774">
        <v>0.4</v>
      </c>
      <c r="J774">
        <v>0.5</v>
      </c>
      <c r="K774">
        <v>0</v>
      </c>
      <c r="L774">
        <v>1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>
        <v>0</v>
      </c>
      <c r="AB774">
        <v>0</v>
      </c>
      <c r="AC774">
        <v>0</v>
      </c>
      <c r="AD774">
        <v>0</v>
      </c>
      <c r="AE774">
        <v>0</v>
      </c>
      <c r="AF774">
        <v>0</v>
      </c>
      <c r="AG774">
        <v>1</v>
      </c>
      <c r="AH774" s="86">
        <f>AVERAGEIFS($C$2:C774, $B$2:B774, B774)</f>
        <v>18.34</v>
      </c>
      <c r="AI774" s="86">
        <f>AVERAGEIFS($I$2:I774, $B$2:B774, B774)</f>
        <v>0.48999999999999988</v>
      </c>
      <c r="AJ774" s="86">
        <f>AVERAGEIFS($J$2:J774, $B$2:B774, B774)</f>
        <v>0.48160000000000008</v>
      </c>
      <c r="AK774" s="86">
        <f>AVERAGEIFS($D$2:D774, $B$2:B774, B774)</f>
        <v>0.44</v>
      </c>
    </row>
    <row r="775" spans="1:37" x14ac:dyDescent="0.25">
      <c r="A775" s="85">
        <v>46119</v>
      </c>
      <c r="B775" t="s">
        <v>2</v>
      </c>
      <c r="C775">
        <v>17</v>
      </c>
      <c r="D775">
        <v>0</v>
      </c>
      <c r="E775">
        <v>5</v>
      </c>
      <c r="F775">
        <v>2</v>
      </c>
      <c r="G775">
        <v>24</v>
      </c>
      <c r="H775">
        <v>12</v>
      </c>
      <c r="I775">
        <v>0.4</v>
      </c>
      <c r="J775">
        <v>0.5</v>
      </c>
      <c r="K775">
        <v>0</v>
      </c>
      <c r="L775">
        <v>1</v>
      </c>
      <c r="M775">
        <v>0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0</v>
      </c>
      <c r="AF775">
        <v>0</v>
      </c>
      <c r="AG775">
        <v>1</v>
      </c>
      <c r="AH775" s="86">
        <f>AVERAGEIFS($C$2:C775, $B$2:B775, B775)</f>
        <v>24.09090909090909</v>
      </c>
      <c r="AI775" s="86">
        <f>AVERAGEIFS($I$2:I775, $B$2:B775, B775)</f>
        <v>0.55999999999999994</v>
      </c>
      <c r="AJ775" s="86">
        <f>AVERAGEIFS($J$2:J775, $B$2:B775, B775)</f>
        <v>0.55818181818181822</v>
      </c>
      <c r="AK775" s="86">
        <f>AVERAGEIFS($D$2:D775, $B$2:B775, B775)</f>
        <v>0.54545454545454541</v>
      </c>
    </row>
    <row r="776" spans="1:37" x14ac:dyDescent="0.25">
      <c r="A776" s="85">
        <v>46121</v>
      </c>
      <c r="B776" t="s">
        <v>1</v>
      </c>
      <c r="C776">
        <v>28</v>
      </c>
      <c r="D776">
        <v>1</v>
      </c>
      <c r="E776">
        <v>4</v>
      </c>
      <c r="F776">
        <v>3</v>
      </c>
      <c r="G776">
        <v>18</v>
      </c>
      <c r="H776">
        <v>11</v>
      </c>
      <c r="I776">
        <v>0.75</v>
      </c>
      <c r="J776">
        <v>0.61</v>
      </c>
      <c r="K776">
        <v>1</v>
      </c>
      <c r="L776">
        <v>0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v>0</v>
      </c>
      <c r="AD776">
        <v>1</v>
      </c>
      <c r="AE776">
        <v>1</v>
      </c>
      <c r="AF776">
        <v>0</v>
      </c>
      <c r="AG776">
        <v>0</v>
      </c>
      <c r="AH776" s="86">
        <f>AVERAGEIFS($C$2:C776, $B$2:B776, B776)</f>
        <v>26.814814814814813</v>
      </c>
      <c r="AI776" s="86">
        <f>AVERAGEIFS($I$2:I776, $B$2:B776, B776)</f>
        <v>0.42962962962962969</v>
      </c>
      <c r="AJ776" s="86">
        <f>AVERAGEIFS($J$2:J776, $B$2:B776, B776)</f>
        <v>0.4555555555555556</v>
      </c>
      <c r="AK776" s="86">
        <f>AVERAGEIFS($D$2:D776, $B$2:B776, B776)</f>
        <v>0.44444444444444442</v>
      </c>
    </row>
    <row r="777" spans="1:37" x14ac:dyDescent="0.25">
      <c r="A777" s="85">
        <v>46121</v>
      </c>
      <c r="B777" t="s">
        <v>17</v>
      </c>
      <c r="C777">
        <v>26</v>
      </c>
      <c r="D777">
        <v>1</v>
      </c>
      <c r="E777">
        <v>4</v>
      </c>
      <c r="F777">
        <v>3</v>
      </c>
      <c r="G777">
        <v>18</v>
      </c>
      <c r="H777">
        <v>11</v>
      </c>
      <c r="I777">
        <v>0.75</v>
      </c>
      <c r="J777">
        <v>0.61</v>
      </c>
      <c r="K777">
        <v>1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>
        <v>0</v>
      </c>
      <c r="AB777">
        <v>0</v>
      </c>
      <c r="AC777">
        <v>0</v>
      </c>
      <c r="AD777">
        <v>1</v>
      </c>
      <c r="AE777">
        <v>1</v>
      </c>
      <c r="AF777">
        <v>0</v>
      </c>
      <c r="AG777">
        <v>0</v>
      </c>
      <c r="AH777" s="86">
        <f>AVERAGEIFS($C$2:C777, $B$2:B777, B777)</f>
        <v>20.466666666666665</v>
      </c>
      <c r="AI777" s="86">
        <f>AVERAGEIFS($I$2:I777, $B$2:B777, B777)</f>
        <v>0.53733333333333322</v>
      </c>
      <c r="AJ777" s="86">
        <f>AVERAGEIFS($J$2:J777, $B$2:B777, B777)</f>
        <v>0.50666666666666671</v>
      </c>
      <c r="AK777" s="86">
        <f>AVERAGEIFS($D$2:D777, $B$2:B777, B777)</f>
        <v>0.53333333333333333</v>
      </c>
    </row>
    <row r="778" spans="1:37" x14ac:dyDescent="0.25">
      <c r="A778" s="85">
        <v>46121</v>
      </c>
      <c r="B778" t="s">
        <v>4</v>
      </c>
      <c r="C778">
        <v>26</v>
      </c>
      <c r="D778">
        <v>1</v>
      </c>
      <c r="E778">
        <v>4</v>
      </c>
      <c r="F778">
        <v>3</v>
      </c>
      <c r="G778">
        <v>18</v>
      </c>
      <c r="H778">
        <v>11</v>
      </c>
      <c r="I778">
        <v>0.75</v>
      </c>
      <c r="J778">
        <v>0.61</v>
      </c>
      <c r="K778">
        <v>1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v>0</v>
      </c>
      <c r="AD778">
        <v>1</v>
      </c>
      <c r="AE778">
        <v>1</v>
      </c>
      <c r="AF778">
        <v>0</v>
      </c>
      <c r="AG778">
        <v>0</v>
      </c>
      <c r="AH778" s="86">
        <f>AVERAGEIFS($C$2:C778, $B$2:B778, B778)</f>
        <v>24.148148148148149</v>
      </c>
      <c r="AI778" s="86">
        <f>AVERAGEIFS($I$2:I778, $B$2:B778, B778)</f>
        <v>0.43333333333333329</v>
      </c>
      <c r="AJ778" s="86">
        <f>AVERAGEIFS($J$2:J778, $B$2:B778, B778)</f>
        <v>0.45814814814814814</v>
      </c>
      <c r="AK778" s="86">
        <f>AVERAGEIFS($D$2:D778, $B$2:B778, B778)</f>
        <v>0.33333333333333331</v>
      </c>
    </row>
    <row r="779" spans="1:37" x14ac:dyDescent="0.25">
      <c r="A779" s="85">
        <v>46121</v>
      </c>
      <c r="B779" t="s">
        <v>2</v>
      </c>
      <c r="C779">
        <v>17</v>
      </c>
      <c r="D779">
        <v>1</v>
      </c>
      <c r="E779">
        <v>4</v>
      </c>
      <c r="F779">
        <v>3</v>
      </c>
      <c r="G779">
        <v>18</v>
      </c>
      <c r="H779">
        <v>11</v>
      </c>
      <c r="I779">
        <v>0.75</v>
      </c>
      <c r="J779">
        <v>0.61</v>
      </c>
      <c r="K779">
        <v>1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0</v>
      </c>
      <c r="AB779">
        <v>0</v>
      </c>
      <c r="AC779">
        <v>0</v>
      </c>
      <c r="AD779">
        <v>1</v>
      </c>
      <c r="AE779">
        <v>1</v>
      </c>
      <c r="AF779">
        <v>0</v>
      </c>
      <c r="AG779">
        <v>0</v>
      </c>
      <c r="AH779" s="86">
        <f>AVERAGEIFS($C$2:C779, $B$2:B779, B779)</f>
        <v>23.882352941176471</v>
      </c>
      <c r="AI779" s="86">
        <f>AVERAGEIFS($I$2:I779, $B$2:B779, B779)</f>
        <v>0.5655882352941175</v>
      </c>
      <c r="AJ779" s="86">
        <f>AVERAGEIFS($J$2:J779, $B$2:B779, B779)</f>
        <v>0.55970588235294116</v>
      </c>
      <c r="AK779" s="86">
        <f>AVERAGEIFS($D$2:D779, $B$2:B779, B779)</f>
        <v>0.55882352941176472</v>
      </c>
    </row>
    <row r="780" spans="1:37" x14ac:dyDescent="0.25">
      <c r="A780" s="85">
        <v>46121</v>
      </c>
      <c r="B780" t="s">
        <v>71</v>
      </c>
      <c r="C780">
        <v>17</v>
      </c>
      <c r="D780">
        <v>1</v>
      </c>
      <c r="E780">
        <v>4</v>
      </c>
      <c r="F780">
        <v>3</v>
      </c>
      <c r="G780">
        <v>18</v>
      </c>
      <c r="H780">
        <v>11</v>
      </c>
      <c r="I780">
        <v>0.75</v>
      </c>
      <c r="J780">
        <v>0.61</v>
      </c>
      <c r="K780">
        <v>1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</v>
      </c>
      <c r="AC780">
        <v>0</v>
      </c>
      <c r="AD780">
        <v>1</v>
      </c>
      <c r="AE780">
        <v>1</v>
      </c>
      <c r="AF780">
        <v>0</v>
      </c>
      <c r="AG780">
        <v>0</v>
      </c>
      <c r="AH780" s="86">
        <f>AVERAGEIFS($C$2:C780, $B$2:B780, B780)</f>
        <v>12.181818181818182</v>
      </c>
      <c r="AI780" s="86">
        <f>AVERAGEIFS($I$2:I780, $B$2:B780, B780)</f>
        <v>0.46136363636363636</v>
      </c>
      <c r="AJ780" s="86">
        <f>AVERAGEIFS($J$2:J780, $B$2:B780, B780)</f>
        <v>0.47636363636363638</v>
      </c>
      <c r="AK780" s="86">
        <f>AVERAGEIFS($D$2:D780, $B$2:B780, B780)</f>
        <v>0.5</v>
      </c>
    </row>
    <row r="781" spans="1:37" x14ac:dyDescent="0.25">
      <c r="A781" s="85">
        <v>46121</v>
      </c>
      <c r="B781" t="s">
        <v>13</v>
      </c>
      <c r="C781">
        <v>16</v>
      </c>
      <c r="D781">
        <v>1</v>
      </c>
      <c r="E781">
        <v>4</v>
      </c>
      <c r="F781">
        <v>3</v>
      </c>
      <c r="G781">
        <v>18</v>
      </c>
      <c r="H781">
        <v>11</v>
      </c>
      <c r="I781">
        <v>0.75</v>
      </c>
      <c r="J781">
        <v>0.61</v>
      </c>
      <c r="K781">
        <v>1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0</v>
      </c>
      <c r="Y781">
        <v>0</v>
      </c>
      <c r="Z781">
        <v>0</v>
      </c>
      <c r="AA781">
        <v>0</v>
      </c>
      <c r="AB781">
        <v>0</v>
      </c>
      <c r="AC781">
        <v>0</v>
      </c>
      <c r="AD781">
        <v>1</v>
      </c>
      <c r="AE781">
        <v>1</v>
      </c>
      <c r="AF781">
        <v>0</v>
      </c>
      <c r="AG781">
        <v>0</v>
      </c>
      <c r="AH781" s="86">
        <f>AVERAGEIFS($C$2:C781, $B$2:B781, B781)</f>
        <v>14</v>
      </c>
      <c r="AI781" s="86">
        <f>AVERAGEIFS($I$2:I781, $B$2:B781, B781)</f>
        <v>0.53214285714285714</v>
      </c>
      <c r="AJ781" s="86">
        <f>AVERAGEIFS($J$2:J781, $B$2:B781, B781)</f>
        <v>0.52571428571428569</v>
      </c>
      <c r="AK781" s="86">
        <f>AVERAGEIFS($D$2:D781, $B$2:B781, B781)</f>
        <v>0.42857142857142855</v>
      </c>
    </row>
    <row r="782" spans="1:37" x14ac:dyDescent="0.25">
      <c r="A782" s="85">
        <v>46121</v>
      </c>
      <c r="B782" t="s">
        <v>107</v>
      </c>
      <c r="C782">
        <v>15</v>
      </c>
      <c r="D782">
        <v>1</v>
      </c>
      <c r="E782">
        <v>4</v>
      </c>
      <c r="F782">
        <v>3</v>
      </c>
      <c r="G782">
        <v>18</v>
      </c>
      <c r="H782">
        <v>11</v>
      </c>
      <c r="I782">
        <v>0.75</v>
      </c>
      <c r="J782">
        <v>0.61</v>
      </c>
      <c r="K782">
        <v>1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0</v>
      </c>
      <c r="Y782">
        <v>0</v>
      </c>
      <c r="Z782">
        <v>0</v>
      </c>
      <c r="AA782">
        <v>0</v>
      </c>
      <c r="AB782">
        <v>0</v>
      </c>
      <c r="AC782">
        <v>0</v>
      </c>
      <c r="AD782">
        <v>1</v>
      </c>
      <c r="AE782">
        <v>1</v>
      </c>
      <c r="AF782">
        <v>0</v>
      </c>
      <c r="AG782">
        <v>0</v>
      </c>
      <c r="AH782" s="86">
        <f>AVERAGEIFS($C$2:C782, $B$2:B782, B782)</f>
        <v>16.6875</v>
      </c>
      <c r="AI782" s="86">
        <f>AVERAGEIFS($I$2:I782, $B$2:B782, B782)</f>
        <v>0.52812499999999996</v>
      </c>
      <c r="AJ782" s="86">
        <f>AVERAGEIFS($J$2:J782, $B$2:B782, B782)</f>
        <v>0.51968750000000008</v>
      </c>
      <c r="AK782" s="86">
        <f>AVERAGEIFS($D$2:D782, $B$2:B782, B782)</f>
        <v>0.5625</v>
      </c>
    </row>
    <row r="783" spans="1:37" x14ac:dyDescent="0.25">
      <c r="A783" s="85">
        <v>46121</v>
      </c>
      <c r="B783" t="s">
        <v>161</v>
      </c>
      <c r="C783">
        <v>4</v>
      </c>
      <c r="D783">
        <v>1</v>
      </c>
      <c r="E783">
        <v>4</v>
      </c>
      <c r="F783">
        <v>3</v>
      </c>
      <c r="G783">
        <v>18</v>
      </c>
      <c r="H783">
        <v>11</v>
      </c>
      <c r="I783">
        <v>0.75</v>
      </c>
      <c r="J783">
        <v>0.61</v>
      </c>
      <c r="K783">
        <v>1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0</v>
      </c>
      <c r="Y783">
        <v>0</v>
      </c>
      <c r="Z783">
        <v>0</v>
      </c>
      <c r="AA783">
        <v>0</v>
      </c>
      <c r="AB783">
        <v>0</v>
      </c>
      <c r="AC783">
        <v>0</v>
      </c>
      <c r="AD783">
        <v>1</v>
      </c>
      <c r="AE783">
        <v>1</v>
      </c>
      <c r="AF783">
        <v>0</v>
      </c>
      <c r="AG783">
        <v>0</v>
      </c>
      <c r="AH783" s="86">
        <f>AVERAGEIFS($C$2:C783, $B$2:B783, B783)</f>
        <v>4</v>
      </c>
      <c r="AI783" s="86">
        <f>AVERAGEIFS($I$2:I783, $B$2:B783, B783)</f>
        <v>0.75</v>
      </c>
      <c r="AJ783" s="86">
        <f>AVERAGEIFS($J$2:J783, $B$2:B783, B783)</f>
        <v>0.61</v>
      </c>
      <c r="AK783" s="86">
        <f>AVERAGEIFS($D$2:D783, $B$2:B783, B783)</f>
        <v>1</v>
      </c>
    </row>
    <row r="784" spans="1:37" x14ac:dyDescent="0.25">
      <c r="A784" s="85">
        <v>46121</v>
      </c>
      <c r="B784" t="s">
        <v>6</v>
      </c>
      <c r="C784">
        <v>29</v>
      </c>
      <c r="D784">
        <v>0</v>
      </c>
      <c r="E784">
        <v>4</v>
      </c>
      <c r="F784">
        <v>1</v>
      </c>
      <c r="G784">
        <v>18</v>
      </c>
      <c r="H784">
        <v>7</v>
      </c>
      <c r="I784">
        <v>0.25</v>
      </c>
      <c r="J784">
        <v>0.39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0</v>
      </c>
      <c r="AA784">
        <v>0</v>
      </c>
      <c r="AB784">
        <v>0</v>
      </c>
      <c r="AC784">
        <v>1</v>
      </c>
      <c r="AD784">
        <v>0</v>
      </c>
      <c r="AE784">
        <v>0</v>
      </c>
      <c r="AF784">
        <v>0</v>
      </c>
      <c r="AG784">
        <v>0</v>
      </c>
      <c r="AH784" s="86">
        <f>AVERAGEIFS($C$2:C784, $B$2:B784, B784)</f>
        <v>22.307692307692307</v>
      </c>
      <c r="AI784" s="86">
        <f>AVERAGEIFS($I$2:I784, $B$2:B784, B784)</f>
        <v>0.53711538461538466</v>
      </c>
      <c r="AJ784" s="86">
        <f>AVERAGEIFS($J$2:J784, $B$2:B784, B784)</f>
        <v>0.52326923076923082</v>
      </c>
      <c r="AK784" s="86">
        <f>AVERAGEIFS($D$2:D784, $B$2:B784, B784)</f>
        <v>0.61538461538461542</v>
      </c>
    </row>
    <row r="785" spans="1:37" x14ac:dyDescent="0.25">
      <c r="A785" s="85">
        <v>46121</v>
      </c>
      <c r="B785" t="s">
        <v>113</v>
      </c>
      <c r="C785">
        <v>23</v>
      </c>
      <c r="D785">
        <v>0</v>
      </c>
      <c r="E785">
        <v>4</v>
      </c>
      <c r="F785">
        <v>1</v>
      </c>
      <c r="G785">
        <v>18</v>
      </c>
      <c r="H785">
        <v>7</v>
      </c>
      <c r="I785">
        <v>0.25</v>
      </c>
      <c r="J785">
        <v>0.39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0</v>
      </c>
      <c r="Y785">
        <v>0</v>
      </c>
      <c r="Z785">
        <v>0</v>
      </c>
      <c r="AA785">
        <v>0</v>
      </c>
      <c r="AB785">
        <v>0</v>
      </c>
      <c r="AC785">
        <v>1</v>
      </c>
      <c r="AD785">
        <v>0</v>
      </c>
      <c r="AE785">
        <v>0</v>
      </c>
      <c r="AF785">
        <v>0</v>
      </c>
      <c r="AG785">
        <v>0</v>
      </c>
      <c r="AH785" s="86">
        <f>AVERAGEIFS($C$2:C785, $B$2:B785, B785)</f>
        <v>16.851851851851851</v>
      </c>
      <c r="AI785" s="86">
        <f>AVERAGEIFS($I$2:I785, $B$2:B785, B785)</f>
        <v>0.56111111111111112</v>
      </c>
      <c r="AJ785" s="86">
        <f>AVERAGEIFS($J$2:J785, $B$2:B785, B785)</f>
        <v>0.52037037037037048</v>
      </c>
      <c r="AK785" s="86">
        <f>AVERAGEIFS($D$2:D785, $B$2:B785, B785)</f>
        <v>0.55555555555555558</v>
      </c>
    </row>
    <row r="786" spans="1:37" x14ac:dyDescent="0.25">
      <c r="A786" s="85">
        <v>46121</v>
      </c>
      <c r="B786" t="s">
        <v>5</v>
      </c>
      <c r="C786">
        <v>19</v>
      </c>
      <c r="D786">
        <v>0</v>
      </c>
      <c r="E786">
        <v>4</v>
      </c>
      <c r="F786">
        <v>1</v>
      </c>
      <c r="G786">
        <v>18</v>
      </c>
      <c r="H786">
        <v>7</v>
      </c>
      <c r="I786">
        <v>0.25</v>
      </c>
      <c r="J786">
        <v>0.39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0</v>
      </c>
      <c r="Y786">
        <v>0</v>
      </c>
      <c r="Z786">
        <v>0</v>
      </c>
      <c r="AA786">
        <v>0</v>
      </c>
      <c r="AB786">
        <v>0</v>
      </c>
      <c r="AC786">
        <v>1</v>
      </c>
      <c r="AD786">
        <v>0</v>
      </c>
      <c r="AE786">
        <v>0</v>
      </c>
      <c r="AF786">
        <v>0</v>
      </c>
      <c r="AG786">
        <v>0</v>
      </c>
      <c r="AH786" s="86">
        <f>AVERAGEIFS($C$2:C786, $B$2:B786, B786)</f>
        <v>20.833333333333332</v>
      </c>
      <c r="AI786" s="86">
        <f>AVERAGEIFS($I$2:I786, $B$2:B786, B786)</f>
        <v>0.63722222222222213</v>
      </c>
      <c r="AJ786" s="86">
        <f>AVERAGEIFS($J$2:J786, $B$2:B786, B786)</f>
        <v>0.56444444444444442</v>
      </c>
      <c r="AK786" s="86">
        <f>AVERAGEIFS($D$2:D786, $B$2:B786, B786)</f>
        <v>0.77777777777777779</v>
      </c>
    </row>
    <row r="787" spans="1:37" x14ac:dyDescent="0.25">
      <c r="A787" s="85">
        <v>46121</v>
      </c>
      <c r="B787" t="s">
        <v>40</v>
      </c>
      <c r="C787">
        <v>17</v>
      </c>
      <c r="D787">
        <v>0</v>
      </c>
      <c r="E787">
        <v>4</v>
      </c>
      <c r="F787">
        <v>1</v>
      </c>
      <c r="G787">
        <v>18</v>
      </c>
      <c r="H787">
        <v>7</v>
      </c>
      <c r="I787">
        <v>0.25</v>
      </c>
      <c r="J787">
        <v>0.39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0</v>
      </c>
      <c r="AA787">
        <v>0</v>
      </c>
      <c r="AB787">
        <v>0</v>
      </c>
      <c r="AC787">
        <v>1</v>
      </c>
      <c r="AD787">
        <v>0</v>
      </c>
      <c r="AE787">
        <v>0</v>
      </c>
      <c r="AF787">
        <v>0</v>
      </c>
      <c r="AG787">
        <v>0</v>
      </c>
      <c r="AH787" s="86">
        <f>AVERAGEIFS($C$2:C787, $B$2:B787, B787)</f>
        <v>18.313725490196077</v>
      </c>
      <c r="AI787" s="86">
        <f>AVERAGEIFS($I$2:I787, $B$2:B787, B787)</f>
        <v>0.48529411764705871</v>
      </c>
      <c r="AJ787" s="86">
        <f>AVERAGEIFS($J$2:J787, $B$2:B787, B787)</f>
        <v>0.47980392156862756</v>
      </c>
      <c r="AK787" s="86">
        <f>AVERAGEIFS($D$2:D787, $B$2:B787, B787)</f>
        <v>0.43137254901960786</v>
      </c>
    </row>
    <row r="788" spans="1:37" x14ac:dyDescent="0.25">
      <c r="A788" s="85">
        <v>46121</v>
      </c>
      <c r="B788" t="s">
        <v>42</v>
      </c>
      <c r="C788">
        <v>14</v>
      </c>
      <c r="D788">
        <v>0</v>
      </c>
      <c r="E788">
        <v>4</v>
      </c>
      <c r="F788">
        <v>1</v>
      </c>
      <c r="G788">
        <v>18</v>
      </c>
      <c r="H788">
        <v>7</v>
      </c>
      <c r="I788">
        <v>0.25</v>
      </c>
      <c r="J788">
        <v>0.39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0</v>
      </c>
      <c r="AA788">
        <v>0</v>
      </c>
      <c r="AB788">
        <v>0</v>
      </c>
      <c r="AC788">
        <v>1</v>
      </c>
      <c r="AD788">
        <v>0</v>
      </c>
      <c r="AE788">
        <v>0</v>
      </c>
      <c r="AF788">
        <v>0</v>
      </c>
      <c r="AG788">
        <v>0</v>
      </c>
      <c r="AH788" s="86">
        <f>AVERAGEIFS($C$2:C788, $B$2:B788, B788)</f>
        <v>19.6875</v>
      </c>
      <c r="AI788" s="86">
        <f>AVERAGEIFS($I$2:I788, $B$2:B788, B788)</f>
        <v>0.43749999999999994</v>
      </c>
      <c r="AJ788" s="86">
        <f>AVERAGEIFS($J$2:J788, $B$2:B788, B788)</f>
        <v>0.45124999999999998</v>
      </c>
      <c r="AK788" s="86">
        <f>AVERAGEIFS($D$2:D788, $B$2:B788, B788)</f>
        <v>0.4375</v>
      </c>
    </row>
    <row r="789" spans="1:37" x14ac:dyDescent="0.25">
      <c r="A789" s="85">
        <v>46121</v>
      </c>
      <c r="B789" t="s">
        <v>44</v>
      </c>
      <c r="C789">
        <v>14</v>
      </c>
      <c r="D789">
        <v>0</v>
      </c>
      <c r="E789">
        <v>4</v>
      </c>
      <c r="F789">
        <v>1</v>
      </c>
      <c r="G789">
        <v>18</v>
      </c>
      <c r="H789">
        <v>7</v>
      </c>
      <c r="I789">
        <v>0.25</v>
      </c>
      <c r="J789">
        <v>0.39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0</v>
      </c>
      <c r="AA789">
        <v>0</v>
      </c>
      <c r="AB789">
        <v>0</v>
      </c>
      <c r="AC789">
        <v>1</v>
      </c>
      <c r="AD789">
        <v>0</v>
      </c>
      <c r="AE789">
        <v>0</v>
      </c>
      <c r="AF789">
        <v>0</v>
      </c>
      <c r="AG789">
        <v>0</v>
      </c>
      <c r="AH789" s="86">
        <f>AVERAGEIFS($C$2:C789, $B$2:B789, B789)</f>
        <v>16.875</v>
      </c>
      <c r="AI789" s="86">
        <f>AVERAGEIFS($I$2:I789, $B$2:B789, B789)</f>
        <v>0.51093749999999993</v>
      </c>
      <c r="AJ789" s="86">
        <f>AVERAGEIFS($J$2:J789, $B$2:B789, B789)</f>
        <v>0.52374999999999994</v>
      </c>
      <c r="AK789" s="86">
        <f>AVERAGEIFS($D$2:D789, $B$2:B789, B789)</f>
        <v>0.625</v>
      </c>
    </row>
    <row r="790" spans="1:37" x14ac:dyDescent="0.25">
      <c r="A790" s="85">
        <v>46121</v>
      </c>
      <c r="B790" t="s">
        <v>53</v>
      </c>
      <c r="C790">
        <v>13</v>
      </c>
      <c r="D790">
        <v>0</v>
      </c>
      <c r="E790">
        <v>4</v>
      </c>
      <c r="F790">
        <v>1</v>
      </c>
      <c r="G790">
        <v>18</v>
      </c>
      <c r="H790">
        <v>7</v>
      </c>
      <c r="I790">
        <v>0.25</v>
      </c>
      <c r="J790">
        <v>0.39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0</v>
      </c>
      <c r="AA790">
        <v>0</v>
      </c>
      <c r="AB790">
        <v>0</v>
      </c>
      <c r="AC790">
        <v>1</v>
      </c>
      <c r="AD790">
        <v>0</v>
      </c>
      <c r="AE790">
        <v>0</v>
      </c>
      <c r="AF790">
        <v>0</v>
      </c>
      <c r="AG790">
        <v>0</v>
      </c>
      <c r="AH790" s="86">
        <f>AVERAGEIFS($C$2:C790, $B$2:B790, B790)</f>
        <v>15.947368421052632</v>
      </c>
      <c r="AI790" s="86">
        <f>AVERAGEIFS($I$2:I790, $B$2:B790, B790)</f>
        <v>0.5368421052631579</v>
      </c>
      <c r="AJ790" s="86">
        <f>AVERAGEIFS($J$2:J790, $B$2:B790, B790)</f>
        <v>0.51421052631578956</v>
      </c>
      <c r="AK790" s="86">
        <f>AVERAGEIFS($D$2:D790, $B$2:B790, B790)</f>
        <v>0.47368421052631576</v>
      </c>
    </row>
    <row r="791" spans="1:37" x14ac:dyDescent="0.25">
      <c r="A791" s="85">
        <v>46121</v>
      </c>
      <c r="B791" t="s">
        <v>14</v>
      </c>
      <c r="C791">
        <v>11</v>
      </c>
      <c r="D791">
        <v>0</v>
      </c>
      <c r="E791">
        <v>4</v>
      </c>
      <c r="F791">
        <v>1</v>
      </c>
      <c r="G791">
        <v>18</v>
      </c>
      <c r="H791">
        <v>7</v>
      </c>
      <c r="I791">
        <v>0.25</v>
      </c>
      <c r="J791">
        <v>0.39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0</v>
      </c>
      <c r="Y791">
        <v>0</v>
      </c>
      <c r="Z791">
        <v>0</v>
      </c>
      <c r="AA791">
        <v>0</v>
      </c>
      <c r="AB791">
        <v>0</v>
      </c>
      <c r="AC791">
        <v>1</v>
      </c>
      <c r="AD791">
        <v>0</v>
      </c>
      <c r="AE791">
        <v>0</v>
      </c>
      <c r="AF791">
        <v>0</v>
      </c>
      <c r="AG791">
        <v>0</v>
      </c>
      <c r="AH791" s="86">
        <f>AVERAGEIFS($C$2:C791, $B$2:B791, B791)</f>
        <v>17.055555555555557</v>
      </c>
      <c r="AI791" s="86">
        <f>AVERAGEIFS($I$2:I791, $B$2:B791, B791)</f>
        <v>0.47333333333333333</v>
      </c>
      <c r="AJ791" s="86">
        <f>AVERAGEIFS($J$2:J791, $B$2:B791, B791)</f>
        <v>0.51166666666666671</v>
      </c>
      <c r="AK791" s="86">
        <f>AVERAGEIFS($D$2:D791, $B$2:B791, B791)</f>
        <v>0.44444444444444442</v>
      </c>
    </row>
    <row r="792" spans="1:37" x14ac:dyDescent="0.25">
      <c r="A792" s="85">
        <v>46121</v>
      </c>
      <c r="B792" t="s">
        <v>40</v>
      </c>
      <c r="C792">
        <v>15</v>
      </c>
      <c r="D792">
        <v>1</v>
      </c>
      <c r="E792">
        <v>3</v>
      </c>
      <c r="F792">
        <v>3</v>
      </c>
      <c r="G792">
        <v>11</v>
      </c>
      <c r="H792">
        <v>9</v>
      </c>
      <c r="I792">
        <v>1</v>
      </c>
      <c r="J792">
        <v>0.82</v>
      </c>
      <c r="K792">
        <v>0</v>
      </c>
      <c r="L792">
        <v>1</v>
      </c>
      <c r="M792">
        <v>0</v>
      </c>
      <c r="N792">
        <v>1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0</v>
      </c>
      <c r="Y792">
        <v>0</v>
      </c>
      <c r="Z792">
        <v>1</v>
      </c>
      <c r="AA792">
        <v>0</v>
      </c>
      <c r="AB792">
        <v>0</v>
      </c>
      <c r="AC792">
        <v>0</v>
      </c>
      <c r="AD792">
        <v>0</v>
      </c>
      <c r="AE792">
        <v>0</v>
      </c>
      <c r="AF792">
        <v>0</v>
      </c>
      <c r="AG792">
        <v>0</v>
      </c>
      <c r="AH792" s="86">
        <f>AVERAGEIFS($C$2:C792, $B$2:B792, B792)</f>
        <v>18.25</v>
      </c>
      <c r="AI792" s="86">
        <f>AVERAGEIFS($I$2:I792, $B$2:B792, B792)</f>
        <v>0.49519230769230754</v>
      </c>
      <c r="AJ792" s="86">
        <f>AVERAGEIFS($J$2:J792, $B$2:B792, B792)</f>
        <v>0.48634615384615398</v>
      </c>
      <c r="AK792" s="86">
        <f>AVERAGEIFS($D$2:D792, $B$2:B792, B792)</f>
        <v>0.44230769230769229</v>
      </c>
    </row>
    <row r="793" spans="1:37" x14ac:dyDescent="0.25">
      <c r="A793" s="85">
        <v>46121</v>
      </c>
      <c r="B793" t="s">
        <v>1</v>
      </c>
      <c r="C793">
        <v>13</v>
      </c>
      <c r="D793">
        <v>1</v>
      </c>
      <c r="E793">
        <v>3</v>
      </c>
      <c r="F793">
        <v>3</v>
      </c>
      <c r="G793">
        <v>11</v>
      </c>
      <c r="H793">
        <v>9</v>
      </c>
      <c r="I793">
        <v>1</v>
      </c>
      <c r="J793">
        <v>0.82</v>
      </c>
      <c r="K793">
        <v>0</v>
      </c>
      <c r="L793">
        <v>1</v>
      </c>
      <c r="M793">
        <v>0</v>
      </c>
      <c r="N793">
        <v>1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1</v>
      </c>
      <c r="AA793">
        <v>0</v>
      </c>
      <c r="AB793">
        <v>0</v>
      </c>
      <c r="AC793">
        <v>0</v>
      </c>
      <c r="AD793">
        <v>0</v>
      </c>
      <c r="AE793">
        <v>0</v>
      </c>
      <c r="AF793">
        <v>0</v>
      </c>
      <c r="AG793">
        <v>0</v>
      </c>
      <c r="AH793" s="86">
        <f>AVERAGEIFS($C$2:C793, $B$2:B793, B793)</f>
        <v>26.321428571428573</v>
      </c>
      <c r="AI793" s="86">
        <f>AVERAGEIFS($I$2:I793, $B$2:B793, B793)</f>
        <v>0.45000000000000007</v>
      </c>
      <c r="AJ793" s="86">
        <f>AVERAGEIFS($J$2:J793, $B$2:B793, B793)</f>
        <v>0.46857142857142858</v>
      </c>
      <c r="AK793" s="86">
        <f>AVERAGEIFS($D$2:D793, $B$2:B793, B793)</f>
        <v>0.4642857142857143</v>
      </c>
    </row>
    <row r="794" spans="1:37" x14ac:dyDescent="0.25">
      <c r="A794" s="85">
        <v>46121</v>
      </c>
      <c r="B794" t="s">
        <v>5</v>
      </c>
      <c r="C794">
        <v>13</v>
      </c>
      <c r="D794">
        <v>1</v>
      </c>
      <c r="E794">
        <v>3</v>
      </c>
      <c r="F794">
        <v>3</v>
      </c>
      <c r="G794">
        <v>11</v>
      </c>
      <c r="H794">
        <v>9</v>
      </c>
      <c r="I794">
        <v>1</v>
      </c>
      <c r="J794">
        <v>0.82</v>
      </c>
      <c r="K794">
        <v>0</v>
      </c>
      <c r="L794">
        <v>1</v>
      </c>
      <c r="M794">
        <v>0</v>
      </c>
      <c r="N794">
        <v>1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1</v>
      </c>
      <c r="AA794">
        <v>0</v>
      </c>
      <c r="AB794">
        <v>0</v>
      </c>
      <c r="AC794">
        <v>0</v>
      </c>
      <c r="AD794">
        <v>0</v>
      </c>
      <c r="AE794">
        <v>0</v>
      </c>
      <c r="AF794">
        <v>0</v>
      </c>
      <c r="AG794">
        <v>0</v>
      </c>
      <c r="AH794" s="86">
        <f>AVERAGEIFS($C$2:C794, $B$2:B794, B794)</f>
        <v>20.421052631578949</v>
      </c>
      <c r="AI794" s="86">
        <f>AVERAGEIFS($I$2:I794, $B$2:B794, B794)</f>
        <v>0.65631578947368419</v>
      </c>
      <c r="AJ794" s="86">
        <f>AVERAGEIFS($J$2:J794, $B$2:B794, B794)</f>
        <v>0.57789473684210524</v>
      </c>
      <c r="AK794" s="86">
        <f>AVERAGEIFS($D$2:D794, $B$2:B794, B794)</f>
        <v>0.78947368421052633</v>
      </c>
    </row>
    <row r="795" spans="1:37" x14ac:dyDescent="0.25">
      <c r="A795" s="85">
        <v>46121</v>
      </c>
      <c r="B795" t="s">
        <v>53</v>
      </c>
      <c r="C795">
        <v>14</v>
      </c>
      <c r="D795">
        <v>1</v>
      </c>
      <c r="E795">
        <v>3</v>
      </c>
      <c r="F795">
        <v>3</v>
      </c>
      <c r="G795">
        <v>11</v>
      </c>
      <c r="H795">
        <v>9</v>
      </c>
      <c r="I795">
        <v>1</v>
      </c>
      <c r="J795">
        <v>0.82</v>
      </c>
      <c r="K795">
        <v>0</v>
      </c>
      <c r="L795">
        <v>1</v>
      </c>
      <c r="M795">
        <v>0</v>
      </c>
      <c r="N795">
        <v>1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1</v>
      </c>
      <c r="AA795">
        <v>0</v>
      </c>
      <c r="AB795">
        <v>0</v>
      </c>
      <c r="AC795">
        <v>0</v>
      </c>
      <c r="AD795">
        <v>0</v>
      </c>
      <c r="AE795">
        <v>0</v>
      </c>
      <c r="AF795">
        <v>0</v>
      </c>
      <c r="AG795">
        <v>0</v>
      </c>
      <c r="AH795" s="86">
        <f>AVERAGEIFS($C$2:C795, $B$2:B795, B795)</f>
        <v>15.85</v>
      </c>
      <c r="AI795" s="86">
        <f>AVERAGEIFS($I$2:I795, $B$2:B795, B795)</f>
        <v>0.56000000000000005</v>
      </c>
      <c r="AJ795" s="86">
        <f>AVERAGEIFS($J$2:J795, $B$2:B795, B795)</f>
        <v>0.52950000000000008</v>
      </c>
      <c r="AK795" s="86">
        <f>AVERAGEIFS($D$2:D795, $B$2:B795, B795)</f>
        <v>0.5</v>
      </c>
    </row>
    <row r="796" spans="1:37" x14ac:dyDescent="0.25">
      <c r="A796" s="85">
        <v>46121</v>
      </c>
      <c r="B796" t="s">
        <v>150</v>
      </c>
      <c r="C796">
        <v>11</v>
      </c>
      <c r="D796">
        <v>1</v>
      </c>
      <c r="E796">
        <v>3</v>
      </c>
      <c r="F796">
        <v>3</v>
      </c>
      <c r="G796">
        <v>11</v>
      </c>
      <c r="H796">
        <v>9</v>
      </c>
      <c r="I796">
        <v>1</v>
      </c>
      <c r="J796">
        <v>0.82</v>
      </c>
      <c r="K796">
        <v>0</v>
      </c>
      <c r="L796">
        <v>1</v>
      </c>
      <c r="M796">
        <v>0</v>
      </c>
      <c r="N796">
        <v>1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1</v>
      </c>
      <c r="AA796">
        <v>0</v>
      </c>
      <c r="AB796">
        <v>0</v>
      </c>
      <c r="AC796">
        <v>0</v>
      </c>
      <c r="AD796">
        <v>0</v>
      </c>
      <c r="AE796">
        <v>0</v>
      </c>
      <c r="AF796">
        <v>0</v>
      </c>
      <c r="AG796">
        <v>0</v>
      </c>
      <c r="AH796" s="86">
        <f>AVERAGEIFS($C$2:C796, $B$2:B796, B796)</f>
        <v>14</v>
      </c>
      <c r="AI796" s="86">
        <f>AVERAGEIFS($I$2:I796, $B$2:B796, B796)</f>
        <v>0.6166666666666667</v>
      </c>
      <c r="AJ796" s="86">
        <f>AVERAGEIFS($J$2:J796, $B$2:B796, B796)</f>
        <v>0.59555555555555562</v>
      </c>
      <c r="AK796" s="86">
        <f>AVERAGEIFS($D$2:D796, $B$2:B796, B796)</f>
        <v>0.55555555555555558</v>
      </c>
    </row>
    <row r="797" spans="1:37" x14ac:dyDescent="0.25">
      <c r="A797" s="85">
        <v>46121</v>
      </c>
      <c r="B797" t="s">
        <v>140</v>
      </c>
      <c r="C797">
        <v>4</v>
      </c>
      <c r="D797">
        <v>1</v>
      </c>
      <c r="E797">
        <v>3</v>
      </c>
      <c r="F797">
        <v>3</v>
      </c>
      <c r="G797">
        <v>11</v>
      </c>
      <c r="H797">
        <v>9</v>
      </c>
      <c r="I797">
        <v>1</v>
      </c>
      <c r="J797">
        <v>0.82</v>
      </c>
      <c r="K797">
        <v>0</v>
      </c>
      <c r="L797">
        <v>1</v>
      </c>
      <c r="M797">
        <v>0</v>
      </c>
      <c r="N797">
        <v>1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1</v>
      </c>
      <c r="AA797">
        <v>0</v>
      </c>
      <c r="AB797">
        <v>0</v>
      </c>
      <c r="AC797">
        <v>0</v>
      </c>
      <c r="AD797">
        <v>0</v>
      </c>
      <c r="AE797">
        <v>0</v>
      </c>
      <c r="AF797">
        <v>0</v>
      </c>
      <c r="AG797">
        <v>0</v>
      </c>
      <c r="AH797" s="86">
        <f>AVERAGEIFS($C$2:C797, $B$2:B797, B797)</f>
        <v>12.428571428571429</v>
      </c>
      <c r="AI797" s="86">
        <f>AVERAGEIFS($I$2:I797, $B$2:B797, B797)</f>
        <v>0.49285714285714288</v>
      </c>
      <c r="AJ797" s="86">
        <f>AVERAGEIFS($J$2:J797, $B$2:B797, B797)</f>
        <v>0.49571428571428572</v>
      </c>
      <c r="AK797" s="86">
        <f>AVERAGEIFS($D$2:D797, $B$2:B797, B797)</f>
        <v>0.5</v>
      </c>
    </row>
    <row r="798" spans="1:37" x14ac:dyDescent="0.25">
      <c r="A798" s="85">
        <v>46121</v>
      </c>
      <c r="B798" t="s">
        <v>42</v>
      </c>
      <c r="C798">
        <v>5</v>
      </c>
      <c r="D798">
        <v>0</v>
      </c>
      <c r="E798">
        <v>3</v>
      </c>
      <c r="F798">
        <v>0</v>
      </c>
      <c r="G798">
        <v>11</v>
      </c>
      <c r="H798">
        <v>2</v>
      </c>
      <c r="I798">
        <v>0</v>
      </c>
      <c r="J798">
        <v>0.18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  <c r="AA798">
        <v>0</v>
      </c>
      <c r="AB798">
        <v>0</v>
      </c>
      <c r="AC798">
        <v>0</v>
      </c>
      <c r="AD798">
        <v>0</v>
      </c>
      <c r="AE798">
        <v>0</v>
      </c>
      <c r="AF798">
        <v>0</v>
      </c>
      <c r="AG798">
        <v>0</v>
      </c>
      <c r="AH798" s="86">
        <f>AVERAGEIFS($C$2:C798, $B$2:B798, B798)</f>
        <v>19.242424242424242</v>
      </c>
      <c r="AI798" s="86">
        <f>AVERAGEIFS($I$2:I798, $B$2:B798, B798)</f>
        <v>0.4242424242424242</v>
      </c>
      <c r="AJ798" s="86">
        <f>AVERAGEIFS($J$2:J798, $B$2:B798, B798)</f>
        <v>0.443030303030303</v>
      </c>
      <c r="AK798" s="86">
        <f>AVERAGEIFS($D$2:D798, $B$2:B798, B798)</f>
        <v>0.42424242424242425</v>
      </c>
    </row>
    <row r="799" spans="1:37" x14ac:dyDescent="0.25">
      <c r="A799" s="85">
        <v>46121</v>
      </c>
      <c r="B799" t="s">
        <v>6</v>
      </c>
      <c r="C799">
        <v>15</v>
      </c>
      <c r="D799">
        <v>0</v>
      </c>
      <c r="E799">
        <v>3</v>
      </c>
      <c r="F799">
        <v>0</v>
      </c>
      <c r="G799">
        <v>11</v>
      </c>
      <c r="H799">
        <v>2</v>
      </c>
      <c r="I799">
        <v>0</v>
      </c>
      <c r="J799">
        <v>0.18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>
        <v>0</v>
      </c>
      <c r="AB799">
        <v>0</v>
      </c>
      <c r="AC799">
        <v>0</v>
      </c>
      <c r="AD799">
        <v>0</v>
      </c>
      <c r="AE799">
        <v>0</v>
      </c>
      <c r="AF799">
        <v>0</v>
      </c>
      <c r="AG799">
        <v>0</v>
      </c>
      <c r="AH799" s="86">
        <f>AVERAGEIFS($C$2:C799, $B$2:B799, B799)</f>
        <v>22.169811320754718</v>
      </c>
      <c r="AI799" s="86">
        <f>AVERAGEIFS($I$2:I799, $B$2:B799, B799)</f>
        <v>0.52698113207547181</v>
      </c>
      <c r="AJ799" s="86">
        <f>AVERAGEIFS($J$2:J799, $B$2:B799, B799)</f>
        <v>0.51679245283018871</v>
      </c>
      <c r="AK799" s="86">
        <f>AVERAGEIFS($D$2:D799, $B$2:B799, B799)</f>
        <v>0.60377358490566035</v>
      </c>
    </row>
    <row r="800" spans="1:37" x14ac:dyDescent="0.25">
      <c r="A800" s="85">
        <v>46121</v>
      </c>
      <c r="B800" t="s">
        <v>107</v>
      </c>
      <c r="C800">
        <v>3</v>
      </c>
      <c r="D800">
        <v>0</v>
      </c>
      <c r="E800">
        <v>3</v>
      </c>
      <c r="F800">
        <v>0</v>
      </c>
      <c r="G800">
        <v>11</v>
      </c>
      <c r="H800">
        <v>2</v>
      </c>
      <c r="I800">
        <v>0</v>
      </c>
      <c r="J800">
        <v>0.18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0</v>
      </c>
      <c r="AA800">
        <v>0</v>
      </c>
      <c r="AB800">
        <v>0</v>
      </c>
      <c r="AC800">
        <v>0</v>
      </c>
      <c r="AD800">
        <v>0</v>
      </c>
      <c r="AE800">
        <v>0</v>
      </c>
      <c r="AF800">
        <v>0</v>
      </c>
      <c r="AG800">
        <v>0</v>
      </c>
      <c r="AH800" s="86">
        <f>AVERAGEIFS($C$2:C800, $B$2:B800, B800)</f>
        <v>16.272727272727273</v>
      </c>
      <c r="AI800" s="86">
        <f>AVERAGEIFS($I$2:I800, $B$2:B800, B800)</f>
        <v>0.51212121212121209</v>
      </c>
      <c r="AJ800" s="86">
        <f>AVERAGEIFS($J$2:J800, $B$2:B800, B800)</f>
        <v>0.50939393939393951</v>
      </c>
      <c r="AK800" s="86">
        <f>AVERAGEIFS($D$2:D800, $B$2:B800, B800)</f>
        <v>0.54545454545454541</v>
      </c>
    </row>
    <row r="801" spans="1:37" x14ac:dyDescent="0.25">
      <c r="A801" s="85">
        <v>46121</v>
      </c>
      <c r="B801" t="s">
        <v>44</v>
      </c>
      <c r="C801">
        <v>8</v>
      </c>
      <c r="D801">
        <v>0</v>
      </c>
      <c r="E801">
        <v>3</v>
      </c>
      <c r="F801">
        <v>0</v>
      </c>
      <c r="G801">
        <v>11</v>
      </c>
      <c r="H801">
        <v>2</v>
      </c>
      <c r="I801">
        <v>0</v>
      </c>
      <c r="J801">
        <v>0.18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</v>
      </c>
      <c r="AA801">
        <v>0</v>
      </c>
      <c r="AB801">
        <v>0</v>
      </c>
      <c r="AC801">
        <v>0</v>
      </c>
      <c r="AD801">
        <v>0</v>
      </c>
      <c r="AE801">
        <v>0</v>
      </c>
      <c r="AF801">
        <v>0</v>
      </c>
      <c r="AG801">
        <v>0</v>
      </c>
      <c r="AH801" s="86">
        <f>AVERAGEIFS($C$2:C801, $B$2:B801, B801)</f>
        <v>16.606060606060606</v>
      </c>
      <c r="AI801" s="86">
        <f>AVERAGEIFS($I$2:I801, $B$2:B801, B801)</f>
        <v>0.49545454545454537</v>
      </c>
      <c r="AJ801" s="86">
        <f>AVERAGEIFS($J$2:J801, $B$2:B801, B801)</f>
        <v>0.51333333333333331</v>
      </c>
      <c r="AK801" s="86">
        <f>AVERAGEIFS($D$2:D801, $B$2:B801, B801)</f>
        <v>0.60606060606060608</v>
      </c>
    </row>
    <row r="802" spans="1:37" x14ac:dyDescent="0.25">
      <c r="A802" s="85">
        <v>46121</v>
      </c>
      <c r="B802" t="s">
        <v>13</v>
      </c>
      <c r="C802">
        <v>6</v>
      </c>
      <c r="D802">
        <v>0</v>
      </c>
      <c r="E802">
        <v>3</v>
      </c>
      <c r="F802">
        <v>0</v>
      </c>
      <c r="G802">
        <v>11</v>
      </c>
      <c r="H802">
        <v>2</v>
      </c>
      <c r="I802">
        <v>0</v>
      </c>
      <c r="J802">
        <v>0.18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0</v>
      </c>
      <c r="Z802">
        <v>0</v>
      </c>
      <c r="AA802">
        <v>0</v>
      </c>
      <c r="AB802">
        <v>0</v>
      </c>
      <c r="AC802">
        <v>0</v>
      </c>
      <c r="AD802">
        <v>0</v>
      </c>
      <c r="AE802">
        <v>0</v>
      </c>
      <c r="AF802">
        <v>0</v>
      </c>
      <c r="AG802">
        <v>0</v>
      </c>
      <c r="AH802" s="86">
        <f>AVERAGEIFS($C$2:C802, $B$2:B802, B802)</f>
        <v>13.466666666666667</v>
      </c>
      <c r="AI802" s="86">
        <f>AVERAGEIFS($I$2:I802, $B$2:B802, B802)</f>
        <v>0.4966666666666667</v>
      </c>
      <c r="AJ802" s="86">
        <f>AVERAGEIFS($J$2:J802, $B$2:B802, B802)</f>
        <v>0.5026666666666666</v>
      </c>
      <c r="AK802" s="86">
        <f>AVERAGEIFS($D$2:D802, $B$2:B802, B802)</f>
        <v>0.4</v>
      </c>
    </row>
    <row r="803" spans="1:37" x14ac:dyDescent="0.25">
      <c r="A803" s="85">
        <v>46121</v>
      </c>
      <c r="B803" t="s">
        <v>71</v>
      </c>
      <c r="C803">
        <v>7</v>
      </c>
      <c r="D803">
        <v>0</v>
      </c>
      <c r="E803">
        <v>3</v>
      </c>
      <c r="F803">
        <v>0</v>
      </c>
      <c r="G803">
        <v>11</v>
      </c>
      <c r="H803">
        <v>2</v>
      </c>
      <c r="I803">
        <v>0</v>
      </c>
      <c r="J803">
        <v>0.18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0</v>
      </c>
      <c r="Z803">
        <v>0</v>
      </c>
      <c r="AA803">
        <v>0</v>
      </c>
      <c r="AB803">
        <v>0</v>
      </c>
      <c r="AC803">
        <v>0</v>
      </c>
      <c r="AD803">
        <v>0</v>
      </c>
      <c r="AE803">
        <v>0</v>
      </c>
      <c r="AF803">
        <v>0</v>
      </c>
      <c r="AG803">
        <v>0</v>
      </c>
      <c r="AH803" s="86">
        <f>AVERAGEIFS($C$2:C803, $B$2:B803, B803)</f>
        <v>11.956521739130435</v>
      </c>
      <c r="AI803" s="86">
        <f>AVERAGEIFS($I$2:I803, $B$2:B803, B803)</f>
        <v>0.44130434782608696</v>
      </c>
      <c r="AJ803" s="86">
        <f>AVERAGEIFS($J$2:J803, $B$2:B803, B803)</f>
        <v>0.46347826086956523</v>
      </c>
      <c r="AK803" s="86">
        <f>AVERAGEIFS($D$2:D803, $B$2:B803, B803)</f>
        <v>0.47826086956521741</v>
      </c>
    </row>
    <row r="804" spans="1:37" x14ac:dyDescent="0.25">
      <c r="A804" s="85">
        <v>46123</v>
      </c>
      <c r="B804" t="s">
        <v>14</v>
      </c>
      <c r="C804">
        <v>21</v>
      </c>
      <c r="D804">
        <v>1</v>
      </c>
      <c r="E804">
        <v>5</v>
      </c>
      <c r="F804">
        <v>3</v>
      </c>
      <c r="G804">
        <v>19</v>
      </c>
      <c r="H804">
        <v>10</v>
      </c>
      <c r="I804">
        <v>0.6</v>
      </c>
      <c r="J804">
        <v>0.53</v>
      </c>
      <c r="K804">
        <v>0</v>
      </c>
      <c r="L804">
        <v>1</v>
      </c>
      <c r="M804">
        <v>0</v>
      </c>
      <c r="N804">
        <v>1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0</v>
      </c>
      <c r="X804">
        <v>0</v>
      </c>
      <c r="Y804">
        <v>0</v>
      </c>
      <c r="Z804">
        <v>0</v>
      </c>
      <c r="AA804">
        <v>0</v>
      </c>
      <c r="AB804">
        <v>0</v>
      </c>
      <c r="AC804">
        <v>1</v>
      </c>
      <c r="AD804">
        <v>0</v>
      </c>
      <c r="AE804">
        <v>0</v>
      </c>
      <c r="AF804">
        <v>0</v>
      </c>
      <c r="AG804">
        <v>0</v>
      </c>
      <c r="AH804" s="86">
        <f>AVERAGEIFS($C$2:C804, $B$2:B804, B804)</f>
        <v>17.263157894736842</v>
      </c>
      <c r="AI804" s="86">
        <f>AVERAGEIFS($I$2:I804, $B$2:B804, B804)</f>
        <v>0.48</v>
      </c>
      <c r="AJ804" s="86">
        <f>AVERAGEIFS($J$2:J804, $B$2:B804, B804)</f>
        <v>0.51263157894736844</v>
      </c>
      <c r="AK804" s="86">
        <f>AVERAGEIFS($D$2:D804, $B$2:B804, B804)</f>
        <v>0.47368421052631576</v>
      </c>
    </row>
    <row r="805" spans="1:37" x14ac:dyDescent="0.25">
      <c r="A805" s="85">
        <v>46123</v>
      </c>
      <c r="B805" t="s">
        <v>71</v>
      </c>
      <c r="C805">
        <v>17</v>
      </c>
      <c r="D805">
        <v>1</v>
      </c>
      <c r="E805">
        <v>5</v>
      </c>
      <c r="F805">
        <v>3</v>
      </c>
      <c r="G805">
        <v>19</v>
      </c>
      <c r="H805">
        <v>10</v>
      </c>
      <c r="I805">
        <v>0.6</v>
      </c>
      <c r="J805">
        <v>0.53</v>
      </c>
      <c r="K805">
        <v>0</v>
      </c>
      <c r="L805">
        <v>1</v>
      </c>
      <c r="M805">
        <v>0</v>
      </c>
      <c r="N805">
        <v>1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>
        <v>0</v>
      </c>
      <c r="AB805">
        <v>0</v>
      </c>
      <c r="AC805">
        <v>1</v>
      </c>
      <c r="AD805">
        <v>0</v>
      </c>
      <c r="AE805">
        <v>0</v>
      </c>
      <c r="AF805">
        <v>0</v>
      </c>
      <c r="AG805">
        <v>0</v>
      </c>
      <c r="AH805" s="86">
        <f>AVERAGEIFS($C$2:C805, $B$2:B805, B805)</f>
        <v>12.166666666666666</v>
      </c>
      <c r="AI805" s="86">
        <f>AVERAGEIFS($I$2:I805, $B$2:B805, B805)</f>
        <v>0.44791666666666669</v>
      </c>
      <c r="AJ805" s="86">
        <f>AVERAGEIFS($J$2:J805, $B$2:B805, B805)</f>
        <v>0.46625</v>
      </c>
      <c r="AK805" s="86">
        <f>AVERAGEIFS($D$2:D805, $B$2:B805, B805)</f>
        <v>0.5</v>
      </c>
    </row>
    <row r="806" spans="1:37" x14ac:dyDescent="0.25">
      <c r="A806" s="85">
        <v>46123</v>
      </c>
      <c r="B806" t="s">
        <v>46</v>
      </c>
      <c r="C806">
        <v>17</v>
      </c>
      <c r="D806">
        <v>1</v>
      </c>
      <c r="E806">
        <v>5</v>
      </c>
      <c r="F806">
        <v>3</v>
      </c>
      <c r="G806">
        <v>19</v>
      </c>
      <c r="H806">
        <v>10</v>
      </c>
      <c r="I806">
        <v>0.6</v>
      </c>
      <c r="J806">
        <v>0.53</v>
      </c>
      <c r="K806">
        <v>0</v>
      </c>
      <c r="L806">
        <v>1</v>
      </c>
      <c r="M806">
        <v>0</v>
      </c>
      <c r="N806">
        <v>1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>
        <v>0</v>
      </c>
      <c r="AB806">
        <v>0</v>
      </c>
      <c r="AC806">
        <v>1</v>
      </c>
      <c r="AD806">
        <v>0</v>
      </c>
      <c r="AE806">
        <v>0</v>
      </c>
      <c r="AF806">
        <v>0</v>
      </c>
      <c r="AG806">
        <v>0</v>
      </c>
      <c r="AH806" s="86">
        <f>AVERAGEIFS($C$2:C806, $B$2:B806, B806)</f>
        <v>18.25</v>
      </c>
      <c r="AI806" s="86">
        <f>AVERAGEIFS($I$2:I806, $B$2:B806, B806)</f>
        <v>0.40714285714285708</v>
      </c>
      <c r="AJ806" s="86">
        <f>AVERAGEIFS($J$2:J806, $B$2:B806, B806)</f>
        <v>0.45107142857142862</v>
      </c>
      <c r="AK806" s="86">
        <f>AVERAGEIFS($D$2:D806, $B$2:B806, B806)</f>
        <v>0.35714285714285715</v>
      </c>
    </row>
    <row r="807" spans="1:37" x14ac:dyDescent="0.25">
      <c r="A807" s="85">
        <v>46123</v>
      </c>
      <c r="B807" t="s">
        <v>5</v>
      </c>
      <c r="C807">
        <v>16</v>
      </c>
      <c r="D807">
        <v>1</v>
      </c>
      <c r="E807">
        <v>5</v>
      </c>
      <c r="F807">
        <v>3</v>
      </c>
      <c r="G807">
        <v>19</v>
      </c>
      <c r="H807">
        <v>10</v>
      </c>
      <c r="I807">
        <v>0.6</v>
      </c>
      <c r="J807">
        <v>0.53</v>
      </c>
      <c r="K807">
        <v>0</v>
      </c>
      <c r="L807">
        <v>1</v>
      </c>
      <c r="M807">
        <v>0</v>
      </c>
      <c r="N807">
        <v>1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>
        <v>0</v>
      </c>
      <c r="AB807">
        <v>0</v>
      </c>
      <c r="AC807">
        <v>1</v>
      </c>
      <c r="AD807">
        <v>0</v>
      </c>
      <c r="AE807">
        <v>0</v>
      </c>
      <c r="AF807">
        <v>0</v>
      </c>
      <c r="AG807">
        <v>0</v>
      </c>
      <c r="AH807" s="86">
        <f>AVERAGEIFS($C$2:C807, $B$2:B807, B807)</f>
        <v>20.2</v>
      </c>
      <c r="AI807" s="86">
        <f>AVERAGEIFS($I$2:I807, $B$2:B807, B807)</f>
        <v>0.65349999999999997</v>
      </c>
      <c r="AJ807" s="86">
        <f>AVERAGEIFS($J$2:J807, $B$2:B807, B807)</f>
        <v>0.57550000000000001</v>
      </c>
      <c r="AK807" s="86">
        <f>AVERAGEIFS($D$2:D807, $B$2:B807, B807)</f>
        <v>0.8</v>
      </c>
    </row>
    <row r="808" spans="1:37" x14ac:dyDescent="0.25">
      <c r="A808" s="85">
        <v>46123</v>
      </c>
      <c r="B808" t="s">
        <v>17</v>
      </c>
      <c r="C808">
        <v>16</v>
      </c>
      <c r="D808">
        <v>1</v>
      </c>
      <c r="E808">
        <v>5</v>
      </c>
      <c r="F808">
        <v>3</v>
      </c>
      <c r="G808">
        <v>19</v>
      </c>
      <c r="H808">
        <v>10</v>
      </c>
      <c r="I808">
        <v>0.6</v>
      </c>
      <c r="J808">
        <v>0.53</v>
      </c>
      <c r="K808">
        <v>0</v>
      </c>
      <c r="L808">
        <v>1</v>
      </c>
      <c r="M808">
        <v>0</v>
      </c>
      <c r="N808">
        <v>1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>
        <v>0</v>
      </c>
      <c r="AB808">
        <v>0</v>
      </c>
      <c r="AC808">
        <v>1</v>
      </c>
      <c r="AD808">
        <v>0</v>
      </c>
      <c r="AE808">
        <v>0</v>
      </c>
      <c r="AF808">
        <v>0</v>
      </c>
      <c r="AG808">
        <v>0</v>
      </c>
      <c r="AH808" s="86">
        <f>AVERAGEIFS($C$2:C808, $B$2:B808, B808)</f>
        <v>20.322580645161292</v>
      </c>
      <c r="AI808" s="86">
        <f>AVERAGEIFS($I$2:I808, $B$2:B808, B808)</f>
        <v>0.53935483870967738</v>
      </c>
      <c r="AJ808" s="86">
        <f>AVERAGEIFS($J$2:J808, $B$2:B808, B808)</f>
        <v>0.5074193548387097</v>
      </c>
      <c r="AK808" s="86">
        <f>AVERAGEIFS($D$2:D808, $B$2:B808, B808)</f>
        <v>0.54838709677419351</v>
      </c>
    </row>
    <row r="809" spans="1:37" x14ac:dyDescent="0.25">
      <c r="A809" s="85">
        <v>46123</v>
      </c>
      <c r="B809" t="s">
        <v>148</v>
      </c>
      <c r="C809">
        <v>2</v>
      </c>
      <c r="D809">
        <v>1</v>
      </c>
      <c r="E809">
        <v>5</v>
      </c>
      <c r="F809">
        <v>3</v>
      </c>
      <c r="G809">
        <v>19</v>
      </c>
      <c r="H809">
        <v>10</v>
      </c>
      <c r="I809">
        <v>0.6</v>
      </c>
      <c r="J809">
        <v>0.53</v>
      </c>
      <c r="K809">
        <v>0</v>
      </c>
      <c r="L809">
        <v>1</v>
      </c>
      <c r="M809">
        <v>0</v>
      </c>
      <c r="N809">
        <v>1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>
        <v>0</v>
      </c>
      <c r="AB809">
        <v>0</v>
      </c>
      <c r="AC809">
        <v>1</v>
      </c>
      <c r="AD809">
        <v>0</v>
      </c>
      <c r="AE809">
        <v>0</v>
      </c>
      <c r="AF809">
        <v>0</v>
      </c>
      <c r="AG809">
        <v>0</v>
      </c>
      <c r="AH809" s="86">
        <f>AVERAGEIFS($C$2:C809, $B$2:B809, B809)</f>
        <v>2</v>
      </c>
      <c r="AI809" s="86">
        <f>AVERAGEIFS($I$2:I809, $B$2:B809, B809)</f>
        <v>0.6</v>
      </c>
      <c r="AJ809" s="86">
        <f>AVERAGEIFS($J$2:J809, $B$2:B809, B809)</f>
        <v>0.53</v>
      </c>
      <c r="AK809" s="86">
        <f>AVERAGEIFS($D$2:D809, $B$2:B809, B809)</f>
        <v>1</v>
      </c>
    </row>
    <row r="810" spans="1:37" x14ac:dyDescent="0.25">
      <c r="A810" s="85">
        <v>46123</v>
      </c>
      <c r="B810" t="s">
        <v>6</v>
      </c>
      <c r="C810">
        <v>23</v>
      </c>
      <c r="D810">
        <v>0</v>
      </c>
      <c r="E810">
        <v>5</v>
      </c>
      <c r="F810">
        <v>2</v>
      </c>
      <c r="G810">
        <v>19</v>
      </c>
      <c r="H810">
        <v>9</v>
      </c>
      <c r="I810">
        <v>0.4</v>
      </c>
      <c r="J810">
        <v>0.47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1</v>
      </c>
      <c r="AA810">
        <v>0</v>
      </c>
      <c r="AB810">
        <v>0</v>
      </c>
      <c r="AC810">
        <v>0</v>
      </c>
      <c r="AD810">
        <v>1</v>
      </c>
      <c r="AE810">
        <v>0</v>
      </c>
      <c r="AF810">
        <v>0</v>
      </c>
      <c r="AG810">
        <v>0</v>
      </c>
      <c r="AH810" s="86">
        <f>AVERAGEIFS($C$2:C810, $B$2:B810, B810)</f>
        <v>22.185185185185187</v>
      </c>
      <c r="AI810" s="86">
        <f>AVERAGEIFS($I$2:I810, $B$2:B810, B810)</f>
        <v>0.52462962962962967</v>
      </c>
      <c r="AJ810" s="86">
        <f>AVERAGEIFS($J$2:J810, $B$2:B810, B810)</f>
        <v>0.5159259259259259</v>
      </c>
      <c r="AK810" s="86">
        <f>AVERAGEIFS($D$2:D810, $B$2:B810, B810)</f>
        <v>0.59259259259259256</v>
      </c>
    </row>
    <row r="811" spans="1:37" x14ac:dyDescent="0.25">
      <c r="A811" s="85">
        <v>46123</v>
      </c>
      <c r="B811" t="s">
        <v>113</v>
      </c>
      <c r="C811">
        <v>19</v>
      </c>
      <c r="D811">
        <v>0</v>
      </c>
      <c r="E811">
        <v>5</v>
      </c>
      <c r="F811">
        <v>2</v>
      </c>
      <c r="G811">
        <v>19</v>
      </c>
      <c r="H811">
        <v>9</v>
      </c>
      <c r="I811">
        <v>0.4</v>
      </c>
      <c r="J811">
        <v>0.47</v>
      </c>
      <c r="K811">
        <v>0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1</v>
      </c>
      <c r="AA811">
        <v>0</v>
      </c>
      <c r="AB811">
        <v>0</v>
      </c>
      <c r="AC811">
        <v>0</v>
      </c>
      <c r="AD811">
        <v>1</v>
      </c>
      <c r="AE811">
        <v>0</v>
      </c>
      <c r="AF811">
        <v>0</v>
      </c>
      <c r="AG811">
        <v>0</v>
      </c>
      <c r="AH811" s="86">
        <f>AVERAGEIFS($C$2:C811, $B$2:B811, B811)</f>
        <v>16.928571428571427</v>
      </c>
      <c r="AI811" s="86">
        <f>AVERAGEIFS($I$2:I811, $B$2:B811, B811)</f>
        <v>0.55535714285714288</v>
      </c>
      <c r="AJ811" s="86">
        <f>AVERAGEIFS($J$2:J811, $B$2:B811, B811)</f>
        <v>0.51857142857142868</v>
      </c>
      <c r="AK811" s="86">
        <f>AVERAGEIFS($D$2:D811, $B$2:B811, B811)</f>
        <v>0.5357142857142857</v>
      </c>
    </row>
    <row r="812" spans="1:37" x14ac:dyDescent="0.25">
      <c r="A812" s="85">
        <v>46123</v>
      </c>
      <c r="B812" t="s">
        <v>52</v>
      </c>
      <c r="C812">
        <v>17</v>
      </c>
      <c r="D812">
        <v>0</v>
      </c>
      <c r="E812">
        <v>5</v>
      </c>
      <c r="F812">
        <v>2</v>
      </c>
      <c r="G812">
        <v>19</v>
      </c>
      <c r="H812">
        <v>9</v>
      </c>
      <c r="I812">
        <v>0.4</v>
      </c>
      <c r="J812">
        <v>0.47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1</v>
      </c>
      <c r="AA812">
        <v>0</v>
      </c>
      <c r="AB812">
        <v>0</v>
      </c>
      <c r="AC812">
        <v>0</v>
      </c>
      <c r="AD812">
        <v>1</v>
      </c>
      <c r="AE812">
        <v>0</v>
      </c>
      <c r="AF812">
        <v>0</v>
      </c>
      <c r="AG812">
        <v>0</v>
      </c>
      <c r="AH812" s="86">
        <f>AVERAGEIFS($C$2:C812, $B$2:B812, B812)</f>
        <v>16.071428571428573</v>
      </c>
      <c r="AI812" s="86">
        <f>AVERAGEIFS($I$2:I812, $B$2:B812, B812)</f>
        <v>0.48571428571428577</v>
      </c>
      <c r="AJ812" s="86">
        <f>AVERAGEIFS($J$2:J812, $B$2:B812, B812)</f>
        <v>0.49071428571428577</v>
      </c>
      <c r="AK812" s="86">
        <f>AVERAGEIFS($D$2:D812, $B$2:B812, B812)</f>
        <v>0.35714285714285715</v>
      </c>
    </row>
    <row r="813" spans="1:37" x14ac:dyDescent="0.25">
      <c r="A813" s="85">
        <v>46123</v>
      </c>
      <c r="B813" t="s">
        <v>40</v>
      </c>
      <c r="C813">
        <v>15</v>
      </c>
      <c r="D813">
        <v>0</v>
      </c>
      <c r="E813">
        <v>5</v>
      </c>
      <c r="F813">
        <v>2</v>
      </c>
      <c r="G813">
        <v>19</v>
      </c>
      <c r="H813">
        <v>9</v>
      </c>
      <c r="I813">
        <v>0.4</v>
      </c>
      <c r="J813">
        <v>0.47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0</v>
      </c>
      <c r="Y813">
        <v>0</v>
      </c>
      <c r="Z813">
        <v>1</v>
      </c>
      <c r="AA813">
        <v>0</v>
      </c>
      <c r="AB813">
        <v>0</v>
      </c>
      <c r="AC813">
        <v>0</v>
      </c>
      <c r="AD813">
        <v>1</v>
      </c>
      <c r="AE813">
        <v>0</v>
      </c>
      <c r="AF813">
        <v>0</v>
      </c>
      <c r="AG813">
        <v>0</v>
      </c>
      <c r="AH813" s="86">
        <f>AVERAGEIFS($C$2:C813, $B$2:B813, B813)</f>
        <v>18.188679245283019</v>
      </c>
      <c r="AI813" s="86">
        <f>AVERAGEIFS($I$2:I813, $B$2:B813, B813)</f>
        <v>0.49339622641509417</v>
      </c>
      <c r="AJ813" s="86">
        <f>AVERAGEIFS($J$2:J813, $B$2:B813, B813)</f>
        <v>0.48603773584905668</v>
      </c>
      <c r="AK813" s="86">
        <f>AVERAGEIFS($D$2:D813, $B$2:B813, B813)</f>
        <v>0.43396226415094341</v>
      </c>
    </row>
    <row r="814" spans="1:37" x14ac:dyDescent="0.25">
      <c r="A814" s="85">
        <v>46123</v>
      </c>
      <c r="B814" t="s">
        <v>150</v>
      </c>
      <c r="C814">
        <v>15</v>
      </c>
      <c r="D814">
        <v>0</v>
      </c>
      <c r="E814">
        <v>5</v>
      </c>
      <c r="F814">
        <v>2</v>
      </c>
      <c r="G814">
        <v>19</v>
      </c>
      <c r="H814">
        <v>9</v>
      </c>
      <c r="I814">
        <v>0.4</v>
      </c>
      <c r="J814">
        <v>0.47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0</v>
      </c>
      <c r="Y814">
        <v>0</v>
      </c>
      <c r="Z814">
        <v>1</v>
      </c>
      <c r="AA814">
        <v>0</v>
      </c>
      <c r="AB814">
        <v>0</v>
      </c>
      <c r="AC814">
        <v>0</v>
      </c>
      <c r="AD814">
        <v>1</v>
      </c>
      <c r="AE814">
        <v>0</v>
      </c>
      <c r="AF814">
        <v>0</v>
      </c>
      <c r="AG814">
        <v>0</v>
      </c>
      <c r="AH814" s="86">
        <f>AVERAGEIFS($C$2:C814, $B$2:B814, B814)</f>
        <v>14.1</v>
      </c>
      <c r="AI814" s="86">
        <f>AVERAGEIFS($I$2:I814, $B$2:B814, B814)</f>
        <v>0.59499999999999997</v>
      </c>
      <c r="AJ814" s="86">
        <f>AVERAGEIFS($J$2:J814, $B$2:B814, B814)</f>
        <v>0.58299999999999996</v>
      </c>
      <c r="AK814" s="86">
        <f>AVERAGEIFS($D$2:D814, $B$2:B814, B814)</f>
        <v>0.5</v>
      </c>
    </row>
    <row r="815" spans="1:37" x14ac:dyDescent="0.25">
      <c r="A815" s="85">
        <v>46123</v>
      </c>
      <c r="B815" t="s">
        <v>53</v>
      </c>
      <c r="C815">
        <v>6</v>
      </c>
      <c r="D815">
        <v>0</v>
      </c>
      <c r="E815">
        <v>5</v>
      </c>
      <c r="F815">
        <v>2</v>
      </c>
      <c r="G815">
        <v>19</v>
      </c>
      <c r="H815">
        <v>9</v>
      </c>
      <c r="I815">
        <v>0.4</v>
      </c>
      <c r="J815">
        <v>0.47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1</v>
      </c>
      <c r="AA815">
        <v>0</v>
      </c>
      <c r="AB815">
        <v>0</v>
      </c>
      <c r="AC815">
        <v>0</v>
      </c>
      <c r="AD815">
        <v>1</v>
      </c>
      <c r="AE815">
        <v>0</v>
      </c>
      <c r="AF815">
        <v>0</v>
      </c>
      <c r="AG815">
        <v>0</v>
      </c>
      <c r="AH815" s="86">
        <f>AVERAGEIFS($C$2:C815, $B$2:B815, B815)</f>
        <v>15.380952380952381</v>
      </c>
      <c r="AI815" s="86">
        <f>AVERAGEIFS($I$2:I815, $B$2:B815, B815)</f>
        <v>0.55238095238095242</v>
      </c>
      <c r="AJ815" s="86">
        <f>AVERAGEIFS($J$2:J815, $B$2:B815, B815)</f>
        <v>0.52666666666666673</v>
      </c>
      <c r="AK815" s="86">
        <f>AVERAGEIFS($D$2:D815, $B$2:B815, B815)</f>
        <v>0.47619047619047616</v>
      </c>
    </row>
    <row r="816" spans="1:37" x14ac:dyDescent="0.25">
      <c r="A816" s="85">
        <v>46124</v>
      </c>
      <c r="B816" t="s">
        <v>167</v>
      </c>
      <c r="C816">
        <v>14</v>
      </c>
      <c r="D816">
        <v>1</v>
      </c>
      <c r="E816">
        <v>4</v>
      </c>
      <c r="F816">
        <v>3</v>
      </c>
      <c r="G816">
        <v>18</v>
      </c>
      <c r="H816">
        <v>10</v>
      </c>
      <c r="I816">
        <v>0.75</v>
      </c>
      <c r="J816">
        <v>0.56000000000000005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0</v>
      </c>
      <c r="Y816">
        <v>1</v>
      </c>
      <c r="Z816">
        <v>1</v>
      </c>
      <c r="AA816">
        <v>0</v>
      </c>
      <c r="AB816">
        <v>0</v>
      </c>
      <c r="AC816">
        <v>1</v>
      </c>
      <c r="AD816">
        <v>0</v>
      </c>
      <c r="AE816">
        <v>0</v>
      </c>
      <c r="AF816">
        <v>0</v>
      </c>
      <c r="AG816">
        <v>0</v>
      </c>
      <c r="AH816" s="86">
        <f>AVERAGEIFS($C$2:C816, $B$2:B816, B816)</f>
        <v>12</v>
      </c>
      <c r="AI816" s="86">
        <f>AVERAGEIFS($I$2:I816, $B$2:B816, B816)</f>
        <v>0.57499999999999996</v>
      </c>
      <c r="AJ816" s="86">
        <f>AVERAGEIFS($J$2:J816, $B$2:B816, B816)</f>
        <v>0.505</v>
      </c>
      <c r="AK816" s="86">
        <f>AVERAGEIFS($D$2:D816, $B$2:B816, B816)</f>
        <v>0.5</v>
      </c>
    </row>
    <row r="817" spans="1:37" x14ac:dyDescent="0.25">
      <c r="A817" s="85">
        <v>46124</v>
      </c>
      <c r="B817" t="s">
        <v>13</v>
      </c>
      <c r="C817">
        <v>23</v>
      </c>
      <c r="D817">
        <v>1</v>
      </c>
      <c r="E817">
        <v>4</v>
      </c>
      <c r="F817">
        <v>3</v>
      </c>
      <c r="G817">
        <v>18</v>
      </c>
      <c r="H817">
        <v>10</v>
      </c>
      <c r="I817">
        <v>0.75</v>
      </c>
      <c r="J817">
        <v>0.56000000000000005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1</v>
      </c>
      <c r="Z817">
        <v>1</v>
      </c>
      <c r="AA817">
        <v>0</v>
      </c>
      <c r="AB817">
        <v>0</v>
      </c>
      <c r="AC817">
        <v>1</v>
      </c>
      <c r="AD817">
        <v>0</v>
      </c>
      <c r="AE817">
        <v>0</v>
      </c>
      <c r="AF817">
        <v>0</v>
      </c>
      <c r="AG817">
        <v>0</v>
      </c>
      <c r="AH817" s="86">
        <f>AVERAGEIFS($C$2:C817, $B$2:B817, B817)</f>
        <v>14.0625</v>
      </c>
      <c r="AI817" s="86">
        <f>AVERAGEIFS($I$2:I817, $B$2:B817, B817)</f>
        <v>0.51249999999999996</v>
      </c>
      <c r="AJ817" s="86">
        <f>AVERAGEIFS($J$2:J817, $B$2:B817, B817)</f>
        <v>0.50624999999999998</v>
      </c>
      <c r="AK817" s="86">
        <f>AVERAGEIFS($D$2:D817, $B$2:B817, B817)</f>
        <v>0.4375</v>
      </c>
    </row>
    <row r="818" spans="1:37" x14ac:dyDescent="0.25">
      <c r="A818" s="85">
        <v>46124</v>
      </c>
      <c r="B818" t="s">
        <v>161</v>
      </c>
      <c r="C818">
        <v>10</v>
      </c>
      <c r="D818">
        <v>1</v>
      </c>
      <c r="E818">
        <v>4</v>
      </c>
      <c r="F818">
        <v>3</v>
      </c>
      <c r="G818">
        <v>18</v>
      </c>
      <c r="H818">
        <v>10</v>
      </c>
      <c r="I818">
        <v>0.75</v>
      </c>
      <c r="J818">
        <v>0.56000000000000005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1</v>
      </c>
      <c r="Z818">
        <v>1</v>
      </c>
      <c r="AA818">
        <v>0</v>
      </c>
      <c r="AB818">
        <v>0</v>
      </c>
      <c r="AC818">
        <v>1</v>
      </c>
      <c r="AD818">
        <v>0</v>
      </c>
      <c r="AE818">
        <v>0</v>
      </c>
      <c r="AF818">
        <v>0</v>
      </c>
      <c r="AG818">
        <v>0</v>
      </c>
      <c r="AH818" s="86">
        <f>AVERAGEIFS($C$2:C818, $B$2:B818, B818)</f>
        <v>7</v>
      </c>
      <c r="AI818" s="86">
        <f>AVERAGEIFS($I$2:I818, $B$2:B818, B818)</f>
        <v>0.75</v>
      </c>
      <c r="AJ818" s="86">
        <f>AVERAGEIFS($J$2:J818, $B$2:B818, B818)</f>
        <v>0.58499999999999996</v>
      </c>
      <c r="AK818" s="86">
        <f>AVERAGEIFS($D$2:D818, $B$2:B818, B818)</f>
        <v>1</v>
      </c>
    </row>
    <row r="819" spans="1:37" x14ac:dyDescent="0.25">
      <c r="A819" s="85">
        <v>46124</v>
      </c>
      <c r="B819" t="s">
        <v>42</v>
      </c>
      <c r="C819">
        <v>6</v>
      </c>
      <c r="D819">
        <v>1</v>
      </c>
      <c r="E819">
        <v>4</v>
      </c>
      <c r="F819">
        <v>3</v>
      </c>
      <c r="G819">
        <v>18</v>
      </c>
      <c r="H819">
        <v>10</v>
      </c>
      <c r="I819">
        <v>0.75</v>
      </c>
      <c r="J819">
        <v>0.56000000000000005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1</v>
      </c>
      <c r="Z819">
        <v>1</v>
      </c>
      <c r="AA819">
        <v>0</v>
      </c>
      <c r="AB819">
        <v>0</v>
      </c>
      <c r="AC819">
        <v>1</v>
      </c>
      <c r="AD819">
        <v>0</v>
      </c>
      <c r="AE819">
        <v>0</v>
      </c>
      <c r="AF819">
        <v>0</v>
      </c>
      <c r="AG819">
        <v>0</v>
      </c>
      <c r="AH819" s="86">
        <f>AVERAGEIFS($C$2:C819, $B$2:B819, B819)</f>
        <v>18.852941176470587</v>
      </c>
      <c r="AI819" s="86">
        <f>AVERAGEIFS($I$2:I819, $B$2:B819, B819)</f>
        <v>0.43382352941176466</v>
      </c>
      <c r="AJ819" s="86">
        <f>AVERAGEIFS($J$2:J819, $B$2:B819, B819)</f>
        <v>0.44647058823529412</v>
      </c>
      <c r="AK819" s="86">
        <f>AVERAGEIFS($D$2:D819, $B$2:B819, B819)</f>
        <v>0.44117647058823528</v>
      </c>
    </row>
    <row r="820" spans="1:37" x14ac:dyDescent="0.25">
      <c r="A820" s="85">
        <v>46124</v>
      </c>
      <c r="B820" t="s">
        <v>150</v>
      </c>
      <c r="C820">
        <v>28</v>
      </c>
      <c r="D820">
        <v>1</v>
      </c>
      <c r="E820">
        <v>4</v>
      </c>
      <c r="F820">
        <v>3</v>
      </c>
      <c r="G820">
        <v>18</v>
      </c>
      <c r="H820">
        <v>10</v>
      </c>
      <c r="I820">
        <v>0.75</v>
      </c>
      <c r="J820">
        <v>0.56000000000000005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1</v>
      </c>
      <c r="Z820">
        <v>1</v>
      </c>
      <c r="AA820">
        <v>0</v>
      </c>
      <c r="AB820">
        <v>0</v>
      </c>
      <c r="AC820">
        <v>1</v>
      </c>
      <c r="AD820">
        <v>0</v>
      </c>
      <c r="AE820">
        <v>0</v>
      </c>
      <c r="AF820">
        <v>0</v>
      </c>
      <c r="AG820">
        <v>0</v>
      </c>
      <c r="AH820" s="86">
        <f>AVERAGEIFS($C$2:C820, $B$2:B820, B820)</f>
        <v>15.363636363636363</v>
      </c>
      <c r="AI820" s="86">
        <f>AVERAGEIFS($I$2:I820, $B$2:B820, B820)</f>
        <v>0.60909090909090913</v>
      </c>
      <c r="AJ820" s="86">
        <f>AVERAGEIFS($J$2:J820, $B$2:B820, B820)</f>
        <v>0.58090909090909093</v>
      </c>
      <c r="AK820" s="86">
        <f>AVERAGEIFS($D$2:D820, $B$2:B820, B820)</f>
        <v>0.54545454545454541</v>
      </c>
    </row>
    <row r="821" spans="1:37" x14ac:dyDescent="0.25">
      <c r="A821" s="85">
        <v>46124</v>
      </c>
      <c r="B821" t="s">
        <v>4</v>
      </c>
      <c r="C821">
        <v>28</v>
      </c>
      <c r="D821">
        <v>1</v>
      </c>
      <c r="E821">
        <v>4</v>
      </c>
      <c r="F821">
        <v>3</v>
      </c>
      <c r="G821">
        <v>18</v>
      </c>
      <c r="H821">
        <v>10</v>
      </c>
      <c r="I821">
        <v>0.75</v>
      </c>
      <c r="J821">
        <v>0.56000000000000005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1</v>
      </c>
      <c r="Z821">
        <v>1</v>
      </c>
      <c r="AA821">
        <v>0</v>
      </c>
      <c r="AB821">
        <v>0</v>
      </c>
      <c r="AC821">
        <v>1</v>
      </c>
      <c r="AD821">
        <v>0</v>
      </c>
      <c r="AE821">
        <v>0</v>
      </c>
      <c r="AF821">
        <v>0</v>
      </c>
      <c r="AG821">
        <v>0</v>
      </c>
      <c r="AH821" s="86">
        <f>AVERAGEIFS($C$2:C821, $B$2:B821, B821)</f>
        <v>24.285714285714285</v>
      </c>
      <c r="AI821" s="86">
        <f>AVERAGEIFS($I$2:I821, $B$2:B821, B821)</f>
        <v>0.44464285714285712</v>
      </c>
      <c r="AJ821" s="86">
        <f>AVERAGEIFS($J$2:J821, $B$2:B821, B821)</f>
        <v>0.4617857142857143</v>
      </c>
      <c r="AK821" s="86">
        <f>AVERAGEIFS($D$2:D821, $B$2:B821, B821)</f>
        <v>0.35714285714285715</v>
      </c>
    </row>
    <row r="822" spans="1:37" x14ac:dyDescent="0.25">
      <c r="A822" s="85">
        <v>46124</v>
      </c>
      <c r="B822" t="s">
        <v>113</v>
      </c>
      <c r="C822">
        <v>21</v>
      </c>
      <c r="D822">
        <v>1</v>
      </c>
      <c r="E822">
        <v>4</v>
      </c>
      <c r="F822">
        <v>3</v>
      </c>
      <c r="G822">
        <v>18</v>
      </c>
      <c r="H822">
        <v>10</v>
      </c>
      <c r="I822">
        <v>0.75</v>
      </c>
      <c r="J822">
        <v>0.56000000000000005</v>
      </c>
      <c r="K822">
        <v>0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0</v>
      </c>
      <c r="Y822">
        <v>1</v>
      </c>
      <c r="Z822">
        <v>1</v>
      </c>
      <c r="AA822">
        <v>0</v>
      </c>
      <c r="AB822">
        <v>0</v>
      </c>
      <c r="AC822">
        <v>1</v>
      </c>
      <c r="AD822">
        <v>0</v>
      </c>
      <c r="AE822">
        <v>0</v>
      </c>
      <c r="AF822">
        <v>0</v>
      </c>
      <c r="AG822">
        <v>0</v>
      </c>
      <c r="AH822" s="86">
        <f>AVERAGEIFS($C$2:C822, $B$2:B822, B822)</f>
        <v>17.068965517241381</v>
      </c>
      <c r="AI822" s="86">
        <f>AVERAGEIFS($I$2:I822, $B$2:B822, B822)</f>
        <v>0.56206896551724139</v>
      </c>
      <c r="AJ822" s="86">
        <f>AVERAGEIFS($J$2:J822, $B$2:B822, B822)</f>
        <v>0.52000000000000013</v>
      </c>
      <c r="AK822" s="86">
        <f>AVERAGEIFS($D$2:D822, $B$2:B822, B822)</f>
        <v>0.55172413793103448</v>
      </c>
    </row>
    <row r="823" spans="1:37" x14ac:dyDescent="0.25">
      <c r="A823" s="85">
        <v>46124</v>
      </c>
      <c r="B823" t="s">
        <v>54</v>
      </c>
      <c r="C823">
        <v>20</v>
      </c>
      <c r="D823">
        <v>0</v>
      </c>
      <c r="E823">
        <v>4</v>
      </c>
      <c r="F823">
        <v>1</v>
      </c>
      <c r="G823">
        <v>18</v>
      </c>
      <c r="H823">
        <v>8</v>
      </c>
      <c r="I823">
        <v>0.25</v>
      </c>
      <c r="J823">
        <v>0.44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0</v>
      </c>
      <c r="X823">
        <v>0</v>
      </c>
      <c r="Y823">
        <v>0</v>
      </c>
      <c r="Z823">
        <v>0</v>
      </c>
      <c r="AA823">
        <v>0</v>
      </c>
      <c r="AB823">
        <v>0</v>
      </c>
      <c r="AC823">
        <v>0</v>
      </c>
      <c r="AD823">
        <v>0</v>
      </c>
      <c r="AE823">
        <v>0</v>
      </c>
      <c r="AF823">
        <v>0</v>
      </c>
      <c r="AG823">
        <v>0</v>
      </c>
      <c r="AH823" s="86">
        <f>AVERAGEIFS($C$2:C823, $B$2:B823, B823)</f>
        <v>23.7</v>
      </c>
      <c r="AI823" s="86">
        <f>AVERAGEIFS($I$2:I823, $B$2:B823, B823)</f>
        <v>0.54540000000000011</v>
      </c>
      <c r="AJ823" s="86">
        <f>AVERAGEIFS($J$2:J823, $B$2:B823, B823)</f>
        <v>0.52079999999999993</v>
      </c>
      <c r="AK823" s="86">
        <f>AVERAGEIFS($D$2:D823, $B$2:B823, B823)</f>
        <v>0.56000000000000005</v>
      </c>
    </row>
    <row r="824" spans="1:37" x14ac:dyDescent="0.25">
      <c r="A824" s="85">
        <v>46124</v>
      </c>
      <c r="B824" t="s">
        <v>146</v>
      </c>
      <c r="C824">
        <v>13</v>
      </c>
      <c r="D824">
        <v>0</v>
      </c>
      <c r="E824">
        <v>4</v>
      </c>
      <c r="F824">
        <v>1</v>
      </c>
      <c r="G824">
        <v>18</v>
      </c>
      <c r="H824">
        <v>8</v>
      </c>
      <c r="I824">
        <v>0.25</v>
      </c>
      <c r="J824">
        <v>0.44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>
        <v>0</v>
      </c>
      <c r="Y824">
        <v>0</v>
      </c>
      <c r="Z824">
        <v>0</v>
      </c>
      <c r="AA824">
        <v>0</v>
      </c>
      <c r="AB824">
        <v>0</v>
      </c>
      <c r="AC824">
        <v>0</v>
      </c>
      <c r="AD824">
        <v>0</v>
      </c>
      <c r="AE824">
        <v>0</v>
      </c>
      <c r="AF824">
        <v>0</v>
      </c>
      <c r="AG824">
        <v>0</v>
      </c>
      <c r="AH824" s="86">
        <f>AVERAGEIFS($C$2:C824, $B$2:B824, B824)</f>
        <v>8.5714285714285712</v>
      </c>
      <c r="AI824" s="86">
        <f>AVERAGEIFS($I$2:I824, $B$2:B824, B824)</f>
        <v>0.25</v>
      </c>
      <c r="AJ824" s="86">
        <f>AVERAGEIFS($J$2:J824, $B$2:B824, B824)</f>
        <v>0.33571428571428574</v>
      </c>
      <c r="AK824" s="86">
        <f>AVERAGEIFS($D$2:D824, $B$2:B824, B824)</f>
        <v>0.14285714285714285</v>
      </c>
    </row>
    <row r="825" spans="1:37" x14ac:dyDescent="0.25">
      <c r="A825" s="85">
        <v>46124</v>
      </c>
      <c r="B825" t="s">
        <v>152</v>
      </c>
      <c r="C825">
        <v>12</v>
      </c>
      <c r="D825">
        <v>0</v>
      </c>
      <c r="E825">
        <v>4</v>
      </c>
      <c r="F825">
        <v>1</v>
      </c>
      <c r="G825">
        <v>18</v>
      </c>
      <c r="H825">
        <v>8</v>
      </c>
      <c r="I825">
        <v>0.25</v>
      </c>
      <c r="J825">
        <v>0.44</v>
      </c>
      <c r="K825">
        <v>0</v>
      </c>
      <c r="L825">
        <v>0</v>
      </c>
      <c r="M825">
        <v>0</v>
      </c>
      <c r="N825">
        <v>1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0</v>
      </c>
      <c r="Y825">
        <v>0</v>
      </c>
      <c r="Z825">
        <v>0</v>
      </c>
      <c r="AA825">
        <v>0</v>
      </c>
      <c r="AB825">
        <v>0</v>
      </c>
      <c r="AC825">
        <v>0</v>
      </c>
      <c r="AD825">
        <v>0</v>
      </c>
      <c r="AE825">
        <v>0</v>
      </c>
      <c r="AF825">
        <v>0</v>
      </c>
      <c r="AG825">
        <v>0</v>
      </c>
      <c r="AH825" s="86">
        <f>AVERAGEIFS($C$2:C825, $B$2:B825, B825)</f>
        <v>12</v>
      </c>
      <c r="AI825" s="86">
        <f>AVERAGEIFS($I$2:I825, $B$2:B825, B825)</f>
        <v>0.52500000000000002</v>
      </c>
      <c r="AJ825" s="86">
        <f>AVERAGEIFS($J$2:J825, $B$2:B825, B825)</f>
        <v>0.59</v>
      </c>
      <c r="AK825" s="86">
        <f>AVERAGEIFS($D$2:D825, $B$2:B825, B825)</f>
        <v>0.5</v>
      </c>
    </row>
    <row r="826" spans="1:37" x14ac:dyDescent="0.25">
      <c r="A826" s="85">
        <v>46124</v>
      </c>
      <c r="B826" t="s">
        <v>40</v>
      </c>
      <c r="C826">
        <v>21</v>
      </c>
      <c r="D826">
        <v>0</v>
      </c>
      <c r="E826">
        <v>4</v>
      </c>
      <c r="F826">
        <v>1</v>
      </c>
      <c r="G826">
        <v>18</v>
      </c>
      <c r="H826">
        <v>8</v>
      </c>
      <c r="I826">
        <v>0.25</v>
      </c>
      <c r="J826">
        <v>0.44</v>
      </c>
      <c r="K826">
        <v>0</v>
      </c>
      <c r="L826">
        <v>0</v>
      </c>
      <c r="M826">
        <v>0</v>
      </c>
      <c r="N826">
        <v>1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0</v>
      </c>
      <c r="AA826">
        <v>0</v>
      </c>
      <c r="AB826">
        <v>0</v>
      </c>
      <c r="AC826">
        <v>0</v>
      </c>
      <c r="AD826">
        <v>0</v>
      </c>
      <c r="AE826">
        <v>0</v>
      </c>
      <c r="AF826">
        <v>0</v>
      </c>
      <c r="AG826">
        <v>0</v>
      </c>
      <c r="AH826" s="86">
        <f>AVERAGEIFS($C$2:C826, $B$2:B826, B826)</f>
        <v>18.24074074074074</v>
      </c>
      <c r="AI826" s="86">
        <f>AVERAGEIFS($I$2:I826, $B$2:B826, B826)</f>
        <v>0.48888888888888871</v>
      </c>
      <c r="AJ826" s="86">
        <f>AVERAGEIFS($J$2:J826, $B$2:B826, B826)</f>
        <v>0.48518518518518533</v>
      </c>
      <c r="AK826" s="86">
        <f>AVERAGEIFS($D$2:D826, $B$2:B826, B826)</f>
        <v>0.42592592592592593</v>
      </c>
    </row>
    <row r="827" spans="1:37" x14ac:dyDescent="0.25">
      <c r="A827" s="85">
        <v>46124</v>
      </c>
      <c r="B827" t="s">
        <v>70</v>
      </c>
      <c r="C827">
        <v>7</v>
      </c>
      <c r="D827">
        <v>0</v>
      </c>
      <c r="E827">
        <v>4</v>
      </c>
      <c r="F827">
        <v>1</v>
      </c>
      <c r="G827">
        <v>18</v>
      </c>
      <c r="H827">
        <v>8</v>
      </c>
      <c r="I827">
        <v>0.25</v>
      </c>
      <c r="J827">
        <v>0.44</v>
      </c>
      <c r="K827">
        <v>0</v>
      </c>
      <c r="L827">
        <v>0</v>
      </c>
      <c r="M827">
        <v>0</v>
      </c>
      <c r="N827">
        <v>1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0</v>
      </c>
      <c r="Y827">
        <v>0</v>
      </c>
      <c r="Z827">
        <v>0</v>
      </c>
      <c r="AA827">
        <v>0</v>
      </c>
      <c r="AB827">
        <v>0</v>
      </c>
      <c r="AC827">
        <v>0</v>
      </c>
      <c r="AD827">
        <v>0</v>
      </c>
      <c r="AE827">
        <v>0</v>
      </c>
      <c r="AF827">
        <v>0</v>
      </c>
      <c r="AG827">
        <v>0</v>
      </c>
      <c r="AH827" s="86">
        <f>AVERAGEIFS($C$2:C827, $B$2:B827, B827)</f>
        <v>11.428571428571429</v>
      </c>
      <c r="AI827" s="86">
        <f>AVERAGEIFS($I$2:I827, $B$2:B827, B827)</f>
        <v>0.54285714285714293</v>
      </c>
      <c r="AJ827" s="86">
        <f>AVERAGEIFS($J$2:J827, $B$2:B827, B827)</f>
        <v>0.52142857142857146</v>
      </c>
      <c r="AK827" s="86">
        <f>AVERAGEIFS($D$2:D827, $B$2:B827, B827)</f>
        <v>0.7142857142857143</v>
      </c>
    </row>
    <row r="828" spans="1:37" x14ac:dyDescent="0.25">
      <c r="A828" s="85">
        <v>46124</v>
      </c>
      <c r="B828" t="s">
        <v>71</v>
      </c>
      <c r="C828">
        <v>14</v>
      </c>
      <c r="D828">
        <v>0</v>
      </c>
      <c r="E828">
        <v>4</v>
      </c>
      <c r="F828">
        <v>1</v>
      </c>
      <c r="G828">
        <v>18</v>
      </c>
      <c r="H828">
        <v>8</v>
      </c>
      <c r="I828">
        <v>0.25</v>
      </c>
      <c r="J828">
        <v>0.44</v>
      </c>
      <c r="K828">
        <v>0</v>
      </c>
      <c r="L828">
        <v>0</v>
      </c>
      <c r="M828">
        <v>0</v>
      </c>
      <c r="N828">
        <v>1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0</v>
      </c>
      <c r="Y828">
        <v>0</v>
      </c>
      <c r="Z828">
        <v>0</v>
      </c>
      <c r="AA828">
        <v>0</v>
      </c>
      <c r="AB828">
        <v>0</v>
      </c>
      <c r="AC828">
        <v>0</v>
      </c>
      <c r="AD828">
        <v>0</v>
      </c>
      <c r="AE828">
        <v>0</v>
      </c>
      <c r="AF828">
        <v>0</v>
      </c>
      <c r="AG828">
        <v>0</v>
      </c>
      <c r="AH828" s="86">
        <f>AVERAGEIFS($C$2:C828, $B$2:B828, B828)</f>
        <v>12.24</v>
      </c>
      <c r="AI828" s="86">
        <f>AVERAGEIFS($I$2:I828, $B$2:B828, B828)</f>
        <v>0.44</v>
      </c>
      <c r="AJ828" s="86">
        <f>AVERAGEIFS($J$2:J828, $B$2:B828, B828)</f>
        <v>0.46519999999999995</v>
      </c>
      <c r="AK828" s="86">
        <f>AVERAGEIFS($D$2:D828, $B$2:B828, B828)</f>
        <v>0.48</v>
      </c>
    </row>
    <row r="829" spans="1:37" x14ac:dyDescent="0.25">
      <c r="A829" s="85">
        <v>46124</v>
      </c>
      <c r="B829" t="s">
        <v>4</v>
      </c>
      <c r="C829">
        <v>33</v>
      </c>
      <c r="D829">
        <v>0</v>
      </c>
      <c r="E829">
        <v>4</v>
      </c>
      <c r="F829">
        <v>1</v>
      </c>
      <c r="G829">
        <v>19</v>
      </c>
      <c r="H829">
        <v>8</v>
      </c>
      <c r="I829">
        <v>0.25</v>
      </c>
      <c r="J829">
        <v>0.42</v>
      </c>
      <c r="K829">
        <v>0</v>
      </c>
      <c r="L829">
        <v>0</v>
      </c>
      <c r="M829">
        <v>0</v>
      </c>
      <c r="N829">
        <v>1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0</v>
      </c>
      <c r="Y829">
        <v>0</v>
      </c>
      <c r="Z829">
        <v>0</v>
      </c>
      <c r="AA829">
        <v>0</v>
      </c>
      <c r="AB829">
        <v>0</v>
      </c>
      <c r="AC829">
        <v>0</v>
      </c>
      <c r="AD829">
        <v>0</v>
      </c>
      <c r="AE829">
        <v>0</v>
      </c>
      <c r="AF829">
        <v>0</v>
      </c>
      <c r="AG829">
        <v>0</v>
      </c>
      <c r="AH829" s="86">
        <f>AVERAGEIFS($C$2:C829, $B$2:B829, B829)</f>
        <v>24.586206896551722</v>
      </c>
      <c r="AI829" s="86">
        <f>AVERAGEIFS($I$2:I829, $B$2:B829, B829)</f>
        <v>0.43793103448275861</v>
      </c>
      <c r="AJ829" s="86">
        <f>AVERAGEIFS($J$2:J829, $B$2:B829, B829)</f>
        <v>0.46034482758620687</v>
      </c>
      <c r="AK829" s="86">
        <f>AVERAGEIFS($D$2:D829, $B$2:B829, B829)</f>
        <v>0.34482758620689657</v>
      </c>
    </row>
    <row r="830" spans="1:37" x14ac:dyDescent="0.25">
      <c r="A830" s="85">
        <v>46124</v>
      </c>
      <c r="B830" t="s">
        <v>6</v>
      </c>
      <c r="C830">
        <v>18</v>
      </c>
      <c r="D830">
        <v>0</v>
      </c>
      <c r="E830">
        <v>4</v>
      </c>
      <c r="F830">
        <v>1</v>
      </c>
      <c r="G830">
        <v>19</v>
      </c>
      <c r="H830">
        <v>8</v>
      </c>
      <c r="I830">
        <v>0.25</v>
      </c>
      <c r="J830">
        <v>0.42</v>
      </c>
      <c r="K830">
        <v>0</v>
      </c>
      <c r="L830">
        <v>0</v>
      </c>
      <c r="M830">
        <v>0</v>
      </c>
      <c r="N830">
        <v>1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0</v>
      </c>
      <c r="Y830">
        <v>0</v>
      </c>
      <c r="Z830">
        <v>0</v>
      </c>
      <c r="AA830">
        <v>0</v>
      </c>
      <c r="AB830">
        <v>0</v>
      </c>
      <c r="AC830">
        <v>0</v>
      </c>
      <c r="AD830">
        <v>0</v>
      </c>
      <c r="AE830">
        <v>0</v>
      </c>
      <c r="AF830">
        <v>0</v>
      </c>
      <c r="AG830">
        <v>0</v>
      </c>
      <c r="AH830" s="86">
        <f>AVERAGEIFS($C$2:C830, $B$2:B830, B830)</f>
        <v>22.109090909090909</v>
      </c>
      <c r="AI830" s="86">
        <f>AVERAGEIFS($I$2:I830, $B$2:B830, B830)</f>
        <v>0.51963636363636367</v>
      </c>
      <c r="AJ830" s="86">
        <f>AVERAGEIFS($J$2:J830, $B$2:B830, B830)</f>
        <v>0.51418181818181818</v>
      </c>
      <c r="AK830" s="86">
        <f>AVERAGEIFS($D$2:D830, $B$2:B830, B830)</f>
        <v>0.58181818181818179</v>
      </c>
    </row>
    <row r="831" spans="1:37" x14ac:dyDescent="0.25">
      <c r="A831" s="85">
        <v>46124</v>
      </c>
      <c r="B831" t="s">
        <v>42</v>
      </c>
      <c r="C831">
        <v>21</v>
      </c>
      <c r="D831">
        <v>0</v>
      </c>
      <c r="E831">
        <v>4</v>
      </c>
      <c r="F831">
        <v>1</v>
      </c>
      <c r="G831">
        <v>19</v>
      </c>
      <c r="H831">
        <v>8</v>
      </c>
      <c r="I831">
        <v>0.25</v>
      </c>
      <c r="J831">
        <v>0.42</v>
      </c>
      <c r="K831">
        <v>0</v>
      </c>
      <c r="L831">
        <v>0</v>
      </c>
      <c r="M831">
        <v>0</v>
      </c>
      <c r="N831">
        <v>1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0</v>
      </c>
      <c r="AB831">
        <v>0</v>
      </c>
      <c r="AC831">
        <v>0</v>
      </c>
      <c r="AD831">
        <v>0</v>
      </c>
      <c r="AE831">
        <v>0</v>
      </c>
      <c r="AF831">
        <v>0</v>
      </c>
      <c r="AG831">
        <v>0</v>
      </c>
      <c r="AH831" s="86">
        <f>AVERAGEIFS($C$2:C831, $B$2:B831, B831)</f>
        <v>18.914285714285715</v>
      </c>
      <c r="AI831" s="86">
        <f>AVERAGEIFS($I$2:I831, $B$2:B831, B831)</f>
        <v>0.42857142857142855</v>
      </c>
      <c r="AJ831" s="86">
        <f>AVERAGEIFS($J$2:J831, $B$2:B831, B831)</f>
        <v>0.44571428571428573</v>
      </c>
      <c r="AK831" s="86">
        <f>AVERAGEIFS($D$2:D831, $B$2:B831, B831)</f>
        <v>0.42857142857142855</v>
      </c>
    </row>
    <row r="832" spans="1:37" x14ac:dyDescent="0.25">
      <c r="A832" s="85">
        <v>46124</v>
      </c>
      <c r="B832" t="s">
        <v>52</v>
      </c>
      <c r="C832">
        <v>10</v>
      </c>
      <c r="D832">
        <v>0</v>
      </c>
      <c r="E832">
        <v>4</v>
      </c>
      <c r="F832">
        <v>1</v>
      </c>
      <c r="G832">
        <v>19</v>
      </c>
      <c r="H832">
        <v>8</v>
      </c>
      <c r="I832">
        <v>0.25</v>
      </c>
      <c r="J832">
        <v>0.42</v>
      </c>
      <c r="K832">
        <v>0</v>
      </c>
      <c r="L832">
        <v>0</v>
      </c>
      <c r="M832">
        <v>0</v>
      </c>
      <c r="N832">
        <v>1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0</v>
      </c>
      <c r="Y832">
        <v>0</v>
      </c>
      <c r="Z832">
        <v>0</v>
      </c>
      <c r="AA832">
        <v>0</v>
      </c>
      <c r="AB832">
        <v>0</v>
      </c>
      <c r="AC832">
        <v>0</v>
      </c>
      <c r="AD832">
        <v>0</v>
      </c>
      <c r="AE832">
        <v>0</v>
      </c>
      <c r="AF832">
        <v>0</v>
      </c>
      <c r="AG832">
        <v>0</v>
      </c>
      <c r="AH832" s="86">
        <f>AVERAGEIFS($C$2:C832, $B$2:B832, B832)</f>
        <v>15.666666666666666</v>
      </c>
      <c r="AI832" s="86">
        <f>AVERAGEIFS($I$2:I832, $B$2:B832, B832)</f>
        <v>0.47000000000000003</v>
      </c>
      <c r="AJ832" s="86">
        <f>AVERAGEIFS($J$2:J832, $B$2:B832, B832)</f>
        <v>0.48600000000000004</v>
      </c>
      <c r="AK832" s="86">
        <f>AVERAGEIFS($D$2:D832, $B$2:B832, B832)</f>
        <v>0.33333333333333331</v>
      </c>
    </row>
    <row r="833" spans="1:37" x14ac:dyDescent="0.25">
      <c r="A833" s="85">
        <v>46124</v>
      </c>
      <c r="B833" t="s">
        <v>150</v>
      </c>
      <c r="C833">
        <v>23</v>
      </c>
      <c r="D833">
        <v>0</v>
      </c>
      <c r="E833">
        <v>4</v>
      </c>
      <c r="F833">
        <v>1</v>
      </c>
      <c r="G833">
        <v>19</v>
      </c>
      <c r="H833">
        <v>8</v>
      </c>
      <c r="I833">
        <v>0.25</v>
      </c>
      <c r="J833">
        <v>0.42</v>
      </c>
      <c r="K833">
        <v>0</v>
      </c>
      <c r="L833">
        <v>0</v>
      </c>
      <c r="M833">
        <v>0</v>
      </c>
      <c r="N833">
        <v>1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0</v>
      </c>
      <c r="Y833">
        <v>0</v>
      </c>
      <c r="Z833">
        <v>0</v>
      </c>
      <c r="AA833">
        <v>0</v>
      </c>
      <c r="AB833">
        <v>0</v>
      </c>
      <c r="AC833">
        <v>0</v>
      </c>
      <c r="AD833">
        <v>0</v>
      </c>
      <c r="AE833">
        <v>0</v>
      </c>
      <c r="AF833">
        <v>0</v>
      </c>
      <c r="AG833">
        <v>0</v>
      </c>
      <c r="AH833" s="86">
        <f>AVERAGEIFS($C$2:C833, $B$2:B833, B833)</f>
        <v>16</v>
      </c>
      <c r="AI833" s="86">
        <f>AVERAGEIFS($I$2:I833, $B$2:B833, B833)</f>
        <v>0.57916666666666672</v>
      </c>
      <c r="AJ833" s="86">
        <f>AVERAGEIFS($J$2:J833, $B$2:B833, B833)</f>
        <v>0.5675</v>
      </c>
      <c r="AK833" s="86">
        <f>AVERAGEIFS($D$2:D833, $B$2:B833, B833)</f>
        <v>0.5</v>
      </c>
    </row>
    <row r="834" spans="1:37" x14ac:dyDescent="0.25">
      <c r="A834" s="85">
        <v>46124</v>
      </c>
      <c r="B834" t="s">
        <v>44</v>
      </c>
      <c r="C834">
        <v>28</v>
      </c>
      <c r="D834">
        <v>0</v>
      </c>
      <c r="E834">
        <v>4</v>
      </c>
      <c r="F834">
        <v>1</v>
      </c>
      <c r="G834">
        <v>19</v>
      </c>
      <c r="H834">
        <v>8</v>
      </c>
      <c r="I834">
        <v>0.25</v>
      </c>
      <c r="J834">
        <v>0.42</v>
      </c>
      <c r="K834">
        <v>0</v>
      </c>
      <c r="L834">
        <v>0</v>
      </c>
      <c r="M834">
        <v>0</v>
      </c>
      <c r="N834">
        <v>1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0</v>
      </c>
      <c r="Y834">
        <v>0</v>
      </c>
      <c r="Z834">
        <v>0</v>
      </c>
      <c r="AA834">
        <v>0</v>
      </c>
      <c r="AB834">
        <v>0</v>
      </c>
      <c r="AC834">
        <v>0</v>
      </c>
      <c r="AD834">
        <v>0</v>
      </c>
      <c r="AE834">
        <v>0</v>
      </c>
      <c r="AF834">
        <v>0</v>
      </c>
      <c r="AG834">
        <v>0</v>
      </c>
      <c r="AH834" s="86">
        <f>AVERAGEIFS($C$2:C834, $B$2:B834, B834)</f>
        <v>16.941176470588236</v>
      </c>
      <c r="AI834" s="86">
        <f>AVERAGEIFS($I$2:I834, $B$2:B834, B834)</f>
        <v>0.48823529411764699</v>
      </c>
      <c r="AJ834" s="86">
        <f>AVERAGEIFS($J$2:J834, $B$2:B834, B834)</f>
        <v>0.51058823529411768</v>
      </c>
      <c r="AK834" s="86">
        <f>AVERAGEIFS($D$2:D834, $B$2:B834, B834)</f>
        <v>0.58823529411764708</v>
      </c>
    </row>
    <row r="835" spans="1:37" x14ac:dyDescent="0.25">
      <c r="A835" s="85">
        <v>46124</v>
      </c>
      <c r="B835" t="s">
        <v>53</v>
      </c>
      <c r="C835">
        <v>8</v>
      </c>
      <c r="D835">
        <v>0</v>
      </c>
      <c r="E835">
        <v>4</v>
      </c>
      <c r="F835">
        <v>1</v>
      </c>
      <c r="G835">
        <v>19</v>
      </c>
      <c r="H835">
        <v>8</v>
      </c>
      <c r="I835">
        <v>0.25</v>
      </c>
      <c r="J835">
        <v>0.42</v>
      </c>
      <c r="K835">
        <v>0</v>
      </c>
      <c r="L835">
        <v>0</v>
      </c>
      <c r="M835">
        <v>0</v>
      </c>
      <c r="N835">
        <v>1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>
        <v>0</v>
      </c>
      <c r="AB835">
        <v>0</v>
      </c>
      <c r="AC835">
        <v>0</v>
      </c>
      <c r="AD835">
        <v>0</v>
      </c>
      <c r="AE835">
        <v>0</v>
      </c>
      <c r="AF835">
        <v>0</v>
      </c>
      <c r="AG835">
        <v>0</v>
      </c>
      <c r="AH835" s="86">
        <f>AVERAGEIFS($C$2:C835, $B$2:B835, B835)</f>
        <v>15.045454545454545</v>
      </c>
      <c r="AI835" s="86">
        <f>AVERAGEIFS($I$2:I835, $B$2:B835, B835)</f>
        <v>0.53863636363636369</v>
      </c>
      <c r="AJ835" s="86">
        <f>AVERAGEIFS($J$2:J835, $B$2:B835, B835)</f>
        <v>0.52181818181818196</v>
      </c>
      <c r="AK835" s="86">
        <f>AVERAGEIFS($D$2:D835, $B$2:B835, B835)</f>
        <v>0.45454545454545453</v>
      </c>
    </row>
    <row r="836" spans="1:37" x14ac:dyDescent="0.25">
      <c r="A836" s="85">
        <v>46124</v>
      </c>
      <c r="B836" t="s">
        <v>54</v>
      </c>
      <c r="C836">
        <v>42</v>
      </c>
      <c r="D836">
        <v>1</v>
      </c>
      <c r="E836">
        <v>4</v>
      </c>
      <c r="F836">
        <v>3</v>
      </c>
      <c r="G836">
        <v>19</v>
      </c>
      <c r="H836">
        <v>11</v>
      </c>
      <c r="I836">
        <v>0.75</v>
      </c>
      <c r="J836">
        <v>0.57999999999999996</v>
      </c>
      <c r="K836">
        <v>0</v>
      </c>
      <c r="L836">
        <v>1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1</v>
      </c>
      <c r="V836">
        <v>1</v>
      </c>
      <c r="W836">
        <v>0</v>
      </c>
      <c r="X836">
        <v>0</v>
      </c>
      <c r="Y836">
        <v>0</v>
      </c>
      <c r="Z836">
        <v>0</v>
      </c>
      <c r="AA836">
        <v>0</v>
      </c>
      <c r="AB836">
        <v>0</v>
      </c>
      <c r="AC836">
        <v>0</v>
      </c>
      <c r="AD836">
        <v>0</v>
      </c>
      <c r="AE836">
        <v>0</v>
      </c>
      <c r="AF836">
        <v>0</v>
      </c>
      <c r="AG836">
        <v>0</v>
      </c>
      <c r="AH836" s="86">
        <f>AVERAGEIFS($C$2:C836, $B$2:B836, B836)</f>
        <v>24.058823529411764</v>
      </c>
      <c r="AI836" s="86">
        <f>AVERAGEIFS($I$2:I836, $B$2:B836, B836)</f>
        <v>0.54941176470588238</v>
      </c>
      <c r="AJ836" s="86">
        <f>AVERAGEIFS($J$2:J836, $B$2:B836, B836)</f>
        <v>0.52196078431372539</v>
      </c>
      <c r="AK836" s="86">
        <f>AVERAGEIFS($D$2:D836, $B$2:B836, B836)</f>
        <v>0.56862745098039214</v>
      </c>
    </row>
    <row r="837" spans="1:37" x14ac:dyDescent="0.25">
      <c r="A837" s="85">
        <v>46124</v>
      </c>
      <c r="B837" t="s">
        <v>1</v>
      </c>
      <c r="C837">
        <v>20</v>
      </c>
      <c r="D837">
        <v>1</v>
      </c>
      <c r="E837">
        <v>4</v>
      </c>
      <c r="F837">
        <v>3</v>
      </c>
      <c r="G837">
        <v>19</v>
      </c>
      <c r="H837">
        <v>11</v>
      </c>
      <c r="I837">
        <v>0.75</v>
      </c>
      <c r="J837">
        <v>0.57999999999999996</v>
      </c>
      <c r="K837">
        <v>0</v>
      </c>
      <c r="L837">
        <v>1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1</v>
      </c>
      <c r="V837">
        <v>1</v>
      </c>
      <c r="W837">
        <v>0</v>
      </c>
      <c r="X837">
        <v>0</v>
      </c>
      <c r="Y837">
        <v>0</v>
      </c>
      <c r="Z837">
        <v>0</v>
      </c>
      <c r="AA837">
        <v>0</v>
      </c>
      <c r="AB837">
        <v>0</v>
      </c>
      <c r="AC837">
        <v>0</v>
      </c>
      <c r="AD837">
        <v>0</v>
      </c>
      <c r="AE837">
        <v>0</v>
      </c>
      <c r="AF837">
        <v>0</v>
      </c>
      <c r="AG837">
        <v>0</v>
      </c>
      <c r="AH837" s="86">
        <f>AVERAGEIFS($C$2:C837, $B$2:B837, B837)</f>
        <v>26.103448275862068</v>
      </c>
      <c r="AI837" s="86">
        <f>AVERAGEIFS($I$2:I837, $B$2:B837, B837)</f>
        <v>0.46034482758620693</v>
      </c>
      <c r="AJ837" s="86">
        <f>AVERAGEIFS($J$2:J837, $B$2:B837, B837)</f>
        <v>0.47241379310344833</v>
      </c>
      <c r="AK837" s="86">
        <f>AVERAGEIFS($D$2:D837, $B$2:B837, B837)</f>
        <v>0.48275862068965519</v>
      </c>
    </row>
    <row r="838" spans="1:37" x14ac:dyDescent="0.25">
      <c r="A838" s="85">
        <v>46124</v>
      </c>
      <c r="B838" t="s">
        <v>40</v>
      </c>
      <c r="C838">
        <v>25</v>
      </c>
      <c r="D838">
        <v>1</v>
      </c>
      <c r="E838">
        <v>4</v>
      </c>
      <c r="F838">
        <v>3</v>
      </c>
      <c r="G838">
        <v>19</v>
      </c>
      <c r="H838">
        <v>11</v>
      </c>
      <c r="I838">
        <v>0.75</v>
      </c>
      <c r="J838">
        <v>0.57999999999999996</v>
      </c>
      <c r="K838">
        <v>0</v>
      </c>
      <c r="L838">
        <v>1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1</v>
      </c>
      <c r="V838">
        <v>1</v>
      </c>
      <c r="W838">
        <v>0</v>
      </c>
      <c r="X838">
        <v>0</v>
      </c>
      <c r="Y838">
        <v>0</v>
      </c>
      <c r="Z838">
        <v>0</v>
      </c>
      <c r="AA838">
        <v>0</v>
      </c>
      <c r="AB838">
        <v>0</v>
      </c>
      <c r="AC838">
        <v>0</v>
      </c>
      <c r="AD838">
        <v>0</v>
      </c>
      <c r="AE838">
        <v>0</v>
      </c>
      <c r="AF838">
        <v>0</v>
      </c>
      <c r="AG838">
        <v>0</v>
      </c>
      <c r="AH838" s="86">
        <f>AVERAGEIFS($C$2:C838, $B$2:B838, B838)</f>
        <v>18.363636363636363</v>
      </c>
      <c r="AI838" s="86">
        <f>AVERAGEIFS($I$2:I838, $B$2:B838, B838)</f>
        <v>0.49363636363636348</v>
      </c>
      <c r="AJ838" s="86">
        <f>AVERAGEIFS($J$2:J838, $B$2:B838, B838)</f>
        <v>0.48690909090909101</v>
      </c>
      <c r="AK838" s="86">
        <f>AVERAGEIFS($D$2:D838, $B$2:B838, B838)</f>
        <v>0.43636363636363634</v>
      </c>
    </row>
    <row r="839" spans="1:37" x14ac:dyDescent="0.25">
      <c r="A839" s="85">
        <v>46124</v>
      </c>
      <c r="B839" t="s">
        <v>107</v>
      </c>
      <c r="C839">
        <v>21</v>
      </c>
      <c r="D839">
        <v>1</v>
      </c>
      <c r="E839">
        <v>4</v>
      </c>
      <c r="F839">
        <v>3</v>
      </c>
      <c r="G839">
        <v>19</v>
      </c>
      <c r="H839">
        <v>11</v>
      </c>
      <c r="I839">
        <v>0.75</v>
      </c>
      <c r="J839">
        <v>0.57999999999999996</v>
      </c>
      <c r="K839">
        <v>0</v>
      </c>
      <c r="L839">
        <v>1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1</v>
      </c>
      <c r="V839">
        <v>1</v>
      </c>
      <c r="W839">
        <v>0</v>
      </c>
      <c r="X839">
        <v>0</v>
      </c>
      <c r="Y839">
        <v>0</v>
      </c>
      <c r="Z839">
        <v>0</v>
      </c>
      <c r="AA839">
        <v>0</v>
      </c>
      <c r="AB839">
        <v>0</v>
      </c>
      <c r="AC839">
        <v>0</v>
      </c>
      <c r="AD839">
        <v>0</v>
      </c>
      <c r="AE839">
        <v>0</v>
      </c>
      <c r="AF839">
        <v>0</v>
      </c>
      <c r="AG839">
        <v>0</v>
      </c>
      <c r="AH839" s="86">
        <f>AVERAGEIFS($C$2:C839, $B$2:B839, B839)</f>
        <v>16.411764705882351</v>
      </c>
      <c r="AI839" s="86">
        <f>AVERAGEIFS($I$2:I839, $B$2:B839, B839)</f>
        <v>0.51911764705882346</v>
      </c>
      <c r="AJ839" s="86">
        <f>AVERAGEIFS($J$2:J839, $B$2:B839, B839)</f>
        <v>0.51147058823529412</v>
      </c>
      <c r="AK839" s="86">
        <f>AVERAGEIFS($D$2:D839, $B$2:B839, B839)</f>
        <v>0.55882352941176472</v>
      </c>
    </row>
    <row r="840" spans="1:37" x14ac:dyDescent="0.25">
      <c r="A840" s="85">
        <v>46124</v>
      </c>
      <c r="B840" t="s">
        <v>113</v>
      </c>
      <c r="C840">
        <v>36</v>
      </c>
      <c r="D840">
        <v>1</v>
      </c>
      <c r="E840">
        <v>4</v>
      </c>
      <c r="F840">
        <v>3</v>
      </c>
      <c r="G840">
        <v>19</v>
      </c>
      <c r="H840">
        <v>11</v>
      </c>
      <c r="I840">
        <v>0.75</v>
      </c>
      <c r="J840">
        <v>0.57999999999999996</v>
      </c>
      <c r="K840">
        <v>0</v>
      </c>
      <c r="L840">
        <v>1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1</v>
      </c>
      <c r="V840">
        <v>1</v>
      </c>
      <c r="W840">
        <v>0</v>
      </c>
      <c r="X840">
        <v>0</v>
      </c>
      <c r="Y840">
        <v>0</v>
      </c>
      <c r="Z840">
        <v>0</v>
      </c>
      <c r="AA840">
        <v>0</v>
      </c>
      <c r="AB840">
        <v>0</v>
      </c>
      <c r="AC840">
        <v>0</v>
      </c>
      <c r="AD840">
        <v>0</v>
      </c>
      <c r="AE840">
        <v>0</v>
      </c>
      <c r="AF840">
        <v>0</v>
      </c>
      <c r="AG840">
        <v>0</v>
      </c>
      <c r="AH840" s="86">
        <f>AVERAGEIFS($C$2:C840, $B$2:B840, B840)</f>
        <v>17.7</v>
      </c>
      <c r="AI840" s="86">
        <f>AVERAGEIFS($I$2:I840, $B$2:B840, B840)</f>
        <v>0.56833333333333336</v>
      </c>
      <c r="AJ840" s="86">
        <f>AVERAGEIFS($J$2:J840, $B$2:B840, B840)</f>
        <v>0.52200000000000013</v>
      </c>
      <c r="AK840" s="86">
        <f>AVERAGEIFS($D$2:D840, $B$2:B840, B840)</f>
        <v>0.56666666666666665</v>
      </c>
    </row>
    <row r="841" spans="1:37" x14ac:dyDescent="0.25">
      <c r="A841" s="85">
        <v>46124</v>
      </c>
      <c r="B841" t="s">
        <v>71</v>
      </c>
      <c r="C841">
        <v>23</v>
      </c>
      <c r="D841">
        <v>1</v>
      </c>
      <c r="E841">
        <v>4</v>
      </c>
      <c r="F841">
        <v>3</v>
      </c>
      <c r="G841">
        <v>19</v>
      </c>
      <c r="H841">
        <v>11</v>
      </c>
      <c r="I841">
        <v>0.75</v>
      </c>
      <c r="J841">
        <v>0.57999999999999996</v>
      </c>
      <c r="K841">
        <v>0</v>
      </c>
      <c r="L841">
        <v>1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1</v>
      </c>
      <c r="V841">
        <v>1</v>
      </c>
      <c r="W841">
        <v>0</v>
      </c>
      <c r="X841">
        <v>0</v>
      </c>
      <c r="Y841">
        <v>0</v>
      </c>
      <c r="Z841">
        <v>0</v>
      </c>
      <c r="AA841">
        <v>0</v>
      </c>
      <c r="AB841">
        <v>0</v>
      </c>
      <c r="AC841">
        <v>0</v>
      </c>
      <c r="AD841">
        <v>0</v>
      </c>
      <c r="AE841">
        <v>0</v>
      </c>
      <c r="AF841">
        <v>0</v>
      </c>
      <c r="AG841">
        <v>0</v>
      </c>
      <c r="AH841" s="86">
        <f>AVERAGEIFS($C$2:C841, $B$2:B841, B841)</f>
        <v>12.653846153846153</v>
      </c>
      <c r="AI841" s="86">
        <f>AVERAGEIFS($I$2:I841, $B$2:B841, B841)</f>
        <v>0.45192307692307693</v>
      </c>
      <c r="AJ841" s="86">
        <f>AVERAGEIFS($J$2:J841, $B$2:B841, B841)</f>
        <v>0.4696153846153846</v>
      </c>
      <c r="AK841" s="86">
        <f>AVERAGEIFS($D$2:D841, $B$2:B841, B841)</f>
        <v>0.5</v>
      </c>
    </row>
    <row r="842" spans="1:37" x14ac:dyDescent="0.25">
      <c r="A842" s="85">
        <v>46126</v>
      </c>
      <c r="B842" t="s">
        <v>42</v>
      </c>
      <c r="C842">
        <v>12</v>
      </c>
      <c r="D842">
        <v>1</v>
      </c>
      <c r="E842">
        <v>3</v>
      </c>
      <c r="F842">
        <v>3</v>
      </c>
      <c r="G842">
        <v>11</v>
      </c>
      <c r="H842">
        <v>9</v>
      </c>
      <c r="I842">
        <v>1</v>
      </c>
      <c r="J842">
        <v>0.82</v>
      </c>
      <c r="K842">
        <v>0</v>
      </c>
      <c r="L842">
        <v>0</v>
      </c>
      <c r="M842">
        <v>1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1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>
        <v>0</v>
      </c>
      <c r="AB842">
        <v>0</v>
      </c>
      <c r="AC842">
        <v>0</v>
      </c>
      <c r="AD842">
        <v>0</v>
      </c>
      <c r="AE842">
        <v>0</v>
      </c>
      <c r="AF842">
        <v>0</v>
      </c>
      <c r="AG842">
        <v>1</v>
      </c>
      <c r="AH842" s="86">
        <f>AVERAGEIFS($C$2:C842, $B$2:B842, B842)</f>
        <v>18.722222222222221</v>
      </c>
      <c r="AI842" s="86">
        <f>AVERAGEIFS($I$2:I842, $B$2:B842, B842)</f>
        <v>0.44444444444444442</v>
      </c>
      <c r="AJ842" s="86">
        <f>AVERAGEIFS($J$2:J842, $B$2:B842, B842)</f>
        <v>0.45611111111111108</v>
      </c>
      <c r="AK842" s="86">
        <f>AVERAGEIFS($D$2:D842, $B$2:B842, B842)</f>
        <v>0.44444444444444442</v>
      </c>
    </row>
    <row r="843" spans="1:37" x14ac:dyDescent="0.25">
      <c r="A843" s="85">
        <v>46126</v>
      </c>
      <c r="B843" t="s">
        <v>44</v>
      </c>
      <c r="C843">
        <v>10</v>
      </c>
      <c r="D843">
        <v>1</v>
      </c>
      <c r="E843">
        <v>3</v>
      </c>
      <c r="F843">
        <v>3</v>
      </c>
      <c r="G843">
        <v>11</v>
      </c>
      <c r="H843">
        <v>9</v>
      </c>
      <c r="I843">
        <v>1</v>
      </c>
      <c r="J843">
        <v>0.82</v>
      </c>
      <c r="K843">
        <v>0</v>
      </c>
      <c r="L843">
        <v>0</v>
      </c>
      <c r="M843">
        <v>1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1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>
        <v>0</v>
      </c>
      <c r="AB843">
        <v>0</v>
      </c>
      <c r="AC843">
        <v>0</v>
      </c>
      <c r="AD843">
        <v>0</v>
      </c>
      <c r="AE843">
        <v>0</v>
      </c>
      <c r="AF843">
        <v>0</v>
      </c>
      <c r="AG843">
        <v>1</v>
      </c>
      <c r="AH843" s="86">
        <f>AVERAGEIFS($C$2:C843, $B$2:B843, B843)</f>
        <v>16.742857142857144</v>
      </c>
      <c r="AI843" s="86">
        <f>AVERAGEIFS($I$2:I843, $B$2:B843, B843)</f>
        <v>0.50285714285714278</v>
      </c>
      <c r="AJ843" s="86">
        <f>AVERAGEIFS($J$2:J843, $B$2:B843, B843)</f>
        <v>0.51942857142857146</v>
      </c>
      <c r="AK843" s="86">
        <f>AVERAGEIFS($D$2:D843, $B$2:B843, B843)</f>
        <v>0.6</v>
      </c>
    </row>
    <row r="844" spans="1:37" x14ac:dyDescent="0.25">
      <c r="A844" s="85">
        <v>46126</v>
      </c>
      <c r="B844" t="s">
        <v>113</v>
      </c>
      <c r="C844">
        <v>12</v>
      </c>
      <c r="D844">
        <v>1</v>
      </c>
      <c r="E844">
        <v>3</v>
      </c>
      <c r="F844">
        <v>3</v>
      </c>
      <c r="G844">
        <v>11</v>
      </c>
      <c r="H844">
        <v>9</v>
      </c>
      <c r="I844">
        <v>1</v>
      </c>
      <c r="J844">
        <v>0.82</v>
      </c>
      <c r="K844">
        <v>0</v>
      </c>
      <c r="L844">
        <v>0</v>
      </c>
      <c r="M844">
        <v>1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1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>
        <v>0</v>
      </c>
      <c r="AB844">
        <v>0</v>
      </c>
      <c r="AC844">
        <v>0</v>
      </c>
      <c r="AD844">
        <v>0</v>
      </c>
      <c r="AE844">
        <v>0</v>
      </c>
      <c r="AF844">
        <v>0</v>
      </c>
      <c r="AG844">
        <v>1</v>
      </c>
      <c r="AH844" s="86">
        <f>AVERAGEIFS($C$2:C844, $B$2:B844, B844)</f>
        <v>17.516129032258064</v>
      </c>
      <c r="AI844" s="86">
        <f>AVERAGEIFS($I$2:I844, $B$2:B844, B844)</f>
        <v>0.58225806451612905</v>
      </c>
      <c r="AJ844" s="86">
        <f>AVERAGEIFS($J$2:J844, $B$2:B844, B844)</f>
        <v>0.53161290322580657</v>
      </c>
      <c r="AK844" s="86">
        <f>AVERAGEIFS($D$2:D844, $B$2:B844, B844)</f>
        <v>0.58064516129032262</v>
      </c>
    </row>
    <row r="845" spans="1:37" x14ac:dyDescent="0.25">
      <c r="A845" s="85">
        <v>46126</v>
      </c>
      <c r="B845" t="s">
        <v>161</v>
      </c>
      <c r="C845">
        <v>4</v>
      </c>
      <c r="D845">
        <v>1</v>
      </c>
      <c r="E845">
        <v>3</v>
      </c>
      <c r="F845">
        <v>3</v>
      </c>
      <c r="G845">
        <v>11</v>
      </c>
      <c r="H845">
        <v>9</v>
      </c>
      <c r="I845">
        <v>1</v>
      </c>
      <c r="J845">
        <v>0.82</v>
      </c>
      <c r="K845">
        <v>0</v>
      </c>
      <c r="L845">
        <v>0</v>
      </c>
      <c r="M845">
        <v>1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1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>
        <v>0</v>
      </c>
      <c r="AB845">
        <v>0</v>
      </c>
      <c r="AC845">
        <v>0</v>
      </c>
      <c r="AD845">
        <v>0</v>
      </c>
      <c r="AE845">
        <v>0</v>
      </c>
      <c r="AF845">
        <v>0</v>
      </c>
      <c r="AG845">
        <v>1</v>
      </c>
      <c r="AH845" s="86">
        <f>AVERAGEIFS($C$2:C845, $B$2:B845, B845)</f>
        <v>6</v>
      </c>
      <c r="AI845" s="86">
        <f>AVERAGEIFS($I$2:I845, $B$2:B845, B845)</f>
        <v>0.83333333333333337</v>
      </c>
      <c r="AJ845" s="86">
        <f>AVERAGEIFS($J$2:J845, $B$2:B845, B845)</f>
        <v>0.66333333333333322</v>
      </c>
      <c r="AK845" s="86">
        <f>AVERAGEIFS($D$2:D845, $B$2:B845, B845)</f>
        <v>1</v>
      </c>
    </row>
    <row r="846" spans="1:37" x14ac:dyDescent="0.25">
      <c r="A846" s="85">
        <v>46126</v>
      </c>
      <c r="B846" t="s">
        <v>150</v>
      </c>
      <c r="C846">
        <v>15</v>
      </c>
      <c r="D846">
        <v>1</v>
      </c>
      <c r="E846">
        <v>3</v>
      </c>
      <c r="F846">
        <v>3</v>
      </c>
      <c r="G846">
        <v>11</v>
      </c>
      <c r="H846">
        <v>9</v>
      </c>
      <c r="I846">
        <v>1</v>
      </c>
      <c r="J846">
        <v>0.82</v>
      </c>
      <c r="K846">
        <v>0</v>
      </c>
      <c r="L846">
        <v>0</v>
      </c>
      <c r="M846">
        <v>1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1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>
        <v>0</v>
      </c>
      <c r="AB846">
        <v>0</v>
      </c>
      <c r="AC846">
        <v>0</v>
      </c>
      <c r="AD846">
        <v>0</v>
      </c>
      <c r="AE846">
        <v>0</v>
      </c>
      <c r="AF846">
        <v>0</v>
      </c>
      <c r="AG846">
        <v>1</v>
      </c>
      <c r="AH846" s="86">
        <f>AVERAGEIFS($C$2:C846, $B$2:B846, B846)</f>
        <v>15.923076923076923</v>
      </c>
      <c r="AI846" s="86">
        <f>AVERAGEIFS($I$2:I846, $B$2:B846, B846)</f>
        <v>0.61153846153846159</v>
      </c>
      <c r="AJ846" s="86">
        <f>AVERAGEIFS($J$2:J846, $B$2:B846, B846)</f>
        <v>0.58692307692307699</v>
      </c>
      <c r="AK846" s="86">
        <f>AVERAGEIFS($D$2:D846, $B$2:B846, B846)</f>
        <v>0.53846153846153844</v>
      </c>
    </row>
    <row r="847" spans="1:37" x14ac:dyDescent="0.25">
      <c r="A847" s="85">
        <v>46126</v>
      </c>
      <c r="B847" t="s">
        <v>54</v>
      </c>
      <c r="C847">
        <v>16</v>
      </c>
      <c r="D847">
        <v>1</v>
      </c>
      <c r="E847">
        <v>3</v>
      </c>
      <c r="F847">
        <v>3</v>
      </c>
      <c r="G847">
        <v>11</v>
      </c>
      <c r="H847">
        <v>9</v>
      </c>
      <c r="I847">
        <v>1</v>
      </c>
      <c r="J847">
        <v>0.82</v>
      </c>
      <c r="K847">
        <v>0</v>
      </c>
      <c r="L847">
        <v>0</v>
      </c>
      <c r="M847">
        <v>1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1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>
        <v>0</v>
      </c>
      <c r="AB847">
        <v>0</v>
      </c>
      <c r="AC847">
        <v>0</v>
      </c>
      <c r="AD847">
        <v>0</v>
      </c>
      <c r="AE847">
        <v>0</v>
      </c>
      <c r="AF847">
        <v>0</v>
      </c>
      <c r="AG847">
        <v>1</v>
      </c>
      <c r="AH847" s="86">
        <f>AVERAGEIFS($C$2:C847, $B$2:B847, B847)</f>
        <v>23.903846153846153</v>
      </c>
      <c r="AI847" s="86">
        <f>AVERAGEIFS($I$2:I847, $B$2:B847, B847)</f>
        <v>0.55807692307692314</v>
      </c>
      <c r="AJ847" s="86">
        <f>AVERAGEIFS($J$2:J847, $B$2:B847, B847)</f>
        <v>0.52769230769230768</v>
      </c>
      <c r="AK847" s="86">
        <f>AVERAGEIFS($D$2:D847, $B$2:B847, B847)</f>
        <v>0.57692307692307687</v>
      </c>
    </row>
    <row r="848" spans="1:37" x14ac:dyDescent="0.25">
      <c r="A848" s="85">
        <v>46126</v>
      </c>
      <c r="B848" t="s">
        <v>5</v>
      </c>
      <c r="C848">
        <v>9</v>
      </c>
      <c r="D848">
        <v>0</v>
      </c>
      <c r="E848">
        <v>3</v>
      </c>
      <c r="F848">
        <v>0</v>
      </c>
      <c r="G848">
        <v>11</v>
      </c>
      <c r="H848">
        <v>2</v>
      </c>
      <c r="I848">
        <v>0</v>
      </c>
      <c r="J848">
        <v>0.18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>
        <v>0</v>
      </c>
      <c r="AB848">
        <v>0</v>
      </c>
      <c r="AC848">
        <v>0</v>
      </c>
      <c r="AD848">
        <v>0</v>
      </c>
      <c r="AE848">
        <v>0</v>
      </c>
      <c r="AF848">
        <v>0</v>
      </c>
      <c r="AG848">
        <v>0</v>
      </c>
      <c r="AH848" s="86">
        <f>AVERAGEIFS($C$2:C848, $B$2:B848, B848)</f>
        <v>19.666666666666668</v>
      </c>
      <c r="AI848" s="86">
        <f>AVERAGEIFS($I$2:I848, $B$2:B848, B848)</f>
        <v>0.62238095238095226</v>
      </c>
      <c r="AJ848" s="86">
        <f>AVERAGEIFS($J$2:J848, $B$2:B848, B848)</f>
        <v>0.55666666666666664</v>
      </c>
      <c r="AK848" s="86">
        <f>AVERAGEIFS($D$2:D848, $B$2:B848, B848)</f>
        <v>0.76190476190476186</v>
      </c>
    </row>
    <row r="849" spans="1:37" x14ac:dyDescent="0.25">
      <c r="A849" s="85">
        <v>46126</v>
      </c>
      <c r="B849" t="s">
        <v>6</v>
      </c>
      <c r="C849">
        <v>10</v>
      </c>
      <c r="D849">
        <v>0</v>
      </c>
      <c r="E849">
        <v>3</v>
      </c>
      <c r="F849">
        <v>0</v>
      </c>
      <c r="G849">
        <v>11</v>
      </c>
      <c r="H849">
        <v>2</v>
      </c>
      <c r="I849">
        <v>0</v>
      </c>
      <c r="J849">
        <v>0.18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>
        <v>0</v>
      </c>
      <c r="AB849">
        <v>0</v>
      </c>
      <c r="AC849">
        <v>0</v>
      </c>
      <c r="AD849">
        <v>0</v>
      </c>
      <c r="AE849">
        <v>0</v>
      </c>
      <c r="AF849">
        <v>0</v>
      </c>
      <c r="AG849">
        <v>0</v>
      </c>
      <c r="AH849" s="86">
        <f>AVERAGEIFS($C$2:C849, $B$2:B849, B849)</f>
        <v>21.892857142857142</v>
      </c>
      <c r="AI849" s="86">
        <f>AVERAGEIFS($I$2:I849, $B$2:B849, B849)</f>
        <v>0.51035714285714284</v>
      </c>
      <c r="AJ849" s="86">
        <f>AVERAGEIFS($J$2:J849, $B$2:B849, B849)</f>
        <v>0.50821428571428573</v>
      </c>
      <c r="AK849" s="86">
        <f>AVERAGEIFS($D$2:D849, $B$2:B849, B849)</f>
        <v>0.5714285714285714</v>
      </c>
    </row>
    <row r="850" spans="1:37" x14ac:dyDescent="0.25">
      <c r="A850" s="85">
        <v>46126</v>
      </c>
      <c r="B850" t="s">
        <v>107</v>
      </c>
      <c r="C850">
        <v>9</v>
      </c>
      <c r="D850">
        <v>0</v>
      </c>
      <c r="E850">
        <v>3</v>
      </c>
      <c r="F850">
        <v>0</v>
      </c>
      <c r="G850">
        <v>11</v>
      </c>
      <c r="H850">
        <v>2</v>
      </c>
      <c r="I850">
        <v>0</v>
      </c>
      <c r="J850">
        <v>0.18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0</v>
      </c>
      <c r="Z850">
        <v>0</v>
      </c>
      <c r="AA850">
        <v>0</v>
      </c>
      <c r="AB850">
        <v>0</v>
      </c>
      <c r="AC850">
        <v>0</v>
      </c>
      <c r="AD850">
        <v>0</v>
      </c>
      <c r="AE850">
        <v>0</v>
      </c>
      <c r="AF850">
        <v>0</v>
      </c>
      <c r="AG850">
        <v>0</v>
      </c>
      <c r="AH850" s="86">
        <f>AVERAGEIFS($C$2:C850, $B$2:B850, B850)</f>
        <v>16.2</v>
      </c>
      <c r="AI850" s="86">
        <f>AVERAGEIFS($I$2:I850, $B$2:B850, B850)</f>
        <v>0.50428571428571423</v>
      </c>
      <c r="AJ850" s="86">
        <f>AVERAGEIFS($J$2:J850, $B$2:B850, B850)</f>
        <v>0.502</v>
      </c>
      <c r="AK850" s="86">
        <f>AVERAGEIFS($D$2:D850, $B$2:B850, B850)</f>
        <v>0.54285714285714282</v>
      </c>
    </row>
    <row r="851" spans="1:37" x14ac:dyDescent="0.25">
      <c r="A851" s="85">
        <v>46126</v>
      </c>
      <c r="B851" t="s">
        <v>166</v>
      </c>
      <c r="C851">
        <v>3</v>
      </c>
      <c r="D851">
        <v>0</v>
      </c>
      <c r="E851">
        <v>3</v>
      </c>
      <c r="F851">
        <v>0</v>
      </c>
      <c r="G851">
        <v>11</v>
      </c>
      <c r="H851">
        <v>2</v>
      </c>
      <c r="I851">
        <v>0</v>
      </c>
      <c r="J851">
        <v>0.18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>
        <v>0</v>
      </c>
      <c r="AB851">
        <v>0</v>
      </c>
      <c r="AC851">
        <v>0</v>
      </c>
      <c r="AD851">
        <v>0</v>
      </c>
      <c r="AE851">
        <v>0</v>
      </c>
      <c r="AF851">
        <v>0</v>
      </c>
      <c r="AG851">
        <v>0</v>
      </c>
      <c r="AH851" s="86">
        <f>AVERAGEIFS($C$2:C851, $B$2:B851, B851)</f>
        <v>3</v>
      </c>
      <c r="AI851" s="86">
        <f>AVERAGEIFS($I$2:I851, $B$2:B851, B851)</f>
        <v>0</v>
      </c>
      <c r="AJ851" s="86">
        <f>AVERAGEIFS($J$2:J851, $B$2:B851, B851)</f>
        <v>0.18</v>
      </c>
      <c r="AK851" s="86">
        <f>AVERAGEIFS($D$2:D851, $B$2:B851, B851)</f>
        <v>0</v>
      </c>
    </row>
    <row r="852" spans="1:37" x14ac:dyDescent="0.25">
      <c r="A852" s="85">
        <v>46126</v>
      </c>
      <c r="B852" t="s">
        <v>53</v>
      </c>
      <c r="C852">
        <v>11</v>
      </c>
      <c r="D852">
        <v>0</v>
      </c>
      <c r="E852">
        <v>3</v>
      </c>
      <c r="F852">
        <v>0</v>
      </c>
      <c r="G852">
        <v>11</v>
      </c>
      <c r="H852">
        <v>2</v>
      </c>
      <c r="I852">
        <v>0</v>
      </c>
      <c r="J852">
        <v>0.18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>
        <v>0</v>
      </c>
      <c r="AB852">
        <v>0</v>
      </c>
      <c r="AC852">
        <v>0</v>
      </c>
      <c r="AD852">
        <v>0</v>
      </c>
      <c r="AE852">
        <v>0</v>
      </c>
      <c r="AF852">
        <v>0</v>
      </c>
      <c r="AG852">
        <v>0</v>
      </c>
      <c r="AH852" s="86">
        <f>AVERAGEIFS($C$2:C852, $B$2:B852, B852)</f>
        <v>14.869565217391305</v>
      </c>
      <c r="AI852" s="86">
        <f>AVERAGEIFS($I$2:I852, $B$2:B852, B852)</f>
        <v>0.51521739130434785</v>
      </c>
      <c r="AJ852" s="86">
        <f>AVERAGEIFS($J$2:J852, $B$2:B852, B852)</f>
        <v>0.50695652173913053</v>
      </c>
      <c r="AK852" s="86">
        <f>AVERAGEIFS($D$2:D852, $B$2:B852, B852)</f>
        <v>0.43478260869565216</v>
      </c>
    </row>
    <row r="853" spans="1:37" x14ac:dyDescent="0.25">
      <c r="A853" s="85">
        <v>46126</v>
      </c>
      <c r="B853" t="s">
        <v>35</v>
      </c>
      <c r="C853">
        <v>9</v>
      </c>
      <c r="D853">
        <v>0</v>
      </c>
      <c r="E853">
        <v>3</v>
      </c>
      <c r="F853">
        <v>0</v>
      </c>
      <c r="G853">
        <v>11</v>
      </c>
      <c r="H853">
        <v>2</v>
      </c>
      <c r="I853">
        <v>0</v>
      </c>
      <c r="J853">
        <v>0.18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>
        <v>0</v>
      </c>
      <c r="AB853">
        <v>0</v>
      </c>
      <c r="AC853">
        <v>0</v>
      </c>
      <c r="AD853">
        <v>0</v>
      </c>
      <c r="AE853">
        <v>0</v>
      </c>
      <c r="AF853">
        <v>0</v>
      </c>
      <c r="AG853">
        <v>0</v>
      </c>
      <c r="AH853" s="86">
        <f>AVERAGEIFS($C$2:C853, $B$2:B853, B853)</f>
        <v>10.810810810810811</v>
      </c>
      <c r="AI853" s="86">
        <f>AVERAGEIFS($I$2:I853, $B$2:B853, B853)</f>
        <v>0.45486486486486494</v>
      </c>
      <c r="AJ853" s="86">
        <f>AVERAGEIFS($J$2:J853, $B$2:B853, B853)</f>
        <v>0.48027027027027025</v>
      </c>
      <c r="AK853" s="86">
        <f>AVERAGEIFS($D$2:D853, $B$2:B853, B853)</f>
        <v>0.43243243243243246</v>
      </c>
    </row>
    <row r="854" spans="1:37" x14ac:dyDescent="0.25">
      <c r="A854" s="85">
        <v>46126</v>
      </c>
      <c r="B854" t="s">
        <v>54</v>
      </c>
      <c r="C854">
        <v>10</v>
      </c>
      <c r="D854">
        <v>0</v>
      </c>
      <c r="E854">
        <v>4</v>
      </c>
      <c r="F854">
        <v>1</v>
      </c>
      <c r="G854">
        <v>15</v>
      </c>
      <c r="H854">
        <v>4</v>
      </c>
      <c r="I854">
        <v>0.25</v>
      </c>
      <c r="J854">
        <v>0.27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1</v>
      </c>
      <c r="AA854">
        <v>0</v>
      </c>
      <c r="AB854">
        <v>0</v>
      </c>
      <c r="AC854">
        <v>0</v>
      </c>
      <c r="AD854">
        <v>0</v>
      </c>
      <c r="AE854">
        <v>0</v>
      </c>
      <c r="AF854">
        <v>0</v>
      </c>
      <c r="AG854">
        <v>0</v>
      </c>
      <c r="AH854" s="86">
        <f>AVERAGEIFS($C$2:C854, $B$2:B854, B854)</f>
        <v>23.641509433962263</v>
      </c>
      <c r="AI854" s="86">
        <f>AVERAGEIFS($I$2:I854, $B$2:B854, B854)</f>
        <v>0.55226415094339631</v>
      </c>
      <c r="AJ854" s="86">
        <f>AVERAGEIFS($J$2:J854, $B$2:B854, B854)</f>
        <v>0.52283018867924524</v>
      </c>
      <c r="AK854" s="86">
        <f>AVERAGEIFS($D$2:D854, $B$2:B854, B854)</f>
        <v>0.56603773584905659</v>
      </c>
    </row>
    <row r="855" spans="1:37" x14ac:dyDescent="0.25">
      <c r="A855" s="85">
        <v>46126</v>
      </c>
      <c r="B855" t="s">
        <v>42</v>
      </c>
      <c r="C855">
        <v>17</v>
      </c>
      <c r="D855">
        <v>0</v>
      </c>
      <c r="E855">
        <v>4</v>
      </c>
      <c r="F855">
        <v>1</v>
      </c>
      <c r="G855">
        <v>15</v>
      </c>
      <c r="H855">
        <v>4</v>
      </c>
      <c r="I855">
        <v>0.25</v>
      </c>
      <c r="J855">
        <v>0.27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1</v>
      </c>
      <c r="AA855">
        <v>0</v>
      </c>
      <c r="AB855">
        <v>0</v>
      </c>
      <c r="AC855">
        <v>0</v>
      </c>
      <c r="AD855">
        <v>0</v>
      </c>
      <c r="AE855">
        <v>0</v>
      </c>
      <c r="AF855">
        <v>0</v>
      </c>
      <c r="AG855">
        <v>0</v>
      </c>
      <c r="AH855" s="86">
        <f>AVERAGEIFS($C$2:C855, $B$2:B855, B855)</f>
        <v>18.675675675675677</v>
      </c>
      <c r="AI855" s="86">
        <f>AVERAGEIFS($I$2:I855, $B$2:B855, B855)</f>
        <v>0.4391891891891892</v>
      </c>
      <c r="AJ855" s="86">
        <f>AVERAGEIFS($J$2:J855, $B$2:B855, B855)</f>
        <v>0.45108108108108103</v>
      </c>
      <c r="AK855" s="86">
        <f>AVERAGEIFS($D$2:D855, $B$2:B855, B855)</f>
        <v>0.43243243243243246</v>
      </c>
    </row>
    <row r="856" spans="1:37" x14ac:dyDescent="0.25">
      <c r="A856" s="85">
        <v>46126</v>
      </c>
      <c r="B856" t="s">
        <v>113</v>
      </c>
      <c r="C856">
        <v>16</v>
      </c>
      <c r="D856">
        <v>0</v>
      </c>
      <c r="E856">
        <v>4</v>
      </c>
      <c r="F856">
        <v>1</v>
      </c>
      <c r="G856">
        <v>15</v>
      </c>
      <c r="H856">
        <v>4</v>
      </c>
      <c r="I856">
        <v>0.25</v>
      </c>
      <c r="J856">
        <v>0.27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1</v>
      </c>
      <c r="AA856">
        <v>0</v>
      </c>
      <c r="AB856">
        <v>0</v>
      </c>
      <c r="AC856">
        <v>0</v>
      </c>
      <c r="AD856">
        <v>0</v>
      </c>
      <c r="AE856">
        <v>0</v>
      </c>
      <c r="AF856">
        <v>0</v>
      </c>
      <c r="AG856">
        <v>0</v>
      </c>
      <c r="AH856" s="86">
        <f>AVERAGEIFS($C$2:C856, $B$2:B856, B856)</f>
        <v>17.46875</v>
      </c>
      <c r="AI856" s="86">
        <f>AVERAGEIFS($I$2:I856, $B$2:B856, B856)</f>
        <v>0.57187500000000002</v>
      </c>
      <c r="AJ856" s="86">
        <f>AVERAGEIFS($J$2:J856, $B$2:B856, B856)</f>
        <v>0.52343750000000011</v>
      </c>
      <c r="AK856" s="86">
        <f>AVERAGEIFS($D$2:D856, $B$2:B856, B856)</f>
        <v>0.5625</v>
      </c>
    </row>
    <row r="857" spans="1:37" x14ac:dyDescent="0.25">
      <c r="A857" s="85">
        <v>46126</v>
      </c>
      <c r="B857" t="s">
        <v>53</v>
      </c>
      <c r="C857">
        <v>13</v>
      </c>
      <c r="D857">
        <v>0</v>
      </c>
      <c r="E857">
        <v>4</v>
      </c>
      <c r="F857">
        <v>1</v>
      </c>
      <c r="G857">
        <v>15</v>
      </c>
      <c r="H857">
        <v>4</v>
      </c>
      <c r="I857">
        <v>0.25</v>
      </c>
      <c r="J857">
        <v>0.27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1</v>
      </c>
      <c r="AA857">
        <v>0</v>
      </c>
      <c r="AB857">
        <v>0</v>
      </c>
      <c r="AC857">
        <v>0</v>
      </c>
      <c r="AD857">
        <v>0</v>
      </c>
      <c r="AE857">
        <v>0</v>
      </c>
      <c r="AF857">
        <v>0</v>
      </c>
      <c r="AG857">
        <v>0</v>
      </c>
      <c r="AH857" s="86">
        <f>AVERAGEIFS($C$2:C857, $B$2:B857, B857)</f>
        <v>14.791666666666666</v>
      </c>
      <c r="AI857" s="86">
        <f>AVERAGEIFS($I$2:I857, $B$2:B857, B857)</f>
        <v>0.50416666666666676</v>
      </c>
      <c r="AJ857" s="86">
        <f>AVERAGEIFS($J$2:J857, $B$2:B857, B857)</f>
        <v>0.49708333333333338</v>
      </c>
      <c r="AK857" s="86">
        <f>AVERAGEIFS($D$2:D857, $B$2:B857, B857)</f>
        <v>0.41666666666666669</v>
      </c>
    </row>
    <row r="858" spans="1:37" x14ac:dyDescent="0.25">
      <c r="A858" s="85">
        <v>46126</v>
      </c>
      <c r="B858" t="s">
        <v>35</v>
      </c>
      <c r="C858">
        <v>5</v>
      </c>
      <c r="D858">
        <v>0</v>
      </c>
      <c r="E858">
        <v>4</v>
      </c>
      <c r="F858">
        <v>1</v>
      </c>
      <c r="G858">
        <v>15</v>
      </c>
      <c r="H858">
        <v>4</v>
      </c>
      <c r="I858">
        <v>0.25</v>
      </c>
      <c r="J858">
        <v>0.27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1</v>
      </c>
      <c r="AA858">
        <v>0</v>
      </c>
      <c r="AB858">
        <v>0</v>
      </c>
      <c r="AC858">
        <v>0</v>
      </c>
      <c r="AD858">
        <v>0</v>
      </c>
      <c r="AE858">
        <v>0</v>
      </c>
      <c r="AF858">
        <v>0</v>
      </c>
      <c r="AG858">
        <v>0</v>
      </c>
      <c r="AH858" s="86">
        <f>AVERAGEIFS($C$2:C858, $B$2:B858, B858)</f>
        <v>10.657894736842104</v>
      </c>
      <c r="AI858" s="86">
        <f>AVERAGEIFS($I$2:I858, $B$2:B858, B858)</f>
        <v>0.44947368421052636</v>
      </c>
      <c r="AJ858" s="86">
        <f>AVERAGEIFS($J$2:J858, $B$2:B858, B858)</f>
        <v>0.47473684210526312</v>
      </c>
      <c r="AK858" s="86">
        <f>AVERAGEIFS($D$2:D858, $B$2:B858, B858)</f>
        <v>0.42105263157894735</v>
      </c>
    </row>
    <row r="859" spans="1:37" x14ac:dyDescent="0.25">
      <c r="A859" s="85">
        <v>46126</v>
      </c>
      <c r="B859" t="s">
        <v>161</v>
      </c>
      <c r="C859">
        <v>4</v>
      </c>
      <c r="D859">
        <v>0</v>
      </c>
      <c r="E859">
        <v>4</v>
      </c>
      <c r="F859">
        <v>1</v>
      </c>
      <c r="G859">
        <v>15</v>
      </c>
      <c r="H859">
        <v>4</v>
      </c>
      <c r="I859">
        <v>0.25</v>
      </c>
      <c r="J859">
        <v>0.27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0</v>
      </c>
      <c r="Z859">
        <v>1</v>
      </c>
      <c r="AA859">
        <v>0</v>
      </c>
      <c r="AB859">
        <v>0</v>
      </c>
      <c r="AC859">
        <v>0</v>
      </c>
      <c r="AD859">
        <v>0</v>
      </c>
      <c r="AE859">
        <v>0</v>
      </c>
      <c r="AF859">
        <v>0</v>
      </c>
      <c r="AG859">
        <v>0</v>
      </c>
      <c r="AH859" s="86">
        <f>AVERAGEIFS($C$2:C859, $B$2:B859, B859)</f>
        <v>5.5</v>
      </c>
      <c r="AI859" s="86">
        <f>AVERAGEIFS($I$2:I859, $B$2:B859, B859)</f>
        <v>0.6875</v>
      </c>
      <c r="AJ859" s="86">
        <f>AVERAGEIFS($J$2:J859, $B$2:B859, B859)</f>
        <v>0.56499999999999995</v>
      </c>
      <c r="AK859" s="86">
        <f>AVERAGEIFS($D$2:D859, $B$2:B859, B859)</f>
        <v>0.75</v>
      </c>
    </row>
    <row r="860" spans="1:37" x14ac:dyDescent="0.25">
      <c r="A860" s="85">
        <v>46126</v>
      </c>
      <c r="B860" t="s">
        <v>6</v>
      </c>
      <c r="C860">
        <v>21</v>
      </c>
      <c r="D860">
        <v>1</v>
      </c>
      <c r="E860">
        <v>4</v>
      </c>
      <c r="F860">
        <v>3</v>
      </c>
      <c r="G860">
        <v>15</v>
      </c>
      <c r="H860">
        <v>11</v>
      </c>
      <c r="I860">
        <v>0.75</v>
      </c>
      <c r="J860">
        <v>0.73</v>
      </c>
      <c r="K860">
        <v>0</v>
      </c>
      <c r="L860">
        <v>0</v>
      </c>
      <c r="M860">
        <v>0</v>
      </c>
      <c r="N860">
        <v>1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1</v>
      </c>
      <c r="Z860">
        <v>0</v>
      </c>
      <c r="AA860">
        <v>0</v>
      </c>
      <c r="AB860">
        <v>0</v>
      </c>
      <c r="AC860">
        <v>1</v>
      </c>
      <c r="AD860">
        <v>0</v>
      </c>
      <c r="AE860">
        <v>0</v>
      </c>
      <c r="AF860">
        <v>0</v>
      </c>
      <c r="AG860">
        <v>0</v>
      </c>
      <c r="AH860" s="86">
        <f>AVERAGEIFS($C$2:C860, $B$2:B860, B860)</f>
        <v>21.87719298245614</v>
      </c>
      <c r="AI860" s="86">
        <f>AVERAGEIFS($I$2:I860, $B$2:B860, B860)</f>
        <v>0.514561403508772</v>
      </c>
      <c r="AJ860" s="86">
        <f>AVERAGEIFS($J$2:J860, $B$2:B860, B860)</f>
        <v>0.51210526315789473</v>
      </c>
      <c r="AK860" s="86">
        <f>AVERAGEIFS($D$2:D860, $B$2:B860, B860)</f>
        <v>0.57894736842105265</v>
      </c>
    </row>
    <row r="861" spans="1:37" x14ac:dyDescent="0.25">
      <c r="A861" s="85">
        <v>46126</v>
      </c>
      <c r="B861" t="s">
        <v>5</v>
      </c>
      <c r="C861">
        <v>15</v>
      </c>
      <c r="D861">
        <v>1</v>
      </c>
      <c r="E861">
        <v>4</v>
      </c>
      <c r="F861">
        <v>3</v>
      </c>
      <c r="G861">
        <v>15</v>
      </c>
      <c r="H861">
        <v>11</v>
      </c>
      <c r="I861">
        <v>0.75</v>
      </c>
      <c r="J861">
        <v>0.73</v>
      </c>
      <c r="K861">
        <v>0</v>
      </c>
      <c r="L861">
        <v>0</v>
      </c>
      <c r="M861">
        <v>0</v>
      </c>
      <c r="N861">
        <v>1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1</v>
      </c>
      <c r="Z861">
        <v>0</v>
      </c>
      <c r="AA861">
        <v>0</v>
      </c>
      <c r="AB861">
        <v>0</v>
      </c>
      <c r="AC861">
        <v>1</v>
      </c>
      <c r="AD861">
        <v>0</v>
      </c>
      <c r="AE861">
        <v>0</v>
      </c>
      <c r="AF861">
        <v>0</v>
      </c>
      <c r="AG861">
        <v>0</v>
      </c>
      <c r="AH861" s="86">
        <f>AVERAGEIFS($C$2:C861, $B$2:B861, B861)</f>
        <v>19.454545454545453</v>
      </c>
      <c r="AI861" s="86">
        <f>AVERAGEIFS($I$2:I861, $B$2:B861, B861)</f>
        <v>0.62818181818181806</v>
      </c>
      <c r="AJ861" s="86">
        <f>AVERAGEIFS($J$2:J861, $B$2:B861, B861)</f>
        <v>0.56454545454545457</v>
      </c>
      <c r="AK861" s="86">
        <f>AVERAGEIFS($D$2:D861, $B$2:B861, B861)</f>
        <v>0.77272727272727271</v>
      </c>
    </row>
    <row r="862" spans="1:37" x14ac:dyDescent="0.25">
      <c r="A862" s="85">
        <v>46126</v>
      </c>
      <c r="B862" t="s">
        <v>107</v>
      </c>
      <c r="C862">
        <v>16</v>
      </c>
      <c r="D862">
        <v>1</v>
      </c>
      <c r="E862">
        <v>4</v>
      </c>
      <c r="F862">
        <v>3</v>
      </c>
      <c r="G862">
        <v>15</v>
      </c>
      <c r="H862">
        <v>11</v>
      </c>
      <c r="I862">
        <v>0.75</v>
      </c>
      <c r="J862">
        <v>0.73</v>
      </c>
      <c r="K862">
        <v>0</v>
      </c>
      <c r="L862">
        <v>0</v>
      </c>
      <c r="M862">
        <v>0</v>
      </c>
      <c r="N862">
        <v>1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1</v>
      </c>
      <c r="Z862">
        <v>0</v>
      </c>
      <c r="AA862">
        <v>0</v>
      </c>
      <c r="AB862">
        <v>0</v>
      </c>
      <c r="AC862">
        <v>1</v>
      </c>
      <c r="AD862">
        <v>0</v>
      </c>
      <c r="AE862">
        <v>0</v>
      </c>
      <c r="AF862">
        <v>0</v>
      </c>
      <c r="AG862">
        <v>0</v>
      </c>
      <c r="AH862" s="86">
        <f>AVERAGEIFS($C$2:C862, $B$2:B862, B862)</f>
        <v>16.194444444444443</v>
      </c>
      <c r="AI862" s="86">
        <f>AVERAGEIFS($I$2:I862, $B$2:B862, B862)</f>
        <v>0.51111111111111107</v>
      </c>
      <c r="AJ862" s="86">
        <f>AVERAGEIFS($J$2:J862, $B$2:B862, B862)</f>
        <v>0.5083333333333333</v>
      </c>
      <c r="AK862" s="86">
        <f>AVERAGEIFS($D$2:D862, $B$2:B862, B862)</f>
        <v>0.55555555555555558</v>
      </c>
    </row>
    <row r="863" spans="1:37" x14ac:dyDescent="0.25">
      <c r="A863" s="85">
        <v>46126</v>
      </c>
      <c r="B863" t="s">
        <v>150</v>
      </c>
      <c r="C863">
        <v>19</v>
      </c>
      <c r="D863">
        <v>1</v>
      </c>
      <c r="E863">
        <v>4</v>
      </c>
      <c r="F863">
        <v>3</v>
      </c>
      <c r="G863">
        <v>15</v>
      </c>
      <c r="H863">
        <v>11</v>
      </c>
      <c r="I863">
        <v>0.75</v>
      </c>
      <c r="J863">
        <v>0.73</v>
      </c>
      <c r="K863">
        <v>0</v>
      </c>
      <c r="L863">
        <v>0</v>
      </c>
      <c r="M863">
        <v>0</v>
      </c>
      <c r="N863">
        <v>1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1</v>
      </c>
      <c r="Z863">
        <v>0</v>
      </c>
      <c r="AA863">
        <v>0</v>
      </c>
      <c r="AB863">
        <v>0</v>
      </c>
      <c r="AC863">
        <v>1</v>
      </c>
      <c r="AD863">
        <v>0</v>
      </c>
      <c r="AE863">
        <v>0</v>
      </c>
      <c r="AF863">
        <v>0</v>
      </c>
      <c r="AG863">
        <v>0</v>
      </c>
      <c r="AH863" s="86">
        <f>AVERAGEIFS($C$2:C863, $B$2:B863, B863)</f>
        <v>16.142857142857142</v>
      </c>
      <c r="AI863" s="86">
        <f>AVERAGEIFS($I$2:I863, $B$2:B863, B863)</f>
        <v>0.62142857142857133</v>
      </c>
      <c r="AJ863" s="86">
        <f>AVERAGEIFS($J$2:J863, $B$2:B863, B863)</f>
        <v>0.5971428571428572</v>
      </c>
      <c r="AK863" s="86">
        <f>AVERAGEIFS($D$2:D863, $B$2:B863, B863)</f>
        <v>0.5714285714285714</v>
      </c>
    </row>
    <row r="864" spans="1:37" x14ac:dyDescent="0.25">
      <c r="A864" s="85">
        <v>46126</v>
      </c>
      <c r="B864" t="s">
        <v>44</v>
      </c>
      <c r="C864">
        <v>11</v>
      </c>
      <c r="D864">
        <v>1</v>
      </c>
      <c r="E864">
        <v>4</v>
      </c>
      <c r="F864">
        <v>3</v>
      </c>
      <c r="G864">
        <v>15</v>
      </c>
      <c r="H864">
        <v>11</v>
      </c>
      <c r="I864">
        <v>0.75</v>
      </c>
      <c r="J864">
        <v>0.73</v>
      </c>
      <c r="K864">
        <v>0</v>
      </c>
      <c r="L864">
        <v>0</v>
      </c>
      <c r="M864">
        <v>0</v>
      </c>
      <c r="N864">
        <v>1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1</v>
      </c>
      <c r="Z864">
        <v>0</v>
      </c>
      <c r="AA864">
        <v>0</v>
      </c>
      <c r="AB864">
        <v>0</v>
      </c>
      <c r="AC864">
        <v>1</v>
      </c>
      <c r="AD864">
        <v>0</v>
      </c>
      <c r="AE864">
        <v>0</v>
      </c>
      <c r="AF864">
        <v>0</v>
      </c>
      <c r="AG864">
        <v>0</v>
      </c>
      <c r="AH864" s="86">
        <f>AVERAGEIFS($C$2:C864, $B$2:B864, B864)</f>
        <v>16.583333333333332</v>
      </c>
      <c r="AI864" s="86">
        <f>AVERAGEIFS($I$2:I864, $B$2:B864, B864)</f>
        <v>0.50972222222222219</v>
      </c>
      <c r="AJ864" s="86">
        <f>AVERAGEIFS($J$2:J864, $B$2:B864, B864)</f>
        <v>0.52527777777777773</v>
      </c>
      <c r="AK864" s="86">
        <f>AVERAGEIFS($D$2:D864, $B$2:B864, B864)</f>
        <v>0.61111111111111116</v>
      </c>
    </row>
    <row r="865" spans="1:37" x14ac:dyDescent="0.25">
      <c r="A865" s="85">
        <v>46126</v>
      </c>
      <c r="B865" t="s">
        <v>166</v>
      </c>
      <c r="C865">
        <v>8</v>
      </c>
      <c r="D865">
        <v>1</v>
      </c>
      <c r="E865">
        <v>4</v>
      </c>
      <c r="F865">
        <v>3</v>
      </c>
      <c r="G865">
        <v>15</v>
      </c>
      <c r="H865">
        <v>11</v>
      </c>
      <c r="I865">
        <v>0.75</v>
      </c>
      <c r="J865">
        <v>0.73</v>
      </c>
      <c r="K865">
        <v>0</v>
      </c>
      <c r="L865">
        <v>0</v>
      </c>
      <c r="M865">
        <v>0</v>
      </c>
      <c r="N865">
        <v>1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1</v>
      </c>
      <c r="Z865">
        <v>0</v>
      </c>
      <c r="AA865">
        <v>0</v>
      </c>
      <c r="AB865">
        <v>0</v>
      </c>
      <c r="AC865">
        <v>1</v>
      </c>
      <c r="AD865">
        <v>0</v>
      </c>
      <c r="AE865">
        <v>0</v>
      </c>
      <c r="AF865">
        <v>0</v>
      </c>
      <c r="AG865">
        <v>0</v>
      </c>
      <c r="AH865" s="86">
        <f>AVERAGEIFS($C$2:C865, $B$2:B865, B865)</f>
        <v>5.5</v>
      </c>
      <c r="AI865" s="86">
        <f>AVERAGEIFS($I$2:I865, $B$2:B865, B865)</f>
        <v>0.375</v>
      </c>
      <c r="AJ865" s="86">
        <f>AVERAGEIFS($J$2:J865, $B$2:B865, B865)</f>
        <v>0.45499999999999996</v>
      </c>
      <c r="AK865" s="86">
        <f>AVERAGEIFS($D$2:D865, $B$2:B865, B865)</f>
        <v>0.5</v>
      </c>
    </row>
    <row r="866" spans="1:37" x14ac:dyDescent="0.25">
      <c r="A866" s="85">
        <v>46128</v>
      </c>
      <c r="B866" t="s">
        <v>6</v>
      </c>
      <c r="C866">
        <v>20</v>
      </c>
      <c r="D866">
        <v>1</v>
      </c>
      <c r="E866">
        <v>3</v>
      </c>
      <c r="F866">
        <v>3</v>
      </c>
      <c r="G866">
        <v>9</v>
      </c>
      <c r="H866">
        <v>9</v>
      </c>
      <c r="I866">
        <v>1</v>
      </c>
      <c r="J866">
        <v>1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1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0</v>
      </c>
      <c r="Z866">
        <v>0</v>
      </c>
      <c r="AA866">
        <v>0</v>
      </c>
      <c r="AB866">
        <v>0</v>
      </c>
      <c r="AC866">
        <v>1</v>
      </c>
      <c r="AD866">
        <v>0</v>
      </c>
      <c r="AE866">
        <v>0</v>
      </c>
      <c r="AF866">
        <v>0</v>
      </c>
      <c r="AG866">
        <v>1</v>
      </c>
      <c r="AH866" s="86">
        <f>AVERAGEIFS($C$2:C866, $B$2:B866, B866)</f>
        <v>21.844827586206897</v>
      </c>
      <c r="AI866" s="86">
        <f>AVERAGEIFS($I$2:I866, $B$2:B866, B866)</f>
        <v>0.52293103448275868</v>
      </c>
      <c r="AJ866" s="86">
        <f>AVERAGEIFS($J$2:J866, $B$2:B866, B866)</f>
        <v>0.52051724137931032</v>
      </c>
      <c r="AK866" s="86">
        <f>AVERAGEIFS($D$2:D866, $B$2:B866, B866)</f>
        <v>0.58620689655172409</v>
      </c>
    </row>
    <row r="867" spans="1:37" x14ac:dyDescent="0.25">
      <c r="A867" s="85">
        <v>46128</v>
      </c>
      <c r="B867" t="s">
        <v>1</v>
      </c>
      <c r="C867">
        <v>19</v>
      </c>
      <c r="D867">
        <v>1</v>
      </c>
      <c r="E867">
        <v>3</v>
      </c>
      <c r="F867">
        <v>3</v>
      </c>
      <c r="G867">
        <v>9</v>
      </c>
      <c r="H867">
        <v>9</v>
      </c>
      <c r="I867">
        <v>1</v>
      </c>
      <c r="J867">
        <v>1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1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0</v>
      </c>
      <c r="AA867">
        <v>0</v>
      </c>
      <c r="AB867">
        <v>0</v>
      </c>
      <c r="AC867">
        <v>1</v>
      </c>
      <c r="AD867">
        <v>0</v>
      </c>
      <c r="AE867">
        <v>0</v>
      </c>
      <c r="AF867">
        <v>0</v>
      </c>
      <c r="AG867">
        <v>1</v>
      </c>
      <c r="AH867" s="86">
        <f>AVERAGEIFS($C$2:C867, $B$2:B867, B867)</f>
        <v>25.866666666666667</v>
      </c>
      <c r="AI867" s="86">
        <f>AVERAGEIFS($I$2:I867, $B$2:B867, B867)</f>
        <v>0.47833333333333339</v>
      </c>
      <c r="AJ867" s="86">
        <f>AVERAGEIFS($J$2:J867, $B$2:B867, B867)</f>
        <v>0.49000000000000005</v>
      </c>
      <c r="AK867" s="86">
        <f>AVERAGEIFS($D$2:D867, $B$2:B867, B867)</f>
        <v>0.5</v>
      </c>
    </row>
    <row r="868" spans="1:37" x14ac:dyDescent="0.25">
      <c r="A868" s="85">
        <v>46128</v>
      </c>
      <c r="B868" t="s">
        <v>107</v>
      </c>
      <c r="C868">
        <v>15</v>
      </c>
      <c r="D868">
        <v>1</v>
      </c>
      <c r="E868">
        <v>3</v>
      </c>
      <c r="F868">
        <v>3</v>
      </c>
      <c r="G868">
        <v>9</v>
      </c>
      <c r="H868">
        <v>9</v>
      </c>
      <c r="I868">
        <v>1</v>
      </c>
      <c r="J868">
        <v>1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1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0</v>
      </c>
      <c r="AA868">
        <v>0</v>
      </c>
      <c r="AB868">
        <v>0</v>
      </c>
      <c r="AC868">
        <v>1</v>
      </c>
      <c r="AD868">
        <v>0</v>
      </c>
      <c r="AE868">
        <v>0</v>
      </c>
      <c r="AF868">
        <v>0</v>
      </c>
      <c r="AG868">
        <v>1</v>
      </c>
      <c r="AH868" s="86">
        <f>AVERAGEIFS($C$2:C868, $B$2:B868, B868)</f>
        <v>16.162162162162161</v>
      </c>
      <c r="AI868" s="86">
        <f>AVERAGEIFS($I$2:I868, $B$2:B868, B868)</f>
        <v>0.5243243243243243</v>
      </c>
      <c r="AJ868" s="86">
        <f>AVERAGEIFS($J$2:J868, $B$2:B868, B868)</f>
        <v>0.52162162162162162</v>
      </c>
      <c r="AK868" s="86">
        <f>AVERAGEIFS($D$2:D868, $B$2:B868, B868)</f>
        <v>0.56756756756756754</v>
      </c>
    </row>
    <row r="869" spans="1:37" x14ac:dyDescent="0.25">
      <c r="A869" s="85">
        <v>46128</v>
      </c>
      <c r="B869" t="s">
        <v>113</v>
      </c>
      <c r="C869">
        <v>12</v>
      </c>
      <c r="D869">
        <v>1</v>
      </c>
      <c r="E869">
        <v>3</v>
      </c>
      <c r="F869">
        <v>3</v>
      </c>
      <c r="G869">
        <v>9</v>
      </c>
      <c r="H869">
        <v>9</v>
      </c>
      <c r="I869">
        <v>1</v>
      </c>
      <c r="J869">
        <v>1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1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0</v>
      </c>
      <c r="AA869">
        <v>0</v>
      </c>
      <c r="AB869">
        <v>0</v>
      </c>
      <c r="AC869">
        <v>1</v>
      </c>
      <c r="AD869">
        <v>0</v>
      </c>
      <c r="AE869">
        <v>0</v>
      </c>
      <c r="AF869">
        <v>0</v>
      </c>
      <c r="AG869">
        <v>1</v>
      </c>
      <c r="AH869" s="86">
        <f>AVERAGEIFS($C$2:C869, $B$2:B869, B869)</f>
        <v>17.303030303030305</v>
      </c>
      <c r="AI869" s="86">
        <f>AVERAGEIFS($I$2:I869, $B$2:B869, B869)</f>
        <v>0.58484848484848484</v>
      </c>
      <c r="AJ869" s="86">
        <f>AVERAGEIFS($J$2:J869, $B$2:B869, B869)</f>
        <v>0.53787878787878796</v>
      </c>
      <c r="AK869" s="86">
        <f>AVERAGEIFS($D$2:D869, $B$2:B869, B869)</f>
        <v>0.5757575757575758</v>
      </c>
    </row>
    <row r="870" spans="1:37" x14ac:dyDescent="0.25">
      <c r="A870" s="85">
        <v>46128</v>
      </c>
      <c r="B870" t="s">
        <v>44</v>
      </c>
      <c r="C870">
        <v>8</v>
      </c>
      <c r="D870">
        <v>1</v>
      </c>
      <c r="E870">
        <v>3</v>
      </c>
      <c r="F870">
        <v>3</v>
      </c>
      <c r="G870">
        <v>9</v>
      </c>
      <c r="H870">
        <v>9</v>
      </c>
      <c r="I870">
        <v>1</v>
      </c>
      <c r="J870">
        <v>1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1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0</v>
      </c>
      <c r="AA870">
        <v>0</v>
      </c>
      <c r="AB870">
        <v>0</v>
      </c>
      <c r="AC870">
        <v>1</v>
      </c>
      <c r="AD870">
        <v>0</v>
      </c>
      <c r="AE870">
        <v>0</v>
      </c>
      <c r="AF870">
        <v>0</v>
      </c>
      <c r="AG870">
        <v>1</v>
      </c>
      <c r="AH870" s="86">
        <f>AVERAGEIFS($C$2:C870, $B$2:B870, B870)</f>
        <v>16.351351351351351</v>
      </c>
      <c r="AI870" s="86">
        <f>AVERAGEIFS($I$2:I870, $B$2:B870, B870)</f>
        <v>0.52297297297297296</v>
      </c>
      <c r="AJ870" s="86">
        <f>AVERAGEIFS($J$2:J870, $B$2:B870, B870)</f>
        <v>0.53810810810810816</v>
      </c>
      <c r="AK870" s="86">
        <f>AVERAGEIFS($D$2:D870, $B$2:B870, B870)</f>
        <v>0.6216216216216216</v>
      </c>
    </row>
    <row r="871" spans="1:37" x14ac:dyDescent="0.25">
      <c r="A871" s="85">
        <v>46128</v>
      </c>
      <c r="B871" t="s">
        <v>35</v>
      </c>
      <c r="C871">
        <v>6</v>
      </c>
      <c r="D871">
        <v>1</v>
      </c>
      <c r="E871">
        <v>3</v>
      </c>
      <c r="F871">
        <v>3</v>
      </c>
      <c r="G871">
        <v>9</v>
      </c>
      <c r="H871">
        <v>9</v>
      </c>
      <c r="I871">
        <v>1</v>
      </c>
      <c r="J871">
        <v>1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1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0</v>
      </c>
      <c r="AA871">
        <v>0</v>
      </c>
      <c r="AB871">
        <v>0</v>
      </c>
      <c r="AC871">
        <v>1</v>
      </c>
      <c r="AD871">
        <v>0</v>
      </c>
      <c r="AE871">
        <v>0</v>
      </c>
      <c r="AF871">
        <v>0</v>
      </c>
      <c r="AG871">
        <v>1</v>
      </c>
      <c r="AH871" s="86">
        <f>AVERAGEIFS($C$2:C871, $B$2:B871, B871)</f>
        <v>10.538461538461538</v>
      </c>
      <c r="AI871" s="86">
        <f>AVERAGEIFS($I$2:I871, $B$2:B871, B871)</f>
        <v>0.46358974358974364</v>
      </c>
      <c r="AJ871" s="86">
        <f>AVERAGEIFS($J$2:J871, $B$2:B871, B871)</f>
        <v>0.48820512820512818</v>
      </c>
      <c r="AK871" s="86">
        <f>AVERAGEIFS($D$2:D871, $B$2:B871, B871)</f>
        <v>0.4358974358974359</v>
      </c>
    </row>
    <row r="872" spans="1:37" x14ac:dyDescent="0.25">
      <c r="A872" s="85">
        <v>46128</v>
      </c>
      <c r="B872" t="s">
        <v>42</v>
      </c>
      <c r="C872">
        <v>18</v>
      </c>
      <c r="D872">
        <v>0</v>
      </c>
      <c r="E872">
        <v>3</v>
      </c>
      <c r="F872">
        <v>0</v>
      </c>
      <c r="G872">
        <v>9</v>
      </c>
      <c r="H872">
        <v>0</v>
      </c>
      <c r="I872">
        <v>0</v>
      </c>
      <c r="J872">
        <v>0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0</v>
      </c>
      <c r="AA872">
        <v>0</v>
      </c>
      <c r="AB872">
        <v>0</v>
      </c>
      <c r="AC872">
        <v>0</v>
      </c>
      <c r="AD872">
        <v>0</v>
      </c>
      <c r="AE872">
        <v>0</v>
      </c>
      <c r="AF872">
        <v>0</v>
      </c>
      <c r="AG872">
        <v>0</v>
      </c>
      <c r="AH872" s="86">
        <f>AVERAGEIFS($C$2:C872, $B$2:B872, B872)</f>
        <v>18.657894736842106</v>
      </c>
      <c r="AI872" s="86">
        <f>AVERAGEIFS($I$2:I872, $B$2:B872, B872)</f>
        <v>0.42763157894736842</v>
      </c>
      <c r="AJ872" s="86">
        <f>AVERAGEIFS($J$2:J872, $B$2:B872, B872)</f>
        <v>0.43921052631578944</v>
      </c>
      <c r="AK872" s="86">
        <f>AVERAGEIFS($D$2:D872, $B$2:B872, B872)</f>
        <v>0.42105263157894735</v>
      </c>
    </row>
    <row r="873" spans="1:37" x14ac:dyDescent="0.25">
      <c r="A873" s="85">
        <v>46128</v>
      </c>
      <c r="B873" t="s">
        <v>54</v>
      </c>
      <c r="C873">
        <v>15</v>
      </c>
      <c r="D873">
        <v>0</v>
      </c>
      <c r="E873">
        <v>3</v>
      </c>
      <c r="F873">
        <v>0</v>
      </c>
      <c r="G873">
        <v>9</v>
      </c>
      <c r="H873">
        <v>0</v>
      </c>
      <c r="I873">
        <v>0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  <c r="AG873">
        <v>0</v>
      </c>
      <c r="AH873" s="86">
        <f>AVERAGEIFS($C$2:C873, $B$2:B873, B873)</f>
        <v>23.481481481481481</v>
      </c>
      <c r="AI873" s="86">
        <f>AVERAGEIFS($I$2:I873, $B$2:B873, B873)</f>
        <v>0.54203703703703709</v>
      </c>
      <c r="AJ873" s="86">
        <f>AVERAGEIFS($J$2:J873, $B$2:B873, B873)</f>
        <v>0.51314814814814813</v>
      </c>
      <c r="AK873" s="86">
        <f>AVERAGEIFS($D$2:D873, $B$2:B873, B873)</f>
        <v>0.55555555555555558</v>
      </c>
    </row>
    <row r="874" spans="1:37" x14ac:dyDescent="0.25">
      <c r="A874" s="85">
        <v>46128</v>
      </c>
      <c r="B874" t="s">
        <v>46</v>
      </c>
      <c r="C874">
        <v>10</v>
      </c>
      <c r="D874">
        <v>0</v>
      </c>
      <c r="E874">
        <v>3</v>
      </c>
      <c r="F874">
        <v>0</v>
      </c>
      <c r="G874">
        <v>9</v>
      </c>
      <c r="H874">
        <v>0</v>
      </c>
      <c r="I874">
        <v>0</v>
      </c>
      <c r="J874">
        <v>0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0</v>
      </c>
      <c r="AA874">
        <v>0</v>
      </c>
      <c r="AB874">
        <v>0</v>
      </c>
      <c r="AC874">
        <v>0</v>
      </c>
      <c r="AD874">
        <v>0</v>
      </c>
      <c r="AE874">
        <v>0</v>
      </c>
      <c r="AF874">
        <v>0</v>
      </c>
      <c r="AG874">
        <v>0</v>
      </c>
      <c r="AH874" s="86">
        <f>AVERAGEIFS($C$2:C874, $B$2:B874, B874)</f>
        <v>17.96551724137931</v>
      </c>
      <c r="AI874" s="86">
        <f>AVERAGEIFS($I$2:I874, $B$2:B874, B874)</f>
        <v>0.39310344827586202</v>
      </c>
      <c r="AJ874" s="86">
        <f>AVERAGEIFS($J$2:J874, $B$2:B874, B874)</f>
        <v>0.43551724137931036</v>
      </c>
      <c r="AK874" s="86">
        <f>AVERAGEIFS($D$2:D874, $B$2:B874, B874)</f>
        <v>0.34482758620689657</v>
      </c>
    </row>
    <row r="875" spans="1:37" x14ac:dyDescent="0.25">
      <c r="A875" s="85">
        <v>46128</v>
      </c>
      <c r="B875" t="s">
        <v>14</v>
      </c>
      <c r="C875">
        <v>10</v>
      </c>
      <c r="D875">
        <v>0</v>
      </c>
      <c r="E875">
        <v>3</v>
      </c>
      <c r="F875">
        <v>0</v>
      </c>
      <c r="G875">
        <v>9</v>
      </c>
      <c r="H875">
        <v>0</v>
      </c>
      <c r="I875">
        <v>0</v>
      </c>
      <c r="J875">
        <v>0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0</v>
      </c>
      <c r="AA875">
        <v>0</v>
      </c>
      <c r="AB875">
        <v>0</v>
      </c>
      <c r="AC875">
        <v>0</v>
      </c>
      <c r="AD875">
        <v>0</v>
      </c>
      <c r="AE875">
        <v>0</v>
      </c>
      <c r="AF875">
        <v>0</v>
      </c>
      <c r="AG875">
        <v>0</v>
      </c>
      <c r="AH875" s="86">
        <f>AVERAGEIFS($C$2:C875, $B$2:B875, B875)</f>
        <v>16.899999999999999</v>
      </c>
      <c r="AI875" s="86">
        <f>AVERAGEIFS($I$2:I875, $B$2:B875, B875)</f>
        <v>0.45599999999999996</v>
      </c>
      <c r="AJ875" s="86">
        <f>AVERAGEIFS($J$2:J875, $B$2:B875, B875)</f>
        <v>0.48699999999999999</v>
      </c>
      <c r="AK875" s="86">
        <f>AVERAGEIFS($D$2:D875, $B$2:B875, B875)</f>
        <v>0.45</v>
      </c>
    </row>
    <row r="876" spans="1:37" x14ac:dyDescent="0.25">
      <c r="A876" s="85">
        <v>46128</v>
      </c>
      <c r="B876" t="s">
        <v>2</v>
      </c>
      <c r="C876">
        <v>9</v>
      </c>
      <c r="D876">
        <v>0</v>
      </c>
      <c r="E876">
        <v>3</v>
      </c>
      <c r="F876">
        <v>0</v>
      </c>
      <c r="G876">
        <v>9</v>
      </c>
      <c r="H876">
        <v>0</v>
      </c>
      <c r="I876">
        <v>0</v>
      </c>
      <c r="J876">
        <v>0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0</v>
      </c>
      <c r="AA876">
        <v>0</v>
      </c>
      <c r="AB876">
        <v>0</v>
      </c>
      <c r="AC876">
        <v>0</v>
      </c>
      <c r="AD876">
        <v>0</v>
      </c>
      <c r="AE876">
        <v>0</v>
      </c>
      <c r="AF876">
        <v>0</v>
      </c>
      <c r="AG876">
        <v>0</v>
      </c>
      <c r="AH876" s="86">
        <f>AVERAGEIFS($C$2:C876, $B$2:B876, B876)</f>
        <v>23.457142857142856</v>
      </c>
      <c r="AI876" s="86">
        <f>AVERAGEIFS($I$2:I876, $B$2:B876, B876)</f>
        <v>0.54942857142857138</v>
      </c>
      <c r="AJ876" s="86">
        <f>AVERAGEIFS($J$2:J876, $B$2:B876, B876)</f>
        <v>0.54371428571428571</v>
      </c>
      <c r="AK876" s="86">
        <f>AVERAGEIFS($D$2:D876, $B$2:B876, B876)</f>
        <v>0.54285714285714282</v>
      </c>
    </row>
    <row r="877" spans="1:37" x14ac:dyDescent="0.25">
      <c r="A877" s="85">
        <v>46128</v>
      </c>
      <c r="B877" t="s">
        <v>17</v>
      </c>
      <c r="C877">
        <v>6</v>
      </c>
      <c r="D877">
        <v>0</v>
      </c>
      <c r="E877">
        <v>3</v>
      </c>
      <c r="F877">
        <v>0</v>
      </c>
      <c r="G877">
        <v>9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0</v>
      </c>
      <c r="AA877">
        <v>0</v>
      </c>
      <c r="AB877">
        <v>0</v>
      </c>
      <c r="AC877">
        <v>0</v>
      </c>
      <c r="AD877">
        <v>0</v>
      </c>
      <c r="AE877">
        <v>0</v>
      </c>
      <c r="AF877">
        <v>0</v>
      </c>
      <c r="AG877">
        <v>0</v>
      </c>
      <c r="AH877" s="86">
        <f>AVERAGEIFS($C$2:C877, $B$2:B877, B877)</f>
        <v>19.875</v>
      </c>
      <c r="AI877" s="86">
        <f>AVERAGEIFS($I$2:I877, $B$2:B877, B877)</f>
        <v>0.52249999999999996</v>
      </c>
      <c r="AJ877" s="86">
        <f>AVERAGEIFS($J$2:J877, $B$2:B877, B877)</f>
        <v>0.49156250000000007</v>
      </c>
      <c r="AK877" s="86">
        <f>AVERAGEIFS($D$2:D877, $B$2:B877, B877)</f>
        <v>0.53125</v>
      </c>
    </row>
    <row r="878" spans="1:37" x14ac:dyDescent="0.25">
      <c r="A878" s="85">
        <v>46128</v>
      </c>
      <c r="B878" t="s">
        <v>1</v>
      </c>
      <c r="C878">
        <v>25</v>
      </c>
      <c r="D878">
        <v>1</v>
      </c>
      <c r="E878">
        <v>4</v>
      </c>
      <c r="F878">
        <v>3</v>
      </c>
      <c r="G878">
        <v>16</v>
      </c>
      <c r="H878">
        <v>10</v>
      </c>
      <c r="I878">
        <v>0.75</v>
      </c>
      <c r="J878">
        <v>0.63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0</v>
      </c>
      <c r="AA878">
        <v>0</v>
      </c>
      <c r="AB878">
        <v>0</v>
      </c>
      <c r="AC878">
        <v>1</v>
      </c>
      <c r="AD878">
        <v>0</v>
      </c>
      <c r="AE878">
        <v>1</v>
      </c>
      <c r="AF878">
        <v>0</v>
      </c>
      <c r="AG878">
        <v>1</v>
      </c>
      <c r="AH878" s="86">
        <f>AVERAGEIFS($C$2:C878, $B$2:B878, B878)</f>
        <v>25.838709677419356</v>
      </c>
      <c r="AI878" s="86">
        <f>AVERAGEIFS($I$2:I878, $B$2:B878, B878)</f>
        <v>0.48709677419354841</v>
      </c>
      <c r="AJ878" s="86">
        <f>AVERAGEIFS($J$2:J878, $B$2:B878, B878)</f>
        <v>0.49451612903225811</v>
      </c>
      <c r="AK878" s="86">
        <f>AVERAGEIFS($D$2:D878, $B$2:B878, B878)</f>
        <v>0.5161290322580645</v>
      </c>
    </row>
    <row r="879" spans="1:37" x14ac:dyDescent="0.25">
      <c r="A879" s="85">
        <v>46128</v>
      </c>
      <c r="B879" t="s">
        <v>2</v>
      </c>
      <c r="C879">
        <v>20</v>
      </c>
      <c r="D879">
        <v>1</v>
      </c>
      <c r="E879">
        <v>4</v>
      </c>
      <c r="F879">
        <v>3</v>
      </c>
      <c r="G879">
        <v>16</v>
      </c>
      <c r="H879">
        <v>10</v>
      </c>
      <c r="I879">
        <v>0.75</v>
      </c>
      <c r="J879">
        <v>0.63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0</v>
      </c>
      <c r="AA879">
        <v>0</v>
      </c>
      <c r="AB879">
        <v>0</v>
      </c>
      <c r="AC879">
        <v>1</v>
      </c>
      <c r="AD879">
        <v>0</v>
      </c>
      <c r="AE879">
        <v>1</v>
      </c>
      <c r="AF879">
        <v>0</v>
      </c>
      <c r="AG879">
        <v>1</v>
      </c>
      <c r="AH879" s="86">
        <f>AVERAGEIFS($C$2:C879, $B$2:B879, B879)</f>
        <v>23.361111111111111</v>
      </c>
      <c r="AI879" s="86">
        <f>AVERAGEIFS($I$2:I879, $B$2:B879, B879)</f>
        <v>0.55499999999999994</v>
      </c>
      <c r="AJ879" s="86">
        <f>AVERAGEIFS($J$2:J879, $B$2:B879, B879)</f>
        <v>0.5461111111111111</v>
      </c>
      <c r="AK879" s="86">
        <f>AVERAGEIFS($D$2:D879, $B$2:B879, B879)</f>
        <v>0.55555555555555558</v>
      </c>
    </row>
    <row r="880" spans="1:37" x14ac:dyDescent="0.25">
      <c r="A880" s="85">
        <v>46128</v>
      </c>
      <c r="B880" t="s">
        <v>150</v>
      </c>
      <c r="C880">
        <v>16</v>
      </c>
      <c r="D880">
        <v>1</v>
      </c>
      <c r="E880">
        <v>4</v>
      </c>
      <c r="F880">
        <v>3</v>
      </c>
      <c r="G880">
        <v>16</v>
      </c>
      <c r="H880">
        <v>10</v>
      </c>
      <c r="I880">
        <v>0.75</v>
      </c>
      <c r="J880">
        <v>0.63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0</v>
      </c>
      <c r="AA880">
        <v>0</v>
      </c>
      <c r="AB880">
        <v>0</v>
      </c>
      <c r="AC880">
        <v>1</v>
      </c>
      <c r="AD880">
        <v>0</v>
      </c>
      <c r="AE880">
        <v>1</v>
      </c>
      <c r="AF880">
        <v>0</v>
      </c>
      <c r="AG880">
        <v>1</v>
      </c>
      <c r="AH880" s="86">
        <f>AVERAGEIFS($C$2:C880, $B$2:B880, B880)</f>
        <v>16.133333333333333</v>
      </c>
      <c r="AI880" s="86">
        <f>AVERAGEIFS($I$2:I880, $B$2:B880, B880)</f>
        <v>0.63</v>
      </c>
      <c r="AJ880" s="86">
        <f>AVERAGEIFS($J$2:J880, $B$2:B880, B880)</f>
        <v>0.5993333333333335</v>
      </c>
      <c r="AK880" s="86">
        <f>AVERAGEIFS($D$2:D880, $B$2:B880, B880)</f>
        <v>0.6</v>
      </c>
    </row>
    <row r="881" spans="1:37" x14ac:dyDescent="0.25">
      <c r="A881" s="85">
        <v>46128</v>
      </c>
      <c r="B881" t="s">
        <v>44</v>
      </c>
      <c r="C881">
        <v>14</v>
      </c>
      <c r="D881">
        <v>1</v>
      </c>
      <c r="E881">
        <v>4</v>
      </c>
      <c r="F881">
        <v>3</v>
      </c>
      <c r="G881">
        <v>16</v>
      </c>
      <c r="H881">
        <v>10</v>
      </c>
      <c r="I881">
        <v>0.75</v>
      </c>
      <c r="J881">
        <v>0.63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0</v>
      </c>
      <c r="AA881">
        <v>0</v>
      </c>
      <c r="AB881">
        <v>0</v>
      </c>
      <c r="AC881">
        <v>1</v>
      </c>
      <c r="AD881">
        <v>0</v>
      </c>
      <c r="AE881">
        <v>1</v>
      </c>
      <c r="AF881">
        <v>0</v>
      </c>
      <c r="AG881">
        <v>1</v>
      </c>
      <c r="AH881" s="86">
        <f>AVERAGEIFS($C$2:C881, $B$2:B881, B881)</f>
        <v>16.289473684210527</v>
      </c>
      <c r="AI881" s="86">
        <f>AVERAGEIFS($I$2:I881, $B$2:B881, B881)</f>
        <v>0.52894736842105261</v>
      </c>
      <c r="AJ881" s="86">
        <f>AVERAGEIFS($J$2:J881, $B$2:B881, B881)</f>
        <v>0.54052631578947363</v>
      </c>
      <c r="AK881" s="86">
        <f>AVERAGEIFS($D$2:D881, $B$2:B881, B881)</f>
        <v>0.63157894736842102</v>
      </c>
    </row>
    <row r="882" spans="1:37" x14ac:dyDescent="0.25">
      <c r="A882" s="85">
        <v>46128</v>
      </c>
      <c r="B882" t="s">
        <v>141</v>
      </c>
      <c r="C882">
        <v>12</v>
      </c>
      <c r="D882">
        <v>1</v>
      </c>
      <c r="E882">
        <v>4</v>
      </c>
      <c r="F882">
        <v>3</v>
      </c>
      <c r="G882">
        <v>16</v>
      </c>
      <c r="H882">
        <v>10</v>
      </c>
      <c r="I882">
        <v>0.75</v>
      </c>
      <c r="J882">
        <v>0.63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>
        <v>0</v>
      </c>
      <c r="AB882">
        <v>0</v>
      </c>
      <c r="AC882">
        <v>1</v>
      </c>
      <c r="AD882">
        <v>0</v>
      </c>
      <c r="AE882">
        <v>1</v>
      </c>
      <c r="AF882">
        <v>0</v>
      </c>
      <c r="AG882">
        <v>1</v>
      </c>
      <c r="AH882" s="86">
        <f>AVERAGEIFS($C$2:C882, $B$2:B882, B882)</f>
        <v>12.111111111111111</v>
      </c>
      <c r="AI882" s="86">
        <f>AVERAGEIFS($I$2:I882, $B$2:B882, B882)</f>
        <v>0.43888888888888888</v>
      </c>
      <c r="AJ882" s="86">
        <f>AVERAGEIFS($J$2:J882, $B$2:B882, B882)</f>
        <v>0.50555555555555565</v>
      </c>
      <c r="AK882" s="86">
        <f>AVERAGEIFS($D$2:D882, $B$2:B882, B882)</f>
        <v>0.55555555555555558</v>
      </c>
    </row>
    <row r="883" spans="1:37" x14ac:dyDescent="0.25">
      <c r="A883" s="85">
        <v>46128</v>
      </c>
      <c r="B883" t="s">
        <v>42</v>
      </c>
      <c r="C883">
        <v>10</v>
      </c>
      <c r="D883">
        <v>1</v>
      </c>
      <c r="E883">
        <v>4</v>
      </c>
      <c r="F883">
        <v>3</v>
      </c>
      <c r="G883">
        <v>16</v>
      </c>
      <c r="H883">
        <v>10</v>
      </c>
      <c r="I883">
        <v>0.75</v>
      </c>
      <c r="J883">
        <v>0.63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>
        <v>0</v>
      </c>
      <c r="AB883">
        <v>0</v>
      </c>
      <c r="AC883">
        <v>1</v>
      </c>
      <c r="AD883">
        <v>0</v>
      </c>
      <c r="AE883">
        <v>1</v>
      </c>
      <c r="AF883">
        <v>0</v>
      </c>
      <c r="AG883">
        <v>1</v>
      </c>
      <c r="AH883" s="86">
        <f>AVERAGEIFS($C$2:C883, $B$2:B883, B883)</f>
        <v>18.435897435897434</v>
      </c>
      <c r="AI883" s="86">
        <f>AVERAGEIFS($I$2:I883, $B$2:B883, B883)</f>
        <v>0.4358974358974359</v>
      </c>
      <c r="AJ883" s="86">
        <f>AVERAGEIFS($J$2:J883, $B$2:B883, B883)</f>
        <v>0.44410256410256405</v>
      </c>
      <c r="AK883" s="86">
        <f>AVERAGEIFS($D$2:D883, $B$2:B883, B883)</f>
        <v>0.4358974358974359</v>
      </c>
    </row>
    <row r="884" spans="1:37" x14ac:dyDescent="0.25">
      <c r="A884" s="85">
        <v>46128</v>
      </c>
      <c r="B884" t="s">
        <v>6</v>
      </c>
      <c r="C884">
        <v>23</v>
      </c>
      <c r="D884">
        <v>0</v>
      </c>
      <c r="E884">
        <v>4</v>
      </c>
      <c r="F884">
        <v>1</v>
      </c>
      <c r="G884">
        <v>16</v>
      </c>
      <c r="H884">
        <v>6</v>
      </c>
      <c r="I884">
        <v>0.25</v>
      </c>
      <c r="J884">
        <v>0.38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>
        <v>0</v>
      </c>
      <c r="AB884">
        <v>0</v>
      </c>
      <c r="AC884">
        <v>0</v>
      </c>
      <c r="AD884">
        <v>1</v>
      </c>
      <c r="AE884">
        <v>0</v>
      </c>
      <c r="AF884">
        <v>0</v>
      </c>
      <c r="AG884">
        <v>0</v>
      </c>
      <c r="AH884" s="86">
        <f>AVERAGEIFS($C$2:C884, $B$2:B884, B884)</f>
        <v>21.864406779661017</v>
      </c>
      <c r="AI884" s="86">
        <f>AVERAGEIFS($I$2:I884, $B$2:B884, B884)</f>
        <v>0.51830508474576276</v>
      </c>
      <c r="AJ884" s="86">
        <f>AVERAGEIFS($J$2:J884, $B$2:B884, B884)</f>
        <v>0.51813559322033897</v>
      </c>
      <c r="AK884" s="86">
        <f>AVERAGEIFS($D$2:D884, $B$2:B884, B884)</f>
        <v>0.57627118644067798</v>
      </c>
    </row>
    <row r="885" spans="1:37" x14ac:dyDescent="0.25">
      <c r="A885" s="85">
        <v>46128</v>
      </c>
      <c r="B885" t="s">
        <v>5</v>
      </c>
      <c r="C885">
        <v>18</v>
      </c>
      <c r="D885">
        <v>0</v>
      </c>
      <c r="E885">
        <v>4</v>
      </c>
      <c r="F885">
        <v>1</v>
      </c>
      <c r="G885">
        <v>16</v>
      </c>
      <c r="H885">
        <v>6</v>
      </c>
      <c r="I885">
        <v>0.25</v>
      </c>
      <c r="J885">
        <v>0.38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>
        <v>0</v>
      </c>
      <c r="AB885">
        <v>0</v>
      </c>
      <c r="AC885">
        <v>0</v>
      </c>
      <c r="AD885">
        <v>1</v>
      </c>
      <c r="AE885">
        <v>0</v>
      </c>
      <c r="AF885">
        <v>0</v>
      </c>
      <c r="AG885">
        <v>0</v>
      </c>
      <c r="AH885" s="86">
        <f>AVERAGEIFS($C$2:C885, $B$2:B885, B885)</f>
        <v>19.391304347826086</v>
      </c>
      <c r="AI885" s="86">
        <f>AVERAGEIFS($I$2:I885, $B$2:B885, B885)</f>
        <v>0.61173913043478256</v>
      </c>
      <c r="AJ885" s="86">
        <f>AVERAGEIFS($J$2:J885, $B$2:B885, B885)</f>
        <v>0.55652173913043479</v>
      </c>
      <c r="AK885" s="86">
        <f>AVERAGEIFS($D$2:D885, $B$2:B885, B885)</f>
        <v>0.73913043478260865</v>
      </c>
    </row>
    <row r="886" spans="1:37" x14ac:dyDescent="0.25">
      <c r="A886" s="85">
        <v>46128</v>
      </c>
      <c r="B886" t="s">
        <v>17</v>
      </c>
      <c r="C886">
        <v>16</v>
      </c>
      <c r="D886">
        <v>0</v>
      </c>
      <c r="E886">
        <v>4</v>
      </c>
      <c r="F886">
        <v>1</v>
      </c>
      <c r="G886">
        <v>16</v>
      </c>
      <c r="H886">
        <v>6</v>
      </c>
      <c r="I886">
        <v>0.25</v>
      </c>
      <c r="J886">
        <v>0.38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>
        <v>0</v>
      </c>
      <c r="AB886">
        <v>0</v>
      </c>
      <c r="AC886">
        <v>0</v>
      </c>
      <c r="AD886">
        <v>1</v>
      </c>
      <c r="AE886">
        <v>0</v>
      </c>
      <c r="AF886">
        <v>0</v>
      </c>
      <c r="AG886">
        <v>0</v>
      </c>
      <c r="AH886" s="86">
        <f>AVERAGEIFS($C$2:C886, $B$2:B886, B886)</f>
        <v>19.757575757575758</v>
      </c>
      <c r="AI886" s="86">
        <f>AVERAGEIFS($I$2:I886, $B$2:B886, B886)</f>
        <v>0.51424242424242417</v>
      </c>
      <c r="AJ886" s="86">
        <f>AVERAGEIFS($J$2:J886, $B$2:B886, B886)</f>
        <v>0.48818181818181827</v>
      </c>
      <c r="AK886" s="86">
        <f>AVERAGEIFS($D$2:D886, $B$2:B886, B886)</f>
        <v>0.51515151515151514</v>
      </c>
    </row>
    <row r="887" spans="1:37" x14ac:dyDescent="0.25">
      <c r="A887" s="85">
        <v>46128</v>
      </c>
      <c r="B887" t="s">
        <v>40</v>
      </c>
      <c r="C887">
        <v>13</v>
      </c>
      <c r="D887">
        <v>0</v>
      </c>
      <c r="E887">
        <v>4</v>
      </c>
      <c r="F887">
        <v>1</v>
      </c>
      <c r="G887">
        <v>16</v>
      </c>
      <c r="H887">
        <v>6</v>
      </c>
      <c r="I887">
        <v>0.25</v>
      </c>
      <c r="J887">
        <v>0.38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>
        <v>0</v>
      </c>
      <c r="AB887">
        <v>0</v>
      </c>
      <c r="AC887">
        <v>0</v>
      </c>
      <c r="AD887">
        <v>1</v>
      </c>
      <c r="AE887">
        <v>0</v>
      </c>
      <c r="AF887">
        <v>0</v>
      </c>
      <c r="AG887">
        <v>0</v>
      </c>
      <c r="AH887" s="86">
        <f>AVERAGEIFS($C$2:C887, $B$2:B887, B887)</f>
        <v>18.267857142857142</v>
      </c>
      <c r="AI887" s="86">
        <f>AVERAGEIFS($I$2:I887, $B$2:B887, B887)</f>
        <v>0.48928571428571416</v>
      </c>
      <c r="AJ887" s="86">
        <f>AVERAGEIFS($J$2:J887, $B$2:B887, B887)</f>
        <v>0.48500000000000004</v>
      </c>
      <c r="AK887" s="86">
        <f>AVERAGEIFS($D$2:D887, $B$2:B887, B887)</f>
        <v>0.42857142857142855</v>
      </c>
    </row>
    <row r="888" spans="1:37" x14ac:dyDescent="0.25">
      <c r="A888" s="85">
        <v>46128</v>
      </c>
      <c r="B888" t="s">
        <v>107</v>
      </c>
      <c r="C888">
        <v>11</v>
      </c>
      <c r="D888">
        <v>0</v>
      </c>
      <c r="E888">
        <v>4</v>
      </c>
      <c r="F888">
        <v>1</v>
      </c>
      <c r="G888">
        <v>16</v>
      </c>
      <c r="H888">
        <v>6</v>
      </c>
      <c r="I888">
        <v>0.25</v>
      </c>
      <c r="J888">
        <v>0.38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>
        <v>0</v>
      </c>
      <c r="AB888">
        <v>0</v>
      </c>
      <c r="AC888">
        <v>0</v>
      </c>
      <c r="AD888">
        <v>1</v>
      </c>
      <c r="AE888">
        <v>0</v>
      </c>
      <c r="AF888">
        <v>0</v>
      </c>
      <c r="AG888">
        <v>0</v>
      </c>
      <c r="AH888" s="86">
        <f>AVERAGEIFS($C$2:C888, $B$2:B888, B888)</f>
        <v>16.026315789473685</v>
      </c>
      <c r="AI888" s="86">
        <f>AVERAGEIFS($I$2:I888, $B$2:B888, B888)</f>
        <v>0.51710526315789473</v>
      </c>
      <c r="AJ888" s="86">
        <f>AVERAGEIFS($J$2:J888, $B$2:B888, B888)</f>
        <v>0.5178947368421053</v>
      </c>
      <c r="AK888" s="86">
        <f>AVERAGEIFS($D$2:D888, $B$2:B888, B888)</f>
        <v>0.55263157894736847</v>
      </c>
    </row>
    <row r="889" spans="1:37" x14ac:dyDescent="0.25">
      <c r="A889" s="85">
        <v>46128</v>
      </c>
      <c r="B889" t="s">
        <v>35</v>
      </c>
      <c r="C889">
        <v>8</v>
      </c>
      <c r="D889">
        <v>0</v>
      </c>
      <c r="E889">
        <v>4</v>
      </c>
      <c r="F889">
        <v>1</v>
      </c>
      <c r="G889">
        <v>16</v>
      </c>
      <c r="H889">
        <v>6</v>
      </c>
      <c r="I889">
        <v>0.25</v>
      </c>
      <c r="J889">
        <v>0.38</v>
      </c>
      <c r="K889">
        <v>0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0</v>
      </c>
      <c r="Z889">
        <v>0</v>
      </c>
      <c r="AA889">
        <v>0</v>
      </c>
      <c r="AB889">
        <v>0</v>
      </c>
      <c r="AC889">
        <v>0</v>
      </c>
      <c r="AD889">
        <v>1</v>
      </c>
      <c r="AE889">
        <v>0</v>
      </c>
      <c r="AF889">
        <v>0</v>
      </c>
      <c r="AG889">
        <v>0</v>
      </c>
      <c r="AH889" s="86">
        <f>AVERAGEIFS($C$2:C889, $B$2:B889, B889)</f>
        <v>10.475</v>
      </c>
      <c r="AI889" s="86">
        <f>AVERAGEIFS($I$2:I889, $B$2:B889, B889)</f>
        <v>0.45825000000000005</v>
      </c>
      <c r="AJ889" s="86">
        <f>AVERAGEIFS($J$2:J889, $B$2:B889, B889)</f>
        <v>0.48549999999999993</v>
      </c>
      <c r="AK889" s="86">
        <f>AVERAGEIFS($D$2:D889, $B$2:B889, B889)</f>
        <v>0.42499999999999999</v>
      </c>
    </row>
    <row r="890" spans="1:37" x14ac:dyDescent="0.25">
      <c r="A890" s="85">
        <v>46130</v>
      </c>
      <c r="B890" t="s">
        <v>44</v>
      </c>
      <c r="C890">
        <v>12</v>
      </c>
      <c r="D890">
        <v>1</v>
      </c>
      <c r="E890">
        <v>4</v>
      </c>
      <c r="F890">
        <v>3</v>
      </c>
      <c r="G890">
        <v>16</v>
      </c>
      <c r="H890">
        <v>9</v>
      </c>
      <c r="I890">
        <v>0.75</v>
      </c>
      <c r="J890">
        <v>0.56000000000000005</v>
      </c>
      <c r="K890">
        <v>0</v>
      </c>
      <c r="L890">
        <v>0</v>
      </c>
      <c r="M890">
        <v>1</v>
      </c>
      <c r="N890">
        <v>1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0</v>
      </c>
      <c r="Z890">
        <v>1</v>
      </c>
      <c r="AA890">
        <v>0</v>
      </c>
      <c r="AB890">
        <v>0</v>
      </c>
      <c r="AC890">
        <v>0</v>
      </c>
      <c r="AD890">
        <v>0</v>
      </c>
      <c r="AE890">
        <v>0</v>
      </c>
      <c r="AF890">
        <v>0</v>
      </c>
      <c r="AG890">
        <v>0</v>
      </c>
      <c r="AH890" s="86">
        <f>AVERAGEIFS($C$2:C890, $B$2:B890, B890)</f>
        <v>16.179487179487179</v>
      </c>
      <c r="AI890" s="86">
        <f>AVERAGEIFS($I$2:I890, $B$2:B890, B890)</f>
        <v>0.5346153846153846</v>
      </c>
      <c r="AJ890" s="86">
        <f>AVERAGEIFS($J$2:J890, $B$2:B890, B890)</f>
        <v>0.54102564102564099</v>
      </c>
      <c r="AK890" s="86">
        <f>AVERAGEIFS($D$2:D890, $B$2:B890, B890)</f>
        <v>0.64102564102564108</v>
      </c>
    </row>
    <row r="891" spans="1:37" x14ac:dyDescent="0.25">
      <c r="A891" s="85">
        <v>46130</v>
      </c>
      <c r="B891" t="s">
        <v>1</v>
      </c>
      <c r="C891">
        <v>26</v>
      </c>
      <c r="D891">
        <v>1</v>
      </c>
      <c r="E891">
        <v>4</v>
      </c>
      <c r="F891">
        <v>3</v>
      </c>
      <c r="G891">
        <v>16</v>
      </c>
      <c r="H891">
        <v>9</v>
      </c>
      <c r="I891">
        <v>0.75</v>
      </c>
      <c r="J891">
        <v>0.56000000000000005</v>
      </c>
      <c r="K891">
        <v>0</v>
      </c>
      <c r="L891">
        <v>0</v>
      </c>
      <c r="M891">
        <v>1</v>
      </c>
      <c r="N891">
        <v>1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0</v>
      </c>
      <c r="Z891">
        <v>1</v>
      </c>
      <c r="AA891">
        <v>0</v>
      </c>
      <c r="AB891">
        <v>0</v>
      </c>
      <c r="AC891">
        <v>0</v>
      </c>
      <c r="AD891">
        <v>0</v>
      </c>
      <c r="AE891">
        <v>0</v>
      </c>
      <c r="AF891">
        <v>0</v>
      </c>
      <c r="AG891">
        <v>0</v>
      </c>
      <c r="AH891" s="86">
        <f>AVERAGEIFS($C$2:C891, $B$2:B891, B891)</f>
        <v>25.84375</v>
      </c>
      <c r="AI891" s="86">
        <f>AVERAGEIFS($I$2:I891, $B$2:B891, B891)</f>
        <v>0.49531250000000004</v>
      </c>
      <c r="AJ891" s="86">
        <f>AVERAGEIFS($J$2:J891, $B$2:B891, B891)</f>
        <v>0.49656250000000007</v>
      </c>
      <c r="AK891" s="86">
        <f>AVERAGEIFS($D$2:D891, $B$2:B891, B891)</f>
        <v>0.53125</v>
      </c>
    </row>
    <row r="892" spans="1:37" x14ac:dyDescent="0.25">
      <c r="A892" s="85">
        <v>46130</v>
      </c>
      <c r="B892" t="s">
        <v>5</v>
      </c>
      <c r="C892">
        <v>17</v>
      </c>
      <c r="D892">
        <v>1</v>
      </c>
      <c r="E892">
        <v>4</v>
      </c>
      <c r="F892">
        <v>3</v>
      </c>
      <c r="G892">
        <v>16</v>
      </c>
      <c r="H892">
        <v>9</v>
      </c>
      <c r="I892">
        <v>0.75</v>
      </c>
      <c r="J892">
        <v>0.56000000000000005</v>
      </c>
      <c r="K892">
        <v>0</v>
      </c>
      <c r="L892">
        <v>0</v>
      </c>
      <c r="M892">
        <v>1</v>
      </c>
      <c r="N892">
        <v>1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0</v>
      </c>
      <c r="Y892">
        <v>0</v>
      </c>
      <c r="Z892">
        <v>1</v>
      </c>
      <c r="AA892">
        <v>0</v>
      </c>
      <c r="AB892">
        <v>0</v>
      </c>
      <c r="AC892">
        <v>0</v>
      </c>
      <c r="AD892">
        <v>0</v>
      </c>
      <c r="AE892">
        <v>0</v>
      </c>
      <c r="AF892">
        <v>0</v>
      </c>
      <c r="AG892">
        <v>0</v>
      </c>
      <c r="AH892" s="86">
        <f>AVERAGEIFS($C$2:C892, $B$2:B892, B892)</f>
        <v>19.291666666666668</v>
      </c>
      <c r="AI892" s="86">
        <f>AVERAGEIFS($I$2:I892, $B$2:B892, B892)</f>
        <v>0.61749999999999994</v>
      </c>
      <c r="AJ892" s="86">
        <f>AVERAGEIFS($J$2:J892, $B$2:B892, B892)</f>
        <v>0.55666666666666675</v>
      </c>
      <c r="AK892" s="86">
        <f>AVERAGEIFS($D$2:D892, $B$2:B892, B892)</f>
        <v>0.75</v>
      </c>
    </row>
    <row r="893" spans="1:37" x14ac:dyDescent="0.25">
      <c r="A893" s="85">
        <v>46130</v>
      </c>
      <c r="B893" t="s">
        <v>150</v>
      </c>
      <c r="C893">
        <v>24</v>
      </c>
      <c r="D893">
        <v>1</v>
      </c>
      <c r="E893">
        <v>4</v>
      </c>
      <c r="F893">
        <v>3</v>
      </c>
      <c r="G893">
        <v>16</v>
      </c>
      <c r="H893">
        <v>9</v>
      </c>
      <c r="I893">
        <v>0.75</v>
      </c>
      <c r="J893">
        <v>0.56000000000000005</v>
      </c>
      <c r="K893">
        <v>0</v>
      </c>
      <c r="L893">
        <v>0</v>
      </c>
      <c r="M893">
        <v>1</v>
      </c>
      <c r="N893">
        <v>1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0</v>
      </c>
      <c r="Y893">
        <v>0</v>
      </c>
      <c r="Z893">
        <v>1</v>
      </c>
      <c r="AA893">
        <v>0</v>
      </c>
      <c r="AB893">
        <v>0</v>
      </c>
      <c r="AC893">
        <v>0</v>
      </c>
      <c r="AD893">
        <v>0</v>
      </c>
      <c r="AE893">
        <v>0</v>
      </c>
      <c r="AF893">
        <v>0</v>
      </c>
      <c r="AG893">
        <v>0</v>
      </c>
      <c r="AH893" s="86">
        <f>AVERAGEIFS($C$2:C893, $B$2:B893, B893)</f>
        <v>16.625</v>
      </c>
      <c r="AI893" s="86">
        <f>AVERAGEIFS($I$2:I893, $B$2:B893, B893)</f>
        <v>0.63749999999999996</v>
      </c>
      <c r="AJ893" s="86">
        <f>AVERAGEIFS($J$2:J893, $B$2:B893, B893)</f>
        <v>0.59687500000000016</v>
      </c>
      <c r="AK893" s="86">
        <f>AVERAGEIFS($D$2:D893, $B$2:B893, B893)</f>
        <v>0.625</v>
      </c>
    </row>
    <row r="894" spans="1:37" x14ac:dyDescent="0.25">
      <c r="A894" s="85">
        <v>46130</v>
      </c>
      <c r="B894" t="s">
        <v>107</v>
      </c>
      <c r="C894">
        <v>13</v>
      </c>
      <c r="D894">
        <v>1</v>
      </c>
      <c r="E894">
        <v>4</v>
      </c>
      <c r="F894">
        <v>3</v>
      </c>
      <c r="G894">
        <v>16</v>
      </c>
      <c r="H894">
        <v>9</v>
      </c>
      <c r="I894">
        <v>0.75</v>
      </c>
      <c r="J894">
        <v>0.56000000000000005</v>
      </c>
      <c r="K894">
        <v>0</v>
      </c>
      <c r="L894">
        <v>0</v>
      </c>
      <c r="M894">
        <v>1</v>
      </c>
      <c r="N894">
        <v>1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0</v>
      </c>
      <c r="Y894">
        <v>0</v>
      </c>
      <c r="Z894">
        <v>1</v>
      </c>
      <c r="AA894">
        <v>0</v>
      </c>
      <c r="AB894">
        <v>0</v>
      </c>
      <c r="AC894">
        <v>0</v>
      </c>
      <c r="AD894">
        <v>0</v>
      </c>
      <c r="AE894">
        <v>0</v>
      </c>
      <c r="AF894">
        <v>0</v>
      </c>
      <c r="AG894">
        <v>0</v>
      </c>
      <c r="AH894" s="86">
        <f>AVERAGEIFS($C$2:C894, $B$2:B894, B894)</f>
        <v>15.948717948717949</v>
      </c>
      <c r="AI894" s="86">
        <f>AVERAGEIFS($I$2:I894, $B$2:B894, B894)</f>
        <v>0.52307692307692299</v>
      </c>
      <c r="AJ894" s="86">
        <f>AVERAGEIFS($J$2:J894, $B$2:B894, B894)</f>
        <v>0.51897435897435895</v>
      </c>
      <c r="AK894" s="86">
        <f>AVERAGEIFS($D$2:D894, $B$2:B894, B894)</f>
        <v>0.5641025641025641</v>
      </c>
    </row>
    <row r="895" spans="1:37" x14ac:dyDescent="0.25">
      <c r="A895" s="85">
        <v>46130</v>
      </c>
      <c r="B895" t="s">
        <v>161</v>
      </c>
      <c r="C895">
        <v>3</v>
      </c>
      <c r="D895">
        <v>1</v>
      </c>
      <c r="E895">
        <v>4</v>
      </c>
      <c r="F895">
        <v>3</v>
      </c>
      <c r="G895">
        <v>16</v>
      </c>
      <c r="H895">
        <v>9</v>
      </c>
      <c r="I895">
        <v>0.75</v>
      </c>
      <c r="J895">
        <v>0.56000000000000005</v>
      </c>
      <c r="K895">
        <v>0</v>
      </c>
      <c r="L895">
        <v>0</v>
      </c>
      <c r="M895">
        <v>1</v>
      </c>
      <c r="N895">
        <v>1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0</v>
      </c>
      <c r="Y895">
        <v>0</v>
      </c>
      <c r="Z895">
        <v>1</v>
      </c>
      <c r="AA895">
        <v>0</v>
      </c>
      <c r="AB895">
        <v>0</v>
      </c>
      <c r="AC895">
        <v>0</v>
      </c>
      <c r="AD895">
        <v>0</v>
      </c>
      <c r="AE895">
        <v>0</v>
      </c>
      <c r="AF895">
        <v>0</v>
      </c>
      <c r="AG895">
        <v>0</v>
      </c>
      <c r="AH895" s="86">
        <f>AVERAGEIFS($C$2:C895, $B$2:B895, B895)</f>
        <v>5</v>
      </c>
      <c r="AI895" s="86">
        <f>AVERAGEIFS($I$2:I895, $B$2:B895, B895)</f>
        <v>0.7</v>
      </c>
      <c r="AJ895" s="86">
        <f>AVERAGEIFS($J$2:J895, $B$2:B895, B895)</f>
        <v>0.56399999999999995</v>
      </c>
      <c r="AK895" s="86">
        <f>AVERAGEIFS($D$2:D895, $B$2:B895, B895)</f>
        <v>0.8</v>
      </c>
    </row>
    <row r="896" spans="1:37" x14ac:dyDescent="0.25">
      <c r="A896" s="85">
        <v>46130</v>
      </c>
      <c r="B896" t="s">
        <v>4</v>
      </c>
      <c r="C896">
        <v>27</v>
      </c>
      <c r="D896">
        <v>0</v>
      </c>
      <c r="E896">
        <v>4</v>
      </c>
      <c r="F896">
        <v>1</v>
      </c>
      <c r="G896">
        <v>16</v>
      </c>
      <c r="H896">
        <v>7</v>
      </c>
      <c r="I896">
        <v>0.25</v>
      </c>
      <c r="J896">
        <v>0.44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0</v>
      </c>
      <c r="Z896">
        <v>0</v>
      </c>
      <c r="AA896">
        <v>0</v>
      </c>
      <c r="AB896">
        <v>0</v>
      </c>
      <c r="AC896">
        <v>1</v>
      </c>
      <c r="AD896">
        <v>0</v>
      </c>
      <c r="AE896">
        <v>0</v>
      </c>
      <c r="AF896">
        <v>0</v>
      </c>
      <c r="AG896">
        <v>0</v>
      </c>
      <c r="AH896" s="86">
        <f>AVERAGEIFS($C$2:C896, $B$2:B896, B896)</f>
        <v>24.666666666666668</v>
      </c>
      <c r="AI896" s="86">
        <f>AVERAGEIFS($I$2:I896, $B$2:B896, B896)</f>
        <v>0.43166666666666664</v>
      </c>
      <c r="AJ896" s="86">
        <f>AVERAGEIFS($J$2:J896, $B$2:B896, B896)</f>
        <v>0.45966666666666661</v>
      </c>
      <c r="AK896" s="86">
        <f>AVERAGEIFS($D$2:D896, $B$2:B896, B896)</f>
        <v>0.33333333333333331</v>
      </c>
    </row>
    <row r="897" spans="1:37" x14ac:dyDescent="0.25">
      <c r="A897" s="85">
        <v>46130</v>
      </c>
      <c r="B897" t="s">
        <v>2</v>
      </c>
      <c r="C897">
        <v>10</v>
      </c>
      <c r="D897">
        <v>0</v>
      </c>
      <c r="E897">
        <v>4</v>
      </c>
      <c r="F897">
        <v>1</v>
      </c>
      <c r="G897">
        <v>16</v>
      </c>
      <c r="H897">
        <v>7</v>
      </c>
      <c r="I897">
        <v>0.25</v>
      </c>
      <c r="J897">
        <v>0.44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>
        <v>0</v>
      </c>
      <c r="AB897">
        <v>0</v>
      </c>
      <c r="AC897">
        <v>1</v>
      </c>
      <c r="AD897">
        <v>0</v>
      </c>
      <c r="AE897">
        <v>0</v>
      </c>
      <c r="AF897">
        <v>0</v>
      </c>
      <c r="AG897">
        <v>0</v>
      </c>
      <c r="AH897" s="86">
        <f>AVERAGEIFS($C$2:C897, $B$2:B897, B897)</f>
        <v>23</v>
      </c>
      <c r="AI897" s="86">
        <f>AVERAGEIFS($I$2:I897, $B$2:B897, B897)</f>
        <v>0.54675675675675672</v>
      </c>
      <c r="AJ897" s="86">
        <f>AVERAGEIFS($J$2:J897, $B$2:B897, B897)</f>
        <v>0.54324324324324325</v>
      </c>
      <c r="AK897" s="86">
        <f>AVERAGEIFS($D$2:D897, $B$2:B897, B897)</f>
        <v>0.54054054054054057</v>
      </c>
    </row>
    <row r="898" spans="1:37" x14ac:dyDescent="0.25">
      <c r="A898" s="85">
        <v>46130</v>
      </c>
      <c r="B898" t="s">
        <v>113</v>
      </c>
      <c r="C898">
        <v>27</v>
      </c>
      <c r="D898">
        <v>0</v>
      </c>
      <c r="E898">
        <v>4</v>
      </c>
      <c r="F898">
        <v>1</v>
      </c>
      <c r="G898">
        <v>16</v>
      </c>
      <c r="H898">
        <v>7</v>
      </c>
      <c r="I898">
        <v>0.25</v>
      </c>
      <c r="J898">
        <v>0.44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>
        <v>0</v>
      </c>
      <c r="AB898">
        <v>0</v>
      </c>
      <c r="AC898">
        <v>1</v>
      </c>
      <c r="AD898">
        <v>0</v>
      </c>
      <c r="AE898">
        <v>0</v>
      </c>
      <c r="AF898">
        <v>0</v>
      </c>
      <c r="AG898">
        <v>0</v>
      </c>
      <c r="AH898" s="86">
        <f>AVERAGEIFS($C$2:C898, $B$2:B898, B898)</f>
        <v>17.588235294117649</v>
      </c>
      <c r="AI898" s="86">
        <f>AVERAGEIFS($I$2:I898, $B$2:B898, B898)</f>
        <v>0.57500000000000007</v>
      </c>
      <c r="AJ898" s="86">
        <f>AVERAGEIFS($J$2:J898, $B$2:B898, B898)</f>
        <v>0.53500000000000014</v>
      </c>
      <c r="AK898" s="86">
        <f>AVERAGEIFS($D$2:D898, $B$2:B898, B898)</f>
        <v>0.55882352941176472</v>
      </c>
    </row>
    <row r="899" spans="1:37" x14ac:dyDescent="0.25">
      <c r="A899" s="85">
        <v>46130</v>
      </c>
      <c r="B899" t="s">
        <v>147</v>
      </c>
      <c r="C899">
        <v>7</v>
      </c>
      <c r="D899">
        <v>0</v>
      </c>
      <c r="E899">
        <v>4</v>
      </c>
      <c r="F899">
        <v>1</v>
      </c>
      <c r="G899">
        <v>16</v>
      </c>
      <c r="H899">
        <v>7</v>
      </c>
      <c r="I899">
        <v>0.25</v>
      </c>
      <c r="J899">
        <v>0.44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</v>
      </c>
      <c r="AA899">
        <v>0</v>
      </c>
      <c r="AB899">
        <v>0</v>
      </c>
      <c r="AC899">
        <v>1</v>
      </c>
      <c r="AD899">
        <v>0</v>
      </c>
      <c r="AE899">
        <v>0</v>
      </c>
      <c r="AF899">
        <v>0</v>
      </c>
      <c r="AG899">
        <v>0</v>
      </c>
      <c r="AH899" s="86">
        <f>AVERAGEIFS($C$2:C899, $B$2:B899, B899)</f>
        <v>11.476190476190476</v>
      </c>
      <c r="AI899" s="86">
        <f>AVERAGEIFS($I$2:I899, $B$2:B899, B899)</f>
        <v>0.56428571428571428</v>
      </c>
      <c r="AJ899" s="86">
        <f>AVERAGEIFS($J$2:J899, $B$2:B899, B899)</f>
        <v>0.54095238095238085</v>
      </c>
      <c r="AK899" s="86">
        <f>AVERAGEIFS($D$2:D899, $B$2:B899, B899)</f>
        <v>0.52380952380952384</v>
      </c>
    </row>
    <row r="900" spans="1:37" x14ac:dyDescent="0.25">
      <c r="A900" s="85">
        <v>46130</v>
      </c>
      <c r="B900" t="s">
        <v>167</v>
      </c>
      <c r="C900">
        <v>6</v>
      </c>
      <c r="D900">
        <v>0</v>
      </c>
      <c r="E900">
        <v>4</v>
      </c>
      <c r="F900">
        <v>1</v>
      </c>
      <c r="G900">
        <v>16</v>
      </c>
      <c r="H900">
        <v>7</v>
      </c>
      <c r="I900">
        <v>0.25</v>
      </c>
      <c r="J900">
        <v>0.44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</v>
      </c>
      <c r="AA900">
        <v>0</v>
      </c>
      <c r="AB900">
        <v>0</v>
      </c>
      <c r="AC900">
        <v>1</v>
      </c>
      <c r="AD900">
        <v>0</v>
      </c>
      <c r="AE900">
        <v>0</v>
      </c>
      <c r="AF900">
        <v>0</v>
      </c>
      <c r="AG900">
        <v>0</v>
      </c>
      <c r="AH900" s="86">
        <f>AVERAGEIFS($C$2:C900, $B$2:B900, B900)</f>
        <v>10</v>
      </c>
      <c r="AI900" s="86">
        <f>AVERAGEIFS($I$2:I900, $B$2:B900, B900)</f>
        <v>0.46666666666666662</v>
      </c>
      <c r="AJ900" s="86">
        <f>AVERAGEIFS($J$2:J900, $B$2:B900, B900)</f>
        <v>0.48333333333333334</v>
      </c>
      <c r="AK900" s="86">
        <f>AVERAGEIFS($D$2:D900, $B$2:B900, B900)</f>
        <v>0.33333333333333331</v>
      </c>
    </row>
    <row r="901" spans="1:37" x14ac:dyDescent="0.25">
      <c r="A901" s="85">
        <v>46130</v>
      </c>
      <c r="B901" t="s">
        <v>53</v>
      </c>
      <c r="C901">
        <v>13</v>
      </c>
      <c r="D901">
        <v>0</v>
      </c>
      <c r="E901">
        <v>4</v>
      </c>
      <c r="F901">
        <v>1</v>
      </c>
      <c r="G901">
        <v>16</v>
      </c>
      <c r="H901">
        <v>7</v>
      </c>
      <c r="I901">
        <v>0.25</v>
      </c>
      <c r="J901">
        <v>0.44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0</v>
      </c>
      <c r="AA901">
        <v>0</v>
      </c>
      <c r="AB901">
        <v>0</v>
      </c>
      <c r="AC901">
        <v>1</v>
      </c>
      <c r="AD901">
        <v>0</v>
      </c>
      <c r="AE901">
        <v>0</v>
      </c>
      <c r="AF901">
        <v>0</v>
      </c>
      <c r="AG901">
        <v>0</v>
      </c>
      <c r="AH901" s="86">
        <f>AVERAGEIFS($C$2:C901, $B$2:B901, B901)</f>
        <v>14.72</v>
      </c>
      <c r="AI901" s="86">
        <f>AVERAGEIFS($I$2:I901, $B$2:B901, B901)</f>
        <v>0.49400000000000005</v>
      </c>
      <c r="AJ901" s="86">
        <f>AVERAGEIFS($J$2:J901, $B$2:B901, B901)</f>
        <v>0.49480000000000002</v>
      </c>
      <c r="AK901" s="86">
        <f>AVERAGEIFS($D$2:D901, $B$2:B901, B901)</f>
        <v>0.4</v>
      </c>
    </row>
    <row r="902" spans="1:37" x14ac:dyDescent="0.25">
      <c r="A902" s="85">
        <v>46133</v>
      </c>
      <c r="B902" t="s">
        <v>1</v>
      </c>
      <c r="C902">
        <v>49</v>
      </c>
      <c r="D902">
        <v>1</v>
      </c>
      <c r="E902">
        <v>5</v>
      </c>
      <c r="F902">
        <v>3</v>
      </c>
      <c r="G902">
        <v>23</v>
      </c>
      <c r="H902">
        <v>12</v>
      </c>
      <c r="I902">
        <v>0.6</v>
      </c>
      <c r="J902">
        <v>0.52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0</v>
      </c>
      <c r="Z902">
        <v>1</v>
      </c>
      <c r="AA902">
        <v>0</v>
      </c>
      <c r="AB902">
        <v>0</v>
      </c>
      <c r="AC902">
        <v>0</v>
      </c>
      <c r="AD902">
        <v>0</v>
      </c>
      <c r="AE902">
        <v>1</v>
      </c>
      <c r="AF902">
        <v>0</v>
      </c>
      <c r="AG902">
        <v>1</v>
      </c>
      <c r="AH902" s="86">
        <f>AVERAGEIFS($C$2:C902, $B$2:B902, B902)</f>
        <v>26.545454545454547</v>
      </c>
      <c r="AI902" s="86">
        <f>AVERAGEIFS($I$2:I902, $B$2:B902, B902)</f>
        <v>0.49848484848484859</v>
      </c>
      <c r="AJ902" s="86">
        <f>AVERAGEIFS($J$2:J902, $B$2:B902, B902)</f>
        <v>0.49727272727272737</v>
      </c>
      <c r="AK902" s="86">
        <f>AVERAGEIFS($D$2:D902, $B$2:B902, B902)</f>
        <v>0.54545454545454541</v>
      </c>
    </row>
    <row r="903" spans="1:37" x14ac:dyDescent="0.25">
      <c r="A903" s="85">
        <v>46133</v>
      </c>
      <c r="B903" t="s">
        <v>40</v>
      </c>
      <c r="C903">
        <v>32</v>
      </c>
      <c r="D903">
        <v>1</v>
      </c>
      <c r="E903">
        <v>5</v>
      </c>
      <c r="F903">
        <v>3</v>
      </c>
      <c r="G903">
        <v>23</v>
      </c>
      <c r="H903">
        <v>12</v>
      </c>
      <c r="I903">
        <v>0.6</v>
      </c>
      <c r="J903">
        <v>0.52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1</v>
      </c>
      <c r="AA903">
        <v>0</v>
      </c>
      <c r="AB903">
        <v>0</v>
      </c>
      <c r="AC903">
        <v>0</v>
      </c>
      <c r="AD903">
        <v>0</v>
      </c>
      <c r="AE903">
        <v>1</v>
      </c>
      <c r="AF903">
        <v>0</v>
      </c>
      <c r="AG903">
        <v>1</v>
      </c>
      <c r="AH903" s="86">
        <f>AVERAGEIFS($C$2:C903, $B$2:B903, B903)</f>
        <v>18.508771929824562</v>
      </c>
      <c r="AI903" s="86">
        <f>AVERAGEIFS($I$2:I903, $B$2:B903, B903)</f>
        <v>0.49122807017543846</v>
      </c>
      <c r="AJ903" s="86">
        <f>AVERAGEIFS($J$2:J903, $B$2:B903, B903)</f>
        <v>0.48561403508771933</v>
      </c>
      <c r="AK903" s="86">
        <f>AVERAGEIFS($D$2:D903, $B$2:B903, B903)</f>
        <v>0.43859649122807015</v>
      </c>
    </row>
    <row r="904" spans="1:37" x14ac:dyDescent="0.25">
      <c r="A904" s="85">
        <v>46133</v>
      </c>
      <c r="B904" t="s">
        <v>44</v>
      </c>
      <c r="C904">
        <v>24</v>
      </c>
      <c r="D904">
        <v>1</v>
      </c>
      <c r="E904">
        <v>5</v>
      </c>
      <c r="F904">
        <v>3</v>
      </c>
      <c r="G904">
        <v>23</v>
      </c>
      <c r="H904">
        <v>12</v>
      </c>
      <c r="I904">
        <v>0.6</v>
      </c>
      <c r="J904">
        <v>0.52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1</v>
      </c>
      <c r="AA904">
        <v>0</v>
      </c>
      <c r="AB904">
        <v>0</v>
      </c>
      <c r="AC904">
        <v>0</v>
      </c>
      <c r="AD904">
        <v>0</v>
      </c>
      <c r="AE904">
        <v>1</v>
      </c>
      <c r="AF904">
        <v>0</v>
      </c>
      <c r="AG904">
        <v>1</v>
      </c>
      <c r="AH904" s="86">
        <f>AVERAGEIFS($C$2:C904, $B$2:B904, B904)</f>
        <v>16.375</v>
      </c>
      <c r="AI904" s="86">
        <f>AVERAGEIFS($I$2:I904, $B$2:B904, B904)</f>
        <v>0.53625</v>
      </c>
      <c r="AJ904" s="86">
        <f>AVERAGEIFS($J$2:J904, $B$2:B904, B904)</f>
        <v>0.54049999999999998</v>
      </c>
      <c r="AK904" s="86">
        <f>AVERAGEIFS($D$2:D904, $B$2:B904, B904)</f>
        <v>0.65</v>
      </c>
    </row>
    <row r="905" spans="1:37" x14ac:dyDescent="0.25">
      <c r="A905" s="85">
        <v>46133</v>
      </c>
      <c r="B905" t="s">
        <v>107</v>
      </c>
      <c r="C905">
        <v>22</v>
      </c>
      <c r="D905">
        <v>1</v>
      </c>
      <c r="E905">
        <v>5</v>
      </c>
      <c r="F905">
        <v>3</v>
      </c>
      <c r="G905">
        <v>23</v>
      </c>
      <c r="H905">
        <v>12</v>
      </c>
      <c r="I905">
        <v>0.6</v>
      </c>
      <c r="J905">
        <v>0.52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0</v>
      </c>
      <c r="X905">
        <v>0</v>
      </c>
      <c r="Y905">
        <v>0</v>
      </c>
      <c r="Z905">
        <v>1</v>
      </c>
      <c r="AA905">
        <v>0</v>
      </c>
      <c r="AB905">
        <v>0</v>
      </c>
      <c r="AC905">
        <v>0</v>
      </c>
      <c r="AD905">
        <v>0</v>
      </c>
      <c r="AE905">
        <v>1</v>
      </c>
      <c r="AF905">
        <v>0</v>
      </c>
      <c r="AG905">
        <v>1</v>
      </c>
      <c r="AH905" s="86">
        <f>AVERAGEIFS($C$2:C905, $B$2:B905, B905)</f>
        <v>16.100000000000001</v>
      </c>
      <c r="AI905" s="86">
        <f>AVERAGEIFS($I$2:I905, $B$2:B905, B905)</f>
        <v>0.52500000000000002</v>
      </c>
      <c r="AJ905" s="86">
        <f>AVERAGEIFS($J$2:J905, $B$2:B905, B905)</f>
        <v>0.51899999999999991</v>
      </c>
      <c r="AK905" s="86">
        <f>AVERAGEIFS($D$2:D905, $B$2:B905, B905)</f>
        <v>0.57499999999999996</v>
      </c>
    </row>
    <row r="906" spans="1:37" x14ac:dyDescent="0.25">
      <c r="A906" s="85">
        <v>46133</v>
      </c>
      <c r="B906" t="s">
        <v>141</v>
      </c>
      <c r="C906">
        <v>19</v>
      </c>
      <c r="D906">
        <v>1</v>
      </c>
      <c r="E906">
        <v>5</v>
      </c>
      <c r="F906">
        <v>3</v>
      </c>
      <c r="G906">
        <v>23</v>
      </c>
      <c r="H906">
        <v>12</v>
      </c>
      <c r="I906">
        <v>0.6</v>
      </c>
      <c r="J906">
        <v>0.52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0</v>
      </c>
      <c r="X906">
        <v>0</v>
      </c>
      <c r="Y906">
        <v>0</v>
      </c>
      <c r="Z906">
        <v>1</v>
      </c>
      <c r="AA906">
        <v>0</v>
      </c>
      <c r="AB906">
        <v>0</v>
      </c>
      <c r="AC906">
        <v>0</v>
      </c>
      <c r="AD906">
        <v>0</v>
      </c>
      <c r="AE906">
        <v>1</v>
      </c>
      <c r="AF906">
        <v>0</v>
      </c>
      <c r="AG906">
        <v>1</v>
      </c>
      <c r="AH906" s="86">
        <f>AVERAGEIFS($C$2:C906, $B$2:B906, B906)</f>
        <v>12.8</v>
      </c>
      <c r="AI906" s="86">
        <f>AVERAGEIFS($I$2:I906, $B$2:B906, B906)</f>
        <v>0.45499999999999996</v>
      </c>
      <c r="AJ906" s="86">
        <f>AVERAGEIFS($J$2:J906, $B$2:B906, B906)</f>
        <v>0.50700000000000001</v>
      </c>
      <c r="AK906" s="86">
        <f>AVERAGEIFS($D$2:D906, $B$2:B906, B906)</f>
        <v>0.6</v>
      </c>
    </row>
    <row r="907" spans="1:37" x14ac:dyDescent="0.25">
      <c r="A907" s="85">
        <v>46133</v>
      </c>
      <c r="B907" t="s">
        <v>166</v>
      </c>
      <c r="C907">
        <v>8</v>
      </c>
      <c r="D907">
        <v>1</v>
      </c>
      <c r="E907">
        <v>5</v>
      </c>
      <c r="F907">
        <v>3</v>
      </c>
      <c r="G907">
        <v>23</v>
      </c>
      <c r="H907">
        <v>12</v>
      </c>
      <c r="I907">
        <v>0.6</v>
      </c>
      <c r="J907">
        <v>0.52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0</v>
      </c>
      <c r="X907">
        <v>0</v>
      </c>
      <c r="Y907">
        <v>0</v>
      </c>
      <c r="Z907">
        <v>1</v>
      </c>
      <c r="AA907">
        <v>0</v>
      </c>
      <c r="AB907">
        <v>0</v>
      </c>
      <c r="AC907">
        <v>0</v>
      </c>
      <c r="AD907">
        <v>0</v>
      </c>
      <c r="AE907">
        <v>1</v>
      </c>
      <c r="AF907">
        <v>0</v>
      </c>
      <c r="AG907">
        <v>1</v>
      </c>
      <c r="AH907" s="86">
        <f>AVERAGEIFS($C$2:C907, $B$2:B907, B907)</f>
        <v>6.333333333333333</v>
      </c>
      <c r="AI907" s="86">
        <f>AVERAGEIFS($I$2:I907, $B$2:B907, B907)</f>
        <v>0.45</v>
      </c>
      <c r="AJ907" s="86">
        <f>AVERAGEIFS($J$2:J907, $B$2:B907, B907)</f>
        <v>0.47666666666666663</v>
      </c>
      <c r="AK907" s="86">
        <f>AVERAGEIFS($D$2:D907, $B$2:B907, B907)</f>
        <v>0.66666666666666663</v>
      </c>
    </row>
    <row r="908" spans="1:37" x14ac:dyDescent="0.25">
      <c r="A908" s="85">
        <v>46133</v>
      </c>
      <c r="B908" t="s">
        <v>5</v>
      </c>
      <c r="C908">
        <v>37</v>
      </c>
      <c r="D908">
        <v>0</v>
      </c>
      <c r="E908">
        <v>5</v>
      </c>
      <c r="F908">
        <v>2</v>
      </c>
      <c r="G908">
        <v>23</v>
      </c>
      <c r="H908">
        <v>11</v>
      </c>
      <c r="I908">
        <v>0.4</v>
      </c>
      <c r="J908">
        <v>0.48</v>
      </c>
      <c r="K908">
        <v>0</v>
      </c>
      <c r="L908">
        <v>1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0</v>
      </c>
      <c r="X908">
        <v>0</v>
      </c>
      <c r="Y908">
        <v>0</v>
      </c>
      <c r="Z908">
        <v>0</v>
      </c>
      <c r="AA908">
        <v>0</v>
      </c>
      <c r="AB908">
        <v>0</v>
      </c>
      <c r="AC908">
        <v>1</v>
      </c>
      <c r="AD908">
        <v>0</v>
      </c>
      <c r="AE908">
        <v>0</v>
      </c>
      <c r="AF908">
        <v>0</v>
      </c>
      <c r="AG908">
        <v>0</v>
      </c>
      <c r="AH908" s="86">
        <f>AVERAGEIFS($C$2:C908, $B$2:B908, B908)</f>
        <v>20</v>
      </c>
      <c r="AI908" s="86">
        <f>AVERAGEIFS($I$2:I908, $B$2:B908, B908)</f>
        <v>0.60880000000000001</v>
      </c>
      <c r="AJ908" s="86">
        <f>AVERAGEIFS($J$2:J908, $B$2:B908, B908)</f>
        <v>0.55360000000000009</v>
      </c>
      <c r="AK908" s="86">
        <f>AVERAGEIFS($D$2:D908, $B$2:B908, B908)</f>
        <v>0.72</v>
      </c>
    </row>
    <row r="909" spans="1:37" x14ac:dyDescent="0.25">
      <c r="A909" s="85">
        <v>46133</v>
      </c>
      <c r="B909" t="s">
        <v>4</v>
      </c>
      <c r="C909">
        <v>34</v>
      </c>
      <c r="D909">
        <v>0</v>
      </c>
      <c r="E909">
        <v>5</v>
      </c>
      <c r="F909">
        <v>2</v>
      </c>
      <c r="G909">
        <v>23</v>
      </c>
      <c r="H909">
        <v>11</v>
      </c>
      <c r="I909">
        <v>0.4</v>
      </c>
      <c r="J909">
        <v>0.48</v>
      </c>
      <c r="K909">
        <v>0</v>
      </c>
      <c r="L909">
        <v>1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0</v>
      </c>
      <c r="X909">
        <v>0</v>
      </c>
      <c r="Y909">
        <v>0</v>
      </c>
      <c r="Z909">
        <v>0</v>
      </c>
      <c r="AA909">
        <v>0</v>
      </c>
      <c r="AB909">
        <v>0</v>
      </c>
      <c r="AC909">
        <v>1</v>
      </c>
      <c r="AD909">
        <v>0</v>
      </c>
      <c r="AE909">
        <v>0</v>
      </c>
      <c r="AF909">
        <v>0</v>
      </c>
      <c r="AG909">
        <v>0</v>
      </c>
      <c r="AH909" s="86">
        <f>AVERAGEIFS($C$2:C909, $B$2:B909, B909)</f>
        <v>24.967741935483872</v>
      </c>
      <c r="AI909" s="86">
        <f>AVERAGEIFS($I$2:I909, $B$2:B909, B909)</f>
        <v>0.43064516129032254</v>
      </c>
      <c r="AJ909" s="86">
        <f>AVERAGEIFS($J$2:J909, $B$2:B909, B909)</f>
        <v>0.46032258064516129</v>
      </c>
      <c r="AK909" s="86">
        <f>AVERAGEIFS($D$2:D909, $B$2:B909, B909)</f>
        <v>0.32258064516129031</v>
      </c>
    </row>
    <row r="910" spans="1:37" x14ac:dyDescent="0.25">
      <c r="A910" s="85">
        <v>46133</v>
      </c>
      <c r="B910" t="s">
        <v>113</v>
      </c>
      <c r="C910">
        <v>30</v>
      </c>
      <c r="D910">
        <v>0</v>
      </c>
      <c r="E910">
        <v>5</v>
      </c>
      <c r="F910">
        <v>2</v>
      </c>
      <c r="G910">
        <v>23</v>
      </c>
      <c r="H910">
        <v>11</v>
      </c>
      <c r="I910">
        <v>0.4</v>
      </c>
      <c r="J910">
        <v>0.48</v>
      </c>
      <c r="K910">
        <v>0</v>
      </c>
      <c r="L910">
        <v>1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0</v>
      </c>
      <c r="X910">
        <v>0</v>
      </c>
      <c r="Y910">
        <v>0</v>
      </c>
      <c r="Z910">
        <v>0</v>
      </c>
      <c r="AA910">
        <v>0</v>
      </c>
      <c r="AB910">
        <v>0</v>
      </c>
      <c r="AC910">
        <v>1</v>
      </c>
      <c r="AD910">
        <v>0</v>
      </c>
      <c r="AE910">
        <v>0</v>
      </c>
      <c r="AF910">
        <v>0</v>
      </c>
      <c r="AG910">
        <v>0</v>
      </c>
      <c r="AH910" s="86">
        <f>AVERAGEIFS($C$2:C910, $B$2:B910, B910)</f>
        <v>17.942857142857143</v>
      </c>
      <c r="AI910" s="86">
        <f>AVERAGEIFS($I$2:I910, $B$2:B910, B910)</f>
        <v>0.56999999999999995</v>
      </c>
      <c r="AJ910" s="86">
        <f>AVERAGEIFS($J$2:J910, $B$2:B910, B910)</f>
        <v>0.53342857142857159</v>
      </c>
      <c r="AK910" s="86">
        <f>AVERAGEIFS($D$2:D910, $B$2:B910, B910)</f>
        <v>0.54285714285714282</v>
      </c>
    </row>
    <row r="911" spans="1:37" x14ac:dyDescent="0.25">
      <c r="A911" s="85">
        <v>46133</v>
      </c>
      <c r="B911" t="s">
        <v>147</v>
      </c>
      <c r="C911">
        <v>24</v>
      </c>
      <c r="D911">
        <v>0</v>
      </c>
      <c r="E911">
        <v>5</v>
      </c>
      <c r="F911">
        <v>2</v>
      </c>
      <c r="G911">
        <v>23</v>
      </c>
      <c r="H911">
        <v>11</v>
      </c>
      <c r="I911">
        <v>0.4</v>
      </c>
      <c r="J911">
        <v>0.48</v>
      </c>
      <c r="K911">
        <v>0</v>
      </c>
      <c r="L911">
        <v>1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0</v>
      </c>
      <c r="Y911">
        <v>0</v>
      </c>
      <c r="Z911">
        <v>0</v>
      </c>
      <c r="AA911">
        <v>0</v>
      </c>
      <c r="AB911">
        <v>0</v>
      </c>
      <c r="AC911">
        <v>1</v>
      </c>
      <c r="AD911">
        <v>0</v>
      </c>
      <c r="AE911">
        <v>0</v>
      </c>
      <c r="AF911">
        <v>0</v>
      </c>
      <c r="AG911">
        <v>0</v>
      </c>
      <c r="AH911" s="86">
        <f>AVERAGEIFS($C$2:C911, $B$2:B911, B911)</f>
        <v>12.045454545454545</v>
      </c>
      <c r="AI911" s="86">
        <f>AVERAGEIFS($I$2:I911, $B$2:B911, B911)</f>
        <v>0.55681818181818177</v>
      </c>
      <c r="AJ911" s="86">
        <f>AVERAGEIFS($J$2:J911, $B$2:B911, B911)</f>
        <v>0.53818181818181809</v>
      </c>
      <c r="AK911" s="86">
        <f>AVERAGEIFS($D$2:D911, $B$2:B911, B911)</f>
        <v>0.5</v>
      </c>
    </row>
    <row r="912" spans="1:37" x14ac:dyDescent="0.25">
      <c r="A912" s="85">
        <v>46133</v>
      </c>
      <c r="B912" t="s">
        <v>71</v>
      </c>
      <c r="C912">
        <v>12</v>
      </c>
      <c r="D912">
        <v>0</v>
      </c>
      <c r="E912">
        <v>5</v>
      </c>
      <c r="F912">
        <v>2</v>
      </c>
      <c r="G912">
        <v>23</v>
      </c>
      <c r="H912">
        <v>11</v>
      </c>
      <c r="I912">
        <v>0.4</v>
      </c>
      <c r="J912">
        <v>0.48</v>
      </c>
      <c r="K912">
        <v>0</v>
      </c>
      <c r="L912">
        <v>1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0</v>
      </c>
      <c r="AA912">
        <v>0</v>
      </c>
      <c r="AB912">
        <v>0</v>
      </c>
      <c r="AC912">
        <v>1</v>
      </c>
      <c r="AD912">
        <v>0</v>
      </c>
      <c r="AE912">
        <v>0</v>
      </c>
      <c r="AF912">
        <v>0</v>
      </c>
      <c r="AG912">
        <v>0</v>
      </c>
      <c r="AH912" s="86">
        <f>AVERAGEIFS($C$2:C912, $B$2:B912, B912)</f>
        <v>12.62962962962963</v>
      </c>
      <c r="AI912" s="86">
        <f>AVERAGEIFS($I$2:I912, $B$2:B912, B912)</f>
        <v>0.45</v>
      </c>
      <c r="AJ912" s="86">
        <f>AVERAGEIFS($J$2:J912, $B$2:B912, B912)</f>
        <v>0.47</v>
      </c>
      <c r="AK912" s="86">
        <f>AVERAGEIFS($D$2:D912, $B$2:B912, B912)</f>
        <v>0.48148148148148145</v>
      </c>
    </row>
    <row r="913" spans="1:37" x14ac:dyDescent="0.25">
      <c r="A913" s="85">
        <v>46133</v>
      </c>
      <c r="B913" t="s">
        <v>161</v>
      </c>
      <c r="C913">
        <v>6</v>
      </c>
      <c r="D913">
        <v>0</v>
      </c>
      <c r="E913">
        <v>5</v>
      </c>
      <c r="F913">
        <v>2</v>
      </c>
      <c r="G913">
        <v>23</v>
      </c>
      <c r="H913">
        <v>11</v>
      </c>
      <c r="I913">
        <v>0.4</v>
      </c>
      <c r="J913">
        <v>0.48</v>
      </c>
      <c r="K913">
        <v>0</v>
      </c>
      <c r="L913">
        <v>1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>
        <v>0</v>
      </c>
      <c r="AB913">
        <v>0</v>
      </c>
      <c r="AC913">
        <v>1</v>
      </c>
      <c r="AD913">
        <v>0</v>
      </c>
      <c r="AE913">
        <v>0</v>
      </c>
      <c r="AF913">
        <v>0</v>
      </c>
      <c r="AG913">
        <v>0</v>
      </c>
      <c r="AH913" s="86">
        <f>AVERAGEIFS($C$2:C913, $B$2:B913, B913)</f>
        <v>5.166666666666667</v>
      </c>
      <c r="AI913" s="86">
        <f>AVERAGEIFS($I$2:I913, $B$2:B913, B913)</f>
        <v>0.65</v>
      </c>
      <c r="AJ913" s="86">
        <f>AVERAGEIFS($J$2:J913, $B$2:B913, B913)</f>
        <v>0.54999999999999993</v>
      </c>
      <c r="AK913" s="86">
        <f>AVERAGEIFS($D$2:D913, $B$2:B913, B913)</f>
        <v>0.66666666666666663</v>
      </c>
    </row>
    <row r="914" spans="1:37" x14ac:dyDescent="0.25">
      <c r="A914" s="85">
        <v>46135</v>
      </c>
      <c r="B914" t="s">
        <v>54</v>
      </c>
      <c r="C914">
        <v>29</v>
      </c>
      <c r="D914">
        <v>1</v>
      </c>
      <c r="E914">
        <v>5</v>
      </c>
      <c r="F914">
        <v>3</v>
      </c>
      <c r="G914">
        <v>19</v>
      </c>
      <c r="H914">
        <v>11</v>
      </c>
      <c r="I914">
        <v>0.6</v>
      </c>
      <c r="J914">
        <v>0.57999999999999996</v>
      </c>
      <c r="K914">
        <v>0</v>
      </c>
      <c r="L914">
        <v>0</v>
      </c>
      <c r="M914">
        <v>1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</v>
      </c>
      <c r="AA914">
        <v>0</v>
      </c>
      <c r="AB914">
        <v>0</v>
      </c>
      <c r="AC914">
        <v>1</v>
      </c>
      <c r="AD914">
        <v>0</v>
      </c>
      <c r="AE914">
        <v>1</v>
      </c>
      <c r="AF914">
        <v>0</v>
      </c>
      <c r="AG914">
        <v>0</v>
      </c>
      <c r="AH914" s="86">
        <f>AVERAGEIFS($C$2:C914, $B$2:B914, B914)</f>
        <v>23.581818181818182</v>
      </c>
      <c r="AI914" s="86">
        <f>AVERAGEIFS($I$2:I914, $B$2:B914, B914)</f>
        <v>0.54309090909090918</v>
      </c>
      <c r="AJ914" s="86">
        <f>AVERAGEIFS($J$2:J914, $B$2:B914, B914)</f>
        <v>0.51436363636363625</v>
      </c>
      <c r="AK914" s="86">
        <f>AVERAGEIFS($D$2:D914, $B$2:B914, B914)</f>
        <v>0.5636363636363636</v>
      </c>
    </row>
    <row r="915" spans="1:37" x14ac:dyDescent="0.25">
      <c r="A915" s="85">
        <v>46135</v>
      </c>
      <c r="B915" t="s">
        <v>4</v>
      </c>
      <c r="C915">
        <v>27</v>
      </c>
      <c r="D915">
        <v>1</v>
      </c>
      <c r="E915">
        <v>5</v>
      </c>
      <c r="F915">
        <v>3</v>
      </c>
      <c r="G915">
        <v>19</v>
      </c>
      <c r="H915">
        <v>11</v>
      </c>
      <c r="I915">
        <v>0.6</v>
      </c>
      <c r="J915">
        <v>0.57999999999999996</v>
      </c>
      <c r="K915">
        <v>0</v>
      </c>
      <c r="L915">
        <v>0</v>
      </c>
      <c r="M915">
        <v>1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0</v>
      </c>
      <c r="AA915">
        <v>0</v>
      </c>
      <c r="AB915">
        <v>0</v>
      </c>
      <c r="AC915">
        <v>1</v>
      </c>
      <c r="AD915">
        <v>0</v>
      </c>
      <c r="AE915">
        <v>1</v>
      </c>
      <c r="AF915">
        <v>0</v>
      </c>
      <c r="AG915">
        <v>0</v>
      </c>
      <c r="AH915" s="86">
        <f>AVERAGEIFS($C$2:C915, $B$2:B915, B915)</f>
        <v>25.03125</v>
      </c>
      <c r="AI915" s="86">
        <f>AVERAGEIFS($I$2:I915, $B$2:B915, B915)</f>
        <v>0.43593749999999998</v>
      </c>
      <c r="AJ915" s="86">
        <f>AVERAGEIFS($J$2:J915, $B$2:B915, B915)</f>
        <v>0.46406249999999999</v>
      </c>
      <c r="AK915" s="86">
        <f>AVERAGEIFS($D$2:D915, $B$2:B915, B915)</f>
        <v>0.34375</v>
      </c>
    </row>
    <row r="916" spans="1:37" x14ac:dyDescent="0.25">
      <c r="A916" s="85">
        <v>46135</v>
      </c>
      <c r="B916" t="s">
        <v>42</v>
      </c>
      <c r="C916">
        <v>21</v>
      </c>
      <c r="D916">
        <v>1</v>
      </c>
      <c r="E916">
        <v>5</v>
      </c>
      <c r="F916">
        <v>3</v>
      </c>
      <c r="G916">
        <v>19</v>
      </c>
      <c r="H916">
        <v>11</v>
      </c>
      <c r="I916">
        <v>0.6</v>
      </c>
      <c r="J916">
        <v>0.57999999999999996</v>
      </c>
      <c r="K916">
        <v>0</v>
      </c>
      <c r="L916">
        <v>0</v>
      </c>
      <c r="M916">
        <v>1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0</v>
      </c>
      <c r="Z916">
        <v>0</v>
      </c>
      <c r="AA916">
        <v>0</v>
      </c>
      <c r="AB916">
        <v>0</v>
      </c>
      <c r="AC916">
        <v>1</v>
      </c>
      <c r="AD916">
        <v>0</v>
      </c>
      <c r="AE916">
        <v>1</v>
      </c>
      <c r="AF916">
        <v>0</v>
      </c>
      <c r="AG916">
        <v>0</v>
      </c>
      <c r="AH916" s="86">
        <f>AVERAGEIFS($C$2:C916, $B$2:B916, B916)</f>
        <v>18.5</v>
      </c>
      <c r="AI916" s="86">
        <f>AVERAGEIFS($I$2:I916, $B$2:B916, B916)</f>
        <v>0.44000000000000006</v>
      </c>
      <c r="AJ916" s="86">
        <f>AVERAGEIFS($J$2:J916, $B$2:B916, B916)</f>
        <v>0.4474999999999999</v>
      </c>
      <c r="AK916" s="86">
        <f>AVERAGEIFS($D$2:D916, $B$2:B916, B916)</f>
        <v>0.45</v>
      </c>
    </row>
    <row r="917" spans="1:37" x14ac:dyDescent="0.25">
      <c r="A917" s="85">
        <v>46135</v>
      </c>
      <c r="B917" t="s">
        <v>17</v>
      </c>
      <c r="C917">
        <v>21</v>
      </c>
      <c r="D917">
        <v>1</v>
      </c>
      <c r="E917">
        <v>5</v>
      </c>
      <c r="F917">
        <v>3</v>
      </c>
      <c r="G917">
        <v>19</v>
      </c>
      <c r="H917">
        <v>11</v>
      </c>
      <c r="I917">
        <v>0.6</v>
      </c>
      <c r="J917">
        <v>0.57999999999999996</v>
      </c>
      <c r="K917">
        <v>0</v>
      </c>
      <c r="L917">
        <v>0</v>
      </c>
      <c r="M917">
        <v>1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0</v>
      </c>
      <c r="Z917">
        <v>0</v>
      </c>
      <c r="AA917">
        <v>0</v>
      </c>
      <c r="AB917">
        <v>0</v>
      </c>
      <c r="AC917">
        <v>1</v>
      </c>
      <c r="AD917">
        <v>0</v>
      </c>
      <c r="AE917">
        <v>1</v>
      </c>
      <c r="AF917">
        <v>0</v>
      </c>
      <c r="AG917">
        <v>0</v>
      </c>
      <c r="AH917" s="86">
        <f>AVERAGEIFS($C$2:C917, $B$2:B917, B917)</f>
        <v>19.794117647058822</v>
      </c>
      <c r="AI917" s="86">
        <f>AVERAGEIFS($I$2:I917, $B$2:B917, B917)</f>
        <v>0.5167647058823529</v>
      </c>
      <c r="AJ917" s="86">
        <f>AVERAGEIFS($J$2:J917, $B$2:B917, B917)</f>
        <v>0.49088235294117649</v>
      </c>
      <c r="AK917" s="86">
        <f>AVERAGEIFS($D$2:D917, $B$2:B917, B917)</f>
        <v>0.52941176470588236</v>
      </c>
    </row>
    <row r="918" spans="1:37" x14ac:dyDescent="0.25">
      <c r="A918" s="85">
        <v>46135</v>
      </c>
      <c r="B918" t="s">
        <v>50</v>
      </c>
      <c r="C918">
        <v>19</v>
      </c>
      <c r="D918">
        <v>1</v>
      </c>
      <c r="E918">
        <v>5</v>
      </c>
      <c r="F918">
        <v>3</v>
      </c>
      <c r="G918">
        <v>19</v>
      </c>
      <c r="H918">
        <v>11</v>
      </c>
      <c r="I918">
        <v>0.6</v>
      </c>
      <c r="J918">
        <v>0.57999999999999996</v>
      </c>
      <c r="K918">
        <v>0</v>
      </c>
      <c r="L918">
        <v>0</v>
      </c>
      <c r="M918">
        <v>1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</v>
      </c>
      <c r="AA918">
        <v>0</v>
      </c>
      <c r="AB918">
        <v>0</v>
      </c>
      <c r="AC918">
        <v>1</v>
      </c>
      <c r="AD918">
        <v>0</v>
      </c>
      <c r="AE918">
        <v>1</v>
      </c>
      <c r="AF918">
        <v>0</v>
      </c>
      <c r="AG918">
        <v>0</v>
      </c>
      <c r="AH918" s="86">
        <f>AVERAGEIFS($C$2:C918, $B$2:B918, B918)</f>
        <v>18.135135135135137</v>
      </c>
      <c r="AI918" s="86">
        <f>AVERAGEIFS($I$2:I918, $B$2:B918, B918)</f>
        <v>0.52243243243243254</v>
      </c>
      <c r="AJ918" s="86">
        <f>AVERAGEIFS($J$2:J918, $B$2:B918, B918)</f>
        <v>0.52054054054054044</v>
      </c>
      <c r="AK918" s="86">
        <f>AVERAGEIFS($D$2:D918, $B$2:B918, B918)</f>
        <v>0.54054054054054057</v>
      </c>
    </row>
    <row r="919" spans="1:37" x14ac:dyDescent="0.25">
      <c r="A919" s="85">
        <v>46135</v>
      </c>
      <c r="B919" t="s">
        <v>107</v>
      </c>
      <c r="C919">
        <v>14</v>
      </c>
      <c r="D919">
        <v>1</v>
      </c>
      <c r="E919">
        <v>5</v>
      </c>
      <c r="F919">
        <v>3</v>
      </c>
      <c r="G919">
        <v>19</v>
      </c>
      <c r="H919">
        <v>11</v>
      </c>
      <c r="I919">
        <v>0.6</v>
      </c>
      <c r="J919">
        <v>0.57999999999999996</v>
      </c>
      <c r="K919">
        <v>0</v>
      </c>
      <c r="L919">
        <v>0</v>
      </c>
      <c r="M919">
        <v>1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>
        <v>0</v>
      </c>
      <c r="AB919">
        <v>0</v>
      </c>
      <c r="AC919">
        <v>1</v>
      </c>
      <c r="AD919">
        <v>0</v>
      </c>
      <c r="AE919">
        <v>1</v>
      </c>
      <c r="AF919">
        <v>0</v>
      </c>
      <c r="AG919">
        <v>0</v>
      </c>
      <c r="AH919" s="86">
        <f>AVERAGEIFS($C$2:C919, $B$2:B919, B919)</f>
        <v>16.048780487804876</v>
      </c>
      <c r="AI919" s="86">
        <f>AVERAGEIFS($I$2:I919, $B$2:B919, B919)</f>
        <v>0.52682926829268295</v>
      </c>
      <c r="AJ919" s="86">
        <f>AVERAGEIFS($J$2:J919, $B$2:B919, B919)</f>
        <v>0.52048780487804869</v>
      </c>
      <c r="AK919" s="86">
        <f>AVERAGEIFS($D$2:D919, $B$2:B919, B919)</f>
        <v>0.58536585365853655</v>
      </c>
    </row>
    <row r="920" spans="1:37" x14ac:dyDescent="0.25">
      <c r="A920" s="85">
        <v>46135</v>
      </c>
      <c r="B920" t="s">
        <v>1</v>
      </c>
      <c r="C920">
        <v>30</v>
      </c>
      <c r="D920">
        <v>0</v>
      </c>
      <c r="E920">
        <v>5</v>
      </c>
      <c r="F920">
        <v>2</v>
      </c>
      <c r="G920">
        <v>19</v>
      </c>
      <c r="H920">
        <v>8</v>
      </c>
      <c r="I920">
        <v>0.4</v>
      </c>
      <c r="J920">
        <v>0.42</v>
      </c>
      <c r="K920">
        <v>0</v>
      </c>
      <c r="L920">
        <v>0</v>
      </c>
      <c r="M920">
        <v>0</v>
      </c>
      <c r="N920">
        <v>0</v>
      </c>
      <c r="O920">
        <v>1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1</v>
      </c>
      <c r="Z920">
        <v>0</v>
      </c>
      <c r="AA920">
        <v>0</v>
      </c>
      <c r="AB920">
        <v>0</v>
      </c>
      <c r="AC920">
        <v>0</v>
      </c>
      <c r="AD920">
        <v>0</v>
      </c>
      <c r="AE920">
        <v>0</v>
      </c>
      <c r="AF920">
        <v>0</v>
      </c>
      <c r="AG920">
        <v>0</v>
      </c>
      <c r="AH920" s="86">
        <f>AVERAGEIFS($C$2:C920, $B$2:B920, B920)</f>
        <v>26.647058823529413</v>
      </c>
      <c r="AI920" s="86">
        <f>AVERAGEIFS($I$2:I920, $B$2:B920, B920)</f>
        <v>0.49558823529411766</v>
      </c>
      <c r="AJ920" s="86">
        <f>AVERAGEIFS($J$2:J920, $B$2:B920, B920)</f>
        <v>0.49500000000000016</v>
      </c>
      <c r="AK920" s="86">
        <f>AVERAGEIFS($D$2:D920, $B$2:B920, B920)</f>
        <v>0.52941176470588236</v>
      </c>
    </row>
    <row r="921" spans="1:37" x14ac:dyDescent="0.25">
      <c r="A921" s="85">
        <v>46135</v>
      </c>
      <c r="B921" t="s">
        <v>5</v>
      </c>
      <c r="C921">
        <v>20</v>
      </c>
      <c r="D921">
        <v>0</v>
      </c>
      <c r="E921">
        <v>5</v>
      </c>
      <c r="F921">
        <v>2</v>
      </c>
      <c r="G921">
        <v>19</v>
      </c>
      <c r="H921">
        <v>8</v>
      </c>
      <c r="I921">
        <v>0.4</v>
      </c>
      <c r="J921">
        <v>0.42</v>
      </c>
      <c r="K921">
        <v>0</v>
      </c>
      <c r="L921">
        <v>0</v>
      </c>
      <c r="M921">
        <v>0</v>
      </c>
      <c r="N921">
        <v>0</v>
      </c>
      <c r="O921">
        <v>1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1</v>
      </c>
      <c r="Z921">
        <v>0</v>
      </c>
      <c r="AA921">
        <v>0</v>
      </c>
      <c r="AB921">
        <v>0</v>
      </c>
      <c r="AC921">
        <v>0</v>
      </c>
      <c r="AD921">
        <v>0</v>
      </c>
      <c r="AE921">
        <v>0</v>
      </c>
      <c r="AF921">
        <v>0</v>
      </c>
      <c r="AG921">
        <v>0</v>
      </c>
      <c r="AH921" s="86">
        <f>AVERAGEIFS($C$2:C921, $B$2:B921, B921)</f>
        <v>20</v>
      </c>
      <c r="AI921" s="86">
        <f>AVERAGEIFS($I$2:I921, $B$2:B921, B921)</f>
        <v>0.60076923076923072</v>
      </c>
      <c r="AJ921" s="86">
        <f>AVERAGEIFS($J$2:J921, $B$2:B921, B921)</f>
        <v>0.54846153846153856</v>
      </c>
      <c r="AK921" s="86">
        <f>AVERAGEIFS($D$2:D921, $B$2:B921, B921)</f>
        <v>0.69230769230769229</v>
      </c>
    </row>
    <row r="922" spans="1:37" x14ac:dyDescent="0.25">
      <c r="A922" s="85">
        <v>46135</v>
      </c>
      <c r="B922" t="s">
        <v>40</v>
      </c>
      <c r="C922">
        <v>19</v>
      </c>
      <c r="D922">
        <v>0</v>
      </c>
      <c r="E922">
        <v>5</v>
      </c>
      <c r="F922">
        <v>2</v>
      </c>
      <c r="G922">
        <v>19</v>
      </c>
      <c r="H922">
        <v>8</v>
      </c>
      <c r="I922">
        <v>0.4</v>
      </c>
      <c r="J922">
        <v>0.42</v>
      </c>
      <c r="K922">
        <v>0</v>
      </c>
      <c r="L922">
        <v>0</v>
      </c>
      <c r="M922">
        <v>0</v>
      </c>
      <c r="N922">
        <v>0</v>
      </c>
      <c r="O922">
        <v>1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1</v>
      </c>
      <c r="Z922">
        <v>0</v>
      </c>
      <c r="AA922">
        <v>0</v>
      </c>
      <c r="AB922">
        <v>0</v>
      </c>
      <c r="AC922">
        <v>0</v>
      </c>
      <c r="AD922">
        <v>0</v>
      </c>
      <c r="AE922">
        <v>0</v>
      </c>
      <c r="AF922">
        <v>0</v>
      </c>
      <c r="AG922">
        <v>0</v>
      </c>
      <c r="AH922" s="86">
        <f>AVERAGEIFS($C$2:C922, $B$2:B922, B922)</f>
        <v>18.517241379310345</v>
      </c>
      <c r="AI922" s="86">
        <f>AVERAGEIFS($I$2:I922, $B$2:B922, B922)</f>
        <v>0.48965517241379297</v>
      </c>
      <c r="AJ922" s="86">
        <f>AVERAGEIFS($J$2:J922, $B$2:B922, B922)</f>
        <v>0.48448275862068974</v>
      </c>
      <c r="AK922" s="86">
        <f>AVERAGEIFS($D$2:D922, $B$2:B922, B922)</f>
        <v>0.43103448275862066</v>
      </c>
    </row>
    <row r="923" spans="1:37" x14ac:dyDescent="0.25">
      <c r="A923" s="85">
        <v>46135</v>
      </c>
      <c r="B923" t="s">
        <v>44</v>
      </c>
      <c r="C923">
        <v>18</v>
      </c>
      <c r="D923">
        <v>0</v>
      </c>
      <c r="E923">
        <v>5</v>
      </c>
      <c r="F923">
        <v>2</v>
      </c>
      <c r="G923">
        <v>19</v>
      </c>
      <c r="H923">
        <v>8</v>
      </c>
      <c r="I923">
        <v>0.4</v>
      </c>
      <c r="J923">
        <v>0.42</v>
      </c>
      <c r="K923">
        <v>0</v>
      </c>
      <c r="L923">
        <v>0</v>
      </c>
      <c r="M923">
        <v>0</v>
      </c>
      <c r="N923">
        <v>0</v>
      </c>
      <c r="O923">
        <v>1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0</v>
      </c>
      <c r="Y923">
        <v>1</v>
      </c>
      <c r="Z923">
        <v>0</v>
      </c>
      <c r="AA923">
        <v>0</v>
      </c>
      <c r="AB923">
        <v>0</v>
      </c>
      <c r="AC923">
        <v>0</v>
      </c>
      <c r="AD923">
        <v>0</v>
      </c>
      <c r="AE923">
        <v>0</v>
      </c>
      <c r="AF923">
        <v>0</v>
      </c>
      <c r="AG923">
        <v>0</v>
      </c>
      <c r="AH923" s="86">
        <f>AVERAGEIFS($C$2:C923, $B$2:B923, B923)</f>
        <v>16.414634146341463</v>
      </c>
      <c r="AI923" s="86">
        <f>AVERAGEIFS($I$2:I923, $B$2:B923, B923)</f>
        <v>0.5329268292682926</v>
      </c>
      <c r="AJ923" s="86">
        <f>AVERAGEIFS($J$2:J923, $B$2:B923, B923)</f>
        <v>0.53756097560975613</v>
      </c>
      <c r="AK923" s="86">
        <f>AVERAGEIFS($D$2:D923, $B$2:B923, B923)</f>
        <v>0.63414634146341464</v>
      </c>
    </row>
    <row r="924" spans="1:37" x14ac:dyDescent="0.25">
      <c r="A924" s="85">
        <v>46135</v>
      </c>
      <c r="B924" t="s">
        <v>113</v>
      </c>
      <c r="C924">
        <v>17</v>
      </c>
      <c r="D924">
        <v>0</v>
      </c>
      <c r="E924">
        <v>5</v>
      </c>
      <c r="F924">
        <v>2</v>
      </c>
      <c r="G924">
        <v>19</v>
      </c>
      <c r="H924">
        <v>8</v>
      </c>
      <c r="I924">
        <v>0.4</v>
      </c>
      <c r="J924">
        <v>0.42</v>
      </c>
      <c r="K924">
        <v>0</v>
      </c>
      <c r="L924">
        <v>0</v>
      </c>
      <c r="M924">
        <v>0</v>
      </c>
      <c r="N924">
        <v>0</v>
      </c>
      <c r="O924">
        <v>1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1</v>
      </c>
      <c r="Z924">
        <v>0</v>
      </c>
      <c r="AA924">
        <v>0</v>
      </c>
      <c r="AB924">
        <v>0</v>
      </c>
      <c r="AC924">
        <v>0</v>
      </c>
      <c r="AD924">
        <v>0</v>
      </c>
      <c r="AE924">
        <v>0</v>
      </c>
      <c r="AF924">
        <v>0</v>
      </c>
      <c r="AG924">
        <v>0</v>
      </c>
      <c r="AH924" s="86">
        <f>AVERAGEIFS($C$2:C924, $B$2:B924, B924)</f>
        <v>17.916666666666668</v>
      </c>
      <c r="AI924" s="86">
        <f>AVERAGEIFS($I$2:I924, $B$2:B924, B924)</f>
        <v>0.56527777777777777</v>
      </c>
      <c r="AJ924" s="86">
        <f>AVERAGEIFS($J$2:J924, $B$2:B924, B924)</f>
        <v>0.53027777777777796</v>
      </c>
      <c r="AK924" s="86">
        <f>AVERAGEIFS($D$2:D924, $B$2:B924, B924)</f>
        <v>0.52777777777777779</v>
      </c>
    </row>
    <row r="925" spans="1:37" x14ac:dyDescent="0.25">
      <c r="A925" s="85">
        <v>46135</v>
      </c>
      <c r="B925" t="s">
        <v>147</v>
      </c>
      <c r="C925">
        <v>8</v>
      </c>
      <c r="D925">
        <v>0</v>
      </c>
      <c r="E925">
        <v>5</v>
      </c>
      <c r="F925">
        <v>2</v>
      </c>
      <c r="G925">
        <v>19</v>
      </c>
      <c r="H925">
        <v>8</v>
      </c>
      <c r="I925">
        <v>0.4</v>
      </c>
      <c r="J925">
        <v>0.42</v>
      </c>
      <c r="K925">
        <v>0</v>
      </c>
      <c r="L925">
        <v>0</v>
      </c>
      <c r="M925">
        <v>0</v>
      </c>
      <c r="N925">
        <v>0</v>
      </c>
      <c r="O925">
        <v>1</v>
      </c>
      <c r="P925">
        <v>0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0</v>
      </c>
      <c r="Y925">
        <v>1</v>
      </c>
      <c r="Z925">
        <v>0</v>
      </c>
      <c r="AA925">
        <v>0</v>
      </c>
      <c r="AB925">
        <v>0</v>
      </c>
      <c r="AC925">
        <v>0</v>
      </c>
      <c r="AD925">
        <v>0</v>
      </c>
      <c r="AE925">
        <v>0</v>
      </c>
      <c r="AF925">
        <v>0</v>
      </c>
      <c r="AG925">
        <v>0</v>
      </c>
      <c r="AH925" s="86">
        <f>AVERAGEIFS($C$2:C925, $B$2:B925, B925)</f>
        <v>11.869565217391305</v>
      </c>
      <c r="AI925" s="86">
        <f>AVERAGEIFS($I$2:I925, $B$2:B925, B925)</f>
        <v>0.55000000000000004</v>
      </c>
      <c r="AJ925" s="86">
        <f>AVERAGEIFS($J$2:J925, $B$2:B925, B925)</f>
        <v>0.53304347826086951</v>
      </c>
      <c r="AK925" s="86">
        <f>AVERAGEIFS($D$2:D925, $B$2:B925, B925)</f>
        <v>0.47826086956521741</v>
      </c>
    </row>
    <row r="926" spans="1:37" x14ac:dyDescent="0.25">
      <c r="A926" s="85">
        <v>46135</v>
      </c>
      <c r="B926" t="s">
        <v>6</v>
      </c>
      <c r="C926">
        <v>24</v>
      </c>
      <c r="D926">
        <v>1</v>
      </c>
      <c r="E926">
        <v>4</v>
      </c>
      <c r="F926">
        <v>3</v>
      </c>
      <c r="G926">
        <v>16</v>
      </c>
      <c r="H926">
        <v>9</v>
      </c>
      <c r="I926">
        <v>0.75</v>
      </c>
      <c r="J926">
        <v>0.56000000000000005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1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0</v>
      </c>
      <c r="Y926">
        <v>0</v>
      </c>
      <c r="Z926">
        <v>1</v>
      </c>
      <c r="AA926">
        <v>0</v>
      </c>
      <c r="AB926">
        <v>0</v>
      </c>
      <c r="AC926">
        <v>0</v>
      </c>
      <c r="AD926">
        <v>0</v>
      </c>
      <c r="AE926">
        <v>0</v>
      </c>
      <c r="AF926">
        <v>0</v>
      </c>
      <c r="AG926">
        <v>1</v>
      </c>
      <c r="AH926" s="86">
        <f>AVERAGEIFS($C$2:C926, $B$2:B926, B926)</f>
        <v>21.9</v>
      </c>
      <c r="AI926" s="86">
        <f>AVERAGEIFS($I$2:I926, $B$2:B926, B926)</f>
        <v>0.52216666666666667</v>
      </c>
      <c r="AJ926" s="86">
        <f>AVERAGEIFS($J$2:J926, $B$2:B926, B926)</f>
        <v>0.51883333333333337</v>
      </c>
      <c r="AK926" s="86">
        <f>AVERAGEIFS($D$2:D926, $B$2:B926, B926)</f>
        <v>0.58333333333333337</v>
      </c>
    </row>
    <row r="927" spans="1:37" x14ac:dyDescent="0.25">
      <c r="A927" s="85">
        <v>46135</v>
      </c>
      <c r="B927" t="s">
        <v>17</v>
      </c>
      <c r="C927">
        <v>22</v>
      </c>
      <c r="D927">
        <v>1</v>
      </c>
      <c r="E927">
        <v>4</v>
      </c>
      <c r="F927">
        <v>3</v>
      </c>
      <c r="G927">
        <v>16</v>
      </c>
      <c r="H927">
        <v>9</v>
      </c>
      <c r="I927">
        <v>0.75</v>
      </c>
      <c r="J927">
        <v>0.56000000000000005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1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0</v>
      </c>
      <c r="Y927">
        <v>0</v>
      </c>
      <c r="Z927">
        <v>1</v>
      </c>
      <c r="AA927">
        <v>0</v>
      </c>
      <c r="AB927">
        <v>0</v>
      </c>
      <c r="AC927">
        <v>0</v>
      </c>
      <c r="AD927">
        <v>0</v>
      </c>
      <c r="AE927">
        <v>0</v>
      </c>
      <c r="AF927">
        <v>0</v>
      </c>
      <c r="AG927">
        <v>1</v>
      </c>
      <c r="AH927" s="86">
        <f>AVERAGEIFS($C$2:C927, $B$2:B927, B927)</f>
        <v>19.857142857142858</v>
      </c>
      <c r="AI927" s="86">
        <f>AVERAGEIFS($I$2:I927, $B$2:B927, B927)</f>
        <v>0.52342857142857147</v>
      </c>
      <c r="AJ927" s="86">
        <f>AVERAGEIFS($J$2:J927, $B$2:B927, B927)</f>
        <v>0.49285714285714288</v>
      </c>
      <c r="AK927" s="86">
        <f>AVERAGEIFS($D$2:D927, $B$2:B927, B927)</f>
        <v>0.54285714285714282</v>
      </c>
    </row>
    <row r="928" spans="1:37" x14ac:dyDescent="0.25">
      <c r="A928" s="85">
        <v>46135</v>
      </c>
      <c r="B928" t="s">
        <v>147</v>
      </c>
      <c r="C928">
        <v>22</v>
      </c>
      <c r="D928">
        <v>1</v>
      </c>
      <c r="E928">
        <v>4</v>
      </c>
      <c r="F928">
        <v>3</v>
      </c>
      <c r="G928">
        <v>16</v>
      </c>
      <c r="H928">
        <v>9</v>
      </c>
      <c r="I928">
        <v>0.75</v>
      </c>
      <c r="J928">
        <v>0.56000000000000005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1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0</v>
      </c>
      <c r="Y928">
        <v>0</v>
      </c>
      <c r="Z928">
        <v>1</v>
      </c>
      <c r="AA928">
        <v>0</v>
      </c>
      <c r="AB928">
        <v>0</v>
      </c>
      <c r="AC928">
        <v>0</v>
      </c>
      <c r="AD928">
        <v>0</v>
      </c>
      <c r="AE928">
        <v>0</v>
      </c>
      <c r="AF928">
        <v>0</v>
      </c>
      <c r="AG928">
        <v>1</v>
      </c>
      <c r="AH928" s="86">
        <f>AVERAGEIFS($C$2:C928, $B$2:B928, B928)</f>
        <v>12.291666666666666</v>
      </c>
      <c r="AI928" s="86">
        <f>AVERAGEIFS($I$2:I928, $B$2:B928, B928)</f>
        <v>0.55833333333333335</v>
      </c>
      <c r="AJ928" s="86">
        <f>AVERAGEIFS($J$2:J928, $B$2:B928, B928)</f>
        <v>0.53416666666666657</v>
      </c>
      <c r="AK928" s="86">
        <f>AVERAGEIFS($D$2:D928, $B$2:B928, B928)</f>
        <v>0.5</v>
      </c>
    </row>
    <row r="929" spans="1:37" x14ac:dyDescent="0.25">
      <c r="A929" s="85">
        <v>46135</v>
      </c>
      <c r="B929" t="s">
        <v>42</v>
      </c>
      <c r="C929">
        <v>21</v>
      </c>
      <c r="D929">
        <v>1</v>
      </c>
      <c r="E929">
        <v>4</v>
      </c>
      <c r="F929">
        <v>3</v>
      </c>
      <c r="G929">
        <v>16</v>
      </c>
      <c r="H929">
        <v>9</v>
      </c>
      <c r="I929">
        <v>0.75</v>
      </c>
      <c r="J929">
        <v>0.56000000000000005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1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0</v>
      </c>
      <c r="Y929">
        <v>0</v>
      </c>
      <c r="Z929">
        <v>1</v>
      </c>
      <c r="AA929">
        <v>0</v>
      </c>
      <c r="AB929">
        <v>0</v>
      </c>
      <c r="AC929">
        <v>0</v>
      </c>
      <c r="AD929">
        <v>0</v>
      </c>
      <c r="AE929">
        <v>0</v>
      </c>
      <c r="AF929">
        <v>0</v>
      </c>
      <c r="AG929">
        <v>1</v>
      </c>
      <c r="AH929" s="86">
        <f>AVERAGEIFS($C$2:C929, $B$2:B929, B929)</f>
        <v>18.560975609756099</v>
      </c>
      <c r="AI929" s="86">
        <f>AVERAGEIFS($I$2:I929, $B$2:B929, B929)</f>
        <v>0.44756097560975611</v>
      </c>
      <c r="AJ929" s="86">
        <f>AVERAGEIFS($J$2:J929, $B$2:B929, B929)</f>
        <v>0.45024390243902424</v>
      </c>
      <c r="AK929" s="86">
        <f>AVERAGEIFS($D$2:D929, $B$2:B929, B929)</f>
        <v>0.46341463414634149</v>
      </c>
    </row>
    <row r="930" spans="1:37" x14ac:dyDescent="0.25">
      <c r="A930" s="85">
        <v>46135</v>
      </c>
      <c r="B930" t="s">
        <v>150</v>
      </c>
      <c r="C930">
        <v>18</v>
      </c>
      <c r="D930">
        <v>1</v>
      </c>
      <c r="E930">
        <v>4</v>
      </c>
      <c r="F930">
        <v>3</v>
      </c>
      <c r="G930">
        <v>16</v>
      </c>
      <c r="H930">
        <v>9</v>
      </c>
      <c r="I930">
        <v>0.75</v>
      </c>
      <c r="J930">
        <v>0.56000000000000005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1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0</v>
      </c>
      <c r="Y930">
        <v>0</v>
      </c>
      <c r="Z930">
        <v>1</v>
      </c>
      <c r="AA930">
        <v>0</v>
      </c>
      <c r="AB930">
        <v>0</v>
      </c>
      <c r="AC930">
        <v>0</v>
      </c>
      <c r="AD930">
        <v>0</v>
      </c>
      <c r="AE930">
        <v>0</v>
      </c>
      <c r="AF930">
        <v>0</v>
      </c>
      <c r="AG930">
        <v>1</v>
      </c>
      <c r="AH930" s="86">
        <f>AVERAGEIFS($C$2:C930, $B$2:B930, B930)</f>
        <v>16.705882352941178</v>
      </c>
      <c r="AI930" s="86">
        <f>AVERAGEIFS($I$2:I930, $B$2:B930, B930)</f>
        <v>0.64411764705882346</v>
      </c>
      <c r="AJ930" s="86">
        <f>AVERAGEIFS($J$2:J930, $B$2:B930, B930)</f>
        <v>0.59470588235294131</v>
      </c>
      <c r="AK930" s="86">
        <f>AVERAGEIFS($D$2:D930, $B$2:B930, B930)</f>
        <v>0.6470588235294118</v>
      </c>
    </row>
    <row r="931" spans="1:37" x14ac:dyDescent="0.25">
      <c r="A931" s="85">
        <v>46135</v>
      </c>
      <c r="B931" t="s">
        <v>113</v>
      </c>
      <c r="C931">
        <v>16</v>
      </c>
      <c r="D931">
        <v>1</v>
      </c>
      <c r="E931">
        <v>4</v>
      </c>
      <c r="F931">
        <v>3</v>
      </c>
      <c r="G931">
        <v>16</v>
      </c>
      <c r="H931">
        <v>9</v>
      </c>
      <c r="I931">
        <v>0.75</v>
      </c>
      <c r="J931">
        <v>0.56000000000000005</v>
      </c>
      <c r="K931">
        <v>0</v>
      </c>
      <c r="L931">
        <v>0</v>
      </c>
      <c r="M931">
        <v>0</v>
      </c>
      <c r="N931">
        <v>0</v>
      </c>
      <c r="O931">
        <v>0</v>
      </c>
      <c r="P931">
        <v>1</v>
      </c>
      <c r="Q931">
        <v>0</v>
      </c>
      <c r="R931">
        <v>0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0</v>
      </c>
      <c r="Y931">
        <v>0</v>
      </c>
      <c r="Z931">
        <v>1</v>
      </c>
      <c r="AA931">
        <v>0</v>
      </c>
      <c r="AB931">
        <v>0</v>
      </c>
      <c r="AC931">
        <v>0</v>
      </c>
      <c r="AD931">
        <v>0</v>
      </c>
      <c r="AE931">
        <v>0</v>
      </c>
      <c r="AF931">
        <v>0</v>
      </c>
      <c r="AG931">
        <v>1</v>
      </c>
      <c r="AH931" s="86">
        <f>AVERAGEIFS($C$2:C931, $B$2:B931, B931)</f>
        <v>17.864864864864863</v>
      </c>
      <c r="AI931" s="86">
        <f>AVERAGEIFS($I$2:I931, $B$2:B931, B931)</f>
        <v>0.57027027027027022</v>
      </c>
      <c r="AJ931" s="86">
        <f>AVERAGEIFS($J$2:J931, $B$2:B931, B931)</f>
        <v>0.53108108108108121</v>
      </c>
      <c r="AK931" s="86">
        <f>AVERAGEIFS($D$2:D931, $B$2:B931, B931)</f>
        <v>0.54054054054054057</v>
      </c>
    </row>
    <row r="932" spans="1:37" x14ac:dyDescent="0.25">
      <c r="A932" s="85">
        <v>46135</v>
      </c>
      <c r="B932" t="s">
        <v>1</v>
      </c>
      <c r="C932">
        <v>32</v>
      </c>
      <c r="D932">
        <v>0</v>
      </c>
      <c r="E932">
        <v>4</v>
      </c>
      <c r="F932">
        <v>1</v>
      </c>
      <c r="G932">
        <v>16</v>
      </c>
      <c r="H932">
        <v>7</v>
      </c>
      <c r="I932">
        <v>0.25</v>
      </c>
      <c r="J932">
        <v>0.44</v>
      </c>
      <c r="K932">
        <v>0</v>
      </c>
      <c r="L932">
        <v>0</v>
      </c>
      <c r="M932">
        <v>1</v>
      </c>
      <c r="N932">
        <v>0</v>
      </c>
      <c r="O932">
        <v>0</v>
      </c>
      <c r="P932">
        <v>0</v>
      </c>
      <c r="Q932">
        <v>0</v>
      </c>
      <c r="R932">
        <v>0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0</v>
      </c>
      <c r="Y932">
        <v>0</v>
      </c>
      <c r="Z932">
        <v>0</v>
      </c>
      <c r="AA932">
        <v>0</v>
      </c>
      <c r="AB932">
        <v>0</v>
      </c>
      <c r="AC932">
        <v>0</v>
      </c>
      <c r="AD932">
        <v>0</v>
      </c>
      <c r="AE932">
        <v>0</v>
      </c>
      <c r="AF932">
        <v>0</v>
      </c>
      <c r="AG932">
        <v>0</v>
      </c>
      <c r="AH932" s="86">
        <f>AVERAGEIFS($C$2:C932, $B$2:B932, B932)</f>
        <v>26.8</v>
      </c>
      <c r="AI932" s="86">
        <f>AVERAGEIFS($I$2:I932, $B$2:B932, B932)</f>
        <v>0.4885714285714286</v>
      </c>
      <c r="AJ932" s="86">
        <f>AVERAGEIFS($J$2:J932, $B$2:B932, B932)</f>
        <v>0.49342857142857161</v>
      </c>
      <c r="AK932" s="86">
        <f>AVERAGEIFS($D$2:D932, $B$2:B932, B932)</f>
        <v>0.51428571428571423</v>
      </c>
    </row>
    <row r="933" spans="1:37" x14ac:dyDescent="0.25">
      <c r="A933" s="85">
        <v>46135</v>
      </c>
      <c r="B933" t="s">
        <v>40</v>
      </c>
      <c r="C933">
        <v>22</v>
      </c>
      <c r="D933">
        <v>0</v>
      </c>
      <c r="E933">
        <v>4</v>
      </c>
      <c r="F933">
        <v>1</v>
      </c>
      <c r="G933">
        <v>16</v>
      </c>
      <c r="H933">
        <v>7</v>
      </c>
      <c r="I933">
        <v>0.25</v>
      </c>
      <c r="J933">
        <v>0.44</v>
      </c>
      <c r="K933">
        <v>0</v>
      </c>
      <c r="L933">
        <v>0</v>
      </c>
      <c r="M933">
        <v>1</v>
      </c>
      <c r="N933">
        <v>0</v>
      </c>
      <c r="O933">
        <v>0</v>
      </c>
      <c r="P933">
        <v>0</v>
      </c>
      <c r="Q933">
        <v>0</v>
      </c>
      <c r="R933">
        <v>0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0</v>
      </c>
      <c r="Y933">
        <v>0</v>
      </c>
      <c r="Z933">
        <v>0</v>
      </c>
      <c r="AA933">
        <v>0</v>
      </c>
      <c r="AB933">
        <v>0</v>
      </c>
      <c r="AC933">
        <v>0</v>
      </c>
      <c r="AD933">
        <v>0</v>
      </c>
      <c r="AE933">
        <v>0</v>
      </c>
      <c r="AF933">
        <v>0</v>
      </c>
      <c r="AG933">
        <v>0</v>
      </c>
      <c r="AH933" s="86">
        <f>AVERAGEIFS($C$2:C933, $B$2:B933, B933)</f>
        <v>18.576271186440678</v>
      </c>
      <c r="AI933" s="86">
        <f>AVERAGEIFS($I$2:I933, $B$2:B933, B933)</f>
        <v>0.48559322033898289</v>
      </c>
      <c r="AJ933" s="86">
        <f>AVERAGEIFS($J$2:J933, $B$2:B933, B933)</f>
        <v>0.48372881355932212</v>
      </c>
      <c r="AK933" s="86">
        <f>AVERAGEIFS($D$2:D933, $B$2:B933, B933)</f>
        <v>0.42372881355932202</v>
      </c>
    </row>
    <row r="934" spans="1:37" x14ac:dyDescent="0.25">
      <c r="A934" s="85">
        <v>46135</v>
      </c>
      <c r="B934" t="s">
        <v>50</v>
      </c>
      <c r="C934">
        <v>21</v>
      </c>
      <c r="D934">
        <v>0</v>
      </c>
      <c r="E934">
        <v>4</v>
      </c>
      <c r="F934">
        <v>1</v>
      </c>
      <c r="G934">
        <v>16</v>
      </c>
      <c r="H934">
        <v>7</v>
      </c>
      <c r="I934">
        <v>0.25</v>
      </c>
      <c r="J934">
        <v>0.44</v>
      </c>
      <c r="K934">
        <v>0</v>
      </c>
      <c r="L934">
        <v>0</v>
      </c>
      <c r="M934">
        <v>1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0</v>
      </c>
      <c r="Y934">
        <v>0</v>
      </c>
      <c r="Z934">
        <v>0</v>
      </c>
      <c r="AA934">
        <v>0</v>
      </c>
      <c r="AB934">
        <v>0</v>
      </c>
      <c r="AC934">
        <v>0</v>
      </c>
      <c r="AD934">
        <v>0</v>
      </c>
      <c r="AE934">
        <v>0</v>
      </c>
      <c r="AF934">
        <v>0</v>
      </c>
      <c r="AG934">
        <v>0</v>
      </c>
      <c r="AH934" s="86">
        <f>AVERAGEIFS($C$2:C934, $B$2:B934, B934)</f>
        <v>18.210526315789473</v>
      </c>
      <c r="AI934" s="86">
        <f>AVERAGEIFS($I$2:I934, $B$2:B934, B934)</f>
        <v>0.51526315789473698</v>
      </c>
      <c r="AJ934" s="86">
        <f>AVERAGEIFS($J$2:J934, $B$2:B934, B934)</f>
        <v>0.51842105263157878</v>
      </c>
      <c r="AK934" s="86">
        <f>AVERAGEIFS($D$2:D934, $B$2:B934, B934)</f>
        <v>0.52631578947368418</v>
      </c>
    </row>
    <row r="935" spans="1:37" x14ac:dyDescent="0.25">
      <c r="A935" s="85">
        <v>46135</v>
      </c>
      <c r="B935" t="s">
        <v>44</v>
      </c>
      <c r="C935">
        <v>16</v>
      </c>
      <c r="D935">
        <v>0</v>
      </c>
      <c r="E935">
        <v>4</v>
      </c>
      <c r="F935">
        <v>1</v>
      </c>
      <c r="G935">
        <v>16</v>
      </c>
      <c r="H935">
        <v>7</v>
      </c>
      <c r="I935">
        <v>0.25</v>
      </c>
      <c r="J935">
        <v>0.44</v>
      </c>
      <c r="K935">
        <v>0</v>
      </c>
      <c r="L935">
        <v>0</v>
      </c>
      <c r="M935">
        <v>1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0</v>
      </c>
      <c r="Y935">
        <v>0</v>
      </c>
      <c r="Z935">
        <v>0</v>
      </c>
      <c r="AA935">
        <v>0</v>
      </c>
      <c r="AB935">
        <v>0</v>
      </c>
      <c r="AC935">
        <v>0</v>
      </c>
      <c r="AD935">
        <v>0</v>
      </c>
      <c r="AE935">
        <v>0</v>
      </c>
      <c r="AF935">
        <v>0</v>
      </c>
      <c r="AG935">
        <v>0</v>
      </c>
      <c r="AH935" s="86">
        <f>AVERAGEIFS($C$2:C935, $B$2:B935, B935)</f>
        <v>16.404761904761905</v>
      </c>
      <c r="AI935" s="86">
        <f>AVERAGEIFS($I$2:I935, $B$2:B935, B935)</f>
        <v>0.5261904761904761</v>
      </c>
      <c r="AJ935" s="86">
        <f>AVERAGEIFS($J$2:J935, $B$2:B935, B935)</f>
        <v>0.53523809523809529</v>
      </c>
      <c r="AK935" s="86">
        <f>AVERAGEIFS($D$2:D935, $B$2:B935, B935)</f>
        <v>0.61904761904761907</v>
      </c>
    </row>
    <row r="936" spans="1:37" x14ac:dyDescent="0.25">
      <c r="A936" s="85">
        <v>46135</v>
      </c>
      <c r="B936" t="s">
        <v>107</v>
      </c>
      <c r="C936">
        <v>15</v>
      </c>
      <c r="D936">
        <v>0</v>
      </c>
      <c r="E936">
        <v>4</v>
      </c>
      <c r="F936">
        <v>1</v>
      </c>
      <c r="G936">
        <v>16</v>
      </c>
      <c r="H936">
        <v>7</v>
      </c>
      <c r="I936">
        <v>0.25</v>
      </c>
      <c r="J936">
        <v>0.44</v>
      </c>
      <c r="K936">
        <v>0</v>
      </c>
      <c r="L936">
        <v>0</v>
      </c>
      <c r="M936">
        <v>1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0</v>
      </c>
      <c r="Y936">
        <v>0</v>
      </c>
      <c r="Z936">
        <v>0</v>
      </c>
      <c r="AA936">
        <v>0</v>
      </c>
      <c r="AB936">
        <v>0</v>
      </c>
      <c r="AC936">
        <v>0</v>
      </c>
      <c r="AD936">
        <v>0</v>
      </c>
      <c r="AE936">
        <v>0</v>
      </c>
      <c r="AF936">
        <v>0</v>
      </c>
      <c r="AG936">
        <v>0</v>
      </c>
      <c r="AH936" s="86">
        <f>AVERAGEIFS($C$2:C936, $B$2:B936, B936)</f>
        <v>16.023809523809526</v>
      </c>
      <c r="AI936" s="86">
        <f>AVERAGEIFS($I$2:I936, $B$2:B936, B936)</f>
        <v>0.52023809523809528</v>
      </c>
      <c r="AJ936" s="86">
        <f>AVERAGEIFS($J$2:J936, $B$2:B936, B936)</f>
        <v>0.51857142857142846</v>
      </c>
      <c r="AK936" s="86">
        <f>AVERAGEIFS($D$2:D936, $B$2:B936, B936)</f>
        <v>0.5714285714285714</v>
      </c>
    </row>
    <row r="937" spans="1:37" x14ac:dyDescent="0.25">
      <c r="A937" s="85">
        <v>46135</v>
      </c>
      <c r="B937" t="s">
        <v>5</v>
      </c>
      <c r="C937">
        <v>13</v>
      </c>
      <c r="D937">
        <v>0</v>
      </c>
      <c r="E937">
        <v>4</v>
      </c>
      <c r="F937">
        <v>1</v>
      </c>
      <c r="G937">
        <v>16</v>
      </c>
      <c r="H937">
        <v>7</v>
      </c>
      <c r="I937">
        <v>0.25</v>
      </c>
      <c r="J937">
        <v>0.44</v>
      </c>
      <c r="K937">
        <v>0</v>
      </c>
      <c r="L937">
        <v>0</v>
      </c>
      <c r="M937">
        <v>1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>
        <v>0</v>
      </c>
      <c r="AB937">
        <v>0</v>
      </c>
      <c r="AC937">
        <v>0</v>
      </c>
      <c r="AD937">
        <v>0</v>
      </c>
      <c r="AE937">
        <v>0</v>
      </c>
      <c r="AF937">
        <v>0</v>
      </c>
      <c r="AG937">
        <v>0</v>
      </c>
      <c r="AH937" s="86">
        <f>AVERAGEIFS($C$2:C937, $B$2:B937, B937)</f>
        <v>19.74074074074074</v>
      </c>
      <c r="AI937" s="86">
        <f>AVERAGEIFS($I$2:I937, $B$2:B937, B937)</f>
        <v>0.58777777777777773</v>
      </c>
      <c r="AJ937" s="86">
        <f>AVERAGEIFS($J$2:J937, $B$2:B937, B937)</f>
        <v>0.54444444444444451</v>
      </c>
      <c r="AK937" s="86">
        <f>AVERAGEIFS($D$2:D937, $B$2:B937, B937)</f>
        <v>0.66666666666666663</v>
      </c>
    </row>
    <row r="938" spans="1:37" x14ac:dyDescent="0.25">
      <c r="A938" s="85">
        <v>46139</v>
      </c>
      <c r="B938" t="s">
        <v>6</v>
      </c>
      <c r="C938">
        <v>36</v>
      </c>
      <c r="D938">
        <v>1</v>
      </c>
      <c r="E938">
        <v>5</v>
      </c>
      <c r="F938">
        <v>3</v>
      </c>
      <c r="G938">
        <v>24</v>
      </c>
      <c r="H938">
        <v>13</v>
      </c>
      <c r="I938">
        <v>0.6</v>
      </c>
      <c r="J938">
        <v>0.54</v>
      </c>
      <c r="K938">
        <v>1</v>
      </c>
      <c r="L938">
        <v>0</v>
      </c>
      <c r="M938">
        <v>1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1</v>
      </c>
      <c r="AA938">
        <v>0</v>
      </c>
      <c r="AB938">
        <v>0</v>
      </c>
      <c r="AC938">
        <v>0</v>
      </c>
      <c r="AD938">
        <v>0</v>
      </c>
      <c r="AE938">
        <v>0</v>
      </c>
      <c r="AF938">
        <v>0</v>
      </c>
      <c r="AG938">
        <v>0</v>
      </c>
      <c r="AH938" s="86">
        <f>AVERAGEIFS($C$2:C938, $B$2:B938, B938)</f>
        <v>22.131147540983605</v>
      </c>
      <c r="AI938" s="86">
        <f>AVERAGEIFS($I$2:I938, $B$2:B938, B938)</f>
        <v>0.52344262295081978</v>
      </c>
      <c r="AJ938" s="86">
        <f>AVERAGEIFS($J$2:J938, $B$2:B938, B938)</f>
        <v>0.51918032786885238</v>
      </c>
      <c r="AK938" s="86">
        <f>AVERAGEIFS($D$2:D938, $B$2:B938, B938)</f>
        <v>0.5901639344262295</v>
      </c>
    </row>
    <row r="939" spans="1:37" x14ac:dyDescent="0.25">
      <c r="A939" s="85">
        <v>46139</v>
      </c>
      <c r="B939" t="s">
        <v>5</v>
      </c>
      <c r="C939">
        <v>34</v>
      </c>
      <c r="D939">
        <v>1</v>
      </c>
      <c r="E939">
        <v>5</v>
      </c>
      <c r="F939">
        <v>3</v>
      </c>
      <c r="G939">
        <v>24</v>
      </c>
      <c r="H939">
        <v>13</v>
      </c>
      <c r="I939">
        <v>0.6</v>
      </c>
      <c r="J939">
        <v>0.54</v>
      </c>
      <c r="K939">
        <v>1</v>
      </c>
      <c r="L939">
        <v>0</v>
      </c>
      <c r="M939">
        <v>1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1</v>
      </c>
      <c r="AA939">
        <v>0</v>
      </c>
      <c r="AB939">
        <v>0</v>
      </c>
      <c r="AC939">
        <v>0</v>
      </c>
      <c r="AD939">
        <v>0</v>
      </c>
      <c r="AE939">
        <v>0</v>
      </c>
      <c r="AF939">
        <v>0</v>
      </c>
      <c r="AG939">
        <v>0</v>
      </c>
      <c r="AH939" s="86">
        <f>AVERAGEIFS($C$2:C939, $B$2:B939, B939)</f>
        <v>20.25</v>
      </c>
      <c r="AI939" s="86">
        <f>AVERAGEIFS($I$2:I939, $B$2:B939, B939)</f>
        <v>0.58821428571428569</v>
      </c>
      <c r="AJ939" s="86">
        <f>AVERAGEIFS($J$2:J939, $B$2:B939, B939)</f>
        <v>0.54428571428571437</v>
      </c>
      <c r="AK939" s="86">
        <f>AVERAGEIFS($D$2:D939, $B$2:B939, B939)</f>
        <v>0.6785714285714286</v>
      </c>
    </row>
    <row r="940" spans="1:37" x14ac:dyDescent="0.25">
      <c r="A940" s="85">
        <v>46139</v>
      </c>
      <c r="B940" t="s">
        <v>107</v>
      </c>
      <c r="C940">
        <v>27</v>
      </c>
      <c r="D940">
        <v>1</v>
      </c>
      <c r="E940">
        <v>5</v>
      </c>
      <c r="F940">
        <v>3</v>
      </c>
      <c r="G940">
        <v>24</v>
      </c>
      <c r="H940">
        <v>13</v>
      </c>
      <c r="I940">
        <v>0.6</v>
      </c>
      <c r="J940">
        <v>0.54</v>
      </c>
      <c r="K940">
        <v>1</v>
      </c>
      <c r="L940">
        <v>0</v>
      </c>
      <c r="M940">
        <v>1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1</v>
      </c>
      <c r="AA940">
        <v>0</v>
      </c>
      <c r="AB940">
        <v>0</v>
      </c>
      <c r="AC940">
        <v>0</v>
      </c>
      <c r="AD940">
        <v>0</v>
      </c>
      <c r="AE940">
        <v>0</v>
      </c>
      <c r="AF940">
        <v>0</v>
      </c>
      <c r="AG940">
        <v>0</v>
      </c>
      <c r="AH940" s="86">
        <f>AVERAGEIFS($C$2:C940, $B$2:B940, B940)</f>
        <v>16.279069767441861</v>
      </c>
      <c r="AI940" s="86">
        <f>AVERAGEIFS($I$2:I940, $B$2:B940, B940)</f>
        <v>0.52209302325581397</v>
      </c>
      <c r="AJ940" s="86">
        <f>AVERAGEIFS($J$2:J940, $B$2:B940, B940)</f>
        <v>0.5190697674418604</v>
      </c>
      <c r="AK940" s="86">
        <f>AVERAGEIFS($D$2:D940, $B$2:B940, B940)</f>
        <v>0.58139534883720934</v>
      </c>
    </row>
    <row r="941" spans="1:37" x14ac:dyDescent="0.25">
      <c r="A941" s="85">
        <v>46139</v>
      </c>
      <c r="B941" t="s">
        <v>17</v>
      </c>
      <c r="C941">
        <v>28</v>
      </c>
      <c r="D941">
        <v>1</v>
      </c>
      <c r="E941">
        <v>5</v>
      </c>
      <c r="F941">
        <v>3</v>
      </c>
      <c r="G941">
        <v>24</v>
      </c>
      <c r="H941">
        <v>13</v>
      </c>
      <c r="I941">
        <v>0.6</v>
      </c>
      <c r="J941">
        <v>0.54</v>
      </c>
      <c r="K941">
        <v>1</v>
      </c>
      <c r="L941">
        <v>0</v>
      </c>
      <c r="M941">
        <v>1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1</v>
      </c>
      <c r="AA941">
        <v>0</v>
      </c>
      <c r="AB941">
        <v>0</v>
      </c>
      <c r="AC941">
        <v>0</v>
      </c>
      <c r="AD941">
        <v>0</v>
      </c>
      <c r="AE941">
        <v>0</v>
      </c>
      <c r="AF941">
        <v>0</v>
      </c>
      <c r="AG941">
        <v>0</v>
      </c>
      <c r="AH941" s="86">
        <f>AVERAGEIFS($C$2:C941, $B$2:B941, B941)</f>
        <v>20.083333333333332</v>
      </c>
      <c r="AI941" s="86">
        <f>AVERAGEIFS($I$2:I941, $B$2:B941, B941)</f>
        <v>0.52555555555555555</v>
      </c>
      <c r="AJ941" s="86">
        <f>AVERAGEIFS($J$2:J941, $B$2:B941, B941)</f>
        <v>0.49416666666666664</v>
      </c>
      <c r="AK941" s="86">
        <f>AVERAGEIFS($D$2:D941, $B$2:B941, B941)</f>
        <v>0.55555555555555558</v>
      </c>
    </row>
    <row r="942" spans="1:37" x14ac:dyDescent="0.25">
      <c r="A942" s="85">
        <v>46139</v>
      </c>
      <c r="B942" t="s">
        <v>44</v>
      </c>
      <c r="C942">
        <v>28</v>
      </c>
      <c r="D942">
        <v>1</v>
      </c>
      <c r="E942">
        <v>5</v>
      </c>
      <c r="F942">
        <v>3</v>
      </c>
      <c r="G942">
        <v>24</v>
      </c>
      <c r="H942">
        <v>13</v>
      </c>
      <c r="I942">
        <v>0.6</v>
      </c>
      <c r="J942">
        <v>0.54</v>
      </c>
      <c r="K942">
        <v>1</v>
      </c>
      <c r="L942">
        <v>0</v>
      </c>
      <c r="M942">
        <v>1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0</v>
      </c>
      <c r="Y942">
        <v>0</v>
      </c>
      <c r="Z942">
        <v>1</v>
      </c>
      <c r="AA942">
        <v>0</v>
      </c>
      <c r="AB942">
        <v>0</v>
      </c>
      <c r="AC942">
        <v>0</v>
      </c>
      <c r="AD942">
        <v>0</v>
      </c>
      <c r="AE942">
        <v>0</v>
      </c>
      <c r="AF942">
        <v>0</v>
      </c>
      <c r="AG942">
        <v>0</v>
      </c>
      <c r="AH942" s="86">
        <f>AVERAGEIFS($C$2:C942, $B$2:B942, B942)</f>
        <v>16.674418604651162</v>
      </c>
      <c r="AI942" s="86">
        <f>AVERAGEIFS($I$2:I942, $B$2:B942, B942)</f>
        <v>0.52790697674418607</v>
      </c>
      <c r="AJ942" s="86">
        <f>AVERAGEIFS($J$2:J942, $B$2:B942, B942)</f>
        <v>0.53534883720930226</v>
      </c>
      <c r="AK942" s="86">
        <f>AVERAGEIFS($D$2:D942, $B$2:B942, B942)</f>
        <v>0.62790697674418605</v>
      </c>
    </row>
    <row r="943" spans="1:37" x14ac:dyDescent="0.25">
      <c r="A943" s="85">
        <v>46139</v>
      </c>
      <c r="B943" t="s">
        <v>147</v>
      </c>
      <c r="C943">
        <v>26</v>
      </c>
      <c r="D943">
        <v>1</v>
      </c>
      <c r="E943">
        <v>5</v>
      </c>
      <c r="F943">
        <v>3</v>
      </c>
      <c r="G943">
        <v>24</v>
      </c>
      <c r="H943">
        <v>13</v>
      </c>
      <c r="I943">
        <v>0.6</v>
      </c>
      <c r="J943">
        <v>0.54</v>
      </c>
      <c r="K943">
        <v>1</v>
      </c>
      <c r="L943">
        <v>0</v>
      </c>
      <c r="M943">
        <v>1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0</v>
      </c>
      <c r="X943">
        <v>0</v>
      </c>
      <c r="Y943">
        <v>0</v>
      </c>
      <c r="Z943">
        <v>1</v>
      </c>
      <c r="AA943">
        <v>0</v>
      </c>
      <c r="AB943">
        <v>0</v>
      </c>
      <c r="AC943">
        <v>0</v>
      </c>
      <c r="AD943">
        <v>0</v>
      </c>
      <c r="AE943">
        <v>0</v>
      </c>
      <c r="AF943">
        <v>0</v>
      </c>
      <c r="AG943">
        <v>0</v>
      </c>
      <c r="AH943" s="86">
        <f>AVERAGEIFS($C$2:C943, $B$2:B943, B943)</f>
        <v>12.84</v>
      </c>
      <c r="AI943" s="86">
        <f>AVERAGEIFS($I$2:I943, $B$2:B943, B943)</f>
        <v>0.56000000000000005</v>
      </c>
      <c r="AJ943" s="86">
        <f>AVERAGEIFS($J$2:J943, $B$2:B943, B943)</f>
        <v>0.53439999999999999</v>
      </c>
      <c r="AK943" s="86">
        <f>AVERAGEIFS($D$2:D943, $B$2:B943, B943)</f>
        <v>0.52</v>
      </c>
    </row>
    <row r="944" spans="1:37" x14ac:dyDescent="0.25">
      <c r="A944" s="85">
        <v>46139</v>
      </c>
      <c r="B944" t="s">
        <v>35</v>
      </c>
      <c r="C944">
        <v>10</v>
      </c>
      <c r="D944">
        <v>1</v>
      </c>
      <c r="E944">
        <v>5</v>
      </c>
      <c r="F944">
        <v>3</v>
      </c>
      <c r="G944">
        <v>24</v>
      </c>
      <c r="H944">
        <v>13</v>
      </c>
      <c r="I944">
        <v>0.6</v>
      </c>
      <c r="J944">
        <v>0.54</v>
      </c>
      <c r="K944">
        <v>1</v>
      </c>
      <c r="L944">
        <v>0</v>
      </c>
      <c r="M944">
        <v>1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0</v>
      </c>
      <c r="X944">
        <v>0</v>
      </c>
      <c r="Y944">
        <v>0</v>
      </c>
      <c r="Z944">
        <v>1</v>
      </c>
      <c r="AA944">
        <v>0</v>
      </c>
      <c r="AB944">
        <v>0</v>
      </c>
      <c r="AC944">
        <v>0</v>
      </c>
      <c r="AD944">
        <v>0</v>
      </c>
      <c r="AE944">
        <v>0</v>
      </c>
      <c r="AF944">
        <v>0</v>
      </c>
      <c r="AG944">
        <v>0</v>
      </c>
      <c r="AH944" s="86">
        <f>AVERAGEIFS($C$2:C944, $B$2:B944, B944)</f>
        <v>10.463414634146341</v>
      </c>
      <c r="AI944" s="86">
        <f>AVERAGEIFS($I$2:I944, $B$2:B944, B944)</f>
        <v>0.46170731707317081</v>
      </c>
      <c r="AJ944" s="86">
        <f>AVERAGEIFS($J$2:J944, $B$2:B944, B944)</f>
        <v>0.48682926829268286</v>
      </c>
      <c r="AK944" s="86">
        <f>AVERAGEIFS($D$2:D944, $B$2:B944, B944)</f>
        <v>0.43902439024390244</v>
      </c>
    </row>
    <row r="945" spans="1:37" x14ac:dyDescent="0.25">
      <c r="A945" s="85">
        <v>46139</v>
      </c>
      <c r="B945" t="s">
        <v>166</v>
      </c>
      <c r="C945">
        <v>21</v>
      </c>
      <c r="D945">
        <v>1</v>
      </c>
      <c r="E945">
        <v>5</v>
      </c>
      <c r="F945">
        <v>3</v>
      </c>
      <c r="G945">
        <v>24</v>
      </c>
      <c r="H945">
        <v>13</v>
      </c>
      <c r="I945">
        <v>0.6</v>
      </c>
      <c r="J945">
        <v>0.54</v>
      </c>
      <c r="K945">
        <v>1</v>
      </c>
      <c r="L945">
        <v>0</v>
      </c>
      <c r="M945">
        <v>1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0</v>
      </c>
      <c r="X945">
        <v>0</v>
      </c>
      <c r="Y945">
        <v>0</v>
      </c>
      <c r="Z945">
        <v>1</v>
      </c>
      <c r="AA945">
        <v>0</v>
      </c>
      <c r="AB945">
        <v>0</v>
      </c>
      <c r="AC945">
        <v>0</v>
      </c>
      <c r="AD945">
        <v>0</v>
      </c>
      <c r="AE945">
        <v>0</v>
      </c>
      <c r="AF945">
        <v>0</v>
      </c>
      <c r="AG945">
        <v>0</v>
      </c>
      <c r="AH945" s="86">
        <f>AVERAGEIFS($C$2:C945, $B$2:B945, B945)</f>
        <v>10</v>
      </c>
      <c r="AI945" s="86">
        <f>AVERAGEIFS($I$2:I945, $B$2:B945, B945)</f>
        <v>0.48750000000000004</v>
      </c>
      <c r="AJ945" s="86">
        <f>AVERAGEIFS($J$2:J945, $B$2:B945, B945)</f>
        <v>0.49249999999999999</v>
      </c>
      <c r="AK945" s="86">
        <f>AVERAGEIFS($D$2:D945, $B$2:B945, B945)</f>
        <v>0.75</v>
      </c>
    </row>
    <row r="946" spans="1:37" x14ac:dyDescent="0.25">
      <c r="A946" s="85">
        <v>46139</v>
      </c>
      <c r="B946" t="s">
        <v>54</v>
      </c>
      <c r="C946">
        <v>47</v>
      </c>
      <c r="D946">
        <v>0</v>
      </c>
      <c r="E946">
        <v>5</v>
      </c>
      <c r="F946">
        <v>2</v>
      </c>
      <c r="G946">
        <v>24</v>
      </c>
      <c r="H946">
        <v>11</v>
      </c>
      <c r="I946">
        <v>0.4</v>
      </c>
      <c r="J946">
        <v>0.46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1</v>
      </c>
      <c r="W946">
        <v>0</v>
      </c>
      <c r="X946">
        <v>0</v>
      </c>
      <c r="Y946">
        <v>0</v>
      </c>
      <c r="Z946">
        <v>0</v>
      </c>
      <c r="AA946">
        <v>0</v>
      </c>
      <c r="AB946">
        <v>0</v>
      </c>
      <c r="AC946">
        <v>0</v>
      </c>
      <c r="AD946">
        <v>1</v>
      </c>
      <c r="AE946">
        <v>0</v>
      </c>
      <c r="AF946">
        <v>0</v>
      </c>
      <c r="AG946">
        <v>0</v>
      </c>
      <c r="AH946" s="86">
        <f>AVERAGEIFS($C$2:C946, $B$2:B946, B946)</f>
        <v>24</v>
      </c>
      <c r="AI946" s="86">
        <f>AVERAGEIFS($I$2:I946, $B$2:B946, B946)</f>
        <v>0.54053571428571434</v>
      </c>
      <c r="AJ946" s="86">
        <f>AVERAGEIFS($J$2:J946, $B$2:B946, B946)</f>
        <v>0.5133928571428571</v>
      </c>
      <c r="AK946" s="86">
        <f>AVERAGEIFS($D$2:D946, $B$2:B946, B946)</f>
        <v>0.5535714285714286</v>
      </c>
    </row>
    <row r="947" spans="1:37" x14ac:dyDescent="0.25">
      <c r="A947" s="85">
        <v>46139</v>
      </c>
      <c r="B947" t="s">
        <v>2</v>
      </c>
      <c r="C947">
        <v>14</v>
      </c>
      <c r="D947">
        <v>0</v>
      </c>
      <c r="E947">
        <v>5</v>
      </c>
      <c r="F947">
        <v>2</v>
      </c>
      <c r="G947">
        <v>24</v>
      </c>
      <c r="H947">
        <v>11</v>
      </c>
      <c r="I947">
        <v>0.4</v>
      </c>
      <c r="J947">
        <v>0.46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1</v>
      </c>
      <c r="W947">
        <v>0</v>
      </c>
      <c r="X947">
        <v>0</v>
      </c>
      <c r="Y947">
        <v>0</v>
      </c>
      <c r="Z947">
        <v>0</v>
      </c>
      <c r="AA947">
        <v>0</v>
      </c>
      <c r="AB947">
        <v>0</v>
      </c>
      <c r="AC947">
        <v>0</v>
      </c>
      <c r="AD947">
        <v>1</v>
      </c>
      <c r="AE947">
        <v>0</v>
      </c>
      <c r="AF947">
        <v>0</v>
      </c>
      <c r="AG947">
        <v>0</v>
      </c>
      <c r="AH947" s="86">
        <f>AVERAGEIFS($C$2:C947, $B$2:B947, B947)</f>
        <v>22.763157894736842</v>
      </c>
      <c r="AI947" s="86">
        <f>AVERAGEIFS($I$2:I947, $B$2:B947, B947)</f>
        <v>0.5428947368421051</v>
      </c>
      <c r="AJ947" s="86">
        <f>AVERAGEIFS($J$2:J947, $B$2:B947, B947)</f>
        <v>0.54105263157894745</v>
      </c>
      <c r="AK947" s="86">
        <f>AVERAGEIFS($D$2:D947, $B$2:B947, B947)</f>
        <v>0.52631578947368418</v>
      </c>
    </row>
    <row r="948" spans="1:37" x14ac:dyDescent="0.25">
      <c r="A948" s="85">
        <v>46139</v>
      </c>
      <c r="B948" t="s">
        <v>113</v>
      </c>
      <c r="C948">
        <v>20</v>
      </c>
      <c r="D948">
        <v>0</v>
      </c>
      <c r="E948">
        <v>5</v>
      </c>
      <c r="F948">
        <v>2</v>
      </c>
      <c r="G948">
        <v>24</v>
      </c>
      <c r="H948">
        <v>11</v>
      </c>
      <c r="I948">
        <v>0.4</v>
      </c>
      <c r="J948">
        <v>0.46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1</v>
      </c>
      <c r="W948">
        <v>0</v>
      </c>
      <c r="X948">
        <v>0</v>
      </c>
      <c r="Y948">
        <v>0</v>
      </c>
      <c r="Z948">
        <v>0</v>
      </c>
      <c r="AA948">
        <v>0</v>
      </c>
      <c r="AB948">
        <v>0</v>
      </c>
      <c r="AC948">
        <v>0</v>
      </c>
      <c r="AD948">
        <v>1</v>
      </c>
      <c r="AE948">
        <v>0</v>
      </c>
      <c r="AF948">
        <v>0</v>
      </c>
      <c r="AG948">
        <v>0</v>
      </c>
      <c r="AH948" s="86">
        <f>AVERAGEIFS($C$2:C948, $B$2:B948, B948)</f>
        <v>17.921052631578949</v>
      </c>
      <c r="AI948" s="86">
        <f>AVERAGEIFS($I$2:I948, $B$2:B948, B948)</f>
        <v>0.5657894736842104</v>
      </c>
      <c r="AJ948" s="86">
        <f>AVERAGEIFS($J$2:J948, $B$2:B948, B948)</f>
        <v>0.52921052631578969</v>
      </c>
      <c r="AK948" s="86">
        <f>AVERAGEIFS($D$2:D948, $B$2:B948, B948)</f>
        <v>0.52631578947368418</v>
      </c>
    </row>
    <row r="949" spans="1:37" x14ac:dyDescent="0.25">
      <c r="A949" s="85">
        <v>46139</v>
      </c>
      <c r="B949" t="s">
        <v>50</v>
      </c>
      <c r="C949">
        <v>22</v>
      </c>
      <c r="D949">
        <v>0</v>
      </c>
      <c r="E949">
        <v>5</v>
      </c>
      <c r="F949">
        <v>2</v>
      </c>
      <c r="G949">
        <v>24</v>
      </c>
      <c r="H949">
        <v>11</v>
      </c>
      <c r="I949">
        <v>0.4</v>
      </c>
      <c r="J949">
        <v>0.46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1</v>
      </c>
      <c r="W949">
        <v>0</v>
      </c>
      <c r="X949">
        <v>0</v>
      </c>
      <c r="Y949">
        <v>0</v>
      </c>
      <c r="Z949">
        <v>0</v>
      </c>
      <c r="AA949">
        <v>0</v>
      </c>
      <c r="AB949">
        <v>0</v>
      </c>
      <c r="AC949">
        <v>0</v>
      </c>
      <c r="AD949">
        <v>1</v>
      </c>
      <c r="AE949">
        <v>0</v>
      </c>
      <c r="AF949">
        <v>0</v>
      </c>
      <c r="AG949">
        <v>0</v>
      </c>
      <c r="AH949" s="86">
        <f>AVERAGEIFS($C$2:C949, $B$2:B949, B949)</f>
        <v>18.307692307692307</v>
      </c>
      <c r="AI949" s="86">
        <f>AVERAGEIFS($I$2:I949, $B$2:B949, B949)</f>
        <v>0.51230769230769246</v>
      </c>
      <c r="AJ949" s="86">
        <f>AVERAGEIFS($J$2:J949, $B$2:B949, B949)</f>
        <v>0.51692307692307682</v>
      </c>
      <c r="AK949" s="86">
        <f>AVERAGEIFS($D$2:D949, $B$2:B949, B949)</f>
        <v>0.51282051282051277</v>
      </c>
    </row>
    <row r="950" spans="1:37" x14ac:dyDescent="0.25">
      <c r="A950" s="85">
        <v>46139</v>
      </c>
      <c r="B950" t="s">
        <v>152</v>
      </c>
      <c r="C950">
        <v>19</v>
      </c>
      <c r="D950">
        <v>0</v>
      </c>
      <c r="E950">
        <v>5</v>
      </c>
      <c r="F950">
        <v>2</v>
      </c>
      <c r="G950">
        <v>24</v>
      </c>
      <c r="H950">
        <v>11</v>
      </c>
      <c r="I950">
        <v>0.4</v>
      </c>
      <c r="J950">
        <v>0.46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1</v>
      </c>
      <c r="W950">
        <v>0</v>
      </c>
      <c r="X950">
        <v>0</v>
      </c>
      <c r="Y950">
        <v>0</v>
      </c>
      <c r="Z950">
        <v>0</v>
      </c>
      <c r="AA950">
        <v>0</v>
      </c>
      <c r="AB950">
        <v>0</v>
      </c>
      <c r="AC950">
        <v>0</v>
      </c>
      <c r="AD950">
        <v>1</v>
      </c>
      <c r="AE950">
        <v>0</v>
      </c>
      <c r="AF950">
        <v>0</v>
      </c>
      <c r="AG950">
        <v>0</v>
      </c>
      <c r="AH950" s="86">
        <f>AVERAGEIFS($C$2:C950, $B$2:B950, B950)</f>
        <v>14.333333333333334</v>
      </c>
      <c r="AI950" s="86">
        <f>AVERAGEIFS($I$2:I950, $B$2:B950, B950)</f>
        <v>0.48333333333333339</v>
      </c>
      <c r="AJ950" s="86">
        <f>AVERAGEIFS($J$2:J950, $B$2:B950, B950)</f>
        <v>0.54666666666666663</v>
      </c>
      <c r="AK950" s="86">
        <f>AVERAGEIFS($D$2:D950, $B$2:B950, B950)</f>
        <v>0.33333333333333331</v>
      </c>
    </row>
    <row r="951" spans="1:37" x14ac:dyDescent="0.25">
      <c r="A951" s="85">
        <v>46139</v>
      </c>
      <c r="B951" t="s">
        <v>27</v>
      </c>
      <c r="C951">
        <v>15</v>
      </c>
      <c r="D951">
        <v>0</v>
      </c>
      <c r="E951">
        <v>5</v>
      </c>
      <c r="F951">
        <v>2</v>
      </c>
      <c r="G951">
        <v>24</v>
      </c>
      <c r="H951">
        <v>11</v>
      </c>
      <c r="I951">
        <v>0.4</v>
      </c>
      <c r="J951">
        <v>0.46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1</v>
      </c>
      <c r="W951">
        <v>0</v>
      </c>
      <c r="X951">
        <v>0</v>
      </c>
      <c r="Y951">
        <v>0</v>
      </c>
      <c r="Z951">
        <v>0</v>
      </c>
      <c r="AA951">
        <v>0</v>
      </c>
      <c r="AB951">
        <v>0</v>
      </c>
      <c r="AC951">
        <v>0</v>
      </c>
      <c r="AD951">
        <v>1</v>
      </c>
      <c r="AE951">
        <v>0</v>
      </c>
      <c r="AF951">
        <v>0</v>
      </c>
      <c r="AG951">
        <v>0</v>
      </c>
      <c r="AH951" s="86">
        <f>AVERAGEIFS($C$2:C951, $B$2:B951, B951)</f>
        <v>12</v>
      </c>
      <c r="AI951" s="86">
        <f>AVERAGEIFS($I$2:I951, $B$2:B951, B951)</f>
        <v>0.33333333333333331</v>
      </c>
      <c r="AJ951" s="86">
        <f>AVERAGEIFS($J$2:J951, $B$2:B951, B951)</f>
        <v>0.37111111111111111</v>
      </c>
      <c r="AK951" s="86">
        <f>AVERAGEIFS($D$2:D951, $B$2:B951, B951)</f>
        <v>0.22222222222222221</v>
      </c>
    </row>
    <row r="952" spans="1:37" x14ac:dyDescent="0.25">
      <c r="A952" s="85">
        <v>46139</v>
      </c>
      <c r="B952" t="s">
        <v>178</v>
      </c>
      <c r="C952">
        <v>16</v>
      </c>
      <c r="D952">
        <v>0</v>
      </c>
      <c r="E952">
        <v>5</v>
      </c>
      <c r="F952">
        <v>2</v>
      </c>
      <c r="G952">
        <v>24</v>
      </c>
      <c r="H952">
        <v>11</v>
      </c>
      <c r="I952">
        <v>0.4</v>
      </c>
      <c r="J952">
        <v>0.46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1</v>
      </c>
      <c r="W952">
        <v>0</v>
      </c>
      <c r="X952">
        <v>0</v>
      </c>
      <c r="Y952">
        <v>0</v>
      </c>
      <c r="Z952">
        <v>0</v>
      </c>
      <c r="AA952">
        <v>0</v>
      </c>
      <c r="AB952">
        <v>0</v>
      </c>
      <c r="AC952">
        <v>0</v>
      </c>
      <c r="AD952">
        <v>1</v>
      </c>
      <c r="AE952">
        <v>0</v>
      </c>
      <c r="AF952">
        <v>0</v>
      </c>
      <c r="AG952">
        <v>0</v>
      </c>
      <c r="AH952" s="86">
        <f>AVERAGEIFS($C$2:C952, $B$2:B952, B952)</f>
        <v>16</v>
      </c>
      <c r="AI952" s="86">
        <f>AVERAGEIFS($I$2:I952, $B$2:B952, B952)</f>
        <v>0.4</v>
      </c>
      <c r="AJ952" s="86">
        <f>AVERAGEIFS($J$2:J952, $B$2:B952, B952)</f>
        <v>0.46</v>
      </c>
      <c r="AK952" s="86">
        <f>AVERAGEIFS($D$2:D952, $B$2:B952, B952)</f>
        <v>0</v>
      </c>
    </row>
    <row r="953" spans="1:37" x14ac:dyDescent="0.25">
      <c r="A953" s="85">
        <v>46139</v>
      </c>
      <c r="B953" t="s">
        <v>161</v>
      </c>
      <c r="C953">
        <v>24</v>
      </c>
      <c r="D953">
        <v>0</v>
      </c>
      <c r="E953">
        <v>5</v>
      </c>
      <c r="F953">
        <v>2</v>
      </c>
      <c r="G953">
        <v>24</v>
      </c>
      <c r="H953">
        <v>11</v>
      </c>
      <c r="I953">
        <v>0.4</v>
      </c>
      <c r="J953">
        <v>0.46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1</v>
      </c>
      <c r="W953">
        <v>0</v>
      </c>
      <c r="X953">
        <v>0</v>
      </c>
      <c r="Y953">
        <v>0</v>
      </c>
      <c r="Z953">
        <v>0</v>
      </c>
      <c r="AA953">
        <v>0</v>
      </c>
      <c r="AB953">
        <v>0</v>
      </c>
      <c r="AC953">
        <v>0</v>
      </c>
      <c r="AD953">
        <v>1</v>
      </c>
      <c r="AE953">
        <v>0</v>
      </c>
      <c r="AF953">
        <v>0</v>
      </c>
      <c r="AG953">
        <v>0</v>
      </c>
      <c r="AH953" s="86">
        <f>AVERAGEIFS($C$2:C953, $B$2:B953, B953)</f>
        <v>7.8571428571428568</v>
      </c>
      <c r="AI953" s="86">
        <f>AVERAGEIFS($I$2:I953, $B$2:B953, B953)</f>
        <v>0.61428571428571421</v>
      </c>
      <c r="AJ953" s="86">
        <f>AVERAGEIFS($J$2:J953, $B$2:B953, B953)</f>
        <v>0.53714285714285714</v>
      </c>
      <c r="AK953" s="86">
        <f>AVERAGEIFS($D$2:D953, $B$2:B953, B953)</f>
        <v>0.5714285714285714</v>
      </c>
    </row>
    <row r="954" spans="1:37" x14ac:dyDescent="0.25">
      <c r="A954" s="85">
        <v>46140</v>
      </c>
      <c r="B954" t="s">
        <v>1</v>
      </c>
      <c r="C954">
        <v>30</v>
      </c>
      <c r="D954">
        <v>0</v>
      </c>
      <c r="E954">
        <v>4</v>
      </c>
      <c r="F954">
        <v>1</v>
      </c>
      <c r="G954">
        <v>17</v>
      </c>
      <c r="H954">
        <v>8</v>
      </c>
      <c r="I954">
        <v>0.25</v>
      </c>
      <c r="J954">
        <v>0.47</v>
      </c>
      <c r="K954">
        <v>0</v>
      </c>
      <c r="L954">
        <v>0</v>
      </c>
      <c r="M954">
        <v>0</v>
      </c>
      <c r="N954">
        <v>1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</v>
      </c>
      <c r="AA954">
        <v>0</v>
      </c>
      <c r="AB954">
        <v>0</v>
      </c>
      <c r="AC954">
        <v>0</v>
      </c>
      <c r="AD954">
        <v>0</v>
      </c>
      <c r="AE954">
        <v>0</v>
      </c>
      <c r="AF954">
        <v>0</v>
      </c>
      <c r="AG954">
        <v>0</v>
      </c>
      <c r="AH954" s="86">
        <f>AVERAGEIFS($C$2:C954, $B$2:B954, B954)</f>
        <v>26.888888888888889</v>
      </c>
      <c r="AI954" s="86">
        <f>AVERAGEIFS($I$2:I954, $B$2:B954, B954)</f>
        <v>0.48194444444444451</v>
      </c>
      <c r="AJ954" s="86">
        <f>AVERAGEIFS($J$2:J954, $B$2:B954, B954)</f>
        <v>0.49277777777777793</v>
      </c>
      <c r="AK954" s="86">
        <f>AVERAGEIFS($D$2:D954, $B$2:B954, B954)</f>
        <v>0.5</v>
      </c>
    </row>
    <row r="955" spans="1:37" x14ac:dyDescent="0.25">
      <c r="A955" s="85">
        <v>46140</v>
      </c>
      <c r="B955" t="s">
        <v>2</v>
      </c>
      <c r="C955">
        <v>16</v>
      </c>
      <c r="D955">
        <v>0</v>
      </c>
      <c r="E955">
        <v>4</v>
      </c>
      <c r="F955">
        <v>1</v>
      </c>
      <c r="G955">
        <v>17</v>
      </c>
      <c r="H955">
        <v>8</v>
      </c>
      <c r="I955">
        <v>0.25</v>
      </c>
      <c r="J955">
        <v>0.47</v>
      </c>
      <c r="K955">
        <v>0</v>
      </c>
      <c r="L955">
        <v>0</v>
      </c>
      <c r="M955">
        <v>0</v>
      </c>
      <c r="N955">
        <v>1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0</v>
      </c>
      <c r="Y955">
        <v>0</v>
      </c>
      <c r="Z955">
        <v>0</v>
      </c>
      <c r="AA955">
        <v>0</v>
      </c>
      <c r="AB955">
        <v>0</v>
      </c>
      <c r="AC955">
        <v>0</v>
      </c>
      <c r="AD955">
        <v>0</v>
      </c>
      <c r="AE955">
        <v>0</v>
      </c>
      <c r="AF955">
        <v>0</v>
      </c>
      <c r="AG955">
        <v>0</v>
      </c>
      <c r="AH955" s="86">
        <f>AVERAGEIFS($C$2:C955, $B$2:B955, B955)</f>
        <v>22.589743589743591</v>
      </c>
      <c r="AI955" s="86">
        <f>AVERAGEIFS($I$2:I955, $B$2:B955, B955)</f>
        <v>0.53538461538461524</v>
      </c>
      <c r="AJ955" s="86">
        <f>AVERAGEIFS($J$2:J955, $B$2:B955, B955)</f>
        <v>0.53923076923076929</v>
      </c>
      <c r="AK955" s="86">
        <f>AVERAGEIFS($D$2:D955, $B$2:B955, B955)</f>
        <v>0.51282051282051277</v>
      </c>
    </row>
    <row r="956" spans="1:37" x14ac:dyDescent="0.25">
      <c r="A956" s="85">
        <v>46140</v>
      </c>
      <c r="B956" t="s">
        <v>40</v>
      </c>
      <c r="C956">
        <v>27</v>
      </c>
      <c r="D956">
        <v>0</v>
      </c>
      <c r="E956">
        <v>4</v>
      </c>
      <c r="F956">
        <v>1</v>
      </c>
      <c r="G956">
        <v>17</v>
      </c>
      <c r="H956">
        <v>8</v>
      </c>
      <c r="I956">
        <v>0.25</v>
      </c>
      <c r="J956">
        <v>0.47</v>
      </c>
      <c r="K956">
        <v>0</v>
      </c>
      <c r="L956">
        <v>0</v>
      </c>
      <c r="M956">
        <v>0</v>
      </c>
      <c r="N956">
        <v>1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0</v>
      </c>
      <c r="Y956">
        <v>0</v>
      </c>
      <c r="Z956">
        <v>0</v>
      </c>
      <c r="AA956">
        <v>0</v>
      </c>
      <c r="AB956">
        <v>0</v>
      </c>
      <c r="AC956">
        <v>0</v>
      </c>
      <c r="AD956">
        <v>0</v>
      </c>
      <c r="AE956">
        <v>0</v>
      </c>
      <c r="AF956">
        <v>0</v>
      </c>
      <c r="AG956">
        <v>0</v>
      </c>
      <c r="AH956" s="86">
        <f>AVERAGEIFS($C$2:C956, $B$2:B956, B956)</f>
        <v>18.716666666666665</v>
      </c>
      <c r="AI956" s="86">
        <f>AVERAGEIFS($I$2:I956, $B$2:B956, B956)</f>
        <v>0.48166666666666652</v>
      </c>
      <c r="AJ956" s="86">
        <f>AVERAGEIFS($J$2:J956, $B$2:B956, B956)</f>
        <v>0.4835000000000001</v>
      </c>
      <c r="AK956" s="86">
        <f>AVERAGEIFS($D$2:D956, $B$2:B956, B956)</f>
        <v>0.41666666666666669</v>
      </c>
    </row>
    <row r="957" spans="1:37" x14ac:dyDescent="0.25">
      <c r="A957" s="85">
        <v>46140</v>
      </c>
      <c r="B957" t="s">
        <v>53</v>
      </c>
      <c r="C957">
        <v>15</v>
      </c>
      <c r="D957">
        <v>0</v>
      </c>
      <c r="E957">
        <v>4</v>
      </c>
      <c r="F957">
        <v>1</v>
      </c>
      <c r="G957">
        <v>17</v>
      </c>
      <c r="H957">
        <v>8</v>
      </c>
      <c r="I957">
        <v>0.25</v>
      </c>
      <c r="J957">
        <v>0.47</v>
      </c>
      <c r="K957">
        <v>0</v>
      </c>
      <c r="L957">
        <v>0</v>
      </c>
      <c r="M957">
        <v>0</v>
      </c>
      <c r="N957">
        <v>1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>
        <v>0</v>
      </c>
      <c r="AB957">
        <v>0</v>
      </c>
      <c r="AC957">
        <v>0</v>
      </c>
      <c r="AD957">
        <v>0</v>
      </c>
      <c r="AE957">
        <v>0</v>
      </c>
      <c r="AF957">
        <v>0</v>
      </c>
      <c r="AG957">
        <v>0</v>
      </c>
      <c r="AH957" s="86">
        <f>AVERAGEIFS($C$2:C957, $B$2:B957, B957)</f>
        <v>14.73076923076923</v>
      </c>
      <c r="AI957" s="86">
        <f>AVERAGEIFS($I$2:I957, $B$2:B957, B957)</f>
        <v>0.48461538461538467</v>
      </c>
      <c r="AJ957" s="86">
        <f>AVERAGEIFS($J$2:J957, $B$2:B957, B957)</f>
        <v>0.49384615384615393</v>
      </c>
      <c r="AK957" s="86">
        <f>AVERAGEIFS($D$2:D957, $B$2:B957, B957)</f>
        <v>0.38461538461538464</v>
      </c>
    </row>
    <row r="958" spans="1:37" x14ac:dyDescent="0.25">
      <c r="A958" s="85">
        <v>46140</v>
      </c>
      <c r="B958" t="s">
        <v>147</v>
      </c>
      <c r="C958">
        <v>14</v>
      </c>
      <c r="D958">
        <v>0</v>
      </c>
      <c r="E958">
        <v>4</v>
      </c>
      <c r="F958">
        <v>1</v>
      </c>
      <c r="G958">
        <v>17</v>
      </c>
      <c r="H958">
        <v>8</v>
      </c>
      <c r="I958">
        <v>0.25</v>
      </c>
      <c r="J958">
        <v>0.47</v>
      </c>
      <c r="K958">
        <v>0</v>
      </c>
      <c r="L958">
        <v>0</v>
      </c>
      <c r="M958">
        <v>0</v>
      </c>
      <c r="N958">
        <v>1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0</v>
      </c>
      <c r="U958">
        <v>0</v>
      </c>
      <c r="V958">
        <v>0</v>
      </c>
      <c r="W958">
        <v>0</v>
      </c>
      <c r="X958">
        <v>0</v>
      </c>
      <c r="Y958">
        <v>0</v>
      </c>
      <c r="Z958">
        <v>0</v>
      </c>
      <c r="AA958">
        <v>0</v>
      </c>
      <c r="AB958">
        <v>0</v>
      </c>
      <c r="AC958">
        <v>0</v>
      </c>
      <c r="AD958">
        <v>0</v>
      </c>
      <c r="AE958">
        <v>0</v>
      </c>
      <c r="AF958">
        <v>0</v>
      </c>
      <c r="AG958">
        <v>0</v>
      </c>
      <c r="AH958" s="86">
        <f>AVERAGEIFS($C$2:C958, $B$2:B958, B958)</f>
        <v>12.884615384615385</v>
      </c>
      <c r="AI958" s="86">
        <f>AVERAGEIFS($I$2:I958, $B$2:B958, B958)</f>
        <v>0.54807692307692313</v>
      </c>
      <c r="AJ958" s="86">
        <f>AVERAGEIFS($J$2:J958, $B$2:B958, B958)</f>
        <v>0.53192307692307694</v>
      </c>
      <c r="AK958" s="86">
        <f>AVERAGEIFS($D$2:D958, $B$2:B958, B958)</f>
        <v>0.5</v>
      </c>
    </row>
    <row r="959" spans="1:37" x14ac:dyDescent="0.25">
      <c r="A959" s="85">
        <v>46140</v>
      </c>
      <c r="B959" t="s">
        <v>178</v>
      </c>
      <c r="C959">
        <v>10</v>
      </c>
      <c r="D959">
        <v>0</v>
      </c>
      <c r="E959">
        <v>4</v>
      </c>
      <c r="F959">
        <v>1</v>
      </c>
      <c r="G959">
        <v>17</v>
      </c>
      <c r="H959">
        <v>8</v>
      </c>
      <c r="I959">
        <v>0.25</v>
      </c>
      <c r="J959">
        <v>0.47</v>
      </c>
      <c r="K959">
        <v>0</v>
      </c>
      <c r="L959">
        <v>0</v>
      </c>
      <c r="M959">
        <v>0</v>
      </c>
      <c r="N959">
        <v>1</v>
      </c>
      <c r="O959">
        <v>0</v>
      </c>
      <c r="P959">
        <v>0</v>
      </c>
      <c r="Q959">
        <v>0</v>
      </c>
      <c r="R959">
        <v>0</v>
      </c>
      <c r="S959">
        <v>0</v>
      </c>
      <c r="T959">
        <v>0</v>
      </c>
      <c r="U959">
        <v>0</v>
      </c>
      <c r="V959">
        <v>0</v>
      </c>
      <c r="W959">
        <v>0</v>
      </c>
      <c r="X959">
        <v>0</v>
      </c>
      <c r="Y959">
        <v>0</v>
      </c>
      <c r="Z959">
        <v>0</v>
      </c>
      <c r="AA959">
        <v>0</v>
      </c>
      <c r="AB959">
        <v>0</v>
      </c>
      <c r="AC959">
        <v>0</v>
      </c>
      <c r="AD959">
        <v>0</v>
      </c>
      <c r="AE959">
        <v>0</v>
      </c>
      <c r="AF959">
        <v>0</v>
      </c>
      <c r="AG959">
        <v>0</v>
      </c>
      <c r="AH959" s="86">
        <f>AVERAGEIFS($C$2:C959, $B$2:B959, B959)</f>
        <v>13</v>
      </c>
      <c r="AI959" s="86">
        <f>AVERAGEIFS($I$2:I959, $B$2:B959, B959)</f>
        <v>0.32500000000000001</v>
      </c>
      <c r="AJ959" s="86">
        <f>AVERAGEIFS($J$2:J959, $B$2:B959, B959)</f>
        <v>0.46499999999999997</v>
      </c>
      <c r="AK959" s="86">
        <f>AVERAGEIFS($D$2:D959, $B$2:B959, B959)</f>
        <v>0</v>
      </c>
    </row>
    <row r="960" spans="1:37" x14ac:dyDescent="0.25">
      <c r="A960" s="85">
        <v>46140</v>
      </c>
      <c r="B960" t="s">
        <v>4</v>
      </c>
      <c r="C960">
        <v>22</v>
      </c>
      <c r="D960">
        <v>1</v>
      </c>
      <c r="E960">
        <v>4</v>
      </c>
      <c r="F960">
        <v>3</v>
      </c>
      <c r="G960">
        <v>17</v>
      </c>
      <c r="H960">
        <v>9</v>
      </c>
      <c r="I960">
        <v>0.75</v>
      </c>
      <c r="J960">
        <v>0.53</v>
      </c>
      <c r="K960">
        <v>1</v>
      </c>
      <c r="L960">
        <v>0</v>
      </c>
      <c r="M960">
        <v>1</v>
      </c>
      <c r="N960">
        <v>0</v>
      </c>
      <c r="O960">
        <v>0</v>
      </c>
      <c r="P960">
        <v>0</v>
      </c>
      <c r="Q960">
        <v>0</v>
      </c>
      <c r="R960">
        <v>0</v>
      </c>
      <c r="S960">
        <v>0</v>
      </c>
      <c r="T960">
        <v>0</v>
      </c>
      <c r="U960">
        <v>0</v>
      </c>
      <c r="V960">
        <v>0</v>
      </c>
      <c r="W960">
        <v>0</v>
      </c>
      <c r="X960">
        <v>0</v>
      </c>
      <c r="Y960">
        <v>0</v>
      </c>
      <c r="Z960">
        <v>0</v>
      </c>
      <c r="AA960">
        <v>0</v>
      </c>
      <c r="AB960">
        <v>0</v>
      </c>
      <c r="AC960">
        <v>1</v>
      </c>
      <c r="AD960">
        <v>0</v>
      </c>
      <c r="AE960">
        <v>0</v>
      </c>
      <c r="AF960">
        <v>0</v>
      </c>
      <c r="AG960">
        <v>0</v>
      </c>
      <c r="AH960" s="86">
        <f>AVERAGEIFS($C$2:C960, $B$2:B960, B960)</f>
        <v>24.939393939393938</v>
      </c>
      <c r="AI960" s="86">
        <f>AVERAGEIFS($I$2:I960, $B$2:B960, B960)</f>
        <v>0.44545454545454544</v>
      </c>
      <c r="AJ960" s="86">
        <f>AVERAGEIFS($J$2:J960, $B$2:B960, B960)</f>
        <v>0.46606060606060601</v>
      </c>
      <c r="AK960" s="86">
        <f>AVERAGEIFS($D$2:D960, $B$2:B960, B960)</f>
        <v>0.36363636363636365</v>
      </c>
    </row>
    <row r="961" spans="1:37" x14ac:dyDescent="0.25">
      <c r="A961" s="85">
        <v>46140</v>
      </c>
      <c r="B961" t="s">
        <v>6</v>
      </c>
      <c r="C961">
        <v>26</v>
      </c>
      <c r="D961">
        <v>1</v>
      </c>
      <c r="E961">
        <v>4</v>
      </c>
      <c r="F961">
        <v>3</v>
      </c>
      <c r="G961">
        <v>17</v>
      </c>
      <c r="H961">
        <v>9</v>
      </c>
      <c r="I961">
        <v>0.75</v>
      </c>
      <c r="J961">
        <v>0.53</v>
      </c>
      <c r="K961">
        <v>1</v>
      </c>
      <c r="L961">
        <v>0</v>
      </c>
      <c r="M961">
        <v>1</v>
      </c>
      <c r="N961">
        <v>0</v>
      </c>
      <c r="O961">
        <v>0</v>
      </c>
      <c r="P961">
        <v>0</v>
      </c>
      <c r="Q961">
        <v>0</v>
      </c>
      <c r="R961">
        <v>0</v>
      </c>
      <c r="S961">
        <v>0</v>
      </c>
      <c r="T961">
        <v>0</v>
      </c>
      <c r="U961">
        <v>0</v>
      </c>
      <c r="V961">
        <v>0</v>
      </c>
      <c r="W961">
        <v>0</v>
      </c>
      <c r="X961">
        <v>0</v>
      </c>
      <c r="Y961">
        <v>0</v>
      </c>
      <c r="Z961">
        <v>0</v>
      </c>
      <c r="AA961">
        <v>0</v>
      </c>
      <c r="AB961">
        <v>0</v>
      </c>
      <c r="AC961">
        <v>1</v>
      </c>
      <c r="AD961">
        <v>0</v>
      </c>
      <c r="AE961">
        <v>0</v>
      </c>
      <c r="AF961">
        <v>0</v>
      </c>
      <c r="AG961">
        <v>0</v>
      </c>
      <c r="AH961" s="86">
        <f>AVERAGEIFS($C$2:C961, $B$2:B961, B961)</f>
        <v>22.193548387096776</v>
      </c>
      <c r="AI961" s="86">
        <f>AVERAGEIFS($I$2:I961, $B$2:B961, B961)</f>
        <v>0.5270967741935485</v>
      </c>
      <c r="AJ961" s="86">
        <f>AVERAGEIFS($J$2:J961, $B$2:B961, B961)</f>
        <v>0.51935483870967736</v>
      </c>
      <c r="AK961" s="86">
        <f>AVERAGEIFS($D$2:D961, $B$2:B961, B961)</f>
        <v>0.59677419354838712</v>
      </c>
    </row>
    <row r="962" spans="1:37" x14ac:dyDescent="0.25">
      <c r="A962" s="85">
        <v>46140</v>
      </c>
      <c r="B962" t="s">
        <v>42</v>
      </c>
      <c r="C962">
        <v>17</v>
      </c>
      <c r="D962">
        <v>1</v>
      </c>
      <c r="E962">
        <v>4</v>
      </c>
      <c r="F962">
        <v>3</v>
      </c>
      <c r="G962">
        <v>17</v>
      </c>
      <c r="H962">
        <v>9</v>
      </c>
      <c r="I962">
        <v>0.75</v>
      </c>
      <c r="J962">
        <v>0.53</v>
      </c>
      <c r="K962">
        <v>1</v>
      </c>
      <c r="L962">
        <v>0</v>
      </c>
      <c r="M962">
        <v>1</v>
      </c>
      <c r="N962">
        <v>0</v>
      </c>
      <c r="O962">
        <v>0</v>
      </c>
      <c r="P962">
        <v>0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0</v>
      </c>
      <c r="Y962">
        <v>0</v>
      </c>
      <c r="Z962">
        <v>0</v>
      </c>
      <c r="AA962">
        <v>0</v>
      </c>
      <c r="AB962">
        <v>0</v>
      </c>
      <c r="AC962">
        <v>1</v>
      </c>
      <c r="AD962">
        <v>0</v>
      </c>
      <c r="AE962">
        <v>0</v>
      </c>
      <c r="AF962">
        <v>0</v>
      </c>
      <c r="AG962">
        <v>0</v>
      </c>
      <c r="AH962" s="86">
        <f>AVERAGEIFS($C$2:C962, $B$2:B962, B962)</f>
        <v>18.523809523809526</v>
      </c>
      <c r="AI962" s="86">
        <f>AVERAGEIFS($I$2:I962, $B$2:B962, B962)</f>
        <v>0.45476190476190481</v>
      </c>
      <c r="AJ962" s="86">
        <f>AVERAGEIFS($J$2:J962, $B$2:B962, B962)</f>
        <v>0.45214285714285701</v>
      </c>
      <c r="AK962" s="86">
        <f>AVERAGEIFS($D$2:D962, $B$2:B962, B962)</f>
        <v>0.47619047619047616</v>
      </c>
    </row>
    <row r="963" spans="1:37" x14ac:dyDescent="0.25">
      <c r="A963" s="85">
        <v>46140</v>
      </c>
      <c r="B963" t="s">
        <v>141</v>
      </c>
      <c r="C963">
        <v>19</v>
      </c>
      <c r="D963">
        <v>1</v>
      </c>
      <c r="E963">
        <v>4</v>
      </c>
      <c r="F963">
        <v>3</v>
      </c>
      <c r="G963">
        <v>17</v>
      </c>
      <c r="H963">
        <v>9</v>
      </c>
      <c r="I963">
        <v>0.75</v>
      </c>
      <c r="J963">
        <v>0.53</v>
      </c>
      <c r="K963">
        <v>1</v>
      </c>
      <c r="L963">
        <v>0</v>
      </c>
      <c r="M963">
        <v>1</v>
      </c>
      <c r="N963">
        <v>0</v>
      </c>
      <c r="O963">
        <v>0</v>
      </c>
      <c r="P963">
        <v>0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0</v>
      </c>
      <c r="Y963">
        <v>0</v>
      </c>
      <c r="Z963">
        <v>0</v>
      </c>
      <c r="AA963">
        <v>0</v>
      </c>
      <c r="AB963">
        <v>0</v>
      </c>
      <c r="AC963">
        <v>1</v>
      </c>
      <c r="AD963">
        <v>0</v>
      </c>
      <c r="AE963">
        <v>0</v>
      </c>
      <c r="AF963">
        <v>0</v>
      </c>
      <c r="AG963">
        <v>0</v>
      </c>
      <c r="AH963" s="86">
        <f>AVERAGEIFS($C$2:C963, $B$2:B963, B963)</f>
        <v>13.363636363636363</v>
      </c>
      <c r="AI963" s="86">
        <f>AVERAGEIFS($I$2:I963, $B$2:B963, B963)</f>
        <v>0.48181818181818181</v>
      </c>
      <c r="AJ963" s="86">
        <f>AVERAGEIFS($J$2:J963, $B$2:B963, B963)</f>
        <v>0.50909090909090915</v>
      </c>
      <c r="AK963" s="86">
        <f>AVERAGEIFS($D$2:D963, $B$2:B963, B963)</f>
        <v>0.63636363636363635</v>
      </c>
    </row>
    <row r="964" spans="1:37" x14ac:dyDescent="0.25">
      <c r="A964" s="85">
        <v>46140</v>
      </c>
      <c r="B964" t="s">
        <v>152</v>
      </c>
      <c r="C964">
        <v>17</v>
      </c>
      <c r="D964">
        <v>1</v>
      </c>
      <c r="E964">
        <v>4</v>
      </c>
      <c r="F964">
        <v>3</v>
      </c>
      <c r="G964">
        <v>17</v>
      </c>
      <c r="H964">
        <v>9</v>
      </c>
      <c r="I964">
        <v>0.75</v>
      </c>
      <c r="J964">
        <v>0.53</v>
      </c>
      <c r="K964">
        <v>1</v>
      </c>
      <c r="L964">
        <v>0</v>
      </c>
      <c r="M964">
        <v>1</v>
      </c>
      <c r="N964">
        <v>0</v>
      </c>
      <c r="O964">
        <v>0</v>
      </c>
      <c r="P964">
        <v>0</v>
      </c>
      <c r="Q964">
        <v>0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0</v>
      </c>
      <c r="X964">
        <v>0</v>
      </c>
      <c r="Y964">
        <v>0</v>
      </c>
      <c r="Z964">
        <v>0</v>
      </c>
      <c r="AA964">
        <v>0</v>
      </c>
      <c r="AB964">
        <v>0</v>
      </c>
      <c r="AC964">
        <v>1</v>
      </c>
      <c r="AD964">
        <v>0</v>
      </c>
      <c r="AE964">
        <v>0</v>
      </c>
      <c r="AF964">
        <v>0</v>
      </c>
      <c r="AG964">
        <v>0</v>
      </c>
      <c r="AH964" s="86">
        <f>AVERAGEIFS($C$2:C964, $B$2:B964, B964)</f>
        <v>15</v>
      </c>
      <c r="AI964" s="86">
        <f>AVERAGEIFS($I$2:I964, $B$2:B964, B964)</f>
        <v>0.55000000000000004</v>
      </c>
      <c r="AJ964" s="86">
        <f>AVERAGEIFS($J$2:J964, $B$2:B964, B964)</f>
        <v>0.54249999999999998</v>
      </c>
      <c r="AK964" s="86">
        <f>AVERAGEIFS($D$2:D964, $B$2:B964, B964)</f>
        <v>0.5</v>
      </c>
    </row>
    <row r="965" spans="1:37" x14ac:dyDescent="0.25">
      <c r="A965" s="85">
        <v>46140</v>
      </c>
      <c r="B965" t="s">
        <v>71</v>
      </c>
      <c r="C965">
        <v>10</v>
      </c>
      <c r="D965">
        <v>1</v>
      </c>
      <c r="E965">
        <v>4</v>
      </c>
      <c r="F965">
        <v>3</v>
      </c>
      <c r="G965">
        <v>17</v>
      </c>
      <c r="H965">
        <v>9</v>
      </c>
      <c r="I965">
        <v>0.75</v>
      </c>
      <c r="J965">
        <v>0.53</v>
      </c>
      <c r="K965">
        <v>1</v>
      </c>
      <c r="L965">
        <v>0</v>
      </c>
      <c r="M965">
        <v>1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T965">
        <v>0</v>
      </c>
      <c r="U965">
        <v>0</v>
      </c>
      <c r="V965">
        <v>0</v>
      </c>
      <c r="W965">
        <v>0</v>
      </c>
      <c r="X965">
        <v>0</v>
      </c>
      <c r="Y965">
        <v>0</v>
      </c>
      <c r="Z965">
        <v>0</v>
      </c>
      <c r="AA965">
        <v>0</v>
      </c>
      <c r="AB965">
        <v>0</v>
      </c>
      <c r="AC965">
        <v>1</v>
      </c>
      <c r="AD965">
        <v>0</v>
      </c>
      <c r="AE965">
        <v>0</v>
      </c>
      <c r="AF965">
        <v>0</v>
      </c>
      <c r="AG965">
        <v>0</v>
      </c>
      <c r="AH965" s="86">
        <f>AVERAGEIFS($C$2:C965, $B$2:B965, B965)</f>
        <v>12.535714285714286</v>
      </c>
      <c r="AI965" s="86">
        <f>AVERAGEIFS($I$2:I965, $B$2:B965, B965)</f>
        <v>0.46071428571428574</v>
      </c>
      <c r="AJ965" s="86">
        <f>AVERAGEIFS($J$2:J965, $B$2:B965, B965)</f>
        <v>0.47214285714285709</v>
      </c>
      <c r="AK965" s="86">
        <f>AVERAGEIFS($D$2:D965, $B$2:B965, B965)</f>
        <v>0.5</v>
      </c>
    </row>
    <row r="966" spans="1:37" x14ac:dyDescent="0.25">
      <c r="A966" s="85">
        <v>46141</v>
      </c>
      <c r="B966" t="s">
        <v>5</v>
      </c>
      <c r="C966">
        <v>16</v>
      </c>
      <c r="D966">
        <v>1</v>
      </c>
      <c r="E966">
        <v>3</v>
      </c>
      <c r="F966">
        <v>3</v>
      </c>
      <c r="G966">
        <v>14</v>
      </c>
      <c r="H966">
        <v>9</v>
      </c>
      <c r="I966">
        <v>1</v>
      </c>
      <c r="J966">
        <v>0.64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0</v>
      </c>
      <c r="X966">
        <v>0</v>
      </c>
      <c r="Y966">
        <v>0</v>
      </c>
      <c r="Z966">
        <v>0</v>
      </c>
      <c r="AA966">
        <v>0</v>
      </c>
      <c r="AB966">
        <v>1</v>
      </c>
      <c r="AC966">
        <v>1</v>
      </c>
      <c r="AD966">
        <v>0</v>
      </c>
      <c r="AE966">
        <v>0</v>
      </c>
      <c r="AF966">
        <v>0</v>
      </c>
      <c r="AG966">
        <v>1</v>
      </c>
      <c r="AH966" s="86">
        <f>AVERAGEIFS($C$2:C966, $B$2:B966, B966)</f>
        <v>20.103448275862068</v>
      </c>
      <c r="AI966" s="86">
        <f>AVERAGEIFS($I$2:I966, $B$2:B966, B966)</f>
        <v>0.60241379310344823</v>
      </c>
      <c r="AJ966" s="86">
        <f>AVERAGEIFS($J$2:J966, $B$2:B966, B966)</f>
        <v>0.5475862068965518</v>
      </c>
      <c r="AK966" s="86">
        <f>AVERAGEIFS($D$2:D966, $B$2:B966, B966)</f>
        <v>0.68965517241379315</v>
      </c>
    </row>
    <row r="967" spans="1:37" x14ac:dyDescent="0.25">
      <c r="A967" s="85">
        <v>46141</v>
      </c>
      <c r="B967" t="s">
        <v>44</v>
      </c>
      <c r="C967">
        <v>14</v>
      </c>
      <c r="D967">
        <v>1</v>
      </c>
      <c r="E967">
        <v>3</v>
      </c>
      <c r="F967">
        <v>3</v>
      </c>
      <c r="G967">
        <v>14</v>
      </c>
      <c r="H967">
        <v>9</v>
      </c>
      <c r="I967">
        <v>1</v>
      </c>
      <c r="J967">
        <v>0.64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T967">
        <v>0</v>
      </c>
      <c r="U967">
        <v>0</v>
      </c>
      <c r="V967">
        <v>0</v>
      </c>
      <c r="W967">
        <v>0</v>
      </c>
      <c r="X967">
        <v>0</v>
      </c>
      <c r="Y967">
        <v>0</v>
      </c>
      <c r="Z967">
        <v>0</v>
      </c>
      <c r="AA967">
        <v>0</v>
      </c>
      <c r="AB967">
        <v>1</v>
      </c>
      <c r="AC967">
        <v>1</v>
      </c>
      <c r="AD967">
        <v>0</v>
      </c>
      <c r="AE967">
        <v>0</v>
      </c>
      <c r="AF967">
        <v>0</v>
      </c>
      <c r="AG967">
        <v>1</v>
      </c>
      <c r="AH967" s="86">
        <f>AVERAGEIFS($C$2:C967, $B$2:B967, B967)</f>
        <v>16.613636363636363</v>
      </c>
      <c r="AI967" s="86">
        <f>AVERAGEIFS($I$2:I967, $B$2:B967, B967)</f>
        <v>0.53863636363636358</v>
      </c>
      <c r="AJ967" s="86">
        <f>AVERAGEIFS($J$2:J967, $B$2:B967, B967)</f>
        <v>0.53772727272727272</v>
      </c>
      <c r="AK967" s="86">
        <f>AVERAGEIFS($D$2:D967, $B$2:B967, B967)</f>
        <v>0.63636363636363635</v>
      </c>
    </row>
    <row r="968" spans="1:37" x14ac:dyDescent="0.25">
      <c r="A968" s="85">
        <v>46141</v>
      </c>
      <c r="B968" t="s">
        <v>6</v>
      </c>
      <c r="C968">
        <v>20</v>
      </c>
      <c r="D968">
        <v>1</v>
      </c>
      <c r="E968">
        <v>3</v>
      </c>
      <c r="F968">
        <v>3</v>
      </c>
      <c r="G968">
        <v>14</v>
      </c>
      <c r="H968">
        <v>9</v>
      </c>
      <c r="I968">
        <v>1</v>
      </c>
      <c r="J968">
        <v>0.64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T968">
        <v>0</v>
      </c>
      <c r="U968">
        <v>0</v>
      </c>
      <c r="V968">
        <v>0</v>
      </c>
      <c r="W968">
        <v>0</v>
      </c>
      <c r="X968">
        <v>0</v>
      </c>
      <c r="Y968">
        <v>0</v>
      </c>
      <c r="Z968">
        <v>0</v>
      </c>
      <c r="AA968">
        <v>0</v>
      </c>
      <c r="AB968">
        <v>1</v>
      </c>
      <c r="AC968">
        <v>1</v>
      </c>
      <c r="AD968">
        <v>0</v>
      </c>
      <c r="AE968">
        <v>0</v>
      </c>
      <c r="AF968">
        <v>0</v>
      </c>
      <c r="AG968">
        <v>1</v>
      </c>
      <c r="AH968" s="86">
        <f>AVERAGEIFS($C$2:C968, $B$2:B968, B968)</f>
        <v>22.158730158730158</v>
      </c>
      <c r="AI968" s="86">
        <f>AVERAGEIFS($I$2:I968, $B$2:B968, B968)</f>
        <v>0.53460317460317475</v>
      </c>
      <c r="AJ968" s="86">
        <f>AVERAGEIFS($J$2:J968, $B$2:B968, B968)</f>
        <v>0.52126984126984122</v>
      </c>
      <c r="AK968" s="86">
        <f>AVERAGEIFS($D$2:D968, $B$2:B968, B968)</f>
        <v>0.60317460317460314</v>
      </c>
    </row>
    <row r="969" spans="1:37" x14ac:dyDescent="0.25">
      <c r="A969" s="85">
        <v>46141</v>
      </c>
      <c r="B969" t="s">
        <v>27</v>
      </c>
      <c r="C969">
        <v>6</v>
      </c>
      <c r="D969">
        <v>1</v>
      </c>
      <c r="E969">
        <v>3</v>
      </c>
      <c r="F969">
        <v>3</v>
      </c>
      <c r="G969">
        <v>14</v>
      </c>
      <c r="H969">
        <v>9</v>
      </c>
      <c r="I969">
        <v>1</v>
      </c>
      <c r="J969">
        <v>0.64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</v>
      </c>
      <c r="AA969">
        <v>0</v>
      </c>
      <c r="AB969">
        <v>1</v>
      </c>
      <c r="AC969">
        <v>1</v>
      </c>
      <c r="AD969">
        <v>0</v>
      </c>
      <c r="AE969">
        <v>0</v>
      </c>
      <c r="AF969">
        <v>0</v>
      </c>
      <c r="AG969">
        <v>1</v>
      </c>
      <c r="AH969" s="86">
        <f>AVERAGEIFS($C$2:C969, $B$2:B969, B969)</f>
        <v>11.4</v>
      </c>
      <c r="AI969" s="86">
        <f>AVERAGEIFS($I$2:I969, $B$2:B969, B969)</f>
        <v>0.4</v>
      </c>
      <c r="AJ969" s="86">
        <f>AVERAGEIFS($J$2:J969, $B$2:B969, B969)</f>
        <v>0.39800000000000002</v>
      </c>
      <c r="AK969" s="86">
        <f>AVERAGEIFS($D$2:D969, $B$2:B969, B969)</f>
        <v>0.3</v>
      </c>
    </row>
    <row r="970" spans="1:37" x14ac:dyDescent="0.25">
      <c r="A970" s="85">
        <v>46141</v>
      </c>
      <c r="B970" t="s">
        <v>53</v>
      </c>
      <c r="C970">
        <v>10</v>
      </c>
      <c r="D970">
        <v>1</v>
      </c>
      <c r="E970">
        <v>3</v>
      </c>
      <c r="F970">
        <v>3</v>
      </c>
      <c r="G970">
        <v>14</v>
      </c>
      <c r="H970">
        <v>9</v>
      </c>
      <c r="I970">
        <v>1</v>
      </c>
      <c r="J970">
        <v>0.64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T970">
        <v>0</v>
      </c>
      <c r="U970">
        <v>0</v>
      </c>
      <c r="V970">
        <v>0</v>
      </c>
      <c r="W970">
        <v>0</v>
      </c>
      <c r="X970">
        <v>0</v>
      </c>
      <c r="Y970">
        <v>0</v>
      </c>
      <c r="Z970">
        <v>0</v>
      </c>
      <c r="AA970">
        <v>0</v>
      </c>
      <c r="AB970">
        <v>1</v>
      </c>
      <c r="AC970">
        <v>1</v>
      </c>
      <c r="AD970">
        <v>0</v>
      </c>
      <c r="AE970">
        <v>0</v>
      </c>
      <c r="AF970">
        <v>0</v>
      </c>
      <c r="AG970">
        <v>1</v>
      </c>
      <c r="AH970" s="86">
        <f>AVERAGEIFS($C$2:C970, $B$2:B970, B970)</f>
        <v>14.555555555555555</v>
      </c>
      <c r="AI970" s="86">
        <f>AVERAGEIFS($I$2:I970, $B$2:B970, B970)</f>
        <v>0.50370370370370376</v>
      </c>
      <c r="AJ970" s="86">
        <f>AVERAGEIFS($J$2:J970, $B$2:B970, B970)</f>
        <v>0.49925925925925935</v>
      </c>
      <c r="AK970" s="86">
        <f>AVERAGEIFS($D$2:D970, $B$2:B970, B970)</f>
        <v>0.40740740740740738</v>
      </c>
    </row>
    <row r="971" spans="1:37" x14ac:dyDescent="0.25">
      <c r="A971" s="85">
        <v>46141</v>
      </c>
      <c r="B971" t="s">
        <v>17</v>
      </c>
      <c r="C971">
        <v>14</v>
      </c>
      <c r="D971">
        <v>1</v>
      </c>
      <c r="E971">
        <v>3</v>
      </c>
      <c r="F971">
        <v>3</v>
      </c>
      <c r="G971">
        <v>14</v>
      </c>
      <c r="H971">
        <v>9</v>
      </c>
      <c r="I971">
        <v>1</v>
      </c>
      <c r="J971">
        <v>0.64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T971">
        <v>0</v>
      </c>
      <c r="U971">
        <v>0</v>
      </c>
      <c r="V971">
        <v>0</v>
      </c>
      <c r="W971">
        <v>0</v>
      </c>
      <c r="X971">
        <v>0</v>
      </c>
      <c r="Y971">
        <v>0</v>
      </c>
      <c r="Z971">
        <v>0</v>
      </c>
      <c r="AA971">
        <v>0</v>
      </c>
      <c r="AB971">
        <v>1</v>
      </c>
      <c r="AC971">
        <v>1</v>
      </c>
      <c r="AD971">
        <v>0</v>
      </c>
      <c r="AE971">
        <v>0</v>
      </c>
      <c r="AF971">
        <v>0</v>
      </c>
      <c r="AG971">
        <v>1</v>
      </c>
      <c r="AH971" s="86">
        <f>AVERAGEIFS($C$2:C971, $B$2:B971, B971)</f>
        <v>19.918918918918919</v>
      </c>
      <c r="AI971" s="86">
        <f>AVERAGEIFS($I$2:I971, $B$2:B971, B971)</f>
        <v>0.53837837837837843</v>
      </c>
      <c r="AJ971" s="86">
        <f>AVERAGEIFS($J$2:J971, $B$2:B971, B971)</f>
        <v>0.49810810810810813</v>
      </c>
      <c r="AK971" s="86">
        <f>AVERAGEIFS($D$2:D971, $B$2:B971, B971)</f>
        <v>0.56756756756756754</v>
      </c>
    </row>
    <row r="972" spans="1:37" x14ac:dyDescent="0.25">
      <c r="A972" s="85">
        <v>46141</v>
      </c>
      <c r="B972" t="s">
        <v>2</v>
      </c>
      <c r="C972">
        <v>10</v>
      </c>
      <c r="D972">
        <v>0</v>
      </c>
      <c r="E972">
        <v>3</v>
      </c>
      <c r="F972">
        <v>0</v>
      </c>
      <c r="G972">
        <v>14</v>
      </c>
      <c r="H972">
        <v>5</v>
      </c>
      <c r="I972">
        <v>0</v>
      </c>
      <c r="J972">
        <v>0.36</v>
      </c>
      <c r="K972">
        <v>0</v>
      </c>
      <c r="L972">
        <v>0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0</v>
      </c>
      <c r="T972">
        <v>0</v>
      </c>
      <c r="U972">
        <v>0</v>
      </c>
      <c r="V972">
        <v>0</v>
      </c>
      <c r="W972">
        <v>0</v>
      </c>
      <c r="X972">
        <v>0</v>
      </c>
      <c r="Y972">
        <v>0</v>
      </c>
      <c r="Z972">
        <v>0</v>
      </c>
      <c r="AA972">
        <v>0</v>
      </c>
      <c r="AB972">
        <v>0</v>
      </c>
      <c r="AC972">
        <v>0</v>
      </c>
      <c r="AD972">
        <v>0</v>
      </c>
      <c r="AE972">
        <v>0</v>
      </c>
      <c r="AF972">
        <v>0</v>
      </c>
      <c r="AG972">
        <v>0</v>
      </c>
      <c r="AH972" s="86">
        <f>AVERAGEIFS($C$2:C972, $B$2:B972, B972)</f>
        <v>22.274999999999999</v>
      </c>
      <c r="AI972" s="86">
        <f>AVERAGEIFS($I$2:I972, $B$2:B972, B972)</f>
        <v>0.52199999999999991</v>
      </c>
      <c r="AJ972" s="86">
        <f>AVERAGEIFS($J$2:J972, $B$2:B972, B972)</f>
        <v>0.53475000000000006</v>
      </c>
      <c r="AK972" s="86">
        <f>AVERAGEIFS($D$2:D972, $B$2:B972, B972)</f>
        <v>0.5</v>
      </c>
    </row>
    <row r="973" spans="1:37" x14ac:dyDescent="0.25">
      <c r="A973" s="85">
        <v>46141</v>
      </c>
      <c r="B973" t="s">
        <v>54</v>
      </c>
      <c r="C973">
        <v>15</v>
      </c>
      <c r="D973">
        <v>0</v>
      </c>
      <c r="E973">
        <v>3</v>
      </c>
      <c r="F973">
        <v>0</v>
      </c>
      <c r="G973">
        <v>14</v>
      </c>
      <c r="H973">
        <v>5</v>
      </c>
      <c r="I973">
        <v>0</v>
      </c>
      <c r="J973">
        <v>0.36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T973">
        <v>0</v>
      </c>
      <c r="U973">
        <v>0</v>
      </c>
      <c r="V973">
        <v>0</v>
      </c>
      <c r="W973">
        <v>0</v>
      </c>
      <c r="X973">
        <v>0</v>
      </c>
      <c r="Y973">
        <v>0</v>
      </c>
      <c r="Z973">
        <v>0</v>
      </c>
      <c r="AA973">
        <v>0</v>
      </c>
      <c r="AB973">
        <v>0</v>
      </c>
      <c r="AC973">
        <v>0</v>
      </c>
      <c r="AD973">
        <v>0</v>
      </c>
      <c r="AE973">
        <v>0</v>
      </c>
      <c r="AF973">
        <v>0</v>
      </c>
      <c r="AG973">
        <v>0</v>
      </c>
      <c r="AH973" s="86">
        <f>AVERAGEIFS($C$2:C973, $B$2:B973, B973)</f>
        <v>23.842105263157894</v>
      </c>
      <c r="AI973" s="86">
        <f>AVERAGEIFS($I$2:I973, $B$2:B973, B973)</f>
        <v>0.53105263157894744</v>
      </c>
      <c r="AJ973" s="86">
        <f>AVERAGEIFS($J$2:J973, $B$2:B973, B973)</f>
        <v>0.51070175438596488</v>
      </c>
      <c r="AK973" s="86">
        <f>AVERAGEIFS($D$2:D973, $B$2:B973, B973)</f>
        <v>0.54385964912280704</v>
      </c>
    </row>
    <row r="974" spans="1:37" x14ac:dyDescent="0.25">
      <c r="A974" s="85">
        <v>46141</v>
      </c>
      <c r="B974" t="s">
        <v>42</v>
      </c>
      <c r="C974">
        <v>12</v>
      </c>
      <c r="D974">
        <v>0</v>
      </c>
      <c r="E974">
        <v>3</v>
      </c>
      <c r="F974">
        <v>0</v>
      </c>
      <c r="G974">
        <v>14</v>
      </c>
      <c r="H974">
        <v>5</v>
      </c>
      <c r="I974">
        <v>0</v>
      </c>
      <c r="J974">
        <v>0.36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0</v>
      </c>
      <c r="T974">
        <v>0</v>
      </c>
      <c r="U974">
        <v>0</v>
      </c>
      <c r="V974">
        <v>0</v>
      </c>
      <c r="W974">
        <v>0</v>
      </c>
      <c r="X974">
        <v>0</v>
      </c>
      <c r="Y974">
        <v>0</v>
      </c>
      <c r="Z974">
        <v>0</v>
      </c>
      <c r="AA974">
        <v>0</v>
      </c>
      <c r="AB974">
        <v>0</v>
      </c>
      <c r="AC974">
        <v>0</v>
      </c>
      <c r="AD974">
        <v>0</v>
      </c>
      <c r="AE974">
        <v>0</v>
      </c>
      <c r="AF974">
        <v>0</v>
      </c>
      <c r="AG974">
        <v>0</v>
      </c>
      <c r="AH974" s="86">
        <f>AVERAGEIFS($C$2:C974, $B$2:B974, B974)</f>
        <v>18.372093023255815</v>
      </c>
      <c r="AI974" s="86">
        <f>AVERAGEIFS($I$2:I974, $B$2:B974, B974)</f>
        <v>0.44418604651162796</v>
      </c>
      <c r="AJ974" s="86">
        <f>AVERAGEIFS($J$2:J974, $B$2:B974, B974)</f>
        <v>0.44999999999999984</v>
      </c>
      <c r="AK974" s="86">
        <f>AVERAGEIFS($D$2:D974, $B$2:B974, B974)</f>
        <v>0.46511627906976744</v>
      </c>
    </row>
    <row r="975" spans="1:37" x14ac:dyDescent="0.25">
      <c r="A975" s="85">
        <v>46141</v>
      </c>
      <c r="B975" t="s">
        <v>113</v>
      </c>
      <c r="C975">
        <v>15</v>
      </c>
      <c r="D975">
        <v>0</v>
      </c>
      <c r="E975">
        <v>3</v>
      </c>
      <c r="F975">
        <v>0</v>
      </c>
      <c r="G975">
        <v>14</v>
      </c>
      <c r="H975">
        <v>5</v>
      </c>
      <c r="I975">
        <v>0</v>
      </c>
      <c r="J975">
        <v>0.36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T975">
        <v>0</v>
      </c>
      <c r="U975">
        <v>0</v>
      </c>
      <c r="V975">
        <v>0</v>
      </c>
      <c r="W975">
        <v>0</v>
      </c>
      <c r="X975">
        <v>0</v>
      </c>
      <c r="Y975">
        <v>0</v>
      </c>
      <c r="Z975">
        <v>0</v>
      </c>
      <c r="AA975">
        <v>0</v>
      </c>
      <c r="AB975">
        <v>0</v>
      </c>
      <c r="AC975">
        <v>0</v>
      </c>
      <c r="AD975">
        <v>0</v>
      </c>
      <c r="AE975">
        <v>0</v>
      </c>
      <c r="AF975">
        <v>0</v>
      </c>
      <c r="AG975">
        <v>0</v>
      </c>
      <c r="AH975" s="86">
        <f>AVERAGEIFS($C$2:C975, $B$2:B975, B975)</f>
        <v>17.846153846153847</v>
      </c>
      <c r="AI975" s="86">
        <f>AVERAGEIFS($I$2:I975, $B$2:B975, B975)</f>
        <v>0.55128205128205121</v>
      </c>
      <c r="AJ975" s="86">
        <f>AVERAGEIFS($J$2:J975, $B$2:B975, B975)</f>
        <v>0.52487179487179503</v>
      </c>
      <c r="AK975" s="86">
        <f>AVERAGEIFS($D$2:D975, $B$2:B975, B975)</f>
        <v>0.51282051282051277</v>
      </c>
    </row>
    <row r="976" spans="1:37" x14ac:dyDescent="0.25">
      <c r="A976" s="85">
        <v>46141</v>
      </c>
      <c r="B976" t="s">
        <v>107</v>
      </c>
      <c r="C976">
        <v>6</v>
      </c>
      <c r="D976">
        <v>0</v>
      </c>
      <c r="E976">
        <v>3</v>
      </c>
      <c r="F976">
        <v>0</v>
      </c>
      <c r="G976">
        <v>14</v>
      </c>
      <c r="H976">
        <v>5</v>
      </c>
      <c r="I976">
        <v>0</v>
      </c>
      <c r="J976">
        <v>0.36</v>
      </c>
      <c r="K976">
        <v>0</v>
      </c>
      <c r="L976">
        <v>0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T976">
        <v>0</v>
      </c>
      <c r="U976">
        <v>0</v>
      </c>
      <c r="V976">
        <v>0</v>
      </c>
      <c r="W976">
        <v>0</v>
      </c>
      <c r="X976">
        <v>0</v>
      </c>
      <c r="Y976">
        <v>0</v>
      </c>
      <c r="Z976">
        <v>0</v>
      </c>
      <c r="AA976">
        <v>0</v>
      </c>
      <c r="AB976">
        <v>0</v>
      </c>
      <c r="AC976">
        <v>0</v>
      </c>
      <c r="AD976">
        <v>0</v>
      </c>
      <c r="AE976">
        <v>0</v>
      </c>
      <c r="AF976">
        <v>0</v>
      </c>
      <c r="AG976">
        <v>0</v>
      </c>
      <c r="AH976" s="86">
        <f>AVERAGEIFS($C$2:C976, $B$2:B976, B976)</f>
        <v>16.045454545454547</v>
      </c>
      <c r="AI976" s="86">
        <f>AVERAGEIFS($I$2:I976, $B$2:B976, B976)</f>
        <v>0.51022727272727275</v>
      </c>
      <c r="AJ976" s="86">
        <f>AVERAGEIFS($J$2:J976, $B$2:B976, B976)</f>
        <v>0.51545454545454539</v>
      </c>
      <c r="AK976" s="86">
        <f>AVERAGEIFS($D$2:D976, $B$2:B976, B976)</f>
        <v>0.56818181818181823</v>
      </c>
    </row>
    <row r="977" spans="1:37" x14ac:dyDescent="0.25">
      <c r="A977" s="85">
        <v>46141</v>
      </c>
      <c r="B977" t="s">
        <v>71</v>
      </c>
      <c r="C977">
        <v>5</v>
      </c>
      <c r="D977">
        <v>0</v>
      </c>
      <c r="E977">
        <v>3</v>
      </c>
      <c r="F977">
        <v>0</v>
      </c>
      <c r="G977">
        <v>14</v>
      </c>
      <c r="H977">
        <v>5</v>
      </c>
      <c r="I977">
        <v>0</v>
      </c>
      <c r="J977">
        <v>0.36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T977">
        <v>0</v>
      </c>
      <c r="U977">
        <v>0</v>
      </c>
      <c r="V977">
        <v>0</v>
      </c>
      <c r="W977">
        <v>0</v>
      </c>
      <c r="X977">
        <v>0</v>
      </c>
      <c r="Y977">
        <v>0</v>
      </c>
      <c r="Z977">
        <v>0</v>
      </c>
      <c r="AA977">
        <v>0</v>
      </c>
      <c r="AB977">
        <v>0</v>
      </c>
      <c r="AC977">
        <v>0</v>
      </c>
      <c r="AD977">
        <v>0</v>
      </c>
      <c r="AE977">
        <v>0</v>
      </c>
      <c r="AF977">
        <v>0</v>
      </c>
      <c r="AG977">
        <v>0</v>
      </c>
      <c r="AH977" s="86">
        <f>AVERAGEIFS($C$2:C977, $B$2:B977, B977)</f>
        <v>12.275862068965518</v>
      </c>
      <c r="AI977" s="86">
        <f>AVERAGEIFS($I$2:I977, $B$2:B977, B977)</f>
        <v>0.44482758620689655</v>
      </c>
      <c r="AJ977" s="86">
        <f>AVERAGEIFS($J$2:J977, $B$2:B977, B977)</f>
        <v>0.46827586206896543</v>
      </c>
      <c r="AK977" s="86">
        <f>AVERAGEIFS($D$2:D977, $B$2:B977, B977)</f>
        <v>0.48275862068965519</v>
      </c>
    </row>
    <row r="978" spans="1:37" x14ac:dyDescent="0.25">
      <c r="A978" s="85">
        <v>46142</v>
      </c>
      <c r="B978" t="s">
        <v>140</v>
      </c>
      <c r="C978">
        <v>22</v>
      </c>
      <c r="D978">
        <v>1</v>
      </c>
      <c r="E978">
        <v>4</v>
      </c>
      <c r="F978">
        <v>3</v>
      </c>
      <c r="G978">
        <v>15</v>
      </c>
      <c r="H978">
        <v>9</v>
      </c>
      <c r="I978">
        <v>0.75</v>
      </c>
      <c r="J978">
        <v>0.6</v>
      </c>
      <c r="K978">
        <v>0</v>
      </c>
      <c r="L978">
        <v>0</v>
      </c>
      <c r="M978">
        <v>1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0</v>
      </c>
      <c r="U978">
        <v>0</v>
      </c>
      <c r="V978">
        <v>1</v>
      </c>
      <c r="W978">
        <v>0</v>
      </c>
      <c r="X978">
        <v>0</v>
      </c>
      <c r="Y978">
        <v>0</v>
      </c>
      <c r="Z978">
        <v>1</v>
      </c>
      <c r="AA978">
        <v>0</v>
      </c>
      <c r="AB978">
        <v>0</v>
      </c>
      <c r="AC978">
        <v>0</v>
      </c>
      <c r="AD978">
        <v>0</v>
      </c>
      <c r="AE978">
        <v>0</v>
      </c>
      <c r="AF978">
        <v>0</v>
      </c>
      <c r="AG978">
        <v>0</v>
      </c>
      <c r="AH978" s="86">
        <f>AVERAGEIFS($C$2:C978, $B$2:B978, B978)</f>
        <v>13.066666666666666</v>
      </c>
      <c r="AI978" s="86">
        <f>AVERAGEIFS($I$2:I978, $B$2:B978, B978)</f>
        <v>0.51</v>
      </c>
      <c r="AJ978" s="86">
        <f>AVERAGEIFS($J$2:J978, $B$2:B978, B978)</f>
        <v>0.50266666666666671</v>
      </c>
      <c r="AK978" s="86">
        <f>AVERAGEIFS($D$2:D978, $B$2:B978, B978)</f>
        <v>0.53333333333333333</v>
      </c>
    </row>
    <row r="979" spans="1:37" x14ac:dyDescent="0.25">
      <c r="A979" s="85">
        <v>46142</v>
      </c>
      <c r="B979" t="s">
        <v>6</v>
      </c>
      <c r="C979">
        <v>31</v>
      </c>
      <c r="D979">
        <v>1</v>
      </c>
      <c r="E979">
        <v>4</v>
      </c>
      <c r="F979">
        <v>3</v>
      </c>
      <c r="G979">
        <v>15</v>
      </c>
      <c r="H979">
        <v>9</v>
      </c>
      <c r="I979">
        <v>0.75</v>
      </c>
      <c r="J979">
        <v>0.6</v>
      </c>
      <c r="K979">
        <v>0</v>
      </c>
      <c r="L979">
        <v>0</v>
      </c>
      <c r="M979">
        <v>1</v>
      </c>
      <c r="N979">
        <v>0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0</v>
      </c>
      <c r="U979">
        <v>0</v>
      </c>
      <c r="V979">
        <v>1</v>
      </c>
      <c r="W979">
        <v>0</v>
      </c>
      <c r="X979">
        <v>0</v>
      </c>
      <c r="Y979">
        <v>0</v>
      </c>
      <c r="Z979">
        <v>1</v>
      </c>
      <c r="AA979">
        <v>0</v>
      </c>
      <c r="AB979">
        <v>0</v>
      </c>
      <c r="AC979">
        <v>0</v>
      </c>
      <c r="AD979">
        <v>0</v>
      </c>
      <c r="AE979">
        <v>0</v>
      </c>
      <c r="AF979">
        <v>0</v>
      </c>
      <c r="AG979">
        <v>0</v>
      </c>
      <c r="AH979" s="86">
        <f>AVERAGEIFS($C$2:C979, $B$2:B979, B979)</f>
        <v>22.296875</v>
      </c>
      <c r="AI979" s="86">
        <f>AVERAGEIFS($I$2:I979, $B$2:B979, B979)</f>
        <v>0.53796875000000011</v>
      </c>
      <c r="AJ979" s="86">
        <f>AVERAGEIFS($J$2:J979, $B$2:B979, B979)</f>
        <v>0.52249999999999996</v>
      </c>
      <c r="AK979" s="86">
        <f>AVERAGEIFS($D$2:D979, $B$2:B979, B979)</f>
        <v>0.609375</v>
      </c>
    </row>
    <row r="980" spans="1:37" x14ac:dyDescent="0.25">
      <c r="A980" s="85">
        <v>46142</v>
      </c>
      <c r="B980" t="s">
        <v>5</v>
      </c>
      <c r="C980">
        <v>13</v>
      </c>
      <c r="D980">
        <v>1</v>
      </c>
      <c r="E980">
        <v>4</v>
      </c>
      <c r="F980">
        <v>3</v>
      </c>
      <c r="G980">
        <v>15</v>
      </c>
      <c r="H980">
        <v>9</v>
      </c>
      <c r="I980">
        <v>0.75</v>
      </c>
      <c r="J980">
        <v>0.6</v>
      </c>
      <c r="K980">
        <v>0</v>
      </c>
      <c r="L980">
        <v>0</v>
      </c>
      <c r="M980">
        <v>1</v>
      </c>
      <c r="N980">
        <v>0</v>
      </c>
      <c r="O980">
        <v>0</v>
      </c>
      <c r="P980">
        <v>0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1</v>
      </c>
      <c r="W980">
        <v>0</v>
      </c>
      <c r="X980">
        <v>0</v>
      </c>
      <c r="Y980">
        <v>0</v>
      </c>
      <c r="Z980">
        <v>1</v>
      </c>
      <c r="AA980">
        <v>0</v>
      </c>
      <c r="AB980">
        <v>0</v>
      </c>
      <c r="AC980">
        <v>0</v>
      </c>
      <c r="AD980">
        <v>0</v>
      </c>
      <c r="AE980">
        <v>0</v>
      </c>
      <c r="AF980">
        <v>0</v>
      </c>
      <c r="AG980">
        <v>0</v>
      </c>
      <c r="AH980" s="86">
        <f>AVERAGEIFS($C$2:C980, $B$2:B980, B980)</f>
        <v>19.866666666666667</v>
      </c>
      <c r="AI980" s="86">
        <f>AVERAGEIFS($I$2:I980, $B$2:B980, B980)</f>
        <v>0.60733333333333328</v>
      </c>
      <c r="AJ980" s="86">
        <f>AVERAGEIFS($J$2:J980, $B$2:B980, B980)</f>
        <v>0.54933333333333345</v>
      </c>
      <c r="AK980" s="86">
        <f>AVERAGEIFS($D$2:D980, $B$2:B980, B980)</f>
        <v>0.7</v>
      </c>
    </row>
    <row r="981" spans="1:37" x14ac:dyDescent="0.25">
      <c r="A981" s="85">
        <v>46142</v>
      </c>
      <c r="B981" t="s">
        <v>150</v>
      </c>
      <c r="C981">
        <v>30</v>
      </c>
      <c r="D981">
        <v>1</v>
      </c>
      <c r="E981">
        <v>4</v>
      </c>
      <c r="F981">
        <v>3</v>
      </c>
      <c r="G981">
        <v>15</v>
      </c>
      <c r="H981">
        <v>9</v>
      </c>
      <c r="I981">
        <v>0.75</v>
      </c>
      <c r="J981">
        <v>0.6</v>
      </c>
      <c r="K981">
        <v>0</v>
      </c>
      <c r="L981">
        <v>0</v>
      </c>
      <c r="M981">
        <v>1</v>
      </c>
      <c r="N981">
        <v>0</v>
      </c>
      <c r="O981">
        <v>0</v>
      </c>
      <c r="P981">
        <v>0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1</v>
      </c>
      <c r="W981">
        <v>0</v>
      </c>
      <c r="X981">
        <v>0</v>
      </c>
      <c r="Y981">
        <v>0</v>
      </c>
      <c r="Z981">
        <v>1</v>
      </c>
      <c r="AA981">
        <v>0</v>
      </c>
      <c r="AB981">
        <v>0</v>
      </c>
      <c r="AC981">
        <v>0</v>
      </c>
      <c r="AD981">
        <v>0</v>
      </c>
      <c r="AE981">
        <v>0</v>
      </c>
      <c r="AF981">
        <v>0</v>
      </c>
      <c r="AG981">
        <v>0</v>
      </c>
      <c r="AH981" s="86">
        <f>AVERAGEIFS($C$2:C981, $B$2:B981, B981)</f>
        <v>17.444444444444443</v>
      </c>
      <c r="AI981" s="86">
        <f>AVERAGEIFS($I$2:I981, $B$2:B981, B981)</f>
        <v>0.64999999999999991</v>
      </c>
      <c r="AJ981" s="86">
        <f>AVERAGEIFS($J$2:J981, $B$2:B981, B981)</f>
        <v>0.5950000000000002</v>
      </c>
      <c r="AK981" s="86">
        <f>AVERAGEIFS($D$2:D981, $B$2:B981, B981)</f>
        <v>0.66666666666666663</v>
      </c>
    </row>
    <row r="982" spans="1:37" x14ac:dyDescent="0.25">
      <c r="A982" s="85">
        <v>46142</v>
      </c>
      <c r="B982" t="s">
        <v>40</v>
      </c>
      <c r="C982">
        <v>15</v>
      </c>
      <c r="D982">
        <v>1</v>
      </c>
      <c r="E982">
        <v>4</v>
      </c>
      <c r="F982">
        <v>3</v>
      </c>
      <c r="G982">
        <v>15</v>
      </c>
      <c r="H982">
        <v>9</v>
      </c>
      <c r="I982">
        <v>0.75</v>
      </c>
      <c r="J982">
        <v>0.6</v>
      </c>
      <c r="K982">
        <v>0</v>
      </c>
      <c r="L982">
        <v>0</v>
      </c>
      <c r="M982">
        <v>1</v>
      </c>
      <c r="N982">
        <v>0</v>
      </c>
      <c r="O982">
        <v>0</v>
      </c>
      <c r="P982">
        <v>0</v>
      </c>
      <c r="Q982">
        <v>0</v>
      </c>
      <c r="R982">
        <v>0</v>
      </c>
      <c r="S982">
        <v>0</v>
      </c>
      <c r="T982">
        <v>0</v>
      </c>
      <c r="U982">
        <v>0</v>
      </c>
      <c r="V982">
        <v>1</v>
      </c>
      <c r="W982">
        <v>0</v>
      </c>
      <c r="X982">
        <v>0</v>
      </c>
      <c r="Y982">
        <v>0</v>
      </c>
      <c r="Z982">
        <v>1</v>
      </c>
      <c r="AA982">
        <v>0</v>
      </c>
      <c r="AB982">
        <v>0</v>
      </c>
      <c r="AC982">
        <v>0</v>
      </c>
      <c r="AD982">
        <v>0</v>
      </c>
      <c r="AE982">
        <v>0</v>
      </c>
      <c r="AF982">
        <v>0</v>
      </c>
      <c r="AG982">
        <v>0</v>
      </c>
      <c r="AH982" s="86">
        <f>AVERAGEIFS($C$2:C982, $B$2:B982, B982)</f>
        <v>18.655737704918032</v>
      </c>
      <c r="AI982" s="86">
        <f>AVERAGEIFS($I$2:I982, $B$2:B982, B982)</f>
        <v>0.48606557377049164</v>
      </c>
      <c r="AJ982" s="86">
        <f>AVERAGEIFS($J$2:J982, $B$2:B982, B982)</f>
        <v>0.48540983606557386</v>
      </c>
      <c r="AK982" s="86">
        <f>AVERAGEIFS($D$2:D982, $B$2:B982, B982)</f>
        <v>0.42622950819672129</v>
      </c>
    </row>
    <row r="983" spans="1:37" x14ac:dyDescent="0.25">
      <c r="A983" s="85">
        <v>46142</v>
      </c>
      <c r="B983" t="s">
        <v>71</v>
      </c>
      <c r="C983">
        <v>19</v>
      </c>
      <c r="D983">
        <v>1</v>
      </c>
      <c r="E983">
        <v>4</v>
      </c>
      <c r="F983">
        <v>3</v>
      </c>
      <c r="G983">
        <v>15</v>
      </c>
      <c r="H983">
        <v>9</v>
      </c>
      <c r="I983">
        <v>0.75</v>
      </c>
      <c r="J983">
        <v>0.6</v>
      </c>
      <c r="K983">
        <v>0</v>
      </c>
      <c r="L983">
        <v>0</v>
      </c>
      <c r="M983">
        <v>1</v>
      </c>
      <c r="N983">
        <v>0</v>
      </c>
      <c r="O983">
        <v>0</v>
      </c>
      <c r="P983">
        <v>0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1</v>
      </c>
      <c r="W983">
        <v>0</v>
      </c>
      <c r="X983">
        <v>0</v>
      </c>
      <c r="Y983">
        <v>0</v>
      </c>
      <c r="Z983">
        <v>1</v>
      </c>
      <c r="AA983">
        <v>0</v>
      </c>
      <c r="AB983">
        <v>0</v>
      </c>
      <c r="AC983">
        <v>0</v>
      </c>
      <c r="AD983">
        <v>0</v>
      </c>
      <c r="AE983">
        <v>0</v>
      </c>
      <c r="AF983">
        <v>0</v>
      </c>
      <c r="AG983">
        <v>0</v>
      </c>
      <c r="AH983" s="86">
        <f>AVERAGEIFS($C$2:C983, $B$2:B983, B983)</f>
        <v>12.5</v>
      </c>
      <c r="AI983" s="86">
        <f>AVERAGEIFS($I$2:I983, $B$2:B983, B983)</f>
        <v>0.45500000000000002</v>
      </c>
      <c r="AJ983" s="86">
        <f>AVERAGEIFS($J$2:J983, $B$2:B983, B983)</f>
        <v>0.47266666666666662</v>
      </c>
      <c r="AK983" s="86">
        <f>AVERAGEIFS($D$2:D983, $B$2:B983, B983)</f>
        <v>0.5</v>
      </c>
    </row>
    <row r="984" spans="1:37" x14ac:dyDescent="0.25">
      <c r="A984" s="85">
        <v>46142</v>
      </c>
      <c r="B984" t="s">
        <v>147</v>
      </c>
      <c r="C984">
        <v>11</v>
      </c>
      <c r="D984">
        <v>0</v>
      </c>
      <c r="E984">
        <v>4</v>
      </c>
      <c r="F984">
        <v>1</v>
      </c>
      <c r="G984">
        <v>15</v>
      </c>
      <c r="H984">
        <v>6</v>
      </c>
      <c r="I984">
        <v>0.25</v>
      </c>
      <c r="J984">
        <v>0.4</v>
      </c>
      <c r="K984">
        <v>0</v>
      </c>
      <c r="L984">
        <v>0</v>
      </c>
      <c r="M984">
        <v>0</v>
      </c>
      <c r="N984">
        <v>1</v>
      </c>
      <c r="O984">
        <v>0</v>
      </c>
      <c r="P984">
        <v>0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0</v>
      </c>
      <c r="W984">
        <v>0</v>
      </c>
      <c r="X984">
        <v>0</v>
      </c>
      <c r="Y984">
        <v>0</v>
      </c>
      <c r="Z984">
        <v>0</v>
      </c>
      <c r="AA984">
        <v>0</v>
      </c>
      <c r="AB984">
        <v>0</v>
      </c>
      <c r="AC984">
        <v>0</v>
      </c>
      <c r="AD984">
        <v>0</v>
      </c>
      <c r="AE984">
        <v>0</v>
      </c>
      <c r="AF984">
        <v>0</v>
      </c>
      <c r="AG984">
        <v>0</v>
      </c>
      <c r="AH984" s="86">
        <f>AVERAGEIFS($C$2:C984, $B$2:B984, B984)</f>
        <v>12.814814814814815</v>
      </c>
      <c r="AI984" s="86">
        <f>AVERAGEIFS($I$2:I984, $B$2:B984, B984)</f>
        <v>0.53703703703703709</v>
      </c>
      <c r="AJ984" s="86">
        <f>AVERAGEIFS($J$2:J984, $B$2:B984, B984)</f>
        <v>0.52703703703703708</v>
      </c>
      <c r="AK984" s="86">
        <f>AVERAGEIFS($D$2:D984, $B$2:B984, B984)</f>
        <v>0.48148148148148145</v>
      </c>
    </row>
    <row r="985" spans="1:37" x14ac:dyDescent="0.25">
      <c r="A985" s="85">
        <v>46142</v>
      </c>
      <c r="B985" t="s">
        <v>1</v>
      </c>
      <c r="C985">
        <v>34</v>
      </c>
      <c r="D985">
        <v>0</v>
      </c>
      <c r="E985">
        <v>4</v>
      </c>
      <c r="F985">
        <v>1</v>
      </c>
      <c r="G985">
        <v>15</v>
      </c>
      <c r="H985">
        <v>6</v>
      </c>
      <c r="I985">
        <v>0.25</v>
      </c>
      <c r="J985">
        <v>0.4</v>
      </c>
      <c r="K985">
        <v>0</v>
      </c>
      <c r="L985">
        <v>0</v>
      </c>
      <c r="M985">
        <v>0</v>
      </c>
      <c r="N985">
        <v>1</v>
      </c>
      <c r="O985">
        <v>0</v>
      </c>
      <c r="P985">
        <v>0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0</v>
      </c>
      <c r="W985">
        <v>0</v>
      </c>
      <c r="X985">
        <v>0</v>
      </c>
      <c r="Y985">
        <v>0</v>
      </c>
      <c r="Z985">
        <v>0</v>
      </c>
      <c r="AA985">
        <v>0</v>
      </c>
      <c r="AB985">
        <v>0</v>
      </c>
      <c r="AC985">
        <v>0</v>
      </c>
      <c r="AD985">
        <v>0</v>
      </c>
      <c r="AE985">
        <v>0</v>
      </c>
      <c r="AF985">
        <v>0</v>
      </c>
      <c r="AG985">
        <v>0</v>
      </c>
      <c r="AH985" s="86">
        <f>AVERAGEIFS($C$2:C985, $B$2:B985, B985)</f>
        <v>27.081081081081081</v>
      </c>
      <c r="AI985" s="86">
        <f>AVERAGEIFS($I$2:I985, $B$2:B985, B985)</f>
        <v>0.4756756756756757</v>
      </c>
      <c r="AJ985" s="86">
        <f>AVERAGEIFS($J$2:J985, $B$2:B985, B985)</f>
        <v>0.49027027027027037</v>
      </c>
      <c r="AK985" s="86">
        <f>AVERAGEIFS($D$2:D985, $B$2:B985, B985)</f>
        <v>0.48648648648648651</v>
      </c>
    </row>
    <row r="986" spans="1:37" x14ac:dyDescent="0.25">
      <c r="A986" s="85">
        <v>46142</v>
      </c>
      <c r="B986" t="s">
        <v>50</v>
      </c>
      <c r="C986">
        <v>5</v>
      </c>
      <c r="D986">
        <v>0</v>
      </c>
      <c r="E986">
        <v>4</v>
      </c>
      <c r="F986">
        <v>1</v>
      </c>
      <c r="G986">
        <v>15</v>
      </c>
      <c r="H986">
        <v>6</v>
      </c>
      <c r="I986">
        <v>0.25</v>
      </c>
      <c r="J986">
        <v>0.4</v>
      </c>
      <c r="K986">
        <v>0</v>
      </c>
      <c r="L986">
        <v>0</v>
      </c>
      <c r="M986">
        <v>0</v>
      </c>
      <c r="N986">
        <v>1</v>
      </c>
      <c r="O986">
        <v>0</v>
      </c>
      <c r="P986">
        <v>0</v>
      </c>
      <c r="Q986">
        <v>0</v>
      </c>
      <c r="R986">
        <v>0</v>
      </c>
      <c r="S986">
        <v>0</v>
      </c>
      <c r="T986">
        <v>0</v>
      </c>
      <c r="U986">
        <v>0</v>
      </c>
      <c r="V986">
        <v>0</v>
      </c>
      <c r="W986">
        <v>0</v>
      </c>
      <c r="X986">
        <v>0</v>
      </c>
      <c r="Y986">
        <v>0</v>
      </c>
      <c r="Z986">
        <v>0</v>
      </c>
      <c r="AA986">
        <v>0</v>
      </c>
      <c r="AB986">
        <v>0</v>
      </c>
      <c r="AC986">
        <v>0</v>
      </c>
      <c r="AD986">
        <v>0</v>
      </c>
      <c r="AE986">
        <v>0</v>
      </c>
      <c r="AF986">
        <v>0</v>
      </c>
      <c r="AG986">
        <v>0</v>
      </c>
      <c r="AH986" s="86">
        <f>AVERAGEIFS($C$2:C986, $B$2:B986, B986)</f>
        <v>17.975000000000001</v>
      </c>
      <c r="AI986" s="86">
        <f>AVERAGEIFS($I$2:I986, $B$2:B986, B986)</f>
        <v>0.50575000000000014</v>
      </c>
      <c r="AJ986" s="86">
        <f>AVERAGEIFS($J$2:J986, $B$2:B986, B986)</f>
        <v>0.5139999999999999</v>
      </c>
      <c r="AK986" s="86">
        <f>AVERAGEIFS($D$2:D986, $B$2:B986, B986)</f>
        <v>0.5</v>
      </c>
    </row>
    <row r="987" spans="1:37" x14ac:dyDescent="0.25">
      <c r="A987" s="85">
        <v>46142</v>
      </c>
      <c r="B987" t="s">
        <v>42</v>
      </c>
      <c r="C987">
        <v>29</v>
      </c>
      <c r="D987">
        <v>0</v>
      </c>
      <c r="E987">
        <v>4</v>
      </c>
      <c r="F987">
        <v>1</v>
      </c>
      <c r="G987">
        <v>15</v>
      </c>
      <c r="H987">
        <v>6</v>
      </c>
      <c r="I987">
        <v>0.25</v>
      </c>
      <c r="J987">
        <v>0.4</v>
      </c>
      <c r="K987">
        <v>0</v>
      </c>
      <c r="L987">
        <v>0</v>
      </c>
      <c r="M987">
        <v>0</v>
      </c>
      <c r="N987">
        <v>1</v>
      </c>
      <c r="O987">
        <v>0</v>
      </c>
      <c r="P987">
        <v>0</v>
      </c>
      <c r="Q987">
        <v>0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0</v>
      </c>
      <c r="X987">
        <v>0</v>
      </c>
      <c r="Y987">
        <v>0</v>
      </c>
      <c r="Z987">
        <v>0</v>
      </c>
      <c r="AA987">
        <v>0</v>
      </c>
      <c r="AB987">
        <v>0</v>
      </c>
      <c r="AC987">
        <v>0</v>
      </c>
      <c r="AD987">
        <v>0</v>
      </c>
      <c r="AE987">
        <v>0</v>
      </c>
      <c r="AF987">
        <v>0</v>
      </c>
      <c r="AG987">
        <v>0</v>
      </c>
      <c r="AH987" s="86">
        <f>AVERAGEIFS($C$2:C987, $B$2:B987, B987)</f>
        <v>18.613636363636363</v>
      </c>
      <c r="AI987" s="86">
        <f>AVERAGEIFS($I$2:I987, $B$2:B987, B987)</f>
        <v>0.43977272727272732</v>
      </c>
      <c r="AJ987" s="86">
        <f>AVERAGEIFS($J$2:J987, $B$2:B987, B987)</f>
        <v>0.44886363636363619</v>
      </c>
      <c r="AK987" s="86">
        <f>AVERAGEIFS($D$2:D987, $B$2:B987, B987)</f>
        <v>0.45454545454545453</v>
      </c>
    </row>
    <row r="988" spans="1:37" x14ac:dyDescent="0.25">
      <c r="A988" s="85">
        <v>46142</v>
      </c>
      <c r="B988" t="s">
        <v>141</v>
      </c>
      <c r="C988">
        <v>20</v>
      </c>
      <c r="D988">
        <v>0</v>
      </c>
      <c r="E988">
        <v>4</v>
      </c>
      <c r="F988">
        <v>1</v>
      </c>
      <c r="G988">
        <v>15</v>
      </c>
      <c r="H988">
        <v>6</v>
      </c>
      <c r="I988">
        <v>0.25</v>
      </c>
      <c r="J988">
        <v>0.4</v>
      </c>
      <c r="K988">
        <v>0</v>
      </c>
      <c r="L988">
        <v>0</v>
      </c>
      <c r="M988">
        <v>0</v>
      </c>
      <c r="N988">
        <v>1</v>
      </c>
      <c r="O988">
        <v>0</v>
      </c>
      <c r="P988">
        <v>0</v>
      </c>
      <c r="Q988">
        <v>0</v>
      </c>
      <c r="R988">
        <v>0</v>
      </c>
      <c r="S988">
        <v>0</v>
      </c>
      <c r="T988">
        <v>0</v>
      </c>
      <c r="U988">
        <v>0</v>
      </c>
      <c r="V988">
        <v>0</v>
      </c>
      <c r="W988">
        <v>0</v>
      </c>
      <c r="X988">
        <v>0</v>
      </c>
      <c r="Y988">
        <v>0</v>
      </c>
      <c r="Z988">
        <v>0</v>
      </c>
      <c r="AA988">
        <v>0</v>
      </c>
      <c r="AB988">
        <v>0</v>
      </c>
      <c r="AC988">
        <v>0</v>
      </c>
      <c r="AD988">
        <v>0</v>
      </c>
      <c r="AE988">
        <v>0</v>
      </c>
      <c r="AF988">
        <v>0</v>
      </c>
      <c r="AG988">
        <v>0</v>
      </c>
      <c r="AH988" s="86">
        <f>AVERAGEIFS($C$2:C988, $B$2:B988, B988)</f>
        <v>13.916666666666666</v>
      </c>
      <c r="AI988" s="86">
        <f>AVERAGEIFS($I$2:I988, $B$2:B988, B988)</f>
        <v>0.46249999999999997</v>
      </c>
      <c r="AJ988" s="86">
        <f>AVERAGEIFS($J$2:J988, $B$2:B988, B988)</f>
        <v>0.50000000000000011</v>
      </c>
      <c r="AK988" s="86">
        <f>AVERAGEIFS($D$2:D988, $B$2:B988, B988)</f>
        <v>0.58333333333333337</v>
      </c>
    </row>
    <row r="989" spans="1:37" x14ac:dyDescent="0.25">
      <c r="A989" s="85">
        <v>46142</v>
      </c>
      <c r="B989" t="s">
        <v>70</v>
      </c>
      <c r="C989">
        <v>9</v>
      </c>
      <c r="D989">
        <v>0</v>
      </c>
      <c r="E989">
        <v>4</v>
      </c>
      <c r="F989">
        <v>1</v>
      </c>
      <c r="G989">
        <v>15</v>
      </c>
      <c r="H989">
        <v>6</v>
      </c>
      <c r="I989">
        <v>0.25</v>
      </c>
      <c r="J989">
        <v>0.4</v>
      </c>
      <c r="K989">
        <v>0</v>
      </c>
      <c r="L989">
        <v>0</v>
      </c>
      <c r="M989">
        <v>0</v>
      </c>
      <c r="N989">
        <v>1</v>
      </c>
      <c r="O989">
        <v>0</v>
      </c>
      <c r="P989">
        <v>0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0</v>
      </c>
      <c r="X989">
        <v>0</v>
      </c>
      <c r="Y989">
        <v>0</v>
      </c>
      <c r="Z989">
        <v>0</v>
      </c>
      <c r="AA989">
        <v>0</v>
      </c>
      <c r="AB989">
        <v>0</v>
      </c>
      <c r="AC989">
        <v>0</v>
      </c>
      <c r="AD989">
        <v>0</v>
      </c>
      <c r="AE989">
        <v>0</v>
      </c>
      <c r="AF989">
        <v>0</v>
      </c>
      <c r="AG989">
        <v>0</v>
      </c>
      <c r="AH989" s="86">
        <f>AVERAGEIFS($C$2:C989, $B$2:B989, B989)</f>
        <v>11.125</v>
      </c>
      <c r="AI989" s="86">
        <f>AVERAGEIFS($I$2:I989, $B$2:B989, B989)</f>
        <v>0.50625000000000009</v>
      </c>
      <c r="AJ989" s="86">
        <f>AVERAGEIFS($J$2:J989, $B$2:B989, B989)</f>
        <v>0.50624999999999998</v>
      </c>
      <c r="AK989" s="86">
        <f>AVERAGEIFS($D$2:D989, $B$2:B989, B989)</f>
        <v>0.625</v>
      </c>
    </row>
    <row r="990" spans="1:37" x14ac:dyDescent="0.25">
      <c r="A990" s="85">
        <v>46142</v>
      </c>
      <c r="B990" t="s">
        <v>1</v>
      </c>
      <c r="C990">
        <v>34</v>
      </c>
      <c r="D990">
        <v>1</v>
      </c>
      <c r="E990">
        <v>4</v>
      </c>
      <c r="F990">
        <v>3</v>
      </c>
      <c r="G990">
        <v>17</v>
      </c>
      <c r="H990">
        <v>11</v>
      </c>
      <c r="I990">
        <v>0.75</v>
      </c>
      <c r="J990">
        <v>0.65</v>
      </c>
      <c r="K990">
        <v>0</v>
      </c>
      <c r="L990">
        <v>0</v>
      </c>
      <c r="M990">
        <v>0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1</v>
      </c>
      <c r="T990">
        <v>0</v>
      </c>
      <c r="U990">
        <v>0</v>
      </c>
      <c r="V990">
        <v>0</v>
      </c>
      <c r="W990">
        <v>0</v>
      </c>
      <c r="X990">
        <v>0</v>
      </c>
      <c r="Y990">
        <v>0</v>
      </c>
      <c r="Z990">
        <v>0</v>
      </c>
      <c r="AA990">
        <v>0</v>
      </c>
      <c r="AB990">
        <v>0</v>
      </c>
      <c r="AC990">
        <v>1</v>
      </c>
      <c r="AD990">
        <v>0</v>
      </c>
      <c r="AE990">
        <v>1</v>
      </c>
      <c r="AF990">
        <v>0</v>
      </c>
      <c r="AG990">
        <v>0</v>
      </c>
      <c r="AH990" s="86">
        <f>AVERAGEIFS($C$2:C990, $B$2:B990, B990)</f>
        <v>27.263157894736842</v>
      </c>
      <c r="AI990" s="86">
        <f>AVERAGEIFS($I$2:I990, $B$2:B990, B990)</f>
        <v>0.48289473684210532</v>
      </c>
      <c r="AJ990" s="86">
        <f>AVERAGEIFS($J$2:J990, $B$2:B990, B990)</f>
        <v>0.4944736842105264</v>
      </c>
      <c r="AK990" s="86">
        <f>AVERAGEIFS($D$2:D990, $B$2:B990, B990)</f>
        <v>0.5</v>
      </c>
    </row>
    <row r="991" spans="1:37" x14ac:dyDescent="0.25">
      <c r="A991" s="85">
        <v>46142</v>
      </c>
      <c r="B991" t="s">
        <v>2</v>
      </c>
      <c r="C991">
        <v>27</v>
      </c>
      <c r="D991">
        <v>1</v>
      </c>
      <c r="E991">
        <v>4</v>
      </c>
      <c r="F991">
        <v>3</v>
      </c>
      <c r="G991">
        <v>17</v>
      </c>
      <c r="H991">
        <v>11</v>
      </c>
      <c r="I991">
        <v>0.75</v>
      </c>
      <c r="J991">
        <v>0.65</v>
      </c>
      <c r="K991">
        <v>0</v>
      </c>
      <c r="L991">
        <v>0</v>
      </c>
      <c r="M991">
        <v>0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1</v>
      </c>
      <c r="T991">
        <v>0</v>
      </c>
      <c r="U991">
        <v>0</v>
      </c>
      <c r="V991">
        <v>0</v>
      </c>
      <c r="W991">
        <v>0</v>
      </c>
      <c r="X991">
        <v>0</v>
      </c>
      <c r="Y991">
        <v>0</v>
      </c>
      <c r="Z991">
        <v>0</v>
      </c>
      <c r="AA991">
        <v>0</v>
      </c>
      <c r="AB991">
        <v>0</v>
      </c>
      <c r="AC991">
        <v>1</v>
      </c>
      <c r="AD991">
        <v>0</v>
      </c>
      <c r="AE991">
        <v>1</v>
      </c>
      <c r="AF991">
        <v>0</v>
      </c>
      <c r="AG991">
        <v>0</v>
      </c>
      <c r="AH991" s="86">
        <f>AVERAGEIFS($C$2:C991, $B$2:B991, B991)</f>
        <v>22.390243902439025</v>
      </c>
      <c r="AI991" s="86">
        <f>AVERAGEIFS($I$2:I991, $B$2:B991, B991)</f>
        <v>0.52756097560975601</v>
      </c>
      <c r="AJ991" s="86">
        <f>AVERAGEIFS($J$2:J991, $B$2:B991, B991)</f>
        <v>0.53756097560975613</v>
      </c>
      <c r="AK991" s="86">
        <f>AVERAGEIFS($D$2:D991, $B$2:B991, B991)</f>
        <v>0.51219512195121952</v>
      </c>
    </row>
    <row r="992" spans="1:37" x14ac:dyDescent="0.25">
      <c r="A992" s="85">
        <v>46142</v>
      </c>
      <c r="B992" t="s">
        <v>40</v>
      </c>
      <c r="C992">
        <v>27</v>
      </c>
      <c r="D992">
        <v>1</v>
      </c>
      <c r="E992">
        <v>4</v>
      </c>
      <c r="F992">
        <v>3</v>
      </c>
      <c r="G992">
        <v>17</v>
      </c>
      <c r="H992">
        <v>11</v>
      </c>
      <c r="I992">
        <v>0.75</v>
      </c>
      <c r="J992">
        <v>0.65</v>
      </c>
      <c r="K992">
        <v>0</v>
      </c>
      <c r="L992">
        <v>0</v>
      </c>
      <c r="M992">
        <v>0</v>
      </c>
      <c r="N992">
        <v>0</v>
      </c>
      <c r="O992">
        <v>0</v>
      </c>
      <c r="P992">
        <v>0</v>
      </c>
      <c r="Q992">
        <v>0</v>
      </c>
      <c r="R992">
        <v>0</v>
      </c>
      <c r="S992">
        <v>1</v>
      </c>
      <c r="T992">
        <v>0</v>
      </c>
      <c r="U992">
        <v>0</v>
      </c>
      <c r="V992">
        <v>0</v>
      </c>
      <c r="W992">
        <v>0</v>
      </c>
      <c r="X992">
        <v>0</v>
      </c>
      <c r="Y992">
        <v>0</v>
      </c>
      <c r="Z992">
        <v>0</v>
      </c>
      <c r="AA992">
        <v>0</v>
      </c>
      <c r="AB992">
        <v>0</v>
      </c>
      <c r="AC992">
        <v>1</v>
      </c>
      <c r="AD992">
        <v>0</v>
      </c>
      <c r="AE992">
        <v>1</v>
      </c>
      <c r="AF992">
        <v>0</v>
      </c>
      <c r="AG992">
        <v>0</v>
      </c>
      <c r="AH992" s="86">
        <f>AVERAGEIFS($C$2:C992, $B$2:B992, B992)</f>
        <v>18.79032258064516</v>
      </c>
      <c r="AI992" s="86">
        <f>AVERAGEIFS($I$2:I992, $B$2:B992, B992)</f>
        <v>0.49032258064516115</v>
      </c>
      <c r="AJ992" s="86">
        <f>AVERAGEIFS($J$2:J992, $B$2:B992, B992)</f>
        <v>0.48806451612903234</v>
      </c>
      <c r="AK992" s="86">
        <f>AVERAGEIFS($D$2:D992, $B$2:B992, B992)</f>
        <v>0.43548387096774194</v>
      </c>
    </row>
    <row r="993" spans="1:37" x14ac:dyDescent="0.25">
      <c r="A993" s="85">
        <v>46142</v>
      </c>
      <c r="B993" t="s">
        <v>42</v>
      </c>
      <c r="C993">
        <v>15</v>
      </c>
      <c r="D993">
        <v>1</v>
      </c>
      <c r="E993">
        <v>4</v>
      </c>
      <c r="F993">
        <v>3</v>
      </c>
      <c r="G993">
        <v>17</v>
      </c>
      <c r="H993">
        <v>11</v>
      </c>
      <c r="I993">
        <v>0.75</v>
      </c>
      <c r="J993">
        <v>0.65</v>
      </c>
      <c r="K993">
        <v>0</v>
      </c>
      <c r="L993">
        <v>0</v>
      </c>
      <c r="M993">
        <v>0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1</v>
      </c>
      <c r="T993">
        <v>0</v>
      </c>
      <c r="U993">
        <v>0</v>
      </c>
      <c r="V993">
        <v>0</v>
      </c>
      <c r="W993">
        <v>0</v>
      </c>
      <c r="X993">
        <v>0</v>
      </c>
      <c r="Y993">
        <v>0</v>
      </c>
      <c r="Z993">
        <v>0</v>
      </c>
      <c r="AA993">
        <v>0</v>
      </c>
      <c r="AB993">
        <v>0</v>
      </c>
      <c r="AC993">
        <v>1</v>
      </c>
      <c r="AD993">
        <v>0</v>
      </c>
      <c r="AE993">
        <v>1</v>
      </c>
      <c r="AF993">
        <v>0</v>
      </c>
      <c r="AG993">
        <v>0</v>
      </c>
      <c r="AH993" s="86">
        <f>AVERAGEIFS($C$2:C993, $B$2:B993, B993)</f>
        <v>18.533333333333335</v>
      </c>
      <c r="AI993" s="86">
        <f>AVERAGEIFS($I$2:I993, $B$2:B993, B993)</f>
        <v>0.44666666666666671</v>
      </c>
      <c r="AJ993" s="86">
        <f>AVERAGEIFS($J$2:J993, $B$2:B993, B993)</f>
        <v>0.45333333333333314</v>
      </c>
      <c r="AK993" s="86">
        <f>AVERAGEIFS($D$2:D993, $B$2:B993, B993)</f>
        <v>0.46666666666666667</v>
      </c>
    </row>
    <row r="994" spans="1:37" x14ac:dyDescent="0.25">
      <c r="A994" s="85">
        <v>46142</v>
      </c>
      <c r="B994" t="s">
        <v>147</v>
      </c>
      <c r="C994">
        <v>9</v>
      </c>
      <c r="D994">
        <v>1</v>
      </c>
      <c r="E994">
        <v>4</v>
      </c>
      <c r="F994">
        <v>3</v>
      </c>
      <c r="G994">
        <v>17</v>
      </c>
      <c r="H994">
        <v>11</v>
      </c>
      <c r="I994">
        <v>0.75</v>
      </c>
      <c r="J994">
        <v>0.65</v>
      </c>
      <c r="K994">
        <v>0</v>
      </c>
      <c r="L994">
        <v>0</v>
      </c>
      <c r="M994">
        <v>0</v>
      </c>
      <c r="N994">
        <v>0</v>
      </c>
      <c r="O994">
        <v>0</v>
      </c>
      <c r="P994">
        <v>0</v>
      </c>
      <c r="Q994">
        <v>0</v>
      </c>
      <c r="R994">
        <v>0</v>
      </c>
      <c r="S994">
        <v>1</v>
      </c>
      <c r="T994">
        <v>0</v>
      </c>
      <c r="U994">
        <v>0</v>
      </c>
      <c r="V994">
        <v>0</v>
      </c>
      <c r="W994">
        <v>0</v>
      </c>
      <c r="X994">
        <v>0</v>
      </c>
      <c r="Y994">
        <v>0</v>
      </c>
      <c r="Z994">
        <v>0</v>
      </c>
      <c r="AA994">
        <v>0</v>
      </c>
      <c r="AB994">
        <v>0</v>
      </c>
      <c r="AC994">
        <v>1</v>
      </c>
      <c r="AD994">
        <v>0</v>
      </c>
      <c r="AE994">
        <v>1</v>
      </c>
      <c r="AF994">
        <v>0</v>
      </c>
      <c r="AG994">
        <v>0</v>
      </c>
      <c r="AH994" s="86">
        <f>AVERAGEIFS($C$2:C994, $B$2:B994, B994)</f>
        <v>12.678571428571429</v>
      </c>
      <c r="AI994" s="86">
        <f>AVERAGEIFS($I$2:I994, $B$2:B994, B994)</f>
        <v>0.5446428571428571</v>
      </c>
      <c r="AJ994" s="86">
        <f>AVERAGEIFS($J$2:J994, $B$2:B994, B994)</f>
        <v>0.53142857142857147</v>
      </c>
      <c r="AK994" s="86">
        <f>AVERAGEIFS($D$2:D994, $B$2:B994, B994)</f>
        <v>0.5</v>
      </c>
    </row>
    <row r="995" spans="1:37" x14ac:dyDescent="0.25">
      <c r="A995" s="85">
        <v>46142</v>
      </c>
      <c r="B995" t="s">
        <v>28</v>
      </c>
      <c r="C995">
        <v>17</v>
      </c>
      <c r="D995">
        <v>1</v>
      </c>
      <c r="E995">
        <v>4</v>
      </c>
      <c r="F995">
        <v>3</v>
      </c>
      <c r="G995">
        <v>17</v>
      </c>
      <c r="H995">
        <v>11</v>
      </c>
      <c r="I995">
        <v>0.75</v>
      </c>
      <c r="J995">
        <v>0.65</v>
      </c>
      <c r="K995">
        <v>0</v>
      </c>
      <c r="L995">
        <v>0</v>
      </c>
      <c r="M995">
        <v>0</v>
      </c>
      <c r="N995">
        <v>0</v>
      </c>
      <c r="O995">
        <v>0</v>
      </c>
      <c r="P995">
        <v>0</v>
      </c>
      <c r="Q995">
        <v>0</v>
      </c>
      <c r="R995">
        <v>0</v>
      </c>
      <c r="S995">
        <v>1</v>
      </c>
      <c r="T995">
        <v>0</v>
      </c>
      <c r="U995">
        <v>0</v>
      </c>
      <c r="V995">
        <v>0</v>
      </c>
      <c r="W995">
        <v>0</v>
      </c>
      <c r="X995">
        <v>0</v>
      </c>
      <c r="Y995">
        <v>0</v>
      </c>
      <c r="Z995">
        <v>0</v>
      </c>
      <c r="AA995">
        <v>0</v>
      </c>
      <c r="AB995">
        <v>0</v>
      </c>
      <c r="AC995">
        <v>1</v>
      </c>
      <c r="AD995">
        <v>0</v>
      </c>
      <c r="AE995">
        <v>1</v>
      </c>
      <c r="AF995">
        <v>0</v>
      </c>
      <c r="AG995">
        <v>0</v>
      </c>
      <c r="AH995" s="86">
        <f>AVERAGEIFS($C$2:C995, $B$2:B995, B995)</f>
        <v>13.724137931034482</v>
      </c>
      <c r="AI995" s="86">
        <f>AVERAGEIFS($I$2:I995, $B$2:B995, B995)</f>
        <v>0.44413793103448274</v>
      </c>
      <c r="AJ995" s="86">
        <f>AVERAGEIFS($J$2:J995, $B$2:B995, B995)</f>
        <v>0.46379310344827579</v>
      </c>
      <c r="AK995" s="86">
        <f>AVERAGEIFS($D$2:D995, $B$2:B995, B995)</f>
        <v>0.41379310344827586</v>
      </c>
    </row>
    <row r="996" spans="1:37" x14ac:dyDescent="0.25">
      <c r="A996" s="85">
        <v>46142</v>
      </c>
      <c r="B996" t="s">
        <v>141</v>
      </c>
      <c r="C996">
        <v>15</v>
      </c>
      <c r="D996">
        <v>1</v>
      </c>
      <c r="E996">
        <v>4</v>
      </c>
      <c r="F996">
        <v>3</v>
      </c>
      <c r="G996">
        <v>17</v>
      </c>
      <c r="H996">
        <v>11</v>
      </c>
      <c r="I996">
        <v>0.75</v>
      </c>
      <c r="J996">
        <v>0.65</v>
      </c>
      <c r="K996">
        <v>0</v>
      </c>
      <c r="L996">
        <v>0</v>
      </c>
      <c r="M996">
        <v>0</v>
      </c>
      <c r="N996">
        <v>0</v>
      </c>
      <c r="O996">
        <v>0</v>
      </c>
      <c r="P996">
        <v>0</v>
      </c>
      <c r="Q996">
        <v>0</v>
      </c>
      <c r="R996">
        <v>0</v>
      </c>
      <c r="S996">
        <v>1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0</v>
      </c>
      <c r="AA996">
        <v>0</v>
      </c>
      <c r="AB996">
        <v>0</v>
      </c>
      <c r="AC996">
        <v>1</v>
      </c>
      <c r="AD996">
        <v>0</v>
      </c>
      <c r="AE996">
        <v>1</v>
      </c>
      <c r="AF996">
        <v>0</v>
      </c>
      <c r="AG996">
        <v>0</v>
      </c>
      <c r="AH996" s="86">
        <f>AVERAGEIFS($C$2:C996, $B$2:B996, B996)</f>
        <v>14</v>
      </c>
      <c r="AI996" s="86">
        <f>AVERAGEIFS($I$2:I996, $B$2:B996, B996)</f>
        <v>0.48461538461538461</v>
      </c>
      <c r="AJ996" s="86">
        <f>AVERAGEIFS($J$2:J996, $B$2:B996, B996)</f>
        <v>0.51153846153846161</v>
      </c>
      <c r="AK996" s="86">
        <f>AVERAGEIFS($D$2:D996, $B$2:B996, B996)</f>
        <v>0.61538461538461542</v>
      </c>
    </row>
    <row r="997" spans="1:37" x14ac:dyDescent="0.25">
      <c r="A997" s="85">
        <v>46142</v>
      </c>
      <c r="B997" t="s">
        <v>4</v>
      </c>
      <c r="C997">
        <v>25</v>
      </c>
      <c r="D997">
        <v>0</v>
      </c>
      <c r="E997">
        <v>4</v>
      </c>
      <c r="F997">
        <v>1</v>
      </c>
      <c r="G997">
        <v>17</v>
      </c>
      <c r="H997">
        <v>6</v>
      </c>
      <c r="I997">
        <v>0.25</v>
      </c>
      <c r="J997">
        <v>0.35</v>
      </c>
      <c r="K997">
        <v>0</v>
      </c>
      <c r="L997">
        <v>0</v>
      </c>
      <c r="M997">
        <v>0</v>
      </c>
      <c r="N997">
        <v>0</v>
      </c>
      <c r="O997">
        <v>0</v>
      </c>
      <c r="P997">
        <v>0</v>
      </c>
      <c r="Q997">
        <v>0</v>
      </c>
      <c r="R997">
        <v>0</v>
      </c>
      <c r="S997">
        <v>0</v>
      </c>
      <c r="T997">
        <v>0</v>
      </c>
      <c r="U997">
        <v>0</v>
      </c>
      <c r="V997">
        <v>0</v>
      </c>
      <c r="W997">
        <v>0</v>
      </c>
      <c r="X997">
        <v>0</v>
      </c>
      <c r="Y997">
        <v>0</v>
      </c>
      <c r="Z997">
        <v>0</v>
      </c>
      <c r="AA997">
        <v>0</v>
      </c>
      <c r="AB997">
        <v>0</v>
      </c>
      <c r="AC997">
        <v>0</v>
      </c>
      <c r="AD997">
        <v>0</v>
      </c>
      <c r="AE997">
        <v>0</v>
      </c>
      <c r="AF997">
        <v>1</v>
      </c>
      <c r="AG997">
        <v>0</v>
      </c>
      <c r="AH997" s="86">
        <f>AVERAGEIFS($C$2:C997, $B$2:B997, B997)</f>
        <v>24.941176470588236</v>
      </c>
      <c r="AI997" s="86">
        <f>AVERAGEIFS($I$2:I997, $B$2:B997, B997)</f>
        <v>0.43970588235294117</v>
      </c>
      <c r="AJ997" s="86">
        <f>AVERAGEIFS($J$2:J997, $B$2:B997, B997)</f>
        <v>0.46264705882352936</v>
      </c>
      <c r="AK997" s="86">
        <f>AVERAGEIFS($D$2:D997, $B$2:B997, B997)</f>
        <v>0.35294117647058826</v>
      </c>
    </row>
    <row r="998" spans="1:37" x14ac:dyDescent="0.25">
      <c r="A998" s="85">
        <v>46142</v>
      </c>
      <c r="B998" t="s">
        <v>6</v>
      </c>
      <c r="C998">
        <v>24</v>
      </c>
      <c r="D998">
        <v>0</v>
      </c>
      <c r="E998">
        <v>4</v>
      </c>
      <c r="F998">
        <v>1</v>
      </c>
      <c r="G998">
        <v>17</v>
      </c>
      <c r="H998">
        <v>6</v>
      </c>
      <c r="I998">
        <v>0.25</v>
      </c>
      <c r="J998">
        <v>0.35</v>
      </c>
      <c r="K998">
        <v>0</v>
      </c>
      <c r="L998">
        <v>0</v>
      </c>
      <c r="M998">
        <v>0</v>
      </c>
      <c r="N998">
        <v>0</v>
      </c>
      <c r="O998">
        <v>0</v>
      </c>
      <c r="P998">
        <v>0</v>
      </c>
      <c r="Q998">
        <v>0</v>
      </c>
      <c r="R998">
        <v>0</v>
      </c>
      <c r="S998">
        <v>0</v>
      </c>
      <c r="T998">
        <v>0</v>
      </c>
      <c r="U998">
        <v>0</v>
      </c>
      <c r="V998">
        <v>0</v>
      </c>
      <c r="W998">
        <v>0</v>
      </c>
      <c r="X998">
        <v>0</v>
      </c>
      <c r="Y998">
        <v>0</v>
      </c>
      <c r="Z998">
        <v>0</v>
      </c>
      <c r="AA998">
        <v>0</v>
      </c>
      <c r="AB998">
        <v>0</v>
      </c>
      <c r="AC998">
        <v>0</v>
      </c>
      <c r="AD998">
        <v>0</v>
      </c>
      <c r="AE998">
        <v>0</v>
      </c>
      <c r="AF998">
        <v>1</v>
      </c>
      <c r="AG998">
        <v>0</v>
      </c>
      <c r="AH998" s="86">
        <f>AVERAGEIFS($C$2:C998, $B$2:B998, B998)</f>
        <v>22.323076923076922</v>
      </c>
      <c r="AI998" s="86">
        <f>AVERAGEIFS($I$2:I998, $B$2:B998, B998)</f>
        <v>0.53353846153846163</v>
      </c>
      <c r="AJ998" s="86">
        <f>AVERAGEIFS($J$2:J998, $B$2:B998, B998)</f>
        <v>0.51984615384615385</v>
      </c>
      <c r="AK998" s="86">
        <f>AVERAGEIFS($D$2:D998, $B$2:B998, B998)</f>
        <v>0.6</v>
      </c>
    </row>
    <row r="999" spans="1:37" x14ac:dyDescent="0.25">
      <c r="A999" s="85">
        <v>46142</v>
      </c>
      <c r="B999" t="s">
        <v>53</v>
      </c>
      <c r="C999">
        <v>20</v>
      </c>
      <c r="D999">
        <v>0</v>
      </c>
      <c r="E999">
        <v>4</v>
      </c>
      <c r="F999">
        <v>1</v>
      </c>
      <c r="G999">
        <v>17</v>
      </c>
      <c r="H999">
        <v>6</v>
      </c>
      <c r="I999">
        <v>0.25</v>
      </c>
      <c r="J999">
        <v>0.35</v>
      </c>
      <c r="K999">
        <v>0</v>
      </c>
      <c r="L999">
        <v>0</v>
      </c>
      <c r="M999">
        <v>0</v>
      </c>
      <c r="N999">
        <v>0</v>
      </c>
      <c r="O999">
        <v>0</v>
      </c>
      <c r="P999">
        <v>0</v>
      </c>
      <c r="Q999">
        <v>0</v>
      </c>
      <c r="R999">
        <v>0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0</v>
      </c>
      <c r="Y999">
        <v>0</v>
      </c>
      <c r="Z999">
        <v>0</v>
      </c>
      <c r="AA999">
        <v>0</v>
      </c>
      <c r="AB999">
        <v>0</v>
      </c>
      <c r="AC999">
        <v>0</v>
      </c>
      <c r="AD999">
        <v>0</v>
      </c>
      <c r="AE999">
        <v>0</v>
      </c>
      <c r="AF999">
        <v>1</v>
      </c>
      <c r="AG999">
        <v>0</v>
      </c>
      <c r="AH999" s="86">
        <f>AVERAGEIFS($C$2:C999, $B$2:B999, B999)</f>
        <v>14.75</v>
      </c>
      <c r="AI999" s="86">
        <f>AVERAGEIFS($I$2:I999, $B$2:B999, B999)</f>
        <v>0.49464285714285722</v>
      </c>
      <c r="AJ999" s="86">
        <f>AVERAGEIFS($J$2:J999, $B$2:B999, B999)</f>
        <v>0.49392857142857149</v>
      </c>
      <c r="AK999" s="86">
        <f>AVERAGEIFS($D$2:D999, $B$2:B999, B999)</f>
        <v>0.39285714285714285</v>
      </c>
    </row>
    <row r="1000" spans="1:37" x14ac:dyDescent="0.25">
      <c r="A1000" s="85">
        <v>46142</v>
      </c>
      <c r="B1000" t="s">
        <v>161</v>
      </c>
      <c r="C1000">
        <v>17</v>
      </c>
      <c r="D1000">
        <v>0</v>
      </c>
      <c r="E1000">
        <v>4</v>
      </c>
      <c r="F1000">
        <v>1</v>
      </c>
      <c r="G1000">
        <v>17</v>
      </c>
      <c r="H1000">
        <v>6</v>
      </c>
      <c r="I1000">
        <v>0.25</v>
      </c>
      <c r="J1000">
        <v>0.35</v>
      </c>
      <c r="K1000">
        <v>0</v>
      </c>
      <c r="L1000">
        <v>0</v>
      </c>
      <c r="M1000">
        <v>0</v>
      </c>
      <c r="N1000">
        <v>0</v>
      </c>
      <c r="O1000">
        <v>0</v>
      </c>
      <c r="P1000">
        <v>0</v>
      </c>
      <c r="Q1000">
        <v>0</v>
      </c>
      <c r="R1000">
        <v>0</v>
      </c>
      <c r="S1000">
        <v>0</v>
      </c>
      <c r="T1000">
        <v>0</v>
      </c>
      <c r="U1000">
        <v>0</v>
      </c>
      <c r="V1000">
        <v>0</v>
      </c>
      <c r="W1000">
        <v>0</v>
      </c>
      <c r="X1000">
        <v>0</v>
      </c>
      <c r="Y1000">
        <v>0</v>
      </c>
      <c r="Z1000">
        <v>0</v>
      </c>
      <c r="AA1000">
        <v>0</v>
      </c>
      <c r="AB1000">
        <v>0</v>
      </c>
      <c r="AC1000">
        <v>0</v>
      </c>
      <c r="AD1000">
        <v>0</v>
      </c>
      <c r="AE1000">
        <v>0</v>
      </c>
      <c r="AF1000">
        <v>1</v>
      </c>
      <c r="AG1000">
        <v>0</v>
      </c>
      <c r="AH1000" s="86">
        <f>AVERAGEIFS($C$2:C1000, $B$2:B1000, B1000)</f>
        <v>9</v>
      </c>
      <c r="AI1000" s="86">
        <f>AVERAGEIFS($I$2:I1000, $B$2:B1000, B1000)</f>
        <v>0.56874999999999998</v>
      </c>
      <c r="AJ1000" s="86">
        <f>AVERAGEIFS($J$2:J1000, $B$2:B1000, B1000)</f>
        <v>0.51374999999999993</v>
      </c>
      <c r="AK1000" s="86">
        <f>AVERAGEIFS($D$2:D1000, $B$2:B1000, B1000)</f>
        <v>0.5</v>
      </c>
    </row>
    <row r="1001" spans="1:37" x14ac:dyDescent="0.25">
      <c r="A1001" s="85">
        <v>46142</v>
      </c>
      <c r="B1001" t="s">
        <v>13</v>
      </c>
      <c r="C1001">
        <v>15</v>
      </c>
      <c r="D1001">
        <v>0</v>
      </c>
      <c r="E1001">
        <v>4</v>
      </c>
      <c r="F1001">
        <v>1</v>
      </c>
      <c r="G1001">
        <v>17</v>
      </c>
      <c r="H1001">
        <v>6</v>
      </c>
      <c r="I1001">
        <v>0.25</v>
      </c>
      <c r="J1001">
        <v>0.35</v>
      </c>
      <c r="K1001">
        <v>0</v>
      </c>
      <c r="L1001">
        <v>0</v>
      </c>
      <c r="M1001">
        <v>0</v>
      </c>
      <c r="N1001">
        <v>0</v>
      </c>
      <c r="O1001">
        <v>0</v>
      </c>
      <c r="P1001">
        <v>0</v>
      </c>
      <c r="Q1001">
        <v>0</v>
      </c>
      <c r="R1001">
        <v>0</v>
      </c>
      <c r="S1001">
        <v>0</v>
      </c>
      <c r="T1001">
        <v>0</v>
      </c>
      <c r="U1001">
        <v>0</v>
      </c>
      <c r="V1001">
        <v>0</v>
      </c>
      <c r="W1001">
        <v>0</v>
      </c>
      <c r="X1001">
        <v>0</v>
      </c>
      <c r="Y1001">
        <v>0</v>
      </c>
      <c r="Z1001">
        <v>0</v>
      </c>
      <c r="AA1001">
        <v>0</v>
      </c>
      <c r="AB1001">
        <v>0</v>
      </c>
      <c r="AC1001">
        <v>0</v>
      </c>
      <c r="AD1001">
        <v>0</v>
      </c>
      <c r="AE1001">
        <v>0</v>
      </c>
      <c r="AF1001">
        <v>1</v>
      </c>
      <c r="AG1001">
        <v>0</v>
      </c>
      <c r="AH1001" s="86">
        <f>AVERAGEIFS($C$2:C1001, $B$2:B1001, B1001)</f>
        <v>14.117647058823529</v>
      </c>
      <c r="AI1001" s="86">
        <f>AVERAGEIFS($I$2:I1001, $B$2:B1001, B1001)</f>
        <v>0.49705882352941172</v>
      </c>
      <c r="AJ1001" s="86">
        <f>AVERAGEIFS($J$2:J1001, $B$2:B1001, B1001)</f>
        <v>0.49705882352941172</v>
      </c>
      <c r="AK1001" s="86">
        <f>AVERAGEIFS($D$2:D1001, $B$2:B1001, B1001)</f>
        <v>0.41176470588235292</v>
      </c>
    </row>
    <row r="1002" spans="1:37" x14ac:dyDescent="0.25">
      <c r="A1002" s="85">
        <v>46142</v>
      </c>
      <c r="B1002" t="s">
        <v>17</v>
      </c>
      <c r="C1002">
        <v>12</v>
      </c>
      <c r="D1002">
        <v>0</v>
      </c>
      <c r="E1002">
        <v>4</v>
      </c>
      <c r="F1002">
        <v>1</v>
      </c>
      <c r="G1002">
        <v>17</v>
      </c>
      <c r="H1002">
        <v>6</v>
      </c>
      <c r="I1002">
        <v>0.25</v>
      </c>
      <c r="J1002">
        <v>0.35</v>
      </c>
      <c r="K1002">
        <v>0</v>
      </c>
      <c r="L1002">
        <v>0</v>
      </c>
      <c r="M1002">
        <v>0</v>
      </c>
      <c r="N1002">
        <v>0</v>
      </c>
      <c r="O1002">
        <v>0</v>
      </c>
      <c r="P1002">
        <v>0</v>
      </c>
      <c r="Q1002">
        <v>0</v>
      </c>
      <c r="R1002">
        <v>0</v>
      </c>
      <c r="S1002">
        <v>0</v>
      </c>
      <c r="T1002">
        <v>0</v>
      </c>
      <c r="U1002">
        <v>0</v>
      </c>
      <c r="V1002">
        <v>0</v>
      </c>
      <c r="W1002">
        <v>0</v>
      </c>
      <c r="X1002">
        <v>0</v>
      </c>
      <c r="Y1002">
        <v>0</v>
      </c>
      <c r="Z1002">
        <v>0</v>
      </c>
      <c r="AA1002">
        <v>0</v>
      </c>
      <c r="AB1002">
        <v>0</v>
      </c>
      <c r="AC1002">
        <v>0</v>
      </c>
      <c r="AD1002">
        <v>0</v>
      </c>
      <c r="AE1002">
        <v>0</v>
      </c>
      <c r="AF1002">
        <v>1</v>
      </c>
      <c r="AG1002">
        <v>0</v>
      </c>
      <c r="AH1002" s="86">
        <f>AVERAGEIFS($C$2:C1002, $B$2:B1002, B1002)</f>
        <v>19.710526315789473</v>
      </c>
      <c r="AI1002" s="86">
        <f>AVERAGEIFS($I$2:I1002, $B$2:B1002, B1002)</f>
        <v>0.53078947368421059</v>
      </c>
      <c r="AJ1002" s="86">
        <f>AVERAGEIFS($J$2:J1002, $B$2:B1002, B1002)</f>
        <v>0.49421052631578949</v>
      </c>
      <c r="AK1002" s="86">
        <f>AVERAGEIFS($D$2:D1002, $B$2:B1002, B1002)</f>
        <v>0.55263157894736847</v>
      </c>
    </row>
    <row r="1003" spans="1:37" x14ac:dyDescent="0.25">
      <c r="A1003" s="85">
        <v>46142</v>
      </c>
      <c r="B1003" t="s">
        <v>50</v>
      </c>
      <c r="C1003">
        <v>15</v>
      </c>
      <c r="D1003">
        <v>0</v>
      </c>
      <c r="E1003">
        <v>4</v>
      </c>
      <c r="F1003">
        <v>1</v>
      </c>
      <c r="G1003">
        <v>17</v>
      </c>
      <c r="H1003">
        <v>6</v>
      </c>
      <c r="I1003">
        <v>0.25</v>
      </c>
      <c r="J1003">
        <v>0.35</v>
      </c>
      <c r="K1003">
        <v>0</v>
      </c>
      <c r="L1003">
        <v>0</v>
      </c>
      <c r="M1003">
        <v>0</v>
      </c>
      <c r="N1003">
        <v>0</v>
      </c>
      <c r="O1003">
        <v>0</v>
      </c>
      <c r="P1003">
        <v>0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X1003">
        <v>0</v>
      </c>
      <c r="Y1003">
        <v>0</v>
      </c>
      <c r="Z1003">
        <v>0</v>
      </c>
      <c r="AA1003">
        <v>0</v>
      </c>
      <c r="AB1003">
        <v>0</v>
      </c>
      <c r="AC1003">
        <v>0</v>
      </c>
      <c r="AD1003">
        <v>0</v>
      </c>
      <c r="AE1003">
        <v>0</v>
      </c>
      <c r="AF1003">
        <v>1</v>
      </c>
      <c r="AG1003">
        <v>0</v>
      </c>
      <c r="AH1003" s="86">
        <f>AVERAGEIFS($C$2:C1003, $B$2:B1003, B1003)</f>
        <v>17.902439024390244</v>
      </c>
      <c r="AI1003" s="86">
        <f>AVERAGEIFS($I$2:I1003, $B$2:B1003, B1003)</f>
        <v>0.49951219512195133</v>
      </c>
      <c r="AJ1003" s="86">
        <f>AVERAGEIFS($J$2:J1003, $B$2:B1003, B1003)</f>
        <v>0.5099999999999999</v>
      </c>
      <c r="AK1003" s="86">
        <f>AVERAGEIFS($D$2:D1003, $B$2:B1003, B1003)</f>
        <v>0.48780487804878048</v>
      </c>
    </row>
    <row r="1004" spans="1:37" x14ac:dyDescent="0.25">
      <c r="A1004" s="85">
        <v>46146</v>
      </c>
      <c r="B1004" t="s">
        <v>17</v>
      </c>
      <c r="C1004">
        <v>28</v>
      </c>
      <c r="D1004">
        <v>1</v>
      </c>
      <c r="E1004">
        <v>4</v>
      </c>
      <c r="F1004">
        <v>3</v>
      </c>
      <c r="G1004">
        <v>15</v>
      </c>
      <c r="H1004">
        <v>10</v>
      </c>
      <c r="I1004">
        <v>0.75</v>
      </c>
      <c r="J1004">
        <v>0.67</v>
      </c>
      <c r="K1004">
        <v>0</v>
      </c>
      <c r="L1004">
        <v>1</v>
      </c>
      <c r="M1004">
        <v>0</v>
      </c>
      <c r="N1004">
        <v>0</v>
      </c>
      <c r="O1004">
        <v>0</v>
      </c>
      <c r="P1004">
        <v>0</v>
      </c>
      <c r="Q1004">
        <v>0</v>
      </c>
      <c r="R1004">
        <v>0</v>
      </c>
      <c r="S1004">
        <v>0</v>
      </c>
      <c r="T1004">
        <v>0</v>
      </c>
      <c r="U1004">
        <v>0</v>
      </c>
      <c r="V1004">
        <v>0</v>
      </c>
      <c r="W1004">
        <v>0</v>
      </c>
      <c r="X1004">
        <v>0</v>
      </c>
      <c r="Y1004">
        <v>0</v>
      </c>
      <c r="Z1004">
        <v>0</v>
      </c>
      <c r="AA1004">
        <v>0</v>
      </c>
      <c r="AB1004">
        <v>0</v>
      </c>
      <c r="AC1004">
        <v>1</v>
      </c>
      <c r="AD1004">
        <v>0</v>
      </c>
      <c r="AE1004">
        <v>0</v>
      </c>
      <c r="AF1004">
        <v>0</v>
      </c>
      <c r="AG1004">
        <v>1</v>
      </c>
      <c r="AH1004" s="86">
        <f>AVERAGEIFS($C$2:C1004, $B$2:B1004, B1004)</f>
        <v>19.923076923076923</v>
      </c>
      <c r="AI1004" s="86">
        <f>AVERAGEIFS($I$2:I1004, $B$2:B1004, B1004)</f>
        <v>0.53641025641025641</v>
      </c>
      <c r="AJ1004" s="86">
        <f>AVERAGEIFS($J$2:J1004, $B$2:B1004, B1004)</f>
        <v>0.49871794871794878</v>
      </c>
      <c r="AK1004" s="86">
        <f>AVERAGEIFS($D$2:D1004, $B$2:B1004, B1004)</f>
        <v>0.5641025641025641</v>
      </c>
    </row>
    <row r="1005" spans="1:37" x14ac:dyDescent="0.25">
      <c r="A1005" s="85">
        <v>46146</v>
      </c>
      <c r="B1005" t="s">
        <v>50</v>
      </c>
      <c r="C1005">
        <v>17</v>
      </c>
      <c r="D1005">
        <v>1</v>
      </c>
      <c r="E1005">
        <v>4</v>
      </c>
      <c r="F1005">
        <v>3</v>
      </c>
      <c r="G1005">
        <v>15</v>
      </c>
      <c r="H1005">
        <v>10</v>
      </c>
      <c r="I1005">
        <v>0.75</v>
      </c>
      <c r="J1005">
        <v>0.67</v>
      </c>
      <c r="K1005">
        <v>0</v>
      </c>
      <c r="L1005">
        <v>1</v>
      </c>
      <c r="M1005">
        <v>0</v>
      </c>
      <c r="N1005">
        <v>0</v>
      </c>
      <c r="O1005">
        <v>0</v>
      </c>
      <c r="P1005">
        <v>0</v>
      </c>
      <c r="Q1005">
        <v>0</v>
      </c>
      <c r="R1005">
        <v>0</v>
      </c>
      <c r="S1005">
        <v>0</v>
      </c>
      <c r="T1005">
        <v>0</v>
      </c>
      <c r="U1005">
        <v>0</v>
      </c>
      <c r="V1005">
        <v>0</v>
      </c>
      <c r="W1005">
        <v>0</v>
      </c>
      <c r="X1005">
        <v>0</v>
      </c>
      <c r="Y1005">
        <v>0</v>
      </c>
      <c r="Z1005">
        <v>0</v>
      </c>
      <c r="AA1005">
        <v>0</v>
      </c>
      <c r="AB1005">
        <v>0</v>
      </c>
      <c r="AC1005">
        <v>1</v>
      </c>
      <c r="AD1005">
        <v>0</v>
      </c>
      <c r="AE1005">
        <v>0</v>
      </c>
      <c r="AF1005">
        <v>0</v>
      </c>
      <c r="AG1005">
        <v>1</v>
      </c>
      <c r="AH1005" s="86">
        <f>AVERAGEIFS($C$2:C1005, $B$2:B1005, B1005)</f>
        <v>17.88095238095238</v>
      </c>
      <c r="AI1005" s="86">
        <f>AVERAGEIFS($I$2:I1005, $B$2:B1005, B1005)</f>
        <v>0.50547619047619052</v>
      </c>
      <c r="AJ1005" s="86">
        <f>AVERAGEIFS($J$2:J1005, $B$2:B1005, B1005)</f>
        <v>0.51380952380952372</v>
      </c>
      <c r="AK1005" s="86">
        <f>AVERAGEIFS($D$2:D1005, $B$2:B1005, B1005)</f>
        <v>0.5</v>
      </c>
    </row>
    <row r="1006" spans="1:37" x14ac:dyDescent="0.25">
      <c r="A1006" s="85">
        <v>46146</v>
      </c>
      <c r="B1006" t="s">
        <v>54</v>
      </c>
      <c r="C1006">
        <v>16</v>
      </c>
      <c r="D1006">
        <v>1</v>
      </c>
      <c r="E1006">
        <v>4</v>
      </c>
      <c r="F1006">
        <v>3</v>
      </c>
      <c r="G1006">
        <v>15</v>
      </c>
      <c r="H1006">
        <v>10</v>
      </c>
      <c r="I1006">
        <v>0.75</v>
      </c>
      <c r="J1006">
        <v>0.67</v>
      </c>
      <c r="K1006">
        <v>0</v>
      </c>
      <c r="L1006">
        <v>1</v>
      </c>
      <c r="M1006">
        <v>0</v>
      </c>
      <c r="N1006">
        <v>0</v>
      </c>
      <c r="O1006">
        <v>0</v>
      </c>
      <c r="P1006">
        <v>0</v>
      </c>
      <c r="Q1006">
        <v>0</v>
      </c>
      <c r="R1006">
        <v>0</v>
      </c>
      <c r="S1006">
        <v>0</v>
      </c>
      <c r="T1006">
        <v>0</v>
      </c>
      <c r="U1006">
        <v>0</v>
      </c>
      <c r="V1006">
        <v>0</v>
      </c>
      <c r="W1006">
        <v>0</v>
      </c>
      <c r="X1006">
        <v>0</v>
      </c>
      <c r="Y1006">
        <v>0</v>
      </c>
      <c r="Z1006">
        <v>0</v>
      </c>
      <c r="AA1006">
        <v>0</v>
      </c>
      <c r="AB1006">
        <v>0</v>
      </c>
      <c r="AC1006">
        <v>1</v>
      </c>
      <c r="AD1006">
        <v>0</v>
      </c>
      <c r="AE1006">
        <v>0</v>
      </c>
      <c r="AF1006">
        <v>0</v>
      </c>
      <c r="AG1006">
        <v>1</v>
      </c>
      <c r="AH1006" s="86">
        <f>AVERAGEIFS($C$2:C1006, $B$2:B1006, B1006)</f>
        <v>23.706896551724139</v>
      </c>
      <c r="AI1006" s="86">
        <f>AVERAGEIFS($I$2:I1006, $B$2:B1006, B1006)</f>
        <v>0.53482758620689663</v>
      </c>
      <c r="AJ1006" s="86">
        <f>AVERAGEIFS($J$2:J1006, $B$2:B1006, B1006)</f>
        <v>0.51344827586206887</v>
      </c>
      <c r="AK1006" s="86">
        <f>AVERAGEIFS($D$2:D1006, $B$2:B1006, B1006)</f>
        <v>0.55172413793103448</v>
      </c>
    </row>
    <row r="1007" spans="1:37" x14ac:dyDescent="0.25">
      <c r="A1007" s="85">
        <v>46146</v>
      </c>
      <c r="B1007" t="s">
        <v>5</v>
      </c>
      <c r="C1007">
        <v>16</v>
      </c>
      <c r="D1007">
        <v>1</v>
      </c>
      <c r="E1007">
        <v>4</v>
      </c>
      <c r="F1007">
        <v>3</v>
      </c>
      <c r="G1007">
        <v>15</v>
      </c>
      <c r="H1007">
        <v>10</v>
      </c>
      <c r="I1007">
        <v>0.75</v>
      </c>
      <c r="J1007">
        <v>0.67</v>
      </c>
      <c r="K1007">
        <v>0</v>
      </c>
      <c r="L1007">
        <v>1</v>
      </c>
      <c r="M1007">
        <v>0</v>
      </c>
      <c r="N1007">
        <v>0</v>
      </c>
      <c r="O1007">
        <v>0</v>
      </c>
      <c r="P1007">
        <v>0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0</v>
      </c>
      <c r="Y1007">
        <v>0</v>
      </c>
      <c r="Z1007">
        <v>0</v>
      </c>
      <c r="AA1007">
        <v>0</v>
      </c>
      <c r="AB1007">
        <v>0</v>
      </c>
      <c r="AC1007">
        <v>1</v>
      </c>
      <c r="AD1007">
        <v>0</v>
      </c>
      <c r="AE1007">
        <v>0</v>
      </c>
      <c r="AF1007">
        <v>0</v>
      </c>
      <c r="AG1007">
        <v>1</v>
      </c>
      <c r="AH1007" s="86">
        <f>AVERAGEIFS($C$2:C1007, $B$2:B1007, B1007)</f>
        <v>19.741935483870968</v>
      </c>
      <c r="AI1007" s="86">
        <f>AVERAGEIFS($I$2:I1007, $B$2:B1007, B1007)</f>
        <v>0.61193548387096774</v>
      </c>
      <c r="AJ1007" s="86">
        <f>AVERAGEIFS($J$2:J1007, $B$2:B1007, B1007)</f>
        <v>0.55322580645161312</v>
      </c>
      <c r="AK1007" s="86">
        <f>AVERAGEIFS($D$2:D1007, $B$2:B1007, B1007)</f>
        <v>0.70967741935483875</v>
      </c>
    </row>
    <row r="1008" spans="1:37" x14ac:dyDescent="0.25">
      <c r="A1008" s="85">
        <v>46146</v>
      </c>
      <c r="B1008" t="s">
        <v>161</v>
      </c>
      <c r="C1008">
        <v>13</v>
      </c>
      <c r="D1008">
        <v>1</v>
      </c>
      <c r="E1008">
        <v>4</v>
      </c>
      <c r="F1008">
        <v>3</v>
      </c>
      <c r="G1008">
        <v>15</v>
      </c>
      <c r="H1008">
        <v>10</v>
      </c>
      <c r="I1008">
        <v>0.75</v>
      </c>
      <c r="J1008">
        <v>0.67</v>
      </c>
      <c r="K1008">
        <v>0</v>
      </c>
      <c r="L1008">
        <v>1</v>
      </c>
      <c r="M1008">
        <v>0</v>
      </c>
      <c r="N1008">
        <v>0</v>
      </c>
      <c r="O1008">
        <v>0</v>
      </c>
      <c r="P1008">
        <v>0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0</v>
      </c>
      <c r="X1008">
        <v>0</v>
      </c>
      <c r="Y1008">
        <v>0</v>
      </c>
      <c r="Z1008">
        <v>0</v>
      </c>
      <c r="AA1008">
        <v>0</v>
      </c>
      <c r="AB1008">
        <v>0</v>
      </c>
      <c r="AC1008">
        <v>1</v>
      </c>
      <c r="AD1008">
        <v>0</v>
      </c>
      <c r="AE1008">
        <v>0</v>
      </c>
      <c r="AF1008">
        <v>0</v>
      </c>
      <c r="AG1008">
        <v>1</v>
      </c>
      <c r="AH1008" s="86">
        <f>AVERAGEIFS($C$2:C1008, $B$2:B1008, B1008)</f>
        <v>9.4444444444444446</v>
      </c>
      <c r="AI1008" s="86">
        <f>AVERAGEIFS($I$2:I1008, $B$2:B1008, B1008)</f>
        <v>0.58888888888888891</v>
      </c>
      <c r="AJ1008" s="86">
        <f>AVERAGEIFS($J$2:J1008, $B$2:B1008, B1008)</f>
        <v>0.53111111111111109</v>
      </c>
      <c r="AK1008" s="86">
        <f>AVERAGEIFS($D$2:D1008, $B$2:B1008, B1008)</f>
        <v>0.55555555555555558</v>
      </c>
    </row>
    <row r="1009" spans="1:37" x14ac:dyDescent="0.25">
      <c r="A1009" s="85">
        <v>46146</v>
      </c>
      <c r="B1009" t="s">
        <v>179</v>
      </c>
      <c r="C1009">
        <v>11</v>
      </c>
      <c r="D1009">
        <v>1</v>
      </c>
      <c r="E1009">
        <v>4</v>
      </c>
      <c r="F1009">
        <v>3</v>
      </c>
      <c r="G1009">
        <v>15</v>
      </c>
      <c r="H1009">
        <v>10</v>
      </c>
      <c r="I1009">
        <v>0.75</v>
      </c>
      <c r="J1009">
        <v>0.67</v>
      </c>
      <c r="K1009">
        <v>0</v>
      </c>
      <c r="L1009">
        <v>1</v>
      </c>
      <c r="M1009">
        <v>0</v>
      </c>
      <c r="N1009">
        <v>0</v>
      </c>
      <c r="O1009">
        <v>0</v>
      </c>
      <c r="P1009">
        <v>0</v>
      </c>
      <c r="Q1009">
        <v>0</v>
      </c>
      <c r="R1009">
        <v>0</v>
      </c>
      <c r="S1009">
        <v>0</v>
      </c>
      <c r="T1009">
        <v>0</v>
      </c>
      <c r="U1009">
        <v>0</v>
      </c>
      <c r="V1009">
        <v>0</v>
      </c>
      <c r="W1009">
        <v>0</v>
      </c>
      <c r="X1009">
        <v>0</v>
      </c>
      <c r="Y1009">
        <v>0</v>
      </c>
      <c r="Z1009">
        <v>0</v>
      </c>
      <c r="AA1009">
        <v>0</v>
      </c>
      <c r="AB1009">
        <v>0</v>
      </c>
      <c r="AC1009">
        <v>1</v>
      </c>
      <c r="AD1009">
        <v>0</v>
      </c>
      <c r="AE1009">
        <v>0</v>
      </c>
      <c r="AF1009">
        <v>0</v>
      </c>
      <c r="AG1009">
        <v>1</v>
      </c>
      <c r="AH1009" s="86">
        <f>AVERAGEIFS($C$2:C1009, $B$2:B1009, B1009)</f>
        <v>11</v>
      </c>
      <c r="AI1009" s="86">
        <f>AVERAGEIFS($I$2:I1009, $B$2:B1009, B1009)</f>
        <v>0.75</v>
      </c>
      <c r="AJ1009" s="86">
        <f>AVERAGEIFS($J$2:J1009, $B$2:B1009, B1009)</f>
        <v>0.67</v>
      </c>
      <c r="AK1009" s="86">
        <f>AVERAGEIFS($D$2:D1009, $B$2:B1009, B1009)</f>
        <v>1</v>
      </c>
    </row>
    <row r="1010" spans="1:37" x14ac:dyDescent="0.25">
      <c r="A1010" s="85">
        <v>46146</v>
      </c>
      <c r="B1010" t="s">
        <v>141</v>
      </c>
      <c r="C1010">
        <v>15</v>
      </c>
      <c r="D1010">
        <v>0</v>
      </c>
      <c r="E1010">
        <v>4</v>
      </c>
      <c r="F1010">
        <v>1</v>
      </c>
      <c r="G1010">
        <v>15</v>
      </c>
      <c r="H1010">
        <v>5</v>
      </c>
      <c r="I1010">
        <v>0.25</v>
      </c>
      <c r="J1010">
        <v>0.33</v>
      </c>
      <c r="K1010">
        <v>0</v>
      </c>
      <c r="L1010">
        <v>0</v>
      </c>
      <c r="M1010">
        <v>0</v>
      </c>
      <c r="N1010">
        <v>0</v>
      </c>
      <c r="O1010">
        <v>0</v>
      </c>
      <c r="P1010">
        <v>0</v>
      </c>
      <c r="Q1010">
        <v>0</v>
      </c>
      <c r="R1010">
        <v>0</v>
      </c>
      <c r="S1010">
        <v>0</v>
      </c>
      <c r="T1010">
        <v>0</v>
      </c>
      <c r="U1010">
        <v>0</v>
      </c>
      <c r="V1010">
        <v>0</v>
      </c>
      <c r="W1010">
        <v>1</v>
      </c>
      <c r="X1010">
        <v>0</v>
      </c>
      <c r="Y1010">
        <v>0</v>
      </c>
      <c r="Z1010">
        <v>0</v>
      </c>
      <c r="AA1010">
        <v>0</v>
      </c>
      <c r="AB1010">
        <v>0</v>
      </c>
      <c r="AC1010">
        <v>0</v>
      </c>
      <c r="AD1010">
        <v>0</v>
      </c>
      <c r="AE1010">
        <v>0</v>
      </c>
      <c r="AF1010">
        <v>0</v>
      </c>
      <c r="AG1010">
        <v>0</v>
      </c>
      <c r="AH1010" s="86">
        <f>AVERAGEIFS($C$2:C1010, $B$2:B1010, B1010)</f>
        <v>14.071428571428571</v>
      </c>
      <c r="AI1010" s="86">
        <f>AVERAGEIFS($I$2:I1010, $B$2:B1010, B1010)</f>
        <v>0.46785714285714286</v>
      </c>
      <c r="AJ1010" s="86">
        <f>AVERAGEIFS($J$2:J1010, $B$2:B1010, B1010)</f>
        <v>0.49857142857142867</v>
      </c>
      <c r="AK1010" s="86">
        <f>AVERAGEIFS($D$2:D1010, $B$2:B1010, B1010)</f>
        <v>0.5714285714285714</v>
      </c>
    </row>
    <row r="1011" spans="1:37" x14ac:dyDescent="0.25">
      <c r="A1011" s="85">
        <v>46146</v>
      </c>
      <c r="B1011" t="s">
        <v>147</v>
      </c>
      <c r="C1011">
        <v>14</v>
      </c>
      <c r="D1011">
        <v>0</v>
      </c>
      <c r="E1011">
        <v>4</v>
      </c>
      <c r="F1011">
        <v>1</v>
      </c>
      <c r="G1011">
        <v>15</v>
      </c>
      <c r="H1011">
        <v>5</v>
      </c>
      <c r="I1011">
        <v>0.25</v>
      </c>
      <c r="J1011">
        <v>0.33</v>
      </c>
      <c r="K1011">
        <v>0</v>
      </c>
      <c r="L1011">
        <v>0</v>
      </c>
      <c r="M1011">
        <v>0</v>
      </c>
      <c r="N1011">
        <v>0</v>
      </c>
      <c r="O1011">
        <v>0</v>
      </c>
      <c r="P1011">
        <v>0</v>
      </c>
      <c r="Q1011">
        <v>0</v>
      </c>
      <c r="R1011">
        <v>0</v>
      </c>
      <c r="S1011">
        <v>0</v>
      </c>
      <c r="T1011">
        <v>0</v>
      </c>
      <c r="U1011">
        <v>0</v>
      </c>
      <c r="V1011">
        <v>0</v>
      </c>
      <c r="W1011">
        <v>1</v>
      </c>
      <c r="X1011">
        <v>0</v>
      </c>
      <c r="Y1011">
        <v>0</v>
      </c>
      <c r="Z1011">
        <v>0</v>
      </c>
      <c r="AA1011">
        <v>0</v>
      </c>
      <c r="AB1011">
        <v>0</v>
      </c>
      <c r="AC1011">
        <v>0</v>
      </c>
      <c r="AD1011">
        <v>0</v>
      </c>
      <c r="AE1011">
        <v>0</v>
      </c>
      <c r="AF1011">
        <v>0</v>
      </c>
      <c r="AG1011">
        <v>0</v>
      </c>
      <c r="AH1011" s="86">
        <f>AVERAGEIFS($C$2:C1011, $B$2:B1011, B1011)</f>
        <v>12.724137931034482</v>
      </c>
      <c r="AI1011" s="86">
        <f>AVERAGEIFS($I$2:I1011, $B$2:B1011, B1011)</f>
        <v>0.53448275862068961</v>
      </c>
      <c r="AJ1011" s="86">
        <f>AVERAGEIFS($J$2:J1011, $B$2:B1011, B1011)</f>
        <v>0.52448275862068972</v>
      </c>
      <c r="AK1011" s="86">
        <f>AVERAGEIFS($D$2:D1011, $B$2:B1011, B1011)</f>
        <v>0.48275862068965519</v>
      </c>
    </row>
    <row r="1012" spans="1:37" x14ac:dyDescent="0.25">
      <c r="A1012" s="85">
        <v>46146</v>
      </c>
      <c r="B1012" t="s">
        <v>150</v>
      </c>
      <c r="C1012">
        <v>14</v>
      </c>
      <c r="D1012">
        <v>0</v>
      </c>
      <c r="E1012">
        <v>4</v>
      </c>
      <c r="F1012">
        <v>1</v>
      </c>
      <c r="G1012">
        <v>15</v>
      </c>
      <c r="H1012">
        <v>5</v>
      </c>
      <c r="I1012">
        <v>0.25</v>
      </c>
      <c r="J1012">
        <v>0.33</v>
      </c>
      <c r="K1012">
        <v>0</v>
      </c>
      <c r="L1012">
        <v>0</v>
      </c>
      <c r="M1012">
        <v>0</v>
      </c>
      <c r="N1012">
        <v>0</v>
      </c>
      <c r="O1012">
        <v>0</v>
      </c>
      <c r="P1012">
        <v>0</v>
      </c>
      <c r="Q1012">
        <v>0</v>
      </c>
      <c r="R1012">
        <v>0</v>
      </c>
      <c r="S1012">
        <v>0</v>
      </c>
      <c r="T1012">
        <v>0</v>
      </c>
      <c r="U1012">
        <v>0</v>
      </c>
      <c r="V1012">
        <v>0</v>
      </c>
      <c r="W1012">
        <v>1</v>
      </c>
      <c r="X1012">
        <v>0</v>
      </c>
      <c r="Y1012">
        <v>0</v>
      </c>
      <c r="Z1012">
        <v>0</v>
      </c>
      <c r="AA1012">
        <v>0</v>
      </c>
      <c r="AB1012">
        <v>0</v>
      </c>
      <c r="AC1012">
        <v>0</v>
      </c>
      <c r="AD1012">
        <v>0</v>
      </c>
      <c r="AE1012">
        <v>0</v>
      </c>
      <c r="AF1012">
        <v>0</v>
      </c>
      <c r="AG1012">
        <v>0</v>
      </c>
      <c r="AH1012" s="86">
        <f>AVERAGEIFS($C$2:C1012, $B$2:B1012, B1012)</f>
        <v>17.263157894736842</v>
      </c>
      <c r="AI1012" s="86">
        <f>AVERAGEIFS($I$2:I1012, $B$2:B1012, B1012)</f>
        <v>0.62894736842105259</v>
      </c>
      <c r="AJ1012" s="86">
        <f>AVERAGEIFS($J$2:J1012, $B$2:B1012, B1012)</f>
        <v>0.58105263157894749</v>
      </c>
      <c r="AK1012" s="86">
        <f>AVERAGEIFS($D$2:D1012, $B$2:B1012, B1012)</f>
        <v>0.63157894736842102</v>
      </c>
    </row>
    <row r="1013" spans="1:37" x14ac:dyDescent="0.25">
      <c r="A1013" s="85">
        <v>46146</v>
      </c>
      <c r="B1013" t="s">
        <v>4</v>
      </c>
      <c r="C1013">
        <v>14</v>
      </c>
      <c r="D1013">
        <v>0</v>
      </c>
      <c r="E1013">
        <v>4</v>
      </c>
      <c r="F1013">
        <v>1</v>
      </c>
      <c r="G1013">
        <v>15</v>
      </c>
      <c r="H1013">
        <v>5</v>
      </c>
      <c r="I1013">
        <v>0.25</v>
      </c>
      <c r="J1013">
        <v>0.33</v>
      </c>
      <c r="K1013">
        <v>0</v>
      </c>
      <c r="L1013">
        <v>0</v>
      </c>
      <c r="M1013">
        <v>0</v>
      </c>
      <c r="N1013">
        <v>0</v>
      </c>
      <c r="O1013">
        <v>0</v>
      </c>
      <c r="P1013">
        <v>0</v>
      </c>
      <c r="Q1013">
        <v>0</v>
      </c>
      <c r="R1013">
        <v>0</v>
      </c>
      <c r="S1013">
        <v>0</v>
      </c>
      <c r="T1013">
        <v>0</v>
      </c>
      <c r="U1013">
        <v>0</v>
      </c>
      <c r="V1013">
        <v>0</v>
      </c>
      <c r="W1013">
        <v>1</v>
      </c>
      <c r="X1013">
        <v>0</v>
      </c>
      <c r="Y1013">
        <v>0</v>
      </c>
      <c r="Z1013">
        <v>0</v>
      </c>
      <c r="AA1013">
        <v>0</v>
      </c>
      <c r="AB1013">
        <v>0</v>
      </c>
      <c r="AC1013">
        <v>0</v>
      </c>
      <c r="AD1013">
        <v>0</v>
      </c>
      <c r="AE1013">
        <v>0</v>
      </c>
      <c r="AF1013">
        <v>0</v>
      </c>
      <c r="AG1013">
        <v>0</v>
      </c>
      <c r="AH1013" s="86">
        <f>AVERAGEIFS($C$2:C1013, $B$2:B1013, B1013)</f>
        <v>24.62857142857143</v>
      </c>
      <c r="AI1013" s="86">
        <f>AVERAGEIFS($I$2:I1013, $B$2:B1013, B1013)</f>
        <v>0.43428571428571427</v>
      </c>
      <c r="AJ1013" s="86">
        <f>AVERAGEIFS($J$2:J1013, $B$2:B1013, B1013)</f>
        <v>0.4588571428571428</v>
      </c>
      <c r="AK1013" s="86">
        <f>AVERAGEIFS($D$2:D1013, $B$2:B1013, B1013)</f>
        <v>0.34285714285714286</v>
      </c>
    </row>
    <row r="1014" spans="1:37" x14ac:dyDescent="0.25">
      <c r="A1014" s="85">
        <v>46146</v>
      </c>
      <c r="B1014" t="s">
        <v>42</v>
      </c>
      <c r="C1014">
        <v>10</v>
      </c>
      <c r="D1014">
        <v>0</v>
      </c>
      <c r="E1014">
        <v>4</v>
      </c>
      <c r="F1014">
        <v>1</v>
      </c>
      <c r="G1014">
        <v>15</v>
      </c>
      <c r="H1014">
        <v>5</v>
      </c>
      <c r="I1014">
        <v>0.25</v>
      </c>
      <c r="J1014">
        <v>0.33</v>
      </c>
      <c r="K1014">
        <v>0</v>
      </c>
      <c r="L1014">
        <v>0</v>
      </c>
      <c r="M1014">
        <v>0</v>
      </c>
      <c r="N1014">
        <v>0</v>
      </c>
      <c r="O1014">
        <v>0</v>
      </c>
      <c r="P1014">
        <v>0</v>
      </c>
      <c r="Q1014">
        <v>0</v>
      </c>
      <c r="R1014">
        <v>0</v>
      </c>
      <c r="S1014">
        <v>0</v>
      </c>
      <c r="T1014">
        <v>0</v>
      </c>
      <c r="U1014">
        <v>0</v>
      </c>
      <c r="V1014">
        <v>0</v>
      </c>
      <c r="W1014">
        <v>1</v>
      </c>
      <c r="X1014">
        <v>0</v>
      </c>
      <c r="Y1014">
        <v>0</v>
      </c>
      <c r="Z1014">
        <v>0</v>
      </c>
      <c r="AA1014">
        <v>0</v>
      </c>
      <c r="AB1014">
        <v>0</v>
      </c>
      <c r="AC1014">
        <v>0</v>
      </c>
      <c r="AD1014">
        <v>0</v>
      </c>
      <c r="AE1014">
        <v>0</v>
      </c>
      <c r="AF1014">
        <v>0</v>
      </c>
      <c r="AG1014">
        <v>0</v>
      </c>
      <c r="AH1014" s="86">
        <f>AVERAGEIFS($C$2:C1014, $B$2:B1014, B1014)</f>
        <v>18.347826086956523</v>
      </c>
      <c r="AI1014" s="86">
        <f>AVERAGEIFS($I$2:I1014, $B$2:B1014, B1014)</f>
        <v>0.44239130434782614</v>
      </c>
      <c r="AJ1014" s="86">
        <f>AVERAGEIFS($J$2:J1014, $B$2:B1014, B1014)</f>
        <v>0.45065217391304324</v>
      </c>
      <c r="AK1014" s="86">
        <f>AVERAGEIFS($D$2:D1014, $B$2:B1014, B1014)</f>
        <v>0.45652173913043476</v>
      </c>
    </row>
    <row r="1015" spans="1:37" x14ac:dyDescent="0.25">
      <c r="A1015" s="85">
        <v>46146</v>
      </c>
      <c r="B1015" t="s">
        <v>152</v>
      </c>
      <c r="C1015">
        <v>5</v>
      </c>
      <c r="D1015">
        <v>0</v>
      </c>
      <c r="E1015">
        <v>4</v>
      </c>
      <c r="F1015">
        <v>1</v>
      </c>
      <c r="G1015">
        <v>15</v>
      </c>
      <c r="H1015">
        <v>5</v>
      </c>
      <c r="I1015">
        <v>0.25</v>
      </c>
      <c r="J1015">
        <v>0.33</v>
      </c>
      <c r="K1015">
        <v>0</v>
      </c>
      <c r="L1015">
        <v>0</v>
      </c>
      <c r="M1015">
        <v>0</v>
      </c>
      <c r="N1015">
        <v>0</v>
      </c>
      <c r="O1015">
        <v>0</v>
      </c>
      <c r="P1015">
        <v>0</v>
      </c>
      <c r="Q1015">
        <v>0</v>
      </c>
      <c r="R1015">
        <v>0</v>
      </c>
      <c r="S1015">
        <v>0</v>
      </c>
      <c r="T1015">
        <v>0</v>
      </c>
      <c r="U1015">
        <v>0</v>
      </c>
      <c r="V1015">
        <v>0</v>
      </c>
      <c r="W1015">
        <v>1</v>
      </c>
      <c r="X1015">
        <v>0</v>
      </c>
      <c r="Y1015">
        <v>0</v>
      </c>
      <c r="Z1015">
        <v>0</v>
      </c>
      <c r="AA1015">
        <v>0</v>
      </c>
      <c r="AB1015">
        <v>0</v>
      </c>
      <c r="AC1015">
        <v>0</v>
      </c>
      <c r="AD1015">
        <v>0</v>
      </c>
      <c r="AE1015">
        <v>0</v>
      </c>
      <c r="AF1015">
        <v>0</v>
      </c>
      <c r="AG1015">
        <v>0</v>
      </c>
      <c r="AH1015" s="86">
        <f>AVERAGEIFS($C$2:C1015, $B$2:B1015, B1015)</f>
        <v>13</v>
      </c>
      <c r="AI1015" s="86">
        <f>AVERAGEIFS($I$2:I1015, $B$2:B1015, B1015)</f>
        <v>0.49000000000000005</v>
      </c>
      <c r="AJ1015" s="86">
        <f>AVERAGEIFS($J$2:J1015, $B$2:B1015, B1015)</f>
        <v>0.5</v>
      </c>
      <c r="AK1015" s="86">
        <f>AVERAGEIFS($D$2:D1015, $B$2:B1015, B1015)</f>
        <v>0.4</v>
      </c>
    </row>
    <row r="1016" spans="1:37" x14ac:dyDescent="0.25">
      <c r="A1016" s="85">
        <v>46147</v>
      </c>
      <c r="B1016" t="s">
        <v>40</v>
      </c>
      <c r="C1016">
        <v>18</v>
      </c>
      <c r="D1016">
        <v>0</v>
      </c>
      <c r="E1016">
        <v>3</v>
      </c>
      <c r="F1016">
        <v>0</v>
      </c>
      <c r="G1016">
        <v>13</v>
      </c>
      <c r="H1016">
        <v>4</v>
      </c>
      <c r="I1016">
        <v>0</v>
      </c>
      <c r="J1016">
        <v>0.31</v>
      </c>
      <c r="K1016">
        <v>0</v>
      </c>
      <c r="L1016">
        <v>0</v>
      </c>
      <c r="M1016">
        <v>0</v>
      </c>
      <c r="N1016">
        <v>0</v>
      </c>
      <c r="O1016">
        <v>0</v>
      </c>
      <c r="P1016">
        <v>0</v>
      </c>
      <c r="Q1016">
        <v>0</v>
      </c>
      <c r="R1016">
        <v>0</v>
      </c>
      <c r="S1016">
        <v>0</v>
      </c>
      <c r="T1016">
        <v>0</v>
      </c>
      <c r="U1016">
        <v>0</v>
      </c>
      <c r="V1016">
        <v>0</v>
      </c>
      <c r="W1016">
        <v>0</v>
      </c>
      <c r="X1016">
        <v>0</v>
      </c>
      <c r="Y1016">
        <v>0</v>
      </c>
      <c r="Z1016">
        <v>0</v>
      </c>
      <c r="AA1016">
        <v>0</v>
      </c>
      <c r="AB1016">
        <v>0</v>
      </c>
      <c r="AC1016">
        <v>0</v>
      </c>
      <c r="AD1016">
        <v>0</v>
      </c>
      <c r="AE1016">
        <v>0</v>
      </c>
      <c r="AF1016">
        <v>0</v>
      </c>
      <c r="AG1016">
        <v>0</v>
      </c>
      <c r="AH1016" s="86">
        <f>AVERAGEIFS($C$2:C1016, $B$2:B1016, B1016)</f>
        <v>18.777777777777779</v>
      </c>
      <c r="AI1016" s="86">
        <f>AVERAGEIFS($I$2:I1016, $B$2:B1016, B1016)</f>
        <v>0.48253968253968238</v>
      </c>
      <c r="AJ1016" s="86">
        <f>AVERAGEIFS($J$2:J1016, $B$2:B1016, B1016)</f>
        <v>0.4852380952380953</v>
      </c>
      <c r="AK1016" s="86">
        <f>AVERAGEIFS($D$2:D1016, $B$2:B1016, B1016)</f>
        <v>0.42857142857142855</v>
      </c>
    </row>
    <row r="1017" spans="1:37" x14ac:dyDescent="0.25">
      <c r="A1017" s="85">
        <v>46147</v>
      </c>
      <c r="B1017" t="s">
        <v>54</v>
      </c>
      <c r="C1017">
        <v>26</v>
      </c>
      <c r="D1017">
        <v>0</v>
      </c>
      <c r="E1017">
        <v>3</v>
      </c>
      <c r="F1017">
        <v>0</v>
      </c>
      <c r="G1017">
        <v>13</v>
      </c>
      <c r="H1017">
        <v>4</v>
      </c>
      <c r="I1017">
        <v>0</v>
      </c>
      <c r="J1017">
        <v>0.31</v>
      </c>
      <c r="K1017">
        <v>0</v>
      </c>
      <c r="L1017">
        <v>0</v>
      </c>
      <c r="M1017">
        <v>0</v>
      </c>
      <c r="N1017">
        <v>0</v>
      </c>
      <c r="O1017">
        <v>0</v>
      </c>
      <c r="P1017">
        <v>0</v>
      </c>
      <c r="Q1017">
        <v>0</v>
      </c>
      <c r="R1017">
        <v>0</v>
      </c>
      <c r="S1017">
        <v>0</v>
      </c>
      <c r="T1017">
        <v>0</v>
      </c>
      <c r="U1017">
        <v>0</v>
      </c>
      <c r="V1017">
        <v>0</v>
      </c>
      <c r="W1017">
        <v>0</v>
      </c>
      <c r="X1017">
        <v>0</v>
      </c>
      <c r="Y1017">
        <v>0</v>
      </c>
      <c r="Z1017">
        <v>0</v>
      </c>
      <c r="AA1017">
        <v>0</v>
      </c>
      <c r="AB1017">
        <v>0</v>
      </c>
      <c r="AC1017">
        <v>0</v>
      </c>
      <c r="AD1017">
        <v>0</v>
      </c>
      <c r="AE1017">
        <v>0</v>
      </c>
      <c r="AF1017">
        <v>0</v>
      </c>
      <c r="AG1017">
        <v>0</v>
      </c>
      <c r="AH1017" s="86">
        <f>AVERAGEIFS($C$2:C1017, $B$2:B1017, B1017)</f>
        <v>23.745762711864408</v>
      </c>
      <c r="AI1017" s="86">
        <f>AVERAGEIFS($I$2:I1017, $B$2:B1017, B1017)</f>
        <v>0.52576271186440682</v>
      </c>
      <c r="AJ1017" s="86">
        <f>AVERAGEIFS($J$2:J1017, $B$2:B1017, B1017)</f>
        <v>0.5099999999999999</v>
      </c>
      <c r="AK1017" s="86">
        <f>AVERAGEIFS($D$2:D1017, $B$2:B1017, B1017)</f>
        <v>0.5423728813559322</v>
      </c>
    </row>
    <row r="1018" spans="1:37" x14ac:dyDescent="0.25">
      <c r="A1018" s="85">
        <v>46147</v>
      </c>
      <c r="B1018" t="s">
        <v>2</v>
      </c>
      <c r="C1018">
        <v>19</v>
      </c>
      <c r="D1018">
        <v>0</v>
      </c>
      <c r="E1018">
        <v>3</v>
      </c>
      <c r="F1018">
        <v>0</v>
      </c>
      <c r="G1018">
        <v>13</v>
      </c>
      <c r="H1018">
        <v>4</v>
      </c>
      <c r="I1018">
        <v>0</v>
      </c>
      <c r="J1018">
        <v>0.31</v>
      </c>
      <c r="K1018">
        <v>0</v>
      </c>
      <c r="L1018">
        <v>0</v>
      </c>
      <c r="M1018">
        <v>0</v>
      </c>
      <c r="N1018">
        <v>0</v>
      </c>
      <c r="O1018">
        <v>0</v>
      </c>
      <c r="P1018">
        <v>0</v>
      </c>
      <c r="Q1018">
        <v>0</v>
      </c>
      <c r="R1018">
        <v>0</v>
      </c>
      <c r="S1018">
        <v>0</v>
      </c>
      <c r="T1018">
        <v>0</v>
      </c>
      <c r="U1018">
        <v>0</v>
      </c>
      <c r="V1018">
        <v>0</v>
      </c>
      <c r="W1018">
        <v>0</v>
      </c>
      <c r="X1018">
        <v>0</v>
      </c>
      <c r="Y1018">
        <v>0</v>
      </c>
      <c r="Z1018">
        <v>0</v>
      </c>
      <c r="AA1018">
        <v>0</v>
      </c>
      <c r="AB1018">
        <v>0</v>
      </c>
      <c r="AC1018">
        <v>0</v>
      </c>
      <c r="AD1018">
        <v>0</v>
      </c>
      <c r="AE1018">
        <v>0</v>
      </c>
      <c r="AF1018">
        <v>0</v>
      </c>
      <c r="AG1018">
        <v>0</v>
      </c>
      <c r="AH1018" s="86">
        <f>AVERAGEIFS($C$2:C1018, $B$2:B1018, B1018)</f>
        <v>22.30952380952381</v>
      </c>
      <c r="AI1018" s="86">
        <f>AVERAGEIFS($I$2:I1018, $B$2:B1018, B1018)</f>
        <v>0.5149999999999999</v>
      </c>
      <c r="AJ1018" s="86">
        <f>AVERAGEIFS($J$2:J1018, $B$2:B1018, B1018)</f>
        <v>0.53214285714285714</v>
      </c>
      <c r="AK1018" s="86">
        <f>AVERAGEIFS($D$2:D1018, $B$2:B1018, B1018)</f>
        <v>0.5</v>
      </c>
    </row>
    <row r="1019" spans="1:37" x14ac:dyDescent="0.25">
      <c r="A1019" s="85">
        <v>46147</v>
      </c>
      <c r="B1019" t="s">
        <v>113</v>
      </c>
      <c r="C1019">
        <v>15</v>
      </c>
      <c r="D1019">
        <v>0</v>
      </c>
      <c r="E1019">
        <v>3</v>
      </c>
      <c r="F1019">
        <v>0</v>
      </c>
      <c r="G1019">
        <v>13</v>
      </c>
      <c r="H1019">
        <v>4</v>
      </c>
      <c r="I1019">
        <v>0</v>
      </c>
      <c r="J1019">
        <v>0.31</v>
      </c>
      <c r="K1019">
        <v>0</v>
      </c>
      <c r="L1019">
        <v>0</v>
      </c>
      <c r="M1019">
        <v>0</v>
      </c>
      <c r="N1019">
        <v>0</v>
      </c>
      <c r="O1019">
        <v>0</v>
      </c>
      <c r="P1019">
        <v>0</v>
      </c>
      <c r="Q1019">
        <v>0</v>
      </c>
      <c r="R1019">
        <v>0</v>
      </c>
      <c r="S1019">
        <v>0</v>
      </c>
      <c r="T1019">
        <v>0</v>
      </c>
      <c r="U1019">
        <v>0</v>
      </c>
      <c r="V1019">
        <v>0</v>
      </c>
      <c r="W1019">
        <v>0</v>
      </c>
      <c r="X1019">
        <v>0</v>
      </c>
      <c r="Y1019">
        <v>0</v>
      </c>
      <c r="Z1019">
        <v>0</v>
      </c>
      <c r="AA1019">
        <v>0</v>
      </c>
      <c r="AB1019">
        <v>0</v>
      </c>
      <c r="AC1019">
        <v>0</v>
      </c>
      <c r="AD1019">
        <v>0</v>
      </c>
      <c r="AE1019">
        <v>0</v>
      </c>
      <c r="AF1019">
        <v>0</v>
      </c>
      <c r="AG1019">
        <v>0</v>
      </c>
      <c r="AH1019" s="86">
        <f>AVERAGEIFS($C$2:C1019, $B$2:B1019, B1019)</f>
        <v>17.774999999999999</v>
      </c>
      <c r="AI1019" s="86">
        <f>AVERAGEIFS($I$2:I1019, $B$2:B1019, B1019)</f>
        <v>0.53749999999999987</v>
      </c>
      <c r="AJ1019" s="86">
        <f>AVERAGEIFS($J$2:J1019, $B$2:B1019, B1019)</f>
        <v>0.51950000000000007</v>
      </c>
      <c r="AK1019" s="86">
        <f>AVERAGEIFS($D$2:D1019, $B$2:B1019, B1019)</f>
        <v>0.5</v>
      </c>
    </row>
    <row r="1020" spans="1:37" x14ac:dyDescent="0.25">
      <c r="A1020" s="85">
        <v>46147</v>
      </c>
      <c r="B1020" t="s">
        <v>53</v>
      </c>
      <c r="C1020">
        <v>16</v>
      </c>
      <c r="D1020">
        <v>0</v>
      </c>
      <c r="E1020">
        <v>3</v>
      </c>
      <c r="F1020">
        <v>0</v>
      </c>
      <c r="G1020">
        <v>13</v>
      </c>
      <c r="H1020">
        <v>4</v>
      </c>
      <c r="I1020">
        <v>0</v>
      </c>
      <c r="J1020">
        <v>0.31</v>
      </c>
      <c r="K1020">
        <v>0</v>
      </c>
      <c r="L1020">
        <v>0</v>
      </c>
      <c r="M1020">
        <v>0</v>
      </c>
      <c r="N1020">
        <v>0</v>
      </c>
      <c r="O1020">
        <v>0</v>
      </c>
      <c r="P1020">
        <v>0</v>
      </c>
      <c r="Q1020">
        <v>0</v>
      </c>
      <c r="R1020">
        <v>0</v>
      </c>
      <c r="S1020">
        <v>0</v>
      </c>
      <c r="T1020">
        <v>0</v>
      </c>
      <c r="U1020">
        <v>0</v>
      </c>
      <c r="V1020">
        <v>0</v>
      </c>
      <c r="W1020">
        <v>0</v>
      </c>
      <c r="X1020">
        <v>0</v>
      </c>
      <c r="Y1020">
        <v>0</v>
      </c>
      <c r="Z1020">
        <v>0</v>
      </c>
      <c r="AA1020">
        <v>0</v>
      </c>
      <c r="AB1020">
        <v>0</v>
      </c>
      <c r="AC1020">
        <v>0</v>
      </c>
      <c r="AD1020">
        <v>0</v>
      </c>
      <c r="AE1020">
        <v>0</v>
      </c>
      <c r="AF1020">
        <v>0</v>
      </c>
      <c r="AG1020">
        <v>0</v>
      </c>
      <c r="AH1020" s="86">
        <f>AVERAGEIFS($C$2:C1020, $B$2:B1020, B1020)</f>
        <v>14.793103448275861</v>
      </c>
      <c r="AI1020" s="86">
        <f>AVERAGEIFS($I$2:I1020, $B$2:B1020, B1020)</f>
        <v>0.47758620689655179</v>
      </c>
      <c r="AJ1020" s="86">
        <f>AVERAGEIFS($J$2:J1020, $B$2:B1020, B1020)</f>
        <v>0.4875862068965518</v>
      </c>
      <c r="AK1020" s="86">
        <f>AVERAGEIFS($D$2:D1020, $B$2:B1020, B1020)</f>
        <v>0.37931034482758619</v>
      </c>
    </row>
    <row r="1021" spans="1:37" x14ac:dyDescent="0.25">
      <c r="A1021" s="85">
        <v>46147</v>
      </c>
      <c r="B1021" t="s">
        <v>18</v>
      </c>
      <c r="C1021">
        <v>22</v>
      </c>
      <c r="D1021">
        <v>0</v>
      </c>
      <c r="E1021">
        <v>3</v>
      </c>
      <c r="F1021">
        <v>0</v>
      </c>
      <c r="G1021">
        <v>13</v>
      </c>
      <c r="H1021">
        <v>4</v>
      </c>
      <c r="I1021">
        <v>0</v>
      </c>
      <c r="J1021">
        <v>0.31</v>
      </c>
      <c r="K1021">
        <v>0</v>
      </c>
      <c r="L1021">
        <v>0</v>
      </c>
      <c r="M1021">
        <v>0</v>
      </c>
      <c r="N1021">
        <v>0</v>
      </c>
      <c r="O1021">
        <v>0</v>
      </c>
      <c r="P1021">
        <v>0</v>
      </c>
      <c r="Q1021">
        <v>0</v>
      </c>
      <c r="R1021">
        <v>0</v>
      </c>
      <c r="S1021">
        <v>0</v>
      </c>
      <c r="T1021">
        <v>0</v>
      </c>
      <c r="U1021">
        <v>0</v>
      </c>
      <c r="V1021">
        <v>0</v>
      </c>
      <c r="W1021">
        <v>0</v>
      </c>
      <c r="X1021">
        <v>0</v>
      </c>
      <c r="Y1021">
        <v>0</v>
      </c>
      <c r="Z1021">
        <v>0</v>
      </c>
      <c r="AA1021">
        <v>0</v>
      </c>
      <c r="AB1021">
        <v>0</v>
      </c>
      <c r="AC1021">
        <v>0</v>
      </c>
      <c r="AD1021">
        <v>0</v>
      </c>
      <c r="AE1021">
        <v>0</v>
      </c>
      <c r="AF1021">
        <v>0</v>
      </c>
      <c r="AG1021">
        <v>0</v>
      </c>
      <c r="AH1021" s="86">
        <f>AVERAGEIFS($C$2:C1021, $B$2:B1021, B1021)</f>
        <v>18.875</v>
      </c>
      <c r="AI1021" s="86">
        <f>AVERAGEIFS($I$2:I1021, $B$2:B1021, B1021)</f>
        <v>0.66874999999999996</v>
      </c>
      <c r="AJ1021" s="86">
        <f>AVERAGEIFS($J$2:J1021, $B$2:B1021, B1021)</f>
        <v>0.58124999999999993</v>
      </c>
      <c r="AK1021" s="86">
        <f>AVERAGEIFS($D$2:D1021, $B$2:B1021, B1021)</f>
        <v>0.75</v>
      </c>
    </row>
    <row r="1022" spans="1:37" x14ac:dyDescent="0.25">
      <c r="A1022" s="85">
        <v>46147</v>
      </c>
      <c r="B1022" t="s">
        <v>50</v>
      </c>
      <c r="C1022">
        <v>16</v>
      </c>
      <c r="D1022">
        <v>0</v>
      </c>
      <c r="E1022">
        <v>3</v>
      </c>
      <c r="F1022">
        <v>0</v>
      </c>
      <c r="G1022">
        <v>13</v>
      </c>
      <c r="H1022">
        <v>4</v>
      </c>
      <c r="I1022">
        <v>0</v>
      </c>
      <c r="J1022">
        <v>0.31</v>
      </c>
      <c r="K1022">
        <v>0</v>
      </c>
      <c r="L1022">
        <v>0</v>
      </c>
      <c r="M1022">
        <v>0</v>
      </c>
      <c r="N1022">
        <v>0</v>
      </c>
      <c r="O1022">
        <v>0</v>
      </c>
      <c r="P1022">
        <v>0</v>
      </c>
      <c r="Q1022">
        <v>0</v>
      </c>
      <c r="R1022">
        <v>0</v>
      </c>
      <c r="S1022">
        <v>0</v>
      </c>
      <c r="T1022">
        <v>0</v>
      </c>
      <c r="U1022">
        <v>0</v>
      </c>
      <c r="V1022">
        <v>0</v>
      </c>
      <c r="W1022">
        <v>0</v>
      </c>
      <c r="X1022">
        <v>0</v>
      </c>
      <c r="Y1022">
        <v>0</v>
      </c>
      <c r="Z1022">
        <v>0</v>
      </c>
      <c r="AA1022">
        <v>0</v>
      </c>
      <c r="AB1022">
        <v>0</v>
      </c>
      <c r="AC1022">
        <v>0</v>
      </c>
      <c r="AD1022">
        <v>0</v>
      </c>
      <c r="AE1022">
        <v>0</v>
      </c>
      <c r="AF1022">
        <v>0</v>
      </c>
      <c r="AG1022">
        <v>0</v>
      </c>
      <c r="AH1022" s="86">
        <f>AVERAGEIFS($C$2:C1022, $B$2:B1022, B1022)</f>
        <v>17.837209302325583</v>
      </c>
      <c r="AI1022" s="86">
        <f>AVERAGEIFS($I$2:I1022, $B$2:B1022, B1022)</f>
        <v>0.49372093023255825</v>
      </c>
      <c r="AJ1022" s="86">
        <f>AVERAGEIFS($J$2:J1022, $B$2:B1022, B1022)</f>
        <v>0.50906976744186039</v>
      </c>
      <c r="AK1022" s="86">
        <f>AVERAGEIFS($D$2:D1022, $B$2:B1022, B1022)</f>
        <v>0.48837209302325579</v>
      </c>
    </row>
    <row r="1023" spans="1:37" x14ac:dyDescent="0.25">
      <c r="A1023" s="85">
        <v>46147</v>
      </c>
      <c r="B1023" t="s">
        <v>13</v>
      </c>
      <c r="C1023">
        <v>12</v>
      </c>
      <c r="D1023">
        <v>0</v>
      </c>
      <c r="E1023">
        <v>3</v>
      </c>
      <c r="F1023">
        <v>0</v>
      </c>
      <c r="G1023">
        <v>13</v>
      </c>
      <c r="H1023">
        <v>4</v>
      </c>
      <c r="I1023">
        <v>0</v>
      </c>
      <c r="J1023">
        <v>0.31</v>
      </c>
      <c r="K1023">
        <v>0</v>
      </c>
      <c r="L1023">
        <v>0</v>
      </c>
      <c r="M1023">
        <v>0</v>
      </c>
      <c r="N1023">
        <v>0</v>
      </c>
      <c r="O1023">
        <v>0</v>
      </c>
      <c r="P1023">
        <v>0</v>
      </c>
      <c r="Q1023">
        <v>0</v>
      </c>
      <c r="R1023">
        <v>0</v>
      </c>
      <c r="S1023">
        <v>0</v>
      </c>
      <c r="T1023">
        <v>0</v>
      </c>
      <c r="U1023">
        <v>0</v>
      </c>
      <c r="V1023">
        <v>0</v>
      </c>
      <c r="W1023">
        <v>0</v>
      </c>
      <c r="X1023">
        <v>0</v>
      </c>
      <c r="Y1023">
        <v>0</v>
      </c>
      <c r="Z1023">
        <v>0</v>
      </c>
      <c r="AA1023">
        <v>0</v>
      </c>
      <c r="AB1023">
        <v>0</v>
      </c>
      <c r="AC1023">
        <v>0</v>
      </c>
      <c r="AD1023">
        <v>0</v>
      </c>
      <c r="AE1023">
        <v>0</v>
      </c>
      <c r="AF1023">
        <v>0</v>
      </c>
      <c r="AG1023">
        <v>0</v>
      </c>
      <c r="AH1023" s="86">
        <f>AVERAGEIFS($C$2:C1023, $B$2:B1023, B1023)</f>
        <v>14</v>
      </c>
      <c r="AI1023" s="86">
        <f>AVERAGEIFS($I$2:I1023, $B$2:B1023, B1023)</f>
        <v>0.46944444444444439</v>
      </c>
      <c r="AJ1023" s="86">
        <f>AVERAGEIFS($J$2:J1023, $B$2:B1023, B1023)</f>
        <v>0.48666666666666664</v>
      </c>
      <c r="AK1023" s="86">
        <f>AVERAGEIFS($D$2:D1023, $B$2:B1023, B1023)</f>
        <v>0.3888888888888889</v>
      </c>
    </row>
    <row r="1024" spans="1:37" x14ac:dyDescent="0.25">
      <c r="A1024" s="85">
        <v>46147</v>
      </c>
      <c r="B1024" t="s">
        <v>42</v>
      </c>
      <c r="C1024">
        <v>10</v>
      </c>
      <c r="D1024">
        <v>1</v>
      </c>
      <c r="E1024">
        <v>3</v>
      </c>
      <c r="F1024">
        <v>3</v>
      </c>
      <c r="G1024">
        <v>13</v>
      </c>
      <c r="H1024">
        <v>9</v>
      </c>
      <c r="I1024">
        <v>1</v>
      </c>
      <c r="J1024">
        <v>0.69</v>
      </c>
      <c r="K1024">
        <v>0</v>
      </c>
      <c r="L1024">
        <v>0</v>
      </c>
      <c r="M1024">
        <v>0</v>
      </c>
      <c r="N1024">
        <v>0</v>
      </c>
      <c r="O1024">
        <v>0</v>
      </c>
      <c r="P1024">
        <v>0</v>
      </c>
      <c r="Q1024">
        <v>0</v>
      </c>
      <c r="R1024">
        <v>0</v>
      </c>
      <c r="S1024">
        <v>0</v>
      </c>
      <c r="T1024">
        <v>0</v>
      </c>
      <c r="U1024">
        <v>0</v>
      </c>
      <c r="V1024">
        <v>1</v>
      </c>
      <c r="W1024">
        <v>0</v>
      </c>
      <c r="X1024">
        <v>0</v>
      </c>
      <c r="Y1024">
        <v>1</v>
      </c>
      <c r="Z1024">
        <v>0</v>
      </c>
      <c r="AA1024">
        <v>0</v>
      </c>
      <c r="AB1024">
        <v>0</v>
      </c>
      <c r="AC1024">
        <v>0</v>
      </c>
      <c r="AD1024">
        <v>1</v>
      </c>
      <c r="AE1024">
        <v>0</v>
      </c>
      <c r="AF1024">
        <v>0</v>
      </c>
      <c r="AG1024">
        <v>0</v>
      </c>
      <c r="AH1024" s="86">
        <f>AVERAGEIFS($C$2:C1024, $B$2:B1024, B1024)</f>
        <v>18.170212765957448</v>
      </c>
      <c r="AI1024" s="86">
        <f>AVERAGEIFS($I$2:I1024, $B$2:B1024, B1024)</f>
        <v>0.45425531914893619</v>
      </c>
      <c r="AJ1024" s="86">
        <f>AVERAGEIFS($J$2:J1024, $B$2:B1024, B1024)</f>
        <v>0.45574468085106362</v>
      </c>
      <c r="AK1024" s="86">
        <f>AVERAGEIFS($D$2:D1024, $B$2:B1024, B1024)</f>
        <v>0.46808510638297873</v>
      </c>
    </row>
    <row r="1025" spans="1:37" x14ac:dyDescent="0.25">
      <c r="A1025" s="85">
        <v>46147</v>
      </c>
      <c r="B1025" t="s">
        <v>1</v>
      </c>
      <c r="C1025">
        <v>29</v>
      </c>
      <c r="D1025">
        <v>1</v>
      </c>
      <c r="E1025">
        <v>3</v>
      </c>
      <c r="F1025">
        <v>3</v>
      </c>
      <c r="G1025">
        <v>13</v>
      </c>
      <c r="H1025">
        <v>9</v>
      </c>
      <c r="I1025">
        <v>1</v>
      </c>
      <c r="J1025">
        <v>0.69</v>
      </c>
      <c r="K1025">
        <v>0</v>
      </c>
      <c r="L1025">
        <v>0</v>
      </c>
      <c r="M1025">
        <v>0</v>
      </c>
      <c r="N1025">
        <v>0</v>
      </c>
      <c r="O1025">
        <v>0</v>
      </c>
      <c r="P1025">
        <v>0</v>
      </c>
      <c r="Q1025">
        <v>0</v>
      </c>
      <c r="R1025">
        <v>0</v>
      </c>
      <c r="S1025">
        <v>0</v>
      </c>
      <c r="T1025">
        <v>0</v>
      </c>
      <c r="U1025">
        <v>0</v>
      </c>
      <c r="V1025">
        <v>1</v>
      </c>
      <c r="W1025">
        <v>0</v>
      </c>
      <c r="X1025">
        <v>0</v>
      </c>
      <c r="Y1025">
        <v>1</v>
      </c>
      <c r="Z1025">
        <v>0</v>
      </c>
      <c r="AA1025">
        <v>0</v>
      </c>
      <c r="AB1025">
        <v>0</v>
      </c>
      <c r="AC1025">
        <v>0</v>
      </c>
      <c r="AD1025">
        <v>1</v>
      </c>
      <c r="AE1025">
        <v>0</v>
      </c>
      <c r="AF1025">
        <v>0</v>
      </c>
      <c r="AG1025">
        <v>0</v>
      </c>
      <c r="AH1025" s="86">
        <f>AVERAGEIFS($C$2:C1025, $B$2:B1025, B1025)</f>
        <v>27.307692307692307</v>
      </c>
      <c r="AI1025" s="86">
        <f>AVERAGEIFS($I$2:I1025, $B$2:B1025, B1025)</f>
        <v>0.49615384615384617</v>
      </c>
      <c r="AJ1025" s="86">
        <f>AVERAGEIFS($J$2:J1025, $B$2:B1025, B1025)</f>
        <v>0.49948717948717958</v>
      </c>
      <c r="AK1025" s="86">
        <f>AVERAGEIFS($D$2:D1025, $B$2:B1025, B1025)</f>
        <v>0.51282051282051277</v>
      </c>
    </row>
    <row r="1026" spans="1:37" x14ac:dyDescent="0.25">
      <c r="A1026" s="85">
        <v>46147</v>
      </c>
      <c r="B1026" t="s">
        <v>6</v>
      </c>
      <c r="C1026">
        <v>30</v>
      </c>
      <c r="D1026">
        <v>1</v>
      </c>
      <c r="E1026">
        <v>3</v>
      </c>
      <c r="F1026">
        <v>3</v>
      </c>
      <c r="G1026">
        <v>13</v>
      </c>
      <c r="H1026">
        <v>9</v>
      </c>
      <c r="I1026">
        <v>1</v>
      </c>
      <c r="J1026">
        <v>0.69</v>
      </c>
      <c r="K1026">
        <v>0</v>
      </c>
      <c r="L1026">
        <v>0</v>
      </c>
      <c r="M1026">
        <v>0</v>
      </c>
      <c r="N1026">
        <v>0</v>
      </c>
      <c r="O1026">
        <v>0</v>
      </c>
      <c r="P1026">
        <v>0</v>
      </c>
      <c r="Q1026">
        <v>0</v>
      </c>
      <c r="R1026">
        <v>0</v>
      </c>
      <c r="S1026">
        <v>0</v>
      </c>
      <c r="T1026">
        <v>0</v>
      </c>
      <c r="U1026">
        <v>0</v>
      </c>
      <c r="V1026">
        <v>1</v>
      </c>
      <c r="W1026">
        <v>0</v>
      </c>
      <c r="X1026">
        <v>0</v>
      </c>
      <c r="Y1026">
        <v>1</v>
      </c>
      <c r="Z1026">
        <v>0</v>
      </c>
      <c r="AA1026">
        <v>0</v>
      </c>
      <c r="AB1026">
        <v>0</v>
      </c>
      <c r="AC1026">
        <v>0</v>
      </c>
      <c r="AD1026">
        <v>1</v>
      </c>
      <c r="AE1026">
        <v>0</v>
      </c>
      <c r="AF1026">
        <v>0</v>
      </c>
      <c r="AG1026">
        <v>0</v>
      </c>
      <c r="AH1026" s="86">
        <f>AVERAGEIFS($C$2:C1026, $B$2:B1026, B1026)</f>
        <v>22.439393939393938</v>
      </c>
      <c r="AI1026" s="86">
        <f>AVERAGEIFS($I$2:I1026, $B$2:B1026, B1026)</f>
        <v>0.54060606060606076</v>
      </c>
      <c r="AJ1026" s="86">
        <f>AVERAGEIFS($J$2:J1026, $B$2:B1026, B1026)</f>
        <v>0.52242424242424235</v>
      </c>
      <c r="AK1026" s="86">
        <f>AVERAGEIFS($D$2:D1026, $B$2:B1026, B1026)</f>
        <v>0.60606060606060608</v>
      </c>
    </row>
    <row r="1027" spans="1:37" x14ac:dyDescent="0.25">
      <c r="A1027" s="85">
        <v>46147</v>
      </c>
      <c r="B1027" t="s">
        <v>4</v>
      </c>
      <c r="C1027">
        <v>31</v>
      </c>
      <c r="D1027">
        <v>1</v>
      </c>
      <c r="E1027">
        <v>3</v>
      </c>
      <c r="F1027">
        <v>3</v>
      </c>
      <c r="G1027">
        <v>13</v>
      </c>
      <c r="H1027">
        <v>9</v>
      </c>
      <c r="I1027">
        <v>1</v>
      </c>
      <c r="J1027">
        <v>0.69</v>
      </c>
      <c r="K1027">
        <v>0</v>
      </c>
      <c r="L1027">
        <v>0</v>
      </c>
      <c r="M1027">
        <v>0</v>
      </c>
      <c r="N1027">
        <v>0</v>
      </c>
      <c r="O1027">
        <v>0</v>
      </c>
      <c r="P1027">
        <v>0</v>
      </c>
      <c r="Q1027">
        <v>0</v>
      </c>
      <c r="R1027">
        <v>0</v>
      </c>
      <c r="S1027">
        <v>0</v>
      </c>
      <c r="T1027">
        <v>0</v>
      </c>
      <c r="U1027">
        <v>0</v>
      </c>
      <c r="V1027">
        <v>1</v>
      </c>
      <c r="W1027">
        <v>0</v>
      </c>
      <c r="X1027">
        <v>0</v>
      </c>
      <c r="Y1027">
        <v>1</v>
      </c>
      <c r="Z1027">
        <v>0</v>
      </c>
      <c r="AA1027">
        <v>0</v>
      </c>
      <c r="AB1027">
        <v>0</v>
      </c>
      <c r="AC1027">
        <v>0</v>
      </c>
      <c r="AD1027">
        <v>1</v>
      </c>
      <c r="AE1027">
        <v>0</v>
      </c>
      <c r="AF1027">
        <v>0</v>
      </c>
      <c r="AG1027">
        <v>0</v>
      </c>
      <c r="AH1027" s="86">
        <f>AVERAGEIFS($C$2:C1027, $B$2:B1027, B1027)</f>
        <v>24.805555555555557</v>
      </c>
      <c r="AI1027" s="86">
        <f>AVERAGEIFS($I$2:I1027, $B$2:B1027, B1027)</f>
        <v>0.44999999999999996</v>
      </c>
      <c r="AJ1027" s="86">
        <f>AVERAGEIFS($J$2:J1027, $B$2:B1027, B1027)</f>
        <v>0.46527777777777779</v>
      </c>
      <c r="AK1027" s="86">
        <f>AVERAGEIFS($D$2:D1027, $B$2:B1027, B1027)</f>
        <v>0.3611111111111111</v>
      </c>
    </row>
    <row r="1028" spans="1:37" x14ac:dyDescent="0.25">
      <c r="A1028" s="85">
        <v>46147</v>
      </c>
      <c r="B1028" t="s">
        <v>17</v>
      </c>
      <c r="C1028">
        <v>16</v>
      </c>
      <c r="D1028">
        <v>1</v>
      </c>
      <c r="E1028">
        <v>3</v>
      </c>
      <c r="F1028">
        <v>3</v>
      </c>
      <c r="G1028">
        <v>13</v>
      </c>
      <c r="H1028">
        <v>9</v>
      </c>
      <c r="I1028">
        <v>1</v>
      </c>
      <c r="J1028">
        <v>0.69</v>
      </c>
      <c r="K1028">
        <v>0</v>
      </c>
      <c r="L1028">
        <v>0</v>
      </c>
      <c r="M1028">
        <v>0</v>
      </c>
      <c r="N1028">
        <v>0</v>
      </c>
      <c r="O1028">
        <v>0</v>
      </c>
      <c r="P1028">
        <v>0</v>
      </c>
      <c r="Q1028">
        <v>0</v>
      </c>
      <c r="R1028">
        <v>0</v>
      </c>
      <c r="S1028">
        <v>0</v>
      </c>
      <c r="T1028">
        <v>0</v>
      </c>
      <c r="U1028">
        <v>0</v>
      </c>
      <c r="V1028">
        <v>1</v>
      </c>
      <c r="W1028">
        <v>0</v>
      </c>
      <c r="X1028">
        <v>0</v>
      </c>
      <c r="Y1028">
        <v>1</v>
      </c>
      <c r="Z1028">
        <v>0</v>
      </c>
      <c r="AA1028">
        <v>0</v>
      </c>
      <c r="AB1028">
        <v>0</v>
      </c>
      <c r="AC1028">
        <v>0</v>
      </c>
      <c r="AD1028">
        <v>1</v>
      </c>
      <c r="AE1028">
        <v>0</v>
      </c>
      <c r="AF1028">
        <v>0</v>
      </c>
      <c r="AG1028">
        <v>0</v>
      </c>
      <c r="AH1028" s="86">
        <f>AVERAGEIFS($C$2:C1028, $B$2:B1028, B1028)</f>
        <v>19.824999999999999</v>
      </c>
      <c r="AI1028" s="86">
        <f>AVERAGEIFS($I$2:I1028, $B$2:B1028, B1028)</f>
        <v>0.54800000000000004</v>
      </c>
      <c r="AJ1028" s="86">
        <f>AVERAGEIFS($J$2:J1028, $B$2:B1028, B1028)</f>
        <v>0.50350000000000006</v>
      </c>
      <c r="AK1028" s="86">
        <f>AVERAGEIFS($D$2:D1028, $B$2:B1028, B1028)</f>
        <v>0.57499999999999996</v>
      </c>
    </row>
    <row r="1029" spans="1:37" x14ac:dyDescent="0.25">
      <c r="A1029" s="85">
        <v>46147</v>
      </c>
      <c r="B1029" t="s">
        <v>141</v>
      </c>
      <c r="C1029">
        <v>14</v>
      </c>
      <c r="D1029">
        <v>1</v>
      </c>
      <c r="E1029">
        <v>3</v>
      </c>
      <c r="F1029">
        <v>3</v>
      </c>
      <c r="G1029">
        <v>13</v>
      </c>
      <c r="H1029">
        <v>9</v>
      </c>
      <c r="I1029">
        <v>1</v>
      </c>
      <c r="J1029">
        <v>0.69</v>
      </c>
      <c r="K1029">
        <v>0</v>
      </c>
      <c r="L1029">
        <v>0</v>
      </c>
      <c r="M1029">
        <v>0</v>
      </c>
      <c r="N1029">
        <v>0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0</v>
      </c>
      <c r="U1029">
        <v>0</v>
      </c>
      <c r="V1029">
        <v>1</v>
      </c>
      <c r="W1029">
        <v>0</v>
      </c>
      <c r="X1029">
        <v>0</v>
      </c>
      <c r="Y1029">
        <v>1</v>
      </c>
      <c r="Z1029">
        <v>0</v>
      </c>
      <c r="AA1029">
        <v>0</v>
      </c>
      <c r="AB1029">
        <v>0</v>
      </c>
      <c r="AC1029">
        <v>0</v>
      </c>
      <c r="AD1029">
        <v>1</v>
      </c>
      <c r="AE1029">
        <v>0</v>
      </c>
      <c r="AF1029">
        <v>0</v>
      </c>
      <c r="AG1029">
        <v>0</v>
      </c>
      <c r="AH1029" s="86">
        <f>AVERAGEIFS($C$2:C1029, $B$2:B1029, B1029)</f>
        <v>14.066666666666666</v>
      </c>
      <c r="AI1029" s="86">
        <f>AVERAGEIFS($I$2:I1029, $B$2:B1029, B1029)</f>
        <v>0.5033333333333333</v>
      </c>
      <c r="AJ1029" s="86">
        <f>AVERAGEIFS($J$2:J1029, $B$2:B1029, B1029)</f>
        <v>0.51133333333333342</v>
      </c>
      <c r="AK1029" s="86">
        <f>AVERAGEIFS($D$2:D1029, $B$2:B1029, B1029)</f>
        <v>0.6</v>
      </c>
    </row>
    <row r="1030" spans="1:37" x14ac:dyDescent="0.25">
      <c r="A1030" s="85">
        <v>46147</v>
      </c>
      <c r="B1030" t="s">
        <v>14</v>
      </c>
      <c r="C1030">
        <v>14</v>
      </c>
      <c r="D1030">
        <v>1</v>
      </c>
      <c r="E1030">
        <v>3</v>
      </c>
      <c r="F1030">
        <v>3</v>
      </c>
      <c r="G1030">
        <v>13</v>
      </c>
      <c r="H1030">
        <v>9</v>
      </c>
      <c r="I1030">
        <v>1</v>
      </c>
      <c r="J1030">
        <v>0.69</v>
      </c>
      <c r="K1030">
        <v>0</v>
      </c>
      <c r="L1030">
        <v>0</v>
      </c>
      <c r="M1030">
        <v>0</v>
      </c>
      <c r="N1030">
        <v>0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0</v>
      </c>
      <c r="U1030">
        <v>0</v>
      </c>
      <c r="V1030">
        <v>1</v>
      </c>
      <c r="W1030">
        <v>0</v>
      </c>
      <c r="X1030">
        <v>0</v>
      </c>
      <c r="Y1030">
        <v>1</v>
      </c>
      <c r="Z1030">
        <v>0</v>
      </c>
      <c r="AA1030">
        <v>0</v>
      </c>
      <c r="AB1030">
        <v>0</v>
      </c>
      <c r="AC1030">
        <v>0</v>
      </c>
      <c r="AD1030">
        <v>1</v>
      </c>
      <c r="AE1030">
        <v>0</v>
      </c>
      <c r="AF1030">
        <v>0</v>
      </c>
      <c r="AG1030">
        <v>0</v>
      </c>
      <c r="AH1030" s="86">
        <f>AVERAGEIFS($C$2:C1030, $B$2:B1030, B1030)</f>
        <v>16.761904761904763</v>
      </c>
      <c r="AI1030" s="86">
        <f>AVERAGEIFS($I$2:I1030, $B$2:B1030, B1030)</f>
        <v>0.48190476190476189</v>
      </c>
      <c r="AJ1030" s="86">
        <f>AVERAGEIFS($J$2:J1030, $B$2:B1030, B1030)</f>
        <v>0.49666666666666665</v>
      </c>
      <c r="AK1030" s="86">
        <f>AVERAGEIFS($D$2:D1030, $B$2:B1030, B1030)</f>
        <v>0.47619047619047616</v>
      </c>
    </row>
    <row r="1031" spans="1:37" x14ac:dyDescent="0.25">
      <c r="A1031" s="85">
        <v>46147</v>
      </c>
      <c r="B1031" t="s">
        <v>44</v>
      </c>
      <c r="C1031">
        <v>19</v>
      </c>
      <c r="D1031">
        <v>1</v>
      </c>
      <c r="E1031">
        <v>3</v>
      </c>
      <c r="F1031">
        <v>3</v>
      </c>
      <c r="G1031">
        <v>13</v>
      </c>
      <c r="H1031">
        <v>9</v>
      </c>
      <c r="I1031">
        <v>1</v>
      </c>
      <c r="J1031">
        <v>0.69</v>
      </c>
      <c r="K1031">
        <v>0</v>
      </c>
      <c r="L1031">
        <v>0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0</v>
      </c>
      <c r="S1031">
        <v>0</v>
      </c>
      <c r="T1031">
        <v>0</v>
      </c>
      <c r="U1031">
        <v>0</v>
      </c>
      <c r="V1031">
        <v>1</v>
      </c>
      <c r="W1031">
        <v>0</v>
      </c>
      <c r="X1031">
        <v>0</v>
      </c>
      <c r="Y1031">
        <v>1</v>
      </c>
      <c r="Z1031">
        <v>0</v>
      </c>
      <c r="AA1031">
        <v>0</v>
      </c>
      <c r="AB1031">
        <v>0</v>
      </c>
      <c r="AC1031">
        <v>0</v>
      </c>
      <c r="AD1031">
        <v>1</v>
      </c>
      <c r="AE1031">
        <v>0</v>
      </c>
      <c r="AF1031">
        <v>0</v>
      </c>
      <c r="AG1031">
        <v>0</v>
      </c>
      <c r="AH1031" s="86">
        <f>AVERAGEIFS($C$2:C1031, $B$2:B1031, B1031)</f>
        <v>16.666666666666668</v>
      </c>
      <c r="AI1031" s="86">
        <f>AVERAGEIFS($I$2:I1031, $B$2:B1031, B1031)</f>
        <v>0.54888888888888887</v>
      </c>
      <c r="AJ1031" s="86">
        <f>AVERAGEIFS($J$2:J1031, $B$2:B1031, B1031)</f>
        <v>0.5411111111111111</v>
      </c>
      <c r="AK1031" s="86">
        <f>AVERAGEIFS($D$2:D1031, $B$2:B1031, B1031)</f>
        <v>0.64444444444444449</v>
      </c>
    </row>
    <row r="1032" spans="1:37" x14ac:dyDescent="0.25">
      <c r="A1032" s="85">
        <v>46147</v>
      </c>
      <c r="B1032" t="s">
        <v>42</v>
      </c>
      <c r="C1032">
        <v>10</v>
      </c>
      <c r="D1032">
        <v>1</v>
      </c>
      <c r="E1032">
        <v>3</v>
      </c>
      <c r="F1032">
        <v>3</v>
      </c>
      <c r="G1032">
        <v>14</v>
      </c>
      <c r="H1032">
        <v>9</v>
      </c>
      <c r="I1032">
        <v>1</v>
      </c>
      <c r="J1032">
        <v>0.64</v>
      </c>
      <c r="K1032">
        <v>0</v>
      </c>
      <c r="L1032">
        <v>1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0</v>
      </c>
      <c r="U1032">
        <v>0</v>
      </c>
      <c r="V1032">
        <v>0</v>
      </c>
      <c r="W1032">
        <v>0</v>
      </c>
      <c r="X1032">
        <v>0</v>
      </c>
      <c r="Y1032">
        <v>0</v>
      </c>
      <c r="Z1032">
        <v>1</v>
      </c>
      <c r="AA1032">
        <v>0</v>
      </c>
      <c r="AB1032">
        <v>0</v>
      </c>
      <c r="AC1032">
        <v>1</v>
      </c>
      <c r="AD1032">
        <v>0</v>
      </c>
      <c r="AE1032">
        <v>0</v>
      </c>
      <c r="AF1032">
        <v>0</v>
      </c>
      <c r="AG1032">
        <v>0</v>
      </c>
      <c r="AH1032" s="86">
        <f>AVERAGEIFS($C$2:C1032, $B$2:B1032, B1032)</f>
        <v>18</v>
      </c>
      <c r="AI1032" s="86">
        <f>AVERAGEIFS($I$2:I1032, $B$2:B1032, B1032)</f>
        <v>0.46562500000000001</v>
      </c>
      <c r="AJ1032" s="86">
        <f>AVERAGEIFS($J$2:J1032, $B$2:B1032, B1032)</f>
        <v>0.45958333333333318</v>
      </c>
      <c r="AK1032" s="86">
        <f>AVERAGEIFS($D$2:D1032, $B$2:B1032, B1032)</f>
        <v>0.47916666666666669</v>
      </c>
    </row>
    <row r="1033" spans="1:37" x14ac:dyDescent="0.25">
      <c r="A1033" s="85">
        <v>46147</v>
      </c>
      <c r="B1033" t="s">
        <v>6</v>
      </c>
      <c r="C1033">
        <v>13</v>
      </c>
      <c r="D1033">
        <v>1</v>
      </c>
      <c r="E1033">
        <v>3</v>
      </c>
      <c r="F1033">
        <v>3</v>
      </c>
      <c r="G1033">
        <v>14</v>
      </c>
      <c r="H1033">
        <v>9</v>
      </c>
      <c r="I1033">
        <v>1</v>
      </c>
      <c r="J1033">
        <v>0.64</v>
      </c>
      <c r="K1033">
        <v>0</v>
      </c>
      <c r="L1033">
        <v>1</v>
      </c>
      <c r="M1033">
        <v>0</v>
      </c>
      <c r="N1033">
        <v>0</v>
      </c>
      <c r="O1033">
        <v>0</v>
      </c>
      <c r="P1033">
        <v>0</v>
      </c>
      <c r="Q1033">
        <v>0</v>
      </c>
      <c r="R1033">
        <v>0</v>
      </c>
      <c r="S1033">
        <v>0</v>
      </c>
      <c r="T1033">
        <v>0</v>
      </c>
      <c r="U1033">
        <v>0</v>
      </c>
      <c r="V1033">
        <v>0</v>
      </c>
      <c r="W1033">
        <v>0</v>
      </c>
      <c r="X1033">
        <v>0</v>
      </c>
      <c r="Y1033">
        <v>0</v>
      </c>
      <c r="Z1033">
        <v>1</v>
      </c>
      <c r="AA1033">
        <v>0</v>
      </c>
      <c r="AB1033">
        <v>0</v>
      </c>
      <c r="AC1033">
        <v>1</v>
      </c>
      <c r="AD1033">
        <v>0</v>
      </c>
      <c r="AE1033">
        <v>0</v>
      </c>
      <c r="AF1033">
        <v>0</v>
      </c>
      <c r="AG1033">
        <v>0</v>
      </c>
      <c r="AH1033" s="86">
        <f>AVERAGEIFS($C$2:C1033, $B$2:B1033, B1033)</f>
        <v>22.298507462686569</v>
      </c>
      <c r="AI1033" s="86">
        <f>AVERAGEIFS($I$2:I1033, $B$2:B1033, B1033)</f>
        <v>0.54746268656716424</v>
      </c>
      <c r="AJ1033" s="86">
        <f>AVERAGEIFS($J$2:J1033, $B$2:B1033, B1033)</f>
        <v>0.52417910447761196</v>
      </c>
      <c r="AK1033" s="86">
        <f>AVERAGEIFS($D$2:D1033, $B$2:B1033, B1033)</f>
        <v>0.61194029850746268</v>
      </c>
    </row>
    <row r="1034" spans="1:37" x14ac:dyDescent="0.25">
      <c r="A1034" s="85">
        <v>46147</v>
      </c>
      <c r="B1034" t="s">
        <v>113</v>
      </c>
      <c r="C1034">
        <v>15</v>
      </c>
      <c r="D1034">
        <v>1</v>
      </c>
      <c r="E1034">
        <v>3</v>
      </c>
      <c r="F1034">
        <v>3</v>
      </c>
      <c r="G1034">
        <v>14</v>
      </c>
      <c r="H1034">
        <v>9</v>
      </c>
      <c r="I1034">
        <v>1</v>
      </c>
      <c r="J1034">
        <v>0.64</v>
      </c>
      <c r="K1034">
        <v>0</v>
      </c>
      <c r="L1034">
        <v>1</v>
      </c>
      <c r="M1034">
        <v>0</v>
      </c>
      <c r="N1034">
        <v>0</v>
      </c>
      <c r="O1034">
        <v>0</v>
      </c>
      <c r="P1034">
        <v>0</v>
      </c>
      <c r="Q1034">
        <v>0</v>
      </c>
      <c r="R1034">
        <v>0</v>
      </c>
      <c r="S1034">
        <v>0</v>
      </c>
      <c r="T1034">
        <v>0</v>
      </c>
      <c r="U1034">
        <v>0</v>
      </c>
      <c r="V1034">
        <v>0</v>
      </c>
      <c r="W1034">
        <v>0</v>
      </c>
      <c r="X1034">
        <v>0</v>
      </c>
      <c r="Y1034">
        <v>0</v>
      </c>
      <c r="Z1034">
        <v>1</v>
      </c>
      <c r="AA1034">
        <v>0</v>
      </c>
      <c r="AB1034">
        <v>0</v>
      </c>
      <c r="AC1034">
        <v>1</v>
      </c>
      <c r="AD1034">
        <v>0</v>
      </c>
      <c r="AE1034">
        <v>0</v>
      </c>
      <c r="AF1034">
        <v>0</v>
      </c>
      <c r="AG1034">
        <v>0</v>
      </c>
      <c r="AH1034" s="86">
        <f>AVERAGEIFS($C$2:C1034, $B$2:B1034, B1034)</f>
        <v>17.707317073170731</v>
      </c>
      <c r="AI1034" s="86">
        <f>AVERAGEIFS($I$2:I1034, $B$2:B1034, B1034)</f>
        <v>0.54878048780487798</v>
      </c>
      <c r="AJ1034" s="86">
        <f>AVERAGEIFS($J$2:J1034, $B$2:B1034, B1034)</f>
        <v>0.52243902439024403</v>
      </c>
      <c r="AK1034" s="86">
        <f>AVERAGEIFS($D$2:D1034, $B$2:B1034, B1034)</f>
        <v>0.51219512195121952</v>
      </c>
    </row>
    <row r="1035" spans="1:37" x14ac:dyDescent="0.25">
      <c r="A1035" s="85">
        <v>46147</v>
      </c>
      <c r="B1035" t="s">
        <v>18</v>
      </c>
      <c r="C1035">
        <v>10</v>
      </c>
      <c r="D1035">
        <v>1</v>
      </c>
      <c r="E1035">
        <v>3</v>
      </c>
      <c r="F1035">
        <v>3</v>
      </c>
      <c r="G1035">
        <v>14</v>
      </c>
      <c r="H1035">
        <v>9</v>
      </c>
      <c r="I1035">
        <v>1</v>
      </c>
      <c r="J1035">
        <v>0.64</v>
      </c>
      <c r="K1035">
        <v>0</v>
      </c>
      <c r="L1035">
        <v>1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T1035">
        <v>0</v>
      </c>
      <c r="U1035">
        <v>0</v>
      </c>
      <c r="V1035">
        <v>0</v>
      </c>
      <c r="W1035">
        <v>0</v>
      </c>
      <c r="X1035">
        <v>0</v>
      </c>
      <c r="Y1035">
        <v>0</v>
      </c>
      <c r="Z1035">
        <v>1</v>
      </c>
      <c r="AA1035">
        <v>0</v>
      </c>
      <c r="AB1035">
        <v>0</v>
      </c>
      <c r="AC1035">
        <v>1</v>
      </c>
      <c r="AD1035">
        <v>0</v>
      </c>
      <c r="AE1035">
        <v>0</v>
      </c>
      <c r="AF1035">
        <v>0</v>
      </c>
      <c r="AG1035">
        <v>0</v>
      </c>
      <c r="AH1035" s="86">
        <f>AVERAGEIFS($C$2:C1035, $B$2:B1035, B1035)</f>
        <v>17.888888888888889</v>
      </c>
      <c r="AI1035" s="86">
        <f>AVERAGEIFS($I$2:I1035, $B$2:B1035, B1035)</f>
        <v>0.70555555555555549</v>
      </c>
      <c r="AJ1035" s="86">
        <f>AVERAGEIFS($J$2:J1035, $B$2:B1035, B1035)</f>
        <v>0.58777777777777773</v>
      </c>
      <c r="AK1035" s="86">
        <f>AVERAGEIFS($D$2:D1035, $B$2:B1035, B1035)</f>
        <v>0.77777777777777779</v>
      </c>
    </row>
    <row r="1036" spans="1:37" x14ac:dyDescent="0.25">
      <c r="A1036" s="85">
        <v>46147</v>
      </c>
      <c r="B1036" t="s">
        <v>147</v>
      </c>
      <c r="C1036">
        <v>11</v>
      </c>
      <c r="D1036">
        <v>1</v>
      </c>
      <c r="E1036">
        <v>3</v>
      </c>
      <c r="F1036">
        <v>3</v>
      </c>
      <c r="G1036">
        <v>14</v>
      </c>
      <c r="H1036">
        <v>9</v>
      </c>
      <c r="I1036">
        <v>1</v>
      </c>
      <c r="J1036">
        <v>0.64</v>
      </c>
      <c r="K1036">
        <v>0</v>
      </c>
      <c r="L1036">
        <v>1</v>
      </c>
      <c r="M1036">
        <v>0</v>
      </c>
      <c r="N1036">
        <v>0</v>
      </c>
      <c r="O1036">
        <v>0</v>
      </c>
      <c r="P1036">
        <v>0</v>
      </c>
      <c r="Q1036">
        <v>0</v>
      </c>
      <c r="R1036">
        <v>0</v>
      </c>
      <c r="S1036">
        <v>0</v>
      </c>
      <c r="T1036">
        <v>0</v>
      </c>
      <c r="U1036">
        <v>0</v>
      </c>
      <c r="V1036">
        <v>0</v>
      </c>
      <c r="W1036">
        <v>0</v>
      </c>
      <c r="X1036">
        <v>0</v>
      </c>
      <c r="Y1036">
        <v>0</v>
      </c>
      <c r="Z1036">
        <v>1</v>
      </c>
      <c r="AA1036">
        <v>0</v>
      </c>
      <c r="AB1036">
        <v>0</v>
      </c>
      <c r="AC1036">
        <v>1</v>
      </c>
      <c r="AD1036">
        <v>0</v>
      </c>
      <c r="AE1036">
        <v>0</v>
      </c>
      <c r="AF1036">
        <v>0</v>
      </c>
      <c r="AG1036">
        <v>0</v>
      </c>
      <c r="AH1036" s="86">
        <f>AVERAGEIFS($C$2:C1036, $B$2:B1036, B1036)</f>
        <v>12.666666666666666</v>
      </c>
      <c r="AI1036" s="86">
        <f>AVERAGEIFS($I$2:I1036, $B$2:B1036, B1036)</f>
        <v>0.55000000000000004</v>
      </c>
      <c r="AJ1036" s="86">
        <f>AVERAGEIFS($J$2:J1036, $B$2:B1036, B1036)</f>
        <v>0.52833333333333343</v>
      </c>
      <c r="AK1036" s="86">
        <f>AVERAGEIFS($D$2:D1036, $B$2:B1036, B1036)</f>
        <v>0.5</v>
      </c>
    </row>
    <row r="1037" spans="1:37" x14ac:dyDescent="0.25">
      <c r="A1037" s="85">
        <v>46147</v>
      </c>
      <c r="B1037" t="s">
        <v>13</v>
      </c>
      <c r="C1037">
        <v>17</v>
      </c>
      <c r="D1037">
        <v>1</v>
      </c>
      <c r="E1037">
        <v>3</v>
      </c>
      <c r="F1037">
        <v>3</v>
      </c>
      <c r="G1037">
        <v>14</v>
      </c>
      <c r="H1037">
        <v>9</v>
      </c>
      <c r="I1037">
        <v>1</v>
      </c>
      <c r="J1037">
        <v>0.64</v>
      </c>
      <c r="K1037">
        <v>0</v>
      </c>
      <c r="L1037">
        <v>1</v>
      </c>
      <c r="M1037">
        <v>0</v>
      </c>
      <c r="N1037">
        <v>0</v>
      </c>
      <c r="O1037">
        <v>0</v>
      </c>
      <c r="P1037">
        <v>0</v>
      </c>
      <c r="Q1037">
        <v>0</v>
      </c>
      <c r="R1037">
        <v>0</v>
      </c>
      <c r="S1037">
        <v>0</v>
      </c>
      <c r="T1037">
        <v>0</v>
      </c>
      <c r="U1037">
        <v>0</v>
      </c>
      <c r="V1037">
        <v>0</v>
      </c>
      <c r="W1037">
        <v>0</v>
      </c>
      <c r="X1037">
        <v>0</v>
      </c>
      <c r="Y1037">
        <v>0</v>
      </c>
      <c r="Z1037">
        <v>1</v>
      </c>
      <c r="AA1037">
        <v>0</v>
      </c>
      <c r="AB1037">
        <v>0</v>
      </c>
      <c r="AC1037">
        <v>1</v>
      </c>
      <c r="AD1037">
        <v>0</v>
      </c>
      <c r="AE1037">
        <v>0</v>
      </c>
      <c r="AF1037">
        <v>0</v>
      </c>
      <c r="AG1037">
        <v>0</v>
      </c>
      <c r="AH1037" s="86">
        <f>AVERAGEIFS($C$2:C1037, $B$2:B1037, B1037)</f>
        <v>14.157894736842104</v>
      </c>
      <c r="AI1037" s="86">
        <f>AVERAGEIFS($I$2:I1037, $B$2:B1037, B1037)</f>
        <v>0.49736842105263152</v>
      </c>
      <c r="AJ1037" s="86">
        <f>AVERAGEIFS($J$2:J1037, $B$2:B1037, B1037)</f>
        <v>0.4947368421052632</v>
      </c>
      <c r="AK1037" s="86">
        <f>AVERAGEIFS($D$2:D1037, $B$2:B1037, B1037)</f>
        <v>0.42105263157894735</v>
      </c>
    </row>
    <row r="1038" spans="1:37" x14ac:dyDescent="0.25">
      <c r="A1038" s="85">
        <v>46147</v>
      </c>
      <c r="B1038" t="s">
        <v>40</v>
      </c>
      <c r="C1038">
        <v>13</v>
      </c>
      <c r="D1038">
        <v>0</v>
      </c>
      <c r="E1038">
        <v>3</v>
      </c>
      <c r="F1038">
        <v>0</v>
      </c>
      <c r="G1038">
        <v>14</v>
      </c>
      <c r="H1038">
        <v>5</v>
      </c>
      <c r="I1038">
        <v>0</v>
      </c>
      <c r="J1038">
        <v>0.36</v>
      </c>
      <c r="K1038">
        <v>0</v>
      </c>
      <c r="L1038">
        <v>0</v>
      </c>
      <c r="M1038">
        <v>0</v>
      </c>
      <c r="N1038">
        <v>0</v>
      </c>
      <c r="O1038">
        <v>0</v>
      </c>
      <c r="P1038">
        <v>0</v>
      </c>
      <c r="Q1038">
        <v>0</v>
      </c>
      <c r="R1038">
        <v>0</v>
      </c>
      <c r="S1038">
        <v>0</v>
      </c>
      <c r="T1038">
        <v>0</v>
      </c>
      <c r="U1038">
        <v>0</v>
      </c>
      <c r="V1038">
        <v>0</v>
      </c>
      <c r="W1038">
        <v>0</v>
      </c>
      <c r="X1038">
        <v>0</v>
      </c>
      <c r="Y1038">
        <v>0</v>
      </c>
      <c r="Z1038">
        <v>0</v>
      </c>
      <c r="AA1038">
        <v>0</v>
      </c>
      <c r="AB1038">
        <v>0</v>
      </c>
      <c r="AC1038">
        <v>0</v>
      </c>
      <c r="AD1038">
        <v>0</v>
      </c>
      <c r="AE1038">
        <v>0</v>
      </c>
      <c r="AF1038">
        <v>0</v>
      </c>
      <c r="AG1038">
        <v>0</v>
      </c>
      <c r="AH1038" s="86">
        <f>AVERAGEIFS($C$2:C1038, $B$2:B1038, B1038)</f>
        <v>18.6875</v>
      </c>
      <c r="AI1038" s="86">
        <f>AVERAGEIFS($I$2:I1038, $B$2:B1038, B1038)</f>
        <v>0.47499999999999987</v>
      </c>
      <c r="AJ1038" s="86">
        <f>AVERAGEIFS($J$2:J1038, $B$2:B1038, B1038)</f>
        <v>0.48328125000000005</v>
      </c>
      <c r="AK1038" s="86">
        <f>AVERAGEIFS($D$2:D1038, $B$2:B1038, B1038)</f>
        <v>0.421875</v>
      </c>
    </row>
    <row r="1039" spans="1:37" x14ac:dyDescent="0.25">
      <c r="A1039" s="85">
        <v>46147</v>
      </c>
      <c r="B1039" t="s">
        <v>5</v>
      </c>
      <c r="C1039">
        <v>9</v>
      </c>
      <c r="D1039">
        <v>0</v>
      </c>
      <c r="E1039">
        <v>3</v>
      </c>
      <c r="F1039">
        <v>0</v>
      </c>
      <c r="G1039">
        <v>14</v>
      </c>
      <c r="H1039">
        <v>5</v>
      </c>
      <c r="I1039">
        <v>0</v>
      </c>
      <c r="J1039">
        <v>0.36</v>
      </c>
      <c r="K1039">
        <v>0</v>
      </c>
      <c r="L1039">
        <v>0</v>
      </c>
      <c r="M1039">
        <v>0</v>
      </c>
      <c r="N1039">
        <v>0</v>
      </c>
      <c r="O1039">
        <v>0</v>
      </c>
      <c r="P1039">
        <v>0</v>
      </c>
      <c r="Q1039">
        <v>0</v>
      </c>
      <c r="R1039">
        <v>0</v>
      </c>
      <c r="S1039">
        <v>0</v>
      </c>
      <c r="T1039">
        <v>0</v>
      </c>
      <c r="U1039">
        <v>0</v>
      </c>
      <c r="V1039">
        <v>0</v>
      </c>
      <c r="W1039">
        <v>0</v>
      </c>
      <c r="X1039">
        <v>0</v>
      </c>
      <c r="Y1039">
        <v>0</v>
      </c>
      <c r="Z1039">
        <v>0</v>
      </c>
      <c r="AA1039">
        <v>0</v>
      </c>
      <c r="AB1039">
        <v>0</v>
      </c>
      <c r="AC1039">
        <v>0</v>
      </c>
      <c r="AD1039">
        <v>0</v>
      </c>
      <c r="AE1039">
        <v>0</v>
      </c>
      <c r="AF1039">
        <v>0</v>
      </c>
      <c r="AG1039">
        <v>0</v>
      </c>
      <c r="AH1039" s="86">
        <f>AVERAGEIFS($C$2:C1039, $B$2:B1039, B1039)</f>
        <v>19.40625</v>
      </c>
      <c r="AI1039" s="86">
        <f>AVERAGEIFS($I$2:I1039, $B$2:B1039, B1039)</f>
        <v>0.59281249999999996</v>
      </c>
      <c r="AJ1039" s="86">
        <f>AVERAGEIFS($J$2:J1039, $B$2:B1039, B1039)</f>
        <v>0.54718750000000016</v>
      </c>
      <c r="AK1039" s="86">
        <f>AVERAGEIFS($D$2:D1039, $B$2:B1039, B1039)</f>
        <v>0.6875</v>
      </c>
    </row>
    <row r="1040" spans="1:37" x14ac:dyDescent="0.25">
      <c r="A1040" s="85">
        <v>46147</v>
      </c>
      <c r="B1040" t="s">
        <v>150</v>
      </c>
      <c r="C1040">
        <v>13</v>
      </c>
      <c r="D1040">
        <v>0</v>
      </c>
      <c r="E1040">
        <v>3</v>
      </c>
      <c r="F1040">
        <v>0</v>
      </c>
      <c r="G1040">
        <v>14</v>
      </c>
      <c r="H1040">
        <v>5</v>
      </c>
      <c r="I1040">
        <v>0</v>
      </c>
      <c r="J1040">
        <v>0.36</v>
      </c>
      <c r="K1040">
        <v>0</v>
      </c>
      <c r="L1040">
        <v>0</v>
      </c>
      <c r="M1040">
        <v>0</v>
      </c>
      <c r="N1040">
        <v>0</v>
      </c>
      <c r="O1040">
        <v>0</v>
      </c>
      <c r="P1040">
        <v>0</v>
      </c>
      <c r="Q1040">
        <v>0</v>
      </c>
      <c r="R1040">
        <v>0</v>
      </c>
      <c r="S1040">
        <v>0</v>
      </c>
      <c r="T1040">
        <v>0</v>
      </c>
      <c r="U1040">
        <v>0</v>
      </c>
      <c r="V1040">
        <v>0</v>
      </c>
      <c r="W1040">
        <v>0</v>
      </c>
      <c r="X1040">
        <v>0</v>
      </c>
      <c r="Y1040">
        <v>0</v>
      </c>
      <c r="Z1040">
        <v>0</v>
      </c>
      <c r="AA1040">
        <v>0</v>
      </c>
      <c r="AB1040">
        <v>0</v>
      </c>
      <c r="AC1040">
        <v>0</v>
      </c>
      <c r="AD1040">
        <v>0</v>
      </c>
      <c r="AE1040">
        <v>0</v>
      </c>
      <c r="AF1040">
        <v>0</v>
      </c>
      <c r="AG1040">
        <v>0</v>
      </c>
      <c r="AH1040" s="86">
        <f>AVERAGEIFS($C$2:C1040, $B$2:B1040, B1040)</f>
        <v>17.05</v>
      </c>
      <c r="AI1040" s="86">
        <f>AVERAGEIFS($I$2:I1040, $B$2:B1040, B1040)</f>
        <v>0.59749999999999992</v>
      </c>
      <c r="AJ1040" s="86">
        <f>AVERAGEIFS($J$2:J1040, $B$2:B1040, B1040)</f>
        <v>0.57000000000000006</v>
      </c>
      <c r="AK1040" s="86">
        <f>AVERAGEIFS($D$2:D1040, $B$2:B1040, B1040)</f>
        <v>0.6</v>
      </c>
    </row>
    <row r="1041" spans="1:37" x14ac:dyDescent="0.25">
      <c r="A1041" s="85">
        <v>46147</v>
      </c>
      <c r="B1041" t="s">
        <v>141</v>
      </c>
      <c r="C1041">
        <v>14</v>
      </c>
      <c r="D1041">
        <v>0</v>
      </c>
      <c r="E1041">
        <v>3</v>
      </c>
      <c r="F1041">
        <v>0</v>
      </c>
      <c r="G1041">
        <v>14</v>
      </c>
      <c r="H1041">
        <v>5</v>
      </c>
      <c r="I1041">
        <v>0</v>
      </c>
      <c r="J1041">
        <v>0.36</v>
      </c>
      <c r="K1041">
        <v>0</v>
      </c>
      <c r="L1041">
        <v>0</v>
      </c>
      <c r="M1041">
        <v>0</v>
      </c>
      <c r="N1041">
        <v>0</v>
      </c>
      <c r="O1041">
        <v>0</v>
      </c>
      <c r="P1041">
        <v>0</v>
      </c>
      <c r="Q1041">
        <v>0</v>
      </c>
      <c r="R1041">
        <v>0</v>
      </c>
      <c r="S1041">
        <v>0</v>
      </c>
      <c r="T1041">
        <v>0</v>
      </c>
      <c r="U1041">
        <v>0</v>
      </c>
      <c r="V1041">
        <v>0</v>
      </c>
      <c r="W1041">
        <v>0</v>
      </c>
      <c r="X1041">
        <v>0</v>
      </c>
      <c r="Y1041">
        <v>0</v>
      </c>
      <c r="Z1041">
        <v>0</v>
      </c>
      <c r="AA1041">
        <v>0</v>
      </c>
      <c r="AB1041">
        <v>0</v>
      </c>
      <c r="AC1041">
        <v>0</v>
      </c>
      <c r="AD1041">
        <v>0</v>
      </c>
      <c r="AE1041">
        <v>0</v>
      </c>
      <c r="AF1041">
        <v>0</v>
      </c>
      <c r="AG1041">
        <v>0</v>
      </c>
      <c r="AH1041" s="86">
        <f>AVERAGEIFS($C$2:C1041, $B$2:B1041, B1041)</f>
        <v>14.0625</v>
      </c>
      <c r="AI1041" s="86">
        <f>AVERAGEIFS($I$2:I1041, $B$2:B1041, B1041)</f>
        <v>0.47187499999999999</v>
      </c>
      <c r="AJ1041" s="86">
        <f>AVERAGEIFS($J$2:J1041, $B$2:B1041, B1041)</f>
        <v>0.50187500000000007</v>
      </c>
      <c r="AK1041" s="86">
        <f>AVERAGEIFS($D$2:D1041, $B$2:B1041, B1041)</f>
        <v>0.5625</v>
      </c>
    </row>
    <row r="1042" spans="1:37" x14ac:dyDescent="0.25">
      <c r="A1042" s="85">
        <v>46147</v>
      </c>
      <c r="B1042" t="s">
        <v>179</v>
      </c>
      <c r="C1042">
        <v>8</v>
      </c>
      <c r="D1042">
        <v>0</v>
      </c>
      <c r="E1042">
        <v>3</v>
      </c>
      <c r="F1042">
        <v>0</v>
      </c>
      <c r="G1042">
        <v>14</v>
      </c>
      <c r="H1042">
        <v>5</v>
      </c>
      <c r="I1042">
        <v>0</v>
      </c>
      <c r="J1042">
        <v>0.36</v>
      </c>
      <c r="K1042">
        <v>0</v>
      </c>
      <c r="L1042">
        <v>0</v>
      </c>
      <c r="M1042">
        <v>0</v>
      </c>
      <c r="N1042">
        <v>0</v>
      </c>
      <c r="O1042">
        <v>0</v>
      </c>
      <c r="P1042">
        <v>0</v>
      </c>
      <c r="Q1042">
        <v>0</v>
      </c>
      <c r="R1042">
        <v>0</v>
      </c>
      <c r="S1042">
        <v>0</v>
      </c>
      <c r="T1042">
        <v>0</v>
      </c>
      <c r="U1042">
        <v>0</v>
      </c>
      <c r="V1042">
        <v>0</v>
      </c>
      <c r="W1042">
        <v>0</v>
      </c>
      <c r="X1042">
        <v>0</v>
      </c>
      <c r="Y1042">
        <v>0</v>
      </c>
      <c r="Z1042">
        <v>0</v>
      </c>
      <c r="AA1042">
        <v>0</v>
      </c>
      <c r="AB1042">
        <v>0</v>
      </c>
      <c r="AC1042">
        <v>0</v>
      </c>
      <c r="AD1042">
        <v>0</v>
      </c>
      <c r="AE1042">
        <v>0</v>
      </c>
      <c r="AF1042">
        <v>0</v>
      </c>
      <c r="AG1042">
        <v>0</v>
      </c>
      <c r="AH1042" s="86">
        <f>AVERAGEIFS($C$2:C1042, $B$2:B1042, B1042)</f>
        <v>9.5</v>
      </c>
      <c r="AI1042" s="86">
        <f>AVERAGEIFS($I$2:I1042, $B$2:B1042, B1042)</f>
        <v>0.375</v>
      </c>
      <c r="AJ1042" s="86">
        <f>AVERAGEIFS($J$2:J1042, $B$2:B1042, B1042)</f>
        <v>0.51500000000000001</v>
      </c>
      <c r="AK1042" s="86">
        <f>AVERAGEIFS($D$2:D1042, $B$2:B1042, B1042)</f>
        <v>0.5</v>
      </c>
    </row>
    <row r="1043" spans="1:37" x14ac:dyDescent="0.25">
      <c r="A1043" s="85">
        <v>46147</v>
      </c>
      <c r="B1043" t="s">
        <v>146</v>
      </c>
      <c r="C1043">
        <v>10</v>
      </c>
      <c r="D1043">
        <v>0</v>
      </c>
      <c r="E1043">
        <v>3</v>
      </c>
      <c r="F1043">
        <v>0</v>
      </c>
      <c r="G1043">
        <v>14</v>
      </c>
      <c r="H1043">
        <v>5</v>
      </c>
      <c r="I1043">
        <v>0</v>
      </c>
      <c r="J1043">
        <v>0.36</v>
      </c>
      <c r="K1043">
        <v>0</v>
      </c>
      <c r="L1043">
        <v>0</v>
      </c>
      <c r="M1043">
        <v>0</v>
      </c>
      <c r="N1043">
        <v>0</v>
      </c>
      <c r="O1043">
        <v>0</v>
      </c>
      <c r="P1043">
        <v>0</v>
      </c>
      <c r="Q1043">
        <v>0</v>
      </c>
      <c r="R1043">
        <v>0</v>
      </c>
      <c r="S1043">
        <v>0</v>
      </c>
      <c r="T1043">
        <v>0</v>
      </c>
      <c r="U1043">
        <v>0</v>
      </c>
      <c r="V1043">
        <v>0</v>
      </c>
      <c r="W1043">
        <v>0</v>
      </c>
      <c r="X1043">
        <v>0</v>
      </c>
      <c r="Y1043">
        <v>0</v>
      </c>
      <c r="Z1043">
        <v>0</v>
      </c>
      <c r="AA1043">
        <v>0</v>
      </c>
      <c r="AB1043">
        <v>0</v>
      </c>
      <c r="AC1043">
        <v>0</v>
      </c>
      <c r="AD1043">
        <v>0</v>
      </c>
      <c r="AE1043">
        <v>0</v>
      </c>
      <c r="AF1043">
        <v>0</v>
      </c>
      <c r="AG1043">
        <v>0</v>
      </c>
      <c r="AH1043" s="86">
        <f>AVERAGEIFS($C$2:C1043, $B$2:B1043, B1043)</f>
        <v>8.75</v>
      </c>
      <c r="AI1043" s="86">
        <f>AVERAGEIFS($I$2:I1043, $B$2:B1043, B1043)</f>
        <v>0.21875</v>
      </c>
      <c r="AJ1043" s="86">
        <f>AVERAGEIFS($J$2:J1043, $B$2:B1043, B1043)</f>
        <v>0.33875</v>
      </c>
      <c r="AK1043" s="86">
        <f>AVERAGEIFS($D$2:D1043, $B$2:B1043, B1043)</f>
        <v>0.125</v>
      </c>
    </row>
    <row r="1044" spans="1:37" x14ac:dyDescent="0.25">
      <c r="A1044" s="85">
        <v>46151</v>
      </c>
      <c r="B1044" t="s">
        <v>2</v>
      </c>
      <c r="C1044">
        <v>29</v>
      </c>
      <c r="D1044">
        <v>1</v>
      </c>
      <c r="E1044">
        <v>5</v>
      </c>
      <c r="F1044">
        <v>3</v>
      </c>
      <c r="G1044">
        <v>17</v>
      </c>
      <c r="H1044">
        <v>11</v>
      </c>
      <c r="I1044">
        <v>0.6</v>
      </c>
      <c r="J1044">
        <v>0.65</v>
      </c>
      <c r="K1044">
        <v>0</v>
      </c>
      <c r="L1044">
        <v>0</v>
      </c>
      <c r="M1044">
        <v>0</v>
      </c>
      <c r="N1044">
        <v>0</v>
      </c>
      <c r="O1044">
        <v>0</v>
      </c>
      <c r="P1044">
        <v>0</v>
      </c>
      <c r="Q1044">
        <v>0</v>
      </c>
      <c r="R1044">
        <v>0</v>
      </c>
      <c r="S1044">
        <v>0</v>
      </c>
      <c r="T1044">
        <v>0</v>
      </c>
      <c r="U1044">
        <v>1</v>
      </c>
      <c r="V1044">
        <v>0</v>
      </c>
      <c r="W1044">
        <v>0</v>
      </c>
      <c r="X1044">
        <v>0</v>
      </c>
      <c r="Y1044">
        <v>0</v>
      </c>
      <c r="Z1044">
        <v>0</v>
      </c>
      <c r="AA1044">
        <v>1</v>
      </c>
      <c r="AB1044">
        <v>0</v>
      </c>
      <c r="AC1044">
        <v>1</v>
      </c>
      <c r="AD1044">
        <v>0</v>
      </c>
      <c r="AE1044">
        <v>0</v>
      </c>
      <c r="AF1044">
        <v>0</v>
      </c>
      <c r="AG1044">
        <v>0</v>
      </c>
      <c r="AH1044" s="86">
        <f>AVERAGEIFS($C$2:C1044, $B$2:B1044, B1044)</f>
        <v>22.465116279069768</v>
      </c>
      <c r="AI1044" s="86">
        <f>AVERAGEIFS($I$2:I1044, $B$2:B1044, B1044)</f>
        <v>0.51697674418604644</v>
      </c>
      <c r="AJ1044" s="86">
        <f>AVERAGEIFS($J$2:J1044, $B$2:B1044, B1044)</f>
        <v>0.53488372093023251</v>
      </c>
      <c r="AK1044" s="86">
        <f>AVERAGEIFS($D$2:D1044, $B$2:B1044, B1044)</f>
        <v>0.51162790697674421</v>
      </c>
    </row>
    <row r="1045" spans="1:37" x14ac:dyDescent="0.25">
      <c r="A1045" s="85">
        <v>46151</v>
      </c>
      <c r="B1045" t="s">
        <v>6</v>
      </c>
      <c r="C1045">
        <v>31</v>
      </c>
      <c r="D1045">
        <v>1</v>
      </c>
      <c r="E1045">
        <v>5</v>
      </c>
      <c r="F1045">
        <v>3</v>
      </c>
      <c r="G1045">
        <v>17</v>
      </c>
      <c r="H1045">
        <v>11</v>
      </c>
      <c r="I1045">
        <v>0.6</v>
      </c>
      <c r="J1045">
        <v>0.65</v>
      </c>
      <c r="K1045">
        <v>0</v>
      </c>
      <c r="L1045">
        <v>0</v>
      </c>
      <c r="M1045">
        <v>0</v>
      </c>
      <c r="N1045">
        <v>0</v>
      </c>
      <c r="O1045">
        <v>0</v>
      </c>
      <c r="P1045">
        <v>0</v>
      </c>
      <c r="Q1045">
        <v>0</v>
      </c>
      <c r="R1045">
        <v>0</v>
      </c>
      <c r="S1045">
        <v>0</v>
      </c>
      <c r="T1045">
        <v>0</v>
      </c>
      <c r="U1045">
        <v>1</v>
      </c>
      <c r="V1045">
        <v>0</v>
      </c>
      <c r="W1045">
        <v>0</v>
      </c>
      <c r="X1045">
        <v>0</v>
      </c>
      <c r="Y1045">
        <v>0</v>
      </c>
      <c r="Z1045">
        <v>0</v>
      </c>
      <c r="AA1045">
        <v>1</v>
      </c>
      <c r="AB1045">
        <v>0</v>
      </c>
      <c r="AC1045">
        <v>1</v>
      </c>
      <c r="AD1045">
        <v>0</v>
      </c>
      <c r="AE1045">
        <v>0</v>
      </c>
      <c r="AF1045">
        <v>0</v>
      </c>
      <c r="AG1045">
        <v>0</v>
      </c>
      <c r="AH1045" s="86">
        <f>AVERAGEIFS($C$2:C1045, $B$2:B1045, B1045)</f>
        <v>22.426470588235293</v>
      </c>
      <c r="AI1045" s="86">
        <f>AVERAGEIFS($I$2:I1045, $B$2:B1045, B1045)</f>
        <v>0.54823529411764715</v>
      </c>
      <c r="AJ1045" s="86">
        <f>AVERAGEIFS($J$2:J1045, $B$2:B1045, B1045)</f>
        <v>0.52602941176470586</v>
      </c>
      <c r="AK1045" s="86">
        <f>AVERAGEIFS($D$2:D1045, $B$2:B1045, B1045)</f>
        <v>0.61764705882352944</v>
      </c>
    </row>
    <row r="1046" spans="1:37" x14ac:dyDescent="0.25">
      <c r="A1046" s="85">
        <v>46151</v>
      </c>
      <c r="B1046" t="s">
        <v>161</v>
      </c>
      <c r="C1046">
        <v>8</v>
      </c>
      <c r="D1046">
        <v>1</v>
      </c>
      <c r="E1046">
        <v>5</v>
      </c>
      <c r="F1046">
        <v>3</v>
      </c>
      <c r="G1046">
        <v>17</v>
      </c>
      <c r="H1046">
        <v>11</v>
      </c>
      <c r="I1046">
        <v>0.6</v>
      </c>
      <c r="J1046">
        <v>0.65</v>
      </c>
      <c r="K1046">
        <v>0</v>
      </c>
      <c r="L1046">
        <v>0</v>
      </c>
      <c r="M1046">
        <v>0</v>
      </c>
      <c r="N1046">
        <v>0</v>
      </c>
      <c r="O1046">
        <v>0</v>
      </c>
      <c r="P1046">
        <v>0</v>
      </c>
      <c r="Q1046">
        <v>0</v>
      </c>
      <c r="R1046">
        <v>0</v>
      </c>
      <c r="S1046">
        <v>0</v>
      </c>
      <c r="T1046">
        <v>0</v>
      </c>
      <c r="U1046">
        <v>1</v>
      </c>
      <c r="V1046">
        <v>0</v>
      </c>
      <c r="W1046">
        <v>0</v>
      </c>
      <c r="X1046">
        <v>0</v>
      </c>
      <c r="Y1046">
        <v>0</v>
      </c>
      <c r="Z1046">
        <v>0</v>
      </c>
      <c r="AA1046">
        <v>1</v>
      </c>
      <c r="AB1046">
        <v>0</v>
      </c>
      <c r="AC1046">
        <v>1</v>
      </c>
      <c r="AD1046">
        <v>0</v>
      </c>
      <c r="AE1046">
        <v>0</v>
      </c>
      <c r="AF1046">
        <v>0</v>
      </c>
      <c r="AG1046">
        <v>0</v>
      </c>
      <c r="AH1046" s="86">
        <f>AVERAGEIFS($C$2:C1046, $B$2:B1046, B1046)</f>
        <v>9.3000000000000007</v>
      </c>
      <c r="AI1046" s="86">
        <f>AVERAGEIFS($I$2:I1046, $B$2:B1046, B1046)</f>
        <v>0.59</v>
      </c>
      <c r="AJ1046" s="86">
        <f>AVERAGEIFS($J$2:J1046, $B$2:B1046, B1046)</f>
        <v>0.54299999999999993</v>
      </c>
      <c r="AK1046" s="86">
        <f>AVERAGEIFS($D$2:D1046, $B$2:B1046, B1046)</f>
        <v>0.6</v>
      </c>
    </row>
    <row r="1047" spans="1:37" x14ac:dyDescent="0.25">
      <c r="A1047" s="85">
        <v>46151</v>
      </c>
      <c r="B1047" t="s">
        <v>150</v>
      </c>
      <c r="C1047">
        <v>21</v>
      </c>
      <c r="D1047">
        <v>1</v>
      </c>
      <c r="E1047">
        <v>5</v>
      </c>
      <c r="F1047">
        <v>3</v>
      </c>
      <c r="G1047">
        <v>17</v>
      </c>
      <c r="H1047">
        <v>11</v>
      </c>
      <c r="I1047">
        <v>0.6</v>
      </c>
      <c r="J1047">
        <v>0.65</v>
      </c>
      <c r="K1047">
        <v>0</v>
      </c>
      <c r="L1047">
        <v>0</v>
      </c>
      <c r="M1047">
        <v>0</v>
      </c>
      <c r="N1047">
        <v>0</v>
      </c>
      <c r="O1047">
        <v>0</v>
      </c>
      <c r="P1047">
        <v>0</v>
      </c>
      <c r="Q1047">
        <v>0</v>
      </c>
      <c r="R1047">
        <v>0</v>
      </c>
      <c r="S1047">
        <v>0</v>
      </c>
      <c r="T1047">
        <v>0</v>
      </c>
      <c r="U1047">
        <v>1</v>
      </c>
      <c r="V1047">
        <v>0</v>
      </c>
      <c r="W1047">
        <v>0</v>
      </c>
      <c r="X1047">
        <v>0</v>
      </c>
      <c r="Y1047">
        <v>0</v>
      </c>
      <c r="Z1047">
        <v>0</v>
      </c>
      <c r="AA1047">
        <v>1</v>
      </c>
      <c r="AB1047">
        <v>0</v>
      </c>
      <c r="AC1047">
        <v>1</v>
      </c>
      <c r="AD1047">
        <v>0</v>
      </c>
      <c r="AE1047">
        <v>0</v>
      </c>
      <c r="AF1047">
        <v>0</v>
      </c>
      <c r="AG1047">
        <v>0</v>
      </c>
      <c r="AH1047" s="86">
        <f>AVERAGEIFS($C$2:C1047, $B$2:B1047, B1047)</f>
        <v>17.238095238095237</v>
      </c>
      <c r="AI1047" s="86">
        <f>AVERAGEIFS($I$2:I1047, $B$2:B1047, B1047)</f>
        <v>0.59761904761904761</v>
      </c>
      <c r="AJ1047" s="86">
        <f>AVERAGEIFS($J$2:J1047, $B$2:B1047, B1047)</f>
        <v>0.57380952380952388</v>
      </c>
      <c r="AK1047" s="86">
        <f>AVERAGEIFS($D$2:D1047, $B$2:B1047, B1047)</f>
        <v>0.61904761904761907</v>
      </c>
    </row>
    <row r="1048" spans="1:37" x14ac:dyDescent="0.25">
      <c r="A1048" s="85">
        <v>46151</v>
      </c>
      <c r="B1048" t="s">
        <v>4</v>
      </c>
      <c r="C1048">
        <v>6</v>
      </c>
      <c r="D1048">
        <v>1</v>
      </c>
      <c r="E1048">
        <v>5</v>
      </c>
      <c r="F1048">
        <v>3</v>
      </c>
      <c r="G1048">
        <v>17</v>
      </c>
      <c r="H1048">
        <v>11</v>
      </c>
      <c r="I1048">
        <v>0.6</v>
      </c>
      <c r="J1048">
        <v>0.65</v>
      </c>
      <c r="K1048">
        <v>0</v>
      </c>
      <c r="L1048">
        <v>0</v>
      </c>
      <c r="M1048">
        <v>0</v>
      </c>
      <c r="N1048">
        <v>0</v>
      </c>
      <c r="O1048">
        <v>0</v>
      </c>
      <c r="P1048">
        <v>0</v>
      </c>
      <c r="Q1048">
        <v>0</v>
      </c>
      <c r="R1048">
        <v>0</v>
      </c>
      <c r="S1048">
        <v>0</v>
      </c>
      <c r="T1048">
        <v>0</v>
      </c>
      <c r="U1048">
        <v>1</v>
      </c>
      <c r="V1048">
        <v>0</v>
      </c>
      <c r="W1048">
        <v>0</v>
      </c>
      <c r="X1048">
        <v>0</v>
      </c>
      <c r="Y1048">
        <v>0</v>
      </c>
      <c r="Z1048">
        <v>0</v>
      </c>
      <c r="AA1048">
        <v>1</v>
      </c>
      <c r="AB1048">
        <v>0</v>
      </c>
      <c r="AC1048">
        <v>1</v>
      </c>
      <c r="AD1048">
        <v>0</v>
      </c>
      <c r="AE1048">
        <v>0</v>
      </c>
      <c r="AF1048">
        <v>0</v>
      </c>
      <c r="AG1048">
        <v>0</v>
      </c>
      <c r="AH1048" s="86">
        <f>AVERAGEIFS($C$2:C1048, $B$2:B1048, B1048)</f>
        <v>24.297297297297298</v>
      </c>
      <c r="AI1048" s="86">
        <f>AVERAGEIFS($I$2:I1048, $B$2:B1048, B1048)</f>
        <v>0.45405405405405408</v>
      </c>
      <c r="AJ1048" s="86">
        <f>AVERAGEIFS($J$2:J1048, $B$2:B1048, B1048)</f>
        <v>0.47027027027027024</v>
      </c>
      <c r="AK1048" s="86">
        <f>AVERAGEIFS($D$2:D1048, $B$2:B1048, B1048)</f>
        <v>0.3783783783783784</v>
      </c>
    </row>
    <row r="1049" spans="1:37" x14ac:dyDescent="0.25">
      <c r="A1049" s="85">
        <v>46151</v>
      </c>
      <c r="B1049" t="s">
        <v>107</v>
      </c>
      <c r="C1049">
        <v>12</v>
      </c>
      <c r="D1049">
        <v>1</v>
      </c>
      <c r="E1049">
        <v>5</v>
      </c>
      <c r="F1049">
        <v>3</v>
      </c>
      <c r="G1049">
        <v>17</v>
      </c>
      <c r="H1049">
        <v>11</v>
      </c>
      <c r="I1049">
        <v>0.6</v>
      </c>
      <c r="J1049">
        <v>0.65</v>
      </c>
      <c r="K1049">
        <v>0</v>
      </c>
      <c r="L1049">
        <v>0</v>
      </c>
      <c r="M1049">
        <v>0</v>
      </c>
      <c r="N1049">
        <v>0</v>
      </c>
      <c r="O1049">
        <v>0</v>
      </c>
      <c r="P1049">
        <v>0</v>
      </c>
      <c r="Q1049">
        <v>0</v>
      </c>
      <c r="R1049">
        <v>0</v>
      </c>
      <c r="S1049">
        <v>0</v>
      </c>
      <c r="T1049">
        <v>0</v>
      </c>
      <c r="U1049">
        <v>1</v>
      </c>
      <c r="V1049">
        <v>0</v>
      </c>
      <c r="W1049">
        <v>0</v>
      </c>
      <c r="X1049">
        <v>0</v>
      </c>
      <c r="Y1049">
        <v>0</v>
      </c>
      <c r="Z1049">
        <v>0</v>
      </c>
      <c r="AA1049">
        <v>1</v>
      </c>
      <c r="AB1049">
        <v>0</v>
      </c>
      <c r="AC1049">
        <v>1</v>
      </c>
      <c r="AD1049">
        <v>0</v>
      </c>
      <c r="AE1049">
        <v>0</v>
      </c>
      <c r="AF1049">
        <v>0</v>
      </c>
      <c r="AG1049">
        <v>0</v>
      </c>
      <c r="AH1049" s="86">
        <f>AVERAGEIFS($C$2:C1049, $B$2:B1049, B1049)</f>
        <v>15.955555555555556</v>
      </c>
      <c r="AI1049" s="86">
        <f>AVERAGEIFS($I$2:I1049, $B$2:B1049, B1049)</f>
        <v>0.51222222222222236</v>
      </c>
      <c r="AJ1049" s="86">
        <f>AVERAGEIFS($J$2:J1049, $B$2:B1049, B1049)</f>
        <v>0.51844444444444437</v>
      </c>
      <c r="AK1049" s="86">
        <f>AVERAGEIFS($D$2:D1049, $B$2:B1049, B1049)</f>
        <v>0.57777777777777772</v>
      </c>
    </row>
    <row r="1050" spans="1:37" x14ac:dyDescent="0.25">
      <c r="A1050" s="85">
        <v>46151</v>
      </c>
      <c r="B1050" t="s">
        <v>152</v>
      </c>
      <c r="C1050">
        <v>2</v>
      </c>
      <c r="D1050">
        <v>1</v>
      </c>
      <c r="E1050">
        <v>5</v>
      </c>
      <c r="F1050">
        <v>3</v>
      </c>
      <c r="G1050">
        <v>17</v>
      </c>
      <c r="H1050">
        <v>11</v>
      </c>
      <c r="I1050">
        <v>0.6</v>
      </c>
      <c r="J1050">
        <v>0.65</v>
      </c>
      <c r="K1050">
        <v>0</v>
      </c>
      <c r="L1050">
        <v>0</v>
      </c>
      <c r="M1050">
        <v>0</v>
      </c>
      <c r="N1050">
        <v>0</v>
      </c>
      <c r="O1050">
        <v>0</v>
      </c>
      <c r="P1050">
        <v>0</v>
      </c>
      <c r="Q1050">
        <v>0</v>
      </c>
      <c r="R1050">
        <v>0</v>
      </c>
      <c r="S1050">
        <v>0</v>
      </c>
      <c r="T1050">
        <v>0</v>
      </c>
      <c r="U1050">
        <v>1</v>
      </c>
      <c r="V1050">
        <v>0</v>
      </c>
      <c r="W1050">
        <v>0</v>
      </c>
      <c r="X1050">
        <v>0</v>
      </c>
      <c r="Y1050">
        <v>0</v>
      </c>
      <c r="Z1050">
        <v>0</v>
      </c>
      <c r="AA1050">
        <v>1</v>
      </c>
      <c r="AB1050">
        <v>0</v>
      </c>
      <c r="AC1050">
        <v>1</v>
      </c>
      <c r="AD1050">
        <v>0</v>
      </c>
      <c r="AE1050">
        <v>0</v>
      </c>
      <c r="AF1050">
        <v>0</v>
      </c>
      <c r="AG1050">
        <v>0</v>
      </c>
      <c r="AH1050" s="86">
        <f>AVERAGEIFS($C$2:C1050, $B$2:B1050, B1050)</f>
        <v>11.166666666666666</v>
      </c>
      <c r="AI1050" s="86">
        <f>AVERAGEIFS($I$2:I1050, $B$2:B1050, B1050)</f>
        <v>0.50833333333333341</v>
      </c>
      <c r="AJ1050" s="86">
        <f>AVERAGEIFS($J$2:J1050, $B$2:B1050, B1050)</f>
        <v>0.52500000000000002</v>
      </c>
      <c r="AK1050" s="86">
        <f>AVERAGEIFS($D$2:D1050, $B$2:B1050, B1050)</f>
        <v>0.5</v>
      </c>
    </row>
    <row r="1051" spans="1:37" x14ac:dyDescent="0.25">
      <c r="A1051" s="85">
        <v>46151</v>
      </c>
      <c r="B1051" t="s">
        <v>5</v>
      </c>
      <c r="C1051">
        <v>17</v>
      </c>
      <c r="D1051">
        <v>0</v>
      </c>
      <c r="E1051">
        <v>5</v>
      </c>
      <c r="F1051">
        <v>2</v>
      </c>
      <c r="G1051">
        <v>17</v>
      </c>
      <c r="H1051">
        <v>6</v>
      </c>
      <c r="I1051">
        <v>0.4</v>
      </c>
      <c r="J1051">
        <v>0.35</v>
      </c>
      <c r="K1051">
        <v>1</v>
      </c>
      <c r="L1051">
        <v>0</v>
      </c>
      <c r="M1051">
        <v>0</v>
      </c>
      <c r="N1051">
        <v>0</v>
      </c>
      <c r="O1051">
        <v>0</v>
      </c>
      <c r="P1051">
        <v>0</v>
      </c>
      <c r="Q1051">
        <v>0</v>
      </c>
      <c r="R1051">
        <v>0</v>
      </c>
      <c r="S1051">
        <v>0</v>
      </c>
      <c r="T1051">
        <v>0</v>
      </c>
      <c r="U1051">
        <v>0</v>
      </c>
      <c r="V1051">
        <v>0</v>
      </c>
      <c r="W1051">
        <v>0</v>
      </c>
      <c r="X1051">
        <v>0</v>
      </c>
      <c r="Y1051">
        <v>0</v>
      </c>
      <c r="Z1051">
        <v>0</v>
      </c>
      <c r="AA1051">
        <v>0</v>
      </c>
      <c r="AB1051">
        <v>0</v>
      </c>
      <c r="AC1051">
        <v>0</v>
      </c>
      <c r="AD1051">
        <v>0</v>
      </c>
      <c r="AE1051">
        <v>1</v>
      </c>
      <c r="AF1051">
        <v>0</v>
      </c>
      <c r="AG1051">
        <v>0</v>
      </c>
      <c r="AH1051" s="86">
        <f>AVERAGEIFS($C$2:C1051, $B$2:B1051, B1051)</f>
        <v>19.333333333333332</v>
      </c>
      <c r="AI1051" s="86">
        <f>AVERAGEIFS($I$2:I1051, $B$2:B1051, B1051)</f>
        <v>0.58696969696969692</v>
      </c>
      <c r="AJ1051" s="86">
        <f>AVERAGEIFS($J$2:J1051, $B$2:B1051, B1051)</f>
        <v>0.54121212121212137</v>
      </c>
      <c r="AK1051" s="86">
        <f>AVERAGEIFS($D$2:D1051, $B$2:B1051, B1051)</f>
        <v>0.66666666666666663</v>
      </c>
    </row>
    <row r="1052" spans="1:37" x14ac:dyDescent="0.25">
      <c r="A1052" s="85">
        <v>46151</v>
      </c>
      <c r="B1052" t="s">
        <v>54</v>
      </c>
      <c r="C1052">
        <v>21</v>
      </c>
      <c r="D1052">
        <v>0</v>
      </c>
      <c r="E1052">
        <v>5</v>
      </c>
      <c r="F1052">
        <v>2</v>
      </c>
      <c r="G1052">
        <v>17</v>
      </c>
      <c r="H1052">
        <v>6</v>
      </c>
      <c r="I1052">
        <v>0.4</v>
      </c>
      <c r="J1052">
        <v>0.35</v>
      </c>
      <c r="K1052">
        <v>1</v>
      </c>
      <c r="L1052">
        <v>0</v>
      </c>
      <c r="M1052">
        <v>0</v>
      </c>
      <c r="N1052">
        <v>0</v>
      </c>
      <c r="O1052">
        <v>0</v>
      </c>
      <c r="P1052">
        <v>0</v>
      </c>
      <c r="Q1052">
        <v>0</v>
      </c>
      <c r="R1052">
        <v>0</v>
      </c>
      <c r="S1052">
        <v>0</v>
      </c>
      <c r="T1052">
        <v>0</v>
      </c>
      <c r="U1052">
        <v>0</v>
      </c>
      <c r="V1052">
        <v>0</v>
      </c>
      <c r="W1052">
        <v>0</v>
      </c>
      <c r="X1052">
        <v>0</v>
      </c>
      <c r="Y1052">
        <v>0</v>
      </c>
      <c r="Z1052">
        <v>0</v>
      </c>
      <c r="AA1052">
        <v>0</v>
      </c>
      <c r="AB1052">
        <v>0</v>
      </c>
      <c r="AC1052">
        <v>0</v>
      </c>
      <c r="AD1052">
        <v>0</v>
      </c>
      <c r="AE1052">
        <v>1</v>
      </c>
      <c r="AF1052">
        <v>0</v>
      </c>
      <c r="AG1052">
        <v>0</v>
      </c>
      <c r="AH1052" s="86">
        <f>AVERAGEIFS($C$2:C1052, $B$2:B1052, B1052)</f>
        <v>23.7</v>
      </c>
      <c r="AI1052" s="86">
        <f>AVERAGEIFS($I$2:I1052, $B$2:B1052, B1052)</f>
        <v>0.52366666666666672</v>
      </c>
      <c r="AJ1052" s="86">
        <f>AVERAGEIFS($J$2:J1052, $B$2:B1052, B1052)</f>
        <v>0.5073333333333333</v>
      </c>
      <c r="AK1052" s="86">
        <f>AVERAGEIFS($D$2:D1052, $B$2:B1052, B1052)</f>
        <v>0.53333333333333333</v>
      </c>
    </row>
    <row r="1053" spans="1:37" x14ac:dyDescent="0.25">
      <c r="A1053" s="85">
        <v>46151</v>
      </c>
      <c r="B1053" t="s">
        <v>40</v>
      </c>
      <c r="C1053">
        <v>17</v>
      </c>
      <c r="D1053">
        <v>0</v>
      </c>
      <c r="E1053">
        <v>5</v>
      </c>
      <c r="F1053">
        <v>2</v>
      </c>
      <c r="G1053">
        <v>17</v>
      </c>
      <c r="H1053">
        <v>6</v>
      </c>
      <c r="I1053">
        <v>0.4</v>
      </c>
      <c r="J1053">
        <v>0.35</v>
      </c>
      <c r="K1053">
        <v>1</v>
      </c>
      <c r="L1053">
        <v>0</v>
      </c>
      <c r="M1053">
        <v>0</v>
      </c>
      <c r="N1053">
        <v>0</v>
      </c>
      <c r="O1053">
        <v>0</v>
      </c>
      <c r="P1053">
        <v>0</v>
      </c>
      <c r="Q1053">
        <v>0</v>
      </c>
      <c r="R1053">
        <v>0</v>
      </c>
      <c r="S1053">
        <v>0</v>
      </c>
      <c r="T1053">
        <v>0</v>
      </c>
      <c r="U1053">
        <v>0</v>
      </c>
      <c r="V1053">
        <v>0</v>
      </c>
      <c r="W1053">
        <v>0</v>
      </c>
      <c r="X1053">
        <v>0</v>
      </c>
      <c r="Y1053">
        <v>0</v>
      </c>
      <c r="Z1053">
        <v>0</v>
      </c>
      <c r="AA1053">
        <v>0</v>
      </c>
      <c r="AB1053">
        <v>0</v>
      </c>
      <c r="AC1053">
        <v>0</v>
      </c>
      <c r="AD1053">
        <v>0</v>
      </c>
      <c r="AE1053">
        <v>1</v>
      </c>
      <c r="AF1053">
        <v>0</v>
      </c>
      <c r="AG1053">
        <v>0</v>
      </c>
      <c r="AH1053" s="86">
        <f>AVERAGEIFS($C$2:C1053, $B$2:B1053, B1053)</f>
        <v>18.661538461538463</v>
      </c>
      <c r="AI1053" s="86">
        <f>AVERAGEIFS($I$2:I1053, $B$2:B1053, B1053)</f>
        <v>0.47384615384615369</v>
      </c>
      <c r="AJ1053" s="86">
        <f>AVERAGEIFS($J$2:J1053, $B$2:B1053, B1053)</f>
        <v>0.4812307692307693</v>
      </c>
      <c r="AK1053" s="86">
        <f>AVERAGEIFS($D$2:D1053, $B$2:B1053, B1053)</f>
        <v>0.41538461538461541</v>
      </c>
    </row>
    <row r="1054" spans="1:37" x14ac:dyDescent="0.25">
      <c r="A1054" s="85">
        <v>46151</v>
      </c>
      <c r="B1054" t="s">
        <v>179</v>
      </c>
      <c r="C1054">
        <v>19</v>
      </c>
      <c r="D1054">
        <v>0</v>
      </c>
      <c r="E1054">
        <v>5</v>
      </c>
      <c r="F1054">
        <v>2</v>
      </c>
      <c r="G1054">
        <v>17</v>
      </c>
      <c r="H1054">
        <v>6</v>
      </c>
      <c r="I1054">
        <v>0.4</v>
      </c>
      <c r="J1054">
        <v>0.35</v>
      </c>
      <c r="K1054">
        <v>1</v>
      </c>
      <c r="L1054">
        <v>0</v>
      </c>
      <c r="M1054">
        <v>0</v>
      </c>
      <c r="N1054">
        <v>0</v>
      </c>
      <c r="O1054">
        <v>0</v>
      </c>
      <c r="P1054">
        <v>0</v>
      </c>
      <c r="Q1054">
        <v>0</v>
      </c>
      <c r="R1054">
        <v>0</v>
      </c>
      <c r="S1054">
        <v>0</v>
      </c>
      <c r="T1054">
        <v>0</v>
      </c>
      <c r="U1054">
        <v>0</v>
      </c>
      <c r="V1054">
        <v>0</v>
      </c>
      <c r="W1054">
        <v>0</v>
      </c>
      <c r="X1054">
        <v>0</v>
      </c>
      <c r="Y1054">
        <v>0</v>
      </c>
      <c r="Z1054">
        <v>0</v>
      </c>
      <c r="AA1054">
        <v>0</v>
      </c>
      <c r="AB1054">
        <v>0</v>
      </c>
      <c r="AC1054">
        <v>0</v>
      </c>
      <c r="AD1054">
        <v>0</v>
      </c>
      <c r="AE1054">
        <v>1</v>
      </c>
      <c r="AF1054">
        <v>0</v>
      </c>
      <c r="AG1054">
        <v>0</v>
      </c>
      <c r="AH1054" s="86">
        <f>AVERAGEIFS($C$2:C1054, $B$2:B1054, B1054)</f>
        <v>12.666666666666666</v>
      </c>
      <c r="AI1054" s="86">
        <f>AVERAGEIFS($I$2:I1054, $B$2:B1054, B1054)</f>
        <v>0.3833333333333333</v>
      </c>
      <c r="AJ1054" s="86">
        <f>AVERAGEIFS($J$2:J1054, $B$2:B1054, B1054)</f>
        <v>0.45999999999999996</v>
      </c>
      <c r="AK1054" s="86">
        <f>AVERAGEIFS($D$2:D1054, $B$2:B1054, B1054)</f>
        <v>0.33333333333333331</v>
      </c>
    </row>
    <row r="1055" spans="1:37" x14ac:dyDescent="0.25">
      <c r="A1055" s="85">
        <v>46151</v>
      </c>
      <c r="B1055" t="s">
        <v>35</v>
      </c>
      <c r="C1055">
        <v>11</v>
      </c>
      <c r="D1055">
        <v>0</v>
      </c>
      <c r="E1055">
        <v>5</v>
      </c>
      <c r="F1055">
        <v>2</v>
      </c>
      <c r="G1055">
        <v>17</v>
      </c>
      <c r="H1055">
        <v>6</v>
      </c>
      <c r="I1055">
        <v>0.4</v>
      </c>
      <c r="J1055">
        <v>0.35</v>
      </c>
      <c r="K1055">
        <v>1</v>
      </c>
      <c r="L1055">
        <v>0</v>
      </c>
      <c r="M1055">
        <v>0</v>
      </c>
      <c r="N1055">
        <v>0</v>
      </c>
      <c r="O1055">
        <v>0</v>
      </c>
      <c r="P1055">
        <v>0</v>
      </c>
      <c r="Q1055">
        <v>0</v>
      </c>
      <c r="R1055">
        <v>0</v>
      </c>
      <c r="S1055">
        <v>0</v>
      </c>
      <c r="T1055">
        <v>0</v>
      </c>
      <c r="U1055">
        <v>0</v>
      </c>
      <c r="V1055">
        <v>0</v>
      </c>
      <c r="W1055">
        <v>0</v>
      </c>
      <c r="X1055">
        <v>0</v>
      </c>
      <c r="Y1055">
        <v>0</v>
      </c>
      <c r="Z1055">
        <v>0</v>
      </c>
      <c r="AA1055">
        <v>0</v>
      </c>
      <c r="AB1055">
        <v>0</v>
      </c>
      <c r="AC1055">
        <v>0</v>
      </c>
      <c r="AD1055">
        <v>0</v>
      </c>
      <c r="AE1055">
        <v>1</v>
      </c>
      <c r="AF1055">
        <v>0</v>
      </c>
      <c r="AG1055">
        <v>0</v>
      </c>
      <c r="AH1055" s="86">
        <f>AVERAGEIFS($C$2:C1055, $B$2:B1055, B1055)</f>
        <v>10.476190476190476</v>
      </c>
      <c r="AI1055" s="86">
        <f>AVERAGEIFS($I$2:I1055, $B$2:B1055, B1055)</f>
        <v>0.46023809523809528</v>
      </c>
      <c r="AJ1055" s="86">
        <f>AVERAGEIFS($J$2:J1055, $B$2:B1055, B1055)</f>
        <v>0.48357142857142854</v>
      </c>
      <c r="AK1055" s="86">
        <f>AVERAGEIFS($D$2:D1055, $B$2:B1055, B1055)</f>
        <v>0.42857142857142855</v>
      </c>
    </row>
    <row r="1056" spans="1:37" x14ac:dyDescent="0.25">
      <c r="A1056" s="85">
        <v>46151</v>
      </c>
      <c r="B1056" t="s">
        <v>44</v>
      </c>
      <c r="C1056">
        <v>6</v>
      </c>
      <c r="D1056">
        <v>0</v>
      </c>
      <c r="E1056">
        <v>5</v>
      </c>
      <c r="F1056">
        <v>2</v>
      </c>
      <c r="G1056">
        <v>17</v>
      </c>
      <c r="H1056">
        <v>6</v>
      </c>
      <c r="I1056">
        <v>0.4</v>
      </c>
      <c r="J1056">
        <v>0.35</v>
      </c>
      <c r="K1056">
        <v>1</v>
      </c>
      <c r="L1056">
        <v>0</v>
      </c>
      <c r="M1056">
        <v>0</v>
      </c>
      <c r="N1056">
        <v>0</v>
      </c>
      <c r="O1056">
        <v>0</v>
      </c>
      <c r="P1056">
        <v>0</v>
      </c>
      <c r="Q1056">
        <v>0</v>
      </c>
      <c r="R1056">
        <v>0</v>
      </c>
      <c r="S1056">
        <v>0</v>
      </c>
      <c r="T1056">
        <v>0</v>
      </c>
      <c r="U1056">
        <v>0</v>
      </c>
      <c r="V1056">
        <v>0</v>
      </c>
      <c r="W1056">
        <v>0</v>
      </c>
      <c r="X1056">
        <v>0</v>
      </c>
      <c r="Y1056">
        <v>0</v>
      </c>
      <c r="Z1056">
        <v>0</v>
      </c>
      <c r="AA1056">
        <v>0</v>
      </c>
      <c r="AB1056">
        <v>0</v>
      </c>
      <c r="AC1056">
        <v>0</v>
      </c>
      <c r="AD1056">
        <v>0</v>
      </c>
      <c r="AE1056">
        <v>1</v>
      </c>
      <c r="AF1056">
        <v>0</v>
      </c>
      <c r="AG1056">
        <v>0</v>
      </c>
      <c r="AH1056" s="86">
        <f>AVERAGEIFS($C$2:C1056, $B$2:B1056, B1056)</f>
        <v>16.434782608695652</v>
      </c>
      <c r="AI1056" s="86">
        <f>AVERAGEIFS($I$2:I1056, $B$2:B1056, B1056)</f>
        <v>0.54565217391304344</v>
      </c>
      <c r="AJ1056" s="86">
        <f>AVERAGEIFS($J$2:J1056, $B$2:B1056, B1056)</f>
        <v>0.53695652173913044</v>
      </c>
      <c r="AK1056" s="86">
        <f>AVERAGEIFS($D$2:D1056, $B$2:B1056, B1056)</f>
        <v>0.63043478260869568</v>
      </c>
    </row>
    <row r="1057" spans="1:37" x14ac:dyDescent="0.25">
      <c r="A1057" s="85">
        <v>46151</v>
      </c>
      <c r="B1057" t="s">
        <v>150</v>
      </c>
      <c r="C1057">
        <v>30</v>
      </c>
      <c r="D1057">
        <v>1</v>
      </c>
      <c r="E1057">
        <v>3</v>
      </c>
      <c r="F1057">
        <v>3</v>
      </c>
      <c r="G1057">
        <v>12</v>
      </c>
      <c r="H1057">
        <v>9</v>
      </c>
      <c r="I1057">
        <v>1</v>
      </c>
      <c r="J1057">
        <v>0.75</v>
      </c>
      <c r="K1057">
        <v>0</v>
      </c>
      <c r="L1057">
        <v>0</v>
      </c>
      <c r="M1057">
        <v>0</v>
      </c>
      <c r="N1057">
        <v>1</v>
      </c>
      <c r="O1057">
        <v>0</v>
      </c>
      <c r="P1057">
        <v>0</v>
      </c>
      <c r="Q1057">
        <v>1</v>
      </c>
      <c r="R1057">
        <v>0</v>
      </c>
      <c r="S1057">
        <v>0</v>
      </c>
      <c r="T1057">
        <v>0</v>
      </c>
      <c r="U1057">
        <v>0</v>
      </c>
      <c r="V1057">
        <v>0</v>
      </c>
      <c r="W1057">
        <v>0</v>
      </c>
      <c r="X1057">
        <v>0</v>
      </c>
      <c r="Y1057">
        <v>0</v>
      </c>
      <c r="Z1057">
        <v>1</v>
      </c>
      <c r="AA1057">
        <v>0</v>
      </c>
      <c r="AB1057">
        <v>0</v>
      </c>
      <c r="AC1057">
        <v>0</v>
      </c>
      <c r="AD1057">
        <v>0</v>
      </c>
      <c r="AE1057">
        <v>0</v>
      </c>
      <c r="AF1057">
        <v>0</v>
      </c>
      <c r="AG1057">
        <v>0</v>
      </c>
      <c r="AH1057" s="86">
        <f>AVERAGEIFS($C$2:C1057, $B$2:B1057, B1057)</f>
        <v>17.818181818181817</v>
      </c>
      <c r="AI1057" s="86">
        <f>AVERAGEIFS($I$2:I1057, $B$2:B1057, B1057)</f>
        <v>0.61590909090909085</v>
      </c>
      <c r="AJ1057" s="86">
        <f>AVERAGEIFS($J$2:J1057, $B$2:B1057, B1057)</f>
        <v>0.5818181818181819</v>
      </c>
      <c r="AK1057" s="86">
        <f>AVERAGEIFS($D$2:D1057, $B$2:B1057, B1057)</f>
        <v>0.63636363636363635</v>
      </c>
    </row>
    <row r="1058" spans="1:37" x14ac:dyDescent="0.25">
      <c r="A1058" s="85">
        <v>46151</v>
      </c>
      <c r="B1058" t="s">
        <v>6</v>
      </c>
      <c r="C1058">
        <v>26</v>
      </c>
      <c r="D1058">
        <v>1</v>
      </c>
      <c r="E1058">
        <v>3</v>
      </c>
      <c r="F1058">
        <v>3</v>
      </c>
      <c r="G1058">
        <v>12</v>
      </c>
      <c r="H1058">
        <v>9</v>
      </c>
      <c r="I1058">
        <v>1</v>
      </c>
      <c r="J1058">
        <v>0.75</v>
      </c>
      <c r="K1058">
        <v>0</v>
      </c>
      <c r="L1058">
        <v>0</v>
      </c>
      <c r="M1058">
        <v>0</v>
      </c>
      <c r="N1058">
        <v>1</v>
      </c>
      <c r="O1058">
        <v>0</v>
      </c>
      <c r="P1058">
        <v>0</v>
      </c>
      <c r="Q1058">
        <v>1</v>
      </c>
      <c r="R1058">
        <v>0</v>
      </c>
      <c r="S1058">
        <v>0</v>
      </c>
      <c r="T1058">
        <v>0</v>
      </c>
      <c r="U1058">
        <v>0</v>
      </c>
      <c r="V1058">
        <v>0</v>
      </c>
      <c r="W1058">
        <v>0</v>
      </c>
      <c r="X1058">
        <v>0</v>
      </c>
      <c r="Y1058">
        <v>0</v>
      </c>
      <c r="Z1058">
        <v>1</v>
      </c>
      <c r="AA1058">
        <v>0</v>
      </c>
      <c r="AB1058">
        <v>0</v>
      </c>
      <c r="AC1058">
        <v>0</v>
      </c>
      <c r="AD1058">
        <v>0</v>
      </c>
      <c r="AE1058">
        <v>0</v>
      </c>
      <c r="AF1058">
        <v>0</v>
      </c>
      <c r="AG1058">
        <v>0</v>
      </c>
      <c r="AH1058" s="86">
        <f>AVERAGEIFS($C$2:C1058, $B$2:B1058, B1058)</f>
        <v>22.478260869565219</v>
      </c>
      <c r="AI1058" s="86">
        <f>AVERAGEIFS($I$2:I1058, $B$2:B1058, B1058)</f>
        <v>0.55478260869565232</v>
      </c>
      <c r="AJ1058" s="86">
        <f>AVERAGEIFS($J$2:J1058, $B$2:B1058, B1058)</f>
        <v>0.52927536231884054</v>
      </c>
      <c r="AK1058" s="86">
        <f>AVERAGEIFS($D$2:D1058, $B$2:B1058, B1058)</f>
        <v>0.62318840579710144</v>
      </c>
    </row>
    <row r="1059" spans="1:37" x14ac:dyDescent="0.25">
      <c r="A1059" s="85">
        <v>46151</v>
      </c>
      <c r="B1059" t="s">
        <v>179</v>
      </c>
      <c r="C1059">
        <v>21</v>
      </c>
      <c r="D1059">
        <v>1</v>
      </c>
      <c r="E1059">
        <v>3</v>
      </c>
      <c r="F1059">
        <v>3</v>
      </c>
      <c r="G1059">
        <v>12</v>
      </c>
      <c r="H1059">
        <v>9</v>
      </c>
      <c r="I1059">
        <v>1</v>
      </c>
      <c r="J1059">
        <v>0.75</v>
      </c>
      <c r="K1059">
        <v>0</v>
      </c>
      <c r="L1059">
        <v>0</v>
      </c>
      <c r="M1059">
        <v>0</v>
      </c>
      <c r="N1059">
        <v>1</v>
      </c>
      <c r="O1059">
        <v>0</v>
      </c>
      <c r="P1059">
        <v>0</v>
      </c>
      <c r="Q1059">
        <v>1</v>
      </c>
      <c r="R1059">
        <v>0</v>
      </c>
      <c r="S1059">
        <v>0</v>
      </c>
      <c r="T1059">
        <v>0</v>
      </c>
      <c r="U1059">
        <v>0</v>
      </c>
      <c r="V1059">
        <v>0</v>
      </c>
      <c r="W1059">
        <v>0</v>
      </c>
      <c r="X1059">
        <v>0</v>
      </c>
      <c r="Y1059">
        <v>0</v>
      </c>
      <c r="Z1059">
        <v>1</v>
      </c>
      <c r="AA1059">
        <v>0</v>
      </c>
      <c r="AB1059">
        <v>0</v>
      </c>
      <c r="AC1059">
        <v>0</v>
      </c>
      <c r="AD1059">
        <v>0</v>
      </c>
      <c r="AE1059">
        <v>0</v>
      </c>
      <c r="AF1059">
        <v>0</v>
      </c>
      <c r="AG1059">
        <v>0</v>
      </c>
      <c r="AH1059" s="86">
        <f>AVERAGEIFS($C$2:C1059, $B$2:B1059, B1059)</f>
        <v>14.75</v>
      </c>
      <c r="AI1059" s="86">
        <f>AVERAGEIFS($I$2:I1059, $B$2:B1059, B1059)</f>
        <v>0.53749999999999998</v>
      </c>
      <c r="AJ1059" s="86">
        <f>AVERAGEIFS($J$2:J1059, $B$2:B1059, B1059)</f>
        <v>0.53249999999999997</v>
      </c>
      <c r="AK1059" s="86">
        <f>AVERAGEIFS($D$2:D1059, $B$2:B1059, B1059)</f>
        <v>0.5</v>
      </c>
    </row>
    <row r="1060" spans="1:37" x14ac:dyDescent="0.25">
      <c r="A1060" s="85">
        <v>46151</v>
      </c>
      <c r="B1060" t="s">
        <v>18</v>
      </c>
      <c r="C1060">
        <v>13</v>
      </c>
      <c r="D1060">
        <v>1</v>
      </c>
      <c r="E1060">
        <v>3</v>
      </c>
      <c r="F1060">
        <v>3</v>
      </c>
      <c r="G1060">
        <v>12</v>
      </c>
      <c r="H1060">
        <v>9</v>
      </c>
      <c r="I1060">
        <v>1</v>
      </c>
      <c r="J1060">
        <v>0.75</v>
      </c>
      <c r="K1060">
        <v>0</v>
      </c>
      <c r="L1060">
        <v>0</v>
      </c>
      <c r="M1060">
        <v>0</v>
      </c>
      <c r="N1060">
        <v>1</v>
      </c>
      <c r="O1060">
        <v>0</v>
      </c>
      <c r="P1060">
        <v>0</v>
      </c>
      <c r="Q1060">
        <v>1</v>
      </c>
      <c r="R1060">
        <v>0</v>
      </c>
      <c r="S1060">
        <v>0</v>
      </c>
      <c r="T1060">
        <v>0</v>
      </c>
      <c r="U1060">
        <v>0</v>
      </c>
      <c r="V1060">
        <v>0</v>
      </c>
      <c r="W1060">
        <v>0</v>
      </c>
      <c r="X1060">
        <v>0</v>
      </c>
      <c r="Y1060">
        <v>0</v>
      </c>
      <c r="Z1060">
        <v>1</v>
      </c>
      <c r="AA1060">
        <v>0</v>
      </c>
      <c r="AB1060">
        <v>0</v>
      </c>
      <c r="AC1060">
        <v>0</v>
      </c>
      <c r="AD1060">
        <v>0</v>
      </c>
      <c r="AE1060">
        <v>0</v>
      </c>
      <c r="AF1060">
        <v>0</v>
      </c>
      <c r="AG1060">
        <v>0</v>
      </c>
      <c r="AH1060" s="86">
        <f>AVERAGEIFS($C$2:C1060, $B$2:B1060, B1060)</f>
        <v>17.399999999999999</v>
      </c>
      <c r="AI1060" s="86">
        <f>AVERAGEIFS($I$2:I1060, $B$2:B1060, B1060)</f>
        <v>0.73499999999999999</v>
      </c>
      <c r="AJ1060" s="86">
        <f>AVERAGEIFS($J$2:J1060, $B$2:B1060, B1060)</f>
        <v>0.60399999999999987</v>
      </c>
      <c r="AK1060" s="86">
        <f>AVERAGEIFS($D$2:D1060, $B$2:B1060, B1060)</f>
        <v>0.8</v>
      </c>
    </row>
    <row r="1061" spans="1:37" x14ac:dyDescent="0.25">
      <c r="A1061" s="85">
        <v>46151</v>
      </c>
      <c r="B1061" t="s">
        <v>214</v>
      </c>
      <c r="C1061">
        <v>1</v>
      </c>
      <c r="D1061">
        <v>1</v>
      </c>
      <c r="E1061">
        <v>3</v>
      </c>
      <c r="F1061">
        <v>3</v>
      </c>
      <c r="G1061">
        <v>12</v>
      </c>
      <c r="H1061">
        <v>9</v>
      </c>
      <c r="I1061">
        <v>1</v>
      </c>
      <c r="J1061">
        <v>0.75</v>
      </c>
      <c r="K1061">
        <v>0</v>
      </c>
      <c r="L1061">
        <v>0</v>
      </c>
      <c r="M1061">
        <v>0</v>
      </c>
      <c r="N1061">
        <v>1</v>
      </c>
      <c r="O1061">
        <v>0</v>
      </c>
      <c r="P1061">
        <v>0</v>
      </c>
      <c r="Q1061">
        <v>1</v>
      </c>
      <c r="R1061">
        <v>0</v>
      </c>
      <c r="S1061">
        <v>0</v>
      </c>
      <c r="T1061">
        <v>0</v>
      </c>
      <c r="U1061">
        <v>0</v>
      </c>
      <c r="V1061">
        <v>0</v>
      </c>
      <c r="W1061">
        <v>0</v>
      </c>
      <c r="X1061">
        <v>0</v>
      </c>
      <c r="Y1061">
        <v>0</v>
      </c>
      <c r="Z1061">
        <v>1</v>
      </c>
      <c r="AA1061">
        <v>0</v>
      </c>
      <c r="AB1061">
        <v>0</v>
      </c>
      <c r="AC1061">
        <v>0</v>
      </c>
      <c r="AD1061">
        <v>0</v>
      </c>
      <c r="AE1061">
        <v>0</v>
      </c>
      <c r="AF1061">
        <v>0</v>
      </c>
      <c r="AG1061">
        <v>0</v>
      </c>
      <c r="AH1061" s="86">
        <f>AVERAGEIFS($C$2:C1061, $B$2:B1061, B1061)</f>
        <v>1</v>
      </c>
      <c r="AI1061" s="86">
        <f>AVERAGEIFS($I$2:I1061, $B$2:B1061, B1061)</f>
        <v>1</v>
      </c>
      <c r="AJ1061" s="86">
        <f>AVERAGEIFS($J$2:J1061, $B$2:B1061, B1061)</f>
        <v>0.75</v>
      </c>
      <c r="AK1061" s="86">
        <f>AVERAGEIFS($D$2:D1061, $B$2:B1061, B1061)</f>
        <v>1</v>
      </c>
    </row>
    <row r="1062" spans="1:37" x14ac:dyDescent="0.25">
      <c r="A1062" s="85">
        <v>46151</v>
      </c>
      <c r="B1062" t="s">
        <v>141</v>
      </c>
      <c r="C1062">
        <v>8</v>
      </c>
      <c r="D1062">
        <v>1</v>
      </c>
      <c r="E1062">
        <v>3</v>
      </c>
      <c r="F1062">
        <v>3</v>
      </c>
      <c r="G1062">
        <v>12</v>
      </c>
      <c r="H1062">
        <v>9</v>
      </c>
      <c r="I1062">
        <v>1</v>
      </c>
      <c r="J1062">
        <v>0.75</v>
      </c>
      <c r="K1062">
        <v>0</v>
      </c>
      <c r="L1062">
        <v>0</v>
      </c>
      <c r="M1062">
        <v>0</v>
      </c>
      <c r="N1062">
        <v>1</v>
      </c>
      <c r="O1062">
        <v>0</v>
      </c>
      <c r="P1062">
        <v>0</v>
      </c>
      <c r="Q1062">
        <v>1</v>
      </c>
      <c r="R1062">
        <v>0</v>
      </c>
      <c r="S1062">
        <v>0</v>
      </c>
      <c r="T1062">
        <v>0</v>
      </c>
      <c r="U1062">
        <v>0</v>
      </c>
      <c r="V1062">
        <v>0</v>
      </c>
      <c r="W1062">
        <v>0</v>
      </c>
      <c r="X1062">
        <v>0</v>
      </c>
      <c r="Y1062">
        <v>0</v>
      </c>
      <c r="Z1062">
        <v>1</v>
      </c>
      <c r="AA1062">
        <v>0</v>
      </c>
      <c r="AB1062">
        <v>0</v>
      </c>
      <c r="AC1062">
        <v>0</v>
      </c>
      <c r="AD1062">
        <v>0</v>
      </c>
      <c r="AE1062">
        <v>0</v>
      </c>
      <c r="AF1062">
        <v>0</v>
      </c>
      <c r="AG1062">
        <v>0</v>
      </c>
      <c r="AH1062" s="86">
        <f>AVERAGEIFS($C$2:C1062, $B$2:B1062, B1062)</f>
        <v>13.705882352941176</v>
      </c>
      <c r="AI1062" s="86">
        <f>AVERAGEIFS($I$2:I1062, $B$2:B1062, B1062)</f>
        <v>0.50294117647058822</v>
      </c>
      <c r="AJ1062" s="86">
        <f>AVERAGEIFS($J$2:J1062, $B$2:B1062, B1062)</f>
        <v>0.51647058823529424</v>
      </c>
      <c r="AK1062" s="86">
        <f>AVERAGEIFS($D$2:D1062, $B$2:B1062, B1062)</f>
        <v>0.58823529411764708</v>
      </c>
    </row>
    <row r="1063" spans="1:37" x14ac:dyDescent="0.25">
      <c r="A1063" s="85">
        <v>46151</v>
      </c>
      <c r="B1063" t="s">
        <v>107</v>
      </c>
      <c r="C1063">
        <v>11</v>
      </c>
      <c r="D1063">
        <v>0</v>
      </c>
      <c r="E1063">
        <v>3</v>
      </c>
      <c r="F1063">
        <v>0</v>
      </c>
      <c r="G1063">
        <v>12</v>
      </c>
      <c r="H1063">
        <v>3</v>
      </c>
      <c r="I1063">
        <v>0</v>
      </c>
      <c r="J1063">
        <v>0.25</v>
      </c>
      <c r="K1063">
        <v>0</v>
      </c>
      <c r="L1063">
        <v>0</v>
      </c>
      <c r="M1063">
        <v>0</v>
      </c>
      <c r="N1063">
        <v>0</v>
      </c>
      <c r="O1063">
        <v>0</v>
      </c>
      <c r="P1063">
        <v>0</v>
      </c>
      <c r="Q1063">
        <v>0</v>
      </c>
      <c r="R1063">
        <v>0</v>
      </c>
      <c r="S1063">
        <v>0</v>
      </c>
      <c r="T1063">
        <v>0</v>
      </c>
      <c r="U1063">
        <v>0</v>
      </c>
      <c r="V1063">
        <v>0</v>
      </c>
      <c r="W1063">
        <v>0</v>
      </c>
      <c r="X1063">
        <v>0</v>
      </c>
      <c r="Y1063">
        <v>0</v>
      </c>
      <c r="Z1063">
        <v>0</v>
      </c>
      <c r="AA1063">
        <v>0</v>
      </c>
      <c r="AB1063">
        <v>0</v>
      </c>
      <c r="AC1063">
        <v>0</v>
      </c>
      <c r="AD1063">
        <v>0</v>
      </c>
      <c r="AE1063">
        <v>0</v>
      </c>
      <c r="AF1063">
        <v>0</v>
      </c>
      <c r="AG1063">
        <v>0</v>
      </c>
      <c r="AH1063" s="86">
        <f>AVERAGEIFS($C$2:C1063, $B$2:B1063, B1063)</f>
        <v>15.847826086956522</v>
      </c>
      <c r="AI1063" s="86">
        <f>AVERAGEIFS($I$2:I1063, $B$2:B1063, B1063)</f>
        <v>0.50108695652173918</v>
      </c>
      <c r="AJ1063" s="86">
        <f>AVERAGEIFS($J$2:J1063, $B$2:B1063, B1063)</f>
        <v>0.51260869565217382</v>
      </c>
      <c r="AK1063" s="86">
        <f>AVERAGEIFS($D$2:D1063, $B$2:B1063, B1063)</f>
        <v>0.56521739130434778</v>
      </c>
    </row>
    <row r="1064" spans="1:37" x14ac:dyDescent="0.25">
      <c r="A1064" s="85">
        <v>46151</v>
      </c>
      <c r="B1064" t="s">
        <v>5</v>
      </c>
      <c r="C1064">
        <v>24</v>
      </c>
      <c r="D1064">
        <v>0</v>
      </c>
      <c r="E1064">
        <v>3</v>
      </c>
      <c r="F1064">
        <v>0</v>
      </c>
      <c r="G1064">
        <v>12</v>
      </c>
      <c r="H1064">
        <v>3</v>
      </c>
      <c r="I1064">
        <v>0</v>
      </c>
      <c r="J1064">
        <v>0.25</v>
      </c>
      <c r="K1064">
        <v>0</v>
      </c>
      <c r="L1064">
        <v>0</v>
      </c>
      <c r="M1064">
        <v>0</v>
      </c>
      <c r="N1064">
        <v>0</v>
      </c>
      <c r="O1064">
        <v>0</v>
      </c>
      <c r="P1064">
        <v>0</v>
      </c>
      <c r="Q1064">
        <v>0</v>
      </c>
      <c r="R1064">
        <v>0</v>
      </c>
      <c r="S1064">
        <v>0</v>
      </c>
      <c r="T1064">
        <v>0</v>
      </c>
      <c r="U1064">
        <v>0</v>
      </c>
      <c r="V1064">
        <v>0</v>
      </c>
      <c r="W1064">
        <v>0</v>
      </c>
      <c r="X1064">
        <v>0</v>
      </c>
      <c r="Y1064">
        <v>0</v>
      </c>
      <c r="Z1064">
        <v>0</v>
      </c>
      <c r="AA1064">
        <v>0</v>
      </c>
      <c r="AB1064">
        <v>0</v>
      </c>
      <c r="AC1064">
        <v>0</v>
      </c>
      <c r="AD1064">
        <v>0</v>
      </c>
      <c r="AE1064">
        <v>0</v>
      </c>
      <c r="AF1064">
        <v>0</v>
      </c>
      <c r="AG1064">
        <v>0</v>
      </c>
      <c r="AH1064" s="86">
        <f>AVERAGEIFS($C$2:C1064, $B$2:B1064, B1064)</f>
        <v>19.470588235294116</v>
      </c>
      <c r="AI1064" s="86">
        <f>AVERAGEIFS($I$2:I1064, $B$2:B1064, B1064)</f>
        <v>0.56970588235294106</v>
      </c>
      <c r="AJ1064" s="86">
        <f>AVERAGEIFS($J$2:J1064, $B$2:B1064, B1064)</f>
        <v>0.53264705882352958</v>
      </c>
      <c r="AK1064" s="86">
        <f>AVERAGEIFS($D$2:D1064, $B$2:B1064, B1064)</f>
        <v>0.6470588235294118</v>
      </c>
    </row>
    <row r="1065" spans="1:37" x14ac:dyDescent="0.25">
      <c r="A1065" s="85">
        <v>46151</v>
      </c>
      <c r="B1065" t="s">
        <v>40</v>
      </c>
      <c r="C1065">
        <v>7</v>
      </c>
      <c r="D1065">
        <v>0</v>
      </c>
      <c r="E1065">
        <v>3</v>
      </c>
      <c r="F1065">
        <v>0</v>
      </c>
      <c r="G1065">
        <v>12</v>
      </c>
      <c r="H1065">
        <v>3</v>
      </c>
      <c r="I1065">
        <v>0</v>
      </c>
      <c r="J1065">
        <v>0.25</v>
      </c>
      <c r="K1065">
        <v>0</v>
      </c>
      <c r="L1065">
        <v>0</v>
      </c>
      <c r="M1065">
        <v>0</v>
      </c>
      <c r="N1065">
        <v>0</v>
      </c>
      <c r="O1065">
        <v>0</v>
      </c>
      <c r="P1065">
        <v>0</v>
      </c>
      <c r="Q1065">
        <v>0</v>
      </c>
      <c r="R1065">
        <v>0</v>
      </c>
      <c r="S1065">
        <v>0</v>
      </c>
      <c r="T1065">
        <v>0</v>
      </c>
      <c r="U1065">
        <v>0</v>
      </c>
      <c r="V1065">
        <v>0</v>
      </c>
      <c r="W1065">
        <v>0</v>
      </c>
      <c r="X1065">
        <v>0</v>
      </c>
      <c r="Y1065">
        <v>0</v>
      </c>
      <c r="Z1065">
        <v>0</v>
      </c>
      <c r="AA1065">
        <v>0</v>
      </c>
      <c r="AB1065">
        <v>0</v>
      </c>
      <c r="AC1065">
        <v>0</v>
      </c>
      <c r="AD1065">
        <v>0</v>
      </c>
      <c r="AE1065">
        <v>0</v>
      </c>
      <c r="AF1065">
        <v>0</v>
      </c>
      <c r="AG1065">
        <v>0</v>
      </c>
      <c r="AH1065" s="86">
        <f>AVERAGEIFS($C$2:C1065, $B$2:B1065, B1065)</f>
        <v>18.484848484848484</v>
      </c>
      <c r="AI1065" s="86">
        <f>AVERAGEIFS($I$2:I1065, $B$2:B1065, B1065)</f>
        <v>0.46666666666666651</v>
      </c>
      <c r="AJ1065" s="86">
        <f>AVERAGEIFS($J$2:J1065, $B$2:B1065, B1065)</f>
        <v>0.47772727272727278</v>
      </c>
      <c r="AK1065" s="86">
        <f>AVERAGEIFS($D$2:D1065, $B$2:B1065, B1065)</f>
        <v>0.40909090909090912</v>
      </c>
    </row>
    <row r="1066" spans="1:37" x14ac:dyDescent="0.25">
      <c r="A1066" s="85">
        <v>46151</v>
      </c>
      <c r="B1066" t="s">
        <v>44</v>
      </c>
      <c r="C1066">
        <v>16</v>
      </c>
      <c r="D1066">
        <v>0</v>
      </c>
      <c r="E1066">
        <v>3</v>
      </c>
      <c r="F1066">
        <v>0</v>
      </c>
      <c r="G1066">
        <v>12</v>
      </c>
      <c r="H1066">
        <v>3</v>
      </c>
      <c r="I1066">
        <v>0</v>
      </c>
      <c r="J1066">
        <v>0.25</v>
      </c>
      <c r="K1066">
        <v>0</v>
      </c>
      <c r="L1066">
        <v>0</v>
      </c>
      <c r="M1066">
        <v>0</v>
      </c>
      <c r="N1066">
        <v>0</v>
      </c>
      <c r="O1066">
        <v>0</v>
      </c>
      <c r="P1066">
        <v>0</v>
      </c>
      <c r="Q1066">
        <v>0</v>
      </c>
      <c r="R1066">
        <v>0</v>
      </c>
      <c r="S1066">
        <v>0</v>
      </c>
      <c r="T1066">
        <v>0</v>
      </c>
      <c r="U1066">
        <v>0</v>
      </c>
      <c r="V1066">
        <v>0</v>
      </c>
      <c r="W1066">
        <v>0</v>
      </c>
      <c r="X1066">
        <v>0</v>
      </c>
      <c r="Y1066">
        <v>0</v>
      </c>
      <c r="Z1066">
        <v>0</v>
      </c>
      <c r="AA1066">
        <v>0</v>
      </c>
      <c r="AB1066">
        <v>0</v>
      </c>
      <c r="AC1066">
        <v>0</v>
      </c>
      <c r="AD1066">
        <v>0</v>
      </c>
      <c r="AE1066">
        <v>0</v>
      </c>
      <c r="AF1066">
        <v>0</v>
      </c>
      <c r="AG1066">
        <v>0</v>
      </c>
      <c r="AH1066" s="86">
        <f>AVERAGEIFS($C$2:C1066, $B$2:B1066, B1066)</f>
        <v>16.425531914893618</v>
      </c>
      <c r="AI1066" s="86">
        <f>AVERAGEIFS($I$2:I1066, $B$2:B1066, B1066)</f>
        <v>0.5340425531914893</v>
      </c>
      <c r="AJ1066" s="86">
        <f>AVERAGEIFS($J$2:J1066, $B$2:B1066, B1066)</f>
        <v>0.53085106382978731</v>
      </c>
      <c r="AK1066" s="86">
        <f>AVERAGEIFS($D$2:D1066, $B$2:B1066, B1066)</f>
        <v>0.61702127659574468</v>
      </c>
    </row>
    <row r="1067" spans="1:37" x14ac:dyDescent="0.25">
      <c r="A1067" s="85">
        <v>46151</v>
      </c>
      <c r="B1067" t="s">
        <v>152</v>
      </c>
      <c r="C1067">
        <v>12</v>
      </c>
      <c r="D1067">
        <v>0</v>
      </c>
      <c r="E1067">
        <v>3</v>
      </c>
      <c r="F1067">
        <v>0</v>
      </c>
      <c r="G1067">
        <v>12</v>
      </c>
      <c r="H1067">
        <v>3</v>
      </c>
      <c r="I1067">
        <v>0</v>
      </c>
      <c r="J1067">
        <v>0.25</v>
      </c>
      <c r="K1067">
        <v>0</v>
      </c>
      <c r="L1067">
        <v>0</v>
      </c>
      <c r="M1067">
        <v>0</v>
      </c>
      <c r="N1067">
        <v>0</v>
      </c>
      <c r="O1067">
        <v>0</v>
      </c>
      <c r="P1067">
        <v>0</v>
      </c>
      <c r="Q1067">
        <v>0</v>
      </c>
      <c r="R1067">
        <v>0</v>
      </c>
      <c r="S1067">
        <v>0</v>
      </c>
      <c r="T1067">
        <v>0</v>
      </c>
      <c r="U1067">
        <v>0</v>
      </c>
      <c r="V1067">
        <v>0</v>
      </c>
      <c r="W1067">
        <v>0</v>
      </c>
      <c r="X1067">
        <v>0</v>
      </c>
      <c r="Y1067">
        <v>0</v>
      </c>
      <c r="Z1067">
        <v>0</v>
      </c>
      <c r="AA1067">
        <v>0</v>
      </c>
      <c r="AB1067">
        <v>0</v>
      </c>
      <c r="AC1067">
        <v>0</v>
      </c>
      <c r="AD1067">
        <v>0</v>
      </c>
      <c r="AE1067">
        <v>0</v>
      </c>
      <c r="AF1067">
        <v>0</v>
      </c>
      <c r="AG1067">
        <v>0</v>
      </c>
      <c r="AH1067" s="86">
        <f>AVERAGEIFS($C$2:C1067, $B$2:B1067, B1067)</f>
        <v>11.285714285714286</v>
      </c>
      <c r="AI1067" s="86">
        <f>AVERAGEIFS($I$2:I1067, $B$2:B1067, B1067)</f>
        <v>0.43571428571428578</v>
      </c>
      <c r="AJ1067" s="86">
        <f>AVERAGEIFS($J$2:J1067, $B$2:B1067, B1067)</f>
        <v>0.48571428571428571</v>
      </c>
      <c r="AK1067" s="86">
        <f>AVERAGEIFS($D$2:D1067, $B$2:B1067, B1067)</f>
        <v>0.42857142857142855</v>
      </c>
    </row>
    <row r="1068" spans="1:37" x14ac:dyDescent="0.25">
      <c r="A1068" s="85">
        <v>46151</v>
      </c>
      <c r="B1068" t="s">
        <v>161</v>
      </c>
      <c r="C1068">
        <v>4</v>
      </c>
      <c r="D1068">
        <v>0</v>
      </c>
      <c r="E1068">
        <v>3</v>
      </c>
      <c r="F1068">
        <v>0</v>
      </c>
      <c r="G1068">
        <v>12</v>
      </c>
      <c r="H1068">
        <v>3</v>
      </c>
      <c r="I1068">
        <v>0</v>
      </c>
      <c r="J1068">
        <v>0.25</v>
      </c>
      <c r="K1068">
        <v>0</v>
      </c>
      <c r="L1068">
        <v>0</v>
      </c>
      <c r="M1068">
        <v>0</v>
      </c>
      <c r="N1068">
        <v>0</v>
      </c>
      <c r="O1068">
        <v>0</v>
      </c>
      <c r="P1068">
        <v>0</v>
      </c>
      <c r="Q1068">
        <v>0</v>
      </c>
      <c r="R1068">
        <v>0</v>
      </c>
      <c r="S1068">
        <v>0</v>
      </c>
      <c r="T1068">
        <v>0</v>
      </c>
      <c r="U1068">
        <v>0</v>
      </c>
      <c r="V1068">
        <v>0</v>
      </c>
      <c r="W1068">
        <v>0</v>
      </c>
      <c r="X1068">
        <v>0</v>
      </c>
      <c r="Y1068">
        <v>0</v>
      </c>
      <c r="Z1068">
        <v>0</v>
      </c>
      <c r="AA1068">
        <v>0</v>
      </c>
      <c r="AB1068">
        <v>0</v>
      </c>
      <c r="AC1068">
        <v>0</v>
      </c>
      <c r="AD1068">
        <v>0</v>
      </c>
      <c r="AE1068">
        <v>0</v>
      </c>
      <c r="AF1068">
        <v>0</v>
      </c>
      <c r="AG1068">
        <v>0</v>
      </c>
      <c r="AH1068" s="86">
        <f>AVERAGEIFS($C$2:C1068, $B$2:B1068, B1068)</f>
        <v>8.8181818181818183</v>
      </c>
      <c r="AI1068" s="86">
        <f>AVERAGEIFS($I$2:I1068, $B$2:B1068, B1068)</f>
        <v>0.53636363636363626</v>
      </c>
      <c r="AJ1068" s="86">
        <f>AVERAGEIFS($J$2:J1068, $B$2:B1068, B1068)</f>
        <v>0.51636363636363636</v>
      </c>
      <c r="AK1068" s="86">
        <f>AVERAGEIFS($D$2:D1068, $B$2:B1068, B1068)</f>
        <v>0.54545454545454541</v>
      </c>
    </row>
    <row r="1069" spans="1:37" x14ac:dyDescent="0.25">
      <c r="A1069" s="85">
        <v>46154</v>
      </c>
      <c r="B1069" t="s">
        <v>14</v>
      </c>
      <c r="C1069">
        <v>20</v>
      </c>
      <c r="D1069">
        <v>1</v>
      </c>
      <c r="E1069">
        <v>4</v>
      </c>
      <c r="F1069">
        <v>3</v>
      </c>
      <c r="G1069">
        <v>18</v>
      </c>
      <c r="H1069">
        <v>11</v>
      </c>
      <c r="I1069">
        <v>0.75</v>
      </c>
      <c r="J1069">
        <v>0.61</v>
      </c>
      <c r="K1069">
        <v>0</v>
      </c>
      <c r="L1069">
        <v>0</v>
      </c>
      <c r="M1069">
        <v>0</v>
      </c>
      <c r="N1069">
        <v>0</v>
      </c>
      <c r="O1069">
        <v>0</v>
      </c>
      <c r="P1069">
        <v>0</v>
      </c>
      <c r="Q1069">
        <v>0</v>
      </c>
      <c r="R1069">
        <v>1</v>
      </c>
      <c r="S1069">
        <v>0</v>
      </c>
      <c r="T1069">
        <v>0</v>
      </c>
      <c r="U1069">
        <v>0</v>
      </c>
      <c r="V1069">
        <v>0</v>
      </c>
      <c r="W1069">
        <v>0</v>
      </c>
      <c r="X1069">
        <v>0</v>
      </c>
      <c r="Y1069">
        <v>0</v>
      </c>
      <c r="Z1069">
        <v>1</v>
      </c>
      <c r="AA1069">
        <v>0</v>
      </c>
      <c r="AB1069">
        <v>0</v>
      </c>
      <c r="AC1069">
        <v>1</v>
      </c>
      <c r="AD1069">
        <v>0</v>
      </c>
      <c r="AE1069">
        <v>0</v>
      </c>
      <c r="AF1069">
        <v>0</v>
      </c>
      <c r="AG1069">
        <v>0</v>
      </c>
      <c r="AH1069" s="86">
        <f>AVERAGEIFS($C$2:C1069, $B$2:B1069, B1069)</f>
        <v>16.90909090909091</v>
      </c>
      <c r="AI1069" s="86">
        <f>AVERAGEIFS($I$2:I1069, $B$2:B1069, B1069)</f>
        <v>0.49409090909090908</v>
      </c>
      <c r="AJ1069" s="86">
        <f>AVERAGEIFS($J$2:J1069, $B$2:B1069, B1069)</f>
        <v>0.50181818181818183</v>
      </c>
      <c r="AK1069" s="86">
        <f>AVERAGEIFS($D$2:D1069, $B$2:B1069, B1069)</f>
        <v>0.5</v>
      </c>
    </row>
    <row r="1070" spans="1:37" x14ac:dyDescent="0.25">
      <c r="A1070" s="85">
        <v>46154</v>
      </c>
      <c r="B1070" t="s">
        <v>141</v>
      </c>
      <c r="C1070">
        <v>25</v>
      </c>
      <c r="D1070">
        <v>1</v>
      </c>
      <c r="E1070">
        <v>4</v>
      </c>
      <c r="F1070">
        <v>3</v>
      </c>
      <c r="G1070">
        <v>18</v>
      </c>
      <c r="H1070">
        <v>11</v>
      </c>
      <c r="I1070">
        <v>0.75</v>
      </c>
      <c r="J1070">
        <v>0.61</v>
      </c>
      <c r="K1070">
        <v>0</v>
      </c>
      <c r="L1070">
        <v>0</v>
      </c>
      <c r="M1070">
        <v>0</v>
      </c>
      <c r="N1070">
        <v>0</v>
      </c>
      <c r="O1070">
        <v>0</v>
      </c>
      <c r="P1070">
        <v>0</v>
      </c>
      <c r="Q1070">
        <v>0</v>
      </c>
      <c r="R1070">
        <v>1</v>
      </c>
      <c r="S1070">
        <v>0</v>
      </c>
      <c r="T1070">
        <v>0</v>
      </c>
      <c r="U1070">
        <v>0</v>
      </c>
      <c r="V1070">
        <v>0</v>
      </c>
      <c r="W1070">
        <v>0</v>
      </c>
      <c r="X1070">
        <v>0</v>
      </c>
      <c r="Y1070">
        <v>0</v>
      </c>
      <c r="Z1070">
        <v>1</v>
      </c>
      <c r="AA1070">
        <v>0</v>
      </c>
      <c r="AB1070">
        <v>0</v>
      </c>
      <c r="AC1070">
        <v>1</v>
      </c>
      <c r="AD1070">
        <v>0</v>
      </c>
      <c r="AE1070">
        <v>0</v>
      </c>
      <c r="AF1070">
        <v>0</v>
      </c>
      <c r="AG1070">
        <v>0</v>
      </c>
      <c r="AH1070" s="86">
        <f>AVERAGEIFS($C$2:C1070, $B$2:B1070, B1070)</f>
        <v>14.333333333333334</v>
      </c>
      <c r="AI1070" s="86">
        <f>AVERAGEIFS($I$2:I1070, $B$2:B1070, B1070)</f>
        <v>0.51666666666666672</v>
      </c>
      <c r="AJ1070" s="86">
        <f>AVERAGEIFS($J$2:J1070, $B$2:B1070, B1070)</f>
        <v>0.52166666666666672</v>
      </c>
      <c r="AK1070" s="86">
        <f>AVERAGEIFS($D$2:D1070, $B$2:B1070, B1070)</f>
        <v>0.61111111111111116</v>
      </c>
    </row>
    <row r="1071" spans="1:37" x14ac:dyDescent="0.25">
      <c r="A1071" s="85">
        <v>46154</v>
      </c>
      <c r="B1071" t="s">
        <v>147</v>
      </c>
      <c r="C1071">
        <v>18</v>
      </c>
      <c r="D1071">
        <v>1</v>
      </c>
      <c r="E1071">
        <v>4</v>
      </c>
      <c r="F1071">
        <v>3</v>
      </c>
      <c r="G1071">
        <v>18</v>
      </c>
      <c r="H1071">
        <v>11</v>
      </c>
      <c r="I1071">
        <v>0.75</v>
      </c>
      <c r="J1071">
        <v>0.61</v>
      </c>
      <c r="K1071">
        <v>0</v>
      </c>
      <c r="L1071">
        <v>0</v>
      </c>
      <c r="M1071">
        <v>0</v>
      </c>
      <c r="N1071">
        <v>0</v>
      </c>
      <c r="O1071">
        <v>0</v>
      </c>
      <c r="P1071">
        <v>0</v>
      </c>
      <c r="Q1071">
        <v>0</v>
      </c>
      <c r="R1071">
        <v>1</v>
      </c>
      <c r="S1071">
        <v>0</v>
      </c>
      <c r="T1071">
        <v>0</v>
      </c>
      <c r="U1071">
        <v>0</v>
      </c>
      <c r="V1071">
        <v>0</v>
      </c>
      <c r="W1071">
        <v>0</v>
      </c>
      <c r="X1071">
        <v>0</v>
      </c>
      <c r="Y1071">
        <v>0</v>
      </c>
      <c r="Z1071">
        <v>1</v>
      </c>
      <c r="AA1071">
        <v>0</v>
      </c>
      <c r="AB1071">
        <v>0</v>
      </c>
      <c r="AC1071">
        <v>1</v>
      </c>
      <c r="AD1071">
        <v>0</v>
      </c>
      <c r="AE1071">
        <v>0</v>
      </c>
      <c r="AF1071">
        <v>0</v>
      </c>
      <c r="AG1071">
        <v>0</v>
      </c>
      <c r="AH1071" s="86">
        <f>AVERAGEIFS($C$2:C1071, $B$2:B1071, B1071)</f>
        <v>12.838709677419354</v>
      </c>
      <c r="AI1071" s="86">
        <f>AVERAGEIFS($I$2:I1071, $B$2:B1071, B1071)</f>
        <v>0.55645161290322576</v>
      </c>
      <c r="AJ1071" s="86">
        <f>AVERAGEIFS($J$2:J1071, $B$2:B1071, B1071)</f>
        <v>0.53096774193548391</v>
      </c>
      <c r="AK1071" s="86">
        <f>AVERAGEIFS($D$2:D1071, $B$2:B1071, B1071)</f>
        <v>0.5161290322580645</v>
      </c>
    </row>
    <row r="1072" spans="1:37" x14ac:dyDescent="0.25">
      <c r="A1072" s="85">
        <v>46154</v>
      </c>
      <c r="B1072" t="s">
        <v>50</v>
      </c>
      <c r="C1072">
        <v>24</v>
      </c>
      <c r="D1072">
        <v>1</v>
      </c>
      <c r="E1072">
        <v>4</v>
      </c>
      <c r="F1072">
        <v>3</v>
      </c>
      <c r="G1072">
        <v>18</v>
      </c>
      <c r="H1072">
        <v>11</v>
      </c>
      <c r="I1072">
        <v>0.75</v>
      </c>
      <c r="J1072">
        <v>0.61</v>
      </c>
      <c r="K1072">
        <v>0</v>
      </c>
      <c r="L1072">
        <v>0</v>
      </c>
      <c r="M1072">
        <v>0</v>
      </c>
      <c r="N1072">
        <v>0</v>
      </c>
      <c r="O1072">
        <v>0</v>
      </c>
      <c r="P1072">
        <v>0</v>
      </c>
      <c r="Q1072">
        <v>0</v>
      </c>
      <c r="R1072">
        <v>1</v>
      </c>
      <c r="S1072">
        <v>0</v>
      </c>
      <c r="T1072">
        <v>0</v>
      </c>
      <c r="U1072">
        <v>0</v>
      </c>
      <c r="V1072">
        <v>0</v>
      </c>
      <c r="W1072">
        <v>0</v>
      </c>
      <c r="X1072">
        <v>0</v>
      </c>
      <c r="Y1072">
        <v>0</v>
      </c>
      <c r="Z1072">
        <v>1</v>
      </c>
      <c r="AA1072">
        <v>0</v>
      </c>
      <c r="AB1072">
        <v>0</v>
      </c>
      <c r="AC1072">
        <v>1</v>
      </c>
      <c r="AD1072">
        <v>0</v>
      </c>
      <c r="AE1072">
        <v>0</v>
      </c>
      <c r="AF1072">
        <v>0</v>
      </c>
      <c r="AG1072">
        <v>0</v>
      </c>
      <c r="AH1072" s="86">
        <f>AVERAGEIFS($C$2:C1072, $B$2:B1072, B1072)</f>
        <v>17.977272727272727</v>
      </c>
      <c r="AI1072" s="86">
        <f>AVERAGEIFS($I$2:I1072, $B$2:B1072, B1072)</f>
        <v>0.49954545454545463</v>
      </c>
      <c r="AJ1072" s="86">
        <f>AVERAGEIFS($J$2:J1072, $B$2:B1072, B1072)</f>
        <v>0.51136363636363624</v>
      </c>
      <c r="AK1072" s="86">
        <f>AVERAGEIFS($D$2:D1072, $B$2:B1072, B1072)</f>
        <v>0.5</v>
      </c>
    </row>
    <row r="1073" spans="1:37" x14ac:dyDescent="0.25">
      <c r="A1073" s="85">
        <v>46154</v>
      </c>
      <c r="B1073" t="s">
        <v>1</v>
      </c>
      <c r="C1073">
        <v>25</v>
      </c>
      <c r="D1073">
        <v>1</v>
      </c>
      <c r="E1073">
        <v>4</v>
      </c>
      <c r="F1073">
        <v>3</v>
      </c>
      <c r="G1073">
        <v>18</v>
      </c>
      <c r="H1073">
        <v>11</v>
      </c>
      <c r="I1073">
        <v>0.75</v>
      </c>
      <c r="J1073">
        <v>0.61</v>
      </c>
      <c r="K1073">
        <v>0</v>
      </c>
      <c r="L1073">
        <v>0</v>
      </c>
      <c r="M1073">
        <v>0</v>
      </c>
      <c r="N1073">
        <v>0</v>
      </c>
      <c r="O1073">
        <v>0</v>
      </c>
      <c r="P1073">
        <v>0</v>
      </c>
      <c r="Q1073">
        <v>0</v>
      </c>
      <c r="R1073">
        <v>1</v>
      </c>
      <c r="S1073">
        <v>0</v>
      </c>
      <c r="T1073">
        <v>0</v>
      </c>
      <c r="U1073">
        <v>0</v>
      </c>
      <c r="V1073">
        <v>0</v>
      </c>
      <c r="W1073">
        <v>0</v>
      </c>
      <c r="X1073">
        <v>0</v>
      </c>
      <c r="Y1073">
        <v>0</v>
      </c>
      <c r="Z1073">
        <v>1</v>
      </c>
      <c r="AA1073">
        <v>0</v>
      </c>
      <c r="AB1073">
        <v>0</v>
      </c>
      <c r="AC1073">
        <v>1</v>
      </c>
      <c r="AD1073">
        <v>0</v>
      </c>
      <c r="AE1073">
        <v>0</v>
      </c>
      <c r="AF1073">
        <v>0</v>
      </c>
      <c r="AG1073">
        <v>0</v>
      </c>
      <c r="AH1073" s="86">
        <f>AVERAGEIFS($C$2:C1073, $B$2:B1073, B1073)</f>
        <v>27.25</v>
      </c>
      <c r="AI1073" s="86">
        <f>AVERAGEIFS($I$2:I1073, $B$2:B1073, B1073)</f>
        <v>0.50250000000000006</v>
      </c>
      <c r="AJ1073" s="86">
        <f>AVERAGEIFS($J$2:J1073, $B$2:B1073, B1073)</f>
        <v>0.50225000000000009</v>
      </c>
      <c r="AK1073" s="86">
        <f>AVERAGEIFS($D$2:D1073, $B$2:B1073, B1073)</f>
        <v>0.52500000000000002</v>
      </c>
    </row>
    <row r="1074" spans="1:37" x14ac:dyDescent="0.25">
      <c r="A1074" s="85">
        <v>46154</v>
      </c>
      <c r="B1074" t="s">
        <v>53</v>
      </c>
      <c r="C1074">
        <v>22</v>
      </c>
      <c r="D1074">
        <v>1</v>
      </c>
      <c r="E1074">
        <v>4</v>
      </c>
      <c r="F1074">
        <v>3</v>
      </c>
      <c r="G1074">
        <v>18</v>
      </c>
      <c r="H1074">
        <v>11</v>
      </c>
      <c r="I1074">
        <v>0.75</v>
      </c>
      <c r="J1074">
        <v>0.61</v>
      </c>
      <c r="K1074">
        <v>0</v>
      </c>
      <c r="L1074">
        <v>0</v>
      </c>
      <c r="M1074">
        <v>0</v>
      </c>
      <c r="N1074">
        <v>0</v>
      </c>
      <c r="O1074">
        <v>0</v>
      </c>
      <c r="P1074">
        <v>0</v>
      </c>
      <c r="Q1074">
        <v>0</v>
      </c>
      <c r="R1074">
        <v>1</v>
      </c>
      <c r="S1074">
        <v>0</v>
      </c>
      <c r="T1074">
        <v>0</v>
      </c>
      <c r="U1074">
        <v>0</v>
      </c>
      <c r="V1074">
        <v>0</v>
      </c>
      <c r="W1074">
        <v>0</v>
      </c>
      <c r="X1074">
        <v>0</v>
      </c>
      <c r="Y1074">
        <v>0</v>
      </c>
      <c r="Z1074">
        <v>1</v>
      </c>
      <c r="AA1074">
        <v>0</v>
      </c>
      <c r="AB1074">
        <v>0</v>
      </c>
      <c r="AC1074">
        <v>1</v>
      </c>
      <c r="AD1074">
        <v>0</v>
      </c>
      <c r="AE1074">
        <v>0</v>
      </c>
      <c r="AF1074">
        <v>0</v>
      </c>
      <c r="AG1074">
        <v>0</v>
      </c>
      <c r="AH1074" s="86">
        <f>AVERAGEIFS($C$2:C1074, $B$2:B1074, B1074)</f>
        <v>15.033333333333333</v>
      </c>
      <c r="AI1074" s="86">
        <f>AVERAGEIFS($I$2:I1074, $B$2:B1074, B1074)</f>
        <v>0.48666666666666669</v>
      </c>
      <c r="AJ1074" s="86">
        <f>AVERAGEIFS($J$2:J1074, $B$2:B1074, B1074)</f>
        <v>0.49166666666666675</v>
      </c>
      <c r="AK1074" s="86">
        <f>AVERAGEIFS($D$2:D1074, $B$2:B1074, B1074)</f>
        <v>0.4</v>
      </c>
    </row>
    <row r="1075" spans="1:37" x14ac:dyDescent="0.25">
      <c r="A1075" s="85">
        <v>46154</v>
      </c>
      <c r="B1075" t="s">
        <v>37</v>
      </c>
      <c r="C1075">
        <v>27</v>
      </c>
      <c r="D1075">
        <v>1</v>
      </c>
      <c r="E1075">
        <v>4</v>
      </c>
      <c r="F1075">
        <v>3</v>
      </c>
      <c r="G1075">
        <v>18</v>
      </c>
      <c r="H1075">
        <v>11</v>
      </c>
      <c r="I1075">
        <v>0.75</v>
      </c>
      <c r="J1075">
        <v>0.61</v>
      </c>
      <c r="K1075">
        <v>0</v>
      </c>
      <c r="L1075">
        <v>0</v>
      </c>
      <c r="M1075">
        <v>0</v>
      </c>
      <c r="N1075">
        <v>0</v>
      </c>
      <c r="O1075">
        <v>0</v>
      </c>
      <c r="P1075">
        <v>0</v>
      </c>
      <c r="Q1075">
        <v>0</v>
      </c>
      <c r="R1075">
        <v>1</v>
      </c>
      <c r="S1075">
        <v>0</v>
      </c>
      <c r="T1075">
        <v>0</v>
      </c>
      <c r="U1075">
        <v>0</v>
      </c>
      <c r="V1075">
        <v>0</v>
      </c>
      <c r="W1075">
        <v>0</v>
      </c>
      <c r="X1075">
        <v>0</v>
      </c>
      <c r="Y1075">
        <v>0</v>
      </c>
      <c r="Z1075">
        <v>1</v>
      </c>
      <c r="AA1075">
        <v>0</v>
      </c>
      <c r="AB1075">
        <v>0</v>
      </c>
      <c r="AC1075">
        <v>1</v>
      </c>
      <c r="AD1075">
        <v>0</v>
      </c>
      <c r="AE1075">
        <v>0</v>
      </c>
      <c r="AF1075">
        <v>0</v>
      </c>
      <c r="AG1075">
        <v>0</v>
      </c>
      <c r="AH1075" s="86">
        <f>AVERAGEIFS($C$2:C1075, $B$2:B1075, B1075)</f>
        <v>14.2</v>
      </c>
      <c r="AI1075" s="86">
        <f>AVERAGEIFS($I$2:I1075, $B$2:B1075, B1075)</f>
        <v>0.55999999999999994</v>
      </c>
      <c r="AJ1075" s="86">
        <f>AVERAGEIFS($J$2:J1075, $B$2:B1075, B1075)</f>
        <v>0.504</v>
      </c>
      <c r="AK1075" s="86">
        <f>AVERAGEIFS($D$2:D1075, $B$2:B1075, B1075)</f>
        <v>0.5</v>
      </c>
    </row>
    <row r="1076" spans="1:37" x14ac:dyDescent="0.25">
      <c r="A1076" s="85">
        <v>46154</v>
      </c>
      <c r="B1076" t="s">
        <v>6</v>
      </c>
      <c r="C1076">
        <v>30</v>
      </c>
      <c r="D1076">
        <v>1</v>
      </c>
      <c r="E1076">
        <v>4</v>
      </c>
      <c r="F1076">
        <v>3</v>
      </c>
      <c r="G1076">
        <v>18</v>
      </c>
      <c r="H1076">
        <v>11</v>
      </c>
      <c r="I1076">
        <v>0.75</v>
      </c>
      <c r="J1076">
        <v>0.61</v>
      </c>
      <c r="K1076">
        <v>0</v>
      </c>
      <c r="L1076">
        <v>0</v>
      </c>
      <c r="M1076">
        <v>0</v>
      </c>
      <c r="N1076">
        <v>0</v>
      </c>
      <c r="O1076">
        <v>0</v>
      </c>
      <c r="P1076">
        <v>0</v>
      </c>
      <c r="Q1076">
        <v>0</v>
      </c>
      <c r="R1076">
        <v>1</v>
      </c>
      <c r="S1076">
        <v>0</v>
      </c>
      <c r="T1076">
        <v>0</v>
      </c>
      <c r="U1076">
        <v>0</v>
      </c>
      <c r="V1076">
        <v>0</v>
      </c>
      <c r="W1076">
        <v>0</v>
      </c>
      <c r="X1076">
        <v>0</v>
      </c>
      <c r="Y1076">
        <v>0</v>
      </c>
      <c r="Z1076">
        <v>1</v>
      </c>
      <c r="AA1076">
        <v>0</v>
      </c>
      <c r="AB1076">
        <v>0</v>
      </c>
      <c r="AC1076">
        <v>1</v>
      </c>
      <c r="AD1076">
        <v>0</v>
      </c>
      <c r="AE1076">
        <v>0</v>
      </c>
      <c r="AF1076">
        <v>0</v>
      </c>
      <c r="AG1076">
        <v>0</v>
      </c>
      <c r="AH1076" s="86">
        <f>AVERAGEIFS($C$2:C1076, $B$2:B1076, B1076)</f>
        <v>22.585714285714285</v>
      </c>
      <c r="AI1076" s="86">
        <f>AVERAGEIFS($I$2:I1076, $B$2:B1076, B1076)</f>
        <v>0.55757142857142872</v>
      </c>
      <c r="AJ1076" s="86">
        <f>AVERAGEIFS($J$2:J1076, $B$2:B1076, B1076)</f>
        <v>0.53042857142857136</v>
      </c>
      <c r="AK1076" s="86">
        <f>AVERAGEIFS($D$2:D1076, $B$2:B1076, B1076)</f>
        <v>0.62857142857142856</v>
      </c>
    </row>
    <row r="1077" spans="1:37" x14ac:dyDescent="0.25">
      <c r="A1077" s="85">
        <v>46154</v>
      </c>
      <c r="B1077" t="s">
        <v>42</v>
      </c>
      <c r="C1077">
        <v>5</v>
      </c>
      <c r="D1077">
        <v>0</v>
      </c>
      <c r="E1077">
        <v>4</v>
      </c>
      <c r="F1077">
        <v>1</v>
      </c>
      <c r="G1077">
        <v>18</v>
      </c>
      <c r="H1077">
        <v>7</v>
      </c>
      <c r="I1077">
        <v>0.25</v>
      </c>
      <c r="J1077">
        <v>0.39</v>
      </c>
      <c r="K1077">
        <v>0</v>
      </c>
      <c r="L1077">
        <v>0</v>
      </c>
      <c r="M1077">
        <v>0</v>
      </c>
      <c r="N1077">
        <v>0</v>
      </c>
      <c r="O1077">
        <v>0</v>
      </c>
      <c r="P1077">
        <v>0</v>
      </c>
      <c r="Q1077">
        <v>0</v>
      </c>
      <c r="R1077">
        <v>0</v>
      </c>
      <c r="S1077">
        <v>0</v>
      </c>
      <c r="T1077">
        <v>0</v>
      </c>
      <c r="U1077">
        <v>0</v>
      </c>
      <c r="V1077">
        <v>0</v>
      </c>
      <c r="W1077">
        <v>0</v>
      </c>
      <c r="X1077">
        <v>0</v>
      </c>
      <c r="Y1077">
        <v>0</v>
      </c>
      <c r="Z1077">
        <v>0</v>
      </c>
      <c r="AA1077">
        <v>0</v>
      </c>
      <c r="AB1077">
        <v>1</v>
      </c>
      <c r="AC1077">
        <v>0</v>
      </c>
      <c r="AD1077">
        <v>0</v>
      </c>
      <c r="AE1077">
        <v>0</v>
      </c>
      <c r="AF1077">
        <v>0</v>
      </c>
      <c r="AG1077">
        <v>0</v>
      </c>
      <c r="AH1077" s="86">
        <f>AVERAGEIFS($C$2:C1077, $B$2:B1077, B1077)</f>
        <v>17.73469387755102</v>
      </c>
      <c r="AI1077" s="86">
        <f>AVERAGEIFS($I$2:I1077, $B$2:B1077, B1077)</f>
        <v>0.4612244897959184</v>
      </c>
      <c r="AJ1077" s="86">
        <f>AVERAGEIFS($J$2:J1077, $B$2:B1077, B1077)</f>
        <v>0.45816326530612228</v>
      </c>
      <c r="AK1077" s="86">
        <f>AVERAGEIFS($D$2:D1077, $B$2:B1077, B1077)</f>
        <v>0.46938775510204084</v>
      </c>
    </row>
    <row r="1078" spans="1:37" x14ac:dyDescent="0.25">
      <c r="A1078" s="85">
        <v>46154</v>
      </c>
      <c r="B1078" t="s">
        <v>161</v>
      </c>
      <c r="C1078">
        <v>17</v>
      </c>
      <c r="D1078">
        <v>0</v>
      </c>
      <c r="E1078">
        <v>4</v>
      </c>
      <c r="F1078">
        <v>1</v>
      </c>
      <c r="G1078">
        <v>18</v>
      </c>
      <c r="H1078">
        <v>7</v>
      </c>
      <c r="I1078">
        <v>0.25</v>
      </c>
      <c r="J1078">
        <v>0.39</v>
      </c>
      <c r="K1078">
        <v>0</v>
      </c>
      <c r="L1078">
        <v>0</v>
      </c>
      <c r="M1078">
        <v>0</v>
      </c>
      <c r="N1078">
        <v>0</v>
      </c>
      <c r="O1078">
        <v>0</v>
      </c>
      <c r="P1078">
        <v>0</v>
      </c>
      <c r="Q1078">
        <v>0</v>
      </c>
      <c r="R1078">
        <v>0</v>
      </c>
      <c r="S1078">
        <v>0</v>
      </c>
      <c r="T1078">
        <v>0</v>
      </c>
      <c r="U1078">
        <v>0</v>
      </c>
      <c r="V1078">
        <v>0</v>
      </c>
      <c r="W1078">
        <v>0</v>
      </c>
      <c r="X1078">
        <v>0</v>
      </c>
      <c r="Y1078">
        <v>0</v>
      </c>
      <c r="Z1078">
        <v>0</v>
      </c>
      <c r="AA1078">
        <v>0</v>
      </c>
      <c r="AB1078">
        <v>1</v>
      </c>
      <c r="AC1078">
        <v>0</v>
      </c>
      <c r="AD1078">
        <v>0</v>
      </c>
      <c r="AE1078">
        <v>0</v>
      </c>
      <c r="AF1078">
        <v>0</v>
      </c>
      <c r="AG1078">
        <v>0</v>
      </c>
      <c r="AH1078" s="86">
        <f>AVERAGEIFS($C$2:C1078, $B$2:B1078, B1078)</f>
        <v>9.5</v>
      </c>
      <c r="AI1078" s="86">
        <f>AVERAGEIFS($I$2:I1078, $B$2:B1078, B1078)</f>
        <v>0.51249999999999996</v>
      </c>
      <c r="AJ1078" s="86">
        <f>AVERAGEIFS($J$2:J1078, $B$2:B1078, B1078)</f>
        <v>0.50583333333333325</v>
      </c>
      <c r="AK1078" s="86">
        <f>AVERAGEIFS($D$2:D1078, $B$2:B1078, B1078)</f>
        <v>0.5</v>
      </c>
    </row>
    <row r="1079" spans="1:37" x14ac:dyDescent="0.25">
      <c r="A1079" s="85">
        <v>46154</v>
      </c>
      <c r="B1079" t="s">
        <v>71</v>
      </c>
      <c r="C1079">
        <v>17</v>
      </c>
      <c r="D1079">
        <v>0</v>
      </c>
      <c r="E1079">
        <v>4</v>
      </c>
      <c r="F1079">
        <v>1</v>
      </c>
      <c r="G1079">
        <v>18</v>
      </c>
      <c r="H1079">
        <v>7</v>
      </c>
      <c r="I1079">
        <v>0.25</v>
      </c>
      <c r="J1079">
        <v>0.39</v>
      </c>
      <c r="K1079">
        <v>0</v>
      </c>
      <c r="L1079">
        <v>0</v>
      </c>
      <c r="M1079">
        <v>0</v>
      </c>
      <c r="N1079">
        <v>0</v>
      </c>
      <c r="O1079">
        <v>0</v>
      </c>
      <c r="P1079">
        <v>0</v>
      </c>
      <c r="Q1079">
        <v>0</v>
      </c>
      <c r="R1079">
        <v>0</v>
      </c>
      <c r="S1079">
        <v>0</v>
      </c>
      <c r="T1079">
        <v>0</v>
      </c>
      <c r="U1079">
        <v>0</v>
      </c>
      <c r="V1079">
        <v>0</v>
      </c>
      <c r="W1079">
        <v>0</v>
      </c>
      <c r="X1079">
        <v>0</v>
      </c>
      <c r="Y1079">
        <v>0</v>
      </c>
      <c r="Z1079">
        <v>0</v>
      </c>
      <c r="AA1079">
        <v>0</v>
      </c>
      <c r="AB1079">
        <v>1</v>
      </c>
      <c r="AC1079">
        <v>0</v>
      </c>
      <c r="AD1079">
        <v>0</v>
      </c>
      <c r="AE1079">
        <v>0</v>
      </c>
      <c r="AF1079">
        <v>0</v>
      </c>
      <c r="AG1079">
        <v>0</v>
      </c>
      <c r="AH1079" s="86">
        <f>AVERAGEIFS($C$2:C1079, $B$2:B1079, B1079)</f>
        <v>12.64516129032258</v>
      </c>
      <c r="AI1079" s="86">
        <f>AVERAGEIFS($I$2:I1079, $B$2:B1079, B1079)</f>
        <v>0.44838709677419358</v>
      </c>
      <c r="AJ1079" s="86">
        <f>AVERAGEIFS($J$2:J1079, $B$2:B1079, B1079)</f>
        <v>0.47</v>
      </c>
      <c r="AK1079" s="86">
        <f>AVERAGEIFS($D$2:D1079, $B$2:B1079, B1079)</f>
        <v>0.4838709677419355</v>
      </c>
    </row>
    <row r="1080" spans="1:37" x14ac:dyDescent="0.25">
      <c r="A1080" s="85">
        <v>46154</v>
      </c>
      <c r="B1080" t="s">
        <v>44</v>
      </c>
      <c r="C1080">
        <v>31</v>
      </c>
      <c r="D1080">
        <v>0</v>
      </c>
      <c r="E1080">
        <v>4</v>
      </c>
      <c r="F1080">
        <v>1</v>
      </c>
      <c r="G1080">
        <v>18</v>
      </c>
      <c r="H1080">
        <v>7</v>
      </c>
      <c r="I1080">
        <v>0.25</v>
      </c>
      <c r="J1080">
        <v>0.39</v>
      </c>
      <c r="K1080">
        <v>0</v>
      </c>
      <c r="L1080">
        <v>0</v>
      </c>
      <c r="M1080">
        <v>0</v>
      </c>
      <c r="N1080">
        <v>0</v>
      </c>
      <c r="O1080">
        <v>0</v>
      </c>
      <c r="P1080">
        <v>0</v>
      </c>
      <c r="Q1080">
        <v>0</v>
      </c>
      <c r="R1080">
        <v>0</v>
      </c>
      <c r="S1080">
        <v>0</v>
      </c>
      <c r="T1080">
        <v>0</v>
      </c>
      <c r="U1080">
        <v>0</v>
      </c>
      <c r="V1080">
        <v>0</v>
      </c>
      <c r="W1080">
        <v>0</v>
      </c>
      <c r="X1080">
        <v>0</v>
      </c>
      <c r="Y1080">
        <v>0</v>
      </c>
      <c r="Z1080">
        <v>0</v>
      </c>
      <c r="AA1080">
        <v>0</v>
      </c>
      <c r="AB1080">
        <v>1</v>
      </c>
      <c r="AC1080">
        <v>0</v>
      </c>
      <c r="AD1080">
        <v>0</v>
      </c>
      <c r="AE1080">
        <v>0</v>
      </c>
      <c r="AF1080">
        <v>0</v>
      </c>
      <c r="AG1080">
        <v>0</v>
      </c>
      <c r="AH1080" s="86">
        <f>AVERAGEIFS($C$2:C1080, $B$2:B1080, B1080)</f>
        <v>16.729166666666668</v>
      </c>
      <c r="AI1080" s="86">
        <f>AVERAGEIFS($I$2:I1080, $B$2:B1080, B1080)</f>
        <v>0.52812499999999996</v>
      </c>
      <c r="AJ1080" s="86">
        <f>AVERAGEIFS($J$2:J1080, $B$2:B1080, B1080)</f>
        <v>0.5279166666666667</v>
      </c>
      <c r="AK1080" s="86">
        <f>AVERAGEIFS($D$2:D1080, $B$2:B1080, B1080)</f>
        <v>0.60416666666666663</v>
      </c>
    </row>
    <row r="1081" spans="1:37" x14ac:dyDescent="0.25">
      <c r="A1081" s="85">
        <v>46154</v>
      </c>
      <c r="B1081" t="s">
        <v>5</v>
      </c>
      <c r="C1081">
        <v>21</v>
      </c>
      <c r="D1081">
        <v>0</v>
      </c>
      <c r="E1081">
        <v>4</v>
      </c>
      <c r="F1081">
        <v>1</v>
      </c>
      <c r="G1081">
        <v>18</v>
      </c>
      <c r="H1081">
        <v>7</v>
      </c>
      <c r="I1081">
        <v>0.25</v>
      </c>
      <c r="J1081">
        <v>0.39</v>
      </c>
      <c r="K1081">
        <v>0</v>
      </c>
      <c r="L1081">
        <v>0</v>
      </c>
      <c r="M1081">
        <v>0</v>
      </c>
      <c r="N1081">
        <v>0</v>
      </c>
      <c r="O1081">
        <v>0</v>
      </c>
      <c r="P1081">
        <v>0</v>
      </c>
      <c r="Q1081">
        <v>0</v>
      </c>
      <c r="R1081">
        <v>0</v>
      </c>
      <c r="S1081">
        <v>0</v>
      </c>
      <c r="T1081">
        <v>0</v>
      </c>
      <c r="U1081">
        <v>0</v>
      </c>
      <c r="V1081">
        <v>0</v>
      </c>
      <c r="W1081">
        <v>0</v>
      </c>
      <c r="X1081">
        <v>0</v>
      </c>
      <c r="Y1081">
        <v>0</v>
      </c>
      <c r="Z1081">
        <v>0</v>
      </c>
      <c r="AA1081">
        <v>0</v>
      </c>
      <c r="AB1081">
        <v>1</v>
      </c>
      <c r="AC1081">
        <v>0</v>
      </c>
      <c r="AD1081">
        <v>0</v>
      </c>
      <c r="AE1081">
        <v>0</v>
      </c>
      <c r="AF1081">
        <v>0</v>
      </c>
      <c r="AG1081">
        <v>0</v>
      </c>
      <c r="AH1081" s="86">
        <f>AVERAGEIFS($C$2:C1081, $B$2:B1081, B1081)</f>
        <v>19.514285714285716</v>
      </c>
      <c r="AI1081" s="86">
        <f>AVERAGEIFS($I$2:I1081, $B$2:B1081, B1081)</f>
        <v>0.5605714285714285</v>
      </c>
      <c r="AJ1081" s="86">
        <f>AVERAGEIFS($J$2:J1081, $B$2:B1081, B1081)</f>
        <v>0.5285714285714288</v>
      </c>
      <c r="AK1081" s="86">
        <f>AVERAGEIFS($D$2:D1081, $B$2:B1081, B1081)</f>
        <v>0.62857142857142856</v>
      </c>
    </row>
    <row r="1082" spans="1:37" x14ac:dyDescent="0.25">
      <c r="A1082" s="85">
        <v>46154</v>
      </c>
      <c r="B1082" t="s">
        <v>2</v>
      </c>
      <c r="C1082">
        <v>17</v>
      </c>
      <c r="D1082">
        <v>0</v>
      </c>
      <c r="E1082">
        <v>4</v>
      </c>
      <c r="F1082">
        <v>1</v>
      </c>
      <c r="G1082">
        <v>18</v>
      </c>
      <c r="H1082">
        <v>7</v>
      </c>
      <c r="I1082">
        <v>0.25</v>
      </c>
      <c r="J1082">
        <v>0.39</v>
      </c>
      <c r="K1082">
        <v>0</v>
      </c>
      <c r="L1082">
        <v>0</v>
      </c>
      <c r="M1082">
        <v>0</v>
      </c>
      <c r="N1082">
        <v>0</v>
      </c>
      <c r="O1082">
        <v>0</v>
      </c>
      <c r="P1082">
        <v>0</v>
      </c>
      <c r="Q1082">
        <v>0</v>
      </c>
      <c r="R1082">
        <v>0</v>
      </c>
      <c r="S1082">
        <v>0</v>
      </c>
      <c r="T1082">
        <v>0</v>
      </c>
      <c r="U1082">
        <v>0</v>
      </c>
      <c r="V1082">
        <v>0</v>
      </c>
      <c r="W1082">
        <v>0</v>
      </c>
      <c r="X1082">
        <v>0</v>
      </c>
      <c r="Y1082">
        <v>0</v>
      </c>
      <c r="Z1082">
        <v>0</v>
      </c>
      <c r="AA1082">
        <v>0</v>
      </c>
      <c r="AB1082">
        <v>1</v>
      </c>
      <c r="AC1082">
        <v>0</v>
      </c>
      <c r="AD1082">
        <v>0</v>
      </c>
      <c r="AE1082">
        <v>0</v>
      </c>
      <c r="AF1082">
        <v>0</v>
      </c>
      <c r="AG1082">
        <v>0</v>
      </c>
      <c r="AH1082" s="86">
        <f>AVERAGEIFS($C$2:C1082, $B$2:B1082, B1082)</f>
        <v>22.34090909090909</v>
      </c>
      <c r="AI1082" s="86">
        <f>AVERAGEIFS($I$2:I1082, $B$2:B1082, B1082)</f>
        <v>0.51090909090909087</v>
      </c>
      <c r="AJ1082" s="86">
        <f>AVERAGEIFS($J$2:J1082, $B$2:B1082, B1082)</f>
        <v>0.531590909090909</v>
      </c>
      <c r="AK1082" s="86">
        <f>AVERAGEIFS($D$2:D1082, $B$2:B1082, B1082)</f>
        <v>0.5</v>
      </c>
    </row>
    <row r="1083" spans="1:37" x14ac:dyDescent="0.25">
      <c r="A1083" s="85">
        <v>46154</v>
      </c>
      <c r="B1083" t="s">
        <v>18</v>
      </c>
      <c r="C1083">
        <v>30</v>
      </c>
      <c r="D1083">
        <v>0</v>
      </c>
      <c r="E1083">
        <v>4</v>
      </c>
      <c r="F1083">
        <v>1</v>
      </c>
      <c r="G1083">
        <v>18</v>
      </c>
      <c r="H1083">
        <v>7</v>
      </c>
      <c r="I1083">
        <v>0.25</v>
      </c>
      <c r="J1083">
        <v>0.39</v>
      </c>
      <c r="K1083">
        <v>0</v>
      </c>
      <c r="L1083">
        <v>0</v>
      </c>
      <c r="M1083">
        <v>0</v>
      </c>
      <c r="N1083">
        <v>0</v>
      </c>
      <c r="O1083">
        <v>0</v>
      </c>
      <c r="P1083">
        <v>0</v>
      </c>
      <c r="Q1083">
        <v>0</v>
      </c>
      <c r="R1083">
        <v>0</v>
      </c>
      <c r="S1083">
        <v>0</v>
      </c>
      <c r="T1083">
        <v>0</v>
      </c>
      <c r="U1083">
        <v>0</v>
      </c>
      <c r="V1083">
        <v>0</v>
      </c>
      <c r="W1083">
        <v>0</v>
      </c>
      <c r="X1083">
        <v>0</v>
      </c>
      <c r="Y1083">
        <v>0</v>
      </c>
      <c r="Z1083">
        <v>0</v>
      </c>
      <c r="AA1083">
        <v>0</v>
      </c>
      <c r="AB1083">
        <v>1</v>
      </c>
      <c r="AC1083">
        <v>0</v>
      </c>
      <c r="AD1083">
        <v>0</v>
      </c>
      <c r="AE1083">
        <v>0</v>
      </c>
      <c r="AF1083">
        <v>0</v>
      </c>
      <c r="AG1083">
        <v>0</v>
      </c>
      <c r="AH1083" s="86">
        <f>AVERAGEIFS($C$2:C1083, $B$2:B1083, B1083)</f>
        <v>18.545454545454547</v>
      </c>
      <c r="AI1083" s="86">
        <f>AVERAGEIFS($I$2:I1083, $B$2:B1083, B1083)</f>
        <v>0.69090909090909092</v>
      </c>
      <c r="AJ1083" s="86">
        <f>AVERAGEIFS($J$2:J1083, $B$2:B1083, B1083)</f>
        <v>0.58454545454545448</v>
      </c>
      <c r="AK1083" s="86">
        <f>AVERAGEIFS($D$2:D1083, $B$2:B1083, B1083)</f>
        <v>0.72727272727272729</v>
      </c>
    </row>
    <row r="1084" spans="1:37" x14ac:dyDescent="0.25">
      <c r="A1084" s="85">
        <v>46154</v>
      </c>
      <c r="B1084" t="s">
        <v>13</v>
      </c>
      <c r="C1084">
        <v>26</v>
      </c>
      <c r="D1084">
        <v>0</v>
      </c>
      <c r="E1084">
        <v>4</v>
      </c>
      <c r="F1084">
        <v>1</v>
      </c>
      <c r="G1084">
        <v>18</v>
      </c>
      <c r="H1084">
        <v>7</v>
      </c>
      <c r="I1084">
        <v>0.25</v>
      </c>
      <c r="J1084">
        <v>0.39</v>
      </c>
      <c r="K1084">
        <v>0</v>
      </c>
      <c r="L1084">
        <v>0</v>
      </c>
      <c r="M1084">
        <v>0</v>
      </c>
      <c r="N1084">
        <v>0</v>
      </c>
      <c r="O1084">
        <v>0</v>
      </c>
      <c r="P1084">
        <v>0</v>
      </c>
      <c r="Q1084">
        <v>0</v>
      </c>
      <c r="R1084">
        <v>0</v>
      </c>
      <c r="S1084">
        <v>0</v>
      </c>
      <c r="T1084">
        <v>0</v>
      </c>
      <c r="U1084">
        <v>0</v>
      </c>
      <c r="V1084">
        <v>0</v>
      </c>
      <c r="W1084">
        <v>0</v>
      </c>
      <c r="X1084">
        <v>0</v>
      </c>
      <c r="Y1084">
        <v>0</v>
      </c>
      <c r="Z1084">
        <v>0</v>
      </c>
      <c r="AA1084">
        <v>0</v>
      </c>
      <c r="AB1084">
        <v>1</v>
      </c>
      <c r="AC1084">
        <v>0</v>
      </c>
      <c r="AD1084">
        <v>0</v>
      </c>
      <c r="AE1084">
        <v>0</v>
      </c>
      <c r="AF1084">
        <v>0</v>
      </c>
      <c r="AG1084">
        <v>0</v>
      </c>
      <c r="AH1084" s="86">
        <f>AVERAGEIFS($C$2:C1084, $B$2:B1084, B1084)</f>
        <v>14.75</v>
      </c>
      <c r="AI1084" s="86">
        <f>AVERAGEIFS($I$2:I1084, $B$2:B1084, B1084)</f>
        <v>0.48499999999999999</v>
      </c>
      <c r="AJ1084" s="86">
        <f>AVERAGEIFS($J$2:J1084, $B$2:B1084, B1084)</f>
        <v>0.48950000000000005</v>
      </c>
      <c r="AK1084" s="86">
        <f>AVERAGEIFS($D$2:D1084, $B$2:B1084, B1084)</f>
        <v>0.4</v>
      </c>
    </row>
    <row r="1085" spans="1:37" x14ac:dyDescent="0.25">
      <c r="A1085" s="85">
        <v>46156</v>
      </c>
      <c r="B1085" t="s">
        <v>5</v>
      </c>
      <c r="C1085">
        <v>24</v>
      </c>
      <c r="D1085">
        <v>1</v>
      </c>
      <c r="E1085">
        <v>5</v>
      </c>
      <c r="F1085">
        <v>3</v>
      </c>
      <c r="G1085">
        <v>22</v>
      </c>
      <c r="H1085">
        <v>11</v>
      </c>
      <c r="I1085">
        <v>0.6</v>
      </c>
      <c r="J1085">
        <v>0.5</v>
      </c>
      <c r="K1085">
        <v>0</v>
      </c>
      <c r="L1085">
        <v>0</v>
      </c>
      <c r="M1085">
        <v>0</v>
      </c>
      <c r="N1085">
        <v>1</v>
      </c>
      <c r="O1085">
        <v>0</v>
      </c>
      <c r="P1085">
        <v>0</v>
      </c>
      <c r="Q1085">
        <v>0</v>
      </c>
      <c r="R1085">
        <v>0</v>
      </c>
      <c r="S1085">
        <v>0</v>
      </c>
      <c r="T1085">
        <v>0</v>
      </c>
      <c r="U1085">
        <v>0</v>
      </c>
      <c r="V1085">
        <v>0</v>
      </c>
      <c r="W1085">
        <v>0</v>
      </c>
      <c r="X1085">
        <v>0</v>
      </c>
      <c r="Y1085">
        <v>1</v>
      </c>
      <c r="Z1085">
        <v>1</v>
      </c>
      <c r="AA1085">
        <v>0</v>
      </c>
      <c r="AB1085">
        <v>0</v>
      </c>
      <c r="AC1085">
        <v>0</v>
      </c>
      <c r="AD1085">
        <v>0</v>
      </c>
      <c r="AE1085">
        <v>0</v>
      </c>
      <c r="AF1085">
        <v>0</v>
      </c>
      <c r="AG1085">
        <v>0</v>
      </c>
      <c r="AH1085" s="86">
        <f>AVERAGEIFS($C$2:C1085, $B$2:B1085, B1085)</f>
        <v>19.638888888888889</v>
      </c>
      <c r="AI1085" s="86">
        <f>AVERAGEIFS($I$2:I1085, $B$2:B1085, B1085)</f>
        <v>0.56166666666666665</v>
      </c>
      <c r="AJ1085" s="86">
        <f>AVERAGEIFS($J$2:J1085, $B$2:B1085, B1085)</f>
        <v>0.52777777777777801</v>
      </c>
      <c r="AK1085" s="86">
        <f>AVERAGEIFS($D$2:D1085, $B$2:B1085, B1085)</f>
        <v>0.63888888888888884</v>
      </c>
    </row>
    <row r="1086" spans="1:37" x14ac:dyDescent="0.25">
      <c r="A1086" s="85">
        <v>46156</v>
      </c>
      <c r="B1086" t="s">
        <v>4</v>
      </c>
      <c r="C1086">
        <v>18</v>
      </c>
      <c r="D1086">
        <v>1</v>
      </c>
      <c r="E1086">
        <v>5</v>
      </c>
      <c r="F1086">
        <v>3</v>
      </c>
      <c r="G1086">
        <v>22</v>
      </c>
      <c r="H1086">
        <v>11</v>
      </c>
      <c r="I1086">
        <v>0.6</v>
      </c>
      <c r="J1086">
        <v>0.5</v>
      </c>
      <c r="K1086">
        <v>0</v>
      </c>
      <c r="L1086">
        <v>0</v>
      </c>
      <c r="M1086">
        <v>0</v>
      </c>
      <c r="N1086">
        <v>1</v>
      </c>
      <c r="O1086">
        <v>0</v>
      </c>
      <c r="P1086">
        <v>0</v>
      </c>
      <c r="Q1086">
        <v>0</v>
      </c>
      <c r="R1086">
        <v>0</v>
      </c>
      <c r="S1086">
        <v>0</v>
      </c>
      <c r="T1086">
        <v>0</v>
      </c>
      <c r="U1086">
        <v>0</v>
      </c>
      <c r="V1086">
        <v>0</v>
      </c>
      <c r="W1086">
        <v>0</v>
      </c>
      <c r="X1086">
        <v>0</v>
      </c>
      <c r="Y1086">
        <v>1</v>
      </c>
      <c r="Z1086">
        <v>1</v>
      </c>
      <c r="AA1086">
        <v>0</v>
      </c>
      <c r="AB1086">
        <v>0</v>
      </c>
      <c r="AC1086">
        <v>0</v>
      </c>
      <c r="AD1086">
        <v>0</v>
      </c>
      <c r="AE1086">
        <v>0</v>
      </c>
      <c r="AF1086">
        <v>0</v>
      </c>
      <c r="AG1086">
        <v>0</v>
      </c>
      <c r="AH1086" s="86">
        <f>AVERAGEIFS($C$2:C1086, $B$2:B1086, B1086)</f>
        <v>24.131578947368421</v>
      </c>
      <c r="AI1086" s="86">
        <f>AVERAGEIFS($I$2:I1086, $B$2:B1086, B1086)</f>
        <v>0.4578947368421053</v>
      </c>
      <c r="AJ1086" s="86">
        <f>AVERAGEIFS($J$2:J1086, $B$2:B1086, B1086)</f>
        <v>0.47105263157894733</v>
      </c>
      <c r="AK1086" s="86">
        <f>AVERAGEIFS($D$2:D1086, $B$2:B1086, B1086)</f>
        <v>0.39473684210526316</v>
      </c>
    </row>
    <row r="1087" spans="1:37" x14ac:dyDescent="0.25">
      <c r="A1087" s="85">
        <v>46156</v>
      </c>
      <c r="B1087" t="s">
        <v>54</v>
      </c>
      <c r="C1087">
        <v>14</v>
      </c>
      <c r="D1087">
        <v>1</v>
      </c>
      <c r="E1087">
        <v>5</v>
      </c>
      <c r="F1087">
        <v>3</v>
      </c>
      <c r="G1087">
        <v>22</v>
      </c>
      <c r="H1087">
        <v>11</v>
      </c>
      <c r="I1087">
        <v>0.6</v>
      </c>
      <c r="J1087">
        <v>0.5</v>
      </c>
      <c r="K1087">
        <v>0</v>
      </c>
      <c r="L1087">
        <v>0</v>
      </c>
      <c r="M1087">
        <v>0</v>
      </c>
      <c r="N1087">
        <v>1</v>
      </c>
      <c r="O1087">
        <v>0</v>
      </c>
      <c r="P1087">
        <v>0</v>
      </c>
      <c r="Q1087">
        <v>0</v>
      </c>
      <c r="R1087">
        <v>0</v>
      </c>
      <c r="S1087">
        <v>0</v>
      </c>
      <c r="T1087">
        <v>0</v>
      </c>
      <c r="U1087">
        <v>0</v>
      </c>
      <c r="V1087">
        <v>0</v>
      </c>
      <c r="W1087">
        <v>0</v>
      </c>
      <c r="X1087">
        <v>0</v>
      </c>
      <c r="Y1087">
        <v>1</v>
      </c>
      <c r="Z1087">
        <v>1</v>
      </c>
      <c r="AA1087">
        <v>0</v>
      </c>
      <c r="AB1087">
        <v>0</v>
      </c>
      <c r="AC1087">
        <v>0</v>
      </c>
      <c r="AD1087">
        <v>0</v>
      </c>
      <c r="AE1087">
        <v>0</v>
      </c>
      <c r="AF1087">
        <v>0</v>
      </c>
      <c r="AG1087">
        <v>0</v>
      </c>
      <c r="AH1087" s="86">
        <f>AVERAGEIFS($C$2:C1087, $B$2:B1087, B1087)</f>
        <v>23.540983606557376</v>
      </c>
      <c r="AI1087" s="86">
        <f>AVERAGEIFS($I$2:I1087, $B$2:B1087, B1087)</f>
        <v>0.52491803278688531</v>
      </c>
      <c r="AJ1087" s="86">
        <f>AVERAGEIFS($J$2:J1087, $B$2:B1087, B1087)</f>
        <v>0.50721311475409836</v>
      </c>
      <c r="AK1087" s="86">
        <f>AVERAGEIFS($D$2:D1087, $B$2:B1087, B1087)</f>
        <v>0.54098360655737709</v>
      </c>
    </row>
    <row r="1088" spans="1:37" x14ac:dyDescent="0.25">
      <c r="A1088" s="85">
        <v>46156</v>
      </c>
      <c r="B1088" t="s">
        <v>13</v>
      </c>
      <c r="C1088">
        <v>16</v>
      </c>
      <c r="D1088">
        <v>1</v>
      </c>
      <c r="E1088">
        <v>5</v>
      </c>
      <c r="F1088">
        <v>3</v>
      </c>
      <c r="G1088">
        <v>22</v>
      </c>
      <c r="H1088">
        <v>11</v>
      </c>
      <c r="I1088">
        <v>0.6</v>
      </c>
      <c r="J1088">
        <v>0.5</v>
      </c>
      <c r="K1088">
        <v>0</v>
      </c>
      <c r="L1088">
        <v>0</v>
      </c>
      <c r="M1088">
        <v>0</v>
      </c>
      <c r="N1088">
        <v>1</v>
      </c>
      <c r="O1088">
        <v>0</v>
      </c>
      <c r="P1088">
        <v>0</v>
      </c>
      <c r="Q1088">
        <v>0</v>
      </c>
      <c r="R1088">
        <v>0</v>
      </c>
      <c r="S1088">
        <v>0</v>
      </c>
      <c r="T1088">
        <v>0</v>
      </c>
      <c r="U1088">
        <v>0</v>
      </c>
      <c r="V1088">
        <v>0</v>
      </c>
      <c r="W1088">
        <v>0</v>
      </c>
      <c r="X1088">
        <v>0</v>
      </c>
      <c r="Y1088">
        <v>1</v>
      </c>
      <c r="Z1088">
        <v>1</v>
      </c>
      <c r="AA1088">
        <v>0</v>
      </c>
      <c r="AB1088">
        <v>0</v>
      </c>
      <c r="AC1088">
        <v>0</v>
      </c>
      <c r="AD1088">
        <v>0</v>
      </c>
      <c r="AE1088">
        <v>0</v>
      </c>
      <c r="AF1088">
        <v>0</v>
      </c>
      <c r="AG1088">
        <v>0</v>
      </c>
      <c r="AH1088" s="86">
        <f>AVERAGEIFS($C$2:C1088, $B$2:B1088, B1088)</f>
        <v>14.80952380952381</v>
      </c>
      <c r="AI1088" s="86">
        <f>AVERAGEIFS($I$2:I1088, $B$2:B1088, B1088)</f>
        <v>0.4904761904761904</v>
      </c>
      <c r="AJ1088" s="86">
        <f>AVERAGEIFS($J$2:J1088, $B$2:B1088, B1088)</f>
        <v>0.49000000000000005</v>
      </c>
      <c r="AK1088" s="86">
        <f>AVERAGEIFS($D$2:D1088, $B$2:B1088, B1088)</f>
        <v>0.42857142857142855</v>
      </c>
    </row>
    <row r="1089" spans="1:37" x14ac:dyDescent="0.25">
      <c r="A1089" s="85">
        <v>46156</v>
      </c>
      <c r="B1089" t="s">
        <v>140</v>
      </c>
      <c r="C1089">
        <v>22</v>
      </c>
      <c r="D1089">
        <v>1</v>
      </c>
      <c r="E1089">
        <v>5</v>
      </c>
      <c r="F1089">
        <v>3</v>
      </c>
      <c r="G1089">
        <v>22</v>
      </c>
      <c r="H1089">
        <v>11</v>
      </c>
      <c r="I1089">
        <v>0.6</v>
      </c>
      <c r="J1089">
        <v>0.5</v>
      </c>
      <c r="K1089">
        <v>0</v>
      </c>
      <c r="L1089">
        <v>0</v>
      </c>
      <c r="M1089">
        <v>0</v>
      </c>
      <c r="N1089">
        <v>1</v>
      </c>
      <c r="O1089">
        <v>0</v>
      </c>
      <c r="P1089">
        <v>0</v>
      </c>
      <c r="Q1089">
        <v>0</v>
      </c>
      <c r="R1089">
        <v>0</v>
      </c>
      <c r="S1089">
        <v>0</v>
      </c>
      <c r="T1089">
        <v>0</v>
      </c>
      <c r="U1089">
        <v>0</v>
      </c>
      <c r="V1089">
        <v>0</v>
      </c>
      <c r="W1089">
        <v>0</v>
      </c>
      <c r="X1089">
        <v>0</v>
      </c>
      <c r="Y1089">
        <v>1</v>
      </c>
      <c r="Z1089">
        <v>1</v>
      </c>
      <c r="AA1089">
        <v>0</v>
      </c>
      <c r="AB1089">
        <v>0</v>
      </c>
      <c r="AC1089">
        <v>0</v>
      </c>
      <c r="AD1089">
        <v>0</v>
      </c>
      <c r="AE1089">
        <v>0</v>
      </c>
      <c r="AF1089">
        <v>0</v>
      </c>
      <c r="AG1089">
        <v>0</v>
      </c>
      <c r="AH1089" s="86">
        <f>AVERAGEIFS($C$2:C1089, $B$2:B1089, B1089)</f>
        <v>13.625</v>
      </c>
      <c r="AI1089" s="86">
        <f>AVERAGEIFS($I$2:I1089, $B$2:B1089, B1089)</f>
        <v>0.515625</v>
      </c>
      <c r="AJ1089" s="86">
        <f>AVERAGEIFS($J$2:J1089, $B$2:B1089, B1089)</f>
        <v>0.50249999999999995</v>
      </c>
      <c r="AK1089" s="86">
        <f>AVERAGEIFS($D$2:D1089, $B$2:B1089, B1089)</f>
        <v>0.5625</v>
      </c>
    </row>
    <row r="1090" spans="1:37" x14ac:dyDescent="0.25">
      <c r="A1090" s="85">
        <v>46156</v>
      </c>
      <c r="B1090" t="s">
        <v>141</v>
      </c>
      <c r="C1090">
        <v>30</v>
      </c>
      <c r="D1090">
        <v>1</v>
      </c>
      <c r="E1090">
        <v>5</v>
      </c>
      <c r="F1090">
        <v>3</v>
      </c>
      <c r="G1090">
        <v>22</v>
      </c>
      <c r="H1090">
        <v>11</v>
      </c>
      <c r="I1090">
        <v>0.6</v>
      </c>
      <c r="J1090">
        <v>0.5</v>
      </c>
      <c r="K1090">
        <v>0</v>
      </c>
      <c r="L1090">
        <v>0</v>
      </c>
      <c r="M1090">
        <v>0</v>
      </c>
      <c r="N1090">
        <v>1</v>
      </c>
      <c r="O1090">
        <v>0</v>
      </c>
      <c r="P1090">
        <v>0</v>
      </c>
      <c r="Q1090">
        <v>0</v>
      </c>
      <c r="R1090">
        <v>0</v>
      </c>
      <c r="S1090">
        <v>0</v>
      </c>
      <c r="T1090">
        <v>0</v>
      </c>
      <c r="U1090">
        <v>0</v>
      </c>
      <c r="V1090">
        <v>0</v>
      </c>
      <c r="W1090">
        <v>0</v>
      </c>
      <c r="X1090">
        <v>0</v>
      </c>
      <c r="Y1090">
        <v>1</v>
      </c>
      <c r="Z1090">
        <v>1</v>
      </c>
      <c r="AA1090">
        <v>0</v>
      </c>
      <c r="AB1090">
        <v>0</v>
      </c>
      <c r="AC1090">
        <v>0</v>
      </c>
      <c r="AD1090">
        <v>0</v>
      </c>
      <c r="AE1090">
        <v>0</v>
      </c>
      <c r="AF1090">
        <v>0</v>
      </c>
      <c r="AG1090">
        <v>0</v>
      </c>
      <c r="AH1090" s="86">
        <f>AVERAGEIFS($C$2:C1090, $B$2:B1090, B1090)</f>
        <v>15.157894736842104</v>
      </c>
      <c r="AI1090" s="86">
        <f>AVERAGEIFS($I$2:I1090, $B$2:B1090, B1090)</f>
        <v>0.52105263157894743</v>
      </c>
      <c r="AJ1090" s="86">
        <f>AVERAGEIFS($J$2:J1090, $B$2:B1090, B1090)</f>
        <v>0.52052631578947373</v>
      </c>
      <c r="AK1090" s="86">
        <f>AVERAGEIFS($D$2:D1090, $B$2:B1090, B1090)</f>
        <v>0.63157894736842102</v>
      </c>
    </row>
    <row r="1091" spans="1:37" x14ac:dyDescent="0.25">
      <c r="A1091" s="85">
        <v>46156</v>
      </c>
      <c r="B1091" t="s">
        <v>107</v>
      </c>
      <c r="C1091">
        <v>19</v>
      </c>
      <c r="D1091">
        <v>1</v>
      </c>
      <c r="E1091">
        <v>5</v>
      </c>
      <c r="F1091">
        <v>3</v>
      </c>
      <c r="G1091">
        <v>22</v>
      </c>
      <c r="H1091">
        <v>11</v>
      </c>
      <c r="I1091">
        <v>0.6</v>
      </c>
      <c r="J1091">
        <v>0.5</v>
      </c>
      <c r="K1091">
        <v>0</v>
      </c>
      <c r="L1091">
        <v>0</v>
      </c>
      <c r="M1091">
        <v>0</v>
      </c>
      <c r="N1091">
        <v>1</v>
      </c>
      <c r="O1091">
        <v>0</v>
      </c>
      <c r="P1091">
        <v>0</v>
      </c>
      <c r="Q1091">
        <v>0</v>
      </c>
      <c r="R1091">
        <v>0</v>
      </c>
      <c r="S1091">
        <v>0</v>
      </c>
      <c r="T1091">
        <v>0</v>
      </c>
      <c r="U1091">
        <v>0</v>
      </c>
      <c r="V1091">
        <v>0</v>
      </c>
      <c r="W1091">
        <v>0</v>
      </c>
      <c r="X1091">
        <v>0</v>
      </c>
      <c r="Y1091">
        <v>1</v>
      </c>
      <c r="Z1091">
        <v>1</v>
      </c>
      <c r="AA1091">
        <v>0</v>
      </c>
      <c r="AB1091">
        <v>0</v>
      </c>
      <c r="AC1091">
        <v>0</v>
      </c>
      <c r="AD1091">
        <v>0</v>
      </c>
      <c r="AE1091">
        <v>0</v>
      </c>
      <c r="AF1091">
        <v>0</v>
      </c>
      <c r="AG1091">
        <v>0</v>
      </c>
      <c r="AH1091" s="86">
        <f>AVERAGEIFS($C$2:C1091, $B$2:B1091, B1091)</f>
        <v>15.914893617021276</v>
      </c>
      <c r="AI1091" s="86">
        <f>AVERAGEIFS($I$2:I1091, $B$2:B1091, B1091)</f>
        <v>0.50319148936170222</v>
      </c>
      <c r="AJ1091" s="86">
        <f>AVERAGEIFS($J$2:J1091, $B$2:B1091, B1091)</f>
        <v>0.51234042553191483</v>
      </c>
      <c r="AK1091" s="86">
        <f>AVERAGEIFS($D$2:D1091, $B$2:B1091, B1091)</f>
        <v>0.57446808510638303</v>
      </c>
    </row>
    <row r="1092" spans="1:37" x14ac:dyDescent="0.25">
      <c r="A1092" s="85">
        <v>46156</v>
      </c>
      <c r="B1092" t="s">
        <v>14</v>
      </c>
      <c r="C1092">
        <v>8</v>
      </c>
      <c r="D1092">
        <v>1</v>
      </c>
      <c r="E1092">
        <v>5</v>
      </c>
      <c r="F1092">
        <v>3</v>
      </c>
      <c r="G1092">
        <v>22</v>
      </c>
      <c r="H1092">
        <v>11</v>
      </c>
      <c r="I1092">
        <v>0.6</v>
      </c>
      <c r="J1092">
        <v>0.5</v>
      </c>
      <c r="K1092">
        <v>0</v>
      </c>
      <c r="L1092">
        <v>0</v>
      </c>
      <c r="M1092">
        <v>0</v>
      </c>
      <c r="N1092">
        <v>1</v>
      </c>
      <c r="O1092">
        <v>0</v>
      </c>
      <c r="P1092">
        <v>0</v>
      </c>
      <c r="Q1092">
        <v>0</v>
      </c>
      <c r="R1092">
        <v>0</v>
      </c>
      <c r="S1092">
        <v>0</v>
      </c>
      <c r="T1092">
        <v>0</v>
      </c>
      <c r="U1092">
        <v>0</v>
      </c>
      <c r="V1092">
        <v>0</v>
      </c>
      <c r="W1092">
        <v>0</v>
      </c>
      <c r="X1092">
        <v>0</v>
      </c>
      <c r="Y1092">
        <v>1</v>
      </c>
      <c r="Z1092">
        <v>1</v>
      </c>
      <c r="AA1092">
        <v>0</v>
      </c>
      <c r="AB1092">
        <v>0</v>
      </c>
      <c r="AC1092">
        <v>0</v>
      </c>
      <c r="AD1092">
        <v>0</v>
      </c>
      <c r="AE1092">
        <v>0</v>
      </c>
      <c r="AF1092">
        <v>0</v>
      </c>
      <c r="AG1092">
        <v>0</v>
      </c>
      <c r="AH1092" s="86">
        <f>AVERAGEIFS($C$2:C1092, $B$2:B1092, B1092)</f>
        <v>16.521739130434781</v>
      </c>
      <c r="AI1092" s="86">
        <f>AVERAGEIFS($I$2:I1092, $B$2:B1092, B1092)</f>
        <v>0.49869565217391298</v>
      </c>
      <c r="AJ1092" s="86">
        <f>AVERAGEIFS($J$2:J1092, $B$2:B1092, B1092)</f>
        <v>0.50173913043478258</v>
      </c>
      <c r="AK1092" s="86">
        <f>AVERAGEIFS($D$2:D1092, $B$2:B1092, B1092)</f>
        <v>0.52173913043478259</v>
      </c>
    </row>
    <row r="1093" spans="1:37" x14ac:dyDescent="0.25">
      <c r="A1093" s="85">
        <v>46156</v>
      </c>
      <c r="B1093" t="s">
        <v>44</v>
      </c>
      <c r="C1093">
        <v>14</v>
      </c>
      <c r="D1093">
        <v>0</v>
      </c>
      <c r="E1093">
        <v>5</v>
      </c>
      <c r="F1093">
        <v>2</v>
      </c>
      <c r="G1093">
        <v>22</v>
      </c>
      <c r="H1093">
        <v>11</v>
      </c>
      <c r="I1093">
        <v>0.4</v>
      </c>
      <c r="J1093">
        <v>0.5</v>
      </c>
      <c r="K1093">
        <v>1</v>
      </c>
      <c r="L1093">
        <v>0</v>
      </c>
      <c r="M1093">
        <v>0</v>
      </c>
      <c r="N1093">
        <v>0</v>
      </c>
      <c r="O1093">
        <v>0</v>
      </c>
      <c r="P1093">
        <v>0</v>
      </c>
      <c r="Q1093">
        <v>0</v>
      </c>
      <c r="R1093">
        <v>0</v>
      </c>
      <c r="S1093">
        <v>0</v>
      </c>
      <c r="T1093">
        <v>0</v>
      </c>
      <c r="U1093">
        <v>0</v>
      </c>
      <c r="V1093">
        <v>0</v>
      </c>
      <c r="W1093">
        <v>0</v>
      </c>
      <c r="X1093">
        <v>0</v>
      </c>
      <c r="Y1093">
        <v>0</v>
      </c>
      <c r="Z1093">
        <v>0</v>
      </c>
      <c r="AA1093">
        <v>0</v>
      </c>
      <c r="AB1093">
        <v>0</v>
      </c>
      <c r="AC1093">
        <v>1</v>
      </c>
      <c r="AD1093">
        <v>0</v>
      </c>
      <c r="AE1093">
        <v>0</v>
      </c>
      <c r="AF1093">
        <v>0</v>
      </c>
      <c r="AG1093">
        <v>0</v>
      </c>
      <c r="AH1093" s="86">
        <f>AVERAGEIFS($C$2:C1093, $B$2:B1093, B1093)</f>
        <v>16.673469387755102</v>
      </c>
      <c r="AI1093" s="86">
        <f>AVERAGEIFS($I$2:I1093, $B$2:B1093, B1093)</f>
        <v>0.52551020408163263</v>
      </c>
      <c r="AJ1093" s="86">
        <f>AVERAGEIFS($J$2:J1093, $B$2:B1093, B1093)</f>
        <v>0.52734693877551031</v>
      </c>
      <c r="AK1093" s="86">
        <f>AVERAGEIFS($D$2:D1093, $B$2:B1093, B1093)</f>
        <v>0.59183673469387754</v>
      </c>
    </row>
    <row r="1094" spans="1:37" x14ac:dyDescent="0.25">
      <c r="A1094" s="85">
        <v>46156</v>
      </c>
      <c r="B1094" t="s">
        <v>6</v>
      </c>
      <c r="C1094">
        <v>26</v>
      </c>
      <c r="D1094">
        <v>0</v>
      </c>
      <c r="E1094">
        <v>5</v>
      </c>
      <c r="F1094">
        <v>2</v>
      </c>
      <c r="G1094">
        <v>22</v>
      </c>
      <c r="H1094">
        <v>11</v>
      </c>
      <c r="I1094">
        <v>0.4</v>
      </c>
      <c r="J1094">
        <v>0.5</v>
      </c>
      <c r="K1094">
        <v>1</v>
      </c>
      <c r="L1094">
        <v>0</v>
      </c>
      <c r="M1094">
        <v>0</v>
      </c>
      <c r="N1094">
        <v>0</v>
      </c>
      <c r="O1094">
        <v>0</v>
      </c>
      <c r="P1094">
        <v>0</v>
      </c>
      <c r="Q1094">
        <v>0</v>
      </c>
      <c r="R1094">
        <v>0</v>
      </c>
      <c r="S1094">
        <v>0</v>
      </c>
      <c r="T1094">
        <v>0</v>
      </c>
      <c r="U1094">
        <v>0</v>
      </c>
      <c r="V1094">
        <v>0</v>
      </c>
      <c r="W1094">
        <v>0</v>
      </c>
      <c r="X1094">
        <v>0</v>
      </c>
      <c r="Y1094">
        <v>0</v>
      </c>
      <c r="Z1094">
        <v>0</v>
      </c>
      <c r="AA1094">
        <v>0</v>
      </c>
      <c r="AB1094">
        <v>0</v>
      </c>
      <c r="AC1094">
        <v>1</v>
      </c>
      <c r="AD1094">
        <v>0</v>
      </c>
      <c r="AE1094">
        <v>0</v>
      </c>
      <c r="AF1094">
        <v>0</v>
      </c>
      <c r="AG1094">
        <v>0</v>
      </c>
      <c r="AH1094" s="86">
        <f>AVERAGEIFS($C$2:C1094, $B$2:B1094, B1094)</f>
        <v>22.633802816901408</v>
      </c>
      <c r="AI1094" s="86">
        <f>AVERAGEIFS($I$2:I1094, $B$2:B1094, B1094)</f>
        <v>0.55535211267605644</v>
      </c>
      <c r="AJ1094" s="86">
        <f>AVERAGEIFS($J$2:J1094, $B$2:B1094, B1094)</f>
        <v>0.52999999999999992</v>
      </c>
      <c r="AK1094" s="86">
        <f>AVERAGEIFS($D$2:D1094, $B$2:B1094, B1094)</f>
        <v>0.61971830985915488</v>
      </c>
    </row>
    <row r="1095" spans="1:37" x14ac:dyDescent="0.25">
      <c r="A1095" s="85">
        <v>46156</v>
      </c>
      <c r="B1095" t="s">
        <v>2</v>
      </c>
      <c r="C1095">
        <v>38</v>
      </c>
      <c r="D1095">
        <v>0</v>
      </c>
      <c r="E1095">
        <v>5</v>
      </c>
      <c r="F1095">
        <v>2</v>
      </c>
      <c r="G1095">
        <v>22</v>
      </c>
      <c r="H1095">
        <v>11</v>
      </c>
      <c r="I1095">
        <v>0.4</v>
      </c>
      <c r="J1095">
        <v>0.5</v>
      </c>
      <c r="K1095">
        <v>1</v>
      </c>
      <c r="L1095">
        <v>0</v>
      </c>
      <c r="M1095">
        <v>0</v>
      </c>
      <c r="N1095">
        <v>0</v>
      </c>
      <c r="O1095">
        <v>0</v>
      </c>
      <c r="P1095">
        <v>0</v>
      </c>
      <c r="Q1095">
        <v>0</v>
      </c>
      <c r="R1095">
        <v>0</v>
      </c>
      <c r="S1095">
        <v>0</v>
      </c>
      <c r="T1095">
        <v>0</v>
      </c>
      <c r="U1095">
        <v>0</v>
      </c>
      <c r="V1095">
        <v>0</v>
      </c>
      <c r="W1095">
        <v>0</v>
      </c>
      <c r="X1095">
        <v>0</v>
      </c>
      <c r="Y1095">
        <v>0</v>
      </c>
      <c r="Z1095">
        <v>0</v>
      </c>
      <c r="AA1095">
        <v>0</v>
      </c>
      <c r="AB1095">
        <v>0</v>
      </c>
      <c r="AC1095">
        <v>1</v>
      </c>
      <c r="AD1095">
        <v>0</v>
      </c>
      <c r="AE1095">
        <v>0</v>
      </c>
      <c r="AF1095">
        <v>0</v>
      </c>
      <c r="AG1095">
        <v>0</v>
      </c>
      <c r="AH1095" s="86">
        <f>AVERAGEIFS($C$2:C1095, $B$2:B1095, B1095)</f>
        <v>22.68888888888889</v>
      </c>
      <c r="AI1095" s="86">
        <f>AVERAGEIFS($I$2:I1095, $B$2:B1095, B1095)</f>
        <v>0.50844444444444437</v>
      </c>
      <c r="AJ1095" s="86">
        <f>AVERAGEIFS($J$2:J1095, $B$2:B1095, B1095)</f>
        <v>0.53088888888888885</v>
      </c>
      <c r="AK1095" s="86">
        <f>AVERAGEIFS($D$2:D1095, $B$2:B1095, B1095)</f>
        <v>0.48888888888888887</v>
      </c>
    </row>
    <row r="1096" spans="1:37" x14ac:dyDescent="0.25">
      <c r="A1096" s="85">
        <v>46156</v>
      </c>
      <c r="B1096" t="s">
        <v>179</v>
      </c>
      <c r="C1096">
        <v>21</v>
      </c>
      <c r="D1096">
        <v>0</v>
      </c>
      <c r="E1096">
        <v>5</v>
      </c>
      <c r="F1096">
        <v>2</v>
      </c>
      <c r="G1096">
        <v>22</v>
      </c>
      <c r="H1096">
        <v>11</v>
      </c>
      <c r="I1096">
        <v>0.4</v>
      </c>
      <c r="J1096">
        <v>0.5</v>
      </c>
      <c r="K1096">
        <v>1</v>
      </c>
      <c r="L1096">
        <v>0</v>
      </c>
      <c r="M1096">
        <v>0</v>
      </c>
      <c r="N1096">
        <v>0</v>
      </c>
      <c r="O1096">
        <v>0</v>
      </c>
      <c r="P1096">
        <v>0</v>
      </c>
      <c r="Q1096">
        <v>0</v>
      </c>
      <c r="R1096">
        <v>0</v>
      </c>
      <c r="S1096">
        <v>0</v>
      </c>
      <c r="T1096">
        <v>0</v>
      </c>
      <c r="U1096">
        <v>0</v>
      </c>
      <c r="V1096">
        <v>0</v>
      </c>
      <c r="W1096">
        <v>0</v>
      </c>
      <c r="X1096">
        <v>0</v>
      </c>
      <c r="Y1096">
        <v>0</v>
      </c>
      <c r="Z1096">
        <v>0</v>
      </c>
      <c r="AA1096">
        <v>0</v>
      </c>
      <c r="AB1096">
        <v>0</v>
      </c>
      <c r="AC1096">
        <v>1</v>
      </c>
      <c r="AD1096">
        <v>0</v>
      </c>
      <c r="AE1096">
        <v>0</v>
      </c>
      <c r="AF1096">
        <v>0</v>
      </c>
      <c r="AG1096">
        <v>0</v>
      </c>
      <c r="AH1096" s="86">
        <f>AVERAGEIFS($C$2:C1096, $B$2:B1096, B1096)</f>
        <v>16</v>
      </c>
      <c r="AI1096" s="86">
        <f>AVERAGEIFS($I$2:I1096, $B$2:B1096, B1096)</f>
        <v>0.51</v>
      </c>
      <c r="AJ1096" s="86">
        <f>AVERAGEIFS($J$2:J1096, $B$2:B1096, B1096)</f>
        <v>0.52600000000000002</v>
      </c>
      <c r="AK1096" s="86">
        <f>AVERAGEIFS($D$2:D1096, $B$2:B1096, B1096)</f>
        <v>0.4</v>
      </c>
    </row>
    <row r="1097" spans="1:37" x14ac:dyDescent="0.25">
      <c r="A1097" s="85">
        <v>46156</v>
      </c>
      <c r="B1097" t="s">
        <v>147</v>
      </c>
      <c r="C1097">
        <v>19</v>
      </c>
      <c r="D1097">
        <v>0</v>
      </c>
      <c r="E1097">
        <v>5</v>
      </c>
      <c r="F1097">
        <v>2</v>
      </c>
      <c r="G1097">
        <v>22</v>
      </c>
      <c r="H1097">
        <v>11</v>
      </c>
      <c r="I1097">
        <v>0.4</v>
      </c>
      <c r="J1097">
        <v>0.5</v>
      </c>
      <c r="K1097">
        <v>1</v>
      </c>
      <c r="L1097">
        <v>0</v>
      </c>
      <c r="M1097">
        <v>0</v>
      </c>
      <c r="N1097">
        <v>0</v>
      </c>
      <c r="O1097">
        <v>0</v>
      </c>
      <c r="P1097">
        <v>0</v>
      </c>
      <c r="Q1097">
        <v>0</v>
      </c>
      <c r="R1097">
        <v>0</v>
      </c>
      <c r="S1097">
        <v>0</v>
      </c>
      <c r="T1097">
        <v>0</v>
      </c>
      <c r="U1097">
        <v>0</v>
      </c>
      <c r="V1097">
        <v>0</v>
      </c>
      <c r="W1097">
        <v>0</v>
      </c>
      <c r="X1097">
        <v>0</v>
      </c>
      <c r="Y1097">
        <v>0</v>
      </c>
      <c r="Z1097">
        <v>0</v>
      </c>
      <c r="AA1097">
        <v>0</v>
      </c>
      <c r="AB1097">
        <v>0</v>
      </c>
      <c r="AC1097">
        <v>1</v>
      </c>
      <c r="AD1097">
        <v>0</v>
      </c>
      <c r="AE1097">
        <v>0</v>
      </c>
      <c r="AF1097">
        <v>0</v>
      </c>
      <c r="AG1097">
        <v>0</v>
      </c>
      <c r="AH1097" s="86">
        <f>AVERAGEIFS($C$2:C1097, $B$2:B1097, B1097)</f>
        <v>13.03125</v>
      </c>
      <c r="AI1097" s="86">
        <f>AVERAGEIFS($I$2:I1097, $B$2:B1097, B1097)</f>
        <v>0.55156249999999996</v>
      </c>
      <c r="AJ1097" s="86">
        <f>AVERAGEIFS($J$2:J1097, $B$2:B1097, B1097)</f>
        <v>0.53</v>
      </c>
      <c r="AK1097" s="86">
        <f>AVERAGEIFS($D$2:D1097, $B$2:B1097, B1097)</f>
        <v>0.5</v>
      </c>
    </row>
    <row r="1098" spans="1:37" x14ac:dyDescent="0.25">
      <c r="A1098" s="85">
        <v>46156</v>
      </c>
      <c r="B1098" t="s">
        <v>148</v>
      </c>
      <c r="C1098">
        <v>13</v>
      </c>
      <c r="D1098">
        <v>0</v>
      </c>
      <c r="E1098">
        <v>5</v>
      </c>
      <c r="F1098">
        <v>2</v>
      </c>
      <c r="G1098">
        <v>22</v>
      </c>
      <c r="H1098">
        <v>11</v>
      </c>
      <c r="I1098">
        <v>0.4</v>
      </c>
      <c r="J1098">
        <v>0.5</v>
      </c>
      <c r="K1098">
        <v>1</v>
      </c>
      <c r="L1098">
        <v>0</v>
      </c>
      <c r="M1098">
        <v>0</v>
      </c>
      <c r="N1098">
        <v>0</v>
      </c>
      <c r="O1098">
        <v>0</v>
      </c>
      <c r="P1098">
        <v>0</v>
      </c>
      <c r="Q1098">
        <v>0</v>
      </c>
      <c r="R1098">
        <v>0</v>
      </c>
      <c r="S1098">
        <v>0</v>
      </c>
      <c r="T1098">
        <v>0</v>
      </c>
      <c r="U1098">
        <v>0</v>
      </c>
      <c r="V1098">
        <v>0</v>
      </c>
      <c r="W1098">
        <v>0</v>
      </c>
      <c r="X1098">
        <v>0</v>
      </c>
      <c r="Y1098">
        <v>0</v>
      </c>
      <c r="Z1098">
        <v>0</v>
      </c>
      <c r="AA1098">
        <v>0</v>
      </c>
      <c r="AB1098">
        <v>0</v>
      </c>
      <c r="AC1098">
        <v>1</v>
      </c>
      <c r="AD1098">
        <v>0</v>
      </c>
      <c r="AE1098">
        <v>0</v>
      </c>
      <c r="AF1098">
        <v>0</v>
      </c>
      <c r="AG1098">
        <v>0</v>
      </c>
      <c r="AH1098" s="86">
        <f>AVERAGEIFS($C$2:C1098, $B$2:B1098, B1098)</f>
        <v>7.5</v>
      </c>
      <c r="AI1098" s="86">
        <f>AVERAGEIFS($I$2:I1098, $B$2:B1098, B1098)</f>
        <v>0.5</v>
      </c>
      <c r="AJ1098" s="86">
        <f>AVERAGEIFS($J$2:J1098, $B$2:B1098, B1098)</f>
        <v>0.51500000000000001</v>
      </c>
      <c r="AK1098" s="86">
        <f>AVERAGEIFS($D$2:D1098, $B$2:B1098, B1098)</f>
        <v>0.5</v>
      </c>
    </row>
    <row r="1099" spans="1:37" x14ac:dyDescent="0.25">
      <c r="A1099" s="85">
        <v>46156</v>
      </c>
      <c r="B1099" t="s">
        <v>113</v>
      </c>
      <c r="C1099">
        <v>22</v>
      </c>
      <c r="D1099">
        <v>0</v>
      </c>
      <c r="E1099">
        <v>5</v>
      </c>
      <c r="F1099">
        <v>2</v>
      </c>
      <c r="G1099">
        <v>22</v>
      </c>
      <c r="H1099">
        <v>11</v>
      </c>
      <c r="I1099">
        <v>0.4</v>
      </c>
      <c r="J1099">
        <v>0.5</v>
      </c>
      <c r="K1099">
        <v>1</v>
      </c>
      <c r="L1099">
        <v>0</v>
      </c>
      <c r="M1099">
        <v>0</v>
      </c>
      <c r="N1099">
        <v>0</v>
      </c>
      <c r="O1099">
        <v>0</v>
      </c>
      <c r="P1099">
        <v>0</v>
      </c>
      <c r="Q1099">
        <v>0</v>
      </c>
      <c r="R1099">
        <v>0</v>
      </c>
      <c r="S1099">
        <v>0</v>
      </c>
      <c r="T1099">
        <v>0</v>
      </c>
      <c r="U1099">
        <v>0</v>
      </c>
      <c r="V1099">
        <v>0</v>
      </c>
      <c r="W1099">
        <v>0</v>
      </c>
      <c r="X1099">
        <v>0</v>
      </c>
      <c r="Y1099">
        <v>0</v>
      </c>
      <c r="Z1099">
        <v>0</v>
      </c>
      <c r="AA1099">
        <v>0</v>
      </c>
      <c r="AB1099">
        <v>0</v>
      </c>
      <c r="AC1099">
        <v>1</v>
      </c>
      <c r="AD1099">
        <v>0</v>
      </c>
      <c r="AE1099">
        <v>0</v>
      </c>
      <c r="AF1099">
        <v>0</v>
      </c>
      <c r="AG1099">
        <v>0</v>
      </c>
      <c r="AH1099" s="86">
        <f>AVERAGEIFS($C$2:C1099, $B$2:B1099, B1099)</f>
        <v>17.80952380952381</v>
      </c>
      <c r="AI1099" s="86">
        <f>AVERAGEIFS($I$2:I1099, $B$2:B1099, B1099)</f>
        <v>0.54523809523809508</v>
      </c>
      <c r="AJ1099" s="86">
        <f>AVERAGEIFS($J$2:J1099, $B$2:B1099, B1099)</f>
        <v>0.52190476190476198</v>
      </c>
      <c r="AK1099" s="86">
        <f>AVERAGEIFS($D$2:D1099, $B$2:B1099, B1099)</f>
        <v>0.5</v>
      </c>
    </row>
    <row r="1100" spans="1:37" x14ac:dyDescent="0.25">
      <c r="A1100" s="85">
        <v>46156</v>
      </c>
      <c r="B1100" t="s">
        <v>44</v>
      </c>
      <c r="C1100">
        <v>13</v>
      </c>
      <c r="D1100">
        <v>1</v>
      </c>
      <c r="E1100">
        <v>3</v>
      </c>
      <c r="F1100">
        <v>3</v>
      </c>
      <c r="G1100">
        <v>13</v>
      </c>
      <c r="H1100">
        <v>9</v>
      </c>
      <c r="I1100">
        <v>1</v>
      </c>
      <c r="J1100">
        <v>0.69</v>
      </c>
      <c r="K1100">
        <v>0</v>
      </c>
      <c r="L1100">
        <v>0</v>
      </c>
      <c r="M1100">
        <v>1</v>
      </c>
      <c r="N1100">
        <v>0</v>
      </c>
      <c r="O1100">
        <v>0</v>
      </c>
      <c r="P1100">
        <v>0</v>
      </c>
      <c r="Q1100">
        <v>0</v>
      </c>
      <c r="R1100">
        <v>0</v>
      </c>
      <c r="S1100">
        <v>0</v>
      </c>
      <c r="T1100">
        <v>0</v>
      </c>
      <c r="U1100">
        <v>0</v>
      </c>
      <c r="V1100">
        <v>0</v>
      </c>
      <c r="W1100">
        <v>0</v>
      </c>
      <c r="X1100">
        <v>0</v>
      </c>
      <c r="Y1100">
        <v>0</v>
      </c>
      <c r="Z1100">
        <v>0</v>
      </c>
      <c r="AA1100">
        <v>0</v>
      </c>
      <c r="AB1100">
        <v>0</v>
      </c>
      <c r="AC1100">
        <v>0</v>
      </c>
      <c r="AD1100">
        <v>0</v>
      </c>
      <c r="AE1100">
        <v>1</v>
      </c>
      <c r="AF1100">
        <v>0</v>
      </c>
      <c r="AG1100">
        <v>1</v>
      </c>
      <c r="AH1100" s="86">
        <f>AVERAGEIFS($C$2:C1100, $B$2:B1100, B1100)</f>
        <v>16.600000000000001</v>
      </c>
      <c r="AI1100" s="86">
        <f>AVERAGEIFS($I$2:I1100, $B$2:B1100, B1100)</f>
        <v>0.53499999999999992</v>
      </c>
      <c r="AJ1100" s="86">
        <f>AVERAGEIFS($J$2:J1100, $B$2:B1100, B1100)</f>
        <v>0.53060000000000007</v>
      </c>
      <c r="AK1100" s="86">
        <f>AVERAGEIFS($D$2:D1100, $B$2:B1100, B1100)</f>
        <v>0.6</v>
      </c>
    </row>
    <row r="1101" spans="1:37" x14ac:dyDescent="0.25">
      <c r="A1101" s="85">
        <v>46156</v>
      </c>
      <c r="B1101" t="s">
        <v>40</v>
      </c>
      <c r="C1101">
        <v>12</v>
      </c>
      <c r="D1101">
        <v>1</v>
      </c>
      <c r="E1101">
        <v>3</v>
      </c>
      <c r="F1101">
        <v>3</v>
      </c>
      <c r="G1101">
        <v>13</v>
      </c>
      <c r="H1101">
        <v>9</v>
      </c>
      <c r="I1101">
        <v>1</v>
      </c>
      <c r="J1101">
        <v>0.69</v>
      </c>
      <c r="K1101">
        <v>0</v>
      </c>
      <c r="L1101">
        <v>0</v>
      </c>
      <c r="M1101">
        <v>1</v>
      </c>
      <c r="N1101">
        <v>0</v>
      </c>
      <c r="O1101">
        <v>0</v>
      </c>
      <c r="P1101">
        <v>0</v>
      </c>
      <c r="Q1101">
        <v>0</v>
      </c>
      <c r="R1101">
        <v>0</v>
      </c>
      <c r="S1101">
        <v>0</v>
      </c>
      <c r="T1101">
        <v>0</v>
      </c>
      <c r="U1101">
        <v>0</v>
      </c>
      <c r="V1101">
        <v>0</v>
      </c>
      <c r="W1101">
        <v>0</v>
      </c>
      <c r="X1101">
        <v>0</v>
      </c>
      <c r="Y1101">
        <v>0</v>
      </c>
      <c r="Z1101">
        <v>0</v>
      </c>
      <c r="AA1101">
        <v>0</v>
      </c>
      <c r="AB1101">
        <v>0</v>
      </c>
      <c r="AC1101">
        <v>0</v>
      </c>
      <c r="AD1101">
        <v>0</v>
      </c>
      <c r="AE1101">
        <v>1</v>
      </c>
      <c r="AF1101">
        <v>0</v>
      </c>
      <c r="AG1101">
        <v>1</v>
      </c>
      <c r="AH1101" s="86">
        <f>AVERAGEIFS($C$2:C1101, $B$2:B1101, B1101)</f>
        <v>18.388059701492537</v>
      </c>
      <c r="AI1101" s="86">
        <f>AVERAGEIFS($I$2:I1101, $B$2:B1101, B1101)</f>
        <v>0.47462686567164164</v>
      </c>
      <c r="AJ1101" s="86">
        <f>AVERAGEIFS($J$2:J1101, $B$2:B1101, B1101)</f>
        <v>0.48089552238805977</v>
      </c>
      <c r="AK1101" s="86">
        <f>AVERAGEIFS($D$2:D1101, $B$2:B1101, B1101)</f>
        <v>0.41791044776119401</v>
      </c>
    </row>
    <row r="1102" spans="1:37" x14ac:dyDescent="0.25">
      <c r="A1102" s="85">
        <v>46156</v>
      </c>
      <c r="B1102" t="s">
        <v>140</v>
      </c>
      <c r="C1102">
        <v>8</v>
      </c>
      <c r="D1102">
        <v>1</v>
      </c>
      <c r="E1102">
        <v>3</v>
      </c>
      <c r="F1102">
        <v>3</v>
      </c>
      <c r="G1102">
        <v>13</v>
      </c>
      <c r="H1102">
        <v>9</v>
      </c>
      <c r="I1102">
        <v>1</v>
      </c>
      <c r="J1102">
        <v>0.69</v>
      </c>
      <c r="K1102">
        <v>0</v>
      </c>
      <c r="L1102">
        <v>0</v>
      </c>
      <c r="M1102">
        <v>1</v>
      </c>
      <c r="N1102">
        <v>0</v>
      </c>
      <c r="O1102">
        <v>0</v>
      </c>
      <c r="P1102">
        <v>0</v>
      </c>
      <c r="Q1102">
        <v>0</v>
      </c>
      <c r="R1102">
        <v>0</v>
      </c>
      <c r="S1102">
        <v>0</v>
      </c>
      <c r="T1102">
        <v>0</v>
      </c>
      <c r="U1102">
        <v>0</v>
      </c>
      <c r="V1102">
        <v>0</v>
      </c>
      <c r="W1102">
        <v>0</v>
      </c>
      <c r="X1102">
        <v>0</v>
      </c>
      <c r="Y1102">
        <v>0</v>
      </c>
      <c r="Z1102">
        <v>0</v>
      </c>
      <c r="AA1102">
        <v>0</v>
      </c>
      <c r="AB1102">
        <v>0</v>
      </c>
      <c r="AC1102">
        <v>0</v>
      </c>
      <c r="AD1102">
        <v>0</v>
      </c>
      <c r="AE1102">
        <v>1</v>
      </c>
      <c r="AF1102">
        <v>0</v>
      </c>
      <c r="AG1102">
        <v>1</v>
      </c>
      <c r="AH1102" s="86">
        <f>AVERAGEIFS($C$2:C1102, $B$2:B1102, B1102)</f>
        <v>13.294117647058824</v>
      </c>
      <c r="AI1102" s="86">
        <f>AVERAGEIFS($I$2:I1102, $B$2:B1102, B1102)</f>
        <v>0.54411764705882348</v>
      </c>
      <c r="AJ1102" s="86">
        <f>AVERAGEIFS($J$2:J1102, $B$2:B1102, B1102)</f>
        <v>0.51352941176470579</v>
      </c>
      <c r="AK1102" s="86">
        <f>AVERAGEIFS($D$2:D1102, $B$2:B1102, B1102)</f>
        <v>0.58823529411764708</v>
      </c>
    </row>
    <row r="1103" spans="1:37" x14ac:dyDescent="0.25">
      <c r="A1103" s="85">
        <v>46156</v>
      </c>
      <c r="B1103" t="s">
        <v>6</v>
      </c>
      <c r="C1103">
        <v>20</v>
      </c>
      <c r="D1103">
        <v>1</v>
      </c>
      <c r="E1103">
        <v>3</v>
      </c>
      <c r="F1103">
        <v>3</v>
      </c>
      <c r="G1103">
        <v>13</v>
      </c>
      <c r="H1103">
        <v>9</v>
      </c>
      <c r="I1103">
        <v>1</v>
      </c>
      <c r="J1103">
        <v>0.69</v>
      </c>
      <c r="K1103">
        <v>0</v>
      </c>
      <c r="L1103">
        <v>0</v>
      </c>
      <c r="M1103">
        <v>1</v>
      </c>
      <c r="N1103">
        <v>0</v>
      </c>
      <c r="O1103">
        <v>0</v>
      </c>
      <c r="P1103">
        <v>0</v>
      </c>
      <c r="Q1103">
        <v>0</v>
      </c>
      <c r="R1103">
        <v>0</v>
      </c>
      <c r="S1103">
        <v>0</v>
      </c>
      <c r="T1103">
        <v>0</v>
      </c>
      <c r="U1103">
        <v>0</v>
      </c>
      <c r="V1103">
        <v>0</v>
      </c>
      <c r="W1103">
        <v>0</v>
      </c>
      <c r="X1103">
        <v>0</v>
      </c>
      <c r="Y1103">
        <v>0</v>
      </c>
      <c r="Z1103">
        <v>0</v>
      </c>
      <c r="AA1103">
        <v>0</v>
      </c>
      <c r="AB1103">
        <v>0</v>
      </c>
      <c r="AC1103">
        <v>0</v>
      </c>
      <c r="AD1103">
        <v>0</v>
      </c>
      <c r="AE1103">
        <v>1</v>
      </c>
      <c r="AF1103">
        <v>0</v>
      </c>
      <c r="AG1103">
        <v>1</v>
      </c>
      <c r="AH1103" s="86">
        <f>AVERAGEIFS($C$2:C1103, $B$2:B1103, B1103)</f>
        <v>22.597222222222221</v>
      </c>
      <c r="AI1103" s="86">
        <f>AVERAGEIFS($I$2:I1103, $B$2:B1103, B1103)</f>
        <v>0.56152777777777785</v>
      </c>
      <c r="AJ1103" s="86">
        <f>AVERAGEIFS($J$2:J1103, $B$2:B1103, B1103)</f>
        <v>0.53222222222222215</v>
      </c>
      <c r="AK1103" s="86">
        <f>AVERAGEIFS($D$2:D1103, $B$2:B1103, B1103)</f>
        <v>0.625</v>
      </c>
    </row>
    <row r="1104" spans="1:37" x14ac:dyDescent="0.25">
      <c r="A1104" s="85">
        <v>46156</v>
      </c>
      <c r="B1104" t="s">
        <v>107</v>
      </c>
      <c r="C1104">
        <v>15</v>
      </c>
      <c r="D1104">
        <v>1</v>
      </c>
      <c r="E1104">
        <v>3</v>
      </c>
      <c r="F1104">
        <v>3</v>
      </c>
      <c r="G1104">
        <v>13</v>
      </c>
      <c r="H1104">
        <v>9</v>
      </c>
      <c r="I1104">
        <v>1</v>
      </c>
      <c r="J1104">
        <v>0.69</v>
      </c>
      <c r="K1104">
        <v>0</v>
      </c>
      <c r="L1104">
        <v>0</v>
      </c>
      <c r="M1104">
        <v>1</v>
      </c>
      <c r="N1104">
        <v>0</v>
      </c>
      <c r="O1104">
        <v>0</v>
      </c>
      <c r="P1104">
        <v>0</v>
      </c>
      <c r="Q1104">
        <v>0</v>
      </c>
      <c r="R1104">
        <v>0</v>
      </c>
      <c r="S1104">
        <v>0</v>
      </c>
      <c r="T1104">
        <v>0</v>
      </c>
      <c r="U1104">
        <v>0</v>
      </c>
      <c r="V1104">
        <v>0</v>
      </c>
      <c r="W1104">
        <v>0</v>
      </c>
      <c r="X1104">
        <v>0</v>
      </c>
      <c r="Y1104">
        <v>0</v>
      </c>
      <c r="Z1104">
        <v>0</v>
      </c>
      <c r="AA1104">
        <v>0</v>
      </c>
      <c r="AB1104">
        <v>0</v>
      </c>
      <c r="AC1104">
        <v>0</v>
      </c>
      <c r="AD1104">
        <v>0</v>
      </c>
      <c r="AE1104">
        <v>1</v>
      </c>
      <c r="AF1104">
        <v>0</v>
      </c>
      <c r="AG1104">
        <v>1</v>
      </c>
      <c r="AH1104" s="86">
        <f>AVERAGEIFS($C$2:C1104, $B$2:B1104, B1104)</f>
        <v>15.895833333333334</v>
      </c>
      <c r="AI1104" s="86">
        <f>AVERAGEIFS($I$2:I1104, $B$2:B1104, B1104)</f>
        <v>0.51354166666666679</v>
      </c>
      <c r="AJ1104" s="86">
        <f>AVERAGEIFS($J$2:J1104, $B$2:B1104, B1104)</f>
        <v>0.51604166666666662</v>
      </c>
      <c r="AK1104" s="86">
        <f>AVERAGEIFS($D$2:D1104, $B$2:B1104, B1104)</f>
        <v>0.58333333333333337</v>
      </c>
    </row>
    <row r="1105" spans="1:37" x14ac:dyDescent="0.25">
      <c r="A1105" s="85">
        <v>46156</v>
      </c>
      <c r="B1105" t="s">
        <v>147</v>
      </c>
      <c r="C1105">
        <v>11</v>
      </c>
      <c r="D1105">
        <v>1</v>
      </c>
      <c r="E1105">
        <v>3</v>
      </c>
      <c r="F1105">
        <v>3</v>
      </c>
      <c r="G1105">
        <v>13</v>
      </c>
      <c r="H1105">
        <v>9</v>
      </c>
      <c r="I1105">
        <v>1</v>
      </c>
      <c r="J1105">
        <v>0.69</v>
      </c>
      <c r="K1105">
        <v>0</v>
      </c>
      <c r="L1105">
        <v>0</v>
      </c>
      <c r="M1105">
        <v>1</v>
      </c>
      <c r="N1105">
        <v>0</v>
      </c>
      <c r="O1105">
        <v>0</v>
      </c>
      <c r="P1105">
        <v>0</v>
      </c>
      <c r="Q1105">
        <v>0</v>
      </c>
      <c r="R1105">
        <v>0</v>
      </c>
      <c r="S1105">
        <v>0</v>
      </c>
      <c r="T1105">
        <v>0</v>
      </c>
      <c r="U1105">
        <v>0</v>
      </c>
      <c r="V1105">
        <v>0</v>
      </c>
      <c r="W1105">
        <v>0</v>
      </c>
      <c r="X1105">
        <v>0</v>
      </c>
      <c r="Y1105">
        <v>0</v>
      </c>
      <c r="Z1105">
        <v>0</v>
      </c>
      <c r="AA1105">
        <v>0</v>
      </c>
      <c r="AB1105">
        <v>0</v>
      </c>
      <c r="AC1105">
        <v>0</v>
      </c>
      <c r="AD1105">
        <v>0</v>
      </c>
      <c r="AE1105">
        <v>1</v>
      </c>
      <c r="AF1105">
        <v>0</v>
      </c>
      <c r="AG1105">
        <v>1</v>
      </c>
      <c r="AH1105" s="86">
        <f>AVERAGEIFS($C$2:C1105, $B$2:B1105, B1105)</f>
        <v>12.969696969696969</v>
      </c>
      <c r="AI1105" s="86">
        <f>AVERAGEIFS($I$2:I1105, $B$2:B1105, B1105)</f>
        <v>0.56515151515151507</v>
      </c>
      <c r="AJ1105" s="86">
        <f>AVERAGEIFS($J$2:J1105, $B$2:B1105, B1105)</f>
        <v>0.53484848484848491</v>
      </c>
      <c r="AK1105" s="86">
        <f>AVERAGEIFS($D$2:D1105, $B$2:B1105, B1105)</f>
        <v>0.51515151515151514</v>
      </c>
    </row>
    <row r="1106" spans="1:37" x14ac:dyDescent="0.25">
      <c r="A1106" s="85">
        <v>46156</v>
      </c>
      <c r="B1106" t="s">
        <v>50</v>
      </c>
      <c r="C1106">
        <v>17</v>
      </c>
      <c r="D1106">
        <v>0</v>
      </c>
      <c r="E1106">
        <v>3</v>
      </c>
      <c r="F1106">
        <v>0</v>
      </c>
      <c r="G1106">
        <v>13</v>
      </c>
      <c r="H1106">
        <v>4</v>
      </c>
      <c r="I1106">
        <v>0</v>
      </c>
      <c r="J1106">
        <v>0.31</v>
      </c>
      <c r="K1106">
        <v>0</v>
      </c>
      <c r="L1106">
        <v>0</v>
      </c>
      <c r="M1106">
        <v>0</v>
      </c>
      <c r="N1106">
        <v>0</v>
      </c>
      <c r="O1106">
        <v>0</v>
      </c>
      <c r="P1106">
        <v>0</v>
      </c>
      <c r="Q1106">
        <v>0</v>
      </c>
      <c r="R1106">
        <v>0</v>
      </c>
      <c r="S1106">
        <v>0</v>
      </c>
      <c r="T1106">
        <v>0</v>
      </c>
      <c r="U1106">
        <v>0</v>
      </c>
      <c r="V1106">
        <v>0</v>
      </c>
      <c r="W1106">
        <v>0</v>
      </c>
      <c r="X1106">
        <v>0</v>
      </c>
      <c r="Y1106">
        <v>0</v>
      </c>
      <c r="Z1106">
        <v>0</v>
      </c>
      <c r="AA1106">
        <v>0</v>
      </c>
      <c r="AB1106">
        <v>0</v>
      </c>
      <c r="AC1106">
        <v>0</v>
      </c>
      <c r="AD1106">
        <v>0</v>
      </c>
      <c r="AE1106">
        <v>0</v>
      </c>
      <c r="AF1106">
        <v>0</v>
      </c>
      <c r="AG1106">
        <v>0</v>
      </c>
      <c r="AH1106" s="86">
        <f>AVERAGEIFS($C$2:C1106, $B$2:B1106, B1106)</f>
        <v>17.955555555555556</v>
      </c>
      <c r="AI1106" s="86">
        <f>AVERAGEIFS($I$2:I1106, $B$2:B1106, B1106)</f>
        <v>0.48844444444444451</v>
      </c>
      <c r="AJ1106" s="86">
        <f>AVERAGEIFS($J$2:J1106, $B$2:B1106, B1106)</f>
        <v>0.50688888888888883</v>
      </c>
      <c r="AK1106" s="86">
        <f>AVERAGEIFS($D$2:D1106, $B$2:B1106, B1106)</f>
        <v>0.48888888888888887</v>
      </c>
    </row>
    <row r="1107" spans="1:37" x14ac:dyDescent="0.25">
      <c r="A1107" s="85">
        <v>46156</v>
      </c>
      <c r="B1107" t="s">
        <v>141</v>
      </c>
      <c r="C1107">
        <v>17</v>
      </c>
      <c r="D1107">
        <v>0</v>
      </c>
      <c r="E1107">
        <v>3</v>
      </c>
      <c r="F1107">
        <v>0</v>
      </c>
      <c r="G1107">
        <v>13</v>
      </c>
      <c r="H1107">
        <v>4</v>
      </c>
      <c r="I1107">
        <v>0</v>
      </c>
      <c r="J1107">
        <v>0.31</v>
      </c>
      <c r="K1107">
        <v>0</v>
      </c>
      <c r="L1107">
        <v>0</v>
      </c>
      <c r="M1107">
        <v>0</v>
      </c>
      <c r="N1107">
        <v>0</v>
      </c>
      <c r="O1107">
        <v>0</v>
      </c>
      <c r="P1107">
        <v>0</v>
      </c>
      <c r="Q1107">
        <v>0</v>
      </c>
      <c r="R1107">
        <v>0</v>
      </c>
      <c r="S1107">
        <v>0</v>
      </c>
      <c r="T1107">
        <v>0</v>
      </c>
      <c r="U1107">
        <v>0</v>
      </c>
      <c r="V1107">
        <v>0</v>
      </c>
      <c r="W1107">
        <v>0</v>
      </c>
      <c r="X1107">
        <v>0</v>
      </c>
      <c r="Y1107">
        <v>0</v>
      </c>
      <c r="Z1107">
        <v>0</v>
      </c>
      <c r="AA1107">
        <v>0</v>
      </c>
      <c r="AB1107">
        <v>0</v>
      </c>
      <c r="AC1107">
        <v>0</v>
      </c>
      <c r="AD1107">
        <v>0</v>
      </c>
      <c r="AE1107">
        <v>0</v>
      </c>
      <c r="AF1107">
        <v>0</v>
      </c>
      <c r="AG1107">
        <v>0</v>
      </c>
      <c r="AH1107" s="86">
        <f>AVERAGEIFS($C$2:C1107, $B$2:B1107, B1107)</f>
        <v>15.25</v>
      </c>
      <c r="AI1107" s="86">
        <f>AVERAGEIFS($I$2:I1107, $B$2:B1107, B1107)</f>
        <v>0.495</v>
      </c>
      <c r="AJ1107" s="86">
        <f>AVERAGEIFS($J$2:J1107, $B$2:B1107, B1107)</f>
        <v>0.51</v>
      </c>
      <c r="AK1107" s="86">
        <f>AVERAGEIFS($D$2:D1107, $B$2:B1107, B1107)</f>
        <v>0.6</v>
      </c>
    </row>
    <row r="1108" spans="1:37" x14ac:dyDescent="0.25">
      <c r="A1108" s="85">
        <v>46156</v>
      </c>
      <c r="B1108" t="s">
        <v>115</v>
      </c>
      <c r="C1108">
        <v>7</v>
      </c>
      <c r="D1108">
        <v>0</v>
      </c>
      <c r="E1108">
        <v>3</v>
      </c>
      <c r="F1108">
        <v>0</v>
      </c>
      <c r="G1108">
        <v>13</v>
      </c>
      <c r="H1108">
        <v>4</v>
      </c>
      <c r="I1108">
        <v>0</v>
      </c>
      <c r="J1108">
        <v>0.31</v>
      </c>
      <c r="K1108">
        <v>0</v>
      </c>
      <c r="L1108">
        <v>0</v>
      </c>
      <c r="M1108">
        <v>0</v>
      </c>
      <c r="N1108">
        <v>0</v>
      </c>
      <c r="O1108">
        <v>0</v>
      </c>
      <c r="P1108">
        <v>0</v>
      </c>
      <c r="Q1108">
        <v>0</v>
      </c>
      <c r="R1108">
        <v>0</v>
      </c>
      <c r="S1108">
        <v>0</v>
      </c>
      <c r="T1108">
        <v>0</v>
      </c>
      <c r="U1108">
        <v>0</v>
      </c>
      <c r="V1108">
        <v>0</v>
      </c>
      <c r="W1108">
        <v>0</v>
      </c>
      <c r="X1108">
        <v>0</v>
      </c>
      <c r="Y1108">
        <v>0</v>
      </c>
      <c r="Z1108">
        <v>0</v>
      </c>
      <c r="AA1108">
        <v>0</v>
      </c>
      <c r="AB1108">
        <v>0</v>
      </c>
      <c r="AC1108">
        <v>0</v>
      </c>
      <c r="AD1108">
        <v>0</v>
      </c>
      <c r="AE1108">
        <v>0</v>
      </c>
      <c r="AF1108">
        <v>0</v>
      </c>
      <c r="AG1108">
        <v>0</v>
      </c>
      <c r="AH1108" s="86">
        <f>AVERAGEIFS($C$2:C1108, $B$2:B1108, B1108)</f>
        <v>12.888888888888889</v>
      </c>
      <c r="AI1108" s="86">
        <f>AVERAGEIFS($I$2:I1108, $B$2:B1108, B1108)</f>
        <v>0.40555555555555556</v>
      </c>
      <c r="AJ1108" s="86">
        <f>AVERAGEIFS($J$2:J1108, $B$2:B1108, B1108)</f>
        <v>0.46444444444444444</v>
      </c>
      <c r="AK1108" s="86">
        <f>AVERAGEIFS($D$2:D1108, $B$2:B1108, B1108)</f>
        <v>0.33333333333333331</v>
      </c>
    </row>
    <row r="1109" spans="1:37" x14ac:dyDescent="0.25">
      <c r="A1109" s="85">
        <v>46156</v>
      </c>
      <c r="B1109" t="s">
        <v>5</v>
      </c>
      <c r="C1109">
        <v>9</v>
      </c>
      <c r="D1109">
        <v>0</v>
      </c>
      <c r="E1109">
        <v>3</v>
      </c>
      <c r="F1109">
        <v>0</v>
      </c>
      <c r="G1109">
        <v>13</v>
      </c>
      <c r="H1109">
        <v>4</v>
      </c>
      <c r="I1109">
        <v>0</v>
      </c>
      <c r="J1109">
        <v>0.31</v>
      </c>
      <c r="K1109">
        <v>0</v>
      </c>
      <c r="L1109">
        <v>0</v>
      </c>
      <c r="M1109">
        <v>0</v>
      </c>
      <c r="N1109">
        <v>0</v>
      </c>
      <c r="O1109">
        <v>0</v>
      </c>
      <c r="P1109">
        <v>0</v>
      </c>
      <c r="Q1109">
        <v>0</v>
      </c>
      <c r="R1109">
        <v>0</v>
      </c>
      <c r="S1109">
        <v>0</v>
      </c>
      <c r="T1109">
        <v>0</v>
      </c>
      <c r="U1109">
        <v>0</v>
      </c>
      <c r="V1109">
        <v>0</v>
      </c>
      <c r="W1109">
        <v>0</v>
      </c>
      <c r="X1109">
        <v>0</v>
      </c>
      <c r="Y1109">
        <v>0</v>
      </c>
      <c r="Z1109">
        <v>0</v>
      </c>
      <c r="AA1109">
        <v>0</v>
      </c>
      <c r="AB1109">
        <v>0</v>
      </c>
      <c r="AC1109">
        <v>0</v>
      </c>
      <c r="AD1109">
        <v>0</v>
      </c>
      <c r="AE1109">
        <v>0</v>
      </c>
      <c r="AF1109">
        <v>0</v>
      </c>
      <c r="AG1109">
        <v>0</v>
      </c>
      <c r="AH1109" s="86">
        <f>AVERAGEIFS($C$2:C1109, $B$2:B1109, B1109)</f>
        <v>19.351351351351351</v>
      </c>
      <c r="AI1109" s="86">
        <f>AVERAGEIFS($I$2:I1109, $B$2:B1109, B1109)</f>
        <v>0.54648648648648646</v>
      </c>
      <c r="AJ1109" s="86">
        <f>AVERAGEIFS($J$2:J1109, $B$2:B1109, B1109)</f>
        <v>0.521891891891892</v>
      </c>
      <c r="AK1109" s="86">
        <f>AVERAGEIFS($D$2:D1109, $B$2:B1109, B1109)</f>
        <v>0.6216216216216216</v>
      </c>
    </row>
    <row r="1110" spans="1:37" x14ac:dyDescent="0.25">
      <c r="A1110" s="85">
        <v>46156</v>
      </c>
      <c r="B1110" t="s">
        <v>148</v>
      </c>
      <c r="C1110">
        <v>2</v>
      </c>
      <c r="D1110">
        <v>0</v>
      </c>
      <c r="E1110">
        <v>3</v>
      </c>
      <c r="F1110">
        <v>0</v>
      </c>
      <c r="G1110">
        <v>13</v>
      </c>
      <c r="H1110">
        <v>4</v>
      </c>
      <c r="I1110">
        <v>0</v>
      </c>
      <c r="J1110">
        <v>0.31</v>
      </c>
      <c r="K1110">
        <v>0</v>
      </c>
      <c r="L1110">
        <v>0</v>
      </c>
      <c r="M1110">
        <v>0</v>
      </c>
      <c r="N1110">
        <v>0</v>
      </c>
      <c r="O1110">
        <v>0</v>
      </c>
      <c r="P1110">
        <v>0</v>
      </c>
      <c r="Q1110">
        <v>0</v>
      </c>
      <c r="R1110">
        <v>0</v>
      </c>
      <c r="S1110">
        <v>0</v>
      </c>
      <c r="T1110">
        <v>0</v>
      </c>
      <c r="U1110">
        <v>0</v>
      </c>
      <c r="V1110">
        <v>0</v>
      </c>
      <c r="W1110">
        <v>0</v>
      </c>
      <c r="X1110">
        <v>0</v>
      </c>
      <c r="Y1110">
        <v>0</v>
      </c>
      <c r="Z1110">
        <v>0</v>
      </c>
      <c r="AA1110">
        <v>0</v>
      </c>
      <c r="AB1110">
        <v>0</v>
      </c>
      <c r="AC1110">
        <v>0</v>
      </c>
      <c r="AD1110">
        <v>0</v>
      </c>
      <c r="AE1110">
        <v>0</v>
      </c>
      <c r="AF1110">
        <v>0</v>
      </c>
      <c r="AG1110">
        <v>0</v>
      </c>
      <c r="AH1110" s="86">
        <f>AVERAGEIFS($C$2:C1110, $B$2:B1110, B1110)</f>
        <v>5.666666666666667</v>
      </c>
      <c r="AI1110" s="86">
        <f>AVERAGEIFS($I$2:I1110, $B$2:B1110, B1110)</f>
        <v>0.33333333333333331</v>
      </c>
      <c r="AJ1110" s="86">
        <f>AVERAGEIFS($J$2:J1110, $B$2:B1110, B1110)</f>
        <v>0.44666666666666671</v>
      </c>
      <c r="AK1110" s="86">
        <f>AVERAGEIFS($D$2:D1110, $B$2:B1110, B1110)</f>
        <v>0.33333333333333331</v>
      </c>
    </row>
    <row r="1111" spans="1:37" x14ac:dyDescent="0.25">
      <c r="A1111" s="85">
        <v>46156</v>
      </c>
      <c r="B1111" t="s">
        <v>13</v>
      </c>
      <c r="C1111">
        <v>14</v>
      </c>
      <c r="D1111">
        <v>0</v>
      </c>
      <c r="E1111">
        <v>3</v>
      </c>
      <c r="F1111">
        <v>0</v>
      </c>
      <c r="G1111">
        <v>13</v>
      </c>
      <c r="H1111">
        <v>4</v>
      </c>
      <c r="I1111">
        <v>0</v>
      </c>
      <c r="J1111">
        <v>0.31</v>
      </c>
      <c r="K1111">
        <v>0</v>
      </c>
      <c r="L1111">
        <v>0</v>
      </c>
      <c r="M1111">
        <v>0</v>
      </c>
      <c r="N1111">
        <v>0</v>
      </c>
      <c r="O1111">
        <v>0</v>
      </c>
      <c r="P1111">
        <v>0</v>
      </c>
      <c r="Q1111">
        <v>0</v>
      </c>
      <c r="R1111">
        <v>0</v>
      </c>
      <c r="S1111">
        <v>0</v>
      </c>
      <c r="T1111">
        <v>0</v>
      </c>
      <c r="U1111">
        <v>0</v>
      </c>
      <c r="V1111">
        <v>0</v>
      </c>
      <c r="W1111">
        <v>0</v>
      </c>
      <c r="X1111">
        <v>0</v>
      </c>
      <c r="Y1111">
        <v>0</v>
      </c>
      <c r="Z1111">
        <v>0</v>
      </c>
      <c r="AA1111">
        <v>0</v>
      </c>
      <c r="AB1111">
        <v>0</v>
      </c>
      <c r="AC1111">
        <v>0</v>
      </c>
      <c r="AD1111">
        <v>0</v>
      </c>
      <c r="AE1111">
        <v>0</v>
      </c>
      <c r="AF1111">
        <v>0</v>
      </c>
      <c r="AG1111">
        <v>0</v>
      </c>
      <c r="AH1111" s="86">
        <f>AVERAGEIFS($C$2:C1111, $B$2:B1111, B1111)</f>
        <v>14.772727272727273</v>
      </c>
      <c r="AI1111" s="86">
        <f>AVERAGEIFS($I$2:I1111, $B$2:B1111, B1111)</f>
        <v>0.46818181818181814</v>
      </c>
      <c r="AJ1111" s="86">
        <f>AVERAGEIFS($J$2:J1111, $B$2:B1111, B1111)</f>
        <v>0.48181818181818187</v>
      </c>
      <c r="AK1111" s="86">
        <f>AVERAGEIFS($D$2:D1111, $B$2:B1111, B1111)</f>
        <v>0.40909090909090912</v>
      </c>
    </row>
    <row r="1112" spans="1:37" x14ac:dyDescent="0.25">
      <c r="A1112" s="85">
        <v>46157</v>
      </c>
      <c r="B1112" t="s">
        <v>4</v>
      </c>
      <c r="C1112">
        <v>28</v>
      </c>
      <c r="D1112">
        <v>0</v>
      </c>
      <c r="E1112">
        <v>3</v>
      </c>
      <c r="F1112">
        <v>0</v>
      </c>
      <c r="G1112">
        <v>14</v>
      </c>
      <c r="H1112">
        <v>5</v>
      </c>
      <c r="I1112">
        <v>0</v>
      </c>
      <c r="J1112">
        <v>0.36</v>
      </c>
      <c r="K1112">
        <v>0</v>
      </c>
      <c r="L1112">
        <v>0</v>
      </c>
      <c r="M1112">
        <v>0</v>
      </c>
      <c r="N1112">
        <v>0</v>
      </c>
      <c r="O1112">
        <v>0</v>
      </c>
      <c r="P1112">
        <v>0</v>
      </c>
      <c r="Q1112">
        <v>0</v>
      </c>
      <c r="R1112">
        <v>0</v>
      </c>
      <c r="S1112">
        <v>0</v>
      </c>
      <c r="T1112">
        <v>0</v>
      </c>
      <c r="U1112">
        <v>0</v>
      </c>
      <c r="V1112">
        <v>0</v>
      </c>
      <c r="W1112">
        <v>0</v>
      </c>
      <c r="X1112">
        <v>0</v>
      </c>
      <c r="Y1112">
        <v>0</v>
      </c>
      <c r="Z1112">
        <v>0</v>
      </c>
      <c r="AA1112">
        <v>0</v>
      </c>
      <c r="AB1112">
        <v>0</v>
      </c>
      <c r="AC1112">
        <v>0</v>
      </c>
      <c r="AD1112">
        <v>0</v>
      </c>
      <c r="AE1112">
        <v>0</v>
      </c>
      <c r="AF1112">
        <v>0</v>
      </c>
      <c r="AG1112">
        <v>0</v>
      </c>
      <c r="AH1112" s="86">
        <f>AVERAGEIFS($C$2:C1112, $B$2:B1112, B1112)</f>
        <v>24.23076923076923</v>
      </c>
      <c r="AI1112" s="86">
        <f>AVERAGEIFS($I$2:I1112, $B$2:B1112, B1112)</f>
        <v>0.44615384615384623</v>
      </c>
      <c r="AJ1112" s="86">
        <f>AVERAGEIFS($J$2:J1112, $B$2:B1112, B1112)</f>
        <v>0.46820512820512816</v>
      </c>
      <c r="AK1112" s="86">
        <f>AVERAGEIFS($D$2:D1112, $B$2:B1112, B1112)</f>
        <v>0.38461538461538464</v>
      </c>
    </row>
    <row r="1113" spans="1:37" x14ac:dyDescent="0.25">
      <c r="A1113" s="85">
        <v>46157</v>
      </c>
      <c r="B1113" t="s">
        <v>150</v>
      </c>
      <c r="C1113">
        <v>26</v>
      </c>
      <c r="D1113">
        <v>0</v>
      </c>
      <c r="E1113">
        <v>3</v>
      </c>
      <c r="F1113">
        <v>0</v>
      </c>
      <c r="G1113">
        <v>14</v>
      </c>
      <c r="H1113">
        <v>5</v>
      </c>
      <c r="I1113">
        <v>0</v>
      </c>
      <c r="J1113">
        <v>0.36</v>
      </c>
      <c r="K1113">
        <v>0</v>
      </c>
      <c r="L1113">
        <v>0</v>
      </c>
      <c r="M1113">
        <v>0</v>
      </c>
      <c r="N1113">
        <v>0</v>
      </c>
      <c r="O1113">
        <v>0</v>
      </c>
      <c r="P1113">
        <v>0</v>
      </c>
      <c r="Q1113">
        <v>0</v>
      </c>
      <c r="R1113">
        <v>0</v>
      </c>
      <c r="S1113">
        <v>0</v>
      </c>
      <c r="T1113">
        <v>0</v>
      </c>
      <c r="U1113">
        <v>0</v>
      </c>
      <c r="V1113">
        <v>0</v>
      </c>
      <c r="W1113">
        <v>0</v>
      </c>
      <c r="X1113">
        <v>0</v>
      </c>
      <c r="Y1113">
        <v>0</v>
      </c>
      <c r="Z1113">
        <v>0</v>
      </c>
      <c r="AA1113">
        <v>0</v>
      </c>
      <c r="AB1113">
        <v>0</v>
      </c>
      <c r="AC1113">
        <v>0</v>
      </c>
      <c r="AD1113">
        <v>0</v>
      </c>
      <c r="AE1113">
        <v>0</v>
      </c>
      <c r="AF1113">
        <v>0</v>
      </c>
      <c r="AG1113">
        <v>0</v>
      </c>
      <c r="AH1113" s="86">
        <f>AVERAGEIFS($C$2:C1113, $B$2:B1113, B1113)</f>
        <v>18.173913043478262</v>
      </c>
      <c r="AI1113" s="86">
        <f>AVERAGEIFS($I$2:I1113, $B$2:B1113, B1113)</f>
        <v>0.58913043478260863</v>
      </c>
      <c r="AJ1113" s="86">
        <f>AVERAGEIFS($J$2:J1113, $B$2:B1113, B1113)</f>
        <v>0.57217391304347831</v>
      </c>
      <c r="AK1113" s="86">
        <f>AVERAGEIFS($D$2:D1113, $B$2:B1113, B1113)</f>
        <v>0.60869565217391308</v>
      </c>
    </row>
    <row r="1114" spans="1:37" x14ac:dyDescent="0.25">
      <c r="A1114" s="85">
        <v>46157</v>
      </c>
      <c r="B1114" t="s">
        <v>13</v>
      </c>
      <c r="C1114">
        <v>14</v>
      </c>
      <c r="D1114">
        <v>0</v>
      </c>
      <c r="E1114">
        <v>3</v>
      </c>
      <c r="F1114">
        <v>0</v>
      </c>
      <c r="G1114">
        <v>14</v>
      </c>
      <c r="H1114">
        <v>5</v>
      </c>
      <c r="I1114">
        <v>0</v>
      </c>
      <c r="J1114">
        <v>0.36</v>
      </c>
      <c r="K1114">
        <v>0</v>
      </c>
      <c r="L1114">
        <v>0</v>
      </c>
      <c r="M1114">
        <v>0</v>
      </c>
      <c r="N1114">
        <v>0</v>
      </c>
      <c r="O1114">
        <v>0</v>
      </c>
      <c r="P1114">
        <v>0</v>
      </c>
      <c r="Q1114">
        <v>0</v>
      </c>
      <c r="R1114">
        <v>0</v>
      </c>
      <c r="S1114">
        <v>0</v>
      </c>
      <c r="T1114">
        <v>0</v>
      </c>
      <c r="U1114">
        <v>0</v>
      </c>
      <c r="V1114">
        <v>0</v>
      </c>
      <c r="W1114">
        <v>0</v>
      </c>
      <c r="X1114">
        <v>0</v>
      </c>
      <c r="Y1114">
        <v>0</v>
      </c>
      <c r="Z1114">
        <v>0</v>
      </c>
      <c r="AA1114">
        <v>0</v>
      </c>
      <c r="AB1114">
        <v>0</v>
      </c>
      <c r="AC1114">
        <v>0</v>
      </c>
      <c r="AD1114">
        <v>0</v>
      </c>
      <c r="AE1114">
        <v>0</v>
      </c>
      <c r="AF1114">
        <v>0</v>
      </c>
      <c r="AG1114">
        <v>0</v>
      </c>
      <c r="AH1114" s="86">
        <f>AVERAGEIFS($C$2:C1114, $B$2:B1114, B1114)</f>
        <v>14.739130434782609</v>
      </c>
      <c r="AI1114" s="86">
        <f>AVERAGEIFS($I$2:I1114, $B$2:B1114, B1114)</f>
        <v>0.44782608695652171</v>
      </c>
      <c r="AJ1114" s="86">
        <f>AVERAGEIFS($J$2:J1114, $B$2:B1114, B1114)</f>
        <v>0.47652173913043483</v>
      </c>
      <c r="AK1114" s="86">
        <f>AVERAGEIFS($D$2:D1114, $B$2:B1114, B1114)</f>
        <v>0.39130434782608697</v>
      </c>
    </row>
    <row r="1115" spans="1:37" x14ac:dyDescent="0.25">
      <c r="A1115" s="85">
        <v>46157</v>
      </c>
      <c r="B1115" t="s">
        <v>152</v>
      </c>
      <c r="C1115">
        <v>9</v>
      </c>
      <c r="D1115">
        <v>0</v>
      </c>
      <c r="E1115">
        <v>3</v>
      </c>
      <c r="F1115">
        <v>0</v>
      </c>
      <c r="G1115">
        <v>14</v>
      </c>
      <c r="H1115">
        <v>5</v>
      </c>
      <c r="I1115">
        <v>0</v>
      </c>
      <c r="J1115">
        <v>0.36</v>
      </c>
      <c r="K1115">
        <v>0</v>
      </c>
      <c r="L1115">
        <v>0</v>
      </c>
      <c r="M1115">
        <v>0</v>
      </c>
      <c r="N1115">
        <v>0</v>
      </c>
      <c r="O1115">
        <v>0</v>
      </c>
      <c r="P1115">
        <v>0</v>
      </c>
      <c r="Q1115">
        <v>0</v>
      </c>
      <c r="R1115">
        <v>0</v>
      </c>
      <c r="S1115">
        <v>0</v>
      </c>
      <c r="T1115">
        <v>0</v>
      </c>
      <c r="U1115">
        <v>0</v>
      </c>
      <c r="V1115">
        <v>0</v>
      </c>
      <c r="W1115">
        <v>0</v>
      </c>
      <c r="X1115">
        <v>0</v>
      </c>
      <c r="Y1115">
        <v>0</v>
      </c>
      <c r="Z1115">
        <v>0</v>
      </c>
      <c r="AA1115">
        <v>0</v>
      </c>
      <c r="AB1115">
        <v>0</v>
      </c>
      <c r="AC1115">
        <v>0</v>
      </c>
      <c r="AD1115">
        <v>0</v>
      </c>
      <c r="AE1115">
        <v>0</v>
      </c>
      <c r="AF1115">
        <v>0</v>
      </c>
      <c r="AG1115">
        <v>0</v>
      </c>
      <c r="AH1115" s="86">
        <f>AVERAGEIFS($C$2:C1115, $B$2:B1115, B1115)</f>
        <v>11</v>
      </c>
      <c r="AI1115" s="86">
        <f>AVERAGEIFS($I$2:I1115, $B$2:B1115, B1115)</f>
        <v>0.38125000000000003</v>
      </c>
      <c r="AJ1115" s="86">
        <f>AVERAGEIFS($J$2:J1115, $B$2:B1115, B1115)</f>
        <v>0.47</v>
      </c>
      <c r="AK1115" s="86">
        <f>AVERAGEIFS($D$2:D1115, $B$2:B1115, B1115)</f>
        <v>0.375</v>
      </c>
    </row>
    <row r="1116" spans="1:37" x14ac:dyDescent="0.25">
      <c r="A1116" s="85">
        <v>46157</v>
      </c>
      <c r="B1116" t="s">
        <v>70</v>
      </c>
      <c r="C1116">
        <v>11</v>
      </c>
      <c r="D1116">
        <v>0</v>
      </c>
      <c r="E1116">
        <v>3</v>
      </c>
      <c r="F1116">
        <v>0</v>
      </c>
      <c r="G1116">
        <v>14</v>
      </c>
      <c r="H1116">
        <v>5</v>
      </c>
      <c r="I1116">
        <v>0</v>
      </c>
      <c r="J1116">
        <v>0.36</v>
      </c>
      <c r="K1116">
        <v>0</v>
      </c>
      <c r="L1116">
        <v>0</v>
      </c>
      <c r="M1116">
        <v>0</v>
      </c>
      <c r="N1116">
        <v>0</v>
      </c>
      <c r="O1116">
        <v>0</v>
      </c>
      <c r="P1116">
        <v>0</v>
      </c>
      <c r="Q1116">
        <v>0</v>
      </c>
      <c r="R1116">
        <v>0</v>
      </c>
      <c r="S1116">
        <v>0</v>
      </c>
      <c r="T1116">
        <v>0</v>
      </c>
      <c r="U1116">
        <v>0</v>
      </c>
      <c r="V1116">
        <v>0</v>
      </c>
      <c r="W1116">
        <v>0</v>
      </c>
      <c r="X1116">
        <v>0</v>
      </c>
      <c r="Y1116">
        <v>0</v>
      </c>
      <c r="Z1116">
        <v>0</v>
      </c>
      <c r="AA1116">
        <v>0</v>
      </c>
      <c r="AB1116">
        <v>0</v>
      </c>
      <c r="AC1116">
        <v>0</v>
      </c>
      <c r="AD1116">
        <v>0</v>
      </c>
      <c r="AE1116">
        <v>0</v>
      </c>
      <c r="AF1116">
        <v>0</v>
      </c>
      <c r="AG1116">
        <v>0</v>
      </c>
      <c r="AH1116" s="86">
        <f>AVERAGEIFS($C$2:C1116, $B$2:B1116, B1116)</f>
        <v>11.111111111111111</v>
      </c>
      <c r="AI1116" s="86">
        <f>AVERAGEIFS($I$2:I1116, $B$2:B1116, B1116)</f>
        <v>0.45000000000000007</v>
      </c>
      <c r="AJ1116" s="86">
        <f>AVERAGEIFS($J$2:J1116, $B$2:B1116, B1116)</f>
        <v>0.49</v>
      </c>
      <c r="AK1116" s="86">
        <f>AVERAGEIFS($D$2:D1116, $B$2:B1116, B1116)</f>
        <v>0.55555555555555558</v>
      </c>
    </row>
    <row r="1117" spans="1:37" x14ac:dyDescent="0.25">
      <c r="A1117" s="85">
        <v>46157</v>
      </c>
      <c r="B1117" t="s">
        <v>35</v>
      </c>
      <c r="C1117">
        <v>7</v>
      </c>
      <c r="D1117">
        <v>0</v>
      </c>
      <c r="E1117">
        <v>3</v>
      </c>
      <c r="F1117">
        <v>0</v>
      </c>
      <c r="G1117">
        <v>14</v>
      </c>
      <c r="H1117">
        <v>5</v>
      </c>
      <c r="I1117">
        <v>0</v>
      </c>
      <c r="J1117">
        <v>0.36</v>
      </c>
      <c r="K1117">
        <v>0</v>
      </c>
      <c r="L1117">
        <v>0</v>
      </c>
      <c r="M1117">
        <v>0</v>
      </c>
      <c r="N1117">
        <v>0</v>
      </c>
      <c r="O1117">
        <v>0</v>
      </c>
      <c r="P1117">
        <v>0</v>
      </c>
      <c r="Q1117">
        <v>0</v>
      </c>
      <c r="R1117">
        <v>0</v>
      </c>
      <c r="S1117">
        <v>0</v>
      </c>
      <c r="T1117">
        <v>0</v>
      </c>
      <c r="U1117">
        <v>0</v>
      </c>
      <c r="V1117">
        <v>0</v>
      </c>
      <c r="W1117">
        <v>0</v>
      </c>
      <c r="X1117">
        <v>0</v>
      </c>
      <c r="Y1117">
        <v>0</v>
      </c>
      <c r="Z1117">
        <v>0</v>
      </c>
      <c r="AA1117">
        <v>0</v>
      </c>
      <c r="AB1117">
        <v>0</v>
      </c>
      <c r="AC1117">
        <v>0</v>
      </c>
      <c r="AD1117">
        <v>0</v>
      </c>
      <c r="AE1117">
        <v>0</v>
      </c>
      <c r="AF1117">
        <v>0</v>
      </c>
      <c r="AG1117">
        <v>0</v>
      </c>
      <c r="AH1117" s="86">
        <f>AVERAGEIFS($C$2:C1117, $B$2:B1117, B1117)</f>
        <v>10.395348837209303</v>
      </c>
      <c r="AI1117" s="86">
        <f>AVERAGEIFS($I$2:I1117, $B$2:B1117, B1117)</f>
        <v>0.44953488372093026</v>
      </c>
      <c r="AJ1117" s="86">
        <f>AVERAGEIFS($J$2:J1117, $B$2:B1117, B1117)</f>
        <v>0.48069767441860461</v>
      </c>
      <c r="AK1117" s="86">
        <f>AVERAGEIFS($D$2:D1117, $B$2:B1117, B1117)</f>
        <v>0.41860465116279072</v>
      </c>
    </row>
    <row r="1118" spans="1:37" x14ac:dyDescent="0.25">
      <c r="A1118" s="85">
        <v>46157</v>
      </c>
      <c r="B1118" t="s">
        <v>54</v>
      </c>
      <c r="C1118">
        <v>18</v>
      </c>
      <c r="D1118">
        <v>1</v>
      </c>
      <c r="E1118">
        <v>3</v>
      </c>
      <c r="F1118">
        <v>3</v>
      </c>
      <c r="G1118">
        <v>14</v>
      </c>
      <c r="H1118">
        <v>9</v>
      </c>
      <c r="I1118">
        <v>1</v>
      </c>
      <c r="J1118">
        <v>0.64</v>
      </c>
      <c r="K1118">
        <v>0</v>
      </c>
      <c r="L1118">
        <v>0</v>
      </c>
      <c r="M1118">
        <v>1</v>
      </c>
      <c r="N1118">
        <v>0</v>
      </c>
      <c r="O1118">
        <v>0</v>
      </c>
      <c r="P1118">
        <v>0</v>
      </c>
      <c r="Q1118">
        <v>0</v>
      </c>
      <c r="R1118">
        <v>0</v>
      </c>
      <c r="S1118">
        <v>0</v>
      </c>
      <c r="T1118">
        <v>0</v>
      </c>
      <c r="U1118">
        <v>0</v>
      </c>
      <c r="V1118">
        <v>0</v>
      </c>
      <c r="W1118">
        <v>0</v>
      </c>
      <c r="X1118">
        <v>0</v>
      </c>
      <c r="Y1118">
        <v>0</v>
      </c>
      <c r="Z1118">
        <v>0</v>
      </c>
      <c r="AA1118">
        <v>0</v>
      </c>
      <c r="AB1118">
        <v>0</v>
      </c>
      <c r="AC1118">
        <v>1</v>
      </c>
      <c r="AD1118">
        <v>0</v>
      </c>
      <c r="AE1118">
        <v>0</v>
      </c>
      <c r="AF1118">
        <v>0</v>
      </c>
      <c r="AG1118">
        <v>1</v>
      </c>
      <c r="AH1118" s="86">
        <f>AVERAGEIFS($C$2:C1118, $B$2:B1118, B1118)</f>
        <v>23.451612903225808</v>
      </c>
      <c r="AI1118" s="86">
        <f>AVERAGEIFS($I$2:I1118, $B$2:B1118, B1118)</f>
        <v>0.53258064516129033</v>
      </c>
      <c r="AJ1118" s="86">
        <f>AVERAGEIFS($J$2:J1118, $B$2:B1118, B1118)</f>
        <v>0.50935483870967735</v>
      </c>
      <c r="AK1118" s="86">
        <f>AVERAGEIFS($D$2:D1118, $B$2:B1118, B1118)</f>
        <v>0.54838709677419351</v>
      </c>
    </row>
    <row r="1119" spans="1:37" x14ac:dyDescent="0.25">
      <c r="A1119" s="85">
        <v>46157</v>
      </c>
      <c r="B1119" t="s">
        <v>44</v>
      </c>
      <c r="C1119">
        <v>6</v>
      </c>
      <c r="D1119">
        <v>1</v>
      </c>
      <c r="E1119">
        <v>3</v>
      </c>
      <c r="F1119">
        <v>3</v>
      </c>
      <c r="G1119">
        <v>14</v>
      </c>
      <c r="H1119">
        <v>9</v>
      </c>
      <c r="I1119">
        <v>1</v>
      </c>
      <c r="J1119">
        <v>0.64</v>
      </c>
      <c r="K1119">
        <v>0</v>
      </c>
      <c r="L1119">
        <v>0</v>
      </c>
      <c r="M1119">
        <v>1</v>
      </c>
      <c r="N1119">
        <v>0</v>
      </c>
      <c r="O1119">
        <v>0</v>
      </c>
      <c r="P1119">
        <v>0</v>
      </c>
      <c r="Q1119">
        <v>0</v>
      </c>
      <c r="R1119">
        <v>0</v>
      </c>
      <c r="S1119">
        <v>0</v>
      </c>
      <c r="T1119">
        <v>0</v>
      </c>
      <c r="U1119">
        <v>0</v>
      </c>
      <c r="V1119">
        <v>0</v>
      </c>
      <c r="W1119">
        <v>0</v>
      </c>
      <c r="X1119">
        <v>0</v>
      </c>
      <c r="Y1119">
        <v>0</v>
      </c>
      <c r="Z1119">
        <v>0</v>
      </c>
      <c r="AA1119">
        <v>0</v>
      </c>
      <c r="AB1119">
        <v>0</v>
      </c>
      <c r="AC1119">
        <v>1</v>
      </c>
      <c r="AD1119">
        <v>0</v>
      </c>
      <c r="AE1119">
        <v>0</v>
      </c>
      <c r="AF1119">
        <v>0</v>
      </c>
      <c r="AG1119">
        <v>1</v>
      </c>
      <c r="AH1119" s="86">
        <f>AVERAGEIFS($C$2:C1119, $B$2:B1119, B1119)</f>
        <v>16.392156862745097</v>
      </c>
      <c r="AI1119" s="86">
        <f>AVERAGEIFS($I$2:I1119, $B$2:B1119, B1119)</f>
        <v>0.54411764705882348</v>
      </c>
      <c r="AJ1119" s="86">
        <f>AVERAGEIFS($J$2:J1119, $B$2:B1119, B1119)</f>
        <v>0.53274509803921577</v>
      </c>
      <c r="AK1119" s="86">
        <f>AVERAGEIFS($D$2:D1119, $B$2:B1119, B1119)</f>
        <v>0.60784313725490191</v>
      </c>
    </row>
    <row r="1120" spans="1:37" x14ac:dyDescent="0.25">
      <c r="A1120" s="85">
        <v>46157</v>
      </c>
      <c r="B1120" t="s">
        <v>50</v>
      </c>
      <c r="C1120">
        <v>20</v>
      </c>
      <c r="D1120">
        <v>1</v>
      </c>
      <c r="E1120">
        <v>3</v>
      </c>
      <c r="F1120">
        <v>3</v>
      </c>
      <c r="G1120">
        <v>14</v>
      </c>
      <c r="H1120">
        <v>9</v>
      </c>
      <c r="I1120">
        <v>1</v>
      </c>
      <c r="J1120">
        <v>0.64</v>
      </c>
      <c r="K1120">
        <v>0</v>
      </c>
      <c r="L1120">
        <v>0</v>
      </c>
      <c r="M1120">
        <v>1</v>
      </c>
      <c r="N1120">
        <v>0</v>
      </c>
      <c r="O1120">
        <v>0</v>
      </c>
      <c r="P1120">
        <v>0</v>
      </c>
      <c r="Q1120">
        <v>0</v>
      </c>
      <c r="R1120">
        <v>0</v>
      </c>
      <c r="S1120">
        <v>0</v>
      </c>
      <c r="T1120">
        <v>0</v>
      </c>
      <c r="U1120">
        <v>0</v>
      </c>
      <c r="V1120">
        <v>0</v>
      </c>
      <c r="W1120">
        <v>0</v>
      </c>
      <c r="X1120">
        <v>0</v>
      </c>
      <c r="Y1120">
        <v>0</v>
      </c>
      <c r="Z1120">
        <v>0</v>
      </c>
      <c r="AA1120">
        <v>0</v>
      </c>
      <c r="AB1120">
        <v>0</v>
      </c>
      <c r="AC1120">
        <v>1</v>
      </c>
      <c r="AD1120">
        <v>0</v>
      </c>
      <c r="AE1120">
        <v>0</v>
      </c>
      <c r="AF1120">
        <v>0</v>
      </c>
      <c r="AG1120">
        <v>1</v>
      </c>
      <c r="AH1120" s="86">
        <f>AVERAGEIFS($C$2:C1120, $B$2:B1120, B1120)</f>
        <v>18</v>
      </c>
      <c r="AI1120" s="86">
        <f>AVERAGEIFS($I$2:I1120, $B$2:B1120, B1120)</f>
        <v>0.49956521739130444</v>
      </c>
      <c r="AJ1120" s="86">
        <f>AVERAGEIFS($J$2:J1120, $B$2:B1120, B1120)</f>
        <v>0.50978260869565206</v>
      </c>
      <c r="AK1120" s="86">
        <f>AVERAGEIFS($D$2:D1120, $B$2:B1120, B1120)</f>
        <v>0.5</v>
      </c>
    </row>
    <row r="1121" spans="1:37" x14ac:dyDescent="0.25">
      <c r="A1121" s="85">
        <v>46157</v>
      </c>
      <c r="B1121" t="s">
        <v>37</v>
      </c>
      <c r="C1121">
        <v>19</v>
      </c>
      <c r="D1121">
        <v>1</v>
      </c>
      <c r="E1121">
        <v>3</v>
      </c>
      <c r="F1121">
        <v>3</v>
      </c>
      <c r="G1121">
        <v>14</v>
      </c>
      <c r="H1121">
        <v>9</v>
      </c>
      <c r="I1121">
        <v>1</v>
      </c>
      <c r="J1121">
        <v>0.64</v>
      </c>
      <c r="K1121">
        <v>0</v>
      </c>
      <c r="L1121">
        <v>0</v>
      </c>
      <c r="M1121">
        <v>1</v>
      </c>
      <c r="N1121">
        <v>0</v>
      </c>
      <c r="O1121">
        <v>0</v>
      </c>
      <c r="P1121">
        <v>0</v>
      </c>
      <c r="Q1121">
        <v>0</v>
      </c>
      <c r="R1121">
        <v>0</v>
      </c>
      <c r="S1121">
        <v>0</v>
      </c>
      <c r="T1121">
        <v>0</v>
      </c>
      <c r="U1121">
        <v>0</v>
      </c>
      <c r="V1121">
        <v>0</v>
      </c>
      <c r="W1121">
        <v>0</v>
      </c>
      <c r="X1121">
        <v>0</v>
      </c>
      <c r="Y1121">
        <v>0</v>
      </c>
      <c r="Z1121">
        <v>0</v>
      </c>
      <c r="AA1121">
        <v>0</v>
      </c>
      <c r="AB1121">
        <v>0</v>
      </c>
      <c r="AC1121">
        <v>1</v>
      </c>
      <c r="AD1121">
        <v>0</v>
      </c>
      <c r="AE1121">
        <v>0</v>
      </c>
      <c r="AF1121">
        <v>0</v>
      </c>
      <c r="AG1121">
        <v>1</v>
      </c>
      <c r="AH1121" s="86">
        <f>AVERAGEIFS($C$2:C1121, $B$2:B1121, B1121)</f>
        <v>14.636363636363637</v>
      </c>
      <c r="AI1121" s="86">
        <f>AVERAGEIFS($I$2:I1121, $B$2:B1121, B1121)</f>
        <v>0.6</v>
      </c>
      <c r="AJ1121" s="86">
        <f>AVERAGEIFS($J$2:J1121, $B$2:B1121, B1121)</f>
        <v>0.51636363636363636</v>
      </c>
      <c r="AK1121" s="86">
        <f>AVERAGEIFS($D$2:D1121, $B$2:B1121, B1121)</f>
        <v>0.54545454545454541</v>
      </c>
    </row>
    <row r="1122" spans="1:37" x14ac:dyDescent="0.25">
      <c r="A1122" s="85">
        <v>46157</v>
      </c>
      <c r="B1122" t="s">
        <v>224</v>
      </c>
      <c r="C1122">
        <v>10</v>
      </c>
      <c r="D1122">
        <v>1</v>
      </c>
      <c r="E1122">
        <v>3</v>
      </c>
      <c r="F1122">
        <v>3</v>
      </c>
      <c r="G1122">
        <v>14</v>
      </c>
      <c r="H1122">
        <v>9</v>
      </c>
      <c r="I1122">
        <v>1</v>
      </c>
      <c r="J1122">
        <v>0.64</v>
      </c>
      <c r="K1122">
        <v>0</v>
      </c>
      <c r="L1122">
        <v>0</v>
      </c>
      <c r="M1122">
        <v>1</v>
      </c>
      <c r="N1122">
        <v>0</v>
      </c>
      <c r="O1122">
        <v>0</v>
      </c>
      <c r="P1122">
        <v>0</v>
      </c>
      <c r="Q1122">
        <v>0</v>
      </c>
      <c r="R1122">
        <v>0</v>
      </c>
      <c r="S1122">
        <v>0</v>
      </c>
      <c r="T1122">
        <v>0</v>
      </c>
      <c r="U1122">
        <v>0</v>
      </c>
      <c r="V1122">
        <v>0</v>
      </c>
      <c r="W1122">
        <v>0</v>
      </c>
      <c r="X1122">
        <v>0</v>
      </c>
      <c r="Y1122">
        <v>0</v>
      </c>
      <c r="Z1122">
        <v>0</v>
      </c>
      <c r="AA1122">
        <v>0</v>
      </c>
      <c r="AB1122">
        <v>0</v>
      </c>
      <c r="AC1122">
        <v>1</v>
      </c>
      <c r="AD1122">
        <v>0</v>
      </c>
      <c r="AE1122">
        <v>0</v>
      </c>
      <c r="AF1122">
        <v>0</v>
      </c>
      <c r="AG1122">
        <v>1</v>
      </c>
      <c r="AH1122" s="86">
        <f>AVERAGEIFS($C$2:C1122, $B$2:B1122, B1122)</f>
        <v>10</v>
      </c>
      <c r="AI1122" s="86">
        <f>AVERAGEIFS($I$2:I1122, $B$2:B1122, B1122)</f>
        <v>1</v>
      </c>
      <c r="AJ1122" s="86">
        <f>AVERAGEIFS($J$2:J1122, $B$2:B1122, B1122)</f>
        <v>0.64</v>
      </c>
      <c r="AK1122" s="86">
        <f>AVERAGEIFS($D$2:D1122, $B$2:B1122, B1122)</f>
        <v>1</v>
      </c>
    </row>
    <row r="1123" spans="1:37" x14ac:dyDescent="0.25">
      <c r="A1123" s="85">
        <v>46157</v>
      </c>
      <c r="B1123" t="s">
        <v>17</v>
      </c>
      <c r="C1123">
        <v>31</v>
      </c>
      <c r="D1123">
        <v>1</v>
      </c>
      <c r="E1123">
        <v>3</v>
      </c>
      <c r="F1123">
        <v>3</v>
      </c>
      <c r="G1123">
        <v>14</v>
      </c>
      <c r="H1123">
        <v>9</v>
      </c>
      <c r="I1123">
        <v>1</v>
      </c>
      <c r="J1123">
        <v>0.64</v>
      </c>
      <c r="K1123">
        <v>0</v>
      </c>
      <c r="L1123">
        <v>0</v>
      </c>
      <c r="M1123">
        <v>1</v>
      </c>
      <c r="N1123">
        <v>0</v>
      </c>
      <c r="O1123">
        <v>0</v>
      </c>
      <c r="P1123">
        <v>0</v>
      </c>
      <c r="Q1123">
        <v>0</v>
      </c>
      <c r="R1123">
        <v>0</v>
      </c>
      <c r="S1123">
        <v>0</v>
      </c>
      <c r="T1123">
        <v>0</v>
      </c>
      <c r="U1123">
        <v>0</v>
      </c>
      <c r="V1123">
        <v>0</v>
      </c>
      <c r="W1123">
        <v>0</v>
      </c>
      <c r="X1123">
        <v>0</v>
      </c>
      <c r="Y1123">
        <v>0</v>
      </c>
      <c r="Z1123">
        <v>0</v>
      </c>
      <c r="AA1123">
        <v>0</v>
      </c>
      <c r="AB1123">
        <v>0</v>
      </c>
      <c r="AC1123">
        <v>1</v>
      </c>
      <c r="AD1123">
        <v>0</v>
      </c>
      <c r="AE1123">
        <v>0</v>
      </c>
      <c r="AF1123">
        <v>0</v>
      </c>
      <c r="AG1123">
        <v>1</v>
      </c>
      <c r="AH1123" s="86">
        <f>AVERAGEIFS($C$2:C1123, $B$2:B1123, B1123)</f>
        <v>20.097560975609756</v>
      </c>
      <c r="AI1123" s="86">
        <f>AVERAGEIFS($I$2:I1123, $B$2:B1123, B1123)</f>
        <v>0.55902439024390249</v>
      </c>
      <c r="AJ1123" s="86">
        <f>AVERAGEIFS($J$2:J1123, $B$2:B1123, B1123)</f>
        <v>0.50682926829268304</v>
      </c>
      <c r="AK1123" s="86">
        <f>AVERAGEIFS($D$2:D1123, $B$2:B1123, B1123)</f>
        <v>0.58536585365853655</v>
      </c>
    </row>
    <row r="1124" spans="1:37" x14ac:dyDescent="0.25">
      <c r="A1124" s="85">
        <v>46157</v>
      </c>
      <c r="B1124" t="s">
        <v>115</v>
      </c>
      <c r="C1124">
        <v>24</v>
      </c>
      <c r="D1124">
        <v>0</v>
      </c>
      <c r="E1124">
        <v>5</v>
      </c>
      <c r="F1124">
        <v>2</v>
      </c>
      <c r="G1124">
        <v>21</v>
      </c>
      <c r="H1124">
        <v>9</v>
      </c>
      <c r="I1124">
        <v>0.4</v>
      </c>
      <c r="J1124">
        <v>0.43</v>
      </c>
      <c r="K1124">
        <v>0</v>
      </c>
      <c r="L1124">
        <v>0</v>
      </c>
      <c r="M1124">
        <v>0</v>
      </c>
      <c r="N1124">
        <v>1</v>
      </c>
      <c r="O1124">
        <v>0</v>
      </c>
      <c r="P1124">
        <v>0</v>
      </c>
      <c r="Q1124">
        <v>0</v>
      </c>
      <c r="R1124">
        <v>0</v>
      </c>
      <c r="S1124">
        <v>0</v>
      </c>
      <c r="T1124">
        <v>0</v>
      </c>
      <c r="U1124">
        <v>0</v>
      </c>
      <c r="V1124">
        <v>0</v>
      </c>
      <c r="W1124">
        <v>0</v>
      </c>
      <c r="X1124">
        <v>0</v>
      </c>
      <c r="Y1124">
        <v>0</v>
      </c>
      <c r="Z1124">
        <v>0</v>
      </c>
      <c r="AA1124">
        <v>0</v>
      </c>
      <c r="AB1124">
        <v>0</v>
      </c>
      <c r="AC1124">
        <v>0</v>
      </c>
      <c r="AD1124">
        <v>0</v>
      </c>
      <c r="AE1124">
        <v>0</v>
      </c>
      <c r="AF1124">
        <v>0</v>
      </c>
      <c r="AG1124">
        <v>1</v>
      </c>
      <c r="AH1124" s="86">
        <f>AVERAGEIFS($C$2:C1124, $B$2:B1124, B1124)</f>
        <v>14</v>
      </c>
      <c r="AI1124" s="86">
        <f>AVERAGEIFS($I$2:I1124, $B$2:B1124, B1124)</f>
        <v>0.40499999999999997</v>
      </c>
      <c r="AJ1124" s="86">
        <f>AVERAGEIFS($J$2:J1124, $B$2:B1124, B1124)</f>
        <v>0.46099999999999997</v>
      </c>
      <c r="AK1124" s="86">
        <f>AVERAGEIFS($D$2:D1124, $B$2:B1124, B1124)</f>
        <v>0.3</v>
      </c>
    </row>
    <row r="1125" spans="1:37" x14ac:dyDescent="0.25">
      <c r="A1125" s="85">
        <v>46157</v>
      </c>
      <c r="B1125" t="s">
        <v>179</v>
      </c>
      <c r="C1125">
        <v>26</v>
      </c>
      <c r="D1125">
        <v>0</v>
      </c>
      <c r="E1125">
        <v>5</v>
      </c>
      <c r="F1125">
        <v>2</v>
      </c>
      <c r="G1125">
        <v>21</v>
      </c>
      <c r="H1125">
        <v>9</v>
      </c>
      <c r="I1125">
        <v>0.4</v>
      </c>
      <c r="J1125">
        <v>0.43</v>
      </c>
      <c r="K1125">
        <v>0</v>
      </c>
      <c r="L1125">
        <v>0</v>
      </c>
      <c r="M1125">
        <v>0</v>
      </c>
      <c r="N1125">
        <v>1</v>
      </c>
      <c r="O1125">
        <v>0</v>
      </c>
      <c r="P1125">
        <v>0</v>
      </c>
      <c r="Q1125">
        <v>0</v>
      </c>
      <c r="R1125">
        <v>0</v>
      </c>
      <c r="S1125">
        <v>0</v>
      </c>
      <c r="T1125">
        <v>0</v>
      </c>
      <c r="U1125">
        <v>0</v>
      </c>
      <c r="V1125">
        <v>0</v>
      </c>
      <c r="W1125">
        <v>0</v>
      </c>
      <c r="X1125">
        <v>0</v>
      </c>
      <c r="Y1125">
        <v>0</v>
      </c>
      <c r="Z1125">
        <v>0</v>
      </c>
      <c r="AA1125">
        <v>0</v>
      </c>
      <c r="AB1125">
        <v>0</v>
      </c>
      <c r="AC1125">
        <v>0</v>
      </c>
      <c r="AD1125">
        <v>0</v>
      </c>
      <c r="AE1125">
        <v>0</v>
      </c>
      <c r="AF1125">
        <v>0</v>
      </c>
      <c r="AG1125">
        <v>1</v>
      </c>
      <c r="AH1125" s="86">
        <f>AVERAGEIFS($C$2:C1125, $B$2:B1125, B1125)</f>
        <v>17.666666666666668</v>
      </c>
      <c r="AI1125" s="86">
        <f>AVERAGEIFS($I$2:I1125, $B$2:B1125, B1125)</f>
        <v>0.49166666666666664</v>
      </c>
      <c r="AJ1125" s="86">
        <f>AVERAGEIFS($J$2:J1125, $B$2:B1125, B1125)</f>
        <v>0.51</v>
      </c>
      <c r="AK1125" s="86">
        <f>AVERAGEIFS($D$2:D1125, $B$2:B1125, B1125)</f>
        <v>0.33333333333333331</v>
      </c>
    </row>
    <row r="1126" spans="1:37" x14ac:dyDescent="0.25">
      <c r="A1126" s="85">
        <v>46157</v>
      </c>
      <c r="B1126" t="s">
        <v>40</v>
      </c>
      <c r="C1126">
        <v>14</v>
      </c>
      <c r="D1126">
        <v>0</v>
      </c>
      <c r="E1126">
        <v>5</v>
      </c>
      <c r="F1126">
        <v>2</v>
      </c>
      <c r="G1126">
        <v>21</v>
      </c>
      <c r="H1126">
        <v>9</v>
      </c>
      <c r="I1126">
        <v>0.4</v>
      </c>
      <c r="J1126">
        <v>0.43</v>
      </c>
      <c r="K1126">
        <v>0</v>
      </c>
      <c r="L1126">
        <v>0</v>
      </c>
      <c r="M1126">
        <v>0</v>
      </c>
      <c r="N1126">
        <v>1</v>
      </c>
      <c r="O1126">
        <v>0</v>
      </c>
      <c r="P1126">
        <v>0</v>
      </c>
      <c r="Q1126">
        <v>0</v>
      </c>
      <c r="R1126">
        <v>0</v>
      </c>
      <c r="S1126">
        <v>0</v>
      </c>
      <c r="T1126">
        <v>0</v>
      </c>
      <c r="U1126">
        <v>0</v>
      </c>
      <c r="V1126">
        <v>0</v>
      </c>
      <c r="W1126">
        <v>0</v>
      </c>
      <c r="X1126">
        <v>0</v>
      </c>
      <c r="Y1126">
        <v>0</v>
      </c>
      <c r="Z1126">
        <v>0</v>
      </c>
      <c r="AA1126">
        <v>0</v>
      </c>
      <c r="AB1126">
        <v>0</v>
      </c>
      <c r="AC1126">
        <v>0</v>
      </c>
      <c r="AD1126">
        <v>0</v>
      </c>
      <c r="AE1126">
        <v>0</v>
      </c>
      <c r="AF1126">
        <v>0</v>
      </c>
      <c r="AG1126">
        <v>1</v>
      </c>
      <c r="AH1126" s="86">
        <f>AVERAGEIFS($C$2:C1126, $B$2:B1126, B1126)</f>
        <v>18.323529411764707</v>
      </c>
      <c r="AI1126" s="86">
        <f>AVERAGEIFS($I$2:I1126, $B$2:B1126, B1126)</f>
        <v>0.4735294117647057</v>
      </c>
      <c r="AJ1126" s="86">
        <f>AVERAGEIFS($J$2:J1126, $B$2:B1126, B1126)</f>
        <v>0.48014705882352948</v>
      </c>
      <c r="AK1126" s="86">
        <f>AVERAGEIFS($D$2:D1126, $B$2:B1126, B1126)</f>
        <v>0.41176470588235292</v>
      </c>
    </row>
    <row r="1127" spans="1:37" x14ac:dyDescent="0.25">
      <c r="A1127" s="85">
        <v>46157</v>
      </c>
      <c r="B1127" t="s">
        <v>113</v>
      </c>
      <c r="C1127">
        <v>26</v>
      </c>
      <c r="D1127">
        <v>0</v>
      </c>
      <c r="E1127">
        <v>5</v>
      </c>
      <c r="F1127">
        <v>2</v>
      </c>
      <c r="G1127">
        <v>21</v>
      </c>
      <c r="H1127">
        <v>9</v>
      </c>
      <c r="I1127">
        <v>0.4</v>
      </c>
      <c r="J1127">
        <v>0.43</v>
      </c>
      <c r="K1127">
        <v>0</v>
      </c>
      <c r="L1127">
        <v>0</v>
      </c>
      <c r="M1127">
        <v>0</v>
      </c>
      <c r="N1127">
        <v>1</v>
      </c>
      <c r="O1127">
        <v>0</v>
      </c>
      <c r="P1127">
        <v>0</v>
      </c>
      <c r="Q1127">
        <v>0</v>
      </c>
      <c r="R1127">
        <v>0</v>
      </c>
      <c r="S1127">
        <v>0</v>
      </c>
      <c r="T1127">
        <v>0</v>
      </c>
      <c r="U1127">
        <v>0</v>
      </c>
      <c r="V1127">
        <v>0</v>
      </c>
      <c r="W1127">
        <v>0</v>
      </c>
      <c r="X1127">
        <v>0</v>
      </c>
      <c r="Y1127">
        <v>0</v>
      </c>
      <c r="Z1127">
        <v>0</v>
      </c>
      <c r="AA1127">
        <v>0</v>
      </c>
      <c r="AB1127">
        <v>0</v>
      </c>
      <c r="AC1127">
        <v>0</v>
      </c>
      <c r="AD1127">
        <v>0</v>
      </c>
      <c r="AE1127">
        <v>0</v>
      </c>
      <c r="AF1127">
        <v>0</v>
      </c>
      <c r="AG1127">
        <v>1</v>
      </c>
      <c r="AH1127" s="86">
        <f>AVERAGEIFS($C$2:C1127, $B$2:B1127, B1127)</f>
        <v>18</v>
      </c>
      <c r="AI1127" s="86">
        <f>AVERAGEIFS($I$2:I1127, $B$2:B1127, B1127)</f>
        <v>0.54186046511627894</v>
      </c>
      <c r="AJ1127" s="86">
        <f>AVERAGEIFS($J$2:J1127, $B$2:B1127, B1127)</f>
        <v>0.5197674418604652</v>
      </c>
      <c r="AK1127" s="86">
        <f>AVERAGEIFS($D$2:D1127, $B$2:B1127, B1127)</f>
        <v>0.48837209302325579</v>
      </c>
    </row>
    <row r="1128" spans="1:37" x14ac:dyDescent="0.25">
      <c r="A1128" s="85">
        <v>46157</v>
      </c>
      <c r="B1128" t="s">
        <v>140</v>
      </c>
      <c r="C1128">
        <v>5</v>
      </c>
      <c r="D1128">
        <v>0</v>
      </c>
      <c r="E1128">
        <v>5</v>
      </c>
      <c r="F1128">
        <v>2</v>
      </c>
      <c r="G1128">
        <v>21</v>
      </c>
      <c r="H1128">
        <v>9</v>
      </c>
      <c r="I1128">
        <v>0.4</v>
      </c>
      <c r="J1128">
        <v>0.43</v>
      </c>
      <c r="K1128">
        <v>0</v>
      </c>
      <c r="L1128">
        <v>0</v>
      </c>
      <c r="M1128">
        <v>0</v>
      </c>
      <c r="N1128">
        <v>1</v>
      </c>
      <c r="O1128">
        <v>0</v>
      </c>
      <c r="P1128">
        <v>0</v>
      </c>
      <c r="Q1128">
        <v>0</v>
      </c>
      <c r="R1128">
        <v>0</v>
      </c>
      <c r="S1128">
        <v>0</v>
      </c>
      <c r="T1128">
        <v>0</v>
      </c>
      <c r="U1128">
        <v>0</v>
      </c>
      <c r="V1128">
        <v>0</v>
      </c>
      <c r="W1128">
        <v>0</v>
      </c>
      <c r="X1128">
        <v>0</v>
      </c>
      <c r="Y1128">
        <v>0</v>
      </c>
      <c r="Z1128">
        <v>0</v>
      </c>
      <c r="AA1128">
        <v>0</v>
      </c>
      <c r="AB1128">
        <v>0</v>
      </c>
      <c r="AC1128">
        <v>0</v>
      </c>
      <c r="AD1128">
        <v>0</v>
      </c>
      <c r="AE1128">
        <v>0</v>
      </c>
      <c r="AF1128">
        <v>0</v>
      </c>
      <c r="AG1128">
        <v>1</v>
      </c>
      <c r="AH1128" s="86">
        <f>AVERAGEIFS($C$2:C1128, $B$2:B1128, B1128)</f>
        <v>12.833333333333334</v>
      </c>
      <c r="AI1128" s="86">
        <f>AVERAGEIFS($I$2:I1128, $B$2:B1128, B1128)</f>
        <v>0.53611111111111109</v>
      </c>
      <c r="AJ1128" s="86">
        <f>AVERAGEIFS($J$2:J1128, $B$2:B1128, B1128)</f>
        <v>0.50888888888888884</v>
      </c>
      <c r="AK1128" s="86">
        <f>AVERAGEIFS($D$2:D1128, $B$2:B1128, B1128)</f>
        <v>0.55555555555555558</v>
      </c>
    </row>
    <row r="1129" spans="1:37" x14ac:dyDescent="0.25">
      <c r="A1129" s="85">
        <v>46157</v>
      </c>
      <c r="B1129" t="s">
        <v>71</v>
      </c>
      <c r="C1129">
        <v>29</v>
      </c>
      <c r="D1129">
        <v>0</v>
      </c>
      <c r="E1129">
        <v>5</v>
      </c>
      <c r="F1129">
        <v>2</v>
      </c>
      <c r="G1129">
        <v>21</v>
      </c>
      <c r="H1129">
        <v>9</v>
      </c>
      <c r="I1129">
        <v>0.4</v>
      </c>
      <c r="J1129">
        <v>0.43</v>
      </c>
      <c r="K1129">
        <v>0</v>
      </c>
      <c r="L1129">
        <v>0</v>
      </c>
      <c r="M1129">
        <v>0</v>
      </c>
      <c r="N1129">
        <v>1</v>
      </c>
      <c r="O1129">
        <v>0</v>
      </c>
      <c r="P1129">
        <v>0</v>
      </c>
      <c r="Q1129">
        <v>0</v>
      </c>
      <c r="R1129">
        <v>0</v>
      </c>
      <c r="S1129">
        <v>0</v>
      </c>
      <c r="T1129">
        <v>0</v>
      </c>
      <c r="U1129">
        <v>0</v>
      </c>
      <c r="V1129">
        <v>0</v>
      </c>
      <c r="W1129">
        <v>0</v>
      </c>
      <c r="X1129">
        <v>0</v>
      </c>
      <c r="Y1129">
        <v>0</v>
      </c>
      <c r="Z1129">
        <v>0</v>
      </c>
      <c r="AA1129">
        <v>0</v>
      </c>
      <c r="AB1129">
        <v>0</v>
      </c>
      <c r="AC1129">
        <v>0</v>
      </c>
      <c r="AD1129">
        <v>0</v>
      </c>
      <c r="AE1129">
        <v>0</v>
      </c>
      <c r="AF1129">
        <v>0</v>
      </c>
      <c r="AG1129">
        <v>1</v>
      </c>
      <c r="AH1129" s="86">
        <f>AVERAGEIFS($C$2:C1129, $B$2:B1129, B1129)</f>
        <v>13.15625</v>
      </c>
      <c r="AI1129" s="86">
        <f>AVERAGEIFS($I$2:I1129, $B$2:B1129, B1129)</f>
        <v>0.44687500000000002</v>
      </c>
      <c r="AJ1129" s="86">
        <f>AVERAGEIFS($J$2:J1129, $B$2:B1129, B1129)</f>
        <v>0.46874999999999994</v>
      </c>
      <c r="AK1129" s="86">
        <f>AVERAGEIFS($D$2:D1129, $B$2:B1129, B1129)</f>
        <v>0.46875</v>
      </c>
    </row>
    <row r="1130" spans="1:37" x14ac:dyDescent="0.25">
      <c r="A1130" s="85">
        <v>46157</v>
      </c>
      <c r="B1130" t="s">
        <v>150</v>
      </c>
      <c r="C1130">
        <v>19</v>
      </c>
      <c r="D1130">
        <v>0</v>
      </c>
      <c r="E1130">
        <v>5</v>
      </c>
      <c r="F1130">
        <v>2</v>
      </c>
      <c r="G1130">
        <v>21</v>
      </c>
      <c r="H1130">
        <v>9</v>
      </c>
      <c r="I1130">
        <v>0.4</v>
      </c>
      <c r="J1130">
        <v>0.43</v>
      </c>
      <c r="K1130">
        <v>0</v>
      </c>
      <c r="L1130">
        <v>0</v>
      </c>
      <c r="M1130">
        <v>0</v>
      </c>
      <c r="N1130">
        <v>1</v>
      </c>
      <c r="O1130">
        <v>0</v>
      </c>
      <c r="P1130">
        <v>0</v>
      </c>
      <c r="Q1130">
        <v>0</v>
      </c>
      <c r="R1130">
        <v>0</v>
      </c>
      <c r="S1130">
        <v>0</v>
      </c>
      <c r="T1130">
        <v>0</v>
      </c>
      <c r="U1130">
        <v>0</v>
      </c>
      <c r="V1130">
        <v>0</v>
      </c>
      <c r="W1130">
        <v>0</v>
      </c>
      <c r="X1130">
        <v>0</v>
      </c>
      <c r="Y1130">
        <v>0</v>
      </c>
      <c r="Z1130">
        <v>0</v>
      </c>
      <c r="AA1130">
        <v>0</v>
      </c>
      <c r="AB1130">
        <v>0</v>
      </c>
      <c r="AC1130">
        <v>0</v>
      </c>
      <c r="AD1130">
        <v>0</v>
      </c>
      <c r="AE1130">
        <v>0</v>
      </c>
      <c r="AF1130">
        <v>0</v>
      </c>
      <c r="AG1130">
        <v>1</v>
      </c>
      <c r="AH1130" s="86">
        <f>AVERAGEIFS($C$2:C1130, $B$2:B1130, B1130)</f>
        <v>18.208333333333332</v>
      </c>
      <c r="AI1130" s="86">
        <f>AVERAGEIFS($I$2:I1130, $B$2:B1130, B1130)</f>
        <v>0.58124999999999993</v>
      </c>
      <c r="AJ1130" s="86">
        <f>AVERAGEIFS($J$2:J1130, $B$2:B1130, B1130)</f>
        <v>0.56625000000000003</v>
      </c>
      <c r="AK1130" s="86">
        <f>AVERAGEIFS($D$2:D1130, $B$2:B1130, B1130)</f>
        <v>0.58333333333333337</v>
      </c>
    </row>
    <row r="1131" spans="1:37" x14ac:dyDescent="0.25">
      <c r="A1131" s="85">
        <v>46157</v>
      </c>
      <c r="B1131" t="s">
        <v>42</v>
      </c>
      <c r="C1131">
        <v>20</v>
      </c>
      <c r="D1131">
        <v>1</v>
      </c>
      <c r="E1131">
        <v>5</v>
      </c>
      <c r="F1131">
        <v>3</v>
      </c>
      <c r="G1131">
        <v>21</v>
      </c>
      <c r="H1131">
        <v>12</v>
      </c>
      <c r="I1131">
        <v>0.6</v>
      </c>
      <c r="J1131">
        <v>0.56999999999999995</v>
      </c>
      <c r="K1131">
        <v>1</v>
      </c>
      <c r="L1131">
        <v>0</v>
      </c>
      <c r="M1131">
        <v>0</v>
      </c>
      <c r="N1131">
        <v>0</v>
      </c>
      <c r="O1131">
        <v>0</v>
      </c>
      <c r="P1131">
        <v>0</v>
      </c>
      <c r="Q1131">
        <v>0</v>
      </c>
      <c r="R1131">
        <v>0</v>
      </c>
      <c r="S1131">
        <v>0</v>
      </c>
      <c r="T1131">
        <v>0</v>
      </c>
      <c r="U1131">
        <v>0</v>
      </c>
      <c r="V1131">
        <v>0</v>
      </c>
      <c r="W1131">
        <v>0</v>
      </c>
      <c r="X1131">
        <v>0</v>
      </c>
      <c r="Y1131">
        <v>0</v>
      </c>
      <c r="Z1131">
        <v>0</v>
      </c>
      <c r="AA1131">
        <v>0</v>
      </c>
      <c r="AB1131">
        <v>0</v>
      </c>
      <c r="AC1131">
        <v>1</v>
      </c>
      <c r="AD1131">
        <v>1</v>
      </c>
      <c r="AE1131">
        <v>0</v>
      </c>
      <c r="AF1131">
        <v>0</v>
      </c>
      <c r="AG1131">
        <v>0</v>
      </c>
      <c r="AH1131" s="86">
        <f>AVERAGEIFS($C$2:C1131, $B$2:B1131, B1131)</f>
        <v>17.78</v>
      </c>
      <c r="AI1131" s="86">
        <f>AVERAGEIFS($I$2:I1131, $B$2:B1131, B1131)</f>
        <v>0.46400000000000008</v>
      </c>
      <c r="AJ1131" s="86">
        <f>AVERAGEIFS($J$2:J1131, $B$2:B1131, B1131)</f>
        <v>0.46039999999999986</v>
      </c>
      <c r="AK1131" s="86">
        <f>AVERAGEIFS($D$2:D1131, $B$2:B1131, B1131)</f>
        <v>0.48</v>
      </c>
    </row>
    <row r="1132" spans="1:37" x14ac:dyDescent="0.25">
      <c r="A1132" s="85">
        <v>46157</v>
      </c>
      <c r="B1132" t="s">
        <v>146</v>
      </c>
      <c r="C1132">
        <v>21</v>
      </c>
      <c r="D1132">
        <v>1</v>
      </c>
      <c r="E1132">
        <v>5</v>
      </c>
      <c r="F1132">
        <v>3</v>
      </c>
      <c r="G1132">
        <v>21</v>
      </c>
      <c r="H1132">
        <v>12</v>
      </c>
      <c r="I1132">
        <v>0.6</v>
      </c>
      <c r="J1132">
        <v>0.56999999999999995</v>
      </c>
      <c r="K1132">
        <v>1</v>
      </c>
      <c r="L1132">
        <v>0</v>
      </c>
      <c r="M1132">
        <v>0</v>
      </c>
      <c r="N1132">
        <v>0</v>
      </c>
      <c r="O1132">
        <v>0</v>
      </c>
      <c r="P1132">
        <v>0</v>
      </c>
      <c r="Q1132">
        <v>0</v>
      </c>
      <c r="R1132">
        <v>0</v>
      </c>
      <c r="S1132">
        <v>0</v>
      </c>
      <c r="T1132">
        <v>0</v>
      </c>
      <c r="U1132">
        <v>0</v>
      </c>
      <c r="V1132">
        <v>0</v>
      </c>
      <c r="W1132">
        <v>0</v>
      </c>
      <c r="X1132">
        <v>0</v>
      </c>
      <c r="Y1132">
        <v>0</v>
      </c>
      <c r="Z1132">
        <v>0</v>
      </c>
      <c r="AA1132">
        <v>0</v>
      </c>
      <c r="AB1132">
        <v>0</v>
      </c>
      <c r="AC1132">
        <v>1</v>
      </c>
      <c r="AD1132">
        <v>1</v>
      </c>
      <c r="AE1132">
        <v>0</v>
      </c>
      <c r="AF1132">
        <v>0</v>
      </c>
      <c r="AG1132">
        <v>0</v>
      </c>
      <c r="AH1132" s="86">
        <f>AVERAGEIFS($C$2:C1132, $B$2:B1132, B1132)</f>
        <v>10.111111111111111</v>
      </c>
      <c r="AI1132" s="86">
        <f>AVERAGEIFS($I$2:I1132, $B$2:B1132, B1132)</f>
        <v>0.26111111111111113</v>
      </c>
      <c r="AJ1132" s="86">
        <f>AVERAGEIFS($J$2:J1132, $B$2:B1132, B1132)</f>
        <v>0.3644444444444444</v>
      </c>
      <c r="AK1132" s="86">
        <f>AVERAGEIFS($D$2:D1132, $B$2:B1132, B1132)</f>
        <v>0.22222222222222221</v>
      </c>
    </row>
    <row r="1133" spans="1:37" x14ac:dyDescent="0.25">
      <c r="A1133" s="85">
        <v>46157</v>
      </c>
      <c r="B1133" t="s">
        <v>6</v>
      </c>
      <c r="C1133">
        <v>42</v>
      </c>
      <c r="D1133">
        <v>1</v>
      </c>
      <c r="E1133">
        <v>5</v>
      </c>
      <c r="F1133">
        <v>3</v>
      </c>
      <c r="G1133">
        <v>21</v>
      </c>
      <c r="H1133">
        <v>12</v>
      </c>
      <c r="I1133">
        <v>0.6</v>
      </c>
      <c r="J1133">
        <v>0.56999999999999995</v>
      </c>
      <c r="K1133">
        <v>1</v>
      </c>
      <c r="L1133">
        <v>0</v>
      </c>
      <c r="M1133">
        <v>0</v>
      </c>
      <c r="N1133">
        <v>0</v>
      </c>
      <c r="O1133">
        <v>0</v>
      </c>
      <c r="P1133">
        <v>0</v>
      </c>
      <c r="Q1133">
        <v>0</v>
      </c>
      <c r="R1133">
        <v>0</v>
      </c>
      <c r="S1133">
        <v>0</v>
      </c>
      <c r="T1133">
        <v>0</v>
      </c>
      <c r="U1133">
        <v>0</v>
      </c>
      <c r="V1133">
        <v>0</v>
      </c>
      <c r="W1133">
        <v>0</v>
      </c>
      <c r="X1133">
        <v>0</v>
      </c>
      <c r="Y1133">
        <v>0</v>
      </c>
      <c r="Z1133">
        <v>0</v>
      </c>
      <c r="AA1133">
        <v>0</v>
      </c>
      <c r="AB1133">
        <v>0</v>
      </c>
      <c r="AC1133">
        <v>1</v>
      </c>
      <c r="AD1133">
        <v>1</v>
      </c>
      <c r="AE1133">
        <v>0</v>
      </c>
      <c r="AF1133">
        <v>0</v>
      </c>
      <c r="AG1133">
        <v>0</v>
      </c>
      <c r="AH1133" s="86">
        <f>AVERAGEIFS($C$2:C1133, $B$2:B1133, B1133)</f>
        <v>22.863013698630137</v>
      </c>
      <c r="AI1133" s="86">
        <f>AVERAGEIFS($I$2:I1133, $B$2:B1133, B1133)</f>
        <v>0.56205479452054807</v>
      </c>
      <c r="AJ1133" s="86">
        <f>AVERAGEIFS($J$2:J1133, $B$2:B1133, B1133)</f>
        <v>0.53273972602739716</v>
      </c>
      <c r="AK1133" s="86">
        <f>AVERAGEIFS($D$2:D1133, $B$2:B1133, B1133)</f>
        <v>0.63013698630136983</v>
      </c>
    </row>
    <row r="1134" spans="1:37" x14ac:dyDescent="0.25">
      <c r="A1134" s="85">
        <v>46157</v>
      </c>
      <c r="B1134" t="s">
        <v>141</v>
      </c>
      <c r="C1134">
        <v>33</v>
      </c>
      <c r="D1134">
        <v>1</v>
      </c>
      <c r="E1134">
        <v>5</v>
      </c>
      <c r="F1134">
        <v>3</v>
      </c>
      <c r="G1134">
        <v>21</v>
      </c>
      <c r="H1134">
        <v>12</v>
      </c>
      <c r="I1134">
        <v>0.6</v>
      </c>
      <c r="J1134">
        <v>0.56999999999999995</v>
      </c>
      <c r="K1134">
        <v>1</v>
      </c>
      <c r="L1134">
        <v>0</v>
      </c>
      <c r="M1134">
        <v>0</v>
      </c>
      <c r="N1134">
        <v>0</v>
      </c>
      <c r="O1134">
        <v>0</v>
      </c>
      <c r="P1134">
        <v>0</v>
      </c>
      <c r="Q1134">
        <v>0</v>
      </c>
      <c r="R1134">
        <v>0</v>
      </c>
      <c r="S1134">
        <v>0</v>
      </c>
      <c r="T1134">
        <v>0</v>
      </c>
      <c r="U1134">
        <v>0</v>
      </c>
      <c r="V1134">
        <v>0</v>
      </c>
      <c r="W1134">
        <v>0</v>
      </c>
      <c r="X1134">
        <v>0</v>
      </c>
      <c r="Y1134">
        <v>0</v>
      </c>
      <c r="Z1134">
        <v>0</v>
      </c>
      <c r="AA1134">
        <v>0</v>
      </c>
      <c r="AB1134">
        <v>0</v>
      </c>
      <c r="AC1134">
        <v>1</v>
      </c>
      <c r="AD1134">
        <v>1</v>
      </c>
      <c r="AE1134">
        <v>0</v>
      </c>
      <c r="AF1134">
        <v>0</v>
      </c>
      <c r="AG1134">
        <v>0</v>
      </c>
      <c r="AH1134" s="86">
        <f>AVERAGEIFS($C$2:C1134, $B$2:B1134, B1134)</f>
        <v>16.095238095238095</v>
      </c>
      <c r="AI1134" s="86">
        <f>AVERAGEIFS($I$2:I1134, $B$2:B1134, B1134)</f>
        <v>0.5</v>
      </c>
      <c r="AJ1134" s="86">
        <f>AVERAGEIFS($J$2:J1134, $B$2:B1134, B1134)</f>
        <v>0.5128571428571429</v>
      </c>
      <c r="AK1134" s="86">
        <f>AVERAGEIFS($D$2:D1134, $B$2:B1134, B1134)</f>
        <v>0.61904761904761907</v>
      </c>
    </row>
    <row r="1135" spans="1:37" x14ac:dyDescent="0.25">
      <c r="A1135" s="85">
        <v>46157</v>
      </c>
      <c r="B1135" t="s">
        <v>148</v>
      </c>
      <c r="C1135">
        <v>15</v>
      </c>
      <c r="D1135">
        <v>1</v>
      </c>
      <c r="E1135">
        <v>5</v>
      </c>
      <c r="F1135">
        <v>3</v>
      </c>
      <c r="G1135">
        <v>21</v>
      </c>
      <c r="H1135">
        <v>12</v>
      </c>
      <c r="I1135">
        <v>0.6</v>
      </c>
      <c r="J1135">
        <v>0.56999999999999995</v>
      </c>
      <c r="K1135">
        <v>1</v>
      </c>
      <c r="L1135">
        <v>0</v>
      </c>
      <c r="M1135">
        <v>0</v>
      </c>
      <c r="N1135">
        <v>0</v>
      </c>
      <c r="O1135">
        <v>0</v>
      </c>
      <c r="P1135">
        <v>0</v>
      </c>
      <c r="Q1135">
        <v>0</v>
      </c>
      <c r="R1135">
        <v>0</v>
      </c>
      <c r="S1135">
        <v>0</v>
      </c>
      <c r="T1135">
        <v>0</v>
      </c>
      <c r="U1135">
        <v>0</v>
      </c>
      <c r="V1135">
        <v>0</v>
      </c>
      <c r="W1135">
        <v>0</v>
      </c>
      <c r="X1135">
        <v>0</v>
      </c>
      <c r="Y1135">
        <v>0</v>
      </c>
      <c r="Z1135">
        <v>0</v>
      </c>
      <c r="AA1135">
        <v>0</v>
      </c>
      <c r="AB1135">
        <v>0</v>
      </c>
      <c r="AC1135">
        <v>1</v>
      </c>
      <c r="AD1135">
        <v>1</v>
      </c>
      <c r="AE1135">
        <v>0</v>
      </c>
      <c r="AF1135">
        <v>0</v>
      </c>
      <c r="AG1135">
        <v>0</v>
      </c>
      <c r="AH1135" s="86">
        <f>AVERAGEIFS($C$2:C1135, $B$2:B1135, B1135)</f>
        <v>8</v>
      </c>
      <c r="AI1135" s="86">
        <f>AVERAGEIFS($I$2:I1135, $B$2:B1135, B1135)</f>
        <v>0.4</v>
      </c>
      <c r="AJ1135" s="86">
        <f>AVERAGEIFS($J$2:J1135, $B$2:B1135, B1135)</f>
        <v>0.47750000000000004</v>
      </c>
      <c r="AK1135" s="86">
        <f>AVERAGEIFS($D$2:D1135, $B$2:B1135, B1135)</f>
        <v>0.5</v>
      </c>
    </row>
    <row r="1136" spans="1:37" x14ac:dyDescent="0.25">
      <c r="A1136" s="85">
        <v>46157</v>
      </c>
      <c r="B1136" t="s">
        <v>147</v>
      </c>
      <c r="C1136">
        <v>28</v>
      </c>
      <c r="D1136">
        <v>1</v>
      </c>
      <c r="E1136">
        <v>5</v>
      </c>
      <c r="F1136">
        <v>3</v>
      </c>
      <c r="G1136">
        <v>21</v>
      </c>
      <c r="H1136">
        <v>12</v>
      </c>
      <c r="I1136">
        <v>0.6</v>
      </c>
      <c r="J1136">
        <v>0.56999999999999995</v>
      </c>
      <c r="K1136">
        <v>1</v>
      </c>
      <c r="L1136">
        <v>0</v>
      </c>
      <c r="M1136">
        <v>0</v>
      </c>
      <c r="N1136">
        <v>0</v>
      </c>
      <c r="O1136">
        <v>0</v>
      </c>
      <c r="P1136">
        <v>0</v>
      </c>
      <c r="Q1136">
        <v>0</v>
      </c>
      <c r="R1136">
        <v>0</v>
      </c>
      <c r="S1136">
        <v>0</v>
      </c>
      <c r="T1136">
        <v>0</v>
      </c>
      <c r="U1136">
        <v>0</v>
      </c>
      <c r="V1136">
        <v>0</v>
      </c>
      <c r="W1136">
        <v>0</v>
      </c>
      <c r="X1136">
        <v>0</v>
      </c>
      <c r="Y1136">
        <v>0</v>
      </c>
      <c r="Z1136">
        <v>0</v>
      </c>
      <c r="AA1136">
        <v>0</v>
      </c>
      <c r="AB1136">
        <v>0</v>
      </c>
      <c r="AC1136">
        <v>1</v>
      </c>
      <c r="AD1136">
        <v>1</v>
      </c>
      <c r="AE1136">
        <v>0</v>
      </c>
      <c r="AF1136">
        <v>0</v>
      </c>
      <c r="AG1136">
        <v>0</v>
      </c>
      <c r="AH1136" s="86">
        <f>AVERAGEIFS($C$2:C1136, $B$2:B1136, B1136)</f>
        <v>13.411764705882353</v>
      </c>
      <c r="AI1136" s="86">
        <f>AVERAGEIFS($I$2:I1136, $B$2:B1136, B1136)</f>
        <v>0.56617647058823528</v>
      </c>
      <c r="AJ1136" s="86">
        <f>AVERAGEIFS($J$2:J1136, $B$2:B1136, B1136)</f>
        <v>0.53588235294117659</v>
      </c>
      <c r="AK1136" s="86">
        <f>AVERAGEIFS($D$2:D1136, $B$2:B1136, B1136)</f>
        <v>0.52941176470588236</v>
      </c>
    </row>
    <row r="1137" spans="1:37" x14ac:dyDescent="0.25">
      <c r="A1137" s="85">
        <v>46157</v>
      </c>
      <c r="B1137" t="s">
        <v>42</v>
      </c>
      <c r="C1137">
        <v>22</v>
      </c>
      <c r="D1137">
        <v>1</v>
      </c>
      <c r="E1137">
        <v>5</v>
      </c>
      <c r="F1137">
        <v>3</v>
      </c>
      <c r="G1137">
        <v>21</v>
      </c>
      <c r="H1137">
        <v>11</v>
      </c>
      <c r="I1137">
        <v>0.6</v>
      </c>
      <c r="J1137">
        <v>0.52</v>
      </c>
      <c r="K1137">
        <v>1</v>
      </c>
      <c r="L1137">
        <v>0</v>
      </c>
      <c r="M1137">
        <v>0</v>
      </c>
      <c r="N1137">
        <v>0</v>
      </c>
      <c r="O1137">
        <v>0</v>
      </c>
      <c r="P1137">
        <v>0</v>
      </c>
      <c r="Q1137">
        <v>0</v>
      </c>
      <c r="R1137">
        <v>0</v>
      </c>
      <c r="S1137">
        <v>0</v>
      </c>
      <c r="T1137">
        <v>0</v>
      </c>
      <c r="U1137">
        <v>0</v>
      </c>
      <c r="V1137">
        <v>0</v>
      </c>
      <c r="W1137">
        <v>0</v>
      </c>
      <c r="X1137">
        <v>0</v>
      </c>
      <c r="Y1137">
        <v>1</v>
      </c>
      <c r="Z1137">
        <v>0</v>
      </c>
      <c r="AA1137">
        <v>0</v>
      </c>
      <c r="AB1137">
        <v>0</v>
      </c>
      <c r="AC1137">
        <v>0</v>
      </c>
      <c r="AD1137">
        <v>0</v>
      </c>
      <c r="AE1137">
        <v>1</v>
      </c>
      <c r="AF1137">
        <v>0</v>
      </c>
      <c r="AG1137">
        <v>0</v>
      </c>
      <c r="AH1137" s="86">
        <f>AVERAGEIFS($C$2:C1137, $B$2:B1137, B1137)</f>
        <v>17.862745098039216</v>
      </c>
      <c r="AI1137" s="86">
        <f>AVERAGEIFS($I$2:I1137, $B$2:B1137, B1137)</f>
        <v>0.46666666666666673</v>
      </c>
      <c r="AJ1137" s="86">
        <f>AVERAGEIFS($J$2:J1137, $B$2:B1137, B1137)</f>
        <v>0.46156862745098026</v>
      </c>
      <c r="AK1137" s="86">
        <f>AVERAGEIFS($D$2:D1137, $B$2:B1137, B1137)</f>
        <v>0.49019607843137253</v>
      </c>
    </row>
    <row r="1138" spans="1:37" x14ac:dyDescent="0.25">
      <c r="A1138" s="85">
        <v>46157</v>
      </c>
      <c r="B1138" t="s">
        <v>146</v>
      </c>
      <c r="C1138">
        <v>19</v>
      </c>
      <c r="D1138">
        <v>1</v>
      </c>
      <c r="E1138">
        <v>5</v>
      </c>
      <c r="F1138">
        <v>3</v>
      </c>
      <c r="G1138">
        <v>21</v>
      </c>
      <c r="H1138">
        <v>11</v>
      </c>
      <c r="I1138">
        <v>0.6</v>
      </c>
      <c r="J1138">
        <v>0.52</v>
      </c>
      <c r="K1138">
        <v>1</v>
      </c>
      <c r="L1138">
        <v>0</v>
      </c>
      <c r="M1138">
        <v>0</v>
      </c>
      <c r="N1138">
        <v>0</v>
      </c>
      <c r="O1138">
        <v>0</v>
      </c>
      <c r="P1138">
        <v>0</v>
      </c>
      <c r="Q1138">
        <v>0</v>
      </c>
      <c r="R1138">
        <v>0</v>
      </c>
      <c r="S1138">
        <v>0</v>
      </c>
      <c r="T1138">
        <v>0</v>
      </c>
      <c r="U1138">
        <v>0</v>
      </c>
      <c r="V1138">
        <v>0</v>
      </c>
      <c r="W1138">
        <v>0</v>
      </c>
      <c r="X1138">
        <v>0</v>
      </c>
      <c r="Y1138">
        <v>1</v>
      </c>
      <c r="Z1138">
        <v>0</v>
      </c>
      <c r="AA1138">
        <v>0</v>
      </c>
      <c r="AB1138">
        <v>0</v>
      </c>
      <c r="AC1138">
        <v>0</v>
      </c>
      <c r="AD1138">
        <v>0</v>
      </c>
      <c r="AE1138">
        <v>1</v>
      </c>
      <c r="AF1138">
        <v>0</v>
      </c>
      <c r="AG1138">
        <v>0</v>
      </c>
      <c r="AH1138" s="86">
        <f>AVERAGEIFS($C$2:C1138, $B$2:B1138, B1138)</f>
        <v>11</v>
      </c>
      <c r="AI1138" s="86">
        <f>AVERAGEIFS($I$2:I1138, $B$2:B1138, B1138)</f>
        <v>0.29500000000000004</v>
      </c>
      <c r="AJ1138" s="86">
        <f>AVERAGEIFS($J$2:J1138, $B$2:B1138, B1138)</f>
        <v>0.38</v>
      </c>
      <c r="AK1138" s="86">
        <f>AVERAGEIFS($D$2:D1138, $B$2:B1138, B1138)</f>
        <v>0.3</v>
      </c>
    </row>
    <row r="1139" spans="1:37" x14ac:dyDescent="0.25">
      <c r="A1139" s="85">
        <v>46157</v>
      </c>
      <c r="B1139" t="s">
        <v>115</v>
      </c>
      <c r="C1139">
        <v>12</v>
      </c>
      <c r="D1139">
        <v>1</v>
      </c>
      <c r="E1139">
        <v>5</v>
      </c>
      <c r="F1139">
        <v>3</v>
      </c>
      <c r="G1139">
        <v>21</v>
      </c>
      <c r="H1139">
        <v>11</v>
      </c>
      <c r="I1139">
        <v>0.6</v>
      </c>
      <c r="J1139">
        <v>0.52</v>
      </c>
      <c r="K1139">
        <v>1</v>
      </c>
      <c r="L1139">
        <v>0</v>
      </c>
      <c r="M1139">
        <v>0</v>
      </c>
      <c r="N1139">
        <v>0</v>
      </c>
      <c r="O1139">
        <v>0</v>
      </c>
      <c r="P1139">
        <v>0</v>
      </c>
      <c r="Q1139">
        <v>0</v>
      </c>
      <c r="R1139">
        <v>0</v>
      </c>
      <c r="S1139">
        <v>0</v>
      </c>
      <c r="T1139">
        <v>0</v>
      </c>
      <c r="U1139">
        <v>0</v>
      </c>
      <c r="V1139">
        <v>0</v>
      </c>
      <c r="W1139">
        <v>0</v>
      </c>
      <c r="X1139">
        <v>0</v>
      </c>
      <c r="Y1139">
        <v>1</v>
      </c>
      <c r="Z1139">
        <v>0</v>
      </c>
      <c r="AA1139">
        <v>0</v>
      </c>
      <c r="AB1139">
        <v>0</v>
      </c>
      <c r="AC1139">
        <v>0</v>
      </c>
      <c r="AD1139">
        <v>0</v>
      </c>
      <c r="AE1139">
        <v>1</v>
      </c>
      <c r="AF1139">
        <v>0</v>
      </c>
      <c r="AG1139">
        <v>0</v>
      </c>
      <c r="AH1139" s="86">
        <f>AVERAGEIFS($C$2:C1139, $B$2:B1139, B1139)</f>
        <v>13.818181818181818</v>
      </c>
      <c r="AI1139" s="86">
        <f>AVERAGEIFS($I$2:I1139, $B$2:B1139, B1139)</f>
        <v>0.42272727272727267</v>
      </c>
      <c r="AJ1139" s="86">
        <f>AVERAGEIFS($J$2:J1139, $B$2:B1139, B1139)</f>
        <v>0.46636363636363626</v>
      </c>
      <c r="AK1139" s="86">
        <f>AVERAGEIFS($D$2:D1139, $B$2:B1139, B1139)</f>
        <v>0.36363636363636365</v>
      </c>
    </row>
    <row r="1140" spans="1:37" x14ac:dyDescent="0.25">
      <c r="A1140" s="85">
        <v>46157</v>
      </c>
      <c r="B1140" t="s">
        <v>141</v>
      </c>
      <c r="C1140">
        <v>16</v>
      </c>
      <c r="D1140">
        <v>1</v>
      </c>
      <c r="E1140">
        <v>5</v>
      </c>
      <c r="F1140">
        <v>3</v>
      </c>
      <c r="G1140">
        <v>21</v>
      </c>
      <c r="H1140">
        <v>11</v>
      </c>
      <c r="I1140">
        <v>0.6</v>
      </c>
      <c r="J1140">
        <v>0.52</v>
      </c>
      <c r="K1140">
        <v>1</v>
      </c>
      <c r="L1140">
        <v>0</v>
      </c>
      <c r="M1140">
        <v>0</v>
      </c>
      <c r="N1140">
        <v>0</v>
      </c>
      <c r="O1140">
        <v>0</v>
      </c>
      <c r="P1140">
        <v>0</v>
      </c>
      <c r="Q1140">
        <v>0</v>
      </c>
      <c r="R1140">
        <v>0</v>
      </c>
      <c r="S1140">
        <v>0</v>
      </c>
      <c r="T1140">
        <v>0</v>
      </c>
      <c r="U1140">
        <v>0</v>
      </c>
      <c r="V1140">
        <v>0</v>
      </c>
      <c r="W1140">
        <v>0</v>
      </c>
      <c r="X1140">
        <v>0</v>
      </c>
      <c r="Y1140">
        <v>1</v>
      </c>
      <c r="Z1140">
        <v>0</v>
      </c>
      <c r="AA1140">
        <v>0</v>
      </c>
      <c r="AB1140">
        <v>0</v>
      </c>
      <c r="AC1140">
        <v>0</v>
      </c>
      <c r="AD1140">
        <v>0</v>
      </c>
      <c r="AE1140">
        <v>1</v>
      </c>
      <c r="AF1140">
        <v>0</v>
      </c>
      <c r="AG1140">
        <v>0</v>
      </c>
      <c r="AH1140" s="86">
        <f>AVERAGEIFS($C$2:C1140, $B$2:B1140, B1140)</f>
        <v>16.09090909090909</v>
      </c>
      <c r="AI1140" s="86">
        <f>AVERAGEIFS($I$2:I1140, $B$2:B1140, B1140)</f>
        <v>0.50454545454545452</v>
      </c>
      <c r="AJ1140" s="86">
        <f>AVERAGEIFS($J$2:J1140, $B$2:B1140, B1140)</f>
        <v>0.51318181818181818</v>
      </c>
      <c r="AK1140" s="86">
        <f>AVERAGEIFS($D$2:D1140, $B$2:B1140, B1140)</f>
        <v>0.63636363636363635</v>
      </c>
    </row>
    <row r="1141" spans="1:37" x14ac:dyDescent="0.25">
      <c r="A1141" s="85">
        <v>46157</v>
      </c>
      <c r="B1141" t="s">
        <v>40</v>
      </c>
      <c r="C1141">
        <v>24</v>
      </c>
      <c r="D1141">
        <v>1</v>
      </c>
      <c r="E1141">
        <v>5</v>
      </c>
      <c r="F1141">
        <v>3</v>
      </c>
      <c r="G1141">
        <v>21</v>
      </c>
      <c r="H1141">
        <v>11</v>
      </c>
      <c r="I1141">
        <v>0.6</v>
      </c>
      <c r="J1141">
        <v>0.52</v>
      </c>
      <c r="K1141">
        <v>1</v>
      </c>
      <c r="L1141">
        <v>0</v>
      </c>
      <c r="M1141">
        <v>0</v>
      </c>
      <c r="N1141">
        <v>0</v>
      </c>
      <c r="O1141">
        <v>0</v>
      </c>
      <c r="P1141">
        <v>0</v>
      </c>
      <c r="Q1141">
        <v>0</v>
      </c>
      <c r="R1141">
        <v>0</v>
      </c>
      <c r="S1141">
        <v>0</v>
      </c>
      <c r="T1141">
        <v>0</v>
      </c>
      <c r="U1141">
        <v>0</v>
      </c>
      <c r="V1141">
        <v>0</v>
      </c>
      <c r="W1141">
        <v>0</v>
      </c>
      <c r="X1141">
        <v>0</v>
      </c>
      <c r="Y1141">
        <v>1</v>
      </c>
      <c r="Z1141">
        <v>0</v>
      </c>
      <c r="AA1141">
        <v>0</v>
      </c>
      <c r="AB1141">
        <v>0</v>
      </c>
      <c r="AC1141">
        <v>0</v>
      </c>
      <c r="AD1141">
        <v>0</v>
      </c>
      <c r="AE1141">
        <v>1</v>
      </c>
      <c r="AF1141">
        <v>0</v>
      </c>
      <c r="AG1141">
        <v>0</v>
      </c>
      <c r="AH1141" s="86">
        <f>AVERAGEIFS($C$2:C1141, $B$2:B1141, B1141)</f>
        <v>18.405797101449274</v>
      </c>
      <c r="AI1141" s="86">
        <f>AVERAGEIFS($I$2:I1141, $B$2:B1141, B1141)</f>
        <v>0.47536231884057956</v>
      </c>
      <c r="AJ1141" s="86">
        <f>AVERAGEIFS($J$2:J1141, $B$2:B1141, B1141)</f>
        <v>0.48072463768115953</v>
      </c>
      <c r="AK1141" s="86">
        <f>AVERAGEIFS($D$2:D1141, $B$2:B1141, B1141)</f>
        <v>0.42028985507246375</v>
      </c>
    </row>
    <row r="1142" spans="1:37" x14ac:dyDescent="0.25">
      <c r="A1142" s="85">
        <v>46157</v>
      </c>
      <c r="B1142" t="s">
        <v>147</v>
      </c>
      <c r="C1142">
        <v>23</v>
      </c>
      <c r="D1142">
        <v>1</v>
      </c>
      <c r="E1142">
        <v>5</v>
      </c>
      <c r="F1142">
        <v>3</v>
      </c>
      <c r="G1142">
        <v>21</v>
      </c>
      <c r="H1142">
        <v>11</v>
      </c>
      <c r="I1142">
        <v>0.6</v>
      </c>
      <c r="J1142">
        <v>0.52</v>
      </c>
      <c r="K1142">
        <v>1</v>
      </c>
      <c r="L1142">
        <v>0</v>
      </c>
      <c r="M1142">
        <v>0</v>
      </c>
      <c r="N1142">
        <v>0</v>
      </c>
      <c r="O1142">
        <v>0</v>
      </c>
      <c r="P1142">
        <v>0</v>
      </c>
      <c r="Q1142">
        <v>0</v>
      </c>
      <c r="R1142">
        <v>0</v>
      </c>
      <c r="S1142">
        <v>0</v>
      </c>
      <c r="T1142">
        <v>0</v>
      </c>
      <c r="U1142">
        <v>0</v>
      </c>
      <c r="V1142">
        <v>0</v>
      </c>
      <c r="W1142">
        <v>0</v>
      </c>
      <c r="X1142">
        <v>0</v>
      </c>
      <c r="Y1142">
        <v>1</v>
      </c>
      <c r="Z1142">
        <v>0</v>
      </c>
      <c r="AA1142">
        <v>0</v>
      </c>
      <c r="AB1142">
        <v>0</v>
      </c>
      <c r="AC1142">
        <v>0</v>
      </c>
      <c r="AD1142">
        <v>0</v>
      </c>
      <c r="AE1142">
        <v>1</v>
      </c>
      <c r="AF1142">
        <v>0</v>
      </c>
      <c r="AG1142">
        <v>0</v>
      </c>
      <c r="AH1142" s="86">
        <f>AVERAGEIFS($C$2:C1142, $B$2:B1142, B1142)</f>
        <v>13.685714285714285</v>
      </c>
      <c r="AI1142" s="86">
        <f>AVERAGEIFS($I$2:I1142, $B$2:B1142, B1142)</f>
        <v>0.56714285714285717</v>
      </c>
      <c r="AJ1142" s="86">
        <f>AVERAGEIFS($J$2:J1142, $B$2:B1142, B1142)</f>
        <v>0.53542857142857148</v>
      </c>
      <c r="AK1142" s="86">
        <f>AVERAGEIFS($D$2:D1142, $B$2:B1142, B1142)</f>
        <v>0.54285714285714282</v>
      </c>
    </row>
    <row r="1143" spans="1:37" x14ac:dyDescent="0.25">
      <c r="A1143" s="85">
        <v>46157</v>
      </c>
      <c r="B1143" t="s">
        <v>150</v>
      </c>
      <c r="C1143">
        <v>19</v>
      </c>
      <c r="D1143">
        <v>1</v>
      </c>
      <c r="E1143">
        <v>5</v>
      </c>
      <c r="F1143">
        <v>3</v>
      </c>
      <c r="G1143">
        <v>21</v>
      </c>
      <c r="H1143">
        <v>11</v>
      </c>
      <c r="I1143">
        <v>0.6</v>
      </c>
      <c r="J1143">
        <v>0.52</v>
      </c>
      <c r="K1143">
        <v>1</v>
      </c>
      <c r="L1143">
        <v>0</v>
      </c>
      <c r="M1143">
        <v>0</v>
      </c>
      <c r="N1143">
        <v>0</v>
      </c>
      <c r="O1143">
        <v>0</v>
      </c>
      <c r="P1143">
        <v>0</v>
      </c>
      <c r="Q1143">
        <v>0</v>
      </c>
      <c r="R1143">
        <v>0</v>
      </c>
      <c r="S1143">
        <v>0</v>
      </c>
      <c r="T1143">
        <v>0</v>
      </c>
      <c r="U1143">
        <v>0</v>
      </c>
      <c r="V1143">
        <v>0</v>
      </c>
      <c r="W1143">
        <v>0</v>
      </c>
      <c r="X1143">
        <v>0</v>
      </c>
      <c r="Y1143">
        <v>1</v>
      </c>
      <c r="Z1143">
        <v>0</v>
      </c>
      <c r="AA1143">
        <v>0</v>
      </c>
      <c r="AB1143">
        <v>0</v>
      </c>
      <c r="AC1143">
        <v>0</v>
      </c>
      <c r="AD1143">
        <v>0</v>
      </c>
      <c r="AE1143">
        <v>1</v>
      </c>
      <c r="AF1143">
        <v>0</v>
      </c>
      <c r="AG1143">
        <v>0</v>
      </c>
      <c r="AH1143" s="86">
        <f>AVERAGEIFS($C$2:C1143, $B$2:B1143, B1143)</f>
        <v>18.239999999999998</v>
      </c>
      <c r="AI1143" s="86">
        <f>AVERAGEIFS($I$2:I1143, $B$2:B1143, B1143)</f>
        <v>0.58199999999999996</v>
      </c>
      <c r="AJ1143" s="86">
        <f>AVERAGEIFS($J$2:J1143, $B$2:B1143, B1143)</f>
        <v>0.56440000000000001</v>
      </c>
      <c r="AK1143" s="86">
        <f>AVERAGEIFS($D$2:D1143, $B$2:B1143, B1143)</f>
        <v>0.6</v>
      </c>
    </row>
    <row r="1144" spans="1:37" x14ac:dyDescent="0.25">
      <c r="A1144" s="85">
        <v>46157</v>
      </c>
      <c r="B1144" t="s">
        <v>113</v>
      </c>
      <c r="C1144">
        <v>20</v>
      </c>
      <c r="D1144">
        <v>1</v>
      </c>
      <c r="E1144">
        <v>5</v>
      </c>
      <c r="F1144">
        <v>3</v>
      </c>
      <c r="G1144">
        <v>21</v>
      </c>
      <c r="H1144">
        <v>11</v>
      </c>
      <c r="I1144">
        <v>0.6</v>
      </c>
      <c r="J1144">
        <v>0.52</v>
      </c>
      <c r="K1144">
        <v>1</v>
      </c>
      <c r="L1144">
        <v>0</v>
      </c>
      <c r="M1144">
        <v>0</v>
      </c>
      <c r="N1144">
        <v>0</v>
      </c>
      <c r="O1144">
        <v>0</v>
      </c>
      <c r="P1144">
        <v>0</v>
      </c>
      <c r="Q1144">
        <v>0</v>
      </c>
      <c r="R1144">
        <v>0</v>
      </c>
      <c r="S1144">
        <v>0</v>
      </c>
      <c r="T1144">
        <v>0</v>
      </c>
      <c r="U1144">
        <v>0</v>
      </c>
      <c r="V1144">
        <v>0</v>
      </c>
      <c r="W1144">
        <v>0</v>
      </c>
      <c r="X1144">
        <v>0</v>
      </c>
      <c r="Y1144">
        <v>1</v>
      </c>
      <c r="Z1144">
        <v>0</v>
      </c>
      <c r="AA1144">
        <v>0</v>
      </c>
      <c r="AB1144">
        <v>0</v>
      </c>
      <c r="AC1144">
        <v>0</v>
      </c>
      <c r="AD1144">
        <v>0</v>
      </c>
      <c r="AE1144">
        <v>1</v>
      </c>
      <c r="AF1144">
        <v>0</v>
      </c>
      <c r="AG1144">
        <v>0</v>
      </c>
      <c r="AH1144" s="86">
        <f>AVERAGEIFS($C$2:C1144, $B$2:B1144, B1144)</f>
        <v>18.045454545454547</v>
      </c>
      <c r="AI1144" s="86">
        <f>AVERAGEIFS($I$2:I1144, $B$2:B1144, B1144)</f>
        <v>0.5431818181818181</v>
      </c>
      <c r="AJ1144" s="86">
        <f>AVERAGEIFS($J$2:J1144, $B$2:B1144, B1144)</f>
        <v>0.51977272727272739</v>
      </c>
      <c r="AK1144" s="86">
        <f>AVERAGEIFS($D$2:D1144, $B$2:B1144, B1144)</f>
        <v>0.5</v>
      </c>
    </row>
    <row r="1145" spans="1:37" x14ac:dyDescent="0.25">
      <c r="A1145" s="85">
        <v>46157</v>
      </c>
      <c r="B1145" t="s">
        <v>140</v>
      </c>
      <c r="C1145">
        <v>14</v>
      </c>
      <c r="D1145">
        <v>0</v>
      </c>
      <c r="E1145">
        <v>5</v>
      </c>
      <c r="F1145">
        <v>2</v>
      </c>
      <c r="G1145">
        <v>21</v>
      </c>
      <c r="H1145">
        <v>10</v>
      </c>
      <c r="I1145">
        <v>0.4</v>
      </c>
      <c r="J1145">
        <v>0.48</v>
      </c>
      <c r="K1145">
        <v>0</v>
      </c>
      <c r="L1145">
        <v>0</v>
      </c>
      <c r="M1145">
        <v>0</v>
      </c>
      <c r="N1145">
        <v>0</v>
      </c>
      <c r="O1145">
        <v>1</v>
      </c>
      <c r="P1145">
        <v>0</v>
      </c>
      <c r="Q1145">
        <v>0</v>
      </c>
      <c r="R1145">
        <v>0</v>
      </c>
      <c r="S1145">
        <v>0</v>
      </c>
      <c r="T1145">
        <v>0</v>
      </c>
      <c r="U1145">
        <v>0</v>
      </c>
      <c r="V1145">
        <v>0</v>
      </c>
      <c r="W1145">
        <v>0</v>
      </c>
      <c r="X1145">
        <v>0</v>
      </c>
      <c r="Y1145">
        <v>0</v>
      </c>
      <c r="Z1145">
        <v>0</v>
      </c>
      <c r="AA1145">
        <v>0</v>
      </c>
      <c r="AB1145">
        <v>0</v>
      </c>
      <c r="AC1145">
        <v>1</v>
      </c>
      <c r="AD1145">
        <v>0</v>
      </c>
      <c r="AE1145">
        <v>0</v>
      </c>
      <c r="AF1145">
        <v>0</v>
      </c>
      <c r="AG1145">
        <v>0</v>
      </c>
      <c r="AH1145" s="86">
        <f>AVERAGEIFS($C$2:C1145, $B$2:B1145, B1145)</f>
        <v>12.894736842105264</v>
      </c>
      <c r="AI1145" s="86">
        <f>AVERAGEIFS($I$2:I1145, $B$2:B1145, B1145)</f>
        <v>0.52894736842105272</v>
      </c>
      <c r="AJ1145" s="86">
        <f>AVERAGEIFS($J$2:J1145, $B$2:B1145, B1145)</f>
        <v>0.50736842105263147</v>
      </c>
      <c r="AK1145" s="86">
        <f>AVERAGEIFS($D$2:D1145, $B$2:B1145, B1145)</f>
        <v>0.52631578947368418</v>
      </c>
    </row>
    <row r="1146" spans="1:37" x14ac:dyDescent="0.25">
      <c r="A1146" s="85">
        <v>46157</v>
      </c>
      <c r="B1146" t="s">
        <v>179</v>
      </c>
      <c r="C1146">
        <v>19</v>
      </c>
      <c r="D1146">
        <v>0</v>
      </c>
      <c r="E1146">
        <v>5</v>
      </c>
      <c r="F1146">
        <v>2</v>
      </c>
      <c r="G1146">
        <v>21</v>
      </c>
      <c r="H1146">
        <v>10</v>
      </c>
      <c r="I1146">
        <v>0.4</v>
      </c>
      <c r="J1146">
        <v>0.48</v>
      </c>
      <c r="K1146">
        <v>0</v>
      </c>
      <c r="L1146">
        <v>0</v>
      </c>
      <c r="M1146">
        <v>0</v>
      </c>
      <c r="N1146">
        <v>0</v>
      </c>
      <c r="O1146">
        <v>1</v>
      </c>
      <c r="P1146">
        <v>0</v>
      </c>
      <c r="Q1146">
        <v>0</v>
      </c>
      <c r="R1146">
        <v>0</v>
      </c>
      <c r="S1146">
        <v>0</v>
      </c>
      <c r="T1146">
        <v>0</v>
      </c>
      <c r="U1146">
        <v>0</v>
      </c>
      <c r="V1146">
        <v>0</v>
      </c>
      <c r="W1146">
        <v>0</v>
      </c>
      <c r="X1146">
        <v>0</v>
      </c>
      <c r="Y1146">
        <v>0</v>
      </c>
      <c r="Z1146">
        <v>0</v>
      </c>
      <c r="AA1146">
        <v>0</v>
      </c>
      <c r="AB1146">
        <v>0</v>
      </c>
      <c r="AC1146">
        <v>1</v>
      </c>
      <c r="AD1146">
        <v>0</v>
      </c>
      <c r="AE1146">
        <v>0</v>
      </c>
      <c r="AF1146">
        <v>0</v>
      </c>
      <c r="AG1146">
        <v>0</v>
      </c>
      <c r="AH1146" s="86">
        <f>AVERAGEIFS($C$2:C1146, $B$2:B1146, B1146)</f>
        <v>17.857142857142858</v>
      </c>
      <c r="AI1146" s="86">
        <f>AVERAGEIFS($I$2:I1146, $B$2:B1146, B1146)</f>
        <v>0.47857142857142854</v>
      </c>
      <c r="AJ1146" s="86">
        <f>AVERAGEIFS($J$2:J1146, $B$2:B1146, B1146)</f>
        <v>0.50571428571428567</v>
      </c>
      <c r="AK1146" s="86">
        <f>AVERAGEIFS($D$2:D1146, $B$2:B1146, B1146)</f>
        <v>0.2857142857142857</v>
      </c>
    </row>
    <row r="1147" spans="1:37" x14ac:dyDescent="0.25">
      <c r="A1147" s="85">
        <v>46157</v>
      </c>
      <c r="B1147" t="s">
        <v>152</v>
      </c>
      <c r="C1147">
        <v>18</v>
      </c>
      <c r="D1147">
        <v>0</v>
      </c>
      <c r="E1147">
        <v>5</v>
      </c>
      <c r="F1147">
        <v>2</v>
      </c>
      <c r="G1147">
        <v>21</v>
      </c>
      <c r="H1147">
        <v>10</v>
      </c>
      <c r="I1147">
        <v>0.4</v>
      </c>
      <c r="J1147">
        <v>0.48</v>
      </c>
      <c r="K1147">
        <v>0</v>
      </c>
      <c r="L1147">
        <v>0</v>
      </c>
      <c r="M1147">
        <v>0</v>
      </c>
      <c r="N1147">
        <v>0</v>
      </c>
      <c r="O1147">
        <v>1</v>
      </c>
      <c r="P1147">
        <v>0</v>
      </c>
      <c r="Q1147">
        <v>0</v>
      </c>
      <c r="R1147">
        <v>0</v>
      </c>
      <c r="S1147">
        <v>0</v>
      </c>
      <c r="T1147">
        <v>0</v>
      </c>
      <c r="U1147">
        <v>0</v>
      </c>
      <c r="V1147">
        <v>0</v>
      </c>
      <c r="W1147">
        <v>0</v>
      </c>
      <c r="X1147">
        <v>0</v>
      </c>
      <c r="Y1147">
        <v>0</v>
      </c>
      <c r="Z1147">
        <v>0</v>
      </c>
      <c r="AA1147">
        <v>0</v>
      </c>
      <c r="AB1147">
        <v>0</v>
      </c>
      <c r="AC1147">
        <v>1</v>
      </c>
      <c r="AD1147">
        <v>0</v>
      </c>
      <c r="AE1147">
        <v>0</v>
      </c>
      <c r="AF1147">
        <v>0</v>
      </c>
      <c r="AG1147">
        <v>0</v>
      </c>
      <c r="AH1147" s="86">
        <f>AVERAGEIFS($C$2:C1147, $B$2:B1147, B1147)</f>
        <v>11.777777777777779</v>
      </c>
      <c r="AI1147" s="86">
        <f>AVERAGEIFS($I$2:I1147, $B$2:B1147, B1147)</f>
        <v>0.38333333333333336</v>
      </c>
      <c r="AJ1147" s="86">
        <f>AVERAGEIFS($J$2:J1147, $B$2:B1147, B1147)</f>
        <v>0.47111111111111115</v>
      </c>
      <c r="AK1147" s="86">
        <f>AVERAGEIFS($D$2:D1147, $B$2:B1147, B1147)</f>
        <v>0.33333333333333331</v>
      </c>
    </row>
    <row r="1148" spans="1:37" x14ac:dyDescent="0.25">
      <c r="A1148" s="85">
        <v>46157</v>
      </c>
      <c r="B1148" t="s">
        <v>50</v>
      </c>
      <c r="C1148">
        <v>20</v>
      </c>
      <c r="D1148">
        <v>0</v>
      </c>
      <c r="E1148">
        <v>5</v>
      </c>
      <c r="F1148">
        <v>2</v>
      </c>
      <c r="G1148">
        <v>21</v>
      </c>
      <c r="H1148">
        <v>10</v>
      </c>
      <c r="I1148">
        <v>0.4</v>
      </c>
      <c r="J1148">
        <v>0.48</v>
      </c>
      <c r="K1148">
        <v>0</v>
      </c>
      <c r="L1148">
        <v>0</v>
      </c>
      <c r="M1148">
        <v>0</v>
      </c>
      <c r="N1148">
        <v>0</v>
      </c>
      <c r="O1148">
        <v>1</v>
      </c>
      <c r="P1148">
        <v>0</v>
      </c>
      <c r="Q1148">
        <v>0</v>
      </c>
      <c r="R1148">
        <v>0</v>
      </c>
      <c r="S1148">
        <v>0</v>
      </c>
      <c r="T1148">
        <v>0</v>
      </c>
      <c r="U1148">
        <v>0</v>
      </c>
      <c r="V1148">
        <v>0</v>
      </c>
      <c r="W1148">
        <v>0</v>
      </c>
      <c r="X1148">
        <v>0</v>
      </c>
      <c r="Y1148">
        <v>0</v>
      </c>
      <c r="Z1148">
        <v>0</v>
      </c>
      <c r="AA1148">
        <v>0</v>
      </c>
      <c r="AB1148">
        <v>0</v>
      </c>
      <c r="AC1148">
        <v>1</v>
      </c>
      <c r="AD1148">
        <v>0</v>
      </c>
      <c r="AE1148">
        <v>0</v>
      </c>
      <c r="AF1148">
        <v>0</v>
      </c>
      <c r="AG1148">
        <v>0</v>
      </c>
      <c r="AH1148" s="86">
        <f>AVERAGEIFS($C$2:C1148, $B$2:B1148, B1148)</f>
        <v>18.042553191489361</v>
      </c>
      <c r="AI1148" s="86">
        <f>AVERAGEIFS($I$2:I1148, $B$2:B1148, B1148)</f>
        <v>0.49744680851063833</v>
      </c>
      <c r="AJ1148" s="86">
        <f>AVERAGEIFS($J$2:J1148, $B$2:B1148, B1148)</f>
        <v>0.50914893617021273</v>
      </c>
      <c r="AK1148" s="86">
        <f>AVERAGEIFS($D$2:D1148, $B$2:B1148, B1148)</f>
        <v>0.48936170212765956</v>
      </c>
    </row>
    <row r="1149" spans="1:37" x14ac:dyDescent="0.25">
      <c r="A1149" s="85">
        <v>46157</v>
      </c>
      <c r="B1149" t="s">
        <v>148</v>
      </c>
      <c r="C1149">
        <v>11</v>
      </c>
      <c r="D1149">
        <v>0</v>
      </c>
      <c r="E1149">
        <v>5</v>
      </c>
      <c r="F1149">
        <v>2</v>
      </c>
      <c r="G1149">
        <v>21</v>
      </c>
      <c r="H1149">
        <v>10</v>
      </c>
      <c r="I1149">
        <v>0.4</v>
      </c>
      <c r="J1149">
        <v>0.48</v>
      </c>
      <c r="K1149">
        <v>0</v>
      </c>
      <c r="L1149">
        <v>0</v>
      </c>
      <c r="M1149">
        <v>0</v>
      </c>
      <c r="N1149">
        <v>0</v>
      </c>
      <c r="O1149">
        <v>1</v>
      </c>
      <c r="P1149">
        <v>0</v>
      </c>
      <c r="Q1149">
        <v>0</v>
      </c>
      <c r="R1149">
        <v>0</v>
      </c>
      <c r="S1149">
        <v>0</v>
      </c>
      <c r="T1149">
        <v>0</v>
      </c>
      <c r="U1149">
        <v>0</v>
      </c>
      <c r="V1149">
        <v>0</v>
      </c>
      <c r="W1149">
        <v>0</v>
      </c>
      <c r="X1149">
        <v>0</v>
      </c>
      <c r="Y1149">
        <v>0</v>
      </c>
      <c r="Z1149">
        <v>0</v>
      </c>
      <c r="AA1149">
        <v>0</v>
      </c>
      <c r="AB1149">
        <v>0</v>
      </c>
      <c r="AC1149">
        <v>1</v>
      </c>
      <c r="AD1149">
        <v>0</v>
      </c>
      <c r="AE1149">
        <v>0</v>
      </c>
      <c r="AF1149">
        <v>0</v>
      </c>
      <c r="AG1149">
        <v>0</v>
      </c>
      <c r="AH1149" s="86">
        <f>AVERAGEIFS($C$2:C1149, $B$2:B1149, B1149)</f>
        <v>8.6</v>
      </c>
      <c r="AI1149" s="86">
        <f>AVERAGEIFS($I$2:I1149, $B$2:B1149, B1149)</f>
        <v>0.4</v>
      </c>
      <c r="AJ1149" s="86">
        <f>AVERAGEIFS($J$2:J1149, $B$2:B1149, B1149)</f>
        <v>0.47800000000000004</v>
      </c>
      <c r="AK1149" s="86">
        <f>AVERAGEIFS($D$2:D1149, $B$2:B1149, B1149)</f>
        <v>0.4</v>
      </c>
    </row>
    <row r="1150" spans="1:37" x14ac:dyDescent="0.25">
      <c r="A1150" s="85">
        <v>46157</v>
      </c>
      <c r="B1150" t="s">
        <v>13</v>
      </c>
      <c r="C1150">
        <v>19</v>
      </c>
      <c r="D1150">
        <v>0</v>
      </c>
      <c r="E1150">
        <v>5</v>
      </c>
      <c r="F1150">
        <v>2</v>
      </c>
      <c r="G1150">
        <v>21</v>
      </c>
      <c r="H1150">
        <v>10</v>
      </c>
      <c r="I1150">
        <v>0.4</v>
      </c>
      <c r="J1150">
        <v>0.48</v>
      </c>
      <c r="K1150">
        <v>0</v>
      </c>
      <c r="L1150">
        <v>0</v>
      </c>
      <c r="M1150">
        <v>0</v>
      </c>
      <c r="N1150">
        <v>0</v>
      </c>
      <c r="O1150">
        <v>1</v>
      </c>
      <c r="P1150">
        <v>0</v>
      </c>
      <c r="Q1150">
        <v>0</v>
      </c>
      <c r="R1150">
        <v>0</v>
      </c>
      <c r="S1150">
        <v>0</v>
      </c>
      <c r="T1150">
        <v>0</v>
      </c>
      <c r="U1150">
        <v>0</v>
      </c>
      <c r="V1150">
        <v>0</v>
      </c>
      <c r="W1150">
        <v>0</v>
      </c>
      <c r="X1150">
        <v>0</v>
      </c>
      <c r="Y1150">
        <v>0</v>
      </c>
      <c r="Z1150">
        <v>0</v>
      </c>
      <c r="AA1150">
        <v>0</v>
      </c>
      <c r="AB1150">
        <v>0</v>
      </c>
      <c r="AC1150">
        <v>1</v>
      </c>
      <c r="AD1150">
        <v>0</v>
      </c>
      <c r="AE1150">
        <v>0</v>
      </c>
      <c r="AF1150">
        <v>0</v>
      </c>
      <c r="AG1150">
        <v>0</v>
      </c>
      <c r="AH1150" s="86">
        <f>AVERAGEIFS($C$2:C1150, $B$2:B1150, B1150)</f>
        <v>14.916666666666666</v>
      </c>
      <c r="AI1150" s="86">
        <f>AVERAGEIFS($I$2:I1150, $B$2:B1150, B1150)</f>
        <v>0.4458333333333333</v>
      </c>
      <c r="AJ1150" s="86">
        <f>AVERAGEIFS($J$2:J1150, $B$2:B1150, B1150)</f>
        <v>0.47666666666666674</v>
      </c>
      <c r="AK1150" s="86">
        <f>AVERAGEIFS($D$2:D1150, $B$2:B1150, B1150)</f>
        <v>0.375</v>
      </c>
    </row>
    <row r="1151" spans="1:37" x14ac:dyDescent="0.25">
      <c r="A1151" s="85">
        <v>46157</v>
      </c>
      <c r="B1151" t="s">
        <v>54</v>
      </c>
      <c r="C1151">
        <v>19</v>
      </c>
      <c r="D1151">
        <v>0</v>
      </c>
      <c r="E1151">
        <v>5</v>
      </c>
      <c r="F1151">
        <v>2</v>
      </c>
      <c r="G1151">
        <v>21</v>
      </c>
      <c r="H1151">
        <v>10</v>
      </c>
      <c r="I1151">
        <v>0.4</v>
      </c>
      <c r="J1151">
        <v>0.48</v>
      </c>
      <c r="K1151">
        <v>0</v>
      </c>
      <c r="L1151">
        <v>0</v>
      </c>
      <c r="M1151">
        <v>0</v>
      </c>
      <c r="N1151">
        <v>0</v>
      </c>
      <c r="O1151">
        <v>1</v>
      </c>
      <c r="P1151">
        <v>0</v>
      </c>
      <c r="Q1151">
        <v>0</v>
      </c>
      <c r="R1151">
        <v>0</v>
      </c>
      <c r="S1151">
        <v>0</v>
      </c>
      <c r="T1151">
        <v>0</v>
      </c>
      <c r="U1151">
        <v>0</v>
      </c>
      <c r="V1151">
        <v>0</v>
      </c>
      <c r="W1151">
        <v>0</v>
      </c>
      <c r="X1151">
        <v>0</v>
      </c>
      <c r="Y1151">
        <v>0</v>
      </c>
      <c r="Z1151">
        <v>0</v>
      </c>
      <c r="AA1151">
        <v>0</v>
      </c>
      <c r="AB1151">
        <v>0</v>
      </c>
      <c r="AC1151">
        <v>1</v>
      </c>
      <c r="AD1151">
        <v>0</v>
      </c>
      <c r="AE1151">
        <v>0</v>
      </c>
      <c r="AF1151">
        <v>0</v>
      </c>
      <c r="AG1151">
        <v>0</v>
      </c>
      <c r="AH1151" s="86">
        <f>AVERAGEIFS($C$2:C1151, $B$2:B1151, B1151)</f>
        <v>23.38095238095238</v>
      </c>
      <c r="AI1151" s="86">
        <f>AVERAGEIFS($I$2:I1151, $B$2:B1151, B1151)</f>
        <v>0.53047619047619055</v>
      </c>
      <c r="AJ1151" s="86">
        <f>AVERAGEIFS($J$2:J1151, $B$2:B1151, B1151)</f>
        <v>0.50888888888888884</v>
      </c>
      <c r="AK1151" s="86">
        <f>AVERAGEIFS($D$2:D1151, $B$2:B1151, B1151)</f>
        <v>0.53968253968253965</v>
      </c>
    </row>
    <row r="1152" spans="1:37" x14ac:dyDescent="0.25">
      <c r="A1152" s="85">
        <v>46157</v>
      </c>
      <c r="B1152" t="s">
        <v>17</v>
      </c>
      <c r="C1152">
        <v>28</v>
      </c>
      <c r="D1152">
        <v>0</v>
      </c>
      <c r="E1152">
        <v>5</v>
      </c>
      <c r="F1152">
        <v>2</v>
      </c>
      <c r="G1152">
        <v>21</v>
      </c>
      <c r="H1152">
        <v>10</v>
      </c>
      <c r="I1152">
        <v>0.4</v>
      </c>
      <c r="J1152">
        <v>0.48</v>
      </c>
      <c r="K1152">
        <v>0</v>
      </c>
      <c r="L1152">
        <v>0</v>
      </c>
      <c r="M1152">
        <v>0</v>
      </c>
      <c r="N1152">
        <v>0</v>
      </c>
      <c r="O1152">
        <v>1</v>
      </c>
      <c r="P1152">
        <v>0</v>
      </c>
      <c r="Q1152">
        <v>0</v>
      </c>
      <c r="R1152">
        <v>0</v>
      </c>
      <c r="S1152">
        <v>0</v>
      </c>
      <c r="T1152">
        <v>0</v>
      </c>
      <c r="U1152">
        <v>0</v>
      </c>
      <c r="V1152">
        <v>0</v>
      </c>
      <c r="W1152">
        <v>0</v>
      </c>
      <c r="X1152">
        <v>0</v>
      </c>
      <c r="Y1152">
        <v>0</v>
      </c>
      <c r="Z1152">
        <v>0</v>
      </c>
      <c r="AA1152">
        <v>0</v>
      </c>
      <c r="AB1152">
        <v>0</v>
      </c>
      <c r="AC1152">
        <v>1</v>
      </c>
      <c r="AD1152">
        <v>0</v>
      </c>
      <c r="AE1152">
        <v>0</v>
      </c>
      <c r="AF1152">
        <v>0</v>
      </c>
      <c r="AG1152">
        <v>0</v>
      </c>
      <c r="AH1152" s="86">
        <f>AVERAGEIFS($C$2:C1152, $B$2:B1152, B1152)</f>
        <v>20.285714285714285</v>
      </c>
      <c r="AI1152" s="86">
        <f>AVERAGEIFS($I$2:I1152, $B$2:B1152, B1152)</f>
        <v>0.5552380952380952</v>
      </c>
      <c r="AJ1152" s="86">
        <f>AVERAGEIFS($J$2:J1152, $B$2:B1152, B1152)</f>
        <v>0.5061904761904763</v>
      </c>
      <c r="AK1152" s="86">
        <f>AVERAGEIFS($D$2:D1152, $B$2:B1152, B1152)</f>
        <v>0.5714285714285714</v>
      </c>
    </row>
    <row r="1153" spans="1:37" x14ac:dyDescent="0.25">
      <c r="A1153" s="85">
        <v>46159</v>
      </c>
      <c r="B1153" t="s">
        <v>179</v>
      </c>
      <c r="C1153">
        <v>22</v>
      </c>
      <c r="D1153">
        <v>0</v>
      </c>
      <c r="E1153">
        <v>4</v>
      </c>
      <c r="F1153">
        <v>1</v>
      </c>
      <c r="G1153">
        <v>17</v>
      </c>
      <c r="H1153">
        <v>7</v>
      </c>
      <c r="I1153">
        <v>0.25</v>
      </c>
      <c r="J1153">
        <v>0.41</v>
      </c>
      <c r="K1153">
        <v>0</v>
      </c>
      <c r="L1153">
        <v>0</v>
      </c>
      <c r="M1153">
        <v>0</v>
      </c>
      <c r="N1153">
        <v>0</v>
      </c>
      <c r="O1153">
        <v>0</v>
      </c>
      <c r="P1153">
        <v>0</v>
      </c>
      <c r="Q1153">
        <v>0</v>
      </c>
      <c r="R1153">
        <v>0</v>
      </c>
      <c r="S1153">
        <v>0</v>
      </c>
      <c r="T1153">
        <v>0</v>
      </c>
      <c r="U1153">
        <v>0</v>
      </c>
      <c r="V1153">
        <v>0</v>
      </c>
      <c r="W1153">
        <v>0</v>
      </c>
      <c r="X1153">
        <v>0</v>
      </c>
      <c r="Y1153">
        <v>0</v>
      </c>
      <c r="Z1153">
        <v>0</v>
      </c>
      <c r="AA1153">
        <v>0</v>
      </c>
      <c r="AB1153">
        <v>0</v>
      </c>
      <c r="AC1153">
        <v>0</v>
      </c>
      <c r="AD1153">
        <v>0</v>
      </c>
      <c r="AE1153">
        <v>0</v>
      </c>
      <c r="AF1153">
        <v>1</v>
      </c>
      <c r="AG1153">
        <v>0</v>
      </c>
      <c r="AH1153" s="86">
        <f>AVERAGEIFS($C$2:C1153, $B$2:B1153, B1153)</f>
        <v>18.375</v>
      </c>
      <c r="AI1153" s="86">
        <f>AVERAGEIFS($I$2:I1153, $B$2:B1153, B1153)</f>
        <v>0.44999999999999996</v>
      </c>
      <c r="AJ1153" s="86">
        <f>AVERAGEIFS($J$2:J1153, $B$2:B1153, B1153)</f>
        <v>0.49375000000000002</v>
      </c>
      <c r="AK1153" s="86">
        <f>AVERAGEIFS($D$2:D1153, $B$2:B1153, B1153)</f>
        <v>0.25</v>
      </c>
    </row>
    <row r="1154" spans="1:37" x14ac:dyDescent="0.25">
      <c r="A1154" s="85">
        <v>46159</v>
      </c>
      <c r="B1154" t="s">
        <v>50</v>
      </c>
      <c r="C1154">
        <v>17</v>
      </c>
      <c r="D1154">
        <v>0</v>
      </c>
      <c r="E1154">
        <v>4</v>
      </c>
      <c r="F1154">
        <v>1</v>
      </c>
      <c r="G1154">
        <v>17</v>
      </c>
      <c r="H1154">
        <v>7</v>
      </c>
      <c r="I1154">
        <v>0.25</v>
      </c>
      <c r="J1154">
        <v>0.41</v>
      </c>
      <c r="K1154">
        <v>0</v>
      </c>
      <c r="L1154">
        <v>0</v>
      </c>
      <c r="M1154">
        <v>0</v>
      </c>
      <c r="N1154">
        <v>0</v>
      </c>
      <c r="O1154">
        <v>0</v>
      </c>
      <c r="P1154">
        <v>0</v>
      </c>
      <c r="Q1154">
        <v>0</v>
      </c>
      <c r="R1154">
        <v>0</v>
      </c>
      <c r="S1154">
        <v>0</v>
      </c>
      <c r="T1154">
        <v>0</v>
      </c>
      <c r="U1154">
        <v>0</v>
      </c>
      <c r="V1154">
        <v>0</v>
      </c>
      <c r="W1154">
        <v>0</v>
      </c>
      <c r="X1154">
        <v>0</v>
      </c>
      <c r="Y1154">
        <v>0</v>
      </c>
      <c r="Z1154">
        <v>0</v>
      </c>
      <c r="AA1154">
        <v>0</v>
      </c>
      <c r="AB1154">
        <v>0</v>
      </c>
      <c r="AC1154">
        <v>0</v>
      </c>
      <c r="AD1154">
        <v>0</v>
      </c>
      <c r="AE1154">
        <v>0</v>
      </c>
      <c r="AF1154">
        <v>1</v>
      </c>
      <c r="AG1154">
        <v>0</v>
      </c>
      <c r="AH1154" s="86">
        <f>AVERAGEIFS($C$2:C1154, $B$2:B1154, B1154)</f>
        <v>18.020833333333332</v>
      </c>
      <c r="AI1154" s="86">
        <f>AVERAGEIFS($I$2:I1154, $B$2:B1154, B1154)</f>
        <v>0.49229166666666674</v>
      </c>
      <c r="AJ1154" s="86">
        <f>AVERAGEIFS($J$2:J1154, $B$2:B1154, B1154)</f>
        <v>0.50708333333333322</v>
      </c>
      <c r="AK1154" s="86">
        <f>AVERAGEIFS($D$2:D1154, $B$2:B1154, B1154)</f>
        <v>0.47916666666666669</v>
      </c>
    </row>
    <row r="1155" spans="1:37" x14ac:dyDescent="0.25">
      <c r="A1155" s="85">
        <v>46159</v>
      </c>
      <c r="B1155" t="s">
        <v>71</v>
      </c>
      <c r="C1155">
        <v>12</v>
      </c>
      <c r="D1155">
        <v>0</v>
      </c>
      <c r="E1155">
        <v>4</v>
      </c>
      <c r="F1155">
        <v>1</v>
      </c>
      <c r="G1155">
        <v>17</v>
      </c>
      <c r="H1155">
        <v>7</v>
      </c>
      <c r="I1155">
        <v>0.25</v>
      </c>
      <c r="J1155">
        <v>0.41</v>
      </c>
      <c r="K1155">
        <v>0</v>
      </c>
      <c r="L1155">
        <v>0</v>
      </c>
      <c r="M1155">
        <v>0</v>
      </c>
      <c r="N1155">
        <v>0</v>
      </c>
      <c r="O1155">
        <v>0</v>
      </c>
      <c r="P1155">
        <v>0</v>
      </c>
      <c r="Q1155">
        <v>0</v>
      </c>
      <c r="R1155">
        <v>0</v>
      </c>
      <c r="S1155">
        <v>0</v>
      </c>
      <c r="T1155">
        <v>0</v>
      </c>
      <c r="U1155">
        <v>0</v>
      </c>
      <c r="V1155">
        <v>0</v>
      </c>
      <c r="W1155">
        <v>0</v>
      </c>
      <c r="X1155">
        <v>0</v>
      </c>
      <c r="Y1155">
        <v>0</v>
      </c>
      <c r="Z1155">
        <v>0</v>
      </c>
      <c r="AA1155">
        <v>0</v>
      </c>
      <c r="AB1155">
        <v>0</v>
      </c>
      <c r="AC1155">
        <v>0</v>
      </c>
      <c r="AD1155">
        <v>0</v>
      </c>
      <c r="AE1155">
        <v>0</v>
      </c>
      <c r="AF1155">
        <v>1</v>
      </c>
      <c r="AG1155">
        <v>0</v>
      </c>
      <c r="AH1155" s="86">
        <f>AVERAGEIFS($C$2:C1155, $B$2:B1155, B1155)</f>
        <v>13.121212121212121</v>
      </c>
      <c r="AI1155" s="86">
        <f>AVERAGEIFS($I$2:I1155, $B$2:B1155, B1155)</f>
        <v>0.44090909090909092</v>
      </c>
      <c r="AJ1155" s="86">
        <f>AVERAGEIFS($J$2:J1155, $B$2:B1155, B1155)</f>
        <v>0.46696969696969692</v>
      </c>
      <c r="AK1155" s="86">
        <f>AVERAGEIFS($D$2:D1155, $B$2:B1155, B1155)</f>
        <v>0.45454545454545453</v>
      </c>
    </row>
    <row r="1156" spans="1:37" x14ac:dyDescent="0.25">
      <c r="A1156" s="85">
        <v>46159</v>
      </c>
      <c r="B1156" t="s">
        <v>141</v>
      </c>
      <c r="C1156">
        <v>11</v>
      </c>
      <c r="D1156">
        <v>0</v>
      </c>
      <c r="E1156">
        <v>4</v>
      </c>
      <c r="F1156">
        <v>1</v>
      </c>
      <c r="G1156">
        <v>17</v>
      </c>
      <c r="H1156">
        <v>7</v>
      </c>
      <c r="I1156">
        <v>0.25</v>
      </c>
      <c r="J1156">
        <v>0.41</v>
      </c>
      <c r="K1156">
        <v>0</v>
      </c>
      <c r="L1156">
        <v>0</v>
      </c>
      <c r="M1156">
        <v>0</v>
      </c>
      <c r="N1156">
        <v>0</v>
      </c>
      <c r="O1156">
        <v>0</v>
      </c>
      <c r="P1156">
        <v>0</v>
      </c>
      <c r="Q1156">
        <v>0</v>
      </c>
      <c r="R1156">
        <v>0</v>
      </c>
      <c r="S1156">
        <v>0</v>
      </c>
      <c r="T1156">
        <v>0</v>
      </c>
      <c r="U1156">
        <v>0</v>
      </c>
      <c r="V1156">
        <v>0</v>
      </c>
      <c r="W1156">
        <v>0</v>
      </c>
      <c r="X1156">
        <v>0</v>
      </c>
      <c r="Y1156">
        <v>0</v>
      </c>
      <c r="Z1156">
        <v>0</v>
      </c>
      <c r="AA1156">
        <v>0</v>
      </c>
      <c r="AB1156">
        <v>0</v>
      </c>
      <c r="AC1156">
        <v>0</v>
      </c>
      <c r="AD1156">
        <v>0</v>
      </c>
      <c r="AE1156">
        <v>0</v>
      </c>
      <c r="AF1156">
        <v>1</v>
      </c>
      <c r="AG1156">
        <v>0</v>
      </c>
      <c r="AH1156" s="86">
        <f>AVERAGEIFS($C$2:C1156, $B$2:B1156, B1156)</f>
        <v>15.869565217391305</v>
      </c>
      <c r="AI1156" s="86">
        <f>AVERAGEIFS($I$2:I1156, $B$2:B1156, B1156)</f>
        <v>0.4934782608695652</v>
      </c>
      <c r="AJ1156" s="86">
        <f>AVERAGEIFS($J$2:J1156, $B$2:B1156, B1156)</f>
        <v>0.5086956521739131</v>
      </c>
      <c r="AK1156" s="86">
        <f>AVERAGEIFS($D$2:D1156, $B$2:B1156, B1156)</f>
        <v>0.60869565217391308</v>
      </c>
    </row>
    <row r="1157" spans="1:37" x14ac:dyDescent="0.25">
      <c r="A1157" s="85">
        <v>46159</v>
      </c>
      <c r="B1157" t="s">
        <v>17</v>
      </c>
      <c r="C1157">
        <v>14</v>
      </c>
      <c r="D1157">
        <v>0</v>
      </c>
      <c r="E1157">
        <v>4</v>
      </c>
      <c r="F1157">
        <v>1</v>
      </c>
      <c r="G1157">
        <v>17</v>
      </c>
      <c r="H1157">
        <v>7</v>
      </c>
      <c r="I1157">
        <v>0.25</v>
      </c>
      <c r="J1157">
        <v>0.41</v>
      </c>
      <c r="K1157">
        <v>0</v>
      </c>
      <c r="L1157">
        <v>0</v>
      </c>
      <c r="M1157">
        <v>0</v>
      </c>
      <c r="N1157">
        <v>0</v>
      </c>
      <c r="O1157">
        <v>0</v>
      </c>
      <c r="P1157">
        <v>0</v>
      </c>
      <c r="Q1157">
        <v>0</v>
      </c>
      <c r="R1157">
        <v>0</v>
      </c>
      <c r="S1157">
        <v>0</v>
      </c>
      <c r="T1157">
        <v>0</v>
      </c>
      <c r="U1157">
        <v>0</v>
      </c>
      <c r="V1157">
        <v>0</v>
      </c>
      <c r="W1157">
        <v>0</v>
      </c>
      <c r="X1157">
        <v>0</v>
      </c>
      <c r="Y1157">
        <v>0</v>
      </c>
      <c r="Z1157">
        <v>0</v>
      </c>
      <c r="AA1157">
        <v>0</v>
      </c>
      <c r="AB1157">
        <v>0</v>
      </c>
      <c r="AC1157">
        <v>0</v>
      </c>
      <c r="AD1157">
        <v>0</v>
      </c>
      <c r="AE1157">
        <v>0</v>
      </c>
      <c r="AF1157">
        <v>1</v>
      </c>
      <c r="AG1157">
        <v>0</v>
      </c>
      <c r="AH1157" s="86">
        <f>AVERAGEIFS($C$2:C1157, $B$2:B1157, B1157)</f>
        <v>20.13953488372093</v>
      </c>
      <c r="AI1157" s="86">
        <f>AVERAGEIFS($I$2:I1157, $B$2:B1157, B1157)</f>
        <v>0.54813953488372091</v>
      </c>
      <c r="AJ1157" s="86">
        <f>AVERAGEIFS($J$2:J1157, $B$2:B1157, B1157)</f>
        <v>0.50395348837209319</v>
      </c>
      <c r="AK1157" s="86">
        <f>AVERAGEIFS($D$2:D1157, $B$2:B1157, B1157)</f>
        <v>0.55813953488372092</v>
      </c>
    </row>
    <row r="1158" spans="1:37" x14ac:dyDescent="0.25">
      <c r="A1158" s="85">
        <v>46159</v>
      </c>
      <c r="B1158" t="s">
        <v>107</v>
      </c>
      <c r="C1158">
        <v>15</v>
      </c>
      <c r="D1158">
        <v>0</v>
      </c>
      <c r="E1158">
        <v>4</v>
      </c>
      <c r="F1158">
        <v>1</v>
      </c>
      <c r="G1158">
        <v>17</v>
      </c>
      <c r="H1158">
        <v>7</v>
      </c>
      <c r="I1158">
        <v>0.25</v>
      </c>
      <c r="J1158">
        <v>0.41</v>
      </c>
      <c r="K1158">
        <v>0</v>
      </c>
      <c r="L1158">
        <v>0</v>
      </c>
      <c r="M1158">
        <v>0</v>
      </c>
      <c r="N1158">
        <v>0</v>
      </c>
      <c r="O1158">
        <v>0</v>
      </c>
      <c r="P1158">
        <v>0</v>
      </c>
      <c r="Q1158">
        <v>0</v>
      </c>
      <c r="R1158">
        <v>0</v>
      </c>
      <c r="S1158">
        <v>0</v>
      </c>
      <c r="T1158">
        <v>0</v>
      </c>
      <c r="U1158">
        <v>0</v>
      </c>
      <c r="V1158">
        <v>0</v>
      </c>
      <c r="W1158">
        <v>0</v>
      </c>
      <c r="X1158">
        <v>0</v>
      </c>
      <c r="Y1158">
        <v>0</v>
      </c>
      <c r="Z1158">
        <v>0</v>
      </c>
      <c r="AA1158">
        <v>0</v>
      </c>
      <c r="AB1158">
        <v>0</v>
      </c>
      <c r="AC1158">
        <v>0</v>
      </c>
      <c r="AD1158">
        <v>0</v>
      </c>
      <c r="AE1158">
        <v>0</v>
      </c>
      <c r="AF1158">
        <v>1</v>
      </c>
      <c r="AG1158">
        <v>0</v>
      </c>
      <c r="AH1158" s="86">
        <f>AVERAGEIFS($C$2:C1158, $B$2:B1158, B1158)</f>
        <v>15.877551020408163</v>
      </c>
      <c r="AI1158" s="86">
        <f>AVERAGEIFS($I$2:I1158, $B$2:B1158, B1158)</f>
        <v>0.50816326530612255</v>
      </c>
      <c r="AJ1158" s="86">
        <f>AVERAGEIFS($J$2:J1158, $B$2:B1158, B1158)</f>
        <v>0.51387755102040811</v>
      </c>
      <c r="AK1158" s="86">
        <f>AVERAGEIFS($D$2:D1158, $B$2:B1158, B1158)</f>
        <v>0.5714285714285714</v>
      </c>
    </row>
    <row r="1159" spans="1:37" x14ac:dyDescent="0.25">
      <c r="A1159" s="85">
        <v>46159</v>
      </c>
      <c r="B1159" t="s">
        <v>150</v>
      </c>
      <c r="C1159">
        <v>16</v>
      </c>
      <c r="D1159">
        <v>1</v>
      </c>
      <c r="E1159">
        <v>4</v>
      </c>
      <c r="F1159">
        <v>3</v>
      </c>
      <c r="G1159">
        <v>17</v>
      </c>
      <c r="H1159">
        <v>10</v>
      </c>
      <c r="I1159">
        <v>0.75</v>
      </c>
      <c r="J1159">
        <v>0.59</v>
      </c>
      <c r="K1159">
        <v>0</v>
      </c>
      <c r="L1159">
        <v>0</v>
      </c>
      <c r="M1159">
        <v>0</v>
      </c>
      <c r="N1159">
        <v>0</v>
      </c>
      <c r="O1159">
        <v>0</v>
      </c>
      <c r="P1159">
        <v>0</v>
      </c>
      <c r="Q1159">
        <v>0</v>
      </c>
      <c r="R1159">
        <v>0</v>
      </c>
      <c r="S1159">
        <v>0</v>
      </c>
      <c r="T1159">
        <v>0</v>
      </c>
      <c r="U1159">
        <v>0</v>
      </c>
      <c r="V1159">
        <v>1</v>
      </c>
      <c r="W1159">
        <v>0</v>
      </c>
      <c r="X1159">
        <v>0</v>
      </c>
      <c r="Y1159">
        <v>0</v>
      </c>
      <c r="Z1159">
        <v>1</v>
      </c>
      <c r="AA1159">
        <v>0</v>
      </c>
      <c r="AB1159">
        <v>1</v>
      </c>
      <c r="AC1159">
        <v>0</v>
      </c>
      <c r="AD1159">
        <v>0</v>
      </c>
      <c r="AE1159">
        <v>0</v>
      </c>
      <c r="AF1159">
        <v>0</v>
      </c>
      <c r="AG1159">
        <v>0</v>
      </c>
      <c r="AH1159" s="86">
        <f>AVERAGEIFS($C$2:C1159, $B$2:B1159, B1159)</f>
        <v>18.153846153846153</v>
      </c>
      <c r="AI1159" s="86">
        <f>AVERAGEIFS($I$2:I1159, $B$2:B1159, B1159)</f>
        <v>0.58846153846153837</v>
      </c>
      <c r="AJ1159" s="86">
        <f>AVERAGEIFS($J$2:J1159, $B$2:B1159, B1159)</f>
        <v>0.56538461538461537</v>
      </c>
      <c r="AK1159" s="86">
        <f>AVERAGEIFS($D$2:D1159, $B$2:B1159, B1159)</f>
        <v>0.61538461538461542</v>
      </c>
    </row>
    <row r="1160" spans="1:37" x14ac:dyDescent="0.25">
      <c r="A1160" s="85">
        <v>46159</v>
      </c>
      <c r="B1160" t="s">
        <v>42</v>
      </c>
      <c r="C1160">
        <v>14</v>
      </c>
      <c r="D1160">
        <v>1</v>
      </c>
      <c r="E1160">
        <v>4</v>
      </c>
      <c r="F1160">
        <v>3</v>
      </c>
      <c r="G1160">
        <v>17</v>
      </c>
      <c r="H1160">
        <v>10</v>
      </c>
      <c r="I1160">
        <v>0.75</v>
      </c>
      <c r="J1160">
        <v>0.59</v>
      </c>
      <c r="K1160">
        <v>0</v>
      </c>
      <c r="L1160">
        <v>0</v>
      </c>
      <c r="M1160">
        <v>0</v>
      </c>
      <c r="N1160">
        <v>0</v>
      </c>
      <c r="O1160">
        <v>0</v>
      </c>
      <c r="P1160">
        <v>0</v>
      </c>
      <c r="Q1160">
        <v>0</v>
      </c>
      <c r="R1160">
        <v>0</v>
      </c>
      <c r="S1160">
        <v>0</v>
      </c>
      <c r="T1160">
        <v>0</v>
      </c>
      <c r="U1160">
        <v>0</v>
      </c>
      <c r="V1160">
        <v>1</v>
      </c>
      <c r="W1160">
        <v>0</v>
      </c>
      <c r="X1160">
        <v>0</v>
      </c>
      <c r="Y1160">
        <v>0</v>
      </c>
      <c r="Z1160">
        <v>1</v>
      </c>
      <c r="AA1160">
        <v>0</v>
      </c>
      <c r="AB1160">
        <v>1</v>
      </c>
      <c r="AC1160">
        <v>0</v>
      </c>
      <c r="AD1160">
        <v>0</v>
      </c>
      <c r="AE1160">
        <v>0</v>
      </c>
      <c r="AF1160">
        <v>0</v>
      </c>
      <c r="AG1160">
        <v>0</v>
      </c>
      <c r="AH1160" s="86">
        <f>AVERAGEIFS($C$2:C1160, $B$2:B1160, B1160)</f>
        <v>17.78846153846154</v>
      </c>
      <c r="AI1160" s="86">
        <f>AVERAGEIFS($I$2:I1160, $B$2:B1160, B1160)</f>
        <v>0.47211538461538471</v>
      </c>
      <c r="AJ1160" s="86">
        <f>AVERAGEIFS($J$2:J1160, $B$2:B1160, B1160)</f>
        <v>0.4640384615384614</v>
      </c>
      <c r="AK1160" s="86">
        <f>AVERAGEIFS($D$2:D1160, $B$2:B1160, B1160)</f>
        <v>0.5</v>
      </c>
    </row>
    <row r="1161" spans="1:37" x14ac:dyDescent="0.25">
      <c r="A1161" s="85">
        <v>46159</v>
      </c>
      <c r="B1161" t="s">
        <v>54</v>
      </c>
      <c r="C1161">
        <v>16</v>
      </c>
      <c r="D1161">
        <v>1</v>
      </c>
      <c r="E1161">
        <v>4</v>
      </c>
      <c r="F1161">
        <v>3</v>
      </c>
      <c r="G1161">
        <v>17</v>
      </c>
      <c r="H1161">
        <v>10</v>
      </c>
      <c r="I1161">
        <v>0.75</v>
      </c>
      <c r="J1161">
        <v>0.59</v>
      </c>
      <c r="K1161">
        <v>0</v>
      </c>
      <c r="L1161">
        <v>0</v>
      </c>
      <c r="M1161">
        <v>0</v>
      </c>
      <c r="N1161">
        <v>0</v>
      </c>
      <c r="O1161">
        <v>0</v>
      </c>
      <c r="P1161">
        <v>0</v>
      </c>
      <c r="Q1161">
        <v>0</v>
      </c>
      <c r="R1161">
        <v>0</v>
      </c>
      <c r="S1161">
        <v>0</v>
      </c>
      <c r="T1161">
        <v>0</v>
      </c>
      <c r="U1161">
        <v>0</v>
      </c>
      <c r="V1161">
        <v>1</v>
      </c>
      <c r="W1161">
        <v>0</v>
      </c>
      <c r="X1161">
        <v>0</v>
      </c>
      <c r="Y1161">
        <v>0</v>
      </c>
      <c r="Z1161">
        <v>1</v>
      </c>
      <c r="AA1161">
        <v>0</v>
      </c>
      <c r="AB1161">
        <v>1</v>
      </c>
      <c r="AC1161">
        <v>0</v>
      </c>
      <c r="AD1161">
        <v>0</v>
      </c>
      <c r="AE1161">
        <v>0</v>
      </c>
      <c r="AF1161">
        <v>0</v>
      </c>
      <c r="AG1161">
        <v>0</v>
      </c>
      <c r="AH1161" s="86">
        <f>AVERAGEIFS($C$2:C1161, $B$2:B1161, B1161)</f>
        <v>23.265625</v>
      </c>
      <c r="AI1161" s="86">
        <f>AVERAGEIFS($I$2:I1161, $B$2:B1161, B1161)</f>
        <v>0.53390625000000003</v>
      </c>
      <c r="AJ1161" s="86">
        <f>AVERAGEIFS($J$2:J1161, $B$2:B1161, B1161)</f>
        <v>0.51015624999999998</v>
      </c>
      <c r="AK1161" s="86">
        <f>AVERAGEIFS($D$2:D1161, $B$2:B1161, B1161)</f>
        <v>0.546875</v>
      </c>
    </row>
    <row r="1162" spans="1:37" x14ac:dyDescent="0.25">
      <c r="A1162" s="85">
        <v>46159</v>
      </c>
      <c r="B1162" t="s">
        <v>40</v>
      </c>
      <c r="C1162">
        <v>17</v>
      </c>
      <c r="D1162">
        <v>1</v>
      </c>
      <c r="E1162">
        <v>4</v>
      </c>
      <c r="F1162">
        <v>3</v>
      </c>
      <c r="G1162">
        <v>17</v>
      </c>
      <c r="H1162">
        <v>10</v>
      </c>
      <c r="I1162">
        <v>0.75</v>
      </c>
      <c r="J1162">
        <v>0.59</v>
      </c>
      <c r="K1162">
        <v>0</v>
      </c>
      <c r="L1162">
        <v>0</v>
      </c>
      <c r="M1162">
        <v>0</v>
      </c>
      <c r="N1162">
        <v>0</v>
      </c>
      <c r="O1162">
        <v>0</v>
      </c>
      <c r="P1162">
        <v>0</v>
      </c>
      <c r="Q1162">
        <v>0</v>
      </c>
      <c r="R1162">
        <v>0</v>
      </c>
      <c r="S1162">
        <v>0</v>
      </c>
      <c r="T1162">
        <v>0</v>
      </c>
      <c r="U1162">
        <v>0</v>
      </c>
      <c r="V1162">
        <v>1</v>
      </c>
      <c r="W1162">
        <v>0</v>
      </c>
      <c r="X1162">
        <v>0</v>
      </c>
      <c r="Y1162">
        <v>0</v>
      </c>
      <c r="Z1162">
        <v>1</v>
      </c>
      <c r="AA1162">
        <v>0</v>
      </c>
      <c r="AB1162">
        <v>1</v>
      </c>
      <c r="AC1162">
        <v>0</v>
      </c>
      <c r="AD1162">
        <v>0</v>
      </c>
      <c r="AE1162">
        <v>0</v>
      </c>
      <c r="AF1162">
        <v>0</v>
      </c>
      <c r="AG1162">
        <v>0</v>
      </c>
      <c r="AH1162" s="86">
        <f>AVERAGEIFS($C$2:C1162, $B$2:B1162, B1162)</f>
        <v>18.385714285714286</v>
      </c>
      <c r="AI1162" s="86">
        <f>AVERAGEIFS($I$2:I1162, $B$2:B1162, B1162)</f>
        <v>0.47928571428571415</v>
      </c>
      <c r="AJ1162" s="86">
        <f>AVERAGEIFS($J$2:J1162, $B$2:B1162, B1162)</f>
        <v>0.48228571428571448</v>
      </c>
      <c r="AK1162" s="86">
        <f>AVERAGEIFS($D$2:D1162, $B$2:B1162, B1162)</f>
        <v>0.42857142857142855</v>
      </c>
    </row>
    <row r="1163" spans="1:37" x14ac:dyDescent="0.25">
      <c r="A1163" s="85">
        <v>46159</v>
      </c>
      <c r="B1163" t="s">
        <v>4</v>
      </c>
      <c r="C1163">
        <v>15</v>
      </c>
      <c r="D1163">
        <v>1</v>
      </c>
      <c r="E1163">
        <v>4</v>
      </c>
      <c r="F1163">
        <v>3</v>
      </c>
      <c r="G1163">
        <v>17</v>
      </c>
      <c r="H1163">
        <v>10</v>
      </c>
      <c r="I1163">
        <v>0.75</v>
      </c>
      <c r="J1163">
        <v>0.59</v>
      </c>
      <c r="K1163">
        <v>0</v>
      </c>
      <c r="L1163">
        <v>0</v>
      </c>
      <c r="M1163">
        <v>0</v>
      </c>
      <c r="N1163">
        <v>0</v>
      </c>
      <c r="O1163">
        <v>0</v>
      </c>
      <c r="P1163">
        <v>0</v>
      </c>
      <c r="Q1163">
        <v>0</v>
      </c>
      <c r="R1163">
        <v>0</v>
      </c>
      <c r="S1163">
        <v>0</v>
      </c>
      <c r="T1163">
        <v>0</v>
      </c>
      <c r="U1163">
        <v>0</v>
      </c>
      <c r="V1163">
        <v>1</v>
      </c>
      <c r="W1163">
        <v>0</v>
      </c>
      <c r="X1163">
        <v>0</v>
      </c>
      <c r="Y1163">
        <v>0</v>
      </c>
      <c r="Z1163">
        <v>1</v>
      </c>
      <c r="AA1163">
        <v>0</v>
      </c>
      <c r="AB1163">
        <v>1</v>
      </c>
      <c r="AC1163">
        <v>0</v>
      </c>
      <c r="AD1163">
        <v>0</v>
      </c>
      <c r="AE1163">
        <v>0</v>
      </c>
      <c r="AF1163">
        <v>0</v>
      </c>
      <c r="AG1163">
        <v>0</v>
      </c>
      <c r="AH1163" s="86">
        <f>AVERAGEIFS($C$2:C1163, $B$2:B1163, B1163)</f>
        <v>24</v>
      </c>
      <c r="AI1163" s="86">
        <f>AVERAGEIFS($I$2:I1163, $B$2:B1163, B1163)</f>
        <v>0.45375000000000004</v>
      </c>
      <c r="AJ1163" s="86">
        <f>AVERAGEIFS($J$2:J1163, $B$2:B1163, B1163)</f>
        <v>0.47124999999999995</v>
      </c>
      <c r="AK1163" s="86">
        <f>AVERAGEIFS($D$2:D1163, $B$2:B1163, B1163)</f>
        <v>0.4</v>
      </c>
    </row>
    <row r="1164" spans="1:37" x14ac:dyDescent="0.25">
      <c r="A1164" s="85">
        <v>46159</v>
      </c>
      <c r="B1164" t="s">
        <v>113</v>
      </c>
      <c r="C1164">
        <v>27</v>
      </c>
      <c r="D1164">
        <v>1</v>
      </c>
      <c r="E1164">
        <v>4</v>
      </c>
      <c r="F1164">
        <v>3</v>
      </c>
      <c r="G1164">
        <v>17</v>
      </c>
      <c r="H1164">
        <v>10</v>
      </c>
      <c r="I1164">
        <v>0.75</v>
      </c>
      <c r="J1164">
        <v>0.59</v>
      </c>
      <c r="K1164">
        <v>0</v>
      </c>
      <c r="L1164">
        <v>0</v>
      </c>
      <c r="M1164">
        <v>0</v>
      </c>
      <c r="N1164">
        <v>0</v>
      </c>
      <c r="O1164">
        <v>0</v>
      </c>
      <c r="P1164">
        <v>0</v>
      </c>
      <c r="Q1164">
        <v>0</v>
      </c>
      <c r="R1164">
        <v>0</v>
      </c>
      <c r="S1164">
        <v>0</v>
      </c>
      <c r="T1164">
        <v>0</v>
      </c>
      <c r="U1164">
        <v>0</v>
      </c>
      <c r="V1164">
        <v>1</v>
      </c>
      <c r="W1164">
        <v>0</v>
      </c>
      <c r="X1164">
        <v>0</v>
      </c>
      <c r="Y1164">
        <v>0</v>
      </c>
      <c r="Z1164">
        <v>1</v>
      </c>
      <c r="AA1164">
        <v>0</v>
      </c>
      <c r="AB1164">
        <v>1</v>
      </c>
      <c r="AC1164">
        <v>0</v>
      </c>
      <c r="AD1164">
        <v>0</v>
      </c>
      <c r="AE1164">
        <v>0</v>
      </c>
      <c r="AF1164">
        <v>0</v>
      </c>
      <c r="AG1164">
        <v>0</v>
      </c>
      <c r="AH1164" s="86">
        <f>AVERAGEIFS($C$2:C1164, $B$2:B1164, B1164)</f>
        <v>18.244444444444444</v>
      </c>
      <c r="AI1164" s="86">
        <f>AVERAGEIFS($I$2:I1164, $B$2:B1164, B1164)</f>
        <v>0.5477777777777777</v>
      </c>
      <c r="AJ1164" s="86">
        <f>AVERAGEIFS($J$2:J1164, $B$2:B1164, B1164)</f>
        <v>0.52133333333333343</v>
      </c>
      <c r="AK1164" s="86">
        <f>AVERAGEIFS($D$2:D1164, $B$2:B1164, B1164)</f>
        <v>0.51111111111111107</v>
      </c>
    </row>
    <row r="1165" spans="1:37" x14ac:dyDescent="0.25">
      <c r="A1165" s="85">
        <v>46160</v>
      </c>
      <c r="B1165" t="s">
        <v>27</v>
      </c>
      <c r="C1165">
        <v>19</v>
      </c>
      <c r="D1165">
        <v>0</v>
      </c>
      <c r="E1165">
        <v>5</v>
      </c>
      <c r="F1165">
        <v>2</v>
      </c>
      <c r="G1165">
        <v>22</v>
      </c>
      <c r="H1165">
        <v>11</v>
      </c>
      <c r="I1165">
        <v>0.4</v>
      </c>
      <c r="J1165">
        <v>0.5</v>
      </c>
      <c r="K1165">
        <v>0</v>
      </c>
      <c r="L1165">
        <v>0</v>
      </c>
      <c r="M1165">
        <v>0</v>
      </c>
      <c r="N1165">
        <v>0</v>
      </c>
      <c r="O1165">
        <v>1</v>
      </c>
      <c r="P1165">
        <v>0</v>
      </c>
      <c r="Q1165">
        <v>0</v>
      </c>
      <c r="R1165">
        <v>0</v>
      </c>
      <c r="S1165">
        <v>0</v>
      </c>
      <c r="T1165">
        <v>0</v>
      </c>
      <c r="U1165">
        <v>0</v>
      </c>
      <c r="V1165">
        <v>0</v>
      </c>
      <c r="W1165">
        <v>0</v>
      </c>
      <c r="X1165">
        <v>0</v>
      </c>
      <c r="Y1165">
        <v>0</v>
      </c>
      <c r="Z1165">
        <v>1</v>
      </c>
      <c r="AA1165">
        <v>0</v>
      </c>
      <c r="AB1165">
        <v>0</v>
      </c>
      <c r="AC1165">
        <v>0</v>
      </c>
      <c r="AD1165">
        <v>0</v>
      </c>
      <c r="AE1165">
        <v>0</v>
      </c>
      <c r="AF1165">
        <v>0</v>
      </c>
      <c r="AG1165">
        <v>0</v>
      </c>
      <c r="AH1165" s="86">
        <f>AVERAGEIFS($C$2:C1165, $B$2:B1165, B1165)</f>
        <v>12.090909090909092</v>
      </c>
      <c r="AI1165" s="86">
        <f>AVERAGEIFS($I$2:I1165, $B$2:B1165, B1165)</f>
        <v>0.4</v>
      </c>
      <c r="AJ1165" s="86">
        <f>AVERAGEIFS($J$2:J1165, $B$2:B1165, B1165)</f>
        <v>0.40727272727272729</v>
      </c>
      <c r="AK1165" s="86">
        <f>AVERAGEIFS($D$2:D1165, $B$2:B1165, B1165)</f>
        <v>0.27272727272727271</v>
      </c>
    </row>
    <row r="1166" spans="1:37" x14ac:dyDescent="0.25">
      <c r="A1166" s="85">
        <v>46160</v>
      </c>
      <c r="B1166" t="s">
        <v>152</v>
      </c>
      <c r="C1166">
        <v>23</v>
      </c>
      <c r="D1166">
        <v>0</v>
      </c>
      <c r="E1166">
        <v>5</v>
      </c>
      <c r="F1166">
        <v>2</v>
      </c>
      <c r="G1166">
        <v>22</v>
      </c>
      <c r="H1166">
        <v>11</v>
      </c>
      <c r="I1166">
        <v>0.4</v>
      </c>
      <c r="J1166">
        <v>0.5</v>
      </c>
      <c r="K1166">
        <v>0</v>
      </c>
      <c r="L1166">
        <v>0</v>
      </c>
      <c r="M1166">
        <v>0</v>
      </c>
      <c r="N1166">
        <v>0</v>
      </c>
      <c r="O1166">
        <v>1</v>
      </c>
      <c r="P1166">
        <v>0</v>
      </c>
      <c r="Q1166">
        <v>0</v>
      </c>
      <c r="R1166">
        <v>0</v>
      </c>
      <c r="S1166">
        <v>0</v>
      </c>
      <c r="T1166">
        <v>0</v>
      </c>
      <c r="U1166">
        <v>0</v>
      </c>
      <c r="V1166">
        <v>0</v>
      </c>
      <c r="W1166">
        <v>0</v>
      </c>
      <c r="X1166">
        <v>0</v>
      </c>
      <c r="Y1166">
        <v>0</v>
      </c>
      <c r="Z1166">
        <v>1</v>
      </c>
      <c r="AA1166">
        <v>0</v>
      </c>
      <c r="AB1166">
        <v>0</v>
      </c>
      <c r="AC1166">
        <v>0</v>
      </c>
      <c r="AD1166">
        <v>0</v>
      </c>
      <c r="AE1166">
        <v>0</v>
      </c>
      <c r="AF1166">
        <v>0</v>
      </c>
      <c r="AG1166">
        <v>0</v>
      </c>
      <c r="AH1166" s="86">
        <f>AVERAGEIFS($C$2:C1166, $B$2:B1166, B1166)</f>
        <v>12.9</v>
      </c>
      <c r="AI1166" s="86">
        <f>AVERAGEIFS($I$2:I1166, $B$2:B1166, B1166)</f>
        <v>0.38500000000000001</v>
      </c>
      <c r="AJ1166" s="86">
        <f>AVERAGEIFS($J$2:J1166, $B$2:B1166, B1166)</f>
        <v>0.47400000000000003</v>
      </c>
      <c r="AK1166" s="86">
        <f>AVERAGEIFS($D$2:D1166, $B$2:B1166, B1166)</f>
        <v>0.3</v>
      </c>
    </row>
    <row r="1167" spans="1:37" x14ac:dyDescent="0.25">
      <c r="A1167" s="85">
        <v>46160</v>
      </c>
      <c r="B1167" t="s">
        <v>54</v>
      </c>
      <c r="C1167">
        <v>35</v>
      </c>
      <c r="D1167">
        <v>0</v>
      </c>
      <c r="E1167">
        <v>5</v>
      </c>
      <c r="F1167">
        <v>2</v>
      </c>
      <c r="G1167">
        <v>22</v>
      </c>
      <c r="H1167">
        <v>11</v>
      </c>
      <c r="I1167">
        <v>0.4</v>
      </c>
      <c r="J1167">
        <v>0.5</v>
      </c>
      <c r="K1167">
        <v>0</v>
      </c>
      <c r="L1167">
        <v>0</v>
      </c>
      <c r="M1167">
        <v>0</v>
      </c>
      <c r="N1167">
        <v>0</v>
      </c>
      <c r="O1167">
        <v>1</v>
      </c>
      <c r="P1167">
        <v>0</v>
      </c>
      <c r="Q1167">
        <v>0</v>
      </c>
      <c r="R1167">
        <v>0</v>
      </c>
      <c r="S1167">
        <v>0</v>
      </c>
      <c r="T1167">
        <v>0</v>
      </c>
      <c r="U1167">
        <v>0</v>
      </c>
      <c r="V1167">
        <v>0</v>
      </c>
      <c r="W1167">
        <v>0</v>
      </c>
      <c r="X1167">
        <v>0</v>
      </c>
      <c r="Y1167">
        <v>0</v>
      </c>
      <c r="Z1167">
        <v>1</v>
      </c>
      <c r="AA1167">
        <v>0</v>
      </c>
      <c r="AB1167">
        <v>0</v>
      </c>
      <c r="AC1167">
        <v>0</v>
      </c>
      <c r="AD1167">
        <v>0</v>
      </c>
      <c r="AE1167">
        <v>0</v>
      </c>
      <c r="AF1167">
        <v>0</v>
      </c>
      <c r="AG1167">
        <v>0</v>
      </c>
      <c r="AH1167" s="86">
        <f>AVERAGEIFS($C$2:C1167, $B$2:B1167, B1167)</f>
        <v>23.446153846153845</v>
      </c>
      <c r="AI1167" s="86">
        <f>AVERAGEIFS($I$2:I1167, $B$2:B1167, B1167)</f>
        <v>0.53184615384615386</v>
      </c>
      <c r="AJ1167" s="86">
        <f>AVERAGEIFS($J$2:J1167, $B$2:B1167, B1167)</f>
        <v>0.51</v>
      </c>
      <c r="AK1167" s="86">
        <f>AVERAGEIFS($D$2:D1167, $B$2:B1167, B1167)</f>
        <v>0.53846153846153844</v>
      </c>
    </row>
    <row r="1168" spans="1:37" x14ac:dyDescent="0.25">
      <c r="A1168" s="85">
        <v>46160</v>
      </c>
      <c r="B1168" t="s">
        <v>2</v>
      </c>
      <c r="C1168">
        <v>45</v>
      </c>
      <c r="D1168">
        <v>0</v>
      </c>
      <c r="E1168">
        <v>5</v>
      </c>
      <c r="F1168">
        <v>2</v>
      </c>
      <c r="G1168">
        <v>22</v>
      </c>
      <c r="H1168">
        <v>11</v>
      </c>
      <c r="I1168">
        <v>0.4</v>
      </c>
      <c r="J1168">
        <v>0.5</v>
      </c>
      <c r="K1168">
        <v>0</v>
      </c>
      <c r="L1168">
        <v>0</v>
      </c>
      <c r="M1168">
        <v>0</v>
      </c>
      <c r="N1168">
        <v>0</v>
      </c>
      <c r="O1168">
        <v>1</v>
      </c>
      <c r="P1168">
        <v>0</v>
      </c>
      <c r="Q1168">
        <v>0</v>
      </c>
      <c r="R1168">
        <v>0</v>
      </c>
      <c r="S1168">
        <v>0</v>
      </c>
      <c r="T1168">
        <v>0</v>
      </c>
      <c r="U1168">
        <v>0</v>
      </c>
      <c r="V1168">
        <v>0</v>
      </c>
      <c r="W1168">
        <v>0</v>
      </c>
      <c r="X1168">
        <v>0</v>
      </c>
      <c r="Y1168">
        <v>0</v>
      </c>
      <c r="Z1168">
        <v>1</v>
      </c>
      <c r="AA1168">
        <v>0</v>
      </c>
      <c r="AB1168">
        <v>0</v>
      </c>
      <c r="AC1168">
        <v>0</v>
      </c>
      <c r="AD1168">
        <v>0</v>
      </c>
      <c r="AE1168">
        <v>0</v>
      </c>
      <c r="AF1168">
        <v>0</v>
      </c>
      <c r="AG1168">
        <v>0</v>
      </c>
      <c r="AH1168" s="86">
        <f>AVERAGEIFS($C$2:C1168, $B$2:B1168, B1168)</f>
        <v>23.173913043478262</v>
      </c>
      <c r="AI1168" s="86">
        <f>AVERAGEIFS($I$2:I1168, $B$2:B1168, B1168)</f>
        <v>0.50608695652173896</v>
      </c>
      <c r="AJ1168" s="86">
        <f>AVERAGEIFS($J$2:J1168, $B$2:B1168, B1168)</f>
        <v>0.53021739130434775</v>
      </c>
      <c r="AK1168" s="86">
        <f>AVERAGEIFS($D$2:D1168, $B$2:B1168, B1168)</f>
        <v>0.47826086956521741</v>
      </c>
    </row>
    <row r="1169" spans="1:37" x14ac:dyDescent="0.25">
      <c r="A1169" s="85">
        <v>46160</v>
      </c>
      <c r="B1169" t="s">
        <v>147</v>
      </c>
      <c r="C1169">
        <v>28</v>
      </c>
      <c r="D1169">
        <v>0</v>
      </c>
      <c r="E1169">
        <v>5</v>
      </c>
      <c r="F1169">
        <v>2</v>
      </c>
      <c r="G1169">
        <v>22</v>
      </c>
      <c r="H1169">
        <v>11</v>
      </c>
      <c r="I1169">
        <v>0.4</v>
      </c>
      <c r="J1169">
        <v>0.5</v>
      </c>
      <c r="K1169">
        <v>0</v>
      </c>
      <c r="L1169">
        <v>0</v>
      </c>
      <c r="M1169">
        <v>0</v>
      </c>
      <c r="N1169">
        <v>0</v>
      </c>
      <c r="O1169">
        <v>1</v>
      </c>
      <c r="P1169">
        <v>0</v>
      </c>
      <c r="Q1169">
        <v>0</v>
      </c>
      <c r="R1169">
        <v>0</v>
      </c>
      <c r="S1169">
        <v>0</v>
      </c>
      <c r="T1169">
        <v>0</v>
      </c>
      <c r="U1169">
        <v>0</v>
      </c>
      <c r="V1169">
        <v>0</v>
      </c>
      <c r="W1169">
        <v>0</v>
      </c>
      <c r="X1169">
        <v>0</v>
      </c>
      <c r="Y1169">
        <v>0</v>
      </c>
      <c r="Z1169">
        <v>1</v>
      </c>
      <c r="AA1169">
        <v>0</v>
      </c>
      <c r="AB1169">
        <v>0</v>
      </c>
      <c r="AC1169">
        <v>0</v>
      </c>
      <c r="AD1169">
        <v>0</v>
      </c>
      <c r="AE1169">
        <v>0</v>
      </c>
      <c r="AF1169">
        <v>0</v>
      </c>
      <c r="AG1169">
        <v>0</v>
      </c>
      <c r="AH1169" s="86">
        <f>AVERAGEIFS($C$2:C1169, $B$2:B1169, B1169)</f>
        <v>14.083333333333334</v>
      </c>
      <c r="AI1169" s="86">
        <f>AVERAGEIFS($I$2:I1169, $B$2:B1169, B1169)</f>
        <v>0.5625</v>
      </c>
      <c r="AJ1169" s="86">
        <f>AVERAGEIFS($J$2:J1169, $B$2:B1169, B1169)</f>
        <v>0.5344444444444445</v>
      </c>
      <c r="AK1169" s="86">
        <f>AVERAGEIFS($D$2:D1169, $B$2:B1169, B1169)</f>
        <v>0.52777777777777779</v>
      </c>
    </row>
    <row r="1170" spans="1:37" x14ac:dyDescent="0.25">
      <c r="A1170" s="85">
        <v>46160</v>
      </c>
      <c r="B1170" t="s">
        <v>107</v>
      </c>
      <c r="C1170">
        <v>31</v>
      </c>
      <c r="D1170">
        <v>0</v>
      </c>
      <c r="E1170">
        <v>5</v>
      </c>
      <c r="F1170">
        <v>2</v>
      </c>
      <c r="G1170">
        <v>22</v>
      </c>
      <c r="H1170">
        <v>11</v>
      </c>
      <c r="I1170">
        <v>0.4</v>
      </c>
      <c r="J1170">
        <v>0.5</v>
      </c>
      <c r="K1170">
        <v>0</v>
      </c>
      <c r="L1170">
        <v>0</v>
      </c>
      <c r="M1170">
        <v>0</v>
      </c>
      <c r="N1170">
        <v>0</v>
      </c>
      <c r="O1170">
        <v>1</v>
      </c>
      <c r="P1170">
        <v>0</v>
      </c>
      <c r="Q1170">
        <v>0</v>
      </c>
      <c r="R1170">
        <v>0</v>
      </c>
      <c r="S1170">
        <v>0</v>
      </c>
      <c r="T1170">
        <v>0</v>
      </c>
      <c r="U1170">
        <v>0</v>
      </c>
      <c r="V1170">
        <v>0</v>
      </c>
      <c r="W1170">
        <v>0</v>
      </c>
      <c r="X1170">
        <v>0</v>
      </c>
      <c r="Y1170">
        <v>0</v>
      </c>
      <c r="Z1170">
        <v>1</v>
      </c>
      <c r="AA1170">
        <v>0</v>
      </c>
      <c r="AB1170">
        <v>0</v>
      </c>
      <c r="AC1170">
        <v>0</v>
      </c>
      <c r="AD1170">
        <v>0</v>
      </c>
      <c r="AE1170">
        <v>0</v>
      </c>
      <c r="AF1170">
        <v>0</v>
      </c>
      <c r="AG1170">
        <v>0</v>
      </c>
      <c r="AH1170" s="86">
        <f>AVERAGEIFS($C$2:C1170, $B$2:B1170, B1170)</f>
        <v>16.18</v>
      </c>
      <c r="AI1170" s="86">
        <f>AVERAGEIFS($I$2:I1170, $B$2:B1170, B1170)</f>
        <v>0.50600000000000012</v>
      </c>
      <c r="AJ1170" s="86">
        <f>AVERAGEIFS($J$2:J1170, $B$2:B1170, B1170)</f>
        <v>0.51359999999999995</v>
      </c>
      <c r="AK1170" s="86">
        <f>AVERAGEIFS($D$2:D1170, $B$2:B1170, B1170)</f>
        <v>0.56000000000000005</v>
      </c>
    </row>
    <row r="1171" spans="1:37" x14ac:dyDescent="0.25">
      <c r="A1171" s="85">
        <v>46160</v>
      </c>
      <c r="B1171" t="s">
        <v>140</v>
      </c>
      <c r="C1171">
        <v>6</v>
      </c>
      <c r="D1171">
        <v>0</v>
      </c>
      <c r="E1171">
        <v>5</v>
      </c>
      <c r="F1171">
        <v>2</v>
      </c>
      <c r="G1171">
        <v>22</v>
      </c>
      <c r="H1171">
        <v>11</v>
      </c>
      <c r="I1171">
        <v>0.4</v>
      </c>
      <c r="J1171">
        <v>0.5</v>
      </c>
      <c r="K1171">
        <v>0</v>
      </c>
      <c r="L1171">
        <v>0</v>
      </c>
      <c r="M1171">
        <v>0</v>
      </c>
      <c r="N1171">
        <v>0</v>
      </c>
      <c r="O1171">
        <v>1</v>
      </c>
      <c r="P1171">
        <v>0</v>
      </c>
      <c r="Q1171">
        <v>0</v>
      </c>
      <c r="R1171">
        <v>0</v>
      </c>
      <c r="S1171">
        <v>0</v>
      </c>
      <c r="T1171">
        <v>0</v>
      </c>
      <c r="U1171">
        <v>0</v>
      </c>
      <c r="V1171">
        <v>0</v>
      </c>
      <c r="W1171">
        <v>0</v>
      </c>
      <c r="X1171">
        <v>0</v>
      </c>
      <c r="Y1171">
        <v>0</v>
      </c>
      <c r="Z1171">
        <v>1</v>
      </c>
      <c r="AA1171">
        <v>0</v>
      </c>
      <c r="AB1171">
        <v>0</v>
      </c>
      <c r="AC1171">
        <v>0</v>
      </c>
      <c r="AD1171">
        <v>0</v>
      </c>
      <c r="AE1171">
        <v>0</v>
      </c>
      <c r="AF1171">
        <v>0</v>
      </c>
      <c r="AG1171">
        <v>0</v>
      </c>
      <c r="AH1171" s="86">
        <f>AVERAGEIFS($C$2:C1171, $B$2:B1171, B1171)</f>
        <v>12.55</v>
      </c>
      <c r="AI1171" s="86">
        <f>AVERAGEIFS($I$2:I1171, $B$2:B1171, B1171)</f>
        <v>0.52250000000000008</v>
      </c>
      <c r="AJ1171" s="86">
        <f>AVERAGEIFS($J$2:J1171, $B$2:B1171, B1171)</f>
        <v>0.5069999999999999</v>
      </c>
      <c r="AK1171" s="86">
        <f>AVERAGEIFS($D$2:D1171, $B$2:B1171, B1171)</f>
        <v>0.5</v>
      </c>
    </row>
    <row r="1172" spans="1:37" x14ac:dyDescent="0.25">
      <c r="A1172" s="85">
        <v>46160</v>
      </c>
      <c r="B1172" t="s">
        <v>5</v>
      </c>
      <c r="C1172">
        <v>11</v>
      </c>
      <c r="D1172">
        <v>0</v>
      </c>
      <c r="E1172">
        <v>5</v>
      </c>
      <c r="F1172">
        <v>2</v>
      </c>
      <c r="G1172">
        <v>22</v>
      </c>
      <c r="H1172">
        <v>11</v>
      </c>
      <c r="I1172">
        <v>0.4</v>
      </c>
      <c r="J1172">
        <v>0.5</v>
      </c>
      <c r="K1172">
        <v>0</v>
      </c>
      <c r="L1172">
        <v>0</v>
      </c>
      <c r="M1172">
        <v>0</v>
      </c>
      <c r="N1172">
        <v>0</v>
      </c>
      <c r="O1172">
        <v>1</v>
      </c>
      <c r="P1172">
        <v>0</v>
      </c>
      <c r="Q1172">
        <v>0</v>
      </c>
      <c r="R1172">
        <v>0</v>
      </c>
      <c r="S1172">
        <v>0</v>
      </c>
      <c r="T1172">
        <v>0</v>
      </c>
      <c r="U1172">
        <v>0</v>
      </c>
      <c r="V1172">
        <v>0</v>
      </c>
      <c r="W1172">
        <v>0</v>
      </c>
      <c r="X1172">
        <v>0</v>
      </c>
      <c r="Y1172">
        <v>0</v>
      </c>
      <c r="Z1172">
        <v>1</v>
      </c>
      <c r="AA1172">
        <v>0</v>
      </c>
      <c r="AB1172">
        <v>0</v>
      </c>
      <c r="AC1172">
        <v>0</v>
      </c>
      <c r="AD1172">
        <v>0</v>
      </c>
      <c r="AE1172">
        <v>0</v>
      </c>
      <c r="AF1172">
        <v>0</v>
      </c>
      <c r="AG1172">
        <v>0</v>
      </c>
      <c r="AH1172" s="86">
        <f>AVERAGEIFS($C$2:C1172, $B$2:B1172, B1172)</f>
        <v>19.131578947368421</v>
      </c>
      <c r="AI1172" s="86">
        <f>AVERAGEIFS($I$2:I1172, $B$2:B1172, B1172)</f>
        <v>0.54263157894736835</v>
      </c>
      <c r="AJ1172" s="86">
        <f>AVERAGEIFS($J$2:J1172, $B$2:B1172, B1172)</f>
        <v>0.5213157894736844</v>
      </c>
      <c r="AK1172" s="86">
        <f>AVERAGEIFS($D$2:D1172, $B$2:B1172, B1172)</f>
        <v>0.60526315789473684</v>
      </c>
    </row>
    <row r="1173" spans="1:37" x14ac:dyDescent="0.25">
      <c r="A1173" s="85">
        <v>46160</v>
      </c>
      <c r="B1173" t="s">
        <v>115</v>
      </c>
      <c r="C1173">
        <v>22</v>
      </c>
      <c r="D1173">
        <v>1</v>
      </c>
      <c r="E1173">
        <v>5</v>
      </c>
      <c r="F1173">
        <v>3</v>
      </c>
      <c r="G1173">
        <v>22</v>
      </c>
      <c r="H1173">
        <v>11</v>
      </c>
      <c r="I1173">
        <v>0.6</v>
      </c>
      <c r="J1173">
        <v>0.5</v>
      </c>
      <c r="K1173">
        <v>0</v>
      </c>
      <c r="L1173">
        <v>0</v>
      </c>
      <c r="M1173">
        <v>1</v>
      </c>
      <c r="N1173">
        <v>1</v>
      </c>
      <c r="O1173">
        <v>0</v>
      </c>
      <c r="P1173">
        <v>0</v>
      </c>
      <c r="Q1173">
        <v>0</v>
      </c>
      <c r="R1173">
        <v>0</v>
      </c>
      <c r="S1173">
        <v>0</v>
      </c>
      <c r="T1173">
        <v>0</v>
      </c>
      <c r="U1173">
        <v>0</v>
      </c>
      <c r="V1173">
        <v>1</v>
      </c>
      <c r="W1173">
        <v>0</v>
      </c>
      <c r="X1173">
        <v>0</v>
      </c>
      <c r="Y1173">
        <v>0</v>
      </c>
      <c r="Z1173">
        <v>0</v>
      </c>
      <c r="AA1173">
        <v>0</v>
      </c>
      <c r="AB1173">
        <v>0</v>
      </c>
      <c r="AC1173">
        <v>0</v>
      </c>
      <c r="AD1173">
        <v>0</v>
      </c>
      <c r="AE1173">
        <v>0</v>
      </c>
      <c r="AF1173">
        <v>0</v>
      </c>
      <c r="AG1173">
        <v>0</v>
      </c>
      <c r="AH1173" s="86">
        <f>AVERAGEIFS($C$2:C1173, $B$2:B1173, B1173)</f>
        <v>14.5</v>
      </c>
      <c r="AI1173" s="86">
        <f>AVERAGEIFS($I$2:I1173, $B$2:B1173, B1173)</f>
        <v>0.43749999999999994</v>
      </c>
      <c r="AJ1173" s="86">
        <f>AVERAGEIFS($J$2:J1173, $B$2:B1173, B1173)</f>
        <v>0.46916666666666657</v>
      </c>
      <c r="AK1173" s="86">
        <f>AVERAGEIFS($D$2:D1173, $B$2:B1173, B1173)</f>
        <v>0.41666666666666669</v>
      </c>
    </row>
    <row r="1174" spans="1:37" x14ac:dyDescent="0.25">
      <c r="A1174" s="85">
        <v>46160</v>
      </c>
      <c r="B1174" t="s">
        <v>161</v>
      </c>
      <c r="C1174">
        <v>9</v>
      </c>
      <c r="D1174">
        <v>1</v>
      </c>
      <c r="E1174">
        <v>5</v>
      </c>
      <c r="F1174">
        <v>3</v>
      </c>
      <c r="G1174">
        <v>22</v>
      </c>
      <c r="H1174">
        <v>11</v>
      </c>
      <c r="I1174">
        <v>0.6</v>
      </c>
      <c r="J1174">
        <v>0.5</v>
      </c>
      <c r="K1174">
        <v>0</v>
      </c>
      <c r="L1174">
        <v>0</v>
      </c>
      <c r="M1174">
        <v>1</v>
      </c>
      <c r="N1174">
        <v>1</v>
      </c>
      <c r="O1174">
        <v>0</v>
      </c>
      <c r="P1174">
        <v>0</v>
      </c>
      <c r="Q1174">
        <v>0</v>
      </c>
      <c r="R1174">
        <v>0</v>
      </c>
      <c r="S1174">
        <v>0</v>
      </c>
      <c r="T1174">
        <v>0</v>
      </c>
      <c r="U1174">
        <v>0</v>
      </c>
      <c r="V1174">
        <v>1</v>
      </c>
      <c r="W1174">
        <v>0</v>
      </c>
      <c r="X1174">
        <v>0</v>
      </c>
      <c r="Y1174">
        <v>0</v>
      </c>
      <c r="Z1174">
        <v>0</v>
      </c>
      <c r="AA1174">
        <v>0</v>
      </c>
      <c r="AB1174">
        <v>0</v>
      </c>
      <c r="AC1174">
        <v>0</v>
      </c>
      <c r="AD1174">
        <v>0</v>
      </c>
      <c r="AE1174">
        <v>0</v>
      </c>
      <c r="AF1174">
        <v>0</v>
      </c>
      <c r="AG1174">
        <v>0</v>
      </c>
      <c r="AH1174" s="86">
        <f>AVERAGEIFS($C$2:C1174, $B$2:B1174, B1174)</f>
        <v>9.4615384615384617</v>
      </c>
      <c r="AI1174" s="86">
        <f>AVERAGEIFS($I$2:I1174, $B$2:B1174, B1174)</f>
        <v>0.51923076923076916</v>
      </c>
      <c r="AJ1174" s="86">
        <f>AVERAGEIFS($J$2:J1174, $B$2:B1174, B1174)</f>
        <v>0.50538461538461532</v>
      </c>
      <c r="AK1174" s="86">
        <f>AVERAGEIFS($D$2:D1174, $B$2:B1174, B1174)</f>
        <v>0.53846153846153844</v>
      </c>
    </row>
    <row r="1175" spans="1:37" x14ac:dyDescent="0.25">
      <c r="A1175" s="85">
        <v>46160</v>
      </c>
      <c r="B1175" t="s">
        <v>179</v>
      </c>
      <c r="C1175">
        <v>14</v>
      </c>
      <c r="D1175">
        <v>1</v>
      </c>
      <c r="E1175">
        <v>5</v>
      </c>
      <c r="F1175">
        <v>3</v>
      </c>
      <c r="G1175">
        <v>22</v>
      </c>
      <c r="H1175">
        <v>11</v>
      </c>
      <c r="I1175">
        <v>0.6</v>
      </c>
      <c r="J1175">
        <v>0.5</v>
      </c>
      <c r="K1175">
        <v>0</v>
      </c>
      <c r="L1175">
        <v>0</v>
      </c>
      <c r="M1175">
        <v>1</v>
      </c>
      <c r="N1175">
        <v>1</v>
      </c>
      <c r="O1175">
        <v>0</v>
      </c>
      <c r="P1175">
        <v>0</v>
      </c>
      <c r="Q1175">
        <v>0</v>
      </c>
      <c r="R1175">
        <v>0</v>
      </c>
      <c r="S1175">
        <v>0</v>
      </c>
      <c r="T1175">
        <v>0</v>
      </c>
      <c r="U1175">
        <v>0</v>
      </c>
      <c r="V1175">
        <v>1</v>
      </c>
      <c r="W1175">
        <v>0</v>
      </c>
      <c r="X1175">
        <v>0</v>
      </c>
      <c r="Y1175">
        <v>0</v>
      </c>
      <c r="Z1175">
        <v>0</v>
      </c>
      <c r="AA1175">
        <v>0</v>
      </c>
      <c r="AB1175">
        <v>0</v>
      </c>
      <c r="AC1175">
        <v>0</v>
      </c>
      <c r="AD1175">
        <v>0</v>
      </c>
      <c r="AE1175">
        <v>0</v>
      </c>
      <c r="AF1175">
        <v>0</v>
      </c>
      <c r="AG1175">
        <v>0</v>
      </c>
      <c r="AH1175" s="86">
        <f>AVERAGEIFS($C$2:C1175, $B$2:B1175, B1175)</f>
        <v>17.888888888888889</v>
      </c>
      <c r="AI1175" s="86">
        <f>AVERAGEIFS($I$2:I1175, $B$2:B1175, B1175)</f>
        <v>0.46666666666666656</v>
      </c>
      <c r="AJ1175" s="86">
        <f>AVERAGEIFS($J$2:J1175, $B$2:B1175, B1175)</f>
        <v>0.49444444444444446</v>
      </c>
      <c r="AK1175" s="86">
        <f>AVERAGEIFS($D$2:D1175, $B$2:B1175, B1175)</f>
        <v>0.33333333333333331</v>
      </c>
    </row>
    <row r="1176" spans="1:37" x14ac:dyDescent="0.25">
      <c r="A1176" s="85">
        <v>46160</v>
      </c>
      <c r="B1176" t="s">
        <v>13</v>
      </c>
      <c r="C1176">
        <v>7</v>
      </c>
      <c r="D1176">
        <v>1</v>
      </c>
      <c r="E1176">
        <v>5</v>
      </c>
      <c r="F1176">
        <v>3</v>
      </c>
      <c r="G1176">
        <v>22</v>
      </c>
      <c r="H1176">
        <v>11</v>
      </c>
      <c r="I1176">
        <v>0.6</v>
      </c>
      <c r="J1176">
        <v>0.5</v>
      </c>
      <c r="K1176">
        <v>0</v>
      </c>
      <c r="L1176">
        <v>0</v>
      </c>
      <c r="M1176">
        <v>1</v>
      </c>
      <c r="N1176">
        <v>1</v>
      </c>
      <c r="O1176">
        <v>0</v>
      </c>
      <c r="P1176">
        <v>0</v>
      </c>
      <c r="Q1176">
        <v>0</v>
      </c>
      <c r="R1176">
        <v>0</v>
      </c>
      <c r="S1176">
        <v>0</v>
      </c>
      <c r="T1176">
        <v>0</v>
      </c>
      <c r="U1176">
        <v>0</v>
      </c>
      <c r="V1176">
        <v>1</v>
      </c>
      <c r="W1176">
        <v>0</v>
      </c>
      <c r="X1176">
        <v>0</v>
      </c>
      <c r="Y1176">
        <v>0</v>
      </c>
      <c r="Z1176">
        <v>0</v>
      </c>
      <c r="AA1176">
        <v>0</v>
      </c>
      <c r="AB1176">
        <v>0</v>
      </c>
      <c r="AC1176">
        <v>0</v>
      </c>
      <c r="AD1176">
        <v>0</v>
      </c>
      <c r="AE1176">
        <v>0</v>
      </c>
      <c r="AF1176">
        <v>0</v>
      </c>
      <c r="AG1176">
        <v>0</v>
      </c>
      <c r="AH1176" s="86">
        <f>AVERAGEIFS($C$2:C1176, $B$2:B1176, B1176)</f>
        <v>14.6</v>
      </c>
      <c r="AI1176" s="86">
        <f>AVERAGEIFS($I$2:I1176, $B$2:B1176, B1176)</f>
        <v>0.45199999999999996</v>
      </c>
      <c r="AJ1176" s="86">
        <f>AVERAGEIFS($J$2:J1176, $B$2:B1176, B1176)</f>
        <v>0.47760000000000002</v>
      </c>
      <c r="AK1176" s="86">
        <f>AVERAGEIFS($D$2:D1176, $B$2:B1176, B1176)</f>
        <v>0.4</v>
      </c>
    </row>
    <row r="1177" spans="1:37" x14ac:dyDescent="0.25">
      <c r="A1177" s="85">
        <v>46160</v>
      </c>
      <c r="B1177" t="s">
        <v>141</v>
      </c>
      <c r="C1177">
        <v>43</v>
      </c>
      <c r="D1177">
        <v>1</v>
      </c>
      <c r="E1177">
        <v>5</v>
      </c>
      <c r="F1177">
        <v>3</v>
      </c>
      <c r="G1177">
        <v>22</v>
      </c>
      <c r="H1177">
        <v>11</v>
      </c>
      <c r="I1177">
        <v>0.6</v>
      </c>
      <c r="J1177">
        <v>0.5</v>
      </c>
      <c r="K1177">
        <v>0</v>
      </c>
      <c r="L1177">
        <v>0</v>
      </c>
      <c r="M1177">
        <v>1</v>
      </c>
      <c r="N1177">
        <v>1</v>
      </c>
      <c r="O1177">
        <v>0</v>
      </c>
      <c r="P1177">
        <v>0</v>
      </c>
      <c r="Q1177">
        <v>0</v>
      </c>
      <c r="R1177">
        <v>0</v>
      </c>
      <c r="S1177">
        <v>0</v>
      </c>
      <c r="T1177">
        <v>0</v>
      </c>
      <c r="U1177">
        <v>0</v>
      </c>
      <c r="V1177">
        <v>1</v>
      </c>
      <c r="W1177">
        <v>0</v>
      </c>
      <c r="X1177">
        <v>0</v>
      </c>
      <c r="Y1177">
        <v>0</v>
      </c>
      <c r="Z1177">
        <v>0</v>
      </c>
      <c r="AA1177">
        <v>0</v>
      </c>
      <c r="AB1177">
        <v>0</v>
      </c>
      <c r="AC1177">
        <v>0</v>
      </c>
      <c r="AD1177">
        <v>0</v>
      </c>
      <c r="AE1177">
        <v>0</v>
      </c>
      <c r="AF1177">
        <v>0</v>
      </c>
      <c r="AG1177">
        <v>0</v>
      </c>
      <c r="AH1177" s="86">
        <f>AVERAGEIFS($C$2:C1177, $B$2:B1177, B1177)</f>
        <v>17</v>
      </c>
      <c r="AI1177" s="86">
        <f>AVERAGEIFS($I$2:I1177, $B$2:B1177, B1177)</f>
        <v>0.49791666666666662</v>
      </c>
      <c r="AJ1177" s="86">
        <f>AVERAGEIFS($J$2:J1177, $B$2:B1177, B1177)</f>
        <v>0.50833333333333341</v>
      </c>
      <c r="AK1177" s="86">
        <f>AVERAGEIFS($D$2:D1177, $B$2:B1177, B1177)</f>
        <v>0.625</v>
      </c>
    </row>
    <row r="1178" spans="1:37" x14ac:dyDescent="0.25">
      <c r="A1178" s="85">
        <v>46160</v>
      </c>
      <c r="B1178" t="s">
        <v>6</v>
      </c>
      <c r="C1178">
        <v>40</v>
      </c>
      <c r="D1178">
        <v>1</v>
      </c>
      <c r="E1178">
        <v>5</v>
      </c>
      <c r="F1178">
        <v>3</v>
      </c>
      <c r="G1178">
        <v>22</v>
      </c>
      <c r="H1178">
        <v>11</v>
      </c>
      <c r="I1178">
        <v>0.6</v>
      </c>
      <c r="J1178">
        <v>0.5</v>
      </c>
      <c r="K1178">
        <v>0</v>
      </c>
      <c r="L1178">
        <v>0</v>
      </c>
      <c r="M1178">
        <v>1</v>
      </c>
      <c r="N1178">
        <v>1</v>
      </c>
      <c r="O1178">
        <v>0</v>
      </c>
      <c r="P1178">
        <v>0</v>
      </c>
      <c r="Q1178">
        <v>0</v>
      </c>
      <c r="R1178">
        <v>0</v>
      </c>
      <c r="S1178">
        <v>0</v>
      </c>
      <c r="T1178">
        <v>0</v>
      </c>
      <c r="U1178">
        <v>0</v>
      </c>
      <c r="V1178">
        <v>1</v>
      </c>
      <c r="W1178">
        <v>0</v>
      </c>
      <c r="X1178">
        <v>0</v>
      </c>
      <c r="Y1178">
        <v>0</v>
      </c>
      <c r="Z1178">
        <v>0</v>
      </c>
      <c r="AA1178">
        <v>0</v>
      </c>
      <c r="AB1178">
        <v>0</v>
      </c>
      <c r="AC1178">
        <v>0</v>
      </c>
      <c r="AD1178">
        <v>0</v>
      </c>
      <c r="AE1178">
        <v>0</v>
      </c>
      <c r="AF1178">
        <v>0</v>
      </c>
      <c r="AG1178">
        <v>0</v>
      </c>
      <c r="AH1178" s="86">
        <f>AVERAGEIFS($C$2:C1178, $B$2:B1178, B1178)</f>
        <v>23.094594594594593</v>
      </c>
      <c r="AI1178" s="86">
        <f>AVERAGEIFS($I$2:I1178, $B$2:B1178, B1178)</f>
        <v>0.56256756756756765</v>
      </c>
      <c r="AJ1178" s="86">
        <f>AVERAGEIFS($J$2:J1178, $B$2:B1178, B1178)</f>
        <v>0.53229729729729724</v>
      </c>
      <c r="AK1178" s="86">
        <f>AVERAGEIFS($D$2:D1178, $B$2:B1178, B1178)</f>
        <v>0.63513513513513509</v>
      </c>
    </row>
    <row r="1179" spans="1:37" x14ac:dyDescent="0.25">
      <c r="A1179" s="85">
        <v>46160</v>
      </c>
      <c r="B1179" t="s">
        <v>113</v>
      </c>
      <c r="C1179">
        <v>30</v>
      </c>
      <c r="D1179">
        <v>1</v>
      </c>
      <c r="E1179">
        <v>5</v>
      </c>
      <c r="F1179">
        <v>3</v>
      </c>
      <c r="G1179">
        <v>22</v>
      </c>
      <c r="H1179">
        <v>11</v>
      </c>
      <c r="I1179">
        <v>0.6</v>
      </c>
      <c r="J1179">
        <v>0.5</v>
      </c>
      <c r="K1179">
        <v>0</v>
      </c>
      <c r="L1179">
        <v>0</v>
      </c>
      <c r="M1179">
        <v>1</v>
      </c>
      <c r="N1179">
        <v>1</v>
      </c>
      <c r="O1179">
        <v>0</v>
      </c>
      <c r="P1179">
        <v>0</v>
      </c>
      <c r="Q1179">
        <v>0</v>
      </c>
      <c r="R1179">
        <v>0</v>
      </c>
      <c r="S1179">
        <v>0</v>
      </c>
      <c r="T1179">
        <v>0</v>
      </c>
      <c r="U1179">
        <v>0</v>
      </c>
      <c r="V1179">
        <v>1</v>
      </c>
      <c r="W1179">
        <v>0</v>
      </c>
      <c r="X1179">
        <v>0</v>
      </c>
      <c r="Y1179">
        <v>0</v>
      </c>
      <c r="Z1179">
        <v>0</v>
      </c>
      <c r="AA1179">
        <v>0</v>
      </c>
      <c r="AB1179">
        <v>0</v>
      </c>
      <c r="AC1179">
        <v>0</v>
      </c>
      <c r="AD1179">
        <v>0</v>
      </c>
      <c r="AE1179">
        <v>0</v>
      </c>
      <c r="AF1179">
        <v>0</v>
      </c>
      <c r="AG1179">
        <v>0</v>
      </c>
      <c r="AH1179" s="86">
        <f>AVERAGEIFS($C$2:C1179, $B$2:B1179, B1179)</f>
        <v>18.5</v>
      </c>
      <c r="AI1179" s="86">
        <f>AVERAGEIFS($I$2:I1179, $B$2:B1179, B1179)</f>
        <v>0.54891304347826075</v>
      </c>
      <c r="AJ1179" s="86">
        <f>AVERAGEIFS($J$2:J1179, $B$2:B1179, B1179)</f>
        <v>0.52086956521739136</v>
      </c>
      <c r="AK1179" s="86">
        <f>AVERAGEIFS($D$2:D1179, $B$2:B1179, B1179)</f>
        <v>0.52173913043478259</v>
      </c>
    </row>
    <row r="1180" spans="1:37" x14ac:dyDescent="0.25">
      <c r="A1180" s="85">
        <v>46160</v>
      </c>
      <c r="B1180" t="s">
        <v>150</v>
      </c>
      <c r="C1180">
        <v>33</v>
      </c>
      <c r="D1180">
        <v>1</v>
      </c>
      <c r="E1180">
        <v>5</v>
      </c>
      <c r="F1180">
        <v>3</v>
      </c>
      <c r="G1180">
        <v>22</v>
      </c>
      <c r="H1180">
        <v>11</v>
      </c>
      <c r="I1180">
        <v>0.6</v>
      </c>
      <c r="J1180">
        <v>0.5</v>
      </c>
      <c r="K1180">
        <v>0</v>
      </c>
      <c r="L1180">
        <v>0</v>
      </c>
      <c r="M1180">
        <v>1</v>
      </c>
      <c r="N1180">
        <v>1</v>
      </c>
      <c r="O1180">
        <v>0</v>
      </c>
      <c r="P1180">
        <v>0</v>
      </c>
      <c r="Q1180">
        <v>0</v>
      </c>
      <c r="R1180">
        <v>0</v>
      </c>
      <c r="S1180">
        <v>0</v>
      </c>
      <c r="T1180">
        <v>0</v>
      </c>
      <c r="U1180">
        <v>0</v>
      </c>
      <c r="V1180">
        <v>1</v>
      </c>
      <c r="W1180">
        <v>0</v>
      </c>
      <c r="X1180">
        <v>0</v>
      </c>
      <c r="Y1180">
        <v>0</v>
      </c>
      <c r="Z1180">
        <v>0</v>
      </c>
      <c r="AA1180">
        <v>0</v>
      </c>
      <c r="AB1180">
        <v>0</v>
      </c>
      <c r="AC1180">
        <v>0</v>
      </c>
      <c r="AD1180">
        <v>0</v>
      </c>
      <c r="AE1180">
        <v>0</v>
      </c>
      <c r="AF1180">
        <v>0</v>
      </c>
      <c r="AG1180">
        <v>0</v>
      </c>
      <c r="AH1180" s="86">
        <f>AVERAGEIFS($C$2:C1180, $B$2:B1180, B1180)</f>
        <v>18.703703703703702</v>
      </c>
      <c r="AI1180" s="86">
        <f>AVERAGEIFS($I$2:I1180, $B$2:B1180, B1180)</f>
        <v>0.5888888888888888</v>
      </c>
      <c r="AJ1180" s="86">
        <f>AVERAGEIFS($J$2:J1180, $B$2:B1180, B1180)</f>
        <v>0.562962962962963</v>
      </c>
      <c r="AK1180" s="86">
        <f>AVERAGEIFS($D$2:D1180, $B$2:B1180, B1180)</f>
        <v>0.62962962962962965</v>
      </c>
    </row>
    <row r="1181" spans="1:37" x14ac:dyDescent="0.25">
      <c r="A1181" s="85">
        <v>46161</v>
      </c>
      <c r="B1181" t="s">
        <v>42</v>
      </c>
      <c r="C1181">
        <v>25</v>
      </c>
      <c r="D1181">
        <v>0</v>
      </c>
      <c r="E1181">
        <v>5</v>
      </c>
      <c r="F1181">
        <v>2</v>
      </c>
      <c r="G1181">
        <v>21</v>
      </c>
      <c r="H1181">
        <v>10</v>
      </c>
      <c r="I1181">
        <v>0.4</v>
      </c>
      <c r="J1181">
        <v>0.48</v>
      </c>
      <c r="K1181">
        <v>0</v>
      </c>
      <c r="L1181">
        <v>0</v>
      </c>
      <c r="M1181">
        <v>0</v>
      </c>
      <c r="N1181">
        <v>0</v>
      </c>
      <c r="O1181">
        <v>0</v>
      </c>
      <c r="P1181">
        <v>0</v>
      </c>
      <c r="Q1181">
        <v>0</v>
      </c>
      <c r="R1181">
        <v>0</v>
      </c>
      <c r="S1181">
        <v>0</v>
      </c>
      <c r="T1181">
        <v>0</v>
      </c>
      <c r="U1181">
        <v>1</v>
      </c>
      <c r="V1181">
        <v>0</v>
      </c>
      <c r="W1181">
        <v>0</v>
      </c>
      <c r="X1181">
        <v>0</v>
      </c>
      <c r="Y1181">
        <v>0</v>
      </c>
      <c r="Z1181">
        <v>0</v>
      </c>
      <c r="AA1181">
        <v>0</v>
      </c>
      <c r="AB1181">
        <v>0</v>
      </c>
      <c r="AC1181">
        <v>0</v>
      </c>
      <c r="AD1181">
        <v>0</v>
      </c>
      <c r="AE1181">
        <v>0</v>
      </c>
      <c r="AF1181">
        <v>0</v>
      </c>
      <c r="AG1181">
        <v>1</v>
      </c>
      <c r="AH1181" s="86">
        <f>AVERAGEIFS($C$2:C1181, $B$2:B1181, B1181)</f>
        <v>17.924528301886792</v>
      </c>
      <c r="AI1181" s="86">
        <f>AVERAGEIFS($I$2:I1181, $B$2:B1181, B1181)</f>
        <v>0.47075471698113214</v>
      </c>
      <c r="AJ1181" s="86">
        <f>AVERAGEIFS($J$2:J1181, $B$2:B1181, B1181)</f>
        <v>0.4643396226415093</v>
      </c>
      <c r="AK1181" s="86">
        <f>AVERAGEIFS($D$2:D1181, $B$2:B1181, B1181)</f>
        <v>0.49056603773584906</v>
      </c>
    </row>
    <row r="1182" spans="1:37" x14ac:dyDescent="0.25">
      <c r="A1182" s="85">
        <v>46161</v>
      </c>
      <c r="B1182" t="s">
        <v>6</v>
      </c>
      <c r="C1182">
        <v>29</v>
      </c>
      <c r="D1182">
        <v>0</v>
      </c>
      <c r="E1182">
        <v>5</v>
      </c>
      <c r="F1182">
        <v>2</v>
      </c>
      <c r="G1182">
        <v>21</v>
      </c>
      <c r="H1182">
        <v>10</v>
      </c>
      <c r="I1182">
        <v>0.4</v>
      </c>
      <c r="J1182">
        <v>0.48</v>
      </c>
      <c r="K1182">
        <v>0</v>
      </c>
      <c r="L1182">
        <v>0</v>
      </c>
      <c r="M1182">
        <v>0</v>
      </c>
      <c r="N1182">
        <v>0</v>
      </c>
      <c r="O1182">
        <v>0</v>
      </c>
      <c r="P1182">
        <v>0</v>
      </c>
      <c r="Q1182">
        <v>0</v>
      </c>
      <c r="R1182">
        <v>0</v>
      </c>
      <c r="S1182">
        <v>0</v>
      </c>
      <c r="T1182">
        <v>0</v>
      </c>
      <c r="U1182">
        <v>1</v>
      </c>
      <c r="V1182">
        <v>0</v>
      </c>
      <c r="W1182">
        <v>0</v>
      </c>
      <c r="X1182">
        <v>0</v>
      </c>
      <c r="Y1182">
        <v>0</v>
      </c>
      <c r="Z1182">
        <v>0</v>
      </c>
      <c r="AA1182">
        <v>0</v>
      </c>
      <c r="AB1182">
        <v>0</v>
      </c>
      <c r="AC1182">
        <v>0</v>
      </c>
      <c r="AD1182">
        <v>0</v>
      </c>
      <c r="AE1182">
        <v>0</v>
      </c>
      <c r="AF1182">
        <v>0</v>
      </c>
      <c r="AG1182">
        <v>1</v>
      </c>
      <c r="AH1182" s="86">
        <f>AVERAGEIFS($C$2:C1182, $B$2:B1182, B1182)</f>
        <v>23.173333333333332</v>
      </c>
      <c r="AI1182" s="86">
        <f>AVERAGEIFS($I$2:I1182, $B$2:B1182, B1182)</f>
        <v>0.56040000000000012</v>
      </c>
      <c r="AJ1182" s="86">
        <f>AVERAGEIFS($J$2:J1182, $B$2:B1182, B1182)</f>
        <v>0.53159999999999985</v>
      </c>
      <c r="AK1182" s="86">
        <f>AVERAGEIFS($D$2:D1182, $B$2:B1182, B1182)</f>
        <v>0.62666666666666671</v>
      </c>
    </row>
    <row r="1183" spans="1:37" x14ac:dyDescent="0.25">
      <c r="A1183" s="85">
        <v>46161</v>
      </c>
      <c r="B1183" t="s">
        <v>40</v>
      </c>
      <c r="C1183">
        <v>29</v>
      </c>
      <c r="D1183">
        <v>0</v>
      </c>
      <c r="E1183">
        <v>5</v>
      </c>
      <c r="F1183">
        <v>2</v>
      </c>
      <c r="G1183">
        <v>21</v>
      </c>
      <c r="H1183">
        <v>10</v>
      </c>
      <c r="I1183">
        <v>0.4</v>
      </c>
      <c r="J1183">
        <v>0.48</v>
      </c>
      <c r="K1183">
        <v>0</v>
      </c>
      <c r="L1183">
        <v>0</v>
      </c>
      <c r="M1183">
        <v>0</v>
      </c>
      <c r="N1183">
        <v>0</v>
      </c>
      <c r="O1183">
        <v>0</v>
      </c>
      <c r="P1183">
        <v>0</v>
      </c>
      <c r="Q1183">
        <v>0</v>
      </c>
      <c r="R1183">
        <v>0</v>
      </c>
      <c r="S1183">
        <v>0</v>
      </c>
      <c r="T1183">
        <v>0</v>
      </c>
      <c r="U1183">
        <v>1</v>
      </c>
      <c r="V1183">
        <v>0</v>
      </c>
      <c r="W1183">
        <v>0</v>
      </c>
      <c r="X1183">
        <v>0</v>
      </c>
      <c r="Y1183">
        <v>0</v>
      </c>
      <c r="Z1183">
        <v>0</v>
      </c>
      <c r="AA1183">
        <v>0</v>
      </c>
      <c r="AB1183">
        <v>0</v>
      </c>
      <c r="AC1183">
        <v>0</v>
      </c>
      <c r="AD1183">
        <v>0</v>
      </c>
      <c r="AE1183">
        <v>0</v>
      </c>
      <c r="AF1183">
        <v>0</v>
      </c>
      <c r="AG1183">
        <v>1</v>
      </c>
      <c r="AH1183" s="86">
        <f>AVERAGEIFS($C$2:C1183, $B$2:B1183, B1183)</f>
        <v>18.535211267605632</v>
      </c>
      <c r="AI1183" s="86">
        <f>AVERAGEIFS($I$2:I1183, $B$2:B1183, B1183)</f>
        <v>0.4781690140845069</v>
      </c>
      <c r="AJ1183" s="86">
        <f>AVERAGEIFS($J$2:J1183, $B$2:B1183, B1183)</f>
        <v>0.48225352112676068</v>
      </c>
      <c r="AK1183" s="86">
        <f>AVERAGEIFS($D$2:D1183, $B$2:B1183, B1183)</f>
        <v>0.42253521126760563</v>
      </c>
    </row>
    <row r="1184" spans="1:37" x14ac:dyDescent="0.25">
      <c r="A1184" s="85">
        <v>46161</v>
      </c>
      <c r="B1184" t="s">
        <v>53</v>
      </c>
      <c r="C1184">
        <v>21</v>
      </c>
      <c r="D1184">
        <v>0</v>
      </c>
      <c r="E1184">
        <v>5</v>
      </c>
      <c r="F1184">
        <v>2</v>
      </c>
      <c r="G1184">
        <v>21</v>
      </c>
      <c r="H1184">
        <v>10</v>
      </c>
      <c r="I1184">
        <v>0.4</v>
      </c>
      <c r="J1184">
        <v>0.48</v>
      </c>
      <c r="K1184">
        <v>0</v>
      </c>
      <c r="L1184">
        <v>0</v>
      </c>
      <c r="M1184">
        <v>0</v>
      </c>
      <c r="N1184">
        <v>0</v>
      </c>
      <c r="O1184">
        <v>0</v>
      </c>
      <c r="P1184">
        <v>0</v>
      </c>
      <c r="Q1184">
        <v>0</v>
      </c>
      <c r="R1184">
        <v>0</v>
      </c>
      <c r="S1184">
        <v>0</v>
      </c>
      <c r="T1184">
        <v>0</v>
      </c>
      <c r="U1184">
        <v>1</v>
      </c>
      <c r="V1184">
        <v>0</v>
      </c>
      <c r="W1184">
        <v>0</v>
      </c>
      <c r="X1184">
        <v>0</v>
      </c>
      <c r="Y1184">
        <v>0</v>
      </c>
      <c r="Z1184">
        <v>0</v>
      </c>
      <c r="AA1184">
        <v>0</v>
      </c>
      <c r="AB1184">
        <v>0</v>
      </c>
      <c r="AC1184">
        <v>0</v>
      </c>
      <c r="AD1184">
        <v>0</v>
      </c>
      <c r="AE1184">
        <v>0</v>
      </c>
      <c r="AF1184">
        <v>0</v>
      </c>
      <c r="AG1184">
        <v>1</v>
      </c>
      <c r="AH1184" s="86">
        <f>AVERAGEIFS($C$2:C1184, $B$2:B1184, B1184)</f>
        <v>15.225806451612904</v>
      </c>
      <c r="AI1184" s="86">
        <f>AVERAGEIFS($I$2:I1184, $B$2:B1184, B1184)</f>
        <v>0.48387096774193555</v>
      </c>
      <c r="AJ1184" s="86">
        <f>AVERAGEIFS($J$2:J1184, $B$2:B1184, B1184)</f>
        <v>0.49129032258064526</v>
      </c>
      <c r="AK1184" s="86">
        <f>AVERAGEIFS($D$2:D1184, $B$2:B1184, B1184)</f>
        <v>0.38709677419354838</v>
      </c>
    </row>
    <row r="1185" spans="1:37" x14ac:dyDescent="0.25">
      <c r="A1185" s="85">
        <v>46161</v>
      </c>
      <c r="B1185" t="s">
        <v>25</v>
      </c>
      <c r="C1185">
        <v>29</v>
      </c>
      <c r="D1185">
        <v>0</v>
      </c>
      <c r="E1185">
        <v>5</v>
      </c>
      <c r="F1185">
        <v>2</v>
      </c>
      <c r="G1185">
        <v>21</v>
      </c>
      <c r="H1185">
        <v>10</v>
      </c>
      <c r="I1185">
        <v>0.4</v>
      </c>
      <c r="J1185">
        <v>0.48</v>
      </c>
      <c r="K1185">
        <v>0</v>
      </c>
      <c r="L1185">
        <v>0</v>
      </c>
      <c r="M1185">
        <v>0</v>
      </c>
      <c r="N1185">
        <v>0</v>
      </c>
      <c r="O1185">
        <v>0</v>
      </c>
      <c r="P1185">
        <v>0</v>
      </c>
      <c r="Q1185">
        <v>0</v>
      </c>
      <c r="R1185">
        <v>0</v>
      </c>
      <c r="S1185">
        <v>0</v>
      </c>
      <c r="T1185">
        <v>0</v>
      </c>
      <c r="U1185">
        <v>1</v>
      </c>
      <c r="V1185">
        <v>0</v>
      </c>
      <c r="W1185">
        <v>0</v>
      </c>
      <c r="X1185">
        <v>0</v>
      </c>
      <c r="Y1185">
        <v>0</v>
      </c>
      <c r="Z1185">
        <v>0</v>
      </c>
      <c r="AA1185">
        <v>0</v>
      </c>
      <c r="AB1185">
        <v>0</v>
      </c>
      <c r="AC1185">
        <v>0</v>
      </c>
      <c r="AD1185">
        <v>0</v>
      </c>
      <c r="AE1185">
        <v>0</v>
      </c>
      <c r="AF1185">
        <v>0</v>
      </c>
      <c r="AG1185">
        <v>1</v>
      </c>
      <c r="AH1185" s="86">
        <f>AVERAGEIFS($C$2:C1185, $B$2:B1185, B1185)</f>
        <v>12.428571428571429</v>
      </c>
      <c r="AI1185" s="86">
        <f>AVERAGEIFS($I$2:I1185, $B$2:B1185, B1185)</f>
        <v>0.62857142857142867</v>
      </c>
      <c r="AJ1185" s="86">
        <f>AVERAGEIFS($J$2:J1185, $B$2:B1185, B1185)</f>
        <v>0.61571428571428577</v>
      </c>
      <c r="AK1185" s="86">
        <f>AVERAGEIFS($D$2:D1185, $B$2:B1185, B1185)</f>
        <v>0.5714285714285714</v>
      </c>
    </row>
    <row r="1186" spans="1:37" x14ac:dyDescent="0.25">
      <c r="A1186" s="85">
        <v>46161</v>
      </c>
      <c r="B1186" t="s">
        <v>44</v>
      </c>
      <c r="C1186">
        <v>22</v>
      </c>
      <c r="D1186">
        <v>0</v>
      </c>
      <c r="E1186">
        <v>5</v>
      </c>
      <c r="F1186">
        <v>2</v>
      </c>
      <c r="G1186">
        <v>21</v>
      </c>
      <c r="H1186">
        <v>10</v>
      </c>
      <c r="I1186">
        <v>0.4</v>
      </c>
      <c r="J1186">
        <v>0.48</v>
      </c>
      <c r="K1186">
        <v>0</v>
      </c>
      <c r="L1186">
        <v>0</v>
      </c>
      <c r="M1186">
        <v>0</v>
      </c>
      <c r="N1186">
        <v>0</v>
      </c>
      <c r="O1186">
        <v>0</v>
      </c>
      <c r="P1186">
        <v>0</v>
      </c>
      <c r="Q1186">
        <v>0</v>
      </c>
      <c r="R1186">
        <v>0</v>
      </c>
      <c r="S1186">
        <v>0</v>
      </c>
      <c r="T1186">
        <v>0</v>
      </c>
      <c r="U1186">
        <v>1</v>
      </c>
      <c r="V1186">
        <v>0</v>
      </c>
      <c r="W1186">
        <v>0</v>
      </c>
      <c r="X1186">
        <v>0</v>
      </c>
      <c r="Y1186">
        <v>0</v>
      </c>
      <c r="Z1186">
        <v>0</v>
      </c>
      <c r="AA1186">
        <v>0</v>
      </c>
      <c r="AB1186">
        <v>0</v>
      </c>
      <c r="AC1186">
        <v>0</v>
      </c>
      <c r="AD1186">
        <v>0</v>
      </c>
      <c r="AE1186">
        <v>0</v>
      </c>
      <c r="AF1186">
        <v>0</v>
      </c>
      <c r="AG1186">
        <v>1</v>
      </c>
      <c r="AH1186" s="86">
        <f>AVERAGEIFS($C$2:C1186, $B$2:B1186, B1186)</f>
        <v>16.5</v>
      </c>
      <c r="AI1186" s="86">
        <f>AVERAGEIFS($I$2:I1186, $B$2:B1186, B1186)</f>
        <v>0.5413461538461537</v>
      </c>
      <c r="AJ1186" s="86">
        <f>AVERAGEIFS($J$2:J1186, $B$2:B1186, B1186)</f>
        <v>0.53173076923076934</v>
      </c>
      <c r="AK1186" s="86">
        <f>AVERAGEIFS($D$2:D1186, $B$2:B1186, B1186)</f>
        <v>0.59615384615384615</v>
      </c>
    </row>
    <row r="1187" spans="1:37" x14ac:dyDescent="0.25">
      <c r="A1187" s="85">
        <v>46161</v>
      </c>
      <c r="B1187" t="s">
        <v>4</v>
      </c>
      <c r="C1187">
        <v>43</v>
      </c>
      <c r="D1187">
        <v>1</v>
      </c>
      <c r="E1187">
        <v>5</v>
      </c>
      <c r="F1187">
        <v>3</v>
      </c>
      <c r="G1187">
        <v>21</v>
      </c>
      <c r="H1187">
        <v>11</v>
      </c>
      <c r="I1187">
        <v>0.6</v>
      </c>
      <c r="J1187">
        <v>0.52</v>
      </c>
      <c r="K1187">
        <v>0</v>
      </c>
      <c r="L1187">
        <v>1</v>
      </c>
      <c r="M1187">
        <v>1</v>
      </c>
      <c r="N1187">
        <v>0</v>
      </c>
      <c r="O1187">
        <v>0</v>
      </c>
      <c r="P1187">
        <v>0</v>
      </c>
      <c r="Q1187">
        <v>0</v>
      </c>
      <c r="R1187">
        <v>0</v>
      </c>
      <c r="S1187">
        <v>0</v>
      </c>
      <c r="T1187">
        <v>0</v>
      </c>
      <c r="U1187">
        <v>0</v>
      </c>
      <c r="V1187">
        <v>0</v>
      </c>
      <c r="W1187">
        <v>1</v>
      </c>
      <c r="X1187">
        <v>0</v>
      </c>
      <c r="Y1187">
        <v>0</v>
      </c>
      <c r="Z1187">
        <v>0</v>
      </c>
      <c r="AA1187">
        <v>0</v>
      </c>
      <c r="AB1187">
        <v>0</v>
      </c>
      <c r="AC1187">
        <v>0</v>
      </c>
      <c r="AD1187">
        <v>0</v>
      </c>
      <c r="AE1187">
        <v>0</v>
      </c>
      <c r="AF1187">
        <v>0</v>
      </c>
      <c r="AG1187">
        <v>0</v>
      </c>
      <c r="AH1187" s="86">
        <f>AVERAGEIFS($C$2:C1187, $B$2:B1187, B1187)</f>
        <v>24.463414634146343</v>
      </c>
      <c r="AI1187" s="86">
        <f>AVERAGEIFS($I$2:I1187, $B$2:B1187, B1187)</f>
        <v>0.45731707317073178</v>
      </c>
      <c r="AJ1187" s="86">
        <f>AVERAGEIFS($J$2:J1187, $B$2:B1187, B1187)</f>
        <v>0.47243902439024382</v>
      </c>
      <c r="AK1187" s="86">
        <f>AVERAGEIFS($D$2:D1187, $B$2:B1187, B1187)</f>
        <v>0.41463414634146339</v>
      </c>
    </row>
    <row r="1188" spans="1:37" x14ac:dyDescent="0.25">
      <c r="A1188" s="85">
        <v>46161</v>
      </c>
      <c r="B1188" t="s">
        <v>54</v>
      </c>
      <c r="C1188">
        <v>38</v>
      </c>
      <c r="D1188">
        <v>1</v>
      </c>
      <c r="E1188">
        <v>5</v>
      </c>
      <c r="F1188">
        <v>3</v>
      </c>
      <c r="G1188">
        <v>21</v>
      </c>
      <c r="H1188">
        <v>11</v>
      </c>
      <c r="I1188">
        <v>0.6</v>
      </c>
      <c r="J1188">
        <v>0.52</v>
      </c>
      <c r="K1188">
        <v>0</v>
      </c>
      <c r="L1188">
        <v>1</v>
      </c>
      <c r="M1188">
        <v>1</v>
      </c>
      <c r="N1188">
        <v>0</v>
      </c>
      <c r="O1188">
        <v>0</v>
      </c>
      <c r="P1188">
        <v>0</v>
      </c>
      <c r="Q1188">
        <v>0</v>
      </c>
      <c r="R1188">
        <v>0</v>
      </c>
      <c r="S1188">
        <v>0</v>
      </c>
      <c r="T1188">
        <v>0</v>
      </c>
      <c r="U1188">
        <v>0</v>
      </c>
      <c r="V1188">
        <v>0</v>
      </c>
      <c r="W1188">
        <v>1</v>
      </c>
      <c r="X1188">
        <v>0</v>
      </c>
      <c r="Y1188">
        <v>0</v>
      </c>
      <c r="Z1188">
        <v>0</v>
      </c>
      <c r="AA1188">
        <v>0</v>
      </c>
      <c r="AB1188">
        <v>0</v>
      </c>
      <c r="AC1188">
        <v>0</v>
      </c>
      <c r="AD1188">
        <v>0</v>
      </c>
      <c r="AE1188">
        <v>0</v>
      </c>
      <c r="AF1188">
        <v>0</v>
      </c>
      <c r="AG1188">
        <v>0</v>
      </c>
      <c r="AH1188" s="86">
        <f>AVERAGEIFS($C$2:C1188, $B$2:B1188, B1188)</f>
        <v>23.666666666666668</v>
      </c>
      <c r="AI1188" s="86">
        <f>AVERAGEIFS($I$2:I1188, $B$2:B1188, B1188)</f>
        <v>0.53287878787878795</v>
      </c>
      <c r="AJ1188" s="86">
        <f>AVERAGEIFS($J$2:J1188, $B$2:B1188, B1188)</f>
        <v>0.51015151515151513</v>
      </c>
      <c r="AK1188" s="86">
        <f>AVERAGEIFS($D$2:D1188, $B$2:B1188, B1188)</f>
        <v>0.54545454545454541</v>
      </c>
    </row>
    <row r="1189" spans="1:37" x14ac:dyDescent="0.25">
      <c r="A1189" s="85">
        <v>46161</v>
      </c>
      <c r="B1189" t="s">
        <v>147</v>
      </c>
      <c r="C1189">
        <v>26</v>
      </c>
      <c r="D1189">
        <v>1</v>
      </c>
      <c r="E1189">
        <v>5</v>
      </c>
      <c r="F1189">
        <v>3</v>
      </c>
      <c r="G1189">
        <v>21</v>
      </c>
      <c r="H1189">
        <v>11</v>
      </c>
      <c r="I1189">
        <v>0.6</v>
      </c>
      <c r="J1189">
        <v>0.52</v>
      </c>
      <c r="K1189">
        <v>0</v>
      </c>
      <c r="L1189">
        <v>1</v>
      </c>
      <c r="M1189">
        <v>1</v>
      </c>
      <c r="N1189">
        <v>0</v>
      </c>
      <c r="O1189">
        <v>0</v>
      </c>
      <c r="P1189">
        <v>0</v>
      </c>
      <c r="Q1189">
        <v>0</v>
      </c>
      <c r="R1189">
        <v>0</v>
      </c>
      <c r="S1189">
        <v>0</v>
      </c>
      <c r="T1189">
        <v>0</v>
      </c>
      <c r="U1189">
        <v>0</v>
      </c>
      <c r="V1189">
        <v>0</v>
      </c>
      <c r="W1189">
        <v>1</v>
      </c>
      <c r="X1189">
        <v>0</v>
      </c>
      <c r="Y1189">
        <v>0</v>
      </c>
      <c r="Z1189">
        <v>0</v>
      </c>
      <c r="AA1189">
        <v>0</v>
      </c>
      <c r="AB1189">
        <v>0</v>
      </c>
      <c r="AC1189">
        <v>0</v>
      </c>
      <c r="AD1189">
        <v>0</v>
      </c>
      <c r="AE1189">
        <v>0</v>
      </c>
      <c r="AF1189">
        <v>0</v>
      </c>
      <c r="AG1189">
        <v>0</v>
      </c>
      <c r="AH1189" s="86">
        <f>AVERAGEIFS($C$2:C1189, $B$2:B1189, B1189)</f>
        <v>14.405405405405405</v>
      </c>
      <c r="AI1189" s="86">
        <f>AVERAGEIFS($I$2:I1189, $B$2:B1189, B1189)</f>
        <v>0.56351351351351353</v>
      </c>
      <c r="AJ1189" s="86">
        <f>AVERAGEIFS($J$2:J1189, $B$2:B1189, B1189)</f>
        <v>0.53405405405405415</v>
      </c>
      <c r="AK1189" s="86">
        <f>AVERAGEIFS($D$2:D1189, $B$2:B1189, B1189)</f>
        <v>0.54054054054054057</v>
      </c>
    </row>
    <row r="1190" spans="1:37" x14ac:dyDescent="0.25">
      <c r="A1190" s="85">
        <v>46161</v>
      </c>
      <c r="B1190" t="s">
        <v>115</v>
      </c>
      <c r="C1190">
        <v>13</v>
      </c>
      <c r="D1190">
        <v>1</v>
      </c>
      <c r="E1190">
        <v>5</v>
      </c>
      <c r="F1190">
        <v>3</v>
      </c>
      <c r="G1190">
        <v>21</v>
      </c>
      <c r="H1190">
        <v>11</v>
      </c>
      <c r="I1190">
        <v>0.6</v>
      </c>
      <c r="J1190">
        <v>0.52</v>
      </c>
      <c r="K1190">
        <v>0</v>
      </c>
      <c r="L1190">
        <v>1</v>
      </c>
      <c r="M1190">
        <v>1</v>
      </c>
      <c r="N1190">
        <v>0</v>
      </c>
      <c r="O1190">
        <v>0</v>
      </c>
      <c r="P1190">
        <v>0</v>
      </c>
      <c r="Q1190">
        <v>0</v>
      </c>
      <c r="R1190">
        <v>0</v>
      </c>
      <c r="S1190">
        <v>0</v>
      </c>
      <c r="T1190">
        <v>0</v>
      </c>
      <c r="U1190">
        <v>0</v>
      </c>
      <c r="V1190">
        <v>0</v>
      </c>
      <c r="W1190">
        <v>1</v>
      </c>
      <c r="X1190">
        <v>0</v>
      </c>
      <c r="Y1190">
        <v>0</v>
      </c>
      <c r="Z1190">
        <v>0</v>
      </c>
      <c r="AA1190">
        <v>0</v>
      </c>
      <c r="AB1190">
        <v>0</v>
      </c>
      <c r="AC1190">
        <v>0</v>
      </c>
      <c r="AD1190">
        <v>0</v>
      </c>
      <c r="AE1190">
        <v>0</v>
      </c>
      <c r="AF1190">
        <v>0</v>
      </c>
      <c r="AG1190">
        <v>0</v>
      </c>
      <c r="AH1190" s="86">
        <f>AVERAGEIFS($C$2:C1190, $B$2:B1190, B1190)</f>
        <v>14.384615384615385</v>
      </c>
      <c r="AI1190" s="86">
        <f>AVERAGEIFS($I$2:I1190, $B$2:B1190, B1190)</f>
        <v>0.4499999999999999</v>
      </c>
      <c r="AJ1190" s="86">
        <f>AVERAGEIFS($J$2:J1190, $B$2:B1190, B1190)</f>
        <v>0.47307692307692295</v>
      </c>
      <c r="AK1190" s="86">
        <f>AVERAGEIFS($D$2:D1190, $B$2:B1190, B1190)</f>
        <v>0.46153846153846156</v>
      </c>
    </row>
    <row r="1191" spans="1:37" x14ac:dyDescent="0.25">
      <c r="A1191" s="85">
        <v>46161</v>
      </c>
      <c r="B1191" t="s">
        <v>214</v>
      </c>
      <c r="C1191">
        <v>6</v>
      </c>
      <c r="D1191">
        <v>1</v>
      </c>
      <c r="E1191">
        <v>5</v>
      </c>
      <c r="F1191">
        <v>3</v>
      </c>
      <c r="G1191">
        <v>21</v>
      </c>
      <c r="H1191">
        <v>11</v>
      </c>
      <c r="I1191">
        <v>0.6</v>
      </c>
      <c r="J1191">
        <v>0.52</v>
      </c>
      <c r="K1191">
        <v>0</v>
      </c>
      <c r="L1191">
        <v>1</v>
      </c>
      <c r="M1191">
        <v>1</v>
      </c>
      <c r="N1191">
        <v>0</v>
      </c>
      <c r="O1191">
        <v>0</v>
      </c>
      <c r="P1191">
        <v>0</v>
      </c>
      <c r="Q1191">
        <v>0</v>
      </c>
      <c r="R1191">
        <v>0</v>
      </c>
      <c r="S1191">
        <v>0</v>
      </c>
      <c r="T1191">
        <v>0</v>
      </c>
      <c r="U1191">
        <v>0</v>
      </c>
      <c r="V1191">
        <v>0</v>
      </c>
      <c r="W1191">
        <v>1</v>
      </c>
      <c r="X1191">
        <v>0</v>
      </c>
      <c r="Y1191">
        <v>0</v>
      </c>
      <c r="Z1191">
        <v>0</v>
      </c>
      <c r="AA1191">
        <v>0</v>
      </c>
      <c r="AB1191">
        <v>0</v>
      </c>
      <c r="AC1191">
        <v>0</v>
      </c>
      <c r="AD1191">
        <v>0</v>
      </c>
      <c r="AE1191">
        <v>0</v>
      </c>
      <c r="AF1191">
        <v>0</v>
      </c>
      <c r="AG1191">
        <v>0</v>
      </c>
      <c r="AH1191" s="86">
        <f>AVERAGEIFS($C$2:C1191, $B$2:B1191, B1191)</f>
        <v>3.5</v>
      </c>
      <c r="AI1191" s="86">
        <f>AVERAGEIFS($I$2:I1191, $B$2:B1191, B1191)</f>
        <v>0.8</v>
      </c>
      <c r="AJ1191" s="86">
        <f>AVERAGEIFS($J$2:J1191, $B$2:B1191, B1191)</f>
        <v>0.63500000000000001</v>
      </c>
      <c r="AK1191" s="86">
        <f>AVERAGEIFS($D$2:D1191, $B$2:B1191, B1191)</f>
        <v>1</v>
      </c>
    </row>
    <row r="1192" spans="1:37" x14ac:dyDescent="0.25">
      <c r="A1192" s="85">
        <v>46161</v>
      </c>
      <c r="B1192" t="s">
        <v>71</v>
      </c>
      <c r="C1192">
        <v>31</v>
      </c>
      <c r="D1192">
        <v>1</v>
      </c>
      <c r="E1192">
        <v>5</v>
      </c>
      <c r="F1192">
        <v>3</v>
      </c>
      <c r="G1192">
        <v>21</v>
      </c>
      <c r="H1192">
        <v>11</v>
      </c>
      <c r="I1192">
        <v>0.6</v>
      </c>
      <c r="J1192">
        <v>0.52</v>
      </c>
      <c r="K1192">
        <v>0</v>
      </c>
      <c r="L1192">
        <v>1</v>
      </c>
      <c r="M1192">
        <v>1</v>
      </c>
      <c r="N1192">
        <v>0</v>
      </c>
      <c r="O1192">
        <v>0</v>
      </c>
      <c r="P1192">
        <v>0</v>
      </c>
      <c r="Q1192">
        <v>0</v>
      </c>
      <c r="R1192">
        <v>0</v>
      </c>
      <c r="S1192">
        <v>0</v>
      </c>
      <c r="T1192">
        <v>0</v>
      </c>
      <c r="U1192">
        <v>0</v>
      </c>
      <c r="V1192">
        <v>0</v>
      </c>
      <c r="W1192">
        <v>1</v>
      </c>
      <c r="X1192">
        <v>0</v>
      </c>
      <c r="Y1192">
        <v>0</v>
      </c>
      <c r="Z1192">
        <v>0</v>
      </c>
      <c r="AA1192">
        <v>0</v>
      </c>
      <c r="AB1192">
        <v>0</v>
      </c>
      <c r="AC1192">
        <v>0</v>
      </c>
      <c r="AD1192">
        <v>0</v>
      </c>
      <c r="AE1192">
        <v>0</v>
      </c>
      <c r="AF1192">
        <v>0</v>
      </c>
      <c r="AG1192">
        <v>0</v>
      </c>
      <c r="AH1192" s="86">
        <f>AVERAGEIFS($C$2:C1192, $B$2:B1192, B1192)</f>
        <v>13.647058823529411</v>
      </c>
      <c r="AI1192" s="86">
        <f>AVERAGEIFS($I$2:I1192, $B$2:B1192, B1192)</f>
        <v>0.44558823529411767</v>
      </c>
      <c r="AJ1192" s="86">
        <f>AVERAGEIFS($J$2:J1192, $B$2:B1192, B1192)</f>
        <v>0.46852941176470581</v>
      </c>
      <c r="AK1192" s="86">
        <f>AVERAGEIFS($D$2:D1192, $B$2:B1192, B1192)</f>
        <v>0.47058823529411764</v>
      </c>
    </row>
    <row r="1193" spans="1:37" x14ac:dyDescent="0.25">
      <c r="A1193" s="85">
        <v>46163</v>
      </c>
      <c r="B1193" t="s">
        <v>54</v>
      </c>
      <c r="C1193">
        <v>18</v>
      </c>
      <c r="D1193">
        <v>1</v>
      </c>
      <c r="E1193">
        <v>4</v>
      </c>
      <c r="F1193">
        <v>3</v>
      </c>
      <c r="G1193">
        <v>17</v>
      </c>
      <c r="H1193">
        <v>10</v>
      </c>
      <c r="I1193">
        <v>0.75</v>
      </c>
      <c r="J1193">
        <v>0.59</v>
      </c>
      <c r="K1193">
        <v>0</v>
      </c>
      <c r="L1193">
        <v>1</v>
      </c>
      <c r="M1193">
        <v>0</v>
      </c>
      <c r="N1193">
        <v>0</v>
      </c>
      <c r="O1193">
        <v>0</v>
      </c>
      <c r="P1193">
        <v>1</v>
      </c>
      <c r="Q1193">
        <v>0</v>
      </c>
      <c r="R1193">
        <v>0</v>
      </c>
      <c r="S1193">
        <v>0</v>
      </c>
      <c r="T1193">
        <v>0</v>
      </c>
      <c r="U1193">
        <v>0</v>
      </c>
      <c r="V1193">
        <v>0</v>
      </c>
      <c r="W1193">
        <v>0</v>
      </c>
      <c r="X1193">
        <v>0</v>
      </c>
      <c r="Y1193">
        <v>0</v>
      </c>
      <c r="Z1193">
        <v>0</v>
      </c>
      <c r="AA1193">
        <v>0</v>
      </c>
      <c r="AB1193">
        <v>0</v>
      </c>
      <c r="AC1193">
        <v>0</v>
      </c>
      <c r="AD1193">
        <v>0</v>
      </c>
      <c r="AE1193">
        <v>1</v>
      </c>
      <c r="AF1193">
        <v>0</v>
      </c>
      <c r="AG1193">
        <v>0</v>
      </c>
      <c r="AH1193" s="86">
        <f>AVERAGEIFS($C$2:C1193, $B$2:B1193, B1193)</f>
        <v>23.582089552238806</v>
      </c>
      <c r="AI1193" s="86">
        <f>AVERAGEIFS($I$2:I1193, $B$2:B1193, B1193)</f>
        <v>0.53611940298507466</v>
      </c>
      <c r="AJ1193" s="86">
        <f>AVERAGEIFS($J$2:J1193, $B$2:B1193, B1193)</f>
        <v>0.51134328358208958</v>
      </c>
      <c r="AK1193" s="86">
        <f>AVERAGEIFS($D$2:D1193, $B$2:B1193, B1193)</f>
        <v>0.55223880597014929</v>
      </c>
    </row>
    <row r="1194" spans="1:37" x14ac:dyDescent="0.25">
      <c r="A1194" s="85">
        <v>46163</v>
      </c>
      <c r="B1194" t="s">
        <v>6</v>
      </c>
      <c r="C1194">
        <v>25</v>
      </c>
      <c r="D1194">
        <v>1</v>
      </c>
      <c r="E1194">
        <v>4</v>
      </c>
      <c r="F1194">
        <v>3</v>
      </c>
      <c r="G1194">
        <v>17</v>
      </c>
      <c r="H1194">
        <v>10</v>
      </c>
      <c r="I1194">
        <v>0.75</v>
      </c>
      <c r="J1194">
        <v>0.59</v>
      </c>
      <c r="K1194">
        <v>0</v>
      </c>
      <c r="L1194">
        <v>1</v>
      </c>
      <c r="M1194">
        <v>0</v>
      </c>
      <c r="N1194">
        <v>0</v>
      </c>
      <c r="O1194">
        <v>0</v>
      </c>
      <c r="P1194">
        <v>1</v>
      </c>
      <c r="Q1194">
        <v>0</v>
      </c>
      <c r="R1194">
        <v>0</v>
      </c>
      <c r="S1194">
        <v>0</v>
      </c>
      <c r="T1194">
        <v>0</v>
      </c>
      <c r="U1194">
        <v>0</v>
      </c>
      <c r="V1194">
        <v>0</v>
      </c>
      <c r="W1194">
        <v>0</v>
      </c>
      <c r="X1194">
        <v>0</v>
      </c>
      <c r="Y1194">
        <v>0</v>
      </c>
      <c r="Z1194">
        <v>0</v>
      </c>
      <c r="AA1194">
        <v>0</v>
      </c>
      <c r="AB1194">
        <v>0</v>
      </c>
      <c r="AC1194">
        <v>0</v>
      </c>
      <c r="AD1194">
        <v>0</v>
      </c>
      <c r="AE1194">
        <v>1</v>
      </c>
      <c r="AF1194">
        <v>0</v>
      </c>
      <c r="AG1194">
        <v>0</v>
      </c>
      <c r="AH1194" s="86">
        <f>AVERAGEIFS($C$2:C1194, $B$2:B1194, B1194)</f>
        <v>23.19736842105263</v>
      </c>
      <c r="AI1194" s="86">
        <f>AVERAGEIFS($I$2:I1194, $B$2:B1194, B1194)</f>
        <v>0.56289473684210534</v>
      </c>
      <c r="AJ1194" s="86">
        <f>AVERAGEIFS($J$2:J1194, $B$2:B1194, B1194)</f>
        <v>0.53236842105263149</v>
      </c>
      <c r="AK1194" s="86">
        <f>AVERAGEIFS($D$2:D1194, $B$2:B1194, B1194)</f>
        <v>0.63157894736842102</v>
      </c>
    </row>
    <row r="1195" spans="1:37" x14ac:dyDescent="0.25">
      <c r="A1195" s="85">
        <v>46163</v>
      </c>
      <c r="B1195" t="s">
        <v>50</v>
      </c>
      <c r="C1195">
        <v>20</v>
      </c>
      <c r="D1195">
        <v>1</v>
      </c>
      <c r="E1195">
        <v>4</v>
      </c>
      <c r="F1195">
        <v>3</v>
      </c>
      <c r="G1195">
        <v>17</v>
      </c>
      <c r="H1195">
        <v>10</v>
      </c>
      <c r="I1195">
        <v>0.75</v>
      </c>
      <c r="J1195">
        <v>0.59</v>
      </c>
      <c r="K1195">
        <v>0</v>
      </c>
      <c r="L1195">
        <v>1</v>
      </c>
      <c r="M1195">
        <v>0</v>
      </c>
      <c r="N1195">
        <v>0</v>
      </c>
      <c r="O1195">
        <v>0</v>
      </c>
      <c r="P1195">
        <v>1</v>
      </c>
      <c r="Q1195">
        <v>0</v>
      </c>
      <c r="R1195">
        <v>0</v>
      </c>
      <c r="S1195">
        <v>0</v>
      </c>
      <c r="T1195">
        <v>0</v>
      </c>
      <c r="U1195">
        <v>0</v>
      </c>
      <c r="V1195">
        <v>0</v>
      </c>
      <c r="W1195">
        <v>0</v>
      </c>
      <c r="X1195">
        <v>0</v>
      </c>
      <c r="Y1195">
        <v>0</v>
      </c>
      <c r="Z1195">
        <v>0</v>
      </c>
      <c r="AA1195">
        <v>0</v>
      </c>
      <c r="AB1195">
        <v>0</v>
      </c>
      <c r="AC1195">
        <v>0</v>
      </c>
      <c r="AD1195">
        <v>0</v>
      </c>
      <c r="AE1195">
        <v>1</v>
      </c>
      <c r="AF1195">
        <v>0</v>
      </c>
      <c r="AG1195">
        <v>0</v>
      </c>
      <c r="AH1195" s="86">
        <f>AVERAGEIFS($C$2:C1195, $B$2:B1195, B1195)</f>
        <v>18.061224489795919</v>
      </c>
      <c r="AI1195" s="86">
        <f>AVERAGEIFS($I$2:I1195, $B$2:B1195, B1195)</f>
        <v>0.49755102040816329</v>
      </c>
      <c r="AJ1195" s="86">
        <f>AVERAGEIFS($J$2:J1195, $B$2:B1195, B1195)</f>
        <v>0.50877551020408152</v>
      </c>
      <c r="AK1195" s="86">
        <f>AVERAGEIFS($D$2:D1195, $B$2:B1195, B1195)</f>
        <v>0.48979591836734693</v>
      </c>
    </row>
    <row r="1196" spans="1:37" x14ac:dyDescent="0.25">
      <c r="A1196" s="85">
        <v>46163</v>
      </c>
      <c r="B1196" t="s">
        <v>137</v>
      </c>
      <c r="C1196">
        <v>8</v>
      </c>
      <c r="D1196">
        <v>1</v>
      </c>
      <c r="E1196">
        <v>4</v>
      </c>
      <c r="F1196">
        <v>3</v>
      </c>
      <c r="G1196">
        <v>17</v>
      </c>
      <c r="H1196">
        <v>10</v>
      </c>
      <c r="I1196">
        <v>0.75</v>
      </c>
      <c r="J1196">
        <v>0.59</v>
      </c>
      <c r="K1196">
        <v>0</v>
      </c>
      <c r="L1196">
        <v>1</v>
      </c>
      <c r="M1196">
        <v>0</v>
      </c>
      <c r="N1196">
        <v>0</v>
      </c>
      <c r="O1196">
        <v>0</v>
      </c>
      <c r="P1196">
        <v>1</v>
      </c>
      <c r="Q1196">
        <v>0</v>
      </c>
      <c r="R1196">
        <v>0</v>
      </c>
      <c r="S1196">
        <v>0</v>
      </c>
      <c r="T1196">
        <v>0</v>
      </c>
      <c r="U1196">
        <v>0</v>
      </c>
      <c r="V1196">
        <v>0</v>
      </c>
      <c r="W1196">
        <v>0</v>
      </c>
      <c r="X1196">
        <v>0</v>
      </c>
      <c r="Y1196">
        <v>0</v>
      </c>
      <c r="Z1196">
        <v>0</v>
      </c>
      <c r="AA1196">
        <v>0</v>
      </c>
      <c r="AB1196">
        <v>0</v>
      </c>
      <c r="AC1196">
        <v>0</v>
      </c>
      <c r="AD1196">
        <v>0</v>
      </c>
      <c r="AE1196">
        <v>1</v>
      </c>
      <c r="AF1196">
        <v>0</v>
      </c>
      <c r="AG1196">
        <v>0</v>
      </c>
      <c r="AH1196" s="86">
        <f>AVERAGEIFS($C$2:C1196, $B$2:B1196, B1196)</f>
        <v>6.8571428571428568</v>
      </c>
      <c r="AI1196" s="86">
        <f>AVERAGEIFS($I$2:I1196, $B$2:B1196, B1196)</f>
        <v>0.54285714285714282</v>
      </c>
      <c r="AJ1196" s="86">
        <f>AVERAGEIFS($J$2:J1196, $B$2:B1196, B1196)</f>
        <v>0.52714285714285702</v>
      </c>
      <c r="AK1196" s="86">
        <f>AVERAGEIFS($D$2:D1196, $B$2:B1196, B1196)</f>
        <v>0.42857142857142855</v>
      </c>
    </row>
    <row r="1197" spans="1:37" x14ac:dyDescent="0.25">
      <c r="A1197" s="85">
        <v>46163</v>
      </c>
      <c r="B1197" t="s">
        <v>147</v>
      </c>
      <c r="C1197">
        <v>21</v>
      </c>
      <c r="D1197">
        <v>1</v>
      </c>
      <c r="E1197">
        <v>4</v>
      </c>
      <c r="F1197">
        <v>3</v>
      </c>
      <c r="G1197">
        <v>17</v>
      </c>
      <c r="H1197">
        <v>10</v>
      </c>
      <c r="I1197">
        <v>0.75</v>
      </c>
      <c r="J1197">
        <v>0.59</v>
      </c>
      <c r="K1197">
        <v>0</v>
      </c>
      <c r="L1197">
        <v>1</v>
      </c>
      <c r="M1197">
        <v>0</v>
      </c>
      <c r="N1197">
        <v>0</v>
      </c>
      <c r="O1197">
        <v>0</v>
      </c>
      <c r="P1197">
        <v>1</v>
      </c>
      <c r="Q1197">
        <v>0</v>
      </c>
      <c r="R1197">
        <v>0</v>
      </c>
      <c r="S1197">
        <v>0</v>
      </c>
      <c r="T1197">
        <v>0</v>
      </c>
      <c r="U1197">
        <v>0</v>
      </c>
      <c r="V1197">
        <v>0</v>
      </c>
      <c r="W1197">
        <v>0</v>
      </c>
      <c r="X1197">
        <v>0</v>
      </c>
      <c r="Y1197">
        <v>0</v>
      </c>
      <c r="Z1197">
        <v>0</v>
      </c>
      <c r="AA1197">
        <v>0</v>
      </c>
      <c r="AB1197">
        <v>0</v>
      </c>
      <c r="AC1197">
        <v>0</v>
      </c>
      <c r="AD1197">
        <v>0</v>
      </c>
      <c r="AE1197">
        <v>1</v>
      </c>
      <c r="AF1197">
        <v>0</v>
      </c>
      <c r="AG1197">
        <v>0</v>
      </c>
      <c r="AH1197" s="86">
        <f>AVERAGEIFS($C$2:C1197, $B$2:B1197, B1197)</f>
        <v>14.578947368421053</v>
      </c>
      <c r="AI1197" s="86">
        <f>AVERAGEIFS($I$2:I1197, $B$2:B1197, B1197)</f>
        <v>0.56842105263157894</v>
      </c>
      <c r="AJ1197" s="86">
        <f>AVERAGEIFS($J$2:J1197, $B$2:B1197, B1197)</f>
        <v>0.53552631578947374</v>
      </c>
      <c r="AK1197" s="86">
        <f>AVERAGEIFS($D$2:D1197, $B$2:B1197, B1197)</f>
        <v>0.55263157894736847</v>
      </c>
    </row>
    <row r="1198" spans="1:37" x14ac:dyDescent="0.25">
      <c r="A1198" s="85">
        <v>46163</v>
      </c>
      <c r="B1198" t="s">
        <v>1</v>
      </c>
      <c r="C1198">
        <v>19</v>
      </c>
      <c r="D1198">
        <v>0</v>
      </c>
      <c r="E1198">
        <v>4</v>
      </c>
      <c r="F1198">
        <v>1</v>
      </c>
      <c r="G1198">
        <v>17</v>
      </c>
      <c r="H1198">
        <v>7</v>
      </c>
      <c r="I1198">
        <v>0.25</v>
      </c>
      <c r="J1198">
        <v>0.41</v>
      </c>
      <c r="K1198">
        <v>0</v>
      </c>
      <c r="L1198">
        <v>0</v>
      </c>
      <c r="M1198">
        <v>1</v>
      </c>
      <c r="N1198">
        <v>0</v>
      </c>
      <c r="O1198">
        <v>0</v>
      </c>
      <c r="P1198">
        <v>0</v>
      </c>
      <c r="Q1198">
        <v>0</v>
      </c>
      <c r="R1198">
        <v>0</v>
      </c>
      <c r="S1198">
        <v>0</v>
      </c>
      <c r="T1198">
        <v>0</v>
      </c>
      <c r="U1198">
        <v>0</v>
      </c>
      <c r="V1198">
        <v>0</v>
      </c>
      <c r="W1198">
        <v>0</v>
      </c>
      <c r="X1198">
        <v>0</v>
      </c>
      <c r="Y1198">
        <v>0</v>
      </c>
      <c r="Z1198">
        <v>0</v>
      </c>
      <c r="AA1198">
        <v>0</v>
      </c>
      <c r="AB1198">
        <v>0</v>
      </c>
      <c r="AC1198">
        <v>0</v>
      </c>
      <c r="AD1198">
        <v>0</v>
      </c>
      <c r="AE1198">
        <v>0</v>
      </c>
      <c r="AF1198">
        <v>0</v>
      </c>
      <c r="AG1198">
        <v>0</v>
      </c>
      <c r="AH1198" s="86">
        <f>AVERAGEIFS($C$2:C1198, $B$2:B1198, B1198)</f>
        <v>27.048780487804876</v>
      </c>
      <c r="AI1198" s="86">
        <f>AVERAGEIFS($I$2:I1198, $B$2:B1198, B1198)</f>
        <v>0.4963414634146342</v>
      </c>
      <c r="AJ1198" s="86">
        <f>AVERAGEIFS($J$2:J1198, $B$2:B1198, B1198)</f>
        <v>0.50000000000000011</v>
      </c>
      <c r="AK1198" s="86">
        <f>AVERAGEIFS($D$2:D1198, $B$2:B1198, B1198)</f>
        <v>0.51219512195121952</v>
      </c>
    </row>
    <row r="1199" spans="1:37" x14ac:dyDescent="0.25">
      <c r="A1199" s="85">
        <v>46163</v>
      </c>
      <c r="B1199" t="s">
        <v>4</v>
      </c>
      <c r="C1199">
        <v>28</v>
      </c>
      <c r="D1199">
        <v>0</v>
      </c>
      <c r="E1199">
        <v>4</v>
      </c>
      <c r="F1199">
        <v>1</v>
      </c>
      <c r="G1199">
        <v>17</v>
      </c>
      <c r="H1199">
        <v>7</v>
      </c>
      <c r="I1199">
        <v>0.25</v>
      </c>
      <c r="J1199">
        <v>0.41</v>
      </c>
      <c r="K1199">
        <v>0</v>
      </c>
      <c r="L1199">
        <v>0</v>
      </c>
      <c r="M1199">
        <v>1</v>
      </c>
      <c r="N1199">
        <v>0</v>
      </c>
      <c r="O1199">
        <v>0</v>
      </c>
      <c r="P1199">
        <v>0</v>
      </c>
      <c r="Q1199">
        <v>0</v>
      </c>
      <c r="R1199">
        <v>0</v>
      </c>
      <c r="S1199">
        <v>0</v>
      </c>
      <c r="T1199">
        <v>0</v>
      </c>
      <c r="U1199">
        <v>0</v>
      </c>
      <c r="V1199">
        <v>0</v>
      </c>
      <c r="W1199">
        <v>0</v>
      </c>
      <c r="X1199">
        <v>0</v>
      </c>
      <c r="Y1199">
        <v>0</v>
      </c>
      <c r="Z1199">
        <v>0</v>
      </c>
      <c r="AA1199">
        <v>0</v>
      </c>
      <c r="AB1199">
        <v>0</v>
      </c>
      <c r="AC1199">
        <v>0</v>
      </c>
      <c r="AD1199">
        <v>0</v>
      </c>
      <c r="AE1199">
        <v>0</v>
      </c>
      <c r="AF1199">
        <v>0</v>
      </c>
      <c r="AG1199">
        <v>0</v>
      </c>
      <c r="AH1199" s="86">
        <f>AVERAGEIFS($C$2:C1199, $B$2:B1199, B1199)</f>
        <v>24.547619047619047</v>
      </c>
      <c r="AI1199" s="86">
        <f>AVERAGEIFS($I$2:I1199, $B$2:B1199, B1199)</f>
        <v>0.45238095238095244</v>
      </c>
      <c r="AJ1199" s="86">
        <f>AVERAGEIFS($J$2:J1199, $B$2:B1199, B1199)</f>
        <v>0.4709523809523809</v>
      </c>
      <c r="AK1199" s="86">
        <f>AVERAGEIFS($D$2:D1199, $B$2:B1199, B1199)</f>
        <v>0.40476190476190477</v>
      </c>
    </row>
    <row r="1200" spans="1:37" x14ac:dyDescent="0.25">
      <c r="A1200" s="85">
        <v>46163</v>
      </c>
      <c r="B1200" t="s">
        <v>46</v>
      </c>
      <c r="C1200">
        <v>10</v>
      </c>
      <c r="D1200">
        <v>0</v>
      </c>
      <c r="E1200">
        <v>4</v>
      </c>
      <c r="F1200">
        <v>1</v>
      </c>
      <c r="G1200">
        <v>17</v>
      </c>
      <c r="H1200">
        <v>7</v>
      </c>
      <c r="I1200">
        <v>0.25</v>
      </c>
      <c r="J1200">
        <v>0.41</v>
      </c>
      <c r="K1200">
        <v>0</v>
      </c>
      <c r="L1200">
        <v>0</v>
      </c>
      <c r="M1200">
        <v>1</v>
      </c>
      <c r="N1200">
        <v>0</v>
      </c>
      <c r="O1200">
        <v>0</v>
      </c>
      <c r="P1200">
        <v>0</v>
      </c>
      <c r="Q1200">
        <v>0</v>
      </c>
      <c r="R1200">
        <v>0</v>
      </c>
      <c r="S1200">
        <v>0</v>
      </c>
      <c r="T1200">
        <v>0</v>
      </c>
      <c r="U1200">
        <v>0</v>
      </c>
      <c r="V1200">
        <v>0</v>
      </c>
      <c r="W1200">
        <v>0</v>
      </c>
      <c r="X1200">
        <v>0</v>
      </c>
      <c r="Y1200">
        <v>0</v>
      </c>
      <c r="Z1200">
        <v>0</v>
      </c>
      <c r="AA1200">
        <v>0</v>
      </c>
      <c r="AB1200">
        <v>0</v>
      </c>
      <c r="AC1200">
        <v>0</v>
      </c>
      <c r="AD1200">
        <v>0</v>
      </c>
      <c r="AE1200">
        <v>0</v>
      </c>
      <c r="AF1200">
        <v>0</v>
      </c>
      <c r="AG1200">
        <v>0</v>
      </c>
      <c r="AH1200" s="86">
        <f>AVERAGEIFS($C$2:C1200, $B$2:B1200, B1200)</f>
        <v>17.7</v>
      </c>
      <c r="AI1200" s="86">
        <f>AVERAGEIFS($I$2:I1200, $B$2:B1200, B1200)</f>
        <v>0.38833333333333331</v>
      </c>
      <c r="AJ1200" s="86">
        <f>AVERAGEIFS($J$2:J1200, $B$2:B1200, B1200)</f>
        <v>0.4346666666666667</v>
      </c>
      <c r="AK1200" s="86">
        <f>AVERAGEIFS($D$2:D1200, $B$2:B1200, B1200)</f>
        <v>0.33333333333333331</v>
      </c>
    </row>
    <row r="1201" spans="1:37" x14ac:dyDescent="0.25">
      <c r="A1201" s="85">
        <v>46163</v>
      </c>
      <c r="B1201" t="s">
        <v>13</v>
      </c>
      <c r="C1201">
        <v>18</v>
      </c>
      <c r="D1201">
        <v>0</v>
      </c>
      <c r="E1201">
        <v>4</v>
      </c>
      <c r="F1201">
        <v>1</v>
      </c>
      <c r="G1201">
        <v>17</v>
      </c>
      <c r="H1201">
        <v>7</v>
      </c>
      <c r="I1201">
        <v>0.25</v>
      </c>
      <c r="J1201">
        <v>0.41</v>
      </c>
      <c r="K1201">
        <v>0</v>
      </c>
      <c r="L1201">
        <v>0</v>
      </c>
      <c r="M1201">
        <v>1</v>
      </c>
      <c r="N1201">
        <v>0</v>
      </c>
      <c r="O1201">
        <v>0</v>
      </c>
      <c r="P1201">
        <v>0</v>
      </c>
      <c r="Q1201">
        <v>0</v>
      </c>
      <c r="R1201">
        <v>0</v>
      </c>
      <c r="S1201">
        <v>0</v>
      </c>
      <c r="T1201">
        <v>0</v>
      </c>
      <c r="U1201">
        <v>0</v>
      </c>
      <c r="V1201">
        <v>0</v>
      </c>
      <c r="W1201">
        <v>0</v>
      </c>
      <c r="X1201">
        <v>0</v>
      </c>
      <c r="Y1201">
        <v>0</v>
      </c>
      <c r="Z1201">
        <v>0</v>
      </c>
      <c r="AA1201">
        <v>0</v>
      </c>
      <c r="AB1201">
        <v>0</v>
      </c>
      <c r="AC1201">
        <v>0</v>
      </c>
      <c r="AD1201">
        <v>0</v>
      </c>
      <c r="AE1201">
        <v>0</v>
      </c>
      <c r="AF1201">
        <v>0</v>
      </c>
      <c r="AG1201">
        <v>0</v>
      </c>
      <c r="AH1201" s="86">
        <f>AVERAGEIFS($C$2:C1201, $B$2:B1201, B1201)</f>
        <v>14.73076923076923</v>
      </c>
      <c r="AI1201" s="86">
        <f>AVERAGEIFS($I$2:I1201, $B$2:B1201, B1201)</f>
        <v>0.44423076923076921</v>
      </c>
      <c r="AJ1201" s="86">
        <f>AVERAGEIFS($J$2:J1201, $B$2:B1201, B1201)</f>
        <v>0.47500000000000003</v>
      </c>
      <c r="AK1201" s="86">
        <f>AVERAGEIFS($D$2:D1201, $B$2:B1201, B1201)</f>
        <v>0.38461538461538464</v>
      </c>
    </row>
    <row r="1202" spans="1:37" x14ac:dyDescent="0.25">
      <c r="A1202" s="85">
        <v>46163</v>
      </c>
      <c r="B1202" t="s">
        <v>214</v>
      </c>
      <c r="C1202">
        <v>5</v>
      </c>
      <c r="D1202">
        <v>0</v>
      </c>
      <c r="E1202">
        <v>4</v>
      </c>
      <c r="F1202">
        <v>1</v>
      </c>
      <c r="G1202">
        <v>17</v>
      </c>
      <c r="H1202">
        <v>7</v>
      </c>
      <c r="I1202">
        <v>0.25</v>
      </c>
      <c r="J1202">
        <v>0.41</v>
      </c>
      <c r="K1202">
        <v>0</v>
      </c>
      <c r="L1202">
        <v>0</v>
      </c>
      <c r="M1202">
        <v>1</v>
      </c>
      <c r="N1202">
        <v>0</v>
      </c>
      <c r="O1202">
        <v>0</v>
      </c>
      <c r="P1202">
        <v>0</v>
      </c>
      <c r="Q1202">
        <v>0</v>
      </c>
      <c r="R1202">
        <v>0</v>
      </c>
      <c r="S1202">
        <v>0</v>
      </c>
      <c r="T1202">
        <v>0</v>
      </c>
      <c r="U1202">
        <v>0</v>
      </c>
      <c r="V1202">
        <v>0</v>
      </c>
      <c r="W1202">
        <v>0</v>
      </c>
      <c r="X1202">
        <v>0</v>
      </c>
      <c r="Y1202">
        <v>0</v>
      </c>
      <c r="Z1202">
        <v>0</v>
      </c>
      <c r="AA1202">
        <v>0</v>
      </c>
      <c r="AB1202">
        <v>0</v>
      </c>
      <c r="AC1202">
        <v>0</v>
      </c>
      <c r="AD1202">
        <v>0</v>
      </c>
      <c r="AE1202">
        <v>0</v>
      </c>
      <c r="AF1202">
        <v>0</v>
      </c>
      <c r="AG1202">
        <v>0</v>
      </c>
      <c r="AH1202" s="86">
        <f>AVERAGEIFS($C$2:C1202, $B$2:B1202, B1202)</f>
        <v>4</v>
      </c>
      <c r="AI1202" s="86">
        <f>AVERAGEIFS($I$2:I1202, $B$2:B1202, B1202)</f>
        <v>0.6166666666666667</v>
      </c>
      <c r="AJ1202" s="86">
        <f>AVERAGEIFS($J$2:J1202, $B$2:B1202, B1202)</f>
        <v>0.55999999999999994</v>
      </c>
      <c r="AK1202" s="86">
        <f>AVERAGEIFS($D$2:D1202, $B$2:B1202, B1202)</f>
        <v>0.66666666666666663</v>
      </c>
    </row>
    <row r="1203" spans="1:37" x14ac:dyDescent="0.25">
      <c r="A1203" s="85">
        <v>46163</v>
      </c>
      <c r="B1203" t="s">
        <v>42</v>
      </c>
      <c r="C1203">
        <v>26</v>
      </c>
      <c r="D1203">
        <v>1</v>
      </c>
      <c r="E1203">
        <v>4</v>
      </c>
      <c r="F1203">
        <v>3</v>
      </c>
      <c r="G1203">
        <v>17</v>
      </c>
      <c r="H1203">
        <v>11</v>
      </c>
      <c r="I1203">
        <v>0.75</v>
      </c>
      <c r="J1203">
        <v>0.65</v>
      </c>
      <c r="K1203">
        <v>1</v>
      </c>
      <c r="L1203">
        <v>0</v>
      </c>
      <c r="M1203">
        <v>0</v>
      </c>
      <c r="N1203">
        <v>0</v>
      </c>
      <c r="O1203">
        <v>0</v>
      </c>
      <c r="P1203">
        <v>0</v>
      </c>
      <c r="Q1203">
        <v>0</v>
      </c>
      <c r="R1203">
        <v>0</v>
      </c>
      <c r="S1203">
        <v>0</v>
      </c>
      <c r="T1203">
        <v>0</v>
      </c>
      <c r="U1203">
        <v>0</v>
      </c>
      <c r="V1203">
        <v>0</v>
      </c>
      <c r="W1203">
        <v>0</v>
      </c>
      <c r="X1203">
        <v>0</v>
      </c>
      <c r="Y1203">
        <v>0</v>
      </c>
      <c r="Z1203">
        <v>0</v>
      </c>
      <c r="AA1203">
        <v>0</v>
      </c>
      <c r="AB1203">
        <v>0</v>
      </c>
      <c r="AC1203">
        <v>1</v>
      </c>
      <c r="AD1203">
        <v>1</v>
      </c>
      <c r="AE1203">
        <v>0</v>
      </c>
      <c r="AF1203">
        <v>0</v>
      </c>
      <c r="AG1203">
        <v>0</v>
      </c>
      <c r="AH1203" s="86">
        <f>AVERAGEIFS($C$2:C1203, $B$2:B1203, B1203)</f>
        <v>18.074074074074073</v>
      </c>
      <c r="AI1203" s="86">
        <f>AVERAGEIFS($I$2:I1203, $B$2:B1203, B1203)</f>
        <v>0.47592592592592597</v>
      </c>
      <c r="AJ1203" s="86">
        <f>AVERAGEIFS($J$2:J1203, $B$2:B1203, B1203)</f>
        <v>0.46777777777777763</v>
      </c>
      <c r="AK1203" s="86">
        <f>AVERAGEIFS($D$2:D1203, $B$2:B1203, B1203)</f>
        <v>0.5</v>
      </c>
    </row>
    <row r="1204" spans="1:37" x14ac:dyDescent="0.25">
      <c r="A1204" s="85">
        <v>46163</v>
      </c>
      <c r="B1204" t="s">
        <v>150</v>
      </c>
      <c r="C1204">
        <v>31</v>
      </c>
      <c r="D1204">
        <v>1</v>
      </c>
      <c r="E1204">
        <v>4</v>
      </c>
      <c r="F1204">
        <v>3</v>
      </c>
      <c r="G1204">
        <v>17</v>
      </c>
      <c r="H1204">
        <v>11</v>
      </c>
      <c r="I1204">
        <v>0.75</v>
      </c>
      <c r="J1204">
        <v>0.65</v>
      </c>
      <c r="K1204">
        <v>1</v>
      </c>
      <c r="L1204">
        <v>0</v>
      </c>
      <c r="M1204">
        <v>0</v>
      </c>
      <c r="N1204">
        <v>0</v>
      </c>
      <c r="O1204">
        <v>0</v>
      </c>
      <c r="P1204">
        <v>0</v>
      </c>
      <c r="Q1204">
        <v>0</v>
      </c>
      <c r="R1204">
        <v>0</v>
      </c>
      <c r="S1204">
        <v>0</v>
      </c>
      <c r="T1204">
        <v>0</v>
      </c>
      <c r="U1204">
        <v>0</v>
      </c>
      <c r="V1204">
        <v>0</v>
      </c>
      <c r="W1204">
        <v>0</v>
      </c>
      <c r="X1204">
        <v>0</v>
      </c>
      <c r="Y1204">
        <v>0</v>
      </c>
      <c r="Z1204">
        <v>0</v>
      </c>
      <c r="AA1204">
        <v>0</v>
      </c>
      <c r="AB1204">
        <v>0</v>
      </c>
      <c r="AC1204">
        <v>1</v>
      </c>
      <c r="AD1204">
        <v>1</v>
      </c>
      <c r="AE1204">
        <v>0</v>
      </c>
      <c r="AF1204">
        <v>0</v>
      </c>
      <c r="AG1204">
        <v>0</v>
      </c>
      <c r="AH1204" s="86">
        <f>AVERAGEIFS($C$2:C1204, $B$2:B1204, B1204)</f>
        <v>19.142857142857142</v>
      </c>
      <c r="AI1204" s="86">
        <f>AVERAGEIFS($I$2:I1204, $B$2:B1204, B1204)</f>
        <v>0.59464285714285714</v>
      </c>
      <c r="AJ1204" s="86">
        <f>AVERAGEIFS($J$2:J1204, $B$2:B1204, B1204)</f>
        <v>0.56607142857142867</v>
      </c>
      <c r="AK1204" s="86">
        <f>AVERAGEIFS($D$2:D1204, $B$2:B1204, B1204)</f>
        <v>0.6428571428571429</v>
      </c>
    </row>
    <row r="1205" spans="1:37" x14ac:dyDescent="0.25">
      <c r="A1205" s="85">
        <v>46163</v>
      </c>
      <c r="B1205" t="s">
        <v>146</v>
      </c>
      <c r="C1205">
        <v>14</v>
      </c>
      <c r="D1205">
        <v>1</v>
      </c>
      <c r="E1205">
        <v>4</v>
      </c>
      <c r="F1205">
        <v>3</v>
      </c>
      <c r="G1205">
        <v>17</v>
      </c>
      <c r="H1205">
        <v>11</v>
      </c>
      <c r="I1205">
        <v>0.75</v>
      </c>
      <c r="J1205">
        <v>0.65</v>
      </c>
      <c r="K1205">
        <v>1</v>
      </c>
      <c r="L1205">
        <v>0</v>
      </c>
      <c r="M1205">
        <v>0</v>
      </c>
      <c r="N1205">
        <v>0</v>
      </c>
      <c r="O1205">
        <v>0</v>
      </c>
      <c r="P1205">
        <v>0</v>
      </c>
      <c r="Q1205">
        <v>0</v>
      </c>
      <c r="R1205">
        <v>0</v>
      </c>
      <c r="S1205">
        <v>0</v>
      </c>
      <c r="T1205">
        <v>0</v>
      </c>
      <c r="U1205">
        <v>0</v>
      </c>
      <c r="V1205">
        <v>0</v>
      </c>
      <c r="W1205">
        <v>0</v>
      </c>
      <c r="X1205">
        <v>0</v>
      </c>
      <c r="Y1205">
        <v>0</v>
      </c>
      <c r="Z1205">
        <v>0</v>
      </c>
      <c r="AA1205">
        <v>0</v>
      </c>
      <c r="AB1205">
        <v>0</v>
      </c>
      <c r="AC1205">
        <v>1</v>
      </c>
      <c r="AD1205">
        <v>1</v>
      </c>
      <c r="AE1205">
        <v>0</v>
      </c>
      <c r="AF1205">
        <v>0</v>
      </c>
      <c r="AG1205">
        <v>0</v>
      </c>
      <c r="AH1205" s="86">
        <f>AVERAGEIFS($C$2:C1205, $B$2:B1205, B1205)</f>
        <v>11.272727272727273</v>
      </c>
      <c r="AI1205" s="86">
        <f>AVERAGEIFS($I$2:I1205, $B$2:B1205, B1205)</f>
        <v>0.33636363636363636</v>
      </c>
      <c r="AJ1205" s="86">
        <f>AVERAGEIFS($J$2:J1205, $B$2:B1205, B1205)</f>
        <v>0.40454545454545454</v>
      </c>
      <c r="AK1205" s="86">
        <f>AVERAGEIFS($D$2:D1205, $B$2:B1205, B1205)</f>
        <v>0.36363636363636365</v>
      </c>
    </row>
    <row r="1206" spans="1:37" x14ac:dyDescent="0.25">
      <c r="A1206" s="85">
        <v>46163</v>
      </c>
      <c r="B1206" t="s">
        <v>115</v>
      </c>
      <c r="C1206">
        <v>8</v>
      </c>
      <c r="D1206">
        <v>1</v>
      </c>
      <c r="E1206">
        <v>4</v>
      </c>
      <c r="F1206">
        <v>3</v>
      </c>
      <c r="G1206">
        <v>17</v>
      </c>
      <c r="H1206">
        <v>11</v>
      </c>
      <c r="I1206">
        <v>0.75</v>
      </c>
      <c r="J1206">
        <v>0.65</v>
      </c>
      <c r="K1206">
        <v>1</v>
      </c>
      <c r="L1206">
        <v>0</v>
      </c>
      <c r="M1206">
        <v>0</v>
      </c>
      <c r="N1206">
        <v>0</v>
      </c>
      <c r="O1206">
        <v>0</v>
      </c>
      <c r="P1206">
        <v>0</v>
      </c>
      <c r="Q1206">
        <v>0</v>
      </c>
      <c r="R1206">
        <v>0</v>
      </c>
      <c r="S1206">
        <v>0</v>
      </c>
      <c r="T1206">
        <v>0</v>
      </c>
      <c r="U1206">
        <v>0</v>
      </c>
      <c r="V1206">
        <v>0</v>
      </c>
      <c r="W1206">
        <v>0</v>
      </c>
      <c r="X1206">
        <v>0</v>
      </c>
      <c r="Y1206">
        <v>0</v>
      </c>
      <c r="Z1206">
        <v>0</v>
      </c>
      <c r="AA1206">
        <v>0</v>
      </c>
      <c r="AB1206">
        <v>0</v>
      </c>
      <c r="AC1206">
        <v>1</v>
      </c>
      <c r="AD1206">
        <v>1</v>
      </c>
      <c r="AE1206">
        <v>0</v>
      </c>
      <c r="AF1206">
        <v>0</v>
      </c>
      <c r="AG1206">
        <v>0</v>
      </c>
      <c r="AH1206" s="86">
        <f>AVERAGEIFS($C$2:C1206, $B$2:B1206, B1206)</f>
        <v>13.928571428571429</v>
      </c>
      <c r="AI1206" s="86">
        <f>AVERAGEIFS($I$2:I1206, $B$2:B1206, B1206)</f>
        <v>0.47142857142857136</v>
      </c>
      <c r="AJ1206" s="86">
        <f>AVERAGEIFS($J$2:J1206, $B$2:B1206, B1206)</f>
        <v>0.48571428571428565</v>
      </c>
      <c r="AK1206" s="86">
        <f>AVERAGEIFS($D$2:D1206, $B$2:B1206, B1206)</f>
        <v>0.5</v>
      </c>
    </row>
    <row r="1207" spans="1:37" x14ac:dyDescent="0.25">
      <c r="A1207" s="85">
        <v>46163</v>
      </c>
      <c r="B1207" t="s">
        <v>13</v>
      </c>
      <c r="C1207">
        <v>22</v>
      </c>
      <c r="D1207">
        <v>1</v>
      </c>
      <c r="E1207">
        <v>4</v>
      </c>
      <c r="F1207">
        <v>3</v>
      </c>
      <c r="G1207">
        <v>17</v>
      </c>
      <c r="H1207">
        <v>11</v>
      </c>
      <c r="I1207">
        <v>0.75</v>
      </c>
      <c r="J1207">
        <v>0.65</v>
      </c>
      <c r="K1207">
        <v>1</v>
      </c>
      <c r="L1207">
        <v>0</v>
      </c>
      <c r="M1207">
        <v>0</v>
      </c>
      <c r="N1207">
        <v>0</v>
      </c>
      <c r="O1207">
        <v>0</v>
      </c>
      <c r="P1207">
        <v>0</v>
      </c>
      <c r="Q1207">
        <v>0</v>
      </c>
      <c r="R1207">
        <v>0</v>
      </c>
      <c r="S1207">
        <v>0</v>
      </c>
      <c r="T1207">
        <v>0</v>
      </c>
      <c r="U1207">
        <v>0</v>
      </c>
      <c r="V1207">
        <v>0</v>
      </c>
      <c r="W1207">
        <v>0</v>
      </c>
      <c r="X1207">
        <v>0</v>
      </c>
      <c r="Y1207">
        <v>0</v>
      </c>
      <c r="Z1207">
        <v>0</v>
      </c>
      <c r="AA1207">
        <v>0</v>
      </c>
      <c r="AB1207">
        <v>0</v>
      </c>
      <c r="AC1207">
        <v>1</v>
      </c>
      <c r="AD1207">
        <v>1</v>
      </c>
      <c r="AE1207">
        <v>0</v>
      </c>
      <c r="AF1207">
        <v>0</v>
      </c>
      <c r="AG1207">
        <v>0</v>
      </c>
      <c r="AH1207" s="86">
        <f>AVERAGEIFS($C$2:C1207, $B$2:B1207, B1207)</f>
        <v>15</v>
      </c>
      <c r="AI1207" s="86">
        <f>AVERAGEIFS($I$2:I1207, $B$2:B1207, B1207)</f>
        <v>0.45555555555555549</v>
      </c>
      <c r="AJ1207" s="86">
        <f>AVERAGEIFS($J$2:J1207, $B$2:B1207, B1207)</f>
        <v>0.48148148148148157</v>
      </c>
      <c r="AK1207" s="86">
        <f>AVERAGEIFS($D$2:D1207, $B$2:B1207, B1207)</f>
        <v>0.40740740740740738</v>
      </c>
    </row>
    <row r="1208" spans="1:37" x14ac:dyDescent="0.25">
      <c r="A1208" s="85">
        <v>46163</v>
      </c>
      <c r="B1208" t="s">
        <v>50</v>
      </c>
      <c r="C1208">
        <v>17</v>
      </c>
      <c r="D1208">
        <v>1</v>
      </c>
      <c r="E1208">
        <v>4</v>
      </c>
      <c r="F1208">
        <v>3</v>
      </c>
      <c r="G1208">
        <v>17</v>
      </c>
      <c r="H1208">
        <v>11</v>
      </c>
      <c r="I1208">
        <v>0.75</v>
      </c>
      <c r="J1208">
        <v>0.65</v>
      </c>
      <c r="K1208">
        <v>1</v>
      </c>
      <c r="L1208">
        <v>0</v>
      </c>
      <c r="M1208">
        <v>0</v>
      </c>
      <c r="N1208">
        <v>0</v>
      </c>
      <c r="O1208">
        <v>0</v>
      </c>
      <c r="P1208">
        <v>0</v>
      </c>
      <c r="Q1208">
        <v>0</v>
      </c>
      <c r="R1208">
        <v>0</v>
      </c>
      <c r="S1208">
        <v>0</v>
      </c>
      <c r="T1208">
        <v>0</v>
      </c>
      <c r="U1208">
        <v>0</v>
      </c>
      <c r="V1208">
        <v>0</v>
      </c>
      <c r="W1208">
        <v>0</v>
      </c>
      <c r="X1208">
        <v>0</v>
      </c>
      <c r="Y1208">
        <v>0</v>
      </c>
      <c r="Z1208">
        <v>0</v>
      </c>
      <c r="AA1208">
        <v>0</v>
      </c>
      <c r="AB1208">
        <v>0</v>
      </c>
      <c r="AC1208">
        <v>1</v>
      </c>
      <c r="AD1208">
        <v>1</v>
      </c>
      <c r="AE1208">
        <v>0</v>
      </c>
      <c r="AF1208">
        <v>0</v>
      </c>
      <c r="AG1208">
        <v>0</v>
      </c>
      <c r="AH1208" s="86">
        <f>AVERAGEIFS($C$2:C1208, $B$2:B1208, B1208)</f>
        <v>18.04</v>
      </c>
      <c r="AI1208" s="86">
        <f>AVERAGEIFS($I$2:I1208, $B$2:B1208, B1208)</f>
        <v>0.50260000000000005</v>
      </c>
      <c r="AJ1208" s="86">
        <f>AVERAGEIFS($J$2:J1208, $B$2:B1208, B1208)</f>
        <v>0.51159999999999994</v>
      </c>
      <c r="AK1208" s="86">
        <f>AVERAGEIFS($D$2:D1208, $B$2:B1208, B1208)</f>
        <v>0.5</v>
      </c>
    </row>
    <row r="1209" spans="1:37" x14ac:dyDescent="0.25">
      <c r="A1209" s="85">
        <v>46163</v>
      </c>
      <c r="B1209" t="s">
        <v>147</v>
      </c>
      <c r="C1209">
        <v>20</v>
      </c>
      <c r="D1209">
        <v>0</v>
      </c>
      <c r="E1209">
        <v>4</v>
      </c>
      <c r="F1209">
        <v>1</v>
      </c>
      <c r="G1209">
        <v>17</v>
      </c>
      <c r="H1209">
        <v>6</v>
      </c>
      <c r="I1209">
        <v>0.25</v>
      </c>
      <c r="J1209">
        <v>0.35</v>
      </c>
      <c r="K1209">
        <v>0</v>
      </c>
      <c r="L1209">
        <v>0</v>
      </c>
      <c r="M1209">
        <v>0</v>
      </c>
      <c r="N1209">
        <v>0</v>
      </c>
      <c r="O1209">
        <v>0</v>
      </c>
      <c r="P1209">
        <v>0</v>
      </c>
      <c r="Q1209">
        <v>0</v>
      </c>
      <c r="R1209">
        <v>0</v>
      </c>
      <c r="S1209">
        <v>0</v>
      </c>
      <c r="T1209">
        <v>0</v>
      </c>
      <c r="U1209">
        <v>0</v>
      </c>
      <c r="V1209">
        <v>0</v>
      </c>
      <c r="W1209">
        <v>1</v>
      </c>
      <c r="X1209">
        <v>0</v>
      </c>
      <c r="Y1209">
        <v>0</v>
      </c>
      <c r="Z1209">
        <v>0</v>
      </c>
      <c r="AA1209">
        <v>0</v>
      </c>
      <c r="AB1209">
        <v>0</v>
      </c>
      <c r="AC1209">
        <v>0</v>
      </c>
      <c r="AD1209">
        <v>0</v>
      </c>
      <c r="AE1209">
        <v>0</v>
      </c>
      <c r="AF1209">
        <v>0</v>
      </c>
      <c r="AG1209">
        <v>0</v>
      </c>
      <c r="AH1209" s="86">
        <f>AVERAGEIFS($C$2:C1209, $B$2:B1209, B1209)</f>
        <v>14.717948717948717</v>
      </c>
      <c r="AI1209" s="86">
        <f>AVERAGEIFS($I$2:I1209, $B$2:B1209, B1209)</f>
        <v>0.56025641025641026</v>
      </c>
      <c r="AJ1209" s="86">
        <f>AVERAGEIFS($J$2:J1209, $B$2:B1209, B1209)</f>
        <v>0.53076923076923088</v>
      </c>
      <c r="AK1209" s="86">
        <f>AVERAGEIFS($D$2:D1209, $B$2:B1209, B1209)</f>
        <v>0.53846153846153844</v>
      </c>
    </row>
    <row r="1210" spans="1:37" x14ac:dyDescent="0.25">
      <c r="A1210" s="85">
        <v>46163</v>
      </c>
      <c r="B1210" t="s">
        <v>140</v>
      </c>
      <c r="C1210">
        <v>20</v>
      </c>
      <c r="D1210">
        <v>0</v>
      </c>
      <c r="E1210">
        <v>4</v>
      </c>
      <c r="F1210">
        <v>1</v>
      </c>
      <c r="G1210">
        <v>17</v>
      </c>
      <c r="H1210">
        <v>6</v>
      </c>
      <c r="I1210">
        <v>0.25</v>
      </c>
      <c r="J1210">
        <v>0.35</v>
      </c>
      <c r="K1210">
        <v>0</v>
      </c>
      <c r="L1210">
        <v>0</v>
      </c>
      <c r="M1210">
        <v>0</v>
      </c>
      <c r="N1210">
        <v>0</v>
      </c>
      <c r="O1210">
        <v>0</v>
      </c>
      <c r="P1210">
        <v>0</v>
      </c>
      <c r="Q1210">
        <v>0</v>
      </c>
      <c r="R1210">
        <v>0</v>
      </c>
      <c r="S1210">
        <v>0</v>
      </c>
      <c r="T1210">
        <v>0</v>
      </c>
      <c r="U1210">
        <v>0</v>
      </c>
      <c r="V1210">
        <v>0</v>
      </c>
      <c r="W1210">
        <v>1</v>
      </c>
      <c r="X1210">
        <v>0</v>
      </c>
      <c r="Y1210">
        <v>0</v>
      </c>
      <c r="Z1210">
        <v>0</v>
      </c>
      <c r="AA1210">
        <v>0</v>
      </c>
      <c r="AB1210">
        <v>0</v>
      </c>
      <c r="AC1210">
        <v>0</v>
      </c>
      <c r="AD1210">
        <v>0</v>
      </c>
      <c r="AE1210">
        <v>0</v>
      </c>
      <c r="AF1210">
        <v>0</v>
      </c>
      <c r="AG1210">
        <v>0</v>
      </c>
      <c r="AH1210" s="86">
        <f>AVERAGEIFS($C$2:C1210, $B$2:B1210, B1210)</f>
        <v>12.904761904761905</v>
      </c>
      <c r="AI1210" s="86">
        <f>AVERAGEIFS($I$2:I1210, $B$2:B1210, B1210)</f>
        <v>0.5095238095238096</v>
      </c>
      <c r="AJ1210" s="86">
        <f>AVERAGEIFS($J$2:J1210, $B$2:B1210, B1210)</f>
        <v>0.49952380952380943</v>
      </c>
      <c r="AK1210" s="86">
        <f>AVERAGEIFS($D$2:D1210, $B$2:B1210, B1210)</f>
        <v>0.47619047619047616</v>
      </c>
    </row>
    <row r="1211" spans="1:37" x14ac:dyDescent="0.25">
      <c r="A1211" s="85">
        <v>46163</v>
      </c>
      <c r="B1211" t="s">
        <v>179</v>
      </c>
      <c r="C1211">
        <v>16</v>
      </c>
      <c r="D1211">
        <v>0</v>
      </c>
      <c r="E1211">
        <v>4</v>
      </c>
      <c r="F1211">
        <v>1</v>
      </c>
      <c r="G1211">
        <v>17</v>
      </c>
      <c r="H1211">
        <v>6</v>
      </c>
      <c r="I1211">
        <v>0.25</v>
      </c>
      <c r="J1211">
        <v>0.35</v>
      </c>
      <c r="K1211">
        <v>0</v>
      </c>
      <c r="L1211">
        <v>0</v>
      </c>
      <c r="M1211">
        <v>0</v>
      </c>
      <c r="N1211">
        <v>0</v>
      </c>
      <c r="O1211">
        <v>0</v>
      </c>
      <c r="P1211">
        <v>0</v>
      </c>
      <c r="Q1211">
        <v>0</v>
      </c>
      <c r="R1211">
        <v>0</v>
      </c>
      <c r="S1211">
        <v>0</v>
      </c>
      <c r="T1211">
        <v>0</v>
      </c>
      <c r="U1211">
        <v>0</v>
      </c>
      <c r="V1211">
        <v>0</v>
      </c>
      <c r="W1211">
        <v>1</v>
      </c>
      <c r="X1211">
        <v>0</v>
      </c>
      <c r="Y1211">
        <v>0</v>
      </c>
      <c r="Z1211">
        <v>0</v>
      </c>
      <c r="AA1211">
        <v>0</v>
      </c>
      <c r="AB1211">
        <v>0</v>
      </c>
      <c r="AC1211">
        <v>0</v>
      </c>
      <c r="AD1211">
        <v>0</v>
      </c>
      <c r="AE1211">
        <v>0</v>
      </c>
      <c r="AF1211">
        <v>0</v>
      </c>
      <c r="AG1211">
        <v>0</v>
      </c>
      <c r="AH1211" s="86">
        <f>AVERAGEIFS($C$2:C1211, $B$2:B1211, B1211)</f>
        <v>17.7</v>
      </c>
      <c r="AI1211" s="86">
        <f>AVERAGEIFS($I$2:I1211, $B$2:B1211, B1211)</f>
        <v>0.44499999999999995</v>
      </c>
      <c r="AJ1211" s="86">
        <f>AVERAGEIFS($J$2:J1211, $B$2:B1211, B1211)</f>
        <v>0.48</v>
      </c>
      <c r="AK1211" s="86">
        <f>AVERAGEIFS($D$2:D1211, $B$2:B1211, B1211)</f>
        <v>0.3</v>
      </c>
    </row>
    <row r="1212" spans="1:37" x14ac:dyDescent="0.25">
      <c r="A1212" s="85">
        <v>46163</v>
      </c>
      <c r="B1212" t="s">
        <v>6</v>
      </c>
      <c r="C1212">
        <v>23</v>
      </c>
      <c r="D1212">
        <v>0</v>
      </c>
      <c r="E1212">
        <v>4</v>
      </c>
      <c r="F1212">
        <v>1</v>
      </c>
      <c r="G1212">
        <v>17</v>
      </c>
      <c r="H1212">
        <v>6</v>
      </c>
      <c r="I1212">
        <v>0.25</v>
      </c>
      <c r="J1212">
        <v>0.35</v>
      </c>
      <c r="K1212">
        <v>0</v>
      </c>
      <c r="L1212">
        <v>0</v>
      </c>
      <c r="M1212">
        <v>0</v>
      </c>
      <c r="N1212">
        <v>0</v>
      </c>
      <c r="O1212">
        <v>0</v>
      </c>
      <c r="P1212">
        <v>0</v>
      </c>
      <c r="Q1212">
        <v>0</v>
      </c>
      <c r="R1212">
        <v>0</v>
      </c>
      <c r="S1212">
        <v>0</v>
      </c>
      <c r="T1212">
        <v>0</v>
      </c>
      <c r="U1212">
        <v>0</v>
      </c>
      <c r="V1212">
        <v>0</v>
      </c>
      <c r="W1212">
        <v>1</v>
      </c>
      <c r="X1212">
        <v>0</v>
      </c>
      <c r="Y1212">
        <v>0</v>
      </c>
      <c r="Z1212">
        <v>0</v>
      </c>
      <c r="AA1212">
        <v>0</v>
      </c>
      <c r="AB1212">
        <v>0</v>
      </c>
      <c r="AC1212">
        <v>0</v>
      </c>
      <c r="AD1212">
        <v>0</v>
      </c>
      <c r="AE1212">
        <v>0</v>
      </c>
      <c r="AF1212">
        <v>0</v>
      </c>
      <c r="AG1212">
        <v>0</v>
      </c>
      <c r="AH1212" s="86">
        <f>AVERAGEIFS($C$2:C1212, $B$2:B1212, B1212)</f>
        <v>23.194805194805195</v>
      </c>
      <c r="AI1212" s="86">
        <f>AVERAGEIFS($I$2:I1212, $B$2:B1212, B1212)</f>
        <v>0.5588311688311689</v>
      </c>
      <c r="AJ1212" s="86">
        <f>AVERAGEIFS($J$2:J1212, $B$2:B1212, B1212)</f>
        <v>0.52999999999999992</v>
      </c>
      <c r="AK1212" s="86">
        <f>AVERAGEIFS($D$2:D1212, $B$2:B1212, B1212)</f>
        <v>0.62337662337662336</v>
      </c>
    </row>
    <row r="1213" spans="1:37" x14ac:dyDescent="0.25">
      <c r="A1213" s="85">
        <v>46163</v>
      </c>
      <c r="B1213" t="s">
        <v>107</v>
      </c>
      <c r="C1213">
        <v>21</v>
      </c>
      <c r="D1213">
        <v>0</v>
      </c>
      <c r="E1213">
        <v>4</v>
      </c>
      <c r="F1213">
        <v>1</v>
      </c>
      <c r="G1213">
        <v>17</v>
      </c>
      <c r="H1213">
        <v>6</v>
      </c>
      <c r="I1213">
        <v>0.25</v>
      </c>
      <c r="J1213">
        <v>0.35</v>
      </c>
      <c r="K1213">
        <v>0</v>
      </c>
      <c r="L1213">
        <v>0</v>
      </c>
      <c r="M1213">
        <v>0</v>
      </c>
      <c r="N1213">
        <v>0</v>
      </c>
      <c r="O1213">
        <v>0</v>
      </c>
      <c r="P1213">
        <v>0</v>
      </c>
      <c r="Q1213">
        <v>0</v>
      </c>
      <c r="R1213">
        <v>0</v>
      </c>
      <c r="S1213">
        <v>0</v>
      </c>
      <c r="T1213">
        <v>0</v>
      </c>
      <c r="U1213">
        <v>0</v>
      </c>
      <c r="V1213">
        <v>0</v>
      </c>
      <c r="W1213">
        <v>1</v>
      </c>
      <c r="X1213">
        <v>0</v>
      </c>
      <c r="Y1213">
        <v>0</v>
      </c>
      <c r="Z1213">
        <v>0</v>
      </c>
      <c r="AA1213">
        <v>0</v>
      </c>
      <c r="AB1213">
        <v>0</v>
      </c>
      <c r="AC1213">
        <v>0</v>
      </c>
      <c r="AD1213">
        <v>0</v>
      </c>
      <c r="AE1213">
        <v>0</v>
      </c>
      <c r="AF1213">
        <v>0</v>
      </c>
      <c r="AG1213">
        <v>0</v>
      </c>
      <c r="AH1213" s="86">
        <f>AVERAGEIFS($C$2:C1213, $B$2:B1213, B1213)</f>
        <v>16.274509803921568</v>
      </c>
      <c r="AI1213" s="86">
        <f>AVERAGEIFS($I$2:I1213, $B$2:B1213, B1213)</f>
        <v>0.50098039215686285</v>
      </c>
      <c r="AJ1213" s="86">
        <f>AVERAGEIFS($J$2:J1213, $B$2:B1213, B1213)</f>
        <v>0.51039215686274508</v>
      </c>
      <c r="AK1213" s="86">
        <f>AVERAGEIFS($D$2:D1213, $B$2:B1213, B1213)</f>
        <v>0.5490196078431373</v>
      </c>
    </row>
    <row r="1214" spans="1:37" x14ac:dyDescent="0.25">
      <c r="A1214" s="85">
        <v>46163</v>
      </c>
      <c r="B1214" t="s">
        <v>148</v>
      </c>
      <c r="C1214">
        <v>8</v>
      </c>
      <c r="D1214">
        <v>0</v>
      </c>
      <c r="E1214">
        <v>4</v>
      </c>
      <c r="F1214">
        <v>1</v>
      </c>
      <c r="G1214">
        <v>17</v>
      </c>
      <c r="H1214">
        <v>6</v>
      </c>
      <c r="I1214">
        <v>0.25</v>
      </c>
      <c r="J1214">
        <v>0.35</v>
      </c>
      <c r="K1214">
        <v>0</v>
      </c>
      <c r="L1214">
        <v>0</v>
      </c>
      <c r="M1214">
        <v>0</v>
      </c>
      <c r="N1214">
        <v>0</v>
      </c>
      <c r="O1214">
        <v>0</v>
      </c>
      <c r="P1214">
        <v>0</v>
      </c>
      <c r="Q1214">
        <v>0</v>
      </c>
      <c r="R1214">
        <v>0</v>
      </c>
      <c r="S1214">
        <v>0</v>
      </c>
      <c r="T1214">
        <v>0</v>
      </c>
      <c r="U1214">
        <v>0</v>
      </c>
      <c r="V1214">
        <v>0</v>
      </c>
      <c r="W1214">
        <v>1</v>
      </c>
      <c r="X1214">
        <v>0</v>
      </c>
      <c r="Y1214">
        <v>0</v>
      </c>
      <c r="Z1214">
        <v>0</v>
      </c>
      <c r="AA1214">
        <v>0</v>
      </c>
      <c r="AB1214">
        <v>0</v>
      </c>
      <c r="AC1214">
        <v>0</v>
      </c>
      <c r="AD1214">
        <v>0</v>
      </c>
      <c r="AE1214">
        <v>0</v>
      </c>
      <c r="AF1214">
        <v>0</v>
      </c>
      <c r="AG1214">
        <v>0</v>
      </c>
      <c r="AH1214" s="86">
        <f>AVERAGEIFS($C$2:C1214, $B$2:B1214, B1214)</f>
        <v>8.5</v>
      </c>
      <c r="AI1214" s="86">
        <f>AVERAGEIFS($I$2:I1214, $B$2:B1214, B1214)</f>
        <v>0.375</v>
      </c>
      <c r="AJ1214" s="86">
        <f>AVERAGEIFS($J$2:J1214, $B$2:B1214, B1214)</f>
        <v>0.45666666666666672</v>
      </c>
      <c r="AK1214" s="86">
        <f>AVERAGEIFS($D$2:D1214, $B$2:B1214, B1214)</f>
        <v>0.33333333333333331</v>
      </c>
    </row>
    <row r="1215" spans="1:37" x14ac:dyDescent="0.25">
      <c r="A1215" s="85">
        <v>46165</v>
      </c>
      <c r="B1215" t="s">
        <v>18</v>
      </c>
      <c r="C1215">
        <v>21</v>
      </c>
      <c r="D1215">
        <v>0</v>
      </c>
      <c r="E1215">
        <v>4</v>
      </c>
      <c r="F1215">
        <v>1</v>
      </c>
      <c r="G1215">
        <v>19</v>
      </c>
      <c r="H1215">
        <v>8</v>
      </c>
      <c r="I1215">
        <v>0.25</v>
      </c>
      <c r="J1215">
        <v>0.42</v>
      </c>
      <c r="K1215">
        <v>0</v>
      </c>
      <c r="L1215">
        <v>0</v>
      </c>
      <c r="M1215">
        <v>0</v>
      </c>
      <c r="N1215">
        <v>1</v>
      </c>
      <c r="O1215">
        <v>0</v>
      </c>
      <c r="P1215">
        <v>0</v>
      </c>
      <c r="Q1215">
        <v>0</v>
      </c>
      <c r="R1215">
        <v>0</v>
      </c>
      <c r="S1215">
        <v>0</v>
      </c>
      <c r="T1215">
        <v>0</v>
      </c>
      <c r="U1215">
        <v>0</v>
      </c>
      <c r="V1215">
        <v>0</v>
      </c>
      <c r="W1215">
        <v>0</v>
      </c>
      <c r="X1215">
        <v>0</v>
      </c>
      <c r="Y1215">
        <v>0</v>
      </c>
      <c r="Z1215">
        <v>0</v>
      </c>
      <c r="AA1215">
        <v>0</v>
      </c>
      <c r="AB1215">
        <v>0</v>
      </c>
      <c r="AC1215">
        <v>0</v>
      </c>
      <c r="AD1215">
        <v>0</v>
      </c>
      <c r="AE1215">
        <v>0</v>
      </c>
      <c r="AF1215">
        <v>0</v>
      </c>
      <c r="AG1215">
        <v>0</v>
      </c>
      <c r="AH1215" s="86">
        <f>AVERAGEIFS($C$2:C1215, $B$2:B1215, B1215)</f>
        <v>18.75</v>
      </c>
      <c r="AI1215" s="86">
        <f>AVERAGEIFS($I$2:I1215, $B$2:B1215, B1215)</f>
        <v>0.65416666666666667</v>
      </c>
      <c r="AJ1215" s="86">
        <f>AVERAGEIFS($J$2:J1215, $B$2:B1215, B1215)</f>
        <v>0.57083333333333319</v>
      </c>
      <c r="AK1215" s="86">
        <f>AVERAGEIFS($D$2:D1215, $B$2:B1215, B1215)</f>
        <v>0.66666666666666663</v>
      </c>
    </row>
    <row r="1216" spans="1:37" x14ac:dyDescent="0.25">
      <c r="A1216" s="85">
        <v>46165</v>
      </c>
      <c r="B1216" t="s">
        <v>2</v>
      </c>
      <c r="C1216">
        <v>41</v>
      </c>
      <c r="D1216">
        <v>0</v>
      </c>
      <c r="E1216">
        <v>4</v>
      </c>
      <c r="F1216">
        <v>1</v>
      </c>
      <c r="G1216">
        <v>19</v>
      </c>
      <c r="H1216">
        <v>8</v>
      </c>
      <c r="I1216">
        <v>0.25</v>
      </c>
      <c r="J1216">
        <v>0.42</v>
      </c>
      <c r="K1216">
        <v>0</v>
      </c>
      <c r="L1216">
        <v>0</v>
      </c>
      <c r="M1216">
        <v>0</v>
      </c>
      <c r="N1216">
        <v>1</v>
      </c>
      <c r="O1216">
        <v>0</v>
      </c>
      <c r="P1216">
        <v>0</v>
      </c>
      <c r="Q1216">
        <v>0</v>
      </c>
      <c r="R1216">
        <v>0</v>
      </c>
      <c r="S1216">
        <v>0</v>
      </c>
      <c r="T1216">
        <v>0</v>
      </c>
      <c r="U1216">
        <v>0</v>
      </c>
      <c r="V1216">
        <v>0</v>
      </c>
      <c r="W1216">
        <v>0</v>
      </c>
      <c r="X1216">
        <v>0</v>
      </c>
      <c r="Y1216">
        <v>0</v>
      </c>
      <c r="Z1216">
        <v>0</v>
      </c>
      <c r="AA1216">
        <v>0</v>
      </c>
      <c r="AB1216">
        <v>0</v>
      </c>
      <c r="AC1216">
        <v>0</v>
      </c>
      <c r="AD1216">
        <v>0</v>
      </c>
      <c r="AE1216">
        <v>0</v>
      </c>
      <c r="AF1216">
        <v>0</v>
      </c>
      <c r="AG1216">
        <v>0</v>
      </c>
      <c r="AH1216" s="86">
        <f>AVERAGEIFS($C$2:C1216, $B$2:B1216, B1216)</f>
        <v>23.553191489361701</v>
      </c>
      <c r="AI1216" s="86">
        <f>AVERAGEIFS($I$2:I1216, $B$2:B1216, B1216)</f>
        <v>0.50063829787234027</v>
      </c>
      <c r="AJ1216" s="86">
        <f>AVERAGEIFS($J$2:J1216, $B$2:B1216, B1216)</f>
        <v>0.52787234042553188</v>
      </c>
      <c r="AK1216" s="86">
        <f>AVERAGEIFS($D$2:D1216, $B$2:B1216, B1216)</f>
        <v>0.46808510638297873</v>
      </c>
    </row>
    <row r="1217" spans="1:37" x14ac:dyDescent="0.25">
      <c r="A1217" s="85">
        <v>46165</v>
      </c>
      <c r="B1217" t="s">
        <v>6</v>
      </c>
      <c r="C1217">
        <v>38</v>
      </c>
      <c r="D1217">
        <v>0</v>
      </c>
      <c r="E1217">
        <v>4</v>
      </c>
      <c r="F1217">
        <v>1</v>
      </c>
      <c r="G1217">
        <v>19</v>
      </c>
      <c r="H1217">
        <v>8</v>
      </c>
      <c r="I1217">
        <v>0.25</v>
      </c>
      <c r="J1217">
        <v>0.42</v>
      </c>
      <c r="K1217">
        <v>0</v>
      </c>
      <c r="L1217">
        <v>0</v>
      </c>
      <c r="M1217">
        <v>0</v>
      </c>
      <c r="N1217">
        <v>1</v>
      </c>
      <c r="O1217">
        <v>0</v>
      </c>
      <c r="P1217">
        <v>0</v>
      </c>
      <c r="Q1217">
        <v>0</v>
      </c>
      <c r="R1217">
        <v>0</v>
      </c>
      <c r="S1217">
        <v>0</v>
      </c>
      <c r="T1217">
        <v>0</v>
      </c>
      <c r="U1217">
        <v>0</v>
      </c>
      <c r="V1217">
        <v>0</v>
      </c>
      <c r="W1217">
        <v>0</v>
      </c>
      <c r="X1217">
        <v>0</v>
      </c>
      <c r="Y1217">
        <v>0</v>
      </c>
      <c r="Z1217">
        <v>0</v>
      </c>
      <c r="AA1217">
        <v>0</v>
      </c>
      <c r="AB1217">
        <v>0</v>
      </c>
      <c r="AC1217">
        <v>0</v>
      </c>
      <c r="AD1217">
        <v>0</v>
      </c>
      <c r="AE1217">
        <v>0</v>
      </c>
      <c r="AF1217">
        <v>0</v>
      </c>
      <c r="AG1217">
        <v>0</v>
      </c>
      <c r="AH1217" s="86">
        <f>AVERAGEIFS($C$2:C1217, $B$2:B1217, B1217)</f>
        <v>23.384615384615383</v>
      </c>
      <c r="AI1217" s="86">
        <f>AVERAGEIFS($I$2:I1217, $B$2:B1217, B1217)</f>
        <v>0.55487179487179494</v>
      </c>
      <c r="AJ1217" s="86">
        <f>AVERAGEIFS($J$2:J1217, $B$2:B1217, B1217)</f>
        <v>0.52858974358974353</v>
      </c>
      <c r="AK1217" s="86">
        <f>AVERAGEIFS($D$2:D1217, $B$2:B1217, B1217)</f>
        <v>0.61538461538461542</v>
      </c>
    </row>
    <row r="1218" spans="1:37" x14ac:dyDescent="0.25">
      <c r="A1218" s="85">
        <v>46165</v>
      </c>
      <c r="B1218" t="s">
        <v>50</v>
      </c>
      <c r="C1218">
        <v>21</v>
      </c>
      <c r="D1218">
        <v>0</v>
      </c>
      <c r="E1218">
        <v>4</v>
      </c>
      <c r="F1218">
        <v>1</v>
      </c>
      <c r="G1218">
        <v>19</v>
      </c>
      <c r="H1218">
        <v>8</v>
      </c>
      <c r="I1218">
        <v>0.25</v>
      </c>
      <c r="J1218">
        <v>0.42</v>
      </c>
      <c r="K1218">
        <v>0</v>
      </c>
      <c r="L1218">
        <v>0</v>
      </c>
      <c r="M1218">
        <v>0</v>
      </c>
      <c r="N1218">
        <v>1</v>
      </c>
      <c r="O1218">
        <v>0</v>
      </c>
      <c r="P1218">
        <v>0</v>
      </c>
      <c r="Q1218">
        <v>0</v>
      </c>
      <c r="R1218">
        <v>0</v>
      </c>
      <c r="S1218">
        <v>0</v>
      </c>
      <c r="T1218">
        <v>0</v>
      </c>
      <c r="U1218">
        <v>0</v>
      </c>
      <c r="V1218">
        <v>0</v>
      </c>
      <c r="W1218">
        <v>0</v>
      </c>
      <c r="X1218">
        <v>0</v>
      </c>
      <c r="Y1218">
        <v>0</v>
      </c>
      <c r="Z1218">
        <v>0</v>
      </c>
      <c r="AA1218">
        <v>0</v>
      </c>
      <c r="AB1218">
        <v>0</v>
      </c>
      <c r="AC1218">
        <v>0</v>
      </c>
      <c r="AD1218">
        <v>0</v>
      </c>
      <c r="AE1218">
        <v>0</v>
      </c>
      <c r="AF1218">
        <v>0</v>
      </c>
      <c r="AG1218">
        <v>0</v>
      </c>
      <c r="AH1218" s="86">
        <f>AVERAGEIFS($C$2:C1218, $B$2:B1218, B1218)</f>
        <v>18.098039215686274</v>
      </c>
      <c r="AI1218" s="86">
        <f>AVERAGEIFS($I$2:I1218, $B$2:B1218, B1218)</f>
        <v>0.49764705882352944</v>
      </c>
      <c r="AJ1218" s="86">
        <f>AVERAGEIFS($J$2:J1218, $B$2:B1218, B1218)</f>
        <v>0.50980392156862742</v>
      </c>
      <c r="AK1218" s="86">
        <f>AVERAGEIFS($D$2:D1218, $B$2:B1218, B1218)</f>
        <v>0.49019607843137253</v>
      </c>
    </row>
    <row r="1219" spans="1:37" x14ac:dyDescent="0.25">
      <c r="A1219" s="85">
        <v>46165</v>
      </c>
      <c r="B1219" t="s">
        <v>224</v>
      </c>
      <c r="C1219">
        <v>7</v>
      </c>
      <c r="D1219">
        <v>0</v>
      </c>
      <c r="E1219">
        <v>4</v>
      </c>
      <c r="F1219">
        <v>1</v>
      </c>
      <c r="G1219">
        <v>19</v>
      </c>
      <c r="H1219">
        <v>8</v>
      </c>
      <c r="I1219">
        <v>0.25</v>
      </c>
      <c r="J1219">
        <v>0.42</v>
      </c>
      <c r="K1219">
        <v>0</v>
      </c>
      <c r="L1219">
        <v>0</v>
      </c>
      <c r="M1219">
        <v>0</v>
      </c>
      <c r="N1219">
        <v>1</v>
      </c>
      <c r="O1219">
        <v>0</v>
      </c>
      <c r="P1219">
        <v>0</v>
      </c>
      <c r="Q1219">
        <v>0</v>
      </c>
      <c r="R1219">
        <v>0</v>
      </c>
      <c r="S1219">
        <v>0</v>
      </c>
      <c r="T1219">
        <v>0</v>
      </c>
      <c r="U1219">
        <v>0</v>
      </c>
      <c r="V1219">
        <v>0</v>
      </c>
      <c r="W1219">
        <v>0</v>
      </c>
      <c r="X1219">
        <v>0</v>
      </c>
      <c r="Y1219">
        <v>0</v>
      </c>
      <c r="Z1219">
        <v>0</v>
      </c>
      <c r="AA1219">
        <v>0</v>
      </c>
      <c r="AB1219">
        <v>0</v>
      </c>
      <c r="AC1219">
        <v>0</v>
      </c>
      <c r="AD1219">
        <v>0</v>
      </c>
      <c r="AE1219">
        <v>0</v>
      </c>
      <c r="AF1219">
        <v>0</v>
      </c>
      <c r="AG1219">
        <v>0</v>
      </c>
      <c r="AH1219" s="86">
        <f>AVERAGEIFS($C$2:C1219, $B$2:B1219, B1219)</f>
        <v>8.5</v>
      </c>
      <c r="AI1219" s="86">
        <f>AVERAGEIFS($I$2:I1219, $B$2:B1219, B1219)</f>
        <v>0.625</v>
      </c>
      <c r="AJ1219" s="86">
        <f>AVERAGEIFS($J$2:J1219, $B$2:B1219, B1219)</f>
        <v>0.53</v>
      </c>
      <c r="AK1219" s="86">
        <f>AVERAGEIFS($D$2:D1219, $B$2:B1219, B1219)</f>
        <v>0.5</v>
      </c>
    </row>
    <row r="1220" spans="1:37" x14ac:dyDescent="0.25">
      <c r="A1220" s="85">
        <v>46165</v>
      </c>
      <c r="B1220" t="s">
        <v>44</v>
      </c>
      <c r="C1220">
        <v>26</v>
      </c>
      <c r="D1220">
        <v>0</v>
      </c>
      <c r="E1220">
        <v>4</v>
      </c>
      <c r="F1220">
        <v>1</v>
      </c>
      <c r="G1220">
        <v>19</v>
      </c>
      <c r="H1220">
        <v>8</v>
      </c>
      <c r="I1220">
        <v>0.25</v>
      </c>
      <c r="J1220">
        <v>0.42</v>
      </c>
      <c r="K1220">
        <v>0</v>
      </c>
      <c r="L1220">
        <v>0</v>
      </c>
      <c r="M1220">
        <v>0</v>
      </c>
      <c r="N1220">
        <v>1</v>
      </c>
      <c r="O1220">
        <v>0</v>
      </c>
      <c r="P1220">
        <v>0</v>
      </c>
      <c r="Q1220">
        <v>0</v>
      </c>
      <c r="R1220">
        <v>0</v>
      </c>
      <c r="S1220">
        <v>0</v>
      </c>
      <c r="T1220">
        <v>0</v>
      </c>
      <c r="U1220">
        <v>0</v>
      </c>
      <c r="V1220">
        <v>0</v>
      </c>
      <c r="W1220">
        <v>0</v>
      </c>
      <c r="X1220">
        <v>0</v>
      </c>
      <c r="Y1220">
        <v>0</v>
      </c>
      <c r="Z1220">
        <v>0</v>
      </c>
      <c r="AA1220">
        <v>0</v>
      </c>
      <c r="AB1220">
        <v>0</v>
      </c>
      <c r="AC1220">
        <v>0</v>
      </c>
      <c r="AD1220">
        <v>0</v>
      </c>
      <c r="AE1220">
        <v>0</v>
      </c>
      <c r="AF1220">
        <v>0</v>
      </c>
      <c r="AG1220">
        <v>0</v>
      </c>
      <c r="AH1220" s="86">
        <f>AVERAGEIFS($C$2:C1220, $B$2:B1220, B1220)</f>
        <v>16.679245283018869</v>
      </c>
      <c r="AI1220" s="86">
        <f>AVERAGEIFS($I$2:I1220, $B$2:B1220, B1220)</f>
        <v>0.53584905660377347</v>
      </c>
      <c r="AJ1220" s="86">
        <f>AVERAGEIFS($J$2:J1220, $B$2:B1220, B1220)</f>
        <v>0.52962264150943406</v>
      </c>
      <c r="AK1220" s="86">
        <f>AVERAGEIFS($D$2:D1220, $B$2:B1220, B1220)</f>
        <v>0.58490566037735847</v>
      </c>
    </row>
    <row r="1221" spans="1:37" x14ac:dyDescent="0.25">
      <c r="A1221" s="85">
        <v>46165</v>
      </c>
      <c r="B1221" t="s">
        <v>113</v>
      </c>
      <c r="C1221">
        <v>36</v>
      </c>
      <c r="D1221">
        <v>1</v>
      </c>
      <c r="E1221">
        <v>4</v>
      </c>
      <c r="F1221">
        <v>3</v>
      </c>
      <c r="G1221">
        <v>19</v>
      </c>
      <c r="H1221">
        <v>11</v>
      </c>
      <c r="I1221">
        <v>0.75</v>
      </c>
      <c r="J1221">
        <v>0.57999999999999996</v>
      </c>
      <c r="K1221">
        <v>1</v>
      </c>
      <c r="L1221">
        <v>0</v>
      </c>
      <c r="M1221">
        <v>0</v>
      </c>
      <c r="N1221">
        <v>0</v>
      </c>
      <c r="O1221">
        <v>0</v>
      </c>
      <c r="P1221">
        <v>0</v>
      </c>
      <c r="Q1221">
        <v>0</v>
      </c>
      <c r="R1221">
        <v>0</v>
      </c>
      <c r="S1221">
        <v>0</v>
      </c>
      <c r="T1221">
        <v>0</v>
      </c>
      <c r="U1221">
        <v>0</v>
      </c>
      <c r="V1221">
        <v>0</v>
      </c>
      <c r="W1221">
        <v>0</v>
      </c>
      <c r="X1221">
        <v>0</v>
      </c>
      <c r="Y1221">
        <v>1</v>
      </c>
      <c r="Z1221">
        <v>0</v>
      </c>
      <c r="AA1221">
        <v>0</v>
      </c>
      <c r="AB1221">
        <v>1</v>
      </c>
      <c r="AC1221">
        <v>0</v>
      </c>
      <c r="AD1221">
        <v>0</v>
      </c>
      <c r="AE1221">
        <v>0</v>
      </c>
      <c r="AF1221">
        <v>0</v>
      </c>
      <c r="AG1221">
        <v>0</v>
      </c>
      <c r="AH1221" s="86">
        <f>AVERAGEIFS($C$2:C1221, $B$2:B1221, B1221)</f>
        <v>18.872340425531913</v>
      </c>
      <c r="AI1221" s="86">
        <f>AVERAGEIFS($I$2:I1221, $B$2:B1221, B1221)</f>
        <v>0.55319148936170204</v>
      </c>
      <c r="AJ1221" s="86">
        <f>AVERAGEIFS($J$2:J1221, $B$2:B1221, B1221)</f>
        <v>0.52212765957446816</v>
      </c>
      <c r="AK1221" s="86">
        <f>AVERAGEIFS($D$2:D1221, $B$2:B1221, B1221)</f>
        <v>0.53191489361702127</v>
      </c>
    </row>
    <row r="1222" spans="1:37" x14ac:dyDescent="0.25">
      <c r="A1222" s="85">
        <v>46165</v>
      </c>
      <c r="B1222" t="s">
        <v>54</v>
      </c>
      <c r="C1222">
        <v>23</v>
      </c>
      <c r="D1222">
        <v>1</v>
      </c>
      <c r="E1222">
        <v>4</v>
      </c>
      <c r="F1222">
        <v>3</v>
      </c>
      <c r="G1222">
        <v>19</v>
      </c>
      <c r="H1222">
        <v>11</v>
      </c>
      <c r="I1222">
        <v>0.75</v>
      </c>
      <c r="J1222">
        <v>0.57999999999999996</v>
      </c>
      <c r="K1222">
        <v>1</v>
      </c>
      <c r="L1222">
        <v>0</v>
      </c>
      <c r="M1222">
        <v>0</v>
      </c>
      <c r="N1222">
        <v>0</v>
      </c>
      <c r="O1222">
        <v>0</v>
      </c>
      <c r="P1222">
        <v>0</v>
      </c>
      <c r="Q1222">
        <v>0</v>
      </c>
      <c r="R1222">
        <v>0</v>
      </c>
      <c r="S1222">
        <v>0</v>
      </c>
      <c r="T1222">
        <v>0</v>
      </c>
      <c r="U1222">
        <v>0</v>
      </c>
      <c r="V1222">
        <v>0</v>
      </c>
      <c r="W1222">
        <v>0</v>
      </c>
      <c r="X1222">
        <v>0</v>
      </c>
      <c r="Y1222">
        <v>1</v>
      </c>
      <c r="Z1222">
        <v>0</v>
      </c>
      <c r="AA1222">
        <v>0</v>
      </c>
      <c r="AB1222">
        <v>1</v>
      </c>
      <c r="AC1222">
        <v>0</v>
      </c>
      <c r="AD1222">
        <v>0</v>
      </c>
      <c r="AE1222">
        <v>0</v>
      </c>
      <c r="AF1222">
        <v>0</v>
      </c>
      <c r="AG1222">
        <v>0</v>
      </c>
      <c r="AH1222" s="86">
        <f>AVERAGEIFS($C$2:C1222, $B$2:B1222, B1222)</f>
        <v>23.573529411764707</v>
      </c>
      <c r="AI1222" s="86">
        <f>AVERAGEIFS($I$2:I1222, $B$2:B1222, B1222)</f>
        <v>0.53926470588235298</v>
      </c>
      <c r="AJ1222" s="86">
        <f>AVERAGEIFS($J$2:J1222, $B$2:B1222, B1222)</f>
        <v>0.51235294117647068</v>
      </c>
      <c r="AK1222" s="86">
        <f>AVERAGEIFS($D$2:D1222, $B$2:B1222, B1222)</f>
        <v>0.55882352941176472</v>
      </c>
    </row>
    <row r="1223" spans="1:37" x14ac:dyDescent="0.25">
      <c r="A1223" s="85">
        <v>46165</v>
      </c>
      <c r="B1223" t="s">
        <v>4</v>
      </c>
      <c r="C1223">
        <v>37</v>
      </c>
      <c r="D1223">
        <v>1</v>
      </c>
      <c r="E1223">
        <v>4</v>
      </c>
      <c r="F1223">
        <v>3</v>
      </c>
      <c r="G1223">
        <v>19</v>
      </c>
      <c r="H1223">
        <v>11</v>
      </c>
      <c r="I1223">
        <v>0.75</v>
      </c>
      <c r="J1223">
        <v>0.57999999999999996</v>
      </c>
      <c r="K1223">
        <v>1</v>
      </c>
      <c r="L1223">
        <v>0</v>
      </c>
      <c r="M1223">
        <v>0</v>
      </c>
      <c r="N1223">
        <v>0</v>
      </c>
      <c r="O1223">
        <v>0</v>
      </c>
      <c r="P1223">
        <v>0</v>
      </c>
      <c r="Q1223">
        <v>0</v>
      </c>
      <c r="R1223">
        <v>0</v>
      </c>
      <c r="S1223">
        <v>0</v>
      </c>
      <c r="T1223">
        <v>0</v>
      </c>
      <c r="U1223">
        <v>0</v>
      </c>
      <c r="V1223">
        <v>0</v>
      </c>
      <c r="W1223">
        <v>0</v>
      </c>
      <c r="X1223">
        <v>0</v>
      </c>
      <c r="Y1223">
        <v>1</v>
      </c>
      <c r="Z1223">
        <v>0</v>
      </c>
      <c r="AA1223">
        <v>0</v>
      </c>
      <c r="AB1223">
        <v>1</v>
      </c>
      <c r="AC1223">
        <v>0</v>
      </c>
      <c r="AD1223">
        <v>0</v>
      </c>
      <c r="AE1223">
        <v>0</v>
      </c>
      <c r="AF1223">
        <v>0</v>
      </c>
      <c r="AG1223">
        <v>0</v>
      </c>
      <c r="AH1223" s="86">
        <f>AVERAGEIFS($C$2:C1223, $B$2:B1223, B1223)</f>
        <v>24.837209302325583</v>
      </c>
      <c r="AI1223" s="86">
        <f>AVERAGEIFS($I$2:I1223, $B$2:B1223, B1223)</f>
        <v>0.45930232558139544</v>
      </c>
      <c r="AJ1223" s="86">
        <f>AVERAGEIFS($J$2:J1223, $B$2:B1223, B1223)</f>
        <v>0.47348837209302314</v>
      </c>
      <c r="AK1223" s="86">
        <f>AVERAGEIFS($D$2:D1223, $B$2:B1223, B1223)</f>
        <v>0.41860465116279072</v>
      </c>
    </row>
    <row r="1224" spans="1:37" x14ac:dyDescent="0.25">
      <c r="A1224" s="85">
        <v>46165</v>
      </c>
      <c r="B1224" t="s">
        <v>141</v>
      </c>
      <c r="C1224">
        <v>42</v>
      </c>
      <c r="D1224">
        <v>1</v>
      </c>
      <c r="E1224">
        <v>4</v>
      </c>
      <c r="F1224">
        <v>3</v>
      </c>
      <c r="G1224">
        <v>19</v>
      </c>
      <c r="H1224">
        <v>11</v>
      </c>
      <c r="I1224">
        <v>0.75</v>
      </c>
      <c r="J1224">
        <v>0.57999999999999996</v>
      </c>
      <c r="K1224">
        <v>1</v>
      </c>
      <c r="L1224">
        <v>0</v>
      </c>
      <c r="M1224">
        <v>0</v>
      </c>
      <c r="N1224">
        <v>0</v>
      </c>
      <c r="O1224">
        <v>0</v>
      </c>
      <c r="P1224">
        <v>0</v>
      </c>
      <c r="Q1224">
        <v>0</v>
      </c>
      <c r="R1224">
        <v>0</v>
      </c>
      <c r="S1224">
        <v>0</v>
      </c>
      <c r="T1224">
        <v>0</v>
      </c>
      <c r="U1224">
        <v>0</v>
      </c>
      <c r="V1224">
        <v>0</v>
      </c>
      <c r="W1224">
        <v>0</v>
      </c>
      <c r="X1224">
        <v>0</v>
      </c>
      <c r="Y1224">
        <v>1</v>
      </c>
      <c r="Z1224">
        <v>0</v>
      </c>
      <c r="AA1224">
        <v>0</v>
      </c>
      <c r="AB1224">
        <v>1</v>
      </c>
      <c r="AC1224">
        <v>0</v>
      </c>
      <c r="AD1224">
        <v>0</v>
      </c>
      <c r="AE1224">
        <v>0</v>
      </c>
      <c r="AF1224">
        <v>0</v>
      </c>
      <c r="AG1224">
        <v>0</v>
      </c>
      <c r="AH1224" s="86">
        <f>AVERAGEIFS($C$2:C1224, $B$2:B1224, B1224)</f>
        <v>18</v>
      </c>
      <c r="AI1224" s="86">
        <f>AVERAGEIFS($I$2:I1224, $B$2:B1224, B1224)</f>
        <v>0.50800000000000001</v>
      </c>
      <c r="AJ1224" s="86">
        <f>AVERAGEIFS($J$2:J1224, $B$2:B1224, B1224)</f>
        <v>0.5112000000000001</v>
      </c>
      <c r="AK1224" s="86">
        <f>AVERAGEIFS($D$2:D1224, $B$2:B1224, B1224)</f>
        <v>0.64</v>
      </c>
    </row>
    <row r="1225" spans="1:37" x14ac:dyDescent="0.25">
      <c r="A1225" s="85">
        <v>46165</v>
      </c>
      <c r="B1225" t="s">
        <v>161</v>
      </c>
      <c r="C1225">
        <v>15</v>
      </c>
      <c r="D1225">
        <v>1</v>
      </c>
      <c r="E1225">
        <v>4</v>
      </c>
      <c r="F1225">
        <v>3</v>
      </c>
      <c r="G1225">
        <v>19</v>
      </c>
      <c r="H1225">
        <v>11</v>
      </c>
      <c r="I1225">
        <v>0.75</v>
      </c>
      <c r="J1225">
        <v>0.57999999999999996</v>
      </c>
      <c r="K1225">
        <v>1</v>
      </c>
      <c r="L1225">
        <v>0</v>
      </c>
      <c r="M1225">
        <v>0</v>
      </c>
      <c r="N1225">
        <v>0</v>
      </c>
      <c r="O1225">
        <v>0</v>
      </c>
      <c r="P1225">
        <v>0</v>
      </c>
      <c r="Q1225">
        <v>0</v>
      </c>
      <c r="R1225">
        <v>0</v>
      </c>
      <c r="S1225">
        <v>0</v>
      </c>
      <c r="T1225">
        <v>0</v>
      </c>
      <c r="U1225">
        <v>0</v>
      </c>
      <c r="V1225">
        <v>0</v>
      </c>
      <c r="W1225">
        <v>0</v>
      </c>
      <c r="X1225">
        <v>0</v>
      </c>
      <c r="Y1225">
        <v>1</v>
      </c>
      <c r="Z1225">
        <v>0</v>
      </c>
      <c r="AA1225">
        <v>0</v>
      </c>
      <c r="AB1225">
        <v>1</v>
      </c>
      <c r="AC1225">
        <v>0</v>
      </c>
      <c r="AD1225">
        <v>0</v>
      </c>
      <c r="AE1225">
        <v>0</v>
      </c>
      <c r="AF1225">
        <v>0</v>
      </c>
      <c r="AG1225">
        <v>0</v>
      </c>
      <c r="AH1225" s="86">
        <f>AVERAGEIFS($C$2:C1225, $B$2:B1225, B1225)</f>
        <v>9.8571428571428577</v>
      </c>
      <c r="AI1225" s="86">
        <f>AVERAGEIFS($I$2:I1225, $B$2:B1225, B1225)</f>
        <v>0.5357142857142857</v>
      </c>
      <c r="AJ1225" s="86">
        <f>AVERAGEIFS($J$2:J1225, $B$2:B1225, B1225)</f>
        <v>0.51071428571428568</v>
      </c>
      <c r="AK1225" s="86">
        <f>AVERAGEIFS($D$2:D1225, $B$2:B1225, B1225)</f>
        <v>0.5714285714285714</v>
      </c>
    </row>
    <row r="1226" spans="1:37" x14ac:dyDescent="0.25">
      <c r="A1226" s="85">
        <v>46165</v>
      </c>
      <c r="B1226" t="s">
        <v>214</v>
      </c>
      <c r="C1226">
        <v>3</v>
      </c>
      <c r="D1226">
        <v>1</v>
      </c>
      <c r="E1226">
        <v>4</v>
      </c>
      <c r="F1226">
        <v>3</v>
      </c>
      <c r="G1226">
        <v>19</v>
      </c>
      <c r="H1226">
        <v>11</v>
      </c>
      <c r="I1226">
        <v>0.75</v>
      </c>
      <c r="J1226">
        <v>0.57999999999999996</v>
      </c>
      <c r="K1226">
        <v>1</v>
      </c>
      <c r="L1226">
        <v>0</v>
      </c>
      <c r="M1226">
        <v>0</v>
      </c>
      <c r="N1226">
        <v>0</v>
      </c>
      <c r="O1226">
        <v>0</v>
      </c>
      <c r="P1226">
        <v>0</v>
      </c>
      <c r="Q1226">
        <v>0</v>
      </c>
      <c r="R1226">
        <v>0</v>
      </c>
      <c r="S1226">
        <v>0</v>
      </c>
      <c r="T1226">
        <v>0</v>
      </c>
      <c r="U1226">
        <v>0</v>
      </c>
      <c r="V1226">
        <v>0</v>
      </c>
      <c r="W1226">
        <v>0</v>
      </c>
      <c r="X1226">
        <v>0</v>
      </c>
      <c r="Y1226">
        <v>1</v>
      </c>
      <c r="Z1226">
        <v>0</v>
      </c>
      <c r="AA1226">
        <v>0</v>
      </c>
      <c r="AB1226">
        <v>1</v>
      </c>
      <c r="AC1226">
        <v>0</v>
      </c>
      <c r="AD1226">
        <v>0</v>
      </c>
      <c r="AE1226">
        <v>0</v>
      </c>
      <c r="AF1226">
        <v>0</v>
      </c>
      <c r="AG1226">
        <v>0</v>
      </c>
      <c r="AH1226" s="86">
        <f>AVERAGEIFS($C$2:C1226, $B$2:B1226, B1226)</f>
        <v>3.75</v>
      </c>
      <c r="AI1226" s="86">
        <f>AVERAGEIFS($I$2:I1226, $B$2:B1226, B1226)</f>
        <v>0.65</v>
      </c>
      <c r="AJ1226" s="86">
        <f>AVERAGEIFS($J$2:J1226, $B$2:B1226, B1226)</f>
        <v>0.56499999999999995</v>
      </c>
      <c r="AK1226" s="86">
        <f>AVERAGEIFS($D$2:D1226, $B$2:B1226, B1226)</f>
        <v>0.75</v>
      </c>
    </row>
    <row r="1227" spans="1:37" x14ac:dyDescent="0.25">
      <c r="A1227" s="85">
        <v>46166</v>
      </c>
      <c r="B1227" t="s">
        <v>6</v>
      </c>
      <c r="C1227">
        <v>19</v>
      </c>
      <c r="D1227">
        <v>1</v>
      </c>
      <c r="E1227">
        <v>3</v>
      </c>
      <c r="F1227">
        <v>3</v>
      </c>
      <c r="G1227">
        <v>13</v>
      </c>
      <c r="H1227">
        <v>9</v>
      </c>
      <c r="I1227">
        <v>1</v>
      </c>
      <c r="J1227">
        <v>0.69</v>
      </c>
      <c r="K1227">
        <v>0</v>
      </c>
      <c r="L1227">
        <v>0</v>
      </c>
      <c r="M1227">
        <v>1</v>
      </c>
      <c r="N1227">
        <v>0</v>
      </c>
      <c r="O1227">
        <v>1</v>
      </c>
      <c r="P1227">
        <v>0</v>
      </c>
      <c r="Q1227">
        <v>0</v>
      </c>
      <c r="R1227">
        <v>0</v>
      </c>
      <c r="S1227">
        <v>0</v>
      </c>
      <c r="T1227">
        <v>0</v>
      </c>
      <c r="U1227">
        <v>0</v>
      </c>
      <c r="V1227">
        <v>0</v>
      </c>
      <c r="W1227">
        <v>0</v>
      </c>
      <c r="X1227">
        <v>0</v>
      </c>
      <c r="Y1227">
        <v>0</v>
      </c>
      <c r="Z1227">
        <v>0</v>
      </c>
      <c r="AA1227">
        <v>0</v>
      </c>
      <c r="AB1227">
        <v>0</v>
      </c>
      <c r="AC1227">
        <v>0</v>
      </c>
      <c r="AD1227">
        <v>0</v>
      </c>
      <c r="AE1227">
        <v>1</v>
      </c>
      <c r="AF1227">
        <v>0</v>
      </c>
      <c r="AG1227">
        <v>0</v>
      </c>
      <c r="AH1227" s="86">
        <f>AVERAGEIFS($C$2:C1227, $B$2:B1227, B1227)</f>
        <v>23.329113924050635</v>
      </c>
      <c r="AI1227" s="86">
        <f>AVERAGEIFS($I$2:I1227, $B$2:B1227, B1227)</f>
        <v>0.56050632911392417</v>
      </c>
      <c r="AJ1227" s="86">
        <f>AVERAGEIFS($J$2:J1227, $B$2:B1227, B1227)</f>
        <v>0.53063291139240498</v>
      </c>
      <c r="AK1227" s="86">
        <f>AVERAGEIFS($D$2:D1227, $B$2:B1227, B1227)</f>
        <v>0.620253164556962</v>
      </c>
    </row>
    <row r="1228" spans="1:37" x14ac:dyDescent="0.25">
      <c r="A1228" s="85">
        <v>46166</v>
      </c>
      <c r="B1228" t="s">
        <v>2</v>
      </c>
      <c r="C1228">
        <v>28</v>
      </c>
      <c r="D1228">
        <v>1</v>
      </c>
      <c r="E1228">
        <v>3</v>
      </c>
      <c r="F1228">
        <v>3</v>
      </c>
      <c r="G1228">
        <v>13</v>
      </c>
      <c r="H1228">
        <v>9</v>
      </c>
      <c r="I1228">
        <v>1</v>
      </c>
      <c r="J1228">
        <v>0.69</v>
      </c>
      <c r="K1228">
        <v>0</v>
      </c>
      <c r="L1228">
        <v>0</v>
      </c>
      <c r="M1228">
        <v>1</v>
      </c>
      <c r="N1228">
        <v>0</v>
      </c>
      <c r="O1228">
        <v>1</v>
      </c>
      <c r="P1228">
        <v>0</v>
      </c>
      <c r="Q1228">
        <v>0</v>
      </c>
      <c r="R1228">
        <v>0</v>
      </c>
      <c r="S1228">
        <v>0</v>
      </c>
      <c r="T1228">
        <v>0</v>
      </c>
      <c r="U1228">
        <v>0</v>
      </c>
      <c r="V1228">
        <v>0</v>
      </c>
      <c r="W1228">
        <v>0</v>
      </c>
      <c r="X1228">
        <v>0</v>
      </c>
      <c r="Y1228">
        <v>0</v>
      </c>
      <c r="Z1228">
        <v>0</v>
      </c>
      <c r="AA1228">
        <v>0</v>
      </c>
      <c r="AB1228">
        <v>0</v>
      </c>
      <c r="AC1228">
        <v>0</v>
      </c>
      <c r="AD1228">
        <v>0</v>
      </c>
      <c r="AE1228">
        <v>1</v>
      </c>
      <c r="AF1228">
        <v>0</v>
      </c>
      <c r="AG1228">
        <v>0</v>
      </c>
      <c r="AH1228" s="86">
        <f>AVERAGEIFS($C$2:C1228, $B$2:B1228, B1228)</f>
        <v>23.645833333333332</v>
      </c>
      <c r="AI1228" s="86">
        <f>AVERAGEIFS($I$2:I1228, $B$2:B1228, B1228)</f>
        <v>0.51104166666666651</v>
      </c>
      <c r="AJ1228" s="86">
        <f>AVERAGEIFS($J$2:J1228, $B$2:B1228, B1228)</f>
        <v>0.53125</v>
      </c>
      <c r="AK1228" s="86">
        <f>AVERAGEIFS($D$2:D1228, $B$2:B1228, B1228)</f>
        <v>0.47916666666666669</v>
      </c>
    </row>
    <row r="1229" spans="1:37" x14ac:dyDescent="0.25">
      <c r="A1229" s="85">
        <v>46166</v>
      </c>
      <c r="B1229" t="s">
        <v>71</v>
      </c>
      <c r="C1229">
        <v>15</v>
      </c>
      <c r="D1229">
        <v>1</v>
      </c>
      <c r="E1229">
        <v>3</v>
      </c>
      <c r="F1229">
        <v>3</v>
      </c>
      <c r="G1229">
        <v>13</v>
      </c>
      <c r="H1229">
        <v>9</v>
      </c>
      <c r="I1229">
        <v>1</v>
      </c>
      <c r="J1229">
        <v>0.69</v>
      </c>
      <c r="K1229">
        <v>0</v>
      </c>
      <c r="L1229">
        <v>0</v>
      </c>
      <c r="M1229">
        <v>1</v>
      </c>
      <c r="N1229">
        <v>0</v>
      </c>
      <c r="O1229">
        <v>1</v>
      </c>
      <c r="P1229">
        <v>0</v>
      </c>
      <c r="Q1229">
        <v>0</v>
      </c>
      <c r="R1229">
        <v>0</v>
      </c>
      <c r="S1229">
        <v>0</v>
      </c>
      <c r="T1229">
        <v>0</v>
      </c>
      <c r="U1229">
        <v>0</v>
      </c>
      <c r="V1229">
        <v>0</v>
      </c>
      <c r="W1229">
        <v>0</v>
      </c>
      <c r="X1229">
        <v>0</v>
      </c>
      <c r="Y1229">
        <v>0</v>
      </c>
      <c r="Z1229">
        <v>0</v>
      </c>
      <c r="AA1229">
        <v>0</v>
      </c>
      <c r="AB1229">
        <v>0</v>
      </c>
      <c r="AC1229">
        <v>0</v>
      </c>
      <c r="AD1229">
        <v>0</v>
      </c>
      <c r="AE1229">
        <v>1</v>
      </c>
      <c r="AF1229">
        <v>0</v>
      </c>
      <c r="AG1229">
        <v>0</v>
      </c>
      <c r="AH1229" s="86">
        <f>AVERAGEIFS($C$2:C1229, $B$2:B1229, B1229)</f>
        <v>13.685714285714285</v>
      </c>
      <c r="AI1229" s="86">
        <f>AVERAGEIFS($I$2:I1229, $B$2:B1229, B1229)</f>
        <v>0.46142857142857141</v>
      </c>
      <c r="AJ1229" s="86">
        <f>AVERAGEIFS($J$2:J1229, $B$2:B1229, B1229)</f>
        <v>0.47485714285714281</v>
      </c>
      <c r="AK1229" s="86">
        <f>AVERAGEIFS($D$2:D1229, $B$2:B1229, B1229)</f>
        <v>0.48571428571428571</v>
      </c>
    </row>
    <row r="1230" spans="1:37" x14ac:dyDescent="0.25">
      <c r="A1230" s="85">
        <v>46166</v>
      </c>
      <c r="B1230" t="s">
        <v>107</v>
      </c>
      <c r="C1230">
        <v>8</v>
      </c>
      <c r="D1230">
        <v>1</v>
      </c>
      <c r="E1230">
        <v>3</v>
      </c>
      <c r="F1230">
        <v>3</v>
      </c>
      <c r="G1230">
        <v>13</v>
      </c>
      <c r="H1230">
        <v>9</v>
      </c>
      <c r="I1230">
        <v>1</v>
      </c>
      <c r="J1230">
        <v>0.69</v>
      </c>
      <c r="K1230">
        <v>0</v>
      </c>
      <c r="L1230">
        <v>0</v>
      </c>
      <c r="M1230">
        <v>1</v>
      </c>
      <c r="N1230">
        <v>0</v>
      </c>
      <c r="O1230">
        <v>1</v>
      </c>
      <c r="P1230">
        <v>0</v>
      </c>
      <c r="Q1230">
        <v>0</v>
      </c>
      <c r="R1230">
        <v>0</v>
      </c>
      <c r="S1230">
        <v>0</v>
      </c>
      <c r="T1230">
        <v>0</v>
      </c>
      <c r="U1230">
        <v>0</v>
      </c>
      <c r="V1230">
        <v>0</v>
      </c>
      <c r="W1230">
        <v>0</v>
      </c>
      <c r="X1230">
        <v>0</v>
      </c>
      <c r="Y1230">
        <v>0</v>
      </c>
      <c r="Z1230">
        <v>0</v>
      </c>
      <c r="AA1230">
        <v>0</v>
      </c>
      <c r="AB1230">
        <v>0</v>
      </c>
      <c r="AC1230">
        <v>0</v>
      </c>
      <c r="AD1230">
        <v>0</v>
      </c>
      <c r="AE1230">
        <v>1</v>
      </c>
      <c r="AF1230">
        <v>0</v>
      </c>
      <c r="AG1230">
        <v>0</v>
      </c>
      <c r="AH1230" s="86">
        <f>AVERAGEIFS($C$2:C1230, $B$2:B1230, B1230)</f>
        <v>16.115384615384617</v>
      </c>
      <c r="AI1230" s="86">
        <f>AVERAGEIFS($I$2:I1230, $B$2:B1230, B1230)</f>
        <v>0.51057692307692315</v>
      </c>
      <c r="AJ1230" s="86">
        <f>AVERAGEIFS($J$2:J1230, $B$2:B1230, B1230)</f>
        <v>0.51384615384615384</v>
      </c>
      <c r="AK1230" s="86">
        <f>AVERAGEIFS($D$2:D1230, $B$2:B1230, B1230)</f>
        <v>0.55769230769230771</v>
      </c>
    </row>
    <row r="1231" spans="1:37" x14ac:dyDescent="0.25">
      <c r="A1231" s="85">
        <v>46166</v>
      </c>
      <c r="B1231" t="s">
        <v>13</v>
      </c>
      <c r="C1231">
        <v>13</v>
      </c>
      <c r="D1231">
        <v>1</v>
      </c>
      <c r="E1231">
        <v>3</v>
      </c>
      <c r="F1231">
        <v>3</v>
      </c>
      <c r="G1231">
        <v>13</v>
      </c>
      <c r="H1231">
        <v>9</v>
      </c>
      <c r="I1231">
        <v>1</v>
      </c>
      <c r="J1231">
        <v>0.69</v>
      </c>
      <c r="K1231">
        <v>0</v>
      </c>
      <c r="L1231">
        <v>0</v>
      </c>
      <c r="M1231">
        <v>1</v>
      </c>
      <c r="N1231">
        <v>0</v>
      </c>
      <c r="O1231">
        <v>1</v>
      </c>
      <c r="P1231">
        <v>0</v>
      </c>
      <c r="Q1231">
        <v>0</v>
      </c>
      <c r="R1231">
        <v>0</v>
      </c>
      <c r="S1231">
        <v>0</v>
      </c>
      <c r="T1231">
        <v>0</v>
      </c>
      <c r="U1231">
        <v>0</v>
      </c>
      <c r="V1231">
        <v>0</v>
      </c>
      <c r="W1231">
        <v>0</v>
      </c>
      <c r="X1231">
        <v>0</v>
      </c>
      <c r="Y1231">
        <v>0</v>
      </c>
      <c r="Z1231">
        <v>0</v>
      </c>
      <c r="AA1231">
        <v>0</v>
      </c>
      <c r="AB1231">
        <v>0</v>
      </c>
      <c r="AC1231">
        <v>0</v>
      </c>
      <c r="AD1231">
        <v>0</v>
      </c>
      <c r="AE1231">
        <v>1</v>
      </c>
      <c r="AF1231">
        <v>0</v>
      </c>
      <c r="AG1231">
        <v>0</v>
      </c>
      <c r="AH1231" s="86">
        <f>AVERAGEIFS($C$2:C1231, $B$2:B1231, B1231)</f>
        <v>14.928571428571429</v>
      </c>
      <c r="AI1231" s="86">
        <f>AVERAGEIFS($I$2:I1231, $B$2:B1231, B1231)</f>
        <v>0.47499999999999998</v>
      </c>
      <c r="AJ1231" s="86">
        <f>AVERAGEIFS($J$2:J1231, $B$2:B1231, B1231)</f>
        <v>0.48892857142857149</v>
      </c>
      <c r="AK1231" s="86">
        <f>AVERAGEIFS($D$2:D1231, $B$2:B1231, B1231)</f>
        <v>0.42857142857142855</v>
      </c>
    </row>
    <row r="1232" spans="1:37" x14ac:dyDescent="0.25">
      <c r="A1232" s="85">
        <v>46166</v>
      </c>
      <c r="B1232" t="s">
        <v>115</v>
      </c>
      <c r="C1232">
        <v>7</v>
      </c>
      <c r="D1232">
        <v>1</v>
      </c>
      <c r="E1232">
        <v>3</v>
      </c>
      <c r="F1232">
        <v>3</v>
      </c>
      <c r="G1232">
        <v>13</v>
      </c>
      <c r="H1232">
        <v>9</v>
      </c>
      <c r="I1232">
        <v>1</v>
      </c>
      <c r="J1232">
        <v>0.69</v>
      </c>
      <c r="K1232">
        <v>0</v>
      </c>
      <c r="L1232">
        <v>0</v>
      </c>
      <c r="M1232">
        <v>1</v>
      </c>
      <c r="N1232">
        <v>0</v>
      </c>
      <c r="O1232">
        <v>1</v>
      </c>
      <c r="P1232">
        <v>0</v>
      </c>
      <c r="Q1232">
        <v>0</v>
      </c>
      <c r="R1232">
        <v>0</v>
      </c>
      <c r="S1232">
        <v>0</v>
      </c>
      <c r="T1232">
        <v>0</v>
      </c>
      <c r="U1232">
        <v>0</v>
      </c>
      <c r="V1232">
        <v>0</v>
      </c>
      <c r="W1232">
        <v>0</v>
      </c>
      <c r="X1232">
        <v>0</v>
      </c>
      <c r="Y1232">
        <v>0</v>
      </c>
      <c r="Z1232">
        <v>0</v>
      </c>
      <c r="AA1232">
        <v>0</v>
      </c>
      <c r="AB1232">
        <v>0</v>
      </c>
      <c r="AC1232">
        <v>0</v>
      </c>
      <c r="AD1232">
        <v>0</v>
      </c>
      <c r="AE1232">
        <v>1</v>
      </c>
      <c r="AF1232">
        <v>0</v>
      </c>
      <c r="AG1232">
        <v>0</v>
      </c>
      <c r="AH1232" s="86">
        <f>AVERAGEIFS($C$2:C1232, $B$2:B1232, B1232)</f>
        <v>13.466666666666667</v>
      </c>
      <c r="AI1232" s="86">
        <f>AVERAGEIFS($I$2:I1232, $B$2:B1232, B1232)</f>
        <v>0.5066666666666666</v>
      </c>
      <c r="AJ1232" s="86">
        <f>AVERAGEIFS($J$2:J1232, $B$2:B1232, B1232)</f>
        <v>0.49933333333333324</v>
      </c>
      <c r="AK1232" s="86">
        <f>AVERAGEIFS($D$2:D1232, $B$2:B1232, B1232)</f>
        <v>0.53333333333333333</v>
      </c>
    </row>
    <row r="1233" spans="1:37" x14ac:dyDescent="0.25">
      <c r="A1233" s="85">
        <v>46166</v>
      </c>
      <c r="B1233" t="s">
        <v>28</v>
      </c>
      <c r="C1233">
        <v>6</v>
      </c>
      <c r="D1233">
        <v>1</v>
      </c>
      <c r="E1233">
        <v>3</v>
      </c>
      <c r="F1233">
        <v>3</v>
      </c>
      <c r="G1233">
        <v>13</v>
      </c>
      <c r="H1233">
        <v>9</v>
      </c>
      <c r="I1233">
        <v>1</v>
      </c>
      <c r="J1233">
        <v>0.69</v>
      </c>
      <c r="K1233">
        <v>0</v>
      </c>
      <c r="L1233">
        <v>0</v>
      </c>
      <c r="M1233">
        <v>1</v>
      </c>
      <c r="N1233">
        <v>0</v>
      </c>
      <c r="O1233">
        <v>1</v>
      </c>
      <c r="P1233">
        <v>0</v>
      </c>
      <c r="Q1233">
        <v>0</v>
      </c>
      <c r="R1233">
        <v>0</v>
      </c>
      <c r="S1233">
        <v>0</v>
      </c>
      <c r="T1233">
        <v>0</v>
      </c>
      <c r="U1233">
        <v>0</v>
      </c>
      <c r="V1233">
        <v>0</v>
      </c>
      <c r="W1233">
        <v>0</v>
      </c>
      <c r="X1233">
        <v>0</v>
      </c>
      <c r="Y1233">
        <v>0</v>
      </c>
      <c r="Z1233">
        <v>0</v>
      </c>
      <c r="AA1233">
        <v>0</v>
      </c>
      <c r="AB1233">
        <v>0</v>
      </c>
      <c r="AC1233">
        <v>0</v>
      </c>
      <c r="AD1233">
        <v>0</v>
      </c>
      <c r="AE1233">
        <v>1</v>
      </c>
      <c r="AF1233">
        <v>0</v>
      </c>
      <c r="AG1233">
        <v>0</v>
      </c>
      <c r="AH1233" s="86">
        <f>AVERAGEIFS($C$2:C1233, $B$2:B1233, B1233)</f>
        <v>13.466666666666667</v>
      </c>
      <c r="AI1233" s="86">
        <f>AVERAGEIFS($I$2:I1233, $B$2:B1233, B1233)</f>
        <v>0.46266666666666662</v>
      </c>
      <c r="AJ1233" s="86">
        <f>AVERAGEIFS($J$2:J1233, $B$2:B1233, B1233)</f>
        <v>0.47133333333333322</v>
      </c>
      <c r="AK1233" s="86">
        <f>AVERAGEIFS($D$2:D1233, $B$2:B1233, B1233)</f>
        <v>0.43333333333333335</v>
      </c>
    </row>
    <row r="1234" spans="1:37" x14ac:dyDescent="0.25">
      <c r="A1234" s="85">
        <v>46166</v>
      </c>
      <c r="B1234" t="s">
        <v>54</v>
      </c>
      <c r="C1234">
        <v>23</v>
      </c>
      <c r="D1234">
        <v>0</v>
      </c>
      <c r="E1234">
        <v>3</v>
      </c>
      <c r="F1234">
        <v>0</v>
      </c>
      <c r="G1234">
        <v>13</v>
      </c>
      <c r="H1234">
        <v>4</v>
      </c>
      <c r="I1234">
        <v>0</v>
      </c>
      <c r="J1234">
        <v>0.31</v>
      </c>
      <c r="K1234">
        <v>0</v>
      </c>
      <c r="L1234">
        <v>0</v>
      </c>
      <c r="M1234">
        <v>0</v>
      </c>
      <c r="N1234">
        <v>0</v>
      </c>
      <c r="O1234">
        <v>0</v>
      </c>
      <c r="P1234">
        <v>0</v>
      </c>
      <c r="Q1234">
        <v>0</v>
      </c>
      <c r="R1234">
        <v>0</v>
      </c>
      <c r="S1234">
        <v>0</v>
      </c>
      <c r="T1234">
        <v>0</v>
      </c>
      <c r="U1234">
        <v>0</v>
      </c>
      <c r="V1234">
        <v>0</v>
      </c>
      <c r="W1234">
        <v>0</v>
      </c>
      <c r="X1234">
        <v>0</v>
      </c>
      <c r="Y1234">
        <v>0</v>
      </c>
      <c r="Z1234">
        <v>0</v>
      </c>
      <c r="AA1234">
        <v>0</v>
      </c>
      <c r="AB1234">
        <v>0</v>
      </c>
      <c r="AC1234">
        <v>0</v>
      </c>
      <c r="AD1234">
        <v>0</v>
      </c>
      <c r="AE1234">
        <v>0</v>
      </c>
      <c r="AF1234">
        <v>0</v>
      </c>
      <c r="AG1234">
        <v>0</v>
      </c>
      <c r="AH1234" s="86">
        <f>AVERAGEIFS($C$2:C1234, $B$2:B1234, B1234)</f>
        <v>23.565217391304348</v>
      </c>
      <c r="AI1234" s="86">
        <f>AVERAGEIFS($I$2:I1234, $B$2:B1234, B1234)</f>
        <v>0.5314492753623189</v>
      </c>
      <c r="AJ1234" s="86">
        <f>AVERAGEIFS($J$2:J1234, $B$2:B1234, B1234)</f>
        <v>0.50942028985507259</v>
      </c>
      <c r="AK1234" s="86">
        <f>AVERAGEIFS($D$2:D1234, $B$2:B1234, B1234)</f>
        <v>0.55072463768115942</v>
      </c>
    </row>
    <row r="1235" spans="1:37" x14ac:dyDescent="0.25">
      <c r="A1235" s="85">
        <v>46166</v>
      </c>
      <c r="B1235" t="s">
        <v>141</v>
      </c>
      <c r="C1235">
        <v>13</v>
      </c>
      <c r="D1235">
        <v>0</v>
      </c>
      <c r="E1235">
        <v>3</v>
      </c>
      <c r="F1235">
        <v>0</v>
      </c>
      <c r="G1235">
        <v>13</v>
      </c>
      <c r="H1235">
        <v>4</v>
      </c>
      <c r="I1235">
        <v>0</v>
      </c>
      <c r="J1235">
        <v>0.31</v>
      </c>
      <c r="K1235">
        <v>0</v>
      </c>
      <c r="L1235">
        <v>0</v>
      </c>
      <c r="M1235">
        <v>0</v>
      </c>
      <c r="N1235">
        <v>0</v>
      </c>
      <c r="O1235">
        <v>0</v>
      </c>
      <c r="P1235">
        <v>0</v>
      </c>
      <c r="Q1235">
        <v>0</v>
      </c>
      <c r="R1235">
        <v>0</v>
      </c>
      <c r="S1235">
        <v>0</v>
      </c>
      <c r="T1235">
        <v>0</v>
      </c>
      <c r="U1235">
        <v>0</v>
      </c>
      <c r="V1235">
        <v>0</v>
      </c>
      <c r="W1235">
        <v>0</v>
      </c>
      <c r="X1235">
        <v>0</v>
      </c>
      <c r="Y1235">
        <v>0</v>
      </c>
      <c r="Z1235">
        <v>0</v>
      </c>
      <c r="AA1235">
        <v>0</v>
      </c>
      <c r="AB1235">
        <v>0</v>
      </c>
      <c r="AC1235">
        <v>0</v>
      </c>
      <c r="AD1235">
        <v>0</v>
      </c>
      <c r="AE1235">
        <v>0</v>
      </c>
      <c r="AF1235">
        <v>0</v>
      </c>
      <c r="AG1235">
        <v>0</v>
      </c>
      <c r="AH1235" s="86">
        <f>AVERAGEIFS($C$2:C1235, $B$2:B1235, B1235)</f>
        <v>17.807692307692307</v>
      </c>
      <c r="AI1235" s="86">
        <f>AVERAGEIFS($I$2:I1235, $B$2:B1235, B1235)</f>
        <v>0.48846153846153845</v>
      </c>
      <c r="AJ1235" s="86">
        <f>AVERAGEIFS($J$2:J1235, $B$2:B1235, B1235)</f>
        <v>0.50346153846153852</v>
      </c>
      <c r="AK1235" s="86">
        <f>AVERAGEIFS($D$2:D1235, $B$2:B1235, B1235)</f>
        <v>0.61538461538461542</v>
      </c>
    </row>
    <row r="1236" spans="1:37" x14ac:dyDescent="0.25">
      <c r="A1236" s="85">
        <v>46166</v>
      </c>
      <c r="B1236" t="s">
        <v>17</v>
      </c>
      <c r="C1236">
        <v>7</v>
      </c>
      <c r="D1236">
        <v>0</v>
      </c>
      <c r="E1236">
        <v>3</v>
      </c>
      <c r="F1236">
        <v>0</v>
      </c>
      <c r="G1236">
        <v>13</v>
      </c>
      <c r="H1236">
        <v>4</v>
      </c>
      <c r="I1236">
        <v>0</v>
      </c>
      <c r="J1236">
        <v>0.31</v>
      </c>
      <c r="K1236">
        <v>0</v>
      </c>
      <c r="L1236">
        <v>0</v>
      </c>
      <c r="M1236">
        <v>0</v>
      </c>
      <c r="N1236">
        <v>0</v>
      </c>
      <c r="O1236">
        <v>0</v>
      </c>
      <c r="P1236">
        <v>0</v>
      </c>
      <c r="Q1236">
        <v>0</v>
      </c>
      <c r="R1236">
        <v>0</v>
      </c>
      <c r="S1236">
        <v>0</v>
      </c>
      <c r="T1236">
        <v>0</v>
      </c>
      <c r="U1236">
        <v>0</v>
      </c>
      <c r="V1236">
        <v>0</v>
      </c>
      <c r="W1236">
        <v>0</v>
      </c>
      <c r="X1236">
        <v>0</v>
      </c>
      <c r="Y1236">
        <v>0</v>
      </c>
      <c r="Z1236">
        <v>0</v>
      </c>
      <c r="AA1236">
        <v>0</v>
      </c>
      <c r="AB1236">
        <v>0</v>
      </c>
      <c r="AC1236">
        <v>0</v>
      </c>
      <c r="AD1236">
        <v>0</v>
      </c>
      <c r="AE1236">
        <v>0</v>
      </c>
      <c r="AF1236">
        <v>0</v>
      </c>
      <c r="AG1236">
        <v>0</v>
      </c>
      <c r="AH1236" s="86">
        <f>AVERAGEIFS($C$2:C1236, $B$2:B1236, B1236)</f>
        <v>19.84090909090909</v>
      </c>
      <c r="AI1236" s="86">
        <f>AVERAGEIFS($I$2:I1236, $B$2:B1236, B1236)</f>
        <v>0.53568181818181815</v>
      </c>
      <c r="AJ1236" s="86">
        <f>AVERAGEIFS($J$2:J1236, $B$2:B1236, B1236)</f>
        <v>0.49954545454545463</v>
      </c>
      <c r="AK1236" s="86">
        <f>AVERAGEIFS($D$2:D1236, $B$2:B1236, B1236)</f>
        <v>0.54545454545454541</v>
      </c>
    </row>
    <row r="1237" spans="1:37" x14ac:dyDescent="0.25">
      <c r="A1237" s="85">
        <v>46166</v>
      </c>
      <c r="B1237" t="s">
        <v>44</v>
      </c>
      <c r="C1237">
        <v>12</v>
      </c>
      <c r="D1237">
        <v>0</v>
      </c>
      <c r="E1237">
        <v>3</v>
      </c>
      <c r="F1237">
        <v>0</v>
      </c>
      <c r="G1237">
        <v>13</v>
      </c>
      <c r="H1237">
        <v>4</v>
      </c>
      <c r="I1237">
        <v>0</v>
      </c>
      <c r="J1237">
        <v>0.31</v>
      </c>
      <c r="K1237">
        <v>0</v>
      </c>
      <c r="L1237">
        <v>0</v>
      </c>
      <c r="M1237">
        <v>0</v>
      </c>
      <c r="N1237">
        <v>0</v>
      </c>
      <c r="O1237">
        <v>0</v>
      </c>
      <c r="P1237">
        <v>0</v>
      </c>
      <c r="Q1237">
        <v>0</v>
      </c>
      <c r="R1237">
        <v>0</v>
      </c>
      <c r="S1237">
        <v>0</v>
      </c>
      <c r="T1237">
        <v>0</v>
      </c>
      <c r="U1237">
        <v>0</v>
      </c>
      <c r="V1237">
        <v>0</v>
      </c>
      <c r="W1237">
        <v>0</v>
      </c>
      <c r="X1237">
        <v>0</v>
      </c>
      <c r="Y1237">
        <v>0</v>
      </c>
      <c r="Z1237">
        <v>0</v>
      </c>
      <c r="AA1237">
        <v>0</v>
      </c>
      <c r="AB1237">
        <v>0</v>
      </c>
      <c r="AC1237">
        <v>0</v>
      </c>
      <c r="AD1237">
        <v>0</v>
      </c>
      <c r="AE1237">
        <v>0</v>
      </c>
      <c r="AF1237">
        <v>0</v>
      </c>
      <c r="AG1237">
        <v>0</v>
      </c>
      <c r="AH1237" s="86">
        <f>AVERAGEIFS($C$2:C1237, $B$2:B1237, B1237)</f>
        <v>16.592592592592592</v>
      </c>
      <c r="AI1237" s="86">
        <f>AVERAGEIFS($I$2:I1237, $B$2:B1237, B1237)</f>
        <v>0.5259259259259258</v>
      </c>
      <c r="AJ1237" s="86">
        <f>AVERAGEIFS($J$2:J1237, $B$2:B1237, B1237)</f>
        <v>0.52555555555555566</v>
      </c>
      <c r="AK1237" s="86">
        <f>AVERAGEIFS($D$2:D1237, $B$2:B1237, B1237)</f>
        <v>0.57407407407407407</v>
      </c>
    </row>
    <row r="1238" spans="1:37" x14ac:dyDescent="0.25">
      <c r="A1238" s="85">
        <v>46166</v>
      </c>
      <c r="B1238" t="s">
        <v>3</v>
      </c>
      <c r="C1238">
        <v>11</v>
      </c>
      <c r="D1238">
        <v>0</v>
      </c>
      <c r="E1238">
        <v>3</v>
      </c>
      <c r="F1238">
        <v>0</v>
      </c>
      <c r="G1238">
        <v>13</v>
      </c>
      <c r="H1238">
        <v>4</v>
      </c>
      <c r="I1238">
        <v>0</v>
      </c>
      <c r="J1238">
        <v>0.31</v>
      </c>
      <c r="K1238">
        <v>0</v>
      </c>
      <c r="L1238">
        <v>0</v>
      </c>
      <c r="M1238">
        <v>0</v>
      </c>
      <c r="N1238">
        <v>0</v>
      </c>
      <c r="O1238">
        <v>0</v>
      </c>
      <c r="P1238">
        <v>0</v>
      </c>
      <c r="Q1238">
        <v>0</v>
      </c>
      <c r="R1238">
        <v>0</v>
      </c>
      <c r="S1238">
        <v>0</v>
      </c>
      <c r="T1238">
        <v>0</v>
      </c>
      <c r="U1238">
        <v>0</v>
      </c>
      <c r="V1238">
        <v>0</v>
      </c>
      <c r="W1238">
        <v>0</v>
      </c>
      <c r="X1238">
        <v>0</v>
      </c>
      <c r="Y1238">
        <v>0</v>
      </c>
      <c r="Z1238">
        <v>0</v>
      </c>
      <c r="AA1238">
        <v>0</v>
      </c>
      <c r="AB1238">
        <v>0</v>
      </c>
      <c r="AC1238">
        <v>0</v>
      </c>
      <c r="AD1238">
        <v>0</v>
      </c>
      <c r="AE1238">
        <v>0</v>
      </c>
      <c r="AF1238">
        <v>0</v>
      </c>
      <c r="AG1238">
        <v>0</v>
      </c>
      <c r="AH1238" s="86">
        <f>AVERAGEIFS($C$2:C1238, $B$2:B1238, B1238)</f>
        <v>18.666666666666668</v>
      </c>
      <c r="AI1238" s="86">
        <f>AVERAGEIFS($I$2:I1238, $B$2:B1238, B1238)</f>
        <v>0.37777777777777777</v>
      </c>
      <c r="AJ1238" s="86">
        <f>AVERAGEIFS($J$2:J1238, $B$2:B1238, B1238)</f>
        <v>0.45111111111111107</v>
      </c>
      <c r="AK1238" s="86">
        <f>AVERAGEIFS($D$2:D1238, $B$2:B1238, B1238)</f>
        <v>0.33333333333333331</v>
      </c>
    </row>
    <row r="1239" spans="1:37" x14ac:dyDescent="0.25">
      <c r="A1239" s="85">
        <v>46166</v>
      </c>
      <c r="B1239" t="s">
        <v>161</v>
      </c>
      <c r="C1239">
        <v>8</v>
      </c>
      <c r="D1239">
        <v>0</v>
      </c>
      <c r="E1239">
        <v>3</v>
      </c>
      <c r="F1239">
        <v>0</v>
      </c>
      <c r="G1239">
        <v>13</v>
      </c>
      <c r="H1239">
        <v>4</v>
      </c>
      <c r="I1239">
        <v>0</v>
      </c>
      <c r="J1239">
        <v>0.31</v>
      </c>
      <c r="K1239">
        <v>0</v>
      </c>
      <c r="L1239">
        <v>0</v>
      </c>
      <c r="M1239">
        <v>0</v>
      </c>
      <c r="N1239">
        <v>0</v>
      </c>
      <c r="O1239">
        <v>0</v>
      </c>
      <c r="P1239">
        <v>0</v>
      </c>
      <c r="Q1239">
        <v>0</v>
      </c>
      <c r="R1239">
        <v>0</v>
      </c>
      <c r="S1239">
        <v>0</v>
      </c>
      <c r="T1239">
        <v>0</v>
      </c>
      <c r="U1239">
        <v>0</v>
      </c>
      <c r="V1239">
        <v>0</v>
      </c>
      <c r="W1239">
        <v>0</v>
      </c>
      <c r="X1239">
        <v>0</v>
      </c>
      <c r="Y1239">
        <v>0</v>
      </c>
      <c r="Z1239">
        <v>0</v>
      </c>
      <c r="AA1239">
        <v>0</v>
      </c>
      <c r="AB1239">
        <v>0</v>
      </c>
      <c r="AC1239">
        <v>0</v>
      </c>
      <c r="AD1239">
        <v>0</v>
      </c>
      <c r="AE1239">
        <v>0</v>
      </c>
      <c r="AF1239">
        <v>0</v>
      </c>
      <c r="AG1239">
        <v>0</v>
      </c>
      <c r="AH1239" s="86">
        <f>AVERAGEIFS($C$2:C1239, $B$2:B1239, B1239)</f>
        <v>9.7333333333333325</v>
      </c>
      <c r="AI1239" s="86">
        <f>AVERAGEIFS($I$2:I1239, $B$2:B1239, B1239)</f>
        <v>0.49999999999999994</v>
      </c>
      <c r="AJ1239" s="86">
        <f>AVERAGEIFS($J$2:J1239, $B$2:B1239, B1239)</f>
        <v>0.49733333333333329</v>
      </c>
      <c r="AK1239" s="86">
        <f>AVERAGEIFS($D$2:D1239, $B$2:B1239, B1239)</f>
        <v>0.53333333333333333</v>
      </c>
    </row>
    <row r="1240" spans="1:37" x14ac:dyDescent="0.25">
      <c r="A1240" s="85">
        <v>46166</v>
      </c>
      <c r="B1240" t="s">
        <v>148</v>
      </c>
      <c r="C1240">
        <v>8</v>
      </c>
      <c r="D1240">
        <v>0</v>
      </c>
      <c r="E1240">
        <v>3</v>
      </c>
      <c r="F1240">
        <v>0</v>
      </c>
      <c r="G1240">
        <v>13</v>
      </c>
      <c r="H1240">
        <v>4</v>
      </c>
      <c r="I1240">
        <v>0</v>
      </c>
      <c r="J1240">
        <v>0.31</v>
      </c>
      <c r="K1240">
        <v>0</v>
      </c>
      <c r="L1240">
        <v>0</v>
      </c>
      <c r="M1240">
        <v>0</v>
      </c>
      <c r="N1240">
        <v>0</v>
      </c>
      <c r="O1240">
        <v>0</v>
      </c>
      <c r="P1240">
        <v>0</v>
      </c>
      <c r="Q1240">
        <v>0</v>
      </c>
      <c r="R1240">
        <v>0</v>
      </c>
      <c r="S1240">
        <v>0</v>
      </c>
      <c r="T1240">
        <v>0</v>
      </c>
      <c r="U1240">
        <v>0</v>
      </c>
      <c r="V1240">
        <v>0</v>
      </c>
      <c r="W1240">
        <v>0</v>
      </c>
      <c r="X1240">
        <v>0</v>
      </c>
      <c r="Y1240">
        <v>0</v>
      </c>
      <c r="Z1240">
        <v>0</v>
      </c>
      <c r="AA1240">
        <v>0</v>
      </c>
      <c r="AB1240">
        <v>0</v>
      </c>
      <c r="AC1240">
        <v>0</v>
      </c>
      <c r="AD1240">
        <v>0</v>
      </c>
      <c r="AE1240">
        <v>0</v>
      </c>
      <c r="AF1240">
        <v>0</v>
      </c>
      <c r="AG1240">
        <v>0</v>
      </c>
      <c r="AH1240" s="86">
        <f>AVERAGEIFS($C$2:C1240, $B$2:B1240, B1240)</f>
        <v>8.4285714285714288</v>
      </c>
      <c r="AI1240" s="86">
        <f>AVERAGEIFS($I$2:I1240, $B$2:B1240, B1240)</f>
        <v>0.32142857142857145</v>
      </c>
      <c r="AJ1240" s="86">
        <f>AVERAGEIFS($J$2:J1240, $B$2:B1240, B1240)</f>
        <v>0.43571428571428578</v>
      </c>
      <c r="AK1240" s="86">
        <f>AVERAGEIFS($D$2:D1240, $B$2:B1240, B1240)</f>
        <v>0.2857142857142857</v>
      </c>
    </row>
    <row r="1241" spans="1:37" x14ac:dyDescent="0.25">
      <c r="A1241" s="85">
        <v>46166</v>
      </c>
      <c r="B1241" t="s">
        <v>161</v>
      </c>
      <c r="C1241">
        <v>29</v>
      </c>
      <c r="D1241">
        <v>1</v>
      </c>
      <c r="E1241">
        <v>5</v>
      </c>
      <c r="F1241">
        <v>3</v>
      </c>
      <c r="G1241">
        <v>24</v>
      </c>
      <c r="H1241">
        <v>12</v>
      </c>
      <c r="I1241">
        <v>0.6</v>
      </c>
      <c r="J1241">
        <v>0.5</v>
      </c>
      <c r="K1241">
        <v>0</v>
      </c>
      <c r="L1241">
        <v>0</v>
      </c>
      <c r="M1241">
        <v>1</v>
      </c>
      <c r="N1241">
        <v>0</v>
      </c>
      <c r="O1241">
        <v>0</v>
      </c>
      <c r="P1241">
        <v>0</v>
      </c>
      <c r="Q1241">
        <v>0</v>
      </c>
      <c r="R1241">
        <v>0</v>
      </c>
      <c r="S1241">
        <v>0</v>
      </c>
      <c r="T1241">
        <v>0</v>
      </c>
      <c r="U1241">
        <v>0</v>
      </c>
      <c r="V1241">
        <v>0</v>
      </c>
      <c r="W1241">
        <v>0</v>
      </c>
      <c r="X1241">
        <v>0</v>
      </c>
      <c r="Y1241">
        <v>0</v>
      </c>
      <c r="Z1241">
        <v>1</v>
      </c>
      <c r="AA1241">
        <v>0</v>
      </c>
      <c r="AB1241">
        <v>0</v>
      </c>
      <c r="AC1241">
        <v>0</v>
      </c>
      <c r="AD1241">
        <v>0</v>
      </c>
      <c r="AE1241">
        <v>0</v>
      </c>
      <c r="AF1241">
        <v>0</v>
      </c>
      <c r="AG1241">
        <v>1</v>
      </c>
      <c r="AH1241" s="86">
        <f>AVERAGEIFS($C$2:C1241, $B$2:B1241, B1241)</f>
        <v>10.9375</v>
      </c>
      <c r="AI1241" s="86">
        <f>AVERAGEIFS($I$2:I1241, $B$2:B1241, B1241)</f>
        <v>0.50624999999999998</v>
      </c>
      <c r="AJ1241" s="86">
        <f>AVERAGEIFS($J$2:J1241, $B$2:B1241, B1241)</f>
        <v>0.49749999999999994</v>
      </c>
      <c r="AK1241" s="86">
        <f>AVERAGEIFS($D$2:D1241, $B$2:B1241, B1241)</f>
        <v>0.5625</v>
      </c>
    </row>
    <row r="1242" spans="1:37" x14ac:dyDescent="0.25">
      <c r="A1242" s="85">
        <v>46166</v>
      </c>
      <c r="B1242" t="s">
        <v>6</v>
      </c>
      <c r="C1242">
        <v>37</v>
      </c>
      <c r="D1242">
        <v>1</v>
      </c>
      <c r="E1242">
        <v>5</v>
      </c>
      <c r="F1242">
        <v>3</v>
      </c>
      <c r="G1242">
        <v>24</v>
      </c>
      <c r="H1242">
        <v>12</v>
      </c>
      <c r="I1242">
        <v>0.6</v>
      </c>
      <c r="J1242">
        <v>0.5</v>
      </c>
      <c r="K1242">
        <v>0</v>
      </c>
      <c r="L1242">
        <v>0</v>
      </c>
      <c r="M1242">
        <v>1</v>
      </c>
      <c r="N1242">
        <v>0</v>
      </c>
      <c r="O1242">
        <v>0</v>
      </c>
      <c r="P1242">
        <v>0</v>
      </c>
      <c r="Q1242">
        <v>0</v>
      </c>
      <c r="R1242">
        <v>0</v>
      </c>
      <c r="S1242">
        <v>0</v>
      </c>
      <c r="T1242">
        <v>0</v>
      </c>
      <c r="U1242">
        <v>0</v>
      </c>
      <c r="V1242">
        <v>0</v>
      </c>
      <c r="W1242">
        <v>0</v>
      </c>
      <c r="X1242">
        <v>0</v>
      </c>
      <c r="Y1242">
        <v>0</v>
      </c>
      <c r="Z1242">
        <v>1</v>
      </c>
      <c r="AA1242">
        <v>0</v>
      </c>
      <c r="AB1242">
        <v>0</v>
      </c>
      <c r="AC1242">
        <v>0</v>
      </c>
      <c r="AD1242">
        <v>0</v>
      </c>
      <c r="AE1242">
        <v>0</v>
      </c>
      <c r="AF1242">
        <v>0</v>
      </c>
      <c r="AG1242">
        <v>1</v>
      </c>
      <c r="AH1242" s="86">
        <f>AVERAGEIFS($C$2:C1242, $B$2:B1242, B1242)</f>
        <v>23.5</v>
      </c>
      <c r="AI1242" s="86">
        <f>AVERAGEIFS($I$2:I1242, $B$2:B1242, B1242)</f>
        <v>0.56100000000000017</v>
      </c>
      <c r="AJ1242" s="86">
        <f>AVERAGEIFS($J$2:J1242, $B$2:B1242, B1242)</f>
        <v>0.53024999999999989</v>
      </c>
      <c r="AK1242" s="86">
        <f>AVERAGEIFS($D$2:D1242, $B$2:B1242, B1242)</f>
        <v>0.625</v>
      </c>
    </row>
    <row r="1243" spans="1:37" x14ac:dyDescent="0.25">
      <c r="A1243" s="85">
        <v>46166</v>
      </c>
      <c r="B1243" t="s">
        <v>71</v>
      </c>
      <c r="C1243">
        <v>44</v>
      </c>
      <c r="D1243">
        <v>1</v>
      </c>
      <c r="E1243">
        <v>5</v>
      </c>
      <c r="F1243">
        <v>3</v>
      </c>
      <c r="G1243">
        <v>24</v>
      </c>
      <c r="H1243">
        <v>12</v>
      </c>
      <c r="I1243">
        <v>0.6</v>
      </c>
      <c r="J1243">
        <v>0.5</v>
      </c>
      <c r="K1243">
        <v>0</v>
      </c>
      <c r="L1243">
        <v>0</v>
      </c>
      <c r="M1243">
        <v>1</v>
      </c>
      <c r="N1243">
        <v>0</v>
      </c>
      <c r="O1243">
        <v>0</v>
      </c>
      <c r="P1243">
        <v>0</v>
      </c>
      <c r="Q1243">
        <v>0</v>
      </c>
      <c r="R1243">
        <v>0</v>
      </c>
      <c r="S1243">
        <v>0</v>
      </c>
      <c r="T1243">
        <v>0</v>
      </c>
      <c r="U1243">
        <v>0</v>
      </c>
      <c r="V1243">
        <v>0</v>
      </c>
      <c r="W1243">
        <v>0</v>
      </c>
      <c r="X1243">
        <v>0</v>
      </c>
      <c r="Y1243">
        <v>0</v>
      </c>
      <c r="Z1243">
        <v>1</v>
      </c>
      <c r="AA1243">
        <v>0</v>
      </c>
      <c r="AB1243">
        <v>0</v>
      </c>
      <c r="AC1243">
        <v>0</v>
      </c>
      <c r="AD1243">
        <v>0</v>
      </c>
      <c r="AE1243">
        <v>0</v>
      </c>
      <c r="AF1243">
        <v>0</v>
      </c>
      <c r="AG1243">
        <v>1</v>
      </c>
      <c r="AH1243" s="86">
        <f>AVERAGEIFS($C$2:C1243, $B$2:B1243, B1243)</f>
        <v>14.527777777777779</v>
      </c>
      <c r="AI1243" s="86">
        <f>AVERAGEIFS($I$2:I1243, $B$2:B1243, B1243)</f>
        <v>0.46527777777777779</v>
      </c>
      <c r="AJ1243" s="86">
        <f>AVERAGEIFS($J$2:J1243, $B$2:B1243, B1243)</f>
        <v>0.47555555555555551</v>
      </c>
      <c r="AK1243" s="86">
        <f>AVERAGEIFS($D$2:D1243, $B$2:B1243, B1243)</f>
        <v>0.5</v>
      </c>
    </row>
    <row r="1244" spans="1:37" x14ac:dyDescent="0.25">
      <c r="A1244" s="85">
        <v>46166</v>
      </c>
      <c r="B1244" t="s">
        <v>107</v>
      </c>
      <c r="C1244">
        <v>33</v>
      </c>
      <c r="D1244">
        <v>1</v>
      </c>
      <c r="E1244">
        <v>5</v>
      </c>
      <c r="F1244">
        <v>3</v>
      </c>
      <c r="G1244">
        <v>24</v>
      </c>
      <c r="H1244">
        <v>12</v>
      </c>
      <c r="I1244">
        <v>0.6</v>
      </c>
      <c r="J1244">
        <v>0.5</v>
      </c>
      <c r="K1244">
        <v>0</v>
      </c>
      <c r="L1244">
        <v>0</v>
      </c>
      <c r="M1244">
        <v>1</v>
      </c>
      <c r="N1244">
        <v>0</v>
      </c>
      <c r="O1244">
        <v>0</v>
      </c>
      <c r="P1244">
        <v>0</v>
      </c>
      <c r="Q1244">
        <v>0</v>
      </c>
      <c r="R1244">
        <v>0</v>
      </c>
      <c r="S1244">
        <v>0</v>
      </c>
      <c r="T1244">
        <v>0</v>
      </c>
      <c r="U1244">
        <v>0</v>
      </c>
      <c r="V1244">
        <v>0</v>
      </c>
      <c r="W1244">
        <v>0</v>
      </c>
      <c r="X1244">
        <v>0</v>
      </c>
      <c r="Y1244">
        <v>0</v>
      </c>
      <c r="Z1244">
        <v>1</v>
      </c>
      <c r="AA1244">
        <v>0</v>
      </c>
      <c r="AB1244">
        <v>0</v>
      </c>
      <c r="AC1244">
        <v>0</v>
      </c>
      <c r="AD1244">
        <v>0</v>
      </c>
      <c r="AE1244">
        <v>0</v>
      </c>
      <c r="AF1244">
        <v>0</v>
      </c>
      <c r="AG1244">
        <v>1</v>
      </c>
      <c r="AH1244" s="86">
        <f>AVERAGEIFS($C$2:C1244, $B$2:B1244, B1244)</f>
        <v>16.433962264150942</v>
      </c>
      <c r="AI1244" s="86">
        <f>AVERAGEIFS($I$2:I1244, $B$2:B1244, B1244)</f>
        <v>0.51226415094339628</v>
      </c>
      <c r="AJ1244" s="86">
        <f>AVERAGEIFS($J$2:J1244, $B$2:B1244, B1244)</f>
        <v>0.51358490566037729</v>
      </c>
      <c r="AK1244" s="86">
        <f>AVERAGEIFS($D$2:D1244, $B$2:B1244, B1244)</f>
        <v>0.56603773584905659</v>
      </c>
    </row>
    <row r="1245" spans="1:37" x14ac:dyDescent="0.25">
      <c r="A1245" s="85">
        <v>46166</v>
      </c>
      <c r="B1245" t="s">
        <v>115</v>
      </c>
      <c r="C1245">
        <v>9</v>
      </c>
      <c r="D1245">
        <v>1</v>
      </c>
      <c r="E1245">
        <v>5</v>
      </c>
      <c r="F1245">
        <v>3</v>
      </c>
      <c r="G1245">
        <v>24</v>
      </c>
      <c r="H1245">
        <v>12</v>
      </c>
      <c r="I1245">
        <v>0.6</v>
      </c>
      <c r="J1245">
        <v>0.5</v>
      </c>
      <c r="K1245">
        <v>0</v>
      </c>
      <c r="L1245">
        <v>0</v>
      </c>
      <c r="M1245">
        <v>1</v>
      </c>
      <c r="N1245">
        <v>0</v>
      </c>
      <c r="O1245">
        <v>0</v>
      </c>
      <c r="P1245">
        <v>0</v>
      </c>
      <c r="Q1245">
        <v>0</v>
      </c>
      <c r="R1245">
        <v>0</v>
      </c>
      <c r="S1245">
        <v>0</v>
      </c>
      <c r="T1245">
        <v>0</v>
      </c>
      <c r="U1245">
        <v>0</v>
      </c>
      <c r="V1245">
        <v>0</v>
      </c>
      <c r="W1245">
        <v>0</v>
      </c>
      <c r="X1245">
        <v>0</v>
      </c>
      <c r="Y1245">
        <v>0</v>
      </c>
      <c r="Z1245">
        <v>1</v>
      </c>
      <c r="AA1245">
        <v>0</v>
      </c>
      <c r="AB1245">
        <v>0</v>
      </c>
      <c r="AC1245">
        <v>0</v>
      </c>
      <c r="AD1245">
        <v>0</v>
      </c>
      <c r="AE1245">
        <v>0</v>
      </c>
      <c r="AF1245">
        <v>0</v>
      </c>
      <c r="AG1245">
        <v>1</v>
      </c>
      <c r="AH1245" s="86">
        <f>AVERAGEIFS($C$2:C1245, $B$2:B1245, B1245)</f>
        <v>13.1875</v>
      </c>
      <c r="AI1245" s="86">
        <f>AVERAGEIFS($I$2:I1245, $B$2:B1245, B1245)</f>
        <v>0.51249999999999996</v>
      </c>
      <c r="AJ1245" s="86">
        <f>AVERAGEIFS($J$2:J1245, $B$2:B1245, B1245)</f>
        <v>0.4993749999999999</v>
      </c>
      <c r="AK1245" s="86">
        <f>AVERAGEIFS($D$2:D1245, $B$2:B1245, B1245)</f>
        <v>0.5625</v>
      </c>
    </row>
    <row r="1246" spans="1:37" x14ac:dyDescent="0.25">
      <c r="A1246" s="85">
        <v>46166</v>
      </c>
      <c r="B1246" t="s">
        <v>148</v>
      </c>
      <c r="C1246">
        <v>6</v>
      </c>
      <c r="D1246">
        <v>1</v>
      </c>
      <c r="E1246">
        <v>5</v>
      </c>
      <c r="F1246">
        <v>3</v>
      </c>
      <c r="G1246">
        <v>24</v>
      </c>
      <c r="H1246">
        <v>12</v>
      </c>
      <c r="I1246">
        <v>0.6</v>
      </c>
      <c r="J1246">
        <v>0.5</v>
      </c>
      <c r="K1246">
        <v>0</v>
      </c>
      <c r="L1246">
        <v>0</v>
      </c>
      <c r="M1246">
        <v>1</v>
      </c>
      <c r="N1246">
        <v>0</v>
      </c>
      <c r="O1246">
        <v>0</v>
      </c>
      <c r="P1246">
        <v>0</v>
      </c>
      <c r="Q1246">
        <v>0</v>
      </c>
      <c r="R1246">
        <v>0</v>
      </c>
      <c r="S1246">
        <v>0</v>
      </c>
      <c r="T1246">
        <v>0</v>
      </c>
      <c r="U1246">
        <v>0</v>
      </c>
      <c r="V1246">
        <v>0</v>
      </c>
      <c r="W1246">
        <v>0</v>
      </c>
      <c r="X1246">
        <v>0</v>
      </c>
      <c r="Y1246">
        <v>0</v>
      </c>
      <c r="Z1246">
        <v>1</v>
      </c>
      <c r="AA1246">
        <v>0</v>
      </c>
      <c r="AB1246">
        <v>0</v>
      </c>
      <c r="AC1246">
        <v>0</v>
      </c>
      <c r="AD1246">
        <v>0</v>
      </c>
      <c r="AE1246">
        <v>0</v>
      </c>
      <c r="AF1246">
        <v>0</v>
      </c>
      <c r="AG1246">
        <v>1</v>
      </c>
      <c r="AH1246" s="86">
        <f>AVERAGEIFS($C$2:C1246, $B$2:B1246, B1246)</f>
        <v>8.125</v>
      </c>
      <c r="AI1246" s="86">
        <f>AVERAGEIFS($I$2:I1246, $B$2:B1246, B1246)</f>
        <v>0.35625000000000001</v>
      </c>
      <c r="AJ1246" s="86">
        <f>AVERAGEIFS($J$2:J1246, $B$2:B1246, B1246)</f>
        <v>0.44375000000000003</v>
      </c>
      <c r="AK1246" s="86">
        <f>AVERAGEIFS($D$2:D1246, $B$2:B1246, B1246)</f>
        <v>0.375</v>
      </c>
    </row>
    <row r="1247" spans="1:37" x14ac:dyDescent="0.25">
      <c r="A1247" s="85">
        <v>46166</v>
      </c>
      <c r="B1247" t="s">
        <v>146</v>
      </c>
      <c r="C1247">
        <v>16</v>
      </c>
      <c r="D1247">
        <v>1</v>
      </c>
      <c r="E1247">
        <v>5</v>
      </c>
      <c r="F1247">
        <v>3</v>
      </c>
      <c r="G1247">
        <v>24</v>
      </c>
      <c r="H1247">
        <v>12</v>
      </c>
      <c r="I1247">
        <v>0.6</v>
      </c>
      <c r="J1247">
        <v>0.5</v>
      </c>
      <c r="K1247">
        <v>0</v>
      </c>
      <c r="L1247">
        <v>0</v>
      </c>
      <c r="M1247">
        <v>1</v>
      </c>
      <c r="N1247">
        <v>0</v>
      </c>
      <c r="O1247">
        <v>0</v>
      </c>
      <c r="P1247">
        <v>0</v>
      </c>
      <c r="Q1247">
        <v>0</v>
      </c>
      <c r="R1247">
        <v>0</v>
      </c>
      <c r="S1247">
        <v>0</v>
      </c>
      <c r="T1247">
        <v>0</v>
      </c>
      <c r="U1247">
        <v>0</v>
      </c>
      <c r="V1247">
        <v>0</v>
      </c>
      <c r="W1247">
        <v>0</v>
      </c>
      <c r="X1247">
        <v>0</v>
      </c>
      <c r="Y1247">
        <v>0</v>
      </c>
      <c r="Z1247">
        <v>1</v>
      </c>
      <c r="AA1247">
        <v>0</v>
      </c>
      <c r="AB1247">
        <v>0</v>
      </c>
      <c r="AC1247">
        <v>0</v>
      </c>
      <c r="AD1247">
        <v>0</v>
      </c>
      <c r="AE1247">
        <v>0</v>
      </c>
      <c r="AF1247">
        <v>0</v>
      </c>
      <c r="AG1247">
        <v>1</v>
      </c>
      <c r="AH1247" s="86">
        <f>AVERAGEIFS($C$2:C1247, $B$2:B1247, B1247)</f>
        <v>11.666666666666666</v>
      </c>
      <c r="AI1247" s="86">
        <f>AVERAGEIFS($I$2:I1247, $B$2:B1247, B1247)</f>
        <v>0.35833333333333334</v>
      </c>
      <c r="AJ1247" s="86">
        <f>AVERAGEIFS($J$2:J1247, $B$2:B1247, B1247)</f>
        <v>0.41250000000000003</v>
      </c>
      <c r="AK1247" s="86">
        <f>AVERAGEIFS($D$2:D1247, $B$2:B1247, B1247)</f>
        <v>0.41666666666666669</v>
      </c>
    </row>
    <row r="1248" spans="1:37" x14ac:dyDescent="0.25">
      <c r="A1248" s="85">
        <v>46166</v>
      </c>
      <c r="B1248" t="s">
        <v>113</v>
      </c>
      <c r="C1248">
        <v>10</v>
      </c>
      <c r="D1248">
        <v>1</v>
      </c>
      <c r="E1248">
        <v>5</v>
      </c>
      <c r="F1248">
        <v>3</v>
      </c>
      <c r="G1248">
        <v>24</v>
      </c>
      <c r="H1248">
        <v>12</v>
      </c>
      <c r="I1248">
        <v>0.6</v>
      </c>
      <c r="J1248">
        <v>0.5</v>
      </c>
      <c r="K1248">
        <v>0</v>
      </c>
      <c r="L1248">
        <v>0</v>
      </c>
      <c r="M1248">
        <v>1</v>
      </c>
      <c r="N1248">
        <v>0</v>
      </c>
      <c r="O1248">
        <v>0</v>
      </c>
      <c r="P1248">
        <v>0</v>
      </c>
      <c r="Q1248">
        <v>0</v>
      </c>
      <c r="R1248">
        <v>0</v>
      </c>
      <c r="S1248">
        <v>0</v>
      </c>
      <c r="T1248">
        <v>0</v>
      </c>
      <c r="U1248">
        <v>0</v>
      </c>
      <c r="V1248">
        <v>0</v>
      </c>
      <c r="W1248">
        <v>0</v>
      </c>
      <c r="X1248">
        <v>0</v>
      </c>
      <c r="Y1248">
        <v>0</v>
      </c>
      <c r="Z1248">
        <v>1</v>
      </c>
      <c r="AA1248">
        <v>0</v>
      </c>
      <c r="AB1248">
        <v>0</v>
      </c>
      <c r="AC1248">
        <v>0</v>
      </c>
      <c r="AD1248">
        <v>0</v>
      </c>
      <c r="AE1248">
        <v>0</v>
      </c>
      <c r="AF1248">
        <v>0</v>
      </c>
      <c r="AG1248">
        <v>1</v>
      </c>
      <c r="AH1248" s="86">
        <f>AVERAGEIFS($C$2:C1248, $B$2:B1248, B1248)</f>
        <v>18.6875</v>
      </c>
      <c r="AI1248" s="86">
        <f>AVERAGEIFS($I$2:I1248, $B$2:B1248, B1248)</f>
        <v>0.55416666666666659</v>
      </c>
      <c r="AJ1248" s="86">
        <f>AVERAGEIFS($J$2:J1248, $B$2:B1248, B1248)</f>
        <v>0.52166666666666672</v>
      </c>
      <c r="AK1248" s="86">
        <f>AVERAGEIFS($D$2:D1248, $B$2:B1248, B1248)</f>
        <v>0.54166666666666663</v>
      </c>
    </row>
    <row r="1249" spans="1:37" x14ac:dyDescent="0.25">
      <c r="A1249" s="85">
        <v>46166</v>
      </c>
      <c r="B1249" t="s">
        <v>3</v>
      </c>
      <c r="C1249">
        <v>26</v>
      </c>
      <c r="D1249">
        <v>0</v>
      </c>
      <c r="E1249">
        <v>5</v>
      </c>
      <c r="F1249">
        <v>2</v>
      </c>
      <c r="G1249">
        <v>24</v>
      </c>
      <c r="H1249">
        <v>12</v>
      </c>
      <c r="I1249">
        <v>0.4</v>
      </c>
      <c r="J1249">
        <v>0.5</v>
      </c>
      <c r="K1249">
        <v>0</v>
      </c>
      <c r="L1249">
        <v>0</v>
      </c>
      <c r="M1249">
        <v>0</v>
      </c>
      <c r="N1249">
        <v>0</v>
      </c>
      <c r="O1249">
        <v>0</v>
      </c>
      <c r="P1249">
        <v>0</v>
      </c>
      <c r="Q1249">
        <v>0</v>
      </c>
      <c r="R1249">
        <v>0</v>
      </c>
      <c r="S1249">
        <v>0</v>
      </c>
      <c r="T1249">
        <v>0</v>
      </c>
      <c r="U1249">
        <v>0</v>
      </c>
      <c r="V1249">
        <v>1</v>
      </c>
      <c r="W1249">
        <v>0</v>
      </c>
      <c r="X1249">
        <v>0</v>
      </c>
      <c r="Y1249">
        <v>0</v>
      </c>
      <c r="Z1249">
        <v>0</v>
      </c>
      <c r="AA1249">
        <v>0</v>
      </c>
      <c r="AB1249">
        <v>0</v>
      </c>
      <c r="AC1249">
        <v>1</v>
      </c>
      <c r="AD1249">
        <v>0</v>
      </c>
      <c r="AE1249">
        <v>0</v>
      </c>
      <c r="AF1249">
        <v>0</v>
      </c>
      <c r="AG1249">
        <v>0</v>
      </c>
      <c r="AH1249" s="86">
        <f>AVERAGEIFS($C$2:C1249, $B$2:B1249, B1249)</f>
        <v>19.399999999999999</v>
      </c>
      <c r="AI1249" s="86">
        <f>AVERAGEIFS($I$2:I1249, $B$2:B1249, B1249)</f>
        <v>0.38</v>
      </c>
      <c r="AJ1249" s="86">
        <f>AVERAGEIFS($J$2:J1249, $B$2:B1249, B1249)</f>
        <v>0.45599999999999996</v>
      </c>
      <c r="AK1249" s="86">
        <f>AVERAGEIFS($D$2:D1249, $B$2:B1249, B1249)</f>
        <v>0.3</v>
      </c>
    </row>
    <row r="1250" spans="1:37" x14ac:dyDescent="0.25">
      <c r="A1250" s="85">
        <v>46166</v>
      </c>
      <c r="B1250" t="s">
        <v>2</v>
      </c>
      <c r="C1250">
        <v>50</v>
      </c>
      <c r="D1250">
        <v>0</v>
      </c>
      <c r="E1250">
        <v>5</v>
      </c>
      <c r="F1250">
        <v>2</v>
      </c>
      <c r="G1250">
        <v>24</v>
      </c>
      <c r="H1250">
        <v>12</v>
      </c>
      <c r="I1250">
        <v>0.4</v>
      </c>
      <c r="J1250">
        <v>0.5</v>
      </c>
      <c r="K1250">
        <v>0</v>
      </c>
      <c r="L1250">
        <v>0</v>
      </c>
      <c r="M1250">
        <v>0</v>
      </c>
      <c r="N1250">
        <v>0</v>
      </c>
      <c r="O1250">
        <v>0</v>
      </c>
      <c r="P1250">
        <v>0</v>
      </c>
      <c r="Q1250">
        <v>0</v>
      </c>
      <c r="R1250">
        <v>0</v>
      </c>
      <c r="S1250">
        <v>0</v>
      </c>
      <c r="T1250">
        <v>0</v>
      </c>
      <c r="U1250">
        <v>0</v>
      </c>
      <c r="V1250">
        <v>1</v>
      </c>
      <c r="W1250">
        <v>0</v>
      </c>
      <c r="X1250">
        <v>0</v>
      </c>
      <c r="Y1250">
        <v>0</v>
      </c>
      <c r="Z1250">
        <v>0</v>
      </c>
      <c r="AA1250">
        <v>0</v>
      </c>
      <c r="AB1250">
        <v>0</v>
      </c>
      <c r="AC1250">
        <v>1</v>
      </c>
      <c r="AD1250">
        <v>0</v>
      </c>
      <c r="AE1250">
        <v>0</v>
      </c>
      <c r="AF1250">
        <v>0</v>
      </c>
      <c r="AG1250">
        <v>0</v>
      </c>
      <c r="AH1250" s="86">
        <f>AVERAGEIFS($C$2:C1250, $B$2:B1250, B1250)</f>
        <v>24.183673469387756</v>
      </c>
      <c r="AI1250" s="86">
        <f>AVERAGEIFS($I$2:I1250, $B$2:B1250, B1250)</f>
        <v>0.50877551020408152</v>
      </c>
      <c r="AJ1250" s="86">
        <f>AVERAGEIFS($J$2:J1250, $B$2:B1250, B1250)</f>
        <v>0.53061224489795922</v>
      </c>
      <c r="AK1250" s="86">
        <f>AVERAGEIFS($D$2:D1250, $B$2:B1250, B1250)</f>
        <v>0.46938775510204084</v>
      </c>
    </row>
    <row r="1251" spans="1:37" x14ac:dyDescent="0.25">
      <c r="A1251" s="85">
        <v>46166</v>
      </c>
      <c r="B1251" t="s">
        <v>141</v>
      </c>
      <c r="C1251">
        <v>32</v>
      </c>
      <c r="D1251">
        <v>0</v>
      </c>
      <c r="E1251">
        <v>5</v>
      </c>
      <c r="F1251">
        <v>2</v>
      </c>
      <c r="G1251">
        <v>24</v>
      </c>
      <c r="H1251">
        <v>12</v>
      </c>
      <c r="I1251">
        <v>0.4</v>
      </c>
      <c r="J1251">
        <v>0.5</v>
      </c>
      <c r="K1251">
        <v>0</v>
      </c>
      <c r="L1251">
        <v>0</v>
      </c>
      <c r="M1251">
        <v>0</v>
      </c>
      <c r="N1251">
        <v>0</v>
      </c>
      <c r="O1251">
        <v>0</v>
      </c>
      <c r="P1251">
        <v>0</v>
      </c>
      <c r="Q1251">
        <v>0</v>
      </c>
      <c r="R1251">
        <v>0</v>
      </c>
      <c r="S1251">
        <v>0</v>
      </c>
      <c r="T1251">
        <v>0</v>
      </c>
      <c r="U1251">
        <v>0</v>
      </c>
      <c r="V1251">
        <v>1</v>
      </c>
      <c r="W1251">
        <v>0</v>
      </c>
      <c r="X1251">
        <v>0</v>
      </c>
      <c r="Y1251">
        <v>0</v>
      </c>
      <c r="Z1251">
        <v>0</v>
      </c>
      <c r="AA1251">
        <v>0</v>
      </c>
      <c r="AB1251">
        <v>0</v>
      </c>
      <c r="AC1251">
        <v>1</v>
      </c>
      <c r="AD1251">
        <v>0</v>
      </c>
      <c r="AE1251">
        <v>0</v>
      </c>
      <c r="AF1251">
        <v>0</v>
      </c>
      <c r="AG1251">
        <v>0</v>
      </c>
      <c r="AH1251" s="86">
        <f>AVERAGEIFS($C$2:C1251, $B$2:B1251, B1251)</f>
        <v>18.333333333333332</v>
      </c>
      <c r="AI1251" s="86">
        <f>AVERAGEIFS($I$2:I1251, $B$2:B1251, B1251)</f>
        <v>0.48518518518518516</v>
      </c>
      <c r="AJ1251" s="86">
        <f>AVERAGEIFS($J$2:J1251, $B$2:B1251, B1251)</f>
        <v>0.50333333333333341</v>
      </c>
      <c r="AK1251" s="86">
        <f>AVERAGEIFS($D$2:D1251, $B$2:B1251, B1251)</f>
        <v>0.59259259259259256</v>
      </c>
    </row>
    <row r="1252" spans="1:37" x14ac:dyDescent="0.25">
      <c r="A1252" s="85">
        <v>46166</v>
      </c>
      <c r="B1252" t="s">
        <v>152</v>
      </c>
      <c r="C1252">
        <v>37</v>
      </c>
      <c r="D1252">
        <v>0</v>
      </c>
      <c r="E1252">
        <v>5</v>
      </c>
      <c r="F1252">
        <v>2</v>
      </c>
      <c r="G1252">
        <v>24</v>
      </c>
      <c r="H1252">
        <v>12</v>
      </c>
      <c r="I1252">
        <v>0.4</v>
      </c>
      <c r="J1252">
        <v>0.5</v>
      </c>
      <c r="K1252">
        <v>0</v>
      </c>
      <c r="L1252">
        <v>0</v>
      </c>
      <c r="M1252">
        <v>0</v>
      </c>
      <c r="N1252">
        <v>0</v>
      </c>
      <c r="O1252">
        <v>0</v>
      </c>
      <c r="P1252">
        <v>0</v>
      </c>
      <c r="Q1252">
        <v>0</v>
      </c>
      <c r="R1252">
        <v>0</v>
      </c>
      <c r="S1252">
        <v>0</v>
      </c>
      <c r="T1252">
        <v>0</v>
      </c>
      <c r="U1252">
        <v>0</v>
      </c>
      <c r="V1252">
        <v>1</v>
      </c>
      <c r="W1252">
        <v>0</v>
      </c>
      <c r="X1252">
        <v>0</v>
      </c>
      <c r="Y1252">
        <v>0</v>
      </c>
      <c r="Z1252">
        <v>0</v>
      </c>
      <c r="AA1252">
        <v>0</v>
      </c>
      <c r="AB1252">
        <v>0</v>
      </c>
      <c r="AC1252">
        <v>1</v>
      </c>
      <c r="AD1252">
        <v>0</v>
      </c>
      <c r="AE1252">
        <v>0</v>
      </c>
      <c r="AF1252">
        <v>0</v>
      </c>
      <c r="AG1252">
        <v>0</v>
      </c>
      <c r="AH1252" s="86">
        <f>AVERAGEIFS($C$2:C1252, $B$2:B1252, B1252)</f>
        <v>15.090909090909092</v>
      </c>
      <c r="AI1252" s="86">
        <f>AVERAGEIFS($I$2:I1252, $B$2:B1252, B1252)</f>
        <v>0.38636363636363635</v>
      </c>
      <c r="AJ1252" s="86">
        <f>AVERAGEIFS($J$2:J1252, $B$2:B1252, B1252)</f>
        <v>0.47636363636363638</v>
      </c>
      <c r="AK1252" s="86">
        <f>AVERAGEIFS($D$2:D1252, $B$2:B1252, B1252)</f>
        <v>0.27272727272727271</v>
      </c>
    </row>
    <row r="1253" spans="1:37" x14ac:dyDescent="0.25">
      <c r="A1253" s="85">
        <v>46166</v>
      </c>
      <c r="B1253" t="s">
        <v>13</v>
      </c>
      <c r="C1253">
        <v>27</v>
      </c>
      <c r="D1253">
        <v>0</v>
      </c>
      <c r="E1253">
        <v>5</v>
      </c>
      <c r="F1253">
        <v>2</v>
      </c>
      <c r="G1253">
        <v>24</v>
      </c>
      <c r="H1253">
        <v>12</v>
      </c>
      <c r="I1253">
        <v>0.4</v>
      </c>
      <c r="J1253">
        <v>0.5</v>
      </c>
      <c r="K1253">
        <v>0</v>
      </c>
      <c r="L1253">
        <v>0</v>
      </c>
      <c r="M1253">
        <v>0</v>
      </c>
      <c r="N1253">
        <v>0</v>
      </c>
      <c r="O1253">
        <v>0</v>
      </c>
      <c r="P1253">
        <v>0</v>
      </c>
      <c r="Q1253">
        <v>0</v>
      </c>
      <c r="R1253">
        <v>0</v>
      </c>
      <c r="S1253">
        <v>0</v>
      </c>
      <c r="T1253">
        <v>0</v>
      </c>
      <c r="U1253">
        <v>0</v>
      </c>
      <c r="V1253">
        <v>1</v>
      </c>
      <c r="W1253">
        <v>0</v>
      </c>
      <c r="X1253">
        <v>0</v>
      </c>
      <c r="Y1253">
        <v>0</v>
      </c>
      <c r="Z1253">
        <v>0</v>
      </c>
      <c r="AA1253">
        <v>0</v>
      </c>
      <c r="AB1253">
        <v>0</v>
      </c>
      <c r="AC1253">
        <v>1</v>
      </c>
      <c r="AD1253">
        <v>0</v>
      </c>
      <c r="AE1253">
        <v>0</v>
      </c>
      <c r="AF1253">
        <v>0</v>
      </c>
      <c r="AG1253">
        <v>0</v>
      </c>
      <c r="AH1253" s="86">
        <f>AVERAGEIFS($C$2:C1253, $B$2:B1253, B1253)</f>
        <v>15.344827586206897</v>
      </c>
      <c r="AI1253" s="86">
        <f>AVERAGEIFS($I$2:I1253, $B$2:B1253, B1253)</f>
        <v>0.47241379310344828</v>
      </c>
      <c r="AJ1253" s="86">
        <f>AVERAGEIFS($J$2:J1253, $B$2:B1253, B1253)</f>
        <v>0.48931034482758623</v>
      </c>
      <c r="AK1253" s="86">
        <f>AVERAGEIFS($D$2:D1253, $B$2:B1253, B1253)</f>
        <v>0.41379310344827586</v>
      </c>
    </row>
    <row r="1254" spans="1:37" x14ac:dyDescent="0.25">
      <c r="A1254" s="85">
        <v>46166</v>
      </c>
      <c r="B1254" t="s">
        <v>35</v>
      </c>
      <c r="C1254">
        <v>11</v>
      </c>
      <c r="D1254">
        <v>0</v>
      </c>
      <c r="E1254">
        <v>5</v>
      </c>
      <c r="F1254">
        <v>2</v>
      </c>
      <c r="G1254">
        <v>24</v>
      </c>
      <c r="H1254">
        <v>12</v>
      </c>
      <c r="I1254">
        <v>0.4</v>
      </c>
      <c r="J1254">
        <v>0.5</v>
      </c>
      <c r="K1254">
        <v>0</v>
      </c>
      <c r="L1254">
        <v>0</v>
      </c>
      <c r="M1254">
        <v>0</v>
      </c>
      <c r="N1254">
        <v>0</v>
      </c>
      <c r="O1254">
        <v>0</v>
      </c>
      <c r="P1254">
        <v>0</v>
      </c>
      <c r="Q1254">
        <v>0</v>
      </c>
      <c r="R1254">
        <v>0</v>
      </c>
      <c r="S1254">
        <v>0</v>
      </c>
      <c r="T1254">
        <v>0</v>
      </c>
      <c r="U1254">
        <v>0</v>
      </c>
      <c r="V1254">
        <v>1</v>
      </c>
      <c r="W1254">
        <v>0</v>
      </c>
      <c r="X1254">
        <v>0</v>
      </c>
      <c r="Y1254">
        <v>0</v>
      </c>
      <c r="Z1254">
        <v>0</v>
      </c>
      <c r="AA1254">
        <v>0</v>
      </c>
      <c r="AB1254">
        <v>0</v>
      </c>
      <c r="AC1254">
        <v>1</v>
      </c>
      <c r="AD1254">
        <v>0</v>
      </c>
      <c r="AE1254">
        <v>0</v>
      </c>
      <c r="AF1254">
        <v>0</v>
      </c>
      <c r="AG1254">
        <v>0</v>
      </c>
      <c r="AH1254" s="86">
        <f>AVERAGEIFS($C$2:C1254, $B$2:B1254, B1254)</f>
        <v>10.409090909090908</v>
      </c>
      <c r="AI1254" s="86">
        <f>AVERAGEIFS($I$2:I1254, $B$2:B1254, B1254)</f>
        <v>0.44840909090909092</v>
      </c>
      <c r="AJ1254" s="86">
        <f>AVERAGEIFS($J$2:J1254, $B$2:B1254, B1254)</f>
        <v>0.48113636363636358</v>
      </c>
      <c r="AK1254" s="86">
        <f>AVERAGEIFS($D$2:D1254, $B$2:B1254, B1254)</f>
        <v>0.40909090909090912</v>
      </c>
    </row>
    <row r="1255" spans="1:37" x14ac:dyDescent="0.25">
      <c r="A1255" s="85">
        <v>46167</v>
      </c>
      <c r="B1255" t="s">
        <v>42</v>
      </c>
      <c r="C1255">
        <v>13</v>
      </c>
      <c r="D1255">
        <v>0</v>
      </c>
      <c r="E1255">
        <v>4</v>
      </c>
      <c r="F1255">
        <v>1</v>
      </c>
      <c r="G1255">
        <v>18</v>
      </c>
      <c r="H1255">
        <v>8</v>
      </c>
      <c r="I1255">
        <v>0.25</v>
      </c>
      <c r="J1255">
        <v>0.44</v>
      </c>
      <c r="K1255">
        <v>0</v>
      </c>
      <c r="L1255">
        <v>0</v>
      </c>
      <c r="M1255">
        <v>0</v>
      </c>
      <c r="N1255">
        <v>0</v>
      </c>
      <c r="O1255">
        <v>0</v>
      </c>
      <c r="P1255">
        <v>0</v>
      </c>
      <c r="Q1255">
        <v>0</v>
      </c>
      <c r="R1255">
        <v>0</v>
      </c>
      <c r="S1255">
        <v>0</v>
      </c>
      <c r="T1255">
        <v>0</v>
      </c>
      <c r="U1255">
        <v>1</v>
      </c>
      <c r="V1255">
        <v>0</v>
      </c>
      <c r="W1255">
        <v>0</v>
      </c>
      <c r="X1255">
        <v>0</v>
      </c>
      <c r="Y1255">
        <v>0</v>
      </c>
      <c r="Z1255">
        <v>0</v>
      </c>
      <c r="AA1255">
        <v>0</v>
      </c>
      <c r="AB1255">
        <v>0</v>
      </c>
      <c r="AC1255">
        <v>0</v>
      </c>
      <c r="AD1255">
        <v>0</v>
      </c>
      <c r="AE1255">
        <v>0</v>
      </c>
      <c r="AF1255">
        <v>0</v>
      </c>
      <c r="AG1255">
        <v>0</v>
      </c>
      <c r="AH1255" s="86">
        <f>AVERAGEIFS($C$2:C1255, $B$2:B1255, B1255)</f>
        <v>17.981818181818181</v>
      </c>
      <c r="AI1255" s="86">
        <f>AVERAGEIFS($I$2:I1255, $B$2:B1255, B1255)</f>
        <v>0.47181818181818186</v>
      </c>
      <c r="AJ1255" s="86">
        <f>AVERAGEIFS($J$2:J1255, $B$2:B1255, B1255)</f>
        <v>0.46727272727272712</v>
      </c>
      <c r="AK1255" s="86">
        <f>AVERAGEIFS($D$2:D1255, $B$2:B1255, B1255)</f>
        <v>0.49090909090909091</v>
      </c>
    </row>
    <row r="1256" spans="1:37" x14ac:dyDescent="0.25">
      <c r="A1256" s="85">
        <v>46167</v>
      </c>
      <c r="B1256" t="s">
        <v>150</v>
      </c>
      <c r="C1256">
        <v>24</v>
      </c>
      <c r="D1256">
        <v>0</v>
      </c>
      <c r="E1256">
        <v>4</v>
      </c>
      <c r="F1256">
        <v>1</v>
      </c>
      <c r="G1256">
        <v>18</v>
      </c>
      <c r="H1256">
        <v>8</v>
      </c>
      <c r="I1256">
        <v>0.25</v>
      </c>
      <c r="J1256">
        <v>0.44</v>
      </c>
      <c r="K1256">
        <v>0</v>
      </c>
      <c r="L1256">
        <v>0</v>
      </c>
      <c r="M1256">
        <v>0</v>
      </c>
      <c r="N1256">
        <v>0</v>
      </c>
      <c r="O1256">
        <v>0</v>
      </c>
      <c r="P1256">
        <v>0</v>
      </c>
      <c r="Q1256">
        <v>0</v>
      </c>
      <c r="R1256">
        <v>0</v>
      </c>
      <c r="S1256">
        <v>0</v>
      </c>
      <c r="T1256">
        <v>0</v>
      </c>
      <c r="U1256">
        <v>1</v>
      </c>
      <c r="V1256">
        <v>0</v>
      </c>
      <c r="W1256">
        <v>0</v>
      </c>
      <c r="X1256">
        <v>0</v>
      </c>
      <c r="Y1256">
        <v>0</v>
      </c>
      <c r="Z1256">
        <v>0</v>
      </c>
      <c r="AA1256">
        <v>0</v>
      </c>
      <c r="AB1256">
        <v>0</v>
      </c>
      <c r="AC1256">
        <v>0</v>
      </c>
      <c r="AD1256">
        <v>0</v>
      </c>
      <c r="AE1256">
        <v>0</v>
      </c>
      <c r="AF1256">
        <v>0</v>
      </c>
      <c r="AG1256">
        <v>0</v>
      </c>
      <c r="AH1256" s="86">
        <f>AVERAGEIFS($C$2:C1256, $B$2:B1256, B1256)</f>
        <v>19.310344827586206</v>
      </c>
      <c r="AI1256" s="86">
        <f>AVERAGEIFS($I$2:I1256, $B$2:B1256, B1256)</f>
        <v>0.58275862068965512</v>
      </c>
      <c r="AJ1256" s="86">
        <f>AVERAGEIFS($J$2:J1256, $B$2:B1256, B1256)</f>
        <v>0.5617241379310346</v>
      </c>
      <c r="AK1256" s="86">
        <f>AVERAGEIFS($D$2:D1256, $B$2:B1256, B1256)</f>
        <v>0.62068965517241381</v>
      </c>
    </row>
    <row r="1257" spans="1:37" x14ac:dyDescent="0.25">
      <c r="A1257" s="85">
        <v>46167</v>
      </c>
      <c r="B1257" t="s">
        <v>115</v>
      </c>
      <c r="C1257">
        <v>19</v>
      </c>
      <c r="D1257">
        <v>0</v>
      </c>
      <c r="E1257">
        <v>4</v>
      </c>
      <c r="F1257">
        <v>1</v>
      </c>
      <c r="G1257">
        <v>18</v>
      </c>
      <c r="H1257">
        <v>8</v>
      </c>
      <c r="I1257">
        <v>0.25</v>
      </c>
      <c r="J1257">
        <v>0.44</v>
      </c>
      <c r="K1257">
        <v>0</v>
      </c>
      <c r="L1257">
        <v>0</v>
      </c>
      <c r="M1257">
        <v>0</v>
      </c>
      <c r="N1257">
        <v>0</v>
      </c>
      <c r="O1257">
        <v>0</v>
      </c>
      <c r="P1257">
        <v>0</v>
      </c>
      <c r="Q1257">
        <v>0</v>
      </c>
      <c r="R1257">
        <v>0</v>
      </c>
      <c r="S1257">
        <v>0</v>
      </c>
      <c r="T1257">
        <v>0</v>
      </c>
      <c r="U1257">
        <v>1</v>
      </c>
      <c r="V1257">
        <v>0</v>
      </c>
      <c r="W1257">
        <v>0</v>
      </c>
      <c r="X1257">
        <v>0</v>
      </c>
      <c r="Y1257">
        <v>0</v>
      </c>
      <c r="Z1257">
        <v>0</v>
      </c>
      <c r="AA1257">
        <v>0</v>
      </c>
      <c r="AB1257">
        <v>0</v>
      </c>
      <c r="AC1257">
        <v>0</v>
      </c>
      <c r="AD1257">
        <v>0</v>
      </c>
      <c r="AE1257">
        <v>0</v>
      </c>
      <c r="AF1257">
        <v>0</v>
      </c>
      <c r="AG1257">
        <v>0</v>
      </c>
      <c r="AH1257" s="86">
        <f>AVERAGEIFS($C$2:C1257, $B$2:B1257, B1257)</f>
        <v>13.529411764705882</v>
      </c>
      <c r="AI1257" s="86">
        <f>AVERAGEIFS($I$2:I1257, $B$2:B1257, B1257)</f>
        <v>0.49705882352941172</v>
      </c>
      <c r="AJ1257" s="86">
        <f>AVERAGEIFS($J$2:J1257, $B$2:B1257, B1257)</f>
        <v>0.49588235294117633</v>
      </c>
      <c r="AK1257" s="86">
        <f>AVERAGEIFS($D$2:D1257, $B$2:B1257, B1257)</f>
        <v>0.52941176470588236</v>
      </c>
    </row>
    <row r="1258" spans="1:37" x14ac:dyDescent="0.25">
      <c r="A1258" s="85">
        <v>46167</v>
      </c>
      <c r="B1258" t="s">
        <v>2</v>
      </c>
      <c r="C1258">
        <v>33</v>
      </c>
      <c r="D1258">
        <v>0</v>
      </c>
      <c r="E1258">
        <v>4</v>
      </c>
      <c r="F1258">
        <v>1</v>
      </c>
      <c r="G1258">
        <v>18</v>
      </c>
      <c r="H1258">
        <v>8</v>
      </c>
      <c r="I1258">
        <v>0.25</v>
      </c>
      <c r="J1258">
        <v>0.44</v>
      </c>
      <c r="K1258">
        <v>0</v>
      </c>
      <c r="L1258">
        <v>0</v>
      </c>
      <c r="M1258">
        <v>0</v>
      </c>
      <c r="N1258">
        <v>0</v>
      </c>
      <c r="O1258">
        <v>0</v>
      </c>
      <c r="P1258">
        <v>0</v>
      </c>
      <c r="Q1258">
        <v>0</v>
      </c>
      <c r="R1258">
        <v>0</v>
      </c>
      <c r="S1258">
        <v>0</v>
      </c>
      <c r="T1258">
        <v>0</v>
      </c>
      <c r="U1258">
        <v>1</v>
      </c>
      <c r="V1258">
        <v>0</v>
      </c>
      <c r="W1258">
        <v>0</v>
      </c>
      <c r="X1258">
        <v>0</v>
      </c>
      <c r="Y1258">
        <v>0</v>
      </c>
      <c r="Z1258">
        <v>0</v>
      </c>
      <c r="AA1258">
        <v>0</v>
      </c>
      <c r="AB1258">
        <v>0</v>
      </c>
      <c r="AC1258">
        <v>0</v>
      </c>
      <c r="AD1258">
        <v>0</v>
      </c>
      <c r="AE1258">
        <v>0</v>
      </c>
      <c r="AF1258">
        <v>0</v>
      </c>
      <c r="AG1258">
        <v>0</v>
      </c>
      <c r="AH1258" s="86">
        <f>AVERAGEIFS($C$2:C1258, $B$2:B1258, B1258)</f>
        <v>24.36</v>
      </c>
      <c r="AI1258" s="86">
        <f>AVERAGEIFS($I$2:I1258, $B$2:B1258, B1258)</f>
        <v>0.50359999999999983</v>
      </c>
      <c r="AJ1258" s="86">
        <f>AVERAGEIFS($J$2:J1258, $B$2:B1258, B1258)</f>
        <v>0.52880000000000005</v>
      </c>
      <c r="AK1258" s="86">
        <f>AVERAGEIFS($D$2:D1258, $B$2:B1258, B1258)</f>
        <v>0.46</v>
      </c>
    </row>
    <row r="1259" spans="1:37" x14ac:dyDescent="0.25">
      <c r="A1259" s="85">
        <v>46167</v>
      </c>
      <c r="B1259" t="s">
        <v>13</v>
      </c>
      <c r="C1259">
        <v>25</v>
      </c>
      <c r="D1259">
        <v>0</v>
      </c>
      <c r="E1259">
        <v>4</v>
      </c>
      <c r="F1259">
        <v>1</v>
      </c>
      <c r="G1259">
        <v>18</v>
      </c>
      <c r="H1259">
        <v>8</v>
      </c>
      <c r="I1259">
        <v>0.25</v>
      </c>
      <c r="J1259">
        <v>0.44</v>
      </c>
      <c r="K1259">
        <v>0</v>
      </c>
      <c r="L1259">
        <v>0</v>
      </c>
      <c r="M1259">
        <v>0</v>
      </c>
      <c r="N1259">
        <v>0</v>
      </c>
      <c r="O1259">
        <v>0</v>
      </c>
      <c r="P1259">
        <v>0</v>
      </c>
      <c r="Q1259">
        <v>0</v>
      </c>
      <c r="R1259">
        <v>0</v>
      </c>
      <c r="S1259">
        <v>0</v>
      </c>
      <c r="T1259">
        <v>0</v>
      </c>
      <c r="U1259">
        <v>1</v>
      </c>
      <c r="V1259">
        <v>0</v>
      </c>
      <c r="W1259">
        <v>0</v>
      </c>
      <c r="X1259">
        <v>0</v>
      </c>
      <c r="Y1259">
        <v>0</v>
      </c>
      <c r="Z1259">
        <v>0</v>
      </c>
      <c r="AA1259">
        <v>0</v>
      </c>
      <c r="AB1259">
        <v>0</v>
      </c>
      <c r="AC1259">
        <v>0</v>
      </c>
      <c r="AD1259">
        <v>0</v>
      </c>
      <c r="AE1259">
        <v>0</v>
      </c>
      <c r="AF1259">
        <v>0</v>
      </c>
      <c r="AG1259">
        <v>0</v>
      </c>
      <c r="AH1259" s="86">
        <f>AVERAGEIFS($C$2:C1259, $B$2:B1259, B1259)</f>
        <v>15.666666666666666</v>
      </c>
      <c r="AI1259" s="86">
        <f>AVERAGEIFS($I$2:I1259, $B$2:B1259, B1259)</f>
        <v>0.46499999999999997</v>
      </c>
      <c r="AJ1259" s="86">
        <f>AVERAGEIFS($J$2:J1259, $B$2:B1259, B1259)</f>
        <v>0.48766666666666669</v>
      </c>
      <c r="AK1259" s="86">
        <f>AVERAGEIFS($D$2:D1259, $B$2:B1259, B1259)</f>
        <v>0.4</v>
      </c>
    </row>
    <row r="1260" spans="1:37" x14ac:dyDescent="0.25">
      <c r="A1260" s="85">
        <v>46167</v>
      </c>
      <c r="B1260" t="s">
        <v>146</v>
      </c>
      <c r="C1260">
        <v>9</v>
      </c>
      <c r="D1260">
        <v>0</v>
      </c>
      <c r="E1260">
        <v>4</v>
      </c>
      <c r="F1260">
        <v>1</v>
      </c>
      <c r="G1260">
        <v>18</v>
      </c>
      <c r="H1260">
        <v>8</v>
      </c>
      <c r="I1260">
        <v>0.25</v>
      </c>
      <c r="J1260">
        <v>0.44</v>
      </c>
      <c r="K1260">
        <v>0</v>
      </c>
      <c r="L1260">
        <v>0</v>
      </c>
      <c r="M1260">
        <v>0</v>
      </c>
      <c r="N1260">
        <v>0</v>
      </c>
      <c r="O1260">
        <v>0</v>
      </c>
      <c r="P1260">
        <v>0</v>
      </c>
      <c r="Q1260">
        <v>0</v>
      </c>
      <c r="R1260">
        <v>0</v>
      </c>
      <c r="S1260">
        <v>0</v>
      </c>
      <c r="T1260">
        <v>0</v>
      </c>
      <c r="U1260">
        <v>1</v>
      </c>
      <c r="V1260">
        <v>0</v>
      </c>
      <c r="W1260">
        <v>0</v>
      </c>
      <c r="X1260">
        <v>0</v>
      </c>
      <c r="Y1260">
        <v>0</v>
      </c>
      <c r="Z1260">
        <v>0</v>
      </c>
      <c r="AA1260">
        <v>0</v>
      </c>
      <c r="AB1260">
        <v>0</v>
      </c>
      <c r="AC1260">
        <v>0</v>
      </c>
      <c r="AD1260">
        <v>0</v>
      </c>
      <c r="AE1260">
        <v>0</v>
      </c>
      <c r="AF1260">
        <v>0</v>
      </c>
      <c r="AG1260">
        <v>0</v>
      </c>
      <c r="AH1260" s="86">
        <f>AVERAGEIFS($C$2:C1260, $B$2:B1260, B1260)</f>
        <v>11.461538461538462</v>
      </c>
      <c r="AI1260" s="86">
        <f>AVERAGEIFS($I$2:I1260, $B$2:B1260, B1260)</f>
        <v>0.35</v>
      </c>
      <c r="AJ1260" s="86">
        <f>AVERAGEIFS($J$2:J1260, $B$2:B1260, B1260)</f>
        <v>0.41461538461538466</v>
      </c>
      <c r="AK1260" s="86">
        <f>AVERAGEIFS($D$2:D1260, $B$2:B1260, B1260)</f>
        <v>0.38461538461538464</v>
      </c>
    </row>
    <row r="1261" spans="1:37" x14ac:dyDescent="0.25">
      <c r="A1261" s="85">
        <v>46167</v>
      </c>
      <c r="B1261" t="s">
        <v>147</v>
      </c>
      <c r="C1261">
        <v>24</v>
      </c>
      <c r="D1261">
        <v>1</v>
      </c>
      <c r="E1261">
        <v>4</v>
      </c>
      <c r="F1261">
        <v>3</v>
      </c>
      <c r="G1261">
        <v>18</v>
      </c>
      <c r="H1261">
        <v>10</v>
      </c>
      <c r="I1261">
        <v>0.75</v>
      </c>
      <c r="J1261">
        <v>0.56000000000000005</v>
      </c>
      <c r="K1261">
        <v>0</v>
      </c>
      <c r="L1261">
        <v>0</v>
      </c>
      <c r="M1261">
        <v>0</v>
      </c>
      <c r="N1261">
        <v>1</v>
      </c>
      <c r="O1261">
        <v>0</v>
      </c>
      <c r="P1261">
        <v>0</v>
      </c>
      <c r="Q1261">
        <v>0</v>
      </c>
      <c r="R1261">
        <v>0</v>
      </c>
      <c r="S1261">
        <v>0</v>
      </c>
      <c r="T1261">
        <v>0</v>
      </c>
      <c r="U1261">
        <v>0</v>
      </c>
      <c r="V1261">
        <v>0</v>
      </c>
      <c r="W1261">
        <v>0</v>
      </c>
      <c r="X1261">
        <v>0</v>
      </c>
      <c r="Y1261">
        <v>0</v>
      </c>
      <c r="Z1261">
        <v>0</v>
      </c>
      <c r="AA1261">
        <v>0</v>
      </c>
      <c r="AB1261">
        <v>0</v>
      </c>
      <c r="AC1261">
        <v>1</v>
      </c>
      <c r="AD1261">
        <v>0</v>
      </c>
      <c r="AE1261">
        <v>1</v>
      </c>
      <c r="AF1261">
        <v>0</v>
      </c>
      <c r="AG1261">
        <v>0</v>
      </c>
      <c r="AH1261" s="86">
        <f>AVERAGEIFS($C$2:C1261, $B$2:B1261, B1261)</f>
        <v>14.95</v>
      </c>
      <c r="AI1261" s="86">
        <f>AVERAGEIFS($I$2:I1261, $B$2:B1261, B1261)</f>
        <v>0.56500000000000006</v>
      </c>
      <c r="AJ1261" s="86">
        <f>AVERAGEIFS($J$2:J1261, $B$2:B1261, B1261)</f>
        <v>0.53150000000000008</v>
      </c>
      <c r="AK1261" s="86">
        <f>AVERAGEIFS($D$2:D1261, $B$2:B1261, B1261)</f>
        <v>0.55000000000000004</v>
      </c>
    </row>
    <row r="1262" spans="1:37" x14ac:dyDescent="0.25">
      <c r="A1262" s="85">
        <v>46167</v>
      </c>
      <c r="B1262" t="s">
        <v>71</v>
      </c>
      <c r="C1262">
        <v>36</v>
      </c>
      <c r="D1262">
        <v>1</v>
      </c>
      <c r="E1262">
        <v>4</v>
      </c>
      <c r="F1262">
        <v>3</v>
      </c>
      <c r="G1262">
        <v>18</v>
      </c>
      <c r="H1262">
        <v>10</v>
      </c>
      <c r="I1262">
        <v>0.75</v>
      </c>
      <c r="J1262">
        <v>0.56000000000000005</v>
      </c>
      <c r="K1262">
        <v>0</v>
      </c>
      <c r="L1262">
        <v>0</v>
      </c>
      <c r="M1262">
        <v>0</v>
      </c>
      <c r="N1262">
        <v>1</v>
      </c>
      <c r="O1262">
        <v>0</v>
      </c>
      <c r="P1262">
        <v>0</v>
      </c>
      <c r="Q1262">
        <v>0</v>
      </c>
      <c r="R1262">
        <v>0</v>
      </c>
      <c r="S1262">
        <v>0</v>
      </c>
      <c r="T1262">
        <v>0</v>
      </c>
      <c r="U1262">
        <v>0</v>
      </c>
      <c r="V1262">
        <v>0</v>
      </c>
      <c r="W1262">
        <v>0</v>
      </c>
      <c r="X1262">
        <v>0</v>
      </c>
      <c r="Y1262">
        <v>0</v>
      </c>
      <c r="Z1262">
        <v>0</v>
      </c>
      <c r="AA1262">
        <v>0</v>
      </c>
      <c r="AB1262">
        <v>0</v>
      </c>
      <c r="AC1262">
        <v>1</v>
      </c>
      <c r="AD1262">
        <v>0</v>
      </c>
      <c r="AE1262">
        <v>1</v>
      </c>
      <c r="AF1262">
        <v>0</v>
      </c>
      <c r="AG1262">
        <v>0</v>
      </c>
      <c r="AH1262" s="86">
        <f>AVERAGEIFS($C$2:C1262, $B$2:B1262, B1262)</f>
        <v>15.108108108108109</v>
      </c>
      <c r="AI1262" s="86">
        <f>AVERAGEIFS($I$2:I1262, $B$2:B1262, B1262)</f>
        <v>0.47297297297297297</v>
      </c>
      <c r="AJ1262" s="86">
        <f>AVERAGEIFS($J$2:J1262, $B$2:B1262, B1262)</f>
        <v>0.47783783783783773</v>
      </c>
      <c r="AK1262" s="86">
        <f>AVERAGEIFS($D$2:D1262, $B$2:B1262, B1262)</f>
        <v>0.51351351351351349</v>
      </c>
    </row>
    <row r="1263" spans="1:37" x14ac:dyDescent="0.25">
      <c r="A1263" s="85">
        <v>46167</v>
      </c>
      <c r="B1263" t="s">
        <v>141</v>
      </c>
      <c r="C1263">
        <v>30</v>
      </c>
      <c r="D1263">
        <v>1</v>
      </c>
      <c r="E1263">
        <v>4</v>
      </c>
      <c r="F1263">
        <v>3</v>
      </c>
      <c r="G1263">
        <v>18</v>
      </c>
      <c r="H1263">
        <v>10</v>
      </c>
      <c r="I1263">
        <v>0.75</v>
      </c>
      <c r="J1263">
        <v>0.56000000000000005</v>
      </c>
      <c r="K1263">
        <v>0</v>
      </c>
      <c r="L1263">
        <v>0</v>
      </c>
      <c r="M1263">
        <v>0</v>
      </c>
      <c r="N1263">
        <v>1</v>
      </c>
      <c r="O1263">
        <v>0</v>
      </c>
      <c r="P1263">
        <v>0</v>
      </c>
      <c r="Q1263">
        <v>0</v>
      </c>
      <c r="R1263">
        <v>0</v>
      </c>
      <c r="S1263">
        <v>0</v>
      </c>
      <c r="T1263">
        <v>0</v>
      </c>
      <c r="U1263">
        <v>0</v>
      </c>
      <c r="V1263">
        <v>0</v>
      </c>
      <c r="W1263">
        <v>0</v>
      </c>
      <c r="X1263">
        <v>0</v>
      </c>
      <c r="Y1263">
        <v>0</v>
      </c>
      <c r="Z1263">
        <v>0</v>
      </c>
      <c r="AA1263">
        <v>0</v>
      </c>
      <c r="AB1263">
        <v>0</v>
      </c>
      <c r="AC1263">
        <v>1</v>
      </c>
      <c r="AD1263">
        <v>0</v>
      </c>
      <c r="AE1263">
        <v>1</v>
      </c>
      <c r="AF1263">
        <v>0</v>
      </c>
      <c r="AG1263">
        <v>0</v>
      </c>
      <c r="AH1263" s="86">
        <f>AVERAGEIFS($C$2:C1263, $B$2:B1263, B1263)</f>
        <v>18.75</v>
      </c>
      <c r="AI1263" s="86">
        <f>AVERAGEIFS($I$2:I1263, $B$2:B1263, B1263)</f>
        <v>0.49464285714285711</v>
      </c>
      <c r="AJ1263" s="86">
        <f>AVERAGEIFS($J$2:J1263, $B$2:B1263, B1263)</f>
        <v>0.50535714285714295</v>
      </c>
      <c r="AK1263" s="86">
        <f>AVERAGEIFS($D$2:D1263, $B$2:B1263, B1263)</f>
        <v>0.6071428571428571</v>
      </c>
    </row>
    <row r="1264" spans="1:37" x14ac:dyDescent="0.25">
      <c r="A1264" s="85">
        <v>46167</v>
      </c>
      <c r="B1264" t="s">
        <v>179</v>
      </c>
      <c r="C1264">
        <v>20</v>
      </c>
      <c r="D1264">
        <v>1</v>
      </c>
      <c r="E1264">
        <v>4</v>
      </c>
      <c r="F1264">
        <v>3</v>
      </c>
      <c r="G1264">
        <v>18</v>
      </c>
      <c r="H1264">
        <v>10</v>
      </c>
      <c r="I1264">
        <v>0.75</v>
      </c>
      <c r="J1264">
        <v>0.56000000000000005</v>
      </c>
      <c r="K1264">
        <v>0</v>
      </c>
      <c r="L1264">
        <v>0</v>
      </c>
      <c r="M1264">
        <v>0</v>
      </c>
      <c r="N1264">
        <v>1</v>
      </c>
      <c r="O1264">
        <v>0</v>
      </c>
      <c r="P1264">
        <v>0</v>
      </c>
      <c r="Q1264">
        <v>0</v>
      </c>
      <c r="R1264">
        <v>0</v>
      </c>
      <c r="S1264">
        <v>0</v>
      </c>
      <c r="T1264">
        <v>0</v>
      </c>
      <c r="U1264">
        <v>0</v>
      </c>
      <c r="V1264">
        <v>0</v>
      </c>
      <c r="W1264">
        <v>0</v>
      </c>
      <c r="X1264">
        <v>0</v>
      </c>
      <c r="Y1264">
        <v>0</v>
      </c>
      <c r="Z1264">
        <v>0</v>
      </c>
      <c r="AA1264">
        <v>0</v>
      </c>
      <c r="AB1264">
        <v>0</v>
      </c>
      <c r="AC1264">
        <v>1</v>
      </c>
      <c r="AD1264">
        <v>0</v>
      </c>
      <c r="AE1264">
        <v>1</v>
      </c>
      <c r="AF1264">
        <v>0</v>
      </c>
      <c r="AG1264">
        <v>0</v>
      </c>
      <c r="AH1264" s="86">
        <f>AVERAGEIFS($C$2:C1264, $B$2:B1264, B1264)</f>
        <v>17.90909090909091</v>
      </c>
      <c r="AI1264" s="86">
        <f>AVERAGEIFS($I$2:I1264, $B$2:B1264, B1264)</f>
        <v>0.47272727272727266</v>
      </c>
      <c r="AJ1264" s="86">
        <f>AVERAGEIFS($J$2:J1264, $B$2:B1264, B1264)</f>
        <v>0.48727272727272725</v>
      </c>
      <c r="AK1264" s="86">
        <f>AVERAGEIFS($D$2:D1264, $B$2:B1264, B1264)</f>
        <v>0.36363636363636365</v>
      </c>
    </row>
    <row r="1265" spans="1:37" x14ac:dyDescent="0.25">
      <c r="A1265" s="85">
        <v>46167</v>
      </c>
      <c r="B1265" t="s">
        <v>214</v>
      </c>
      <c r="C1265">
        <v>2</v>
      </c>
      <c r="D1265">
        <v>1</v>
      </c>
      <c r="E1265">
        <v>4</v>
      </c>
      <c r="F1265">
        <v>3</v>
      </c>
      <c r="G1265">
        <v>18</v>
      </c>
      <c r="H1265">
        <v>10</v>
      </c>
      <c r="I1265">
        <v>0.75</v>
      </c>
      <c r="J1265">
        <v>0.56000000000000005</v>
      </c>
      <c r="K1265">
        <v>0</v>
      </c>
      <c r="L1265">
        <v>0</v>
      </c>
      <c r="M1265">
        <v>0</v>
      </c>
      <c r="N1265">
        <v>1</v>
      </c>
      <c r="O1265">
        <v>0</v>
      </c>
      <c r="P1265">
        <v>0</v>
      </c>
      <c r="Q1265">
        <v>0</v>
      </c>
      <c r="R1265">
        <v>0</v>
      </c>
      <c r="S1265">
        <v>0</v>
      </c>
      <c r="T1265">
        <v>0</v>
      </c>
      <c r="U1265">
        <v>0</v>
      </c>
      <c r="V1265">
        <v>0</v>
      </c>
      <c r="W1265">
        <v>0</v>
      </c>
      <c r="X1265">
        <v>0</v>
      </c>
      <c r="Y1265">
        <v>0</v>
      </c>
      <c r="Z1265">
        <v>0</v>
      </c>
      <c r="AA1265">
        <v>0</v>
      </c>
      <c r="AB1265">
        <v>0</v>
      </c>
      <c r="AC1265">
        <v>1</v>
      </c>
      <c r="AD1265">
        <v>0</v>
      </c>
      <c r="AE1265">
        <v>1</v>
      </c>
      <c r="AF1265">
        <v>0</v>
      </c>
      <c r="AG1265">
        <v>0</v>
      </c>
      <c r="AH1265" s="86">
        <f>AVERAGEIFS($C$2:C1265, $B$2:B1265, B1265)</f>
        <v>3.4</v>
      </c>
      <c r="AI1265" s="86">
        <f>AVERAGEIFS($I$2:I1265, $B$2:B1265, B1265)</f>
        <v>0.67</v>
      </c>
      <c r="AJ1265" s="86">
        <f>AVERAGEIFS($J$2:J1265, $B$2:B1265, B1265)</f>
        <v>0.56399999999999995</v>
      </c>
      <c r="AK1265" s="86">
        <f>AVERAGEIFS($D$2:D1265, $B$2:B1265, B1265)</f>
        <v>0.8</v>
      </c>
    </row>
    <row r="1266" spans="1:37" x14ac:dyDescent="0.25">
      <c r="A1266" s="85">
        <v>46167</v>
      </c>
      <c r="B1266" t="s">
        <v>5</v>
      </c>
      <c r="C1266">
        <v>21</v>
      </c>
      <c r="D1266">
        <v>1</v>
      </c>
      <c r="E1266">
        <v>4</v>
      </c>
      <c r="F1266">
        <v>3</v>
      </c>
      <c r="G1266">
        <v>18</v>
      </c>
      <c r="H1266">
        <v>10</v>
      </c>
      <c r="I1266">
        <v>0.75</v>
      </c>
      <c r="J1266">
        <v>0.56000000000000005</v>
      </c>
      <c r="K1266">
        <v>0</v>
      </c>
      <c r="L1266">
        <v>0</v>
      </c>
      <c r="M1266">
        <v>0</v>
      </c>
      <c r="N1266">
        <v>1</v>
      </c>
      <c r="O1266">
        <v>0</v>
      </c>
      <c r="P1266">
        <v>0</v>
      </c>
      <c r="Q1266">
        <v>0</v>
      </c>
      <c r="R1266">
        <v>0</v>
      </c>
      <c r="S1266">
        <v>0</v>
      </c>
      <c r="T1266">
        <v>0</v>
      </c>
      <c r="U1266">
        <v>0</v>
      </c>
      <c r="V1266">
        <v>0</v>
      </c>
      <c r="W1266">
        <v>0</v>
      </c>
      <c r="X1266">
        <v>0</v>
      </c>
      <c r="Y1266">
        <v>0</v>
      </c>
      <c r="Z1266">
        <v>0</v>
      </c>
      <c r="AA1266">
        <v>0</v>
      </c>
      <c r="AB1266">
        <v>0</v>
      </c>
      <c r="AC1266">
        <v>1</v>
      </c>
      <c r="AD1266">
        <v>0</v>
      </c>
      <c r="AE1266">
        <v>1</v>
      </c>
      <c r="AF1266">
        <v>0</v>
      </c>
      <c r="AG1266">
        <v>0</v>
      </c>
      <c r="AH1266" s="86">
        <f>AVERAGEIFS($C$2:C1266, $B$2:B1266, B1266)</f>
        <v>19.179487179487179</v>
      </c>
      <c r="AI1266" s="86">
        <f>AVERAGEIFS($I$2:I1266, $B$2:B1266, B1266)</f>
        <v>0.54794871794871791</v>
      </c>
      <c r="AJ1266" s="86">
        <f>AVERAGEIFS($J$2:J1266, $B$2:B1266, B1266)</f>
        <v>0.52230769230769247</v>
      </c>
      <c r="AK1266" s="86">
        <f>AVERAGEIFS($D$2:D1266, $B$2:B1266, B1266)</f>
        <v>0.61538461538461542</v>
      </c>
    </row>
    <row r="1267" spans="1:37" x14ac:dyDescent="0.25">
      <c r="A1267" s="85">
        <v>46168</v>
      </c>
      <c r="B1267" t="s">
        <v>1</v>
      </c>
      <c r="C1267">
        <v>37</v>
      </c>
      <c r="D1267">
        <v>1</v>
      </c>
      <c r="E1267">
        <v>4</v>
      </c>
      <c r="F1267">
        <v>3</v>
      </c>
      <c r="G1267">
        <v>16</v>
      </c>
      <c r="H1267">
        <v>10</v>
      </c>
      <c r="I1267">
        <v>0.75</v>
      </c>
      <c r="J1267">
        <v>0.63</v>
      </c>
      <c r="K1267">
        <v>0</v>
      </c>
      <c r="L1267">
        <v>0</v>
      </c>
      <c r="M1267">
        <v>0</v>
      </c>
      <c r="N1267">
        <v>0</v>
      </c>
      <c r="O1267">
        <v>0</v>
      </c>
      <c r="P1267">
        <v>0</v>
      </c>
      <c r="Q1267">
        <v>0</v>
      </c>
      <c r="R1267">
        <v>0</v>
      </c>
      <c r="S1267">
        <v>0</v>
      </c>
      <c r="T1267">
        <v>0</v>
      </c>
      <c r="U1267">
        <v>0</v>
      </c>
      <c r="V1267">
        <v>0</v>
      </c>
      <c r="W1267">
        <v>0</v>
      </c>
      <c r="X1267">
        <v>0</v>
      </c>
      <c r="Y1267">
        <v>1</v>
      </c>
      <c r="Z1267">
        <v>0</v>
      </c>
      <c r="AA1267">
        <v>0</v>
      </c>
      <c r="AB1267">
        <v>0</v>
      </c>
      <c r="AC1267">
        <v>0</v>
      </c>
      <c r="AD1267">
        <v>0</v>
      </c>
      <c r="AE1267">
        <v>1</v>
      </c>
      <c r="AF1267">
        <v>0</v>
      </c>
      <c r="AG1267">
        <v>1</v>
      </c>
      <c r="AH1267" s="86">
        <f>AVERAGEIFS($C$2:C1267, $B$2:B1267, B1267)</f>
        <v>27.285714285714285</v>
      </c>
      <c r="AI1267" s="86">
        <f>AVERAGEIFS($I$2:I1267, $B$2:B1267, B1267)</f>
        <v>0.50238095238095237</v>
      </c>
      <c r="AJ1267" s="86">
        <f>AVERAGEIFS($J$2:J1267, $B$2:B1267, B1267)</f>
        <v>0.50309523809523815</v>
      </c>
      <c r="AK1267" s="86">
        <f>AVERAGEIFS($D$2:D1267, $B$2:B1267, B1267)</f>
        <v>0.52380952380952384</v>
      </c>
    </row>
    <row r="1268" spans="1:37" x14ac:dyDescent="0.25">
      <c r="A1268" s="85">
        <v>46168</v>
      </c>
      <c r="B1268" t="s">
        <v>179</v>
      </c>
      <c r="C1268">
        <v>30</v>
      </c>
      <c r="D1268">
        <v>1</v>
      </c>
      <c r="E1268">
        <v>4</v>
      </c>
      <c r="F1268">
        <v>3</v>
      </c>
      <c r="G1268">
        <v>16</v>
      </c>
      <c r="H1268">
        <v>10</v>
      </c>
      <c r="I1268">
        <v>0.75</v>
      </c>
      <c r="J1268">
        <v>0.63</v>
      </c>
      <c r="K1268">
        <v>0</v>
      </c>
      <c r="L1268">
        <v>0</v>
      </c>
      <c r="M1268">
        <v>0</v>
      </c>
      <c r="N1268">
        <v>0</v>
      </c>
      <c r="O1268">
        <v>0</v>
      </c>
      <c r="P1268">
        <v>0</v>
      </c>
      <c r="Q1268">
        <v>0</v>
      </c>
      <c r="R1268">
        <v>0</v>
      </c>
      <c r="S1268">
        <v>0</v>
      </c>
      <c r="T1268">
        <v>0</v>
      </c>
      <c r="U1268">
        <v>0</v>
      </c>
      <c r="V1268">
        <v>0</v>
      </c>
      <c r="W1268">
        <v>0</v>
      </c>
      <c r="X1268">
        <v>0</v>
      </c>
      <c r="Y1268">
        <v>1</v>
      </c>
      <c r="Z1268">
        <v>0</v>
      </c>
      <c r="AA1268">
        <v>0</v>
      </c>
      <c r="AB1268">
        <v>0</v>
      </c>
      <c r="AC1268">
        <v>0</v>
      </c>
      <c r="AD1268">
        <v>0</v>
      </c>
      <c r="AE1268">
        <v>1</v>
      </c>
      <c r="AF1268">
        <v>0</v>
      </c>
      <c r="AG1268">
        <v>1</v>
      </c>
      <c r="AH1268" s="86">
        <f>AVERAGEIFS($C$2:C1268, $B$2:B1268, B1268)</f>
        <v>18.916666666666668</v>
      </c>
      <c r="AI1268" s="86">
        <f>AVERAGEIFS($I$2:I1268, $B$2:B1268, B1268)</f>
        <v>0.49583333333333329</v>
      </c>
      <c r="AJ1268" s="86">
        <f>AVERAGEIFS($J$2:J1268, $B$2:B1268, B1268)</f>
        <v>0.49916666666666659</v>
      </c>
      <c r="AK1268" s="86">
        <f>AVERAGEIFS($D$2:D1268, $B$2:B1268, B1268)</f>
        <v>0.41666666666666669</v>
      </c>
    </row>
    <row r="1269" spans="1:37" x14ac:dyDescent="0.25">
      <c r="A1269" s="85">
        <v>46168</v>
      </c>
      <c r="B1269" t="s">
        <v>147</v>
      </c>
      <c r="C1269">
        <v>18</v>
      </c>
      <c r="D1269">
        <v>1</v>
      </c>
      <c r="E1269">
        <v>4</v>
      </c>
      <c r="F1269">
        <v>3</v>
      </c>
      <c r="G1269">
        <v>16</v>
      </c>
      <c r="H1269">
        <v>10</v>
      </c>
      <c r="I1269">
        <v>0.75</v>
      </c>
      <c r="J1269">
        <v>0.63</v>
      </c>
      <c r="K1269">
        <v>0</v>
      </c>
      <c r="L1269">
        <v>0</v>
      </c>
      <c r="M1269">
        <v>0</v>
      </c>
      <c r="N1269">
        <v>0</v>
      </c>
      <c r="O1269">
        <v>0</v>
      </c>
      <c r="P1269">
        <v>0</v>
      </c>
      <c r="Q1269">
        <v>0</v>
      </c>
      <c r="R1269">
        <v>0</v>
      </c>
      <c r="S1269">
        <v>0</v>
      </c>
      <c r="T1269">
        <v>0</v>
      </c>
      <c r="U1269">
        <v>0</v>
      </c>
      <c r="V1269">
        <v>0</v>
      </c>
      <c r="W1269">
        <v>0</v>
      </c>
      <c r="X1269">
        <v>0</v>
      </c>
      <c r="Y1269">
        <v>1</v>
      </c>
      <c r="Z1269">
        <v>0</v>
      </c>
      <c r="AA1269">
        <v>0</v>
      </c>
      <c r="AB1269">
        <v>0</v>
      </c>
      <c r="AC1269">
        <v>0</v>
      </c>
      <c r="AD1269">
        <v>0</v>
      </c>
      <c r="AE1269">
        <v>1</v>
      </c>
      <c r="AF1269">
        <v>0</v>
      </c>
      <c r="AG1269">
        <v>1</v>
      </c>
      <c r="AH1269" s="86">
        <f>AVERAGEIFS($C$2:C1269, $B$2:B1269, B1269)</f>
        <v>15.024390243902438</v>
      </c>
      <c r="AI1269" s="86">
        <f>AVERAGEIFS($I$2:I1269, $B$2:B1269, B1269)</f>
        <v>0.56951219512195128</v>
      </c>
      <c r="AJ1269" s="86">
        <f>AVERAGEIFS($J$2:J1269, $B$2:B1269, B1269)</f>
        <v>0.53390243902439027</v>
      </c>
      <c r="AK1269" s="86">
        <f>AVERAGEIFS($D$2:D1269, $B$2:B1269, B1269)</f>
        <v>0.56097560975609762</v>
      </c>
    </row>
    <row r="1270" spans="1:37" x14ac:dyDescent="0.25">
      <c r="A1270" s="85">
        <v>46168</v>
      </c>
      <c r="B1270" t="s">
        <v>37</v>
      </c>
      <c r="C1270">
        <v>17</v>
      </c>
      <c r="D1270">
        <v>1</v>
      </c>
      <c r="E1270">
        <v>4</v>
      </c>
      <c r="F1270">
        <v>3</v>
      </c>
      <c r="G1270">
        <v>16</v>
      </c>
      <c r="H1270">
        <v>10</v>
      </c>
      <c r="I1270">
        <v>0.75</v>
      </c>
      <c r="J1270">
        <v>0.63</v>
      </c>
      <c r="K1270">
        <v>0</v>
      </c>
      <c r="L1270">
        <v>0</v>
      </c>
      <c r="M1270">
        <v>0</v>
      </c>
      <c r="N1270">
        <v>0</v>
      </c>
      <c r="O1270">
        <v>0</v>
      </c>
      <c r="P1270">
        <v>0</v>
      </c>
      <c r="Q1270">
        <v>0</v>
      </c>
      <c r="R1270">
        <v>0</v>
      </c>
      <c r="S1270">
        <v>0</v>
      </c>
      <c r="T1270">
        <v>0</v>
      </c>
      <c r="U1270">
        <v>0</v>
      </c>
      <c r="V1270">
        <v>0</v>
      </c>
      <c r="W1270">
        <v>0</v>
      </c>
      <c r="X1270">
        <v>0</v>
      </c>
      <c r="Y1270">
        <v>1</v>
      </c>
      <c r="Z1270">
        <v>0</v>
      </c>
      <c r="AA1270">
        <v>0</v>
      </c>
      <c r="AB1270">
        <v>0</v>
      </c>
      <c r="AC1270">
        <v>0</v>
      </c>
      <c r="AD1270">
        <v>0</v>
      </c>
      <c r="AE1270">
        <v>1</v>
      </c>
      <c r="AF1270">
        <v>0</v>
      </c>
      <c r="AG1270">
        <v>1</v>
      </c>
      <c r="AH1270" s="86">
        <f>AVERAGEIFS($C$2:C1270, $B$2:B1270, B1270)</f>
        <v>14.833333333333334</v>
      </c>
      <c r="AI1270" s="86">
        <f>AVERAGEIFS($I$2:I1270, $B$2:B1270, B1270)</f>
        <v>0.61249999999999993</v>
      </c>
      <c r="AJ1270" s="86">
        <f>AVERAGEIFS($J$2:J1270, $B$2:B1270, B1270)</f>
        <v>0.52583333333333326</v>
      </c>
      <c r="AK1270" s="86">
        <f>AVERAGEIFS($D$2:D1270, $B$2:B1270, B1270)</f>
        <v>0.58333333333333337</v>
      </c>
    </row>
    <row r="1271" spans="1:37" x14ac:dyDescent="0.25">
      <c r="A1271" s="85">
        <v>46168</v>
      </c>
      <c r="B1271" t="s">
        <v>44</v>
      </c>
      <c r="C1271">
        <v>16</v>
      </c>
      <c r="D1271">
        <v>1</v>
      </c>
      <c r="E1271">
        <v>4</v>
      </c>
      <c r="F1271">
        <v>3</v>
      </c>
      <c r="G1271">
        <v>16</v>
      </c>
      <c r="H1271">
        <v>10</v>
      </c>
      <c r="I1271">
        <v>0.75</v>
      </c>
      <c r="J1271">
        <v>0.63</v>
      </c>
      <c r="K1271">
        <v>0</v>
      </c>
      <c r="L1271">
        <v>0</v>
      </c>
      <c r="M1271">
        <v>0</v>
      </c>
      <c r="N1271">
        <v>0</v>
      </c>
      <c r="O1271">
        <v>0</v>
      </c>
      <c r="P1271">
        <v>0</v>
      </c>
      <c r="Q1271">
        <v>0</v>
      </c>
      <c r="R1271">
        <v>0</v>
      </c>
      <c r="S1271">
        <v>0</v>
      </c>
      <c r="T1271">
        <v>0</v>
      </c>
      <c r="U1271">
        <v>0</v>
      </c>
      <c r="V1271">
        <v>0</v>
      </c>
      <c r="W1271">
        <v>0</v>
      </c>
      <c r="X1271">
        <v>0</v>
      </c>
      <c r="Y1271">
        <v>1</v>
      </c>
      <c r="Z1271">
        <v>0</v>
      </c>
      <c r="AA1271">
        <v>0</v>
      </c>
      <c r="AB1271">
        <v>0</v>
      </c>
      <c r="AC1271">
        <v>0</v>
      </c>
      <c r="AD1271">
        <v>0</v>
      </c>
      <c r="AE1271">
        <v>1</v>
      </c>
      <c r="AF1271">
        <v>0</v>
      </c>
      <c r="AG1271">
        <v>1</v>
      </c>
      <c r="AH1271" s="86">
        <f>AVERAGEIFS($C$2:C1271, $B$2:B1271, B1271)</f>
        <v>16.581818181818182</v>
      </c>
      <c r="AI1271" s="86">
        <f>AVERAGEIFS($I$2:I1271, $B$2:B1271, B1271)</f>
        <v>0.52999999999999992</v>
      </c>
      <c r="AJ1271" s="86">
        <f>AVERAGEIFS($J$2:J1271, $B$2:B1271, B1271)</f>
        <v>0.52745454545454551</v>
      </c>
      <c r="AK1271" s="86">
        <f>AVERAGEIFS($D$2:D1271, $B$2:B1271, B1271)</f>
        <v>0.58181818181818179</v>
      </c>
    </row>
    <row r="1272" spans="1:37" x14ac:dyDescent="0.25">
      <c r="A1272" s="85">
        <v>46168</v>
      </c>
      <c r="B1272" t="s">
        <v>214</v>
      </c>
      <c r="C1272">
        <v>3</v>
      </c>
      <c r="D1272">
        <v>1</v>
      </c>
      <c r="E1272">
        <v>4</v>
      </c>
      <c r="F1272">
        <v>3</v>
      </c>
      <c r="G1272">
        <v>16</v>
      </c>
      <c r="H1272">
        <v>10</v>
      </c>
      <c r="I1272">
        <v>0.75</v>
      </c>
      <c r="J1272">
        <v>0.63</v>
      </c>
      <c r="K1272">
        <v>0</v>
      </c>
      <c r="L1272">
        <v>0</v>
      </c>
      <c r="M1272">
        <v>0</v>
      </c>
      <c r="N1272">
        <v>0</v>
      </c>
      <c r="O1272">
        <v>0</v>
      </c>
      <c r="P1272">
        <v>0</v>
      </c>
      <c r="Q1272">
        <v>0</v>
      </c>
      <c r="R1272">
        <v>0</v>
      </c>
      <c r="S1272">
        <v>0</v>
      </c>
      <c r="T1272">
        <v>0</v>
      </c>
      <c r="U1272">
        <v>0</v>
      </c>
      <c r="V1272">
        <v>0</v>
      </c>
      <c r="W1272">
        <v>0</v>
      </c>
      <c r="X1272">
        <v>0</v>
      </c>
      <c r="Y1272">
        <v>1</v>
      </c>
      <c r="Z1272">
        <v>0</v>
      </c>
      <c r="AA1272">
        <v>0</v>
      </c>
      <c r="AB1272">
        <v>0</v>
      </c>
      <c r="AC1272">
        <v>0</v>
      </c>
      <c r="AD1272">
        <v>0</v>
      </c>
      <c r="AE1272">
        <v>1</v>
      </c>
      <c r="AF1272">
        <v>0</v>
      </c>
      <c r="AG1272">
        <v>1</v>
      </c>
      <c r="AH1272" s="86">
        <f>AVERAGEIFS($C$2:C1272, $B$2:B1272, B1272)</f>
        <v>3.3333333333333335</v>
      </c>
      <c r="AI1272" s="86">
        <f>AVERAGEIFS($I$2:I1272, $B$2:B1272, B1272)</f>
        <v>0.68333333333333324</v>
      </c>
      <c r="AJ1272" s="86">
        <f>AVERAGEIFS($J$2:J1272, $B$2:B1272, B1272)</f>
        <v>0.57499999999999996</v>
      </c>
      <c r="AK1272" s="86">
        <f>AVERAGEIFS($D$2:D1272, $B$2:B1272, B1272)</f>
        <v>0.83333333333333337</v>
      </c>
    </row>
    <row r="1273" spans="1:37" x14ac:dyDescent="0.25">
      <c r="A1273" s="85">
        <v>46168</v>
      </c>
      <c r="B1273" t="s">
        <v>2</v>
      </c>
      <c r="C1273">
        <v>38</v>
      </c>
      <c r="D1273">
        <v>0</v>
      </c>
      <c r="E1273">
        <v>4</v>
      </c>
      <c r="F1273">
        <v>1</v>
      </c>
      <c r="G1273">
        <v>16</v>
      </c>
      <c r="H1273">
        <v>6</v>
      </c>
      <c r="I1273">
        <v>0.25</v>
      </c>
      <c r="J1273">
        <v>0.38</v>
      </c>
      <c r="K1273">
        <v>1</v>
      </c>
      <c r="L1273">
        <v>0</v>
      </c>
      <c r="M1273">
        <v>0</v>
      </c>
      <c r="N1273">
        <v>0</v>
      </c>
      <c r="O1273">
        <v>0</v>
      </c>
      <c r="P1273">
        <v>0</v>
      </c>
      <c r="Q1273">
        <v>0</v>
      </c>
      <c r="R1273">
        <v>0</v>
      </c>
      <c r="S1273">
        <v>0</v>
      </c>
      <c r="T1273">
        <v>0</v>
      </c>
      <c r="U1273">
        <v>0</v>
      </c>
      <c r="V1273">
        <v>0</v>
      </c>
      <c r="W1273">
        <v>0</v>
      </c>
      <c r="X1273">
        <v>0</v>
      </c>
      <c r="Y1273">
        <v>0</v>
      </c>
      <c r="Z1273">
        <v>0</v>
      </c>
      <c r="AA1273">
        <v>0</v>
      </c>
      <c r="AB1273">
        <v>0</v>
      </c>
      <c r="AC1273">
        <v>0</v>
      </c>
      <c r="AD1273">
        <v>0</v>
      </c>
      <c r="AE1273">
        <v>0</v>
      </c>
      <c r="AF1273">
        <v>0</v>
      </c>
      <c r="AG1273">
        <v>0</v>
      </c>
      <c r="AH1273" s="86">
        <f>AVERAGEIFS($C$2:C1273, $B$2:B1273, B1273)</f>
        <v>24.627450980392158</v>
      </c>
      <c r="AI1273" s="86">
        <f>AVERAGEIFS($I$2:I1273, $B$2:B1273, B1273)</f>
        <v>0.49862745098039202</v>
      </c>
      <c r="AJ1273" s="86">
        <f>AVERAGEIFS($J$2:J1273, $B$2:B1273, B1273)</f>
        <v>0.52588235294117647</v>
      </c>
      <c r="AK1273" s="86">
        <f>AVERAGEIFS($D$2:D1273, $B$2:B1273, B1273)</f>
        <v>0.45098039215686275</v>
      </c>
    </row>
    <row r="1274" spans="1:37" x14ac:dyDescent="0.25">
      <c r="A1274" s="85">
        <v>46168</v>
      </c>
      <c r="B1274" t="s">
        <v>42</v>
      </c>
      <c r="C1274">
        <v>28</v>
      </c>
      <c r="D1274">
        <v>0</v>
      </c>
      <c r="E1274">
        <v>4</v>
      </c>
      <c r="F1274">
        <v>1</v>
      </c>
      <c r="G1274">
        <v>16</v>
      </c>
      <c r="H1274">
        <v>6</v>
      </c>
      <c r="I1274">
        <v>0.25</v>
      </c>
      <c r="J1274">
        <v>0.38</v>
      </c>
      <c r="K1274">
        <v>1</v>
      </c>
      <c r="L1274">
        <v>0</v>
      </c>
      <c r="M1274">
        <v>0</v>
      </c>
      <c r="N1274">
        <v>0</v>
      </c>
      <c r="O1274">
        <v>0</v>
      </c>
      <c r="P1274">
        <v>0</v>
      </c>
      <c r="Q1274">
        <v>0</v>
      </c>
      <c r="R1274">
        <v>0</v>
      </c>
      <c r="S1274">
        <v>0</v>
      </c>
      <c r="T1274">
        <v>0</v>
      </c>
      <c r="U1274">
        <v>0</v>
      </c>
      <c r="V1274">
        <v>0</v>
      </c>
      <c r="W1274">
        <v>0</v>
      </c>
      <c r="X1274">
        <v>0</v>
      </c>
      <c r="Y1274">
        <v>0</v>
      </c>
      <c r="Z1274">
        <v>0</v>
      </c>
      <c r="AA1274">
        <v>0</v>
      </c>
      <c r="AB1274">
        <v>0</v>
      </c>
      <c r="AC1274">
        <v>0</v>
      </c>
      <c r="AD1274">
        <v>0</v>
      </c>
      <c r="AE1274">
        <v>0</v>
      </c>
      <c r="AF1274">
        <v>0</v>
      </c>
      <c r="AG1274">
        <v>0</v>
      </c>
      <c r="AH1274" s="86">
        <f>AVERAGEIFS($C$2:C1274, $B$2:B1274, B1274)</f>
        <v>18.160714285714285</v>
      </c>
      <c r="AI1274" s="86">
        <f>AVERAGEIFS($I$2:I1274, $B$2:B1274, B1274)</f>
        <v>0.46785714285714292</v>
      </c>
      <c r="AJ1274" s="86">
        <f>AVERAGEIFS($J$2:J1274, $B$2:B1274, B1274)</f>
        <v>0.46571428571428558</v>
      </c>
      <c r="AK1274" s="86">
        <f>AVERAGEIFS($D$2:D1274, $B$2:B1274, B1274)</f>
        <v>0.48214285714285715</v>
      </c>
    </row>
    <row r="1275" spans="1:37" x14ac:dyDescent="0.25">
      <c r="A1275" s="85">
        <v>46168</v>
      </c>
      <c r="B1275" t="s">
        <v>28</v>
      </c>
      <c r="C1275">
        <v>14</v>
      </c>
      <c r="D1275">
        <v>0</v>
      </c>
      <c r="E1275">
        <v>4</v>
      </c>
      <c r="F1275">
        <v>1</v>
      </c>
      <c r="G1275">
        <v>16</v>
      </c>
      <c r="H1275">
        <v>6</v>
      </c>
      <c r="I1275">
        <v>0.25</v>
      </c>
      <c r="J1275">
        <v>0.38</v>
      </c>
      <c r="K1275">
        <v>1</v>
      </c>
      <c r="L1275">
        <v>0</v>
      </c>
      <c r="M1275">
        <v>0</v>
      </c>
      <c r="N1275">
        <v>0</v>
      </c>
      <c r="O1275">
        <v>0</v>
      </c>
      <c r="P1275">
        <v>0</v>
      </c>
      <c r="Q1275">
        <v>0</v>
      </c>
      <c r="R1275">
        <v>0</v>
      </c>
      <c r="S1275">
        <v>0</v>
      </c>
      <c r="T1275">
        <v>0</v>
      </c>
      <c r="U1275">
        <v>0</v>
      </c>
      <c r="V1275">
        <v>0</v>
      </c>
      <c r="W1275">
        <v>0</v>
      </c>
      <c r="X1275">
        <v>0</v>
      </c>
      <c r="Y1275">
        <v>0</v>
      </c>
      <c r="Z1275">
        <v>0</v>
      </c>
      <c r="AA1275">
        <v>0</v>
      </c>
      <c r="AB1275">
        <v>0</v>
      </c>
      <c r="AC1275">
        <v>0</v>
      </c>
      <c r="AD1275">
        <v>0</v>
      </c>
      <c r="AE1275">
        <v>0</v>
      </c>
      <c r="AF1275">
        <v>0</v>
      </c>
      <c r="AG1275">
        <v>0</v>
      </c>
      <c r="AH1275" s="86">
        <f>AVERAGEIFS($C$2:C1275, $B$2:B1275, B1275)</f>
        <v>13.483870967741936</v>
      </c>
      <c r="AI1275" s="86">
        <f>AVERAGEIFS($I$2:I1275, $B$2:B1275, B1275)</f>
        <v>0.45580645161290317</v>
      </c>
      <c r="AJ1275" s="86">
        <f>AVERAGEIFS($J$2:J1275, $B$2:B1275, B1275)</f>
        <v>0.46838709677419349</v>
      </c>
      <c r="AK1275" s="86">
        <f>AVERAGEIFS($D$2:D1275, $B$2:B1275, B1275)</f>
        <v>0.41935483870967744</v>
      </c>
    </row>
    <row r="1276" spans="1:37" x14ac:dyDescent="0.25">
      <c r="A1276" s="85">
        <v>46168</v>
      </c>
      <c r="B1276" t="s">
        <v>146</v>
      </c>
      <c r="C1276">
        <v>13</v>
      </c>
      <c r="D1276">
        <v>0</v>
      </c>
      <c r="E1276">
        <v>4</v>
      </c>
      <c r="F1276">
        <v>1</v>
      </c>
      <c r="G1276">
        <v>16</v>
      </c>
      <c r="H1276">
        <v>6</v>
      </c>
      <c r="I1276">
        <v>0.25</v>
      </c>
      <c r="J1276">
        <v>0.38</v>
      </c>
      <c r="K1276">
        <v>1</v>
      </c>
      <c r="L1276">
        <v>0</v>
      </c>
      <c r="M1276">
        <v>0</v>
      </c>
      <c r="N1276">
        <v>0</v>
      </c>
      <c r="O1276">
        <v>0</v>
      </c>
      <c r="P1276">
        <v>0</v>
      </c>
      <c r="Q1276">
        <v>0</v>
      </c>
      <c r="R1276">
        <v>0</v>
      </c>
      <c r="S1276">
        <v>0</v>
      </c>
      <c r="T1276">
        <v>0</v>
      </c>
      <c r="U1276">
        <v>0</v>
      </c>
      <c r="V1276">
        <v>0</v>
      </c>
      <c r="W1276">
        <v>0</v>
      </c>
      <c r="X1276">
        <v>0</v>
      </c>
      <c r="Y1276">
        <v>0</v>
      </c>
      <c r="Z1276">
        <v>0</v>
      </c>
      <c r="AA1276">
        <v>0</v>
      </c>
      <c r="AB1276">
        <v>0</v>
      </c>
      <c r="AC1276">
        <v>0</v>
      </c>
      <c r="AD1276">
        <v>0</v>
      </c>
      <c r="AE1276">
        <v>0</v>
      </c>
      <c r="AF1276">
        <v>0</v>
      </c>
      <c r="AG1276">
        <v>0</v>
      </c>
      <c r="AH1276" s="86">
        <f>AVERAGEIFS($C$2:C1276, $B$2:B1276, B1276)</f>
        <v>11.571428571428571</v>
      </c>
      <c r="AI1276" s="86">
        <f>AVERAGEIFS($I$2:I1276, $B$2:B1276, B1276)</f>
        <v>0.34285714285714286</v>
      </c>
      <c r="AJ1276" s="86">
        <f>AVERAGEIFS($J$2:J1276, $B$2:B1276, B1276)</f>
        <v>0.4121428571428572</v>
      </c>
      <c r="AK1276" s="86">
        <f>AVERAGEIFS($D$2:D1276, $B$2:B1276, B1276)</f>
        <v>0.35714285714285715</v>
      </c>
    </row>
    <row r="1277" spans="1:37" x14ac:dyDescent="0.25">
      <c r="A1277" s="85">
        <v>46168</v>
      </c>
      <c r="B1277" t="s">
        <v>70</v>
      </c>
      <c r="C1277">
        <v>13</v>
      </c>
      <c r="D1277">
        <v>0</v>
      </c>
      <c r="E1277">
        <v>4</v>
      </c>
      <c r="F1277">
        <v>1</v>
      </c>
      <c r="G1277">
        <v>16</v>
      </c>
      <c r="H1277">
        <v>6</v>
      </c>
      <c r="I1277">
        <v>0.25</v>
      </c>
      <c r="J1277">
        <v>0.38</v>
      </c>
      <c r="K1277">
        <v>1</v>
      </c>
      <c r="L1277">
        <v>0</v>
      </c>
      <c r="M1277">
        <v>0</v>
      </c>
      <c r="N1277">
        <v>0</v>
      </c>
      <c r="O1277">
        <v>0</v>
      </c>
      <c r="P1277">
        <v>0</v>
      </c>
      <c r="Q1277">
        <v>0</v>
      </c>
      <c r="R1277">
        <v>0</v>
      </c>
      <c r="S1277">
        <v>0</v>
      </c>
      <c r="T1277">
        <v>0</v>
      </c>
      <c r="U1277">
        <v>0</v>
      </c>
      <c r="V1277">
        <v>0</v>
      </c>
      <c r="W1277">
        <v>0</v>
      </c>
      <c r="X1277">
        <v>0</v>
      </c>
      <c r="Y1277">
        <v>0</v>
      </c>
      <c r="Z1277">
        <v>0</v>
      </c>
      <c r="AA1277">
        <v>0</v>
      </c>
      <c r="AB1277">
        <v>0</v>
      </c>
      <c r="AC1277">
        <v>0</v>
      </c>
      <c r="AD1277">
        <v>0</v>
      </c>
      <c r="AE1277">
        <v>0</v>
      </c>
      <c r="AF1277">
        <v>0</v>
      </c>
      <c r="AG1277">
        <v>0</v>
      </c>
      <c r="AH1277" s="86">
        <f>AVERAGEIFS($C$2:C1277, $B$2:B1277, B1277)</f>
        <v>11.3</v>
      </c>
      <c r="AI1277" s="86">
        <f>AVERAGEIFS($I$2:I1277, $B$2:B1277, B1277)</f>
        <v>0.43000000000000005</v>
      </c>
      <c r="AJ1277" s="86">
        <f>AVERAGEIFS($J$2:J1277, $B$2:B1277, B1277)</f>
        <v>0.47899999999999998</v>
      </c>
      <c r="AK1277" s="86">
        <f>AVERAGEIFS($D$2:D1277, $B$2:B1277, B1277)</f>
        <v>0.5</v>
      </c>
    </row>
    <row r="1278" spans="1:37" x14ac:dyDescent="0.25">
      <c r="A1278" s="85">
        <v>46168</v>
      </c>
      <c r="B1278" t="s">
        <v>107</v>
      </c>
      <c r="C1278">
        <v>12</v>
      </c>
      <c r="D1278">
        <v>0</v>
      </c>
      <c r="E1278">
        <v>4</v>
      </c>
      <c r="F1278">
        <v>1</v>
      </c>
      <c r="G1278">
        <v>16</v>
      </c>
      <c r="H1278">
        <v>6</v>
      </c>
      <c r="I1278">
        <v>0.25</v>
      </c>
      <c r="J1278">
        <v>0.38</v>
      </c>
      <c r="K1278">
        <v>1</v>
      </c>
      <c r="L1278">
        <v>0</v>
      </c>
      <c r="M1278">
        <v>0</v>
      </c>
      <c r="N1278">
        <v>0</v>
      </c>
      <c r="O1278">
        <v>0</v>
      </c>
      <c r="P1278">
        <v>0</v>
      </c>
      <c r="Q1278">
        <v>0</v>
      </c>
      <c r="R1278">
        <v>0</v>
      </c>
      <c r="S1278">
        <v>0</v>
      </c>
      <c r="T1278">
        <v>0</v>
      </c>
      <c r="U1278">
        <v>0</v>
      </c>
      <c r="V1278">
        <v>0</v>
      </c>
      <c r="W1278">
        <v>0</v>
      </c>
      <c r="X1278">
        <v>0</v>
      </c>
      <c r="Y1278">
        <v>0</v>
      </c>
      <c r="Z1278">
        <v>0</v>
      </c>
      <c r="AA1278">
        <v>0</v>
      </c>
      <c r="AB1278">
        <v>0</v>
      </c>
      <c r="AC1278">
        <v>0</v>
      </c>
      <c r="AD1278">
        <v>0</v>
      </c>
      <c r="AE1278">
        <v>0</v>
      </c>
      <c r="AF1278">
        <v>0</v>
      </c>
      <c r="AG1278">
        <v>0</v>
      </c>
      <c r="AH1278" s="86">
        <f>AVERAGEIFS($C$2:C1278, $B$2:B1278, B1278)</f>
        <v>16.351851851851851</v>
      </c>
      <c r="AI1278" s="86">
        <f>AVERAGEIFS($I$2:I1278, $B$2:B1278, B1278)</f>
        <v>0.50740740740740753</v>
      </c>
      <c r="AJ1278" s="86">
        <f>AVERAGEIFS($J$2:J1278, $B$2:B1278, B1278)</f>
        <v>0.51111111111111107</v>
      </c>
      <c r="AK1278" s="86">
        <f>AVERAGEIFS($D$2:D1278, $B$2:B1278, B1278)</f>
        <v>0.55555555555555558</v>
      </c>
    </row>
    <row r="1279" spans="1:37" x14ac:dyDescent="0.25">
      <c r="A1279" s="85">
        <v>46168</v>
      </c>
      <c r="B1279" t="s">
        <v>71</v>
      </c>
      <c r="C1279">
        <v>30</v>
      </c>
      <c r="D1279">
        <v>1</v>
      </c>
      <c r="E1279">
        <v>5</v>
      </c>
      <c r="F1279">
        <v>3</v>
      </c>
      <c r="G1279">
        <v>22</v>
      </c>
      <c r="H1279">
        <v>11</v>
      </c>
      <c r="I1279">
        <v>0.6</v>
      </c>
      <c r="J1279">
        <v>0.5</v>
      </c>
      <c r="K1279">
        <v>0</v>
      </c>
      <c r="L1279">
        <v>0</v>
      </c>
      <c r="M1279">
        <v>0</v>
      </c>
      <c r="N1279">
        <v>0</v>
      </c>
      <c r="O1279">
        <v>0</v>
      </c>
      <c r="P1279">
        <v>0</v>
      </c>
      <c r="Q1279">
        <v>0</v>
      </c>
      <c r="R1279">
        <v>0</v>
      </c>
      <c r="S1279">
        <v>0</v>
      </c>
      <c r="T1279">
        <v>0</v>
      </c>
      <c r="U1279">
        <v>0</v>
      </c>
      <c r="V1279">
        <v>0</v>
      </c>
      <c r="W1279">
        <v>0</v>
      </c>
      <c r="X1279">
        <v>0</v>
      </c>
      <c r="Y1279">
        <v>0</v>
      </c>
      <c r="Z1279">
        <v>1</v>
      </c>
      <c r="AA1279">
        <v>0</v>
      </c>
      <c r="AB1279">
        <v>0</v>
      </c>
      <c r="AC1279">
        <v>1</v>
      </c>
      <c r="AD1279">
        <v>0</v>
      </c>
      <c r="AE1279">
        <v>0</v>
      </c>
      <c r="AF1279">
        <v>0</v>
      </c>
      <c r="AG1279">
        <v>1</v>
      </c>
      <c r="AH1279" s="86">
        <f>AVERAGEIFS($C$2:C1279, $B$2:B1279, B1279)</f>
        <v>15.5</v>
      </c>
      <c r="AI1279" s="86">
        <f>AVERAGEIFS($I$2:I1279, $B$2:B1279, B1279)</f>
        <v>0.47631578947368425</v>
      </c>
      <c r="AJ1279" s="86">
        <f>AVERAGEIFS($J$2:J1279, $B$2:B1279, B1279)</f>
        <v>0.47842105263157886</v>
      </c>
      <c r="AK1279" s="86">
        <f>AVERAGEIFS($D$2:D1279, $B$2:B1279, B1279)</f>
        <v>0.52631578947368418</v>
      </c>
    </row>
    <row r="1280" spans="1:37" x14ac:dyDescent="0.25">
      <c r="A1280" s="85">
        <v>46168</v>
      </c>
      <c r="B1280" t="s">
        <v>6</v>
      </c>
      <c r="C1280">
        <v>34</v>
      </c>
      <c r="D1280">
        <v>1</v>
      </c>
      <c r="E1280">
        <v>5</v>
      </c>
      <c r="F1280">
        <v>3</v>
      </c>
      <c r="G1280">
        <v>22</v>
      </c>
      <c r="H1280">
        <v>11</v>
      </c>
      <c r="I1280">
        <v>0.6</v>
      </c>
      <c r="J1280">
        <v>0.5</v>
      </c>
      <c r="K1280">
        <v>0</v>
      </c>
      <c r="L1280">
        <v>0</v>
      </c>
      <c r="M1280">
        <v>0</v>
      </c>
      <c r="N1280">
        <v>0</v>
      </c>
      <c r="O1280">
        <v>0</v>
      </c>
      <c r="P1280">
        <v>0</v>
      </c>
      <c r="Q1280">
        <v>0</v>
      </c>
      <c r="R1280">
        <v>0</v>
      </c>
      <c r="S1280">
        <v>0</v>
      </c>
      <c r="T1280">
        <v>0</v>
      </c>
      <c r="U1280">
        <v>0</v>
      </c>
      <c r="V1280">
        <v>0</v>
      </c>
      <c r="W1280">
        <v>0</v>
      </c>
      <c r="X1280">
        <v>0</v>
      </c>
      <c r="Y1280">
        <v>0</v>
      </c>
      <c r="Z1280">
        <v>1</v>
      </c>
      <c r="AA1280">
        <v>0</v>
      </c>
      <c r="AB1280">
        <v>0</v>
      </c>
      <c r="AC1280">
        <v>1</v>
      </c>
      <c r="AD1280">
        <v>0</v>
      </c>
      <c r="AE1280">
        <v>0</v>
      </c>
      <c r="AF1280">
        <v>0</v>
      </c>
      <c r="AG1280">
        <v>1</v>
      </c>
      <c r="AH1280" s="86">
        <f>AVERAGEIFS($C$2:C1280, $B$2:B1280, B1280)</f>
        <v>23.62962962962963</v>
      </c>
      <c r="AI1280" s="86">
        <f>AVERAGEIFS($I$2:I1280, $B$2:B1280, B1280)</f>
        <v>0.56148148148148158</v>
      </c>
      <c r="AJ1280" s="86">
        <f>AVERAGEIFS($J$2:J1280, $B$2:B1280, B1280)</f>
        <v>0.52987654320987643</v>
      </c>
      <c r="AK1280" s="86">
        <f>AVERAGEIFS($D$2:D1280, $B$2:B1280, B1280)</f>
        <v>0.62962962962962965</v>
      </c>
    </row>
    <row r="1281" spans="1:37" x14ac:dyDescent="0.25">
      <c r="A1281" s="85">
        <v>46168</v>
      </c>
      <c r="B1281" t="s">
        <v>141</v>
      </c>
      <c r="C1281">
        <v>32</v>
      </c>
      <c r="D1281">
        <v>1</v>
      </c>
      <c r="E1281">
        <v>5</v>
      </c>
      <c r="F1281">
        <v>3</v>
      </c>
      <c r="G1281">
        <v>22</v>
      </c>
      <c r="H1281">
        <v>11</v>
      </c>
      <c r="I1281">
        <v>0.6</v>
      </c>
      <c r="J1281">
        <v>0.5</v>
      </c>
      <c r="K1281">
        <v>0</v>
      </c>
      <c r="L1281">
        <v>0</v>
      </c>
      <c r="M1281">
        <v>0</v>
      </c>
      <c r="N1281">
        <v>0</v>
      </c>
      <c r="O1281">
        <v>0</v>
      </c>
      <c r="P1281">
        <v>0</v>
      </c>
      <c r="Q1281">
        <v>0</v>
      </c>
      <c r="R1281">
        <v>0</v>
      </c>
      <c r="S1281">
        <v>0</v>
      </c>
      <c r="T1281">
        <v>0</v>
      </c>
      <c r="U1281">
        <v>0</v>
      </c>
      <c r="V1281">
        <v>0</v>
      </c>
      <c r="W1281">
        <v>0</v>
      </c>
      <c r="X1281">
        <v>0</v>
      </c>
      <c r="Y1281">
        <v>0</v>
      </c>
      <c r="Z1281">
        <v>1</v>
      </c>
      <c r="AA1281">
        <v>0</v>
      </c>
      <c r="AB1281">
        <v>0</v>
      </c>
      <c r="AC1281">
        <v>1</v>
      </c>
      <c r="AD1281">
        <v>0</v>
      </c>
      <c r="AE1281">
        <v>0</v>
      </c>
      <c r="AF1281">
        <v>0</v>
      </c>
      <c r="AG1281">
        <v>1</v>
      </c>
      <c r="AH1281" s="86">
        <f>AVERAGEIFS($C$2:C1281, $B$2:B1281, B1281)</f>
        <v>19.206896551724139</v>
      </c>
      <c r="AI1281" s="86">
        <f>AVERAGEIFS($I$2:I1281, $B$2:B1281, B1281)</f>
        <v>0.49827586206896551</v>
      </c>
      <c r="AJ1281" s="86">
        <f>AVERAGEIFS($J$2:J1281, $B$2:B1281, B1281)</f>
        <v>0.50517241379310351</v>
      </c>
      <c r="AK1281" s="86">
        <f>AVERAGEIFS($D$2:D1281, $B$2:B1281, B1281)</f>
        <v>0.62068965517241381</v>
      </c>
    </row>
    <row r="1282" spans="1:37" x14ac:dyDescent="0.25">
      <c r="A1282" s="85">
        <v>46168</v>
      </c>
      <c r="B1282" t="s">
        <v>152</v>
      </c>
      <c r="C1282">
        <v>20</v>
      </c>
      <c r="D1282">
        <v>1</v>
      </c>
      <c r="E1282">
        <v>5</v>
      </c>
      <c r="F1282">
        <v>3</v>
      </c>
      <c r="G1282">
        <v>22</v>
      </c>
      <c r="H1282">
        <v>11</v>
      </c>
      <c r="I1282">
        <v>0.6</v>
      </c>
      <c r="J1282">
        <v>0.5</v>
      </c>
      <c r="K1282">
        <v>0</v>
      </c>
      <c r="L1282">
        <v>0</v>
      </c>
      <c r="M1282">
        <v>0</v>
      </c>
      <c r="N1282">
        <v>0</v>
      </c>
      <c r="O1282">
        <v>0</v>
      </c>
      <c r="P1282">
        <v>0</v>
      </c>
      <c r="Q1282">
        <v>0</v>
      </c>
      <c r="R1282">
        <v>0</v>
      </c>
      <c r="S1282">
        <v>0</v>
      </c>
      <c r="T1282">
        <v>0</v>
      </c>
      <c r="U1282">
        <v>0</v>
      </c>
      <c r="V1282">
        <v>0</v>
      </c>
      <c r="W1282">
        <v>0</v>
      </c>
      <c r="X1282">
        <v>0</v>
      </c>
      <c r="Y1282">
        <v>0</v>
      </c>
      <c r="Z1282">
        <v>1</v>
      </c>
      <c r="AA1282">
        <v>0</v>
      </c>
      <c r="AB1282">
        <v>0</v>
      </c>
      <c r="AC1282">
        <v>1</v>
      </c>
      <c r="AD1282">
        <v>0</v>
      </c>
      <c r="AE1282">
        <v>0</v>
      </c>
      <c r="AF1282">
        <v>0</v>
      </c>
      <c r="AG1282">
        <v>1</v>
      </c>
      <c r="AH1282" s="86">
        <f>AVERAGEIFS($C$2:C1282, $B$2:B1282, B1282)</f>
        <v>15.5</v>
      </c>
      <c r="AI1282" s="86">
        <f>AVERAGEIFS($I$2:I1282, $B$2:B1282, B1282)</f>
        <v>0.40416666666666662</v>
      </c>
      <c r="AJ1282" s="86">
        <f>AVERAGEIFS($J$2:J1282, $B$2:B1282, B1282)</f>
        <v>0.47833333333333333</v>
      </c>
      <c r="AK1282" s="86">
        <f>AVERAGEIFS($D$2:D1282, $B$2:B1282, B1282)</f>
        <v>0.33333333333333331</v>
      </c>
    </row>
    <row r="1283" spans="1:37" x14ac:dyDescent="0.25">
      <c r="A1283" s="85">
        <v>46168</v>
      </c>
      <c r="B1283" t="s">
        <v>147</v>
      </c>
      <c r="C1283">
        <v>24</v>
      </c>
      <c r="D1283">
        <v>1</v>
      </c>
      <c r="E1283">
        <v>5</v>
      </c>
      <c r="F1283">
        <v>3</v>
      </c>
      <c r="G1283">
        <v>22</v>
      </c>
      <c r="H1283">
        <v>11</v>
      </c>
      <c r="I1283">
        <v>0.6</v>
      </c>
      <c r="J1283">
        <v>0.5</v>
      </c>
      <c r="K1283">
        <v>0</v>
      </c>
      <c r="L1283">
        <v>0</v>
      </c>
      <c r="M1283">
        <v>0</v>
      </c>
      <c r="N1283">
        <v>0</v>
      </c>
      <c r="O1283">
        <v>0</v>
      </c>
      <c r="P1283">
        <v>0</v>
      </c>
      <c r="Q1283">
        <v>0</v>
      </c>
      <c r="R1283">
        <v>0</v>
      </c>
      <c r="S1283">
        <v>0</v>
      </c>
      <c r="T1283">
        <v>0</v>
      </c>
      <c r="U1283">
        <v>0</v>
      </c>
      <c r="V1283">
        <v>0</v>
      </c>
      <c r="W1283">
        <v>0</v>
      </c>
      <c r="X1283">
        <v>0</v>
      </c>
      <c r="Y1283">
        <v>0</v>
      </c>
      <c r="Z1283">
        <v>1</v>
      </c>
      <c r="AA1283">
        <v>0</v>
      </c>
      <c r="AB1283">
        <v>0</v>
      </c>
      <c r="AC1283">
        <v>1</v>
      </c>
      <c r="AD1283">
        <v>0</v>
      </c>
      <c r="AE1283">
        <v>0</v>
      </c>
      <c r="AF1283">
        <v>0</v>
      </c>
      <c r="AG1283">
        <v>1</v>
      </c>
      <c r="AH1283" s="86">
        <f>AVERAGEIFS($C$2:C1283, $B$2:B1283, B1283)</f>
        <v>15.238095238095237</v>
      </c>
      <c r="AI1283" s="86">
        <f>AVERAGEIFS($I$2:I1283, $B$2:B1283, B1283)</f>
        <v>0.57023809523809532</v>
      </c>
      <c r="AJ1283" s="86">
        <f>AVERAGEIFS($J$2:J1283, $B$2:B1283, B1283)</f>
        <v>0.53309523809523807</v>
      </c>
      <c r="AK1283" s="86">
        <f>AVERAGEIFS($D$2:D1283, $B$2:B1283, B1283)</f>
        <v>0.5714285714285714</v>
      </c>
    </row>
    <row r="1284" spans="1:37" x14ac:dyDescent="0.25">
      <c r="A1284" s="85">
        <v>46168</v>
      </c>
      <c r="B1284" t="s">
        <v>115</v>
      </c>
      <c r="C1284">
        <v>15</v>
      </c>
      <c r="D1284">
        <v>1</v>
      </c>
      <c r="E1284">
        <v>5</v>
      </c>
      <c r="F1284">
        <v>3</v>
      </c>
      <c r="G1284">
        <v>22</v>
      </c>
      <c r="H1284">
        <v>11</v>
      </c>
      <c r="I1284">
        <v>0.6</v>
      </c>
      <c r="J1284">
        <v>0.5</v>
      </c>
      <c r="K1284">
        <v>0</v>
      </c>
      <c r="L1284">
        <v>0</v>
      </c>
      <c r="M1284">
        <v>0</v>
      </c>
      <c r="N1284">
        <v>0</v>
      </c>
      <c r="O1284">
        <v>0</v>
      </c>
      <c r="P1284">
        <v>0</v>
      </c>
      <c r="Q1284">
        <v>0</v>
      </c>
      <c r="R1284">
        <v>0</v>
      </c>
      <c r="S1284">
        <v>0</v>
      </c>
      <c r="T1284">
        <v>0</v>
      </c>
      <c r="U1284">
        <v>0</v>
      </c>
      <c r="V1284">
        <v>0</v>
      </c>
      <c r="W1284">
        <v>0</v>
      </c>
      <c r="X1284">
        <v>0</v>
      </c>
      <c r="Y1284">
        <v>0</v>
      </c>
      <c r="Z1284">
        <v>1</v>
      </c>
      <c r="AA1284">
        <v>0</v>
      </c>
      <c r="AB1284">
        <v>0</v>
      </c>
      <c r="AC1284">
        <v>1</v>
      </c>
      <c r="AD1284">
        <v>0</v>
      </c>
      <c r="AE1284">
        <v>0</v>
      </c>
      <c r="AF1284">
        <v>0</v>
      </c>
      <c r="AG1284">
        <v>1</v>
      </c>
      <c r="AH1284" s="86">
        <f>AVERAGEIFS($C$2:C1284, $B$2:B1284, B1284)</f>
        <v>13.611111111111111</v>
      </c>
      <c r="AI1284" s="86">
        <f>AVERAGEIFS($I$2:I1284, $B$2:B1284, B1284)</f>
        <v>0.50277777777777777</v>
      </c>
      <c r="AJ1284" s="86">
        <f>AVERAGEIFS($J$2:J1284, $B$2:B1284, B1284)</f>
        <v>0.496111111111111</v>
      </c>
      <c r="AK1284" s="86">
        <f>AVERAGEIFS($D$2:D1284, $B$2:B1284, B1284)</f>
        <v>0.55555555555555558</v>
      </c>
    </row>
    <row r="1285" spans="1:37" x14ac:dyDescent="0.25">
      <c r="A1285" s="85">
        <v>46168</v>
      </c>
      <c r="B1285" t="s">
        <v>42</v>
      </c>
      <c r="C1285">
        <v>14</v>
      </c>
      <c r="D1285">
        <v>0</v>
      </c>
      <c r="E1285">
        <v>5</v>
      </c>
      <c r="F1285">
        <v>2</v>
      </c>
      <c r="G1285">
        <v>22</v>
      </c>
      <c r="H1285">
        <v>11</v>
      </c>
      <c r="I1285">
        <v>0.4</v>
      </c>
      <c r="J1285">
        <v>0.5</v>
      </c>
      <c r="K1285">
        <v>0</v>
      </c>
      <c r="L1285">
        <v>1</v>
      </c>
      <c r="M1285">
        <v>1</v>
      </c>
      <c r="N1285">
        <v>0</v>
      </c>
      <c r="O1285">
        <v>0</v>
      </c>
      <c r="P1285">
        <v>0</v>
      </c>
      <c r="Q1285">
        <v>0</v>
      </c>
      <c r="R1285">
        <v>0</v>
      </c>
      <c r="S1285">
        <v>0</v>
      </c>
      <c r="T1285">
        <v>0</v>
      </c>
      <c r="U1285">
        <v>0</v>
      </c>
      <c r="V1285">
        <v>0</v>
      </c>
      <c r="W1285">
        <v>0</v>
      </c>
      <c r="X1285">
        <v>0</v>
      </c>
      <c r="Y1285">
        <v>0</v>
      </c>
      <c r="Z1285">
        <v>0</v>
      </c>
      <c r="AA1285">
        <v>0</v>
      </c>
      <c r="AB1285">
        <v>0</v>
      </c>
      <c r="AC1285">
        <v>0</v>
      </c>
      <c r="AD1285">
        <v>0</v>
      </c>
      <c r="AE1285">
        <v>0</v>
      </c>
      <c r="AF1285">
        <v>0</v>
      </c>
      <c r="AG1285">
        <v>0</v>
      </c>
      <c r="AH1285" s="86">
        <f>AVERAGEIFS($C$2:C1285, $B$2:B1285, B1285)</f>
        <v>18.087719298245613</v>
      </c>
      <c r="AI1285" s="86">
        <f>AVERAGEIFS($I$2:I1285, $B$2:B1285, B1285)</f>
        <v>0.46666666666666667</v>
      </c>
      <c r="AJ1285" s="86">
        <f>AVERAGEIFS($J$2:J1285, $B$2:B1285, B1285)</f>
        <v>0.46631578947368407</v>
      </c>
      <c r="AK1285" s="86">
        <f>AVERAGEIFS($D$2:D1285, $B$2:B1285, B1285)</f>
        <v>0.47368421052631576</v>
      </c>
    </row>
    <row r="1286" spans="1:37" x14ac:dyDescent="0.25">
      <c r="A1286" s="85">
        <v>46168</v>
      </c>
      <c r="B1286" t="s">
        <v>2</v>
      </c>
      <c r="C1286">
        <v>29</v>
      </c>
      <c r="D1286">
        <v>0</v>
      </c>
      <c r="E1286">
        <v>5</v>
      </c>
      <c r="F1286">
        <v>2</v>
      </c>
      <c r="G1286">
        <v>22</v>
      </c>
      <c r="H1286">
        <v>11</v>
      </c>
      <c r="I1286">
        <v>0.4</v>
      </c>
      <c r="J1286">
        <v>0.5</v>
      </c>
      <c r="K1286">
        <v>0</v>
      </c>
      <c r="L1286">
        <v>1</v>
      </c>
      <c r="M1286">
        <v>1</v>
      </c>
      <c r="N1286">
        <v>0</v>
      </c>
      <c r="O1286">
        <v>0</v>
      </c>
      <c r="P1286">
        <v>0</v>
      </c>
      <c r="Q1286">
        <v>0</v>
      </c>
      <c r="R1286">
        <v>0</v>
      </c>
      <c r="S1286">
        <v>0</v>
      </c>
      <c r="T1286">
        <v>0</v>
      </c>
      <c r="U1286">
        <v>0</v>
      </c>
      <c r="V1286">
        <v>0</v>
      </c>
      <c r="W1286">
        <v>0</v>
      </c>
      <c r="X1286">
        <v>0</v>
      </c>
      <c r="Y1286">
        <v>0</v>
      </c>
      <c r="Z1286">
        <v>0</v>
      </c>
      <c r="AA1286">
        <v>0</v>
      </c>
      <c r="AB1286">
        <v>0</v>
      </c>
      <c r="AC1286">
        <v>0</v>
      </c>
      <c r="AD1286">
        <v>0</v>
      </c>
      <c r="AE1286">
        <v>0</v>
      </c>
      <c r="AF1286">
        <v>0</v>
      </c>
      <c r="AG1286">
        <v>0</v>
      </c>
      <c r="AH1286" s="86">
        <f>AVERAGEIFS($C$2:C1286, $B$2:B1286, B1286)</f>
        <v>24.71153846153846</v>
      </c>
      <c r="AI1286" s="86">
        <f>AVERAGEIFS($I$2:I1286, $B$2:B1286, B1286)</f>
        <v>0.49673076923076909</v>
      </c>
      <c r="AJ1286" s="86">
        <f>AVERAGEIFS($J$2:J1286, $B$2:B1286, B1286)</f>
        <v>0.52538461538461534</v>
      </c>
      <c r="AK1286" s="86">
        <f>AVERAGEIFS($D$2:D1286, $B$2:B1286, B1286)</f>
        <v>0.44230769230769229</v>
      </c>
    </row>
    <row r="1287" spans="1:37" x14ac:dyDescent="0.25">
      <c r="A1287" s="85">
        <v>46168</v>
      </c>
      <c r="B1287" t="s">
        <v>5</v>
      </c>
      <c r="C1287">
        <v>33</v>
      </c>
      <c r="D1287">
        <v>0</v>
      </c>
      <c r="E1287">
        <v>5</v>
      </c>
      <c r="F1287">
        <v>2</v>
      </c>
      <c r="G1287">
        <v>22</v>
      </c>
      <c r="H1287">
        <v>11</v>
      </c>
      <c r="I1287">
        <v>0.4</v>
      </c>
      <c r="J1287">
        <v>0.5</v>
      </c>
      <c r="K1287">
        <v>0</v>
      </c>
      <c r="L1287">
        <v>1</v>
      </c>
      <c r="M1287">
        <v>1</v>
      </c>
      <c r="N1287">
        <v>0</v>
      </c>
      <c r="O1287">
        <v>0</v>
      </c>
      <c r="P1287">
        <v>0</v>
      </c>
      <c r="Q1287">
        <v>0</v>
      </c>
      <c r="R1287">
        <v>0</v>
      </c>
      <c r="S1287">
        <v>0</v>
      </c>
      <c r="T1287">
        <v>0</v>
      </c>
      <c r="U1287">
        <v>0</v>
      </c>
      <c r="V1287">
        <v>0</v>
      </c>
      <c r="W1287">
        <v>0</v>
      </c>
      <c r="X1287">
        <v>0</v>
      </c>
      <c r="Y1287">
        <v>0</v>
      </c>
      <c r="Z1287">
        <v>0</v>
      </c>
      <c r="AA1287">
        <v>0</v>
      </c>
      <c r="AB1287">
        <v>0</v>
      </c>
      <c r="AC1287">
        <v>0</v>
      </c>
      <c r="AD1287">
        <v>0</v>
      </c>
      <c r="AE1287">
        <v>0</v>
      </c>
      <c r="AF1287">
        <v>0</v>
      </c>
      <c r="AG1287">
        <v>0</v>
      </c>
      <c r="AH1287" s="86">
        <f>AVERAGEIFS($C$2:C1287, $B$2:B1287, B1287)</f>
        <v>19.524999999999999</v>
      </c>
      <c r="AI1287" s="86">
        <f>AVERAGEIFS($I$2:I1287, $B$2:B1287, B1287)</f>
        <v>0.5442499999999999</v>
      </c>
      <c r="AJ1287" s="86">
        <f>AVERAGEIFS($J$2:J1287, $B$2:B1287, B1287)</f>
        <v>0.52175000000000016</v>
      </c>
      <c r="AK1287" s="86">
        <f>AVERAGEIFS($D$2:D1287, $B$2:B1287, B1287)</f>
        <v>0.6</v>
      </c>
    </row>
    <row r="1288" spans="1:37" x14ac:dyDescent="0.25">
      <c r="A1288" s="85">
        <v>46168</v>
      </c>
      <c r="B1288" t="s">
        <v>13</v>
      </c>
      <c r="C1288">
        <v>38</v>
      </c>
      <c r="D1288">
        <v>0</v>
      </c>
      <c r="E1288">
        <v>5</v>
      </c>
      <c r="F1288">
        <v>2</v>
      </c>
      <c r="G1288">
        <v>22</v>
      </c>
      <c r="H1288">
        <v>11</v>
      </c>
      <c r="I1288">
        <v>0.4</v>
      </c>
      <c r="J1288">
        <v>0.5</v>
      </c>
      <c r="K1288">
        <v>0</v>
      </c>
      <c r="L1288">
        <v>1</v>
      </c>
      <c r="M1288">
        <v>1</v>
      </c>
      <c r="N1288">
        <v>0</v>
      </c>
      <c r="O1288">
        <v>0</v>
      </c>
      <c r="P1288">
        <v>0</v>
      </c>
      <c r="Q1288">
        <v>0</v>
      </c>
      <c r="R1288">
        <v>0</v>
      </c>
      <c r="S1288">
        <v>0</v>
      </c>
      <c r="T1288">
        <v>0</v>
      </c>
      <c r="U1288">
        <v>0</v>
      </c>
      <c r="V1288">
        <v>0</v>
      </c>
      <c r="W1288">
        <v>0</v>
      </c>
      <c r="X1288">
        <v>0</v>
      </c>
      <c r="Y1288">
        <v>0</v>
      </c>
      <c r="Z1288">
        <v>0</v>
      </c>
      <c r="AA1288">
        <v>0</v>
      </c>
      <c r="AB1288">
        <v>0</v>
      </c>
      <c r="AC1288">
        <v>0</v>
      </c>
      <c r="AD1288">
        <v>0</v>
      </c>
      <c r="AE1288">
        <v>0</v>
      </c>
      <c r="AF1288">
        <v>0</v>
      </c>
      <c r="AG1288">
        <v>0</v>
      </c>
      <c r="AH1288" s="86">
        <f>AVERAGEIFS($C$2:C1288, $B$2:B1288, B1288)</f>
        <v>16.387096774193548</v>
      </c>
      <c r="AI1288" s="86">
        <f>AVERAGEIFS($I$2:I1288, $B$2:B1288, B1288)</f>
        <v>0.4629032258064516</v>
      </c>
      <c r="AJ1288" s="86">
        <f>AVERAGEIFS($J$2:J1288, $B$2:B1288, B1288)</f>
        <v>0.48806451612903229</v>
      </c>
      <c r="AK1288" s="86">
        <f>AVERAGEIFS($D$2:D1288, $B$2:B1288, B1288)</f>
        <v>0.38709677419354838</v>
      </c>
    </row>
    <row r="1289" spans="1:37" x14ac:dyDescent="0.25">
      <c r="A1289" s="85">
        <v>46168</v>
      </c>
      <c r="B1289" t="s">
        <v>146</v>
      </c>
      <c r="C1289">
        <v>15</v>
      </c>
      <c r="D1289">
        <v>0</v>
      </c>
      <c r="E1289">
        <v>5</v>
      </c>
      <c r="F1289">
        <v>2</v>
      </c>
      <c r="G1289">
        <v>22</v>
      </c>
      <c r="H1289">
        <v>11</v>
      </c>
      <c r="I1289">
        <v>0.4</v>
      </c>
      <c r="J1289">
        <v>0.5</v>
      </c>
      <c r="K1289">
        <v>0</v>
      </c>
      <c r="L1289">
        <v>1</v>
      </c>
      <c r="M1289">
        <v>1</v>
      </c>
      <c r="N1289">
        <v>0</v>
      </c>
      <c r="O1289">
        <v>0</v>
      </c>
      <c r="P1289">
        <v>0</v>
      </c>
      <c r="Q1289">
        <v>0</v>
      </c>
      <c r="R1289">
        <v>0</v>
      </c>
      <c r="S1289">
        <v>0</v>
      </c>
      <c r="T1289">
        <v>0</v>
      </c>
      <c r="U1289">
        <v>0</v>
      </c>
      <c r="V1289">
        <v>0</v>
      </c>
      <c r="W1289">
        <v>0</v>
      </c>
      <c r="X1289">
        <v>0</v>
      </c>
      <c r="Y1289">
        <v>0</v>
      </c>
      <c r="Z1289">
        <v>0</v>
      </c>
      <c r="AA1289">
        <v>0</v>
      </c>
      <c r="AB1289">
        <v>0</v>
      </c>
      <c r="AC1289">
        <v>0</v>
      </c>
      <c r="AD1289">
        <v>0</v>
      </c>
      <c r="AE1289">
        <v>0</v>
      </c>
      <c r="AF1289">
        <v>0</v>
      </c>
      <c r="AG1289">
        <v>0</v>
      </c>
      <c r="AH1289" s="86">
        <f>AVERAGEIFS($C$2:C1289, $B$2:B1289, B1289)</f>
        <v>11.8</v>
      </c>
      <c r="AI1289" s="86">
        <f>AVERAGEIFS($I$2:I1289, $B$2:B1289, B1289)</f>
        <v>0.34666666666666668</v>
      </c>
      <c r="AJ1289" s="86">
        <f>AVERAGEIFS($J$2:J1289, $B$2:B1289, B1289)</f>
        <v>0.41800000000000004</v>
      </c>
      <c r="AK1289" s="86">
        <f>AVERAGEIFS($D$2:D1289, $B$2:B1289, B1289)</f>
        <v>0.33333333333333331</v>
      </c>
    </row>
    <row r="1290" spans="1:37" x14ac:dyDescent="0.25">
      <c r="A1290" s="85">
        <v>46168</v>
      </c>
      <c r="B1290" t="s">
        <v>15</v>
      </c>
      <c r="C1290">
        <v>23</v>
      </c>
      <c r="D1290">
        <v>0</v>
      </c>
      <c r="E1290">
        <v>5</v>
      </c>
      <c r="F1290">
        <v>2</v>
      </c>
      <c r="G1290">
        <v>22</v>
      </c>
      <c r="H1290">
        <v>11</v>
      </c>
      <c r="I1290">
        <v>0.4</v>
      </c>
      <c r="J1290">
        <v>0.5</v>
      </c>
      <c r="K1290">
        <v>0</v>
      </c>
      <c r="L1290">
        <v>1</v>
      </c>
      <c r="M1290">
        <v>1</v>
      </c>
      <c r="N1290">
        <v>0</v>
      </c>
      <c r="O1290">
        <v>0</v>
      </c>
      <c r="P1290">
        <v>0</v>
      </c>
      <c r="Q1290">
        <v>0</v>
      </c>
      <c r="R1290">
        <v>0</v>
      </c>
      <c r="S1290">
        <v>0</v>
      </c>
      <c r="T1290">
        <v>0</v>
      </c>
      <c r="U1290">
        <v>0</v>
      </c>
      <c r="V1290">
        <v>0</v>
      </c>
      <c r="W1290">
        <v>0</v>
      </c>
      <c r="X1290">
        <v>0</v>
      </c>
      <c r="Y1290">
        <v>0</v>
      </c>
      <c r="Z1290">
        <v>0</v>
      </c>
      <c r="AA1290">
        <v>0</v>
      </c>
      <c r="AB1290">
        <v>0</v>
      </c>
      <c r="AC1290">
        <v>0</v>
      </c>
      <c r="AD1290">
        <v>0</v>
      </c>
      <c r="AE1290">
        <v>0</v>
      </c>
      <c r="AF1290">
        <v>0</v>
      </c>
      <c r="AG1290">
        <v>0</v>
      </c>
      <c r="AH1290" s="86">
        <f>AVERAGEIFS($C$2:C1290, $B$2:B1290, B1290)</f>
        <v>13.5</v>
      </c>
      <c r="AI1290" s="86">
        <f>AVERAGEIFS($I$2:I1290, $B$2:B1290, B1290)</f>
        <v>0.2</v>
      </c>
      <c r="AJ1290" s="86">
        <f>AVERAGEIFS($J$2:J1290, $B$2:B1290, B1290)</f>
        <v>0.3</v>
      </c>
      <c r="AK1290" s="86">
        <f>AVERAGEIFS($D$2:D1290, $B$2:B1290, B1290)</f>
        <v>0</v>
      </c>
    </row>
  </sheetData>
  <autoFilter ref="A1:AK901" xr:uid="{2920E10D-1157-4164-84BC-1BB5367BF023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2520A-F4B9-4C92-B069-EFC8D5397B6F}">
  <dimension ref="A1:AN45"/>
  <sheetViews>
    <sheetView workbookViewId="0">
      <pane xSplit="1" ySplit="1" topLeftCell="S17" activePane="bottomRight" state="frozen"/>
      <selection pane="topRight" activeCell="B1" sqref="B1"/>
      <selection pane="bottomLeft" activeCell="A2" sqref="A2"/>
      <selection pane="bottomRight" activeCell="AF24" sqref="AF24"/>
    </sheetView>
  </sheetViews>
  <sheetFormatPr defaultRowHeight="15" x14ac:dyDescent="0.25"/>
  <cols>
    <col min="1" max="1" width="13.140625" customWidth="1"/>
    <col min="2" max="5" width="11.5703125" style="1" customWidth="1"/>
    <col min="8" max="8" width="17.140625" customWidth="1"/>
    <col min="9" max="19" width="9.140625" style="1"/>
    <col min="20" max="20" width="12" style="1" customWidth="1"/>
    <col min="21" max="23" width="9.140625" style="1"/>
    <col min="24" max="24" width="11.7109375" style="1" bestFit="1" customWidth="1"/>
    <col min="25" max="26" width="14.5703125" style="1" customWidth="1"/>
    <col min="27" max="29" width="9.140625" style="1"/>
    <col min="30" max="30" width="11.85546875" style="1" bestFit="1" customWidth="1"/>
    <col min="31" max="31" width="9.140625" style="1"/>
    <col min="32" max="32" width="13" style="1" customWidth="1"/>
    <col min="33" max="34" width="13.140625" style="1" customWidth="1"/>
    <col min="35" max="35" width="9.140625" style="1"/>
    <col min="36" max="36" width="12.85546875" style="1" customWidth="1"/>
    <col min="37" max="37" width="9.140625" style="1"/>
    <col min="38" max="38" width="12.42578125" style="1" bestFit="1" customWidth="1"/>
    <col min="39" max="39" width="12.42578125" style="1" customWidth="1"/>
    <col min="40" max="40" width="9.140625" style="1"/>
  </cols>
  <sheetData>
    <row r="1" spans="1:40" ht="30.75" thickBot="1" x14ac:dyDescent="0.3">
      <c r="A1" s="3" t="s">
        <v>0</v>
      </c>
      <c r="B1" s="3" t="s">
        <v>59</v>
      </c>
      <c r="C1" s="3" t="s">
        <v>162</v>
      </c>
      <c r="D1" s="3" t="s">
        <v>163</v>
      </c>
      <c r="E1" s="3" t="s">
        <v>164</v>
      </c>
      <c r="F1" s="31" t="s">
        <v>7</v>
      </c>
      <c r="G1" s="32" t="s">
        <v>36</v>
      </c>
      <c r="H1" s="33" t="s">
        <v>49</v>
      </c>
      <c r="I1" s="51" t="s">
        <v>97</v>
      </c>
      <c r="J1" s="52" t="s">
        <v>98</v>
      </c>
      <c r="K1" s="46" t="s">
        <v>123</v>
      </c>
      <c r="L1" s="51" t="s">
        <v>64</v>
      </c>
      <c r="M1" s="52" t="s">
        <v>101</v>
      </c>
      <c r="N1" s="46" t="s">
        <v>121</v>
      </c>
      <c r="O1" s="51" t="s">
        <v>99</v>
      </c>
      <c r="P1" s="52" t="s">
        <v>100</v>
      </c>
      <c r="Q1" s="46" t="s">
        <v>122</v>
      </c>
      <c r="R1" s="90" t="s">
        <v>93</v>
      </c>
      <c r="S1" s="91" t="s">
        <v>41</v>
      </c>
      <c r="T1" s="91" t="s">
        <v>69</v>
      </c>
      <c r="U1" s="92" t="s">
        <v>63</v>
      </c>
      <c r="V1" s="92" t="s">
        <v>116</v>
      </c>
      <c r="W1" s="91" t="s">
        <v>112</v>
      </c>
      <c r="X1" s="92" t="s">
        <v>32</v>
      </c>
      <c r="Y1" s="91" t="s">
        <v>106</v>
      </c>
      <c r="Z1" s="91" t="s">
        <v>144</v>
      </c>
      <c r="AA1" s="92" t="s">
        <v>62</v>
      </c>
      <c r="AB1" s="91" t="s">
        <v>73</v>
      </c>
      <c r="AC1" s="91" t="s">
        <v>91</v>
      </c>
      <c r="AD1" s="92" t="s">
        <v>95</v>
      </c>
      <c r="AE1" s="91" t="s">
        <v>92</v>
      </c>
      <c r="AF1" s="92" t="s">
        <v>67</v>
      </c>
      <c r="AG1" s="92" t="s">
        <v>56</v>
      </c>
      <c r="AH1" s="92" t="s">
        <v>218</v>
      </c>
      <c r="AI1" s="91" t="s">
        <v>104</v>
      </c>
      <c r="AJ1" s="91" t="s">
        <v>66</v>
      </c>
      <c r="AK1" s="91" t="s">
        <v>72</v>
      </c>
      <c r="AL1" s="92" t="s">
        <v>68</v>
      </c>
      <c r="AM1" s="92" t="s">
        <v>135</v>
      </c>
      <c r="AN1" s="93" t="s">
        <v>96</v>
      </c>
    </row>
    <row r="2" spans="1:40" x14ac:dyDescent="0.25">
      <c r="A2" s="2" t="s">
        <v>140</v>
      </c>
      <c r="B2" s="3" t="s">
        <v>79</v>
      </c>
      <c r="C2" s="3"/>
      <c r="D2" s="3"/>
      <c r="E2" s="3"/>
      <c r="F2" s="34">
        <f>SUMIFS('BA History S2'!C:C,'BA History S2'!B:B,A2)</f>
        <v>125</v>
      </c>
      <c r="G2" s="66">
        <f>AVERAGEIFS('BA History S2'!C:C,'BA History S2'!B:B,A2)</f>
        <v>12.5</v>
      </c>
      <c r="H2" s="35">
        <f t="array" ref="H2">MAX(IF('BA History S2'!B:B=A2, 'BA History S2'!C:C))</f>
        <v>22</v>
      </c>
      <c r="I2" s="34">
        <f>COUNTIFS('BA History S2'!B:B,A2,'BA History S2'!D:D, 1)</f>
        <v>5</v>
      </c>
      <c r="J2" s="2">
        <f>COUNTIFS('BA History S2'!B:B,A2,'BA History S2'!D:D, 0)</f>
        <v>5</v>
      </c>
      <c r="K2" s="75">
        <f>LOOKUP(2, 1/('BA History S2'!$B:$B=A2), 'BA History S2'!$AK:$AK)</f>
        <v>0.5</v>
      </c>
      <c r="L2" s="34">
        <f>SUMIFS('BA History S2'!F:F,'BA History S2'!B:B,A2)</f>
        <v>22</v>
      </c>
      <c r="M2" s="2">
        <f>SUMIFS('BA History S2'!E:E,'BA History S2'!B:B,A2)-L2</f>
        <v>19</v>
      </c>
      <c r="N2" s="75">
        <f>LOOKUP(2, 1/('BA History S2'!$B:$B=A2), 'BA History S2'!$AI:$AI)</f>
        <v>0.55500000000000005</v>
      </c>
      <c r="O2" s="34">
        <f>SUMIFS('BA History S2'!H:H,'BA History S2'!B:B,A2)</f>
        <v>89</v>
      </c>
      <c r="P2" s="2">
        <f>SUMIFS('BA History S2'!G:G,'BA History S2'!B:B,A2)-O2</f>
        <v>84</v>
      </c>
      <c r="Q2" s="89">
        <f>LOOKUP(2, 1/('BA History S2'!$B:$B=A2), 'BA History S2'!$AJ:$AJ)</f>
        <v>0.52899999999999991</v>
      </c>
      <c r="R2" s="2">
        <f>COUNTIFS('BA History S2'!$B:$B,$A$2,'BA History S2'!K:K, 1)</f>
        <v>0</v>
      </c>
      <c r="S2" s="2">
        <f>COUNTIFS('BA History S2'!$B:$B,$A$2,'BA History S2'!L:L, 1)</f>
        <v>1</v>
      </c>
      <c r="T2" s="2">
        <f>COUNTIFS('BA History S2'!$B:$B,$A$2,'BA History S2'!M:M, 1)</f>
        <v>3</v>
      </c>
      <c r="U2" s="2">
        <f>COUNTIFS('BA History S2'!$B:$B,$A$2,'BA History S2'!N:N, 1)</f>
        <v>3</v>
      </c>
      <c r="V2" s="2">
        <f>COUNTIFS('BA History S2'!$B:$B,$A$2,'BA History S2'!O:O, 1)</f>
        <v>2</v>
      </c>
      <c r="W2" s="2">
        <f>COUNTIFS('BA History S2'!$B:$B,$A$2,'BA History S2'!P:P, 1)</f>
        <v>0</v>
      </c>
      <c r="X2" s="2">
        <f>COUNTIFS('BA History S2'!$B:$B,$A$2,'BA History S2'!Q:Q, 1)</f>
        <v>0</v>
      </c>
      <c r="Y2" s="2">
        <f>COUNTIFS('BA History S2'!$B:$B,$A$2,'BA History S2'!R:R, 1)</f>
        <v>0</v>
      </c>
      <c r="Z2" s="2">
        <f>COUNTIFS('BA History S2'!$B:$B,$A$2,'BA History S2'!S:S, 1)</f>
        <v>0</v>
      </c>
      <c r="AA2" s="2">
        <f>COUNTIFS('BA History S2'!$B:$B,$A$2,'BA History S2'!T:T, 1)</f>
        <v>0</v>
      </c>
      <c r="AB2" s="2">
        <f>COUNTIFS('BA History S2'!$B:$B,$A$2,'BA History S2'!U:U, 1)</f>
        <v>0</v>
      </c>
      <c r="AC2" s="2">
        <f>COUNTIFS('BA History S2'!$B:$B,$A$2,'BA History S2'!V:V, 1)</f>
        <v>1</v>
      </c>
      <c r="AD2" s="2">
        <f>COUNTIFS('BA History S2'!$B:$B,$A$2,'BA History S2'!W:W, 1)</f>
        <v>1</v>
      </c>
      <c r="AE2" s="2">
        <f>COUNTIFS('BA History S2'!$B:$B,$A$2,'BA History S2'!X:X, 1)</f>
        <v>0</v>
      </c>
      <c r="AF2" s="2">
        <f>COUNTIFS('BA History S2'!$B:$B,$A$2,'BA History S2'!Y:Y, 1)</f>
        <v>1</v>
      </c>
      <c r="AG2" s="2">
        <f>COUNTIFS('BA History S2'!$B:$B,$A$2,'BA History S2'!Z:Z, 1)</f>
        <v>4</v>
      </c>
      <c r="AH2" s="2">
        <f>COUNTIFS('BA History S2'!$B:$B,$A2,'BA History S2'!AA:AA, 1)</f>
        <v>0</v>
      </c>
      <c r="AI2" s="2">
        <f>COUNTIFS('BA History S2'!$B:$B,$A$2,'BA History S2'!AB:AB, 1)</f>
        <v>0</v>
      </c>
      <c r="AJ2" s="2">
        <f>COUNTIFS('BA History S2'!$B:$B,$A$2,'BA History S2'!AC:AC, 1)</f>
        <v>2</v>
      </c>
      <c r="AK2" s="2">
        <f>COUNTIFS('BA History S2'!$B:$B,$A$2,'BA History S2'!AD:AD, 1)</f>
        <v>0</v>
      </c>
      <c r="AL2" s="2">
        <f>COUNTIFS('BA History S2'!$B:$B,$A$2,'BA History S2'!AE:AE, 1)</f>
        <v>2</v>
      </c>
      <c r="AM2" s="2">
        <f>COUNTIFS('BA History S2'!$B:$B,$A$2,'BA History S2'!AF:AF, 1)</f>
        <v>0</v>
      </c>
      <c r="AN2" s="2">
        <f>COUNTIFS('BA History S2'!$B:$B,$A$2,'BA History S2'!AG:AG, 1)</f>
        <v>2</v>
      </c>
    </row>
    <row r="3" spans="1:40" x14ac:dyDescent="0.25">
      <c r="A3" s="2" t="s">
        <v>37</v>
      </c>
      <c r="B3" s="2" t="s">
        <v>79</v>
      </c>
      <c r="C3" s="2"/>
      <c r="D3" s="2"/>
      <c r="E3" s="2"/>
      <c r="F3" s="34">
        <f>SUMIFS('BA History S2'!C:C,'BA History S2'!B:B,A3)</f>
        <v>77</v>
      </c>
      <c r="G3" s="66">
        <f>AVERAGEIFS('BA History S2'!C:C,'BA History S2'!B:B,A3)</f>
        <v>19.25</v>
      </c>
      <c r="H3" s="35">
        <f t="array" ref="H3">MAX(IF('BA History S2'!B:B=A3, 'BA History S2'!C:C))</f>
        <v>27</v>
      </c>
      <c r="I3" s="34">
        <f>COUNTIFS('BA History S2'!B:B,A3,'BA History S2'!D:D, 1)</f>
        <v>4</v>
      </c>
      <c r="J3" s="2">
        <f>COUNTIFS('BA History S2'!B:B,A3,'BA History S2'!D:D, 0)</f>
        <v>0</v>
      </c>
      <c r="K3" s="75">
        <f>LOOKUP(2, 1/('BA History S2'!$B:$B=A3), 'BA History S2'!$AK:$AK)</f>
        <v>1</v>
      </c>
      <c r="L3" s="34">
        <f>SUMIFS('BA History S2'!F:F,'BA History S2'!B:B,A3)</f>
        <v>12</v>
      </c>
      <c r="M3" s="2">
        <f>SUMIFS('BA History S2'!E:E,'BA History S2'!B:B,A3)-L3</f>
        <v>3</v>
      </c>
      <c r="N3" s="75">
        <f>LOOKUP(2, 1/('BA History S2'!$B:$B=A3), 'BA History S2'!$AI:$AI)</f>
        <v>0.8125</v>
      </c>
      <c r="O3" s="34">
        <f>SUMIFS('BA History S2'!H:H,'BA History S2'!B:B,A3)</f>
        <v>40</v>
      </c>
      <c r="P3" s="2">
        <f>SUMIFS('BA History S2'!G:G,'BA History S2'!B:B,A3)-O3</f>
        <v>26</v>
      </c>
      <c r="Q3" s="89">
        <f>LOOKUP(2, 1/('BA History S2'!$B:$B=A3), 'BA History S2'!$AJ:$AJ)</f>
        <v>0.61</v>
      </c>
      <c r="R3" s="2">
        <f>COUNTIFS('BA History S2'!$B:$B,$A$3,'BA History S2'!K:K, 1)</f>
        <v>0</v>
      </c>
      <c r="S3" s="2">
        <f>COUNTIFS('BA History S2'!$B:$B,$A$3,'BA History S2'!L:L, 1)</f>
        <v>0</v>
      </c>
      <c r="T3" s="2">
        <f>COUNTIFS('BA History S2'!$B:$B,$A$3,'BA History S2'!M:M, 1)</f>
        <v>2</v>
      </c>
      <c r="U3" s="2">
        <f>COUNTIFS('BA History S2'!$B:$B,$A$3,'BA History S2'!N:N, 1)</f>
        <v>0</v>
      </c>
      <c r="V3" s="2">
        <f>COUNTIFS('BA History S2'!$B:$B,$A$3,'BA History S2'!O:O, 1)</f>
        <v>0</v>
      </c>
      <c r="W3" s="2">
        <f>COUNTIFS('BA History S2'!$B:$B,$A$3,'BA History S2'!P:P, 1)</f>
        <v>0</v>
      </c>
      <c r="X3" s="2">
        <f>COUNTIFS('BA History S2'!$B:$B,$A$3,'BA History S2'!Q:Q, 1)</f>
        <v>1</v>
      </c>
      <c r="Y3" s="2">
        <f>COUNTIFS('BA History S2'!$B:$B,$A$3,'BA History S2'!R:R, 1)</f>
        <v>1</v>
      </c>
      <c r="Z3" s="2">
        <f>COUNTIFS('BA History S2'!$B:$B,$A$3,'BA History S2'!S:S, 1)</f>
        <v>0</v>
      </c>
      <c r="AA3" s="2">
        <f>COUNTIFS('BA History S2'!$B:$B,$A$3,'BA History S2'!T:T, 1)</f>
        <v>0</v>
      </c>
      <c r="AB3" s="2">
        <f>COUNTIFS('BA History S2'!$B:$B,$A$3,'BA History S2'!U:U, 1)</f>
        <v>0</v>
      </c>
      <c r="AC3" s="2">
        <f>COUNTIFS('BA History S2'!$B:$B,$A$3,'BA History S2'!V:V, 1)</f>
        <v>0</v>
      </c>
      <c r="AD3" s="2">
        <f>COUNTIFS('BA History S2'!$B:$B,$A$3,'BA History S2'!W:W, 1)</f>
        <v>0</v>
      </c>
      <c r="AE3" s="2">
        <f>COUNTIFS('BA History S2'!$B:$B,$A$3,'BA History S2'!X:X, 1)</f>
        <v>0</v>
      </c>
      <c r="AF3" s="2">
        <f>COUNTIFS('BA History S2'!$B:$B,$A$3,'BA History S2'!Y:Y, 1)</f>
        <v>1</v>
      </c>
      <c r="AG3" s="2">
        <f>COUNTIFS('BA History S2'!$B:$B,$A$3,'BA History S2'!Z:Z, 1)</f>
        <v>2</v>
      </c>
      <c r="AH3" s="2">
        <f>COUNTIFS('BA History S2'!$B:$B,$A3,'BA History S2'!AA:AA, 1)</f>
        <v>0</v>
      </c>
      <c r="AI3" s="2">
        <f>COUNTIFS('BA History S2'!$B:$B,$A$3,'BA History S2'!AB:AB, 1)</f>
        <v>0</v>
      </c>
      <c r="AJ3" s="2">
        <f>COUNTIFS('BA History S2'!$B:$B,$A$3,'BA History S2'!AC:AC, 1)</f>
        <v>2</v>
      </c>
      <c r="AK3" s="2">
        <f>COUNTIFS('BA History S2'!$B:$B,$A$3,'BA History S2'!AD:AD, 1)</f>
        <v>0</v>
      </c>
      <c r="AL3" s="2">
        <f>COUNTIFS('BA History S2'!$B:$B,$A$3,'BA History S2'!AE:AE, 1)</f>
        <v>1</v>
      </c>
      <c r="AM3" s="2">
        <f>COUNTIFS('BA History S2'!$B:$B,$A$3,'BA History S2'!AF:AF, 1)</f>
        <v>0</v>
      </c>
      <c r="AN3" s="2">
        <f>COUNTIFS('BA History S2'!$B:$B,$A$3,'BA History S2'!AG:AG, 1)</f>
        <v>2</v>
      </c>
    </row>
    <row r="4" spans="1:40" x14ac:dyDescent="0.25">
      <c r="A4" s="2" t="s">
        <v>71</v>
      </c>
      <c r="B4" s="2" t="s">
        <v>79</v>
      </c>
      <c r="C4" s="2"/>
      <c r="D4" s="2">
        <v>1</v>
      </c>
      <c r="E4" s="2"/>
      <c r="F4" s="34">
        <f>SUMIFS('BA History S2'!C:C,'BA History S2'!B:B,A4)</f>
        <v>371</v>
      </c>
      <c r="G4" s="66">
        <f>AVERAGEIFS('BA History S2'!C:C,'BA History S2'!B:B,A4)</f>
        <v>17.666666666666668</v>
      </c>
      <c r="H4" s="35">
        <f t="array" ref="H4">MAX(IF('BA History S2'!B:B=A4, 'BA History S2'!C:C))</f>
        <v>44</v>
      </c>
      <c r="I4" s="34">
        <f>COUNTIFS('BA History S2'!B:B,A4,'BA History S2'!D:D, 1)</f>
        <v>10</v>
      </c>
      <c r="J4" s="2">
        <f>COUNTIFS('BA History S2'!B:B,A4,'BA History S2'!D:D, 0)</f>
        <v>11</v>
      </c>
      <c r="K4" s="75">
        <f>LOOKUP(2, 1/('BA History S2'!$B:$B=A4), 'BA History S2'!$AK:$AK)</f>
        <v>0.47619047619047616</v>
      </c>
      <c r="L4" s="34">
        <f>SUMIFS('BA History S2'!F:F,'BA History S2'!B:B,A4)</f>
        <v>43</v>
      </c>
      <c r="M4" s="2">
        <f>SUMIFS('BA History S2'!E:E,'BA History S2'!B:B,A4)-L4</f>
        <v>46</v>
      </c>
      <c r="N4" s="75">
        <f>LOOKUP(2, 1/('BA History S2'!$B:$B=A4), 'BA History S2'!$AI:$AI)</f>
        <v>0.47619047619047616</v>
      </c>
      <c r="O4" s="34">
        <f>SUMIFS('BA History S2'!H:H,'BA History S2'!B:B,A4)</f>
        <v>187</v>
      </c>
      <c r="P4" s="2">
        <f>SUMIFS('BA History S2'!G:G,'BA History S2'!B:B,A4)-O4</f>
        <v>201</v>
      </c>
      <c r="Q4" s="89">
        <f>LOOKUP(2, 1/('BA History S2'!$B:$B=A4), 'BA History S2'!$AJ:$AJ)</f>
        <v>0.47809523809523807</v>
      </c>
      <c r="R4" s="2">
        <f>COUNTIFS('BA History S2'!$B:$B,$A$4,'BA History S2'!K:K, 1)</f>
        <v>3</v>
      </c>
      <c r="S4" s="2">
        <f>COUNTIFS('BA History S2'!$B:$B,$A$4,'BA History S2'!L:L, 1)</f>
        <v>5</v>
      </c>
      <c r="T4" s="2">
        <f>COUNTIFS('BA History S2'!$B:$B,$A$4,'BA History S2'!M:M, 1)</f>
        <v>5</v>
      </c>
      <c r="U4" s="2">
        <f>COUNTIFS('BA History S2'!$B:$B,$A$4,'BA History S2'!N:N, 1)</f>
        <v>4</v>
      </c>
      <c r="V4" s="2">
        <f>COUNTIFS('BA History S2'!$B:$B,$A$4,'BA History S2'!O:O, 1)</f>
        <v>1</v>
      </c>
      <c r="W4" s="2">
        <f>COUNTIFS('BA History S2'!$B:$B,$A$4,'BA History S2'!P:P, 1)</f>
        <v>0</v>
      </c>
      <c r="X4" s="2">
        <f>COUNTIFS('BA History S2'!$B:$B,$A$4,'BA History S2'!Q:Q, 1)</f>
        <v>0</v>
      </c>
      <c r="Y4" s="2">
        <f>COUNTIFS('BA History S2'!$B:$B,$A$4,'BA History S2'!R:R, 1)</f>
        <v>0</v>
      </c>
      <c r="Z4" s="2">
        <f>COUNTIFS('BA History S2'!$B:$B,$A$4,'BA History S2'!S:S, 1)</f>
        <v>0</v>
      </c>
      <c r="AA4" s="2">
        <f>COUNTIFS('BA History S2'!$B:$B,$A$4,'BA History S2'!T:T, 1)</f>
        <v>0</v>
      </c>
      <c r="AB4" s="2">
        <f>COUNTIFS('BA History S2'!$B:$B,$A$4,'BA History S2'!U:U, 1)</f>
        <v>1</v>
      </c>
      <c r="AC4" s="2">
        <f>COUNTIFS('BA History S2'!$B:$B,$A$4,'BA History S2'!V:V, 1)</f>
        <v>2</v>
      </c>
      <c r="AD4" s="2">
        <f>COUNTIFS('BA History S2'!$B:$B,$A$4,'BA History S2'!W:W, 1)</f>
        <v>2</v>
      </c>
      <c r="AE4" s="2">
        <f>COUNTIFS('BA History S2'!$B:$B,$A$4,'BA History S2'!X:X, 1)</f>
        <v>0</v>
      </c>
      <c r="AF4" s="2">
        <f>COUNTIFS('BA History S2'!$B:$B,$A$4,'BA History S2'!Y:Y, 1)</f>
        <v>1</v>
      </c>
      <c r="AG4" s="2">
        <f>COUNTIFS('BA History S2'!$B:$B,$A$4,'BA History S2'!Z:Z, 1)</f>
        <v>3</v>
      </c>
      <c r="AH4" s="2">
        <f>COUNTIFS('BA History S2'!$B:$B,$A4,'BA History S2'!AA:AA, 1)</f>
        <v>0</v>
      </c>
      <c r="AI4" s="2">
        <f>COUNTIFS('BA History S2'!$B:$B,$A$4,'BA History S2'!AB:AB, 1)</f>
        <v>1</v>
      </c>
      <c r="AJ4" s="2">
        <f>COUNTIFS('BA History S2'!$B:$B,$A$4,'BA History S2'!AC:AC, 1)</f>
        <v>6</v>
      </c>
      <c r="AK4" s="2">
        <f>COUNTIFS('BA History S2'!$B:$B,$A$4,'BA History S2'!AD:AD, 1)</f>
        <v>1</v>
      </c>
      <c r="AL4" s="2">
        <f>COUNTIFS('BA History S2'!$B:$B,$A$4,'BA History S2'!AE:AE, 1)</f>
        <v>3</v>
      </c>
      <c r="AM4" s="2">
        <f>COUNTIFS('BA History S2'!$B:$B,$A$4,'BA History S2'!AF:AF, 1)</f>
        <v>1</v>
      </c>
      <c r="AN4" s="2">
        <f>COUNTIFS('BA History S2'!$B:$B,$A$4,'BA History S2'!AG:AG, 1)</f>
        <v>4</v>
      </c>
    </row>
    <row r="5" spans="1:40" x14ac:dyDescent="0.25">
      <c r="A5" s="2" t="s">
        <v>35</v>
      </c>
      <c r="B5" s="2" t="s">
        <v>79</v>
      </c>
      <c r="C5" s="2"/>
      <c r="D5" s="2"/>
      <c r="E5" s="2"/>
      <c r="F5" s="34">
        <f>SUMIFS('BA History S2'!C:C,'BA History S2'!B:B,A5)</f>
        <v>70</v>
      </c>
      <c r="G5" s="66">
        <f>AVERAGEIFS('BA History S2'!C:C,'BA History S2'!B:B,A5)</f>
        <v>7.7777777777777777</v>
      </c>
      <c r="H5" s="35">
        <f t="array" ref="H5">MAX(IF('BA History S2'!B:B=A5, 'BA History S2'!C:C))</f>
        <v>11</v>
      </c>
      <c r="I5" s="34">
        <f>COUNTIFS('BA History S2'!B:B,A5,'BA History S2'!D:D, 1)</f>
        <v>2</v>
      </c>
      <c r="J5" s="2">
        <f>COUNTIFS('BA History S2'!B:B,A5,'BA History S2'!D:D, 0)</f>
        <v>7</v>
      </c>
      <c r="K5" s="75">
        <f>LOOKUP(2, 1/('BA History S2'!$B:$B=A5), 'BA History S2'!$AK:$AK)</f>
        <v>0.22222222222222221</v>
      </c>
      <c r="L5" s="34">
        <f>SUMIFS('BA History S2'!F:F,'BA History S2'!B:B,A5)</f>
        <v>13</v>
      </c>
      <c r="M5" s="2">
        <f>SUMIFS('BA History S2'!E:E,'BA History S2'!B:B,A5)-L5</f>
        <v>23</v>
      </c>
      <c r="N5" s="75">
        <f>LOOKUP(2, 1/('BA History S2'!$B:$B=A5), 'BA History S2'!$AI:$AI)</f>
        <v>0.35</v>
      </c>
      <c r="O5" s="34">
        <f>SUMIFS('BA History S2'!H:H,'BA History S2'!B:B,A5)</f>
        <v>64</v>
      </c>
      <c r="P5" s="2">
        <f>SUMIFS('BA History S2'!G:G,'BA History S2'!B:B,A5)-O5</f>
        <v>84</v>
      </c>
      <c r="Q5" s="89">
        <f>LOOKUP(2, 1/('BA History S2'!$B:$B=A5), 'BA History S2'!$AJ:$AJ)</f>
        <v>0.44111111111111112</v>
      </c>
      <c r="R5" s="2">
        <f>COUNTIFS('BA History S2'!$B:$B,$A$5,'BA History S2'!K:K, 1)</f>
        <v>2</v>
      </c>
      <c r="S5" s="2">
        <f>COUNTIFS('BA History S2'!$B:$B,$A$5,'BA History S2'!L:L, 1)</f>
        <v>0</v>
      </c>
      <c r="T5" s="2">
        <f>COUNTIFS('BA History S2'!$B:$B,$A$5,'BA History S2'!M:M, 1)</f>
        <v>1</v>
      </c>
      <c r="U5" s="2">
        <f>COUNTIFS('BA History S2'!$B:$B,$A$5,'BA History S2'!N:N, 1)</f>
        <v>0</v>
      </c>
      <c r="V5" s="2">
        <f>COUNTIFS('BA History S2'!$B:$B,$A$5,'BA History S2'!O:O, 1)</f>
        <v>0</v>
      </c>
      <c r="W5" s="2">
        <f>COUNTIFS('BA History S2'!$B:$B,$A$5,'BA History S2'!P:P, 1)</f>
        <v>0</v>
      </c>
      <c r="X5" s="2">
        <f>COUNTIFS('BA History S2'!$B:$B,$A$5,'BA History S2'!Q:Q, 1)</f>
        <v>0</v>
      </c>
      <c r="Y5" s="2">
        <f>COUNTIFS('BA History S2'!$B:$B,$A$5,'BA History S2'!R:R, 1)</f>
        <v>1</v>
      </c>
      <c r="Z5" s="2">
        <f>COUNTIFS('BA History S2'!$B:$B,$A$5,'BA History S2'!S:S, 1)</f>
        <v>0</v>
      </c>
      <c r="AA5" s="2">
        <f>COUNTIFS('BA History S2'!$B:$B,$A$5,'BA History S2'!T:T, 1)</f>
        <v>0</v>
      </c>
      <c r="AB5" s="2">
        <f>COUNTIFS('BA History S2'!$B:$B,$A$5,'BA History S2'!U:U, 1)</f>
        <v>0</v>
      </c>
      <c r="AC5" s="2">
        <f>COUNTIFS('BA History S2'!$B:$B,$A$5,'BA History S2'!V:V, 1)</f>
        <v>1</v>
      </c>
      <c r="AD5" s="2">
        <f>COUNTIFS('BA History S2'!$B:$B,$A$5,'BA History S2'!W:W, 1)</f>
        <v>1</v>
      </c>
      <c r="AE5" s="2">
        <f>COUNTIFS('BA History S2'!$B:$B,$A$5,'BA History S2'!X:X, 1)</f>
        <v>0</v>
      </c>
      <c r="AF5" s="2">
        <f>COUNTIFS('BA History S2'!$B:$B,$A$5,'BA History S2'!Y:Y, 1)</f>
        <v>0</v>
      </c>
      <c r="AG5" s="2">
        <f>COUNTIFS('BA History S2'!$B:$B,$A$5,'BA History S2'!Z:Z, 1)</f>
        <v>2</v>
      </c>
      <c r="AH5" s="2">
        <f>COUNTIFS('BA History S2'!$B:$B,$A5,'BA History S2'!AA:AA, 1)</f>
        <v>0</v>
      </c>
      <c r="AI5" s="2">
        <f>COUNTIFS('BA History S2'!$B:$B,$A$5,'BA History S2'!AB:AB, 1)</f>
        <v>0</v>
      </c>
      <c r="AJ5" s="2">
        <f>COUNTIFS('BA History S2'!$B:$B,$A$5,'BA History S2'!AC:AC, 1)</f>
        <v>2</v>
      </c>
      <c r="AK5" s="2">
        <f>COUNTIFS('BA History S2'!$B:$B,$A$5,'BA History S2'!AD:AD, 1)</f>
        <v>1</v>
      </c>
      <c r="AL5" s="2">
        <f>COUNTIFS('BA History S2'!$B:$B,$A$5,'BA History S2'!AE:AE, 1)</f>
        <v>1</v>
      </c>
      <c r="AM5" s="2">
        <f>COUNTIFS('BA History S2'!$B:$B,$A$5,'BA History S2'!AF:AF, 1)</f>
        <v>0</v>
      </c>
      <c r="AN5" s="2">
        <f>COUNTIFS('BA History S2'!$B:$B,$A$5,'BA History S2'!AG:AG, 1)</f>
        <v>1</v>
      </c>
    </row>
    <row r="6" spans="1:40" x14ac:dyDescent="0.25">
      <c r="A6" s="2" t="s">
        <v>42</v>
      </c>
      <c r="B6" s="2" t="s">
        <v>79</v>
      </c>
      <c r="C6" s="2"/>
      <c r="D6" s="2"/>
      <c r="E6" s="2"/>
      <c r="F6" s="34">
        <f>SUMIFS('BA History S2'!C:C,'BA History S2'!B:B,A6)</f>
        <v>501</v>
      </c>
      <c r="G6" s="66">
        <f>AVERAGEIFS('BA History S2'!C:C,'BA History S2'!B:B,A6)</f>
        <v>17.275862068965516</v>
      </c>
      <c r="H6" s="35">
        <f t="array" ref="H6">MAX(IF('BA History S2'!B:B=A6, 'BA History S2'!C:C))</f>
        <v>40</v>
      </c>
      <c r="I6" s="34">
        <f>COUNTIFS('BA History S2'!B:B,A6,'BA History S2'!D:D, 1)</f>
        <v>14</v>
      </c>
      <c r="J6" s="2">
        <f>COUNTIFS('BA History S2'!B:B,A6,'BA History S2'!D:D, 0)</f>
        <v>15</v>
      </c>
      <c r="K6" s="75">
        <f>LOOKUP(2, 1/('BA History S2'!$B:$B=A6), 'BA History S2'!$AK:$AK)</f>
        <v>0.48275862068965519</v>
      </c>
      <c r="L6" s="34">
        <f>SUMIFS('BA History S2'!F:F,'BA History S2'!B:B,A6)</f>
        <v>57</v>
      </c>
      <c r="M6" s="2">
        <f>SUMIFS('BA History S2'!E:E,'BA History S2'!B:B,A6)-L6</f>
        <v>60</v>
      </c>
      <c r="N6" s="75">
        <f>LOOKUP(2, 1/('BA History S2'!$B:$B=A6), 'BA History S2'!$AI:$AI)</f>
        <v>0.48620689655172411</v>
      </c>
      <c r="O6" s="34">
        <f>SUMIFS('BA History S2'!H:H,'BA History S2'!B:B,A6)</f>
        <v>238</v>
      </c>
      <c r="P6" s="2">
        <f>SUMIFS('BA History S2'!G:G,'BA History S2'!B:B,A6)-O6</f>
        <v>252</v>
      </c>
      <c r="Q6" s="89">
        <f>LOOKUP(2, 1/('BA History S2'!$B:$B=A6), 'BA History S2'!$AJ:$AJ)</f>
        <v>0.47827586206896561</v>
      </c>
      <c r="R6" s="2">
        <f>COUNTIFS('BA History S2'!$B:$B,$A$6,'BA History S2'!K:K, 1)</f>
        <v>6</v>
      </c>
      <c r="S6" s="2">
        <f>COUNTIFS('BA History S2'!$B:$B,$A$6,'BA History S2'!L:L, 1)</f>
        <v>2</v>
      </c>
      <c r="T6" s="2">
        <f>COUNTIFS('BA History S2'!$B:$B,$A$6,'BA History S2'!M:M, 1)</f>
        <v>5</v>
      </c>
      <c r="U6" s="2">
        <f>COUNTIFS('BA History S2'!$B:$B,$A$6,'BA History S2'!N:N, 1)</f>
        <v>3</v>
      </c>
      <c r="V6" s="2">
        <f>COUNTIFS('BA History S2'!$B:$B,$A$6,'BA History S2'!O:O, 1)</f>
        <v>0</v>
      </c>
      <c r="W6" s="2">
        <f>COUNTIFS('BA History S2'!$B:$B,$A$6,'BA History S2'!P:P, 1)</f>
        <v>1</v>
      </c>
      <c r="X6" s="2">
        <f>COUNTIFS('BA History S2'!$B:$B,$A$6,'BA History S2'!Q:Q, 1)</f>
        <v>0</v>
      </c>
      <c r="Y6" s="2">
        <f>COUNTIFS('BA History S2'!$B:$B,$A$6,'BA History S2'!R:R, 1)</f>
        <v>0</v>
      </c>
      <c r="Z6" s="2">
        <f>COUNTIFS('BA History S2'!$B:$B,$A$6,'BA History S2'!S:S, 1)</f>
        <v>2</v>
      </c>
      <c r="AA6" s="2">
        <f>COUNTIFS('BA History S2'!$B:$B,$A$6,'BA History S2'!T:T, 1)</f>
        <v>0</v>
      </c>
      <c r="AB6" s="2">
        <f>COUNTIFS('BA History S2'!$B:$B,$A$6,'BA History S2'!U:U, 1)</f>
        <v>2</v>
      </c>
      <c r="AC6" s="2">
        <f>COUNTIFS('BA History S2'!$B:$B,$A$6,'BA History S2'!V:V, 1)</f>
        <v>2</v>
      </c>
      <c r="AD6" s="2">
        <f>COUNTIFS('BA History S2'!$B:$B,$A$6,'BA History S2'!W:W, 1)</f>
        <v>1</v>
      </c>
      <c r="AE6" s="2">
        <f>COUNTIFS('BA History S2'!$B:$B,$A$6,'BA History S2'!X:X, 1)</f>
        <v>0</v>
      </c>
      <c r="AF6" s="2">
        <f>COUNTIFS('BA History S2'!$B:$B,$A$6,'BA History S2'!Y:Y, 1)</f>
        <v>4</v>
      </c>
      <c r="AG6" s="2">
        <f>COUNTIFS('BA History S2'!$B:$B,$A$6,'BA History S2'!Z:Z, 1)</f>
        <v>5</v>
      </c>
      <c r="AH6" s="2">
        <f>COUNTIFS('BA History S2'!$B:$B,$A6,'BA History S2'!AA:AA, 1)</f>
        <v>0</v>
      </c>
      <c r="AI6" s="2">
        <f>COUNTIFS('BA History S2'!$B:$B,$A$6,'BA History S2'!AB:AB, 1)</f>
        <v>2</v>
      </c>
      <c r="AJ6" s="2">
        <f>COUNTIFS('BA History S2'!$B:$B,$A$6,'BA History S2'!AC:AC, 1)</f>
        <v>11</v>
      </c>
      <c r="AK6" s="2">
        <f>COUNTIFS('BA History S2'!$B:$B,$A$6,'BA History S2'!AD:AD, 1)</f>
        <v>3</v>
      </c>
      <c r="AL6" s="2">
        <f>COUNTIFS('BA History S2'!$B:$B,$A$6,'BA History S2'!AE:AE, 1)</f>
        <v>4</v>
      </c>
      <c r="AM6" s="2">
        <f>COUNTIFS('BA History S2'!$B:$B,$A$6,'BA History S2'!AF:AF, 1)</f>
        <v>0</v>
      </c>
      <c r="AN6" s="2">
        <f>COUNTIFS('BA History S2'!$B:$B,$A$6,'BA History S2'!AG:AG, 1)</f>
        <v>4</v>
      </c>
    </row>
    <row r="7" spans="1:40" x14ac:dyDescent="0.25">
      <c r="A7" s="2" t="s">
        <v>179</v>
      </c>
      <c r="B7" s="2" t="s">
        <v>79</v>
      </c>
      <c r="C7" s="2"/>
      <c r="D7" s="2"/>
      <c r="E7" s="2"/>
      <c r="F7" s="34">
        <f>SUMIFS('BA History S2'!C:C,'BA History S2'!B:B,A7)</f>
        <v>227</v>
      </c>
      <c r="G7" s="66">
        <f>AVERAGEIFS('BA History S2'!C:C,'BA History S2'!B:B,A7)</f>
        <v>18.916666666666668</v>
      </c>
      <c r="H7" s="35">
        <f t="array" ref="H7">MAX(IF('BA History S2'!B:B=A7, 'BA History S2'!C:C))</f>
        <v>30</v>
      </c>
      <c r="I7" s="34">
        <f>COUNTIFS('BA History S2'!B:B,A7,'BA History S2'!D:D, 1)</f>
        <v>5</v>
      </c>
      <c r="J7" s="2">
        <f>COUNTIFS('BA History S2'!B:B,A7,'BA History S2'!D:D, 0)</f>
        <v>7</v>
      </c>
      <c r="K7" s="75">
        <f>LOOKUP(2, 1/('BA History S2'!$B:$B=A7), 'BA History S2'!$AK:$AK)</f>
        <v>0.41666666666666669</v>
      </c>
      <c r="L7" s="34">
        <f>SUMIFS('BA History S2'!F:F,'BA History S2'!B:B,A7)</f>
        <v>25</v>
      </c>
      <c r="M7" s="2">
        <f>SUMIFS('BA History S2'!E:E,'BA History S2'!B:B,A7)-L7</f>
        <v>26</v>
      </c>
      <c r="N7" s="75">
        <f>LOOKUP(2, 1/('BA History S2'!$B:$B=A7), 'BA History S2'!$AI:$AI)</f>
        <v>0.49583333333333329</v>
      </c>
      <c r="O7" s="34">
        <f>SUMIFS('BA History S2'!H:H,'BA History S2'!B:B,A7)</f>
        <v>104</v>
      </c>
      <c r="P7" s="2">
        <f>SUMIFS('BA History S2'!G:G,'BA History S2'!B:B,A7)-O7</f>
        <v>108</v>
      </c>
      <c r="Q7" s="89">
        <f>LOOKUP(2, 1/('BA History S2'!$B:$B=A7), 'BA History S2'!$AJ:$AJ)</f>
        <v>0.49916666666666659</v>
      </c>
      <c r="R7" s="2">
        <f>COUNTIFS('BA History S2'!$B:$B,$A$7,'BA History S2'!K:K, 1)</f>
        <v>2</v>
      </c>
      <c r="S7" s="2">
        <f>COUNTIFS('BA History S2'!$B:$B,$A$7,'BA History S2'!L:L, 1)</f>
        <v>1</v>
      </c>
      <c r="T7" s="2">
        <f>COUNTIFS('BA History S2'!$B:$B,$A$7,'BA History S2'!M:M, 1)</f>
        <v>1</v>
      </c>
      <c r="U7" s="2">
        <f>COUNTIFS('BA History S2'!$B:$B,$A$7,'BA History S2'!N:N, 1)</f>
        <v>4</v>
      </c>
      <c r="V7" s="2">
        <f>COUNTIFS('BA History S2'!$B:$B,$A$7,'BA History S2'!O:O, 1)</f>
        <v>1</v>
      </c>
      <c r="W7" s="2">
        <f>COUNTIFS('BA History S2'!$B:$B,$A$7,'BA History S2'!P:P, 1)</f>
        <v>0</v>
      </c>
      <c r="X7" s="2">
        <f>COUNTIFS('BA History S2'!$B:$B,$A$7,'BA History S2'!Q:Q, 1)</f>
        <v>1</v>
      </c>
      <c r="Y7" s="2">
        <f>COUNTIFS('BA History S2'!$B:$B,$A$7,'BA History S2'!R:R, 1)</f>
        <v>0</v>
      </c>
      <c r="Z7" s="2">
        <f>COUNTIFS('BA History S2'!$B:$B,$A$7,'BA History S2'!S:S, 1)</f>
        <v>0</v>
      </c>
      <c r="AA7" s="2">
        <f>COUNTIFS('BA History S2'!$B:$B,$A$7,'BA History S2'!T:T, 1)</f>
        <v>0</v>
      </c>
      <c r="AB7" s="2">
        <f>COUNTIFS('BA History S2'!$B:$B,$A$7,'BA History S2'!U:U, 1)</f>
        <v>0</v>
      </c>
      <c r="AC7" s="2">
        <f>COUNTIFS('BA History S2'!$B:$B,$A$7,'BA History S2'!V:V, 1)</f>
        <v>1</v>
      </c>
      <c r="AD7" s="2">
        <f>COUNTIFS('BA History S2'!$B:$B,$A$7,'BA History S2'!W:W, 1)</f>
        <v>1</v>
      </c>
      <c r="AE7" s="2">
        <f>COUNTIFS('BA History S2'!$B:$B,$A$7,'BA History S2'!X:X, 1)</f>
        <v>0</v>
      </c>
      <c r="AF7" s="2">
        <f>COUNTIFS('BA History S2'!$B:$B,$A$7,'BA History S2'!Y:Y, 1)</f>
        <v>1</v>
      </c>
      <c r="AG7" s="2">
        <f>COUNTIFS('BA History S2'!$B:$B,$A$7,'BA History S2'!Z:Z, 1)</f>
        <v>1</v>
      </c>
      <c r="AH7" s="2">
        <f>COUNTIFS('BA History S2'!$B:$B,$A7,'BA History S2'!AA:AA, 1)</f>
        <v>0</v>
      </c>
      <c r="AI7" s="2">
        <f>COUNTIFS('BA History S2'!$B:$B,$A$7,'BA History S2'!AB:AB, 1)</f>
        <v>0</v>
      </c>
      <c r="AJ7" s="2">
        <f>COUNTIFS('BA History S2'!$B:$B,$A$7,'BA History S2'!AC:AC, 1)</f>
        <v>4</v>
      </c>
      <c r="AK7" s="2">
        <f>COUNTIFS('BA History S2'!$B:$B,$A$7,'BA History S2'!AD:AD, 1)</f>
        <v>0</v>
      </c>
      <c r="AL7" s="2">
        <f>COUNTIFS('BA History S2'!$B:$B,$A$7,'BA History S2'!AE:AE, 1)</f>
        <v>3</v>
      </c>
      <c r="AM7" s="2">
        <f>COUNTIFS('BA History S2'!$B:$B,$A$7,'BA History S2'!AF:AF, 1)</f>
        <v>1</v>
      </c>
      <c r="AN7" s="2">
        <f>COUNTIFS('BA History S2'!$B:$B,$A$7,'BA History S2'!AG:AG, 1)</f>
        <v>3</v>
      </c>
    </row>
    <row r="8" spans="1:40" x14ac:dyDescent="0.25">
      <c r="A8" s="2" t="s">
        <v>214</v>
      </c>
      <c r="B8" s="2" t="s">
        <v>79</v>
      </c>
      <c r="C8" s="2"/>
      <c r="D8" s="2"/>
      <c r="E8" s="2"/>
      <c r="F8" s="34">
        <f>SUMIFS('BA History S2'!C:C,'BA History S2'!B:B,A8)</f>
        <v>20</v>
      </c>
      <c r="G8" s="66">
        <f>AVERAGEIFS('BA History S2'!C:C,'BA History S2'!B:B,A8)</f>
        <v>3.3333333333333335</v>
      </c>
      <c r="H8" s="35">
        <f t="array" ref="H8">MAX(IF('BA History S2'!B:B=A8, 'BA History S2'!C:C))</f>
        <v>6</v>
      </c>
      <c r="I8" s="34">
        <f>COUNTIFS('BA History S2'!B:B,A8,'BA History S2'!D:D, 1)</f>
        <v>5</v>
      </c>
      <c r="J8" s="2">
        <f>COUNTIFS('BA History S2'!B:B,A8,'BA History S2'!D:D, 0)</f>
        <v>1</v>
      </c>
      <c r="K8" s="75">
        <f>LOOKUP(2, 1/('BA History S2'!$B:$B=A8), 'BA History S2'!$AK:$AK)</f>
        <v>0.83333333333333337</v>
      </c>
      <c r="L8" s="34">
        <f>SUMIFS('BA History S2'!F:F,'BA History S2'!B:B,A8)</f>
        <v>16</v>
      </c>
      <c r="M8" s="2">
        <f>SUMIFS('BA History S2'!E:E,'BA History S2'!B:B,A8)-L8</f>
        <v>8</v>
      </c>
      <c r="N8" s="75">
        <f>LOOKUP(2, 1/('BA History S2'!$B:$B=A8), 'BA History S2'!$AI:$AI)</f>
        <v>0.68333333333333324</v>
      </c>
      <c r="O8" s="34">
        <f>SUMIFS('BA History S2'!H:H,'BA History S2'!B:B,A8)</f>
        <v>58</v>
      </c>
      <c r="P8" s="2">
        <f>SUMIFS('BA History S2'!G:G,'BA History S2'!B:B,A8)-O8</f>
        <v>45</v>
      </c>
      <c r="Q8" s="89">
        <f>LOOKUP(2, 1/('BA History S2'!$B:$B=A8), 'BA History S2'!$AJ:$AJ)</f>
        <v>0.57499999999999996</v>
      </c>
      <c r="R8" s="2">
        <f>COUNTIFS('BA History S2'!$B:$B,$A$8,'BA History S2'!K:K, 1)</f>
        <v>1</v>
      </c>
      <c r="S8" s="2">
        <f>COUNTIFS('BA History S2'!$B:$B,$A$8,'BA History S2'!L:L, 1)</f>
        <v>1</v>
      </c>
      <c r="T8" s="2">
        <f>COUNTIFS('BA History S2'!$B:$B,$A$8,'BA History S2'!M:M, 1)</f>
        <v>2</v>
      </c>
      <c r="U8" s="2">
        <f>COUNTIFS('BA History S2'!$B:$B,$A$8,'BA History S2'!N:N, 1)</f>
        <v>2</v>
      </c>
      <c r="V8" s="2">
        <f>COUNTIFS('BA History S2'!$B:$B,$A$8,'BA History S2'!O:O, 1)</f>
        <v>0</v>
      </c>
      <c r="W8" s="2">
        <f>COUNTIFS('BA History S2'!$B:$B,$A$8,'BA History S2'!P:P, 1)</f>
        <v>0</v>
      </c>
      <c r="X8" s="2">
        <f>COUNTIFS('BA History S2'!$B:$B,$A$8,'BA History S2'!Q:Q, 1)</f>
        <v>1</v>
      </c>
      <c r="Y8" s="2">
        <f>COUNTIFS('BA History S2'!$B:$B,$A$8,'BA History S2'!R:R, 1)</f>
        <v>0</v>
      </c>
      <c r="Z8" s="2">
        <f>COUNTIFS('BA History S2'!$B:$B,$A$8,'BA History S2'!S:S, 1)</f>
        <v>0</v>
      </c>
      <c r="AA8" s="2">
        <f>COUNTIFS('BA History S2'!$B:$B,$A$8,'BA History S2'!T:T, 1)</f>
        <v>0</v>
      </c>
      <c r="AB8" s="2">
        <f>COUNTIFS('BA History S2'!$B:$B,$A$8,'BA History S2'!U:U, 1)</f>
        <v>0</v>
      </c>
      <c r="AC8" s="2">
        <f>COUNTIFS('BA History S2'!$B:$B,$A$8,'BA History S2'!V:V, 1)</f>
        <v>0</v>
      </c>
      <c r="AD8" s="2">
        <f>COUNTIFS('BA History S2'!$B:$B,$A$8,'BA History S2'!W:W, 1)</f>
        <v>1</v>
      </c>
      <c r="AE8" s="2">
        <f>COUNTIFS('BA History S2'!$B:$B,$A$8,'BA History S2'!X:X, 1)</f>
        <v>0</v>
      </c>
      <c r="AF8" s="2">
        <f>COUNTIFS('BA History S2'!$B:$B,$A$8,'BA History S2'!Y:Y, 1)</f>
        <v>2</v>
      </c>
      <c r="AG8" s="2">
        <f>COUNTIFS('BA History S2'!$B:$B,$A$8,'BA History S2'!Z:Z, 1)</f>
        <v>1</v>
      </c>
      <c r="AH8" s="2">
        <f>COUNTIFS('BA History S2'!$B:$B,$A$8,'BA History S2'!AA:AA, 1)</f>
        <v>0</v>
      </c>
      <c r="AI8" s="2">
        <f>COUNTIFS('BA History S2'!$B:$B,$A$8,'BA History S2'!AB:AB, 1)</f>
        <v>1</v>
      </c>
      <c r="AJ8" s="2">
        <f>COUNTIFS('BA History S2'!$B:$B,$A$8,'BA History S2'!AC:AC, 1)</f>
        <v>1</v>
      </c>
      <c r="AK8" s="2">
        <f>COUNTIFS('BA History S2'!$B:$B,$A$8,'BA History S2'!AD:AD, 1)</f>
        <v>0</v>
      </c>
      <c r="AL8" s="2">
        <f>COUNTIFS('BA History S2'!$B:$B,$A$8,'BA History S2'!AE:AE, 1)</f>
        <v>2</v>
      </c>
      <c r="AM8" s="2">
        <f>COUNTIFS('BA History S2'!$B:$B,$A$8,'BA History S2'!AF:AF, 1)</f>
        <v>0</v>
      </c>
      <c r="AN8" s="2">
        <f>COUNTIFS('BA History S2'!$B:$B,$A$8,'BA History S2'!AG:AG, 1)</f>
        <v>1</v>
      </c>
    </row>
    <row r="9" spans="1:40" x14ac:dyDescent="0.25">
      <c r="A9" s="2" t="s">
        <v>25</v>
      </c>
      <c r="B9" s="2" t="s">
        <v>79</v>
      </c>
      <c r="C9" s="2"/>
      <c r="D9" s="2"/>
      <c r="E9" s="2"/>
      <c r="F9" s="34">
        <f>SUMIFS('BA History S2'!C:C,'BA History S2'!B:B,A9)</f>
        <v>29</v>
      </c>
      <c r="G9" s="66">
        <f>AVERAGEIFS('BA History S2'!C:C,'BA History S2'!B:B,A9)</f>
        <v>29</v>
      </c>
      <c r="H9" s="35">
        <f t="array" ref="H9">MAX(IF('BA History S2'!B:B=A9, 'BA History S2'!C:C))</f>
        <v>29</v>
      </c>
      <c r="I9" s="34">
        <f>COUNTIFS('BA History S2'!B:B,A9,'BA History S2'!D:D, 1)</f>
        <v>0</v>
      </c>
      <c r="J9" s="2">
        <f>COUNTIFS('BA History S2'!B:B,A9,'BA History S2'!D:D, 0)</f>
        <v>1</v>
      </c>
      <c r="K9" s="75">
        <f>LOOKUP(2, 1/('BA History S2'!$B:$B=A9), 'BA History S2'!$AK:$AK)</f>
        <v>0</v>
      </c>
      <c r="L9" s="34">
        <f>SUMIFS('BA History S2'!F:F,'BA History S2'!B:B,A9)</f>
        <v>2</v>
      </c>
      <c r="M9" s="2">
        <f>SUMIFS('BA History S2'!E:E,'BA History S2'!B:B,A9)-L9</f>
        <v>3</v>
      </c>
      <c r="N9" s="75">
        <f>LOOKUP(2, 1/('BA History S2'!$B:$B=A9), 'BA History S2'!$AI:$AI)</f>
        <v>0.4</v>
      </c>
      <c r="O9" s="34">
        <f>SUMIFS('BA History S2'!H:H,'BA History S2'!B:B,A9)</f>
        <v>10</v>
      </c>
      <c r="P9" s="2">
        <f>SUMIFS('BA History S2'!G:G,'BA History S2'!B:B,A9)-O9</f>
        <v>11</v>
      </c>
      <c r="Q9" s="89">
        <f>LOOKUP(2, 1/('BA History S2'!$B:$B=A9), 'BA History S2'!$AJ:$AJ)</f>
        <v>0.48</v>
      </c>
      <c r="R9" s="2">
        <f>COUNTIFS('BA History S2'!$B:$B,$A$9,'BA History S2'!K:K, 1)</f>
        <v>0</v>
      </c>
      <c r="S9" s="2">
        <f>COUNTIFS('BA History S2'!$B:$B,$A$9,'BA History S2'!L:L, 1)</f>
        <v>0</v>
      </c>
      <c r="T9" s="2">
        <f>COUNTIFS('BA History S2'!$B:$B,$A$9,'BA History S2'!M:M, 1)</f>
        <v>0</v>
      </c>
      <c r="U9" s="2">
        <f>COUNTIFS('BA History S2'!$B:$B,$A$9,'BA History S2'!N:N, 1)</f>
        <v>0</v>
      </c>
      <c r="V9" s="2">
        <f>COUNTIFS('BA History S2'!$B:$B,$A$9,'BA History S2'!O:O, 1)</f>
        <v>0</v>
      </c>
      <c r="W9" s="2">
        <f>COUNTIFS('BA History S2'!$B:$B,$A$9,'BA History S2'!P:P, 1)</f>
        <v>0</v>
      </c>
      <c r="X9" s="2">
        <f>COUNTIFS('BA History S2'!$B:$B,$A$9,'BA History S2'!Q:Q, 1)</f>
        <v>0</v>
      </c>
      <c r="Y9" s="2">
        <f>COUNTIFS('BA History S2'!$B:$B,$A$9,'BA History S2'!R:R, 1)</f>
        <v>0</v>
      </c>
      <c r="Z9" s="2">
        <f>COUNTIFS('BA History S2'!$B:$B,$A$9,'BA History S2'!S:S, 1)</f>
        <v>0</v>
      </c>
      <c r="AA9" s="2">
        <f>COUNTIFS('BA History S2'!$B:$B,$A$9,'BA History S2'!T:T, 1)</f>
        <v>0</v>
      </c>
      <c r="AB9" s="2">
        <f>COUNTIFS('BA History S2'!$B:$B,$A$9,'BA History S2'!U:U, 1)</f>
        <v>1</v>
      </c>
      <c r="AC9" s="2">
        <f>COUNTIFS('BA History S2'!$B:$B,$A$9,'BA History S2'!V:V, 1)</f>
        <v>0</v>
      </c>
      <c r="AD9" s="2">
        <f>COUNTIFS('BA History S2'!$B:$B,$A$9,'BA History S2'!W:W, 1)</f>
        <v>0</v>
      </c>
      <c r="AE9" s="2">
        <f>COUNTIFS('BA History S2'!$B:$B,$A$9,'BA History S2'!X:X, 1)</f>
        <v>0</v>
      </c>
      <c r="AF9" s="2">
        <f>COUNTIFS('BA History S2'!$B:$B,$A$9,'BA History S2'!Y:Y, 1)</f>
        <v>0</v>
      </c>
      <c r="AG9" s="2">
        <f>COUNTIFS('BA History S2'!$B:$B,$A$9,'BA History S2'!Z:Z, 1)</f>
        <v>0</v>
      </c>
      <c r="AH9" s="2">
        <f>COUNTIFS('BA History S2'!$B:$B,$A$9,'BA History S2'!AA:AA, 1)</f>
        <v>0</v>
      </c>
      <c r="AI9" s="2">
        <f>COUNTIFS('BA History S2'!$B:$B,$A$9,'BA History S2'!AB:AB, 1)</f>
        <v>0</v>
      </c>
      <c r="AJ9" s="2">
        <f>COUNTIFS('BA History S2'!$B:$B,$A$9,'BA History S2'!AC:AC, 1)</f>
        <v>0</v>
      </c>
      <c r="AK9" s="2">
        <f>COUNTIFS('BA History S2'!$B:$B,$A$9,'BA History S2'!AD:AD, 1)</f>
        <v>0</v>
      </c>
      <c r="AL9" s="2">
        <f>COUNTIFS('BA History S2'!$B:$B,$A$9,'BA History S2'!AE:AE, 1)</f>
        <v>0</v>
      </c>
      <c r="AM9" s="2">
        <f>COUNTIFS('BA History S2'!$B:$B,$A$9,'BA History S2'!AF:AF, 1)</f>
        <v>0</v>
      </c>
      <c r="AN9" s="2">
        <f>COUNTIFS('BA History S2'!$B:$B,$A$9,'BA History S2'!AG:AG, 1)</f>
        <v>1</v>
      </c>
    </row>
    <row r="10" spans="1:40" x14ac:dyDescent="0.25">
      <c r="A10" s="2" t="s">
        <v>115</v>
      </c>
      <c r="B10" s="2" t="s">
        <v>79</v>
      </c>
      <c r="C10" s="2"/>
      <c r="D10" s="2"/>
      <c r="E10" s="2"/>
      <c r="F10" s="34">
        <f>SUMIFS('BA History S2'!C:C,'BA History S2'!B:B,A10)</f>
        <v>136</v>
      </c>
      <c r="G10" s="66">
        <f>AVERAGEIFS('BA History S2'!C:C,'BA History S2'!B:B,A10)</f>
        <v>13.6</v>
      </c>
      <c r="H10" s="35">
        <f t="array" ref="H10">MAX(IF('BA History S2'!B:B=A10, 'BA History S2'!C:C))</f>
        <v>24</v>
      </c>
      <c r="I10" s="34">
        <f>COUNTIFS('BA History S2'!B:B,A10,'BA History S2'!D:D, 1)</f>
        <v>7</v>
      </c>
      <c r="J10" s="2">
        <f>COUNTIFS('BA History S2'!B:B,A10,'BA History S2'!D:D, 0)</f>
        <v>3</v>
      </c>
      <c r="K10" s="75">
        <f>LOOKUP(2, 1/('BA History S2'!$B:$B=A10), 'BA History S2'!$AK:$AK)</f>
        <v>0.7</v>
      </c>
      <c r="L10" s="34">
        <f>SUMIFS('BA History S2'!F:F,'BA History S2'!B:B,A10)</f>
        <v>24</v>
      </c>
      <c r="M10" s="2">
        <f>SUMIFS('BA History S2'!E:E,'BA History S2'!B:B,A10)-L10</f>
        <v>20</v>
      </c>
      <c r="N10" s="75">
        <f>LOOKUP(2, 1/('BA History S2'!$B:$B=A10), 'BA History S2'!$AI:$AI)</f>
        <v>0.53999999999999992</v>
      </c>
      <c r="O10" s="34">
        <f>SUMIFS('BA History S2'!H:H,'BA History S2'!B:B,A10)</f>
        <v>97</v>
      </c>
      <c r="P10" s="2">
        <f>SUMIFS('BA History S2'!G:G,'BA History S2'!B:B,A10)-O10</f>
        <v>95</v>
      </c>
      <c r="Q10" s="89">
        <f>LOOKUP(2, 1/('BA History S2'!$B:$B=A10), 'BA History S2'!$AJ:$AJ)</f>
        <v>0.50600000000000001</v>
      </c>
      <c r="R10" s="2">
        <f>COUNTIFS('BA History S2'!$B:$B,$A$10,'BA History S2'!K:K, 1)</f>
        <v>2</v>
      </c>
      <c r="S10" s="2">
        <f>COUNTIFS('BA History S2'!$B:$B,$A$10,'BA History S2'!L:L, 1)</f>
        <v>1</v>
      </c>
      <c r="T10" s="2">
        <f>COUNTIFS('BA History S2'!$B:$B,$A$10,'BA History S2'!M:M, 1)</f>
        <v>4</v>
      </c>
      <c r="U10" s="2">
        <f>COUNTIFS('BA History S2'!$B:$B,$A$10,'BA History S2'!N:N, 1)</f>
        <v>2</v>
      </c>
      <c r="V10" s="2">
        <f>COUNTIFS('BA History S2'!$B:$B,$A$10,'BA History S2'!O:O, 1)</f>
        <v>1</v>
      </c>
      <c r="W10" s="2">
        <f>COUNTIFS('BA History S2'!$B:$B,$A$10,'BA History S2'!P:P, 1)</f>
        <v>0</v>
      </c>
      <c r="X10" s="2">
        <f>COUNTIFS('BA History S2'!$B:$B,$A$10,'BA History S2'!Q:Q, 1)</f>
        <v>0</v>
      </c>
      <c r="Y10" s="2">
        <f>COUNTIFS('BA History S2'!$B:$B,$A$10,'BA History S2'!R:R, 1)</f>
        <v>0</v>
      </c>
      <c r="Z10" s="2">
        <f>COUNTIFS('BA History S2'!$B:$B,$A$10,'BA History S2'!S:S, 1)</f>
        <v>0</v>
      </c>
      <c r="AA10" s="2">
        <f>COUNTIFS('BA History S2'!$B:$B,$A$10,'BA History S2'!T:T, 1)</f>
        <v>0</v>
      </c>
      <c r="AB10" s="2">
        <f>COUNTIFS('BA History S2'!$B:$B,$A$10,'BA History S2'!U:U, 1)</f>
        <v>1</v>
      </c>
      <c r="AC10" s="2">
        <f>COUNTIFS('BA History S2'!$B:$B,$A$10,'BA History S2'!V:V, 1)</f>
        <v>1</v>
      </c>
      <c r="AD10" s="2">
        <f>COUNTIFS('BA History S2'!$B:$B,$A$10,'BA History S2'!W:W, 1)</f>
        <v>1</v>
      </c>
      <c r="AE10" s="2">
        <f>COUNTIFS('BA History S2'!$B:$B,$A$10,'BA History S2'!X:X, 1)</f>
        <v>0</v>
      </c>
      <c r="AF10" s="2">
        <f>COUNTIFS('BA History S2'!$B:$B,$A$10,'BA History S2'!Y:Y, 1)</f>
        <v>1</v>
      </c>
      <c r="AG10" s="2">
        <f>COUNTIFS('BA History S2'!$B:$B,$A$10,'BA History S2'!Z:Z, 1)</f>
        <v>2</v>
      </c>
      <c r="AH10" s="2">
        <f>COUNTIFS('BA History S2'!$B:$B,$A$10,'BA History S2'!AA:AA, 1)</f>
        <v>0</v>
      </c>
      <c r="AI10" s="2">
        <f>COUNTIFS('BA History S2'!$B:$B,$A$10,'BA History S2'!AB:AB, 1)</f>
        <v>0</v>
      </c>
      <c r="AJ10" s="2">
        <f>COUNTIFS('BA History S2'!$B:$B,$A$10,'BA History S2'!AC:AC, 1)</f>
        <v>2</v>
      </c>
      <c r="AK10" s="2">
        <f>COUNTIFS('BA History S2'!$B:$B,$A$10,'BA History S2'!AD:AD, 1)</f>
        <v>1</v>
      </c>
      <c r="AL10" s="2">
        <f>COUNTIFS('BA History S2'!$B:$B,$A$10,'BA History S2'!AE:AE, 1)</f>
        <v>2</v>
      </c>
      <c r="AM10" s="2">
        <f>COUNTIFS('BA History S2'!$B:$B,$A$10,'BA History S2'!AF:AF, 1)</f>
        <v>0</v>
      </c>
      <c r="AN10" s="2">
        <f>COUNTIFS('BA History S2'!$B:$B,$A$10,'BA History S2'!AG:AG, 1)</f>
        <v>3</v>
      </c>
    </row>
    <row r="11" spans="1:40" x14ac:dyDescent="0.25">
      <c r="A11" s="2" t="s">
        <v>146</v>
      </c>
      <c r="B11" s="2" t="s">
        <v>79</v>
      </c>
      <c r="C11" s="2"/>
      <c r="D11" s="2"/>
      <c r="E11" s="2"/>
      <c r="F11" s="34">
        <f>SUMIFS('BA History S2'!C:C,'BA History S2'!B:B,A11)</f>
        <v>134</v>
      </c>
      <c r="G11" s="66">
        <f>AVERAGEIFS('BA History S2'!C:C,'BA History S2'!B:B,A11)</f>
        <v>13.4</v>
      </c>
      <c r="H11" s="35">
        <f t="array" ref="H11">MAX(IF('BA History S2'!B:B=A11, 'BA History S2'!C:C))</f>
        <v>21</v>
      </c>
      <c r="I11" s="34">
        <f>COUNTIFS('BA History S2'!B:B,A11,'BA History S2'!D:D, 1)</f>
        <v>4</v>
      </c>
      <c r="J11" s="2">
        <f>COUNTIFS('BA History S2'!B:B,A11,'BA History S2'!D:D, 0)</f>
        <v>6</v>
      </c>
      <c r="K11" s="75">
        <f>LOOKUP(2, 1/('BA History S2'!$B:$B=A11), 'BA History S2'!$AK:$AK)</f>
        <v>0.4</v>
      </c>
      <c r="L11" s="34">
        <f>SUMIFS('BA History S2'!F:F,'BA History S2'!B:B,A11)</f>
        <v>17</v>
      </c>
      <c r="M11" s="2">
        <f>SUMIFS('BA History S2'!E:E,'BA History S2'!B:B,A11)-L11</f>
        <v>25</v>
      </c>
      <c r="N11" s="75">
        <f>LOOKUP(2, 1/('BA History S2'!$B:$B=A11), 'BA History S2'!$AI:$AI)</f>
        <v>0.37</v>
      </c>
      <c r="O11" s="34">
        <f>SUMIFS('BA History S2'!H:H,'BA History S2'!B:B,A11)</f>
        <v>85</v>
      </c>
      <c r="P11" s="2">
        <f>SUMIFS('BA History S2'!G:G,'BA History S2'!B:B,A11)-O11</f>
        <v>96</v>
      </c>
      <c r="Q11" s="89">
        <f>LOOKUP(2, 1/('BA History S2'!$B:$B=A11), 'BA History S2'!$AJ:$AJ)</f>
        <v>0.44600000000000001</v>
      </c>
      <c r="R11" s="2">
        <f>COUNTIFS('BA History S2'!$B:$B,$A$11,'BA History S2'!K:K, 1)</f>
        <v>4</v>
      </c>
      <c r="S11" s="2">
        <f>COUNTIFS('BA History S2'!$B:$B,$A$11,'BA History S2'!L:L, 1)</f>
        <v>1</v>
      </c>
      <c r="T11" s="2">
        <f>COUNTIFS('BA History S2'!$B:$B,$A$11,'BA History S2'!M:M, 1)</f>
        <v>2</v>
      </c>
      <c r="U11" s="2">
        <f>COUNTIFS('BA History S2'!$B:$B,$A$11,'BA History S2'!N:N, 1)</f>
        <v>1</v>
      </c>
      <c r="V11" s="2">
        <f>COUNTIFS('BA History S2'!$B:$B,$A$11,'BA History S2'!O:O, 1)</f>
        <v>0</v>
      </c>
      <c r="W11" s="2">
        <f>COUNTIFS('BA History S2'!$B:$B,$A$11,'BA History S2'!P:P, 1)</f>
        <v>0</v>
      </c>
      <c r="X11" s="2">
        <f>COUNTIFS('BA History S2'!$B:$B,$A$11,'BA History S2'!Q:Q, 1)</f>
        <v>0</v>
      </c>
      <c r="Y11" s="2">
        <f>COUNTIFS('BA History S2'!$B:$B,$A$11,'BA History S2'!R:R, 1)</f>
        <v>0</v>
      </c>
      <c r="Z11" s="2">
        <f>COUNTIFS('BA History S2'!$B:$B,$A$11,'BA History S2'!S:S, 1)</f>
        <v>0</v>
      </c>
      <c r="AA11" s="2">
        <f>COUNTIFS('BA History S2'!$B:$B,$A$11,'BA History S2'!T:T, 1)</f>
        <v>0</v>
      </c>
      <c r="AB11" s="2">
        <f>COUNTIFS('BA History S2'!$B:$B,$A$11,'BA History S2'!U:U, 1)</f>
        <v>1</v>
      </c>
      <c r="AC11" s="2">
        <f>COUNTIFS('BA History S2'!$B:$B,$A$11,'BA History S2'!V:V, 1)</f>
        <v>0</v>
      </c>
      <c r="AD11" s="2">
        <f>COUNTIFS('BA History S2'!$B:$B,$A$11,'BA History S2'!W:W, 1)</f>
        <v>0</v>
      </c>
      <c r="AE11" s="2">
        <f>COUNTIFS('BA History S2'!$B:$B,$A$11,'BA History S2'!X:X, 1)</f>
        <v>0</v>
      </c>
      <c r="AF11" s="2">
        <f>COUNTIFS('BA History S2'!$B:$B,$A$11,'BA History S2'!Y:Y, 1)</f>
        <v>1</v>
      </c>
      <c r="AG11" s="2">
        <f>COUNTIFS('BA History S2'!$B:$B,$A$11,'BA History S2'!Z:Z, 1)</f>
        <v>1</v>
      </c>
      <c r="AH11" s="2">
        <f>COUNTIFS('BA History S2'!$B:$B,$A11,'BA History S2'!AA:AA, 1)</f>
        <v>0</v>
      </c>
      <c r="AI11" s="2">
        <f>COUNTIFS('BA History S2'!$B:$B,$A$11,'BA History S2'!AB:AB, 1)</f>
        <v>0</v>
      </c>
      <c r="AJ11" s="2">
        <f>COUNTIFS('BA History S2'!$B:$B,$A$11,'BA History S2'!AC:AC, 1)</f>
        <v>2</v>
      </c>
      <c r="AK11" s="2">
        <f>COUNTIFS('BA History S2'!$B:$B,$A$11,'BA History S2'!AD:AD, 1)</f>
        <v>2</v>
      </c>
      <c r="AL11" s="2">
        <f>COUNTIFS('BA History S2'!$B:$B,$A$11,'BA History S2'!AE:AE, 1)</f>
        <v>1</v>
      </c>
      <c r="AM11" s="2">
        <f>COUNTIFS('BA History S2'!$B:$B,$A$11,'BA History S2'!AF:AF, 1)</f>
        <v>0</v>
      </c>
      <c r="AN11" s="2">
        <f>COUNTIFS('BA History S2'!$B:$B,$A$11,'BA History S2'!AG:AG, 1)</f>
        <v>1</v>
      </c>
    </row>
    <row r="12" spans="1:40" x14ac:dyDescent="0.25">
      <c r="A12" s="2" t="s">
        <v>27</v>
      </c>
      <c r="B12" s="2" t="s">
        <v>79</v>
      </c>
      <c r="C12" s="2"/>
      <c r="D12" s="2"/>
      <c r="E12" s="2"/>
      <c r="F12" s="34">
        <f>SUMIFS('BA History S2'!C:C,'BA History S2'!B:B,A12)</f>
        <v>40</v>
      </c>
      <c r="G12" s="66">
        <f>AVERAGEIFS('BA History S2'!C:C,'BA History S2'!B:B,A12)</f>
        <v>13.333333333333334</v>
      </c>
      <c r="H12" s="35">
        <f t="array" ref="H12">MAX(IF('BA History S2'!B:B=A12, 'BA History S2'!C:C))</f>
        <v>19</v>
      </c>
      <c r="I12" s="34">
        <f>COUNTIFS('BA History S2'!B:B,A12,'BA History S2'!D:D, 1)</f>
        <v>1</v>
      </c>
      <c r="J12" s="2">
        <f>COUNTIFS('BA History S2'!B:B,A12,'BA History S2'!D:D, 0)</f>
        <v>2</v>
      </c>
      <c r="K12" s="75">
        <f>LOOKUP(2, 1/('BA History S2'!$B:$B=A12), 'BA History S2'!$AK:$AK)</f>
        <v>0.33333333333333331</v>
      </c>
      <c r="L12" s="34">
        <f>SUMIFS('BA History S2'!F:F,'BA History S2'!B:B,A12)</f>
        <v>7</v>
      </c>
      <c r="M12" s="2">
        <f>SUMIFS('BA History S2'!E:E,'BA History S2'!B:B,A12)-L12</f>
        <v>6</v>
      </c>
      <c r="N12" s="75">
        <f>LOOKUP(2, 1/('BA History S2'!$B:$B=A12), 'BA History S2'!$AI:$AI)</f>
        <v>0.6</v>
      </c>
      <c r="O12" s="34">
        <f>SUMIFS('BA History S2'!H:H,'BA History S2'!B:B,A12)</f>
        <v>31</v>
      </c>
      <c r="P12" s="2">
        <f>SUMIFS('BA History S2'!G:G,'BA History S2'!B:B,A12)-O12</f>
        <v>29</v>
      </c>
      <c r="Q12" s="89">
        <f>LOOKUP(2, 1/('BA History S2'!$B:$B=A12), 'BA History S2'!$AJ:$AJ)</f>
        <v>0.53333333333333333</v>
      </c>
      <c r="R12" s="2">
        <f>COUNTIFS('BA History S2'!$B:$B,$A$12,'BA History S2'!K:K, 1)</f>
        <v>0</v>
      </c>
      <c r="S12" s="2">
        <f>COUNTIFS('BA History S2'!$B:$B,$A$12,'BA History S2'!L:L, 1)</f>
        <v>0</v>
      </c>
      <c r="T12" s="2">
        <f>COUNTIFS('BA History S2'!$B:$B,$A$12,'BA History S2'!M:M, 1)</f>
        <v>0</v>
      </c>
      <c r="U12" s="2">
        <f>COUNTIFS('BA History S2'!$B:$B,$A$12,'BA History S2'!N:N, 1)</f>
        <v>0</v>
      </c>
      <c r="V12" s="2">
        <f>COUNTIFS('BA History S2'!$B:$B,$A$12,'BA History S2'!O:O, 1)</f>
        <v>1</v>
      </c>
      <c r="W12" s="2">
        <f>COUNTIFS('BA History S2'!$B:$B,$A$12,'BA History S2'!P:P, 1)</f>
        <v>0</v>
      </c>
      <c r="X12" s="2">
        <f>COUNTIFS('BA History S2'!$B:$B,$A$12,'BA History S2'!Q:Q, 1)</f>
        <v>0</v>
      </c>
      <c r="Y12" s="2">
        <f>COUNTIFS('BA History S2'!$B:$B,$A$12,'BA History S2'!R:R, 1)</f>
        <v>0</v>
      </c>
      <c r="Z12" s="2">
        <f>COUNTIFS('BA History S2'!$B:$B,$A$12,'BA History S2'!S:S, 1)</f>
        <v>0</v>
      </c>
      <c r="AA12" s="2">
        <f>COUNTIFS('BA History S2'!$B:$B,$A$12,'BA History S2'!T:T, 1)</f>
        <v>0</v>
      </c>
      <c r="AB12" s="2">
        <f>COUNTIFS('BA History S2'!$B:$B,$A$12,'BA History S2'!U:U, 1)</f>
        <v>0</v>
      </c>
      <c r="AC12" s="2">
        <f>COUNTIFS('BA History S2'!$B:$B,$A$12,'BA History S2'!V:V, 1)</f>
        <v>1</v>
      </c>
      <c r="AD12" s="2">
        <f>COUNTIFS('BA History S2'!$B:$B,$A$12,'BA History S2'!W:W, 1)</f>
        <v>0</v>
      </c>
      <c r="AE12" s="2">
        <f>COUNTIFS('BA History S2'!$B:$B,$A$12,'BA History S2'!X:X, 1)</f>
        <v>0</v>
      </c>
      <c r="AF12" s="2">
        <f>COUNTIFS('BA History S2'!$B:$B,$A$12,'BA History S2'!Y:Y, 1)</f>
        <v>0</v>
      </c>
      <c r="AG12" s="2">
        <f>COUNTIFS('BA History S2'!$B:$B,$A$12,'BA History S2'!Z:Z, 1)</f>
        <v>1</v>
      </c>
      <c r="AH12" s="2">
        <f>COUNTIFS('BA History S2'!$B:$B,$A12,'BA History S2'!AA:AA, 1)</f>
        <v>0</v>
      </c>
      <c r="AI12" s="2">
        <f>COUNTIFS('BA History S2'!$B:$B,$A$12,'BA History S2'!AB:AB, 1)</f>
        <v>1</v>
      </c>
      <c r="AJ12" s="2">
        <f>COUNTIFS('BA History S2'!$B:$B,$A$12,'BA History S2'!AC:AC, 1)</f>
        <v>1</v>
      </c>
      <c r="AK12" s="2">
        <f>COUNTIFS('BA History S2'!$B:$B,$A$12,'BA History S2'!AD:AD, 1)</f>
        <v>1</v>
      </c>
      <c r="AL12" s="2">
        <f>COUNTIFS('BA History S2'!$B:$B,$A$12,'BA History S2'!AE:AE, 1)</f>
        <v>0</v>
      </c>
      <c r="AM12" s="2">
        <f>COUNTIFS('BA History S2'!$B:$B,$A$12,'BA History S2'!AF:AF, 1)</f>
        <v>0</v>
      </c>
      <c r="AN12" s="2">
        <f>COUNTIFS('BA History S2'!$B:$B,$A$12,'BA History S2'!AG:AG, 1)</f>
        <v>1</v>
      </c>
    </row>
    <row r="13" spans="1:40" x14ac:dyDescent="0.25">
      <c r="A13" s="2" t="s">
        <v>152</v>
      </c>
      <c r="B13" s="2" t="s">
        <v>79</v>
      </c>
      <c r="C13" s="2"/>
      <c r="D13" s="2"/>
      <c r="E13" s="2"/>
      <c r="F13" s="34">
        <f>SUMIFS('BA History S2'!C:C,'BA History S2'!B:B,A13)</f>
        <v>174</v>
      </c>
      <c r="G13" s="66">
        <f>AVERAGEIFS('BA History S2'!C:C,'BA History S2'!B:B,A13)</f>
        <v>15.818181818181818</v>
      </c>
      <c r="H13" s="35">
        <f t="array" ref="H13">MAX(IF('BA History S2'!B:B=A13, 'BA History S2'!C:C))</f>
        <v>37</v>
      </c>
      <c r="I13" s="34">
        <f>COUNTIFS('BA History S2'!B:B,A13,'BA History S2'!D:D, 1)</f>
        <v>3</v>
      </c>
      <c r="J13" s="2">
        <f>COUNTIFS('BA History S2'!B:B,A13,'BA History S2'!D:D, 0)</f>
        <v>8</v>
      </c>
      <c r="K13" s="75">
        <f>LOOKUP(2, 1/('BA History S2'!$B:$B=A13), 'BA History S2'!$AK:$AK)</f>
        <v>0.27272727272727271</v>
      </c>
      <c r="L13" s="34">
        <f>SUMIFS('BA History S2'!F:F,'BA History S2'!B:B,A13)</f>
        <v>19</v>
      </c>
      <c r="M13" s="2">
        <f>SUMIFS('BA History S2'!E:E,'BA History S2'!B:B,A13)-L13</f>
        <v>29</v>
      </c>
      <c r="N13" s="75">
        <f>LOOKUP(2, 1/('BA History S2'!$B:$B=A13), 'BA History S2'!$AI:$AI)</f>
        <v>0.36818181818181817</v>
      </c>
      <c r="O13" s="34">
        <f>SUMIFS('BA History S2'!H:H,'BA History S2'!B:B,A13)</f>
        <v>96</v>
      </c>
      <c r="P13" s="2">
        <f>SUMIFS('BA History S2'!G:G,'BA History S2'!B:B,A13)-O13</f>
        <v>110</v>
      </c>
      <c r="Q13" s="89">
        <f>LOOKUP(2, 1/('BA History S2'!$B:$B=A13), 'BA History S2'!$AJ:$AJ)</f>
        <v>0.45454545454545453</v>
      </c>
      <c r="R13" s="2">
        <f>COUNTIFS('BA History S2'!$B:$B,$A$13,'BA History S2'!K:K, 1)</f>
        <v>1</v>
      </c>
      <c r="S13" s="2">
        <f>COUNTIFS('BA History S2'!$B:$B,$A$13,'BA History S2'!L:L, 1)</f>
        <v>0</v>
      </c>
      <c r="T13" s="2">
        <f>COUNTIFS('BA History S2'!$B:$B,$A$13,'BA History S2'!M:M, 1)</f>
        <v>1</v>
      </c>
      <c r="U13" s="2">
        <f>COUNTIFS('BA History S2'!$B:$B,$A$13,'BA History S2'!N:N, 1)</f>
        <v>1</v>
      </c>
      <c r="V13" s="2">
        <f>COUNTIFS('BA History S2'!$B:$B,$A$13,'BA History S2'!O:O, 1)</f>
        <v>2</v>
      </c>
      <c r="W13" s="2">
        <f>COUNTIFS('BA History S2'!$B:$B,$A$13,'BA History S2'!P:P, 1)</f>
        <v>0</v>
      </c>
      <c r="X13" s="2">
        <f>COUNTIFS('BA History S2'!$B:$B,$A$13,'BA History S2'!Q:Q, 1)</f>
        <v>0</v>
      </c>
      <c r="Y13" s="2">
        <f>COUNTIFS('BA History S2'!$B:$B,$A$13,'BA History S2'!R:R, 1)</f>
        <v>0</v>
      </c>
      <c r="Z13" s="2">
        <f>COUNTIFS('BA History S2'!$B:$B,$A$13,'BA History S2'!S:S, 1)</f>
        <v>0</v>
      </c>
      <c r="AA13" s="2">
        <f>COUNTIFS('BA History S2'!$B:$B,$A$13,'BA History S2'!T:T, 1)</f>
        <v>0</v>
      </c>
      <c r="AB13" s="2">
        <f>COUNTIFS('BA History S2'!$B:$B,$A$13,'BA History S2'!U:U, 1)</f>
        <v>1</v>
      </c>
      <c r="AC13" s="2">
        <f>COUNTIFS('BA History S2'!$B:$B,$A$13,'BA History S2'!V:V, 1)</f>
        <v>2</v>
      </c>
      <c r="AD13" s="2">
        <f>COUNTIFS('BA History S2'!$B:$B,$A$13,'BA History S2'!W:W, 1)</f>
        <v>1</v>
      </c>
      <c r="AE13" s="2">
        <f>COUNTIFS('BA History S2'!$B:$B,$A$13,'BA History S2'!X:X, 1)</f>
        <v>0</v>
      </c>
      <c r="AF13" s="2">
        <f>COUNTIFS('BA History S2'!$B:$B,$A$13,'BA History S2'!Y:Y, 1)</f>
        <v>0</v>
      </c>
      <c r="AG13" s="2">
        <f>COUNTIFS('BA History S2'!$B:$B,$A$13,'BA History S2'!Z:Z, 1)</f>
        <v>2</v>
      </c>
      <c r="AH13" s="2">
        <f>COUNTIFS('BA History S2'!$B:$B,$A13,'BA History S2'!AA:AA, 1)</f>
        <v>1</v>
      </c>
      <c r="AI13" s="2">
        <f>COUNTIFS('BA History S2'!$B:$B,$A$13,'BA History S2'!AB:AB, 1)</f>
        <v>0</v>
      </c>
      <c r="AJ13" s="2">
        <f>COUNTIFS('BA History S2'!$B:$B,$A$13,'BA History S2'!AC:AC, 1)</f>
        <v>5</v>
      </c>
      <c r="AK13" s="2">
        <f>COUNTIFS('BA History S2'!$B:$B,$A$13,'BA History S2'!AD:AD, 1)</f>
        <v>1</v>
      </c>
      <c r="AL13" s="2">
        <f>COUNTIFS('BA History S2'!$B:$B,$A$13,'BA History S2'!AE:AE, 1)</f>
        <v>0</v>
      </c>
      <c r="AM13" s="2">
        <f>COUNTIFS('BA History S2'!$B:$B,$A$13,'BA History S2'!AF:AF, 1)</f>
        <v>0</v>
      </c>
      <c r="AN13" s="2">
        <f>COUNTIFS('BA History S2'!$B:$B,$A$13,'BA History S2'!AG:AG, 1)</f>
        <v>1</v>
      </c>
    </row>
    <row r="14" spans="1:40" x14ac:dyDescent="0.25">
      <c r="A14" s="2" t="s">
        <v>50</v>
      </c>
      <c r="B14" s="2" t="s">
        <v>79</v>
      </c>
      <c r="C14" s="2">
        <v>1</v>
      </c>
      <c r="D14" s="2">
        <v>1</v>
      </c>
      <c r="E14" s="2"/>
      <c r="F14" s="34">
        <f>SUMIFS('BA History S2'!C:C,'BA History S2'!B:B,A14)</f>
        <v>311</v>
      </c>
      <c r="G14" s="66">
        <f>AVERAGEIFS('BA History S2'!C:C,'BA History S2'!B:B,A14)</f>
        <v>17.277777777777779</v>
      </c>
      <c r="H14" s="35">
        <f t="array" ref="H14">MAX(IF('BA History S2'!B:B=A14, 'BA History S2'!C:C))</f>
        <v>24</v>
      </c>
      <c r="I14" s="34">
        <f>COUNTIFS('BA History S2'!B:B,A14,'BA History S2'!D:D, 1)</f>
        <v>7</v>
      </c>
      <c r="J14" s="2">
        <f>COUNTIFS('BA History S2'!B:B,A14,'BA History S2'!D:D, 0)</f>
        <v>11</v>
      </c>
      <c r="K14" s="75">
        <f>LOOKUP(2, 1/('BA History S2'!$B:$B=A14), 'BA History S2'!$AK:$AK)</f>
        <v>0.3888888888888889</v>
      </c>
      <c r="L14" s="34">
        <f>SUMIFS('BA History S2'!F:F,'BA History S2'!B:B,A14)</f>
        <v>31</v>
      </c>
      <c r="M14" s="2">
        <f>SUMIFS('BA History S2'!E:E,'BA History S2'!B:B,A14)-L14</f>
        <v>41</v>
      </c>
      <c r="N14" s="75">
        <f>LOOKUP(2, 1/('BA History S2'!$B:$B=A14), 'BA History S2'!$AI:$AI)</f>
        <v>0.41666666666666669</v>
      </c>
      <c r="O14" s="34">
        <f>SUMIFS('BA History S2'!H:H,'BA History S2'!B:B,A14)</f>
        <v>145</v>
      </c>
      <c r="P14" s="2">
        <f>SUMIFS('BA History S2'!G:G,'BA History S2'!B:B,A14)-O14</f>
        <v>162</v>
      </c>
      <c r="Q14" s="89">
        <f>LOOKUP(2, 1/('BA History S2'!$B:$B=A14), 'BA History S2'!$AJ:$AJ)</f>
        <v>0.46166666666666661</v>
      </c>
      <c r="R14" s="2">
        <f>COUNTIFS('BA History S2'!$B:$B,$A$14,'BA History S2'!K:K, 1)</f>
        <v>1</v>
      </c>
      <c r="S14" s="2">
        <f>COUNTIFS('BA History S2'!$B:$B,$A$14,'BA History S2'!L:L, 1)</f>
        <v>2</v>
      </c>
      <c r="T14" s="2">
        <f>COUNTIFS('BA History S2'!$B:$B,$A$14,'BA History S2'!M:M, 1)</f>
        <v>4</v>
      </c>
      <c r="U14" s="2">
        <f>COUNTIFS('BA History S2'!$B:$B,$A$14,'BA History S2'!N:N, 1)</f>
        <v>3</v>
      </c>
      <c r="V14" s="2">
        <f>COUNTIFS('BA History S2'!$B:$B,$A$14,'BA History S2'!O:O, 1)</f>
        <v>1</v>
      </c>
      <c r="W14" s="2">
        <f>COUNTIFS('BA History S2'!$B:$B,$A$14,'BA History S2'!P:P, 1)</f>
        <v>1</v>
      </c>
      <c r="X14" s="2">
        <f>COUNTIFS('BA History S2'!$B:$B,$A$14,'BA History S2'!Q:Q, 1)</f>
        <v>0</v>
      </c>
      <c r="Y14" s="2">
        <f>COUNTIFS('BA History S2'!$B:$B,$A$14,'BA History S2'!R:R, 1)</f>
        <v>1</v>
      </c>
      <c r="Z14" s="2">
        <f>COUNTIFS('BA History S2'!$B:$B,$A$14,'BA History S2'!S:S, 1)</f>
        <v>0</v>
      </c>
      <c r="AA14" s="2">
        <f>COUNTIFS('BA History S2'!$B:$B,$A$14,'BA History S2'!T:T, 1)</f>
        <v>0</v>
      </c>
      <c r="AB14" s="2">
        <f>COUNTIFS('BA History S2'!$B:$B,$A$14,'BA History S2'!U:U, 1)</f>
        <v>0</v>
      </c>
      <c r="AC14" s="2">
        <f>COUNTIFS('BA History S2'!$B:$B,$A$14,'BA History S2'!V:V, 1)</f>
        <v>1</v>
      </c>
      <c r="AD14" s="2">
        <f>COUNTIFS('BA History S2'!$B:$B,$A$14,'BA History S2'!W:W, 1)</f>
        <v>1</v>
      </c>
      <c r="AE14" s="2">
        <f>COUNTIFS('BA History S2'!$B:$B,$A$14,'BA History S2'!X:X, 1)</f>
        <v>0</v>
      </c>
      <c r="AF14" s="2">
        <f>COUNTIFS('BA History S2'!$B:$B,$A$14,'BA History S2'!Y:Y, 1)</f>
        <v>0</v>
      </c>
      <c r="AG14" s="2">
        <f>COUNTIFS('BA History S2'!$B:$B,$A$14,'BA History S2'!Z:Z, 1)</f>
        <v>1</v>
      </c>
      <c r="AH14" s="2">
        <f>COUNTIFS('BA History S2'!$B:$B,$A14,'BA History S2'!AA:AA, 1)</f>
        <v>0</v>
      </c>
      <c r="AI14" s="2">
        <f>COUNTIFS('BA History S2'!$B:$B,$A$14,'BA History S2'!AB:AB, 1)</f>
        <v>0</v>
      </c>
      <c r="AJ14" s="2">
        <f>COUNTIFS('BA History S2'!$B:$B,$A$14,'BA History S2'!AC:AC, 1)</f>
        <v>7</v>
      </c>
      <c r="AK14" s="2">
        <f>COUNTIFS('BA History S2'!$B:$B,$A$14,'BA History S2'!AD:AD, 1)</f>
        <v>2</v>
      </c>
      <c r="AL14" s="2">
        <f>COUNTIFS('BA History S2'!$B:$B,$A$14,'BA History S2'!AE:AE, 1)</f>
        <v>2</v>
      </c>
      <c r="AM14" s="2">
        <f>COUNTIFS('BA History S2'!$B:$B,$A$14,'BA History S2'!AF:AF, 1)</f>
        <v>2</v>
      </c>
      <c r="AN14" s="2">
        <f>COUNTIFS('BA History S2'!$B:$B,$A$14,'BA History S2'!AG:AG, 1)</f>
        <v>2</v>
      </c>
    </row>
    <row r="15" spans="1:40" x14ac:dyDescent="0.25">
      <c r="A15" s="2" t="s">
        <v>52</v>
      </c>
      <c r="B15" s="2" t="s">
        <v>79</v>
      </c>
      <c r="C15" s="2">
        <v>1</v>
      </c>
      <c r="D15" s="2"/>
      <c r="E15" s="2"/>
      <c r="F15" s="34">
        <f>SUMIFS('BA History S2'!C:C,'BA History S2'!B:B,A15)</f>
        <v>27</v>
      </c>
      <c r="G15" s="66">
        <f>AVERAGEIFS('BA History S2'!C:C,'BA History S2'!B:B,A15)</f>
        <v>13.5</v>
      </c>
      <c r="H15" s="35">
        <f t="array" ref="H15">MAX(IF('BA History S2'!B:B=A15, 'BA History S2'!C:C))</f>
        <v>17</v>
      </c>
      <c r="I15" s="34">
        <f>COUNTIFS('BA History S2'!B:B,A15,'BA History S2'!D:D, 1)</f>
        <v>0</v>
      </c>
      <c r="J15" s="2">
        <f>COUNTIFS('BA History S2'!B:B,A15,'BA History S2'!D:D, 0)</f>
        <v>2</v>
      </c>
      <c r="K15" s="75">
        <f>LOOKUP(2, 1/('BA History S2'!$B:$B=A15), 'BA History S2'!$AK:$AK)</f>
        <v>0</v>
      </c>
      <c r="L15" s="34">
        <f>SUMIFS('BA History S2'!F:F,'BA History S2'!B:B,A15)</f>
        <v>3</v>
      </c>
      <c r="M15" s="2">
        <f>SUMIFS('BA History S2'!E:E,'BA History S2'!B:B,A15)-L15</f>
        <v>6</v>
      </c>
      <c r="N15" s="75">
        <f>LOOKUP(2, 1/('BA History S2'!$B:$B=A15), 'BA History S2'!$AI:$AI)</f>
        <v>0.32500000000000001</v>
      </c>
      <c r="O15" s="34">
        <f>SUMIFS('BA History S2'!H:H,'BA History S2'!B:B,A15)</f>
        <v>17</v>
      </c>
      <c r="P15" s="2">
        <f>SUMIFS('BA History S2'!G:G,'BA History S2'!B:B,A15)-O15</f>
        <v>21</v>
      </c>
      <c r="Q15" s="89">
        <f>LOOKUP(2, 1/('BA History S2'!$B:$B=A15), 'BA History S2'!$AJ:$AJ)</f>
        <v>0.44499999999999995</v>
      </c>
      <c r="R15" s="2">
        <f>COUNTIFS('BA History S2'!$B:$B,$A$15,'BA History S2'!K:K, 1)</f>
        <v>0</v>
      </c>
      <c r="S15" s="2">
        <f>COUNTIFS('BA History S2'!$B:$B,$A$15,'BA History S2'!L:L, 1)</f>
        <v>0</v>
      </c>
      <c r="T15" s="2">
        <f>COUNTIFS('BA History S2'!$B:$B,$A$15,'BA History S2'!M:M, 1)</f>
        <v>0</v>
      </c>
      <c r="U15" s="2">
        <f>COUNTIFS('BA History S2'!$B:$B,$A$15,'BA History S2'!N:N, 1)</f>
        <v>1</v>
      </c>
      <c r="V15" s="2">
        <f>COUNTIFS('BA History S2'!$B:$B,$A$15,'BA History S2'!O:O, 1)</f>
        <v>0</v>
      </c>
      <c r="W15" s="2">
        <f>COUNTIFS('BA History S2'!$B:$B,$A$15,'BA History S2'!P:P, 1)</f>
        <v>0</v>
      </c>
      <c r="X15" s="2">
        <f>COUNTIFS('BA History S2'!$B:$B,$A$15,'BA History S2'!Q:Q, 1)</f>
        <v>0</v>
      </c>
      <c r="Y15" s="2">
        <f>COUNTIFS('BA History S2'!$B:$B,$A$15,'BA History S2'!R:R, 1)</f>
        <v>0</v>
      </c>
      <c r="Z15" s="2">
        <f>COUNTIFS('BA History S2'!$B:$B,$A$15,'BA History S2'!S:S, 1)</f>
        <v>0</v>
      </c>
      <c r="AA15" s="2">
        <f>COUNTIFS('BA History S2'!$B:$B,$A$15,'BA History S2'!T:T, 1)</f>
        <v>0</v>
      </c>
      <c r="AB15" s="2">
        <f>COUNTIFS('BA History S2'!$B:$B,$A$15,'BA History S2'!U:U, 1)</f>
        <v>0</v>
      </c>
      <c r="AC15" s="2">
        <f>COUNTIFS('BA History S2'!$B:$B,$A$15,'BA History S2'!V:V, 1)</f>
        <v>0</v>
      </c>
      <c r="AD15" s="2">
        <f>COUNTIFS('BA History S2'!$B:$B,$A$15,'BA History S2'!W:W, 1)</f>
        <v>0</v>
      </c>
      <c r="AE15" s="2">
        <f>COUNTIFS('BA History S2'!$B:$B,$A$15,'BA History S2'!X:X, 1)</f>
        <v>0</v>
      </c>
      <c r="AF15" s="2">
        <f>COUNTIFS('BA History S2'!$B:$B,$A$15,'BA History S2'!Y:Y, 1)</f>
        <v>0</v>
      </c>
      <c r="AG15" s="2">
        <f>COUNTIFS('BA History S2'!$B:$B,$A$15,'BA History S2'!Z:Z, 1)</f>
        <v>1</v>
      </c>
      <c r="AH15" s="2">
        <f>COUNTIFS('BA History S2'!$B:$B,$A15,'BA History S2'!AA:AA, 1)</f>
        <v>0</v>
      </c>
      <c r="AI15" s="2">
        <f>COUNTIFS('BA History S2'!$B:$B,$A$15,'BA History S2'!AB:AB, 1)</f>
        <v>0</v>
      </c>
      <c r="AJ15" s="2">
        <f>COUNTIFS('BA History S2'!$B:$B,$A$15,'BA History S2'!AC:AC, 1)</f>
        <v>0</v>
      </c>
      <c r="AK15" s="2">
        <f>COUNTIFS('BA History S2'!$B:$B,$A$15,'BA History S2'!AD:AD, 1)</f>
        <v>1</v>
      </c>
      <c r="AL15" s="2">
        <f>COUNTIFS('BA History S2'!$B:$B,$A$15,'BA History S2'!AE:AE, 1)</f>
        <v>0</v>
      </c>
      <c r="AM15" s="2">
        <f>COUNTIFS('BA History S2'!$B:$B,$A$15,'BA History S2'!AF:AF, 1)</f>
        <v>0</v>
      </c>
      <c r="AN15" s="2">
        <f>COUNTIFS('BA History S2'!$B:$B,$A$15,'BA History S2'!AG:AG, 1)</f>
        <v>0</v>
      </c>
    </row>
    <row r="16" spans="1:40" x14ac:dyDescent="0.25">
      <c r="A16" s="2" t="s">
        <v>44</v>
      </c>
      <c r="B16" s="2" t="s">
        <v>79</v>
      </c>
      <c r="C16" s="2">
        <v>1</v>
      </c>
      <c r="D16" s="2"/>
      <c r="E16" s="2"/>
      <c r="F16" s="34">
        <f>SUMIFS('BA History S2'!C:C,'BA History S2'!B:B,A16)</f>
        <v>465</v>
      </c>
      <c r="G16" s="66">
        <f>AVERAGEIFS('BA History S2'!C:C,'BA History S2'!B:B,A16)</f>
        <v>16.607142857142858</v>
      </c>
      <c r="H16" s="35">
        <f t="array" ref="H16">MAX(IF('BA History S2'!B:B=A16, 'BA History S2'!C:C))</f>
        <v>31</v>
      </c>
      <c r="I16" s="34">
        <f>COUNTIFS('BA History S2'!B:B,A16,'BA History S2'!D:D, 1)</f>
        <v>15</v>
      </c>
      <c r="J16" s="2">
        <f>COUNTIFS('BA History S2'!B:B,A16,'BA History S2'!D:D, 0)</f>
        <v>13</v>
      </c>
      <c r="K16" s="75">
        <f>LOOKUP(2, 1/('BA History S2'!$B:$B=A16), 'BA History S2'!$AK:$AK)</f>
        <v>0.5357142857142857</v>
      </c>
      <c r="L16" s="34">
        <f>SUMIFS('BA History S2'!F:F,'BA History S2'!B:B,A16)</f>
        <v>59</v>
      </c>
      <c r="M16" s="2">
        <f>SUMIFS('BA History S2'!E:E,'BA History S2'!B:B,A16)-L16</f>
        <v>52</v>
      </c>
      <c r="N16" s="75">
        <f>LOOKUP(2, 1/('BA History S2'!$B:$B=A16), 'BA History S2'!$AI:$AI)</f>
        <v>0.5446428571428571</v>
      </c>
      <c r="O16" s="34">
        <f>SUMIFS('BA History S2'!H:H,'BA History S2'!B:B,A16)</f>
        <v>241</v>
      </c>
      <c r="P16" s="2">
        <f>SUMIFS('BA History S2'!G:G,'BA History S2'!B:B,A16)-O16</f>
        <v>228</v>
      </c>
      <c r="Q16" s="89">
        <f>LOOKUP(2, 1/('BA History S2'!$B:$B=A16), 'BA History S2'!$AJ:$AJ)</f>
        <v>0.52464285714285719</v>
      </c>
      <c r="R16" s="2">
        <f>COUNTIFS('BA History S2'!$B:$B,$A$16,'BA History S2'!K:K, 1)</f>
        <v>3</v>
      </c>
      <c r="S16" s="2">
        <f>COUNTIFS('BA History S2'!$B:$B,$A$16,'BA History S2'!L:L, 1)</f>
        <v>1</v>
      </c>
      <c r="T16" s="2">
        <f>COUNTIFS('BA History S2'!$B:$B,$A$16,'BA History S2'!M:M, 1)</f>
        <v>8</v>
      </c>
      <c r="U16" s="2">
        <f>COUNTIFS('BA History S2'!$B:$B,$A$16,'BA History S2'!N:N, 1)</f>
        <v>6</v>
      </c>
      <c r="V16" s="2">
        <f>COUNTIFS('BA History S2'!$B:$B,$A$16,'BA History S2'!O:O, 1)</f>
        <v>1</v>
      </c>
      <c r="W16" s="2">
        <f>COUNTIFS('BA History S2'!$B:$B,$A$16,'BA History S2'!P:P, 1)</f>
        <v>0</v>
      </c>
      <c r="X16" s="2">
        <f>COUNTIFS('BA History S2'!$B:$B,$A$16,'BA History S2'!Q:Q, 1)</f>
        <v>1</v>
      </c>
      <c r="Y16" s="2">
        <f>COUNTIFS('BA History S2'!$B:$B,$A$16,'BA History S2'!R:R, 1)</f>
        <v>1</v>
      </c>
      <c r="Z16" s="2">
        <f>COUNTIFS('BA History S2'!$B:$B,$A$16,'BA History S2'!S:S, 1)</f>
        <v>1</v>
      </c>
      <c r="AA16" s="2">
        <f>COUNTIFS('BA History S2'!$B:$B,$A$16,'BA History S2'!T:T, 1)</f>
        <v>0</v>
      </c>
      <c r="AB16" s="2">
        <f>COUNTIFS('BA History S2'!$B:$B,$A$16,'BA History S2'!U:U, 1)</f>
        <v>1</v>
      </c>
      <c r="AC16" s="2">
        <f>COUNTIFS('BA History S2'!$B:$B,$A$16,'BA History S2'!V:V, 1)</f>
        <v>1</v>
      </c>
      <c r="AD16" s="2">
        <f>COUNTIFS('BA History S2'!$B:$B,$A$16,'BA History S2'!W:W, 1)</f>
        <v>1</v>
      </c>
      <c r="AE16" s="2">
        <f>COUNTIFS('BA History S2'!$B:$B,$A$16,'BA History S2'!X:X, 1)</f>
        <v>0</v>
      </c>
      <c r="AF16" s="2">
        <f>COUNTIFS('BA History S2'!$B:$B,$A$16,'BA History S2'!Y:Y, 1)</f>
        <v>4</v>
      </c>
      <c r="AG16" s="2">
        <f>COUNTIFS('BA History S2'!$B:$B,$A$16,'BA History S2'!Z:Z, 1)</f>
        <v>4</v>
      </c>
      <c r="AH16" s="2">
        <f>COUNTIFS('BA History S2'!$B:$B,$A16,'BA History S2'!AA:AA, 1)</f>
        <v>0</v>
      </c>
      <c r="AI16" s="2">
        <f>COUNTIFS('BA History S2'!$B:$B,$A$16,'BA History S2'!AB:AB, 1)</f>
        <v>2</v>
      </c>
      <c r="AJ16" s="2">
        <f>COUNTIFS('BA History S2'!$B:$B,$A$16,'BA History S2'!AC:AC, 1)</f>
        <v>8</v>
      </c>
      <c r="AK16" s="2">
        <f>COUNTIFS('BA History S2'!$B:$B,$A$16,'BA History S2'!AD:AD, 1)</f>
        <v>2</v>
      </c>
      <c r="AL16" s="2">
        <f>COUNTIFS('BA History S2'!$B:$B,$A$16,'BA History S2'!AE:AE, 1)</f>
        <v>5</v>
      </c>
      <c r="AM16" s="2">
        <f>COUNTIFS('BA History S2'!$B:$B,$A$16,'BA History S2'!AF:AF, 1)</f>
        <v>0</v>
      </c>
      <c r="AN16" s="2">
        <f>COUNTIFS('BA History S2'!$B:$B,$A$16,'BA History S2'!AG:AG, 1)</f>
        <v>9</v>
      </c>
    </row>
    <row r="17" spans="1:40" x14ac:dyDescent="0.25">
      <c r="A17" s="2" t="s">
        <v>167</v>
      </c>
      <c r="B17" s="2" t="s">
        <v>79</v>
      </c>
      <c r="C17" s="2"/>
      <c r="D17" s="2"/>
      <c r="E17" s="2"/>
      <c r="F17" s="34">
        <f>SUMIFS('BA History S2'!C:C,'BA History S2'!B:B,A17)</f>
        <v>20</v>
      </c>
      <c r="G17" s="66">
        <f>AVERAGEIFS('BA History S2'!C:C,'BA History S2'!B:B,A17)</f>
        <v>10</v>
      </c>
      <c r="H17" s="35">
        <f t="array" ref="H17">MAX(IF('BA History S2'!B:B=A17, 'BA History S2'!C:C))</f>
        <v>14</v>
      </c>
      <c r="I17" s="34">
        <f>COUNTIFS('BA History S2'!B:B,A17,'BA History S2'!D:D, 1)</f>
        <v>1</v>
      </c>
      <c r="J17" s="2">
        <f>COUNTIFS('BA History S2'!B:B,A17,'BA History S2'!D:D, 0)</f>
        <v>1</v>
      </c>
      <c r="K17" s="75">
        <f>LOOKUP(2, 1/('BA History S2'!$B:$B=A17), 'BA History S2'!$AK:$AK)</f>
        <v>0.5</v>
      </c>
      <c r="L17" s="34">
        <f>SUMIFS('BA History S2'!F:F,'BA History S2'!B:B,A17)</f>
        <v>4</v>
      </c>
      <c r="M17" s="2">
        <f>SUMIFS('BA History S2'!E:E,'BA History S2'!B:B,A17)-L17</f>
        <v>4</v>
      </c>
      <c r="N17" s="75">
        <f>LOOKUP(2, 1/('BA History S2'!$B:$B=A17), 'BA History S2'!$AI:$AI)</f>
        <v>0.5</v>
      </c>
      <c r="O17" s="34">
        <f>SUMIFS('BA History S2'!H:H,'BA History S2'!B:B,A17)</f>
        <v>17</v>
      </c>
      <c r="P17" s="2">
        <f>SUMIFS('BA History S2'!G:G,'BA History S2'!B:B,A17)-O17</f>
        <v>17</v>
      </c>
      <c r="Q17" s="89">
        <f>LOOKUP(2, 1/('BA History S2'!$B:$B=A17), 'BA History S2'!$AJ:$AJ)</f>
        <v>0.5</v>
      </c>
      <c r="R17" s="2">
        <f>COUNTIFS('BA History S2'!$B:$B,$A$17,'BA History S2'!K:K, 1)</f>
        <v>0</v>
      </c>
      <c r="S17" s="2">
        <f>COUNTIFS('BA History S2'!$B:$B,$A$17,'BA History S2'!L:L, 1)</f>
        <v>0</v>
      </c>
      <c r="T17" s="2">
        <f>COUNTIFS('BA History S2'!$B:$B,$A$17,'BA History S2'!M:M, 1)</f>
        <v>0</v>
      </c>
      <c r="U17" s="2">
        <f>COUNTIFS('BA History S2'!$B:$B,$A$17,'BA History S2'!N:N, 1)</f>
        <v>0</v>
      </c>
      <c r="V17" s="2">
        <f>COUNTIFS('BA History S2'!$B:$B,$A$17,'BA History S2'!O:O, 1)</f>
        <v>0</v>
      </c>
      <c r="W17" s="2">
        <f>COUNTIFS('BA History S2'!$B:$B,$A$17,'BA History S2'!P:P, 1)</f>
        <v>0</v>
      </c>
      <c r="X17" s="2">
        <f>COUNTIFS('BA History S2'!$B:$B,$A$17,'BA History S2'!Q:Q, 1)</f>
        <v>0</v>
      </c>
      <c r="Y17" s="2">
        <f>COUNTIFS('BA History S2'!$B:$B,$A$17,'BA History S2'!R:R, 1)</f>
        <v>0</v>
      </c>
      <c r="Z17" s="2">
        <f>COUNTIFS('BA History S2'!$B:$B,$A$17,'BA History S2'!S:S, 1)</f>
        <v>0</v>
      </c>
      <c r="AA17" s="2">
        <f>COUNTIFS('BA History S2'!$B:$B,$A$17,'BA History S2'!T:T, 1)</f>
        <v>0</v>
      </c>
      <c r="AB17" s="2">
        <f>COUNTIFS('BA History S2'!$B:$B,$A$17,'BA History S2'!U:U, 1)</f>
        <v>0</v>
      </c>
      <c r="AC17" s="2">
        <f>COUNTIFS('BA History S2'!$B:$B,$A$17,'BA History S2'!V:V, 1)</f>
        <v>0</v>
      </c>
      <c r="AD17" s="2">
        <f>COUNTIFS('BA History S2'!$B:$B,$A$17,'BA History S2'!W:W, 1)</f>
        <v>0</v>
      </c>
      <c r="AE17" s="2">
        <f>COUNTIFS('BA History S2'!$B:$B,$A$17,'BA History S2'!X:X, 1)</f>
        <v>0</v>
      </c>
      <c r="AF17" s="2">
        <f>COUNTIFS('BA History S2'!$B:$B,$A$17,'BA History S2'!Y:Y, 1)</f>
        <v>1</v>
      </c>
      <c r="AG17" s="2">
        <f>COUNTIFS('BA History S2'!$B:$B,$A$17,'BA History S2'!Z:Z, 1)</f>
        <v>1</v>
      </c>
      <c r="AH17" s="2">
        <f>COUNTIFS('BA History S2'!$B:$B,$A17,'BA History S2'!AA:AA, 1)</f>
        <v>0</v>
      </c>
      <c r="AI17" s="2">
        <f>COUNTIFS('BA History S2'!$B:$B,$A$17,'BA History S2'!AB:AB, 1)</f>
        <v>0</v>
      </c>
      <c r="AJ17" s="2">
        <f>COUNTIFS('BA History S2'!$B:$B,$A$17,'BA History S2'!AC:AC, 1)</f>
        <v>2</v>
      </c>
      <c r="AK17" s="2">
        <f>COUNTIFS('BA History S2'!$B:$B,$A$17,'BA History S2'!AD:AD, 1)</f>
        <v>0</v>
      </c>
      <c r="AL17" s="2">
        <f>COUNTIFS('BA History S2'!$B:$B,$A$17,'BA History S2'!AE:AE, 1)</f>
        <v>0</v>
      </c>
      <c r="AM17" s="2">
        <f>COUNTIFS('BA History S2'!$B:$B,$A$17,'BA History S2'!AF:AF, 1)</f>
        <v>0</v>
      </c>
      <c r="AN17" s="2">
        <f>COUNTIFS('BA History S2'!$B:$B,$A$17,'BA History S2'!AG:AG, 1)</f>
        <v>0</v>
      </c>
    </row>
    <row r="18" spans="1:40" x14ac:dyDescent="0.25">
      <c r="A18" s="2" t="s">
        <v>1</v>
      </c>
      <c r="B18" s="1" t="s">
        <v>158</v>
      </c>
      <c r="F18" s="34">
        <f>SUMIFS('BA History S2'!C:C,'BA History S2'!B:B,A18)</f>
        <v>518</v>
      </c>
      <c r="G18" s="66">
        <f>AVERAGEIFS('BA History S2'!C:C,'BA History S2'!B:B,A18)</f>
        <v>27.263157894736842</v>
      </c>
      <c r="H18" s="35">
        <f t="array" ref="H18">MAX(IF('BA History S2'!B:B=A18, 'BA History S2'!C:C))</f>
        <v>49</v>
      </c>
      <c r="I18" s="34">
        <f>COUNTIFS('BA History S2'!B:B,A18,'BA History S2'!D:D, 1)</f>
        <v>11</v>
      </c>
      <c r="J18" s="2">
        <f>COUNTIFS('BA History S2'!B:B,A18,'BA History S2'!D:D, 0)</f>
        <v>8</v>
      </c>
      <c r="K18" s="75">
        <f>LOOKUP(2, 1/('BA History S2'!$B:$B=A18), 'BA History S2'!$AK:$AK)</f>
        <v>0.57894736842105265</v>
      </c>
      <c r="L18" s="34">
        <f>SUMIFS('BA History S2'!F:F,'BA History S2'!B:B,A18)</f>
        <v>42</v>
      </c>
      <c r="M18" s="2">
        <f>SUMIFS('BA History S2'!E:E,'BA History S2'!B:B,A18)-L18</f>
        <v>33</v>
      </c>
      <c r="N18" s="75">
        <f>LOOKUP(2, 1/('BA History S2'!$B:$B=A18), 'BA History S2'!$AI:$AI)</f>
        <v>0.5736842105263158</v>
      </c>
      <c r="O18" s="34">
        <f>SUMIFS('BA History S2'!H:H,'BA History S2'!B:B,A18)</f>
        <v>167</v>
      </c>
      <c r="P18" s="2">
        <f>SUMIFS('BA History S2'!G:G,'BA History S2'!B:B,A18)-O18</f>
        <v>144</v>
      </c>
      <c r="Q18" s="89">
        <f>LOOKUP(2, 1/('BA History S2'!$B:$B=A18), 'BA History S2'!$AJ:$AJ)</f>
        <v>0.55473684210526308</v>
      </c>
      <c r="R18" s="2">
        <f>COUNTIFS('BA History S2'!$B:$B,$A$18,'BA History S2'!K:K, 1)</f>
        <v>2</v>
      </c>
      <c r="S18" s="2">
        <f>COUNTIFS('BA History S2'!$B:$B,$A$18,'BA History S2'!L:L, 1)</f>
        <v>2</v>
      </c>
      <c r="T18" s="2">
        <f>COUNTIFS('BA History S2'!$B:$B,$A$18,'BA History S2'!M:M, 1)</f>
        <v>3</v>
      </c>
      <c r="U18" s="2">
        <f>COUNTIFS('BA History S2'!$B:$B,$A$18,'BA History S2'!N:N, 1)</f>
        <v>4</v>
      </c>
      <c r="V18" s="2">
        <f>COUNTIFS('BA History S2'!$B:$B,$A$18,'BA History S2'!O:O, 1)</f>
        <v>1</v>
      </c>
      <c r="W18" s="2">
        <f>COUNTIFS('BA History S2'!$B:$B,$A$18,'BA History S2'!P:P, 1)</f>
        <v>0</v>
      </c>
      <c r="X18" s="2">
        <f>COUNTIFS('BA History S2'!$B:$B,$A$18,'BA History S2'!Q:Q, 1)</f>
        <v>0</v>
      </c>
      <c r="Y18" s="2">
        <f>COUNTIFS('BA History S2'!$B:$B,$A$18,'BA History S2'!R:R, 1)</f>
        <v>2</v>
      </c>
      <c r="Z18" s="2">
        <f>COUNTIFS('BA History S2'!$B:$B,$A$18,'BA History S2'!S:S, 1)</f>
        <v>1</v>
      </c>
      <c r="AA18" s="2">
        <f>COUNTIFS('BA History S2'!$B:$B,$A$18,'BA History S2'!T:T, 1)</f>
        <v>0</v>
      </c>
      <c r="AB18" s="2">
        <f>COUNTIFS('BA History S2'!$B:$B,$A$18,'BA History S2'!U:U, 1)</f>
        <v>1</v>
      </c>
      <c r="AC18" s="2">
        <f>COUNTIFS('BA History S2'!$B:$B,$A$18,'BA History S2'!V:V, 1)</f>
        <v>2</v>
      </c>
      <c r="AD18" s="2">
        <f>COUNTIFS('BA History S2'!$B:$B,$A$18,'BA History S2'!W:W, 1)</f>
        <v>1</v>
      </c>
      <c r="AE18" s="2">
        <f>COUNTIFS('BA History S2'!$B:$B,$A$18,'BA History S2'!X:X, 1)</f>
        <v>0</v>
      </c>
      <c r="AF18" s="2">
        <f>COUNTIFS('BA History S2'!$B:$B,$A$18,'BA History S2'!Y:Y, 1)</f>
        <v>4</v>
      </c>
      <c r="AG18" s="2">
        <f>COUNTIFS('BA History S2'!$B:$B,$A$18,'BA History S2'!Z:Z, 1)</f>
        <v>4</v>
      </c>
      <c r="AH18" s="2">
        <f>COUNTIFS('BA History S2'!$B:$B,$A18,'BA History S2'!AA:AA, 1)</f>
        <v>0</v>
      </c>
      <c r="AI18" s="2">
        <f>COUNTIFS('BA History S2'!$B:$B,$A$18,'BA History S2'!AB:AB, 1)</f>
        <v>0</v>
      </c>
      <c r="AJ18" s="2">
        <f>COUNTIFS('BA History S2'!$B:$B,$A$18,'BA History S2'!AC:AC, 1)</f>
        <v>4</v>
      </c>
      <c r="AK18" s="2">
        <f>COUNTIFS('BA History S2'!$B:$B,$A$18,'BA History S2'!AD:AD, 1)</f>
        <v>2</v>
      </c>
      <c r="AL18" s="2">
        <f>COUNTIFS('BA History S2'!$B:$B,$A$18,'BA History S2'!AE:AE, 1)</f>
        <v>5</v>
      </c>
      <c r="AM18" s="2">
        <f>COUNTIFS('BA History S2'!$B:$B,$A$18,'BA History S2'!AF:AF, 1)</f>
        <v>0</v>
      </c>
      <c r="AN18" s="2">
        <f>COUNTIFS('BA History S2'!$B:$B,$A$18,'BA History S2'!AG:AG, 1)</f>
        <v>4</v>
      </c>
    </row>
    <row r="19" spans="1:40" ht="15.75" x14ac:dyDescent="0.25">
      <c r="A19" s="2" t="s">
        <v>150</v>
      </c>
      <c r="B19" s="95" t="s">
        <v>79</v>
      </c>
      <c r="C19" s="95">
        <v>2</v>
      </c>
      <c r="D19" s="95"/>
      <c r="E19" s="95"/>
      <c r="F19" s="34">
        <f>SUMIFS('BA History S2'!C:C,'BA History S2'!B:B,A19)</f>
        <v>480</v>
      </c>
      <c r="G19" s="66">
        <f>AVERAGEIFS('BA History S2'!C:C,'BA History S2'!B:B,A19)</f>
        <v>20.869565217391305</v>
      </c>
      <c r="H19" s="35">
        <f t="array" ref="H19">MAX(IF('BA History S2'!B:B=A19, 'BA History S2'!C:C))</f>
        <v>33</v>
      </c>
      <c r="I19" s="34">
        <f>COUNTIFS('BA History S2'!B:B,A19,'BA History S2'!D:D, 1)</f>
        <v>16</v>
      </c>
      <c r="J19" s="2">
        <f>COUNTIFS('BA History S2'!B:B,A19,'BA History S2'!D:D, 0)</f>
        <v>7</v>
      </c>
      <c r="K19" s="75">
        <f>LOOKUP(2, 1/('BA History S2'!$B:$B=A19), 'BA History S2'!$AK:$AK)</f>
        <v>0.69565217391304346</v>
      </c>
      <c r="L19" s="34">
        <f>SUMIFS('BA History S2'!F:F,'BA History S2'!B:B,A19)</f>
        <v>55</v>
      </c>
      <c r="M19" s="2">
        <f>SUMIFS('BA History S2'!E:E,'BA History S2'!B:B,A19)-L19</f>
        <v>36</v>
      </c>
      <c r="N19" s="75">
        <f>LOOKUP(2, 1/('BA History S2'!$B:$B=A19), 'BA History S2'!$AI:$AI)</f>
        <v>0.61304347826086958</v>
      </c>
      <c r="O19" s="34">
        <f>SUMIFS('BA History S2'!H:H,'BA History S2'!B:B,A19)</f>
        <v>208</v>
      </c>
      <c r="P19" s="2">
        <f>SUMIFS('BA History S2'!G:G,'BA History S2'!B:B,A19)-O19</f>
        <v>164</v>
      </c>
      <c r="Q19" s="89">
        <f>LOOKUP(2, 1/('BA History S2'!$B:$B=A19), 'BA History S2'!$AJ:$AJ)</f>
        <v>0.5765217391304347</v>
      </c>
      <c r="R19" s="2">
        <f>COUNTIFS('BA History S2'!$B:$B,$A$19,'BA History S2'!K:K, 1)</f>
        <v>2</v>
      </c>
      <c r="S19" s="2">
        <f>COUNTIFS('BA History S2'!$B:$B,$A$19,'BA History S2'!L:L, 1)</f>
        <v>1</v>
      </c>
      <c r="T19" s="2">
        <f>COUNTIFS('BA History S2'!$B:$B,$A$19,'BA History S2'!M:M, 1)</f>
        <v>5</v>
      </c>
      <c r="U19" s="2">
        <f>COUNTIFS('BA History S2'!$B:$B,$A$19,'BA History S2'!N:N, 1)</f>
        <v>8</v>
      </c>
      <c r="V19" s="2">
        <f>COUNTIFS('BA History S2'!$B:$B,$A$19,'BA History S2'!O:O, 1)</f>
        <v>0</v>
      </c>
      <c r="W19" s="2">
        <f>COUNTIFS('BA History S2'!$B:$B,$A$19,'BA History S2'!P:P, 1)</f>
        <v>1</v>
      </c>
      <c r="X19" s="2">
        <f>COUNTIFS('BA History S2'!$B:$B,$A$19,'BA History S2'!Q:Q, 1)</f>
        <v>2</v>
      </c>
      <c r="Y19" s="2">
        <f>COUNTIFS('BA History S2'!$B:$B,$A$19,'BA History S2'!R:R, 1)</f>
        <v>0</v>
      </c>
      <c r="Z19" s="2">
        <f>COUNTIFS('BA History S2'!$B:$B,$A$19,'BA History S2'!S:S, 1)</f>
        <v>1</v>
      </c>
      <c r="AA19" s="2">
        <f>COUNTIFS('BA History S2'!$B:$B,$A$19,'BA History S2'!T:T, 1)</f>
        <v>0</v>
      </c>
      <c r="AB19" s="2">
        <f>COUNTIFS('BA History S2'!$B:$B,$A$19,'BA History S2'!U:U, 1)</f>
        <v>2</v>
      </c>
      <c r="AC19" s="2">
        <f>COUNTIFS('BA History S2'!$B:$B,$A$19,'BA History S2'!V:V, 1)</f>
        <v>3</v>
      </c>
      <c r="AD19" s="2">
        <f>COUNTIFS('BA History S2'!$B:$B,$A$19,'BA History S2'!W:W, 1)</f>
        <v>1</v>
      </c>
      <c r="AE19" s="2">
        <f>COUNTIFS('BA History S2'!$B:$B,$A$19,'BA History S2'!X:X, 1)</f>
        <v>0</v>
      </c>
      <c r="AF19" s="2">
        <f>COUNTIFS('BA History S2'!$B:$B,$A$19,'BA History S2'!Y:Y, 1)</f>
        <v>3</v>
      </c>
      <c r="AG19" s="2">
        <f>COUNTIFS('BA History S2'!$B:$B,$A$19,'BA History S2'!Z:Z, 1)</f>
        <v>9</v>
      </c>
      <c r="AH19" s="2">
        <f>COUNTIFS('BA History S2'!$B:$B,$A19,'BA History S2'!AA:AA, 1)</f>
        <v>1</v>
      </c>
      <c r="AI19" s="2">
        <f>COUNTIFS('BA History S2'!$B:$B,$A$19,'BA History S2'!AB:AB, 1)</f>
        <v>1</v>
      </c>
      <c r="AJ19" s="2">
        <f>COUNTIFS('BA History S2'!$B:$B,$A$19,'BA History S2'!AC:AC, 1)</f>
        <v>6</v>
      </c>
      <c r="AK19" s="2">
        <f>COUNTIFS('BA History S2'!$B:$B,$A$19,'BA History S2'!AD:AD, 1)</f>
        <v>2</v>
      </c>
      <c r="AL19" s="2">
        <f>COUNTIFS('BA History S2'!$B:$B,$A$19,'BA History S2'!AE:AE, 1)</f>
        <v>3</v>
      </c>
      <c r="AM19" s="2">
        <f>COUNTIFS('BA History S2'!$B:$B,$A$19,'BA History S2'!AF:AF, 1)</f>
        <v>0</v>
      </c>
      <c r="AN19" s="2">
        <f>COUNTIFS('BA History S2'!$B:$B,$A$19,'BA History S2'!AG:AG, 1)</f>
        <v>4</v>
      </c>
    </row>
    <row r="20" spans="1:40" x14ac:dyDescent="0.25">
      <c r="A20" s="2" t="s">
        <v>46</v>
      </c>
      <c r="B20" s="1" t="s">
        <v>158</v>
      </c>
      <c r="F20" s="34">
        <f>SUMIFS('BA History S2'!C:C,'BA History S2'!B:B,A20)</f>
        <v>106</v>
      </c>
      <c r="G20" s="66">
        <f>AVERAGEIFS('BA History S2'!C:C,'BA History S2'!B:B,A20)</f>
        <v>15.142857142857142</v>
      </c>
      <c r="H20" s="35">
        <f t="array" ref="H20">MAX(IF('BA History S2'!B:B=A20, 'BA History S2'!C:C))</f>
        <v>34</v>
      </c>
      <c r="I20" s="34">
        <f>COUNTIFS('BA History S2'!B:B,A20,'BA History S2'!D:D, 1)</f>
        <v>1</v>
      </c>
      <c r="J20" s="2">
        <f>COUNTIFS('BA History S2'!B:B,A20,'BA History S2'!D:D, 0)</f>
        <v>6</v>
      </c>
      <c r="K20" s="75">
        <f>LOOKUP(2, 1/('BA History S2'!$B:$B=A20), 'BA History S2'!$AK:$AK)</f>
        <v>0.14285714285714285</v>
      </c>
      <c r="L20" s="34">
        <f>SUMIFS('BA History S2'!F:F,'BA History S2'!B:B,A20)</f>
        <v>9</v>
      </c>
      <c r="M20" s="2">
        <f>SUMIFS('BA History S2'!E:E,'BA History S2'!B:B,A20)-L20</f>
        <v>20</v>
      </c>
      <c r="N20" s="75">
        <f>LOOKUP(2, 1/('BA History S2'!$B:$B=A20), 'BA History S2'!$AI:$AI)</f>
        <v>0.27142857142857141</v>
      </c>
      <c r="O20" s="34">
        <f>SUMIFS('BA History S2'!H:H,'BA History S2'!B:B,A20)</f>
        <v>48</v>
      </c>
      <c r="P20" s="2">
        <f>SUMIFS('BA History S2'!G:G,'BA History S2'!B:B,A20)-O20</f>
        <v>72</v>
      </c>
      <c r="Q20" s="89">
        <f>LOOKUP(2, 1/('BA History S2'!$B:$B=A20), 'BA History S2'!$AJ:$AJ)</f>
        <v>0.36285714285714288</v>
      </c>
      <c r="R20" s="2">
        <f>COUNTIFS('BA History S2'!$B:$B,$A$20,'BA History S2'!K:K, 1)</f>
        <v>1</v>
      </c>
      <c r="S20" s="2">
        <f>COUNTIFS('BA History S2'!$B:$B,$A$20,'BA History S2'!L:L, 1)</f>
        <v>2</v>
      </c>
      <c r="T20" s="2">
        <f>COUNTIFS('BA History S2'!$B:$B,$A$20,'BA History S2'!M:M, 1)</f>
        <v>1</v>
      </c>
      <c r="U20" s="2">
        <f>COUNTIFS('BA History S2'!$B:$B,$A$20,'BA History S2'!N:N, 1)</f>
        <v>1</v>
      </c>
      <c r="V20" s="2">
        <f>COUNTIFS('BA History S2'!$B:$B,$A$20,'BA History S2'!O:O, 1)</f>
        <v>0</v>
      </c>
      <c r="W20" s="2">
        <f>COUNTIFS('BA History S2'!$B:$B,$A$20,'BA History S2'!P:P, 1)</f>
        <v>0</v>
      </c>
      <c r="X20" s="2">
        <f>COUNTIFS('BA History S2'!$B:$B,$A$20,'BA History S2'!Q:Q, 1)</f>
        <v>0</v>
      </c>
      <c r="Y20" s="2">
        <f>COUNTIFS('BA History S2'!$B:$B,$A$20,'BA History S2'!R:R, 1)</f>
        <v>0</v>
      </c>
      <c r="Z20" s="2">
        <f>COUNTIFS('BA History S2'!$B:$B,$A$20,'BA History S2'!S:S, 1)</f>
        <v>0</v>
      </c>
      <c r="AA20" s="2">
        <f>COUNTIFS('BA History S2'!$B:$B,$A$20,'BA History S2'!T:T, 1)</f>
        <v>0</v>
      </c>
      <c r="AB20" s="2">
        <f>COUNTIFS('BA History S2'!$B:$B,$A$20,'BA History S2'!U:U, 1)</f>
        <v>0</v>
      </c>
      <c r="AC20" s="2">
        <f>COUNTIFS('BA History S2'!$B:$B,$A$20,'BA History S2'!V:V, 1)</f>
        <v>0</v>
      </c>
      <c r="AD20" s="2">
        <f>COUNTIFS('BA History S2'!$B:$B,$A$20,'BA History S2'!W:W, 1)</f>
        <v>1</v>
      </c>
      <c r="AE20" s="2">
        <f>COUNTIFS('BA History S2'!$B:$B,$A$20,'BA History S2'!X:X, 1)</f>
        <v>0</v>
      </c>
      <c r="AF20" s="2">
        <f>COUNTIFS('BA History S2'!$B:$B,$A$20,'BA History S2'!Y:Y, 1)</f>
        <v>1</v>
      </c>
      <c r="AG20" s="2">
        <f>COUNTIFS('BA History S2'!$B:$B,$A$20,'BA History S2'!Z:Z, 1)</f>
        <v>0</v>
      </c>
      <c r="AH20" s="2">
        <f>COUNTIFS('BA History S2'!$B:$B,$A20,'BA History S2'!AA:AA, 1)</f>
        <v>0</v>
      </c>
      <c r="AI20" s="2">
        <f>COUNTIFS('BA History S2'!$B:$B,$A$20,'BA History S2'!AB:AB, 1)</f>
        <v>0</v>
      </c>
      <c r="AJ20" s="2">
        <f>COUNTIFS('BA History S2'!$B:$B,$A$20,'BA History S2'!AC:AC, 1)</f>
        <v>1</v>
      </c>
      <c r="AK20" s="2">
        <f>COUNTIFS('BA History S2'!$B:$B,$A$20,'BA History S2'!AD:AD, 1)</f>
        <v>0</v>
      </c>
      <c r="AL20" s="2">
        <f>COUNTIFS('BA History S2'!$B:$B,$A$20,'BA History S2'!AE:AE, 1)</f>
        <v>0</v>
      </c>
      <c r="AM20" s="2">
        <f>COUNTIFS('BA History S2'!$B:$B,$A$20,'BA History S2'!AF:AF, 1)</f>
        <v>0</v>
      </c>
      <c r="AN20" s="2">
        <f>COUNTIFS('BA History S2'!$B:$B,$A$20,'BA History S2'!AG:AG, 1)</f>
        <v>1</v>
      </c>
    </row>
    <row r="21" spans="1:40" x14ac:dyDescent="0.25">
      <c r="A21" s="2" t="s">
        <v>28</v>
      </c>
      <c r="B21" s="1" t="s">
        <v>79</v>
      </c>
      <c r="F21" s="34">
        <f>SUMIFS('BA History S2'!C:C,'BA History S2'!B:B,A21)</f>
        <v>46</v>
      </c>
      <c r="G21" s="66">
        <f>AVERAGEIFS('BA History S2'!C:C,'BA History S2'!B:B,A21)</f>
        <v>11.5</v>
      </c>
      <c r="H21" s="35">
        <f t="array" ref="H21">MAX(IF('BA History S2'!B:B=A21, 'BA History S2'!C:C))</f>
        <v>17</v>
      </c>
      <c r="I21" s="34">
        <f>COUNTIFS('BA History S2'!B:B,A21,'BA History S2'!D:D, 1)</f>
        <v>2</v>
      </c>
      <c r="J21" s="2">
        <f>COUNTIFS('BA History S2'!B:B,A21,'BA History S2'!D:D, 0)</f>
        <v>2</v>
      </c>
      <c r="K21" s="75">
        <f>LOOKUP(2, 1/('BA History S2'!$B:$B=A21), 'BA History S2'!$AK:$AK)</f>
        <v>0.5</v>
      </c>
      <c r="L21" s="34">
        <f>SUMIFS('BA History S2'!F:F,'BA History S2'!B:B,A21)</f>
        <v>7</v>
      </c>
      <c r="M21" s="2">
        <f>SUMIFS('BA History S2'!E:E,'BA History S2'!B:B,A21)-L21</f>
        <v>7</v>
      </c>
      <c r="N21" s="75">
        <f>LOOKUP(2, 1/('BA History S2'!$B:$B=A21), 'BA History S2'!$AI:$AI)</f>
        <v>0.5</v>
      </c>
      <c r="O21" s="34">
        <f>SUMIFS('BA History S2'!H:H,'BA History S2'!B:B,A21)</f>
        <v>27</v>
      </c>
      <c r="P21" s="2">
        <f>SUMIFS('BA History S2'!G:G,'BA History S2'!B:B,A21)-O21</f>
        <v>29</v>
      </c>
      <c r="Q21" s="89">
        <f>LOOKUP(2, 1/('BA History S2'!$B:$B=A21), 'BA History S2'!$AJ:$AJ)</f>
        <v>0.45499999999999996</v>
      </c>
      <c r="R21" s="2">
        <f>COUNTIFS('BA History S2'!$B:$B,$A$21,'BA History S2'!K:K, 1)</f>
        <v>1</v>
      </c>
      <c r="S21" s="2">
        <f>COUNTIFS('BA History S2'!$B:$B,$A$21,'BA History S2'!L:L, 1)</f>
        <v>0</v>
      </c>
      <c r="T21" s="2">
        <f>COUNTIFS('BA History S2'!$B:$B,$A$21,'BA History S2'!M:M, 1)</f>
        <v>1</v>
      </c>
      <c r="U21" s="2">
        <f>COUNTIFS('BA History S2'!$B:$B,$A$21,'BA History S2'!N:N, 1)</f>
        <v>0</v>
      </c>
      <c r="V21" s="2">
        <f>COUNTIFS('BA History S2'!$B:$B,$A$21,'BA History S2'!O:O, 1)</f>
        <v>1</v>
      </c>
      <c r="W21" s="2">
        <f>COUNTIFS('BA History S2'!$B:$B,$A$21,'BA History S2'!P:P, 1)</f>
        <v>0</v>
      </c>
      <c r="X21" s="2">
        <f>COUNTIFS('BA History S2'!$B:$B,$A$21,'BA History S2'!Q:Q, 1)</f>
        <v>0</v>
      </c>
      <c r="Y21" s="2">
        <f>COUNTIFS('BA History S2'!$B:$B,$A$21,'BA History S2'!R:R, 1)</f>
        <v>0</v>
      </c>
      <c r="Z21" s="2">
        <f>COUNTIFS('BA History S2'!$B:$B,$A$21,'BA History S2'!S:S, 1)</f>
        <v>1</v>
      </c>
      <c r="AA21" s="2">
        <f>COUNTIFS('BA History S2'!$B:$B,$A$21,'BA History S2'!T:T, 1)</f>
        <v>0</v>
      </c>
      <c r="AB21" s="2">
        <f>COUNTIFS('BA History S2'!$B:$B,$A$21,'BA History S2'!U:U, 1)</f>
        <v>0</v>
      </c>
      <c r="AC21" s="2">
        <f>COUNTIFS('BA History S2'!$B:$B,$A$21,'BA History S2'!V:V, 1)</f>
        <v>0</v>
      </c>
      <c r="AD21" s="2">
        <f>COUNTIFS('BA History S2'!$B:$B,$A$21,'BA History S2'!W:W, 1)</f>
        <v>0</v>
      </c>
      <c r="AE21" s="2">
        <f>COUNTIFS('BA History S2'!$B:$B,$A$21,'BA History S2'!X:X, 1)</f>
        <v>0</v>
      </c>
      <c r="AF21" s="2">
        <f>COUNTIFS('BA History S2'!$B:$B,$A$21,'BA History S2'!Y:Y, 1)</f>
        <v>0</v>
      </c>
      <c r="AG21" s="2">
        <f>COUNTIFS('BA History S2'!$B:$B,$A$21,'BA History S2'!Z:Z, 1)</f>
        <v>0</v>
      </c>
      <c r="AH21" s="2">
        <f>COUNTIFS('BA History S2'!$B:$B,$A21,'BA History S2'!AA:AA, 1)</f>
        <v>0</v>
      </c>
      <c r="AI21" s="2">
        <f>COUNTIFS('BA History S2'!$B:$B,$A$21,'BA History S2'!AB:AB, 1)</f>
        <v>0</v>
      </c>
      <c r="AJ21" s="2">
        <f>COUNTIFS('BA History S2'!$B:$B,$A$21,'BA History S2'!AC:AC, 1)</f>
        <v>1</v>
      </c>
      <c r="AK21" s="2">
        <f>COUNTIFS('BA History S2'!$B:$B,$A$21,'BA History S2'!AD:AD, 1)</f>
        <v>0</v>
      </c>
      <c r="AL21" s="2">
        <f>COUNTIFS('BA History S2'!$B:$B,$A$21,'BA History S2'!AE:AE, 1)</f>
        <v>2</v>
      </c>
      <c r="AM21" s="2">
        <f>COUNTIFS('BA History S2'!$B:$B,$A$21,'BA History S2'!AF:AF, 1)</f>
        <v>0</v>
      </c>
      <c r="AN21" s="2">
        <f>COUNTIFS('BA History S2'!$B:$B,$A$21,'BA History S2'!AG:AG, 1)</f>
        <v>0</v>
      </c>
    </row>
    <row r="22" spans="1:40" x14ac:dyDescent="0.25">
      <c r="A22" s="2" t="s">
        <v>53</v>
      </c>
      <c r="B22" s="2" t="s">
        <v>79</v>
      </c>
      <c r="C22" s="2">
        <v>1</v>
      </c>
      <c r="D22" s="2"/>
      <c r="E22" s="2"/>
      <c r="F22" s="34">
        <f>SUMIFS('BA History S2'!C:C,'BA History S2'!B:B,A22)</f>
        <v>231</v>
      </c>
      <c r="G22" s="66">
        <f>AVERAGEIFS('BA History S2'!C:C,'BA History S2'!B:B,A22)</f>
        <v>14.4375</v>
      </c>
      <c r="H22" s="35">
        <f t="array" ref="H22">MAX(IF('BA History S2'!B:B=A22, 'BA History S2'!C:C))</f>
        <v>27</v>
      </c>
      <c r="I22" s="34">
        <f>COUNTIFS('BA History S2'!B:B,A22,'BA History S2'!D:D, 1)</f>
        <v>4</v>
      </c>
      <c r="J22" s="2">
        <f>COUNTIFS('BA History S2'!B:B,A22,'BA History S2'!D:D, 0)</f>
        <v>12</v>
      </c>
      <c r="K22" s="75">
        <f>LOOKUP(2, 1/('BA History S2'!$B:$B=A22), 'BA History S2'!$AK:$AK)</f>
        <v>0.25</v>
      </c>
      <c r="L22" s="34">
        <f>SUMIFS('BA History S2'!F:F,'BA History S2'!B:B,A22)</f>
        <v>26</v>
      </c>
      <c r="M22" s="2">
        <f>SUMIFS('BA History S2'!E:E,'BA History S2'!B:B,A22)-L22</f>
        <v>37</v>
      </c>
      <c r="N22" s="75">
        <f>LOOKUP(2, 1/('BA History S2'!$B:$B=A22), 'BA History S2'!$AI:$AI)</f>
        <v>0.42812499999999998</v>
      </c>
      <c r="O22" s="34">
        <f>SUMIFS('BA History S2'!H:H,'BA History S2'!B:B,A22)</f>
        <v>123</v>
      </c>
      <c r="P22" s="2">
        <f>SUMIFS('BA History S2'!G:G,'BA History S2'!B:B,A22)-O22</f>
        <v>143</v>
      </c>
      <c r="Q22" s="89">
        <f>LOOKUP(2, 1/('BA History S2'!$B:$B=A22), 'BA History S2'!$AJ:$AJ)</f>
        <v>0.46499999999999997</v>
      </c>
      <c r="R22" s="2">
        <f>COUNTIFS('BA History S2'!$B:$B,$A$22,'BA History S2'!K:K, 1)</f>
        <v>1</v>
      </c>
      <c r="S22" s="2">
        <f>COUNTIFS('BA History S2'!$B:$B,$A$22,'BA History S2'!L:L, 1)</f>
        <v>3</v>
      </c>
      <c r="T22" s="2">
        <f>COUNTIFS('BA History S2'!$B:$B,$A$22,'BA History S2'!M:M, 1)</f>
        <v>0</v>
      </c>
      <c r="U22" s="2">
        <f>COUNTIFS('BA History S2'!$B:$B,$A$22,'BA History S2'!N:N, 1)</f>
        <v>3</v>
      </c>
      <c r="V22" s="2">
        <f>COUNTIFS('BA History S2'!$B:$B,$A$22,'BA History S2'!O:O, 1)</f>
        <v>0</v>
      </c>
      <c r="W22" s="2">
        <f>COUNTIFS('BA History S2'!$B:$B,$A$22,'BA History S2'!P:P, 1)</f>
        <v>0</v>
      </c>
      <c r="X22" s="2">
        <f>COUNTIFS('BA History S2'!$B:$B,$A$22,'BA History S2'!Q:Q, 1)</f>
        <v>0</v>
      </c>
      <c r="Y22" s="2">
        <f>COUNTIFS('BA History S2'!$B:$B,$A$22,'BA History S2'!R:R, 1)</f>
        <v>1</v>
      </c>
      <c r="Z22" s="2">
        <f>COUNTIFS('BA History S2'!$B:$B,$A$22,'BA History S2'!S:S, 1)</f>
        <v>0</v>
      </c>
      <c r="AA22" s="2">
        <f>COUNTIFS('BA History S2'!$B:$B,$A$22,'BA History S2'!T:T, 1)</f>
        <v>0</v>
      </c>
      <c r="AB22" s="2">
        <f>COUNTIFS('BA History S2'!$B:$B,$A$22,'BA History S2'!U:U, 1)</f>
        <v>1</v>
      </c>
      <c r="AC22" s="2">
        <f>COUNTIFS('BA History S2'!$B:$B,$A$22,'BA History S2'!V:V, 1)</f>
        <v>0</v>
      </c>
      <c r="AD22" s="2">
        <f>COUNTIFS('BA History S2'!$B:$B,$A$22,'BA History S2'!W:W, 1)</f>
        <v>0</v>
      </c>
      <c r="AE22" s="2">
        <f>COUNTIFS('BA History S2'!$B:$B,$A$22,'BA History S2'!X:X, 1)</f>
        <v>0</v>
      </c>
      <c r="AF22" s="2">
        <f>COUNTIFS('BA History S2'!$B:$B,$A$22,'BA History S2'!Y:Y, 1)</f>
        <v>1</v>
      </c>
      <c r="AG22" s="2">
        <f>COUNTIFS('BA History S2'!$B:$B,$A$22,'BA History S2'!Z:Z, 1)</f>
        <v>4</v>
      </c>
      <c r="AH22" s="2">
        <f>COUNTIFS('BA History S2'!$B:$B,$A22,'BA History S2'!AA:AA, 1)</f>
        <v>0</v>
      </c>
      <c r="AI22" s="2">
        <f>COUNTIFS('BA History S2'!$B:$B,$A$22,'BA History S2'!AB:AB, 1)</f>
        <v>1</v>
      </c>
      <c r="AJ22" s="2">
        <f>COUNTIFS('BA History S2'!$B:$B,$A$22,'BA History S2'!AC:AC, 1)</f>
        <v>4</v>
      </c>
      <c r="AK22" s="2">
        <f>COUNTIFS('BA History S2'!$B:$B,$A$22,'BA History S2'!AD:AD, 1)</f>
        <v>2</v>
      </c>
      <c r="AL22" s="2">
        <f>COUNTIFS('BA History S2'!$B:$B,$A$22,'BA History S2'!AE:AE, 1)</f>
        <v>0</v>
      </c>
      <c r="AM22" s="2">
        <f>COUNTIFS('BA History S2'!$B:$B,$A$22,'BA History S2'!AF:AF, 1)</f>
        <v>1</v>
      </c>
      <c r="AN22" s="2">
        <f>COUNTIFS('BA History S2'!$B:$B,$A$22,'BA History S2'!AG:AG, 1)</f>
        <v>4</v>
      </c>
    </row>
    <row r="23" spans="1:40" x14ac:dyDescent="0.25">
      <c r="A23" s="2" t="s">
        <v>137</v>
      </c>
      <c r="B23" s="2" t="s">
        <v>79</v>
      </c>
      <c r="C23" s="2"/>
      <c r="D23" s="2"/>
      <c r="E23" s="2"/>
      <c r="F23" s="34">
        <f>SUMIFS('BA History S2'!C:C,'BA History S2'!B:B,A23)</f>
        <v>8</v>
      </c>
      <c r="G23" s="66">
        <f>AVERAGEIFS('BA History S2'!C:C,'BA History S2'!B:B,A23)</f>
        <v>8</v>
      </c>
      <c r="H23" s="35">
        <f t="array" ref="H23">MAX(IF('BA History S2'!B:B=A23, 'BA History S2'!C:C))</f>
        <v>8</v>
      </c>
      <c r="I23" s="34">
        <f>COUNTIFS('BA History S2'!B:B,A23,'BA History S2'!D:D, 1)</f>
        <v>1</v>
      </c>
      <c r="J23" s="2">
        <f>COUNTIFS('BA History S2'!B:B,A23,'BA History S2'!D:D, 0)</f>
        <v>0</v>
      </c>
      <c r="K23" s="75">
        <f>LOOKUP(2, 1/('BA History S2'!$B:$B=A23), 'BA History S2'!$AK:$AK)</f>
        <v>1</v>
      </c>
      <c r="L23" s="34">
        <f>SUMIFS('BA History S2'!F:F,'BA History S2'!B:B,A23)</f>
        <v>3</v>
      </c>
      <c r="M23" s="2">
        <f>SUMIFS('BA History S2'!E:E,'BA History S2'!B:B,A23)-L23</f>
        <v>1</v>
      </c>
      <c r="N23" s="75">
        <f>LOOKUP(2, 1/('BA History S2'!$B:$B=A23), 'BA History S2'!$AI:$AI)</f>
        <v>0.75</v>
      </c>
      <c r="O23" s="34">
        <f>SUMIFS('BA History S2'!H:H,'BA History S2'!B:B,A23)</f>
        <v>10</v>
      </c>
      <c r="P23" s="2">
        <f>SUMIFS('BA History S2'!G:G,'BA History S2'!B:B,A23)-O23</f>
        <v>7</v>
      </c>
      <c r="Q23" s="89">
        <f>LOOKUP(2, 1/('BA History S2'!$B:$B=A23), 'BA History S2'!$AJ:$AJ)</f>
        <v>0.59</v>
      </c>
      <c r="R23" s="2">
        <f>COUNTIFS('BA History S2'!$B:$B,$A$23,'BA History S2'!K:K, 1)</f>
        <v>0</v>
      </c>
      <c r="S23" s="2">
        <f>COUNTIFS('BA History S2'!$B:$B,$A$23,'BA History S2'!L:L, 1)</f>
        <v>1</v>
      </c>
      <c r="T23" s="2">
        <f>COUNTIFS('BA History S2'!$B:$B,$A$23,'BA History S2'!M:M, 1)</f>
        <v>0</v>
      </c>
      <c r="U23" s="2">
        <f>COUNTIFS('BA History S2'!$B:$B,$A$23,'BA History S2'!N:N, 1)</f>
        <v>0</v>
      </c>
      <c r="V23" s="2">
        <f>COUNTIFS('BA History S2'!$B:$B,$A$23,'BA History S2'!O:O, 1)</f>
        <v>0</v>
      </c>
      <c r="W23" s="2">
        <f>COUNTIFS('BA History S2'!$B:$B,$A$23,'BA History S2'!P:P, 1)</f>
        <v>1</v>
      </c>
      <c r="X23" s="2">
        <f>COUNTIFS('BA History S2'!$B:$B,$A$23,'BA History S2'!Q:Q, 1)</f>
        <v>0</v>
      </c>
      <c r="Y23" s="2">
        <f>COUNTIFS('BA History S2'!$B:$B,$A$23,'BA History S2'!R:R, 1)</f>
        <v>0</v>
      </c>
      <c r="Z23" s="2">
        <f>COUNTIFS('BA History S2'!$B:$B,$A$23,'BA History S2'!S:S, 1)</f>
        <v>0</v>
      </c>
      <c r="AA23" s="2">
        <f>COUNTIFS('BA History S2'!$B:$B,$A$23,'BA History S2'!T:T, 1)</f>
        <v>0</v>
      </c>
      <c r="AB23" s="2">
        <f>COUNTIFS('BA History S2'!$B:$B,$A$23,'BA History S2'!U:U, 1)</f>
        <v>0</v>
      </c>
      <c r="AC23" s="2">
        <f>COUNTIFS('BA History S2'!$B:$B,$A$23,'BA History S2'!V:V, 1)</f>
        <v>0</v>
      </c>
      <c r="AD23" s="2">
        <f>COUNTIFS('BA History S2'!$B:$B,$A$23,'BA History S2'!W:W, 1)</f>
        <v>0</v>
      </c>
      <c r="AE23" s="2">
        <f>COUNTIFS('BA History S2'!$B:$B,$A$23,'BA History S2'!X:X, 1)</f>
        <v>0</v>
      </c>
      <c r="AF23" s="2">
        <f>COUNTIFS('BA History S2'!$B:$B,$A$23,'BA History S2'!Y:Y, 1)</f>
        <v>0</v>
      </c>
      <c r="AG23" s="2">
        <f>COUNTIFS('BA History S2'!$B:$B,$A$23,'BA History S2'!Z:Z, 1)</f>
        <v>0</v>
      </c>
      <c r="AH23" s="2">
        <f>COUNTIFS('BA History S2'!$B:$B,$A$23,'BA History S2'!AA:AA, 1)</f>
        <v>0</v>
      </c>
      <c r="AI23" s="2">
        <f>COUNTIFS('BA History S2'!$B:$B,$A$23,'BA History S2'!AB:AB, 1)</f>
        <v>0</v>
      </c>
      <c r="AJ23" s="2">
        <f>COUNTIFS('BA History S2'!$B:$B,$A$23,'BA History S2'!AC:AC, 1)</f>
        <v>0</v>
      </c>
      <c r="AK23" s="2">
        <f>COUNTIFS('BA History S2'!$B:$B,$A$23,'BA History S2'!AD:AD, 1)</f>
        <v>0</v>
      </c>
      <c r="AL23" s="2">
        <f>COUNTIFS('BA History S2'!$B:$B,$A$23,'BA History S2'!AE:AE, 1)</f>
        <v>1</v>
      </c>
      <c r="AM23" s="2">
        <f>COUNTIFS('BA History S2'!$B:$B,$A$23,'BA History S2'!AF:AF, 1)</f>
        <v>0</v>
      </c>
      <c r="AN23" s="2">
        <f>COUNTIFS('BA History S2'!$B:$B,$A$23,'BA History S2'!AG:AG, 1)</f>
        <v>0</v>
      </c>
    </row>
    <row r="24" spans="1:40" x14ac:dyDescent="0.25">
      <c r="A24" s="2" t="s">
        <v>148</v>
      </c>
      <c r="B24" s="2" t="s">
        <v>79</v>
      </c>
      <c r="C24" s="2"/>
      <c r="D24" s="2"/>
      <c r="E24" s="2"/>
      <c r="F24" s="34">
        <f>SUMIFS('BA History S2'!C:C,'BA History S2'!B:B,A24)</f>
        <v>65</v>
      </c>
      <c r="G24" s="66">
        <f>AVERAGEIFS('BA History S2'!C:C,'BA History S2'!B:B,A24)</f>
        <v>8.125</v>
      </c>
      <c r="H24" s="35">
        <f t="array" ref="H24">MAX(IF('BA History S2'!B:B=A24, 'BA History S2'!C:C))</f>
        <v>15</v>
      </c>
      <c r="I24" s="34">
        <f>COUNTIFS('BA History S2'!B:B,A24,'BA History S2'!D:D, 1)</f>
        <v>3</v>
      </c>
      <c r="J24" s="2">
        <f>COUNTIFS('BA History S2'!B:B,A24,'BA History S2'!D:D, 0)</f>
        <v>5</v>
      </c>
      <c r="K24" s="75">
        <f>LOOKUP(2, 1/('BA History S2'!$B:$B=A24), 'BA History S2'!$AK:$AK)</f>
        <v>0.375</v>
      </c>
      <c r="L24" s="34">
        <f>SUMIFS('BA History S2'!F:F,'BA History S2'!B:B,A24)</f>
        <v>14</v>
      </c>
      <c r="M24" s="2">
        <f>SUMIFS('BA History S2'!E:E,'BA History S2'!B:B,A24)-L24</f>
        <v>21</v>
      </c>
      <c r="N24" s="75">
        <f>LOOKUP(2, 1/('BA History S2'!$B:$B=A24), 'BA History S2'!$AI:$AI)</f>
        <v>0.35625000000000001</v>
      </c>
      <c r="O24" s="34">
        <f>SUMIFS('BA History S2'!H:H,'BA History S2'!B:B,A24)</f>
        <v>69</v>
      </c>
      <c r="P24" s="2">
        <f>SUMIFS('BA History S2'!G:G,'BA History S2'!B:B,A24)-O24</f>
        <v>81</v>
      </c>
      <c r="Q24" s="89">
        <f>LOOKUP(2, 1/('BA History S2'!$B:$B=A24), 'BA History S2'!$AJ:$AJ)</f>
        <v>0.44375000000000003</v>
      </c>
      <c r="R24" s="2">
        <f>COUNTIFS('BA History S2'!$B:$B,$A$24,'BA History S2'!K:K, 1)</f>
        <v>2</v>
      </c>
      <c r="S24" s="2">
        <f>COUNTIFS('BA History S2'!$B:$B,$A$24,'BA History S2'!L:L, 1)</f>
        <v>1</v>
      </c>
      <c r="T24" s="2">
        <f>COUNTIFS('BA History S2'!$B:$B,$A$24,'BA History S2'!M:M, 1)</f>
        <v>1</v>
      </c>
      <c r="U24" s="2">
        <f>COUNTIFS('BA History S2'!$B:$B,$A$24,'BA History S2'!N:N, 1)</f>
        <v>1</v>
      </c>
      <c r="V24" s="2">
        <f>COUNTIFS('BA History S2'!$B:$B,$A$24,'BA History S2'!O:O, 1)</f>
        <v>1</v>
      </c>
      <c r="W24" s="2">
        <f>COUNTIFS('BA History S2'!$B:$B,$A$24,'BA History S2'!P:P, 1)</f>
        <v>0</v>
      </c>
      <c r="X24" s="2">
        <f>COUNTIFS('BA History S2'!$B:$B,$A$24,'BA History S2'!Q:Q, 1)</f>
        <v>0</v>
      </c>
      <c r="Y24" s="2">
        <f>COUNTIFS('BA History S2'!$B:$B,$A$24,'BA History S2'!R:R, 1)</f>
        <v>0</v>
      </c>
      <c r="Z24" s="2">
        <f>COUNTIFS('BA History S2'!$B:$B,$A$24,'BA History S2'!S:S, 1)</f>
        <v>0</v>
      </c>
      <c r="AA24" s="2">
        <f>COUNTIFS('BA History S2'!$B:$B,$A$24,'BA History S2'!T:T, 1)</f>
        <v>0</v>
      </c>
      <c r="AB24" s="2">
        <f>COUNTIFS('BA History S2'!$B:$B,$A$24,'BA History S2'!U:U, 1)</f>
        <v>0</v>
      </c>
      <c r="AC24" s="2">
        <f>COUNTIFS('BA History S2'!$B:$B,$A$24,'BA History S2'!V:V, 1)</f>
        <v>0</v>
      </c>
      <c r="AD24" s="2">
        <f>COUNTIFS('BA History S2'!$B:$B,$A$24,'BA History S2'!W:W, 1)</f>
        <v>1</v>
      </c>
      <c r="AE24" s="2">
        <f>COUNTIFS('BA History S2'!$B:$B,$A$24,'BA History S2'!X:X, 1)</f>
        <v>0</v>
      </c>
      <c r="AF24" s="2">
        <f>COUNTIFS('BA History S2'!$B:$B,$A$24,'BA History S2'!Y:Y, 1)</f>
        <v>0</v>
      </c>
      <c r="AG24" s="2">
        <f>COUNTIFS('BA History S2'!$B:$B,$A$24,'BA History S2'!Z:Z, 1)</f>
        <v>1</v>
      </c>
      <c r="AH24" s="2">
        <f>COUNTIFS('BA History S2'!$B:$B,$A24,'BA History S2'!AA:AA, 1)</f>
        <v>0</v>
      </c>
      <c r="AI24" s="2">
        <f>COUNTIFS('BA History S2'!$B:$B,$A$24,'BA History S2'!AB:AB, 1)</f>
        <v>0</v>
      </c>
      <c r="AJ24" s="2">
        <f>COUNTIFS('BA History S2'!$B:$B,$A$24,'BA History S2'!AC:AC, 1)</f>
        <v>4</v>
      </c>
      <c r="AK24" s="2">
        <f>COUNTIFS('BA History S2'!$B:$B,$A$24,'BA History S2'!AD:AD, 1)</f>
        <v>1</v>
      </c>
      <c r="AL24" s="2">
        <f>COUNTIFS('BA History S2'!$B:$B,$A$24,'BA History S2'!AE:AE, 1)</f>
        <v>0</v>
      </c>
      <c r="AM24" s="2">
        <f>COUNTIFS('BA History S2'!$B:$B,$A$24,'BA History S2'!AF:AF, 1)</f>
        <v>0</v>
      </c>
      <c r="AN24" s="2">
        <f>COUNTIFS('BA History S2'!$B:$B,$A$24,'BA History S2'!AG:AG, 1)</f>
        <v>1</v>
      </c>
    </row>
    <row r="25" spans="1:40" x14ac:dyDescent="0.25">
      <c r="A25" s="2" t="s">
        <v>15</v>
      </c>
      <c r="B25" s="2" t="s">
        <v>79</v>
      </c>
      <c r="C25" s="2"/>
      <c r="D25" s="2"/>
      <c r="E25" s="2"/>
      <c r="F25" s="34">
        <f>SUMIFS('BA History S2'!C:C,'BA History S2'!B:B,A25)</f>
        <v>23</v>
      </c>
      <c r="G25" s="66">
        <f>AVERAGEIFS('BA History S2'!C:C,'BA History S2'!B:B,A25)</f>
        <v>23</v>
      </c>
      <c r="H25" s="35">
        <f t="array" ref="H25">MAX(IF('BA History S2'!B:B=A25, 'BA History S2'!C:C))</f>
        <v>23</v>
      </c>
      <c r="I25" s="34">
        <f>COUNTIFS('BA History S2'!B:B,A25,'BA History S2'!D:D, 1)</f>
        <v>0</v>
      </c>
      <c r="J25" s="2">
        <f>COUNTIFS('BA History S2'!B:B,A25,'BA History S2'!D:D, 0)</f>
        <v>1</v>
      </c>
      <c r="K25" s="75">
        <f>LOOKUP(2, 1/('BA History S2'!$B:$B=A25), 'BA History S2'!$AK:$AK)</f>
        <v>0</v>
      </c>
      <c r="L25" s="34">
        <f>SUMIFS('BA History S2'!F:F,'BA History S2'!B:B,A25)</f>
        <v>2</v>
      </c>
      <c r="M25" s="2">
        <f>SUMIFS('BA History S2'!E:E,'BA History S2'!B:B,A25)-L25</f>
        <v>3</v>
      </c>
      <c r="N25" s="75">
        <f>LOOKUP(2, 1/('BA History S2'!$B:$B=A25), 'BA History S2'!$AI:$AI)</f>
        <v>0.4</v>
      </c>
      <c r="O25" s="34">
        <f>SUMIFS('BA History S2'!H:H,'BA History S2'!B:B,A25)</f>
        <v>11</v>
      </c>
      <c r="P25" s="2">
        <f>SUMIFS('BA History S2'!G:G,'BA History S2'!B:B,A25)-O25</f>
        <v>11</v>
      </c>
      <c r="Q25" s="89">
        <f>LOOKUP(2, 1/('BA History S2'!$B:$B=A25), 'BA History S2'!$AJ:$AJ)</f>
        <v>0.5</v>
      </c>
      <c r="R25" s="2">
        <f>COUNTIFS('BA History S2'!$B:$B,$A$25,'BA History S2'!K:K, 1)</f>
        <v>0</v>
      </c>
      <c r="S25" s="2">
        <f>COUNTIFS('BA History S2'!$B:$B,$A$25,'BA History S2'!L:L, 1)</f>
        <v>1</v>
      </c>
      <c r="T25" s="2">
        <f>COUNTIFS('BA History S2'!$B:$B,$A$25,'BA History S2'!M:M, 1)</f>
        <v>1</v>
      </c>
      <c r="U25" s="2">
        <f>COUNTIFS('BA History S2'!$B:$B,$A$25,'BA History S2'!N:N, 1)</f>
        <v>0</v>
      </c>
      <c r="V25" s="2">
        <f>COUNTIFS('BA History S2'!$B:$B,$A$25,'BA History S2'!O:O, 1)</f>
        <v>0</v>
      </c>
      <c r="W25" s="2">
        <f>COUNTIFS('BA History S2'!$B:$B,$A$25,'BA History S2'!P:P, 1)</f>
        <v>0</v>
      </c>
      <c r="X25" s="2">
        <f>COUNTIFS('BA History S2'!$B:$B,$A$25,'BA History S2'!Q:Q, 1)</f>
        <v>0</v>
      </c>
      <c r="Y25" s="2">
        <f>COUNTIFS('BA History S2'!$B:$B,$A$25,'BA History S2'!R:R, 1)</f>
        <v>0</v>
      </c>
      <c r="Z25" s="2">
        <f>COUNTIFS('BA History S2'!$B:$B,$A$25,'BA History S2'!S:S, 1)</f>
        <v>0</v>
      </c>
      <c r="AA25" s="2">
        <f>COUNTIFS('BA History S2'!$B:$B,$A$25,'BA History S2'!T:T, 1)</f>
        <v>0</v>
      </c>
      <c r="AB25" s="2">
        <f>COUNTIFS('BA History S2'!$B:$B,$A$25,'BA History S2'!U:U, 1)</f>
        <v>0</v>
      </c>
      <c r="AC25" s="2">
        <f>COUNTIFS('BA History S2'!$B:$B,$A$25,'BA History S2'!V:V, 1)</f>
        <v>0</v>
      </c>
      <c r="AD25" s="2">
        <f>COUNTIFS('BA History S2'!$B:$B,$A$25,'BA History S2'!W:W, 1)</f>
        <v>0</v>
      </c>
      <c r="AE25" s="2">
        <f>COUNTIFS('BA History S2'!$B:$B,$A$25,'BA History S2'!X:X, 1)</f>
        <v>0</v>
      </c>
      <c r="AF25" s="2">
        <f>COUNTIFS('BA History S2'!$B:$B,$A$25,'BA History S2'!Y:Y, 1)</f>
        <v>0</v>
      </c>
      <c r="AG25" s="2">
        <f>COUNTIFS('BA History S2'!$B:$B,$A$25,'BA History S2'!Z:Z, 1)</f>
        <v>0</v>
      </c>
      <c r="AH25" s="2">
        <f>COUNTIFS('BA History S2'!$B:$B,$A$25,'BA History S2'!AA:AA, 1)</f>
        <v>0</v>
      </c>
      <c r="AI25" s="2">
        <f>COUNTIFS('BA History S2'!$B:$B,$A$25,'BA History S2'!AB:AB, 1)</f>
        <v>0</v>
      </c>
      <c r="AJ25" s="2">
        <f>COUNTIFS('BA History S2'!$B:$B,$A$25,'BA History S2'!AC:AC, 1)</f>
        <v>0</v>
      </c>
      <c r="AK25" s="2">
        <f>COUNTIFS('BA History S2'!$B:$B,$A$25,'BA History S2'!AD:AD, 1)</f>
        <v>0</v>
      </c>
      <c r="AL25" s="2">
        <f>COUNTIFS('BA History S2'!$B:$B,$A$25,'BA History S2'!AE:AE, 1)</f>
        <v>0</v>
      </c>
      <c r="AM25" s="2">
        <f>COUNTIFS('BA History S2'!$B:$B,$A$25,'BA History S2'!AF:AF, 1)</f>
        <v>0</v>
      </c>
      <c r="AN25" s="2">
        <f>COUNTIFS('BA History S2'!$B:$B,$A$25,'BA History S2'!AG:AG, 1)</f>
        <v>0</v>
      </c>
    </row>
    <row r="26" spans="1:40" x14ac:dyDescent="0.25">
      <c r="A26" s="2" t="s">
        <v>3</v>
      </c>
      <c r="B26" s="1" t="s">
        <v>158</v>
      </c>
      <c r="C26" s="2"/>
      <c r="D26" s="2"/>
      <c r="E26" s="2"/>
      <c r="F26" s="34">
        <f>SUMIFS('BA History S2'!C:C,'BA History S2'!B:B,A26)</f>
        <v>37</v>
      </c>
      <c r="G26" s="66">
        <f>AVERAGEIFS('BA History S2'!C:C,'BA History S2'!B:B,A26)</f>
        <v>18.5</v>
      </c>
      <c r="H26" s="35">
        <f t="array" ref="H26">MAX(IF('BA History S2'!B:B=A26, 'BA History S2'!C:C))</f>
        <v>26</v>
      </c>
      <c r="I26" s="34">
        <f>COUNTIFS('BA History S2'!B:B,A26,'BA History S2'!D:D, 1)</f>
        <v>0</v>
      </c>
      <c r="J26" s="2">
        <f>COUNTIFS('BA History S2'!B:B,A26,'BA History S2'!D:D, 0)</f>
        <v>2</v>
      </c>
      <c r="K26" s="75">
        <f>LOOKUP(2, 1/('BA History S2'!$B:$B=A26), 'BA History S2'!$AK:$AK)</f>
        <v>0</v>
      </c>
      <c r="L26" s="34">
        <f>SUMIFS('BA History S2'!F:F,'BA History S2'!B:B,A26)</f>
        <v>2</v>
      </c>
      <c r="M26" s="2">
        <f>SUMIFS('BA History S2'!E:E,'BA History S2'!B:B,A26)-L26</f>
        <v>6</v>
      </c>
      <c r="N26" s="75">
        <f>LOOKUP(2, 1/('BA History S2'!$B:$B=A26), 'BA History S2'!$AI:$AI)</f>
        <v>0.2</v>
      </c>
      <c r="O26" s="34">
        <f>SUMIFS('BA History S2'!H:H,'BA History S2'!B:B,A26)</f>
        <v>16</v>
      </c>
      <c r="P26" s="2">
        <f>SUMIFS('BA History S2'!G:G,'BA History S2'!B:B,A26)-O26</f>
        <v>21</v>
      </c>
      <c r="Q26" s="89">
        <f>LOOKUP(2, 1/('BA History S2'!$B:$B=A26), 'BA History S2'!$AJ:$AJ)</f>
        <v>0.40500000000000003</v>
      </c>
      <c r="R26" s="2">
        <f>COUNTIFS('BA History S2'!$B:$B,$A$26,'BA History S2'!K:K, 1)</f>
        <v>0</v>
      </c>
      <c r="S26" s="2">
        <f>COUNTIFS('BA History S2'!$B:$B,$A$26,'BA History S2'!L:L, 1)</f>
        <v>0</v>
      </c>
      <c r="T26" s="2">
        <f>COUNTIFS('BA History S2'!$B:$B,$A$26,'BA History S2'!M:M, 1)</f>
        <v>0</v>
      </c>
      <c r="U26" s="2">
        <f>COUNTIFS('BA History S2'!$B:$B,$A$26,'BA History S2'!N:N, 1)</f>
        <v>0</v>
      </c>
      <c r="V26" s="2">
        <f>COUNTIFS('BA History S2'!$B:$B,$A$26,'BA History S2'!O:O, 1)</f>
        <v>0</v>
      </c>
      <c r="W26" s="2">
        <f>COUNTIFS('BA History S2'!$B:$B,$A$26,'BA History S2'!P:P, 1)</f>
        <v>0</v>
      </c>
      <c r="X26" s="2">
        <f>COUNTIFS('BA History S2'!$B:$B,$A$26,'BA History S2'!Q:Q, 1)</f>
        <v>0</v>
      </c>
      <c r="Y26" s="2">
        <f>COUNTIFS('BA History S2'!$B:$B,$A$26,'BA History S2'!R:R, 1)</f>
        <v>0</v>
      </c>
      <c r="Z26" s="2">
        <f>COUNTIFS('BA History S2'!$B:$B,$A$26,'BA History S2'!S:S, 1)</f>
        <v>0</v>
      </c>
      <c r="AA26" s="2">
        <f>COUNTIFS('BA History S2'!$B:$B,$A$26,'BA History S2'!T:T, 1)</f>
        <v>0</v>
      </c>
      <c r="AB26" s="2">
        <f>COUNTIFS('BA History S2'!$B:$B,$A$26,'BA History S2'!U:U, 1)</f>
        <v>0</v>
      </c>
      <c r="AC26" s="2">
        <f>COUNTIFS('BA History S2'!$B:$B,$A$26,'BA History S2'!V:V, 1)</f>
        <v>1</v>
      </c>
      <c r="AD26" s="2">
        <f>COUNTIFS('BA History S2'!$B:$B,$A$26,'BA History S2'!W:W, 1)</f>
        <v>0</v>
      </c>
      <c r="AE26" s="2">
        <f>COUNTIFS('BA History S2'!$B:$B,$A$26,'BA History S2'!X:X, 1)</f>
        <v>0</v>
      </c>
      <c r="AF26" s="2">
        <f>COUNTIFS('BA History S2'!$B:$B,$A$26,'BA History S2'!Y:Y, 1)</f>
        <v>0</v>
      </c>
      <c r="AG26" s="2">
        <f>COUNTIFS('BA History S2'!$B:$B,$A$26,'BA History S2'!Z:Z, 1)</f>
        <v>0</v>
      </c>
      <c r="AH26" s="2">
        <f>COUNTIFS('BA History S2'!$B:$B,$A$26,'BA History S2'!AA:AA, 1)</f>
        <v>0</v>
      </c>
      <c r="AI26" s="2">
        <f>COUNTIFS('BA History S2'!$B:$B,$A$26,'BA History S2'!AB:AB, 1)</f>
        <v>0</v>
      </c>
      <c r="AJ26" s="2">
        <f>COUNTIFS('BA History S2'!$B:$B,$A$26,'BA History S2'!AC:AC, 1)</f>
        <v>1</v>
      </c>
      <c r="AK26" s="2">
        <f>COUNTIFS('BA History S2'!$B:$B,$A$26,'BA History S2'!AD:AD, 1)</f>
        <v>0</v>
      </c>
      <c r="AL26" s="2">
        <f>COUNTIFS('BA History S2'!$B:$B,$A$26,'BA History S2'!AE:AE, 1)</f>
        <v>0</v>
      </c>
      <c r="AM26" s="2">
        <f>COUNTIFS('BA History S2'!$B:$B,$A$26,'BA History S2'!AF:AF, 1)</f>
        <v>0</v>
      </c>
      <c r="AN26" s="2">
        <f>COUNTIFS('BA History S2'!$B:$B,$A$26,'BA History S2'!AG:AG, 1)</f>
        <v>0</v>
      </c>
    </row>
    <row r="27" spans="1:40" x14ac:dyDescent="0.25">
      <c r="A27" s="2" t="s">
        <v>161</v>
      </c>
      <c r="B27" s="2" t="s">
        <v>79</v>
      </c>
      <c r="C27" s="2"/>
      <c r="D27" s="2"/>
      <c r="E27" s="2"/>
      <c r="F27" s="34">
        <f>SUMIFS('BA History S2'!C:C,'BA History S2'!B:B,A27)</f>
        <v>175</v>
      </c>
      <c r="G27" s="66">
        <f>AVERAGEIFS('BA History S2'!C:C,'BA History S2'!B:B,A27)</f>
        <v>10.9375</v>
      </c>
      <c r="H27" s="35">
        <f t="array" ref="H27">MAX(IF('BA History S2'!B:B=A27, 'BA History S2'!C:C))</f>
        <v>29</v>
      </c>
      <c r="I27" s="34">
        <f>COUNTIFS('BA History S2'!B:B,A27,'BA History S2'!D:D, 1)</f>
        <v>9</v>
      </c>
      <c r="J27" s="2">
        <f>COUNTIFS('BA History S2'!B:B,A27,'BA History S2'!D:D, 0)</f>
        <v>7</v>
      </c>
      <c r="K27" s="75">
        <f>LOOKUP(2, 1/('BA History S2'!$B:$B=A27), 'BA History S2'!$AK:$AK)</f>
        <v>0.5625</v>
      </c>
      <c r="L27" s="34">
        <f>SUMIFS('BA History S2'!F:F,'BA History S2'!B:B,A27)</f>
        <v>34</v>
      </c>
      <c r="M27" s="2">
        <f>SUMIFS('BA History S2'!E:E,'BA History S2'!B:B,A27)-L27</f>
        <v>32</v>
      </c>
      <c r="N27" s="75">
        <f>LOOKUP(2, 1/('BA History S2'!$B:$B=A27), 'BA History S2'!$AI:$AI)</f>
        <v>0.50624999999999998</v>
      </c>
      <c r="O27" s="34">
        <f>SUMIFS('BA History S2'!H:H,'BA History S2'!B:B,A27)</f>
        <v>140</v>
      </c>
      <c r="P27" s="2">
        <f>SUMIFS('BA History S2'!G:G,'BA History S2'!B:B,A27)-O27</f>
        <v>142</v>
      </c>
      <c r="Q27" s="89">
        <f>LOOKUP(2, 1/('BA History S2'!$B:$B=A27), 'BA History S2'!$AJ:$AJ)</f>
        <v>0.49749999999999994</v>
      </c>
      <c r="R27" s="2">
        <f>COUNTIFS('BA History S2'!$B:$B,$A$27,'BA History S2'!K:K, 1)</f>
        <v>2</v>
      </c>
      <c r="S27" s="2">
        <f>COUNTIFS('BA History S2'!$B:$B,$A$27,'BA History S2'!L:L, 1)</f>
        <v>2</v>
      </c>
      <c r="T27" s="2">
        <f>COUNTIFS('BA History S2'!$B:$B,$A$27,'BA History S2'!M:M, 1)</f>
        <v>4</v>
      </c>
      <c r="U27" s="2">
        <f>COUNTIFS('BA History S2'!$B:$B,$A$27,'BA History S2'!N:N, 1)</f>
        <v>2</v>
      </c>
      <c r="V27" s="2">
        <f>COUNTIFS('BA History S2'!$B:$B,$A$27,'BA History S2'!O:O, 1)</f>
        <v>0</v>
      </c>
      <c r="W27" s="2">
        <f>COUNTIFS('BA History S2'!$B:$B,$A$27,'BA History S2'!P:P, 1)</f>
        <v>0</v>
      </c>
      <c r="X27" s="2">
        <f>COUNTIFS('BA History S2'!$B:$B,$A$27,'BA History S2'!Q:Q, 1)</f>
        <v>0</v>
      </c>
      <c r="Y27" s="2">
        <f>COUNTIFS('BA History S2'!$B:$B,$A$27,'BA History S2'!R:R, 1)</f>
        <v>0</v>
      </c>
      <c r="Z27" s="2">
        <f>COUNTIFS('BA History S2'!$B:$B,$A$27,'BA History S2'!S:S, 1)</f>
        <v>1</v>
      </c>
      <c r="AA27" s="2">
        <f>COUNTIFS('BA History S2'!$B:$B,$A$27,'BA History S2'!T:T, 1)</f>
        <v>0</v>
      </c>
      <c r="AB27" s="2">
        <f>COUNTIFS('BA History S2'!$B:$B,$A$27,'BA History S2'!U:U, 1)</f>
        <v>1</v>
      </c>
      <c r="AC27" s="2">
        <f>COUNTIFS('BA History S2'!$B:$B,$A$27,'BA History S2'!V:V, 1)</f>
        <v>2</v>
      </c>
      <c r="AD27" s="2">
        <f>COUNTIFS('BA History S2'!$B:$B,$A$27,'BA History S2'!W:W, 1)</f>
        <v>0</v>
      </c>
      <c r="AE27" s="2">
        <f>COUNTIFS('BA History S2'!$B:$B,$A$27,'BA History S2'!X:X, 1)</f>
        <v>0</v>
      </c>
      <c r="AF27" s="2">
        <f>COUNTIFS('BA History S2'!$B:$B,$A$27,'BA History S2'!Y:Y, 1)</f>
        <v>2</v>
      </c>
      <c r="AG27" s="2">
        <f>COUNTIFS('BA History S2'!$B:$B,$A$27,'BA History S2'!Z:Z, 1)</f>
        <v>4</v>
      </c>
      <c r="AH27" s="2">
        <f>COUNTIFS('BA History S2'!$B:$B,$A27,'BA History S2'!AA:AA, 1)</f>
        <v>1</v>
      </c>
      <c r="AI27" s="2">
        <f>COUNTIFS('BA History S2'!$B:$B,$A$27,'BA History S2'!AB:AB, 1)</f>
        <v>2</v>
      </c>
      <c r="AJ27" s="2">
        <f>COUNTIFS('BA History S2'!$B:$B,$A$27,'BA History S2'!AC:AC, 1)</f>
        <v>4</v>
      </c>
      <c r="AK27" s="2">
        <f>COUNTIFS('BA History S2'!$B:$B,$A$27,'BA History S2'!AD:AD, 1)</f>
        <v>2</v>
      </c>
      <c r="AL27" s="2">
        <f>COUNTIFS('BA History S2'!$B:$B,$A$27,'BA History S2'!AE:AE, 1)</f>
        <v>1</v>
      </c>
      <c r="AM27" s="2">
        <f>COUNTIFS('BA History S2'!$B:$B,$A$27,'BA History S2'!AF:AF, 1)</f>
        <v>1</v>
      </c>
      <c r="AN27" s="2">
        <f>COUNTIFS('BA History S2'!$B:$B,$A$27,'BA History S2'!AG:AG, 1)</f>
        <v>3</v>
      </c>
    </row>
    <row r="28" spans="1:40" x14ac:dyDescent="0.25">
      <c r="A28" s="2" t="s">
        <v>13</v>
      </c>
      <c r="B28" s="2" t="s">
        <v>79</v>
      </c>
      <c r="C28" s="2"/>
      <c r="D28" s="2"/>
      <c r="E28" s="2"/>
      <c r="F28" s="34">
        <f>SUMIFS('BA History S2'!C:C,'BA History S2'!B:B,A28)</f>
        <v>362</v>
      </c>
      <c r="G28" s="66">
        <f>AVERAGEIFS('BA History S2'!C:C,'BA History S2'!B:B,A28)</f>
        <v>18.100000000000001</v>
      </c>
      <c r="H28" s="35">
        <f t="array" ref="H28">MAX(IF('BA History S2'!B:B=A28, 'BA History S2'!C:C))</f>
        <v>38</v>
      </c>
      <c r="I28" s="34">
        <f>COUNTIFS('BA History S2'!B:B,A28,'BA History S2'!D:D, 1)</f>
        <v>8</v>
      </c>
      <c r="J28" s="2">
        <f>COUNTIFS('BA History S2'!B:B,A28,'BA History S2'!D:D, 0)</f>
        <v>12</v>
      </c>
      <c r="K28" s="75">
        <f>LOOKUP(2, 1/('BA History S2'!$B:$B=A28), 'BA History S2'!$AK:$AK)</f>
        <v>0.4</v>
      </c>
      <c r="L28" s="34">
        <f>SUMIFS('BA History S2'!F:F,'BA History S2'!B:B,A28)</f>
        <v>35</v>
      </c>
      <c r="M28" s="2">
        <f>SUMIFS('BA History S2'!E:E,'BA History S2'!B:B,A28)-L28</f>
        <v>43</v>
      </c>
      <c r="N28" s="75">
        <f>LOOKUP(2, 1/('BA History S2'!$B:$B=A28), 'BA History S2'!$AI:$AI)</f>
        <v>0.44500000000000001</v>
      </c>
      <c r="O28" s="34">
        <f>SUMIFS('BA History S2'!H:H,'BA History S2'!B:B,A28)</f>
        <v>164</v>
      </c>
      <c r="P28" s="2">
        <f>SUMIFS('BA History S2'!G:G,'BA History S2'!B:B,A28)-O28</f>
        <v>179</v>
      </c>
      <c r="Q28" s="89">
        <f>LOOKUP(2, 1/('BA History S2'!$B:$B=A28), 'BA History S2'!$AJ:$AJ)</f>
        <v>0.47299999999999998</v>
      </c>
      <c r="R28" s="2">
        <f>COUNTIFS('BA History S2'!$B:$B,$A$28,'BA History S2'!K:K, 1)</f>
        <v>2</v>
      </c>
      <c r="S28" s="2">
        <f>COUNTIFS('BA History S2'!$B:$B,$A$28,'BA History S2'!L:L, 1)</f>
        <v>3</v>
      </c>
      <c r="T28" s="2">
        <f>COUNTIFS('BA History S2'!$B:$B,$A$28,'BA History S2'!M:M, 1)</f>
        <v>4</v>
      </c>
      <c r="U28" s="2">
        <f>COUNTIFS('BA History S2'!$B:$B,$A$28,'BA History S2'!N:N, 1)</f>
        <v>2</v>
      </c>
      <c r="V28" s="2">
        <f>COUNTIFS('BA History S2'!$B:$B,$A$28,'BA History S2'!O:O, 1)</f>
        <v>2</v>
      </c>
      <c r="W28" s="2">
        <f>COUNTIFS('BA History S2'!$B:$B,$A$28,'BA History S2'!P:P, 1)</f>
        <v>0</v>
      </c>
      <c r="X28" s="2">
        <f>COUNTIFS('BA History S2'!$B:$B,$A$28,'BA History S2'!Q:Q, 1)</f>
        <v>0</v>
      </c>
      <c r="Y28" s="2">
        <f>COUNTIFS('BA History S2'!$B:$B,$A$28,'BA History S2'!R:R, 1)</f>
        <v>0</v>
      </c>
      <c r="Z28" s="2">
        <f>COUNTIFS('BA History S2'!$B:$B,$A$28,'BA History S2'!S:S, 1)</f>
        <v>0</v>
      </c>
      <c r="AA28" s="2">
        <f>COUNTIFS('BA History S2'!$B:$B,$A$28,'BA History S2'!T:T, 1)</f>
        <v>0</v>
      </c>
      <c r="AB28" s="2">
        <f>COUNTIFS('BA History S2'!$B:$B,$A$28,'BA History S2'!U:U, 1)</f>
        <v>1</v>
      </c>
      <c r="AC28" s="2">
        <f>COUNTIFS('BA History S2'!$B:$B,$A$28,'BA History S2'!V:V, 1)</f>
        <v>2</v>
      </c>
      <c r="AD28" s="2">
        <f>COUNTIFS('BA History S2'!$B:$B,$A$28,'BA History S2'!W:W, 1)</f>
        <v>1</v>
      </c>
      <c r="AE28" s="2">
        <f>COUNTIFS('BA History S2'!$B:$B,$A$28,'BA History S2'!X:X, 1)</f>
        <v>0</v>
      </c>
      <c r="AF28" s="2">
        <f>COUNTIFS('BA History S2'!$B:$B,$A$28,'BA History S2'!Y:Y, 1)</f>
        <v>2</v>
      </c>
      <c r="AG28" s="2">
        <f>COUNTIFS('BA History S2'!$B:$B,$A$28,'BA History S2'!Z:Z, 1)</f>
        <v>3</v>
      </c>
      <c r="AH28" s="2">
        <f>COUNTIFS('BA History S2'!$B:$B,$A28,'BA History S2'!AA:AA, 1)</f>
        <v>0</v>
      </c>
      <c r="AI28" s="2">
        <f>COUNTIFS('BA History S2'!$B:$B,$A$28,'BA History S2'!AB:AB, 1)</f>
        <v>1</v>
      </c>
      <c r="AJ28" s="2">
        <f>COUNTIFS('BA History S2'!$B:$B,$A$28,'BA History S2'!AC:AC, 1)</f>
        <v>5</v>
      </c>
      <c r="AK28" s="2">
        <f>COUNTIFS('BA History S2'!$B:$B,$A$28,'BA History S2'!AD:AD, 1)</f>
        <v>3</v>
      </c>
      <c r="AL28" s="2">
        <f>COUNTIFS('BA History S2'!$B:$B,$A$28,'BA History S2'!AE:AE, 1)</f>
        <v>2</v>
      </c>
      <c r="AM28" s="2">
        <f>COUNTIFS('BA History S2'!$B:$B,$A$28,'BA History S2'!AF:AF, 1)</f>
        <v>1</v>
      </c>
      <c r="AN28" s="2">
        <f>COUNTIFS('BA History S2'!$B:$B,$A$28,'BA History S2'!AG:AG, 1)</f>
        <v>1</v>
      </c>
    </row>
    <row r="29" spans="1:40" x14ac:dyDescent="0.25">
      <c r="A29" s="2" t="s">
        <v>2</v>
      </c>
      <c r="B29" s="1" t="s">
        <v>158</v>
      </c>
      <c r="C29" s="1">
        <v>1</v>
      </c>
      <c r="F29" s="34">
        <f>SUMIFS('BA History S2'!C:C,'BA History S2'!B:B,A29)</f>
        <v>555</v>
      </c>
      <c r="G29" s="66">
        <f>AVERAGEIFS('BA History S2'!C:C,'BA History S2'!B:B,A29)</f>
        <v>25.227272727272727</v>
      </c>
      <c r="H29" s="35">
        <f t="array" ref="H29">MAX(IF('BA History S2'!B:B=A29, 'BA History S2'!C:C))</f>
        <v>50</v>
      </c>
      <c r="I29" s="34">
        <f>COUNTIFS('BA History S2'!B:B,A29,'BA History S2'!D:D, 1)</f>
        <v>6</v>
      </c>
      <c r="J29" s="2">
        <f>COUNTIFS('BA History S2'!B:B,A29,'BA History S2'!D:D, 0)</f>
        <v>16</v>
      </c>
      <c r="K29" s="75">
        <f>LOOKUP(2, 1/('BA History S2'!$B:$B=A29), 'BA History S2'!$AK:$AK)</f>
        <v>0.27272727272727271</v>
      </c>
      <c r="L29" s="34">
        <f>SUMIFS('BA History S2'!F:F,'BA History S2'!B:B,A29)</f>
        <v>37</v>
      </c>
      <c r="M29" s="2">
        <f>SUMIFS('BA History S2'!E:E,'BA History S2'!B:B,A29)-L29</f>
        <v>53</v>
      </c>
      <c r="N29" s="75">
        <f>LOOKUP(2, 1/('BA History S2'!$B:$B=A29), 'BA History S2'!$AI:$AI)</f>
        <v>0.40909090909090912</v>
      </c>
      <c r="O29" s="34">
        <f>SUMIFS('BA History S2'!H:H,'BA History S2'!B:B,A29)</f>
        <v>190</v>
      </c>
      <c r="P29" s="2">
        <f>SUMIFS('BA History S2'!G:G,'BA History S2'!B:B,A29)-O29</f>
        <v>197</v>
      </c>
      <c r="Q29" s="89">
        <f>LOOKUP(2, 1/('BA History S2'!$B:$B=A29), 'BA History S2'!$AJ:$AJ)</f>
        <v>0.48818181818181822</v>
      </c>
      <c r="R29" s="2">
        <f>COUNTIFS('BA History S2'!$B:$B,$A$29,'BA History S2'!K:K, 1)</f>
        <v>3</v>
      </c>
      <c r="S29" s="2">
        <f>COUNTIFS('BA History S2'!$B:$B,$A$29,'BA History S2'!L:L, 1)</f>
        <v>2</v>
      </c>
      <c r="T29" s="2">
        <f>COUNTIFS('BA History S2'!$B:$B,$A$29,'BA History S2'!M:M, 1)</f>
        <v>2</v>
      </c>
      <c r="U29" s="2">
        <f>COUNTIFS('BA History S2'!$B:$B,$A$29,'BA History S2'!N:N, 1)</f>
        <v>3</v>
      </c>
      <c r="V29" s="2">
        <f>COUNTIFS('BA History S2'!$B:$B,$A$29,'BA History S2'!O:O, 1)</f>
        <v>2</v>
      </c>
      <c r="W29" s="2">
        <f>COUNTIFS('BA History S2'!$B:$B,$A$29,'BA History S2'!P:P, 1)</f>
        <v>0</v>
      </c>
      <c r="X29" s="2">
        <f>COUNTIFS('BA History S2'!$B:$B,$A$29,'BA History S2'!Q:Q, 1)</f>
        <v>1</v>
      </c>
      <c r="Y29" s="2">
        <f>COUNTIFS('BA History S2'!$B:$B,$A$29,'BA History S2'!R:R, 1)</f>
        <v>0</v>
      </c>
      <c r="Z29" s="2">
        <f>COUNTIFS('BA History S2'!$B:$B,$A$29,'BA History S2'!S:S, 1)</f>
        <v>1</v>
      </c>
      <c r="AA29" s="2">
        <f>COUNTIFS('BA History S2'!$B:$B,$A$29,'BA History S2'!T:T, 1)</f>
        <v>0</v>
      </c>
      <c r="AB29" s="2">
        <f>COUNTIFS('BA History S2'!$B:$B,$A$29,'BA History S2'!U:U, 1)</f>
        <v>2</v>
      </c>
      <c r="AC29" s="2">
        <f>COUNTIFS('BA History S2'!$B:$B,$A$29,'BA History S2'!V:V, 1)</f>
        <v>2</v>
      </c>
      <c r="AD29" s="2">
        <f>COUNTIFS('BA History S2'!$B:$B,$A$29,'BA History S2'!W:W, 1)</f>
        <v>0</v>
      </c>
      <c r="AE29" s="2">
        <f>COUNTIFS('BA History S2'!$B:$B,$A$29,'BA History S2'!X:X, 1)</f>
        <v>0</v>
      </c>
      <c r="AF29" s="2">
        <f>COUNTIFS('BA History S2'!$B:$B,$A$29,'BA History S2'!Y:Y, 1)</f>
        <v>0</v>
      </c>
      <c r="AG29" s="2">
        <f>COUNTIFS('BA History S2'!$B:$B,$A$29,'BA History S2'!Z:Z, 1)</f>
        <v>2</v>
      </c>
      <c r="AH29" s="2">
        <f>COUNTIFS('BA History S2'!$B:$B,$A29,'BA History S2'!AA:AA, 1)</f>
        <v>1</v>
      </c>
      <c r="AI29" s="2">
        <f>COUNTIFS('BA History S2'!$B:$B,$A$29,'BA History S2'!AB:AB, 1)</f>
        <v>1</v>
      </c>
      <c r="AJ29" s="2">
        <f>COUNTIFS('BA History S2'!$B:$B,$A$29,'BA History S2'!AC:AC, 1)</f>
        <v>7</v>
      </c>
      <c r="AK29" s="2">
        <f>COUNTIFS('BA History S2'!$B:$B,$A$29,'BA History S2'!AD:AD, 1)</f>
        <v>2</v>
      </c>
      <c r="AL29" s="2">
        <f>COUNTIFS('BA History S2'!$B:$B,$A$29,'BA History S2'!AE:AE, 1)</f>
        <v>4</v>
      </c>
      <c r="AM29" s="2">
        <f>COUNTIFS('BA History S2'!$B:$B,$A$29,'BA History S2'!AF:AF, 1)</f>
        <v>0</v>
      </c>
      <c r="AN29" s="2">
        <f>COUNTIFS('BA History S2'!$B:$B,$A$29,'BA History S2'!AG:AG, 1)</f>
        <v>2</v>
      </c>
    </row>
    <row r="30" spans="1:40" x14ac:dyDescent="0.25">
      <c r="A30" s="2" t="s">
        <v>54</v>
      </c>
      <c r="B30" s="2" t="s">
        <v>79</v>
      </c>
      <c r="C30" s="2">
        <v>3</v>
      </c>
      <c r="D30" s="2">
        <v>1</v>
      </c>
      <c r="E30" s="2"/>
      <c r="F30" s="34">
        <f>SUMIFS('BA History S2'!C:C,'BA History S2'!B:B,A30)</f>
        <v>493</v>
      </c>
      <c r="G30" s="66">
        <f>AVERAGEIFS('BA History S2'!C:C,'BA History S2'!B:B,A30)</f>
        <v>22.40909090909091</v>
      </c>
      <c r="H30" s="35">
        <f t="array" ref="H30">MAX(IF('BA History S2'!B:B=A30, 'BA History S2'!C:C))</f>
        <v>47</v>
      </c>
      <c r="I30" s="34">
        <f>COUNTIFS('BA History S2'!B:B,A30,'BA History S2'!D:D, 1)</f>
        <v>12</v>
      </c>
      <c r="J30" s="2">
        <f>COUNTIFS('BA History S2'!B:B,A30,'BA History S2'!D:D, 0)</f>
        <v>10</v>
      </c>
      <c r="K30" s="75">
        <f>LOOKUP(2, 1/('BA History S2'!$B:$B=A30), 'BA History S2'!$AK:$AK)</f>
        <v>0.54545454545454541</v>
      </c>
      <c r="L30" s="34">
        <f>SUMIFS('BA History S2'!F:F,'BA History S2'!B:B,A30)</f>
        <v>46</v>
      </c>
      <c r="M30" s="2">
        <f>SUMIFS('BA History S2'!E:E,'BA History S2'!B:B,A30)-L30</f>
        <v>41</v>
      </c>
      <c r="N30" s="75">
        <f>LOOKUP(2, 1/('BA History S2'!$B:$B=A30), 'BA History S2'!$AI:$AI)</f>
        <v>0.52954545454545454</v>
      </c>
      <c r="O30" s="34">
        <f>SUMIFS('BA History S2'!H:H,'BA History S2'!B:B,A30)</f>
        <v>184</v>
      </c>
      <c r="P30" s="2">
        <f>SUMIFS('BA History S2'!G:G,'BA History S2'!B:B,A30)-O30</f>
        <v>179</v>
      </c>
      <c r="Q30" s="89">
        <f>LOOKUP(2, 1/('BA History S2'!$B:$B=A30), 'BA History S2'!$AJ:$AJ)</f>
        <v>0.50636363636363635</v>
      </c>
      <c r="R30" s="2">
        <f>COUNTIFS('BA History S2'!$B:$B,$A$30,'BA History S2'!K:K, 1)</f>
        <v>2</v>
      </c>
      <c r="S30" s="2">
        <f>COUNTIFS('BA History S2'!$B:$B,$A$30,'BA History S2'!L:L, 1)</f>
        <v>5</v>
      </c>
      <c r="T30" s="2">
        <f>COUNTIFS('BA History S2'!$B:$B,$A$30,'BA History S2'!M:M, 1)</f>
        <v>4</v>
      </c>
      <c r="U30" s="2">
        <f>COUNTIFS('BA History S2'!$B:$B,$A$30,'BA History S2'!N:N, 1)</f>
        <v>3</v>
      </c>
      <c r="V30" s="2">
        <f>COUNTIFS('BA History S2'!$B:$B,$A$30,'BA History S2'!O:O, 1)</f>
        <v>2</v>
      </c>
      <c r="W30" s="2">
        <f>COUNTIFS('BA History S2'!$B:$B,$A$30,'BA History S2'!P:P, 1)</f>
        <v>1</v>
      </c>
      <c r="X30" s="2">
        <f>COUNTIFS('BA History S2'!$B:$B,$A$30,'BA History S2'!Q:Q, 1)</f>
        <v>1</v>
      </c>
      <c r="Y30" s="2">
        <f>COUNTIFS('BA History S2'!$B:$B,$A$30,'BA History S2'!R:R, 1)</f>
        <v>0</v>
      </c>
      <c r="Z30" s="2">
        <f>COUNTIFS('BA History S2'!$B:$B,$A$30,'BA History S2'!S:S, 1)</f>
        <v>1</v>
      </c>
      <c r="AA30" s="2">
        <f>COUNTIFS('BA History S2'!$B:$B,$A$30,'BA History S2'!T:T, 1)</f>
        <v>0</v>
      </c>
      <c r="AB30" s="2">
        <f>COUNTIFS('BA History S2'!$B:$B,$A$30,'BA History S2'!U:U, 1)</f>
        <v>1</v>
      </c>
      <c r="AC30" s="2">
        <f>COUNTIFS('BA History S2'!$B:$B,$A$30,'BA History S2'!V:V, 1)</f>
        <v>3</v>
      </c>
      <c r="AD30" s="2">
        <f>COUNTIFS('BA History S2'!$B:$B,$A$30,'BA History S2'!W:W, 1)</f>
        <v>1</v>
      </c>
      <c r="AE30" s="2">
        <f>COUNTIFS('BA History S2'!$B:$B,$A$30,'BA History S2'!X:X, 1)</f>
        <v>0</v>
      </c>
      <c r="AF30" s="2">
        <f>COUNTIFS('BA History S2'!$B:$B,$A$30,'BA History S2'!Y:Y, 1)</f>
        <v>2</v>
      </c>
      <c r="AG30" s="2">
        <f>COUNTIFS('BA History S2'!$B:$B,$A$30,'BA History S2'!Z:Z, 1)</f>
        <v>5</v>
      </c>
      <c r="AH30" s="2">
        <f>COUNTIFS('BA History S2'!$B:$B,$A30,'BA History S2'!AA:AA, 1)</f>
        <v>0</v>
      </c>
      <c r="AI30" s="2">
        <f>COUNTIFS('BA History S2'!$B:$B,$A$30,'BA History S2'!AB:AB, 1)</f>
        <v>2</v>
      </c>
      <c r="AJ30" s="2">
        <f>COUNTIFS('BA History S2'!$B:$B,$A$30,'BA History S2'!AC:AC, 1)</f>
        <v>4</v>
      </c>
      <c r="AK30" s="2">
        <f>COUNTIFS('BA History S2'!$B:$B,$A$30,'BA History S2'!AD:AD, 1)</f>
        <v>2</v>
      </c>
      <c r="AL30" s="2">
        <f>COUNTIFS('BA History S2'!$B:$B,$A$30,'BA History S2'!AE:AE, 1)</f>
        <v>3</v>
      </c>
      <c r="AM30" s="2">
        <f>COUNTIFS('BA History S2'!$B:$B,$A$30,'BA History S2'!AF:AF, 1)</f>
        <v>0</v>
      </c>
      <c r="AN30" s="2">
        <f>COUNTIFS('BA History S2'!$B:$B,$A$30,'BA History S2'!AG:AG, 1)</f>
        <v>4</v>
      </c>
    </row>
    <row r="31" spans="1:40" x14ac:dyDescent="0.25">
      <c r="A31" s="2" t="s">
        <v>5</v>
      </c>
      <c r="B31" s="1" t="s">
        <v>158</v>
      </c>
      <c r="C31" s="1">
        <v>1</v>
      </c>
      <c r="D31" s="1">
        <v>1</v>
      </c>
      <c r="F31" s="34">
        <f>SUMIFS('BA History S2'!C:C,'BA History S2'!B:B,A31)</f>
        <v>444</v>
      </c>
      <c r="G31" s="66">
        <f>AVERAGEIFS('BA History S2'!C:C,'BA History S2'!B:B,A31)</f>
        <v>18.5</v>
      </c>
      <c r="H31" s="35">
        <f t="array" ref="H31">MAX(IF('BA History S2'!B:B=A31, 'BA History S2'!C:C))</f>
        <v>37</v>
      </c>
      <c r="I31" s="34">
        <f>COUNTIFS('BA History S2'!B:B,A31,'BA History S2'!D:D, 1)</f>
        <v>11</v>
      </c>
      <c r="J31" s="2">
        <f>COUNTIFS('BA History S2'!B:B,A31,'BA History S2'!D:D, 0)</f>
        <v>13</v>
      </c>
      <c r="K31" s="75">
        <f>LOOKUP(2, 1/('BA History S2'!$B:$B=A31), 'BA History S2'!$AK:$AK)</f>
        <v>0.45833333333333331</v>
      </c>
      <c r="L31" s="34">
        <f>SUMIFS('BA History S2'!F:F,'BA History S2'!B:B,A31)</f>
        <v>47</v>
      </c>
      <c r="M31" s="2">
        <f>SUMIFS('BA History S2'!E:E,'BA History S2'!B:B,A31)-L31</f>
        <v>52</v>
      </c>
      <c r="N31" s="75">
        <f>LOOKUP(2, 1/('BA History S2'!$B:$B=A31), 'BA History S2'!$AI:$AI)</f>
        <v>0.4645833333333334</v>
      </c>
      <c r="O31" s="34">
        <f>SUMIFS('BA History S2'!H:H,'BA History S2'!B:B,A31)</f>
        <v>201</v>
      </c>
      <c r="P31" s="2">
        <f>SUMIFS('BA History S2'!G:G,'BA History S2'!B:B,A31)-O31</f>
        <v>213</v>
      </c>
      <c r="Q31" s="89">
        <f>LOOKUP(2, 1/('BA History S2'!$B:$B=A31), 'BA History S2'!$AJ:$AJ)</f>
        <v>0.48333333333333339</v>
      </c>
      <c r="R31" s="2">
        <f>COUNTIFS('BA History S2'!$B:$B,$A$31,'BA History S2'!K:K, 1)</f>
        <v>2</v>
      </c>
      <c r="S31" s="2">
        <f>COUNTIFS('BA History S2'!$B:$B,$A$31,'BA History S2'!L:L, 1)</f>
        <v>5</v>
      </c>
      <c r="T31" s="2">
        <f>COUNTIFS('BA History S2'!$B:$B,$A$31,'BA History S2'!M:M, 1)</f>
        <v>6</v>
      </c>
      <c r="U31" s="2">
        <f>COUNTIFS('BA History S2'!$B:$B,$A$31,'BA History S2'!N:N, 1)</f>
        <v>7</v>
      </c>
      <c r="V31" s="2">
        <f>COUNTIFS('BA History S2'!$B:$B,$A$31,'BA History S2'!O:O, 1)</f>
        <v>2</v>
      </c>
      <c r="W31" s="2">
        <f>COUNTIFS('BA History S2'!$B:$B,$A$31,'BA History S2'!P:P, 1)</f>
        <v>0</v>
      </c>
      <c r="X31" s="2">
        <f>COUNTIFS('BA History S2'!$B:$B,$A$31,'BA History S2'!Q:Q, 1)</f>
        <v>0</v>
      </c>
      <c r="Y31" s="2">
        <f>COUNTIFS('BA History S2'!$B:$B,$A$31,'BA History S2'!R:R, 1)</f>
        <v>0</v>
      </c>
      <c r="Z31" s="2">
        <f>COUNTIFS('BA History S2'!$B:$B,$A$31,'BA History S2'!S:S, 1)</f>
        <v>0</v>
      </c>
      <c r="AA31" s="2">
        <f>COUNTIFS('BA History S2'!$B:$B,$A$31,'BA History S2'!T:T, 1)</f>
        <v>0</v>
      </c>
      <c r="AB31" s="2">
        <f>COUNTIFS('BA History S2'!$B:$B,$A$31,'BA History S2'!U:U, 1)</f>
        <v>0</v>
      </c>
      <c r="AC31" s="2">
        <f>COUNTIFS('BA History S2'!$B:$B,$A$31,'BA History S2'!V:V, 1)</f>
        <v>1</v>
      </c>
      <c r="AD31" s="2">
        <f>COUNTIFS('BA History S2'!$B:$B,$A$31,'BA History S2'!W:W, 1)</f>
        <v>0</v>
      </c>
      <c r="AE31" s="2">
        <f>COUNTIFS('BA History S2'!$B:$B,$A$31,'BA History S2'!X:X, 1)</f>
        <v>0</v>
      </c>
      <c r="AF31" s="2">
        <f>COUNTIFS('BA History S2'!$B:$B,$A$31,'BA History S2'!Y:Y, 1)</f>
        <v>3</v>
      </c>
      <c r="AG31" s="2">
        <f>COUNTIFS('BA History S2'!$B:$B,$A$31,'BA History S2'!Z:Z, 1)</f>
        <v>6</v>
      </c>
      <c r="AH31" s="2">
        <f>COUNTIFS('BA History S2'!$B:$B,$A31,'BA History S2'!AA:AA, 1)</f>
        <v>0</v>
      </c>
      <c r="AI31" s="2">
        <f>COUNTIFS('BA History S2'!$B:$B,$A$31,'BA History S2'!AB:AB, 1)</f>
        <v>2</v>
      </c>
      <c r="AJ31" s="2">
        <f>COUNTIFS('BA History S2'!$B:$B,$A$31,'BA History S2'!AC:AC, 1)</f>
        <v>8</v>
      </c>
      <c r="AK31" s="2">
        <f>COUNTIFS('BA History S2'!$B:$B,$A$31,'BA History S2'!AD:AD, 1)</f>
        <v>1</v>
      </c>
      <c r="AL31" s="2">
        <f>COUNTIFS('BA History S2'!$B:$B,$A$31,'BA History S2'!AE:AE, 1)</f>
        <v>2</v>
      </c>
      <c r="AM31" s="2">
        <f>COUNTIFS('BA History S2'!$B:$B,$A$31,'BA History S2'!AF:AF, 1)</f>
        <v>0</v>
      </c>
      <c r="AN31" s="2">
        <f>COUNTIFS('BA History S2'!$B:$B,$A$31,'BA History S2'!AG:AG, 1)</f>
        <v>2</v>
      </c>
    </row>
    <row r="32" spans="1:40" x14ac:dyDescent="0.25">
      <c r="A32" s="2" t="s">
        <v>224</v>
      </c>
      <c r="B32" s="1" t="s">
        <v>79</v>
      </c>
      <c r="F32" s="34">
        <f>SUMIFS('BA History S2'!C:C,'BA History S2'!B:B,A32)</f>
        <v>17</v>
      </c>
      <c r="G32" s="66">
        <f>AVERAGEIFS('BA History S2'!C:C,'BA History S2'!B:B,A32)</f>
        <v>8.5</v>
      </c>
      <c r="H32" s="35">
        <f t="array" ref="H32">MAX(IF('BA History S2'!B:B=A32, 'BA History S2'!C:C))</f>
        <v>10</v>
      </c>
      <c r="I32" s="34">
        <f>COUNTIFS('BA History S2'!B:B,A32,'BA History S2'!D:D, 1)</f>
        <v>1</v>
      </c>
      <c r="J32" s="2">
        <f>COUNTIFS('BA History S2'!B:B,A32,'BA History S2'!D:D, 0)</f>
        <v>1</v>
      </c>
      <c r="K32" s="75">
        <f>LOOKUP(2, 1/('BA History S2'!$B:$B=A32), 'BA History S2'!$AK:$AK)</f>
        <v>0.5</v>
      </c>
      <c r="L32" s="34">
        <f>SUMIFS('BA History S2'!F:F,'BA History S2'!B:B,A32)</f>
        <v>4</v>
      </c>
      <c r="M32" s="2">
        <f>SUMIFS('BA History S2'!E:E,'BA History S2'!B:B,A32)-L32</f>
        <v>3</v>
      </c>
      <c r="N32" s="75">
        <f>LOOKUP(2, 1/('BA History S2'!$B:$B=A32), 'BA History S2'!$AI:$AI)</f>
        <v>0.625</v>
      </c>
      <c r="O32" s="34">
        <f>SUMIFS('BA History S2'!H:H,'BA History S2'!B:B,A32)</f>
        <v>17</v>
      </c>
      <c r="P32" s="2">
        <f>SUMIFS('BA History S2'!G:G,'BA History S2'!B:B,A32)-O32</f>
        <v>16</v>
      </c>
      <c r="Q32" s="89">
        <f>LOOKUP(2, 1/('BA History S2'!$B:$B=A32), 'BA History S2'!$AJ:$AJ)</f>
        <v>0.53</v>
      </c>
      <c r="R32" s="2">
        <f>COUNTIFS('BA History S2'!$B:$B,$A$32,'BA History S2'!K:K, 1)</f>
        <v>0</v>
      </c>
      <c r="S32" s="2">
        <f>COUNTIFS('BA History S2'!$B:$B,$A$32,'BA History S2'!L:L, 1)</f>
        <v>0</v>
      </c>
      <c r="T32" s="2">
        <f>COUNTIFS('BA History S2'!$B:$B,$A$32,'BA History S2'!M:M, 1)</f>
        <v>1</v>
      </c>
      <c r="U32" s="2">
        <f>COUNTIFS('BA History S2'!$B:$B,$A$32,'BA History S2'!N:N, 1)</f>
        <v>1</v>
      </c>
      <c r="V32" s="2">
        <f>COUNTIFS('BA History S2'!$B:$B,$A$32,'BA History S2'!O:O, 1)</f>
        <v>0</v>
      </c>
      <c r="W32" s="2">
        <f>COUNTIFS('BA History S2'!$B:$B,$A$32,'BA History S2'!P:P, 1)</f>
        <v>0</v>
      </c>
      <c r="X32" s="2">
        <f>COUNTIFS('BA History S2'!$B:$B,$A$32,'BA History S2'!Q:Q, 1)</f>
        <v>0</v>
      </c>
      <c r="Y32" s="2">
        <f>COUNTIFS('BA History S2'!$B:$B,$A$32,'BA History S2'!R:R, 1)</f>
        <v>0</v>
      </c>
      <c r="Z32" s="2">
        <f>COUNTIFS('BA History S2'!$B:$B,$A$32,'BA History S2'!S:S, 1)</f>
        <v>0</v>
      </c>
      <c r="AA32" s="2">
        <f>COUNTIFS('BA History S2'!$B:$B,$A$32,'BA History S2'!T:T, 1)</f>
        <v>0</v>
      </c>
      <c r="AB32" s="2">
        <f>COUNTIFS('BA History S2'!$B:$B,$A$32,'BA History S2'!U:U, 1)</f>
        <v>0</v>
      </c>
      <c r="AC32" s="2">
        <f>COUNTIFS('BA History S2'!$B:$B,$A$32,'BA History S2'!V:V, 1)</f>
        <v>0</v>
      </c>
      <c r="AD32" s="2">
        <f>COUNTIFS('BA History S2'!$B:$B,$A$32,'BA History S2'!W:W, 1)</f>
        <v>0</v>
      </c>
      <c r="AE32" s="2">
        <f>COUNTIFS('BA History S2'!$B:$B,$A$32,'BA History S2'!X:X, 1)</f>
        <v>0</v>
      </c>
      <c r="AF32" s="2">
        <f>COUNTIFS('BA History S2'!$B:$B,$A$32,'BA History S2'!Y:Y, 1)</f>
        <v>0</v>
      </c>
      <c r="AG32" s="2">
        <f>COUNTIFS('BA History S2'!$B:$B,$A$32,'BA History S2'!Z:Z, 1)</f>
        <v>0</v>
      </c>
      <c r="AH32" s="2">
        <f>COUNTIFS('BA History S2'!$B:$B,$A$32,'BA History S2'!AA:AA, 1)</f>
        <v>0</v>
      </c>
      <c r="AI32" s="2">
        <f>COUNTIFS('BA History S2'!$B:$B,$A$32,'BA History S2'!AB:AB, 1)</f>
        <v>0</v>
      </c>
      <c r="AJ32" s="2">
        <f>COUNTIFS('BA History S2'!$B:$B,$A$32,'BA History S2'!AC:AC, 1)</f>
        <v>1</v>
      </c>
      <c r="AK32" s="2">
        <f>COUNTIFS('BA History S2'!$B:$B,$A$32,'BA History S2'!AD:AD, 1)</f>
        <v>0</v>
      </c>
      <c r="AL32" s="2">
        <f>COUNTIFS('BA History S2'!$B:$B,$A$32,'BA History S2'!AE:AE, 1)</f>
        <v>0</v>
      </c>
      <c r="AM32" s="2">
        <f>COUNTIFS('BA History S2'!$B:$B,$A$32,'BA History S2'!AF:AF, 1)</f>
        <v>0</v>
      </c>
      <c r="AN32" s="2">
        <f>COUNTIFS('BA History S2'!$B:$B,$A$32,'BA History S2'!AG:AG, 1)</f>
        <v>1</v>
      </c>
    </row>
    <row r="33" spans="1:40" x14ac:dyDescent="0.25">
      <c r="A33" s="2" t="s">
        <v>141</v>
      </c>
      <c r="B33" s="2" t="s">
        <v>79</v>
      </c>
      <c r="C33" s="2">
        <v>1</v>
      </c>
      <c r="D33" s="2"/>
      <c r="E33" s="2"/>
      <c r="F33" s="34">
        <f>SUMIFS('BA History S2'!C:C,'BA History S2'!B:B,A33)</f>
        <v>475</v>
      </c>
      <c r="G33" s="66">
        <f>AVERAGEIFS('BA History S2'!C:C,'BA History S2'!B:B,A33)</f>
        <v>20.652173913043477</v>
      </c>
      <c r="H33" s="35">
        <f t="array" ref="H33">MAX(IF('BA History S2'!B:B=A33, 'BA History S2'!C:C))</f>
        <v>43</v>
      </c>
      <c r="I33" s="34">
        <f>COUNTIFS('BA History S2'!B:B,A33,'BA History S2'!D:D, 1)</f>
        <v>15</v>
      </c>
      <c r="J33" s="2">
        <f>COUNTIFS('BA History S2'!B:B,A33,'BA History S2'!D:D, 0)</f>
        <v>8</v>
      </c>
      <c r="K33" s="75">
        <f>LOOKUP(2, 1/('BA History S2'!$B:$B=A33), 'BA History S2'!$AK:$AK)</f>
        <v>0.65217391304347827</v>
      </c>
      <c r="L33" s="34">
        <f>SUMIFS('BA History S2'!F:F,'BA History S2'!B:B,A33)</f>
        <v>50</v>
      </c>
      <c r="M33" s="2">
        <f>SUMIFS('BA History S2'!E:E,'BA History S2'!B:B,A33)-L33</f>
        <v>44</v>
      </c>
      <c r="N33" s="75">
        <f>LOOKUP(2, 1/('BA History S2'!$B:$B=A33), 'BA History S2'!$AI:$AI)</f>
        <v>0.51521739130434785</v>
      </c>
      <c r="O33" s="34">
        <f>SUMIFS('BA History S2'!H:H,'BA History S2'!B:B,A33)</f>
        <v>207</v>
      </c>
      <c r="P33" s="2">
        <f>SUMIFS('BA History S2'!G:G,'BA History S2'!B:B,A33)-O33</f>
        <v>198</v>
      </c>
      <c r="Q33" s="89">
        <f>LOOKUP(2, 1/('BA History S2'!$B:$B=A33), 'BA History S2'!$AJ:$AJ)</f>
        <v>0.50608695652173918</v>
      </c>
      <c r="R33" s="2">
        <f>COUNTIFS('BA History S2'!$B:$B,$A$33,'BA History S2'!K:K, 1)</f>
        <v>4</v>
      </c>
      <c r="S33" s="2">
        <f>COUNTIFS('BA History S2'!$B:$B,$A$33,'BA History S2'!L:L, 1)</f>
        <v>1</v>
      </c>
      <c r="T33" s="2">
        <f>COUNTIFS('BA History S2'!$B:$B,$A$33,'BA History S2'!M:M, 1)</f>
        <v>2</v>
      </c>
      <c r="U33" s="2">
        <f>COUNTIFS('BA History S2'!$B:$B,$A$33,'BA History S2'!N:N, 1)</f>
        <v>6</v>
      </c>
      <c r="V33" s="2">
        <f>COUNTIFS('BA History S2'!$B:$B,$A$33,'BA History S2'!O:O, 1)</f>
        <v>0</v>
      </c>
      <c r="W33" s="2">
        <f>COUNTIFS('BA History S2'!$B:$B,$A$33,'BA History S2'!P:P, 1)</f>
        <v>0</v>
      </c>
      <c r="X33" s="2">
        <f>COUNTIFS('BA History S2'!$B:$B,$A$33,'BA History S2'!Q:Q, 1)</f>
        <v>1</v>
      </c>
      <c r="Y33" s="2">
        <f>COUNTIFS('BA History S2'!$B:$B,$A$33,'BA History S2'!R:R, 1)</f>
        <v>1</v>
      </c>
      <c r="Z33" s="2">
        <f>COUNTIFS('BA History S2'!$B:$B,$A$33,'BA History S2'!S:S, 1)</f>
        <v>1</v>
      </c>
      <c r="AA33" s="2">
        <f>COUNTIFS('BA History S2'!$B:$B,$A$33,'BA History S2'!T:T, 1)</f>
        <v>0</v>
      </c>
      <c r="AB33" s="2">
        <f>COUNTIFS('BA History S2'!$B:$B,$A$33,'BA History S2'!U:U, 1)</f>
        <v>0</v>
      </c>
      <c r="AC33" s="2">
        <f>COUNTIFS('BA History S2'!$B:$B,$A$33,'BA History S2'!V:V, 1)</f>
        <v>3</v>
      </c>
      <c r="AD33" s="2">
        <f>COUNTIFS('BA History S2'!$B:$B,$A$33,'BA History S2'!W:W, 1)</f>
        <v>1</v>
      </c>
      <c r="AE33" s="2">
        <f>COUNTIFS('BA History S2'!$B:$B,$A$33,'BA History S2'!X:X, 1)</f>
        <v>0</v>
      </c>
      <c r="AF33" s="2">
        <f>COUNTIFS('BA History S2'!$B:$B,$A$33,'BA History S2'!Y:Y, 1)</f>
        <v>4</v>
      </c>
      <c r="AG33" s="2">
        <f>COUNTIFS('BA History S2'!$B:$B,$A$33,'BA History S2'!Z:Z, 1)</f>
        <v>5</v>
      </c>
      <c r="AH33" s="2">
        <f>COUNTIFS('BA History S2'!$B:$B,$A33,'BA History S2'!AA:AA, 1)</f>
        <v>0</v>
      </c>
      <c r="AI33" s="2">
        <f>COUNTIFS('BA History S2'!$B:$B,$A$33,'BA History S2'!AB:AB, 1)</f>
        <v>1</v>
      </c>
      <c r="AJ33" s="2">
        <f>COUNTIFS('BA History S2'!$B:$B,$A$33,'BA History S2'!AC:AC, 1)</f>
        <v>8</v>
      </c>
      <c r="AK33" s="2">
        <f>COUNTIFS('BA History S2'!$B:$B,$A$33,'BA History S2'!AD:AD, 1)</f>
        <v>3</v>
      </c>
      <c r="AL33" s="2">
        <f>COUNTIFS('BA History S2'!$B:$B,$A$33,'BA History S2'!AE:AE, 1)</f>
        <v>5</v>
      </c>
      <c r="AM33" s="2">
        <f>COUNTIFS('BA History S2'!$B:$B,$A$33,'BA History S2'!AF:AF, 1)</f>
        <v>1</v>
      </c>
      <c r="AN33" s="2">
        <f>COUNTIFS('BA History S2'!$B:$B,$A$33,'BA History S2'!AG:AG, 1)</f>
        <v>3</v>
      </c>
    </row>
    <row r="34" spans="1:40" x14ac:dyDescent="0.25">
      <c r="A34" s="2" t="s">
        <v>40</v>
      </c>
      <c r="B34" s="2" t="s">
        <v>79</v>
      </c>
      <c r="C34" s="2"/>
      <c r="D34" s="2"/>
      <c r="E34" s="2"/>
      <c r="F34" s="34">
        <f>SUMIFS('BA History S2'!C:C,'BA History S2'!B:B,A34)</f>
        <v>502</v>
      </c>
      <c r="G34" s="66">
        <f>AVERAGEIFS('BA History S2'!C:C,'BA History S2'!B:B,A34)</f>
        <v>19.307692307692307</v>
      </c>
      <c r="H34" s="35">
        <f t="array" ref="H34">MAX(IF('BA History S2'!B:B=A34, 'BA History S2'!C:C))</f>
        <v>37</v>
      </c>
      <c r="I34" s="34">
        <f>COUNTIFS('BA History S2'!B:B,A34,'BA History S2'!D:D, 1)</f>
        <v>11</v>
      </c>
      <c r="J34" s="2">
        <f>COUNTIFS('BA History S2'!B:B,A34,'BA History S2'!D:D, 0)</f>
        <v>15</v>
      </c>
      <c r="K34" s="75">
        <f>LOOKUP(2, 1/('BA History S2'!$B:$B=A34), 'BA History S2'!$AK:$AK)</f>
        <v>0.42307692307692307</v>
      </c>
      <c r="L34" s="34">
        <f>SUMIFS('BA History S2'!F:F,'BA History S2'!B:B,A34)</f>
        <v>50</v>
      </c>
      <c r="M34" s="2">
        <f>SUMIFS('BA History S2'!E:E,'BA History S2'!B:B,A34)-L34</f>
        <v>57</v>
      </c>
      <c r="N34" s="75">
        <f>LOOKUP(2, 1/('BA History S2'!$B:$B=A34), 'BA History S2'!$AI:$AI)</f>
        <v>0.45961538461538465</v>
      </c>
      <c r="O34" s="34">
        <f>SUMIFS('BA History S2'!H:H,'BA History S2'!B:B,A34)</f>
        <v>218</v>
      </c>
      <c r="P34" s="2">
        <f>SUMIFS('BA History S2'!G:G,'BA History S2'!B:B,A34)-O34</f>
        <v>229</v>
      </c>
      <c r="Q34" s="89">
        <f>LOOKUP(2, 1/('BA History S2'!$B:$B=A34), 'BA History S2'!$AJ:$AJ)</f>
        <v>0.4819230769230769</v>
      </c>
      <c r="R34" s="2">
        <f>COUNTIFS('BA History S2'!$B:$B,$A$34,'BA History S2'!K:K, 1)</f>
        <v>2</v>
      </c>
      <c r="S34" s="2">
        <f>COUNTIFS('BA History S2'!$B:$B,$A$34,'BA History S2'!L:L, 1)</f>
        <v>4</v>
      </c>
      <c r="T34" s="2">
        <f>COUNTIFS('BA History S2'!$B:$B,$A$34,'BA History S2'!M:M, 1)</f>
        <v>5</v>
      </c>
      <c r="U34" s="2">
        <f>COUNTIFS('BA History S2'!$B:$B,$A$34,'BA History S2'!N:N, 1)</f>
        <v>5</v>
      </c>
      <c r="V34" s="2">
        <f>COUNTIFS('BA History S2'!$B:$B,$A$34,'BA History S2'!O:O, 1)</f>
        <v>1</v>
      </c>
      <c r="W34" s="2">
        <f>COUNTIFS('BA History S2'!$B:$B,$A$34,'BA History S2'!P:P, 1)</f>
        <v>0</v>
      </c>
      <c r="X34" s="2">
        <f>COUNTIFS('BA History S2'!$B:$B,$A$34,'BA History S2'!Q:Q, 1)</f>
        <v>1</v>
      </c>
      <c r="Y34" s="2">
        <f>COUNTIFS('BA History S2'!$B:$B,$A$34,'BA History S2'!R:R, 1)</f>
        <v>0</v>
      </c>
      <c r="Z34" s="2">
        <f>COUNTIFS('BA History S2'!$B:$B,$A$34,'BA History S2'!S:S, 1)</f>
        <v>1</v>
      </c>
      <c r="AA34" s="2">
        <f>COUNTIFS('BA History S2'!$B:$B,$A$34,'BA History S2'!T:T, 1)</f>
        <v>0</v>
      </c>
      <c r="AB34" s="2">
        <f>COUNTIFS('BA History S2'!$B:$B,$A$34,'BA History S2'!U:U, 1)</f>
        <v>2</v>
      </c>
      <c r="AC34" s="2">
        <f>COUNTIFS('BA History S2'!$B:$B,$A$34,'BA History S2'!V:V, 1)</f>
        <v>3</v>
      </c>
      <c r="AD34" s="2">
        <f>COUNTIFS('BA History S2'!$B:$B,$A$34,'BA History S2'!W:W, 1)</f>
        <v>0</v>
      </c>
      <c r="AE34" s="2">
        <f>COUNTIFS('BA History S2'!$B:$B,$A$34,'BA History S2'!X:X, 1)</f>
        <v>0</v>
      </c>
      <c r="AF34" s="2">
        <f>COUNTIFS('BA History S2'!$B:$B,$A$34,'BA History S2'!Y:Y, 1)</f>
        <v>2</v>
      </c>
      <c r="AG34" s="2">
        <f>COUNTIFS('BA History S2'!$B:$B,$A$34,'BA History S2'!Z:Z, 1)</f>
        <v>6</v>
      </c>
      <c r="AH34" s="2">
        <f>COUNTIFS('BA History S2'!$B:$B,$A34,'BA History S2'!AA:AA, 1)</f>
        <v>0</v>
      </c>
      <c r="AI34" s="2">
        <f>COUNTIFS('BA History S2'!$B:$B,$A$34,'BA History S2'!AB:AB, 1)</f>
        <v>1</v>
      </c>
      <c r="AJ34" s="2">
        <f>COUNTIFS('BA History S2'!$B:$B,$A$34,'BA History S2'!AC:AC, 1)</f>
        <v>3</v>
      </c>
      <c r="AK34" s="2">
        <f>COUNTIFS('BA History S2'!$B:$B,$A$34,'BA History S2'!AD:AD, 1)</f>
        <v>3</v>
      </c>
      <c r="AL34" s="2">
        <f>COUNTIFS('BA History S2'!$B:$B,$A$34,'BA History S2'!AE:AE, 1)</f>
        <v>6</v>
      </c>
      <c r="AM34" s="2">
        <f>COUNTIFS('BA History S2'!$B:$B,$A$34,'BA History S2'!AF:AF, 1)</f>
        <v>0</v>
      </c>
      <c r="AN34" s="2">
        <f>COUNTIFS('BA History S2'!$B:$B,$A$34,'BA History S2'!AG:AG, 1)</f>
        <v>5</v>
      </c>
    </row>
    <row r="35" spans="1:40" x14ac:dyDescent="0.25">
      <c r="A35" s="2" t="s">
        <v>166</v>
      </c>
      <c r="B35" s="2" t="s">
        <v>79</v>
      </c>
      <c r="C35" s="2">
        <v>1</v>
      </c>
      <c r="D35" s="2"/>
      <c r="E35" s="2"/>
      <c r="F35" s="34">
        <f>SUMIFS('BA History S2'!C:C,'BA History S2'!B:B,A35)</f>
        <v>40</v>
      </c>
      <c r="G35" s="66">
        <f>AVERAGEIFS('BA History S2'!C:C,'BA History S2'!B:B,A35)</f>
        <v>10</v>
      </c>
      <c r="H35" s="35">
        <f t="array" ref="H35">MAX(IF('BA History S2'!B:B=A35, 'BA History S2'!C:C))</f>
        <v>21</v>
      </c>
      <c r="I35" s="34">
        <f>COUNTIFS('BA History S2'!B:B,A35,'BA History S2'!D:D, 1)</f>
        <v>3</v>
      </c>
      <c r="J35" s="2">
        <f>COUNTIFS('BA History S2'!B:B,A35,'BA History S2'!D:D, 0)</f>
        <v>1</v>
      </c>
      <c r="K35" s="75">
        <f>LOOKUP(2, 1/('BA History S2'!$B:$B=A35), 'BA History S2'!$AK:$AK)</f>
        <v>0.75</v>
      </c>
      <c r="L35" s="34">
        <f>SUMIFS('BA History S2'!F:F,'BA History S2'!B:B,A35)</f>
        <v>9</v>
      </c>
      <c r="M35" s="2">
        <f>SUMIFS('BA History S2'!E:E,'BA History S2'!B:B,A35)-L35</f>
        <v>8</v>
      </c>
      <c r="N35" s="75">
        <f>LOOKUP(2, 1/('BA History S2'!$B:$B=A35), 'BA History S2'!$AI:$AI)</f>
        <v>0.48750000000000004</v>
      </c>
      <c r="O35" s="34">
        <f>SUMIFS('BA History S2'!H:H,'BA History S2'!B:B,A35)</f>
        <v>38</v>
      </c>
      <c r="P35" s="2">
        <f>SUMIFS('BA History S2'!G:G,'BA History S2'!B:B,A35)-O35</f>
        <v>35</v>
      </c>
      <c r="Q35" s="89">
        <f>LOOKUP(2, 1/('BA History S2'!$B:$B=A35), 'BA History S2'!$AJ:$AJ)</f>
        <v>0.49249999999999999</v>
      </c>
      <c r="R35" s="2">
        <f>COUNTIFS('BA History S2'!$B:$B,$A$35,'BA History S2'!K:K, 1)</f>
        <v>1</v>
      </c>
      <c r="S35" s="2">
        <f>COUNTIFS('BA History S2'!$B:$B,$A$35,'BA History S2'!L:L, 1)</f>
        <v>0</v>
      </c>
      <c r="T35" s="2">
        <f>COUNTIFS('BA History S2'!$B:$B,$A$35,'BA History S2'!M:M, 1)</f>
        <v>1</v>
      </c>
      <c r="U35" s="2">
        <f>COUNTIFS('BA History S2'!$B:$B,$A$35,'BA History S2'!N:N, 1)</f>
        <v>1</v>
      </c>
      <c r="V35" s="2">
        <f>COUNTIFS('BA History S2'!$B:$B,$A$35,'BA History S2'!O:O, 1)</f>
        <v>0</v>
      </c>
      <c r="W35" s="2">
        <f>COUNTIFS('BA History S2'!$B:$B,$A$35,'BA History S2'!P:P, 1)</f>
        <v>0</v>
      </c>
      <c r="X35" s="2">
        <f>COUNTIFS('BA History S2'!$B:$B,$A$35,'BA History S2'!Q:Q, 1)</f>
        <v>0</v>
      </c>
      <c r="Y35" s="2">
        <f>COUNTIFS('BA History S2'!$B:$B,$A$35,'BA History S2'!R:R, 1)</f>
        <v>0</v>
      </c>
      <c r="Z35" s="2">
        <f>COUNTIFS('BA History S2'!$B:$B,$A$35,'BA History S2'!S:S, 1)</f>
        <v>0</v>
      </c>
      <c r="AA35" s="2">
        <f>COUNTIFS('BA History S2'!$B:$B,$A$35,'BA History S2'!T:T, 1)</f>
        <v>0</v>
      </c>
      <c r="AB35" s="2">
        <f>COUNTIFS('BA History S2'!$B:$B,$A$35,'BA History S2'!U:U, 1)</f>
        <v>0</v>
      </c>
      <c r="AC35" s="2">
        <f>COUNTIFS('BA History S2'!$B:$B,$A$35,'BA History S2'!V:V, 1)</f>
        <v>0</v>
      </c>
      <c r="AD35" s="2">
        <f>COUNTIFS('BA History S2'!$B:$B,$A$35,'BA History S2'!W:W, 1)</f>
        <v>0</v>
      </c>
      <c r="AE35" s="2">
        <f>COUNTIFS('BA History S2'!$B:$B,$A$35,'BA History S2'!X:X, 1)</f>
        <v>0</v>
      </c>
      <c r="AF35" s="2">
        <f>COUNTIFS('BA History S2'!$B:$B,$A$35,'BA History S2'!Y:Y, 1)</f>
        <v>1</v>
      </c>
      <c r="AG35" s="2">
        <f>COUNTIFS('BA History S2'!$B:$B,$A$35,'BA History S2'!Z:Z, 1)</f>
        <v>2</v>
      </c>
      <c r="AH35" s="2">
        <f>COUNTIFS('BA History S2'!$B:$B,$A35,'BA History S2'!AA:AA, 1)</f>
        <v>0</v>
      </c>
      <c r="AI35" s="2">
        <f>COUNTIFS('BA History S2'!$B:$B,$A$35,'BA History S2'!AB:AB, 1)</f>
        <v>0</v>
      </c>
      <c r="AJ35" s="2">
        <f>COUNTIFS('BA History S2'!$B:$B,$A$35,'BA History S2'!AC:AC, 1)</f>
        <v>1</v>
      </c>
      <c r="AK35" s="2">
        <f>COUNTIFS('BA History S2'!$B:$B,$A$35,'BA History S2'!AD:AD, 1)</f>
        <v>0</v>
      </c>
      <c r="AL35" s="2">
        <f>COUNTIFS('BA History S2'!$B:$B,$A$35,'BA History S2'!AE:AE, 1)</f>
        <v>1</v>
      </c>
      <c r="AM35" s="2">
        <f>COUNTIFS('BA History S2'!$B:$B,$A$35,'BA History S2'!AF:AF, 1)</f>
        <v>0</v>
      </c>
      <c r="AN35" s="2">
        <f>COUNTIFS('BA History S2'!$B:$B,$A$35,'BA History S2'!AG:AG, 1)</f>
        <v>1</v>
      </c>
    </row>
    <row r="36" spans="1:40" x14ac:dyDescent="0.25">
      <c r="A36" s="2" t="s">
        <v>147</v>
      </c>
      <c r="B36" s="2" t="s">
        <v>79</v>
      </c>
      <c r="C36" s="2"/>
      <c r="D36" s="2"/>
      <c r="E36" s="2"/>
      <c r="F36" s="34">
        <f>SUMIFS('BA History S2'!C:C,'BA History S2'!B:B,A36)</f>
        <v>446</v>
      </c>
      <c r="G36" s="66">
        <f>AVERAGEIFS('BA History S2'!C:C,'BA History S2'!B:B,A36)</f>
        <v>17.84</v>
      </c>
      <c r="H36" s="35">
        <f t="array" ref="H36">MAX(IF('BA History S2'!B:B=A36, 'BA History S2'!C:C))</f>
        <v>28</v>
      </c>
      <c r="I36" s="34">
        <f>COUNTIFS('BA History S2'!B:B,A36,'BA History S2'!D:D, 1)</f>
        <v>14</v>
      </c>
      <c r="J36" s="2">
        <f>COUNTIFS('BA History S2'!B:B,A36,'BA History S2'!D:D, 0)</f>
        <v>11</v>
      </c>
      <c r="K36" s="75">
        <f>LOOKUP(2, 1/('BA History S2'!$B:$B=A36), 'BA History S2'!$AK:$AK)</f>
        <v>0.56000000000000005</v>
      </c>
      <c r="L36" s="34">
        <f>SUMIFS('BA History S2'!F:F,'BA History S2'!B:B,A36)</f>
        <v>58</v>
      </c>
      <c r="M36" s="2">
        <f>SUMIFS('BA History S2'!E:E,'BA History S2'!B:B,A36)-L36</f>
        <v>49</v>
      </c>
      <c r="N36" s="75">
        <f>LOOKUP(2, 1/('BA History S2'!$B:$B=A36), 'BA History S2'!$AI:$AI)</f>
        <v>0.55999999999999994</v>
      </c>
      <c r="O36" s="34">
        <f>SUMIFS('BA History S2'!H:H,'BA History S2'!B:B,A36)</f>
        <v>239</v>
      </c>
      <c r="P36" s="2">
        <f>SUMIFS('BA History S2'!G:G,'BA History S2'!B:B,A36)-O36</f>
        <v>217</v>
      </c>
      <c r="Q36" s="89">
        <f>LOOKUP(2, 1/('BA History S2'!$B:$B=A36), 'BA History S2'!$AJ:$AJ)</f>
        <v>0.53239999999999998</v>
      </c>
      <c r="R36" s="2">
        <f>COUNTIFS('BA History S2'!$B:$B,$A$36,'BA History S2'!K:K, 1)</f>
        <v>4</v>
      </c>
      <c r="S36" s="2">
        <f>COUNTIFS('BA History S2'!$B:$B,$A$36,'BA History S2'!L:L, 1)</f>
        <v>5</v>
      </c>
      <c r="T36" s="2">
        <f>COUNTIFS('BA History S2'!$B:$B,$A$36,'BA History S2'!M:M, 1)</f>
        <v>3</v>
      </c>
      <c r="U36" s="2">
        <f>COUNTIFS('BA History S2'!$B:$B,$A$36,'BA History S2'!N:N, 1)</f>
        <v>4</v>
      </c>
      <c r="V36" s="2">
        <f>COUNTIFS('BA History S2'!$B:$B,$A$36,'BA History S2'!O:O, 1)</f>
        <v>2</v>
      </c>
      <c r="W36" s="2">
        <f>COUNTIFS('BA History S2'!$B:$B,$A$36,'BA History S2'!P:P, 1)</f>
        <v>2</v>
      </c>
      <c r="X36" s="2">
        <f>COUNTIFS('BA History S2'!$B:$B,$A$36,'BA History S2'!Q:Q, 1)</f>
        <v>1</v>
      </c>
      <c r="Y36" s="2">
        <f>COUNTIFS('BA History S2'!$B:$B,$A$36,'BA History S2'!R:R, 1)</f>
        <v>1</v>
      </c>
      <c r="Z36" s="2">
        <f>COUNTIFS('BA History S2'!$B:$B,$A$36,'BA History S2'!S:S, 1)</f>
        <v>1</v>
      </c>
      <c r="AA36" s="2">
        <f>COUNTIFS('BA History S2'!$B:$B,$A$36,'BA History S2'!T:T, 1)</f>
        <v>0</v>
      </c>
      <c r="AB36" s="2">
        <f>COUNTIFS('BA History S2'!$B:$B,$A$36,'BA History S2'!U:U, 1)</f>
        <v>0</v>
      </c>
      <c r="AC36" s="2">
        <f>COUNTIFS('BA History S2'!$B:$B,$A$36,'BA History S2'!V:V, 1)</f>
        <v>0</v>
      </c>
      <c r="AD36" s="2">
        <f>COUNTIFS('BA History S2'!$B:$B,$A$36,'BA History S2'!W:W, 1)</f>
        <v>3</v>
      </c>
      <c r="AE36" s="2">
        <f>COUNTIFS('BA History S2'!$B:$B,$A$36,'BA History S2'!X:X, 1)</f>
        <v>0</v>
      </c>
      <c r="AF36" s="2">
        <f>COUNTIFS('BA History S2'!$B:$B,$A$36,'BA History S2'!Y:Y, 1)</f>
        <v>3</v>
      </c>
      <c r="AG36" s="2">
        <f>COUNTIFS('BA History S2'!$B:$B,$A$36,'BA History S2'!Z:Z, 1)</f>
        <v>7</v>
      </c>
      <c r="AH36" s="2">
        <f>COUNTIFS('BA History S2'!$B:$B,$A36,'BA History S2'!AA:AA, 1)</f>
        <v>0</v>
      </c>
      <c r="AI36" s="2">
        <f>COUNTIFS('BA History S2'!$B:$B,$A$36,'BA History S2'!AB:AB, 1)</f>
        <v>0</v>
      </c>
      <c r="AJ36" s="2">
        <f>COUNTIFS('BA History S2'!$B:$B,$A$36,'BA History S2'!AC:AC, 1)</f>
        <v>10</v>
      </c>
      <c r="AK36" s="2">
        <f>COUNTIFS('BA History S2'!$B:$B,$A$36,'BA History S2'!AD:AD, 1)</f>
        <v>1</v>
      </c>
      <c r="AL36" s="2">
        <f>COUNTIFS('BA History S2'!$B:$B,$A$36,'BA History S2'!AE:AE, 1)</f>
        <v>6</v>
      </c>
      <c r="AM36" s="2">
        <f>COUNTIFS('BA History S2'!$B:$B,$A$36,'BA History S2'!AF:AF, 1)</f>
        <v>0</v>
      </c>
      <c r="AN36" s="2">
        <f>COUNTIFS('BA History S2'!$B:$B,$A$36,'BA History S2'!AG:AG, 1)</f>
        <v>5</v>
      </c>
    </row>
    <row r="37" spans="1:40" x14ac:dyDescent="0.25">
      <c r="A37" s="2" t="s">
        <v>17</v>
      </c>
      <c r="B37" s="2" t="s">
        <v>79</v>
      </c>
      <c r="C37" s="2">
        <v>1</v>
      </c>
      <c r="D37" s="2">
        <v>1</v>
      </c>
      <c r="E37" s="2"/>
      <c r="F37" s="34">
        <f>SUMIFS('BA History S2'!C:C,'BA History S2'!B:B,A37)</f>
        <v>334</v>
      </c>
      <c r="G37" s="66">
        <f>AVERAGEIFS('BA History S2'!C:C,'BA History S2'!B:B,A37)</f>
        <v>18.555555555555557</v>
      </c>
      <c r="H37" s="35">
        <f t="array" ref="H37">MAX(IF('BA History S2'!B:B=A37, 'BA History S2'!C:C))</f>
        <v>31</v>
      </c>
      <c r="I37" s="34">
        <f>COUNTIFS('BA History S2'!B:B,A37,'BA History S2'!D:D, 1)</f>
        <v>12</v>
      </c>
      <c r="J37" s="2">
        <f>COUNTIFS('BA History S2'!B:B,A37,'BA History S2'!D:D, 0)</f>
        <v>6</v>
      </c>
      <c r="K37" s="75">
        <f>LOOKUP(2, 1/('BA History S2'!$B:$B=A37), 'BA History S2'!$AK:$AK)</f>
        <v>0.66666666666666663</v>
      </c>
      <c r="L37" s="34">
        <f>SUMIFS('BA History S2'!F:F,'BA History S2'!B:B,A37)</f>
        <v>41</v>
      </c>
      <c r="M37" s="2">
        <f>SUMIFS('BA History S2'!E:E,'BA History S2'!B:B,A37)-L37</f>
        <v>29</v>
      </c>
      <c r="N37" s="75">
        <f>LOOKUP(2, 1/('BA History S2'!$B:$B=A37), 'BA History S2'!$AI:$AI)</f>
        <v>0.59444444444444444</v>
      </c>
      <c r="O37" s="34">
        <f>SUMIFS('BA History S2'!H:H,'BA History S2'!B:B,A37)</f>
        <v>154</v>
      </c>
      <c r="P37" s="2">
        <f>SUMIFS('BA History S2'!G:G,'BA History S2'!B:B,A37)-O37</f>
        <v>137</v>
      </c>
      <c r="Q37" s="89">
        <f>LOOKUP(2, 1/('BA History S2'!$B:$B=A37), 'BA History S2'!$AJ:$AJ)</f>
        <v>0.52555555555555555</v>
      </c>
      <c r="R37" s="2">
        <f>COUNTIFS('BA History S2'!$B:$B,$A$37,'BA History S2'!K:K, 1)</f>
        <v>2</v>
      </c>
      <c r="S37" s="2">
        <f>COUNTIFS('BA History S2'!$B:$B,$A$37,'BA History S2'!L:L, 1)</f>
        <v>2</v>
      </c>
      <c r="T37" s="2">
        <f>COUNTIFS('BA History S2'!$B:$B,$A$37,'BA History S2'!M:M, 1)</f>
        <v>5</v>
      </c>
      <c r="U37" s="2">
        <f>COUNTIFS('BA History S2'!$B:$B,$A$37,'BA History S2'!N:N, 1)</f>
        <v>2</v>
      </c>
      <c r="V37" s="2">
        <f>COUNTIFS('BA History S2'!$B:$B,$A$37,'BA History S2'!O:O, 1)</f>
        <v>1</v>
      </c>
      <c r="W37" s="2">
        <f>COUNTIFS('BA History S2'!$B:$B,$A$37,'BA History S2'!P:P, 1)</f>
        <v>1</v>
      </c>
      <c r="X37" s="2">
        <f>COUNTIFS('BA History S2'!$B:$B,$A$37,'BA History S2'!Q:Q, 1)</f>
        <v>2</v>
      </c>
      <c r="Y37" s="2">
        <f>COUNTIFS('BA History S2'!$B:$B,$A$37,'BA History S2'!R:R, 1)</f>
        <v>0</v>
      </c>
      <c r="Z37" s="2">
        <f>COUNTIFS('BA History S2'!$B:$B,$A$37,'BA History S2'!S:S, 1)</f>
        <v>0</v>
      </c>
      <c r="AA37" s="2">
        <f>COUNTIFS('BA History S2'!$B:$B,$A$37,'BA History S2'!T:T, 1)</f>
        <v>0</v>
      </c>
      <c r="AB37" s="2">
        <f>COUNTIFS('BA History S2'!$B:$B,$A$37,'BA History S2'!U:U, 1)</f>
        <v>0</v>
      </c>
      <c r="AC37" s="2">
        <f>COUNTIFS('BA History S2'!$B:$B,$A$37,'BA History S2'!V:V, 1)</f>
        <v>1</v>
      </c>
      <c r="AD37" s="2">
        <f>COUNTIFS('BA History S2'!$B:$B,$A$37,'BA History S2'!W:W, 1)</f>
        <v>0</v>
      </c>
      <c r="AE37" s="2">
        <f>COUNTIFS('BA History S2'!$B:$B,$A$37,'BA History S2'!X:X, 1)</f>
        <v>0</v>
      </c>
      <c r="AF37" s="2">
        <f>COUNTIFS('BA History S2'!$B:$B,$A$37,'BA History S2'!Y:Y, 1)</f>
        <v>1</v>
      </c>
      <c r="AG37" s="2">
        <f>COUNTIFS('BA History S2'!$B:$B,$A$37,'BA History S2'!Z:Z, 1)</f>
        <v>4</v>
      </c>
      <c r="AH37" s="2">
        <f>COUNTIFS('BA History S2'!$B:$B,$A37,'BA History S2'!AA:AA, 1)</f>
        <v>0</v>
      </c>
      <c r="AI37" s="2">
        <f>COUNTIFS('BA History S2'!$B:$B,$A$37,'BA History S2'!AB:AB, 1)</f>
        <v>1</v>
      </c>
      <c r="AJ37" s="2">
        <f>COUNTIFS('BA History S2'!$B:$B,$A$37,'BA History S2'!AC:AC, 1)</f>
        <v>7</v>
      </c>
      <c r="AK37" s="2">
        <f>COUNTIFS('BA History S2'!$B:$B,$A$37,'BA History S2'!AD:AD, 1)</f>
        <v>3</v>
      </c>
      <c r="AL37" s="2">
        <f>COUNTIFS('BA History S2'!$B:$B,$A$37,'BA History S2'!AE:AE, 1)</f>
        <v>3</v>
      </c>
      <c r="AM37" s="2">
        <f>COUNTIFS('BA History S2'!$B:$B,$A$37,'BA History S2'!AF:AF, 1)</f>
        <v>2</v>
      </c>
      <c r="AN37" s="2">
        <f>COUNTIFS('BA History S2'!$B:$B,$A$37,'BA History S2'!AG:AG, 1)</f>
        <v>4</v>
      </c>
    </row>
    <row r="38" spans="1:40" x14ac:dyDescent="0.25">
      <c r="A38" s="2" t="s">
        <v>6</v>
      </c>
      <c r="B38" s="1" t="s">
        <v>158</v>
      </c>
      <c r="D38" s="1">
        <v>1</v>
      </c>
      <c r="E38" s="1">
        <v>1</v>
      </c>
      <c r="F38" s="34">
        <f>SUMIFS('BA History S2'!C:C,'BA History S2'!B:B,A38)</f>
        <v>890</v>
      </c>
      <c r="G38" s="66">
        <f>AVERAGEIFS('BA History S2'!C:C,'BA History S2'!B:B,A38)</f>
        <v>25.428571428571427</v>
      </c>
      <c r="H38" s="35">
        <f t="array" ref="H38">MAX(IF('BA History S2'!B:B=A38, 'BA History S2'!C:C))</f>
        <v>42</v>
      </c>
      <c r="I38" s="34">
        <f>COUNTIFS('BA History S2'!B:B,A38,'BA History S2'!D:D, 1)</f>
        <v>22</v>
      </c>
      <c r="J38" s="2">
        <f>COUNTIFS('BA History S2'!B:B,A38,'BA History S2'!D:D, 0)</f>
        <v>13</v>
      </c>
      <c r="K38" s="75">
        <f>LOOKUP(2, 1/('BA History S2'!$B:$B=A38), 'BA History S2'!$AK:$AK)</f>
        <v>0.62857142857142856</v>
      </c>
      <c r="L38" s="34">
        <f>SUMIFS('BA History S2'!F:F,'BA History S2'!B:B,A38)</f>
        <v>80</v>
      </c>
      <c r="M38" s="2">
        <f>SUMIFS('BA History S2'!E:E,'BA History S2'!B:B,A38)-L38</f>
        <v>61</v>
      </c>
      <c r="N38" s="75">
        <f>LOOKUP(2, 1/('BA History S2'!$B:$B=A38), 'BA History S2'!$AI:$AI)</f>
        <v>0.58000000000000007</v>
      </c>
      <c r="O38" s="34">
        <f>SUMIFS('BA History S2'!H:H,'BA History S2'!B:B,A38)</f>
        <v>313</v>
      </c>
      <c r="P38" s="2">
        <f>SUMIFS('BA History S2'!G:G,'BA History S2'!B:B,A38)-O38</f>
        <v>283</v>
      </c>
      <c r="Q38" s="89">
        <f>LOOKUP(2, 1/('BA History S2'!$B:$B=A38), 'BA History S2'!$AJ:$AJ)</f>
        <v>0.52771428571428591</v>
      </c>
      <c r="R38" s="2">
        <f>COUNTIFS('BA History S2'!$B:$B,$A$38,'BA History S2'!K:K, 1)</f>
        <v>4</v>
      </c>
      <c r="S38" s="2">
        <f>COUNTIFS('BA History S2'!$B:$B,$A$38,'BA History S2'!L:L, 1)</f>
        <v>4</v>
      </c>
      <c r="T38" s="2">
        <f>COUNTIFS('BA History S2'!$B:$B,$A$38,'BA History S2'!M:M, 1)</f>
        <v>9</v>
      </c>
      <c r="U38" s="2">
        <f>COUNTIFS('BA History S2'!$B:$B,$A$38,'BA History S2'!N:N, 1)</f>
        <v>6</v>
      </c>
      <c r="V38" s="2">
        <f>COUNTIFS('BA History S2'!$B:$B,$A$38,'BA History S2'!O:O, 1)</f>
        <v>1</v>
      </c>
      <c r="W38" s="2">
        <f>COUNTIFS('BA History S2'!$B:$B,$A$38,'BA History S2'!P:P, 1)</f>
        <v>2</v>
      </c>
      <c r="X38" s="2">
        <f>COUNTIFS('BA History S2'!$B:$B,$A$38,'BA History S2'!Q:Q, 1)</f>
        <v>2</v>
      </c>
      <c r="Y38" s="2">
        <f>COUNTIFS('BA History S2'!$B:$B,$A$38,'BA History S2'!R:R, 1)</f>
        <v>2</v>
      </c>
      <c r="Z38" s="2">
        <f>COUNTIFS('BA History S2'!$B:$B,$A$38,'BA History S2'!S:S, 1)</f>
        <v>0</v>
      </c>
      <c r="AA38" s="2">
        <f>COUNTIFS('BA History S2'!$B:$B,$A$38,'BA History S2'!T:T, 1)</f>
        <v>0</v>
      </c>
      <c r="AB38" s="2">
        <f>COUNTIFS('BA History S2'!$B:$B,$A$38,'BA History S2'!U:U, 1)</f>
        <v>2</v>
      </c>
      <c r="AC38" s="2">
        <f>COUNTIFS('BA History S2'!$B:$B,$A$38,'BA History S2'!V:V, 1)</f>
        <v>3</v>
      </c>
      <c r="AD38" s="2">
        <f>COUNTIFS('BA History S2'!$B:$B,$A$38,'BA History S2'!W:W, 1)</f>
        <v>1</v>
      </c>
      <c r="AE38" s="2">
        <f>COUNTIFS('BA History S2'!$B:$B,$A$38,'BA History S2'!X:X, 1)</f>
        <v>0</v>
      </c>
      <c r="AF38" s="2">
        <f>COUNTIFS('BA History S2'!$B:$B,$A$38,'BA History S2'!Y:Y, 1)</f>
        <v>2</v>
      </c>
      <c r="AG38" s="2">
        <f>COUNTIFS('BA History S2'!$B:$B,$A$38,'BA History S2'!Z:Z, 1)</f>
        <v>10</v>
      </c>
      <c r="AH38" s="2">
        <f>COUNTIFS('BA History S2'!$B:$B,$A38,'BA History S2'!AA:AA, 1)</f>
        <v>1</v>
      </c>
      <c r="AI38" s="2">
        <f>COUNTIFS('BA History S2'!$B:$B,$A$38,'BA History S2'!AB:AB, 1)</f>
        <v>1</v>
      </c>
      <c r="AJ38" s="2">
        <f>COUNTIFS('BA History S2'!$B:$B,$A$38,'BA History S2'!AC:AC, 1)</f>
        <v>12</v>
      </c>
      <c r="AK38" s="2">
        <f>COUNTIFS('BA History S2'!$B:$B,$A$38,'BA History S2'!AD:AD, 1)</f>
        <v>5</v>
      </c>
      <c r="AL38" s="2">
        <f>COUNTIFS('BA History S2'!$B:$B,$A$38,'BA History S2'!AE:AE, 1)</f>
        <v>4</v>
      </c>
      <c r="AM38" s="2">
        <f>COUNTIFS('BA History S2'!$B:$B,$A$38,'BA History S2'!AF:AF, 1)</f>
        <v>1</v>
      </c>
      <c r="AN38" s="2">
        <f>COUNTIFS('BA History S2'!$B:$B,$A$38,'BA History S2'!AG:AG, 1)</f>
        <v>8</v>
      </c>
    </row>
    <row r="39" spans="1:40" x14ac:dyDescent="0.25">
      <c r="A39" s="2" t="s">
        <v>18</v>
      </c>
      <c r="B39" s="1" t="s">
        <v>79</v>
      </c>
      <c r="F39" s="34">
        <f>SUMIFS('BA History S2'!C:C,'BA History S2'!B:B,A39)</f>
        <v>96</v>
      </c>
      <c r="G39" s="66">
        <f>AVERAGEIFS('BA History S2'!C:C,'BA History S2'!B:B,A39)</f>
        <v>19.2</v>
      </c>
      <c r="H39" s="35">
        <f t="array" ref="H39">MAX(IF('BA History S2'!B:B=A39, 'BA History S2'!C:C))</f>
        <v>30</v>
      </c>
      <c r="I39" s="34">
        <f>COUNTIFS('BA History S2'!B:B,A39,'BA History S2'!D:D, 1)</f>
        <v>2</v>
      </c>
      <c r="J39" s="2">
        <f>COUNTIFS('BA History S2'!B:B,A39,'BA History S2'!D:D, 0)</f>
        <v>3</v>
      </c>
      <c r="K39" s="75">
        <f>LOOKUP(2, 1/('BA History S2'!$B:$B=A39), 'BA History S2'!$AK:$AK)</f>
        <v>0.4</v>
      </c>
      <c r="L39" s="34">
        <f>SUMIFS('BA History S2'!F:F,'BA History S2'!B:B,A39)</f>
        <v>8</v>
      </c>
      <c r="M39" s="2">
        <f>SUMIFS('BA History S2'!E:E,'BA History S2'!B:B,A39)-L39</f>
        <v>9</v>
      </c>
      <c r="N39" s="75">
        <f>LOOKUP(2, 1/('BA History S2'!$B:$B=A39), 'BA History S2'!$AI:$AI)</f>
        <v>0.5</v>
      </c>
      <c r="O39" s="34">
        <f>SUMIFS('BA History S2'!H:H,'BA History S2'!B:B,A39)</f>
        <v>37</v>
      </c>
      <c r="P39" s="2">
        <f>SUMIFS('BA History S2'!G:G,'BA History S2'!B:B,A39)-O39</f>
        <v>39</v>
      </c>
      <c r="Q39" s="89">
        <f>LOOKUP(2, 1/('BA History S2'!$B:$B=A39), 'BA History S2'!$AJ:$AJ)</f>
        <v>0.502</v>
      </c>
      <c r="R39" s="2">
        <f>COUNTIFS('BA History S2'!$B:$B,$A$39,'BA History S2'!K:K, 1)</f>
        <v>0</v>
      </c>
      <c r="S39" s="2">
        <f>COUNTIFS('BA History S2'!$B:$B,$A$39,'BA History S2'!L:L, 1)</f>
        <v>1</v>
      </c>
      <c r="T39" s="2">
        <f>COUNTIFS('BA History S2'!$B:$B,$A$39,'BA History S2'!M:M, 1)</f>
        <v>0</v>
      </c>
      <c r="U39" s="2">
        <f>COUNTIFS('BA History S2'!$B:$B,$A$39,'BA History S2'!N:N, 1)</f>
        <v>2</v>
      </c>
      <c r="V39" s="2">
        <f>COUNTIFS('BA History S2'!$B:$B,$A$39,'BA History S2'!O:O, 1)</f>
        <v>0</v>
      </c>
      <c r="W39" s="2">
        <f>COUNTIFS('BA History S2'!$B:$B,$A$39,'BA History S2'!P:P, 1)</f>
        <v>0</v>
      </c>
      <c r="X39" s="2">
        <f>COUNTIFS('BA History S2'!$B:$B,$A$39,'BA History S2'!Q:Q, 1)</f>
        <v>1</v>
      </c>
      <c r="Y39" s="2">
        <f>COUNTIFS('BA History S2'!$B:$B,$A$39,'BA History S2'!R:R, 1)</f>
        <v>0</v>
      </c>
      <c r="Z39" s="2">
        <f>COUNTIFS('BA History S2'!$B:$B,$A$39,'BA History S2'!S:S, 1)</f>
        <v>0</v>
      </c>
      <c r="AA39" s="2">
        <f>COUNTIFS('BA History S2'!$B:$B,$A$39,'BA History S2'!T:T, 1)</f>
        <v>0</v>
      </c>
      <c r="AB39" s="2">
        <f>COUNTIFS('BA History S2'!$B:$B,$A$39,'BA History S2'!U:U, 1)</f>
        <v>0</v>
      </c>
      <c r="AC39" s="2">
        <f>COUNTIFS('BA History S2'!$B:$B,$A$39,'BA History S2'!V:V, 1)</f>
        <v>0</v>
      </c>
      <c r="AD39" s="2">
        <f>COUNTIFS('BA History S2'!$B:$B,$A$39,'BA History S2'!W:W, 1)</f>
        <v>0</v>
      </c>
      <c r="AE39" s="2">
        <f>COUNTIFS('BA History S2'!$B:$B,$A$39,'BA History S2'!X:X, 1)</f>
        <v>0</v>
      </c>
      <c r="AF39" s="2">
        <f>COUNTIFS('BA History S2'!$B:$B,$A$39,'BA History S2'!Y:Y, 1)</f>
        <v>0</v>
      </c>
      <c r="AG39" s="2">
        <f>COUNTIFS('BA History S2'!$B:$B,$A$39,'BA History S2'!Z:Z, 1)</f>
        <v>2</v>
      </c>
      <c r="AH39" s="2">
        <f>COUNTIFS('BA History S2'!$B:$B,$A39,'BA History S2'!AA:AA, 1)</f>
        <v>0</v>
      </c>
      <c r="AI39" s="2">
        <f>COUNTIFS('BA History S2'!$B:$B,$A$39,'BA History S2'!AB:AB, 1)</f>
        <v>1</v>
      </c>
      <c r="AJ39" s="2">
        <f>COUNTIFS('BA History S2'!$B:$B,$A$39,'BA History S2'!AC:AC, 1)</f>
        <v>1</v>
      </c>
      <c r="AK39" s="2">
        <f>COUNTIFS('BA History S2'!$B:$B,$A$39,'BA History S2'!AD:AD, 1)</f>
        <v>0</v>
      </c>
      <c r="AL39" s="2">
        <f>COUNTIFS('BA History S2'!$B:$B,$A$39,'BA History S2'!AE:AE, 1)</f>
        <v>0</v>
      </c>
      <c r="AM39" s="2">
        <f>COUNTIFS('BA History S2'!$B:$B,$A$39,'BA History S2'!AF:AF, 1)</f>
        <v>0</v>
      </c>
      <c r="AN39" s="2">
        <f>COUNTIFS('BA History S2'!$B:$B,$A$39,'BA History S2'!AG:AG, 1)</f>
        <v>0</v>
      </c>
    </row>
    <row r="40" spans="1:40" x14ac:dyDescent="0.25">
      <c r="A40" s="2" t="s">
        <v>178</v>
      </c>
      <c r="B40" s="1" t="s">
        <v>79</v>
      </c>
      <c r="C40" s="1">
        <v>1</v>
      </c>
      <c r="F40" s="34">
        <f>SUMIFS('BA History S2'!C:C,'BA History S2'!B:B,A40)</f>
        <v>26</v>
      </c>
      <c r="G40" s="66">
        <f>AVERAGEIFS('BA History S2'!C:C,'BA History S2'!B:B,A40)</f>
        <v>13</v>
      </c>
      <c r="H40" s="35">
        <f t="array" ref="H40">MAX(IF('BA History S2'!B:B=A40, 'BA History S2'!C:C))</f>
        <v>16</v>
      </c>
      <c r="I40" s="34">
        <f>COUNTIFS('BA History S2'!B:B,A40,'BA History S2'!D:D, 1)</f>
        <v>0</v>
      </c>
      <c r="J40" s="2">
        <f>COUNTIFS('BA History S2'!B:B,A40,'BA History S2'!D:D, 0)</f>
        <v>2</v>
      </c>
      <c r="K40" s="75">
        <f>LOOKUP(2, 1/('BA History S2'!$B:$B=A40), 'BA History S2'!$AK:$AK)</f>
        <v>0</v>
      </c>
      <c r="L40" s="34">
        <f>SUMIFS('BA History S2'!F:F,'BA History S2'!B:B,A40)</f>
        <v>3</v>
      </c>
      <c r="M40" s="2">
        <f>SUMIFS('BA History S2'!E:E,'BA History S2'!B:B,A40)-L40</f>
        <v>6</v>
      </c>
      <c r="N40" s="75">
        <f>LOOKUP(2, 1/('BA History S2'!$B:$B=A40), 'BA History S2'!$AI:$AI)</f>
        <v>0.32500000000000001</v>
      </c>
      <c r="O40" s="34">
        <f>SUMIFS('BA History S2'!H:H,'BA History S2'!B:B,A40)</f>
        <v>19</v>
      </c>
      <c r="P40" s="2">
        <f>SUMIFS('BA History S2'!G:G,'BA History S2'!B:B,A40)-O40</f>
        <v>22</v>
      </c>
      <c r="Q40" s="89">
        <f>LOOKUP(2, 1/('BA History S2'!$B:$B=A40), 'BA History S2'!$AJ:$AJ)</f>
        <v>0.46499999999999997</v>
      </c>
      <c r="R40" s="2">
        <f>COUNTIFS('BA History S2'!$B:$B,$A$40,'BA History S2'!K:K, 1)</f>
        <v>0</v>
      </c>
      <c r="S40" s="2">
        <f>COUNTIFS('BA History S2'!$B:$B,$A$40,'BA History S2'!L:L, 1)</f>
        <v>0</v>
      </c>
      <c r="T40" s="2">
        <f>COUNTIFS('BA History S2'!$B:$B,$A$40,'BA History S2'!M:M, 1)</f>
        <v>0</v>
      </c>
      <c r="U40" s="2">
        <f>COUNTIFS('BA History S2'!$B:$B,$A$40,'BA History S2'!N:N, 1)</f>
        <v>1</v>
      </c>
      <c r="V40" s="2">
        <f>COUNTIFS('BA History S2'!$B:$B,$A$40,'BA History S2'!O:O, 1)</f>
        <v>0</v>
      </c>
      <c r="W40" s="2">
        <f>COUNTIFS('BA History S2'!$B:$B,$A$40,'BA History S2'!P:P, 1)</f>
        <v>0</v>
      </c>
      <c r="X40" s="2">
        <f>COUNTIFS('BA History S2'!$B:$B,$A$40,'BA History S2'!Q:Q, 1)</f>
        <v>0</v>
      </c>
      <c r="Y40" s="2">
        <f>COUNTIFS('BA History S2'!$B:$B,$A$40,'BA History S2'!R:R, 1)</f>
        <v>0</v>
      </c>
      <c r="Z40" s="2">
        <f>COUNTIFS('BA History S2'!$B:$B,$A$40,'BA History S2'!S:S, 1)</f>
        <v>0</v>
      </c>
      <c r="AA40" s="2">
        <f>COUNTIFS('BA History S2'!$B:$B,$A$40,'BA History S2'!T:T, 1)</f>
        <v>0</v>
      </c>
      <c r="AB40" s="2">
        <f>COUNTIFS('BA History S2'!$B:$B,$A$40,'BA History S2'!U:U, 1)</f>
        <v>0</v>
      </c>
      <c r="AC40" s="2">
        <f>COUNTIFS('BA History S2'!$B:$B,$A$40,'BA History S2'!V:V, 1)</f>
        <v>1</v>
      </c>
      <c r="AD40" s="2">
        <f>COUNTIFS('BA History S2'!$B:$B,$A$40,'BA History S2'!W:W, 1)</f>
        <v>0</v>
      </c>
      <c r="AE40" s="2">
        <f>COUNTIFS('BA History S2'!$B:$B,$A$40,'BA History S2'!X:X, 1)</f>
        <v>0</v>
      </c>
      <c r="AF40" s="2">
        <f>COUNTIFS('BA History S2'!$B:$B,$A$40,'BA History S2'!Y:Y, 1)</f>
        <v>0</v>
      </c>
      <c r="AG40" s="2">
        <f>COUNTIFS('BA History S2'!$B:$B,$A$40,'BA History S2'!Z:Z, 1)</f>
        <v>0</v>
      </c>
      <c r="AH40" s="2">
        <f>COUNTIFS('BA History S2'!$B:$B,$A40,'BA History S2'!AA:AA, 1)</f>
        <v>0</v>
      </c>
      <c r="AI40" s="2">
        <f>COUNTIFS('BA History S2'!$B:$B,$A$40,'BA History S2'!AB:AB, 1)</f>
        <v>0</v>
      </c>
      <c r="AJ40" s="2">
        <f>COUNTIFS('BA History S2'!$B:$B,$A$40,'BA History S2'!AC:AC, 1)</f>
        <v>0</v>
      </c>
      <c r="AK40" s="2">
        <f>COUNTIFS('BA History S2'!$B:$B,$A$40,'BA History S2'!AD:AD, 1)</f>
        <v>1</v>
      </c>
      <c r="AL40" s="2">
        <f>COUNTIFS('BA History S2'!$B:$B,$A$40,'BA History S2'!AE:AE, 1)</f>
        <v>0</v>
      </c>
      <c r="AM40" s="2">
        <f>COUNTIFS('BA History S2'!$B:$B,$A$40,'BA History S2'!AF:AF, 1)</f>
        <v>0</v>
      </c>
      <c r="AN40" s="2">
        <f>COUNTIFS('BA History S2'!$B:$B,$A$40,'BA History S2'!AG:AG, 1)</f>
        <v>0</v>
      </c>
    </row>
    <row r="41" spans="1:40" x14ac:dyDescent="0.25">
      <c r="A41" s="2" t="s">
        <v>113</v>
      </c>
      <c r="B41" s="2" t="s">
        <v>79</v>
      </c>
      <c r="C41" s="2">
        <v>1</v>
      </c>
      <c r="D41" s="2">
        <v>2</v>
      </c>
      <c r="E41" s="2"/>
      <c r="F41" s="34">
        <f>SUMIFS('BA History S2'!C:C,'BA History S2'!B:B,A41)</f>
        <v>536</v>
      </c>
      <c r="G41" s="66">
        <f>AVERAGEIFS('BA History S2'!C:C,'BA History S2'!B:B,A41)</f>
        <v>20.615384615384617</v>
      </c>
      <c r="H41" s="35">
        <f t="array" ref="H41">MAX(IF('BA History S2'!B:B=A41, 'BA History S2'!C:C))</f>
        <v>36</v>
      </c>
      <c r="I41" s="34">
        <f>COUNTIFS('BA History S2'!B:B,A41,'BA History S2'!D:D, 1)</f>
        <v>15</v>
      </c>
      <c r="J41" s="2">
        <f>COUNTIFS('BA History S2'!B:B,A41,'BA History S2'!D:D, 0)</f>
        <v>11</v>
      </c>
      <c r="K41" s="75">
        <f>LOOKUP(2, 1/('BA History S2'!$B:$B=A41), 'BA History S2'!$AK:$AK)</f>
        <v>0.57692307692307687</v>
      </c>
      <c r="L41" s="34">
        <f>SUMIFS('BA History S2'!F:F,'BA History S2'!B:B,A41)</f>
        <v>60</v>
      </c>
      <c r="M41" s="2">
        <f>SUMIFS('BA History S2'!E:E,'BA History S2'!B:B,A41)-L41</f>
        <v>48</v>
      </c>
      <c r="N41" s="75">
        <f>LOOKUP(2, 1/('BA History S2'!$B:$B=A41), 'BA History S2'!$AI:$AI)</f>
        <v>0.57307692307692304</v>
      </c>
      <c r="O41" s="34">
        <f>SUMIFS('BA History S2'!H:H,'BA History S2'!B:B,A41)</f>
        <v>240</v>
      </c>
      <c r="P41" s="2">
        <f>SUMIFS('BA History S2'!G:G,'BA History S2'!B:B,A41)-O41</f>
        <v>221</v>
      </c>
      <c r="Q41" s="89">
        <f>LOOKUP(2, 1/('BA History S2'!$B:$B=A41), 'BA History S2'!$AJ:$AJ)</f>
        <v>0.54115384615384621</v>
      </c>
      <c r="R41" s="2">
        <f>COUNTIFS('BA History S2'!$B:$B,$A$41,'BA History S2'!K:K, 1)</f>
        <v>3</v>
      </c>
      <c r="S41" s="2">
        <f>COUNTIFS('BA History S2'!$B:$B,$A$41,'BA History S2'!L:L, 1)</f>
        <v>5</v>
      </c>
      <c r="T41" s="2">
        <f>COUNTIFS('BA History S2'!$B:$B,$A$41,'BA History S2'!M:M, 1)</f>
        <v>4</v>
      </c>
      <c r="U41" s="2">
        <f>COUNTIFS('BA History S2'!$B:$B,$A$41,'BA History S2'!N:N, 1)</f>
        <v>5</v>
      </c>
      <c r="V41" s="2">
        <f>COUNTIFS('BA History S2'!$B:$B,$A$41,'BA History S2'!O:O, 1)</f>
        <v>1</v>
      </c>
      <c r="W41" s="2">
        <f>COUNTIFS('BA History S2'!$B:$B,$A$41,'BA History S2'!P:P, 1)</f>
        <v>1</v>
      </c>
      <c r="X41" s="2">
        <f>COUNTIFS('BA History S2'!$B:$B,$A$41,'BA History S2'!Q:Q, 1)</f>
        <v>1</v>
      </c>
      <c r="Y41" s="2">
        <f>COUNTIFS('BA History S2'!$B:$B,$A$41,'BA History S2'!R:R, 1)</f>
        <v>1</v>
      </c>
      <c r="Z41" s="2">
        <f>COUNTIFS('BA History S2'!$B:$B,$A$41,'BA History S2'!S:S, 1)</f>
        <v>1</v>
      </c>
      <c r="AA41" s="2">
        <f>COUNTIFS('BA History S2'!$B:$B,$A$41,'BA History S2'!T:T, 1)</f>
        <v>0</v>
      </c>
      <c r="AB41" s="2">
        <f>COUNTIFS('BA History S2'!$B:$B,$A$41,'BA History S2'!U:U, 1)</f>
        <v>1</v>
      </c>
      <c r="AC41" s="2">
        <f>COUNTIFS('BA History S2'!$B:$B,$A$41,'BA History S2'!V:V, 1)</f>
        <v>4</v>
      </c>
      <c r="AD41" s="2">
        <f>COUNTIFS('BA History S2'!$B:$B,$A$41,'BA History S2'!W:W, 1)</f>
        <v>0</v>
      </c>
      <c r="AE41" s="2">
        <f>COUNTIFS('BA History S2'!$B:$B,$A$41,'BA History S2'!X:X, 1)</f>
        <v>0</v>
      </c>
      <c r="AF41" s="2">
        <f>COUNTIFS('BA History S2'!$B:$B,$A$41,'BA History S2'!Y:Y, 1)</f>
        <v>4</v>
      </c>
      <c r="AG41" s="2">
        <f>COUNTIFS('BA History S2'!$B:$B,$A$41,'BA History S2'!Z:Z, 1)</f>
        <v>8</v>
      </c>
      <c r="AH41" s="2">
        <f>COUNTIFS('BA History S2'!$B:$B,$A41,'BA History S2'!AA:AA, 1)</f>
        <v>0</v>
      </c>
      <c r="AI41" s="2">
        <f>COUNTIFS('BA History S2'!$B:$B,$A$41,'BA History S2'!AB:AB, 1)</f>
        <v>2</v>
      </c>
      <c r="AJ41" s="2">
        <f>COUNTIFS('BA History S2'!$B:$B,$A$41,'BA History S2'!AC:AC, 1)</f>
        <v>8</v>
      </c>
      <c r="AK41" s="2">
        <f>COUNTIFS('BA History S2'!$B:$B,$A$41,'BA History S2'!AD:AD, 1)</f>
        <v>4</v>
      </c>
      <c r="AL41" s="2">
        <f>COUNTIFS('BA History S2'!$B:$B,$A$41,'BA History S2'!AE:AE, 1)</f>
        <v>1</v>
      </c>
      <c r="AM41" s="2">
        <f>COUNTIFS('BA History S2'!$B:$B,$A$41,'BA History S2'!AF:AF, 1)</f>
        <v>0</v>
      </c>
      <c r="AN41" s="2">
        <f>COUNTIFS('BA History S2'!$B:$B,$A$41,'BA History S2'!AG:AG, 1)</f>
        <v>6</v>
      </c>
    </row>
    <row r="42" spans="1:40" x14ac:dyDescent="0.25">
      <c r="A42" s="2" t="s">
        <v>14</v>
      </c>
      <c r="B42" s="2" t="s">
        <v>79</v>
      </c>
      <c r="C42" s="2">
        <v>1</v>
      </c>
      <c r="D42" s="2"/>
      <c r="E42" s="2"/>
      <c r="F42" s="34">
        <f>SUMIFS('BA History S2'!C:C,'BA History S2'!B:B,A42)</f>
        <v>94</v>
      </c>
      <c r="G42" s="66">
        <f>AVERAGEIFS('BA History S2'!C:C,'BA History S2'!B:B,A42)</f>
        <v>13.428571428571429</v>
      </c>
      <c r="H42" s="35">
        <f t="array" ref="H42">MAX(IF('BA History S2'!B:B=A42, 'BA History S2'!C:C))</f>
        <v>21</v>
      </c>
      <c r="I42" s="34">
        <f>COUNTIFS('BA History S2'!B:B,A42,'BA History S2'!D:D, 1)</f>
        <v>4</v>
      </c>
      <c r="J42" s="2">
        <f>COUNTIFS('BA History S2'!B:B,A42,'BA History S2'!D:D, 0)</f>
        <v>3</v>
      </c>
      <c r="K42" s="75">
        <f>LOOKUP(2, 1/('BA History S2'!$B:$B=A42), 'BA History S2'!$AK:$AK)</f>
        <v>0.5714285714285714</v>
      </c>
      <c r="L42" s="34">
        <f>SUMIFS('BA History S2'!F:F,'BA History S2'!B:B,A42)</f>
        <v>14</v>
      </c>
      <c r="M42" s="2">
        <f>SUMIFS('BA History S2'!E:E,'BA History S2'!B:B,A42)-L42</f>
        <v>14</v>
      </c>
      <c r="N42" s="75">
        <f>LOOKUP(2, 1/('BA History S2'!$B:$B=A42), 'BA History S2'!$AI:$AI)</f>
        <v>0.49285714285714288</v>
      </c>
      <c r="O42" s="34">
        <f>SUMIFS('BA History S2'!H:H,'BA History S2'!B:B,A42)</f>
        <v>56</v>
      </c>
      <c r="P42" s="2">
        <f>SUMIFS('BA History S2'!G:G,'BA History S2'!B:B,A42)-O42</f>
        <v>61</v>
      </c>
      <c r="Q42" s="89">
        <f>LOOKUP(2, 1/('BA History S2'!$B:$B=A42), 'BA History S2'!$AJ:$AJ)</f>
        <v>0.4514285714285714</v>
      </c>
      <c r="R42" s="2">
        <f>COUNTIFS('BA History S2'!$B:$B,$A$42,'BA History S2'!K:K, 1)</f>
        <v>0</v>
      </c>
      <c r="S42" s="2">
        <f>COUNTIFS('BA History S2'!$B:$B,$A$42,'BA History S2'!L:L, 1)</f>
        <v>1</v>
      </c>
      <c r="T42" s="2">
        <f>COUNTIFS('BA History S2'!$B:$B,$A$42,'BA History S2'!M:M, 1)</f>
        <v>0</v>
      </c>
      <c r="U42" s="2">
        <f>COUNTIFS('BA History S2'!$B:$B,$A$42,'BA History S2'!N:N, 1)</f>
        <v>2</v>
      </c>
      <c r="V42" s="2">
        <f>COUNTIFS('BA History S2'!$B:$B,$A$42,'BA History S2'!O:O, 1)</f>
        <v>0</v>
      </c>
      <c r="W42" s="2">
        <f>COUNTIFS('BA History S2'!$B:$B,$A$42,'BA History S2'!P:P, 1)</f>
        <v>0</v>
      </c>
      <c r="X42" s="2">
        <f>COUNTIFS('BA History S2'!$B:$B,$A$42,'BA History S2'!Q:Q, 1)</f>
        <v>0</v>
      </c>
      <c r="Y42" s="2">
        <f>COUNTIFS('BA History S2'!$B:$B,$A$42,'BA History S2'!R:R, 1)</f>
        <v>1</v>
      </c>
      <c r="Z42" s="2">
        <f>COUNTIFS('BA History S2'!$B:$B,$A$42,'BA History S2'!S:S, 1)</f>
        <v>0</v>
      </c>
      <c r="AA42" s="2">
        <f>COUNTIFS('BA History S2'!$B:$B,$A$42,'BA History S2'!T:T, 1)</f>
        <v>0</v>
      </c>
      <c r="AB42" s="2">
        <f>COUNTIFS('BA History S2'!$B:$B,$A$42,'BA History S2'!U:U, 1)</f>
        <v>0</v>
      </c>
      <c r="AC42" s="2">
        <f>COUNTIFS('BA History S2'!$B:$B,$A$42,'BA History S2'!V:V, 1)</f>
        <v>1</v>
      </c>
      <c r="AD42" s="2">
        <f>COUNTIFS('BA History S2'!$B:$B,$A$42,'BA History S2'!W:W, 1)</f>
        <v>0</v>
      </c>
      <c r="AE42" s="2">
        <f>COUNTIFS('BA History S2'!$B:$B,$A$42,'BA History S2'!X:X, 1)</f>
        <v>0</v>
      </c>
      <c r="AF42" s="2">
        <f>COUNTIFS('BA History S2'!$B:$B,$A$42,'BA History S2'!Y:Y, 1)</f>
        <v>2</v>
      </c>
      <c r="AG42" s="2">
        <f>COUNTIFS('BA History S2'!$B:$B,$A$42,'BA History S2'!Z:Z, 1)</f>
        <v>2</v>
      </c>
      <c r="AH42" s="2">
        <f>COUNTIFS('BA History S2'!$B:$B,$A42,'BA History S2'!AA:AA, 1)</f>
        <v>0</v>
      </c>
      <c r="AI42" s="2">
        <f>COUNTIFS('BA History S2'!$B:$B,$A$42,'BA History S2'!AB:AB, 1)</f>
        <v>0</v>
      </c>
      <c r="AJ42" s="2">
        <f>COUNTIFS('BA History S2'!$B:$B,$A$42,'BA History S2'!AC:AC, 1)</f>
        <v>4</v>
      </c>
      <c r="AK42" s="2">
        <f>COUNTIFS('BA History S2'!$B:$B,$A$42,'BA History S2'!AD:AD, 1)</f>
        <v>1</v>
      </c>
      <c r="AL42" s="2">
        <f>COUNTIFS('BA History S2'!$B:$B,$A$42,'BA History S2'!AE:AE, 1)</f>
        <v>0</v>
      </c>
      <c r="AM42" s="2">
        <f>COUNTIFS('BA History S2'!$B:$B,$A$42,'BA History S2'!AF:AF, 1)</f>
        <v>0</v>
      </c>
      <c r="AN42" s="2">
        <f>COUNTIFS('BA History S2'!$B:$B,$A$42,'BA History S2'!AG:AG, 1)</f>
        <v>0</v>
      </c>
    </row>
    <row r="43" spans="1:40" x14ac:dyDescent="0.25">
      <c r="A43" s="2" t="s">
        <v>70</v>
      </c>
      <c r="B43" s="2" t="s">
        <v>79</v>
      </c>
      <c r="C43" s="2"/>
      <c r="D43" s="2"/>
      <c r="E43" s="2"/>
      <c r="F43" s="34">
        <f>SUMIFS('BA History S2'!C:C,'BA History S2'!B:B,A43)</f>
        <v>40</v>
      </c>
      <c r="G43" s="66">
        <f>AVERAGEIFS('BA History S2'!C:C,'BA History S2'!B:B,A43)</f>
        <v>10</v>
      </c>
      <c r="H43" s="35">
        <f t="array" ref="H43">MAX(IF('BA History S2'!B:B=A43, 'BA History S2'!C:C))</f>
        <v>13</v>
      </c>
      <c r="I43" s="34">
        <f>COUNTIFS('BA History S2'!B:B,A43,'BA History S2'!D:D, 1)</f>
        <v>0</v>
      </c>
      <c r="J43" s="2">
        <f>COUNTIFS('BA History S2'!B:B,A43,'BA History S2'!D:D, 0)</f>
        <v>4</v>
      </c>
      <c r="K43" s="75">
        <f>LOOKUP(2, 1/('BA History S2'!$B:$B=A43), 'BA History S2'!$AK:$AK)</f>
        <v>0</v>
      </c>
      <c r="L43" s="34">
        <f>SUMIFS('BA History S2'!F:F,'BA History S2'!B:B,A43)</f>
        <v>3</v>
      </c>
      <c r="M43" s="2">
        <f>SUMIFS('BA History S2'!E:E,'BA History S2'!B:B,A43)-L43</f>
        <v>12</v>
      </c>
      <c r="N43" s="75">
        <f>LOOKUP(2, 1/('BA History S2'!$B:$B=A43), 'BA History S2'!$AI:$AI)</f>
        <v>0.1875</v>
      </c>
      <c r="O43" s="34">
        <f>SUMIFS('BA History S2'!H:H,'BA History S2'!B:B,A43)</f>
        <v>25</v>
      </c>
      <c r="P43" s="2">
        <f>SUMIFS('BA History S2'!G:G,'BA History S2'!B:B,A43)-O43</f>
        <v>38</v>
      </c>
      <c r="Q43" s="89">
        <f>LOOKUP(2, 1/('BA History S2'!$B:$B=A43), 'BA History S2'!$AJ:$AJ)</f>
        <v>0.39500000000000002</v>
      </c>
      <c r="R43" s="2">
        <f>COUNTIFS('BA History S2'!$B:$B,$A$43,'BA History S2'!K:K, 1)</f>
        <v>1</v>
      </c>
      <c r="S43" s="2">
        <f>COUNTIFS('BA History S2'!$B:$B,$A$43,'BA History S2'!L:L, 1)</f>
        <v>0</v>
      </c>
      <c r="T43" s="2">
        <f>COUNTIFS('BA History S2'!$B:$B,$A$43,'BA History S2'!M:M, 1)</f>
        <v>0</v>
      </c>
      <c r="U43" s="2">
        <f>COUNTIFS('BA History S2'!$B:$B,$A$43,'BA History S2'!N:N, 1)</f>
        <v>2</v>
      </c>
      <c r="V43" s="2">
        <f>COUNTIFS('BA History S2'!$B:$B,$A$43,'BA History S2'!O:O, 1)</f>
        <v>0</v>
      </c>
      <c r="W43" s="2">
        <f>COUNTIFS('BA History S2'!$B:$B,$A$43,'BA History S2'!P:P, 1)</f>
        <v>0</v>
      </c>
      <c r="X43" s="2">
        <f>COUNTIFS('BA History S2'!$B:$B,$A$43,'BA History S2'!Q:Q, 1)</f>
        <v>0</v>
      </c>
      <c r="Y43" s="2">
        <f>COUNTIFS('BA History S2'!$B:$B,$A$43,'BA History S2'!R:R, 1)</f>
        <v>0</v>
      </c>
      <c r="Z43" s="2">
        <f>COUNTIFS('BA History S2'!$B:$B,$A$43,'BA History S2'!S:S, 1)</f>
        <v>0</v>
      </c>
      <c r="AA43" s="2">
        <f>COUNTIFS('BA History S2'!$B:$B,$A$43,'BA History S2'!T:T, 1)</f>
        <v>0</v>
      </c>
      <c r="AB43" s="2">
        <f>COUNTIFS('BA History S2'!$B:$B,$A$43,'BA History S2'!U:U, 1)</f>
        <v>0</v>
      </c>
      <c r="AC43" s="2">
        <f>COUNTIFS('BA History S2'!$B:$B,$A$43,'BA History S2'!V:V, 1)</f>
        <v>0</v>
      </c>
      <c r="AD43" s="2">
        <f>COUNTIFS('BA History S2'!$B:$B,$A$43,'BA History S2'!W:W, 1)</f>
        <v>0</v>
      </c>
      <c r="AE43" s="2">
        <f>COUNTIFS('BA History S2'!$B:$B,$A$43,'BA History S2'!X:X, 1)</f>
        <v>0</v>
      </c>
      <c r="AF43" s="2">
        <f>COUNTIFS('BA History S2'!$B:$B,$A$43,'BA History S2'!Y:Y, 1)</f>
        <v>0</v>
      </c>
      <c r="AG43" s="2">
        <f>COUNTIFS('BA History S2'!$B:$B,$A$43,'BA History S2'!Z:Z, 1)</f>
        <v>0</v>
      </c>
      <c r="AH43" s="2">
        <f>COUNTIFS('BA History S2'!$B:$B,$A43,'BA History S2'!AA:AA, 1)</f>
        <v>0</v>
      </c>
      <c r="AI43" s="2">
        <f>COUNTIFS('BA History S2'!$B:$B,$A$43,'BA History S2'!AB:AB, 1)</f>
        <v>0</v>
      </c>
      <c r="AJ43" s="2">
        <f>COUNTIFS('BA History S2'!$B:$B,$A$43,'BA History S2'!AC:AC, 1)</f>
        <v>0</v>
      </c>
      <c r="AK43" s="2">
        <f>COUNTIFS('BA History S2'!$B:$B,$A$43,'BA History S2'!AD:AD, 1)</f>
        <v>0</v>
      </c>
      <c r="AL43" s="2">
        <f>COUNTIFS('BA History S2'!$B:$B,$A$43,'BA History S2'!AE:AE, 1)</f>
        <v>0</v>
      </c>
      <c r="AM43" s="2">
        <f>COUNTIFS('BA History S2'!$B:$B,$A$43,'BA History S2'!AF:AF, 1)</f>
        <v>0</v>
      </c>
      <c r="AN43" s="2">
        <f>COUNTIFS('BA History S2'!$B:$B,$A$43,'BA History S2'!AG:AG, 1)</f>
        <v>0</v>
      </c>
    </row>
    <row r="44" spans="1:40" x14ac:dyDescent="0.25">
      <c r="A44" s="2" t="s">
        <v>4</v>
      </c>
      <c r="B44" s="1" t="s">
        <v>158</v>
      </c>
      <c r="C44" s="1">
        <v>1</v>
      </c>
      <c r="D44" s="1">
        <v>1</v>
      </c>
      <c r="F44" s="34">
        <f>SUMIFS('BA History S2'!C:C,'BA History S2'!B:B,A44)</f>
        <v>521</v>
      </c>
      <c r="G44" s="66">
        <f>AVERAGEIFS('BA History S2'!C:C,'BA History S2'!B:B,A44)</f>
        <v>26.05</v>
      </c>
      <c r="H44" s="35">
        <f t="array" ref="H44">MAX(IF('BA History S2'!B:B=A44, 'BA History S2'!C:C))</f>
        <v>43</v>
      </c>
      <c r="I44" s="34">
        <f>COUNTIFS('BA History S2'!B:B,A44,'BA History S2'!D:D, 1)</f>
        <v>13</v>
      </c>
      <c r="J44" s="2">
        <f>COUNTIFS('BA History S2'!B:B,A44,'BA History S2'!D:D, 0)</f>
        <v>7</v>
      </c>
      <c r="K44" s="75">
        <f>LOOKUP(2, 1/('BA History S2'!$B:$B=A44), 'BA History S2'!$AK:$AK)</f>
        <v>0.65</v>
      </c>
      <c r="L44" s="34">
        <f>SUMIFS('BA History S2'!F:F,'BA History S2'!B:B,A44)</f>
        <v>46</v>
      </c>
      <c r="M44" s="2">
        <f>SUMIFS('BA History S2'!E:E,'BA History S2'!B:B,A44)-L44</f>
        <v>38</v>
      </c>
      <c r="N44" s="75">
        <f>LOOKUP(2, 1/('BA History S2'!$B:$B=A44), 'BA History S2'!$AI:$AI)</f>
        <v>0.55000000000000004</v>
      </c>
      <c r="O44" s="34">
        <f>SUMIFS('BA History S2'!H:H,'BA History S2'!B:B,A44)</f>
        <v>186</v>
      </c>
      <c r="P44" s="2">
        <f>SUMIFS('BA History S2'!G:G,'BA History S2'!B:B,A44)-O44</f>
        <v>173</v>
      </c>
      <c r="Q44" s="89">
        <f>LOOKUP(2, 1/('BA History S2'!$B:$B=A44), 'BA History S2'!$AJ:$AJ)</f>
        <v>0.51949999999999996</v>
      </c>
      <c r="R44" s="2">
        <f>COUNTIFS('BA History S2'!$B:$B,$A$44,'BA History S2'!K:K, 1)</f>
        <v>3</v>
      </c>
      <c r="S44" s="2">
        <f>COUNTIFS('BA History S2'!$B:$B,$A$44,'BA History S2'!L:L, 1)</f>
        <v>4</v>
      </c>
      <c r="T44" s="2">
        <f>COUNTIFS('BA History S2'!$B:$B,$A$44,'BA History S2'!M:M, 1)</f>
        <v>5</v>
      </c>
      <c r="U44" s="2">
        <f>COUNTIFS('BA History S2'!$B:$B,$A$44,'BA History S2'!N:N, 1)</f>
        <v>4</v>
      </c>
      <c r="V44" s="2">
        <f>COUNTIFS('BA History S2'!$B:$B,$A$44,'BA History S2'!O:O, 1)</f>
        <v>0</v>
      </c>
      <c r="W44" s="2">
        <f>COUNTIFS('BA History S2'!$B:$B,$A$44,'BA History S2'!P:P, 1)</f>
        <v>0</v>
      </c>
      <c r="X44" s="2">
        <f>COUNTIFS('BA History S2'!$B:$B,$A$44,'BA History S2'!Q:Q, 1)</f>
        <v>0</v>
      </c>
      <c r="Y44" s="2">
        <f>COUNTIFS('BA History S2'!$B:$B,$A$44,'BA History S2'!R:R, 1)</f>
        <v>0</v>
      </c>
      <c r="Z44" s="2">
        <f>COUNTIFS('BA History S2'!$B:$B,$A$44,'BA History S2'!S:S, 1)</f>
        <v>0</v>
      </c>
      <c r="AA44" s="2">
        <f>COUNTIFS('BA History S2'!$B:$B,$A$44,'BA History S2'!T:T, 1)</f>
        <v>0</v>
      </c>
      <c r="AB44" s="2">
        <f>COUNTIFS('BA History S2'!$B:$B,$A$44,'BA History S2'!U:U, 1)</f>
        <v>1</v>
      </c>
      <c r="AC44" s="2">
        <f>COUNTIFS('BA History S2'!$B:$B,$A$44,'BA History S2'!V:V, 1)</f>
        <v>2</v>
      </c>
      <c r="AD44" s="2">
        <f>COUNTIFS('BA History S2'!$B:$B,$A$44,'BA History S2'!W:W, 1)</f>
        <v>2</v>
      </c>
      <c r="AE44" s="2">
        <f>COUNTIFS('BA History S2'!$B:$B,$A$44,'BA History S2'!X:X, 1)</f>
        <v>0</v>
      </c>
      <c r="AF44" s="2">
        <f>COUNTIFS('BA History S2'!$B:$B,$A$44,'BA History S2'!Y:Y, 1)</f>
        <v>4</v>
      </c>
      <c r="AG44" s="2">
        <f>COUNTIFS('BA History S2'!$B:$B,$A$44,'BA History S2'!Z:Z, 1)</f>
        <v>3</v>
      </c>
      <c r="AH44" s="2">
        <f>COUNTIFS('BA History S2'!$B:$B,$A44,'BA History S2'!AA:AA, 1)</f>
        <v>1</v>
      </c>
      <c r="AI44" s="2">
        <f>COUNTIFS('BA History S2'!$B:$B,$A$44,'BA History S2'!AB:AB, 1)</f>
        <v>2</v>
      </c>
      <c r="AJ44" s="2">
        <f>COUNTIFS('BA History S2'!$B:$B,$A$44,'BA History S2'!AC:AC, 1)</f>
        <v>7</v>
      </c>
      <c r="AK44" s="2">
        <f>COUNTIFS('BA History S2'!$B:$B,$A$44,'BA History S2'!AD:AD, 1)</f>
        <v>4</v>
      </c>
      <c r="AL44" s="2">
        <f>COUNTIFS('BA History S2'!$B:$B,$A$44,'BA History S2'!AE:AE, 1)</f>
        <v>2</v>
      </c>
      <c r="AM44" s="2">
        <f>COUNTIFS('BA History S2'!$B:$B,$A$44,'BA History S2'!AF:AF, 1)</f>
        <v>1</v>
      </c>
      <c r="AN44" s="2">
        <f>COUNTIFS('BA History S2'!$B:$B,$A$44,'BA History S2'!AG:AG, 1)</f>
        <v>1</v>
      </c>
    </row>
    <row r="45" spans="1:40" x14ac:dyDescent="0.25">
      <c r="A45" s="1" t="s">
        <v>107</v>
      </c>
      <c r="B45" s="2" t="s">
        <v>79</v>
      </c>
      <c r="C45" s="2"/>
      <c r="D45" s="2"/>
      <c r="E45" s="2"/>
      <c r="F45" s="34">
        <f>SUMIFS('BA History S2'!C:C,'BA History S2'!B:B,A45)</f>
        <v>424</v>
      </c>
      <c r="G45" s="66">
        <f>AVERAGEIFS('BA History S2'!C:C,'BA History S2'!B:B,A45)</f>
        <v>15.703703703703704</v>
      </c>
      <c r="H45" s="35">
        <f t="array" ref="H45">MAX(IF('BA History S2'!B:B=A45, 'BA History S2'!C:C))</f>
        <v>33</v>
      </c>
      <c r="I45" s="34">
        <f>COUNTIFS('BA History S2'!B:B,A45,'BA History S2'!D:D, 1)</f>
        <v>14</v>
      </c>
      <c r="J45" s="2">
        <f>COUNTIFS('BA History S2'!B:B,A45,'BA History S2'!D:D, 0)</f>
        <v>13</v>
      </c>
      <c r="K45" s="75">
        <f>LOOKUP(2, 1/('BA History S2'!$B:$B=A45), 'BA History S2'!$AK:$AK)</f>
        <v>0.51851851851851849</v>
      </c>
      <c r="L45" s="34">
        <f>SUMIFS('BA History S2'!F:F,'BA History S2'!B:B,A45)</f>
        <v>51</v>
      </c>
      <c r="M45" s="2">
        <f>SUMIFS('BA History S2'!E:E,'BA History S2'!B:B,A45)-L45</f>
        <v>56</v>
      </c>
      <c r="N45" s="75">
        <f>LOOKUP(2, 1/('BA History S2'!$B:$B=A45), 'BA History S2'!$AI:$AI)</f>
        <v>0.4592592592592592</v>
      </c>
      <c r="O45" s="34">
        <f>SUMIFS('BA History S2'!H:H,'BA History S2'!B:B,A45)</f>
        <v>218</v>
      </c>
      <c r="P45" s="2">
        <f>SUMIFS('BA History S2'!G:G,'BA History S2'!B:B,A45)-O45</f>
        <v>227</v>
      </c>
      <c r="Q45" s="89">
        <f>LOOKUP(2, 1/('BA History S2'!$B:$B=A45), 'BA History S2'!$AJ:$AJ)</f>
        <v>0.48148148148148145</v>
      </c>
      <c r="R45" s="2">
        <f>COUNTIFS('BA History S2'!$B:$B,$A$45,'BA History S2'!K:K, 1)</f>
        <v>4</v>
      </c>
      <c r="S45" s="2">
        <f>COUNTIFS('BA History S2'!$B:$B,$A$45,'BA History S2'!L:L, 1)</f>
        <v>1</v>
      </c>
      <c r="T45" s="2">
        <f>COUNTIFS('BA History S2'!$B:$B,$A$45,'BA History S2'!M:M, 1)</f>
        <v>8</v>
      </c>
      <c r="U45" s="2">
        <f>COUNTIFS('BA History S2'!$B:$B,$A$45,'BA History S2'!N:N, 1)</f>
        <v>3</v>
      </c>
      <c r="V45" s="2">
        <f>COUNTIFS('BA History S2'!$B:$B,$A$45,'BA History S2'!O:O, 1)</f>
        <v>2</v>
      </c>
      <c r="W45" s="2">
        <f>COUNTIFS('BA History S2'!$B:$B,$A$45,'BA History S2'!P:P, 1)</f>
        <v>0</v>
      </c>
      <c r="X45" s="2">
        <f>COUNTIFS('BA History S2'!$B:$B,$A$45,'BA History S2'!Q:Q, 1)</f>
        <v>0</v>
      </c>
      <c r="Y45" s="2">
        <f>COUNTIFS('BA History S2'!$B:$B,$A$45,'BA History S2'!R:R, 1)</f>
        <v>1</v>
      </c>
      <c r="Z45" s="2">
        <f>COUNTIFS('BA History S2'!$B:$B,$A$45,'BA History S2'!S:S, 1)</f>
        <v>0</v>
      </c>
      <c r="AA45" s="2">
        <f>COUNTIFS('BA History S2'!$B:$B,$A$45,'BA History S2'!T:T, 1)</f>
        <v>0</v>
      </c>
      <c r="AB45" s="2">
        <f>COUNTIFS('BA History S2'!$B:$B,$A$45,'BA History S2'!U:U, 1)</f>
        <v>2</v>
      </c>
      <c r="AC45" s="2">
        <f>COUNTIFS('BA History S2'!$B:$B,$A$45,'BA History S2'!V:V, 1)</f>
        <v>1</v>
      </c>
      <c r="AD45" s="2">
        <f>COUNTIFS('BA History S2'!$B:$B,$A$45,'BA History S2'!W:W, 1)</f>
        <v>1</v>
      </c>
      <c r="AE45" s="2">
        <f>COUNTIFS('BA History S2'!$B:$B,$A$45,'BA History S2'!X:X, 1)</f>
        <v>0</v>
      </c>
      <c r="AF45" s="2">
        <f>COUNTIFS('BA History S2'!$B:$B,$A$45,'BA History S2'!Y:Y, 1)</f>
        <v>3</v>
      </c>
      <c r="AG45" s="2">
        <f>COUNTIFS('BA History S2'!$B:$B,$A$45,'BA History S2'!Z:Z, 1)</f>
        <v>6</v>
      </c>
      <c r="AH45" s="2">
        <f>COUNTIFS('BA History S2'!$B:$B,$A45,'BA History S2'!AA:AA, 1)</f>
        <v>1</v>
      </c>
      <c r="AI45" s="2">
        <f>COUNTIFS('BA History S2'!$B:$B,$A$45,'BA History S2'!AB:AB, 1)</f>
        <v>0</v>
      </c>
      <c r="AJ45" s="2">
        <f>COUNTIFS('BA History S2'!$B:$B,$A$45,'BA History S2'!AC:AC, 1)</f>
        <v>5</v>
      </c>
      <c r="AK45" s="2">
        <f>COUNTIFS('BA History S2'!$B:$B,$A$45,'BA History S2'!AD:AD, 1)</f>
        <v>2</v>
      </c>
      <c r="AL45" s="2">
        <f>COUNTIFS('BA History S2'!$B:$B,$A$45,'BA History S2'!AE:AE, 1)</f>
        <v>6</v>
      </c>
      <c r="AM45" s="2">
        <f>COUNTIFS('BA History S2'!$B:$B,$A$45,'BA History S2'!AF:AF, 1)</f>
        <v>1</v>
      </c>
      <c r="AN45" s="2">
        <f>COUNTIFS('BA History S2'!$B:$B,$A$45,'BA History S2'!AG:AG, 1)</f>
        <v>4</v>
      </c>
    </row>
  </sheetData>
  <autoFilter ref="A1:AN45" xr:uid="{DA548192-1F03-46EA-8AB8-115EB9A7CE5D}">
    <sortState xmlns:xlrd2="http://schemas.microsoft.com/office/spreadsheetml/2017/richdata2" ref="A2:AN45">
      <sortCondition ref="A1:A45"/>
    </sortState>
  </autoFilter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B625A-2AFF-41CF-8CA7-7487C63BC2AE}">
  <dimension ref="A1:AK586"/>
  <sheetViews>
    <sheetView workbookViewId="0">
      <pane xSplit="2" ySplit="1" topLeftCell="M561" activePane="bottomRight" state="frozen"/>
      <selection pane="topRight" activeCell="C1" sqref="C1"/>
      <selection pane="bottomLeft" activeCell="A2" sqref="A2"/>
      <selection pane="bottomRight" activeCell="AJ591" sqref="AJ591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4" max="34" width="14.140625" bestFit="1" customWidth="1"/>
    <col min="35" max="35" width="10.85546875" customWidth="1"/>
    <col min="36" max="36" width="9" customWidth="1"/>
    <col min="37" max="37" width="13.28515625" bestFit="1" customWidth="1"/>
  </cols>
  <sheetData>
    <row r="1" spans="1:37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144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70" t="s">
        <v>218</v>
      </c>
      <c r="AB1" s="69" t="s">
        <v>104</v>
      </c>
      <c r="AC1" s="69" t="s">
        <v>66</v>
      </c>
      <c r="AD1" s="69" t="s">
        <v>72</v>
      </c>
      <c r="AE1" s="70" t="s">
        <v>68</v>
      </c>
      <c r="AF1" s="70" t="s">
        <v>135</v>
      </c>
      <c r="AG1" s="71" t="s">
        <v>96</v>
      </c>
      <c r="AH1" s="83" t="s">
        <v>134</v>
      </c>
      <c r="AI1" s="83" t="s">
        <v>132</v>
      </c>
      <c r="AJ1" s="83" t="s">
        <v>133</v>
      </c>
      <c r="AK1" s="83" t="s">
        <v>136</v>
      </c>
    </row>
    <row r="2" spans="1:37" x14ac:dyDescent="0.25">
      <c r="A2" s="85">
        <v>46114</v>
      </c>
      <c r="B2" t="s">
        <v>1</v>
      </c>
      <c r="C2">
        <v>22</v>
      </c>
      <c r="D2">
        <v>0</v>
      </c>
      <c r="E2">
        <v>3</v>
      </c>
      <c r="F2">
        <v>0</v>
      </c>
      <c r="G2">
        <v>13</v>
      </c>
      <c r="H2">
        <v>4</v>
      </c>
      <c r="I2">
        <v>0</v>
      </c>
      <c r="J2">
        <v>0.31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 s="86">
        <f>AVERAGEIFS($C2:C$2, $B2:B$2, B2)</f>
        <v>22</v>
      </c>
      <c r="AI2" s="86">
        <f>AVERAGEIFS($I2:I$2, $B2:B$2, B2)</f>
        <v>0</v>
      </c>
      <c r="AJ2" s="86">
        <f>AVERAGEIFS($J2:J$2, $B2:B$2, B2)</f>
        <v>0.31</v>
      </c>
      <c r="AK2" s="86">
        <f>AVERAGEIFS($D2:D$2, $B2:B$2, B2)</f>
        <v>0</v>
      </c>
    </row>
    <row r="3" spans="1:37" x14ac:dyDescent="0.25">
      <c r="A3" s="85">
        <v>46114</v>
      </c>
      <c r="B3" t="s">
        <v>46</v>
      </c>
      <c r="C3">
        <v>5</v>
      </c>
      <c r="D3">
        <v>0</v>
      </c>
      <c r="E3">
        <v>3</v>
      </c>
      <c r="F3">
        <v>0</v>
      </c>
      <c r="G3">
        <v>13</v>
      </c>
      <c r="H3">
        <v>4</v>
      </c>
      <c r="I3">
        <v>0</v>
      </c>
      <c r="J3">
        <v>0.31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 s="86">
        <f>AVERAGEIFS($C$2:C3, $B$2:B3, B3)</f>
        <v>5</v>
      </c>
      <c r="AI3" s="86">
        <f>AVERAGEIFS($I$2:I3, $B$2:B3, B3)</f>
        <v>0</v>
      </c>
      <c r="AJ3" s="86">
        <f>AVERAGEIFS($J$2:J3, $B$2:B3, B3)</f>
        <v>0.31</v>
      </c>
      <c r="AK3" s="86">
        <f>AVERAGEIFS($D$2:D3, $B$2:B3, B3)</f>
        <v>0</v>
      </c>
    </row>
    <row r="4" spans="1:37" x14ac:dyDescent="0.25">
      <c r="A4" s="85">
        <v>46114</v>
      </c>
      <c r="B4" t="s">
        <v>107</v>
      </c>
      <c r="C4">
        <v>7</v>
      </c>
      <c r="D4">
        <v>0</v>
      </c>
      <c r="E4">
        <v>3</v>
      </c>
      <c r="F4">
        <v>0</v>
      </c>
      <c r="G4">
        <v>13</v>
      </c>
      <c r="H4">
        <v>4</v>
      </c>
      <c r="I4">
        <v>0</v>
      </c>
      <c r="J4">
        <v>0.31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 s="86">
        <f>AVERAGEIFS($C$2:C4, $B$2:B4, B4)</f>
        <v>7</v>
      </c>
      <c r="AI4" s="86">
        <f>AVERAGEIFS($I$2:I4, $B$2:B4, B4)</f>
        <v>0</v>
      </c>
      <c r="AJ4" s="86">
        <f>AVERAGEIFS($J$2:J4, $B$2:B4, B4)</f>
        <v>0.31</v>
      </c>
      <c r="AK4" s="86">
        <f>AVERAGEIFS($D$2:D4, $B$2:B4, B4)</f>
        <v>0</v>
      </c>
    </row>
    <row r="5" spans="1:37" x14ac:dyDescent="0.25">
      <c r="A5" s="85">
        <v>46114</v>
      </c>
      <c r="B5" t="s">
        <v>141</v>
      </c>
      <c r="C5">
        <v>1</v>
      </c>
      <c r="D5">
        <v>0</v>
      </c>
      <c r="E5">
        <v>3</v>
      </c>
      <c r="F5">
        <v>0</v>
      </c>
      <c r="G5">
        <v>13</v>
      </c>
      <c r="H5">
        <v>4</v>
      </c>
      <c r="I5">
        <v>0</v>
      </c>
      <c r="J5">
        <v>0.31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 s="86">
        <f>AVERAGEIFS($C$2:C5, $B$2:B5, B5)</f>
        <v>1</v>
      </c>
      <c r="AI5" s="86">
        <f>AVERAGEIFS($I$2:I5, $B$2:B5, B5)</f>
        <v>0</v>
      </c>
      <c r="AJ5" s="86">
        <f>AVERAGEIFS($J$2:J5, $B$2:B5, B5)</f>
        <v>0.31</v>
      </c>
      <c r="AK5" s="86">
        <f>AVERAGEIFS($D$2:D5, $B$2:B5, B5)</f>
        <v>0</v>
      </c>
    </row>
    <row r="6" spans="1:37" x14ac:dyDescent="0.25">
      <c r="A6" s="85">
        <v>46114</v>
      </c>
      <c r="B6" t="s">
        <v>140</v>
      </c>
      <c r="C6">
        <v>9</v>
      </c>
      <c r="D6">
        <v>0</v>
      </c>
      <c r="E6">
        <v>3</v>
      </c>
      <c r="F6">
        <v>0</v>
      </c>
      <c r="G6">
        <v>13</v>
      </c>
      <c r="H6">
        <v>4</v>
      </c>
      <c r="I6">
        <v>0</v>
      </c>
      <c r="J6">
        <v>0.31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 s="86">
        <f>AVERAGEIFS($C$2:C6, $B$2:B6, B6)</f>
        <v>9</v>
      </c>
      <c r="AI6" s="86">
        <f>AVERAGEIFS($I$2:I6, $B$2:B6, B6)</f>
        <v>0</v>
      </c>
      <c r="AJ6" s="86">
        <f>AVERAGEIFS($J$2:J6, $B$2:B6, B6)</f>
        <v>0.31</v>
      </c>
      <c r="AK6" s="86">
        <f>AVERAGEIFS($D$2:D6, $B$2:B6, B6)</f>
        <v>0</v>
      </c>
    </row>
    <row r="7" spans="1:37" x14ac:dyDescent="0.25">
      <c r="A7" s="85">
        <v>46114</v>
      </c>
      <c r="B7" t="s">
        <v>54</v>
      </c>
      <c r="C7">
        <v>16</v>
      </c>
      <c r="D7">
        <v>1</v>
      </c>
      <c r="E7">
        <v>3</v>
      </c>
      <c r="F7">
        <v>3</v>
      </c>
      <c r="G7">
        <v>13</v>
      </c>
      <c r="H7">
        <v>9</v>
      </c>
      <c r="I7">
        <v>1</v>
      </c>
      <c r="J7">
        <v>0.69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1</v>
      </c>
      <c r="AE7">
        <v>0</v>
      </c>
      <c r="AF7">
        <v>0</v>
      </c>
      <c r="AG7">
        <v>1</v>
      </c>
      <c r="AH7" s="86">
        <f>AVERAGEIFS($C$2:C7, $B$2:B7, B7)</f>
        <v>16</v>
      </c>
      <c r="AI7" s="86">
        <f>AVERAGEIFS($I$2:I7, $B$2:B7, B7)</f>
        <v>1</v>
      </c>
      <c r="AJ7" s="86">
        <f>AVERAGEIFS($J$2:J7, $B$2:B7, B7)</f>
        <v>0.69</v>
      </c>
      <c r="AK7" s="86">
        <f>AVERAGEIFS($D$2:D7, $B$2:B7, B7)</f>
        <v>1</v>
      </c>
    </row>
    <row r="8" spans="1:37" x14ac:dyDescent="0.25">
      <c r="A8" s="85">
        <v>46114</v>
      </c>
      <c r="B8" t="s">
        <v>4</v>
      </c>
      <c r="C8">
        <v>16</v>
      </c>
      <c r="D8">
        <v>1</v>
      </c>
      <c r="E8">
        <v>3</v>
      </c>
      <c r="F8">
        <v>3</v>
      </c>
      <c r="G8">
        <v>13</v>
      </c>
      <c r="H8">
        <v>9</v>
      </c>
      <c r="I8">
        <v>1</v>
      </c>
      <c r="J8">
        <v>0.69</v>
      </c>
      <c r="K8">
        <v>0</v>
      </c>
      <c r="L8">
        <v>1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1</v>
      </c>
      <c r="AE8">
        <v>0</v>
      </c>
      <c r="AF8">
        <v>0</v>
      </c>
      <c r="AG8">
        <v>1</v>
      </c>
      <c r="AH8" s="86">
        <f>AVERAGEIFS($C$2:C8, $B$2:B8, B8)</f>
        <v>16</v>
      </c>
      <c r="AI8" s="86">
        <f>AVERAGEIFS($I$2:I8, $B$2:B8, B8)</f>
        <v>1</v>
      </c>
      <c r="AJ8" s="86">
        <f>AVERAGEIFS($J$2:J8, $B$2:B8, B8)</f>
        <v>0.69</v>
      </c>
      <c r="AK8" s="86">
        <f>AVERAGEIFS($D$2:D8, $B$2:B8, B8)</f>
        <v>1</v>
      </c>
    </row>
    <row r="9" spans="1:37" x14ac:dyDescent="0.25">
      <c r="A9" s="85">
        <v>46114</v>
      </c>
      <c r="B9" t="s">
        <v>113</v>
      </c>
      <c r="C9">
        <v>11</v>
      </c>
      <c r="D9">
        <v>1</v>
      </c>
      <c r="E9">
        <v>3</v>
      </c>
      <c r="F9">
        <v>3</v>
      </c>
      <c r="G9">
        <v>13</v>
      </c>
      <c r="H9">
        <v>9</v>
      </c>
      <c r="I9">
        <v>1</v>
      </c>
      <c r="J9">
        <v>0.69</v>
      </c>
      <c r="K9">
        <v>0</v>
      </c>
      <c r="L9">
        <v>1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1</v>
      </c>
      <c r="AE9">
        <v>0</v>
      </c>
      <c r="AF9">
        <v>0</v>
      </c>
      <c r="AG9">
        <v>1</v>
      </c>
      <c r="AH9" s="86">
        <f>AVERAGEIFS($C$2:C9, $B$2:B9, B9)</f>
        <v>11</v>
      </c>
      <c r="AI9" s="86">
        <f>AVERAGEIFS($I$2:I9, $B$2:B9, B9)</f>
        <v>1</v>
      </c>
      <c r="AJ9" s="86">
        <f>AVERAGEIFS($J$2:J9, $B$2:B9, B9)</f>
        <v>0.69</v>
      </c>
      <c r="AK9" s="86">
        <f>AVERAGEIFS($D$2:D9, $B$2:B9, B9)</f>
        <v>1</v>
      </c>
    </row>
    <row r="10" spans="1:37" x14ac:dyDescent="0.25">
      <c r="A10" s="85">
        <v>46114</v>
      </c>
      <c r="B10" t="s">
        <v>53</v>
      </c>
      <c r="C10">
        <v>11</v>
      </c>
      <c r="D10">
        <v>1</v>
      </c>
      <c r="E10">
        <v>3</v>
      </c>
      <c r="F10">
        <v>3</v>
      </c>
      <c r="G10">
        <v>13</v>
      </c>
      <c r="H10">
        <v>9</v>
      </c>
      <c r="I10">
        <v>1</v>
      </c>
      <c r="J10">
        <v>0.69</v>
      </c>
      <c r="K10">
        <v>0</v>
      </c>
      <c r="L10">
        <v>1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1</v>
      </c>
      <c r="AE10">
        <v>0</v>
      </c>
      <c r="AF10">
        <v>0</v>
      </c>
      <c r="AG10">
        <v>1</v>
      </c>
      <c r="AH10" s="86">
        <f>AVERAGEIFS($C$2:C10, $B$2:B10, B10)</f>
        <v>11</v>
      </c>
      <c r="AI10" s="86">
        <f>AVERAGEIFS($I$2:I10, $B$2:B10, B10)</f>
        <v>1</v>
      </c>
      <c r="AJ10" s="86">
        <f>AVERAGEIFS($J$2:J10, $B$2:B10, B10)</f>
        <v>0.69</v>
      </c>
      <c r="AK10" s="86">
        <f>AVERAGEIFS($D$2:D10, $B$2:B10, B10)</f>
        <v>1</v>
      </c>
    </row>
    <row r="11" spans="1:37" x14ac:dyDescent="0.25">
      <c r="A11" s="85">
        <v>46114</v>
      </c>
      <c r="B11" t="s">
        <v>13</v>
      </c>
      <c r="C11">
        <v>14</v>
      </c>
      <c r="D11">
        <v>1</v>
      </c>
      <c r="E11">
        <v>3</v>
      </c>
      <c r="F11">
        <v>3</v>
      </c>
      <c r="G11">
        <v>13</v>
      </c>
      <c r="H11">
        <v>9</v>
      </c>
      <c r="I11">
        <v>1</v>
      </c>
      <c r="J11">
        <v>0.69</v>
      </c>
      <c r="K11">
        <v>0</v>
      </c>
      <c r="L11">
        <v>1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1</v>
      </c>
      <c r="AE11">
        <v>0</v>
      </c>
      <c r="AF11">
        <v>0</v>
      </c>
      <c r="AG11">
        <v>1</v>
      </c>
      <c r="AH11" s="86">
        <f>AVERAGEIFS($C$2:C11, $B$2:B11, B11)</f>
        <v>14</v>
      </c>
      <c r="AI11" s="86">
        <f>AVERAGEIFS($I$2:I11, $B$2:B11, B11)</f>
        <v>1</v>
      </c>
      <c r="AJ11" s="86">
        <f>AVERAGEIFS($J$2:J11, $B$2:B11, B11)</f>
        <v>0.69</v>
      </c>
      <c r="AK11" s="86">
        <f>AVERAGEIFS($D$2:D11, $B$2:B11, B11)</f>
        <v>1</v>
      </c>
    </row>
    <row r="12" spans="1:37" x14ac:dyDescent="0.25">
      <c r="A12" s="85">
        <v>46114</v>
      </c>
      <c r="B12" t="s">
        <v>40</v>
      </c>
      <c r="C12">
        <v>25</v>
      </c>
      <c r="D12">
        <v>1</v>
      </c>
      <c r="E12">
        <v>4</v>
      </c>
      <c r="F12">
        <v>3</v>
      </c>
      <c r="G12">
        <v>18</v>
      </c>
      <c r="H12">
        <v>10</v>
      </c>
      <c r="I12">
        <v>0.75</v>
      </c>
      <c r="J12">
        <v>0.56000000000000005</v>
      </c>
      <c r="K12">
        <v>0</v>
      </c>
      <c r="L12">
        <v>0</v>
      </c>
      <c r="M12">
        <v>1</v>
      </c>
      <c r="N12">
        <v>0</v>
      </c>
      <c r="O12">
        <v>0</v>
      </c>
      <c r="P12">
        <v>0</v>
      </c>
      <c r="Q12">
        <v>1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 s="86">
        <f>AVERAGEIFS($C$2:C12, $B$2:B12, B12)</f>
        <v>25</v>
      </c>
      <c r="AI12" s="86">
        <f>AVERAGEIFS($I$2:I12, $B$2:B12, B12)</f>
        <v>0.75</v>
      </c>
      <c r="AJ12" s="86">
        <f>AVERAGEIFS($J$2:J12, $B$2:B12, B12)</f>
        <v>0.56000000000000005</v>
      </c>
      <c r="AK12" s="86">
        <f>AVERAGEIFS($D$2:D12, $B$2:B12, B12)</f>
        <v>1</v>
      </c>
    </row>
    <row r="13" spans="1:37" x14ac:dyDescent="0.25">
      <c r="A13" s="85">
        <v>46114</v>
      </c>
      <c r="B13" t="s">
        <v>6</v>
      </c>
      <c r="C13">
        <v>22</v>
      </c>
      <c r="D13">
        <v>1</v>
      </c>
      <c r="E13">
        <v>4</v>
      </c>
      <c r="F13">
        <v>3</v>
      </c>
      <c r="G13">
        <v>18</v>
      </c>
      <c r="H13">
        <v>10</v>
      </c>
      <c r="I13">
        <v>0.75</v>
      </c>
      <c r="J13">
        <v>0.56000000000000005</v>
      </c>
      <c r="K13">
        <v>0</v>
      </c>
      <c r="L13">
        <v>0</v>
      </c>
      <c r="M13">
        <v>1</v>
      </c>
      <c r="N13">
        <v>0</v>
      </c>
      <c r="O13">
        <v>0</v>
      </c>
      <c r="P13">
        <v>0</v>
      </c>
      <c r="Q13">
        <v>1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 s="86">
        <f>AVERAGEIFS($C$2:C13, $B$2:B13, B13)</f>
        <v>22</v>
      </c>
      <c r="AI13" s="86">
        <f>AVERAGEIFS($I$2:I13, $B$2:B13, B13)</f>
        <v>0.75</v>
      </c>
      <c r="AJ13" s="86">
        <f>AVERAGEIFS($J$2:J13, $B$2:B13, B13)</f>
        <v>0.56000000000000005</v>
      </c>
      <c r="AK13" s="86">
        <f>AVERAGEIFS($D$2:D13, $B$2:B13, B13)</f>
        <v>1</v>
      </c>
    </row>
    <row r="14" spans="1:37" x14ac:dyDescent="0.25">
      <c r="A14" s="85">
        <v>46114</v>
      </c>
      <c r="B14" t="s">
        <v>17</v>
      </c>
      <c r="C14">
        <v>19</v>
      </c>
      <c r="D14">
        <v>1</v>
      </c>
      <c r="E14">
        <v>4</v>
      </c>
      <c r="F14">
        <v>3</v>
      </c>
      <c r="G14">
        <v>18</v>
      </c>
      <c r="H14">
        <v>10</v>
      </c>
      <c r="I14">
        <v>0.75</v>
      </c>
      <c r="J14">
        <v>0.56000000000000005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 s="86">
        <f>AVERAGEIFS($C$2:C14, $B$2:B14, B14)</f>
        <v>19</v>
      </c>
      <c r="AI14" s="86">
        <f>AVERAGEIFS($I$2:I14, $B$2:B14, B14)</f>
        <v>0.75</v>
      </c>
      <c r="AJ14" s="86">
        <f>AVERAGEIFS($J$2:J14, $B$2:B14, B14)</f>
        <v>0.56000000000000005</v>
      </c>
      <c r="AK14" s="86">
        <f>AVERAGEIFS($D$2:D14, $B$2:B14, B14)</f>
        <v>1</v>
      </c>
    </row>
    <row r="15" spans="1:37" x14ac:dyDescent="0.25">
      <c r="A15" s="85">
        <v>46114</v>
      </c>
      <c r="B15" t="s">
        <v>44</v>
      </c>
      <c r="C15">
        <v>18</v>
      </c>
      <c r="D15">
        <v>1</v>
      </c>
      <c r="E15">
        <v>4</v>
      </c>
      <c r="F15">
        <v>3</v>
      </c>
      <c r="G15">
        <v>18</v>
      </c>
      <c r="H15">
        <v>10</v>
      </c>
      <c r="I15">
        <v>0.75</v>
      </c>
      <c r="J15">
        <v>0.56000000000000005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 s="86">
        <f>AVERAGEIFS($C$2:C15, $B$2:B15, B15)</f>
        <v>18</v>
      </c>
      <c r="AI15" s="86">
        <f>AVERAGEIFS($I$2:I15, $B$2:B15, B15)</f>
        <v>0.75</v>
      </c>
      <c r="AJ15" s="86">
        <f>AVERAGEIFS($J$2:J15, $B$2:B15, B15)</f>
        <v>0.56000000000000005</v>
      </c>
      <c r="AK15" s="86">
        <f>AVERAGEIFS($D$2:D15, $B$2:B15, B15)</f>
        <v>1</v>
      </c>
    </row>
    <row r="16" spans="1:37" x14ac:dyDescent="0.25">
      <c r="A16" s="85">
        <v>46114</v>
      </c>
      <c r="B16" t="s">
        <v>37</v>
      </c>
      <c r="C16">
        <v>14</v>
      </c>
      <c r="D16">
        <v>1</v>
      </c>
      <c r="E16">
        <v>4</v>
      </c>
      <c r="F16">
        <v>3</v>
      </c>
      <c r="G16">
        <v>18</v>
      </c>
      <c r="H16">
        <v>10</v>
      </c>
      <c r="I16">
        <v>0.75</v>
      </c>
      <c r="J16">
        <v>0.56000000000000005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 s="86">
        <f>AVERAGEIFS($C$2:C16, $B$2:B16, B16)</f>
        <v>14</v>
      </c>
      <c r="AI16" s="86">
        <f>AVERAGEIFS($I$2:I16, $B$2:B16, B16)</f>
        <v>0.75</v>
      </c>
      <c r="AJ16" s="86">
        <f>AVERAGEIFS($J$2:J16, $B$2:B16, B16)</f>
        <v>0.56000000000000005</v>
      </c>
      <c r="AK16" s="86">
        <f>AVERAGEIFS($D$2:D16, $B$2:B16, B16)</f>
        <v>1</v>
      </c>
    </row>
    <row r="17" spans="1:37" x14ac:dyDescent="0.25">
      <c r="A17" s="85">
        <v>46114</v>
      </c>
      <c r="B17" t="s">
        <v>2</v>
      </c>
      <c r="C17">
        <v>33</v>
      </c>
      <c r="D17">
        <v>0</v>
      </c>
      <c r="E17">
        <v>4</v>
      </c>
      <c r="F17">
        <v>1</v>
      </c>
      <c r="G17">
        <v>18</v>
      </c>
      <c r="H17">
        <v>8</v>
      </c>
      <c r="I17">
        <v>0.25</v>
      </c>
      <c r="J17">
        <v>0.44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1</v>
      </c>
      <c r="AD17">
        <v>0</v>
      </c>
      <c r="AE17">
        <v>0</v>
      </c>
      <c r="AF17">
        <v>0</v>
      </c>
      <c r="AG17">
        <v>0</v>
      </c>
      <c r="AH17" s="86">
        <f>AVERAGEIFS($C$2:C17, $B$2:B17, B17)</f>
        <v>33</v>
      </c>
      <c r="AI17" s="86">
        <f>AVERAGEIFS($I$2:I17, $B$2:B17, B17)</f>
        <v>0.25</v>
      </c>
      <c r="AJ17" s="86">
        <f>AVERAGEIFS($J$2:J17, $B$2:B17, B17)</f>
        <v>0.44</v>
      </c>
      <c r="AK17" s="86">
        <f>AVERAGEIFS($D$2:D17, $B$2:B17, B17)</f>
        <v>0</v>
      </c>
    </row>
    <row r="18" spans="1:37" x14ac:dyDescent="0.25">
      <c r="A18" s="85">
        <v>46114</v>
      </c>
      <c r="B18" t="s">
        <v>42</v>
      </c>
      <c r="C18">
        <v>25</v>
      </c>
      <c r="D18">
        <v>0</v>
      </c>
      <c r="E18">
        <v>4</v>
      </c>
      <c r="F18">
        <v>1</v>
      </c>
      <c r="G18">
        <v>18</v>
      </c>
      <c r="H18">
        <v>8</v>
      </c>
      <c r="I18">
        <v>0.25</v>
      </c>
      <c r="J18">
        <v>0.44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1</v>
      </c>
      <c r="AD18">
        <v>0</v>
      </c>
      <c r="AE18">
        <v>0</v>
      </c>
      <c r="AF18">
        <v>0</v>
      </c>
      <c r="AG18">
        <v>0</v>
      </c>
      <c r="AH18" s="86">
        <f>AVERAGEIFS($C$2:C18, $B$2:B18, B18)</f>
        <v>25</v>
      </c>
      <c r="AI18" s="86">
        <f>AVERAGEIFS($I$2:I18, $B$2:B18, B18)</f>
        <v>0.25</v>
      </c>
      <c r="AJ18" s="86">
        <f>AVERAGEIFS($J$2:J18, $B$2:B18, B18)</f>
        <v>0.44</v>
      </c>
      <c r="AK18" s="86">
        <f>AVERAGEIFS($D$2:D18, $B$2:B18, B18)</f>
        <v>0</v>
      </c>
    </row>
    <row r="19" spans="1:37" x14ac:dyDescent="0.25">
      <c r="A19" s="85">
        <v>46114</v>
      </c>
      <c r="B19" t="s">
        <v>147</v>
      </c>
      <c r="C19">
        <v>15</v>
      </c>
      <c r="D19">
        <v>0</v>
      </c>
      <c r="E19">
        <v>4</v>
      </c>
      <c r="F19">
        <v>1</v>
      </c>
      <c r="G19">
        <v>18</v>
      </c>
      <c r="H19">
        <v>8</v>
      </c>
      <c r="I19">
        <v>0.25</v>
      </c>
      <c r="J19">
        <v>0.44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1</v>
      </c>
      <c r="AD19">
        <v>0</v>
      </c>
      <c r="AE19">
        <v>0</v>
      </c>
      <c r="AF19">
        <v>0</v>
      </c>
      <c r="AG19">
        <v>0</v>
      </c>
      <c r="AH19" s="86">
        <f>AVERAGEIFS($C$2:C19, $B$2:B19, B19)</f>
        <v>15</v>
      </c>
      <c r="AI19" s="86">
        <f>AVERAGEIFS($I$2:I19, $B$2:B19, B19)</f>
        <v>0.25</v>
      </c>
      <c r="AJ19" s="86">
        <f>AVERAGEIFS($J$2:J19, $B$2:B19, B19)</f>
        <v>0.44</v>
      </c>
      <c r="AK19" s="86">
        <f>AVERAGEIFS($D$2:D19, $B$2:B19, B19)</f>
        <v>0</v>
      </c>
    </row>
    <row r="20" spans="1:37" x14ac:dyDescent="0.25">
      <c r="A20" s="85">
        <v>46114</v>
      </c>
      <c r="B20" t="s">
        <v>14</v>
      </c>
      <c r="C20">
        <v>10</v>
      </c>
      <c r="D20">
        <v>0</v>
      </c>
      <c r="E20">
        <v>4</v>
      </c>
      <c r="F20">
        <v>1</v>
      </c>
      <c r="G20">
        <v>18</v>
      </c>
      <c r="H20">
        <v>8</v>
      </c>
      <c r="I20">
        <v>0.25</v>
      </c>
      <c r="J20">
        <v>0.44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1</v>
      </c>
      <c r="AD20">
        <v>0</v>
      </c>
      <c r="AE20">
        <v>0</v>
      </c>
      <c r="AF20">
        <v>0</v>
      </c>
      <c r="AG20">
        <v>0</v>
      </c>
      <c r="AH20" s="86">
        <f>AVERAGEIFS($C$2:C20, $B$2:B20, B20)</f>
        <v>10</v>
      </c>
      <c r="AI20" s="86">
        <f>AVERAGEIFS($I$2:I20, $B$2:B20, B20)</f>
        <v>0.25</v>
      </c>
      <c r="AJ20" s="86">
        <f>AVERAGEIFS($J$2:J20, $B$2:B20, B20)</f>
        <v>0.44</v>
      </c>
      <c r="AK20" s="86">
        <f>AVERAGEIFS($D$2:D20, $B$2:B20, B20)</f>
        <v>0</v>
      </c>
    </row>
    <row r="21" spans="1:37" x14ac:dyDescent="0.25">
      <c r="A21" s="85">
        <v>46114</v>
      </c>
      <c r="B21" t="s">
        <v>71</v>
      </c>
      <c r="C21">
        <v>9</v>
      </c>
      <c r="D21">
        <v>0</v>
      </c>
      <c r="E21">
        <v>4</v>
      </c>
      <c r="F21">
        <v>1</v>
      </c>
      <c r="G21">
        <v>18</v>
      </c>
      <c r="H21">
        <v>8</v>
      </c>
      <c r="I21">
        <v>0.25</v>
      </c>
      <c r="J21">
        <v>0.44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1</v>
      </c>
      <c r="AD21">
        <v>0</v>
      </c>
      <c r="AE21">
        <v>0</v>
      </c>
      <c r="AF21">
        <v>0</v>
      </c>
      <c r="AG21">
        <v>0</v>
      </c>
      <c r="AH21" s="86">
        <f>AVERAGEIFS($C$2:C21, $B$2:B21, B21)</f>
        <v>9</v>
      </c>
      <c r="AI21" s="86">
        <f>AVERAGEIFS($I$2:I21, $B$2:B21, B21)</f>
        <v>0.25</v>
      </c>
      <c r="AJ21" s="86">
        <f>AVERAGEIFS($J$2:J21, $B$2:B21, B21)</f>
        <v>0.44</v>
      </c>
      <c r="AK21" s="86">
        <f>AVERAGEIFS($D$2:D21, $B$2:B21, B21)</f>
        <v>0</v>
      </c>
    </row>
    <row r="22" spans="1:37" x14ac:dyDescent="0.25">
      <c r="A22" s="85">
        <v>46115</v>
      </c>
      <c r="B22" t="s">
        <v>150</v>
      </c>
      <c r="C22">
        <v>21</v>
      </c>
      <c r="D22">
        <v>1</v>
      </c>
      <c r="E22">
        <v>4</v>
      </c>
      <c r="F22">
        <v>3</v>
      </c>
      <c r="G22">
        <v>18</v>
      </c>
      <c r="H22">
        <v>11</v>
      </c>
      <c r="I22">
        <v>0.75</v>
      </c>
      <c r="J22">
        <v>0.61</v>
      </c>
      <c r="K22">
        <v>0</v>
      </c>
      <c r="L22">
        <v>0</v>
      </c>
      <c r="M22">
        <v>1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1</v>
      </c>
      <c r="AD22">
        <v>0</v>
      </c>
      <c r="AE22">
        <v>1</v>
      </c>
      <c r="AF22">
        <v>0</v>
      </c>
      <c r="AG22">
        <v>0</v>
      </c>
      <c r="AH22" s="86">
        <f>AVERAGEIFS($C$2:C22, $B$2:B22, B22)</f>
        <v>21</v>
      </c>
      <c r="AI22" s="86">
        <f>AVERAGEIFS($I$2:I22, $B$2:B22, B22)</f>
        <v>0.75</v>
      </c>
      <c r="AJ22" s="86">
        <f>AVERAGEIFS($J$2:J22, $B$2:B22, B22)</f>
        <v>0.61</v>
      </c>
      <c r="AK22" s="86">
        <f>AVERAGEIFS($D$2:D22, $B$2:B22, B22)</f>
        <v>1</v>
      </c>
    </row>
    <row r="23" spans="1:37" x14ac:dyDescent="0.25">
      <c r="A23" s="85">
        <v>46115</v>
      </c>
      <c r="B23" t="s">
        <v>17</v>
      </c>
      <c r="C23">
        <v>19</v>
      </c>
      <c r="D23">
        <v>1</v>
      </c>
      <c r="E23">
        <v>4</v>
      </c>
      <c r="F23">
        <v>3</v>
      </c>
      <c r="G23">
        <v>18</v>
      </c>
      <c r="H23">
        <v>11</v>
      </c>
      <c r="I23">
        <v>0.75</v>
      </c>
      <c r="J23">
        <v>0.61</v>
      </c>
      <c r="K23">
        <v>0</v>
      </c>
      <c r="L23">
        <v>0</v>
      </c>
      <c r="M23">
        <v>1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1</v>
      </c>
      <c r="AD23">
        <v>0</v>
      </c>
      <c r="AE23">
        <v>1</v>
      </c>
      <c r="AF23">
        <v>0</v>
      </c>
      <c r="AG23">
        <v>0</v>
      </c>
      <c r="AH23" s="86">
        <f>AVERAGEIFS($C$2:C23, $B$2:B23, B23)</f>
        <v>19</v>
      </c>
      <c r="AI23" s="86">
        <f>AVERAGEIFS($I$2:I23, $B$2:B23, B23)</f>
        <v>0.75</v>
      </c>
      <c r="AJ23" s="86">
        <f>AVERAGEIFS($J$2:J23, $B$2:B23, B23)</f>
        <v>0.58499999999999996</v>
      </c>
      <c r="AK23" s="86">
        <f>AVERAGEIFS($D$2:D23, $B$2:B23, B23)</f>
        <v>1</v>
      </c>
    </row>
    <row r="24" spans="1:37" x14ac:dyDescent="0.25">
      <c r="A24" s="85">
        <v>46115</v>
      </c>
      <c r="B24" t="s">
        <v>107</v>
      </c>
      <c r="C24">
        <v>19</v>
      </c>
      <c r="D24">
        <v>1</v>
      </c>
      <c r="E24">
        <v>4</v>
      </c>
      <c r="F24">
        <v>3</v>
      </c>
      <c r="G24">
        <v>18</v>
      </c>
      <c r="H24">
        <v>11</v>
      </c>
      <c r="I24">
        <v>0.75</v>
      </c>
      <c r="J24">
        <v>0.61</v>
      </c>
      <c r="K24">
        <v>0</v>
      </c>
      <c r="L24">
        <v>0</v>
      </c>
      <c r="M24">
        <v>1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1</v>
      </c>
      <c r="AD24">
        <v>0</v>
      </c>
      <c r="AE24">
        <v>1</v>
      </c>
      <c r="AF24">
        <v>0</v>
      </c>
      <c r="AG24">
        <v>0</v>
      </c>
      <c r="AH24" s="86">
        <f>AVERAGEIFS($C$2:C24, $B$2:B24, B24)</f>
        <v>13</v>
      </c>
      <c r="AI24" s="86">
        <f>AVERAGEIFS($I$2:I24, $B$2:B24, B24)</f>
        <v>0.375</v>
      </c>
      <c r="AJ24" s="86">
        <f>AVERAGEIFS($J$2:J24, $B$2:B24, B24)</f>
        <v>0.45999999999999996</v>
      </c>
      <c r="AK24" s="86">
        <f>AVERAGEIFS($D$2:D24, $B$2:B24, B24)</f>
        <v>0.5</v>
      </c>
    </row>
    <row r="25" spans="1:37" x14ac:dyDescent="0.25">
      <c r="A25" s="85">
        <v>46115</v>
      </c>
      <c r="B25" t="s">
        <v>6</v>
      </c>
      <c r="C25">
        <v>17</v>
      </c>
      <c r="D25">
        <v>1</v>
      </c>
      <c r="E25">
        <v>4</v>
      </c>
      <c r="F25">
        <v>3</v>
      </c>
      <c r="G25">
        <v>18</v>
      </c>
      <c r="H25">
        <v>11</v>
      </c>
      <c r="I25">
        <v>0.75</v>
      </c>
      <c r="J25">
        <v>0.61</v>
      </c>
      <c r="K25">
        <v>0</v>
      </c>
      <c r="L25">
        <v>0</v>
      </c>
      <c r="M25">
        <v>1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1</v>
      </c>
      <c r="AD25">
        <v>0</v>
      </c>
      <c r="AE25">
        <v>1</v>
      </c>
      <c r="AF25">
        <v>0</v>
      </c>
      <c r="AG25">
        <v>0</v>
      </c>
      <c r="AH25" s="86">
        <f>AVERAGEIFS($C$2:C25, $B$2:B25, B25)</f>
        <v>19.5</v>
      </c>
      <c r="AI25" s="86">
        <f>AVERAGEIFS($I$2:I25, $B$2:B25, B25)</f>
        <v>0.75</v>
      </c>
      <c r="AJ25" s="86">
        <f>AVERAGEIFS($J$2:J25, $B$2:B25, B25)</f>
        <v>0.58499999999999996</v>
      </c>
      <c r="AK25" s="86">
        <f>AVERAGEIFS($D$2:D25, $B$2:B25, B25)</f>
        <v>1</v>
      </c>
    </row>
    <row r="26" spans="1:37" x14ac:dyDescent="0.25">
      <c r="A26" s="85">
        <v>46115</v>
      </c>
      <c r="B26" t="s">
        <v>40</v>
      </c>
      <c r="C26">
        <v>17</v>
      </c>
      <c r="D26">
        <v>1</v>
      </c>
      <c r="E26">
        <v>4</v>
      </c>
      <c r="F26">
        <v>3</v>
      </c>
      <c r="G26">
        <v>18</v>
      </c>
      <c r="H26">
        <v>11</v>
      </c>
      <c r="I26">
        <v>0.75</v>
      </c>
      <c r="J26">
        <v>0.61</v>
      </c>
      <c r="K26">
        <v>0</v>
      </c>
      <c r="L26">
        <v>0</v>
      </c>
      <c r="M26">
        <v>1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1</v>
      </c>
      <c r="AD26">
        <v>0</v>
      </c>
      <c r="AE26">
        <v>1</v>
      </c>
      <c r="AF26">
        <v>0</v>
      </c>
      <c r="AG26">
        <v>0</v>
      </c>
      <c r="AH26" s="86">
        <f>AVERAGEIFS($C$2:C26, $B$2:B26, B26)</f>
        <v>21</v>
      </c>
      <c r="AI26" s="86">
        <f>AVERAGEIFS($I$2:I26, $B$2:B26, B26)</f>
        <v>0.75</v>
      </c>
      <c r="AJ26" s="86">
        <f>AVERAGEIFS($J$2:J26, $B$2:B26, B26)</f>
        <v>0.58499999999999996</v>
      </c>
      <c r="AK26" s="86">
        <f>AVERAGEIFS($D$2:D26, $B$2:B26, B26)</f>
        <v>1</v>
      </c>
    </row>
    <row r="27" spans="1:37" x14ac:dyDescent="0.25">
      <c r="A27" s="85">
        <v>46115</v>
      </c>
      <c r="B27" t="s">
        <v>140</v>
      </c>
      <c r="C27">
        <v>15</v>
      </c>
      <c r="D27">
        <v>1</v>
      </c>
      <c r="E27">
        <v>4</v>
      </c>
      <c r="F27">
        <v>3</v>
      </c>
      <c r="G27">
        <v>18</v>
      </c>
      <c r="H27">
        <v>11</v>
      </c>
      <c r="I27">
        <v>0.75</v>
      </c>
      <c r="J27">
        <v>0.61</v>
      </c>
      <c r="K27">
        <v>0</v>
      </c>
      <c r="L27">
        <v>0</v>
      </c>
      <c r="M27">
        <v>1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1</v>
      </c>
      <c r="AD27">
        <v>0</v>
      </c>
      <c r="AE27">
        <v>1</v>
      </c>
      <c r="AF27">
        <v>0</v>
      </c>
      <c r="AG27">
        <v>0</v>
      </c>
      <c r="AH27" s="86">
        <f>AVERAGEIFS($C$2:C27, $B$2:B27, B27)</f>
        <v>12</v>
      </c>
      <c r="AI27" s="86">
        <f>AVERAGEIFS($I$2:I27, $B$2:B27, B27)</f>
        <v>0.375</v>
      </c>
      <c r="AJ27" s="86">
        <f>AVERAGEIFS($J$2:J27, $B$2:B27, B27)</f>
        <v>0.45999999999999996</v>
      </c>
      <c r="AK27" s="86">
        <f>AVERAGEIFS($D$2:D27, $B$2:B27, B27)</f>
        <v>0.5</v>
      </c>
    </row>
    <row r="28" spans="1:37" x14ac:dyDescent="0.25">
      <c r="A28" s="85">
        <v>46115</v>
      </c>
      <c r="B28" t="s">
        <v>1</v>
      </c>
      <c r="C28">
        <v>24</v>
      </c>
      <c r="D28">
        <v>0</v>
      </c>
      <c r="E28">
        <v>4</v>
      </c>
      <c r="F28">
        <v>1</v>
      </c>
      <c r="G28">
        <v>18</v>
      </c>
      <c r="H28">
        <v>7</v>
      </c>
      <c r="I28">
        <v>0.25</v>
      </c>
      <c r="J28">
        <v>0.39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1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 s="86">
        <f>AVERAGEIFS($C$2:C28, $B$2:B28, B28)</f>
        <v>23</v>
      </c>
      <c r="AI28" s="86">
        <f>AVERAGEIFS($I$2:I28, $B$2:B28, B28)</f>
        <v>0.125</v>
      </c>
      <c r="AJ28" s="86">
        <f>AVERAGEIFS($J$2:J28, $B$2:B28, B28)</f>
        <v>0.35</v>
      </c>
      <c r="AK28" s="86">
        <f>AVERAGEIFS($D$2:D28, $B$2:B28, B28)</f>
        <v>0</v>
      </c>
    </row>
    <row r="29" spans="1:37" x14ac:dyDescent="0.25">
      <c r="A29" s="85">
        <v>46115</v>
      </c>
      <c r="B29" t="s">
        <v>44</v>
      </c>
      <c r="C29">
        <v>20</v>
      </c>
      <c r="D29">
        <v>0</v>
      </c>
      <c r="E29">
        <v>4</v>
      </c>
      <c r="F29">
        <v>1</v>
      </c>
      <c r="G29">
        <v>18</v>
      </c>
      <c r="H29">
        <v>7</v>
      </c>
      <c r="I29">
        <v>0.25</v>
      </c>
      <c r="J29">
        <v>0.39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1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 s="86">
        <f>AVERAGEIFS($C$2:C29, $B$2:B29, B29)</f>
        <v>19</v>
      </c>
      <c r="AI29" s="86">
        <f>AVERAGEIFS($I$2:I29, $B$2:B29, B29)</f>
        <v>0.5</v>
      </c>
      <c r="AJ29" s="86">
        <f>AVERAGEIFS($J$2:J29, $B$2:B29, B29)</f>
        <v>0.47500000000000003</v>
      </c>
      <c r="AK29" s="86">
        <f>AVERAGEIFS($D$2:D29, $B$2:B29, B29)</f>
        <v>0.5</v>
      </c>
    </row>
    <row r="30" spans="1:37" x14ac:dyDescent="0.25">
      <c r="A30" s="85">
        <v>46115</v>
      </c>
      <c r="B30" t="s">
        <v>13</v>
      </c>
      <c r="C30">
        <v>20</v>
      </c>
      <c r="D30">
        <v>0</v>
      </c>
      <c r="E30">
        <v>4</v>
      </c>
      <c r="F30">
        <v>1</v>
      </c>
      <c r="G30">
        <v>18</v>
      </c>
      <c r="H30">
        <v>7</v>
      </c>
      <c r="I30">
        <v>0.25</v>
      </c>
      <c r="J30">
        <v>0.39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1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 s="86">
        <f>AVERAGEIFS($C$2:C30, $B$2:B30, B30)</f>
        <v>17</v>
      </c>
      <c r="AI30" s="86">
        <f>AVERAGEIFS($I$2:I30, $B$2:B30, B30)</f>
        <v>0.625</v>
      </c>
      <c r="AJ30" s="86">
        <f>AVERAGEIFS($J$2:J30, $B$2:B30, B30)</f>
        <v>0.54</v>
      </c>
      <c r="AK30" s="86">
        <f>AVERAGEIFS($D$2:D30, $B$2:B30, B30)</f>
        <v>0.5</v>
      </c>
    </row>
    <row r="31" spans="1:37" x14ac:dyDescent="0.25">
      <c r="A31" s="85">
        <v>46115</v>
      </c>
      <c r="B31" t="s">
        <v>50</v>
      </c>
      <c r="C31">
        <v>14</v>
      </c>
      <c r="D31">
        <v>0</v>
      </c>
      <c r="E31">
        <v>4</v>
      </c>
      <c r="F31">
        <v>1</v>
      </c>
      <c r="G31">
        <v>18</v>
      </c>
      <c r="H31">
        <v>7</v>
      </c>
      <c r="I31">
        <v>0.25</v>
      </c>
      <c r="J31">
        <v>0.39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1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 s="86">
        <f>AVERAGEIFS($C$2:C31, $B$2:B31, B31)</f>
        <v>14</v>
      </c>
      <c r="AI31" s="86">
        <f>AVERAGEIFS($I$2:I31, $B$2:B31, B31)</f>
        <v>0.25</v>
      </c>
      <c r="AJ31" s="86">
        <f>AVERAGEIFS($J$2:J31, $B$2:B31, B31)</f>
        <v>0.39</v>
      </c>
      <c r="AK31" s="86">
        <f>AVERAGEIFS($D$2:D31, $B$2:B31, B31)</f>
        <v>0</v>
      </c>
    </row>
    <row r="32" spans="1:37" x14ac:dyDescent="0.25">
      <c r="A32" s="85">
        <v>46115</v>
      </c>
      <c r="B32" t="s">
        <v>71</v>
      </c>
      <c r="C32">
        <v>8</v>
      </c>
      <c r="D32">
        <v>0</v>
      </c>
      <c r="E32">
        <v>4</v>
      </c>
      <c r="F32">
        <v>1</v>
      </c>
      <c r="G32">
        <v>18</v>
      </c>
      <c r="H32">
        <v>7</v>
      </c>
      <c r="I32">
        <v>0.25</v>
      </c>
      <c r="J32">
        <v>0.39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1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 s="86">
        <f>AVERAGEIFS($C$2:C32, $B$2:B32, B32)</f>
        <v>8.5</v>
      </c>
      <c r="AI32" s="86">
        <f>AVERAGEIFS($I$2:I32, $B$2:B32, B32)</f>
        <v>0.25</v>
      </c>
      <c r="AJ32" s="86">
        <f>AVERAGEIFS($J$2:J32, $B$2:B32, B32)</f>
        <v>0.41500000000000004</v>
      </c>
      <c r="AK32" s="86">
        <f>AVERAGEIFS($D$2:D32, $B$2:B32, B32)</f>
        <v>0</v>
      </c>
    </row>
    <row r="33" spans="1:37" x14ac:dyDescent="0.25">
      <c r="A33" s="85">
        <v>46115</v>
      </c>
      <c r="B33" t="s">
        <v>46</v>
      </c>
      <c r="C33">
        <v>7</v>
      </c>
      <c r="D33">
        <v>0</v>
      </c>
      <c r="E33">
        <v>4</v>
      </c>
      <c r="F33">
        <v>1</v>
      </c>
      <c r="G33">
        <v>18</v>
      </c>
      <c r="H33">
        <v>7</v>
      </c>
      <c r="I33">
        <v>0.25</v>
      </c>
      <c r="J33">
        <v>0.39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1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 s="86">
        <f>AVERAGEIFS($C$2:C33, $B$2:B33, B33)</f>
        <v>6</v>
      </c>
      <c r="AI33" s="86">
        <f>AVERAGEIFS($I$2:I33, $B$2:B33, B33)</f>
        <v>0.125</v>
      </c>
      <c r="AJ33" s="86">
        <f>AVERAGEIFS($J$2:J33, $B$2:B33, B33)</f>
        <v>0.35</v>
      </c>
      <c r="AK33" s="86">
        <f>AVERAGEIFS($D$2:D33, $B$2:B33, B33)</f>
        <v>0</v>
      </c>
    </row>
    <row r="34" spans="1:37" x14ac:dyDescent="0.25">
      <c r="A34" s="85">
        <v>46115</v>
      </c>
      <c r="B34" t="s">
        <v>35</v>
      </c>
      <c r="C34">
        <v>3</v>
      </c>
      <c r="D34">
        <v>0</v>
      </c>
      <c r="E34">
        <v>4</v>
      </c>
      <c r="F34">
        <v>1</v>
      </c>
      <c r="G34">
        <v>18</v>
      </c>
      <c r="H34">
        <v>7</v>
      </c>
      <c r="I34">
        <v>0.25</v>
      </c>
      <c r="J34">
        <v>0.39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1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 s="86">
        <f>AVERAGEIFS($C$2:C34, $B$2:B34, B34)</f>
        <v>3</v>
      </c>
      <c r="AI34" s="86">
        <f>AVERAGEIFS($I$2:I34, $B$2:B34, B34)</f>
        <v>0.25</v>
      </c>
      <c r="AJ34" s="86">
        <f>AVERAGEIFS($J$2:J34, $B$2:B34, B34)</f>
        <v>0.39</v>
      </c>
      <c r="AK34" s="86">
        <f>AVERAGEIFS($D$2:D34, $B$2:B34, B34)</f>
        <v>0</v>
      </c>
    </row>
    <row r="35" spans="1:37" x14ac:dyDescent="0.25">
      <c r="A35" s="85">
        <v>46118</v>
      </c>
      <c r="B35" t="s">
        <v>6</v>
      </c>
      <c r="C35">
        <v>27</v>
      </c>
      <c r="D35">
        <v>1</v>
      </c>
      <c r="E35">
        <v>5</v>
      </c>
      <c r="F35">
        <v>3</v>
      </c>
      <c r="G35">
        <v>20</v>
      </c>
      <c r="H35">
        <v>12</v>
      </c>
      <c r="I35">
        <v>0.6</v>
      </c>
      <c r="J35">
        <v>0.6</v>
      </c>
      <c r="K35">
        <v>0</v>
      </c>
      <c r="L35">
        <v>1</v>
      </c>
      <c r="M35">
        <v>0</v>
      </c>
      <c r="N35">
        <v>1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1</v>
      </c>
      <c r="AE35">
        <v>0</v>
      </c>
      <c r="AF35">
        <v>0</v>
      </c>
      <c r="AG35">
        <v>0</v>
      </c>
      <c r="AH35" s="86">
        <f>AVERAGEIFS($C$2:C35, $B$2:B35, B35)</f>
        <v>22</v>
      </c>
      <c r="AI35" s="86">
        <f>AVERAGEIFS($I$2:I35, $B$2:B35, B35)</f>
        <v>0.70000000000000007</v>
      </c>
      <c r="AJ35" s="86">
        <f>AVERAGEIFS($J$2:J35, $B$2:B35, B35)</f>
        <v>0.59</v>
      </c>
      <c r="AK35" s="86">
        <f>AVERAGEIFS($D$2:D35, $B$2:B35, B35)</f>
        <v>1</v>
      </c>
    </row>
    <row r="36" spans="1:37" x14ac:dyDescent="0.25">
      <c r="A36" s="85">
        <v>46118</v>
      </c>
      <c r="B36" t="s">
        <v>40</v>
      </c>
      <c r="C36">
        <v>14</v>
      </c>
      <c r="D36">
        <v>1</v>
      </c>
      <c r="E36">
        <v>5</v>
      </c>
      <c r="F36">
        <v>3</v>
      </c>
      <c r="G36">
        <v>20</v>
      </c>
      <c r="H36">
        <v>12</v>
      </c>
      <c r="I36">
        <v>0.6</v>
      </c>
      <c r="J36">
        <v>0.6</v>
      </c>
      <c r="K36">
        <v>0</v>
      </c>
      <c r="L36">
        <v>1</v>
      </c>
      <c r="M36">
        <v>0</v>
      </c>
      <c r="N36">
        <v>1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1</v>
      </c>
      <c r="AE36">
        <v>0</v>
      </c>
      <c r="AF36">
        <v>0</v>
      </c>
      <c r="AG36">
        <v>0</v>
      </c>
      <c r="AH36" s="86">
        <f>AVERAGEIFS($C$2:C36, $B$2:B36, B36)</f>
        <v>18.666666666666668</v>
      </c>
      <c r="AI36" s="86">
        <f>AVERAGEIFS($I$2:I36, $B$2:B36, B36)</f>
        <v>0.70000000000000007</v>
      </c>
      <c r="AJ36" s="86">
        <f>AVERAGEIFS($J$2:J36, $B$2:B36, B36)</f>
        <v>0.59</v>
      </c>
      <c r="AK36" s="86">
        <f>AVERAGEIFS($D$2:D36, $B$2:B36, B36)</f>
        <v>1</v>
      </c>
    </row>
    <row r="37" spans="1:37" x14ac:dyDescent="0.25">
      <c r="A37" s="85">
        <v>46118</v>
      </c>
      <c r="B37" t="s">
        <v>113</v>
      </c>
      <c r="C37">
        <v>21</v>
      </c>
      <c r="D37">
        <v>1</v>
      </c>
      <c r="E37">
        <v>5</v>
      </c>
      <c r="F37">
        <v>3</v>
      </c>
      <c r="G37">
        <v>20</v>
      </c>
      <c r="H37">
        <v>12</v>
      </c>
      <c r="I37">
        <v>0.6</v>
      </c>
      <c r="J37">
        <v>0.6</v>
      </c>
      <c r="K37">
        <v>0</v>
      </c>
      <c r="L37">
        <v>1</v>
      </c>
      <c r="M37">
        <v>0</v>
      </c>
      <c r="N37">
        <v>1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1</v>
      </c>
      <c r="AE37">
        <v>0</v>
      </c>
      <c r="AF37">
        <v>0</v>
      </c>
      <c r="AG37">
        <v>0</v>
      </c>
      <c r="AH37" s="86">
        <f>AVERAGEIFS($C$2:C37, $B$2:B37, B37)</f>
        <v>16</v>
      </c>
      <c r="AI37" s="86">
        <f>AVERAGEIFS($I$2:I37, $B$2:B37, B37)</f>
        <v>0.8</v>
      </c>
      <c r="AJ37" s="86">
        <f>AVERAGEIFS($J$2:J37, $B$2:B37, B37)</f>
        <v>0.64500000000000002</v>
      </c>
      <c r="AK37" s="86">
        <f>AVERAGEIFS($D$2:D37, $B$2:B37, B37)</f>
        <v>1</v>
      </c>
    </row>
    <row r="38" spans="1:37" x14ac:dyDescent="0.25">
      <c r="A38" s="85">
        <v>46118</v>
      </c>
      <c r="B38" t="s">
        <v>4</v>
      </c>
      <c r="C38">
        <v>25</v>
      </c>
      <c r="D38">
        <v>1</v>
      </c>
      <c r="E38">
        <v>5</v>
      </c>
      <c r="F38">
        <v>3</v>
      </c>
      <c r="G38">
        <v>20</v>
      </c>
      <c r="H38">
        <v>12</v>
      </c>
      <c r="I38">
        <v>0.6</v>
      </c>
      <c r="J38">
        <v>0.6</v>
      </c>
      <c r="K38">
        <v>0</v>
      </c>
      <c r="L38">
        <v>1</v>
      </c>
      <c r="M38">
        <v>0</v>
      </c>
      <c r="N38">
        <v>1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1</v>
      </c>
      <c r="AE38">
        <v>0</v>
      </c>
      <c r="AF38">
        <v>0</v>
      </c>
      <c r="AG38">
        <v>0</v>
      </c>
      <c r="AH38" s="86">
        <f>AVERAGEIFS($C$2:C38, $B$2:B38, B38)</f>
        <v>20.5</v>
      </c>
      <c r="AI38" s="86">
        <f>AVERAGEIFS($I$2:I38, $B$2:B38, B38)</f>
        <v>0.8</v>
      </c>
      <c r="AJ38" s="86">
        <f>AVERAGEIFS($J$2:J38, $B$2:B38, B38)</f>
        <v>0.64500000000000002</v>
      </c>
      <c r="AK38" s="86">
        <f>AVERAGEIFS($D$2:D38, $B$2:B38, B38)</f>
        <v>1</v>
      </c>
    </row>
    <row r="39" spans="1:37" x14ac:dyDescent="0.25">
      <c r="A39" s="85">
        <v>46118</v>
      </c>
      <c r="B39" t="s">
        <v>44</v>
      </c>
      <c r="C39">
        <v>17</v>
      </c>
      <c r="D39">
        <v>1</v>
      </c>
      <c r="E39">
        <v>5</v>
      </c>
      <c r="F39">
        <v>3</v>
      </c>
      <c r="G39">
        <v>20</v>
      </c>
      <c r="H39">
        <v>12</v>
      </c>
      <c r="I39">
        <v>0.6</v>
      </c>
      <c r="J39">
        <v>0.6</v>
      </c>
      <c r="K39">
        <v>0</v>
      </c>
      <c r="L39">
        <v>1</v>
      </c>
      <c r="M39">
        <v>0</v>
      </c>
      <c r="N39">
        <v>1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1</v>
      </c>
      <c r="AE39">
        <v>0</v>
      </c>
      <c r="AF39">
        <v>0</v>
      </c>
      <c r="AG39">
        <v>0</v>
      </c>
      <c r="AH39" s="86">
        <f>AVERAGEIFS($C$2:C39, $B$2:B39, B39)</f>
        <v>18.333333333333332</v>
      </c>
      <c r="AI39" s="86">
        <f>AVERAGEIFS($I$2:I39, $B$2:B39, B39)</f>
        <v>0.53333333333333333</v>
      </c>
      <c r="AJ39" s="86">
        <f>AVERAGEIFS($J$2:J39, $B$2:B39, B39)</f>
        <v>0.51666666666666672</v>
      </c>
      <c r="AK39" s="86">
        <f>AVERAGEIFS($D$2:D39, $B$2:B39, B39)</f>
        <v>0.66666666666666663</v>
      </c>
    </row>
    <row r="40" spans="1:37" x14ac:dyDescent="0.25">
      <c r="A40" s="85">
        <v>46118</v>
      </c>
      <c r="B40" t="s">
        <v>141</v>
      </c>
      <c r="C40">
        <v>14</v>
      </c>
      <c r="D40">
        <v>1</v>
      </c>
      <c r="E40">
        <v>5</v>
      </c>
      <c r="F40">
        <v>3</v>
      </c>
      <c r="G40">
        <v>20</v>
      </c>
      <c r="H40">
        <v>12</v>
      </c>
      <c r="I40">
        <v>0.6</v>
      </c>
      <c r="J40">
        <v>0.6</v>
      </c>
      <c r="K40">
        <v>0</v>
      </c>
      <c r="L40">
        <v>1</v>
      </c>
      <c r="M40">
        <v>0</v>
      </c>
      <c r="N40">
        <v>1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1</v>
      </c>
      <c r="AE40">
        <v>0</v>
      </c>
      <c r="AF40">
        <v>0</v>
      </c>
      <c r="AG40">
        <v>0</v>
      </c>
      <c r="AH40" s="86">
        <f>AVERAGEIFS($C$2:C40, $B$2:B40, B40)</f>
        <v>7.5</v>
      </c>
      <c r="AI40" s="86">
        <f>AVERAGEIFS($I$2:I40, $B$2:B40, B40)</f>
        <v>0.3</v>
      </c>
      <c r="AJ40" s="86">
        <f>AVERAGEIFS($J$2:J40, $B$2:B40, B40)</f>
        <v>0.45499999999999996</v>
      </c>
      <c r="AK40" s="86">
        <f>AVERAGEIFS($D$2:D40, $B$2:B40, B40)</f>
        <v>0.5</v>
      </c>
    </row>
    <row r="41" spans="1:37" x14ac:dyDescent="0.25">
      <c r="A41" s="85">
        <v>46118</v>
      </c>
      <c r="B41" t="s">
        <v>1</v>
      </c>
      <c r="C41">
        <v>22</v>
      </c>
      <c r="D41">
        <v>0</v>
      </c>
      <c r="E41">
        <v>5</v>
      </c>
      <c r="F41">
        <v>2</v>
      </c>
      <c r="G41">
        <v>20</v>
      </c>
      <c r="H41">
        <v>8</v>
      </c>
      <c r="I41">
        <v>0.4</v>
      </c>
      <c r="J41">
        <v>0.4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1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 s="86">
        <f>AVERAGEIFS($C$2:C41, $B$2:B41, B41)</f>
        <v>22.666666666666668</v>
      </c>
      <c r="AI41" s="86">
        <f>AVERAGEIFS($I$2:I41, $B$2:B41, B41)</f>
        <v>0.21666666666666667</v>
      </c>
      <c r="AJ41" s="86">
        <f>AVERAGEIFS($J$2:J41, $B$2:B41, B41)</f>
        <v>0.3666666666666667</v>
      </c>
      <c r="AK41" s="86">
        <f>AVERAGEIFS($D$2:D41, $B$2:B41, B41)</f>
        <v>0</v>
      </c>
    </row>
    <row r="42" spans="1:37" x14ac:dyDescent="0.25">
      <c r="A42" s="85">
        <v>46118</v>
      </c>
      <c r="B42" t="s">
        <v>107</v>
      </c>
      <c r="C42">
        <v>22</v>
      </c>
      <c r="D42">
        <v>0</v>
      </c>
      <c r="E42">
        <v>5</v>
      </c>
      <c r="F42">
        <v>2</v>
      </c>
      <c r="G42">
        <v>20</v>
      </c>
      <c r="H42">
        <v>8</v>
      </c>
      <c r="I42">
        <v>0.4</v>
      </c>
      <c r="J42">
        <v>0.4</v>
      </c>
      <c r="K42">
        <v>1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1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 s="86">
        <f>AVERAGEIFS($C$2:C42, $B$2:B42, B42)</f>
        <v>16</v>
      </c>
      <c r="AI42" s="86">
        <f>AVERAGEIFS($I$2:I42, $B$2:B42, B42)</f>
        <v>0.3833333333333333</v>
      </c>
      <c r="AJ42" s="86">
        <f>AVERAGEIFS($J$2:J42, $B$2:B42, B42)</f>
        <v>0.43999999999999995</v>
      </c>
      <c r="AK42" s="86">
        <f>AVERAGEIFS($D$2:D42, $B$2:B42, B42)</f>
        <v>0.33333333333333331</v>
      </c>
    </row>
    <row r="43" spans="1:37" x14ac:dyDescent="0.25">
      <c r="A43" s="85">
        <v>46118</v>
      </c>
      <c r="B43" t="s">
        <v>71</v>
      </c>
      <c r="C43">
        <v>8</v>
      </c>
      <c r="D43">
        <v>0</v>
      </c>
      <c r="E43">
        <v>5</v>
      </c>
      <c r="F43">
        <v>2</v>
      </c>
      <c r="G43">
        <v>20</v>
      </c>
      <c r="H43">
        <v>8</v>
      </c>
      <c r="I43">
        <v>0.4</v>
      </c>
      <c r="J43">
        <v>0.4</v>
      </c>
      <c r="K43">
        <v>1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 s="86">
        <f>AVERAGEIFS($C$2:C43, $B$2:B43, B43)</f>
        <v>8.3333333333333339</v>
      </c>
      <c r="AI43" s="86">
        <f>AVERAGEIFS($I$2:I43, $B$2:B43, B43)</f>
        <v>0.3</v>
      </c>
      <c r="AJ43" s="86">
        <f>AVERAGEIFS($J$2:J43, $B$2:B43, B43)</f>
        <v>0.41</v>
      </c>
      <c r="AK43" s="86">
        <f>AVERAGEIFS($D$2:D43, $B$2:B43, B43)</f>
        <v>0</v>
      </c>
    </row>
    <row r="44" spans="1:37" x14ac:dyDescent="0.25">
      <c r="A44" s="85">
        <v>46118</v>
      </c>
      <c r="B44" t="s">
        <v>46</v>
      </c>
      <c r="C44">
        <v>23</v>
      </c>
      <c r="D44">
        <v>0</v>
      </c>
      <c r="E44">
        <v>5</v>
      </c>
      <c r="F44">
        <v>2</v>
      </c>
      <c r="G44">
        <v>20</v>
      </c>
      <c r="H44">
        <v>8</v>
      </c>
      <c r="I44">
        <v>0.4</v>
      </c>
      <c r="J44">
        <v>0.4</v>
      </c>
      <c r="K44">
        <v>1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1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 s="86">
        <f>AVERAGEIFS($C$2:C44, $B$2:B44, B44)</f>
        <v>11.666666666666666</v>
      </c>
      <c r="AI44" s="86">
        <f>AVERAGEIFS($I$2:I44, $B$2:B44, B44)</f>
        <v>0.21666666666666667</v>
      </c>
      <c r="AJ44" s="86">
        <f>AVERAGEIFS($J$2:J44, $B$2:B44, B44)</f>
        <v>0.3666666666666667</v>
      </c>
      <c r="AK44" s="86">
        <f>AVERAGEIFS($D$2:D44, $B$2:B44, B44)</f>
        <v>0</v>
      </c>
    </row>
    <row r="45" spans="1:37" x14ac:dyDescent="0.25">
      <c r="A45" s="85">
        <v>46118</v>
      </c>
      <c r="B45" t="s">
        <v>53</v>
      </c>
      <c r="C45">
        <v>11</v>
      </c>
      <c r="D45">
        <v>0</v>
      </c>
      <c r="E45">
        <v>5</v>
      </c>
      <c r="F45">
        <v>2</v>
      </c>
      <c r="G45">
        <v>20</v>
      </c>
      <c r="H45">
        <v>8</v>
      </c>
      <c r="I45">
        <v>0.4</v>
      </c>
      <c r="J45">
        <v>0.4</v>
      </c>
      <c r="K45">
        <v>1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1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 s="86">
        <f>AVERAGEIFS($C$2:C45, $B$2:B45, B45)</f>
        <v>11</v>
      </c>
      <c r="AI45" s="86">
        <f>AVERAGEIFS($I$2:I45, $B$2:B45, B45)</f>
        <v>0.7</v>
      </c>
      <c r="AJ45" s="86">
        <f>AVERAGEIFS($J$2:J45, $B$2:B45, B45)</f>
        <v>0.54499999999999993</v>
      </c>
      <c r="AK45" s="86">
        <f>AVERAGEIFS($D$2:D45, $B$2:B45, B45)</f>
        <v>0.5</v>
      </c>
    </row>
    <row r="46" spans="1:37" x14ac:dyDescent="0.25">
      <c r="A46" s="85">
        <v>46118</v>
      </c>
      <c r="B46" t="s">
        <v>42</v>
      </c>
      <c r="C46">
        <v>21</v>
      </c>
      <c r="D46">
        <v>0</v>
      </c>
      <c r="E46">
        <v>5</v>
      </c>
      <c r="F46">
        <v>2</v>
      </c>
      <c r="G46">
        <v>20</v>
      </c>
      <c r="H46">
        <v>8</v>
      </c>
      <c r="I46">
        <v>0.4</v>
      </c>
      <c r="J46">
        <v>0.4</v>
      </c>
      <c r="K46">
        <v>1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1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 s="86">
        <f>AVERAGEIFS($C$2:C46, $B$2:B46, B46)</f>
        <v>23</v>
      </c>
      <c r="AI46" s="86">
        <f>AVERAGEIFS($I$2:I46, $B$2:B46, B46)</f>
        <v>0.32500000000000001</v>
      </c>
      <c r="AJ46" s="86">
        <f>AVERAGEIFS($J$2:J46, $B$2:B46, B46)</f>
        <v>0.42000000000000004</v>
      </c>
      <c r="AK46" s="86">
        <f>AVERAGEIFS($D$2:D46, $B$2:B46, B46)</f>
        <v>0</v>
      </c>
    </row>
    <row r="47" spans="1:37" x14ac:dyDescent="0.25">
      <c r="A47" s="85">
        <v>46118</v>
      </c>
      <c r="B47" t="s">
        <v>2</v>
      </c>
      <c r="C47">
        <v>15</v>
      </c>
      <c r="D47">
        <v>1</v>
      </c>
      <c r="E47">
        <v>3</v>
      </c>
      <c r="F47">
        <v>3</v>
      </c>
      <c r="G47">
        <v>10</v>
      </c>
      <c r="H47">
        <v>9</v>
      </c>
      <c r="I47">
        <v>1</v>
      </c>
      <c r="J47">
        <v>0.9</v>
      </c>
      <c r="K47">
        <v>0</v>
      </c>
      <c r="L47">
        <v>0</v>
      </c>
      <c r="M47">
        <v>0</v>
      </c>
      <c r="N47">
        <v>1</v>
      </c>
      <c r="O47">
        <v>0</v>
      </c>
      <c r="P47">
        <v>0</v>
      </c>
      <c r="Q47">
        <v>1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1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 s="86">
        <f>AVERAGEIFS($C$2:C47, $B$2:B47, B47)</f>
        <v>24</v>
      </c>
      <c r="AI47" s="86">
        <f>AVERAGEIFS($I$2:I47, $B$2:B47, B47)</f>
        <v>0.625</v>
      </c>
      <c r="AJ47" s="86">
        <f>AVERAGEIFS($J$2:J47, $B$2:B47, B47)</f>
        <v>0.67</v>
      </c>
      <c r="AK47" s="86">
        <f>AVERAGEIFS($D$2:D47, $B$2:B47, B47)</f>
        <v>0.5</v>
      </c>
    </row>
    <row r="48" spans="1:37" x14ac:dyDescent="0.25">
      <c r="A48" s="85">
        <v>46118</v>
      </c>
      <c r="B48" t="s">
        <v>54</v>
      </c>
      <c r="C48">
        <v>16</v>
      </c>
      <c r="D48">
        <v>1</v>
      </c>
      <c r="E48">
        <v>3</v>
      </c>
      <c r="F48">
        <v>3</v>
      </c>
      <c r="G48">
        <v>10</v>
      </c>
      <c r="H48">
        <v>9</v>
      </c>
      <c r="I48">
        <v>1</v>
      </c>
      <c r="J48">
        <v>0.9</v>
      </c>
      <c r="K48">
        <v>0</v>
      </c>
      <c r="L48">
        <v>0</v>
      </c>
      <c r="M48">
        <v>0</v>
      </c>
      <c r="N48">
        <v>1</v>
      </c>
      <c r="O48">
        <v>0</v>
      </c>
      <c r="P48">
        <v>0</v>
      </c>
      <c r="Q48">
        <v>1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1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 s="86">
        <f>AVERAGEIFS($C$2:C48, $B$2:B48, B48)</f>
        <v>16</v>
      </c>
      <c r="AI48" s="86">
        <f>AVERAGEIFS($I$2:I48, $B$2:B48, B48)</f>
        <v>1</v>
      </c>
      <c r="AJ48" s="86">
        <f>AVERAGEIFS($J$2:J48, $B$2:B48, B48)</f>
        <v>0.79499999999999993</v>
      </c>
      <c r="AK48" s="86">
        <f>AVERAGEIFS($D$2:D48, $B$2:B48, B48)</f>
        <v>1</v>
      </c>
    </row>
    <row r="49" spans="1:37" x14ac:dyDescent="0.25">
      <c r="A49" s="85">
        <v>46118</v>
      </c>
      <c r="B49" t="s">
        <v>147</v>
      </c>
      <c r="C49">
        <v>12</v>
      </c>
      <c r="D49">
        <v>1</v>
      </c>
      <c r="E49">
        <v>3</v>
      </c>
      <c r="F49">
        <v>3</v>
      </c>
      <c r="G49">
        <v>10</v>
      </c>
      <c r="H49">
        <v>9</v>
      </c>
      <c r="I49">
        <v>1</v>
      </c>
      <c r="J49">
        <v>0.9</v>
      </c>
      <c r="K49">
        <v>0</v>
      </c>
      <c r="L49">
        <v>0</v>
      </c>
      <c r="M49">
        <v>0</v>
      </c>
      <c r="N49">
        <v>1</v>
      </c>
      <c r="O49">
        <v>0</v>
      </c>
      <c r="P49">
        <v>0</v>
      </c>
      <c r="Q49">
        <v>1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1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 s="86">
        <f>AVERAGEIFS($C$2:C49, $B$2:B49, B49)</f>
        <v>13.5</v>
      </c>
      <c r="AI49" s="86">
        <f>AVERAGEIFS($I$2:I49, $B$2:B49, B49)</f>
        <v>0.625</v>
      </c>
      <c r="AJ49" s="86">
        <f>AVERAGEIFS($J$2:J49, $B$2:B49, B49)</f>
        <v>0.67</v>
      </c>
      <c r="AK49" s="86">
        <f>AVERAGEIFS($D$2:D49, $B$2:B49, B49)</f>
        <v>0.5</v>
      </c>
    </row>
    <row r="50" spans="1:37" x14ac:dyDescent="0.25">
      <c r="A50" s="85">
        <v>46118</v>
      </c>
      <c r="B50" t="s">
        <v>17</v>
      </c>
      <c r="C50">
        <v>11</v>
      </c>
      <c r="D50">
        <v>1</v>
      </c>
      <c r="E50">
        <v>3</v>
      </c>
      <c r="F50">
        <v>3</v>
      </c>
      <c r="G50">
        <v>10</v>
      </c>
      <c r="H50">
        <v>9</v>
      </c>
      <c r="I50">
        <v>1</v>
      </c>
      <c r="J50">
        <v>0.9</v>
      </c>
      <c r="K50">
        <v>0</v>
      </c>
      <c r="L50">
        <v>0</v>
      </c>
      <c r="M50">
        <v>0</v>
      </c>
      <c r="N50">
        <v>1</v>
      </c>
      <c r="O50">
        <v>0</v>
      </c>
      <c r="P50">
        <v>0</v>
      </c>
      <c r="Q50">
        <v>1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1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 s="86">
        <f>AVERAGEIFS($C$2:C50, $B$2:B50, B50)</f>
        <v>16.333333333333332</v>
      </c>
      <c r="AI50" s="86">
        <f>AVERAGEIFS($I$2:I50, $B$2:B50, B50)</f>
        <v>0.83333333333333337</v>
      </c>
      <c r="AJ50" s="86">
        <f>AVERAGEIFS($J$2:J50, $B$2:B50, B50)</f>
        <v>0.69</v>
      </c>
      <c r="AK50" s="86">
        <f>AVERAGEIFS($D$2:D50, $B$2:B50, B50)</f>
        <v>1</v>
      </c>
    </row>
    <row r="51" spans="1:37" x14ac:dyDescent="0.25">
      <c r="A51" s="85">
        <v>46118</v>
      </c>
      <c r="B51" t="s">
        <v>150</v>
      </c>
      <c r="C51">
        <v>14</v>
      </c>
      <c r="D51">
        <v>1</v>
      </c>
      <c r="E51">
        <v>3</v>
      </c>
      <c r="F51">
        <v>3</v>
      </c>
      <c r="G51">
        <v>10</v>
      </c>
      <c r="H51">
        <v>9</v>
      </c>
      <c r="I51">
        <v>1</v>
      </c>
      <c r="J51">
        <v>0.9</v>
      </c>
      <c r="K51">
        <v>0</v>
      </c>
      <c r="L51">
        <v>0</v>
      </c>
      <c r="M51">
        <v>0</v>
      </c>
      <c r="N51">
        <v>1</v>
      </c>
      <c r="O51">
        <v>0</v>
      </c>
      <c r="P51">
        <v>0</v>
      </c>
      <c r="Q51">
        <v>1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1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 s="86">
        <f>AVERAGEIFS($C$2:C51, $B$2:B51, B51)</f>
        <v>17.5</v>
      </c>
      <c r="AI51" s="86">
        <f>AVERAGEIFS($I$2:I51, $B$2:B51, B51)</f>
        <v>0.875</v>
      </c>
      <c r="AJ51" s="86">
        <f>AVERAGEIFS($J$2:J51, $B$2:B51, B51)</f>
        <v>0.755</v>
      </c>
      <c r="AK51" s="86">
        <f>AVERAGEIFS($D$2:D51, $B$2:B51, B51)</f>
        <v>1</v>
      </c>
    </row>
    <row r="52" spans="1:37" x14ac:dyDescent="0.25">
      <c r="A52" s="85">
        <v>46118</v>
      </c>
      <c r="B52" t="s">
        <v>113</v>
      </c>
      <c r="C52">
        <v>18</v>
      </c>
      <c r="D52">
        <v>1</v>
      </c>
      <c r="E52">
        <v>3</v>
      </c>
      <c r="F52">
        <v>3</v>
      </c>
      <c r="G52">
        <v>10</v>
      </c>
      <c r="H52">
        <v>9</v>
      </c>
      <c r="I52">
        <v>1</v>
      </c>
      <c r="J52">
        <v>0.9</v>
      </c>
      <c r="K52">
        <v>0</v>
      </c>
      <c r="L52">
        <v>0</v>
      </c>
      <c r="M52">
        <v>0</v>
      </c>
      <c r="N52">
        <v>1</v>
      </c>
      <c r="O52">
        <v>0</v>
      </c>
      <c r="P52">
        <v>0</v>
      </c>
      <c r="Q52">
        <v>1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1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 s="86">
        <f>AVERAGEIFS($C$2:C52, $B$2:B52, B52)</f>
        <v>16.666666666666668</v>
      </c>
      <c r="AI52" s="86">
        <f>AVERAGEIFS($I$2:I52, $B$2:B52, B52)</f>
        <v>0.8666666666666667</v>
      </c>
      <c r="AJ52" s="86">
        <f>AVERAGEIFS($J$2:J52, $B$2:B52, B52)</f>
        <v>0.73</v>
      </c>
      <c r="AK52" s="86">
        <f>AVERAGEIFS($D$2:D52, $B$2:B52, B52)</f>
        <v>1</v>
      </c>
    </row>
    <row r="53" spans="1:37" x14ac:dyDescent="0.25">
      <c r="A53" s="85">
        <v>46118</v>
      </c>
      <c r="B53" t="s">
        <v>6</v>
      </c>
      <c r="C53">
        <v>10</v>
      </c>
      <c r="D53">
        <v>0</v>
      </c>
      <c r="E53">
        <v>3</v>
      </c>
      <c r="F53">
        <v>0</v>
      </c>
      <c r="G53">
        <v>10</v>
      </c>
      <c r="H53">
        <v>1</v>
      </c>
      <c r="I53">
        <v>0</v>
      </c>
      <c r="J53">
        <v>0.1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 s="86">
        <f>AVERAGEIFS($C$2:C53, $B$2:B53, B53)</f>
        <v>19</v>
      </c>
      <c r="AI53" s="86">
        <f>AVERAGEIFS($I$2:I53, $B$2:B53, B53)</f>
        <v>0.52500000000000002</v>
      </c>
      <c r="AJ53" s="86">
        <f>AVERAGEIFS($J$2:J53, $B$2:B53, B53)</f>
        <v>0.46750000000000003</v>
      </c>
      <c r="AK53" s="86">
        <f>AVERAGEIFS($D$2:D53, $B$2:B53, B53)</f>
        <v>0.75</v>
      </c>
    </row>
    <row r="54" spans="1:37" x14ac:dyDescent="0.25">
      <c r="A54" s="85">
        <v>46118</v>
      </c>
      <c r="B54" t="s">
        <v>146</v>
      </c>
      <c r="C54">
        <v>4</v>
      </c>
      <c r="D54">
        <v>0</v>
      </c>
      <c r="E54">
        <v>3</v>
      </c>
      <c r="F54">
        <v>0</v>
      </c>
      <c r="G54">
        <v>10</v>
      </c>
      <c r="H54">
        <v>1</v>
      </c>
      <c r="I54">
        <v>0</v>
      </c>
      <c r="J54">
        <v>0.1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 s="86">
        <f>AVERAGEIFS($C$2:C54, $B$2:B54, B54)</f>
        <v>4</v>
      </c>
      <c r="AI54" s="86">
        <f>AVERAGEIFS($I$2:I54, $B$2:B54, B54)</f>
        <v>0</v>
      </c>
      <c r="AJ54" s="86">
        <f>AVERAGEIFS($J$2:J54, $B$2:B54, B54)</f>
        <v>0.1</v>
      </c>
      <c r="AK54" s="86">
        <f>AVERAGEIFS($D$2:D54, $B$2:B54, B54)</f>
        <v>0</v>
      </c>
    </row>
    <row r="55" spans="1:37" x14ac:dyDescent="0.25">
      <c r="A55" s="85">
        <v>46118</v>
      </c>
      <c r="B55" t="s">
        <v>50</v>
      </c>
      <c r="C55">
        <v>13</v>
      </c>
      <c r="D55">
        <v>0</v>
      </c>
      <c r="E55">
        <v>3</v>
      </c>
      <c r="F55">
        <v>0</v>
      </c>
      <c r="G55">
        <v>10</v>
      </c>
      <c r="H55">
        <v>1</v>
      </c>
      <c r="I55">
        <v>0</v>
      </c>
      <c r="J55">
        <v>0.1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 s="86">
        <f>AVERAGEIFS($C$2:C55, $B$2:B55, B55)</f>
        <v>13.5</v>
      </c>
      <c r="AI55" s="86">
        <f>AVERAGEIFS($I$2:I55, $B$2:B55, B55)</f>
        <v>0.125</v>
      </c>
      <c r="AJ55" s="86">
        <f>AVERAGEIFS($J$2:J55, $B$2:B55, B55)</f>
        <v>0.245</v>
      </c>
      <c r="AK55" s="86">
        <f>AVERAGEIFS($D$2:D55, $B$2:B55, B55)</f>
        <v>0</v>
      </c>
    </row>
    <row r="56" spans="1:37" x14ac:dyDescent="0.25">
      <c r="A56" s="85">
        <v>46118</v>
      </c>
      <c r="B56" t="s">
        <v>28</v>
      </c>
      <c r="C56">
        <v>9</v>
      </c>
      <c r="D56">
        <v>0</v>
      </c>
      <c r="E56">
        <v>3</v>
      </c>
      <c r="F56">
        <v>0</v>
      </c>
      <c r="G56">
        <v>10</v>
      </c>
      <c r="H56">
        <v>1</v>
      </c>
      <c r="I56">
        <v>0</v>
      </c>
      <c r="J56">
        <v>0.1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 s="86">
        <f>AVERAGEIFS($C$2:C56, $B$2:B56, B56)</f>
        <v>9</v>
      </c>
      <c r="AI56" s="86">
        <f>AVERAGEIFS($I$2:I56, $B$2:B56, B56)</f>
        <v>0</v>
      </c>
      <c r="AJ56" s="86">
        <f>AVERAGEIFS($J$2:J56, $B$2:B56, B56)</f>
        <v>0.1</v>
      </c>
      <c r="AK56" s="86">
        <f>AVERAGEIFS($D$2:D56, $B$2:B56, B56)</f>
        <v>0</v>
      </c>
    </row>
    <row r="57" spans="1:37" x14ac:dyDescent="0.25">
      <c r="A57" s="85">
        <v>46118</v>
      </c>
      <c r="B57" t="s">
        <v>40</v>
      </c>
      <c r="C57">
        <v>10</v>
      </c>
      <c r="D57">
        <v>0</v>
      </c>
      <c r="E57">
        <v>3</v>
      </c>
      <c r="F57">
        <v>0</v>
      </c>
      <c r="G57">
        <v>10</v>
      </c>
      <c r="H57">
        <v>1</v>
      </c>
      <c r="I57">
        <v>0</v>
      </c>
      <c r="J57">
        <v>0.1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 s="86">
        <f>AVERAGEIFS($C$2:C57, $B$2:B57, B57)</f>
        <v>16.5</v>
      </c>
      <c r="AI57" s="86">
        <f>AVERAGEIFS($I$2:I57, $B$2:B57, B57)</f>
        <v>0.52500000000000002</v>
      </c>
      <c r="AJ57" s="86">
        <f>AVERAGEIFS($J$2:J57, $B$2:B57, B57)</f>
        <v>0.46750000000000003</v>
      </c>
      <c r="AK57" s="86">
        <f>AVERAGEIFS($D$2:D57, $B$2:B57, B57)</f>
        <v>0.75</v>
      </c>
    </row>
    <row r="58" spans="1:37" x14ac:dyDescent="0.25">
      <c r="A58" s="85">
        <v>46118</v>
      </c>
      <c r="B58" t="s">
        <v>107</v>
      </c>
      <c r="C58">
        <v>12</v>
      </c>
      <c r="D58">
        <v>0</v>
      </c>
      <c r="E58">
        <v>3</v>
      </c>
      <c r="F58">
        <v>0</v>
      </c>
      <c r="G58">
        <v>10</v>
      </c>
      <c r="H58">
        <v>1</v>
      </c>
      <c r="I58">
        <v>0</v>
      </c>
      <c r="J58">
        <v>0.1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 s="86">
        <f>AVERAGEIFS($C$2:C58, $B$2:B58, B58)</f>
        <v>15</v>
      </c>
      <c r="AI58" s="86">
        <f>AVERAGEIFS($I$2:I58, $B$2:B58, B58)</f>
        <v>0.28749999999999998</v>
      </c>
      <c r="AJ58" s="86">
        <f>AVERAGEIFS($J$2:J58, $B$2:B58, B58)</f>
        <v>0.35499999999999998</v>
      </c>
      <c r="AK58" s="86">
        <f>AVERAGEIFS($D$2:D58, $B$2:B58, B58)</f>
        <v>0.25</v>
      </c>
    </row>
    <row r="59" spans="1:37" x14ac:dyDescent="0.25">
      <c r="A59" s="85">
        <v>46119</v>
      </c>
      <c r="B59" t="s">
        <v>4</v>
      </c>
      <c r="C59">
        <v>38</v>
      </c>
      <c r="D59">
        <v>1</v>
      </c>
      <c r="E59">
        <v>5</v>
      </c>
      <c r="F59">
        <v>3</v>
      </c>
      <c r="G59">
        <v>24</v>
      </c>
      <c r="H59">
        <v>12</v>
      </c>
      <c r="I59">
        <v>0.6</v>
      </c>
      <c r="J59">
        <v>0.5</v>
      </c>
      <c r="K59">
        <v>0</v>
      </c>
      <c r="L59">
        <v>0</v>
      </c>
      <c r="M59">
        <v>1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1</v>
      </c>
      <c r="AD59">
        <v>0</v>
      </c>
      <c r="AE59">
        <v>0</v>
      </c>
      <c r="AF59">
        <v>0</v>
      </c>
      <c r="AG59">
        <v>0</v>
      </c>
      <c r="AH59" s="86">
        <f>AVERAGEIFS($C$2:C59, $B$2:B59, B59)</f>
        <v>26.333333333333332</v>
      </c>
      <c r="AI59" s="86">
        <f>AVERAGEIFS($I$2:I59, $B$2:B59, B59)</f>
        <v>0.73333333333333339</v>
      </c>
      <c r="AJ59" s="86">
        <f>AVERAGEIFS($J$2:J59, $B$2:B59, B59)</f>
        <v>0.59666666666666668</v>
      </c>
      <c r="AK59" s="86">
        <f>AVERAGEIFS($D$2:D59, $B$2:B59, B59)</f>
        <v>1</v>
      </c>
    </row>
    <row r="60" spans="1:37" x14ac:dyDescent="0.25">
      <c r="A60" s="85">
        <v>46119</v>
      </c>
      <c r="B60" t="s">
        <v>42</v>
      </c>
      <c r="C60">
        <v>40</v>
      </c>
      <c r="D60">
        <v>1</v>
      </c>
      <c r="E60">
        <v>5</v>
      </c>
      <c r="F60">
        <v>3</v>
      </c>
      <c r="G60">
        <v>24</v>
      </c>
      <c r="H60">
        <v>12</v>
      </c>
      <c r="I60">
        <v>0.6</v>
      </c>
      <c r="J60">
        <v>0.5</v>
      </c>
      <c r="K60">
        <v>0</v>
      </c>
      <c r="L60">
        <v>0</v>
      </c>
      <c r="M60">
        <v>1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1</v>
      </c>
      <c r="AD60">
        <v>0</v>
      </c>
      <c r="AE60">
        <v>0</v>
      </c>
      <c r="AF60">
        <v>0</v>
      </c>
      <c r="AG60">
        <v>0</v>
      </c>
      <c r="AH60" s="86">
        <f>AVERAGEIFS($C$2:C60, $B$2:B60, B60)</f>
        <v>28.666666666666668</v>
      </c>
      <c r="AI60" s="86">
        <f>AVERAGEIFS($I$2:I60, $B$2:B60, B60)</f>
        <v>0.41666666666666669</v>
      </c>
      <c r="AJ60" s="86">
        <f>AVERAGEIFS($J$2:J60, $B$2:B60, B60)</f>
        <v>0.44666666666666671</v>
      </c>
      <c r="AK60" s="86">
        <f>AVERAGEIFS($D$2:D60, $B$2:B60, B60)</f>
        <v>0.33333333333333331</v>
      </c>
    </row>
    <row r="61" spans="1:37" x14ac:dyDescent="0.25">
      <c r="A61" s="85">
        <v>46119</v>
      </c>
      <c r="B61" t="s">
        <v>44</v>
      </c>
      <c r="C61">
        <v>24</v>
      </c>
      <c r="D61">
        <v>1</v>
      </c>
      <c r="E61">
        <v>5</v>
      </c>
      <c r="F61">
        <v>3</v>
      </c>
      <c r="G61">
        <v>24</v>
      </c>
      <c r="H61">
        <v>12</v>
      </c>
      <c r="I61">
        <v>0.6</v>
      </c>
      <c r="J61">
        <v>0.5</v>
      </c>
      <c r="K61">
        <v>0</v>
      </c>
      <c r="L61">
        <v>0</v>
      </c>
      <c r="M61">
        <v>1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1</v>
      </c>
      <c r="AD61">
        <v>0</v>
      </c>
      <c r="AE61">
        <v>0</v>
      </c>
      <c r="AF61">
        <v>0</v>
      </c>
      <c r="AG61">
        <v>0</v>
      </c>
      <c r="AH61" s="86">
        <f>AVERAGEIFS($C$2:C61, $B$2:B61, B61)</f>
        <v>19.75</v>
      </c>
      <c r="AI61" s="86">
        <f>AVERAGEIFS($I$2:I61, $B$2:B61, B61)</f>
        <v>0.55000000000000004</v>
      </c>
      <c r="AJ61" s="86">
        <f>AVERAGEIFS($J$2:J61, $B$2:B61, B61)</f>
        <v>0.51249999999999996</v>
      </c>
      <c r="AK61" s="86">
        <f>AVERAGEIFS($D$2:D61, $B$2:B61, B61)</f>
        <v>0.75</v>
      </c>
    </row>
    <row r="62" spans="1:37" x14ac:dyDescent="0.25">
      <c r="A62" s="85">
        <v>46119</v>
      </c>
      <c r="B62" t="s">
        <v>113</v>
      </c>
      <c r="C62">
        <v>21</v>
      </c>
      <c r="D62">
        <v>1</v>
      </c>
      <c r="E62">
        <v>5</v>
      </c>
      <c r="F62">
        <v>3</v>
      </c>
      <c r="G62">
        <v>24</v>
      </c>
      <c r="H62">
        <v>12</v>
      </c>
      <c r="I62">
        <v>0.6</v>
      </c>
      <c r="J62">
        <v>0.5</v>
      </c>
      <c r="K62">
        <v>0</v>
      </c>
      <c r="L62">
        <v>0</v>
      </c>
      <c r="M62">
        <v>1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1</v>
      </c>
      <c r="AD62">
        <v>0</v>
      </c>
      <c r="AE62">
        <v>0</v>
      </c>
      <c r="AF62">
        <v>0</v>
      </c>
      <c r="AG62">
        <v>0</v>
      </c>
      <c r="AH62" s="86">
        <f>AVERAGEIFS($C$2:C62, $B$2:B62, B62)</f>
        <v>17.75</v>
      </c>
      <c r="AI62" s="86">
        <f>AVERAGEIFS($I$2:I62, $B$2:B62, B62)</f>
        <v>0.8</v>
      </c>
      <c r="AJ62" s="86">
        <f>AVERAGEIFS($J$2:J62, $B$2:B62, B62)</f>
        <v>0.67249999999999999</v>
      </c>
      <c r="AK62" s="86">
        <f>AVERAGEIFS($D$2:D62, $B$2:B62, B62)</f>
        <v>1</v>
      </c>
    </row>
    <row r="63" spans="1:37" x14ac:dyDescent="0.25">
      <c r="A63" s="85">
        <v>46119</v>
      </c>
      <c r="B63" t="s">
        <v>5</v>
      </c>
      <c r="C63">
        <v>19</v>
      </c>
      <c r="D63">
        <v>1</v>
      </c>
      <c r="E63">
        <v>5</v>
      </c>
      <c r="F63">
        <v>3</v>
      </c>
      <c r="G63">
        <v>24</v>
      </c>
      <c r="H63">
        <v>12</v>
      </c>
      <c r="I63">
        <v>0.6</v>
      </c>
      <c r="J63">
        <v>0.5</v>
      </c>
      <c r="K63">
        <v>0</v>
      </c>
      <c r="L63">
        <v>0</v>
      </c>
      <c r="M63">
        <v>1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1</v>
      </c>
      <c r="AD63">
        <v>0</v>
      </c>
      <c r="AE63">
        <v>0</v>
      </c>
      <c r="AF63">
        <v>0</v>
      </c>
      <c r="AG63">
        <v>0</v>
      </c>
      <c r="AH63" s="86">
        <f>AVERAGEIFS($C$2:C63, $B$2:B63, B63)</f>
        <v>19</v>
      </c>
      <c r="AI63" s="86">
        <f>AVERAGEIFS($I$2:I63, $B$2:B63, B63)</f>
        <v>0.6</v>
      </c>
      <c r="AJ63" s="86">
        <f>AVERAGEIFS($J$2:J63, $B$2:B63, B63)</f>
        <v>0.5</v>
      </c>
      <c r="AK63" s="86">
        <f>AVERAGEIFS($D$2:D63, $B$2:B63, B63)</f>
        <v>1</v>
      </c>
    </row>
    <row r="64" spans="1:37" x14ac:dyDescent="0.25">
      <c r="A64" s="85">
        <v>46119</v>
      </c>
      <c r="B64" t="s">
        <v>50</v>
      </c>
      <c r="C64">
        <v>13</v>
      </c>
      <c r="D64">
        <v>1</v>
      </c>
      <c r="E64">
        <v>5</v>
      </c>
      <c r="F64">
        <v>3</v>
      </c>
      <c r="G64">
        <v>24</v>
      </c>
      <c r="H64">
        <v>12</v>
      </c>
      <c r="I64">
        <v>0.6</v>
      </c>
      <c r="J64">
        <v>0.5</v>
      </c>
      <c r="K64">
        <v>0</v>
      </c>
      <c r="L64">
        <v>0</v>
      </c>
      <c r="M64">
        <v>1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1</v>
      </c>
      <c r="AD64">
        <v>0</v>
      </c>
      <c r="AE64">
        <v>0</v>
      </c>
      <c r="AF64">
        <v>0</v>
      </c>
      <c r="AG64">
        <v>0</v>
      </c>
      <c r="AH64" s="86">
        <f>AVERAGEIFS($C$2:C64, $B$2:B64, B64)</f>
        <v>13.333333333333334</v>
      </c>
      <c r="AI64" s="86">
        <f>AVERAGEIFS($I$2:I64, $B$2:B64, B64)</f>
        <v>0.28333333333333333</v>
      </c>
      <c r="AJ64" s="86">
        <f>AVERAGEIFS($J$2:J64, $B$2:B64, B64)</f>
        <v>0.33</v>
      </c>
      <c r="AK64" s="86">
        <f>AVERAGEIFS($D$2:D64, $B$2:B64, B64)</f>
        <v>0.33333333333333331</v>
      </c>
    </row>
    <row r="65" spans="1:37" x14ac:dyDescent="0.25">
      <c r="A65" s="85">
        <v>46119</v>
      </c>
      <c r="B65" t="s">
        <v>71</v>
      </c>
      <c r="C65">
        <v>8</v>
      </c>
      <c r="D65">
        <v>0</v>
      </c>
      <c r="E65">
        <v>5</v>
      </c>
      <c r="F65">
        <v>2</v>
      </c>
      <c r="G65">
        <v>24</v>
      </c>
      <c r="H65">
        <v>12</v>
      </c>
      <c r="I65">
        <v>0.4</v>
      </c>
      <c r="J65">
        <v>0.5</v>
      </c>
      <c r="K65">
        <v>0</v>
      </c>
      <c r="L65">
        <v>1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1</v>
      </c>
      <c r="AH65" s="86">
        <f>AVERAGEIFS($C$2:C65, $B$2:B65, B65)</f>
        <v>8.25</v>
      </c>
      <c r="AI65" s="86">
        <f>AVERAGEIFS($I$2:I65, $B$2:B65, B65)</f>
        <v>0.32500000000000001</v>
      </c>
      <c r="AJ65" s="86">
        <f>AVERAGEIFS($J$2:J65, $B$2:B65, B65)</f>
        <v>0.4325</v>
      </c>
      <c r="AK65" s="86">
        <f>AVERAGEIFS($D$2:D65, $B$2:B65, B65)</f>
        <v>0</v>
      </c>
    </row>
    <row r="66" spans="1:37" x14ac:dyDescent="0.25">
      <c r="A66" s="85">
        <v>46119</v>
      </c>
      <c r="B66" t="s">
        <v>6</v>
      </c>
      <c r="C66">
        <v>31</v>
      </c>
      <c r="D66">
        <v>0</v>
      </c>
      <c r="E66">
        <v>5</v>
      </c>
      <c r="F66">
        <v>2</v>
      </c>
      <c r="G66">
        <v>24</v>
      </c>
      <c r="H66">
        <v>12</v>
      </c>
      <c r="I66">
        <v>0.4</v>
      </c>
      <c r="J66">
        <v>0.5</v>
      </c>
      <c r="K66">
        <v>0</v>
      </c>
      <c r="L66">
        <v>1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1</v>
      </c>
      <c r="AH66" s="86">
        <f>AVERAGEIFS($C$2:C66, $B$2:B66, B66)</f>
        <v>21.4</v>
      </c>
      <c r="AI66" s="86">
        <f>AVERAGEIFS($I$2:I66, $B$2:B66, B66)</f>
        <v>0.5</v>
      </c>
      <c r="AJ66" s="86">
        <f>AVERAGEIFS($J$2:J66, $B$2:B66, B66)</f>
        <v>0.47400000000000003</v>
      </c>
      <c r="AK66" s="86">
        <f>AVERAGEIFS($D$2:D66, $B$2:B66, B66)</f>
        <v>0.6</v>
      </c>
    </row>
    <row r="67" spans="1:37" x14ac:dyDescent="0.25">
      <c r="A67" s="85">
        <v>46119</v>
      </c>
      <c r="B67" t="s">
        <v>147</v>
      </c>
      <c r="C67">
        <v>13</v>
      </c>
      <c r="D67">
        <v>0</v>
      </c>
      <c r="E67">
        <v>5</v>
      </c>
      <c r="F67">
        <v>2</v>
      </c>
      <c r="G67">
        <v>24</v>
      </c>
      <c r="H67">
        <v>12</v>
      </c>
      <c r="I67">
        <v>0.4</v>
      </c>
      <c r="J67">
        <v>0.5</v>
      </c>
      <c r="K67">
        <v>0</v>
      </c>
      <c r="L67">
        <v>1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1</v>
      </c>
      <c r="AH67" s="86">
        <f>AVERAGEIFS($C$2:C67, $B$2:B67, B67)</f>
        <v>13.333333333333334</v>
      </c>
      <c r="AI67" s="86">
        <f>AVERAGEIFS($I$2:I67, $B$2:B67, B67)</f>
        <v>0.54999999999999993</v>
      </c>
      <c r="AJ67" s="86">
        <f>AVERAGEIFS($J$2:J67, $B$2:B67, B67)</f>
        <v>0.6133333333333334</v>
      </c>
      <c r="AK67" s="86">
        <f>AVERAGEIFS($D$2:D67, $B$2:B67, B67)</f>
        <v>0.33333333333333331</v>
      </c>
    </row>
    <row r="68" spans="1:37" x14ac:dyDescent="0.25">
      <c r="A68" s="85">
        <v>46119</v>
      </c>
      <c r="B68" t="s">
        <v>46</v>
      </c>
      <c r="C68">
        <v>34</v>
      </c>
      <c r="D68">
        <v>0</v>
      </c>
      <c r="E68">
        <v>5</v>
      </c>
      <c r="F68">
        <v>2</v>
      </c>
      <c r="G68">
        <v>24</v>
      </c>
      <c r="H68">
        <v>12</v>
      </c>
      <c r="I68">
        <v>0.4</v>
      </c>
      <c r="J68">
        <v>0.5</v>
      </c>
      <c r="K68">
        <v>0</v>
      </c>
      <c r="L68">
        <v>1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1</v>
      </c>
      <c r="AH68" s="86">
        <f>AVERAGEIFS($C$2:C68, $B$2:B68, B68)</f>
        <v>17.25</v>
      </c>
      <c r="AI68" s="86">
        <f>AVERAGEIFS($I$2:I68, $B$2:B68, B68)</f>
        <v>0.26250000000000001</v>
      </c>
      <c r="AJ68" s="86">
        <f>AVERAGEIFS($J$2:J68, $B$2:B68, B68)</f>
        <v>0.4</v>
      </c>
      <c r="AK68" s="86">
        <f>AVERAGEIFS($D$2:D68, $B$2:B68, B68)</f>
        <v>0</v>
      </c>
    </row>
    <row r="69" spans="1:37" x14ac:dyDescent="0.25">
      <c r="A69" s="85">
        <v>46119</v>
      </c>
      <c r="B69" t="s">
        <v>53</v>
      </c>
      <c r="C69">
        <v>27</v>
      </c>
      <c r="D69">
        <v>0</v>
      </c>
      <c r="E69">
        <v>5</v>
      </c>
      <c r="F69">
        <v>2</v>
      </c>
      <c r="G69">
        <v>24</v>
      </c>
      <c r="H69">
        <v>12</v>
      </c>
      <c r="I69">
        <v>0.4</v>
      </c>
      <c r="J69">
        <v>0.5</v>
      </c>
      <c r="K69">
        <v>0</v>
      </c>
      <c r="L69">
        <v>1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1</v>
      </c>
      <c r="AH69" s="86">
        <f>AVERAGEIFS($C$2:C69, $B$2:B69, B69)</f>
        <v>16.333333333333332</v>
      </c>
      <c r="AI69" s="86">
        <f>AVERAGEIFS($I$2:I69, $B$2:B69, B69)</f>
        <v>0.6</v>
      </c>
      <c r="AJ69" s="86">
        <f>AVERAGEIFS($J$2:J69, $B$2:B69, B69)</f>
        <v>0.52999999999999992</v>
      </c>
      <c r="AK69" s="86">
        <f>AVERAGEIFS($D$2:D69, $B$2:B69, B69)</f>
        <v>0.33333333333333331</v>
      </c>
    </row>
    <row r="70" spans="1:37" x14ac:dyDescent="0.25">
      <c r="A70" s="85">
        <v>46119</v>
      </c>
      <c r="B70" t="s">
        <v>40</v>
      </c>
      <c r="C70">
        <v>37</v>
      </c>
      <c r="D70">
        <v>0</v>
      </c>
      <c r="E70">
        <v>5</v>
      </c>
      <c r="F70">
        <v>2</v>
      </c>
      <c r="G70">
        <v>24</v>
      </c>
      <c r="H70">
        <v>12</v>
      </c>
      <c r="I70">
        <v>0.4</v>
      </c>
      <c r="J70">
        <v>0.5</v>
      </c>
      <c r="K70">
        <v>0</v>
      </c>
      <c r="L70">
        <v>1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1</v>
      </c>
      <c r="AH70" s="86">
        <f>AVERAGEIFS($C$2:C70, $B$2:B70, B70)</f>
        <v>20.6</v>
      </c>
      <c r="AI70" s="86">
        <f>AVERAGEIFS($I$2:I70, $B$2:B70, B70)</f>
        <v>0.5</v>
      </c>
      <c r="AJ70" s="86">
        <f>AVERAGEIFS($J$2:J70, $B$2:B70, B70)</f>
        <v>0.47400000000000003</v>
      </c>
      <c r="AK70" s="86">
        <f>AVERAGEIFS($D$2:D70, $B$2:B70, B70)</f>
        <v>0.6</v>
      </c>
    </row>
    <row r="71" spans="1:37" x14ac:dyDescent="0.25">
      <c r="A71" s="85">
        <v>46119</v>
      </c>
      <c r="B71" t="s">
        <v>2</v>
      </c>
      <c r="C71">
        <v>17</v>
      </c>
      <c r="D71">
        <v>0</v>
      </c>
      <c r="E71">
        <v>5</v>
      </c>
      <c r="F71">
        <v>2</v>
      </c>
      <c r="G71">
        <v>24</v>
      </c>
      <c r="H71">
        <v>12</v>
      </c>
      <c r="I71">
        <v>0.4</v>
      </c>
      <c r="J71">
        <v>0.5</v>
      </c>
      <c r="K71">
        <v>0</v>
      </c>
      <c r="L71">
        <v>1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1</v>
      </c>
      <c r="AH71" s="86">
        <f>AVERAGEIFS($C$2:C71, $B$2:B71, B71)</f>
        <v>21.666666666666668</v>
      </c>
      <c r="AI71" s="86">
        <f>AVERAGEIFS($I$2:I71, $B$2:B71, B71)</f>
        <v>0.54999999999999993</v>
      </c>
      <c r="AJ71" s="86">
        <f>AVERAGEIFS($J$2:J71, $B$2:B71, B71)</f>
        <v>0.6133333333333334</v>
      </c>
      <c r="AK71" s="86">
        <f>AVERAGEIFS($D$2:D71, $B$2:B71, B71)</f>
        <v>0.33333333333333331</v>
      </c>
    </row>
    <row r="72" spans="1:37" x14ac:dyDescent="0.25">
      <c r="A72" s="85">
        <v>46121</v>
      </c>
      <c r="B72" t="s">
        <v>1</v>
      </c>
      <c r="C72">
        <v>28</v>
      </c>
      <c r="D72">
        <v>1</v>
      </c>
      <c r="E72">
        <v>4</v>
      </c>
      <c r="F72">
        <v>3</v>
      </c>
      <c r="G72">
        <v>18</v>
      </c>
      <c r="H72">
        <v>11</v>
      </c>
      <c r="I72">
        <v>0.75</v>
      </c>
      <c r="J72">
        <v>0.61</v>
      </c>
      <c r="K72">
        <v>1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1</v>
      </c>
      <c r="AE72">
        <v>1</v>
      </c>
      <c r="AF72">
        <v>0</v>
      </c>
      <c r="AG72">
        <v>0</v>
      </c>
      <c r="AH72" s="86">
        <f>AVERAGEIFS($C$2:C72, $B$2:B72, B72)</f>
        <v>24</v>
      </c>
      <c r="AI72" s="86">
        <f>AVERAGEIFS($I$2:I72, $B$2:B72, B72)</f>
        <v>0.35</v>
      </c>
      <c r="AJ72" s="86">
        <f>AVERAGEIFS($J$2:J72, $B$2:B72, B72)</f>
        <v>0.42749999999999999</v>
      </c>
      <c r="AK72" s="86">
        <f>AVERAGEIFS($D$2:D72, $B$2:B72, B72)</f>
        <v>0.25</v>
      </c>
    </row>
    <row r="73" spans="1:37" x14ac:dyDescent="0.25">
      <c r="A73" s="85">
        <v>46121</v>
      </c>
      <c r="B73" t="s">
        <v>17</v>
      </c>
      <c r="C73">
        <v>26</v>
      </c>
      <c r="D73">
        <v>1</v>
      </c>
      <c r="E73">
        <v>4</v>
      </c>
      <c r="F73">
        <v>3</v>
      </c>
      <c r="G73">
        <v>18</v>
      </c>
      <c r="H73">
        <v>11</v>
      </c>
      <c r="I73">
        <v>0.75</v>
      </c>
      <c r="J73">
        <v>0.61</v>
      </c>
      <c r="K73">
        <v>1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1</v>
      </c>
      <c r="AE73">
        <v>1</v>
      </c>
      <c r="AF73">
        <v>0</v>
      </c>
      <c r="AG73">
        <v>0</v>
      </c>
      <c r="AH73" s="86">
        <f>AVERAGEIFS($C$2:C73, $B$2:B73, B73)</f>
        <v>18.75</v>
      </c>
      <c r="AI73" s="86">
        <f>AVERAGEIFS($I$2:I73, $B$2:B73, B73)</f>
        <v>0.8125</v>
      </c>
      <c r="AJ73" s="86">
        <f>AVERAGEIFS($J$2:J73, $B$2:B73, B73)</f>
        <v>0.66999999999999993</v>
      </c>
      <c r="AK73" s="86">
        <f>AVERAGEIFS($D$2:D73, $B$2:B73, B73)</f>
        <v>1</v>
      </c>
    </row>
    <row r="74" spans="1:37" x14ac:dyDescent="0.25">
      <c r="A74" s="85">
        <v>46121</v>
      </c>
      <c r="B74" t="s">
        <v>4</v>
      </c>
      <c r="C74">
        <v>26</v>
      </c>
      <c r="D74">
        <v>1</v>
      </c>
      <c r="E74">
        <v>4</v>
      </c>
      <c r="F74">
        <v>3</v>
      </c>
      <c r="G74">
        <v>18</v>
      </c>
      <c r="H74">
        <v>11</v>
      </c>
      <c r="I74">
        <v>0.75</v>
      </c>
      <c r="J74">
        <v>0.61</v>
      </c>
      <c r="K74">
        <v>1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1</v>
      </c>
      <c r="AE74">
        <v>1</v>
      </c>
      <c r="AF74">
        <v>0</v>
      </c>
      <c r="AG74">
        <v>0</v>
      </c>
      <c r="AH74" s="86">
        <f>AVERAGEIFS($C$2:C74, $B$2:B74, B74)</f>
        <v>26.25</v>
      </c>
      <c r="AI74" s="86">
        <f>AVERAGEIFS($I$2:I74, $B$2:B74, B74)</f>
        <v>0.73750000000000004</v>
      </c>
      <c r="AJ74" s="86">
        <f>AVERAGEIFS($J$2:J74, $B$2:B74, B74)</f>
        <v>0.6</v>
      </c>
      <c r="AK74" s="86">
        <f>AVERAGEIFS($D$2:D74, $B$2:B74, B74)</f>
        <v>1</v>
      </c>
    </row>
    <row r="75" spans="1:37" x14ac:dyDescent="0.25">
      <c r="A75" s="85">
        <v>46121</v>
      </c>
      <c r="B75" t="s">
        <v>2</v>
      </c>
      <c r="C75">
        <v>17</v>
      </c>
      <c r="D75">
        <v>1</v>
      </c>
      <c r="E75">
        <v>4</v>
      </c>
      <c r="F75">
        <v>3</v>
      </c>
      <c r="G75">
        <v>18</v>
      </c>
      <c r="H75">
        <v>11</v>
      </c>
      <c r="I75">
        <v>0.75</v>
      </c>
      <c r="J75">
        <v>0.61</v>
      </c>
      <c r="K75">
        <v>1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1</v>
      </c>
      <c r="AE75">
        <v>1</v>
      </c>
      <c r="AF75">
        <v>0</v>
      </c>
      <c r="AG75">
        <v>0</v>
      </c>
      <c r="AH75" s="86">
        <f>AVERAGEIFS($C$2:C75, $B$2:B75, B75)</f>
        <v>20.5</v>
      </c>
      <c r="AI75" s="86">
        <f>AVERAGEIFS($I$2:I75, $B$2:B75, B75)</f>
        <v>0.6</v>
      </c>
      <c r="AJ75" s="86">
        <f>AVERAGEIFS($J$2:J75, $B$2:B75, B75)</f>
        <v>0.61250000000000004</v>
      </c>
      <c r="AK75" s="86">
        <f>AVERAGEIFS($D$2:D75, $B$2:B75, B75)</f>
        <v>0.5</v>
      </c>
    </row>
    <row r="76" spans="1:37" x14ac:dyDescent="0.25">
      <c r="A76" s="85">
        <v>46121</v>
      </c>
      <c r="B76" t="s">
        <v>71</v>
      </c>
      <c r="C76">
        <v>17</v>
      </c>
      <c r="D76">
        <v>1</v>
      </c>
      <c r="E76">
        <v>4</v>
      </c>
      <c r="F76">
        <v>3</v>
      </c>
      <c r="G76">
        <v>18</v>
      </c>
      <c r="H76">
        <v>11</v>
      </c>
      <c r="I76">
        <v>0.75</v>
      </c>
      <c r="J76">
        <v>0.61</v>
      </c>
      <c r="K76">
        <v>1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1</v>
      </c>
      <c r="AE76">
        <v>1</v>
      </c>
      <c r="AF76">
        <v>0</v>
      </c>
      <c r="AG76">
        <v>0</v>
      </c>
      <c r="AH76" s="86">
        <f>AVERAGEIFS($C$2:C76, $B$2:B76, B76)</f>
        <v>10</v>
      </c>
      <c r="AI76" s="86">
        <f>AVERAGEIFS($I$2:I76, $B$2:B76, B76)</f>
        <v>0.41</v>
      </c>
      <c r="AJ76" s="86">
        <f>AVERAGEIFS($J$2:J76, $B$2:B76, B76)</f>
        <v>0.46799999999999997</v>
      </c>
      <c r="AK76" s="86">
        <f>AVERAGEIFS($D$2:D76, $B$2:B76, B76)</f>
        <v>0.2</v>
      </c>
    </row>
    <row r="77" spans="1:37" x14ac:dyDescent="0.25">
      <c r="A77" s="85">
        <v>46121</v>
      </c>
      <c r="B77" t="s">
        <v>13</v>
      </c>
      <c r="C77">
        <v>16</v>
      </c>
      <c r="D77">
        <v>1</v>
      </c>
      <c r="E77">
        <v>4</v>
      </c>
      <c r="F77">
        <v>3</v>
      </c>
      <c r="G77">
        <v>18</v>
      </c>
      <c r="H77">
        <v>11</v>
      </c>
      <c r="I77">
        <v>0.75</v>
      </c>
      <c r="J77">
        <v>0.61</v>
      </c>
      <c r="K77">
        <v>1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1</v>
      </c>
      <c r="AE77">
        <v>1</v>
      </c>
      <c r="AF77">
        <v>0</v>
      </c>
      <c r="AG77">
        <v>0</v>
      </c>
      <c r="AH77" s="86">
        <f>AVERAGEIFS($C$2:C77, $B$2:B77, B77)</f>
        <v>16.666666666666668</v>
      </c>
      <c r="AI77" s="86">
        <f>AVERAGEIFS($I$2:I77, $B$2:B77, B77)</f>
        <v>0.66666666666666663</v>
      </c>
      <c r="AJ77" s="86">
        <f>AVERAGEIFS($J$2:J77, $B$2:B77, B77)</f>
        <v>0.56333333333333335</v>
      </c>
      <c r="AK77" s="86">
        <f>AVERAGEIFS($D$2:D77, $B$2:B77, B77)</f>
        <v>0.66666666666666663</v>
      </c>
    </row>
    <row r="78" spans="1:37" x14ac:dyDescent="0.25">
      <c r="A78" s="85">
        <v>46121</v>
      </c>
      <c r="B78" t="s">
        <v>107</v>
      </c>
      <c r="C78">
        <v>15</v>
      </c>
      <c r="D78">
        <v>1</v>
      </c>
      <c r="E78">
        <v>4</v>
      </c>
      <c r="F78">
        <v>3</v>
      </c>
      <c r="G78">
        <v>18</v>
      </c>
      <c r="H78">
        <v>11</v>
      </c>
      <c r="I78">
        <v>0.75</v>
      </c>
      <c r="J78">
        <v>0.61</v>
      </c>
      <c r="K78">
        <v>1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1</v>
      </c>
      <c r="AE78">
        <v>1</v>
      </c>
      <c r="AF78">
        <v>0</v>
      </c>
      <c r="AG78">
        <v>0</v>
      </c>
      <c r="AH78" s="86">
        <f>AVERAGEIFS($C$2:C78, $B$2:B78, B78)</f>
        <v>15</v>
      </c>
      <c r="AI78" s="86">
        <f>AVERAGEIFS($I$2:I78, $B$2:B78, B78)</f>
        <v>0.38</v>
      </c>
      <c r="AJ78" s="86">
        <f>AVERAGEIFS($J$2:J78, $B$2:B78, B78)</f>
        <v>0.40599999999999997</v>
      </c>
      <c r="AK78" s="86">
        <f>AVERAGEIFS($D$2:D78, $B$2:B78, B78)</f>
        <v>0.4</v>
      </c>
    </row>
    <row r="79" spans="1:37" x14ac:dyDescent="0.25">
      <c r="A79" s="85">
        <v>46121</v>
      </c>
      <c r="B79" t="s">
        <v>161</v>
      </c>
      <c r="C79">
        <v>4</v>
      </c>
      <c r="D79">
        <v>1</v>
      </c>
      <c r="E79">
        <v>4</v>
      </c>
      <c r="F79">
        <v>3</v>
      </c>
      <c r="G79">
        <v>18</v>
      </c>
      <c r="H79">
        <v>11</v>
      </c>
      <c r="I79">
        <v>0.75</v>
      </c>
      <c r="J79">
        <v>0.61</v>
      </c>
      <c r="K79">
        <v>1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1</v>
      </c>
      <c r="AE79">
        <v>1</v>
      </c>
      <c r="AF79">
        <v>0</v>
      </c>
      <c r="AG79">
        <v>0</v>
      </c>
      <c r="AH79" s="86">
        <f>AVERAGEIFS($C$2:C79, $B$2:B79, B79)</f>
        <v>4</v>
      </c>
      <c r="AI79" s="86">
        <f>AVERAGEIFS($I$2:I79, $B$2:B79, B79)</f>
        <v>0.75</v>
      </c>
      <c r="AJ79" s="86">
        <f>AVERAGEIFS($J$2:J79, $B$2:B79, B79)</f>
        <v>0.61</v>
      </c>
      <c r="AK79" s="86">
        <f>AVERAGEIFS($D$2:D79, $B$2:B79, B79)</f>
        <v>1</v>
      </c>
    </row>
    <row r="80" spans="1:37" x14ac:dyDescent="0.25">
      <c r="A80" s="85">
        <v>46121</v>
      </c>
      <c r="B80" t="s">
        <v>6</v>
      </c>
      <c r="C80">
        <v>29</v>
      </c>
      <c r="D80">
        <v>0</v>
      </c>
      <c r="E80">
        <v>4</v>
      </c>
      <c r="F80">
        <v>1</v>
      </c>
      <c r="G80">
        <v>18</v>
      </c>
      <c r="H80">
        <v>7</v>
      </c>
      <c r="I80">
        <v>0.25</v>
      </c>
      <c r="J80">
        <v>0.39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1</v>
      </c>
      <c r="AD80">
        <v>0</v>
      </c>
      <c r="AE80">
        <v>0</v>
      </c>
      <c r="AF80">
        <v>0</v>
      </c>
      <c r="AG80">
        <v>0</v>
      </c>
      <c r="AH80" s="86">
        <f>AVERAGEIFS($C$2:C80, $B$2:B80, B80)</f>
        <v>22.666666666666668</v>
      </c>
      <c r="AI80" s="86">
        <f>AVERAGEIFS($I$2:I80, $B$2:B80, B80)</f>
        <v>0.45833333333333331</v>
      </c>
      <c r="AJ80" s="86">
        <f>AVERAGEIFS($J$2:J80, $B$2:B80, B80)</f>
        <v>0.46</v>
      </c>
      <c r="AK80" s="86">
        <f>AVERAGEIFS($D$2:D80, $B$2:B80, B80)</f>
        <v>0.5</v>
      </c>
    </row>
    <row r="81" spans="1:37" x14ac:dyDescent="0.25">
      <c r="A81" s="85">
        <v>46121</v>
      </c>
      <c r="B81" t="s">
        <v>113</v>
      </c>
      <c r="C81">
        <v>23</v>
      </c>
      <c r="D81">
        <v>0</v>
      </c>
      <c r="E81">
        <v>4</v>
      </c>
      <c r="F81">
        <v>1</v>
      </c>
      <c r="G81">
        <v>18</v>
      </c>
      <c r="H81">
        <v>7</v>
      </c>
      <c r="I81">
        <v>0.25</v>
      </c>
      <c r="J81">
        <v>0.39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1</v>
      </c>
      <c r="AD81">
        <v>0</v>
      </c>
      <c r="AE81">
        <v>0</v>
      </c>
      <c r="AF81">
        <v>0</v>
      </c>
      <c r="AG81">
        <v>0</v>
      </c>
      <c r="AH81" s="86">
        <f>AVERAGEIFS($C$2:C81, $B$2:B81, B81)</f>
        <v>18.8</v>
      </c>
      <c r="AI81" s="86">
        <f>AVERAGEIFS($I$2:I81, $B$2:B81, B81)</f>
        <v>0.69000000000000006</v>
      </c>
      <c r="AJ81" s="86">
        <f>AVERAGEIFS($J$2:J81, $B$2:B81, B81)</f>
        <v>0.61599999999999999</v>
      </c>
      <c r="AK81" s="86">
        <f>AVERAGEIFS($D$2:D81, $B$2:B81, B81)</f>
        <v>0.8</v>
      </c>
    </row>
    <row r="82" spans="1:37" x14ac:dyDescent="0.25">
      <c r="A82" s="85">
        <v>46121</v>
      </c>
      <c r="B82" t="s">
        <v>5</v>
      </c>
      <c r="C82">
        <v>19</v>
      </c>
      <c r="D82">
        <v>0</v>
      </c>
      <c r="E82">
        <v>4</v>
      </c>
      <c r="F82">
        <v>1</v>
      </c>
      <c r="G82">
        <v>18</v>
      </c>
      <c r="H82">
        <v>7</v>
      </c>
      <c r="I82">
        <v>0.25</v>
      </c>
      <c r="J82">
        <v>0.39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1</v>
      </c>
      <c r="AD82">
        <v>0</v>
      </c>
      <c r="AE82">
        <v>0</v>
      </c>
      <c r="AF82">
        <v>0</v>
      </c>
      <c r="AG82">
        <v>0</v>
      </c>
      <c r="AH82" s="86">
        <f>AVERAGEIFS($C$2:C82, $B$2:B82, B82)</f>
        <v>19</v>
      </c>
      <c r="AI82" s="86">
        <f>AVERAGEIFS($I$2:I82, $B$2:B82, B82)</f>
        <v>0.42499999999999999</v>
      </c>
      <c r="AJ82" s="86">
        <f>AVERAGEIFS($J$2:J82, $B$2:B82, B82)</f>
        <v>0.44500000000000001</v>
      </c>
      <c r="AK82" s="86">
        <f>AVERAGEIFS($D$2:D82, $B$2:B82, B82)</f>
        <v>0.5</v>
      </c>
    </row>
    <row r="83" spans="1:37" x14ac:dyDescent="0.25">
      <c r="A83" s="85">
        <v>46121</v>
      </c>
      <c r="B83" t="s">
        <v>40</v>
      </c>
      <c r="C83">
        <v>17</v>
      </c>
      <c r="D83">
        <v>0</v>
      </c>
      <c r="E83">
        <v>4</v>
      </c>
      <c r="F83">
        <v>1</v>
      </c>
      <c r="G83">
        <v>18</v>
      </c>
      <c r="H83">
        <v>7</v>
      </c>
      <c r="I83">
        <v>0.25</v>
      </c>
      <c r="J83">
        <v>0.39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1</v>
      </c>
      <c r="AD83">
        <v>0</v>
      </c>
      <c r="AE83">
        <v>0</v>
      </c>
      <c r="AF83">
        <v>0</v>
      </c>
      <c r="AG83">
        <v>0</v>
      </c>
      <c r="AH83" s="86">
        <f>AVERAGEIFS($C$2:C83, $B$2:B83, B83)</f>
        <v>20</v>
      </c>
      <c r="AI83" s="86">
        <f>AVERAGEIFS($I$2:I83, $B$2:B83, B83)</f>
        <v>0.45833333333333331</v>
      </c>
      <c r="AJ83" s="86">
        <f>AVERAGEIFS($J$2:J83, $B$2:B83, B83)</f>
        <v>0.46</v>
      </c>
      <c r="AK83" s="86">
        <f>AVERAGEIFS($D$2:D83, $B$2:B83, B83)</f>
        <v>0.5</v>
      </c>
    </row>
    <row r="84" spans="1:37" x14ac:dyDescent="0.25">
      <c r="A84" s="85">
        <v>46121</v>
      </c>
      <c r="B84" t="s">
        <v>42</v>
      </c>
      <c r="C84">
        <v>14</v>
      </c>
      <c r="D84">
        <v>0</v>
      </c>
      <c r="E84">
        <v>4</v>
      </c>
      <c r="F84">
        <v>1</v>
      </c>
      <c r="G84">
        <v>18</v>
      </c>
      <c r="H84">
        <v>7</v>
      </c>
      <c r="I84">
        <v>0.25</v>
      </c>
      <c r="J84">
        <v>0.39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1</v>
      </c>
      <c r="AD84">
        <v>0</v>
      </c>
      <c r="AE84">
        <v>0</v>
      </c>
      <c r="AF84">
        <v>0</v>
      </c>
      <c r="AG84">
        <v>0</v>
      </c>
      <c r="AH84" s="86">
        <f>AVERAGEIFS($C$2:C84, $B$2:B84, B84)</f>
        <v>25</v>
      </c>
      <c r="AI84" s="86">
        <f>AVERAGEIFS($I$2:I84, $B$2:B84, B84)</f>
        <v>0.375</v>
      </c>
      <c r="AJ84" s="86">
        <f>AVERAGEIFS($J$2:J84, $B$2:B84, B84)</f>
        <v>0.4325</v>
      </c>
      <c r="AK84" s="86">
        <f>AVERAGEIFS($D$2:D84, $B$2:B84, B84)</f>
        <v>0.25</v>
      </c>
    </row>
    <row r="85" spans="1:37" x14ac:dyDescent="0.25">
      <c r="A85" s="85">
        <v>46121</v>
      </c>
      <c r="B85" t="s">
        <v>44</v>
      </c>
      <c r="C85">
        <v>14</v>
      </c>
      <c r="D85">
        <v>0</v>
      </c>
      <c r="E85">
        <v>4</v>
      </c>
      <c r="F85">
        <v>1</v>
      </c>
      <c r="G85">
        <v>18</v>
      </c>
      <c r="H85">
        <v>7</v>
      </c>
      <c r="I85">
        <v>0.25</v>
      </c>
      <c r="J85">
        <v>0.39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1</v>
      </c>
      <c r="AD85">
        <v>0</v>
      </c>
      <c r="AE85">
        <v>0</v>
      </c>
      <c r="AF85">
        <v>0</v>
      </c>
      <c r="AG85">
        <v>0</v>
      </c>
      <c r="AH85" s="86">
        <f>AVERAGEIFS($C$2:C85, $B$2:B85, B85)</f>
        <v>18.600000000000001</v>
      </c>
      <c r="AI85" s="86">
        <f>AVERAGEIFS($I$2:I85, $B$2:B85, B85)</f>
        <v>0.49000000000000005</v>
      </c>
      <c r="AJ85" s="86">
        <f>AVERAGEIFS($J$2:J85, $B$2:B85, B85)</f>
        <v>0.48799999999999999</v>
      </c>
      <c r="AK85" s="86">
        <f>AVERAGEIFS($D$2:D85, $B$2:B85, B85)</f>
        <v>0.6</v>
      </c>
    </row>
    <row r="86" spans="1:37" x14ac:dyDescent="0.25">
      <c r="A86" s="85">
        <v>46121</v>
      </c>
      <c r="B86" t="s">
        <v>53</v>
      </c>
      <c r="C86">
        <v>13</v>
      </c>
      <c r="D86">
        <v>0</v>
      </c>
      <c r="E86">
        <v>4</v>
      </c>
      <c r="F86">
        <v>1</v>
      </c>
      <c r="G86">
        <v>18</v>
      </c>
      <c r="H86">
        <v>7</v>
      </c>
      <c r="I86">
        <v>0.25</v>
      </c>
      <c r="J86">
        <v>0.39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1</v>
      </c>
      <c r="AD86">
        <v>0</v>
      </c>
      <c r="AE86">
        <v>0</v>
      </c>
      <c r="AF86">
        <v>0</v>
      </c>
      <c r="AG86">
        <v>0</v>
      </c>
      <c r="AH86" s="86">
        <f>AVERAGEIFS($C$2:C86, $B$2:B86, B86)</f>
        <v>15.5</v>
      </c>
      <c r="AI86" s="86">
        <f>AVERAGEIFS($I$2:I86, $B$2:B86, B86)</f>
        <v>0.51249999999999996</v>
      </c>
      <c r="AJ86" s="86">
        <f>AVERAGEIFS($J$2:J86, $B$2:B86, B86)</f>
        <v>0.495</v>
      </c>
      <c r="AK86" s="86">
        <f>AVERAGEIFS($D$2:D86, $B$2:B86, B86)</f>
        <v>0.25</v>
      </c>
    </row>
    <row r="87" spans="1:37" x14ac:dyDescent="0.25">
      <c r="A87" s="85">
        <v>46121</v>
      </c>
      <c r="B87" t="s">
        <v>14</v>
      </c>
      <c r="C87">
        <v>11</v>
      </c>
      <c r="D87">
        <v>0</v>
      </c>
      <c r="E87">
        <v>4</v>
      </c>
      <c r="F87">
        <v>1</v>
      </c>
      <c r="G87">
        <v>18</v>
      </c>
      <c r="H87">
        <v>7</v>
      </c>
      <c r="I87">
        <v>0.25</v>
      </c>
      <c r="J87">
        <v>0.39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1</v>
      </c>
      <c r="AD87">
        <v>0</v>
      </c>
      <c r="AE87">
        <v>0</v>
      </c>
      <c r="AF87">
        <v>0</v>
      </c>
      <c r="AG87">
        <v>0</v>
      </c>
      <c r="AH87" s="86">
        <f>AVERAGEIFS($C$2:C87, $B$2:B87, B87)</f>
        <v>10.5</v>
      </c>
      <c r="AI87" s="86">
        <f>AVERAGEIFS($I$2:I87, $B$2:B87, B87)</f>
        <v>0.25</v>
      </c>
      <c r="AJ87" s="86">
        <f>AVERAGEIFS($J$2:J87, $B$2:B87, B87)</f>
        <v>0.41500000000000004</v>
      </c>
      <c r="AK87" s="86">
        <f>AVERAGEIFS($D$2:D87, $B$2:B87, B87)</f>
        <v>0</v>
      </c>
    </row>
    <row r="88" spans="1:37" x14ac:dyDescent="0.25">
      <c r="A88" s="85">
        <v>46121</v>
      </c>
      <c r="B88" t="s">
        <v>40</v>
      </c>
      <c r="C88">
        <v>15</v>
      </c>
      <c r="D88">
        <v>1</v>
      </c>
      <c r="E88">
        <v>3</v>
      </c>
      <c r="F88">
        <v>3</v>
      </c>
      <c r="G88">
        <v>11</v>
      </c>
      <c r="H88">
        <v>9</v>
      </c>
      <c r="I88">
        <v>1</v>
      </c>
      <c r="J88">
        <v>0.82</v>
      </c>
      <c r="K88">
        <v>0</v>
      </c>
      <c r="L88">
        <v>1</v>
      </c>
      <c r="M88">
        <v>0</v>
      </c>
      <c r="N88">
        <v>1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1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 s="86">
        <f>AVERAGEIFS($C$2:C88, $B$2:B88, B88)</f>
        <v>19.285714285714285</v>
      </c>
      <c r="AI88" s="86">
        <f>AVERAGEIFS($I$2:I88, $B$2:B88, B88)</f>
        <v>0.5357142857142857</v>
      </c>
      <c r="AJ88" s="86">
        <f>AVERAGEIFS($J$2:J88, $B$2:B88, B88)</f>
        <v>0.51142857142857145</v>
      </c>
      <c r="AK88" s="86">
        <f>AVERAGEIFS($D$2:D88, $B$2:B88, B88)</f>
        <v>0.5714285714285714</v>
      </c>
    </row>
    <row r="89" spans="1:37" x14ac:dyDescent="0.25">
      <c r="A89" s="85">
        <v>46121</v>
      </c>
      <c r="B89" t="s">
        <v>1</v>
      </c>
      <c r="C89">
        <v>13</v>
      </c>
      <c r="D89">
        <v>1</v>
      </c>
      <c r="E89">
        <v>3</v>
      </c>
      <c r="F89">
        <v>3</v>
      </c>
      <c r="G89">
        <v>11</v>
      </c>
      <c r="H89">
        <v>9</v>
      </c>
      <c r="I89">
        <v>1</v>
      </c>
      <c r="J89">
        <v>0.82</v>
      </c>
      <c r="K89">
        <v>0</v>
      </c>
      <c r="L89">
        <v>1</v>
      </c>
      <c r="M89">
        <v>0</v>
      </c>
      <c r="N89">
        <v>1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1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 s="86">
        <f>AVERAGEIFS($C$2:C89, $B$2:B89, B89)</f>
        <v>21.8</v>
      </c>
      <c r="AI89" s="86">
        <f>AVERAGEIFS($I$2:I89, $B$2:B89, B89)</f>
        <v>0.48</v>
      </c>
      <c r="AJ89" s="86">
        <f>AVERAGEIFS($J$2:J89, $B$2:B89, B89)</f>
        <v>0.50600000000000001</v>
      </c>
      <c r="AK89" s="86">
        <f>AVERAGEIFS($D$2:D89, $B$2:B89, B89)</f>
        <v>0.4</v>
      </c>
    </row>
    <row r="90" spans="1:37" x14ac:dyDescent="0.25">
      <c r="A90" s="85">
        <v>46121</v>
      </c>
      <c r="B90" t="s">
        <v>5</v>
      </c>
      <c r="C90">
        <v>13</v>
      </c>
      <c r="D90">
        <v>1</v>
      </c>
      <c r="E90">
        <v>3</v>
      </c>
      <c r="F90">
        <v>3</v>
      </c>
      <c r="G90">
        <v>11</v>
      </c>
      <c r="H90">
        <v>9</v>
      </c>
      <c r="I90">
        <v>1</v>
      </c>
      <c r="J90">
        <v>0.82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 s="86">
        <f>AVERAGEIFS($C$2:C90, $B$2:B90, B90)</f>
        <v>17</v>
      </c>
      <c r="AI90" s="86">
        <f>AVERAGEIFS($I$2:I90, $B$2:B90, B90)</f>
        <v>0.6166666666666667</v>
      </c>
      <c r="AJ90" s="86">
        <f>AVERAGEIFS($J$2:J90, $B$2:B90, B90)</f>
        <v>0.56999999999999995</v>
      </c>
      <c r="AK90" s="86">
        <f>AVERAGEIFS($D$2:D90, $B$2:B90, B90)</f>
        <v>0.66666666666666663</v>
      </c>
    </row>
    <row r="91" spans="1:37" x14ac:dyDescent="0.25">
      <c r="A91" s="85">
        <v>46121</v>
      </c>
      <c r="B91" t="s">
        <v>53</v>
      </c>
      <c r="C91">
        <v>14</v>
      </c>
      <c r="D91">
        <v>1</v>
      </c>
      <c r="E91">
        <v>3</v>
      </c>
      <c r="F91">
        <v>3</v>
      </c>
      <c r="G91">
        <v>11</v>
      </c>
      <c r="H91">
        <v>9</v>
      </c>
      <c r="I91">
        <v>1</v>
      </c>
      <c r="J91">
        <v>0.82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 s="86">
        <f>AVERAGEIFS($C$2:C91, $B$2:B91, B91)</f>
        <v>15.2</v>
      </c>
      <c r="AI91" s="86">
        <f>AVERAGEIFS($I$2:I91, $B$2:B91, B91)</f>
        <v>0.61</v>
      </c>
      <c r="AJ91" s="86">
        <f>AVERAGEIFS($J$2:J91, $B$2:B91, B91)</f>
        <v>0.55999999999999994</v>
      </c>
      <c r="AK91" s="86">
        <f>AVERAGEIFS($D$2:D91, $B$2:B91, B91)</f>
        <v>0.4</v>
      </c>
    </row>
    <row r="92" spans="1:37" x14ac:dyDescent="0.25">
      <c r="A92" s="85">
        <v>46121</v>
      </c>
      <c r="B92" t="s">
        <v>150</v>
      </c>
      <c r="C92">
        <v>11</v>
      </c>
      <c r="D92">
        <v>1</v>
      </c>
      <c r="E92">
        <v>3</v>
      </c>
      <c r="F92">
        <v>3</v>
      </c>
      <c r="G92">
        <v>11</v>
      </c>
      <c r="H92">
        <v>9</v>
      </c>
      <c r="I92">
        <v>1</v>
      </c>
      <c r="J92">
        <v>0.82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 s="86">
        <f>AVERAGEIFS($C$2:C92, $B$2:B92, B92)</f>
        <v>15.333333333333334</v>
      </c>
      <c r="AI92" s="86">
        <f>AVERAGEIFS($I$2:I92, $B$2:B92, B92)</f>
        <v>0.91666666666666663</v>
      </c>
      <c r="AJ92" s="86">
        <f>AVERAGEIFS($J$2:J92, $B$2:B92, B92)</f>
        <v>0.77666666666666673</v>
      </c>
      <c r="AK92" s="86">
        <f>AVERAGEIFS($D$2:D92, $B$2:B92, B92)</f>
        <v>1</v>
      </c>
    </row>
    <row r="93" spans="1:37" x14ac:dyDescent="0.25">
      <c r="A93" s="85">
        <v>46121</v>
      </c>
      <c r="B93" t="s">
        <v>140</v>
      </c>
      <c r="C93">
        <v>4</v>
      </c>
      <c r="D93">
        <v>1</v>
      </c>
      <c r="E93">
        <v>3</v>
      </c>
      <c r="F93">
        <v>3</v>
      </c>
      <c r="G93">
        <v>11</v>
      </c>
      <c r="H93">
        <v>9</v>
      </c>
      <c r="I93">
        <v>1</v>
      </c>
      <c r="J93">
        <v>0.82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 s="86">
        <f>AVERAGEIFS($C$2:C93, $B$2:B93, B93)</f>
        <v>9.3333333333333339</v>
      </c>
      <c r="AI93" s="86">
        <f>AVERAGEIFS($I$2:I93, $B$2:B93, B93)</f>
        <v>0.58333333333333337</v>
      </c>
      <c r="AJ93" s="86">
        <f>AVERAGEIFS($J$2:J93, $B$2:B93, B93)</f>
        <v>0.57999999999999996</v>
      </c>
      <c r="AK93" s="86">
        <f>AVERAGEIFS($D$2:D93, $B$2:B93, B93)</f>
        <v>0.66666666666666663</v>
      </c>
    </row>
    <row r="94" spans="1:37" x14ac:dyDescent="0.25">
      <c r="A94" s="85">
        <v>46121</v>
      </c>
      <c r="B94" t="s">
        <v>42</v>
      </c>
      <c r="C94">
        <v>5</v>
      </c>
      <c r="D94">
        <v>0</v>
      </c>
      <c r="E94">
        <v>3</v>
      </c>
      <c r="F94">
        <v>0</v>
      </c>
      <c r="G94">
        <v>11</v>
      </c>
      <c r="H94">
        <v>2</v>
      </c>
      <c r="I94">
        <v>0</v>
      </c>
      <c r="J94">
        <v>0.18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 s="86">
        <f>AVERAGEIFS($C$2:C94, $B$2:B94, B94)</f>
        <v>21</v>
      </c>
      <c r="AI94" s="86">
        <f>AVERAGEIFS($I$2:I94, $B$2:B94, B94)</f>
        <v>0.3</v>
      </c>
      <c r="AJ94" s="86">
        <f>AVERAGEIFS($J$2:J94, $B$2:B94, B94)</f>
        <v>0.38200000000000001</v>
      </c>
      <c r="AK94" s="86">
        <f>AVERAGEIFS($D$2:D94, $B$2:B94, B94)</f>
        <v>0.2</v>
      </c>
    </row>
    <row r="95" spans="1:37" x14ac:dyDescent="0.25">
      <c r="A95" s="85">
        <v>46121</v>
      </c>
      <c r="B95" t="s">
        <v>6</v>
      </c>
      <c r="C95">
        <v>15</v>
      </c>
      <c r="D95">
        <v>0</v>
      </c>
      <c r="E95">
        <v>3</v>
      </c>
      <c r="F95">
        <v>0</v>
      </c>
      <c r="G95">
        <v>11</v>
      </c>
      <c r="H95">
        <v>2</v>
      </c>
      <c r="I95">
        <v>0</v>
      </c>
      <c r="J95">
        <v>0.18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 s="86">
        <f>AVERAGEIFS($C$2:C95, $B$2:B95, B95)</f>
        <v>21.571428571428573</v>
      </c>
      <c r="AI95" s="86">
        <f>AVERAGEIFS($I$2:I95, $B$2:B95, B95)</f>
        <v>0.39285714285714285</v>
      </c>
      <c r="AJ95" s="86">
        <f>AVERAGEIFS($J$2:J95, $B$2:B95, B95)</f>
        <v>0.42000000000000004</v>
      </c>
      <c r="AK95" s="86">
        <f>AVERAGEIFS($D$2:D95, $B$2:B95, B95)</f>
        <v>0.42857142857142855</v>
      </c>
    </row>
    <row r="96" spans="1:37" x14ac:dyDescent="0.25">
      <c r="A96" s="85">
        <v>46121</v>
      </c>
      <c r="B96" t="s">
        <v>107</v>
      </c>
      <c r="C96">
        <v>3</v>
      </c>
      <c r="D96">
        <v>0</v>
      </c>
      <c r="E96">
        <v>3</v>
      </c>
      <c r="F96">
        <v>0</v>
      </c>
      <c r="G96">
        <v>11</v>
      </c>
      <c r="H96">
        <v>2</v>
      </c>
      <c r="I96">
        <v>0</v>
      </c>
      <c r="J96">
        <v>0.18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 s="86">
        <f>AVERAGEIFS($C$2:C96, $B$2:B96, B96)</f>
        <v>13</v>
      </c>
      <c r="AI96" s="86">
        <f>AVERAGEIFS($I$2:I96, $B$2:B96, B96)</f>
        <v>0.31666666666666665</v>
      </c>
      <c r="AJ96" s="86">
        <f>AVERAGEIFS($J$2:J96, $B$2:B96, B96)</f>
        <v>0.36833333333333335</v>
      </c>
      <c r="AK96" s="86">
        <f>AVERAGEIFS($D$2:D96, $B$2:B96, B96)</f>
        <v>0.33333333333333331</v>
      </c>
    </row>
    <row r="97" spans="1:37" x14ac:dyDescent="0.25">
      <c r="A97" s="85">
        <v>46121</v>
      </c>
      <c r="B97" t="s">
        <v>44</v>
      </c>
      <c r="C97">
        <v>8</v>
      </c>
      <c r="D97">
        <v>0</v>
      </c>
      <c r="E97">
        <v>3</v>
      </c>
      <c r="F97">
        <v>0</v>
      </c>
      <c r="G97">
        <v>11</v>
      </c>
      <c r="H97">
        <v>2</v>
      </c>
      <c r="I97">
        <v>0</v>
      </c>
      <c r="J97">
        <v>0.18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 s="86">
        <f>AVERAGEIFS($C$2:C97, $B$2:B97, B97)</f>
        <v>16.833333333333332</v>
      </c>
      <c r="AI97" s="86">
        <f>AVERAGEIFS($I$2:I97, $B$2:B97, B97)</f>
        <v>0.40833333333333338</v>
      </c>
      <c r="AJ97" s="86">
        <f>AVERAGEIFS($J$2:J97, $B$2:B97, B97)</f>
        <v>0.4366666666666667</v>
      </c>
      <c r="AK97" s="86">
        <f>AVERAGEIFS($D$2:D97, $B$2:B97, B97)</f>
        <v>0.5</v>
      </c>
    </row>
    <row r="98" spans="1:37" x14ac:dyDescent="0.25">
      <c r="A98" s="85">
        <v>46121</v>
      </c>
      <c r="B98" t="s">
        <v>13</v>
      </c>
      <c r="C98">
        <v>6</v>
      </c>
      <c r="D98">
        <v>0</v>
      </c>
      <c r="E98">
        <v>3</v>
      </c>
      <c r="F98">
        <v>0</v>
      </c>
      <c r="G98">
        <v>11</v>
      </c>
      <c r="H98">
        <v>2</v>
      </c>
      <c r="I98">
        <v>0</v>
      </c>
      <c r="J98">
        <v>0.18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 s="86">
        <f>AVERAGEIFS($C$2:C98, $B$2:B98, B98)</f>
        <v>14</v>
      </c>
      <c r="AI98" s="86">
        <f>AVERAGEIFS($I$2:I98, $B$2:B98, B98)</f>
        <v>0.5</v>
      </c>
      <c r="AJ98" s="86">
        <f>AVERAGEIFS($J$2:J98, $B$2:B98, B98)</f>
        <v>0.46749999999999997</v>
      </c>
      <c r="AK98" s="86">
        <f>AVERAGEIFS($D$2:D98, $B$2:B98, B98)</f>
        <v>0.5</v>
      </c>
    </row>
    <row r="99" spans="1:37" x14ac:dyDescent="0.25">
      <c r="A99" s="85">
        <v>46121</v>
      </c>
      <c r="B99" t="s">
        <v>71</v>
      </c>
      <c r="C99">
        <v>7</v>
      </c>
      <c r="D99">
        <v>0</v>
      </c>
      <c r="E99">
        <v>3</v>
      </c>
      <c r="F99">
        <v>0</v>
      </c>
      <c r="G99">
        <v>11</v>
      </c>
      <c r="H99">
        <v>2</v>
      </c>
      <c r="I99">
        <v>0</v>
      </c>
      <c r="J99">
        <v>0.18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 s="86">
        <f>AVERAGEIFS($C$2:C99, $B$2:B99, B99)</f>
        <v>9.5</v>
      </c>
      <c r="AI99" s="86">
        <f>AVERAGEIFS($I$2:I99, $B$2:B99, B99)</f>
        <v>0.34166666666666662</v>
      </c>
      <c r="AJ99" s="86">
        <f>AVERAGEIFS($J$2:J99, $B$2:B99, B99)</f>
        <v>0.42</v>
      </c>
      <c r="AK99" s="86">
        <f>AVERAGEIFS($D$2:D99, $B$2:B99, B99)</f>
        <v>0.16666666666666666</v>
      </c>
    </row>
    <row r="100" spans="1:37" x14ac:dyDescent="0.25">
      <c r="A100" s="85">
        <v>46123</v>
      </c>
      <c r="B100" t="s">
        <v>14</v>
      </c>
      <c r="C100">
        <v>21</v>
      </c>
      <c r="D100">
        <v>1</v>
      </c>
      <c r="E100">
        <v>5</v>
      </c>
      <c r="F100">
        <v>3</v>
      </c>
      <c r="G100">
        <v>19</v>
      </c>
      <c r="H100">
        <v>10</v>
      </c>
      <c r="I100">
        <v>0.6</v>
      </c>
      <c r="J100">
        <v>0.53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1</v>
      </c>
      <c r="AD100">
        <v>0</v>
      </c>
      <c r="AE100">
        <v>0</v>
      </c>
      <c r="AF100">
        <v>0</v>
      </c>
      <c r="AG100">
        <v>0</v>
      </c>
      <c r="AH100" s="86">
        <f>AVERAGEIFS($C$2:C100, $B$2:B100, B100)</f>
        <v>14</v>
      </c>
      <c r="AI100" s="86">
        <f>AVERAGEIFS($I$2:I100, $B$2:B100, B100)</f>
        <v>0.3666666666666667</v>
      </c>
      <c r="AJ100" s="86">
        <f>AVERAGEIFS($J$2:J100, $B$2:B100, B100)</f>
        <v>0.45333333333333337</v>
      </c>
      <c r="AK100" s="86">
        <f>AVERAGEIFS($D$2:D100, $B$2:B100, B100)</f>
        <v>0.33333333333333331</v>
      </c>
    </row>
    <row r="101" spans="1:37" x14ac:dyDescent="0.25">
      <c r="A101" s="85">
        <v>46123</v>
      </c>
      <c r="B101" t="s">
        <v>71</v>
      </c>
      <c r="C101">
        <v>17</v>
      </c>
      <c r="D101">
        <v>1</v>
      </c>
      <c r="E101">
        <v>5</v>
      </c>
      <c r="F101">
        <v>3</v>
      </c>
      <c r="G101">
        <v>19</v>
      </c>
      <c r="H101">
        <v>10</v>
      </c>
      <c r="I101">
        <v>0.6</v>
      </c>
      <c r="J101">
        <v>0.53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1</v>
      </c>
      <c r="AD101">
        <v>0</v>
      </c>
      <c r="AE101">
        <v>0</v>
      </c>
      <c r="AF101">
        <v>0</v>
      </c>
      <c r="AG101">
        <v>0</v>
      </c>
      <c r="AH101" s="86">
        <f>AVERAGEIFS($C$2:C101, $B$2:B101, B101)</f>
        <v>10.571428571428571</v>
      </c>
      <c r="AI101" s="86">
        <f>AVERAGEIFS($I$2:I101, $B$2:B101, B101)</f>
        <v>0.37857142857142856</v>
      </c>
      <c r="AJ101" s="86">
        <f>AVERAGEIFS($J$2:J101, $B$2:B101, B101)</f>
        <v>0.43571428571428567</v>
      </c>
      <c r="AK101" s="86">
        <f>AVERAGEIFS($D$2:D101, $B$2:B101, B101)</f>
        <v>0.2857142857142857</v>
      </c>
    </row>
    <row r="102" spans="1:37" x14ac:dyDescent="0.25">
      <c r="A102" s="85">
        <v>46123</v>
      </c>
      <c r="B102" t="s">
        <v>46</v>
      </c>
      <c r="C102">
        <v>17</v>
      </c>
      <c r="D102">
        <v>1</v>
      </c>
      <c r="E102">
        <v>5</v>
      </c>
      <c r="F102">
        <v>3</v>
      </c>
      <c r="G102">
        <v>19</v>
      </c>
      <c r="H102">
        <v>10</v>
      </c>
      <c r="I102">
        <v>0.6</v>
      </c>
      <c r="J102">
        <v>0.53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1</v>
      </c>
      <c r="AD102">
        <v>0</v>
      </c>
      <c r="AE102">
        <v>0</v>
      </c>
      <c r="AF102">
        <v>0</v>
      </c>
      <c r="AG102">
        <v>0</v>
      </c>
      <c r="AH102" s="86">
        <f>AVERAGEIFS($C$2:C102, $B$2:B102, B102)</f>
        <v>17.2</v>
      </c>
      <c r="AI102" s="86">
        <f>AVERAGEIFS($I$2:I102, $B$2:B102, B102)</f>
        <v>0.32999999999999996</v>
      </c>
      <c r="AJ102" s="86">
        <f>AVERAGEIFS($J$2:J102, $B$2:B102, B102)</f>
        <v>0.42599999999999999</v>
      </c>
      <c r="AK102" s="86">
        <f>AVERAGEIFS($D$2:D102, $B$2:B102, B102)</f>
        <v>0.2</v>
      </c>
    </row>
    <row r="103" spans="1:37" x14ac:dyDescent="0.25">
      <c r="A103" s="85">
        <v>46123</v>
      </c>
      <c r="B103" t="s">
        <v>5</v>
      </c>
      <c r="C103">
        <v>16</v>
      </c>
      <c r="D103">
        <v>1</v>
      </c>
      <c r="E103">
        <v>5</v>
      </c>
      <c r="F103">
        <v>3</v>
      </c>
      <c r="G103">
        <v>19</v>
      </c>
      <c r="H103">
        <v>10</v>
      </c>
      <c r="I103">
        <v>0.6</v>
      </c>
      <c r="J103">
        <v>0.53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1</v>
      </c>
      <c r="AD103">
        <v>0</v>
      </c>
      <c r="AE103">
        <v>0</v>
      </c>
      <c r="AF103">
        <v>0</v>
      </c>
      <c r="AG103">
        <v>0</v>
      </c>
      <c r="AH103" s="86">
        <f>AVERAGEIFS($C$2:C103, $B$2:B103, B103)</f>
        <v>16.75</v>
      </c>
      <c r="AI103" s="86">
        <f>AVERAGEIFS($I$2:I103, $B$2:B103, B103)</f>
        <v>0.61250000000000004</v>
      </c>
      <c r="AJ103" s="86">
        <f>AVERAGEIFS($J$2:J103, $B$2:B103, B103)</f>
        <v>0.56000000000000005</v>
      </c>
      <c r="AK103" s="86">
        <f>AVERAGEIFS($D$2:D103, $B$2:B103, B103)</f>
        <v>0.75</v>
      </c>
    </row>
    <row r="104" spans="1:37" x14ac:dyDescent="0.25">
      <c r="A104" s="85">
        <v>46123</v>
      </c>
      <c r="B104" t="s">
        <v>17</v>
      </c>
      <c r="C104">
        <v>16</v>
      </c>
      <c r="D104">
        <v>1</v>
      </c>
      <c r="E104">
        <v>5</v>
      </c>
      <c r="F104">
        <v>3</v>
      </c>
      <c r="G104">
        <v>19</v>
      </c>
      <c r="H104">
        <v>10</v>
      </c>
      <c r="I104">
        <v>0.6</v>
      </c>
      <c r="J104">
        <v>0.53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1</v>
      </c>
      <c r="AD104">
        <v>0</v>
      </c>
      <c r="AE104">
        <v>0</v>
      </c>
      <c r="AF104">
        <v>0</v>
      </c>
      <c r="AG104">
        <v>0</v>
      </c>
      <c r="AH104" s="86">
        <f>AVERAGEIFS($C$2:C104, $B$2:B104, B104)</f>
        <v>18.2</v>
      </c>
      <c r="AI104" s="86">
        <f>AVERAGEIFS($I$2:I104, $B$2:B104, B104)</f>
        <v>0.77</v>
      </c>
      <c r="AJ104" s="86">
        <f>AVERAGEIFS($J$2:J104, $B$2:B104, B104)</f>
        <v>0.64200000000000002</v>
      </c>
      <c r="AK104" s="86">
        <f>AVERAGEIFS($D$2:D104, $B$2:B104, B104)</f>
        <v>1</v>
      </c>
    </row>
    <row r="105" spans="1:37" x14ac:dyDescent="0.25">
      <c r="A105" s="85">
        <v>46123</v>
      </c>
      <c r="B105" t="s">
        <v>148</v>
      </c>
      <c r="C105">
        <v>2</v>
      </c>
      <c r="D105">
        <v>1</v>
      </c>
      <c r="E105">
        <v>5</v>
      </c>
      <c r="F105">
        <v>3</v>
      </c>
      <c r="G105">
        <v>19</v>
      </c>
      <c r="H105">
        <v>10</v>
      </c>
      <c r="I105">
        <v>0.6</v>
      </c>
      <c r="J105">
        <v>0.53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1</v>
      </c>
      <c r="AD105">
        <v>0</v>
      </c>
      <c r="AE105">
        <v>0</v>
      </c>
      <c r="AF105">
        <v>0</v>
      </c>
      <c r="AG105">
        <v>0</v>
      </c>
      <c r="AH105" s="86">
        <f>AVERAGEIFS($C$2:C105, $B$2:B105, B105)</f>
        <v>2</v>
      </c>
      <c r="AI105" s="86">
        <f>AVERAGEIFS($I$2:I105, $B$2:B105, B105)</f>
        <v>0.6</v>
      </c>
      <c r="AJ105" s="86">
        <f>AVERAGEIFS($J$2:J105, $B$2:B105, B105)</f>
        <v>0.53</v>
      </c>
      <c r="AK105" s="86">
        <f>AVERAGEIFS($D$2:D105, $B$2:B105, B105)</f>
        <v>1</v>
      </c>
    </row>
    <row r="106" spans="1:37" x14ac:dyDescent="0.25">
      <c r="A106" s="85">
        <v>46123</v>
      </c>
      <c r="B106" t="s">
        <v>6</v>
      </c>
      <c r="C106">
        <v>23</v>
      </c>
      <c r="D106">
        <v>0</v>
      </c>
      <c r="E106">
        <v>5</v>
      </c>
      <c r="F106">
        <v>2</v>
      </c>
      <c r="G106">
        <v>19</v>
      </c>
      <c r="H106">
        <v>9</v>
      </c>
      <c r="I106">
        <v>0.4</v>
      </c>
      <c r="J106">
        <v>0.47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1</v>
      </c>
      <c r="AA106">
        <v>0</v>
      </c>
      <c r="AB106">
        <v>0</v>
      </c>
      <c r="AC106">
        <v>0</v>
      </c>
      <c r="AD106">
        <v>1</v>
      </c>
      <c r="AE106">
        <v>0</v>
      </c>
      <c r="AF106">
        <v>0</v>
      </c>
      <c r="AG106">
        <v>0</v>
      </c>
      <c r="AH106" s="86">
        <f>AVERAGEIFS($C$2:C106, $B$2:B106, B106)</f>
        <v>21.75</v>
      </c>
      <c r="AI106" s="86">
        <f>AVERAGEIFS($I$2:I106, $B$2:B106, B106)</f>
        <v>0.39374999999999999</v>
      </c>
      <c r="AJ106" s="86">
        <f>AVERAGEIFS($J$2:J106, $B$2:B106, B106)</f>
        <v>0.42625000000000002</v>
      </c>
      <c r="AK106" s="86">
        <f>AVERAGEIFS($D$2:D106, $B$2:B106, B106)</f>
        <v>0.375</v>
      </c>
    </row>
    <row r="107" spans="1:37" x14ac:dyDescent="0.25">
      <c r="A107" s="85">
        <v>46123</v>
      </c>
      <c r="B107" t="s">
        <v>113</v>
      </c>
      <c r="C107">
        <v>19</v>
      </c>
      <c r="D107">
        <v>0</v>
      </c>
      <c r="E107">
        <v>5</v>
      </c>
      <c r="F107">
        <v>2</v>
      </c>
      <c r="G107">
        <v>19</v>
      </c>
      <c r="H107">
        <v>9</v>
      </c>
      <c r="I107">
        <v>0.4</v>
      </c>
      <c r="J107">
        <v>0.47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1</v>
      </c>
      <c r="AA107">
        <v>0</v>
      </c>
      <c r="AB107">
        <v>0</v>
      </c>
      <c r="AC107">
        <v>0</v>
      </c>
      <c r="AD107">
        <v>1</v>
      </c>
      <c r="AE107">
        <v>0</v>
      </c>
      <c r="AF107">
        <v>0</v>
      </c>
      <c r="AG107">
        <v>0</v>
      </c>
      <c r="AH107" s="86">
        <f>AVERAGEIFS($C$2:C107, $B$2:B107, B107)</f>
        <v>18.833333333333332</v>
      </c>
      <c r="AI107" s="86">
        <f>AVERAGEIFS($I$2:I107, $B$2:B107, B107)</f>
        <v>0.64166666666666672</v>
      </c>
      <c r="AJ107" s="86">
        <f>AVERAGEIFS($J$2:J107, $B$2:B107, B107)</f>
        <v>0.59166666666666667</v>
      </c>
      <c r="AK107" s="86">
        <f>AVERAGEIFS($D$2:D107, $B$2:B107, B107)</f>
        <v>0.66666666666666663</v>
      </c>
    </row>
    <row r="108" spans="1:37" x14ac:dyDescent="0.25">
      <c r="A108" s="85">
        <v>46123</v>
      </c>
      <c r="B108" t="s">
        <v>52</v>
      </c>
      <c r="C108">
        <v>17</v>
      </c>
      <c r="D108">
        <v>0</v>
      </c>
      <c r="E108">
        <v>5</v>
      </c>
      <c r="F108">
        <v>2</v>
      </c>
      <c r="G108">
        <v>19</v>
      </c>
      <c r="H108">
        <v>9</v>
      </c>
      <c r="I108">
        <v>0.4</v>
      </c>
      <c r="J108">
        <v>0.47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1</v>
      </c>
      <c r="AA108">
        <v>0</v>
      </c>
      <c r="AB108">
        <v>0</v>
      </c>
      <c r="AC108">
        <v>0</v>
      </c>
      <c r="AD108">
        <v>1</v>
      </c>
      <c r="AE108">
        <v>0</v>
      </c>
      <c r="AF108">
        <v>0</v>
      </c>
      <c r="AG108">
        <v>0</v>
      </c>
      <c r="AH108" s="86">
        <f>AVERAGEIFS($C$2:C108, $B$2:B108, B108)</f>
        <v>17</v>
      </c>
      <c r="AI108" s="86">
        <f>AVERAGEIFS($I$2:I108, $B$2:B108, B108)</f>
        <v>0.4</v>
      </c>
      <c r="AJ108" s="86">
        <f>AVERAGEIFS($J$2:J108, $B$2:B108, B108)</f>
        <v>0.47</v>
      </c>
      <c r="AK108" s="86">
        <f>AVERAGEIFS($D$2:D108, $B$2:B108, B108)</f>
        <v>0</v>
      </c>
    </row>
    <row r="109" spans="1:37" x14ac:dyDescent="0.25">
      <c r="A109" s="85">
        <v>46123</v>
      </c>
      <c r="B109" t="s">
        <v>40</v>
      </c>
      <c r="C109">
        <v>15</v>
      </c>
      <c r="D109">
        <v>0</v>
      </c>
      <c r="E109">
        <v>5</v>
      </c>
      <c r="F109">
        <v>2</v>
      </c>
      <c r="G109">
        <v>19</v>
      </c>
      <c r="H109">
        <v>9</v>
      </c>
      <c r="I109">
        <v>0.4</v>
      </c>
      <c r="J109">
        <v>0.47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1</v>
      </c>
      <c r="AA109">
        <v>0</v>
      </c>
      <c r="AB109">
        <v>0</v>
      </c>
      <c r="AC109">
        <v>0</v>
      </c>
      <c r="AD109">
        <v>1</v>
      </c>
      <c r="AE109">
        <v>0</v>
      </c>
      <c r="AF109">
        <v>0</v>
      </c>
      <c r="AG109">
        <v>0</v>
      </c>
      <c r="AH109" s="86">
        <f>AVERAGEIFS($C$2:C109, $B$2:B109, B109)</f>
        <v>18.75</v>
      </c>
      <c r="AI109" s="86">
        <f>AVERAGEIFS($I$2:I109, $B$2:B109, B109)</f>
        <v>0.51875000000000004</v>
      </c>
      <c r="AJ109" s="86">
        <f>AVERAGEIFS($J$2:J109, $B$2:B109, B109)</f>
        <v>0.50624999999999998</v>
      </c>
      <c r="AK109" s="86">
        <f>AVERAGEIFS($D$2:D109, $B$2:B109, B109)</f>
        <v>0.5</v>
      </c>
    </row>
    <row r="110" spans="1:37" x14ac:dyDescent="0.25">
      <c r="A110" s="85">
        <v>46123</v>
      </c>
      <c r="B110" t="s">
        <v>150</v>
      </c>
      <c r="C110">
        <v>15</v>
      </c>
      <c r="D110">
        <v>0</v>
      </c>
      <c r="E110">
        <v>5</v>
      </c>
      <c r="F110">
        <v>2</v>
      </c>
      <c r="G110">
        <v>19</v>
      </c>
      <c r="H110">
        <v>9</v>
      </c>
      <c r="I110">
        <v>0.4</v>
      </c>
      <c r="J110">
        <v>0.47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1</v>
      </c>
      <c r="AA110">
        <v>0</v>
      </c>
      <c r="AB110">
        <v>0</v>
      </c>
      <c r="AC110">
        <v>0</v>
      </c>
      <c r="AD110">
        <v>1</v>
      </c>
      <c r="AE110">
        <v>0</v>
      </c>
      <c r="AF110">
        <v>0</v>
      </c>
      <c r="AG110">
        <v>0</v>
      </c>
      <c r="AH110" s="86">
        <f>AVERAGEIFS($C$2:C110, $B$2:B110, B110)</f>
        <v>15.25</v>
      </c>
      <c r="AI110" s="86">
        <f>AVERAGEIFS($I$2:I110, $B$2:B110, B110)</f>
        <v>0.78749999999999998</v>
      </c>
      <c r="AJ110" s="86">
        <f>AVERAGEIFS($J$2:J110, $B$2:B110, B110)</f>
        <v>0.7</v>
      </c>
      <c r="AK110" s="86">
        <f>AVERAGEIFS($D$2:D110, $B$2:B110, B110)</f>
        <v>0.75</v>
      </c>
    </row>
    <row r="111" spans="1:37" x14ac:dyDescent="0.25">
      <c r="A111" s="85">
        <v>46123</v>
      </c>
      <c r="B111" t="s">
        <v>53</v>
      </c>
      <c r="C111">
        <v>6</v>
      </c>
      <c r="D111">
        <v>0</v>
      </c>
      <c r="E111">
        <v>5</v>
      </c>
      <c r="F111">
        <v>2</v>
      </c>
      <c r="G111">
        <v>19</v>
      </c>
      <c r="H111">
        <v>9</v>
      </c>
      <c r="I111">
        <v>0.4</v>
      </c>
      <c r="J111">
        <v>0.47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1</v>
      </c>
      <c r="AA111">
        <v>0</v>
      </c>
      <c r="AB111">
        <v>0</v>
      </c>
      <c r="AC111">
        <v>0</v>
      </c>
      <c r="AD111">
        <v>1</v>
      </c>
      <c r="AE111">
        <v>0</v>
      </c>
      <c r="AF111">
        <v>0</v>
      </c>
      <c r="AG111">
        <v>0</v>
      </c>
      <c r="AH111" s="86">
        <f>AVERAGEIFS($C$2:C111, $B$2:B111, B111)</f>
        <v>13.666666666666666</v>
      </c>
      <c r="AI111" s="86">
        <f>AVERAGEIFS($I$2:I111, $B$2:B111, B111)</f>
        <v>0.57499999999999996</v>
      </c>
      <c r="AJ111" s="86">
        <f>AVERAGEIFS($J$2:J111, $B$2:B111, B111)</f>
        <v>0.54499999999999993</v>
      </c>
      <c r="AK111" s="86">
        <f>AVERAGEIFS($D$2:D111, $B$2:B111, B111)</f>
        <v>0.33333333333333331</v>
      </c>
    </row>
    <row r="112" spans="1:37" x14ac:dyDescent="0.25">
      <c r="A112" s="85">
        <v>46124</v>
      </c>
      <c r="B112" t="s">
        <v>167</v>
      </c>
      <c r="C112">
        <v>14</v>
      </c>
      <c r="D112">
        <v>1</v>
      </c>
      <c r="E112">
        <v>4</v>
      </c>
      <c r="F112">
        <v>3</v>
      </c>
      <c r="G112">
        <v>18</v>
      </c>
      <c r="H112">
        <v>10</v>
      </c>
      <c r="I112">
        <v>0.75</v>
      </c>
      <c r="J112">
        <v>0.56000000000000005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1</v>
      </c>
      <c r="Z112">
        <v>1</v>
      </c>
      <c r="AA112">
        <v>0</v>
      </c>
      <c r="AB112">
        <v>0</v>
      </c>
      <c r="AC112">
        <v>1</v>
      </c>
      <c r="AD112">
        <v>0</v>
      </c>
      <c r="AE112">
        <v>0</v>
      </c>
      <c r="AF112">
        <v>0</v>
      </c>
      <c r="AG112">
        <v>0</v>
      </c>
      <c r="AH112" s="86">
        <f>AVERAGEIFS($C$2:C112, $B$2:B112, B112)</f>
        <v>14</v>
      </c>
      <c r="AI112" s="86">
        <f>AVERAGEIFS($I$2:I112, $B$2:B112, B112)</f>
        <v>0.75</v>
      </c>
      <c r="AJ112" s="86">
        <f>AVERAGEIFS($J$2:J112, $B$2:B112, B112)</f>
        <v>0.56000000000000005</v>
      </c>
      <c r="AK112" s="86">
        <f>AVERAGEIFS($D$2:D112, $B$2:B112, B112)</f>
        <v>1</v>
      </c>
    </row>
    <row r="113" spans="1:37" x14ac:dyDescent="0.25">
      <c r="A113" s="85">
        <v>46124</v>
      </c>
      <c r="B113" t="s">
        <v>13</v>
      </c>
      <c r="C113">
        <v>23</v>
      </c>
      <c r="D113">
        <v>1</v>
      </c>
      <c r="E113">
        <v>4</v>
      </c>
      <c r="F113">
        <v>3</v>
      </c>
      <c r="G113">
        <v>18</v>
      </c>
      <c r="H113">
        <v>10</v>
      </c>
      <c r="I113">
        <v>0.75</v>
      </c>
      <c r="J113">
        <v>0.56000000000000005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1</v>
      </c>
      <c r="Z113">
        <v>1</v>
      </c>
      <c r="AA113">
        <v>0</v>
      </c>
      <c r="AB113">
        <v>0</v>
      </c>
      <c r="AC113">
        <v>1</v>
      </c>
      <c r="AD113">
        <v>0</v>
      </c>
      <c r="AE113">
        <v>0</v>
      </c>
      <c r="AF113">
        <v>0</v>
      </c>
      <c r="AG113">
        <v>0</v>
      </c>
      <c r="AH113" s="86">
        <f>AVERAGEIFS($C$2:C113, $B$2:B113, B113)</f>
        <v>15.8</v>
      </c>
      <c r="AI113" s="86">
        <f>AVERAGEIFS($I$2:I113, $B$2:B113, B113)</f>
        <v>0.55000000000000004</v>
      </c>
      <c r="AJ113" s="86">
        <f>AVERAGEIFS($J$2:J113, $B$2:B113, B113)</f>
        <v>0.48599999999999993</v>
      </c>
      <c r="AK113" s="86">
        <f>AVERAGEIFS($D$2:D113, $B$2:B113, B113)</f>
        <v>0.6</v>
      </c>
    </row>
    <row r="114" spans="1:37" x14ac:dyDescent="0.25">
      <c r="A114" s="85">
        <v>46124</v>
      </c>
      <c r="B114" t="s">
        <v>161</v>
      </c>
      <c r="C114">
        <v>10</v>
      </c>
      <c r="D114">
        <v>1</v>
      </c>
      <c r="E114">
        <v>4</v>
      </c>
      <c r="F114">
        <v>3</v>
      </c>
      <c r="G114">
        <v>18</v>
      </c>
      <c r="H114">
        <v>10</v>
      </c>
      <c r="I114">
        <v>0.75</v>
      </c>
      <c r="J114">
        <v>0.56000000000000005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1</v>
      </c>
      <c r="Z114">
        <v>1</v>
      </c>
      <c r="AA114">
        <v>0</v>
      </c>
      <c r="AB114">
        <v>0</v>
      </c>
      <c r="AC114">
        <v>1</v>
      </c>
      <c r="AD114">
        <v>0</v>
      </c>
      <c r="AE114">
        <v>0</v>
      </c>
      <c r="AF114">
        <v>0</v>
      </c>
      <c r="AG114">
        <v>0</v>
      </c>
      <c r="AH114" s="86">
        <f>AVERAGEIFS($C$2:C114, $B$2:B114, B114)</f>
        <v>7</v>
      </c>
      <c r="AI114" s="86">
        <f>AVERAGEIFS($I$2:I114, $B$2:B114, B114)</f>
        <v>0.75</v>
      </c>
      <c r="AJ114" s="86">
        <f>AVERAGEIFS($J$2:J114, $B$2:B114, B114)</f>
        <v>0.58499999999999996</v>
      </c>
      <c r="AK114" s="86">
        <f>AVERAGEIFS($D$2:D114, $B$2:B114, B114)</f>
        <v>1</v>
      </c>
    </row>
    <row r="115" spans="1:37" x14ac:dyDescent="0.25">
      <c r="A115" s="85">
        <v>46124</v>
      </c>
      <c r="B115" t="s">
        <v>42</v>
      </c>
      <c r="C115">
        <v>6</v>
      </c>
      <c r="D115">
        <v>1</v>
      </c>
      <c r="E115">
        <v>4</v>
      </c>
      <c r="F115">
        <v>3</v>
      </c>
      <c r="G115">
        <v>18</v>
      </c>
      <c r="H115">
        <v>10</v>
      </c>
      <c r="I115">
        <v>0.75</v>
      </c>
      <c r="J115">
        <v>0.56000000000000005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1</v>
      </c>
      <c r="Z115">
        <v>1</v>
      </c>
      <c r="AA115">
        <v>0</v>
      </c>
      <c r="AB115">
        <v>0</v>
      </c>
      <c r="AC115">
        <v>1</v>
      </c>
      <c r="AD115">
        <v>0</v>
      </c>
      <c r="AE115">
        <v>0</v>
      </c>
      <c r="AF115">
        <v>0</v>
      </c>
      <c r="AG115">
        <v>0</v>
      </c>
      <c r="AH115" s="86">
        <f>AVERAGEIFS($C$2:C115, $B$2:B115, B115)</f>
        <v>18.5</v>
      </c>
      <c r="AI115" s="86">
        <f>AVERAGEIFS($I$2:I115, $B$2:B115, B115)</f>
        <v>0.375</v>
      </c>
      <c r="AJ115" s="86">
        <f>AVERAGEIFS($J$2:J115, $B$2:B115, B115)</f>
        <v>0.41166666666666663</v>
      </c>
      <c r="AK115" s="86">
        <f>AVERAGEIFS($D$2:D115, $B$2:B115, B115)</f>
        <v>0.33333333333333331</v>
      </c>
    </row>
    <row r="116" spans="1:37" x14ac:dyDescent="0.25">
      <c r="A116" s="85">
        <v>46124</v>
      </c>
      <c r="B116" t="s">
        <v>150</v>
      </c>
      <c r="C116">
        <v>28</v>
      </c>
      <c r="D116">
        <v>1</v>
      </c>
      <c r="E116">
        <v>4</v>
      </c>
      <c r="F116">
        <v>3</v>
      </c>
      <c r="G116">
        <v>18</v>
      </c>
      <c r="H116">
        <v>10</v>
      </c>
      <c r="I116">
        <v>0.75</v>
      </c>
      <c r="J116">
        <v>0.56000000000000005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1</v>
      </c>
      <c r="Z116">
        <v>1</v>
      </c>
      <c r="AA116">
        <v>0</v>
      </c>
      <c r="AB116">
        <v>0</v>
      </c>
      <c r="AC116">
        <v>1</v>
      </c>
      <c r="AD116">
        <v>0</v>
      </c>
      <c r="AE116">
        <v>0</v>
      </c>
      <c r="AF116">
        <v>0</v>
      </c>
      <c r="AG116">
        <v>0</v>
      </c>
      <c r="AH116" s="86">
        <f>AVERAGEIFS($C$2:C116, $B$2:B116, B116)</f>
        <v>17.8</v>
      </c>
      <c r="AI116" s="86">
        <f>AVERAGEIFS($I$2:I116, $B$2:B116, B116)</f>
        <v>0.78</v>
      </c>
      <c r="AJ116" s="86">
        <f>AVERAGEIFS($J$2:J116, $B$2:B116, B116)</f>
        <v>0.67199999999999993</v>
      </c>
      <c r="AK116" s="86">
        <f>AVERAGEIFS($D$2:D116, $B$2:B116, B116)</f>
        <v>0.8</v>
      </c>
    </row>
    <row r="117" spans="1:37" x14ac:dyDescent="0.25">
      <c r="A117" s="85">
        <v>46124</v>
      </c>
      <c r="B117" t="s">
        <v>4</v>
      </c>
      <c r="C117">
        <v>28</v>
      </c>
      <c r="D117">
        <v>1</v>
      </c>
      <c r="E117">
        <v>4</v>
      </c>
      <c r="F117">
        <v>3</v>
      </c>
      <c r="G117">
        <v>18</v>
      </c>
      <c r="H117">
        <v>10</v>
      </c>
      <c r="I117">
        <v>0.75</v>
      </c>
      <c r="J117">
        <v>0.56000000000000005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1</v>
      </c>
      <c r="Z117">
        <v>1</v>
      </c>
      <c r="AA117">
        <v>0</v>
      </c>
      <c r="AB117">
        <v>0</v>
      </c>
      <c r="AC117">
        <v>1</v>
      </c>
      <c r="AD117">
        <v>0</v>
      </c>
      <c r="AE117">
        <v>0</v>
      </c>
      <c r="AF117">
        <v>0</v>
      </c>
      <c r="AG117">
        <v>0</v>
      </c>
      <c r="AH117" s="86">
        <f>AVERAGEIFS($C$2:C117, $B$2:B117, B117)</f>
        <v>26.6</v>
      </c>
      <c r="AI117" s="86">
        <f>AVERAGEIFS($I$2:I117, $B$2:B117, B117)</f>
        <v>0.74</v>
      </c>
      <c r="AJ117" s="86">
        <f>AVERAGEIFS($J$2:J117, $B$2:B117, B117)</f>
        <v>0.59199999999999997</v>
      </c>
      <c r="AK117" s="86">
        <f>AVERAGEIFS($D$2:D117, $B$2:B117, B117)</f>
        <v>1</v>
      </c>
    </row>
    <row r="118" spans="1:37" x14ac:dyDescent="0.25">
      <c r="A118" s="85">
        <v>46124</v>
      </c>
      <c r="B118" t="s">
        <v>113</v>
      </c>
      <c r="C118">
        <v>21</v>
      </c>
      <c r="D118">
        <v>1</v>
      </c>
      <c r="E118">
        <v>4</v>
      </c>
      <c r="F118">
        <v>3</v>
      </c>
      <c r="G118">
        <v>18</v>
      </c>
      <c r="H118">
        <v>10</v>
      </c>
      <c r="I118">
        <v>0.75</v>
      </c>
      <c r="J118">
        <v>0.56000000000000005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1</v>
      </c>
      <c r="Z118">
        <v>1</v>
      </c>
      <c r="AA118">
        <v>0</v>
      </c>
      <c r="AB118">
        <v>0</v>
      </c>
      <c r="AC118">
        <v>1</v>
      </c>
      <c r="AD118">
        <v>0</v>
      </c>
      <c r="AE118">
        <v>0</v>
      </c>
      <c r="AF118">
        <v>0</v>
      </c>
      <c r="AG118">
        <v>0</v>
      </c>
      <c r="AH118" s="86">
        <f>AVERAGEIFS($C$2:C118, $B$2:B118, B118)</f>
        <v>19.142857142857142</v>
      </c>
      <c r="AI118" s="86">
        <f>AVERAGEIFS($I$2:I118, $B$2:B118, B118)</f>
        <v>0.65714285714285714</v>
      </c>
      <c r="AJ118" s="86">
        <f>AVERAGEIFS($J$2:J118, $B$2:B118, B118)</f>
        <v>0.58714285714285708</v>
      </c>
      <c r="AK118" s="86">
        <f>AVERAGEIFS($D$2:D118, $B$2:B118, B118)</f>
        <v>0.7142857142857143</v>
      </c>
    </row>
    <row r="119" spans="1:37" x14ac:dyDescent="0.25">
      <c r="A119" s="85">
        <v>46124</v>
      </c>
      <c r="B119" t="s">
        <v>54</v>
      </c>
      <c r="C119">
        <v>20</v>
      </c>
      <c r="D119">
        <v>0</v>
      </c>
      <c r="E119">
        <v>4</v>
      </c>
      <c r="F119">
        <v>1</v>
      </c>
      <c r="G119">
        <v>18</v>
      </c>
      <c r="H119">
        <v>8</v>
      </c>
      <c r="I119">
        <v>0.25</v>
      </c>
      <c r="J119">
        <v>0.44</v>
      </c>
      <c r="K119">
        <v>0</v>
      </c>
      <c r="L119">
        <v>0</v>
      </c>
      <c r="M119">
        <v>0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 s="86">
        <f>AVERAGEIFS($C$2:C119, $B$2:B119, B119)</f>
        <v>17.333333333333332</v>
      </c>
      <c r="AI119" s="86">
        <f>AVERAGEIFS($I$2:I119, $B$2:B119, B119)</f>
        <v>0.75</v>
      </c>
      <c r="AJ119" s="86">
        <f>AVERAGEIFS($J$2:J119, $B$2:B119, B119)</f>
        <v>0.67666666666666664</v>
      </c>
      <c r="AK119" s="86">
        <f>AVERAGEIFS($D$2:D119, $B$2:B119, B119)</f>
        <v>0.66666666666666663</v>
      </c>
    </row>
    <row r="120" spans="1:37" x14ac:dyDescent="0.25">
      <c r="A120" s="85">
        <v>46124</v>
      </c>
      <c r="B120" t="s">
        <v>146</v>
      </c>
      <c r="C120">
        <v>13</v>
      </c>
      <c r="D120">
        <v>0</v>
      </c>
      <c r="E120">
        <v>4</v>
      </c>
      <c r="F120">
        <v>1</v>
      </c>
      <c r="G120">
        <v>18</v>
      </c>
      <c r="H120">
        <v>8</v>
      </c>
      <c r="I120">
        <v>0.25</v>
      </c>
      <c r="J120">
        <v>0.44</v>
      </c>
      <c r="K120">
        <v>0</v>
      </c>
      <c r="L120">
        <v>0</v>
      </c>
      <c r="M120">
        <v>0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 s="86">
        <f>AVERAGEIFS($C$2:C120, $B$2:B120, B120)</f>
        <v>8.5</v>
      </c>
      <c r="AI120" s="86">
        <f>AVERAGEIFS($I$2:I120, $B$2:B120, B120)</f>
        <v>0.125</v>
      </c>
      <c r="AJ120" s="86">
        <f>AVERAGEIFS($J$2:J120, $B$2:B120, B120)</f>
        <v>0.27</v>
      </c>
      <c r="AK120" s="86">
        <f>AVERAGEIFS($D$2:D120, $B$2:B120, B120)</f>
        <v>0</v>
      </c>
    </row>
    <row r="121" spans="1:37" x14ac:dyDescent="0.25">
      <c r="A121" s="85">
        <v>46124</v>
      </c>
      <c r="B121" t="s">
        <v>152</v>
      </c>
      <c r="C121">
        <v>12</v>
      </c>
      <c r="D121">
        <v>0</v>
      </c>
      <c r="E121">
        <v>4</v>
      </c>
      <c r="F121">
        <v>1</v>
      </c>
      <c r="G121">
        <v>18</v>
      </c>
      <c r="H121">
        <v>8</v>
      </c>
      <c r="I121">
        <v>0.25</v>
      </c>
      <c r="J121">
        <v>0.44</v>
      </c>
      <c r="K121">
        <v>0</v>
      </c>
      <c r="L121">
        <v>0</v>
      </c>
      <c r="M121">
        <v>0</v>
      </c>
      <c r="N121">
        <v>1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 s="86">
        <f>AVERAGEIFS($C$2:C121, $B$2:B121, B121)</f>
        <v>12</v>
      </c>
      <c r="AI121" s="86">
        <f>AVERAGEIFS($I$2:I121, $B$2:B121, B121)</f>
        <v>0.25</v>
      </c>
      <c r="AJ121" s="86">
        <f>AVERAGEIFS($J$2:J121, $B$2:B121, B121)</f>
        <v>0.44</v>
      </c>
      <c r="AK121" s="86">
        <f>AVERAGEIFS($D$2:D121, $B$2:B121, B121)</f>
        <v>0</v>
      </c>
    </row>
    <row r="122" spans="1:37" x14ac:dyDescent="0.25">
      <c r="A122" s="85">
        <v>46124</v>
      </c>
      <c r="B122" t="s">
        <v>40</v>
      </c>
      <c r="C122">
        <v>21</v>
      </c>
      <c r="D122">
        <v>0</v>
      </c>
      <c r="E122">
        <v>4</v>
      </c>
      <c r="F122">
        <v>1</v>
      </c>
      <c r="G122">
        <v>18</v>
      </c>
      <c r="H122">
        <v>8</v>
      </c>
      <c r="I122">
        <v>0.25</v>
      </c>
      <c r="J122">
        <v>0.44</v>
      </c>
      <c r="K122">
        <v>0</v>
      </c>
      <c r="L122">
        <v>0</v>
      </c>
      <c r="M122">
        <v>0</v>
      </c>
      <c r="N122">
        <v>1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 s="86">
        <f>AVERAGEIFS($C$2:C122, $B$2:B122, B122)</f>
        <v>19</v>
      </c>
      <c r="AI122" s="86">
        <f>AVERAGEIFS($I$2:I122, $B$2:B122, B122)</f>
        <v>0.48888888888888893</v>
      </c>
      <c r="AJ122" s="86">
        <f>AVERAGEIFS($J$2:J122, $B$2:B122, B122)</f>
        <v>0.49888888888888894</v>
      </c>
      <c r="AK122" s="86">
        <f>AVERAGEIFS($D$2:D122, $B$2:B122, B122)</f>
        <v>0.44444444444444442</v>
      </c>
    </row>
    <row r="123" spans="1:37" x14ac:dyDescent="0.25">
      <c r="A123" s="85">
        <v>46124</v>
      </c>
      <c r="B123" t="s">
        <v>70</v>
      </c>
      <c r="C123">
        <v>7</v>
      </c>
      <c r="D123">
        <v>0</v>
      </c>
      <c r="E123">
        <v>4</v>
      </c>
      <c r="F123">
        <v>1</v>
      </c>
      <c r="G123">
        <v>18</v>
      </c>
      <c r="H123">
        <v>8</v>
      </c>
      <c r="I123">
        <v>0.25</v>
      </c>
      <c r="J123">
        <v>0.44</v>
      </c>
      <c r="K123">
        <v>0</v>
      </c>
      <c r="L123">
        <v>0</v>
      </c>
      <c r="M123">
        <v>0</v>
      </c>
      <c r="N123">
        <v>1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 s="86">
        <f>AVERAGEIFS($C$2:C123, $B$2:B123, B123)</f>
        <v>7</v>
      </c>
      <c r="AI123" s="86">
        <f>AVERAGEIFS($I$2:I123, $B$2:B123, B123)</f>
        <v>0.25</v>
      </c>
      <c r="AJ123" s="86">
        <f>AVERAGEIFS($J$2:J123, $B$2:B123, B123)</f>
        <v>0.44</v>
      </c>
      <c r="AK123" s="86">
        <f>AVERAGEIFS($D$2:D123, $B$2:B123, B123)</f>
        <v>0</v>
      </c>
    </row>
    <row r="124" spans="1:37" x14ac:dyDescent="0.25">
      <c r="A124" s="85">
        <v>46124</v>
      </c>
      <c r="B124" t="s">
        <v>71</v>
      </c>
      <c r="C124">
        <v>14</v>
      </c>
      <c r="D124">
        <v>0</v>
      </c>
      <c r="E124">
        <v>4</v>
      </c>
      <c r="F124">
        <v>1</v>
      </c>
      <c r="G124">
        <v>18</v>
      </c>
      <c r="H124">
        <v>8</v>
      </c>
      <c r="I124">
        <v>0.25</v>
      </c>
      <c r="J124">
        <v>0.44</v>
      </c>
      <c r="K124">
        <v>0</v>
      </c>
      <c r="L124">
        <v>0</v>
      </c>
      <c r="M124">
        <v>0</v>
      </c>
      <c r="N124">
        <v>1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 s="86">
        <f>AVERAGEIFS($C$2:C124, $B$2:B124, B124)</f>
        <v>11</v>
      </c>
      <c r="AI124" s="86">
        <f>AVERAGEIFS($I$2:I124, $B$2:B124, B124)</f>
        <v>0.36249999999999999</v>
      </c>
      <c r="AJ124" s="86">
        <f>AVERAGEIFS($J$2:J124, $B$2:B124, B124)</f>
        <v>0.43624999999999997</v>
      </c>
      <c r="AK124" s="86">
        <f>AVERAGEIFS($D$2:D124, $B$2:B124, B124)</f>
        <v>0.25</v>
      </c>
    </row>
    <row r="125" spans="1:37" x14ac:dyDescent="0.25">
      <c r="A125" s="85">
        <v>46124</v>
      </c>
      <c r="B125" t="s">
        <v>4</v>
      </c>
      <c r="C125">
        <v>33</v>
      </c>
      <c r="D125">
        <v>0</v>
      </c>
      <c r="E125">
        <v>4</v>
      </c>
      <c r="F125">
        <v>1</v>
      </c>
      <c r="G125">
        <v>19</v>
      </c>
      <c r="H125">
        <v>8</v>
      </c>
      <c r="I125">
        <v>0.25</v>
      </c>
      <c r="J125">
        <v>0.42</v>
      </c>
      <c r="K125">
        <v>0</v>
      </c>
      <c r="L125">
        <v>0</v>
      </c>
      <c r="M125">
        <v>0</v>
      </c>
      <c r="N125">
        <v>1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 s="86">
        <f>AVERAGEIFS($C$2:C125, $B$2:B125, B125)</f>
        <v>27.666666666666668</v>
      </c>
      <c r="AI125" s="86">
        <f>AVERAGEIFS($I$2:I125, $B$2:B125, B125)</f>
        <v>0.65833333333333333</v>
      </c>
      <c r="AJ125" s="86">
        <f>AVERAGEIFS($J$2:J125, $B$2:B125, B125)</f>
        <v>0.56333333333333335</v>
      </c>
      <c r="AK125" s="86">
        <f>AVERAGEIFS($D$2:D125, $B$2:B125, B125)</f>
        <v>0.83333333333333337</v>
      </c>
    </row>
    <row r="126" spans="1:37" x14ac:dyDescent="0.25">
      <c r="A126" s="85">
        <v>46124</v>
      </c>
      <c r="B126" t="s">
        <v>6</v>
      </c>
      <c r="C126">
        <v>18</v>
      </c>
      <c r="D126">
        <v>0</v>
      </c>
      <c r="E126">
        <v>4</v>
      </c>
      <c r="F126">
        <v>1</v>
      </c>
      <c r="G126">
        <v>19</v>
      </c>
      <c r="H126">
        <v>8</v>
      </c>
      <c r="I126">
        <v>0.25</v>
      </c>
      <c r="J126">
        <v>0.42</v>
      </c>
      <c r="K126">
        <v>0</v>
      </c>
      <c r="L126">
        <v>0</v>
      </c>
      <c r="M126">
        <v>0</v>
      </c>
      <c r="N126">
        <v>1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 s="86">
        <f>AVERAGEIFS($C$2:C126, $B$2:B126, B126)</f>
        <v>21.333333333333332</v>
      </c>
      <c r="AI126" s="86">
        <f>AVERAGEIFS($I$2:I126, $B$2:B126, B126)</f>
        <v>0.37777777777777777</v>
      </c>
      <c r="AJ126" s="86">
        <f>AVERAGEIFS($J$2:J126, $B$2:B126, B126)</f>
        <v>0.42555555555555558</v>
      </c>
      <c r="AK126" s="86">
        <f>AVERAGEIFS($D$2:D126, $B$2:B126, B126)</f>
        <v>0.33333333333333331</v>
      </c>
    </row>
    <row r="127" spans="1:37" x14ac:dyDescent="0.25">
      <c r="A127" s="85">
        <v>46124</v>
      </c>
      <c r="B127" t="s">
        <v>42</v>
      </c>
      <c r="C127">
        <v>21</v>
      </c>
      <c r="D127">
        <v>0</v>
      </c>
      <c r="E127">
        <v>4</v>
      </c>
      <c r="F127">
        <v>1</v>
      </c>
      <c r="G127">
        <v>19</v>
      </c>
      <c r="H127">
        <v>8</v>
      </c>
      <c r="I127">
        <v>0.25</v>
      </c>
      <c r="J127">
        <v>0.42</v>
      </c>
      <c r="K127">
        <v>0</v>
      </c>
      <c r="L127">
        <v>0</v>
      </c>
      <c r="M127">
        <v>0</v>
      </c>
      <c r="N127">
        <v>1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 s="86">
        <f>AVERAGEIFS($C$2:C127, $B$2:B127, B127)</f>
        <v>18.857142857142858</v>
      </c>
      <c r="AI127" s="86">
        <f>AVERAGEIFS($I$2:I127, $B$2:B127, B127)</f>
        <v>0.35714285714285715</v>
      </c>
      <c r="AJ127" s="86">
        <f>AVERAGEIFS($J$2:J127, $B$2:B127, B127)</f>
        <v>0.41285714285714281</v>
      </c>
      <c r="AK127" s="86">
        <f>AVERAGEIFS($D$2:D127, $B$2:B127, B127)</f>
        <v>0.2857142857142857</v>
      </c>
    </row>
    <row r="128" spans="1:37" x14ac:dyDescent="0.25">
      <c r="A128" s="85">
        <v>46124</v>
      </c>
      <c r="B128" t="s">
        <v>52</v>
      </c>
      <c r="C128">
        <v>10</v>
      </c>
      <c r="D128">
        <v>0</v>
      </c>
      <c r="E128">
        <v>4</v>
      </c>
      <c r="F128">
        <v>1</v>
      </c>
      <c r="G128">
        <v>19</v>
      </c>
      <c r="H128">
        <v>8</v>
      </c>
      <c r="I128">
        <v>0.25</v>
      </c>
      <c r="J128">
        <v>0.42</v>
      </c>
      <c r="K128">
        <v>0</v>
      </c>
      <c r="L128">
        <v>0</v>
      </c>
      <c r="M128">
        <v>0</v>
      </c>
      <c r="N128">
        <v>1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 s="86">
        <f>AVERAGEIFS($C$2:C128, $B$2:B128, B128)</f>
        <v>13.5</v>
      </c>
      <c r="AI128" s="86">
        <f>AVERAGEIFS($I$2:I128, $B$2:B128, B128)</f>
        <v>0.32500000000000001</v>
      </c>
      <c r="AJ128" s="86">
        <f>AVERAGEIFS($J$2:J128, $B$2:B128, B128)</f>
        <v>0.44499999999999995</v>
      </c>
      <c r="AK128" s="86">
        <f>AVERAGEIFS($D$2:D128, $B$2:B128, B128)</f>
        <v>0</v>
      </c>
    </row>
    <row r="129" spans="1:37" x14ac:dyDescent="0.25">
      <c r="A129" s="85">
        <v>46124</v>
      </c>
      <c r="B129" t="s">
        <v>150</v>
      </c>
      <c r="C129">
        <v>23</v>
      </c>
      <c r="D129">
        <v>0</v>
      </c>
      <c r="E129">
        <v>4</v>
      </c>
      <c r="F129">
        <v>1</v>
      </c>
      <c r="G129">
        <v>19</v>
      </c>
      <c r="H129">
        <v>8</v>
      </c>
      <c r="I129">
        <v>0.25</v>
      </c>
      <c r="J129">
        <v>0.42</v>
      </c>
      <c r="K129">
        <v>0</v>
      </c>
      <c r="L129">
        <v>0</v>
      </c>
      <c r="M129">
        <v>0</v>
      </c>
      <c r="N129">
        <v>1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 s="86">
        <f>AVERAGEIFS($C$2:C129, $B$2:B129, B129)</f>
        <v>18.666666666666668</v>
      </c>
      <c r="AI129" s="86">
        <f>AVERAGEIFS($I$2:I129, $B$2:B129, B129)</f>
        <v>0.69166666666666676</v>
      </c>
      <c r="AJ129" s="86">
        <f>AVERAGEIFS($J$2:J129, $B$2:B129, B129)</f>
        <v>0.63</v>
      </c>
      <c r="AK129" s="86">
        <f>AVERAGEIFS($D$2:D129, $B$2:B129, B129)</f>
        <v>0.66666666666666663</v>
      </c>
    </row>
    <row r="130" spans="1:37" x14ac:dyDescent="0.25">
      <c r="A130" s="85">
        <v>46124</v>
      </c>
      <c r="B130" t="s">
        <v>44</v>
      </c>
      <c r="C130">
        <v>28</v>
      </c>
      <c r="D130">
        <v>0</v>
      </c>
      <c r="E130">
        <v>4</v>
      </c>
      <c r="F130">
        <v>1</v>
      </c>
      <c r="G130">
        <v>19</v>
      </c>
      <c r="H130">
        <v>8</v>
      </c>
      <c r="I130">
        <v>0.25</v>
      </c>
      <c r="J130">
        <v>0.42</v>
      </c>
      <c r="K130">
        <v>0</v>
      </c>
      <c r="L130">
        <v>0</v>
      </c>
      <c r="M130">
        <v>0</v>
      </c>
      <c r="N130">
        <v>1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 s="86">
        <f>AVERAGEIFS($C$2:C130, $B$2:B130, B130)</f>
        <v>18.428571428571427</v>
      </c>
      <c r="AI130" s="86">
        <f>AVERAGEIFS($I$2:I130, $B$2:B130, B130)</f>
        <v>0.38571428571428573</v>
      </c>
      <c r="AJ130" s="86">
        <f>AVERAGEIFS($J$2:J130, $B$2:B130, B130)</f>
        <v>0.43428571428571427</v>
      </c>
      <c r="AK130" s="86">
        <f>AVERAGEIFS($D$2:D130, $B$2:B130, B130)</f>
        <v>0.42857142857142855</v>
      </c>
    </row>
    <row r="131" spans="1:37" x14ac:dyDescent="0.25">
      <c r="A131" s="85">
        <v>46124</v>
      </c>
      <c r="B131" t="s">
        <v>53</v>
      </c>
      <c r="C131">
        <v>8</v>
      </c>
      <c r="D131">
        <v>0</v>
      </c>
      <c r="E131">
        <v>4</v>
      </c>
      <c r="F131">
        <v>1</v>
      </c>
      <c r="G131">
        <v>19</v>
      </c>
      <c r="H131">
        <v>8</v>
      </c>
      <c r="I131">
        <v>0.25</v>
      </c>
      <c r="J131">
        <v>0.42</v>
      </c>
      <c r="K131">
        <v>0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 s="86">
        <f>AVERAGEIFS($C$2:C131, $B$2:B131, B131)</f>
        <v>12.857142857142858</v>
      </c>
      <c r="AI131" s="86">
        <f>AVERAGEIFS($I$2:I131, $B$2:B131, B131)</f>
        <v>0.52857142857142858</v>
      </c>
      <c r="AJ131" s="86">
        <f>AVERAGEIFS($J$2:J131, $B$2:B131, B131)</f>
        <v>0.52714285714285702</v>
      </c>
      <c r="AK131" s="86">
        <f>AVERAGEIFS($D$2:D131, $B$2:B131, B131)</f>
        <v>0.2857142857142857</v>
      </c>
    </row>
    <row r="132" spans="1:37" x14ac:dyDescent="0.25">
      <c r="A132" s="85">
        <v>46124</v>
      </c>
      <c r="B132" t="s">
        <v>54</v>
      </c>
      <c r="C132">
        <v>42</v>
      </c>
      <c r="D132">
        <v>1</v>
      </c>
      <c r="E132">
        <v>4</v>
      </c>
      <c r="F132">
        <v>3</v>
      </c>
      <c r="G132">
        <v>19</v>
      </c>
      <c r="H132">
        <v>11</v>
      </c>
      <c r="I132">
        <v>0.75</v>
      </c>
      <c r="J132">
        <v>0.57999999999999996</v>
      </c>
      <c r="K132">
        <v>0</v>
      </c>
      <c r="L132">
        <v>1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1</v>
      </c>
      <c r="V132">
        <v>1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 s="86">
        <f>AVERAGEIFS($C$2:C132, $B$2:B132, B132)</f>
        <v>23.5</v>
      </c>
      <c r="AI132" s="86">
        <f>AVERAGEIFS($I$2:I132, $B$2:B132, B132)</f>
        <v>0.75</v>
      </c>
      <c r="AJ132" s="86">
        <f>AVERAGEIFS($J$2:J132, $B$2:B132, B132)</f>
        <v>0.65249999999999997</v>
      </c>
      <c r="AK132" s="86">
        <f>AVERAGEIFS($D$2:D132, $B$2:B132, B132)</f>
        <v>0.75</v>
      </c>
    </row>
    <row r="133" spans="1:37" x14ac:dyDescent="0.25">
      <c r="A133" s="85">
        <v>46124</v>
      </c>
      <c r="B133" t="s">
        <v>1</v>
      </c>
      <c r="C133">
        <v>20</v>
      </c>
      <c r="D133">
        <v>1</v>
      </c>
      <c r="E133">
        <v>4</v>
      </c>
      <c r="F133">
        <v>3</v>
      </c>
      <c r="G133">
        <v>19</v>
      </c>
      <c r="H133">
        <v>11</v>
      </c>
      <c r="I133">
        <v>0.75</v>
      </c>
      <c r="J133">
        <v>0.57999999999999996</v>
      </c>
      <c r="K133">
        <v>0</v>
      </c>
      <c r="L133">
        <v>1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1</v>
      </c>
      <c r="V133">
        <v>1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 s="86">
        <f>AVERAGEIFS($C$2:C133, $B$2:B133, B133)</f>
        <v>21.5</v>
      </c>
      <c r="AI133" s="86">
        <f>AVERAGEIFS($I$2:I133, $B$2:B133, B133)</f>
        <v>0.52500000000000002</v>
      </c>
      <c r="AJ133" s="86">
        <f>AVERAGEIFS($J$2:J133, $B$2:B133, B133)</f>
        <v>0.51833333333333331</v>
      </c>
      <c r="AK133" s="86">
        <f>AVERAGEIFS($D$2:D133, $B$2:B133, B133)</f>
        <v>0.5</v>
      </c>
    </row>
    <row r="134" spans="1:37" x14ac:dyDescent="0.25">
      <c r="A134" s="85">
        <v>46124</v>
      </c>
      <c r="B134" t="s">
        <v>40</v>
      </c>
      <c r="C134">
        <v>25</v>
      </c>
      <c r="D134">
        <v>1</v>
      </c>
      <c r="E134">
        <v>4</v>
      </c>
      <c r="F134">
        <v>3</v>
      </c>
      <c r="G134">
        <v>19</v>
      </c>
      <c r="H134">
        <v>11</v>
      </c>
      <c r="I134">
        <v>0.75</v>
      </c>
      <c r="J134">
        <v>0.57999999999999996</v>
      </c>
      <c r="K134">
        <v>0</v>
      </c>
      <c r="L134">
        <v>1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1</v>
      </c>
      <c r="V134">
        <v>1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 s="86">
        <f>AVERAGEIFS($C$2:C134, $B$2:B134, B134)</f>
        <v>19.600000000000001</v>
      </c>
      <c r="AI134" s="86">
        <f>AVERAGEIFS($I$2:I134, $B$2:B134, B134)</f>
        <v>0.51500000000000001</v>
      </c>
      <c r="AJ134" s="86">
        <f>AVERAGEIFS($J$2:J134, $B$2:B134, B134)</f>
        <v>0.50700000000000001</v>
      </c>
      <c r="AK134" s="86">
        <f>AVERAGEIFS($D$2:D134, $B$2:B134, B134)</f>
        <v>0.5</v>
      </c>
    </row>
    <row r="135" spans="1:37" x14ac:dyDescent="0.25">
      <c r="A135" s="85">
        <v>46124</v>
      </c>
      <c r="B135" t="s">
        <v>107</v>
      </c>
      <c r="C135">
        <v>21</v>
      </c>
      <c r="D135">
        <v>1</v>
      </c>
      <c r="E135">
        <v>4</v>
      </c>
      <c r="F135">
        <v>3</v>
      </c>
      <c r="G135">
        <v>19</v>
      </c>
      <c r="H135">
        <v>11</v>
      </c>
      <c r="I135">
        <v>0.75</v>
      </c>
      <c r="J135">
        <v>0.57999999999999996</v>
      </c>
      <c r="K135">
        <v>0</v>
      </c>
      <c r="L135">
        <v>1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1</v>
      </c>
      <c r="V135">
        <v>1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 s="86">
        <f>AVERAGEIFS($C$2:C135, $B$2:B135, B135)</f>
        <v>14.142857142857142</v>
      </c>
      <c r="AI135" s="86">
        <f>AVERAGEIFS($I$2:I135, $B$2:B135, B135)</f>
        <v>0.37857142857142856</v>
      </c>
      <c r="AJ135" s="86">
        <f>AVERAGEIFS($J$2:J135, $B$2:B135, B135)</f>
        <v>0.39857142857142858</v>
      </c>
      <c r="AK135" s="86">
        <f>AVERAGEIFS($D$2:D135, $B$2:B135, B135)</f>
        <v>0.42857142857142855</v>
      </c>
    </row>
    <row r="136" spans="1:37" x14ac:dyDescent="0.25">
      <c r="A136" s="85">
        <v>46124</v>
      </c>
      <c r="B136" t="s">
        <v>113</v>
      </c>
      <c r="C136">
        <v>36</v>
      </c>
      <c r="D136">
        <v>1</v>
      </c>
      <c r="E136">
        <v>4</v>
      </c>
      <c r="F136">
        <v>3</v>
      </c>
      <c r="G136">
        <v>19</v>
      </c>
      <c r="H136">
        <v>11</v>
      </c>
      <c r="I136">
        <v>0.75</v>
      </c>
      <c r="J136">
        <v>0.57999999999999996</v>
      </c>
      <c r="K136">
        <v>0</v>
      </c>
      <c r="L136">
        <v>1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1</v>
      </c>
      <c r="V136">
        <v>1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 s="86">
        <f>AVERAGEIFS($C$2:C136, $B$2:B136, B136)</f>
        <v>21.25</v>
      </c>
      <c r="AI136" s="86">
        <f>AVERAGEIFS($I$2:I136, $B$2:B136, B136)</f>
        <v>0.66874999999999996</v>
      </c>
      <c r="AJ136" s="86">
        <f>AVERAGEIFS($J$2:J136, $B$2:B136, B136)</f>
        <v>0.58624999999999994</v>
      </c>
      <c r="AK136" s="86">
        <f>AVERAGEIFS($D$2:D136, $B$2:B136, B136)</f>
        <v>0.75</v>
      </c>
    </row>
    <row r="137" spans="1:37" x14ac:dyDescent="0.25">
      <c r="A137" s="85">
        <v>46124</v>
      </c>
      <c r="B137" t="s">
        <v>71</v>
      </c>
      <c r="C137">
        <v>23</v>
      </c>
      <c r="D137">
        <v>1</v>
      </c>
      <c r="E137">
        <v>4</v>
      </c>
      <c r="F137">
        <v>3</v>
      </c>
      <c r="G137">
        <v>19</v>
      </c>
      <c r="H137">
        <v>11</v>
      </c>
      <c r="I137">
        <v>0.75</v>
      </c>
      <c r="J137">
        <v>0.57999999999999996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1</v>
      </c>
      <c r="V137">
        <v>1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 s="86">
        <f>AVERAGEIFS($C$2:C137, $B$2:B137, B137)</f>
        <v>12.333333333333334</v>
      </c>
      <c r="AI137" s="86">
        <f>AVERAGEIFS($I$2:I137, $B$2:B137, B137)</f>
        <v>0.40555555555555556</v>
      </c>
      <c r="AJ137" s="86">
        <f>AVERAGEIFS($J$2:J137, $B$2:B137, B137)</f>
        <v>0.45222222222222214</v>
      </c>
      <c r="AK137" s="86">
        <f>AVERAGEIFS($D$2:D137, $B$2:B137, B137)</f>
        <v>0.33333333333333331</v>
      </c>
    </row>
    <row r="138" spans="1:37" x14ac:dyDescent="0.25">
      <c r="A138" s="85">
        <v>46126</v>
      </c>
      <c r="B138" t="s">
        <v>42</v>
      </c>
      <c r="C138">
        <v>12</v>
      </c>
      <c r="D138">
        <v>1</v>
      </c>
      <c r="E138">
        <v>3</v>
      </c>
      <c r="F138">
        <v>3</v>
      </c>
      <c r="G138">
        <v>11</v>
      </c>
      <c r="H138">
        <v>9</v>
      </c>
      <c r="I138">
        <v>1</v>
      </c>
      <c r="J138">
        <v>0.82</v>
      </c>
      <c r="K138">
        <v>0</v>
      </c>
      <c r="L138">
        <v>0</v>
      </c>
      <c r="M138">
        <v>1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1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1</v>
      </c>
      <c r="AH138" s="86">
        <f>AVERAGEIFS($C$2:C138, $B$2:B138, B138)</f>
        <v>18</v>
      </c>
      <c r="AI138" s="86">
        <f>AVERAGEIFS($I$2:I138, $B$2:B138, B138)</f>
        <v>0.4375</v>
      </c>
      <c r="AJ138" s="86">
        <f>AVERAGEIFS($J$2:J138, $B$2:B138, B138)</f>
        <v>0.46374999999999994</v>
      </c>
      <c r="AK138" s="86">
        <f>AVERAGEIFS($D$2:D138, $B$2:B138, B138)</f>
        <v>0.375</v>
      </c>
    </row>
    <row r="139" spans="1:37" x14ac:dyDescent="0.25">
      <c r="A139" s="85">
        <v>46126</v>
      </c>
      <c r="B139" t="s">
        <v>44</v>
      </c>
      <c r="C139">
        <v>10</v>
      </c>
      <c r="D139">
        <v>1</v>
      </c>
      <c r="E139">
        <v>3</v>
      </c>
      <c r="F139">
        <v>3</v>
      </c>
      <c r="G139">
        <v>11</v>
      </c>
      <c r="H139">
        <v>9</v>
      </c>
      <c r="I139">
        <v>1</v>
      </c>
      <c r="J139">
        <v>0.82</v>
      </c>
      <c r="K139">
        <v>0</v>
      </c>
      <c r="L139">
        <v>0</v>
      </c>
      <c r="M139">
        <v>1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1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1</v>
      </c>
      <c r="AH139" s="86">
        <f>AVERAGEIFS($C$2:C139, $B$2:B139, B139)</f>
        <v>17.375</v>
      </c>
      <c r="AI139" s="86">
        <f>AVERAGEIFS($I$2:I139, $B$2:B139, B139)</f>
        <v>0.46250000000000002</v>
      </c>
      <c r="AJ139" s="86">
        <f>AVERAGEIFS($J$2:J139, $B$2:B139, B139)</f>
        <v>0.48249999999999998</v>
      </c>
      <c r="AK139" s="86">
        <f>AVERAGEIFS($D$2:D139, $B$2:B139, B139)</f>
        <v>0.5</v>
      </c>
    </row>
    <row r="140" spans="1:37" x14ac:dyDescent="0.25">
      <c r="A140" s="85">
        <v>46126</v>
      </c>
      <c r="B140" t="s">
        <v>113</v>
      </c>
      <c r="C140">
        <v>12</v>
      </c>
      <c r="D140">
        <v>1</v>
      </c>
      <c r="E140">
        <v>3</v>
      </c>
      <c r="F140">
        <v>3</v>
      </c>
      <c r="G140">
        <v>11</v>
      </c>
      <c r="H140">
        <v>9</v>
      </c>
      <c r="I140">
        <v>1</v>
      </c>
      <c r="J140">
        <v>0.82</v>
      </c>
      <c r="K140">
        <v>0</v>
      </c>
      <c r="L140">
        <v>0</v>
      </c>
      <c r="M140">
        <v>1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1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1</v>
      </c>
      <c r="AH140" s="86">
        <f>AVERAGEIFS($C$2:C140, $B$2:B140, B140)</f>
        <v>20.222222222222221</v>
      </c>
      <c r="AI140" s="86">
        <f>AVERAGEIFS($I$2:I140, $B$2:B140, B140)</f>
        <v>0.70555555555555549</v>
      </c>
      <c r="AJ140" s="86">
        <f>AVERAGEIFS($J$2:J140, $B$2:B140, B140)</f>
        <v>0.61222222222222222</v>
      </c>
      <c r="AK140" s="86">
        <f>AVERAGEIFS($D$2:D140, $B$2:B140, B140)</f>
        <v>0.77777777777777779</v>
      </c>
    </row>
    <row r="141" spans="1:37" x14ac:dyDescent="0.25">
      <c r="A141" s="85">
        <v>46126</v>
      </c>
      <c r="B141" t="s">
        <v>161</v>
      </c>
      <c r="C141">
        <v>4</v>
      </c>
      <c r="D141">
        <v>1</v>
      </c>
      <c r="E141">
        <v>3</v>
      </c>
      <c r="F141">
        <v>3</v>
      </c>
      <c r="G141">
        <v>11</v>
      </c>
      <c r="H141">
        <v>9</v>
      </c>
      <c r="I141">
        <v>1</v>
      </c>
      <c r="J141">
        <v>0.82</v>
      </c>
      <c r="K141">
        <v>0</v>
      </c>
      <c r="L141">
        <v>0</v>
      </c>
      <c r="M141">
        <v>1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1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1</v>
      </c>
      <c r="AH141" s="86">
        <f>AVERAGEIFS($C$2:C141, $B$2:B141, B141)</f>
        <v>6</v>
      </c>
      <c r="AI141" s="86">
        <f>AVERAGEIFS($I$2:I141, $B$2:B141, B141)</f>
        <v>0.83333333333333337</v>
      </c>
      <c r="AJ141" s="86">
        <f>AVERAGEIFS($J$2:J141, $B$2:B141, B141)</f>
        <v>0.66333333333333322</v>
      </c>
      <c r="AK141" s="86">
        <f>AVERAGEIFS($D$2:D141, $B$2:B141, B141)</f>
        <v>1</v>
      </c>
    </row>
    <row r="142" spans="1:37" x14ac:dyDescent="0.25">
      <c r="A142" s="85">
        <v>46126</v>
      </c>
      <c r="B142" t="s">
        <v>150</v>
      </c>
      <c r="C142">
        <v>15</v>
      </c>
      <c r="D142">
        <v>1</v>
      </c>
      <c r="E142">
        <v>3</v>
      </c>
      <c r="F142">
        <v>3</v>
      </c>
      <c r="G142">
        <v>11</v>
      </c>
      <c r="H142">
        <v>9</v>
      </c>
      <c r="I142">
        <v>1</v>
      </c>
      <c r="J142">
        <v>0.82</v>
      </c>
      <c r="K142">
        <v>0</v>
      </c>
      <c r="L142">
        <v>0</v>
      </c>
      <c r="M142">
        <v>1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1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1</v>
      </c>
      <c r="AH142" s="86">
        <f>AVERAGEIFS($C$2:C142, $B$2:B142, B142)</f>
        <v>18.142857142857142</v>
      </c>
      <c r="AI142" s="86">
        <f>AVERAGEIFS($I$2:I142, $B$2:B142, B142)</f>
        <v>0.73571428571428577</v>
      </c>
      <c r="AJ142" s="86">
        <f>AVERAGEIFS($J$2:J142, $B$2:B142, B142)</f>
        <v>0.65714285714285714</v>
      </c>
      <c r="AK142" s="86">
        <f>AVERAGEIFS($D$2:D142, $B$2:B142, B142)</f>
        <v>0.7142857142857143</v>
      </c>
    </row>
    <row r="143" spans="1:37" x14ac:dyDescent="0.25">
      <c r="A143" s="85">
        <v>46126</v>
      </c>
      <c r="B143" t="s">
        <v>54</v>
      </c>
      <c r="C143">
        <v>16</v>
      </c>
      <c r="D143">
        <v>1</v>
      </c>
      <c r="E143">
        <v>3</v>
      </c>
      <c r="F143">
        <v>3</v>
      </c>
      <c r="G143">
        <v>11</v>
      </c>
      <c r="H143">
        <v>9</v>
      </c>
      <c r="I143">
        <v>1</v>
      </c>
      <c r="J143">
        <v>0.82</v>
      </c>
      <c r="K143">
        <v>0</v>
      </c>
      <c r="L143">
        <v>0</v>
      </c>
      <c r="M143">
        <v>1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1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1</v>
      </c>
      <c r="AH143" s="86">
        <f>AVERAGEIFS($C$2:C143, $B$2:B143, B143)</f>
        <v>22</v>
      </c>
      <c r="AI143" s="86">
        <f>AVERAGEIFS($I$2:I143, $B$2:B143, B143)</f>
        <v>0.8</v>
      </c>
      <c r="AJ143" s="86">
        <f>AVERAGEIFS($J$2:J143, $B$2:B143, B143)</f>
        <v>0.68599999999999994</v>
      </c>
      <c r="AK143" s="86">
        <f>AVERAGEIFS($D$2:D143, $B$2:B143, B143)</f>
        <v>0.8</v>
      </c>
    </row>
    <row r="144" spans="1:37" x14ac:dyDescent="0.25">
      <c r="A144" s="85">
        <v>46126</v>
      </c>
      <c r="B144" t="s">
        <v>5</v>
      </c>
      <c r="C144">
        <v>9</v>
      </c>
      <c r="D144">
        <v>0</v>
      </c>
      <c r="E144">
        <v>3</v>
      </c>
      <c r="F144">
        <v>0</v>
      </c>
      <c r="G144">
        <v>11</v>
      </c>
      <c r="H144">
        <v>2</v>
      </c>
      <c r="I144">
        <v>0</v>
      </c>
      <c r="J144">
        <v>0.18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 s="86">
        <f>AVERAGEIFS($C$2:C144, $B$2:B144, B144)</f>
        <v>15.2</v>
      </c>
      <c r="AI144" s="86">
        <f>AVERAGEIFS($I$2:I144, $B$2:B144, B144)</f>
        <v>0.49000000000000005</v>
      </c>
      <c r="AJ144" s="86">
        <f>AVERAGEIFS($J$2:J144, $B$2:B144, B144)</f>
        <v>0.4840000000000001</v>
      </c>
      <c r="AK144" s="86">
        <f>AVERAGEIFS($D$2:D144, $B$2:B144, B144)</f>
        <v>0.6</v>
      </c>
    </row>
    <row r="145" spans="1:37" x14ac:dyDescent="0.25">
      <c r="A145" s="85">
        <v>46126</v>
      </c>
      <c r="B145" t="s">
        <v>6</v>
      </c>
      <c r="C145">
        <v>10</v>
      </c>
      <c r="D145">
        <v>0</v>
      </c>
      <c r="E145">
        <v>3</v>
      </c>
      <c r="F145">
        <v>0</v>
      </c>
      <c r="G145">
        <v>11</v>
      </c>
      <c r="H145">
        <v>2</v>
      </c>
      <c r="I145">
        <v>0</v>
      </c>
      <c r="J145">
        <v>0.18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 s="86">
        <f>AVERAGEIFS($C$2:C145, $B$2:B145, B145)</f>
        <v>20.2</v>
      </c>
      <c r="AI145" s="86">
        <f>AVERAGEIFS($I$2:I145, $B$2:B145, B145)</f>
        <v>0.33999999999999997</v>
      </c>
      <c r="AJ145" s="86">
        <f>AVERAGEIFS($J$2:J145, $B$2:B145, B145)</f>
        <v>0.40099999999999997</v>
      </c>
      <c r="AK145" s="86">
        <f>AVERAGEIFS($D$2:D145, $B$2:B145, B145)</f>
        <v>0.3</v>
      </c>
    </row>
    <row r="146" spans="1:37" x14ac:dyDescent="0.25">
      <c r="A146" s="85">
        <v>46126</v>
      </c>
      <c r="B146" t="s">
        <v>107</v>
      </c>
      <c r="C146">
        <v>9</v>
      </c>
      <c r="D146">
        <v>0</v>
      </c>
      <c r="E146">
        <v>3</v>
      </c>
      <c r="F146">
        <v>0</v>
      </c>
      <c r="G146">
        <v>11</v>
      </c>
      <c r="H146">
        <v>2</v>
      </c>
      <c r="I146">
        <v>0</v>
      </c>
      <c r="J146">
        <v>0.18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 s="86">
        <f>AVERAGEIFS($C$2:C146, $B$2:B146, B146)</f>
        <v>13.5</v>
      </c>
      <c r="AI146" s="86">
        <f>AVERAGEIFS($I$2:I146, $B$2:B146, B146)</f>
        <v>0.33124999999999999</v>
      </c>
      <c r="AJ146" s="86">
        <f>AVERAGEIFS($J$2:J146, $B$2:B146, B146)</f>
        <v>0.37125000000000002</v>
      </c>
      <c r="AK146" s="86">
        <f>AVERAGEIFS($D$2:D146, $B$2:B146, B146)</f>
        <v>0.375</v>
      </c>
    </row>
    <row r="147" spans="1:37" x14ac:dyDescent="0.25">
      <c r="A147" s="85">
        <v>46126</v>
      </c>
      <c r="B147" t="s">
        <v>165</v>
      </c>
      <c r="C147">
        <v>3</v>
      </c>
      <c r="D147">
        <v>0</v>
      </c>
      <c r="E147">
        <v>3</v>
      </c>
      <c r="F147">
        <v>0</v>
      </c>
      <c r="G147">
        <v>11</v>
      </c>
      <c r="H147">
        <v>2</v>
      </c>
      <c r="I147">
        <v>0</v>
      </c>
      <c r="J147">
        <v>0.18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 s="86">
        <f>AVERAGEIFS($C$2:C147, $B$2:B147, B147)</f>
        <v>3</v>
      </c>
      <c r="AI147" s="86">
        <f>AVERAGEIFS($I$2:I147, $B$2:B147, B147)</f>
        <v>0</v>
      </c>
      <c r="AJ147" s="86">
        <f>AVERAGEIFS($J$2:J147, $B$2:B147, B147)</f>
        <v>0.18</v>
      </c>
      <c r="AK147" s="86">
        <f>AVERAGEIFS($D$2:D147, $B$2:B147, B147)</f>
        <v>0</v>
      </c>
    </row>
    <row r="148" spans="1:37" x14ac:dyDescent="0.25">
      <c r="A148" s="85">
        <v>46126</v>
      </c>
      <c r="B148" t="s">
        <v>53</v>
      </c>
      <c r="C148">
        <v>11</v>
      </c>
      <c r="D148">
        <v>0</v>
      </c>
      <c r="E148">
        <v>3</v>
      </c>
      <c r="F148">
        <v>0</v>
      </c>
      <c r="G148">
        <v>11</v>
      </c>
      <c r="H148">
        <v>2</v>
      </c>
      <c r="I148">
        <v>0</v>
      </c>
      <c r="J148">
        <v>0.18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 s="86">
        <f>AVERAGEIFS($C$2:C148, $B$2:B148, B148)</f>
        <v>12.625</v>
      </c>
      <c r="AI148" s="86">
        <f>AVERAGEIFS($I$2:I148, $B$2:B148, B148)</f>
        <v>0.46249999999999997</v>
      </c>
      <c r="AJ148" s="86">
        <f>AVERAGEIFS($J$2:J148, $B$2:B148, B148)</f>
        <v>0.48374999999999996</v>
      </c>
      <c r="AK148" s="86">
        <f>AVERAGEIFS($D$2:D148, $B$2:B148, B148)</f>
        <v>0.25</v>
      </c>
    </row>
    <row r="149" spans="1:37" x14ac:dyDescent="0.25">
      <c r="A149" s="85">
        <v>46126</v>
      </c>
      <c r="B149" t="s">
        <v>35</v>
      </c>
      <c r="C149">
        <v>9</v>
      </c>
      <c r="D149">
        <v>0</v>
      </c>
      <c r="E149">
        <v>3</v>
      </c>
      <c r="F149">
        <v>0</v>
      </c>
      <c r="G149">
        <v>11</v>
      </c>
      <c r="H149">
        <v>2</v>
      </c>
      <c r="I149">
        <v>0</v>
      </c>
      <c r="J149">
        <v>0.18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 s="86">
        <f>AVERAGEIFS($C$2:C149, $B$2:B149, B149)</f>
        <v>6</v>
      </c>
      <c r="AI149" s="86">
        <f>AVERAGEIFS($I$2:I149, $B$2:B149, B149)</f>
        <v>0.125</v>
      </c>
      <c r="AJ149" s="86">
        <f>AVERAGEIFS($J$2:J149, $B$2:B149, B149)</f>
        <v>0.28500000000000003</v>
      </c>
      <c r="AK149" s="86">
        <f>AVERAGEIFS($D$2:D149, $B$2:B149, B149)</f>
        <v>0</v>
      </c>
    </row>
    <row r="150" spans="1:37" x14ac:dyDescent="0.25">
      <c r="A150" s="85">
        <v>46126</v>
      </c>
      <c r="B150" t="s">
        <v>54</v>
      </c>
      <c r="C150">
        <v>10</v>
      </c>
      <c r="D150">
        <v>0</v>
      </c>
      <c r="E150">
        <v>4</v>
      </c>
      <c r="F150">
        <v>1</v>
      </c>
      <c r="G150">
        <v>15</v>
      </c>
      <c r="H150">
        <v>4</v>
      </c>
      <c r="I150">
        <v>0.25</v>
      </c>
      <c r="J150">
        <v>0.27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 s="86">
        <f>AVERAGEIFS($C$2:C150, $B$2:B150, B150)</f>
        <v>20</v>
      </c>
      <c r="AI150" s="86">
        <f>AVERAGEIFS($I$2:I150, $B$2:B150, B150)</f>
        <v>0.70833333333333337</v>
      </c>
      <c r="AJ150" s="86">
        <f>AVERAGEIFS($J$2:J150, $B$2:B150, B150)</f>
        <v>0.61666666666666659</v>
      </c>
      <c r="AK150" s="86">
        <f>AVERAGEIFS($D$2:D150, $B$2:B150, B150)</f>
        <v>0.66666666666666663</v>
      </c>
    </row>
    <row r="151" spans="1:37" x14ac:dyDescent="0.25">
      <c r="A151" s="85">
        <v>46126</v>
      </c>
      <c r="B151" t="s">
        <v>42</v>
      </c>
      <c r="C151">
        <v>17</v>
      </c>
      <c r="D151">
        <v>0</v>
      </c>
      <c r="E151">
        <v>4</v>
      </c>
      <c r="F151">
        <v>1</v>
      </c>
      <c r="G151">
        <v>15</v>
      </c>
      <c r="H151">
        <v>4</v>
      </c>
      <c r="I151">
        <v>0.25</v>
      </c>
      <c r="J151">
        <v>0.27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 s="86">
        <f>AVERAGEIFS($C$2:C151, $B$2:B151, B151)</f>
        <v>17.888888888888889</v>
      </c>
      <c r="AI151" s="86">
        <f>AVERAGEIFS($I$2:I151, $B$2:B151, B151)</f>
        <v>0.41666666666666669</v>
      </c>
      <c r="AJ151" s="86">
        <f>AVERAGEIFS($J$2:J151, $B$2:B151, B151)</f>
        <v>0.44222222222222218</v>
      </c>
      <c r="AK151" s="86">
        <f>AVERAGEIFS($D$2:D151, $B$2:B151, B151)</f>
        <v>0.33333333333333331</v>
      </c>
    </row>
    <row r="152" spans="1:37" x14ac:dyDescent="0.25">
      <c r="A152" s="85">
        <v>46126</v>
      </c>
      <c r="B152" t="s">
        <v>113</v>
      </c>
      <c r="C152">
        <v>16</v>
      </c>
      <c r="D152">
        <v>0</v>
      </c>
      <c r="E152">
        <v>4</v>
      </c>
      <c r="F152">
        <v>1</v>
      </c>
      <c r="G152">
        <v>15</v>
      </c>
      <c r="H152">
        <v>4</v>
      </c>
      <c r="I152">
        <v>0.25</v>
      </c>
      <c r="J152">
        <v>0.27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 s="86">
        <f>AVERAGEIFS($C$2:C152, $B$2:B152, B152)</f>
        <v>19.8</v>
      </c>
      <c r="AI152" s="86">
        <f>AVERAGEIFS($I$2:I152, $B$2:B152, B152)</f>
        <v>0.65999999999999992</v>
      </c>
      <c r="AJ152" s="86">
        <f>AVERAGEIFS($J$2:J152, $B$2:B152, B152)</f>
        <v>0.57799999999999996</v>
      </c>
      <c r="AK152" s="86">
        <f>AVERAGEIFS($D$2:D152, $B$2:B152, B152)</f>
        <v>0.7</v>
      </c>
    </row>
    <row r="153" spans="1:37" x14ac:dyDescent="0.25">
      <c r="A153" s="85">
        <v>46126</v>
      </c>
      <c r="B153" t="s">
        <v>53</v>
      </c>
      <c r="C153">
        <v>13</v>
      </c>
      <c r="D153">
        <v>0</v>
      </c>
      <c r="E153">
        <v>4</v>
      </c>
      <c r="F153">
        <v>1</v>
      </c>
      <c r="G153">
        <v>15</v>
      </c>
      <c r="H153">
        <v>4</v>
      </c>
      <c r="I153">
        <v>0.25</v>
      </c>
      <c r="J153">
        <v>0.27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 s="86">
        <f>AVERAGEIFS($C$2:C153, $B$2:B153, B153)</f>
        <v>12.666666666666666</v>
      </c>
      <c r="AI153" s="86">
        <f>AVERAGEIFS($I$2:I153, $B$2:B153, B153)</f>
        <v>0.43888888888888888</v>
      </c>
      <c r="AJ153" s="86">
        <f>AVERAGEIFS($J$2:J153, $B$2:B153, B153)</f>
        <v>0.45999999999999996</v>
      </c>
      <c r="AK153" s="86">
        <f>AVERAGEIFS($D$2:D153, $B$2:B153, B153)</f>
        <v>0.22222222222222221</v>
      </c>
    </row>
    <row r="154" spans="1:37" x14ac:dyDescent="0.25">
      <c r="A154" s="85">
        <v>46126</v>
      </c>
      <c r="B154" t="s">
        <v>35</v>
      </c>
      <c r="C154">
        <v>5</v>
      </c>
      <c r="D154">
        <v>0</v>
      </c>
      <c r="E154">
        <v>4</v>
      </c>
      <c r="F154">
        <v>1</v>
      </c>
      <c r="G154">
        <v>15</v>
      </c>
      <c r="H154">
        <v>4</v>
      </c>
      <c r="I154">
        <v>0.25</v>
      </c>
      <c r="J154">
        <v>0.27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1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 s="86">
        <f>AVERAGEIFS($C$2:C154, $B$2:B154, B154)</f>
        <v>5.666666666666667</v>
      </c>
      <c r="AI154" s="86">
        <f>AVERAGEIFS($I$2:I154, $B$2:B154, B154)</f>
        <v>0.16666666666666666</v>
      </c>
      <c r="AJ154" s="86">
        <f>AVERAGEIFS($J$2:J154, $B$2:B154, B154)</f>
        <v>0.28000000000000003</v>
      </c>
      <c r="AK154" s="86">
        <f>AVERAGEIFS($D$2:D154, $B$2:B154, B154)</f>
        <v>0</v>
      </c>
    </row>
    <row r="155" spans="1:37" x14ac:dyDescent="0.25">
      <c r="A155" s="85">
        <v>46126</v>
      </c>
      <c r="B155" t="s">
        <v>161</v>
      </c>
      <c r="C155">
        <v>4</v>
      </c>
      <c r="D155">
        <v>0</v>
      </c>
      <c r="E155">
        <v>4</v>
      </c>
      <c r="F155">
        <v>1</v>
      </c>
      <c r="G155">
        <v>15</v>
      </c>
      <c r="H155">
        <v>4</v>
      </c>
      <c r="I155">
        <v>0.25</v>
      </c>
      <c r="J155">
        <v>0.27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 s="86">
        <f>AVERAGEIFS($C$2:C155, $B$2:B155, B155)</f>
        <v>5.5</v>
      </c>
      <c r="AI155" s="86">
        <f>AVERAGEIFS($I$2:I155, $B$2:B155, B155)</f>
        <v>0.6875</v>
      </c>
      <c r="AJ155" s="86">
        <f>AVERAGEIFS($J$2:J155, $B$2:B155, B155)</f>
        <v>0.56499999999999995</v>
      </c>
      <c r="AK155" s="86">
        <f>AVERAGEIFS($D$2:D155, $B$2:B155, B155)</f>
        <v>0.75</v>
      </c>
    </row>
    <row r="156" spans="1:37" x14ac:dyDescent="0.25">
      <c r="A156" s="85">
        <v>46126</v>
      </c>
      <c r="B156" t="s">
        <v>6</v>
      </c>
      <c r="C156">
        <v>21</v>
      </c>
      <c r="D156">
        <v>1</v>
      </c>
      <c r="E156">
        <v>4</v>
      </c>
      <c r="F156">
        <v>3</v>
      </c>
      <c r="G156">
        <v>15</v>
      </c>
      <c r="H156">
        <v>11</v>
      </c>
      <c r="I156">
        <v>0.75</v>
      </c>
      <c r="J156">
        <v>0.73</v>
      </c>
      <c r="K156">
        <v>0</v>
      </c>
      <c r="L156">
        <v>0</v>
      </c>
      <c r="M156">
        <v>0</v>
      </c>
      <c r="N156">
        <v>1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1</v>
      </c>
      <c r="Z156">
        <v>0</v>
      </c>
      <c r="AA156">
        <v>0</v>
      </c>
      <c r="AB156">
        <v>0</v>
      </c>
      <c r="AC156">
        <v>1</v>
      </c>
      <c r="AD156">
        <v>0</v>
      </c>
      <c r="AE156">
        <v>0</v>
      </c>
      <c r="AF156">
        <v>0</v>
      </c>
      <c r="AG156">
        <v>0</v>
      </c>
      <c r="AH156" s="86">
        <f>AVERAGEIFS($C$2:C156, $B$2:B156, B156)</f>
        <v>20.272727272727273</v>
      </c>
      <c r="AI156" s="86">
        <f>AVERAGEIFS($I$2:I156, $B$2:B156, B156)</f>
        <v>0.37727272727272732</v>
      </c>
      <c r="AJ156" s="86">
        <f>AVERAGEIFS($J$2:J156, $B$2:B156, B156)</f>
        <v>0.43090909090909091</v>
      </c>
      <c r="AK156" s="86">
        <f>AVERAGEIFS($D$2:D156, $B$2:B156, B156)</f>
        <v>0.36363636363636365</v>
      </c>
    </row>
    <row r="157" spans="1:37" x14ac:dyDescent="0.25">
      <c r="A157" s="85">
        <v>46126</v>
      </c>
      <c r="B157" t="s">
        <v>5</v>
      </c>
      <c r="C157">
        <v>15</v>
      </c>
      <c r="D157">
        <v>1</v>
      </c>
      <c r="E157">
        <v>4</v>
      </c>
      <c r="F157">
        <v>3</v>
      </c>
      <c r="G157">
        <v>15</v>
      </c>
      <c r="H157">
        <v>11</v>
      </c>
      <c r="I157">
        <v>0.75</v>
      </c>
      <c r="J157">
        <v>0.73</v>
      </c>
      <c r="K157">
        <v>0</v>
      </c>
      <c r="L157">
        <v>0</v>
      </c>
      <c r="M157">
        <v>0</v>
      </c>
      <c r="N157">
        <v>1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1</v>
      </c>
      <c r="Z157">
        <v>0</v>
      </c>
      <c r="AA157">
        <v>0</v>
      </c>
      <c r="AB157">
        <v>0</v>
      </c>
      <c r="AC157">
        <v>1</v>
      </c>
      <c r="AD157">
        <v>0</v>
      </c>
      <c r="AE157">
        <v>0</v>
      </c>
      <c r="AF157">
        <v>0</v>
      </c>
      <c r="AG157">
        <v>0</v>
      </c>
      <c r="AH157" s="86">
        <f>AVERAGEIFS($C$2:C157, $B$2:B157, B157)</f>
        <v>15.166666666666666</v>
      </c>
      <c r="AI157" s="86">
        <f>AVERAGEIFS($I$2:I157, $B$2:B157, B157)</f>
        <v>0.53333333333333333</v>
      </c>
      <c r="AJ157" s="86">
        <f>AVERAGEIFS($J$2:J157, $B$2:B157, B157)</f>
        <v>0.52500000000000002</v>
      </c>
      <c r="AK157" s="86">
        <f>AVERAGEIFS($D$2:D157, $B$2:B157, B157)</f>
        <v>0.66666666666666663</v>
      </c>
    </row>
    <row r="158" spans="1:37" x14ac:dyDescent="0.25">
      <c r="A158" s="85">
        <v>46126</v>
      </c>
      <c r="B158" t="s">
        <v>107</v>
      </c>
      <c r="C158">
        <v>16</v>
      </c>
      <c r="D158">
        <v>1</v>
      </c>
      <c r="E158">
        <v>4</v>
      </c>
      <c r="F158">
        <v>3</v>
      </c>
      <c r="G158">
        <v>15</v>
      </c>
      <c r="H158">
        <v>11</v>
      </c>
      <c r="I158">
        <v>0.75</v>
      </c>
      <c r="J158">
        <v>0.73</v>
      </c>
      <c r="K158">
        <v>0</v>
      </c>
      <c r="L158">
        <v>0</v>
      </c>
      <c r="M158">
        <v>0</v>
      </c>
      <c r="N158">
        <v>1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1</v>
      </c>
      <c r="Z158">
        <v>0</v>
      </c>
      <c r="AA158">
        <v>0</v>
      </c>
      <c r="AB158">
        <v>0</v>
      </c>
      <c r="AC158">
        <v>1</v>
      </c>
      <c r="AD158">
        <v>0</v>
      </c>
      <c r="AE158">
        <v>0</v>
      </c>
      <c r="AF158">
        <v>0</v>
      </c>
      <c r="AG158">
        <v>0</v>
      </c>
      <c r="AH158" s="86">
        <f>AVERAGEIFS($C$2:C158, $B$2:B158, B158)</f>
        <v>13.777777777777779</v>
      </c>
      <c r="AI158" s="86">
        <f>AVERAGEIFS($I$2:I158, $B$2:B158, B158)</f>
        <v>0.37777777777777777</v>
      </c>
      <c r="AJ158" s="86">
        <f>AVERAGEIFS($J$2:J158, $B$2:B158, B158)</f>
        <v>0.41111111111111115</v>
      </c>
      <c r="AK158" s="86">
        <f>AVERAGEIFS($D$2:D158, $B$2:B158, B158)</f>
        <v>0.44444444444444442</v>
      </c>
    </row>
    <row r="159" spans="1:37" x14ac:dyDescent="0.25">
      <c r="A159" s="85">
        <v>46126</v>
      </c>
      <c r="B159" t="s">
        <v>150</v>
      </c>
      <c r="C159">
        <v>19</v>
      </c>
      <c r="D159">
        <v>1</v>
      </c>
      <c r="E159">
        <v>4</v>
      </c>
      <c r="F159">
        <v>3</v>
      </c>
      <c r="G159">
        <v>15</v>
      </c>
      <c r="H159">
        <v>11</v>
      </c>
      <c r="I159">
        <v>0.75</v>
      </c>
      <c r="J159">
        <v>0.73</v>
      </c>
      <c r="K159">
        <v>0</v>
      </c>
      <c r="L159">
        <v>0</v>
      </c>
      <c r="M159">
        <v>0</v>
      </c>
      <c r="N159">
        <v>1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1</v>
      </c>
      <c r="Z159">
        <v>0</v>
      </c>
      <c r="AA159">
        <v>0</v>
      </c>
      <c r="AB159">
        <v>0</v>
      </c>
      <c r="AC159">
        <v>1</v>
      </c>
      <c r="AD159">
        <v>0</v>
      </c>
      <c r="AE159">
        <v>0</v>
      </c>
      <c r="AF159">
        <v>0</v>
      </c>
      <c r="AG159">
        <v>0</v>
      </c>
      <c r="AH159" s="86">
        <f>AVERAGEIFS($C$2:C159, $B$2:B159, B159)</f>
        <v>18.25</v>
      </c>
      <c r="AI159" s="86">
        <f>AVERAGEIFS($I$2:I159, $B$2:B159, B159)</f>
        <v>0.73750000000000004</v>
      </c>
      <c r="AJ159" s="86">
        <f>AVERAGEIFS($J$2:J159, $B$2:B159, B159)</f>
        <v>0.66625000000000001</v>
      </c>
      <c r="AK159" s="86">
        <f>AVERAGEIFS($D$2:D159, $B$2:B159, B159)</f>
        <v>0.75</v>
      </c>
    </row>
    <row r="160" spans="1:37" x14ac:dyDescent="0.25">
      <c r="A160" s="85">
        <v>46126</v>
      </c>
      <c r="B160" t="s">
        <v>44</v>
      </c>
      <c r="C160">
        <v>11</v>
      </c>
      <c r="D160">
        <v>1</v>
      </c>
      <c r="E160">
        <v>4</v>
      </c>
      <c r="F160">
        <v>3</v>
      </c>
      <c r="G160">
        <v>15</v>
      </c>
      <c r="H160">
        <v>11</v>
      </c>
      <c r="I160">
        <v>0.75</v>
      </c>
      <c r="J160">
        <v>0.73</v>
      </c>
      <c r="K160">
        <v>0</v>
      </c>
      <c r="L160">
        <v>0</v>
      </c>
      <c r="M160">
        <v>0</v>
      </c>
      <c r="N160">
        <v>1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1</v>
      </c>
      <c r="Z160">
        <v>0</v>
      </c>
      <c r="AA160">
        <v>0</v>
      </c>
      <c r="AB160">
        <v>0</v>
      </c>
      <c r="AC160">
        <v>1</v>
      </c>
      <c r="AD160">
        <v>0</v>
      </c>
      <c r="AE160">
        <v>0</v>
      </c>
      <c r="AF160">
        <v>0</v>
      </c>
      <c r="AG160">
        <v>0</v>
      </c>
      <c r="AH160" s="86">
        <f>AVERAGEIFS($C$2:C160, $B$2:B160, B160)</f>
        <v>16.666666666666668</v>
      </c>
      <c r="AI160" s="86">
        <f>AVERAGEIFS($I$2:I160, $B$2:B160, B160)</f>
        <v>0.49444444444444446</v>
      </c>
      <c r="AJ160" s="86">
        <f>AVERAGEIFS($J$2:J160, $B$2:B160, B160)</f>
        <v>0.51</v>
      </c>
      <c r="AK160" s="86">
        <f>AVERAGEIFS($D$2:D160, $B$2:B160, B160)</f>
        <v>0.55555555555555558</v>
      </c>
    </row>
    <row r="161" spans="1:37" x14ac:dyDescent="0.25">
      <c r="A161" s="85">
        <v>46126</v>
      </c>
      <c r="B161" t="s">
        <v>166</v>
      </c>
      <c r="C161">
        <v>8</v>
      </c>
      <c r="D161">
        <v>1</v>
      </c>
      <c r="E161">
        <v>4</v>
      </c>
      <c r="F161">
        <v>3</v>
      </c>
      <c r="G161">
        <v>15</v>
      </c>
      <c r="H161">
        <v>11</v>
      </c>
      <c r="I161">
        <v>0.75</v>
      </c>
      <c r="J161">
        <v>0.73</v>
      </c>
      <c r="K161">
        <v>0</v>
      </c>
      <c r="L161">
        <v>0</v>
      </c>
      <c r="M161">
        <v>0</v>
      </c>
      <c r="N161">
        <v>1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1</v>
      </c>
      <c r="Z161">
        <v>0</v>
      </c>
      <c r="AA161">
        <v>0</v>
      </c>
      <c r="AB161">
        <v>0</v>
      </c>
      <c r="AC161">
        <v>1</v>
      </c>
      <c r="AD161">
        <v>0</v>
      </c>
      <c r="AE161">
        <v>0</v>
      </c>
      <c r="AF161">
        <v>0</v>
      </c>
      <c r="AG161">
        <v>0</v>
      </c>
      <c r="AH161" s="86">
        <f>AVERAGEIFS($C$2:C161, $B$2:B161, B161)</f>
        <v>5.5</v>
      </c>
      <c r="AI161" s="86">
        <f>AVERAGEIFS($I$2:I161, $B$2:B161, B161)</f>
        <v>0.375</v>
      </c>
      <c r="AJ161" s="86">
        <f>AVERAGEIFS($J$2:J161, $B$2:B161, B161)</f>
        <v>0.45499999999999996</v>
      </c>
      <c r="AK161" s="86">
        <f>AVERAGEIFS($D$2:D161, $B$2:B161, B161)</f>
        <v>0.5</v>
      </c>
    </row>
    <row r="162" spans="1:37" x14ac:dyDescent="0.25">
      <c r="A162" s="85">
        <v>46128</v>
      </c>
      <c r="B162" t="s">
        <v>6</v>
      </c>
      <c r="C162">
        <v>20</v>
      </c>
      <c r="D162">
        <v>1</v>
      </c>
      <c r="E162">
        <v>3</v>
      </c>
      <c r="F162">
        <v>3</v>
      </c>
      <c r="G162">
        <v>9</v>
      </c>
      <c r="H162">
        <v>9</v>
      </c>
      <c r="I162">
        <v>1</v>
      </c>
      <c r="J162">
        <v>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1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1</v>
      </c>
      <c r="AD162">
        <v>0</v>
      </c>
      <c r="AE162">
        <v>0</v>
      </c>
      <c r="AF162">
        <v>0</v>
      </c>
      <c r="AG162">
        <v>1</v>
      </c>
      <c r="AH162" s="86">
        <f>AVERAGEIFS($C$2:C162, $B$2:B162, B162)</f>
        <v>20.25</v>
      </c>
      <c r="AI162" s="86">
        <f>AVERAGEIFS($I$2:I162, $B$2:B162, B162)</f>
        <v>0.4291666666666667</v>
      </c>
      <c r="AJ162" s="86">
        <f>AVERAGEIFS($J$2:J162, $B$2:B162, B162)</f>
        <v>0.47833333333333333</v>
      </c>
      <c r="AK162" s="86">
        <f>AVERAGEIFS($D$2:D162, $B$2:B162, B162)</f>
        <v>0.41666666666666669</v>
      </c>
    </row>
    <row r="163" spans="1:37" x14ac:dyDescent="0.25">
      <c r="A163" s="85">
        <v>46128</v>
      </c>
      <c r="B163" t="s">
        <v>1</v>
      </c>
      <c r="C163">
        <v>19</v>
      </c>
      <c r="D163">
        <v>1</v>
      </c>
      <c r="E163">
        <v>3</v>
      </c>
      <c r="F163">
        <v>3</v>
      </c>
      <c r="G163">
        <v>9</v>
      </c>
      <c r="H163">
        <v>9</v>
      </c>
      <c r="I163">
        <v>1</v>
      </c>
      <c r="J163">
        <v>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1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1</v>
      </c>
      <c r="AD163">
        <v>0</v>
      </c>
      <c r="AE163">
        <v>0</v>
      </c>
      <c r="AF163">
        <v>0</v>
      </c>
      <c r="AG163">
        <v>1</v>
      </c>
      <c r="AH163" s="86">
        <f>AVERAGEIFS($C$2:C163, $B$2:B163, B163)</f>
        <v>21.142857142857142</v>
      </c>
      <c r="AI163" s="86">
        <f>AVERAGEIFS($I$2:I163, $B$2:B163, B163)</f>
        <v>0.59285714285714286</v>
      </c>
      <c r="AJ163" s="86">
        <f>AVERAGEIFS($J$2:J163, $B$2:B163, B163)</f>
        <v>0.58714285714285708</v>
      </c>
      <c r="AK163" s="86">
        <f>AVERAGEIFS($D$2:D163, $B$2:B163, B163)</f>
        <v>0.5714285714285714</v>
      </c>
    </row>
    <row r="164" spans="1:37" x14ac:dyDescent="0.25">
      <c r="A164" s="85">
        <v>46128</v>
      </c>
      <c r="B164" t="s">
        <v>107</v>
      </c>
      <c r="C164">
        <v>15</v>
      </c>
      <c r="D164">
        <v>1</v>
      </c>
      <c r="E164">
        <v>3</v>
      </c>
      <c r="F164">
        <v>3</v>
      </c>
      <c r="G164">
        <v>9</v>
      </c>
      <c r="H164">
        <v>9</v>
      </c>
      <c r="I164">
        <v>1</v>
      </c>
      <c r="J164">
        <v>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1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1</v>
      </c>
      <c r="AD164">
        <v>0</v>
      </c>
      <c r="AE164">
        <v>0</v>
      </c>
      <c r="AF164">
        <v>0</v>
      </c>
      <c r="AG164">
        <v>1</v>
      </c>
      <c r="AH164" s="86">
        <f>AVERAGEIFS($C$2:C164, $B$2:B164, B164)</f>
        <v>13.9</v>
      </c>
      <c r="AI164" s="86">
        <f>AVERAGEIFS($I$2:I164, $B$2:B164, B164)</f>
        <v>0.44000000000000006</v>
      </c>
      <c r="AJ164" s="86">
        <f>AVERAGEIFS($J$2:J164, $B$2:B164, B164)</f>
        <v>0.47000000000000003</v>
      </c>
      <c r="AK164" s="86">
        <f>AVERAGEIFS($D$2:D164, $B$2:B164, B164)</f>
        <v>0.5</v>
      </c>
    </row>
    <row r="165" spans="1:37" x14ac:dyDescent="0.25">
      <c r="A165" s="85">
        <v>46128</v>
      </c>
      <c r="B165" t="s">
        <v>113</v>
      </c>
      <c r="C165">
        <v>12</v>
      </c>
      <c r="D165">
        <v>1</v>
      </c>
      <c r="E165">
        <v>3</v>
      </c>
      <c r="F165">
        <v>3</v>
      </c>
      <c r="G165">
        <v>9</v>
      </c>
      <c r="H165">
        <v>9</v>
      </c>
      <c r="I165">
        <v>1</v>
      </c>
      <c r="J165">
        <v>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1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1</v>
      </c>
      <c r="AD165">
        <v>0</v>
      </c>
      <c r="AE165">
        <v>0</v>
      </c>
      <c r="AF165">
        <v>0</v>
      </c>
      <c r="AG165">
        <v>1</v>
      </c>
      <c r="AH165" s="86">
        <f>AVERAGEIFS($C$2:C165, $B$2:B165, B165)</f>
        <v>19.09090909090909</v>
      </c>
      <c r="AI165" s="86">
        <f>AVERAGEIFS($I$2:I165, $B$2:B165, B165)</f>
        <v>0.69090909090909092</v>
      </c>
      <c r="AJ165" s="86">
        <f>AVERAGEIFS($J$2:J165, $B$2:B165, B165)</f>
        <v>0.61636363636363634</v>
      </c>
      <c r="AK165" s="86">
        <f>AVERAGEIFS($D$2:D165, $B$2:B165, B165)</f>
        <v>0.72727272727272729</v>
      </c>
    </row>
    <row r="166" spans="1:37" x14ac:dyDescent="0.25">
      <c r="A166" s="85">
        <v>46128</v>
      </c>
      <c r="B166" t="s">
        <v>44</v>
      </c>
      <c r="C166">
        <v>8</v>
      </c>
      <c r="D166">
        <v>1</v>
      </c>
      <c r="E166">
        <v>3</v>
      </c>
      <c r="F166">
        <v>3</v>
      </c>
      <c r="G166">
        <v>9</v>
      </c>
      <c r="H166">
        <v>9</v>
      </c>
      <c r="I166">
        <v>1</v>
      </c>
      <c r="J166">
        <v>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1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1</v>
      </c>
      <c r="AD166">
        <v>0</v>
      </c>
      <c r="AE166">
        <v>0</v>
      </c>
      <c r="AF166">
        <v>0</v>
      </c>
      <c r="AG166">
        <v>1</v>
      </c>
      <c r="AH166" s="86">
        <f>AVERAGEIFS($C$2:C166, $B$2:B166, B166)</f>
        <v>15.8</v>
      </c>
      <c r="AI166" s="86">
        <f>AVERAGEIFS($I$2:I166, $B$2:B166, B166)</f>
        <v>0.54500000000000004</v>
      </c>
      <c r="AJ166" s="86">
        <f>AVERAGEIFS($J$2:J166, $B$2:B166, B166)</f>
        <v>0.55899999999999994</v>
      </c>
      <c r="AK166" s="86">
        <f>AVERAGEIFS($D$2:D166, $B$2:B166, B166)</f>
        <v>0.6</v>
      </c>
    </row>
    <row r="167" spans="1:37" x14ac:dyDescent="0.25">
      <c r="A167" s="85">
        <v>46128</v>
      </c>
      <c r="B167" t="s">
        <v>35</v>
      </c>
      <c r="C167">
        <v>6</v>
      </c>
      <c r="D167">
        <v>1</v>
      </c>
      <c r="E167">
        <v>3</v>
      </c>
      <c r="F167">
        <v>3</v>
      </c>
      <c r="G167">
        <v>9</v>
      </c>
      <c r="H167">
        <v>9</v>
      </c>
      <c r="I167">
        <v>1</v>
      </c>
      <c r="J167">
        <v>1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1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1</v>
      </c>
      <c r="AD167">
        <v>0</v>
      </c>
      <c r="AE167">
        <v>0</v>
      </c>
      <c r="AF167">
        <v>0</v>
      </c>
      <c r="AG167">
        <v>1</v>
      </c>
      <c r="AH167" s="86">
        <f>AVERAGEIFS($C$2:C167, $B$2:B167, B167)</f>
        <v>5.75</v>
      </c>
      <c r="AI167" s="86">
        <f>AVERAGEIFS($I$2:I167, $B$2:B167, B167)</f>
        <v>0.375</v>
      </c>
      <c r="AJ167" s="86">
        <f>AVERAGEIFS($J$2:J167, $B$2:B167, B167)</f>
        <v>0.46</v>
      </c>
      <c r="AK167" s="86">
        <f>AVERAGEIFS($D$2:D167, $B$2:B167, B167)</f>
        <v>0.25</v>
      </c>
    </row>
    <row r="168" spans="1:37" x14ac:dyDescent="0.25">
      <c r="A168" s="85">
        <v>46128</v>
      </c>
      <c r="B168" t="s">
        <v>42</v>
      </c>
      <c r="C168">
        <v>18</v>
      </c>
      <c r="D168">
        <v>0</v>
      </c>
      <c r="E168">
        <v>3</v>
      </c>
      <c r="F168">
        <v>0</v>
      </c>
      <c r="G168">
        <v>9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 s="86">
        <f>AVERAGEIFS($C$2:C168, $B$2:B168, B168)</f>
        <v>17.899999999999999</v>
      </c>
      <c r="AI168" s="86">
        <f>AVERAGEIFS($I$2:I168, $B$2:B168, B168)</f>
        <v>0.375</v>
      </c>
      <c r="AJ168" s="86">
        <f>AVERAGEIFS($J$2:J168, $B$2:B168, B168)</f>
        <v>0.39799999999999996</v>
      </c>
      <c r="AK168" s="86">
        <f>AVERAGEIFS($D$2:D168, $B$2:B168, B168)</f>
        <v>0.3</v>
      </c>
    </row>
    <row r="169" spans="1:37" x14ac:dyDescent="0.25">
      <c r="A169" s="85">
        <v>46128</v>
      </c>
      <c r="B169" t="s">
        <v>54</v>
      </c>
      <c r="C169">
        <v>15</v>
      </c>
      <c r="D169">
        <v>0</v>
      </c>
      <c r="E169">
        <v>3</v>
      </c>
      <c r="F169">
        <v>0</v>
      </c>
      <c r="G169">
        <v>9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 s="86">
        <f>AVERAGEIFS($C$2:C169, $B$2:B169, B169)</f>
        <v>19.285714285714285</v>
      </c>
      <c r="AI169" s="86">
        <f>AVERAGEIFS($I$2:I169, $B$2:B169, B169)</f>
        <v>0.6071428571428571</v>
      </c>
      <c r="AJ169" s="86">
        <f>AVERAGEIFS($J$2:J169, $B$2:B169, B169)</f>
        <v>0.52857142857142858</v>
      </c>
      <c r="AK169" s="86">
        <f>AVERAGEIFS($D$2:D169, $B$2:B169, B169)</f>
        <v>0.5714285714285714</v>
      </c>
    </row>
    <row r="170" spans="1:37" x14ac:dyDescent="0.25">
      <c r="A170" s="85">
        <v>46128</v>
      </c>
      <c r="B170" t="s">
        <v>46</v>
      </c>
      <c r="C170">
        <v>10</v>
      </c>
      <c r="D170">
        <v>0</v>
      </c>
      <c r="E170">
        <v>3</v>
      </c>
      <c r="F170">
        <v>0</v>
      </c>
      <c r="G170">
        <v>9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H170" s="86">
        <f>AVERAGEIFS($C$2:C170, $B$2:B170, B170)</f>
        <v>16</v>
      </c>
      <c r="AI170" s="86">
        <f>AVERAGEIFS($I$2:I170, $B$2:B170, B170)</f>
        <v>0.27499999999999997</v>
      </c>
      <c r="AJ170" s="86">
        <f>AVERAGEIFS($J$2:J170, $B$2:B170, B170)</f>
        <v>0.35499999999999998</v>
      </c>
      <c r="AK170" s="86">
        <f>AVERAGEIFS($D$2:D170, $B$2:B170, B170)</f>
        <v>0.16666666666666666</v>
      </c>
    </row>
    <row r="171" spans="1:37" x14ac:dyDescent="0.25">
      <c r="A171" s="85">
        <v>46128</v>
      </c>
      <c r="B171" t="s">
        <v>14</v>
      </c>
      <c r="C171">
        <v>10</v>
      </c>
      <c r="D171">
        <v>0</v>
      </c>
      <c r="E171">
        <v>3</v>
      </c>
      <c r="F171">
        <v>0</v>
      </c>
      <c r="G171">
        <v>9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 s="86">
        <f>AVERAGEIFS($C$2:C171, $B$2:B171, B171)</f>
        <v>13</v>
      </c>
      <c r="AI171" s="86">
        <f>AVERAGEIFS($I$2:I171, $B$2:B171, B171)</f>
        <v>0.27500000000000002</v>
      </c>
      <c r="AJ171" s="86">
        <f>AVERAGEIFS($J$2:J171, $B$2:B171, B171)</f>
        <v>0.34</v>
      </c>
      <c r="AK171" s="86">
        <f>AVERAGEIFS($D$2:D171, $B$2:B171, B171)</f>
        <v>0.25</v>
      </c>
    </row>
    <row r="172" spans="1:37" x14ac:dyDescent="0.25">
      <c r="A172" s="85">
        <v>46128</v>
      </c>
      <c r="B172" t="s">
        <v>2</v>
      </c>
      <c r="C172">
        <v>9</v>
      </c>
      <c r="D172">
        <v>0</v>
      </c>
      <c r="E172">
        <v>3</v>
      </c>
      <c r="F172">
        <v>0</v>
      </c>
      <c r="G172">
        <v>9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0</v>
      </c>
      <c r="AH172" s="86">
        <f>AVERAGEIFS($C$2:C172, $B$2:B172, B172)</f>
        <v>18.2</v>
      </c>
      <c r="AI172" s="86">
        <f>AVERAGEIFS($I$2:I172, $B$2:B172, B172)</f>
        <v>0.48</v>
      </c>
      <c r="AJ172" s="86">
        <f>AVERAGEIFS($J$2:J172, $B$2:B172, B172)</f>
        <v>0.49000000000000005</v>
      </c>
      <c r="AK172" s="86">
        <f>AVERAGEIFS($D$2:D172, $B$2:B172, B172)</f>
        <v>0.4</v>
      </c>
    </row>
    <row r="173" spans="1:37" x14ac:dyDescent="0.25">
      <c r="A173" s="85">
        <v>46128</v>
      </c>
      <c r="B173" t="s">
        <v>17</v>
      </c>
      <c r="C173">
        <v>6</v>
      </c>
      <c r="D173">
        <v>0</v>
      </c>
      <c r="E173">
        <v>3</v>
      </c>
      <c r="F173">
        <v>0</v>
      </c>
      <c r="G173">
        <v>9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 s="86">
        <f>AVERAGEIFS($C$2:C173, $B$2:B173, B173)</f>
        <v>16.166666666666668</v>
      </c>
      <c r="AI173" s="86">
        <f>AVERAGEIFS($I$2:I173, $B$2:B173, B173)</f>
        <v>0.64166666666666672</v>
      </c>
      <c r="AJ173" s="86">
        <f>AVERAGEIFS($J$2:J173, $B$2:B173, B173)</f>
        <v>0.53500000000000003</v>
      </c>
      <c r="AK173" s="86">
        <f>AVERAGEIFS($D$2:D173, $B$2:B173, B173)</f>
        <v>0.83333333333333337</v>
      </c>
    </row>
    <row r="174" spans="1:37" x14ac:dyDescent="0.25">
      <c r="A174" s="85">
        <v>46128</v>
      </c>
      <c r="B174" t="s">
        <v>1</v>
      </c>
      <c r="C174">
        <v>25</v>
      </c>
      <c r="D174">
        <v>1</v>
      </c>
      <c r="E174">
        <v>4</v>
      </c>
      <c r="F174">
        <v>3</v>
      </c>
      <c r="G174">
        <v>16</v>
      </c>
      <c r="H174">
        <v>10</v>
      </c>
      <c r="I174">
        <v>0.75</v>
      </c>
      <c r="J174">
        <v>0.63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1</v>
      </c>
      <c r="AD174">
        <v>0</v>
      </c>
      <c r="AE174">
        <v>1</v>
      </c>
      <c r="AF174">
        <v>0</v>
      </c>
      <c r="AG174">
        <v>1</v>
      </c>
      <c r="AH174" s="86">
        <f>AVERAGEIFS($C$2:C174, $B$2:B174, B174)</f>
        <v>21.625</v>
      </c>
      <c r="AI174" s="86">
        <f>AVERAGEIFS($I$2:I174, $B$2:B174, B174)</f>
        <v>0.61250000000000004</v>
      </c>
      <c r="AJ174" s="86">
        <f>AVERAGEIFS($J$2:J174, $B$2:B174, B174)</f>
        <v>0.59249999999999992</v>
      </c>
      <c r="AK174" s="86">
        <f>AVERAGEIFS($D$2:D174, $B$2:B174, B174)</f>
        <v>0.625</v>
      </c>
    </row>
    <row r="175" spans="1:37" x14ac:dyDescent="0.25">
      <c r="A175" s="85">
        <v>46128</v>
      </c>
      <c r="B175" t="s">
        <v>2</v>
      </c>
      <c r="C175">
        <v>20</v>
      </c>
      <c r="D175">
        <v>1</v>
      </c>
      <c r="E175">
        <v>4</v>
      </c>
      <c r="F175">
        <v>3</v>
      </c>
      <c r="G175">
        <v>16</v>
      </c>
      <c r="H175">
        <v>10</v>
      </c>
      <c r="I175">
        <v>0.75</v>
      </c>
      <c r="J175">
        <v>0.63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1</v>
      </c>
      <c r="AD175">
        <v>0</v>
      </c>
      <c r="AE175">
        <v>1</v>
      </c>
      <c r="AF175">
        <v>0</v>
      </c>
      <c r="AG175">
        <v>1</v>
      </c>
      <c r="AH175" s="86">
        <f>AVERAGEIFS($C$2:C175, $B$2:B175, B175)</f>
        <v>18.5</v>
      </c>
      <c r="AI175" s="86">
        <f>AVERAGEIFS($I$2:I175, $B$2:B175, B175)</f>
        <v>0.52500000000000002</v>
      </c>
      <c r="AJ175" s="86">
        <f>AVERAGEIFS($J$2:J175, $B$2:B175, B175)</f>
        <v>0.51333333333333331</v>
      </c>
      <c r="AK175" s="86">
        <f>AVERAGEIFS($D$2:D175, $B$2:B175, B175)</f>
        <v>0.5</v>
      </c>
    </row>
    <row r="176" spans="1:37" x14ac:dyDescent="0.25">
      <c r="A176" s="85">
        <v>46128</v>
      </c>
      <c r="B176" t="s">
        <v>150</v>
      </c>
      <c r="C176">
        <v>16</v>
      </c>
      <c r="D176">
        <v>1</v>
      </c>
      <c r="E176">
        <v>4</v>
      </c>
      <c r="F176">
        <v>3</v>
      </c>
      <c r="G176">
        <v>16</v>
      </c>
      <c r="H176">
        <v>10</v>
      </c>
      <c r="I176">
        <v>0.75</v>
      </c>
      <c r="J176">
        <v>0.63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1</v>
      </c>
      <c r="AD176">
        <v>0</v>
      </c>
      <c r="AE176">
        <v>1</v>
      </c>
      <c r="AF176">
        <v>0</v>
      </c>
      <c r="AG176">
        <v>1</v>
      </c>
      <c r="AH176" s="86">
        <f>AVERAGEIFS($C$2:C176, $B$2:B176, B176)</f>
        <v>18</v>
      </c>
      <c r="AI176" s="86">
        <f>AVERAGEIFS($I$2:I176, $B$2:B176, B176)</f>
        <v>0.73888888888888893</v>
      </c>
      <c r="AJ176" s="86">
        <f>AVERAGEIFS($J$2:J176, $B$2:B176, B176)</f>
        <v>0.66222222222222227</v>
      </c>
      <c r="AK176" s="86">
        <f>AVERAGEIFS($D$2:D176, $B$2:B176, B176)</f>
        <v>0.77777777777777779</v>
      </c>
    </row>
    <row r="177" spans="1:37" x14ac:dyDescent="0.25">
      <c r="A177" s="85">
        <v>46128</v>
      </c>
      <c r="B177" t="s">
        <v>44</v>
      </c>
      <c r="C177">
        <v>14</v>
      </c>
      <c r="D177">
        <v>1</v>
      </c>
      <c r="E177">
        <v>4</v>
      </c>
      <c r="F177">
        <v>3</v>
      </c>
      <c r="G177">
        <v>16</v>
      </c>
      <c r="H177">
        <v>10</v>
      </c>
      <c r="I177">
        <v>0.75</v>
      </c>
      <c r="J177">
        <v>0.63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1</v>
      </c>
      <c r="AD177">
        <v>0</v>
      </c>
      <c r="AE177">
        <v>1</v>
      </c>
      <c r="AF177">
        <v>0</v>
      </c>
      <c r="AG177">
        <v>1</v>
      </c>
      <c r="AH177" s="86">
        <f>AVERAGEIFS($C$2:C177, $B$2:B177, B177)</f>
        <v>15.636363636363637</v>
      </c>
      <c r="AI177" s="86">
        <f>AVERAGEIFS($I$2:I177, $B$2:B177, B177)</f>
        <v>0.5636363636363636</v>
      </c>
      <c r="AJ177" s="86">
        <f>AVERAGEIFS($J$2:J177, $B$2:B177, B177)</f>
        <v>0.56545454545454543</v>
      </c>
      <c r="AK177" s="86">
        <f>AVERAGEIFS($D$2:D177, $B$2:B177, B177)</f>
        <v>0.63636363636363635</v>
      </c>
    </row>
    <row r="178" spans="1:37" x14ac:dyDescent="0.25">
      <c r="A178" s="85">
        <v>46128</v>
      </c>
      <c r="B178" t="s">
        <v>141</v>
      </c>
      <c r="C178">
        <v>12</v>
      </c>
      <c r="D178">
        <v>1</v>
      </c>
      <c r="E178">
        <v>4</v>
      </c>
      <c r="F178">
        <v>3</v>
      </c>
      <c r="G178">
        <v>16</v>
      </c>
      <c r="H178">
        <v>10</v>
      </c>
      <c r="I178">
        <v>0.75</v>
      </c>
      <c r="J178">
        <v>0.63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1</v>
      </c>
      <c r="AD178">
        <v>0</v>
      </c>
      <c r="AE178">
        <v>1</v>
      </c>
      <c r="AF178">
        <v>0</v>
      </c>
      <c r="AG178">
        <v>1</v>
      </c>
      <c r="AH178" s="86">
        <f>AVERAGEIFS($C$2:C178, $B$2:B178, B178)</f>
        <v>9</v>
      </c>
      <c r="AI178" s="86">
        <f>AVERAGEIFS($I$2:I178, $B$2:B178, B178)</f>
        <v>0.45</v>
      </c>
      <c r="AJ178" s="86">
        <f>AVERAGEIFS($J$2:J178, $B$2:B178, B178)</f>
        <v>0.51333333333333331</v>
      </c>
      <c r="AK178" s="86">
        <f>AVERAGEIFS($D$2:D178, $B$2:B178, B178)</f>
        <v>0.66666666666666663</v>
      </c>
    </row>
    <row r="179" spans="1:37" x14ac:dyDescent="0.25">
      <c r="A179" s="85">
        <v>46128</v>
      </c>
      <c r="B179" t="s">
        <v>42</v>
      </c>
      <c r="C179">
        <v>10</v>
      </c>
      <c r="D179">
        <v>1</v>
      </c>
      <c r="E179">
        <v>4</v>
      </c>
      <c r="F179">
        <v>3</v>
      </c>
      <c r="G179">
        <v>16</v>
      </c>
      <c r="H179">
        <v>10</v>
      </c>
      <c r="I179">
        <v>0.75</v>
      </c>
      <c r="J179">
        <v>0.63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1</v>
      </c>
      <c r="AD179">
        <v>0</v>
      </c>
      <c r="AE179">
        <v>1</v>
      </c>
      <c r="AF179">
        <v>0</v>
      </c>
      <c r="AG179">
        <v>1</v>
      </c>
      <c r="AH179" s="86">
        <f>AVERAGEIFS($C$2:C179, $B$2:B179, B179)</f>
        <v>17.181818181818183</v>
      </c>
      <c r="AI179" s="86">
        <f>AVERAGEIFS($I$2:I179, $B$2:B179, B179)</f>
        <v>0.40909090909090912</v>
      </c>
      <c r="AJ179" s="86">
        <f>AVERAGEIFS($J$2:J179, $B$2:B179, B179)</f>
        <v>0.41909090909090901</v>
      </c>
      <c r="AK179" s="86">
        <f>AVERAGEIFS($D$2:D179, $B$2:B179, B179)</f>
        <v>0.36363636363636365</v>
      </c>
    </row>
    <row r="180" spans="1:37" x14ac:dyDescent="0.25">
      <c r="A180" s="85">
        <v>46128</v>
      </c>
      <c r="B180" t="s">
        <v>6</v>
      </c>
      <c r="C180">
        <v>23</v>
      </c>
      <c r="D180">
        <v>0</v>
      </c>
      <c r="E180">
        <v>4</v>
      </c>
      <c r="F180">
        <v>1</v>
      </c>
      <c r="G180">
        <v>16</v>
      </c>
      <c r="H180">
        <v>6</v>
      </c>
      <c r="I180">
        <v>0.25</v>
      </c>
      <c r="J180">
        <v>0.38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1</v>
      </c>
      <c r="AE180">
        <v>0</v>
      </c>
      <c r="AF180">
        <v>0</v>
      </c>
      <c r="AG180">
        <v>0</v>
      </c>
      <c r="AH180" s="86">
        <f>AVERAGEIFS($C$2:C180, $B$2:B180, B180)</f>
        <v>20.46153846153846</v>
      </c>
      <c r="AI180" s="86">
        <f>AVERAGEIFS($I$2:I180, $B$2:B180, B180)</f>
        <v>0.41538461538461541</v>
      </c>
      <c r="AJ180" s="86">
        <f>AVERAGEIFS($J$2:J180, $B$2:B180, B180)</f>
        <v>0.47076923076923077</v>
      </c>
      <c r="AK180" s="86">
        <f>AVERAGEIFS($D$2:D180, $B$2:B180, B180)</f>
        <v>0.38461538461538464</v>
      </c>
    </row>
    <row r="181" spans="1:37" x14ac:dyDescent="0.25">
      <c r="A181" s="85">
        <v>46128</v>
      </c>
      <c r="B181" t="s">
        <v>5</v>
      </c>
      <c r="C181">
        <v>18</v>
      </c>
      <c r="D181">
        <v>0</v>
      </c>
      <c r="E181">
        <v>4</v>
      </c>
      <c r="F181">
        <v>1</v>
      </c>
      <c r="G181">
        <v>16</v>
      </c>
      <c r="H181">
        <v>6</v>
      </c>
      <c r="I181">
        <v>0.25</v>
      </c>
      <c r="J181">
        <v>0.38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1</v>
      </c>
      <c r="AE181">
        <v>0</v>
      </c>
      <c r="AF181">
        <v>0</v>
      </c>
      <c r="AG181">
        <v>0</v>
      </c>
      <c r="AH181" s="86">
        <f>AVERAGEIFS($C$2:C181, $B$2:B181, B181)</f>
        <v>15.571428571428571</v>
      </c>
      <c r="AI181" s="86">
        <f>AVERAGEIFS($I$2:I181, $B$2:B181, B181)</f>
        <v>0.49285714285714288</v>
      </c>
      <c r="AJ181" s="86">
        <f>AVERAGEIFS($J$2:J181, $B$2:B181, B181)</f>
        <v>0.50428571428571434</v>
      </c>
      <c r="AK181" s="86">
        <f>AVERAGEIFS($D$2:D181, $B$2:B181, B181)</f>
        <v>0.5714285714285714</v>
      </c>
    </row>
    <row r="182" spans="1:37" x14ac:dyDescent="0.25">
      <c r="A182" s="85">
        <v>46128</v>
      </c>
      <c r="B182" t="s">
        <v>17</v>
      </c>
      <c r="C182">
        <v>16</v>
      </c>
      <c r="D182">
        <v>0</v>
      </c>
      <c r="E182">
        <v>4</v>
      </c>
      <c r="F182">
        <v>1</v>
      </c>
      <c r="G182">
        <v>16</v>
      </c>
      <c r="H182">
        <v>6</v>
      </c>
      <c r="I182">
        <v>0.25</v>
      </c>
      <c r="J182">
        <v>0.38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1</v>
      </c>
      <c r="AE182">
        <v>0</v>
      </c>
      <c r="AF182">
        <v>0</v>
      </c>
      <c r="AG182">
        <v>0</v>
      </c>
      <c r="AH182" s="86">
        <f>AVERAGEIFS($C$2:C182, $B$2:B182, B182)</f>
        <v>16.142857142857142</v>
      </c>
      <c r="AI182" s="86">
        <f>AVERAGEIFS($I$2:I182, $B$2:B182, B182)</f>
        <v>0.58571428571428563</v>
      </c>
      <c r="AJ182" s="86">
        <f>AVERAGEIFS($J$2:J182, $B$2:B182, B182)</f>
        <v>0.51285714285714279</v>
      </c>
      <c r="AK182" s="86">
        <f>AVERAGEIFS($D$2:D182, $B$2:B182, B182)</f>
        <v>0.7142857142857143</v>
      </c>
    </row>
    <row r="183" spans="1:37" x14ac:dyDescent="0.25">
      <c r="A183" s="85">
        <v>46128</v>
      </c>
      <c r="B183" t="s">
        <v>40</v>
      </c>
      <c r="C183">
        <v>13</v>
      </c>
      <c r="D183">
        <v>0</v>
      </c>
      <c r="E183">
        <v>4</v>
      </c>
      <c r="F183">
        <v>1</v>
      </c>
      <c r="G183">
        <v>16</v>
      </c>
      <c r="H183">
        <v>6</v>
      </c>
      <c r="I183">
        <v>0.25</v>
      </c>
      <c r="J183">
        <v>0.38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1</v>
      </c>
      <c r="AE183">
        <v>0</v>
      </c>
      <c r="AF183">
        <v>0</v>
      </c>
      <c r="AG183">
        <v>0</v>
      </c>
      <c r="AH183" s="86">
        <f>AVERAGEIFS($C$2:C183, $B$2:B183, B183)</f>
        <v>19</v>
      </c>
      <c r="AI183" s="86">
        <f>AVERAGEIFS($I$2:I183, $B$2:B183, B183)</f>
        <v>0.49090909090909096</v>
      </c>
      <c r="AJ183" s="86">
        <f>AVERAGEIFS($J$2:J183, $B$2:B183, B183)</f>
        <v>0.49545454545454548</v>
      </c>
      <c r="AK183" s="86">
        <f>AVERAGEIFS($D$2:D183, $B$2:B183, B183)</f>
        <v>0.45454545454545453</v>
      </c>
    </row>
    <row r="184" spans="1:37" x14ac:dyDescent="0.25">
      <c r="A184" s="85">
        <v>46128</v>
      </c>
      <c r="B184" t="s">
        <v>107</v>
      </c>
      <c r="C184">
        <v>11</v>
      </c>
      <c r="D184">
        <v>0</v>
      </c>
      <c r="E184">
        <v>4</v>
      </c>
      <c r="F184">
        <v>1</v>
      </c>
      <c r="G184">
        <v>16</v>
      </c>
      <c r="H184">
        <v>6</v>
      </c>
      <c r="I184">
        <v>0.25</v>
      </c>
      <c r="J184">
        <v>0.38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1</v>
      </c>
      <c r="AE184">
        <v>0</v>
      </c>
      <c r="AF184">
        <v>0</v>
      </c>
      <c r="AG184">
        <v>0</v>
      </c>
      <c r="AH184" s="86">
        <f>AVERAGEIFS($C$2:C184, $B$2:B184, B184)</f>
        <v>13.636363636363637</v>
      </c>
      <c r="AI184" s="86">
        <f>AVERAGEIFS($I$2:I184, $B$2:B184, B184)</f>
        <v>0.42272727272727278</v>
      </c>
      <c r="AJ184" s="86">
        <f>AVERAGEIFS($J$2:J184, $B$2:B184, B184)</f>
        <v>0.46181818181818185</v>
      </c>
      <c r="AK184" s="86">
        <f>AVERAGEIFS($D$2:D184, $B$2:B184, B184)</f>
        <v>0.45454545454545453</v>
      </c>
    </row>
    <row r="185" spans="1:37" x14ac:dyDescent="0.25">
      <c r="A185" s="85">
        <v>46128</v>
      </c>
      <c r="B185" t="s">
        <v>35</v>
      </c>
      <c r="C185">
        <v>8</v>
      </c>
      <c r="D185">
        <v>0</v>
      </c>
      <c r="E185">
        <v>4</v>
      </c>
      <c r="F185">
        <v>1</v>
      </c>
      <c r="G185">
        <v>16</v>
      </c>
      <c r="H185">
        <v>6</v>
      </c>
      <c r="I185">
        <v>0.25</v>
      </c>
      <c r="J185">
        <v>0.38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1</v>
      </c>
      <c r="AE185">
        <v>0</v>
      </c>
      <c r="AF185">
        <v>0</v>
      </c>
      <c r="AG185">
        <v>0</v>
      </c>
      <c r="AH185" s="86">
        <f>AVERAGEIFS($C$2:C185, $B$2:B185, B185)</f>
        <v>6.2</v>
      </c>
      <c r="AI185" s="86">
        <f>AVERAGEIFS($I$2:I185, $B$2:B185, B185)</f>
        <v>0.35</v>
      </c>
      <c r="AJ185" s="86">
        <f>AVERAGEIFS($J$2:J185, $B$2:B185, B185)</f>
        <v>0.44400000000000006</v>
      </c>
      <c r="AK185" s="86">
        <f>AVERAGEIFS($D$2:D185, $B$2:B185, B185)</f>
        <v>0.2</v>
      </c>
    </row>
    <row r="186" spans="1:37" x14ac:dyDescent="0.25">
      <c r="A186" s="85">
        <v>46130</v>
      </c>
      <c r="B186" t="s">
        <v>44</v>
      </c>
      <c r="C186">
        <v>12</v>
      </c>
      <c r="D186">
        <v>1</v>
      </c>
      <c r="E186">
        <v>4</v>
      </c>
      <c r="F186">
        <v>3</v>
      </c>
      <c r="G186">
        <v>16</v>
      </c>
      <c r="H186">
        <v>9</v>
      </c>
      <c r="I186">
        <v>0.75</v>
      </c>
      <c r="J186">
        <v>0.56000000000000005</v>
      </c>
      <c r="K186">
        <v>0</v>
      </c>
      <c r="L186">
        <v>0</v>
      </c>
      <c r="M186">
        <v>1</v>
      </c>
      <c r="N186">
        <v>1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1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 s="86">
        <f>AVERAGEIFS($C$2:C186, $B$2:B186, B186)</f>
        <v>15.333333333333334</v>
      </c>
      <c r="AI186" s="86">
        <f>AVERAGEIFS($I$2:I186, $B$2:B186, B186)</f>
        <v>0.57916666666666672</v>
      </c>
      <c r="AJ186" s="86">
        <f>AVERAGEIFS($J$2:J186, $B$2:B186, B186)</f>
        <v>0.56499999999999995</v>
      </c>
      <c r="AK186" s="86">
        <f>AVERAGEIFS($D$2:D186, $B$2:B186, B186)</f>
        <v>0.66666666666666663</v>
      </c>
    </row>
    <row r="187" spans="1:37" x14ac:dyDescent="0.25">
      <c r="A187" s="85">
        <v>46130</v>
      </c>
      <c r="B187" t="s">
        <v>1</v>
      </c>
      <c r="C187">
        <v>26</v>
      </c>
      <c r="D187">
        <v>1</v>
      </c>
      <c r="E187">
        <v>4</v>
      </c>
      <c r="F187">
        <v>3</v>
      </c>
      <c r="G187">
        <v>16</v>
      </c>
      <c r="H187">
        <v>9</v>
      </c>
      <c r="I187">
        <v>0.75</v>
      </c>
      <c r="J187">
        <v>0.56000000000000005</v>
      </c>
      <c r="K187">
        <v>0</v>
      </c>
      <c r="L187">
        <v>0</v>
      </c>
      <c r="M187">
        <v>1</v>
      </c>
      <c r="N187">
        <v>1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1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 s="86">
        <f>AVERAGEIFS($C$2:C187, $B$2:B187, B187)</f>
        <v>22.111111111111111</v>
      </c>
      <c r="AI187" s="86">
        <f>AVERAGEIFS($I$2:I187, $B$2:B187, B187)</f>
        <v>0.62777777777777777</v>
      </c>
      <c r="AJ187" s="86">
        <f>AVERAGEIFS($J$2:J187, $B$2:B187, B187)</f>
        <v>0.5888888888888888</v>
      </c>
      <c r="AK187" s="86">
        <f>AVERAGEIFS($D$2:D187, $B$2:B187, B187)</f>
        <v>0.66666666666666663</v>
      </c>
    </row>
    <row r="188" spans="1:37" x14ac:dyDescent="0.25">
      <c r="A188" s="85">
        <v>46130</v>
      </c>
      <c r="B188" t="s">
        <v>5</v>
      </c>
      <c r="C188">
        <v>17</v>
      </c>
      <c r="D188">
        <v>1</v>
      </c>
      <c r="E188">
        <v>4</v>
      </c>
      <c r="F188">
        <v>3</v>
      </c>
      <c r="G188">
        <v>16</v>
      </c>
      <c r="H188">
        <v>9</v>
      </c>
      <c r="I188">
        <v>0.75</v>
      </c>
      <c r="J188">
        <v>0.56000000000000005</v>
      </c>
      <c r="K188">
        <v>0</v>
      </c>
      <c r="L188">
        <v>0</v>
      </c>
      <c r="M188">
        <v>1</v>
      </c>
      <c r="N188">
        <v>1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1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 s="86">
        <f>AVERAGEIFS($C$2:C188, $B$2:B188, B188)</f>
        <v>15.75</v>
      </c>
      <c r="AI188" s="86">
        <f>AVERAGEIFS($I$2:I188, $B$2:B188, B188)</f>
        <v>0.52500000000000002</v>
      </c>
      <c r="AJ188" s="86">
        <f>AVERAGEIFS($J$2:J188, $B$2:B188, B188)</f>
        <v>0.51124999999999998</v>
      </c>
      <c r="AK188" s="86">
        <f>AVERAGEIFS($D$2:D188, $B$2:B188, B188)</f>
        <v>0.625</v>
      </c>
    </row>
    <row r="189" spans="1:37" x14ac:dyDescent="0.25">
      <c r="A189" s="85">
        <v>46130</v>
      </c>
      <c r="B189" t="s">
        <v>150</v>
      </c>
      <c r="C189">
        <v>24</v>
      </c>
      <c r="D189">
        <v>1</v>
      </c>
      <c r="E189">
        <v>4</v>
      </c>
      <c r="F189">
        <v>3</v>
      </c>
      <c r="G189">
        <v>16</v>
      </c>
      <c r="H189">
        <v>9</v>
      </c>
      <c r="I189">
        <v>0.75</v>
      </c>
      <c r="J189">
        <v>0.56000000000000005</v>
      </c>
      <c r="K189">
        <v>0</v>
      </c>
      <c r="L189">
        <v>0</v>
      </c>
      <c r="M189">
        <v>1</v>
      </c>
      <c r="N189">
        <v>1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1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 s="86">
        <f>AVERAGEIFS($C$2:C189, $B$2:B189, B189)</f>
        <v>18.600000000000001</v>
      </c>
      <c r="AI189" s="86">
        <f>AVERAGEIFS($I$2:I189, $B$2:B189, B189)</f>
        <v>0.74</v>
      </c>
      <c r="AJ189" s="86">
        <f>AVERAGEIFS($J$2:J189, $B$2:B189, B189)</f>
        <v>0.65199999999999991</v>
      </c>
      <c r="AK189" s="86">
        <f>AVERAGEIFS($D$2:D189, $B$2:B189, B189)</f>
        <v>0.8</v>
      </c>
    </row>
    <row r="190" spans="1:37" x14ac:dyDescent="0.25">
      <c r="A190" s="85">
        <v>46130</v>
      </c>
      <c r="B190" t="s">
        <v>107</v>
      </c>
      <c r="C190">
        <v>13</v>
      </c>
      <c r="D190">
        <v>1</v>
      </c>
      <c r="E190">
        <v>4</v>
      </c>
      <c r="F190">
        <v>3</v>
      </c>
      <c r="G190">
        <v>16</v>
      </c>
      <c r="H190">
        <v>9</v>
      </c>
      <c r="I190">
        <v>0.75</v>
      </c>
      <c r="J190">
        <v>0.56000000000000005</v>
      </c>
      <c r="K190">
        <v>0</v>
      </c>
      <c r="L190">
        <v>0</v>
      </c>
      <c r="M190">
        <v>1</v>
      </c>
      <c r="N190">
        <v>1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1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 s="86">
        <f>AVERAGEIFS($C$2:C190, $B$2:B190, B190)</f>
        <v>13.583333333333334</v>
      </c>
      <c r="AI190" s="86">
        <f>AVERAGEIFS($I$2:I190, $B$2:B190, B190)</f>
        <v>0.45</v>
      </c>
      <c r="AJ190" s="86">
        <f>AVERAGEIFS($J$2:J190, $B$2:B190, B190)</f>
        <v>0.47000000000000003</v>
      </c>
      <c r="AK190" s="86">
        <f>AVERAGEIFS($D$2:D190, $B$2:B190, B190)</f>
        <v>0.5</v>
      </c>
    </row>
    <row r="191" spans="1:37" x14ac:dyDescent="0.25">
      <c r="A191" s="85">
        <v>46130</v>
      </c>
      <c r="B191" t="s">
        <v>161</v>
      </c>
      <c r="C191">
        <v>3</v>
      </c>
      <c r="D191">
        <v>1</v>
      </c>
      <c r="E191">
        <v>4</v>
      </c>
      <c r="F191">
        <v>3</v>
      </c>
      <c r="G191">
        <v>16</v>
      </c>
      <c r="H191">
        <v>9</v>
      </c>
      <c r="I191">
        <v>0.75</v>
      </c>
      <c r="J191">
        <v>0.56000000000000005</v>
      </c>
      <c r="K191">
        <v>0</v>
      </c>
      <c r="L191">
        <v>0</v>
      </c>
      <c r="M191">
        <v>1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1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 s="86">
        <f>AVERAGEIFS($C$2:C191, $B$2:B191, B191)</f>
        <v>5</v>
      </c>
      <c r="AI191" s="86">
        <f>AVERAGEIFS($I$2:I191, $B$2:B191, B191)</f>
        <v>0.7</v>
      </c>
      <c r="AJ191" s="86">
        <f>AVERAGEIFS($J$2:J191, $B$2:B191, B191)</f>
        <v>0.56399999999999995</v>
      </c>
      <c r="AK191" s="86">
        <f>AVERAGEIFS($D$2:D191, $B$2:B191, B191)</f>
        <v>0.8</v>
      </c>
    </row>
    <row r="192" spans="1:37" x14ac:dyDescent="0.25">
      <c r="A192" s="85">
        <v>46130</v>
      </c>
      <c r="B192" t="s">
        <v>4</v>
      </c>
      <c r="C192">
        <v>27</v>
      </c>
      <c r="D192">
        <v>0</v>
      </c>
      <c r="E192">
        <v>4</v>
      </c>
      <c r="F192">
        <v>1</v>
      </c>
      <c r="G192">
        <v>16</v>
      </c>
      <c r="H192">
        <v>7</v>
      </c>
      <c r="I192">
        <v>0.25</v>
      </c>
      <c r="J192">
        <v>0.44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1</v>
      </c>
      <c r="AD192">
        <v>0</v>
      </c>
      <c r="AE192">
        <v>0</v>
      </c>
      <c r="AF192">
        <v>0</v>
      </c>
      <c r="AG192">
        <v>0</v>
      </c>
      <c r="AH192" s="86">
        <f>AVERAGEIFS($C$2:C192, $B$2:B192, B192)</f>
        <v>27.571428571428573</v>
      </c>
      <c r="AI192" s="86">
        <f>AVERAGEIFS($I$2:I192, $B$2:B192, B192)</f>
        <v>0.6</v>
      </c>
      <c r="AJ192" s="86">
        <f>AVERAGEIFS($J$2:J192, $B$2:B192, B192)</f>
        <v>0.54571428571428571</v>
      </c>
      <c r="AK192" s="86">
        <f>AVERAGEIFS($D$2:D192, $B$2:B192, B192)</f>
        <v>0.7142857142857143</v>
      </c>
    </row>
    <row r="193" spans="1:37" x14ac:dyDescent="0.25">
      <c r="A193" s="85">
        <v>46130</v>
      </c>
      <c r="B193" t="s">
        <v>2</v>
      </c>
      <c r="C193">
        <v>10</v>
      </c>
      <c r="D193">
        <v>0</v>
      </c>
      <c r="E193">
        <v>4</v>
      </c>
      <c r="F193">
        <v>1</v>
      </c>
      <c r="G193">
        <v>16</v>
      </c>
      <c r="H193">
        <v>7</v>
      </c>
      <c r="I193">
        <v>0.25</v>
      </c>
      <c r="J193">
        <v>0.44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1</v>
      </c>
      <c r="AD193">
        <v>0</v>
      </c>
      <c r="AE193">
        <v>0</v>
      </c>
      <c r="AF193">
        <v>0</v>
      </c>
      <c r="AG193">
        <v>0</v>
      </c>
      <c r="AH193" s="86">
        <f>AVERAGEIFS($C$2:C193, $B$2:B193, B193)</f>
        <v>17.285714285714285</v>
      </c>
      <c r="AI193" s="86">
        <f>AVERAGEIFS($I$2:I193, $B$2:B193, B193)</f>
        <v>0.48571428571428571</v>
      </c>
      <c r="AJ193" s="86">
        <f>AVERAGEIFS($J$2:J193, $B$2:B193, B193)</f>
        <v>0.50285714285714289</v>
      </c>
      <c r="AK193" s="86">
        <f>AVERAGEIFS($D$2:D193, $B$2:B193, B193)</f>
        <v>0.42857142857142855</v>
      </c>
    </row>
    <row r="194" spans="1:37" x14ac:dyDescent="0.25">
      <c r="A194" s="85">
        <v>46130</v>
      </c>
      <c r="B194" t="s">
        <v>113</v>
      </c>
      <c r="C194">
        <v>27</v>
      </c>
      <c r="D194">
        <v>0</v>
      </c>
      <c r="E194">
        <v>4</v>
      </c>
      <c r="F194">
        <v>1</v>
      </c>
      <c r="G194">
        <v>16</v>
      </c>
      <c r="H194">
        <v>7</v>
      </c>
      <c r="I194">
        <v>0.25</v>
      </c>
      <c r="J194">
        <v>0.44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1</v>
      </c>
      <c r="AD194">
        <v>0</v>
      </c>
      <c r="AE194">
        <v>0</v>
      </c>
      <c r="AF194">
        <v>0</v>
      </c>
      <c r="AG194">
        <v>0</v>
      </c>
      <c r="AH194" s="86">
        <f>AVERAGEIFS($C$2:C194, $B$2:B194, B194)</f>
        <v>19.75</v>
      </c>
      <c r="AI194" s="86">
        <f>AVERAGEIFS($I$2:I194, $B$2:B194, B194)</f>
        <v>0.65416666666666667</v>
      </c>
      <c r="AJ194" s="86">
        <f>AVERAGEIFS($J$2:J194, $B$2:B194, B194)</f>
        <v>0.60166666666666668</v>
      </c>
      <c r="AK194" s="86">
        <f>AVERAGEIFS($D$2:D194, $B$2:B194, B194)</f>
        <v>0.66666666666666663</v>
      </c>
    </row>
    <row r="195" spans="1:37" x14ac:dyDescent="0.25">
      <c r="A195" s="85">
        <v>46130</v>
      </c>
      <c r="B195" t="s">
        <v>147</v>
      </c>
      <c r="C195">
        <v>7</v>
      </c>
      <c r="D195">
        <v>0</v>
      </c>
      <c r="E195">
        <v>4</v>
      </c>
      <c r="F195">
        <v>1</v>
      </c>
      <c r="G195">
        <v>16</v>
      </c>
      <c r="H195">
        <v>7</v>
      </c>
      <c r="I195">
        <v>0.25</v>
      </c>
      <c r="J195">
        <v>0.44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1</v>
      </c>
      <c r="AD195">
        <v>0</v>
      </c>
      <c r="AE195">
        <v>0</v>
      </c>
      <c r="AF195">
        <v>0</v>
      </c>
      <c r="AG195">
        <v>0</v>
      </c>
      <c r="AH195" s="86">
        <f>AVERAGEIFS($C$2:C195, $B$2:B195, B195)</f>
        <v>11.75</v>
      </c>
      <c r="AI195" s="86">
        <f>AVERAGEIFS($I$2:I195, $B$2:B195, B195)</f>
        <v>0.47499999999999998</v>
      </c>
      <c r="AJ195" s="86">
        <f>AVERAGEIFS($J$2:J195, $B$2:B195, B195)</f>
        <v>0.57000000000000006</v>
      </c>
      <c r="AK195" s="86">
        <f>AVERAGEIFS($D$2:D195, $B$2:B195, B195)</f>
        <v>0.25</v>
      </c>
    </row>
    <row r="196" spans="1:37" x14ac:dyDescent="0.25">
      <c r="A196" s="85">
        <v>46130</v>
      </c>
      <c r="B196" t="s">
        <v>167</v>
      </c>
      <c r="C196">
        <v>6</v>
      </c>
      <c r="D196">
        <v>0</v>
      </c>
      <c r="E196">
        <v>4</v>
      </c>
      <c r="F196">
        <v>1</v>
      </c>
      <c r="G196">
        <v>16</v>
      </c>
      <c r="H196">
        <v>7</v>
      </c>
      <c r="I196">
        <v>0.25</v>
      </c>
      <c r="J196">
        <v>0.44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1</v>
      </c>
      <c r="AD196">
        <v>0</v>
      </c>
      <c r="AE196">
        <v>0</v>
      </c>
      <c r="AF196">
        <v>0</v>
      </c>
      <c r="AG196">
        <v>0</v>
      </c>
      <c r="AH196" s="86">
        <f>AVERAGEIFS($C$2:C196, $B$2:B196, B196)</f>
        <v>10</v>
      </c>
      <c r="AI196" s="86">
        <f>AVERAGEIFS($I$2:I196, $B$2:B196, B196)</f>
        <v>0.5</v>
      </c>
      <c r="AJ196" s="86">
        <f>AVERAGEIFS($J$2:J196, $B$2:B196, B196)</f>
        <v>0.5</v>
      </c>
      <c r="AK196" s="86">
        <f>AVERAGEIFS($D$2:D196, $B$2:B196, B196)</f>
        <v>0.5</v>
      </c>
    </row>
    <row r="197" spans="1:37" x14ac:dyDescent="0.25">
      <c r="A197" s="85">
        <v>46130</v>
      </c>
      <c r="B197" t="s">
        <v>53</v>
      </c>
      <c r="C197">
        <v>13</v>
      </c>
      <c r="D197">
        <v>0</v>
      </c>
      <c r="E197">
        <v>4</v>
      </c>
      <c r="F197">
        <v>1</v>
      </c>
      <c r="G197">
        <v>16</v>
      </c>
      <c r="H197">
        <v>7</v>
      </c>
      <c r="I197">
        <v>0.25</v>
      </c>
      <c r="J197">
        <v>0.44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1</v>
      </c>
      <c r="AD197">
        <v>0</v>
      </c>
      <c r="AE197">
        <v>0</v>
      </c>
      <c r="AF197">
        <v>0</v>
      </c>
      <c r="AG197">
        <v>0</v>
      </c>
      <c r="AH197" s="86">
        <f>AVERAGEIFS($C$2:C197, $B$2:B197, B197)</f>
        <v>12.7</v>
      </c>
      <c r="AI197" s="86">
        <f>AVERAGEIFS($I$2:I197, $B$2:B197, B197)</f>
        <v>0.41999999999999993</v>
      </c>
      <c r="AJ197" s="86">
        <f>AVERAGEIFS($J$2:J197, $B$2:B197, B197)</f>
        <v>0.45800000000000002</v>
      </c>
      <c r="AK197" s="86">
        <f>AVERAGEIFS($D$2:D197, $B$2:B197, B197)</f>
        <v>0.2</v>
      </c>
    </row>
    <row r="198" spans="1:37" x14ac:dyDescent="0.25">
      <c r="A198" s="85">
        <v>46133</v>
      </c>
      <c r="B198" t="s">
        <v>1</v>
      </c>
      <c r="C198">
        <v>49</v>
      </c>
      <c r="D198">
        <v>1</v>
      </c>
      <c r="E198">
        <v>5</v>
      </c>
      <c r="F198">
        <v>3</v>
      </c>
      <c r="G198">
        <v>23</v>
      </c>
      <c r="H198">
        <v>12</v>
      </c>
      <c r="I198">
        <v>0.6</v>
      </c>
      <c r="J198">
        <v>0.52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1</v>
      </c>
      <c r="AA198">
        <v>0</v>
      </c>
      <c r="AB198">
        <v>0</v>
      </c>
      <c r="AC198">
        <v>0</v>
      </c>
      <c r="AD198">
        <v>0</v>
      </c>
      <c r="AE198">
        <v>1</v>
      </c>
      <c r="AF198">
        <v>0</v>
      </c>
      <c r="AG198">
        <v>1</v>
      </c>
      <c r="AH198" s="86">
        <f>AVERAGEIFS($C$2:C198, $B$2:B198, B198)</f>
        <v>24.8</v>
      </c>
      <c r="AI198" s="86">
        <f>AVERAGEIFS($I$2:I198, $B$2:B198, B198)</f>
        <v>0.625</v>
      </c>
      <c r="AJ198" s="86">
        <f>AVERAGEIFS($J$2:J198, $B$2:B198, B198)</f>
        <v>0.58199999999999985</v>
      </c>
      <c r="AK198" s="86">
        <f>AVERAGEIFS($D$2:D198, $B$2:B198, B198)</f>
        <v>0.7</v>
      </c>
    </row>
    <row r="199" spans="1:37" x14ac:dyDescent="0.25">
      <c r="A199" s="85">
        <v>46133</v>
      </c>
      <c r="B199" t="s">
        <v>40</v>
      </c>
      <c r="C199">
        <v>32</v>
      </c>
      <c r="D199">
        <v>1</v>
      </c>
      <c r="E199">
        <v>5</v>
      </c>
      <c r="F199">
        <v>3</v>
      </c>
      <c r="G199">
        <v>23</v>
      </c>
      <c r="H199">
        <v>12</v>
      </c>
      <c r="I199">
        <v>0.6</v>
      </c>
      <c r="J199">
        <v>0.52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1</v>
      </c>
      <c r="AA199">
        <v>0</v>
      </c>
      <c r="AB199">
        <v>0</v>
      </c>
      <c r="AC199">
        <v>0</v>
      </c>
      <c r="AD199">
        <v>0</v>
      </c>
      <c r="AE199">
        <v>1</v>
      </c>
      <c r="AF199">
        <v>0</v>
      </c>
      <c r="AG199">
        <v>1</v>
      </c>
      <c r="AH199" s="86">
        <f>AVERAGEIFS($C$2:C199, $B$2:B199, B199)</f>
        <v>20.083333333333332</v>
      </c>
      <c r="AI199" s="86">
        <f>AVERAGEIFS($I$2:I199, $B$2:B199, B199)</f>
        <v>0.5</v>
      </c>
      <c r="AJ199" s="86">
        <f>AVERAGEIFS($J$2:J199, $B$2:B199, B199)</f>
        <v>0.49750000000000005</v>
      </c>
      <c r="AK199" s="86">
        <f>AVERAGEIFS($D$2:D199, $B$2:B199, B199)</f>
        <v>0.5</v>
      </c>
    </row>
    <row r="200" spans="1:37" x14ac:dyDescent="0.25">
      <c r="A200" s="85">
        <v>46133</v>
      </c>
      <c r="B200" t="s">
        <v>44</v>
      </c>
      <c r="C200">
        <v>24</v>
      </c>
      <c r="D200">
        <v>1</v>
      </c>
      <c r="E200">
        <v>5</v>
      </c>
      <c r="F200">
        <v>3</v>
      </c>
      <c r="G200">
        <v>23</v>
      </c>
      <c r="H200">
        <v>12</v>
      </c>
      <c r="I200">
        <v>0.6</v>
      </c>
      <c r="J200">
        <v>0.52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1</v>
      </c>
      <c r="AA200">
        <v>0</v>
      </c>
      <c r="AB200">
        <v>0</v>
      </c>
      <c r="AC200">
        <v>0</v>
      </c>
      <c r="AD200">
        <v>0</v>
      </c>
      <c r="AE200">
        <v>1</v>
      </c>
      <c r="AF200">
        <v>0</v>
      </c>
      <c r="AG200">
        <v>1</v>
      </c>
      <c r="AH200" s="86">
        <f>AVERAGEIFS($C$2:C200, $B$2:B200, B200)</f>
        <v>16</v>
      </c>
      <c r="AI200" s="86">
        <f>AVERAGEIFS($I$2:I200, $B$2:B200, B200)</f>
        <v>0.5807692307692307</v>
      </c>
      <c r="AJ200" s="86">
        <f>AVERAGEIFS($J$2:J200, $B$2:B200, B200)</f>
        <v>0.56153846153846143</v>
      </c>
      <c r="AK200" s="86">
        <f>AVERAGEIFS($D$2:D200, $B$2:B200, B200)</f>
        <v>0.69230769230769229</v>
      </c>
    </row>
    <row r="201" spans="1:37" x14ac:dyDescent="0.25">
      <c r="A201" s="85">
        <v>46133</v>
      </c>
      <c r="B201" t="s">
        <v>107</v>
      </c>
      <c r="C201">
        <v>22</v>
      </c>
      <c r="D201">
        <v>1</v>
      </c>
      <c r="E201">
        <v>5</v>
      </c>
      <c r="F201">
        <v>3</v>
      </c>
      <c r="G201">
        <v>23</v>
      </c>
      <c r="H201">
        <v>12</v>
      </c>
      <c r="I201">
        <v>0.6</v>
      </c>
      <c r="J201">
        <v>0.52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1</v>
      </c>
      <c r="AA201">
        <v>0</v>
      </c>
      <c r="AB201">
        <v>0</v>
      </c>
      <c r="AC201">
        <v>0</v>
      </c>
      <c r="AD201">
        <v>0</v>
      </c>
      <c r="AE201">
        <v>1</v>
      </c>
      <c r="AF201">
        <v>0</v>
      </c>
      <c r="AG201">
        <v>1</v>
      </c>
      <c r="AH201" s="86">
        <f>AVERAGEIFS($C$2:C201, $B$2:B201, B201)</f>
        <v>14.23076923076923</v>
      </c>
      <c r="AI201" s="86">
        <f>AVERAGEIFS($I$2:I201, $B$2:B201, B201)</f>
        <v>0.46153846153846156</v>
      </c>
      <c r="AJ201" s="86">
        <f>AVERAGEIFS($J$2:J201, $B$2:B201, B201)</f>
        <v>0.47384615384615386</v>
      </c>
      <c r="AK201" s="86">
        <f>AVERAGEIFS($D$2:D201, $B$2:B201, B201)</f>
        <v>0.53846153846153844</v>
      </c>
    </row>
    <row r="202" spans="1:37" x14ac:dyDescent="0.25">
      <c r="A202" s="85">
        <v>46133</v>
      </c>
      <c r="B202" t="s">
        <v>141</v>
      </c>
      <c r="C202">
        <v>19</v>
      </c>
      <c r="D202">
        <v>1</v>
      </c>
      <c r="E202">
        <v>5</v>
      </c>
      <c r="F202">
        <v>3</v>
      </c>
      <c r="G202">
        <v>23</v>
      </c>
      <c r="H202">
        <v>12</v>
      </c>
      <c r="I202">
        <v>0.6</v>
      </c>
      <c r="J202">
        <v>0.52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1</v>
      </c>
      <c r="AA202">
        <v>0</v>
      </c>
      <c r="AB202">
        <v>0</v>
      </c>
      <c r="AC202">
        <v>0</v>
      </c>
      <c r="AD202">
        <v>0</v>
      </c>
      <c r="AE202">
        <v>1</v>
      </c>
      <c r="AF202">
        <v>0</v>
      </c>
      <c r="AG202">
        <v>1</v>
      </c>
      <c r="AH202" s="86">
        <f>AVERAGEIFS($C$2:C202, $B$2:B202, B202)</f>
        <v>11.5</v>
      </c>
      <c r="AI202" s="86">
        <f>AVERAGEIFS($I$2:I202, $B$2:B202, B202)</f>
        <v>0.48750000000000004</v>
      </c>
      <c r="AJ202" s="86">
        <f>AVERAGEIFS($J$2:J202, $B$2:B202, B202)</f>
        <v>0.51500000000000001</v>
      </c>
      <c r="AK202" s="86">
        <f>AVERAGEIFS($D$2:D202, $B$2:B202, B202)</f>
        <v>0.75</v>
      </c>
    </row>
    <row r="203" spans="1:37" x14ac:dyDescent="0.25">
      <c r="A203" s="85">
        <v>46133</v>
      </c>
      <c r="B203" t="s">
        <v>166</v>
      </c>
      <c r="C203">
        <v>8</v>
      </c>
      <c r="D203">
        <v>1</v>
      </c>
      <c r="E203">
        <v>5</v>
      </c>
      <c r="F203">
        <v>3</v>
      </c>
      <c r="G203">
        <v>23</v>
      </c>
      <c r="H203">
        <v>12</v>
      </c>
      <c r="I203">
        <v>0.6</v>
      </c>
      <c r="J203">
        <v>0.52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1</v>
      </c>
      <c r="AA203">
        <v>0</v>
      </c>
      <c r="AB203">
        <v>0</v>
      </c>
      <c r="AC203">
        <v>0</v>
      </c>
      <c r="AD203">
        <v>0</v>
      </c>
      <c r="AE203">
        <v>1</v>
      </c>
      <c r="AF203">
        <v>0</v>
      </c>
      <c r="AG203">
        <v>1</v>
      </c>
      <c r="AH203" s="86">
        <f>AVERAGEIFS($C$2:C203, $B$2:B203, B203)</f>
        <v>6.333333333333333</v>
      </c>
      <c r="AI203" s="86">
        <f>AVERAGEIFS($I$2:I203, $B$2:B203, B203)</f>
        <v>0.45</v>
      </c>
      <c r="AJ203" s="86">
        <f>AVERAGEIFS($J$2:J203, $B$2:B203, B203)</f>
        <v>0.47666666666666663</v>
      </c>
      <c r="AK203" s="86">
        <f>AVERAGEIFS($D$2:D203, $B$2:B203, B203)</f>
        <v>0.66666666666666663</v>
      </c>
    </row>
    <row r="204" spans="1:37" x14ac:dyDescent="0.25">
      <c r="A204" s="85">
        <v>46133</v>
      </c>
      <c r="B204" t="s">
        <v>5</v>
      </c>
      <c r="C204">
        <v>37</v>
      </c>
      <c r="D204">
        <v>0</v>
      </c>
      <c r="E204">
        <v>5</v>
      </c>
      <c r="F204">
        <v>2</v>
      </c>
      <c r="G204">
        <v>23</v>
      </c>
      <c r="H204">
        <v>11</v>
      </c>
      <c r="I204">
        <v>0.4</v>
      </c>
      <c r="J204">
        <v>0.48</v>
      </c>
      <c r="K204">
        <v>0</v>
      </c>
      <c r="L204">
        <v>1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1</v>
      </c>
      <c r="AD204">
        <v>0</v>
      </c>
      <c r="AE204">
        <v>0</v>
      </c>
      <c r="AF204">
        <v>0</v>
      </c>
      <c r="AG204">
        <v>0</v>
      </c>
      <c r="AH204" s="86">
        <f>AVERAGEIFS($C$2:C204, $B$2:B204, B204)</f>
        <v>18.111111111111111</v>
      </c>
      <c r="AI204" s="86">
        <f>AVERAGEIFS($I$2:I204, $B$2:B204, B204)</f>
        <v>0.51111111111111118</v>
      </c>
      <c r="AJ204" s="86">
        <f>AVERAGEIFS($J$2:J204, $B$2:B204, B204)</f>
        <v>0.50777777777777777</v>
      </c>
      <c r="AK204" s="86">
        <f>AVERAGEIFS($D$2:D204, $B$2:B204, B204)</f>
        <v>0.55555555555555558</v>
      </c>
    </row>
    <row r="205" spans="1:37" x14ac:dyDescent="0.25">
      <c r="A205" s="85">
        <v>46133</v>
      </c>
      <c r="B205" t="s">
        <v>4</v>
      </c>
      <c r="C205">
        <v>34</v>
      </c>
      <c r="D205">
        <v>0</v>
      </c>
      <c r="E205">
        <v>5</v>
      </c>
      <c r="F205">
        <v>2</v>
      </c>
      <c r="G205">
        <v>23</v>
      </c>
      <c r="H205">
        <v>11</v>
      </c>
      <c r="I205">
        <v>0.4</v>
      </c>
      <c r="J205">
        <v>0.48</v>
      </c>
      <c r="K205">
        <v>0</v>
      </c>
      <c r="L205">
        <v>1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1</v>
      </c>
      <c r="AD205">
        <v>0</v>
      </c>
      <c r="AE205">
        <v>0</v>
      </c>
      <c r="AF205">
        <v>0</v>
      </c>
      <c r="AG205">
        <v>0</v>
      </c>
      <c r="AH205" s="86">
        <f>AVERAGEIFS($C$2:C205, $B$2:B205, B205)</f>
        <v>28.375</v>
      </c>
      <c r="AI205" s="86">
        <f>AVERAGEIFS($I$2:I205, $B$2:B205, B205)</f>
        <v>0.57500000000000007</v>
      </c>
      <c r="AJ205" s="86">
        <f>AVERAGEIFS($J$2:J205, $B$2:B205, B205)</f>
        <v>0.53749999999999998</v>
      </c>
      <c r="AK205" s="86">
        <f>AVERAGEIFS($D$2:D205, $B$2:B205, B205)</f>
        <v>0.625</v>
      </c>
    </row>
    <row r="206" spans="1:37" x14ac:dyDescent="0.25">
      <c r="A206" s="85">
        <v>46133</v>
      </c>
      <c r="B206" t="s">
        <v>113</v>
      </c>
      <c r="C206">
        <v>30</v>
      </c>
      <c r="D206">
        <v>0</v>
      </c>
      <c r="E206">
        <v>5</v>
      </c>
      <c r="F206">
        <v>2</v>
      </c>
      <c r="G206">
        <v>23</v>
      </c>
      <c r="H206">
        <v>11</v>
      </c>
      <c r="I206">
        <v>0.4</v>
      </c>
      <c r="J206">
        <v>0.48</v>
      </c>
      <c r="K206">
        <v>0</v>
      </c>
      <c r="L206">
        <v>1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1</v>
      </c>
      <c r="AD206">
        <v>0</v>
      </c>
      <c r="AE206">
        <v>0</v>
      </c>
      <c r="AF206">
        <v>0</v>
      </c>
      <c r="AG206">
        <v>0</v>
      </c>
      <c r="AH206" s="86">
        <f>AVERAGEIFS($C$2:C206, $B$2:B206, B206)</f>
        <v>20.53846153846154</v>
      </c>
      <c r="AI206" s="86">
        <f>AVERAGEIFS($I$2:I206, $B$2:B206, B206)</f>
        <v>0.63461538461538458</v>
      </c>
      <c r="AJ206" s="86">
        <f>AVERAGEIFS($J$2:J206, $B$2:B206, B206)</f>
        <v>0.5923076923076922</v>
      </c>
      <c r="AK206" s="86">
        <f>AVERAGEIFS($D$2:D206, $B$2:B206, B206)</f>
        <v>0.61538461538461542</v>
      </c>
    </row>
    <row r="207" spans="1:37" x14ac:dyDescent="0.25">
      <c r="A207" s="85">
        <v>46133</v>
      </c>
      <c r="B207" t="s">
        <v>147</v>
      </c>
      <c r="C207">
        <v>24</v>
      </c>
      <c r="D207">
        <v>0</v>
      </c>
      <c r="E207">
        <v>5</v>
      </c>
      <c r="F207">
        <v>2</v>
      </c>
      <c r="G207">
        <v>23</v>
      </c>
      <c r="H207">
        <v>11</v>
      </c>
      <c r="I207">
        <v>0.4</v>
      </c>
      <c r="J207">
        <v>0.48</v>
      </c>
      <c r="K207">
        <v>0</v>
      </c>
      <c r="L207">
        <v>1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1</v>
      </c>
      <c r="AD207">
        <v>0</v>
      </c>
      <c r="AE207">
        <v>0</v>
      </c>
      <c r="AF207">
        <v>0</v>
      </c>
      <c r="AG207">
        <v>0</v>
      </c>
      <c r="AH207" s="86">
        <f>AVERAGEIFS($C$2:C207, $B$2:B207, B207)</f>
        <v>14.2</v>
      </c>
      <c r="AI207" s="86">
        <f>AVERAGEIFS($I$2:I207, $B$2:B207, B207)</f>
        <v>0.45999999999999996</v>
      </c>
      <c r="AJ207" s="86">
        <f>AVERAGEIFS($J$2:J207, $B$2:B207, B207)</f>
        <v>0.55200000000000005</v>
      </c>
      <c r="AK207" s="86">
        <f>AVERAGEIFS($D$2:D207, $B$2:B207, B207)</f>
        <v>0.2</v>
      </c>
    </row>
    <row r="208" spans="1:37" x14ac:dyDescent="0.25">
      <c r="A208" s="85">
        <v>46133</v>
      </c>
      <c r="B208" t="s">
        <v>71</v>
      </c>
      <c r="C208">
        <v>12</v>
      </c>
      <c r="D208">
        <v>0</v>
      </c>
      <c r="E208">
        <v>5</v>
      </c>
      <c r="F208">
        <v>2</v>
      </c>
      <c r="G208">
        <v>23</v>
      </c>
      <c r="H208">
        <v>11</v>
      </c>
      <c r="I208">
        <v>0.4</v>
      </c>
      <c r="J208">
        <v>0.48</v>
      </c>
      <c r="K208">
        <v>0</v>
      </c>
      <c r="L208">
        <v>1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1</v>
      </c>
      <c r="AD208">
        <v>0</v>
      </c>
      <c r="AE208">
        <v>0</v>
      </c>
      <c r="AF208">
        <v>0</v>
      </c>
      <c r="AG208">
        <v>0</v>
      </c>
      <c r="AH208" s="86">
        <f>AVERAGEIFS($C$2:C208, $B$2:B208, B208)</f>
        <v>12.3</v>
      </c>
      <c r="AI208" s="86">
        <f>AVERAGEIFS($I$2:I208, $B$2:B208, B208)</f>
        <v>0.40499999999999997</v>
      </c>
      <c r="AJ208" s="86">
        <f>AVERAGEIFS($J$2:J208, $B$2:B208, B208)</f>
        <v>0.4549999999999999</v>
      </c>
      <c r="AK208" s="86">
        <f>AVERAGEIFS($D$2:D208, $B$2:B208, B208)</f>
        <v>0.3</v>
      </c>
    </row>
    <row r="209" spans="1:37" x14ac:dyDescent="0.25">
      <c r="A209" s="85">
        <v>46133</v>
      </c>
      <c r="B209" t="s">
        <v>161</v>
      </c>
      <c r="C209">
        <v>6</v>
      </c>
      <c r="D209">
        <v>0</v>
      </c>
      <c r="E209">
        <v>5</v>
      </c>
      <c r="F209">
        <v>2</v>
      </c>
      <c r="G209">
        <v>23</v>
      </c>
      <c r="H209">
        <v>11</v>
      </c>
      <c r="I209">
        <v>0.4</v>
      </c>
      <c r="J209">
        <v>0.48</v>
      </c>
      <c r="K209">
        <v>0</v>
      </c>
      <c r="L209">
        <v>1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1</v>
      </c>
      <c r="AD209">
        <v>0</v>
      </c>
      <c r="AE209">
        <v>0</v>
      </c>
      <c r="AF209">
        <v>0</v>
      </c>
      <c r="AG209">
        <v>0</v>
      </c>
      <c r="AH209" s="86">
        <f>AVERAGEIFS($C$2:C209, $B$2:B209, B209)</f>
        <v>5.166666666666667</v>
      </c>
      <c r="AI209" s="86">
        <f>AVERAGEIFS($I$2:I209, $B$2:B209, B209)</f>
        <v>0.65</v>
      </c>
      <c r="AJ209" s="86">
        <f>AVERAGEIFS($J$2:J209, $B$2:B209, B209)</f>
        <v>0.54999999999999993</v>
      </c>
      <c r="AK209" s="86">
        <f>AVERAGEIFS($D$2:D209, $B$2:B209, B209)</f>
        <v>0.66666666666666663</v>
      </c>
    </row>
    <row r="210" spans="1:37" x14ac:dyDescent="0.25">
      <c r="A210" s="85">
        <v>46135</v>
      </c>
      <c r="B210" t="s">
        <v>54</v>
      </c>
      <c r="C210">
        <v>29</v>
      </c>
      <c r="D210">
        <v>1</v>
      </c>
      <c r="E210">
        <v>5</v>
      </c>
      <c r="F210">
        <v>3</v>
      </c>
      <c r="G210">
        <v>19</v>
      </c>
      <c r="H210">
        <v>11</v>
      </c>
      <c r="I210">
        <v>0.6</v>
      </c>
      <c r="J210">
        <v>0.57999999999999996</v>
      </c>
      <c r="K210">
        <v>0</v>
      </c>
      <c r="L210">
        <v>0</v>
      </c>
      <c r="M210">
        <v>1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1</v>
      </c>
      <c r="AD210">
        <v>0</v>
      </c>
      <c r="AE210">
        <v>1</v>
      </c>
      <c r="AF210">
        <v>0</v>
      </c>
      <c r="AG210">
        <v>0</v>
      </c>
      <c r="AH210" s="86">
        <f>AVERAGEIFS($C$2:C210, $B$2:B210, B210)</f>
        <v>20.5</v>
      </c>
      <c r="AI210" s="86">
        <f>AVERAGEIFS($I$2:I210, $B$2:B210, B210)</f>
        <v>0.60624999999999996</v>
      </c>
      <c r="AJ210" s="86">
        <f>AVERAGEIFS($J$2:J210, $B$2:B210, B210)</f>
        <v>0.53499999999999992</v>
      </c>
      <c r="AK210" s="86">
        <f>AVERAGEIFS($D$2:D210, $B$2:B210, B210)</f>
        <v>0.625</v>
      </c>
    </row>
    <row r="211" spans="1:37" x14ac:dyDescent="0.25">
      <c r="A211" s="85">
        <v>46135</v>
      </c>
      <c r="B211" t="s">
        <v>4</v>
      </c>
      <c r="C211">
        <v>27</v>
      </c>
      <c r="D211">
        <v>1</v>
      </c>
      <c r="E211">
        <v>5</v>
      </c>
      <c r="F211">
        <v>3</v>
      </c>
      <c r="G211">
        <v>19</v>
      </c>
      <c r="H211">
        <v>11</v>
      </c>
      <c r="I211">
        <v>0.6</v>
      </c>
      <c r="J211">
        <v>0.57999999999999996</v>
      </c>
      <c r="K211">
        <v>0</v>
      </c>
      <c r="L211">
        <v>0</v>
      </c>
      <c r="M211">
        <v>1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1</v>
      </c>
      <c r="AD211">
        <v>0</v>
      </c>
      <c r="AE211">
        <v>1</v>
      </c>
      <c r="AF211">
        <v>0</v>
      </c>
      <c r="AG211">
        <v>0</v>
      </c>
      <c r="AH211" s="86">
        <f>AVERAGEIFS($C$2:C211, $B$2:B211, B211)</f>
        <v>28.222222222222221</v>
      </c>
      <c r="AI211" s="86">
        <f>AVERAGEIFS($I$2:I211, $B$2:B211, B211)</f>
        <v>0.57777777777777783</v>
      </c>
      <c r="AJ211" s="86">
        <f>AVERAGEIFS($J$2:J211, $B$2:B211, B211)</f>
        <v>0.54222222222222216</v>
      </c>
      <c r="AK211" s="86">
        <f>AVERAGEIFS($D$2:D211, $B$2:B211, B211)</f>
        <v>0.66666666666666663</v>
      </c>
    </row>
    <row r="212" spans="1:37" x14ac:dyDescent="0.25">
      <c r="A212" s="85">
        <v>46135</v>
      </c>
      <c r="B212" t="s">
        <v>42</v>
      </c>
      <c r="C212">
        <v>21</v>
      </c>
      <c r="D212">
        <v>1</v>
      </c>
      <c r="E212">
        <v>5</v>
      </c>
      <c r="F212">
        <v>3</v>
      </c>
      <c r="G212">
        <v>19</v>
      </c>
      <c r="H212">
        <v>11</v>
      </c>
      <c r="I212">
        <v>0.6</v>
      </c>
      <c r="J212">
        <v>0.57999999999999996</v>
      </c>
      <c r="K212">
        <v>0</v>
      </c>
      <c r="L212">
        <v>0</v>
      </c>
      <c r="M212">
        <v>1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1</v>
      </c>
      <c r="AD212">
        <v>0</v>
      </c>
      <c r="AE212">
        <v>1</v>
      </c>
      <c r="AF212">
        <v>0</v>
      </c>
      <c r="AG212">
        <v>0</v>
      </c>
      <c r="AH212" s="86">
        <f>AVERAGEIFS($C$2:C212, $B$2:B212, B212)</f>
        <v>17.5</v>
      </c>
      <c r="AI212" s="86">
        <f>AVERAGEIFS($I$2:I212, $B$2:B212, B212)</f>
        <v>0.42499999999999999</v>
      </c>
      <c r="AJ212" s="86">
        <f>AVERAGEIFS($J$2:J212, $B$2:B212, B212)</f>
        <v>0.43249999999999994</v>
      </c>
      <c r="AK212" s="86">
        <f>AVERAGEIFS($D$2:D212, $B$2:B212, B212)</f>
        <v>0.41666666666666669</v>
      </c>
    </row>
    <row r="213" spans="1:37" x14ac:dyDescent="0.25">
      <c r="A213" s="85">
        <v>46135</v>
      </c>
      <c r="B213" t="s">
        <v>17</v>
      </c>
      <c r="C213">
        <v>21</v>
      </c>
      <c r="D213">
        <v>1</v>
      </c>
      <c r="E213">
        <v>5</v>
      </c>
      <c r="F213">
        <v>3</v>
      </c>
      <c r="G213">
        <v>19</v>
      </c>
      <c r="H213">
        <v>11</v>
      </c>
      <c r="I213">
        <v>0.6</v>
      </c>
      <c r="J213">
        <v>0.57999999999999996</v>
      </c>
      <c r="K213">
        <v>0</v>
      </c>
      <c r="L213">
        <v>0</v>
      </c>
      <c r="M213">
        <v>1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1</v>
      </c>
      <c r="AD213">
        <v>0</v>
      </c>
      <c r="AE213">
        <v>1</v>
      </c>
      <c r="AF213">
        <v>0</v>
      </c>
      <c r="AG213">
        <v>0</v>
      </c>
      <c r="AH213" s="86">
        <f>AVERAGEIFS($C$2:C213, $B$2:B213, B213)</f>
        <v>16.75</v>
      </c>
      <c r="AI213" s="86">
        <f>AVERAGEIFS($I$2:I213, $B$2:B213, B213)</f>
        <v>0.58749999999999991</v>
      </c>
      <c r="AJ213" s="86">
        <f>AVERAGEIFS($J$2:J213, $B$2:B213, B213)</f>
        <v>0.52124999999999999</v>
      </c>
      <c r="AK213" s="86">
        <f>AVERAGEIFS($D$2:D213, $B$2:B213, B213)</f>
        <v>0.75</v>
      </c>
    </row>
    <row r="214" spans="1:37" x14ac:dyDescent="0.25">
      <c r="A214" s="85">
        <v>46135</v>
      </c>
      <c r="B214" t="s">
        <v>50</v>
      </c>
      <c r="C214">
        <v>19</v>
      </c>
      <c r="D214">
        <v>1</v>
      </c>
      <c r="E214">
        <v>5</v>
      </c>
      <c r="F214">
        <v>3</v>
      </c>
      <c r="G214">
        <v>19</v>
      </c>
      <c r="H214">
        <v>11</v>
      </c>
      <c r="I214">
        <v>0.6</v>
      </c>
      <c r="J214">
        <v>0.57999999999999996</v>
      </c>
      <c r="K214">
        <v>0</v>
      </c>
      <c r="L214">
        <v>0</v>
      </c>
      <c r="M214">
        <v>1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1</v>
      </c>
      <c r="AD214">
        <v>0</v>
      </c>
      <c r="AE214">
        <v>1</v>
      </c>
      <c r="AF214">
        <v>0</v>
      </c>
      <c r="AG214">
        <v>0</v>
      </c>
      <c r="AH214" s="86">
        <f>AVERAGEIFS($C$2:C214, $B$2:B214, B214)</f>
        <v>14.75</v>
      </c>
      <c r="AI214" s="86">
        <f>AVERAGEIFS($I$2:I214, $B$2:B214, B214)</f>
        <v>0.36249999999999999</v>
      </c>
      <c r="AJ214" s="86">
        <f>AVERAGEIFS($J$2:J214, $B$2:B214, B214)</f>
        <v>0.39249999999999996</v>
      </c>
      <c r="AK214" s="86">
        <f>AVERAGEIFS($D$2:D214, $B$2:B214, B214)</f>
        <v>0.5</v>
      </c>
    </row>
    <row r="215" spans="1:37" x14ac:dyDescent="0.25">
      <c r="A215" s="85">
        <v>46135</v>
      </c>
      <c r="B215" t="s">
        <v>107</v>
      </c>
      <c r="C215">
        <v>14</v>
      </c>
      <c r="D215">
        <v>1</v>
      </c>
      <c r="E215">
        <v>5</v>
      </c>
      <c r="F215">
        <v>3</v>
      </c>
      <c r="G215">
        <v>19</v>
      </c>
      <c r="H215">
        <v>11</v>
      </c>
      <c r="I215">
        <v>0.6</v>
      </c>
      <c r="J215">
        <v>0.57999999999999996</v>
      </c>
      <c r="K215">
        <v>0</v>
      </c>
      <c r="L215">
        <v>0</v>
      </c>
      <c r="M215">
        <v>1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1</v>
      </c>
      <c r="AD215">
        <v>0</v>
      </c>
      <c r="AE215">
        <v>1</v>
      </c>
      <c r="AF215">
        <v>0</v>
      </c>
      <c r="AG215">
        <v>0</v>
      </c>
      <c r="AH215" s="86">
        <f>AVERAGEIFS($C$2:C215, $B$2:B215, B215)</f>
        <v>14.214285714285714</v>
      </c>
      <c r="AI215" s="86">
        <f>AVERAGEIFS($I$2:I215, $B$2:B215, B215)</f>
        <v>0.47142857142857142</v>
      </c>
      <c r="AJ215" s="86">
        <f>AVERAGEIFS($J$2:J215, $B$2:B215, B215)</f>
        <v>0.48142857142857143</v>
      </c>
      <c r="AK215" s="86">
        <f>AVERAGEIFS($D$2:D215, $B$2:B215, B215)</f>
        <v>0.5714285714285714</v>
      </c>
    </row>
    <row r="216" spans="1:37" x14ac:dyDescent="0.25">
      <c r="A216" s="85">
        <v>46135</v>
      </c>
      <c r="B216" t="s">
        <v>1</v>
      </c>
      <c r="C216">
        <v>30</v>
      </c>
      <c r="D216">
        <v>0</v>
      </c>
      <c r="E216">
        <v>5</v>
      </c>
      <c r="F216">
        <v>2</v>
      </c>
      <c r="G216">
        <v>19</v>
      </c>
      <c r="H216">
        <v>8</v>
      </c>
      <c r="I216">
        <v>0.4</v>
      </c>
      <c r="J216">
        <v>0.42</v>
      </c>
      <c r="K216">
        <v>0</v>
      </c>
      <c r="L216">
        <v>0</v>
      </c>
      <c r="M216">
        <v>0</v>
      </c>
      <c r="N216">
        <v>0</v>
      </c>
      <c r="O216">
        <v>1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1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 s="86">
        <f>AVERAGEIFS($C$2:C216, $B$2:B216, B216)</f>
        <v>25.272727272727273</v>
      </c>
      <c r="AI216" s="86">
        <f>AVERAGEIFS($I$2:I216, $B$2:B216, B216)</f>
        <v>0.60454545454545461</v>
      </c>
      <c r="AJ216" s="86">
        <f>AVERAGEIFS($J$2:J216, $B$2:B216, B216)</f>
        <v>0.56727272727272715</v>
      </c>
      <c r="AK216" s="86">
        <f>AVERAGEIFS($D$2:D216, $B$2:B216, B216)</f>
        <v>0.63636363636363635</v>
      </c>
    </row>
    <row r="217" spans="1:37" x14ac:dyDescent="0.25">
      <c r="A217" s="85">
        <v>46135</v>
      </c>
      <c r="B217" t="s">
        <v>5</v>
      </c>
      <c r="C217">
        <v>20</v>
      </c>
      <c r="D217">
        <v>0</v>
      </c>
      <c r="E217">
        <v>5</v>
      </c>
      <c r="F217">
        <v>2</v>
      </c>
      <c r="G217">
        <v>19</v>
      </c>
      <c r="H217">
        <v>8</v>
      </c>
      <c r="I217">
        <v>0.4</v>
      </c>
      <c r="J217">
        <v>0.42</v>
      </c>
      <c r="K217">
        <v>0</v>
      </c>
      <c r="L217">
        <v>0</v>
      </c>
      <c r="M217">
        <v>0</v>
      </c>
      <c r="N217">
        <v>0</v>
      </c>
      <c r="O217">
        <v>1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1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 s="86">
        <f>AVERAGEIFS($C$2:C217, $B$2:B217, B217)</f>
        <v>18.3</v>
      </c>
      <c r="AI217" s="86">
        <f>AVERAGEIFS($I$2:I217, $B$2:B217, B217)</f>
        <v>0.50000000000000011</v>
      </c>
      <c r="AJ217" s="86">
        <f>AVERAGEIFS($J$2:J217, $B$2:B217, B217)</f>
        <v>0.499</v>
      </c>
      <c r="AK217" s="86">
        <f>AVERAGEIFS($D$2:D217, $B$2:B217, B217)</f>
        <v>0.5</v>
      </c>
    </row>
    <row r="218" spans="1:37" x14ac:dyDescent="0.25">
      <c r="A218" s="85">
        <v>46135</v>
      </c>
      <c r="B218" t="s">
        <v>40</v>
      </c>
      <c r="C218">
        <v>19</v>
      </c>
      <c r="D218">
        <v>0</v>
      </c>
      <c r="E218">
        <v>5</v>
      </c>
      <c r="F218">
        <v>2</v>
      </c>
      <c r="G218">
        <v>19</v>
      </c>
      <c r="H218">
        <v>8</v>
      </c>
      <c r="I218">
        <v>0.4</v>
      </c>
      <c r="J218">
        <v>0.42</v>
      </c>
      <c r="K218">
        <v>0</v>
      </c>
      <c r="L218">
        <v>0</v>
      </c>
      <c r="M218">
        <v>0</v>
      </c>
      <c r="N218">
        <v>0</v>
      </c>
      <c r="O218">
        <v>1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1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0</v>
      </c>
      <c r="AH218" s="86">
        <f>AVERAGEIFS($C$2:C218, $B$2:B218, B218)</f>
        <v>20</v>
      </c>
      <c r="AI218" s="86">
        <f>AVERAGEIFS($I$2:I218, $B$2:B218, B218)</f>
        <v>0.49230769230769234</v>
      </c>
      <c r="AJ218" s="86">
        <f>AVERAGEIFS($J$2:J218, $B$2:B218, B218)</f>
        <v>0.49153846153846159</v>
      </c>
      <c r="AK218" s="86">
        <f>AVERAGEIFS($D$2:D218, $B$2:B218, B218)</f>
        <v>0.46153846153846156</v>
      </c>
    </row>
    <row r="219" spans="1:37" x14ac:dyDescent="0.25">
      <c r="A219" s="85">
        <v>46135</v>
      </c>
      <c r="B219" t="s">
        <v>44</v>
      </c>
      <c r="C219">
        <v>18</v>
      </c>
      <c r="D219">
        <v>0</v>
      </c>
      <c r="E219">
        <v>5</v>
      </c>
      <c r="F219">
        <v>2</v>
      </c>
      <c r="G219">
        <v>19</v>
      </c>
      <c r="H219">
        <v>8</v>
      </c>
      <c r="I219">
        <v>0.4</v>
      </c>
      <c r="J219">
        <v>0.42</v>
      </c>
      <c r="K219">
        <v>0</v>
      </c>
      <c r="L219">
        <v>0</v>
      </c>
      <c r="M219">
        <v>0</v>
      </c>
      <c r="N219">
        <v>0</v>
      </c>
      <c r="O219">
        <v>1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1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0</v>
      </c>
      <c r="AH219" s="86">
        <f>AVERAGEIFS($C$2:C219, $B$2:B219, B219)</f>
        <v>16.142857142857142</v>
      </c>
      <c r="AI219" s="86">
        <f>AVERAGEIFS($I$2:I219, $B$2:B219, B219)</f>
        <v>0.56785714285714284</v>
      </c>
      <c r="AJ219" s="86">
        <f>AVERAGEIFS($J$2:J219, $B$2:B219, B219)</f>
        <v>0.55142857142857138</v>
      </c>
      <c r="AK219" s="86">
        <f>AVERAGEIFS($D$2:D219, $B$2:B219, B219)</f>
        <v>0.6428571428571429</v>
      </c>
    </row>
    <row r="220" spans="1:37" x14ac:dyDescent="0.25">
      <c r="A220" s="85">
        <v>46135</v>
      </c>
      <c r="B220" t="s">
        <v>113</v>
      </c>
      <c r="C220">
        <v>17</v>
      </c>
      <c r="D220">
        <v>0</v>
      </c>
      <c r="E220">
        <v>5</v>
      </c>
      <c r="F220">
        <v>2</v>
      </c>
      <c r="G220">
        <v>19</v>
      </c>
      <c r="H220">
        <v>8</v>
      </c>
      <c r="I220">
        <v>0.4</v>
      </c>
      <c r="J220">
        <v>0.42</v>
      </c>
      <c r="K220">
        <v>0</v>
      </c>
      <c r="L220">
        <v>0</v>
      </c>
      <c r="M220">
        <v>0</v>
      </c>
      <c r="N220">
        <v>0</v>
      </c>
      <c r="O220">
        <v>1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1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 s="86">
        <f>AVERAGEIFS($C$2:C220, $B$2:B220, B220)</f>
        <v>20.285714285714285</v>
      </c>
      <c r="AI220" s="86">
        <f>AVERAGEIFS($I$2:I220, $B$2:B220, B220)</f>
        <v>0.61785714285714288</v>
      </c>
      <c r="AJ220" s="86">
        <f>AVERAGEIFS($J$2:J220, $B$2:B220, B220)</f>
        <v>0.57999999999999996</v>
      </c>
      <c r="AK220" s="86">
        <f>AVERAGEIFS($D$2:D220, $B$2:B220, B220)</f>
        <v>0.5714285714285714</v>
      </c>
    </row>
    <row r="221" spans="1:37" x14ac:dyDescent="0.25">
      <c r="A221" s="85">
        <v>46135</v>
      </c>
      <c r="B221" t="s">
        <v>147</v>
      </c>
      <c r="C221">
        <v>8</v>
      </c>
      <c r="D221">
        <v>0</v>
      </c>
      <c r="E221">
        <v>5</v>
      </c>
      <c r="F221">
        <v>2</v>
      </c>
      <c r="G221">
        <v>19</v>
      </c>
      <c r="H221">
        <v>8</v>
      </c>
      <c r="I221">
        <v>0.4</v>
      </c>
      <c r="J221">
        <v>0.42</v>
      </c>
      <c r="K221">
        <v>0</v>
      </c>
      <c r="L221">
        <v>0</v>
      </c>
      <c r="M221">
        <v>0</v>
      </c>
      <c r="N221">
        <v>0</v>
      </c>
      <c r="O221">
        <v>1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1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 s="86">
        <f>AVERAGEIFS($C$2:C221, $B$2:B221, B221)</f>
        <v>13.166666666666666</v>
      </c>
      <c r="AI221" s="86">
        <f>AVERAGEIFS($I$2:I221, $B$2:B221, B221)</f>
        <v>0.44999999999999996</v>
      </c>
      <c r="AJ221" s="86">
        <f>AVERAGEIFS($J$2:J221, $B$2:B221, B221)</f>
        <v>0.53</v>
      </c>
      <c r="AK221" s="86">
        <f>AVERAGEIFS($D$2:D221, $B$2:B221, B221)</f>
        <v>0.16666666666666666</v>
      </c>
    </row>
    <row r="222" spans="1:37" x14ac:dyDescent="0.25">
      <c r="A222" s="85">
        <v>46135</v>
      </c>
      <c r="B222" t="s">
        <v>6</v>
      </c>
      <c r="C222">
        <v>24</v>
      </c>
      <c r="D222">
        <v>1</v>
      </c>
      <c r="E222">
        <v>4</v>
      </c>
      <c r="F222">
        <v>3</v>
      </c>
      <c r="G222">
        <v>16</v>
      </c>
      <c r="H222">
        <v>9</v>
      </c>
      <c r="I222">
        <v>0.75</v>
      </c>
      <c r="J222">
        <v>0.56000000000000005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1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1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1</v>
      </c>
      <c r="AH222" s="86">
        <f>AVERAGEIFS($C$2:C222, $B$2:B222, B222)</f>
        <v>20.714285714285715</v>
      </c>
      <c r="AI222" s="86">
        <f>AVERAGEIFS($I$2:I222, $B$2:B222, B222)</f>
        <v>0.43928571428571433</v>
      </c>
      <c r="AJ222" s="86">
        <f>AVERAGEIFS($J$2:J222, $B$2:B222, B222)</f>
        <v>0.47714285714285715</v>
      </c>
      <c r="AK222" s="86">
        <f>AVERAGEIFS($D$2:D222, $B$2:B222, B222)</f>
        <v>0.42857142857142855</v>
      </c>
    </row>
    <row r="223" spans="1:37" x14ac:dyDescent="0.25">
      <c r="A223" s="85">
        <v>46135</v>
      </c>
      <c r="B223" t="s">
        <v>17</v>
      </c>
      <c r="C223">
        <v>22</v>
      </c>
      <c r="D223">
        <v>1</v>
      </c>
      <c r="E223">
        <v>4</v>
      </c>
      <c r="F223">
        <v>3</v>
      </c>
      <c r="G223">
        <v>16</v>
      </c>
      <c r="H223">
        <v>9</v>
      </c>
      <c r="I223">
        <v>0.75</v>
      </c>
      <c r="J223">
        <v>0.56000000000000005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1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1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1</v>
      </c>
      <c r="AH223" s="86">
        <f>AVERAGEIFS($C$2:C223, $B$2:B223, B223)</f>
        <v>17.333333333333332</v>
      </c>
      <c r="AI223" s="86">
        <f>AVERAGEIFS($I$2:I223, $B$2:B223, B223)</f>
        <v>0.60555555555555551</v>
      </c>
      <c r="AJ223" s="86">
        <f>AVERAGEIFS($J$2:J223, $B$2:B223, B223)</f>
        <v>0.52555555555555555</v>
      </c>
      <c r="AK223" s="86">
        <f>AVERAGEIFS($D$2:D223, $B$2:B223, B223)</f>
        <v>0.77777777777777779</v>
      </c>
    </row>
    <row r="224" spans="1:37" x14ac:dyDescent="0.25">
      <c r="A224" s="85">
        <v>46135</v>
      </c>
      <c r="B224" t="s">
        <v>147</v>
      </c>
      <c r="C224">
        <v>22</v>
      </c>
      <c r="D224">
        <v>1</v>
      </c>
      <c r="E224">
        <v>4</v>
      </c>
      <c r="F224">
        <v>3</v>
      </c>
      <c r="G224">
        <v>16</v>
      </c>
      <c r="H224">
        <v>9</v>
      </c>
      <c r="I224">
        <v>0.75</v>
      </c>
      <c r="J224">
        <v>0.56000000000000005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1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1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1</v>
      </c>
      <c r="AH224" s="86">
        <f>AVERAGEIFS($C$2:C224, $B$2:B224, B224)</f>
        <v>14.428571428571429</v>
      </c>
      <c r="AI224" s="86">
        <f>AVERAGEIFS($I$2:I224, $B$2:B224, B224)</f>
        <v>0.49285714285714283</v>
      </c>
      <c r="AJ224" s="86">
        <f>AVERAGEIFS($J$2:J224, $B$2:B224, B224)</f>
        <v>0.53428571428571436</v>
      </c>
      <c r="AK224" s="86">
        <f>AVERAGEIFS($D$2:D224, $B$2:B224, B224)</f>
        <v>0.2857142857142857</v>
      </c>
    </row>
    <row r="225" spans="1:37" x14ac:dyDescent="0.25">
      <c r="A225" s="85">
        <v>46135</v>
      </c>
      <c r="B225" t="s">
        <v>42</v>
      </c>
      <c r="C225">
        <v>21</v>
      </c>
      <c r="D225">
        <v>1</v>
      </c>
      <c r="E225">
        <v>4</v>
      </c>
      <c r="F225">
        <v>3</v>
      </c>
      <c r="G225">
        <v>16</v>
      </c>
      <c r="H225">
        <v>9</v>
      </c>
      <c r="I225">
        <v>0.75</v>
      </c>
      <c r="J225">
        <v>0.56000000000000005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1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1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1</v>
      </c>
      <c r="AH225" s="86">
        <f>AVERAGEIFS($C$2:C225, $B$2:B225, B225)</f>
        <v>17.76923076923077</v>
      </c>
      <c r="AI225" s="86">
        <f>AVERAGEIFS($I$2:I225, $B$2:B225, B225)</f>
        <v>0.44999999999999996</v>
      </c>
      <c r="AJ225" s="86">
        <f>AVERAGEIFS($J$2:J225, $B$2:B225, B225)</f>
        <v>0.44230769230769229</v>
      </c>
      <c r="AK225" s="86">
        <f>AVERAGEIFS($D$2:D225, $B$2:B225, B225)</f>
        <v>0.46153846153846156</v>
      </c>
    </row>
    <row r="226" spans="1:37" x14ac:dyDescent="0.25">
      <c r="A226" s="85">
        <v>46135</v>
      </c>
      <c r="B226" t="s">
        <v>150</v>
      </c>
      <c r="C226">
        <v>18</v>
      </c>
      <c r="D226">
        <v>1</v>
      </c>
      <c r="E226">
        <v>4</v>
      </c>
      <c r="F226">
        <v>3</v>
      </c>
      <c r="G226">
        <v>16</v>
      </c>
      <c r="H226">
        <v>9</v>
      </c>
      <c r="I226">
        <v>0.75</v>
      </c>
      <c r="J226">
        <v>0.56000000000000005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1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1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1</v>
      </c>
      <c r="AH226" s="86">
        <f>AVERAGEIFS($C$2:C226, $B$2:B226, B226)</f>
        <v>18.545454545454547</v>
      </c>
      <c r="AI226" s="86">
        <f>AVERAGEIFS($I$2:I226, $B$2:B226, B226)</f>
        <v>0.74090909090909096</v>
      </c>
      <c r="AJ226" s="86">
        <f>AVERAGEIFS($J$2:J226, $B$2:B226, B226)</f>
        <v>0.64363636363636367</v>
      </c>
      <c r="AK226" s="86">
        <f>AVERAGEIFS($D$2:D226, $B$2:B226, B226)</f>
        <v>0.81818181818181823</v>
      </c>
    </row>
    <row r="227" spans="1:37" x14ac:dyDescent="0.25">
      <c r="A227" s="85">
        <v>46135</v>
      </c>
      <c r="B227" t="s">
        <v>113</v>
      </c>
      <c r="C227">
        <v>16</v>
      </c>
      <c r="D227">
        <v>1</v>
      </c>
      <c r="E227">
        <v>4</v>
      </c>
      <c r="F227">
        <v>3</v>
      </c>
      <c r="G227">
        <v>16</v>
      </c>
      <c r="H227">
        <v>9</v>
      </c>
      <c r="I227">
        <v>0.75</v>
      </c>
      <c r="J227">
        <v>0.56000000000000005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1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1</v>
      </c>
      <c r="AH227" s="86">
        <f>AVERAGEIFS($C$2:C227, $B$2:B227, B227)</f>
        <v>20</v>
      </c>
      <c r="AI227" s="86">
        <f>AVERAGEIFS($I$2:I227, $B$2:B227, B227)</f>
        <v>0.62666666666666671</v>
      </c>
      <c r="AJ227" s="86">
        <f>AVERAGEIFS($J$2:J227, $B$2:B227, B227)</f>
        <v>0.57866666666666666</v>
      </c>
      <c r="AK227" s="86">
        <f>AVERAGEIFS($D$2:D227, $B$2:B227, B227)</f>
        <v>0.6</v>
      </c>
    </row>
    <row r="228" spans="1:37" x14ac:dyDescent="0.25">
      <c r="A228" s="85">
        <v>46135</v>
      </c>
      <c r="B228" t="s">
        <v>1</v>
      </c>
      <c r="C228">
        <v>32</v>
      </c>
      <c r="D228">
        <v>0</v>
      </c>
      <c r="E228">
        <v>4</v>
      </c>
      <c r="F228">
        <v>1</v>
      </c>
      <c r="G228">
        <v>16</v>
      </c>
      <c r="H228">
        <v>7</v>
      </c>
      <c r="I228">
        <v>0.25</v>
      </c>
      <c r="J228">
        <v>0.44</v>
      </c>
      <c r="K228">
        <v>0</v>
      </c>
      <c r="L228">
        <v>0</v>
      </c>
      <c r="M228">
        <v>1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0</v>
      </c>
      <c r="AH228" s="86">
        <f>AVERAGEIFS($C$2:C228, $B$2:B228, B228)</f>
        <v>25.833333333333332</v>
      </c>
      <c r="AI228" s="86">
        <f>AVERAGEIFS($I$2:I228, $B$2:B228, B228)</f>
        <v>0.57500000000000007</v>
      </c>
      <c r="AJ228" s="86">
        <f>AVERAGEIFS($J$2:J228, $B$2:B228, B228)</f>
        <v>0.55666666666666653</v>
      </c>
      <c r="AK228" s="86">
        <f>AVERAGEIFS($D$2:D228, $B$2:B228, B228)</f>
        <v>0.58333333333333337</v>
      </c>
    </row>
    <row r="229" spans="1:37" x14ac:dyDescent="0.25">
      <c r="A229" s="85">
        <v>46135</v>
      </c>
      <c r="B229" t="s">
        <v>40</v>
      </c>
      <c r="C229">
        <v>22</v>
      </c>
      <c r="D229">
        <v>0</v>
      </c>
      <c r="E229">
        <v>4</v>
      </c>
      <c r="F229">
        <v>1</v>
      </c>
      <c r="G229">
        <v>16</v>
      </c>
      <c r="H229">
        <v>7</v>
      </c>
      <c r="I229">
        <v>0.25</v>
      </c>
      <c r="J229">
        <v>0.44</v>
      </c>
      <c r="K229">
        <v>0</v>
      </c>
      <c r="L229">
        <v>0</v>
      </c>
      <c r="M229">
        <v>1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 s="86">
        <f>AVERAGEIFS($C$2:C229, $B$2:B229, B229)</f>
        <v>20.142857142857142</v>
      </c>
      <c r="AI229" s="86">
        <f>AVERAGEIFS($I$2:I229, $B$2:B229, B229)</f>
        <v>0.47500000000000003</v>
      </c>
      <c r="AJ229" s="86">
        <f>AVERAGEIFS($J$2:J229, $B$2:B229, B229)</f>
        <v>0.48785714285714293</v>
      </c>
      <c r="AK229" s="86">
        <f>AVERAGEIFS($D$2:D229, $B$2:B229, B229)</f>
        <v>0.42857142857142855</v>
      </c>
    </row>
    <row r="230" spans="1:37" x14ac:dyDescent="0.25">
      <c r="A230" s="85">
        <v>46135</v>
      </c>
      <c r="B230" t="s">
        <v>50</v>
      </c>
      <c r="C230">
        <v>21</v>
      </c>
      <c r="D230">
        <v>0</v>
      </c>
      <c r="E230">
        <v>4</v>
      </c>
      <c r="F230">
        <v>1</v>
      </c>
      <c r="G230">
        <v>16</v>
      </c>
      <c r="H230">
        <v>7</v>
      </c>
      <c r="I230">
        <v>0.25</v>
      </c>
      <c r="J230">
        <v>0.44</v>
      </c>
      <c r="K230">
        <v>0</v>
      </c>
      <c r="L230">
        <v>0</v>
      </c>
      <c r="M230">
        <v>1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 s="86">
        <f>AVERAGEIFS($C$2:C230, $B$2:B230, B230)</f>
        <v>16</v>
      </c>
      <c r="AI230" s="86">
        <f>AVERAGEIFS($I$2:I230, $B$2:B230, B230)</f>
        <v>0.33999999999999997</v>
      </c>
      <c r="AJ230" s="86">
        <f>AVERAGEIFS($J$2:J230, $B$2:B230, B230)</f>
        <v>0.40199999999999997</v>
      </c>
      <c r="AK230" s="86">
        <f>AVERAGEIFS($D$2:D230, $B$2:B230, B230)</f>
        <v>0.4</v>
      </c>
    </row>
    <row r="231" spans="1:37" x14ac:dyDescent="0.25">
      <c r="A231" s="85">
        <v>46135</v>
      </c>
      <c r="B231" t="s">
        <v>44</v>
      </c>
      <c r="C231">
        <v>16</v>
      </c>
      <c r="D231">
        <v>0</v>
      </c>
      <c r="E231">
        <v>4</v>
      </c>
      <c r="F231">
        <v>1</v>
      </c>
      <c r="G231">
        <v>16</v>
      </c>
      <c r="H231">
        <v>7</v>
      </c>
      <c r="I231">
        <v>0.25</v>
      </c>
      <c r="J231">
        <v>0.44</v>
      </c>
      <c r="K231">
        <v>0</v>
      </c>
      <c r="L231">
        <v>0</v>
      </c>
      <c r="M231">
        <v>1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 s="86">
        <f>AVERAGEIFS($C$2:C231, $B$2:B231, B231)</f>
        <v>16.133333333333333</v>
      </c>
      <c r="AI231" s="86">
        <f>AVERAGEIFS($I$2:I231, $B$2:B231, B231)</f>
        <v>0.54666666666666663</v>
      </c>
      <c r="AJ231" s="86">
        <f>AVERAGEIFS($J$2:J231, $B$2:B231, B231)</f>
        <v>0.54399999999999993</v>
      </c>
      <c r="AK231" s="86">
        <f>AVERAGEIFS($D$2:D231, $B$2:B231, B231)</f>
        <v>0.6</v>
      </c>
    </row>
    <row r="232" spans="1:37" x14ac:dyDescent="0.25">
      <c r="A232" s="85">
        <v>46135</v>
      </c>
      <c r="B232" t="s">
        <v>107</v>
      </c>
      <c r="C232">
        <v>15</v>
      </c>
      <c r="D232">
        <v>0</v>
      </c>
      <c r="E232">
        <v>4</v>
      </c>
      <c r="F232">
        <v>1</v>
      </c>
      <c r="G232">
        <v>16</v>
      </c>
      <c r="H232">
        <v>7</v>
      </c>
      <c r="I232">
        <v>0.25</v>
      </c>
      <c r="J232">
        <v>0.44</v>
      </c>
      <c r="K232">
        <v>0</v>
      </c>
      <c r="L232">
        <v>0</v>
      </c>
      <c r="M232">
        <v>1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 s="86">
        <f>AVERAGEIFS($C$2:C232, $B$2:B232, B232)</f>
        <v>14.266666666666667</v>
      </c>
      <c r="AI232" s="86">
        <f>AVERAGEIFS($I$2:I232, $B$2:B232, B232)</f>
        <v>0.45666666666666667</v>
      </c>
      <c r="AJ232" s="86">
        <f>AVERAGEIFS($J$2:J232, $B$2:B232, B232)</f>
        <v>0.47866666666666668</v>
      </c>
      <c r="AK232" s="86">
        <f>AVERAGEIFS($D$2:D232, $B$2:B232, B232)</f>
        <v>0.53333333333333333</v>
      </c>
    </row>
    <row r="233" spans="1:37" x14ac:dyDescent="0.25">
      <c r="A233" s="85">
        <v>46135</v>
      </c>
      <c r="B233" t="s">
        <v>5</v>
      </c>
      <c r="C233">
        <v>13</v>
      </c>
      <c r="D233">
        <v>0</v>
      </c>
      <c r="E233">
        <v>4</v>
      </c>
      <c r="F233">
        <v>1</v>
      </c>
      <c r="G233">
        <v>16</v>
      </c>
      <c r="H233">
        <v>7</v>
      </c>
      <c r="I233">
        <v>0.25</v>
      </c>
      <c r="J233">
        <v>0.44</v>
      </c>
      <c r="K233">
        <v>0</v>
      </c>
      <c r="L233">
        <v>0</v>
      </c>
      <c r="M233">
        <v>1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 s="86">
        <f>AVERAGEIFS($C$2:C233, $B$2:B233, B233)</f>
        <v>17.818181818181817</v>
      </c>
      <c r="AI233" s="86">
        <f>AVERAGEIFS($I$2:I233, $B$2:B233, B233)</f>
        <v>0.47727272727272735</v>
      </c>
      <c r="AJ233" s="86">
        <f>AVERAGEIFS($J$2:J233, $B$2:B233, B233)</f>
        <v>0.49363636363636371</v>
      </c>
      <c r="AK233" s="86">
        <f>AVERAGEIFS($D$2:D233, $B$2:B233, B233)</f>
        <v>0.45454545454545453</v>
      </c>
    </row>
    <row r="234" spans="1:37" x14ac:dyDescent="0.25">
      <c r="A234" s="85">
        <v>46139</v>
      </c>
      <c r="B234" t="s">
        <v>6</v>
      </c>
      <c r="C234">
        <v>36</v>
      </c>
      <c r="D234">
        <v>1</v>
      </c>
      <c r="E234">
        <v>5</v>
      </c>
      <c r="F234">
        <v>3</v>
      </c>
      <c r="G234">
        <v>24</v>
      </c>
      <c r="H234">
        <v>13</v>
      </c>
      <c r="I234">
        <v>0.6</v>
      </c>
      <c r="J234">
        <v>0.54</v>
      </c>
      <c r="K234">
        <v>1</v>
      </c>
      <c r="L234">
        <v>0</v>
      </c>
      <c r="M234">
        <v>1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 s="86">
        <f>AVERAGEIFS($C$2:C234, $B$2:B234, B234)</f>
        <v>21.733333333333334</v>
      </c>
      <c r="AI234" s="86">
        <f>AVERAGEIFS($I$2:I234, $B$2:B234, B234)</f>
        <v>0.45</v>
      </c>
      <c r="AJ234" s="86">
        <f>AVERAGEIFS($J$2:J234, $B$2:B234, B234)</f>
        <v>0.48133333333333334</v>
      </c>
      <c r="AK234" s="86">
        <f>AVERAGEIFS($D$2:D234, $B$2:B234, B234)</f>
        <v>0.46666666666666667</v>
      </c>
    </row>
    <row r="235" spans="1:37" x14ac:dyDescent="0.25">
      <c r="A235" s="85">
        <v>46139</v>
      </c>
      <c r="B235" t="s">
        <v>5</v>
      </c>
      <c r="C235">
        <v>34</v>
      </c>
      <c r="D235">
        <v>1</v>
      </c>
      <c r="E235">
        <v>5</v>
      </c>
      <c r="F235">
        <v>3</v>
      </c>
      <c r="G235">
        <v>24</v>
      </c>
      <c r="H235">
        <v>13</v>
      </c>
      <c r="I235">
        <v>0.6</v>
      </c>
      <c r="J235">
        <v>0.54</v>
      </c>
      <c r="K235">
        <v>1</v>
      </c>
      <c r="L235">
        <v>0</v>
      </c>
      <c r="M235">
        <v>1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 s="86">
        <f>AVERAGEIFS($C$2:C235, $B$2:B235, B235)</f>
        <v>19.166666666666668</v>
      </c>
      <c r="AI235" s="86">
        <f>AVERAGEIFS($I$2:I235, $B$2:B235, B235)</f>
        <v>0.48750000000000004</v>
      </c>
      <c r="AJ235" s="86">
        <f>AVERAGEIFS($J$2:J235, $B$2:B235, B235)</f>
        <v>0.49750000000000005</v>
      </c>
      <c r="AK235" s="86">
        <f>AVERAGEIFS($D$2:D235, $B$2:B235, B235)</f>
        <v>0.5</v>
      </c>
    </row>
    <row r="236" spans="1:37" x14ac:dyDescent="0.25">
      <c r="A236" s="85">
        <v>46139</v>
      </c>
      <c r="B236" t="s">
        <v>107</v>
      </c>
      <c r="C236">
        <v>27</v>
      </c>
      <c r="D236">
        <v>1</v>
      </c>
      <c r="E236">
        <v>5</v>
      </c>
      <c r="F236">
        <v>3</v>
      </c>
      <c r="G236">
        <v>24</v>
      </c>
      <c r="H236">
        <v>13</v>
      </c>
      <c r="I236">
        <v>0.6</v>
      </c>
      <c r="J236">
        <v>0.54</v>
      </c>
      <c r="K236">
        <v>1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1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 s="86">
        <f>AVERAGEIFS($C$2:C236, $B$2:B236, B236)</f>
        <v>15.0625</v>
      </c>
      <c r="AI236" s="86">
        <f>AVERAGEIFS($I$2:I236, $B$2:B236, B236)</f>
        <v>0.46562499999999996</v>
      </c>
      <c r="AJ236" s="86">
        <f>AVERAGEIFS($J$2:J236, $B$2:B236, B236)</f>
        <v>0.48250000000000004</v>
      </c>
      <c r="AK236" s="86">
        <f>AVERAGEIFS($D$2:D236, $B$2:B236, B236)</f>
        <v>0.5625</v>
      </c>
    </row>
    <row r="237" spans="1:37" x14ac:dyDescent="0.25">
      <c r="A237" s="85">
        <v>46139</v>
      </c>
      <c r="B237" t="s">
        <v>17</v>
      </c>
      <c r="C237">
        <v>28</v>
      </c>
      <c r="D237">
        <v>1</v>
      </c>
      <c r="E237">
        <v>5</v>
      </c>
      <c r="F237">
        <v>3</v>
      </c>
      <c r="G237">
        <v>24</v>
      </c>
      <c r="H237">
        <v>13</v>
      </c>
      <c r="I237">
        <v>0.6</v>
      </c>
      <c r="J237">
        <v>0.54</v>
      </c>
      <c r="K237">
        <v>1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1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 s="86">
        <f>AVERAGEIFS($C$2:C237, $B$2:B237, B237)</f>
        <v>18.399999999999999</v>
      </c>
      <c r="AI237" s="86">
        <f>AVERAGEIFS($I$2:I237, $B$2:B237, B237)</f>
        <v>0.60499999999999987</v>
      </c>
      <c r="AJ237" s="86">
        <f>AVERAGEIFS($J$2:J237, $B$2:B237, B237)</f>
        <v>0.52700000000000002</v>
      </c>
      <c r="AK237" s="86">
        <f>AVERAGEIFS($D$2:D237, $B$2:B237, B237)</f>
        <v>0.8</v>
      </c>
    </row>
    <row r="238" spans="1:37" x14ac:dyDescent="0.25">
      <c r="A238" s="85">
        <v>46139</v>
      </c>
      <c r="B238" t="s">
        <v>44</v>
      </c>
      <c r="C238">
        <v>28</v>
      </c>
      <c r="D238">
        <v>1</v>
      </c>
      <c r="E238">
        <v>5</v>
      </c>
      <c r="F238">
        <v>3</v>
      </c>
      <c r="G238">
        <v>24</v>
      </c>
      <c r="H238">
        <v>13</v>
      </c>
      <c r="I238">
        <v>0.6</v>
      </c>
      <c r="J238">
        <v>0.54</v>
      </c>
      <c r="K238">
        <v>1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1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 s="86">
        <f>AVERAGEIFS($C$2:C238, $B$2:B238, B238)</f>
        <v>16.875</v>
      </c>
      <c r="AI238" s="86">
        <f>AVERAGEIFS($I$2:I238, $B$2:B238, B238)</f>
        <v>0.54999999999999993</v>
      </c>
      <c r="AJ238" s="86">
        <f>AVERAGEIFS($J$2:J238, $B$2:B238, B238)</f>
        <v>0.54374999999999996</v>
      </c>
      <c r="AK238" s="86">
        <f>AVERAGEIFS($D$2:D238, $B$2:B238, B238)</f>
        <v>0.625</v>
      </c>
    </row>
    <row r="239" spans="1:37" x14ac:dyDescent="0.25">
      <c r="A239" s="85">
        <v>46139</v>
      </c>
      <c r="B239" t="s">
        <v>147</v>
      </c>
      <c r="C239">
        <v>26</v>
      </c>
      <c r="D239">
        <v>1</v>
      </c>
      <c r="E239">
        <v>5</v>
      </c>
      <c r="F239">
        <v>3</v>
      </c>
      <c r="G239">
        <v>24</v>
      </c>
      <c r="H239">
        <v>13</v>
      </c>
      <c r="I239">
        <v>0.6</v>
      </c>
      <c r="J239">
        <v>0.54</v>
      </c>
      <c r="K239">
        <v>1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1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 s="86">
        <f>AVERAGEIFS($C$2:C239, $B$2:B239, B239)</f>
        <v>15.875</v>
      </c>
      <c r="AI239" s="86">
        <f>AVERAGEIFS($I$2:I239, $B$2:B239, B239)</f>
        <v>0.50624999999999998</v>
      </c>
      <c r="AJ239" s="86">
        <f>AVERAGEIFS($J$2:J239, $B$2:B239, B239)</f>
        <v>0.53500000000000003</v>
      </c>
      <c r="AK239" s="86">
        <f>AVERAGEIFS($D$2:D239, $B$2:B239, B239)</f>
        <v>0.375</v>
      </c>
    </row>
    <row r="240" spans="1:37" x14ac:dyDescent="0.25">
      <c r="A240" s="85">
        <v>46139</v>
      </c>
      <c r="B240" t="s">
        <v>35</v>
      </c>
      <c r="C240">
        <v>10</v>
      </c>
      <c r="D240">
        <v>1</v>
      </c>
      <c r="E240">
        <v>5</v>
      </c>
      <c r="F240">
        <v>3</v>
      </c>
      <c r="G240">
        <v>24</v>
      </c>
      <c r="H240">
        <v>13</v>
      </c>
      <c r="I240">
        <v>0.6</v>
      </c>
      <c r="J240">
        <v>0.54</v>
      </c>
      <c r="K240">
        <v>1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1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 s="86">
        <f>AVERAGEIFS($C$2:C240, $B$2:B240, B240)</f>
        <v>6.833333333333333</v>
      </c>
      <c r="AI240" s="86">
        <f>AVERAGEIFS($I$2:I240, $B$2:B240, B240)</f>
        <v>0.39166666666666666</v>
      </c>
      <c r="AJ240" s="86">
        <f>AVERAGEIFS($J$2:J240, $B$2:B240, B240)</f>
        <v>0.46</v>
      </c>
      <c r="AK240" s="86">
        <f>AVERAGEIFS($D$2:D240, $B$2:B240, B240)</f>
        <v>0.33333333333333331</v>
      </c>
    </row>
    <row r="241" spans="1:37" x14ac:dyDescent="0.25">
      <c r="A241" s="85">
        <v>46139</v>
      </c>
      <c r="B241" t="s">
        <v>166</v>
      </c>
      <c r="C241">
        <v>21</v>
      </c>
      <c r="D241">
        <v>1</v>
      </c>
      <c r="E241">
        <v>5</v>
      </c>
      <c r="F241">
        <v>3</v>
      </c>
      <c r="G241">
        <v>24</v>
      </c>
      <c r="H241">
        <v>13</v>
      </c>
      <c r="I241">
        <v>0.6</v>
      </c>
      <c r="J241">
        <v>0.54</v>
      </c>
      <c r="K241">
        <v>1</v>
      </c>
      <c r="L241">
        <v>0</v>
      </c>
      <c r="M241">
        <v>1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1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 s="86">
        <f>AVERAGEIFS($C$2:C241, $B$2:B241, B241)</f>
        <v>10</v>
      </c>
      <c r="AI241" s="86">
        <f>AVERAGEIFS($I$2:I241, $B$2:B241, B241)</f>
        <v>0.48750000000000004</v>
      </c>
      <c r="AJ241" s="86">
        <f>AVERAGEIFS($J$2:J241, $B$2:B241, B241)</f>
        <v>0.49249999999999999</v>
      </c>
      <c r="AK241" s="86">
        <f>AVERAGEIFS($D$2:D241, $B$2:B241, B241)</f>
        <v>0.75</v>
      </c>
    </row>
    <row r="242" spans="1:37" x14ac:dyDescent="0.25">
      <c r="A242" s="85">
        <v>46139</v>
      </c>
      <c r="B242" t="s">
        <v>54</v>
      </c>
      <c r="C242">
        <v>47</v>
      </c>
      <c r="D242">
        <v>0</v>
      </c>
      <c r="E242">
        <v>5</v>
      </c>
      <c r="F242">
        <v>2</v>
      </c>
      <c r="G242">
        <v>24</v>
      </c>
      <c r="H242">
        <v>11</v>
      </c>
      <c r="I242">
        <v>0.4</v>
      </c>
      <c r="J242">
        <v>0.46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1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1</v>
      </c>
      <c r="AE242">
        <v>0</v>
      </c>
      <c r="AF242">
        <v>0</v>
      </c>
      <c r="AG242">
        <v>0</v>
      </c>
      <c r="AH242" s="86">
        <f>AVERAGEIFS($C$2:C242, $B$2:B242, B242)</f>
        <v>23.444444444444443</v>
      </c>
      <c r="AI242" s="86">
        <f>AVERAGEIFS($I$2:I242, $B$2:B242, B242)</f>
        <v>0.58333333333333337</v>
      </c>
      <c r="AJ242" s="86">
        <f>AVERAGEIFS($J$2:J242, $B$2:B242, B242)</f>
        <v>0.52666666666666662</v>
      </c>
      <c r="AK242" s="86">
        <f>AVERAGEIFS($D$2:D242, $B$2:B242, B242)</f>
        <v>0.55555555555555558</v>
      </c>
    </row>
    <row r="243" spans="1:37" x14ac:dyDescent="0.25">
      <c r="A243" s="85">
        <v>46139</v>
      </c>
      <c r="B243" t="s">
        <v>2</v>
      </c>
      <c r="C243">
        <v>14</v>
      </c>
      <c r="D243">
        <v>0</v>
      </c>
      <c r="E243">
        <v>5</v>
      </c>
      <c r="F243">
        <v>2</v>
      </c>
      <c r="G243">
        <v>24</v>
      </c>
      <c r="H243">
        <v>11</v>
      </c>
      <c r="I243">
        <v>0.4</v>
      </c>
      <c r="J243">
        <v>0.46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1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1</v>
      </c>
      <c r="AE243">
        <v>0</v>
      </c>
      <c r="AF243">
        <v>0</v>
      </c>
      <c r="AG243">
        <v>0</v>
      </c>
      <c r="AH243" s="86">
        <f>AVERAGEIFS($C$2:C243, $B$2:B243, B243)</f>
        <v>16.875</v>
      </c>
      <c r="AI243" s="86">
        <f>AVERAGEIFS($I$2:I243, $B$2:B243, B243)</f>
        <v>0.47499999999999998</v>
      </c>
      <c r="AJ243" s="86">
        <f>AVERAGEIFS($J$2:J243, $B$2:B243, B243)</f>
        <v>0.4975</v>
      </c>
      <c r="AK243" s="86">
        <f>AVERAGEIFS($D$2:D243, $B$2:B243, B243)</f>
        <v>0.375</v>
      </c>
    </row>
    <row r="244" spans="1:37" x14ac:dyDescent="0.25">
      <c r="A244" s="85">
        <v>46139</v>
      </c>
      <c r="B244" t="s">
        <v>113</v>
      </c>
      <c r="C244">
        <v>20</v>
      </c>
      <c r="D244">
        <v>0</v>
      </c>
      <c r="E244">
        <v>5</v>
      </c>
      <c r="F244">
        <v>2</v>
      </c>
      <c r="G244">
        <v>24</v>
      </c>
      <c r="H244">
        <v>11</v>
      </c>
      <c r="I244">
        <v>0.4</v>
      </c>
      <c r="J244">
        <v>0.46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1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1</v>
      </c>
      <c r="AE244">
        <v>0</v>
      </c>
      <c r="AF244">
        <v>0</v>
      </c>
      <c r="AG244">
        <v>0</v>
      </c>
      <c r="AH244" s="86">
        <f>AVERAGEIFS($C$2:C244, $B$2:B244, B244)</f>
        <v>20</v>
      </c>
      <c r="AI244" s="86">
        <f>AVERAGEIFS($I$2:I244, $B$2:B244, B244)</f>
        <v>0.61250000000000004</v>
      </c>
      <c r="AJ244" s="86">
        <f>AVERAGEIFS($J$2:J244, $B$2:B244, B244)</f>
        <v>0.57125000000000004</v>
      </c>
      <c r="AK244" s="86">
        <f>AVERAGEIFS($D$2:D244, $B$2:B244, B244)</f>
        <v>0.5625</v>
      </c>
    </row>
    <row r="245" spans="1:37" x14ac:dyDescent="0.25">
      <c r="A245" s="85">
        <v>46139</v>
      </c>
      <c r="B245" t="s">
        <v>50</v>
      </c>
      <c r="C245">
        <v>22</v>
      </c>
      <c r="D245">
        <v>0</v>
      </c>
      <c r="E245">
        <v>5</v>
      </c>
      <c r="F245">
        <v>2</v>
      </c>
      <c r="G245">
        <v>24</v>
      </c>
      <c r="H245">
        <v>11</v>
      </c>
      <c r="I245">
        <v>0.4</v>
      </c>
      <c r="J245">
        <v>0.46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1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1</v>
      </c>
      <c r="AE245">
        <v>0</v>
      </c>
      <c r="AF245">
        <v>0</v>
      </c>
      <c r="AG245">
        <v>0</v>
      </c>
      <c r="AH245" s="86">
        <f>AVERAGEIFS($C$2:C245, $B$2:B245, B245)</f>
        <v>17</v>
      </c>
      <c r="AI245" s="86">
        <f>AVERAGEIFS($I$2:I245, $B$2:B245, B245)</f>
        <v>0.35000000000000003</v>
      </c>
      <c r="AJ245" s="86">
        <f>AVERAGEIFS($J$2:J245, $B$2:B245, B245)</f>
        <v>0.41166666666666663</v>
      </c>
      <c r="AK245" s="86">
        <f>AVERAGEIFS($D$2:D245, $B$2:B245, B245)</f>
        <v>0.33333333333333331</v>
      </c>
    </row>
    <row r="246" spans="1:37" x14ac:dyDescent="0.25">
      <c r="A246" s="85">
        <v>46139</v>
      </c>
      <c r="B246" t="s">
        <v>152</v>
      </c>
      <c r="C246">
        <v>19</v>
      </c>
      <c r="D246">
        <v>0</v>
      </c>
      <c r="E246">
        <v>5</v>
      </c>
      <c r="F246">
        <v>2</v>
      </c>
      <c r="G246">
        <v>24</v>
      </c>
      <c r="H246">
        <v>11</v>
      </c>
      <c r="I246">
        <v>0.4</v>
      </c>
      <c r="J246">
        <v>0.46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1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1</v>
      </c>
      <c r="AE246">
        <v>0</v>
      </c>
      <c r="AF246">
        <v>0</v>
      </c>
      <c r="AG246">
        <v>0</v>
      </c>
      <c r="AH246" s="86">
        <f>AVERAGEIFS($C$2:C246, $B$2:B246, B246)</f>
        <v>15.5</v>
      </c>
      <c r="AI246" s="86">
        <f>AVERAGEIFS($I$2:I246, $B$2:B246, B246)</f>
        <v>0.32500000000000001</v>
      </c>
      <c r="AJ246" s="86">
        <f>AVERAGEIFS($J$2:J246, $B$2:B246, B246)</f>
        <v>0.45</v>
      </c>
      <c r="AK246" s="86">
        <f>AVERAGEIFS($D$2:D246, $B$2:B246, B246)</f>
        <v>0</v>
      </c>
    </row>
    <row r="247" spans="1:37" x14ac:dyDescent="0.25">
      <c r="A247" s="85">
        <v>46139</v>
      </c>
      <c r="B247" t="s">
        <v>27</v>
      </c>
      <c r="C247">
        <v>15</v>
      </c>
      <c r="D247">
        <v>0</v>
      </c>
      <c r="E247">
        <v>5</v>
      </c>
      <c r="F247">
        <v>2</v>
      </c>
      <c r="G247">
        <v>24</v>
      </c>
      <c r="H247">
        <v>11</v>
      </c>
      <c r="I247">
        <v>0.4</v>
      </c>
      <c r="J247">
        <v>0.46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1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1</v>
      </c>
      <c r="AE247">
        <v>0</v>
      </c>
      <c r="AF247">
        <v>0</v>
      </c>
      <c r="AG247">
        <v>0</v>
      </c>
      <c r="AH247" s="86">
        <f>AVERAGEIFS($C$2:C247, $B$2:B247, B247)</f>
        <v>15</v>
      </c>
      <c r="AI247" s="86">
        <f>AVERAGEIFS($I$2:I247, $B$2:B247, B247)</f>
        <v>0.4</v>
      </c>
      <c r="AJ247" s="86">
        <f>AVERAGEIFS($J$2:J247, $B$2:B247, B247)</f>
        <v>0.46</v>
      </c>
      <c r="AK247" s="86">
        <f>AVERAGEIFS($D$2:D247, $B$2:B247, B247)</f>
        <v>0</v>
      </c>
    </row>
    <row r="248" spans="1:37" x14ac:dyDescent="0.25">
      <c r="A248" s="85">
        <v>46139</v>
      </c>
      <c r="B248" t="s">
        <v>178</v>
      </c>
      <c r="C248">
        <v>16</v>
      </c>
      <c r="D248">
        <v>0</v>
      </c>
      <c r="E248">
        <v>5</v>
      </c>
      <c r="F248">
        <v>2</v>
      </c>
      <c r="G248">
        <v>24</v>
      </c>
      <c r="H248">
        <v>11</v>
      </c>
      <c r="I248">
        <v>0.4</v>
      </c>
      <c r="J248">
        <v>0.46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1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1</v>
      </c>
      <c r="AE248">
        <v>0</v>
      </c>
      <c r="AF248">
        <v>0</v>
      </c>
      <c r="AG248">
        <v>0</v>
      </c>
      <c r="AH248" s="86">
        <f>AVERAGEIFS($C$2:C248, $B$2:B248, B248)</f>
        <v>16</v>
      </c>
      <c r="AI248" s="86">
        <f>AVERAGEIFS($I$2:I248, $B$2:B248, B248)</f>
        <v>0.4</v>
      </c>
      <c r="AJ248" s="86">
        <f>AVERAGEIFS($J$2:J248, $B$2:B248, B248)</f>
        <v>0.46</v>
      </c>
      <c r="AK248" s="86">
        <f>AVERAGEIFS($D$2:D248, $B$2:B248, B248)</f>
        <v>0</v>
      </c>
    </row>
    <row r="249" spans="1:37" x14ac:dyDescent="0.25">
      <c r="A249" s="85">
        <v>46139</v>
      </c>
      <c r="B249" t="s">
        <v>161</v>
      </c>
      <c r="C249">
        <v>24</v>
      </c>
      <c r="D249">
        <v>0</v>
      </c>
      <c r="E249">
        <v>5</v>
      </c>
      <c r="F249">
        <v>2</v>
      </c>
      <c r="G249">
        <v>24</v>
      </c>
      <c r="H249">
        <v>11</v>
      </c>
      <c r="I249">
        <v>0.4</v>
      </c>
      <c r="J249">
        <v>0.46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1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1</v>
      </c>
      <c r="AE249">
        <v>0</v>
      </c>
      <c r="AF249">
        <v>0</v>
      </c>
      <c r="AG249">
        <v>0</v>
      </c>
      <c r="AH249" s="86">
        <f>AVERAGEIFS($C$2:C249, $B$2:B249, B249)</f>
        <v>7.8571428571428568</v>
      </c>
      <c r="AI249" s="86">
        <f>AVERAGEIFS($I$2:I249, $B$2:B249, B249)</f>
        <v>0.61428571428571421</v>
      </c>
      <c r="AJ249" s="86">
        <f>AVERAGEIFS($J$2:J249, $B$2:B249, B249)</f>
        <v>0.53714285714285714</v>
      </c>
      <c r="AK249" s="86">
        <f>AVERAGEIFS($D$2:D249, $B$2:B249, B249)</f>
        <v>0.5714285714285714</v>
      </c>
    </row>
    <row r="250" spans="1:37" x14ac:dyDescent="0.25">
      <c r="A250" s="85">
        <v>46140</v>
      </c>
      <c r="B250" t="s">
        <v>1</v>
      </c>
      <c r="C250">
        <v>30</v>
      </c>
      <c r="D250">
        <v>0</v>
      </c>
      <c r="E250">
        <v>4</v>
      </c>
      <c r="F250">
        <v>1</v>
      </c>
      <c r="G250">
        <v>17</v>
      </c>
      <c r="H250">
        <v>8</v>
      </c>
      <c r="I250">
        <v>0.25</v>
      </c>
      <c r="J250">
        <v>0.47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 s="86">
        <f>AVERAGEIFS($C$2:C250, $B$2:B250, B250)</f>
        <v>26.153846153846153</v>
      </c>
      <c r="AI250" s="86">
        <f>AVERAGEIFS($I$2:I250, $B$2:B250, B250)</f>
        <v>0.55000000000000004</v>
      </c>
      <c r="AJ250" s="86">
        <f>AVERAGEIFS($J$2:J250, $B$2:B250, B250)</f>
        <v>0.54999999999999993</v>
      </c>
      <c r="AK250" s="86">
        <f>AVERAGEIFS($D$2:D250, $B$2:B250, B250)</f>
        <v>0.53846153846153844</v>
      </c>
    </row>
    <row r="251" spans="1:37" x14ac:dyDescent="0.25">
      <c r="A251" s="85">
        <v>46140</v>
      </c>
      <c r="B251" t="s">
        <v>2</v>
      </c>
      <c r="C251">
        <v>16</v>
      </c>
      <c r="D251">
        <v>0</v>
      </c>
      <c r="E251">
        <v>4</v>
      </c>
      <c r="F251">
        <v>1</v>
      </c>
      <c r="G251">
        <v>17</v>
      </c>
      <c r="H251">
        <v>8</v>
      </c>
      <c r="I251">
        <v>0.25</v>
      </c>
      <c r="J251">
        <v>0.47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 s="86">
        <f>AVERAGEIFS($C$2:C251, $B$2:B251, B251)</f>
        <v>16.777777777777779</v>
      </c>
      <c r="AI251" s="86">
        <f>AVERAGEIFS($I$2:I251, $B$2:B251, B251)</f>
        <v>0.44999999999999996</v>
      </c>
      <c r="AJ251" s="86">
        <f>AVERAGEIFS($J$2:J251, $B$2:B251, B251)</f>
        <v>0.49444444444444446</v>
      </c>
      <c r="AK251" s="86">
        <f>AVERAGEIFS($D$2:D251, $B$2:B251, B251)</f>
        <v>0.33333333333333331</v>
      </c>
    </row>
    <row r="252" spans="1:37" x14ac:dyDescent="0.25">
      <c r="A252" s="85">
        <v>46140</v>
      </c>
      <c r="B252" t="s">
        <v>40</v>
      </c>
      <c r="C252">
        <v>27</v>
      </c>
      <c r="D252">
        <v>0</v>
      </c>
      <c r="E252">
        <v>4</v>
      </c>
      <c r="F252">
        <v>1</v>
      </c>
      <c r="G252">
        <v>17</v>
      </c>
      <c r="H252">
        <v>8</v>
      </c>
      <c r="I252">
        <v>0.25</v>
      </c>
      <c r="J252">
        <v>0.47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 s="86">
        <f>AVERAGEIFS($C$2:C252, $B$2:B252, B252)</f>
        <v>20.6</v>
      </c>
      <c r="AI252" s="86">
        <f>AVERAGEIFS($I$2:I252, $B$2:B252, B252)</f>
        <v>0.46</v>
      </c>
      <c r="AJ252" s="86">
        <f>AVERAGEIFS($J$2:J252, $B$2:B252, B252)</f>
        <v>0.48666666666666669</v>
      </c>
      <c r="AK252" s="86">
        <f>AVERAGEIFS($D$2:D252, $B$2:B252, B252)</f>
        <v>0.4</v>
      </c>
    </row>
    <row r="253" spans="1:37" x14ac:dyDescent="0.25">
      <c r="A253" s="85">
        <v>46140</v>
      </c>
      <c r="B253" t="s">
        <v>53</v>
      </c>
      <c r="C253">
        <v>15</v>
      </c>
      <c r="D253">
        <v>0</v>
      </c>
      <c r="E253">
        <v>4</v>
      </c>
      <c r="F253">
        <v>1</v>
      </c>
      <c r="G253">
        <v>17</v>
      </c>
      <c r="H253">
        <v>8</v>
      </c>
      <c r="I253">
        <v>0.25</v>
      </c>
      <c r="J253">
        <v>0.47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 s="86">
        <f>AVERAGEIFS($C$2:C253, $B$2:B253, B253)</f>
        <v>12.909090909090908</v>
      </c>
      <c r="AI253" s="86">
        <f>AVERAGEIFS($I$2:I253, $B$2:B253, B253)</f>
        <v>0.40454545454545449</v>
      </c>
      <c r="AJ253" s="86">
        <f>AVERAGEIFS($J$2:J253, $B$2:B253, B253)</f>
        <v>0.45909090909090905</v>
      </c>
      <c r="AK253" s="86">
        <f>AVERAGEIFS($D$2:D253, $B$2:B253, B253)</f>
        <v>0.18181818181818182</v>
      </c>
    </row>
    <row r="254" spans="1:37" x14ac:dyDescent="0.25">
      <c r="A254" s="85">
        <v>46140</v>
      </c>
      <c r="B254" t="s">
        <v>147</v>
      </c>
      <c r="C254">
        <v>14</v>
      </c>
      <c r="D254">
        <v>0</v>
      </c>
      <c r="E254">
        <v>4</v>
      </c>
      <c r="F254">
        <v>1</v>
      </c>
      <c r="G254">
        <v>17</v>
      </c>
      <c r="H254">
        <v>8</v>
      </c>
      <c r="I254">
        <v>0.25</v>
      </c>
      <c r="J254">
        <v>0.47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 s="86">
        <f>AVERAGEIFS($C$2:C254, $B$2:B254, B254)</f>
        <v>15.666666666666666</v>
      </c>
      <c r="AI254" s="86">
        <f>AVERAGEIFS($I$2:I254, $B$2:B254, B254)</f>
        <v>0.47777777777777775</v>
      </c>
      <c r="AJ254" s="86">
        <f>AVERAGEIFS($J$2:J254, $B$2:B254, B254)</f>
        <v>0.52777777777777779</v>
      </c>
      <c r="AK254" s="86">
        <f>AVERAGEIFS($D$2:D254, $B$2:B254, B254)</f>
        <v>0.33333333333333331</v>
      </c>
    </row>
    <row r="255" spans="1:37" x14ac:dyDescent="0.25">
      <c r="A255" s="85">
        <v>46140</v>
      </c>
      <c r="B255" t="s">
        <v>178</v>
      </c>
      <c r="C255">
        <v>10</v>
      </c>
      <c r="D255">
        <v>0</v>
      </c>
      <c r="E255">
        <v>4</v>
      </c>
      <c r="F255">
        <v>1</v>
      </c>
      <c r="G255">
        <v>17</v>
      </c>
      <c r="H255">
        <v>8</v>
      </c>
      <c r="I255">
        <v>0.25</v>
      </c>
      <c r="J255">
        <v>0.47</v>
      </c>
      <c r="K255">
        <v>0</v>
      </c>
      <c r="L255">
        <v>0</v>
      </c>
      <c r="M255">
        <v>0</v>
      </c>
      <c r="N255">
        <v>1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 s="86">
        <f>AVERAGEIFS($C$2:C255, $B$2:B255, B255)</f>
        <v>13</v>
      </c>
      <c r="AI255" s="86">
        <f>AVERAGEIFS($I$2:I255, $B$2:B255, B255)</f>
        <v>0.32500000000000001</v>
      </c>
      <c r="AJ255" s="86">
        <f>AVERAGEIFS($J$2:J255, $B$2:B255, B255)</f>
        <v>0.46499999999999997</v>
      </c>
      <c r="AK255" s="86">
        <f>AVERAGEIFS($D$2:D255, $B$2:B255, B255)</f>
        <v>0</v>
      </c>
    </row>
    <row r="256" spans="1:37" x14ac:dyDescent="0.25">
      <c r="A256" s="85">
        <v>46140</v>
      </c>
      <c r="B256" t="s">
        <v>4</v>
      </c>
      <c r="C256">
        <v>22</v>
      </c>
      <c r="D256">
        <v>1</v>
      </c>
      <c r="E256">
        <v>4</v>
      </c>
      <c r="F256">
        <v>3</v>
      </c>
      <c r="G256">
        <v>17</v>
      </c>
      <c r="H256">
        <v>9</v>
      </c>
      <c r="I256">
        <v>0.75</v>
      </c>
      <c r="J256">
        <v>0.53</v>
      </c>
      <c r="K256">
        <v>1</v>
      </c>
      <c r="L256">
        <v>0</v>
      </c>
      <c r="M256">
        <v>1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1</v>
      </c>
      <c r="AD256">
        <v>0</v>
      </c>
      <c r="AE256">
        <v>0</v>
      </c>
      <c r="AF256">
        <v>0</v>
      </c>
      <c r="AG256">
        <v>0</v>
      </c>
      <c r="AH256" s="86">
        <f>AVERAGEIFS($C$2:C256, $B$2:B256, B256)</f>
        <v>27.6</v>
      </c>
      <c r="AI256" s="86">
        <f>AVERAGEIFS($I$2:I256, $B$2:B256, B256)</f>
        <v>0.59499999999999997</v>
      </c>
      <c r="AJ256" s="86">
        <f>AVERAGEIFS($J$2:J256, $B$2:B256, B256)</f>
        <v>0.54100000000000004</v>
      </c>
      <c r="AK256" s="86">
        <f>AVERAGEIFS($D$2:D256, $B$2:B256, B256)</f>
        <v>0.7</v>
      </c>
    </row>
    <row r="257" spans="1:37" x14ac:dyDescent="0.25">
      <c r="A257" s="85">
        <v>46140</v>
      </c>
      <c r="B257" t="s">
        <v>6</v>
      </c>
      <c r="C257">
        <v>26</v>
      </c>
      <c r="D257">
        <v>1</v>
      </c>
      <c r="E257">
        <v>4</v>
      </c>
      <c r="F257">
        <v>3</v>
      </c>
      <c r="G257">
        <v>17</v>
      </c>
      <c r="H257">
        <v>9</v>
      </c>
      <c r="I257">
        <v>0.75</v>
      </c>
      <c r="J257">
        <v>0.53</v>
      </c>
      <c r="K257">
        <v>1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1</v>
      </c>
      <c r="AD257">
        <v>0</v>
      </c>
      <c r="AE257">
        <v>0</v>
      </c>
      <c r="AF257">
        <v>0</v>
      </c>
      <c r="AG257">
        <v>0</v>
      </c>
      <c r="AH257" s="86">
        <f>AVERAGEIFS($C$2:C257, $B$2:B257, B257)</f>
        <v>22</v>
      </c>
      <c r="AI257" s="86">
        <f>AVERAGEIFS($I$2:I257, $B$2:B257, B257)</f>
        <v>0.46875</v>
      </c>
      <c r="AJ257" s="86">
        <f>AVERAGEIFS($J$2:J257, $B$2:B257, B257)</f>
        <v>0.484375</v>
      </c>
      <c r="AK257" s="86">
        <f>AVERAGEIFS($D$2:D257, $B$2:B257, B257)</f>
        <v>0.5</v>
      </c>
    </row>
    <row r="258" spans="1:37" x14ac:dyDescent="0.25">
      <c r="A258" s="85">
        <v>46140</v>
      </c>
      <c r="B258" t="s">
        <v>42</v>
      </c>
      <c r="C258">
        <v>17</v>
      </c>
      <c r="D258">
        <v>1</v>
      </c>
      <c r="E258">
        <v>4</v>
      </c>
      <c r="F258">
        <v>3</v>
      </c>
      <c r="G258">
        <v>17</v>
      </c>
      <c r="H258">
        <v>9</v>
      </c>
      <c r="I258">
        <v>0.75</v>
      </c>
      <c r="J258">
        <v>0.53</v>
      </c>
      <c r="K258">
        <v>1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1</v>
      </c>
      <c r="AD258">
        <v>0</v>
      </c>
      <c r="AE258">
        <v>0</v>
      </c>
      <c r="AF258">
        <v>0</v>
      </c>
      <c r="AG258">
        <v>0</v>
      </c>
      <c r="AH258" s="86">
        <f>AVERAGEIFS($C$2:C258, $B$2:B258, B258)</f>
        <v>17.714285714285715</v>
      </c>
      <c r="AI258" s="86">
        <f>AVERAGEIFS($I$2:I258, $B$2:B258, B258)</f>
        <v>0.47142857142857142</v>
      </c>
      <c r="AJ258" s="86">
        <f>AVERAGEIFS($J$2:J258, $B$2:B258, B258)</f>
        <v>0.44857142857142857</v>
      </c>
      <c r="AK258" s="86">
        <f>AVERAGEIFS($D$2:D258, $B$2:B258, B258)</f>
        <v>0.5</v>
      </c>
    </row>
    <row r="259" spans="1:37" x14ac:dyDescent="0.25">
      <c r="A259" s="85">
        <v>46140</v>
      </c>
      <c r="B259" t="s">
        <v>141</v>
      </c>
      <c r="C259">
        <v>19</v>
      </c>
      <c r="D259">
        <v>1</v>
      </c>
      <c r="E259">
        <v>4</v>
      </c>
      <c r="F259">
        <v>3</v>
      </c>
      <c r="G259">
        <v>17</v>
      </c>
      <c r="H259">
        <v>9</v>
      </c>
      <c r="I259">
        <v>0.75</v>
      </c>
      <c r="J259">
        <v>0.53</v>
      </c>
      <c r="K259">
        <v>1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1</v>
      </c>
      <c r="AD259">
        <v>0</v>
      </c>
      <c r="AE259">
        <v>0</v>
      </c>
      <c r="AF259">
        <v>0</v>
      </c>
      <c r="AG259">
        <v>0</v>
      </c>
      <c r="AH259" s="86">
        <f>AVERAGEIFS($C$2:C259, $B$2:B259, B259)</f>
        <v>13</v>
      </c>
      <c r="AI259" s="86">
        <f>AVERAGEIFS($I$2:I259, $B$2:B259, B259)</f>
        <v>0.54</v>
      </c>
      <c r="AJ259" s="86">
        <f>AVERAGEIFS($J$2:J259, $B$2:B259, B259)</f>
        <v>0.51800000000000002</v>
      </c>
      <c r="AK259" s="86">
        <f>AVERAGEIFS($D$2:D259, $B$2:B259, B259)</f>
        <v>0.8</v>
      </c>
    </row>
    <row r="260" spans="1:37" x14ac:dyDescent="0.25">
      <c r="A260" s="85">
        <v>46140</v>
      </c>
      <c r="B260" t="s">
        <v>152</v>
      </c>
      <c r="C260">
        <v>17</v>
      </c>
      <c r="D260">
        <v>1</v>
      </c>
      <c r="E260">
        <v>4</v>
      </c>
      <c r="F260">
        <v>3</v>
      </c>
      <c r="G260">
        <v>17</v>
      </c>
      <c r="H260">
        <v>9</v>
      </c>
      <c r="I260">
        <v>0.75</v>
      </c>
      <c r="J260">
        <v>0.53</v>
      </c>
      <c r="K260">
        <v>1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1</v>
      </c>
      <c r="AD260">
        <v>0</v>
      </c>
      <c r="AE260">
        <v>0</v>
      </c>
      <c r="AF260">
        <v>0</v>
      </c>
      <c r="AG260">
        <v>0</v>
      </c>
      <c r="AH260" s="86">
        <f>AVERAGEIFS($C$2:C260, $B$2:B260, B260)</f>
        <v>16</v>
      </c>
      <c r="AI260" s="86">
        <f>AVERAGEIFS($I$2:I260, $B$2:B260, B260)</f>
        <v>0.46666666666666662</v>
      </c>
      <c r="AJ260" s="86">
        <f>AVERAGEIFS($J$2:J260, $B$2:B260, B260)</f>
        <v>0.47666666666666674</v>
      </c>
      <c r="AK260" s="86">
        <f>AVERAGEIFS($D$2:D260, $B$2:B260, B260)</f>
        <v>0.33333333333333331</v>
      </c>
    </row>
    <row r="261" spans="1:37" x14ac:dyDescent="0.25">
      <c r="A261" s="85">
        <v>46140</v>
      </c>
      <c r="B261" t="s">
        <v>71</v>
      </c>
      <c r="C261">
        <v>10</v>
      </c>
      <c r="D261">
        <v>1</v>
      </c>
      <c r="E261">
        <v>4</v>
      </c>
      <c r="F261">
        <v>3</v>
      </c>
      <c r="G261">
        <v>17</v>
      </c>
      <c r="H261">
        <v>9</v>
      </c>
      <c r="I261">
        <v>0.75</v>
      </c>
      <c r="J261">
        <v>0.53</v>
      </c>
      <c r="K261">
        <v>1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1</v>
      </c>
      <c r="AD261">
        <v>0</v>
      </c>
      <c r="AE261">
        <v>0</v>
      </c>
      <c r="AF261">
        <v>0</v>
      </c>
      <c r="AG261">
        <v>0</v>
      </c>
      <c r="AH261" s="86">
        <f>AVERAGEIFS($C$2:C261, $B$2:B261, B261)</f>
        <v>12.090909090909092</v>
      </c>
      <c r="AI261" s="86">
        <f>AVERAGEIFS($I$2:I261, $B$2:B261, B261)</f>
        <v>0.43636363636363634</v>
      </c>
      <c r="AJ261" s="86">
        <f>AVERAGEIFS($J$2:J261, $B$2:B261, B261)</f>
        <v>0.46181818181818174</v>
      </c>
      <c r="AK261" s="86">
        <f>AVERAGEIFS($D$2:D261, $B$2:B261, B261)</f>
        <v>0.36363636363636365</v>
      </c>
    </row>
    <row r="262" spans="1:37" x14ac:dyDescent="0.25">
      <c r="A262" s="85">
        <v>46141</v>
      </c>
      <c r="B262" t="s">
        <v>5</v>
      </c>
      <c r="C262">
        <v>16</v>
      </c>
      <c r="D262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1</v>
      </c>
      <c r="AC262">
        <v>1</v>
      </c>
      <c r="AD262">
        <v>0</v>
      </c>
      <c r="AE262">
        <v>0</v>
      </c>
      <c r="AF262">
        <v>0</v>
      </c>
      <c r="AG262">
        <v>1</v>
      </c>
      <c r="AH262" s="86">
        <f>AVERAGEIFS($C$2:C262, $B$2:B262, B262)</f>
        <v>18.923076923076923</v>
      </c>
      <c r="AI262" s="86">
        <f>AVERAGEIFS($I$2:I262, $B$2:B262, B262)</f>
        <v>0.52692307692307694</v>
      </c>
      <c r="AJ262" s="86">
        <f>AVERAGEIFS($J$2:J262, $B$2:B262, B262)</f>
        <v>0.50846153846153852</v>
      </c>
      <c r="AK262" s="86">
        <f>AVERAGEIFS($D$2:D262, $B$2:B262, B262)</f>
        <v>0.53846153846153844</v>
      </c>
    </row>
    <row r="263" spans="1:37" x14ac:dyDescent="0.25">
      <c r="A263" s="85">
        <v>46141</v>
      </c>
      <c r="B263" t="s">
        <v>44</v>
      </c>
      <c r="C263">
        <v>14</v>
      </c>
      <c r="D263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1</v>
      </c>
      <c r="AC263">
        <v>1</v>
      </c>
      <c r="AD263">
        <v>0</v>
      </c>
      <c r="AE263">
        <v>0</v>
      </c>
      <c r="AF263">
        <v>0</v>
      </c>
      <c r="AG263">
        <v>1</v>
      </c>
      <c r="AH263" s="86">
        <f>AVERAGEIFS($C$2:C263, $B$2:B263, B263)</f>
        <v>16.705882352941178</v>
      </c>
      <c r="AI263" s="86">
        <f>AVERAGEIFS($I$2:I263, $B$2:B263, B263)</f>
        <v>0.57647058823529407</v>
      </c>
      <c r="AJ263" s="86">
        <f>AVERAGEIFS($J$2:J263, $B$2:B263, B263)</f>
        <v>0.54941176470588238</v>
      </c>
      <c r="AK263" s="86">
        <f>AVERAGEIFS($D$2:D263, $B$2:B263, B263)</f>
        <v>0.6470588235294118</v>
      </c>
    </row>
    <row r="264" spans="1:37" x14ac:dyDescent="0.25">
      <c r="A264" s="85">
        <v>46141</v>
      </c>
      <c r="B264" t="s">
        <v>6</v>
      </c>
      <c r="C264">
        <v>20</v>
      </c>
      <c r="D264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1</v>
      </c>
      <c r="AC264">
        <v>1</v>
      </c>
      <c r="AD264">
        <v>0</v>
      </c>
      <c r="AE264">
        <v>0</v>
      </c>
      <c r="AF264">
        <v>0</v>
      </c>
      <c r="AG264">
        <v>1</v>
      </c>
      <c r="AH264" s="86">
        <f>AVERAGEIFS($C$2:C264, $B$2:B264, B264)</f>
        <v>21.882352941176471</v>
      </c>
      <c r="AI264" s="86">
        <f>AVERAGEIFS($I$2:I264, $B$2:B264, B264)</f>
        <v>0.5</v>
      </c>
      <c r="AJ264" s="86">
        <f>AVERAGEIFS($J$2:J264, $B$2:B264, B264)</f>
        <v>0.49352941176470594</v>
      </c>
      <c r="AK264" s="86">
        <f>AVERAGEIFS($D$2:D264, $B$2:B264, B264)</f>
        <v>0.52941176470588236</v>
      </c>
    </row>
    <row r="265" spans="1:37" x14ac:dyDescent="0.25">
      <c r="A265" s="85">
        <v>46141</v>
      </c>
      <c r="B265" t="s">
        <v>27</v>
      </c>
      <c r="C265">
        <v>6</v>
      </c>
      <c r="D265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1</v>
      </c>
      <c r="AC265">
        <v>1</v>
      </c>
      <c r="AD265">
        <v>0</v>
      </c>
      <c r="AE265">
        <v>0</v>
      </c>
      <c r="AF265">
        <v>0</v>
      </c>
      <c r="AG265">
        <v>1</v>
      </c>
      <c r="AH265" s="86">
        <f>AVERAGEIFS($C$2:C265, $B$2:B265, B265)</f>
        <v>10.5</v>
      </c>
      <c r="AI265" s="86">
        <f>AVERAGEIFS($I$2:I265, $B$2:B265, B265)</f>
        <v>0.7</v>
      </c>
      <c r="AJ265" s="86">
        <f>AVERAGEIFS($J$2:J265, $B$2:B265, B265)</f>
        <v>0.55000000000000004</v>
      </c>
      <c r="AK265" s="86">
        <f>AVERAGEIFS($D$2:D265, $B$2:B265, B265)</f>
        <v>0.5</v>
      </c>
    </row>
    <row r="266" spans="1:37" x14ac:dyDescent="0.25">
      <c r="A266" s="85">
        <v>46141</v>
      </c>
      <c r="B266" t="s">
        <v>53</v>
      </c>
      <c r="C266">
        <v>10</v>
      </c>
      <c r="D266">
        <v>1</v>
      </c>
      <c r="E266">
        <v>3</v>
      </c>
      <c r="F266">
        <v>3</v>
      </c>
      <c r="G266">
        <v>14</v>
      </c>
      <c r="H266">
        <v>9</v>
      </c>
      <c r="I266">
        <v>1</v>
      </c>
      <c r="J266">
        <v>0.64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1</v>
      </c>
      <c r="AC266">
        <v>1</v>
      </c>
      <c r="AD266">
        <v>0</v>
      </c>
      <c r="AE266">
        <v>0</v>
      </c>
      <c r="AF266">
        <v>0</v>
      </c>
      <c r="AG266">
        <v>1</v>
      </c>
      <c r="AH266" s="86">
        <f>AVERAGEIFS($C$2:C266, $B$2:B266, B266)</f>
        <v>12.666666666666666</v>
      </c>
      <c r="AI266" s="86">
        <f>AVERAGEIFS($I$2:I266, $B$2:B266, B266)</f>
        <v>0.45416666666666661</v>
      </c>
      <c r="AJ266" s="86">
        <f>AVERAGEIFS($J$2:J266, $B$2:B266, B266)</f>
        <v>0.47416666666666663</v>
      </c>
      <c r="AK266" s="86">
        <f>AVERAGEIFS($D$2:D266, $B$2:B266, B266)</f>
        <v>0.25</v>
      </c>
    </row>
    <row r="267" spans="1:37" x14ac:dyDescent="0.25">
      <c r="A267" s="85">
        <v>46141</v>
      </c>
      <c r="B267" t="s">
        <v>17</v>
      </c>
      <c r="C267">
        <v>14</v>
      </c>
      <c r="D267">
        <v>1</v>
      </c>
      <c r="E267">
        <v>3</v>
      </c>
      <c r="F267">
        <v>3</v>
      </c>
      <c r="G267">
        <v>14</v>
      </c>
      <c r="H267">
        <v>9</v>
      </c>
      <c r="I267">
        <v>1</v>
      </c>
      <c r="J267">
        <v>0.64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1</v>
      </c>
      <c r="AC267">
        <v>1</v>
      </c>
      <c r="AD267">
        <v>0</v>
      </c>
      <c r="AE267">
        <v>0</v>
      </c>
      <c r="AF267">
        <v>0</v>
      </c>
      <c r="AG267">
        <v>1</v>
      </c>
      <c r="AH267" s="86">
        <f>AVERAGEIFS($C$2:C267, $B$2:B267, B267)</f>
        <v>18</v>
      </c>
      <c r="AI267" s="86">
        <f>AVERAGEIFS($I$2:I267, $B$2:B267, B267)</f>
        <v>0.64090909090909076</v>
      </c>
      <c r="AJ267" s="86">
        <f>AVERAGEIFS($J$2:J267, $B$2:B267, B267)</f>
        <v>0.53727272727272724</v>
      </c>
      <c r="AK267" s="86">
        <f>AVERAGEIFS($D$2:D267, $B$2:B267, B267)</f>
        <v>0.81818181818181823</v>
      </c>
    </row>
    <row r="268" spans="1:37" x14ac:dyDescent="0.25">
      <c r="A268" s="85">
        <v>46141</v>
      </c>
      <c r="B268" t="s">
        <v>2</v>
      </c>
      <c r="C268">
        <v>10</v>
      </c>
      <c r="D268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  <c r="AH268" s="86">
        <f>AVERAGEIFS($C$2:C268, $B$2:B268, B268)</f>
        <v>16.100000000000001</v>
      </c>
      <c r="AI268" s="86">
        <f>AVERAGEIFS($I$2:I268, $B$2:B268, B268)</f>
        <v>0.40499999999999997</v>
      </c>
      <c r="AJ268" s="86">
        <f>AVERAGEIFS($J$2:J268, $B$2:B268, B268)</f>
        <v>0.48100000000000004</v>
      </c>
      <c r="AK268" s="86">
        <f>AVERAGEIFS($D$2:D268, $B$2:B268, B268)</f>
        <v>0.3</v>
      </c>
    </row>
    <row r="269" spans="1:37" x14ac:dyDescent="0.25">
      <c r="A269" s="85">
        <v>46141</v>
      </c>
      <c r="B269" t="s">
        <v>54</v>
      </c>
      <c r="C269">
        <v>15</v>
      </c>
      <c r="D269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 s="86">
        <f>AVERAGEIFS($C$2:C269, $B$2:B269, B269)</f>
        <v>22.6</v>
      </c>
      <c r="AI269" s="86">
        <f>AVERAGEIFS($I$2:I269, $B$2:B269, B269)</f>
        <v>0.52500000000000002</v>
      </c>
      <c r="AJ269" s="86">
        <f>AVERAGEIFS($J$2:J269, $B$2:B269, B269)</f>
        <v>0.51</v>
      </c>
      <c r="AK269" s="86">
        <f>AVERAGEIFS($D$2:D269, $B$2:B269, B269)</f>
        <v>0.5</v>
      </c>
    </row>
    <row r="270" spans="1:37" x14ac:dyDescent="0.25">
      <c r="A270" s="85">
        <v>46141</v>
      </c>
      <c r="B270" t="s">
        <v>42</v>
      </c>
      <c r="C270">
        <v>12</v>
      </c>
      <c r="D270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 s="86">
        <f>AVERAGEIFS($C$2:C270, $B$2:B270, B270)</f>
        <v>17.333333333333332</v>
      </c>
      <c r="AI270" s="86">
        <f>AVERAGEIFS($I$2:I270, $B$2:B270, B270)</f>
        <v>0.44</v>
      </c>
      <c r="AJ270" s="86">
        <f>AVERAGEIFS($J$2:J270, $B$2:B270, B270)</f>
        <v>0.44266666666666671</v>
      </c>
      <c r="AK270" s="86">
        <f>AVERAGEIFS($D$2:D270, $B$2:B270, B270)</f>
        <v>0.46666666666666667</v>
      </c>
    </row>
    <row r="271" spans="1:37" x14ac:dyDescent="0.25">
      <c r="A271" s="85">
        <v>46141</v>
      </c>
      <c r="B271" t="s">
        <v>113</v>
      </c>
      <c r="C271">
        <v>15</v>
      </c>
      <c r="D271">
        <v>0</v>
      </c>
      <c r="E271">
        <v>3</v>
      </c>
      <c r="F271">
        <v>0</v>
      </c>
      <c r="G271">
        <v>14</v>
      </c>
      <c r="H271">
        <v>5</v>
      </c>
      <c r="I271">
        <v>0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 s="86">
        <f>AVERAGEIFS($C$2:C271, $B$2:B271, B271)</f>
        <v>19.705882352941178</v>
      </c>
      <c r="AI271" s="86">
        <f>AVERAGEIFS($I$2:I271, $B$2:B271, B271)</f>
        <v>0.57647058823529418</v>
      </c>
      <c r="AJ271" s="86">
        <f>AVERAGEIFS($J$2:J271, $B$2:B271, B271)</f>
        <v>0.55882352941176472</v>
      </c>
      <c r="AK271" s="86">
        <f>AVERAGEIFS($D$2:D271, $B$2:B271, B271)</f>
        <v>0.52941176470588236</v>
      </c>
    </row>
    <row r="272" spans="1:37" x14ac:dyDescent="0.25">
      <c r="A272" s="85">
        <v>46141</v>
      </c>
      <c r="B272" t="s">
        <v>107</v>
      </c>
      <c r="C272">
        <v>6</v>
      </c>
      <c r="D272">
        <v>0</v>
      </c>
      <c r="E272">
        <v>3</v>
      </c>
      <c r="F272">
        <v>0</v>
      </c>
      <c r="G272">
        <v>14</v>
      </c>
      <c r="H272">
        <v>5</v>
      </c>
      <c r="I272">
        <v>0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 s="86">
        <f>AVERAGEIFS($C$2:C272, $B$2:B272, B272)</f>
        <v>14.529411764705882</v>
      </c>
      <c r="AI272" s="86">
        <f>AVERAGEIFS($I$2:I272, $B$2:B272, B272)</f>
        <v>0.438235294117647</v>
      </c>
      <c r="AJ272" s="86">
        <f>AVERAGEIFS($J$2:J272, $B$2:B272, B272)</f>
        <v>0.47529411764705881</v>
      </c>
      <c r="AK272" s="86">
        <f>AVERAGEIFS($D$2:D272, $B$2:B272, B272)</f>
        <v>0.52941176470588236</v>
      </c>
    </row>
    <row r="273" spans="1:37" x14ac:dyDescent="0.25">
      <c r="A273" s="85">
        <v>46141</v>
      </c>
      <c r="B273" t="s">
        <v>71</v>
      </c>
      <c r="C273">
        <v>5</v>
      </c>
      <c r="D273">
        <v>0</v>
      </c>
      <c r="E273">
        <v>3</v>
      </c>
      <c r="F273">
        <v>0</v>
      </c>
      <c r="G273">
        <v>14</v>
      </c>
      <c r="H273">
        <v>5</v>
      </c>
      <c r="I273">
        <v>0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 s="86">
        <f>AVERAGEIFS($C$2:C273, $B$2:B273, B273)</f>
        <v>11.5</v>
      </c>
      <c r="AI273" s="86">
        <f>AVERAGEIFS($I$2:I273, $B$2:B273, B273)</f>
        <v>0.39999999999999997</v>
      </c>
      <c r="AJ273" s="86">
        <f>AVERAGEIFS($J$2:J273, $B$2:B273, B273)</f>
        <v>0.45333333333333331</v>
      </c>
      <c r="AK273" s="86">
        <f>AVERAGEIFS($D$2:D273, $B$2:B273, B273)</f>
        <v>0.33333333333333331</v>
      </c>
    </row>
    <row r="274" spans="1:37" x14ac:dyDescent="0.25">
      <c r="A274" s="85">
        <v>46142</v>
      </c>
      <c r="B274" t="s">
        <v>140</v>
      </c>
      <c r="C274">
        <v>22</v>
      </c>
      <c r="D274">
        <v>1</v>
      </c>
      <c r="E274">
        <v>4</v>
      </c>
      <c r="F274">
        <v>3</v>
      </c>
      <c r="G274">
        <v>15</v>
      </c>
      <c r="H274">
        <v>9</v>
      </c>
      <c r="I274">
        <v>0.75</v>
      </c>
      <c r="J274">
        <v>0.6</v>
      </c>
      <c r="K274">
        <v>0</v>
      </c>
      <c r="L274">
        <v>0</v>
      </c>
      <c r="M274">
        <v>1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1</v>
      </c>
      <c r="W274">
        <v>0</v>
      </c>
      <c r="X274">
        <v>0</v>
      </c>
      <c r="Y274">
        <v>0</v>
      </c>
      <c r="Z274">
        <v>1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 s="86">
        <f>AVERAGEIFS($C$2:C274, $B$2:B274, B274)</f>
        <v>12.5</v>
      </c>
      <c r="AI274" s="86">
        <f>AVERAGEIFS($I$2:I274, $B$2:B274, B274)</f>
        <v>0.625</v>
      </c>
      <c r="AJ274" s="86">
        <f>AVERAGEIFS($J$2:J274, $B$2:B274, B274)</f>
        <v>0.58499999999999996</v>
      </c>
      <c r="AK274" s="86">
        <f>AVERAGEIFS($D$2:D274, $B$2:B274, B274)</f>
        <v>0.75</v>
      </c>
    </row>
    <row r="275" spans="1:37" x14ac:dyDescent="0.25">
      <c r="A275" s="85">
        <v>46142</v>
      </c>
      <c r="B275" t="s">
        <v>6</v>
      </c>
      <c r="C275">
        <v>31</v>
      </c>
      <c r="D275">
        <v>1</v>
      </c>
      <c r="E275">
        <v>4</v>
      </c>
      <c r="F275">
        <v>3</v>
      </c>
      <c r="G275">
        <v>15</v>
      </c>
      <c r="H275">
        <v>9</v>
      </c>
      <c r="I275">
        <v>0.75</v>
      </c>
      <c r="J275">
        <v>0.6</v>
      </c>
      <c r="K275">
        <v>0</v>
      </c>
      <c r="L275">
        <v>0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</v>
      </c>
      <c r="W275">
        <v>0</v>
      </c>
      <c r="X275">
        <v>0</v>
      </c>
      <c r="Y275">
        <v>0</v>
      </c>
      <c r="Z275">
        <v>1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  <c r="AG275">
        <v>0</v>
      </c>
      <c r="AH275" s="86">
        <f>AVERAGEIFS($C$2:C275, $B$2:B275, B275)</f>
        <v>22.388888888888889</v>
      </c>
      <c r="AI275" s="86">
        <f>AVERAGEIFS($I$2:I275, $B$2:B275, B275)</f>
        <v>0.51388888888888884</v>
      </c>
      <c r="AJ275" s="86">
        <f>AVERAGEIFS($J$2:J275, $B$2:B275, B275)</f>
        <v>0.49944444444444447</v>
      </c>
      <c r="AK275" s="86">
        <f>AVERAGEIFS($D$2:D275, $B$2:B275, B275)</f>
        <v>0.55555555555555558</v>
      </c>
    </row>
    <row r="276" spans="1:37" x14ac:dyDescent="0.25">
      <c r="A276" s="85">
        <v>46142</v>
      </c>
      <c r="B276" t="s">
        <v>5</v>
      </c>
      <c r="C276">
        <v>13</v>
      </c>
      <c r="D276">
        <v>1</v>
      </c>
      <c r="E276">
        <v>4</v>
      </c>
      <c r="F276">
        <v>3</v>
      </c>
      <c r="G276">
        <v>15</v>
      </c>
      <c r="H276">
        <v>9</v>
      </c>
      <c r="I276">
        <v>0.75</v>
      </c>
      <c r="J276">
        <v>0.6</v>
      </c>
      <c r="K276">
        <v>0</v>
      </c>
      <c r="L276">
        <v>0</v>
      </c>
      <c r="M276">
        <v>1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1</v>
      </c>
      <c r="W276">
        <v>0</v>
      </c>
      <c r="X276">
        <v>0</v>
      </c>
      <c r="Y276">
        <v>0</v>
      </c>
      <c r="Z276">
        <v>1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0</v>
      </c>
      <c r="AH276" s="86">
        <f>AVERAGEIFS($C$2:C276, $B$2:B276, B276)</f>
        <v>18.5</v>
      </c>
      <c r="AI276" s="86">
        <f>AVERAGEIFS($I$2:I276, $B$2:B276, B276)</f>
        <v>0.54285714285714293</v>
      </c>
      <c r="AJ276" s="86">
        <f>AVERAGEIFS($J$2:J276, $B$2:B276, B276)</f>
        <v>0.51500000000000001</v>
      </c>
      <c r="AK276" s="86">
        <f>AVERAGEIFS($D$2:D276, $B$2:B276, B276)</f>
        <v>0.5714285714285714</v>
      </c>
    </row>
    <row r="277" spans="1:37" x14ac:dyDescent="0.25">
      <c r="A277" s="85">
        <v>46142</v>
      </c>
      <c r="B277" t="s">
        <v>150</v>
      </c>
      <c r="C277">
        <v>30</v>
      </c>
      <c r="D277">
        <v>1</v>
      </c>
      <c r="E277">
        <v>4</v>
      </c>
      <c r="F277">
        <v>3</v>
      </c>
      <c r="G277">
        <v>15</v>
      </c>
      <c r="H277">
        <v>9</v>
      </c>
      <c r="I277">
        <v>0.75</v>
      </c>
      <c r="J277">
        <v>0.6</v>
      </c>
      <c r="K277">
        <v>0</v>
      </c>
      <c r="L277">
        <v>0</v>
      </c>
      <c r="M277">
        <v>1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1</v>
      </c>
      <c r="W277">
        <v>0</v>
      </c>
      <c r="X277">
        <v>0</v>
      </c>
      <c r="Y277">
        <v>0</v>
      </c>
      <c r="Z277">
        <v>1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>
        <v>0</v>
      </c>
      <c r="AH277" s="86">
        <f>AVERAGEIFS($C$2:C277, $B$2:B277, B277)</f>
        <v>19.5</v>
      </c>
      <c r="AI277" s="86">
        <f>AVERAGEIFS($I$2:I277, $B$2:B277, B277)</f>
        <v>0.7416666666666667</v>
      </c>
      <c r="AJ277" s="86">
        <f>AVERAGEIFS($J$2:J277, $B$2:B277, B277)</f>
        <v>0.64</v>
      </c>
      <c r="AK277" s="86">
        <f>AVERAGEIFS($D$2:D277, $B$2:B277, B277)</f>
        <v>0.83333333333333337</v>
      </c>
    </row>
    <row r="278" spans="1:37" x14ac:dyDescent="0.25">
      <c r="A278" s="85">
        <v>46142</v>
      </c>
      <c r="B278" t="s">
        <v>40</v>
      </c>
      <c r="C278">
        <v>15</v>
      </c>
      <c r="D278">
        <v>1</v>
      </c>
      <c r="E278">
        <v>4</v>
      </c>
      <c r="F278">
        <v>3</v>
      </c>
      <c r="G278">
        <v>15</v>
      </c>
      <c r="H278">
        <v>9</v>
      </c>
      <c r="I278">
        <v>0.75</v>
      </c>
      <c r="J278">
        <v>0.6</v>
      </c>
      <c r="K278">
        <v>0</v>
      </c>
      <c r="L278">
        <v>0</v>
      </c>
      <c r="M278">
        <v>1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X278">
        <v>0</v>
      </c>
      <c r="Y278">
        <v>0</v>
      </c>
      <c r="Z278">
        <v>1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 s="86">
        <f>AVERAGEIFS($C$2:C278, $B$2:B278, B278)</f>
        <v>20.25</v>
      </c>
      <c r="AI278" s="86">
        <f>AVERAGEIFS($I$2:I278, $B$2:B278, B278)</f>
        <v>0.47812500000000002</v>
      </c>
      <c r="AJ278" s="86">
        <f>AVERAGEIFS($J$2:J278, $B$2:B278, B278)</f>
        <v>0.49375000000000002</v>
      </c>
      <c r="AK278" s="86">
        <f>AVERAGEIFS($D$2:D278, $B$2:B278, B278)</f>
        <v>0.4375</v>
      </c>
    </row>
    <row r="279" spans="1:37" x14ac:dyDescent="0.25">
      <c r="A279" s="85">
        <v>46142</v>
      </c>
      <c r="B279" t="s">
        <v>71</v>
      </c>
      <c r="C279">
        <v>19</v>
      </c>
      <c r="D279">
        <v>1</v>
      </c>
      <c r="E279">
        <v>4</v>
      </c>
      <c r="F279">
        <v>3</v>
      </c>
      <c r="G279">
        <v>15</v>
      </c>
      <c r="H279">
        <v>9</v>
      </c>
      <c r="I279">
        <v>0.75</v>
      </c>
      <c r="J279">
        <v>0.6</v>
      </c>
      <c r="K279">
        <v>0</v>
      </c>
      <c r="L279">
        <v>0</v>
      </c>
      <c r="M279">
        <v>1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0</v>
      </c>
      <c r="Z279">
        <v>1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0</v>
      </c>
      <c r="AH279" s="86">
        <f>AVERAGEIFS($C$2:C279, $B$2:B279, B279)</f>
        <v>12.076923076923077</v>
      </c>
      <c r="AI279" s="86">
        <f>AVERAGEIFS($I$2:I279, $B$2:B279, B279)</f>
        <v>0.42692307692307691</v>
      </c>
      <c r="AJ279" s="86">
        <f>AVERAGEIFS($J$2:J279, $B$2:B279, B279)</f>
        <v>0.46461538461538454</v>
      </c>
      <c r="AK279" s="86">
        <f>AVERAGEIFS($D$2:D279, $B$2:B279, B279)</f>
        <v>0.38461538461538464</v>
      </c>
    </row>
    <row r="280" spans="1:37" x14ac:dyDescent="0.25">
      <c r="A280" s="85">
        <v>46142</v>
      </c>
      <c r="B280" t="s">
        <v>147</v>
      </c>
      <c r="C280">
        <v>11</v>
      </c>
      <c r="D280">
        <v>0</v>
      </c>
      <c r="E280">
        <v>4</v>
      </c>
      <c r="F280">
        <v>1</v>
      </c>
      <c r="G280">
        <v>15</v>
      </c>
      <c r="H280">
        <v>6</v>
      </c>
      <c r="I280">
        <v>0.25</v>
      </c>
      <c r="J280">
        <v>0.4</v>
      </c>
      <c r="K280">
        <v>0</v>
      </c>
      <c r="L280">
        <v>0</v>
      </c>
      <c r="M280">
        <v>0</v>
      </c>
      <c r="N280">
        <v>1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 s="86">
        <f>AVERAGEIFS($C$2:C280, $B$2:B280, B280)</f>
        <v>15.2</v>
      </c>
      <c r="AI280" s="86">
        <f>AVERAGEIFS($I$2:I280, $B$2:B280, B280)</f>
        <v>0.45499999999999996</v>
      </c>
      <c r="AJ280" s="86">
        <f>AVERAGEIFS($J$2:J280, $B$2:B280, B280)</f>
        <v>0.51500000000000001</v>
      </c>
      <c r="AK280" s="86">
        <f>AVERAGEIFS($D$2:D280, $B$2:B280, B280)</f>
        <v>0.3</v>
      </c>
    </row>
    <row r="281" spans="1:37" x14ac:dyDescent="0.25">
      <c r="A281" s="85">
        <v>46142</v>
      </c>
      <c r="B281" t="s">
        <v>1</v>
      </c>
      <c r="C281">
        <v>34</v>
      </c>
      <c r="D281">
        <v>0</v>
      </c>
      <c r="E281">
        <v>4</v>
      </c>
      <c r="F281">
        <v>1</v>
      </c>
      <c r="G281">
        <v>15</v>
      </c>
      <c r="H281">
        <v>6</v>
      </c>
      <c r="I281">
        <v>0.25</v>
      </c>
      <c r="J281">
        <v>0.4</v>
      </c>
      <c r="K281">
        <v>0</v>
      </c>
      <c r="L281">
        <v>0</v>
      </c>
      <c r="M281">
        <v>0</v>
      </c>
      <c r="N281">
        <v>1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 s="86">
        <f>AVERAGEIFS($C$2:C281, $B$2:B281, B281)</f>
        <v>26.714285714285715</v>
      </c>
      <c r="AI281" s="86">
        <f>AVERAGEIFS($I$2:I281, $B$2:B281, B281)</f>
        <v>0.52857142857142858</v>
      </c>
      <c r="AJ281" s="86">
        <f>AVERAGEIFS($J$2:J281, $B$2:B281, B281)</f>
        <v>0.53928571428571426</v>
      </c>
      <c r="AK281" s="86">
        <f>AVERAGEIFS($D$2:D281, $B$2:B281, B281)</f>
        <v>0.5</v>
      </c>
    </row>
    <row r="282" spans="1:37" x14ac:dyDescent="0.25">
      <c r="A282" s="85">
        <v>46142</v>
      </c>
      <c r="B282" t="s">
        <v>50</v>
      </c>
      <c r="C282">
        <v>5</v>
      </c>
      <c r="D282">
        <v>0</v>
      </c>
      <c r="E282">
        <v>4</v>
      </c>
      <c r="F282">
        <v>1</v>
      </c>
      <c r="G282">
        <v>15</v>
      </c>
      <c r="H282">
        <v>6</v>
      </c>
      <c r="I282">
        <v>0.25</v>
      </c>
      <c r="J282">
        <v>0.4</v>
      </c>
      <c r="K282">
        <v>0</v>
      </c>
      <c r="L282">
        <v>0</v>
      </c>
      <c r="M282">
        <v>0</v>
      </c>
      <c r="N282">
        <v>1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 s="86">
        <f>AVERAGEIFS($C$2:C282, $B$2:B282, B282)</f>
        <v>15.285714285714286</v>
      </c>
      <c r="AI282" s="86">
        <f>AVERAGEIFS($I$2:I282, $B$2:B282, B282)</f>
        <v>0.33571428571428574</v>
      </c>
      <c r="AJ282" s="86">
        <f>AVERAGEIFS($J$2:J282, $B$2:B282, B282)</f>
        <v>0.41</v>
      </c>
      <c r="AK282" s="86">
        <f>AVERAGEIFS($D$2:D282, $B$2:B282, B282)</f>
        <v>0.2857142857142857</v>
      </c>
    </row>
    <row r="283" spans="1:37" x14ac:dyDescent="0.25">
      <c r="A283" s="85">
        <v>46142</v>
      </c>
      <c r="B283" t="s">
        <v>42</v>
      </c>
      <c r="C283">
        <v>29</v>
      </c>
      <c r="D283">
        <v>0</v>
      </c>
      <c r="E283">
        <v>4</v>
      </c>
      <c r="F283">
        <v>1</v>
      </c>
      <c r="G283">
        <v>15</v>
      </c>
      <c r="H283">
        <v>6</v>
      </c>
      <c r="I283">
        <v>0.25</v>
      </c>
      <c r="J283">
        <v>0.4</v>
      </c>
      <c r="K283">
        <v>0</v>
      </c>
      <c r="L283">
        <v>0</v>
      </c>
      <c r="M283">
        <v>0</v>
      </c>
      <c r="N283">
        <v>1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 s="86">
        <f>AVERAGEIFS($C$2:C283, $B$2:B283, B283)</f>
        <v>18.0625</v>
      </c>
      <c r="AI283" s="86">
        <f>AVERAGEIFS($I$2:I283, $B$2:B283, B283)</f>
        <v>0.42812499999999998</v>
      </c>
      <c r="AJ283" s="86">
        <f>AVERAGEIFS($J$2:J283, $B$2:B283, B283)</f>
        <v>0.44000000000000006</v>
      </c>
      <c r="AK283" s="86">
        <f>AVERAGEIFS($D$2:D283, $B$2:B283, B283)</f>
        <v>0.4375</v>
      </c>
    </row>
    <row r="284" spans="1:37" x14ac:dyDescent="0.25">
      <c r="A284" s="85">
        <v>46142</v>
      </c>
      <c r="B284" t="s">
        <v>141</v>
      </c>
      <c r="C284">
        <v>20</v>
      </c>
      <c r="D284">
        <v>0</v>
      </c>
      <c r="E284">
        <v>4</v>
      </c>
      <c r="F284">
        <v>1</v>
      </c>
      <c r="G284">
        <v>15</v>
      </c>
      <c r="H284">
        <v>6</v>
      </c>
      <c r="I284">
        <v>0.25</v>
      </c>
      <c r="J284">
        <v>0.4</v>
      </c>
      <c r="K284">
        <v>0</v>
      </c>
      <c r="L284">
        <v>0</v>
      </c>
      <c r="M284">
        <v>0</v>
      </c>
      <c r="N284">
        <v>1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 s="86">
        <f>AVERAGEIFS($C$2:C284, $B$2:B284, B284)</f>
        <v>14.166666666666666</v>
      </c>
      <c r="AI284" s="86">
        <f>AVERAGEIFS($I$2:I284, $B$2:B284, B284)</f>
        <v>0.4916666666666667</v>
      </c>
      <c r="AJ284" s="86">
        <f>AVERAGEIFS($J$2:J284, $B$2:B284, B284)</f>
        <v>0.49833333333333329</v>
      </c>
      <c r="AK284" s="86">
        <f>AVERAGEIFS($D$2:D284, $B$2:B284, B284)</f>
        <v>0.66666666666666663</v>
      </c>
    </row>
    <row r="285" spans="1:37" x14ac:dyDescent="0.25">
      <c r="A285" s="85">
        <v>46142</v>
      </c>
      <c r="B285" t="s">
        <v>70</v>
      </c>
      <c r="C285">
        <v>9</v>
      </c>
      <c r="D285">
        <v>0</v>
      </c>
      <c r="E285">
        <v>4</v>
      </c>
      <c r="F285">
        <v>1</v>
      </c>
      <c r="G285">
        <v>15</v>
      </c>
      <c r="H285">
        <v>6</v>
      </c>
      <c r="I285">
        <v>0.25</v>
      </c>
      <c r="J285">
        <v>0.4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 s="86">
        <f>AVERAGEIFS($C$2:C285, $B$2:B285, B285)</f>
        <v>8</v>
      </c>
      <c r="AI285" s="86">
        <f>AVERAGEIFS($I$2:I285, $B$2:B285, B285)</f>
        <v>0.25</v>
      </c>
      <c r="AJ285" s="86">
        <f>AVERAGEIFS($J$2:J285, $B$2:B285, B285)</f>
        <v>0.42000000000000004</v>
      </c>
      <c r="AK285" s="86">
        <f>AVERAGEIFS($D$2:D285, $B$2:B285, B285)</f>
        <v>0</v>
      </c>
    </row>
    <row r="286" spans="1:37" x14ac:dyDescent="0.25">
      <c r="A286" s="85">
        <v>46142</v>
      </c>
      <c r="B286" t="s">
        <v>1</v>
      </c>
      <c r="C286">
        <v>34</v>
      </c>
      <c r="D286">
        <v>1</v>
      </c>
      <c r="E286">
        <v>4</v>
      </c>
      <c r="F286">
        <v>3</v>
      </c>
      <c r="G286">
        <v>17</v>
      </c>
      <c r="H286">
        <v>11</v>
      </c>
      <c r="I286">
        <v>0.75</v>
      </c>
      <c r="J286">
        <v>0.65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1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1</v>
      </c>
      <c r="AD286">
        <v>0</v>
      </c>
      <c r="AE286">
        <v>1</v>
      </c>
      <c r="AF286">
        <v>0</v>
      </c>
      <c r="AG286">
        <v>0</v>
      </c>
      <c r="AH286" s="86">
        <f>AVERAGEIFS($C$2:C286, $B$2:B286, B286)</f>
        <v>27.2</v>
      </c>
      <c r="AI286" s="86">
        <f>AVERAGEIFS($I$2:I286, $B$2:B286, B286)</f>
        <v>0.54333333333333333</v>
      </c>
      <c r="AJ286" s="86">
        <f>AVERAGEIFS($J$2:J286, $B$2:B286, B286)</f>
        <v>0.54666666666666663</v>
      </c>
      <c r="AK286" s="86">
        <f>AVERAGEIFS($D$2:D286, $B$2:B286, B286)</f>
        <v>0.53333333333333333</v>
      </c>
    </row>
    <row r="287" spans="1:37" x14ac:dyDescent="0.25">
      <c r="A287" s="85">
        <v>46142</v>
      </c>
      <c r="B287" t="s">
        <v>2</v>
      </c>
      <c r="C287">
        <v>27</v>
      </c>
      <c r="D287">
        <v>1</v>
      </c>
      <c r="E287">
        <v>4</v>
      </c>
      <c r="F287">
        <v>3</v>
      </c>
      <c r="G287">
        <v>17</v>
      </c>
      <c r="H287">
        <v>11</v>
      </c>
      <c r="I287">
        <v>0.75</v>
      </c>
      <c r="J287">
        <v>0.65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1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1</v>
      </c>
      <c r="AD287">
        <v>0</v>
      </c>
      <c r="AE287">
        <v>1</v>
      </c>
      <c r="AF287">
        <v>0</v>
      </c>
      <c r="AG287">
        <v>0</v>
      </c>
      <c r="AH287" s="86">
        <f>AVERAGEIFS($C$2:C287, $B$2:B287, B287)</f>
        <v>17.09090909090909</v>
      </c>
      <c r="AI287" s="86">
        <f>AVERAGEIFS($I$2:I287, $B$2:B287, B287)</f>
        <v>0.43636363636363634</v>
      </c>
      <c r="AJ287" s="86">
        <f>AVERAGEIFS($J$2:J287, $B$2:B287, B287)</f>
        <v>0.49636363636363645</v>
      </c>
      <c r="AK287" s="86">
        <f>AVERAGEIFS($D$2:D287, $B$2:B287, B287)</f>
        <v>0.36363636363636365</v>
      </c>
    </row>
    <row r="288" spans="1:37" x14ac:dyDescent="0.25">
      <c r="A288" s="85">
        <v>46142</v>
      </c>
      <c r="B288" t="s">
        <v>40</v>
      </c>
      <c r="C288">
        <v>27</v>
      </c>
      <c r="D288">
        <v>1</v>
      </c>
      <c r="E288">
        <v>4</v>
      </c>
      <c r="F288">
        <v>3</v>
      </c>
      <c r="G288">
        <v>17</v>
      </c>
      <c r="H288">
        <v>11</v>
      </c>
      <c r="I288">
        <v>0.75</v>
      </c>
      <c r="J288">
        <v>0.65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1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1</v>
      </c>
      <c r="AD288">
        <v>0</v>
      </c>
      <c r="AE288">
        <v>1</v>
      </c>
      <c r="AF288">
        <v>0</v>
      </c>
      <c r="AG288">
        <v>0</v>
      </c>
      <c r="AH288" s="86">
        <f>AVERAGEIFS($C$2:C288, $B$2:B288, B288)</f>
        <v>20.647058823529413</v>
      </c>
      <c r="AI288" s="86">
        <f>AVERAGEIFS($I$2:I288, $B$2:B288, B288)</f>
        <v>0.49411764705882355</v>
      </c>
      <c r="AJ288" s="86">
        <f>AVERAGEIFS($J$2:J288, $B$2:B288, B288)</f>
        <v>0.50294117647058822</v>
      </c>
      <c r="AK288" s="86">
        <f>AVERAGEIFS($D$2:D288, $B$2:B288, B288)</f>
        <v>0.47058823529411764</v>
      </c>
    </row>
    <row r="289" spans="1:37" x14ac:dyDescent="0.25">
      <c r="A289" s="85">
        <v>46142</v>
      </c>
      <c r="B289" t="s">
        <v>42</v>
      </c>
      <c r="C289">
        <v>15</v>
      </c>
      <c r="D289">
        <v>1</v>
      </c>
      <c r="E289">
        <v>4</v>
      </c>
      <c r="F289">
        <v>3</v>
      </c>
      <c r="G289">
        <v>17</v>
      </c>
      <c r="H289">
        <v>11</v>
      </c>
      <c r="I289">
        <v>0.75</v>
      </c>
      <c r="J289">
        <v>0.65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1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1</v>
      </c>
      <c r="AD289">
        <v>0</v>
      </c>
      <c r="AE289">
        <v>1</v>
      </c>
      <c r="AF289">
        <v>0</v>
      </c>
      <c r="AG289">
        <v>0</v>
      </c>
      <c r="AH289" s="86">
        <f>AVERAGEIFS($C$2:C289, $B$2:B289, B289)</f>
        <v>17.882352941176471</v>
      </c>
      <c r="AI289" s="86">
        <f>AVERAGEIFS($I$2:I289, $B$2:B289, B289)</f>
        <v>0.44705882352941173</v>
      </c>
      <c r="AJ289" s="86">
        <f>AVERAGEIFS($J$2:J289, $B$2:B289, B289)</f>
        <v>0.45235294117647068</v>
      </c>
      <c r="AK289" s="86">
        <f>AVERAGEIFS($D$2:D289, $B$2:B289, B289)</f>
        <v>0.47058823529411764</v>
      </c>
    </row>
    <row r="290" spans="1:37" x14ac:dyDescent="0.25">
      <c r="A290" s="85">
        <v>46142</v>
      </c>
      <c r="B290" t="s">
        <v>147</v>
      </c>
      <c r="C290">
        <v>9</v>
      </c>
      <c r="D290">
        <v>1</v>
      </c>
      <c r="E290">
        <v>4</v>
      </c>
      <c r="F290">
        <v>3</v>
      </c>
      <c r="G290">
        <v>17</v>
      </c>
      <c r="H290">
        <v>11</v>
      </c>
      <c r="I290">
        <v>0.75</v>
      </c>
      <c r="J290">
        <v>0.65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1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1</v>
      </c>
      <c r="AD290">
        <v>0</v>
      </c>
      <c r="AE290">
        <v>1</v>
      </c>
      <c r="AF290">
        <v>0</v>
      </c>
      <c r="AG290">
        <v>0</v>
      </c>
      <c r="AH290" s="86">
        <f>AVERAGEIFS($C$2:C290, $B$2:B290, B290)</f>
        <v>14.636363636363637</v>
      </c>
      <c r="AI290" s="86">
        <f>AVERAGEIFS($I$2:I290, $B$2:B290, B290)</f>
        <v>0.48181818181818181</v>
      </c>
      <c r="AJ290" s="86">
        <f>AVERAGEIFS($J$2:J290, $B$2:B290, B290)</f>
        <v>0.52727272727272734</v>
      </c>
      <c r="AK290" s="86">
        <f>AVERAGEIFS($D$2:D290, $B$2:B290, B290)</f>
        <v>0.36363636363636365</v>
      </c>
    </row>
    <row r="291" spans="1:37" x14ac:dyDescent="0.25">
      <c r="A291" s="85">
        <v>46142</v>
      </c>
      <c r="B291" t="s">
        <v>28</v>
      </c>
      <c r="C291">
        <v>17</v>
      </c>
      <c r="D291">
        <v>1</v>
      </c>
      <c r="E291">
        <v>4</v>
      </c>
      <c r="F291">
        <v>3</v>
      </c>
      <c r="G291">
        <v>17</v>
      </c>
      <c r="H291">
        <v>11</v>
      </c>
      <c r="I291">
        <v>0.75</v>
      </c>
      <c r="J291">
        <v>0.65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1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1</v>
      </c>
      <c r="AD291">
        <v>0</v>
      </c>
      <c r="AE291">
        <v>1</v>
      </c>
      <c r="AF291">
        <v>0</v>
      </c>
      <c r="AG291">
        <v>0</v>
      </c>
      <c r="AH291" s="86">
        <f>AVERAGEIFS($C$2:C291, $B$2:B291, B291)</f>
        <v>13</v>
      </c>
      <c r="AI291" s="86">
        <f>AVERAGEIFS($I$2:I291, $B$2:B291, B291)</f>
        <v>0.375</v>
      </c>
      <c r="AJ291" s="86">
        <f>AVERAGEIFS($J$2:J291, $B$2:B291, B291)</f>
        <v>0.375</v>
      </c>
      <c r="AK291" s="86">
        <f>AVERAGEIFS($D$2:D291, $B$2:B291, B291)</f>
        <v>0.5</v>
      </c>
    </row>
    <row r="292" spans="1:37" x14ac:dyDescent="0.25">
      <c r="A292" s="85">
        <v>46142</v>
      </c>
      <c r="B292" t="s">
        <v>141</v>
      </c>
      <c r="C292">
        <v>15</v>
      </c>
      <c r="D292">
        <v>1</v>
      </c>
      <c r="E292">
        <v>4</v>
      </c>
      <c r="F292">
        <v>3</v>
      </c>
      <c r="G292">
        <v>17</v>
      </c>
      <c r="H292">
        <v>11</v>
      </c>
      <c r="I292">
        <v>0.75</v>
      </c>
      <c r="J292">
        <v>0.65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1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1</v>
      </c>
      <c r="AD292">
        <v>0</v>
      </c>
      <c r="AE292">
        <v>1</v>
      </c>
      <c r="AF292">
        <v>0</v>
      </c>
      <c r="AG292">
        <v>0</v>
      </c>
      <c r="AH292" s="86">
        <f>AVERAGEIFS($C$2:C292, $B$2:B292, B292)</f>
        <v>14.285714285714286</v>
      </c>
      <c r="AI292" s="86">
        <f>AVERAGEIFS($I$2:I292, $B$2:B292, B292)</f>
        <v>0.52857142857142858</v>
      </c>
      <c r="AJ292" s="86">
        <f>AVERAGEIFS($J$2:J292, $B$2:B292, B292)</f>
        <v>0.51999999999999991</v>
      </c>
      <c r="AK292" s="86">
        <f>AVERAGEIFS($D$2:D292, $B$2:B292, B292)</f>
        <v>0.7142857142857143</v>
      </c>
    </row>
    <row r="293" spans="1:37" x14ac:dyDescent="0.25">
      <c r="A293" s="85">
        <v>46142</v>
      </c>
      <c r="B293" t="s">
        <v>4</v>
      </c>
      <c r="C293">
        <v>25</v>
      </c>
      <c r="D293">
        <v>0</v>
      </c>
      <c r="E293">
        <v>4</v>
      </c>
      <c r="F293">
        <v>1</v>
      </c>
      <c r="G293">
        <v>17</v>
      </c>
      <c r="H293">
        <v>6</v>
      </c>
      <c r="I293">
        <v>0.25</v>
      </c>
      <c r="J293">
        <v>0.35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0</v>
      </c>
      <c r="AE293">
        <v>0</v>
      </c>
      <c r="AF293">
        <v>1</v>
      </c>
      <c r="AG293">
        <v>0</v>
      </c>
      <c r="AH293" s="86">
        <f>AVERAGEIFS($C$2:C293, $B$2:B293, B293)</f>
        <v>27.363636363636363</v>
      </c>
      <c r="AI293" s="86">
        <f>AVERAGEIFS($I$2:I293, $B$2:B293, B293)</f>
        <v>0.5636363636363636</v>
      </c>
      <c r="AJ293" s="86">
        <f>AVERAGEIFS($J$2:J293, $B$2:B293, B293)</f>
        <v>0.52363636363636357</v>
      </c>
      <c r="AK293" s="86">
        <f>AVERAGEIFS($D$2:D293, $B$2:B293, B293)</f>
        <v>0.63636363636363635</v>
      </c>
    </row>
    <row r="294" spans="1:37" x14ac:dyDescent="0.25">
      <c r="A294" s="85">
        <v>46142</v>
      </c>
      <c r="B294" t="s">
        <v>6</v>
      </c>
      <c r="C294">
        <v>24</v>
      </c>
      <c r="D294">
        <v>0</v>
      </c>
      <c r="E294">
        <v>4</v>
      </c>
      <c r="F294">
        <v>1</v>
      </c>
      <c r="G294">
        <v>17</v>
      </c>
      <c r="H294">
        <v>6</v>
      </c>
      <c r="I294">
        <v>0.25</v>
      </c>
      <c r="J294">
        <v>0.35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1</v>
      </c>
      <c r="AG294">
        <v>0</v>
      </c>
      <c r="AH294" s="86">
        <f>AVERAGEIFS($C$2:C294, $B$2:B294, B294)</f>
        <v>22.473684210526315</v>
      </c>
      <c r="AI294" s="86">
        <f>AVERAGEIFS($I$2:I294, $B$2:B294, B294)</f>
        <v>0.5</v>
      </c>
      <c r="AJ294" s="86">
        <f>AVERAGEIFS($J$2:J294, $B$2:B294, B294)</f>
        <v>0.49157894736842106</v>
      </c>
      <c r="AK294" s="86">
        <f>AVERAGEIFS($D$2:D294, $B$2:B294, B294)</f>
        <v>0.52631578947368418</v>
      </c>
    </row>
    <row r="295" spans="1:37" x14ac:dyDescent="0.25">
      <c r="A295" s="85">
        <v>46142</v>
      </c>
      <c r="B295" t="s">
        <v>53</v>
      </c>
      <c r="C295">
        <v>20</v>
      </c>
      <c r="D295">
        <v>0</v>
      </c>
      <c r="E295">
        <v>4</v>
      </c>
      <c r="F295">
        <v>1</v>
      </c>
      <c r="G295">
        <v>17</v>
      </c>
      <c r="H295">
        <v>6</v>
      </c>
      <c r="I295">
        <v>0.25</v>
      </c>
      <c r="J295">
        <v>0.35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1</v>
      </c>
      <c r="AG295">
        <v>0</v>
      </c>
      <c r="AH295" s="86">
        <f>AVERAGEIFS($C$2:C295, $B$2:B295, B295)</f>
        <v>13.23076923076923</v>
      </c>
      <c r="AI295" s="86">
        <f>AVERAGEIFS($I$2:I295, $B$2:B295, B295)</f>
        <v>0.4384615384615384</v>
      </c>
      <c r="AJ295" s="86">
        <f>AVERAGEIFS($J$2:J295, $B$2:B295, B295)</f>
        <v>0.46461538461538454</v>
      </c>
      <c r="AK295" s="86">
        <f>AVERAGEIFS($D$2:D295, $B$2:B295, B295)</f>
        <v>0.23076923076923078</v>
      </c>
    </row>
    <row r="296" spans="1:37" x14ac:dyDescent="0.25">
      <c r="A296" s="85">
        <v>46142</v>
      </c>
      <c r="B296" t="s">
        <v>161</v>
      </c>
      <c r="C296">
        <v>17</v>
      </c>
      <c r="D296">
        <v>0</v>
      </c>
      <c r="E296">
        <v>4</v>
      </c>
      <c r="F296">
        <v>1</v>
      </c>
      <c r="G296">
        <v>17</v>
      </c>
      <c r="H296">
        <v>6</v>
      </c>
      <c r="I296">
        <v>0.25</v>
      </c>
      <c r="J296">
        <v>0.35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1</v>
      </c>
      <c r="AG296">
        <v>0</v>
      </c>
      <c r="AH296" s="86">
        <f>AVERAGEIFS($C$2:C296, $B$2:B296, B296)</f>
        <v>9</v>
      </c>
      <c r="AI296" s="86">
        <f>AVERAGEIFS($I$2:I296, $B$2:B296, B296)</f>
        <v>0.56874999999999998</v>
      </c>
      <c r="AJ296" s="86">
        <f>AVERAGEIFS($J$2:J296, $B$2:B296, B296)</f>
        <v>0.51374999999999993</v>
      </c>
      <c r="AK296" s="86">
        <f>AVERAGEIFS($D$2:D296, $B$2:B296, B296)</f>
        <v>0.5</v>
      </c>
    </row>
    <row r="297" spans="1:37" x14ac:dyDescent="0.25">
      <c r="A297" s="85">
        <v>46142</v>
      </c>
      <c r="B297" t="s">
        <v>13</v>
      </c>
      <c r="C297">
        <v>15</v>
      </c>
      <c r="D297">
        <v>0</v>
      </c>
      <c r="E297">
        <v>4</v>
      </c>
      <c r="F297">
        <v>1</v>
      </c>
      <c r="G297">
        <v>17</v>
      </c>
      <c r="H297">
        <v>6</v>
      </c>
      <c r="I297">
        <v>0.25</v>
      </c>
      <c r="J297">
        <v>0.35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1</v>
      </c>
      <c r="AG297">
        <v>0</v>
      </c>
      <c r="AH297" s="86">
        <f>AVERAGEIFS($C$2:C297, $B$2:B297, B297)</f>
        <v>15.666666666666666</v>
      </c>
      <c r="AI297" s="86">
        <f>AVERAGEIFS($I$2:I297, $B$2:B297, B297)</f>
        <v>0.5</v>
      </c>
      <c r="AJ297" s="86">
        <f>AVERAGEIFS($J$2:J297, $B$2:B297, B297)</f>
        <v>0.46333333333333332</v>
      </c>
      <c r="AK297" s="86">
        <f>AVERAGEIFS($D$2:D297, $B$2:B297, B297)</f>
        <v>0.5</v>
      </c>
    </row>
    <row r="298" spans="1:37" x14ac:dyDescent="0.25">
      <c r="A298" s="85">
        <v>46142</v>
      </c>
      <c r="B298" t="s">
        <v>17</v>
      </c>
      <c r="C298">
        <v>12</v>
      </c>
      <c r="D298">
        <v>0</v>
      </c>
      <c r="E298">
        <v>4</v>
      </c>
      <c r="F298">
        <v>1</v>
      </c>
      <c r="G298">
        <v>17</v>
      </c>
      <c r="H298">
        <v>6</v>
      </c>
      <c r="I298">
        <v>0.25</v>
      </c>
      <c r="J298">
        <v>0.35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1</v>
      </c>
      <c r="AG298">
        <v>0</v>
      </c>
      <c r="AH298" s="86">
        <f>AVERAGEIFS($C$2:C298, $B$2:B298, B298)</f>
        <v>17.5</v>
      </c>
      <c r="AI298" s="86">
        <f>AVERAGEIFS($I$2:I298, $B$2:B298, B298)</f>
        <v>0.60833333333333328</v>
      </c>
      <c r="AJ298" s="86">
        <f>AVERAGEIFS($J$2:J298, $B$2:B298, B298)</f>
        <v>0.52166666666666661</v>
      </c>
      <c r="AK298" s="86">
        <f>AVERAGEIFS($D$2:D298, $B$2:B298, B298)</f>
        <v>0.75</v>
      </c>
    </row>
    <row r="299" spans="1:37" x14ac:dyDescent="0.25">
      <c r="A299" s="85">
        <v>46142</v>
      </c>
      <c r="B299" t="s">
        <v>50</v>
      </c>
      <c r="C299">
        <v>15</v>
      </c>
      <c r="D299">
        <v>0</v>
      </c>
      <c r="E299">
        <v>4</v>
      </c>
      <c r="F299">
        <v>1</v>
      </c>
      <c r="G299">
        <v>17</v>
      </c>
      <c r="H299">
        <v>6</v>
      </c>
      <c r="I299">
        <v>0.25</v>
      </c>
      <c r="J299">
        <v>0.35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0</v>
      </c>
      <c r="AD299">
        <v>0</v>
      </c>
      <c r="AE299">
        <v>0</v>
      </c>
      <c r="AF299">
        <v>1</v>
      </c>
      <c r="AG299">
        <v>0</v>
      </c>
      <c r="AH299" s="86">
        <f>AVERAGEIFS($C$2:C299, $B$2:B299, B299)</f>
        <v>15.25</v>
      </c>
      <c r="AI299" s="86">
        <f>AVERAGEIFS($I$2:I299, $B$2:B299, B299)</f>
        <v>0.32500000000000001</v>
      </c>
      <c r="AJ299" s="86">
        <f>AVERAGEIFS($J$2:J299, $B$2:B299, B299)</f>
        <v>0.40249999999999997</v>
      </c>
      <c r="AK299" s="86">
        <f>AVERAGEIFS($D$2:D299, $B$2:B299, B299)</f>
        <v>0.25</v>
      </c>
    </row>
    <row r="300" spans="1:37" x14ac:dyDescent="0.25">
      <c r="A300" s="85">
        <v>46146</v>
      </c>
      <c r="B300" t="s">
        <v>17</v>
      </c>
      <c r="C300">
        <v>28</v>
      </c>
      <c r="D300">
        <v>1</v>
      </c>
      <c r="E300">
        <v>4</v>
      </c>
      <c r="F300">
        <v>3</v>
      </c>
      <c r="G300">
        <v>15</v>
      </c>
      <c r="H300">
        <v>10</v>
      </c>
      <c r="I300">
        <v>0.75</v>
      </c>
      <c r="J300">
        <v>0.67</v>
      </c>
      <c r="K300">
        <v>0</v>
      </c>
      <c r="L300">
        <v>1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1</v>
      </c>
      <c r="AD300">
        <v>0</v>
      </c>
      <c r="AE300">
        <v>0</v>
      </c>
      <c r="AF300">
        <v>0</v>
      </c>
      <c r="AG300">
        <v>1</v>
      </c>
      <c r="AH300" s="86">
        <f>AVERAGEIFS($C$2:C300, $B$2:B300, B300)</f>
        <v>18.307692307692307</v>
      </c>
      <c r="AI300" s="86">
        <f>AVERAGEIFS($I$2:I300, $B$2:B300, B300)</f>
        <v>0.61923076923076914</v>
      </c>
      <c r="AJ300" s="86">
        <f>AVERAGEIFS($J$2:J300, $B$2:B300, B300)</f>
        <v>0.533076923076923</v>
      </c>
      <c r="AK300" s="86">
        <f>AVERAGEIFS($D$2:D300, $B$2:B300, B300)</f>
        <v>0.76923076923076927</v>
      </c>
    </row>
    <row r="301" spans="1:37" x14ac:dyDescent="0.25">
      <c r="A301" s="85">
        <v>46146</v>
      </c>
      <c r="B301" t="s">
        <v>50</v>
      </c>
      <c r="C301">
        <v>17</v>
      </c>
      <c r="D301">
        <v>1</v>
      </c>
      <c r="E301">
        <v>4</v>
      </c>
      <c r="F301">
        <v>3</v>
      </c>
      <c r="G301">
        <v>15</v>
      </c>
      <c r="H301">
        <v>10</v>
      </c>
      <c r="I301">
        <v>0.75</v>
      </c>
      <c r="J301">
        <v>0.67</v>
      </c>
      <c r="K301">
        <v>0</v>
      </c>
      <c r="L301">
        <v>1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1</v>
      </c>
      <c r="AD301">
        <v>0</v>
      </c>
      <c r="AE301">
        <v>0</v>
      </c>
      <c r="AF301">
        <v>0</v>
      </c>
      <c r="AG301">
        <v>1</v>
      </c>
      <c r="AH301" s="86">
        <f>AVERAGEIFS($C$2:C301, $B$2:B301, B301)</f>
        <v>15.444444444444445</v>
      </c>
      <c r="AI301" s="86">
        <f>AVERAGEIFS($I$2:I301, $B$2:B301, B301)</f>
        <v>0.37222222222222223</v>
      </c>
      <c r="AJ301" s="86">
        <f>AVERAGEIFS($J$2:J301, $B$2:B301, B301)</f>
        <v>0.43222222222222217</v>
      </c>
      <c r="AK301" s="86">
        <f>AVERAGEIFS($D$2:D301, $B$2:B301, B301)</f>
        <v>0.33333333333333331</v>
      </c>
    </row>
    <row r="302" spans="1:37" x14ac:dyDescent="0.25">
      <c r="A302" s="85">
        <v>46146</v>
      </c>
      <c r="B302" t="s">
        <v>54</v>
      </c>
      <c r="C302">
        <v>16</v>
      </c>
      <c r="D302">
        <v>1</v>
      </c>
      <c r="E302">
        <v>4</v>
      </c>
      <c r="F302">
        <v>3</v>
      </c>
      <c r="G302">
        <v>15</v>
      </c>
      <c r="H302">
        <v>10</v>
      </c>
      <c r="I302">
        <v>0.75</v>
      </c>
      <c r="J302">
        <v>0.67</v>
      </c>
      <c r="K302">
        <v>0</v>
      </c>
      <c r="L302">
        <v>1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1</v>
      </c>
      <c r="AD302">
        <v>0</v>
      </c>
      <c r="AE302">
        <v>0</v>
      </c>
      <c r="AF302">
        <v>0</v>
      </c>
      <c r="AG302">
        <v>1</v>
      </c>
      <c r="AH302" s="86">
        <f>AVERAGEIFS($C$2:C302, $B$2:B302, B302)</f>
        <v>22</v>
      </c>
      <c r="AI302" s="86">
        <f>AVERAGEIFS($I$2:I302, $B$2:B302, B302)</f>
        <v>0.54545454545454541</v>
      </c>
      <c r="AJ302" s="86">
        <f>AVERAGEIFS($J$2:J302, $B$2:B302, B302)</f>
        <v>0.52454545454545454</v>
      </c>
      <c r="AK302" s="86">
        <f>AVERAGEIFS($D$2:D302, $B$2:B302, B302)</f>
        <v>0.54545454545454541</v>
      </c>
    </row>
    <row r="303" spans="1:37" x14ac:dyDescent="0.25">
      <c r="A303" s="85">
        <v>46146</v>
      </c>
      <c r="B303" t="s">
        <v>5</v>
      </c>
      <c r="C303">
        <v>16</v>
      </c>
      <c r="D303">
        <v>1</v>
      </c>
      <c r="E303">
        <v>4</v>
      </c>
      <c r="F303">
        <v>3</v>
      </c>
      <c r="G303">
        <v>15</v>
      </c>
      <c r="H303">
        <v>10</v>
      </c>
      <c r="I303">
        <v>0.75</v>
      </c>
      <c r="J303">
        <v>0.67</v>
      </c>
      <c r="K303">
        <v>0</v>
      </c>
      <c r="L303">
        <v>1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1</v>
      </c>
      <c r="AD303">
        <v>0</v>
      </c>
      <c r="AE303">
        <v>0</v>
      </c>
      <c r="AF303">
        <v>0</v>
      </c>
      <c r="AG303">
        <v>1</v>
      </c>
      <c r="AH303" s="86">
        <f>AVERAGEIFS($C$2:C303, $B$2:B303, B303)</f>
        <v>18.333333333333332</v>
      </c>
      <c r="AI303" s="86">
        <f>AVERAGEIFS($I$2:I303, $B$2:B303, B303)</f>
        <v>0.55666666666666675</v>
      </c>
      <c r="AJ303" s="86">
        <f>AVERAGEIFS($J$2:J303, $B$2:B303, B303)</f>
        <v>0.52533333333333332</v>
      </c>
      <c r="AK303" s="86">
        <f>AVERAGEIFS($D$2:D303, $B$2:B303, B303)</f>
        <v>0.6</v>
      </c>
    </row>
    <row r="304" spans="1:37" x14ac:dyDescent="0.25">
      <c r="A304" s="85">
        <v>46146</v>
      </c>
      <c r="B304" t="s">
        <v>161</v>
      </c>
      <c r="C304">
        <v>13</v>
      </c>
      <c r="D304">
        <v>1</v>
      </c>
      <c r="E304">
        <v>4</v>
      </c>
      <c r="F304">
        <v>3</v>
      </c>
      <c r="G304">
        <v>15</v>
      </c>
      <c r="H304">
        <v>10</v>
      </c>
      <c r="I304">
        <v>0.75</v>
      </c>
      <c r="J304">
        <v>0.67</v>
      </c>
      <c r="K304">
        <v>0</v>
      </c>
      <c r="L304">
        <v>1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1</v>
      </c>
      <c r="AD304">
        <v>0</v>
      </c>
      <c r="AE304">
        <v>0</v>
      </c>
      <c r="AF304">
        <v>0</v>
      </c>
      <c r="AG304">
        <v>1</v>
      </c>
      <c r="AH304" s="86">
        <f>AVERAGEIFS($C$2:C304, $B$2:B304, B304)</f>
        <v>9.4444444444444446</v>
      </c>
      <c r="AI304" s="86">
        <f>AVERAGEIFS($I$2:I304, $B$2:B304, B304)</f>
        <v>0.58888888888888891</v>
      </c>
      <c r="AJ304" s="86">
        <f>AVERAGEIFS($J$2:J304, $B$2:B304, B304)</f>
        <v>0.53111111111111109</v>
      </c>
      <c r="AK304" s="86">
        <f>AVERAGEIFS($D$2:D304, $B$2:B304, B304)</f>
        <v>0.55555555555555558</v>
      </c>
    </row>
    <row r="305" spans="1:37" x14ac:dyDescent="0.25">
      <c r="A305" s="85">
        <v>46146</v>
      </c>
      <c r="B305" t="s">
        <v>179</v>
      </c>
      <c r="C305">
        <v>11</v>
      </c>
      <c r="D305">
        <v>1</v>
      </c>
      <c r="E305">
        <v>4</v>
      </c>
      <c r="F305">
        <v>3</v>
      </c>
      <c r="G305">
        <v>15</v>
      </c>
      <c r="H305">
        <v>10</v>
      </c>
      <c r="I305">
        <v>0.75</v>
      </c>
      <c r="J305">
        <v>0.67</v>
      </c>
      <c r="K305">
        <v>0</v>
      </c>
      <c r="L305">
        <v>1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1</v>
      </c>
      <c r="AD305">
        <v>0</v>
      </c>
      <c r="AE305">
        <v>0</v>
      </c>
      <c r="AF305">
        <v>0</v>
      </c>
      <c r="AG305">
        <v>1</v>
      </c>
      <c r="AH305" s="86">
        <f>AVERAGEIFS($C$2:C305, $B$2:B305, B305)</f>
        <v>11</v>
      </c>
      <c r="AI305" s="86">
        <f>AVERAGEIFS($I$2:I305, $B$2:B305, B305)</f>
        <v>0.75</v>
      </c>
      <c r="AJ305" s="86">
        <f>AVERAGEIFS($J$2:J305, $B$2:B305, B305)</f>
        <v>0.67</v>
      </c>
      <c r="AK305" s="86">
        <f>AVERAGEIFS($D$2:D305, $B$2:B305, B305)</f>
        <v>1</v>
      </c>
    </row>
    <row r="306" spans="1:37" x14ac:dyDescent="0.25">
      <c r="A306" s="85">
        <v>46146</v>
      </c>
      <c r="B306" t="s">
        <v>141</v>
      </c>
      <c r="C306">
        <v>15</v>
      </c>
      <c r="D306">
        <v>0</v>
      </c>
      <c r="E306">
        <v>4</v>
      </c>
      <c r="F306">
        <v>1</v>
      </c>
      <c r="G306">
        <v>15</v>
      </c>
      <c r="H306">
        <v>5</v>
      </c>
      <c r="I306">
        <v>0.25</v>
      </c>
      <c r="J306">
        <v>0.33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1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0</v>
      </c>
      <c r="AF306">
        <v>0</v>
      </c>
      <c r="AG306">
        <v>0</v>
      </c>
      <c r="AH306" s="86">
        <f>AVERAGEIFS($C$2:C306, $B$2:B306, B306)</f>
        <v>14.375</v>
      </c>
      <c r="AI306" s="86">
        <f>AVERAGEIFS($I$2:I306, $B$2:B306, B306)</f>
        <v>0.49375000000000002</v>
      </c>
      <c r="AJ306" s="86">
        <f>AVERAGEIFS($J$2:J306, $B$2:B306, B306)</f>
        <v>0.49624999999999997</v>
      </c>
      <c r="AK306" s="86">
        <f>AVERAGEIFS($D$2:D306, $B$2:B306, B306)</f>
        <v>0.625</v>
      </c>
    </row>
    <row r="307" spans="1:37" x14ac:dyDescent="0.25">
      <c r="A307" s="85">
        <v>46146</v>
      </c>
      <c r="B307" t="s">
        <v>147</v>
      </c>
      <c r="C307">
        <v>14</v>
      </c>
      <c r="D307">
        <v>0</v>
      </c>
      <c r="E307">
        <v>4</v>
      </c>
      <c r="F307">
        <v>1</v>
      </c>
      <c r="G307">
        <v>15</v>
      </c>
      <c r="H307">
        <v>5</v>
      </c>
      <c r="I307">
        <v>0.25</v>
      </c>
      <c r="J307">
        <v>0.33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1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H307" s="86">
        <f>AVERAGEIFS($C$2:C307, $B$2:B307, B307)</f>
        <v>14.583333333333334</v>
      </c>
      <c r="AI307" s="86">
        <f>AVERAGEIFS($I$2:I307, $B$2:B307, B307)</f>
        <v>0.46249999999999997</v>
      </c>
      <c r="AJ307" s="86">
        <f>AVERAGEIFS($J$2:J307, $B$2:B307, B307)</f>
        <v>0.51083333333333336</v>
      </c>
      <c r="AK307" s="86">
        <f>AVERAGEIFS($D$2:D307, $B$2:B307, B307)</f>
        <v>0.33333333333333331</v>
      </c>
    </row>
    <row r="308" spans="1:37" x14ac:dyDescent="0.25">
      <c r="A308" s="85">
        <v>46146</v>
      </c>
      <c r="B308" t="s">
        <v>150</v>
      </c>
      <c r="C308">
        <v>14</v>
      </c>
      <c r="D308">
        <v>0</v>
      </c>
      <c r="E308">
        <v>4</v>
      </c>
      <c r="F308">
        <v>1</v>
      </c>
      <c r="G308">
        <v>15</v>
      </c>
      <c r="H308">
        <v>5</v>
      </c>
      <c r="I308">
        <v>0.25</v>
      </c>
      <c r="J308">
        <v>0.33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1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  <c r="AG308">
        <v>0</v>
      </c>
      <c r="AH308" s="86">
        <f>AVERAGEIFS($C$2:C308, $B$2:B308, B308)</f>
        <v>19.076923076923077</v>
      </c>
      <c r="AI308" s="86">
        <f>AVERAGEIFS($I$2:I308, $B$2:B308, B308)</f>
        <v>0.7038461538461539</v>
      </c>
      <c r="AJ308" s="86">
        <f>AVERAGEIFS($J$2:J308, $B$2:B308, B308)</f>
        <v>0.61615384615384616</v>
      </c>
      <c r="AK308" s="86">
        <f>AVERAGEIFS($D$2:D308, $B$2:B308, B308)</f>
        <v>0.76923076923076927</v>
      </c>
    </row>
    <row r="309" spans="1:37" x14ac:dyDescent="0.25">
      <c r="A309" s="85">
        <v>46146</v>
      </c>
      <c r="B309" t="s">
        <v>4</v>
      </c>
      <c r="C309">
        <v>14</v>
      </c>
      <c r="D309">
        <v>0</v>
      </c>
      <c r="E309">
        <v>4</v>
      </c>
      <c r="F309">
        <v>1</v>
      </c>
      <c r="G309">
        <v>15</v>
      </c>
      <c r="H309">
        <v>5</v>
      </c>
      <c r="I309">
        <v>0.25</v>
      </c>
      <c r="J309">
        <v>0.33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 s="86">
        <f>AVERAGEIFS($C$2:C309, $B$2:B309, B309)</f>
        <v>26.25</v>
      </c>
      <c r="AI309" s="86">
        <f>AVERAGEIFS($I$2:I309, $B$2:B309, B309)</f>
        <v>0.53749999999999998</v>
      </c>
      <c r="AJ309" s="86">
        <f>AVERAGEIFS($J$2:J309, $B$2:B309, B309)</f>
        <v>0.50749999999999995</v>
      </c>
      <c r="AK309" s="86">
        <f>AVERAGEIFS($D$2:D309, $B$2:B309, B309)</f>
        <v>0.58333333333333337</v>
      </c>
    </row>
    <row r="310" spans="1:37" x14ac:dyDescent="0.25">
      <c r="A310" s="85">
        <v>46146</v>
      </c>
      <c r="B310" t="s">
        <v>42</v>
      </c>
      <c r="C310">
        <v>10</v>
      </c>
      <c r="D310">
        <v>0</v>
      </c>
      <c r="E310">
        <v>4</v>
      </c>
      <c r="F310">
        <v>1</v>
      </c>
      <c r="G310">
        <v>15</v>
      </c>
      <c r="H310">
        <v>5</v>
      </c>
      <c r="I310">
        <v>0.25</v>
      </c>
      <c r="J310">
        <v>0.33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1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H310" s="86">
        <f>AVERAGEIFS($C$2:C310, $B$2:B310, B310)</f>
        <v>17.444444444444443</v>
      </c>
      <c r="AI310" s="86">
        <f>AVERAGEIFS($I$2:I310, $B$2:B310, B310)</f>
        <v>0.43611111111111112</v>
      </c>
      <c r="AJ310" s="86">
        <f>AVERAGEIFS($J$2:J310, $B$2:B310, B310)</f>
        <v>0.44555555555555565</v>
      </c>
      <c r="AK310" s="86">
        <f>AVERAGEIFS($D$2:D310, $B$2:B310, B310)</f>
        <v>0.44444444444444442</v>
      </c>
    </row>
    <row r="311" spans="1:37" x14ac:dyDescent="0.25">
      <c r="A311" s="85">
        <v>46146</v>
      </c>
      <c r="B311" t="s">
        <v>152</v>
      </c>
      <c r="C311">
        <v>5</v>
      </c>
      <c r="D311">
        <v>0</v>
      </c>
      <c r="E311">
        <v>4</v>
      </c>
      <c r="F311">
        <v>1</v>
      </c>
      <c r="G311">
        <v>15</v>
      </c>
      <c r="H311">
        <v>5</v>
      </c>
      <c r="I311">
        <v>0.25</v>
      </c>
      <c r="J311">
        <v>0.33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1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 s="86">
        <f>AVERAGEIFS($C$2:C311, $B$2:B311, B311)</f>
        <v>13.25</v>
      </c>
      <c r="AI311" s="86">
        <f>AVERAGEIFS($I$2:I311, $B$2:B311, B311)</f>
        <v>0.41249999999999998</v>
      </c>
      <c r="AJ311" s="86">
        <f>AVERAGEIFS($J$2:J311, $B$2:B311, B311)</f>
        <v>0.44000000000000006</v>
      </c>
      <c r="AK311" s="86">
        <f>AVERAGEIFS($D$2:D311, $B$2:B311, B311)</f>
        <v>0.25</v>
      </c>
    </row>
    <row r="312" spans="1:37" x14ac:dyDescent="0.25">
      <c r="A312" s="85">
        <v>46147</v>
      </c>
      <c r="B312" t="s">
        <v>40</v>
      </c>
      <c r="C312">
        <v>18</v>
      </c>
      <c r="D312">
        <v>0</v>
      </c>
      <c r="E312">
        <v>3</v>
      </c>
      <c r="F312">
        <v>0</v>
      </c>
      <c r="G312">
        <v>13</v>
      </c>
      <c r="H312">
        <v>4</v>
      </c>
      <c r="I312">
        <v>0</v>
      </c>
      <c r="J312">
        <v>0.31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H312" s="86">
        <f>AVERAGEIFS($C$2:C312, $B$2:B312, B312)</f>
        <v>20.5</v>
      </c>
      <c r="AI312" s="86">
        <f>AVERAGEIFS($I$2:I312, $B$2:B312, B312)</f>
        <v>0.46666666666666667</v>
      </c>
      <c r="AJ312" s="86">
        <f>AVERAGEIFS($J$2:J312, $B$2:B312, B312)</f>
        <v>0.49222222222222228</v>
      </c>
      <c r="AK312" s="86">
        <f>AVERAGEIFS($D$2:D312, $B$2:B312, B312)</f>
        <v>0.44444444444444442</v>
      </c>
    </row>
    <row r="313" spans="1:37" x14ac:dyDescent="0.25">
      <c r="A313" s="85">
        <v>46147</v>
      </c>
      <c r="B313" t="s">
        <v>54</v>
      </c>
      <c r="C313">
        <v>26</v>
      </c>
      <c r="D313">
        <v>0</v>
      </c>
      <c r="E313">
        <v>3</v>
      </c>
      <c r="F313">
        <v>0</v>
      </c>
      <c r="G313">
        <v>13</v>
      </c>
      <c r="H313">
        <v>4</v>
      </c>
      <c r="I313">
        <v>0</v>
      </c>
      <c r="J313">
        <v>0.31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H313" s="86">
        <f>AVERAGEIFS($C$2:C313, $B$2:B313, B313)</f>
        <v>22.333333333333332</v>
      </c>
      <c r="AI313" s="86">
        <f>AVERAGEIFS($I$2:I313, $B$2:B313, B313)</f>
        <v>0.5</v>
      </c>
      <c r="AJ313" s="86">
        <f>AVERAGEIFS($J$2:J313, $B$2:B313, B313)</f>
        <v>0.5066666666666666</v>
      </c>
      <c r="AK313" s="86">
        <f>AVERAGEIFS($D$2:D313, $B$2:B313, B313)</f>
        <v>0.5</v>
      </c>
    </row>
    <row r="314" spans="1:37" x14ac:dyDescent="0.25">
      <c r="A314" s="85">
        <v>46147</v>
      </c>
      <c r="B314" t="s">
        <v>2</v>
      </c>
      <c r="C314">
        <v>19</v>
      </c>
      <c r="D314">
        <v>0</v>
      </c>
      <c r="E314">
        <v>3</v>
      </c>
      <c r="F314">
        <v>0</v>
      </c>
      <c r="G314">
        <v>13</v>
      </c>
      <c r="H314">
        <v>4</v>
      </c>
      <c r="I314">
        <v>0</v>
      </c>
      <c r="J314">
        <v>0.31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 s="86">
        <f>AVERAGEIFS($C$2:C314, $B$2:B314, B314)</f>
        <v>17.25</v>
      </c>
      <c r="AI314" s="86">
        <f>AVERAGEIFS($I$2:I314, $B$2:B314, B314)</f>
        <v>0.39999999999999997</v>
      </c>
      <c r="AJ314" s="86">
        <f>AVERAGEIFS($J$2:J314, $B$2:B314, B314)</f>
        <v>0.48083333333333339</v>
      </c>
      <c r="AK314" s="86">
        <f>AVERAGEIFS($D$2:D314, $B$2:B314, B314)</f>
        <v>0.33333333333333331</v>
      </c>
    </row>
    <row r="315" spans="1:37" x14ac:dyDescent="0.25">
      <c r="A315" s="85">
        <v>46147</v>
      </c>
      <c r="B315" t="s">
        <v>113</v>
      </c>
      <c r="C315">
        <v>15</v>
      </c>
      <c r="D315">
        <v>0</v>
      </c>
      <c r="E315">
        <v>3</v>
      </c>
      <c r="F315">
        <v>0</v>
      </c>
      <c r="G315">
        <v>13</v>
      </c>
      <c r="H315">
        <v>4</v>
      </c>
      <c r="I315">
        <v>0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 s="86">
        <f>AVERAGEIFS($C$2:C315, $B$2:B315, B315)</f>
        <v>19.444444444444443</v>
      </c>
      <c r="AI315" s="86">
        <f>AVERAGEIFS($I$2:I315, $B$2:B315, B315)</f>
        <v>0.54444444444444451</v>
      </c>
      <c r="AJ315" s="86">
        <f>AVERAGEIFS($J$2:J315, $B$2:B315, B315)</f>
        <v>0.54500000000000004</v>
      </c>
      <c r="AK315" s="86">
        <f>AVERAGEIFS($D$2:D315, $B$2:B315, B315)</f>
        <v>0.5</v>
      </c>
    </row>
    <row r="316" spans="1:37" x14ac:dyDescent="0.25">
      <c r="A316" s="85">
        <v>46147</v>
      </c>
      <c r="B316" t="s">
        <v>53</v>
      </c>
      <c r="C316">
        <v>16</v>
      </c>
      <c r="D316">
        <v>0</v>
      </c>
      <c r="E316">
        <v>3</v>
      </c>
      <c r="F316">
        <v>0</v>
      </c>
      <c r="G316">
        <v>13</v>
      </c>
      <c r="H316">
        <v>4</v>
      </c>
      <c r="I316">
        <v>0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 s="86">
        <f>AVERAGEIFS($C$2:C316, $B$2:B316, B316)</f>
        <v>13.428571428571429</v>
      </c>
      <c r="AI316" s="86">
        <f>AVERAGEIFS($I$2:I316, $B$2:B316, B316)</f>
        <v>0.40714285714285708</v>
      </c>
      <c r="AJ316" s="86">
        <f>AVERAGEIFS($J$2:J316, $B$2:B316, B316)</f>
        <v>0.45357142857142846</v>
      </c>
      <c r="AK316" s="86">
        <f>AVERAGEIFS($D$2:D316, $B$2:B316, B316)</f>
        <v>0.21428571428571427</v>
      </c>
    </row>
    <row r="317" spans="1:37" x14ac:dyDescent="0.25">
      <c r="A317" s="85">
        <v>46147</v>
      </c>
      <c r="B317" t="s">
        <v>18</v>
      </c>
      <c r="C317">
        <v>22</v>
      </c>
      <c r="D317">
        <v>0</v>
      </c>
      <c r="E317">
        <v>3</v>
      </c>
      <c r="F317">
        <v>0</v>
      </c>
      <c r="G317">
        <v>13</v>
      </c>
      <c r="H317">
        <v>4</v>
      </c>
      <c r="I317">
        <v>0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0</v>
      </c>
      <c r="AH317" s="86">
        <f>AVERAGEIFS($C$2:C317, $B$2:B317, B317)</f>
        <v>22</v>
      </c>
      <c r="AI317" s="86">
        <f>AVERAGEIFS($I$2:I317, $B$2:B317, B317)</f>
        <v>0</v>
      </c>
      <c r="AJ317" s="86">
        <f>AVERAGEIFS($J$2:J317, $B$2:B317, B317)</f>
        <v>0.31</v>
      </c>
      <c r="AK317" s="86">
        <f>AVERAGEIFS($D$2:D317, $B$2:B317, B317)</f>
        <v>0</v>
      </c>
    </row>
    <row r="318" spans="1:37" x14ac:dyDescent="0.25">
      <c r="A318" s="85">
        <v>46147</v>
      </c>
      <c r="B318" t="s">
        <v>50</v>
      </c>
      <c r="C318">
        <v>16</v>
      </c>
      <c r="D318">
        <v>0</v>
      </c>
      <c r="E318">
        <v>3</v>
      </c>
      <c r="F318">
        <v>0</v>
      </c>
      <c r="G318">
        <v>13</v>
      </c>
      <c r="H318">
        <v>4</v>
      </c>
      <c r="I318">
        <v>0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0</v>
      </c>
      <c r="AH318" s="86">
        <f>AVERAGEIFS($C$2:C318, $B$2:B318, B318)</f>
        <v>15.5</v>
      </c>
      <c r="AI318" s="86">
        <f>AVERAGEIFS($I$2:I318, $B$2:B318, B318)</f>
        <v>0.33500000000000002</v>
      </c>
      <c r="AJ318" s="86">
        <f>AVERAGEIFS($J$2:J318, $B$2:B318, B318)</f>
        <v>0.41999999999999993</v>
      </c>
      <c r="AK318" s="86">
        <f>AVERAGEIFS($D$2:D318, $B$2:B318, B318)</f>
        <v>0.3</v>
      </c>
    </row>
    <row r="319" spans="1:37" x14ac:dyDescent="0.25">
      <c r="A319" s="85">
        <v>46147</v>
      </c>
      <c r="B319" t="s">
        <v>13</v>
      </c>
      <c r="C319">
        <v>12</v>
      </c>
      <c r="D319">
        <v>0</v>
      </c>
      <c r="E319">
        <v>3</v>
      </c>
      <c r="F319">
        <v>0</v>
      </c>
      <c r="G319">
        <v>13</v>
      </c>
      <c r="H319">
        <v>4</v>
      </c>
      <c r="I319">
        <v>0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 s="86">
        <f>AVERAGEIFS($C$2:C319, $B$2:B319, B319)</f>
        <v>15.142857142857142</v>
      </c>
      <c r="AI319" s="86">
        <f>AVERAGEIFS($I$2:I319, $B$2:B319, B319)</f>
        <v>0.42857142857142855</v>
      </c>
      <c r="AJ319" s="86">
        <f>AVERAGEIFS($J$2:J319, $B$2:B319, B319)</f>
        <v>0.44142857142857139</v>
      </c>
      <c r="AK319" s="86">
        <f>AVERAGEIFS($D$2:D319, $B$2:B319, B319)</f>
        <v>0.42857142857142855</v>
      </c>
    </row>
    <row r="320" spans="1:37" x14ac:dyDescent="0.25">
      <c r="A320" s="85">
        <v>46147</v>
      </c>
      <c r="B320" t="s">
        <v>42</v>
      </c>
      <c r="C320">
        <v>10</v>
      </c>
      <c r="D320">
        <v>1</v>
      </c>
      <c r="E320">
        <v>3</v>
      </c>
      <c r="F320">
        <v>3</v>
      </c>
      <c r="G320">
        <v>13</v>
      </c>
      <c r="H320">
        <v>9</v>
      </c>
      <c r="I320">
        <v>1</v>
      </c>
      <c r="J320">
        <v>0.69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1</v>
      </c>
      <c r="W320">
        <v>0</v>
      </c>
      <c r="X320">
        <v>0</v>
      </c>
      <c r="Y320">
        <v>1</v>
      </c>
      <c r="Z320">
        <v>0</v>
      </c>
      <c r="AA320">
        <v>0</v>
      </c>
      <c r="AB320">
        <v>0</v>
      </c>
      <c r="AC320">
        <v>0</v>
      </c>
      <c r="AD320">
        <v>1</v>
      </c>
      <c r="AE320">
        <v>0</v>
      </c>
      <c r="AF320">
        <v>0</v>
      </c>
      <c r="AG320">
        <v>0</v>
      </c>
      <c r="AH320" s="86">
        <f>AVERAGEIFS($C$2:C320, $B$2:B320, B320)</f>
        <v>17.05263157894737</v>
      </c>
      <c r="AI320" s="86">
        <f>AVERAGEIFS($I$2:I320, $B$2:B320, B320)</f>
        <v>0.46578947368421053</v>
      </c>
      <c r="AJ320" s="86">
        <f>AVERAGEIFS($J$2:J320, $B$2:B320, B320)</f>
        <v>0.45842105263157901</v>
      </c>
      <c r="AK320" s="86">
        <f>AVERAGEIFS($D$2:D320, $B$2:B320, B320)</f>
        <v>0.47368421052631576</v>
      </c>
    </row>
    <row r="321" spans="1:37" x14ac:dyDescent="0.25">
      <c r="A321" s="85">
        <v>46147</v>
      </c>
      <c r="B321" t="s">
        <v>1</v>
      </c>
      <c r="C321">
        <v>29</v>
      </c>
      <c r="D321">
        <v>1</v>
      </c>
      <c r="E321">
        <v>3</v>
      </c>
      <c r="F321">
        <v>3</v>
      </c>
      <c r="G321">
        <v>13</v>
      </c>
      <c r="H321">
        <v>9</v>
      </c>
      <c r="I321">
        <v>1</v>
      </c>
      <c r="J321">
        <v>0.69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1</v>
      </c>
      <c r="W321">
        <v>0</v>
      </c>
      <c r="X321">
        <v>0</v>
      </c>
      <c r="Y321">
        <v>1</v>
      </c>
      <c r="Z321">
        <v>0</v>
      </c>
      <c r="AA321">
        <v>0</v>
      </c>
      <c r="AB321">
        <v>0</v>
      </c>
      <c r="AC321">
        <v>0</v>
      </c>
      <c r="AD321">
        <v>1</v>
      </c>
      <c r="AE321">
        <v>0</v>
      </c>
      <c r="AF321">
        <v>0</v>
      </c>
      <c r="AG321">
        <v>0</v>
      </c>
      <c r="AH321" s="86">
        <f>AVERAGEIFS($C$2:C321, $B$2:B321, B321)</f>
        <v>27.3125</v>
      </c>
      <c r="AI321" s="86">
        <f>AVERAGEIFS($I$2:I321, $B$2:B321, B321)</f>
        <v>0.57187500000000002</v>
      </c>
      <c r="AJ321" s="86">
        <f>AVERAGEIFS($J$2:J321, $B$2:B321, B321)</f>
        <v>0.55562499999999992</v>
      </c>
      <c r="AK321" s="86">
        <f>AVERAGEIFS($D$2:D321, $B$2:B321, B321)</f>
        <v>0.5625</v>
      </c>
    </row>
    <row r="322" spans="1:37" x14ac:dyDescent="0.25">
      <c r="A322" s="85">
        <v>46147</v>
      </c>
      <c r="B322" t="s">
        <v>6</v>
      </c>
      <c r="C322">
        <v>30</v>
      </c>
      <c r="D322">
        <v>1</v>
      </c>
      <c r="E322">
        <v>3</v>
      </c>
      <c r="F322">
        <v>3</v>
      </c>
      <c r="G322">
        <v>13</v>
      </c>
      <c r="H322">
        <v>9</v>
      </c>
      <c r="I322">
        <v>1</v>
      </c>
      <c r="J322">
        <v>0.69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1</v>
      </c>
      <c r="W322">
        <v>0</v>
      </c>
      <c r="X322">
        <v>0</v>
      </c>
      <c r="Y322">
        <v>1</v>
      </c>
      <c r="Z322">
        <v>0</v>
      </c>
      <c r="AA322">
        <v>0</v>
      </c>
      <c r="AB322">
        <v>0</v>
      </c>
      <c r="AC322">
        <v>0</v>
      </c>
      <c r="AD322">
        <v>1</v>
      </c>
      <c r="AE322">
        <v>0</v>
      </c>
      <c r="AF322">
        <v>0</v>
      </c>
      <c r="AG322">
        <v>0</v>
      </c>
      <c r="AH322" s="86">
        <f>AVERAGEIFS($C$2:C322, $B$2:B322, B322)</f>
        <v>22.85</v>
      </c>
      <c r="AI322" s="86">
        <f>AVERAGEIFS($I$2:I322, $B$2:B322, B322)</f>
        <v>0.52500000000000002</v>
      </c>
      <c r="AJ322" s="86">
        <f>AVERAGEIFS($J$2:J322, $B$2:B322, B322)</f>
        <v>0.50149999999999995</v>
      </c>
      <c r="AK322" s="86">
        <f>AVERAGEIFS($D$2:D322, $B$2:B322, B322)</f>
        <v>0.55000000000000004</v>
      </c>
    </row>
    <row r="323" spans="1:37" x14ac:dyDescent="0.25">
      <c r="A323" s="85">
        <v>46147</v>
      </c>
      <c r="B323" t="s">
        <v>4</v>
      </c>
      <c r="C323">
        <v>31</v>
      </c>
      <c r="D323">
        <v>1</v>
      </c>
      <c r="E323">
        <v>3</v>
      </c>
      <c r="F323">
        <v>3</v>
      </c>
      <c r="G323">
        <v>13</v>
      </c>
      <c r="H323">
        <v>9</v>
      </c>
      <c r="I323">
        <v>1</v>
      </c>
      <c r="J323">
        <v>0.69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1</v>
      </c>
      <c r="W323">
        <v>0</v>
      </c>
      <c r="X323">
        <v>0</v>
      </c>
      <c r="Y323">
        <v>1</v>
      </c>
      <c r="Z323">
        <v>0</v>
      </c>
      <c r="AA323">
        <v>0</v>
      </c>
      <c r="AB323">
        <v>0</v>
      </c>
      <c r="AC323">
        <v>0</v>
      </c>
      <c r="AD323">
        <v>1</v>
      </c>
      <c r="AE323">
        <v>0</v>
      </c>
      <c r="AF323">
        <v>0</v>
      </c>
      <c r="AG323">
        <v>0</v>
      </c>
      <c r="AH323" s="86">
        <f>AVERAGEIFS($C$2:C323, $B$2:B323, B323)</f>
        <v>26.615384615384617</v>
      </c>
      <c r="AI323" s="86">
        <f>AVERAGEIFS($I$2:I323, $B$2:B323, B323)</f>
        <v>0.57307692307692304</v>
      </c>
      <c r="AJ323" s="86">
        <f>AVERAGEIFS($J$2:J323, $B$2:B323, B323)</f>
        <v>0.52153846153846151</v>
      </c>
      <c r="AK323" s="86">
        <f>AVERAGEIFS($D$2:D323, $B$2:B323, B323)</f>
        <v>0.61538461538461542</v>
      </c>
    </row>
    <row r="324" spans="1:37" x14ac:dyDescent="0.25">
      <c r="A324" s="85">
        <v>46147</v>
      </c>
      <c r="B324" t="s">
        <v>17</v>
      </c>
      <c r="C324">
        <v>16</v>
      </c>
      <c r="D324">
        <v>1</v>
      </c>
      <c r="E324">
        <v>3</v>
      </c>
      <c r="F324">
        <v>3</v>
      </c>
      <c r="G324">
        <v>13</v>
      </c>
      <c r="H324">
        <v>9</v>
      </c>
      <c r="I324">
        <v>1</v>
      </c>
      <c r="J324">
        <v>0.69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1</v>
      </c>
      <c r="W324">
        <v>0</v>
      </c>
      <c r="X324">
        <v>0</v>
      </c>
      <c r="Y324">
        <v>1</v>
      </c>
      <c r="Z324">
        <v>0</v>
      </c>
      <c r="AA324">
        <v>0</v>
      </c>
      <c r="AB324">
        <v>0</v>
      </c>
      <c r="AC324">
        <v>0</v>
      </c>
      <c r="AD324">
        <v>1</v>
      </c>
      <c r="AE324">
        <v>0</v>
      </c>
      <c r="AF324">
        <v>0</v>
      </c>
      <c r="AG324">
        <v>0</v>
      </c>
      <c r="AH324" s="86">
        <f>AVERAGEIFS($C$2:C324, $B$2:B324, B324)</f>
        <v>18.142857142857142</v>
      </c>
      <c r="AI324" s="86">
        <f>AVERAGEIFS($I$2:I324, $B$2:B324, B324)</f>
        <v>0.64642857142857135</v>
      </c>
      <c r="AJ324" s="86">
        <f>AVERAGEIFS($J$2:J324, $B$2:B324, B324)</f>
        <v>0.54428571428571426</v>
      </c>
      <c r="AK324" s="86">
        <f>AVERAGEIFS($D$2:D324, $B$2:B324, B324)</f>
        <v>0.7857142857142857</v>
      </c>
    </row>
    <row r="325" spans="1:37" x14ac:dyDescent="0.25">
      <c r="A325" s="85">
        <v>46147</v>
      </c>
      <c r="B325" t="s">
        <v>141</v>
      </c>
      <c r="C325">
        <v>14</v>
      </c>
      <c r="D325">
        <v>1</v>
      </c>
      <c r="E325">
        <v>3</v>
      </c>
      <c r="F325">
        <v>3</v>
      </c>
      <c r="G325">
        <v>13</v>
      </c>
      <c r="H325">
        <v>9</v>
      </c>
      <c r="I325">
        <v>1</v>
      </c>
      <c r="J325">
        <v>0.69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1</v>
      </c>
      <c r="W325">
        <v>0</v>
      </c>
      <c r="X325">
        <v>0</v>
      </c>
      <c r="Y325">
        <v>1</v>
      </c>
      <c r="Z325">
        <v>0</v>
      </c>
      <c r="AA325">
        <v>0</v>
      </c>
      <c r="AB325">
        <v>0</v>
      </c>
      <c r="AC325">
        <v>0</v>
      </c>
      <c r="AD325">
        <v>1</v>
      </c>
      <c r="AE325">
        <v>0</v>
      </c>
      <c r="AF325">
        <v>0</v>
      </c>
      <c r="AG325">
        <v>0</v>
      </c>
      <c r="AH325" s="86">
        <f>AVERAGEIFS($C$2:C325, $B$2:B325, B325)</f>
        <v>14.333333333333334</v>
      </c>
      <c r="AI325" s="86">
        <f>AVERAGEIFS($I$2:I325, $B$2:B325, B325)</f>
        <v>0.55000000000000004</v>
      </c>
      <c r="AJ325" s="86">
        <f>AVERAGEIFS($J$2:J325, $B$2:B325, B325)</f>
        <v>0.51777777777777778</v>
      </c>
      <c r="AK325" s="86">
        <f>AVERAGEIFS($D$2:D325, $B$2:B325, B325)</f>
        <v>0.66666666666666663</v>
      </c>
    </row>
    <row r="326" spans="1:37" x14ac:dyDescent="0.25">
      <c r="A326" s="85">
        <v>46147</v>
      </c>
      <c r="B326" t="s">
        <v>14</v>
      </c>
      <c r="C326">
        <v>14</v>
      </c>
      <c r="D326">
        <v>1</v>
      </c>
      <c r="E326">
        <v>3</v>
      </c>
      <c r="F326">
        <v>3</v>
      </c>
      <c r="G326">
        <v>13</v>
      </c>
      <c r="H326">
        <v>9</v>
      </c>
      <c r="I326">
        <v>1</v>
      </c>
      <c r="J326">
        <v>0.69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1</v>
      </c>
      <c r="W326">
        <v>0</v>
      </c>
      <c r="X326">
        <v>0</v>
      </c>
      <c r="Y326">
        <v>1</v>
      </c>
      <c r="Z326">
        <v>0</v>
      </c>
      <c r="AA326">
        <v>0</v>
      </c>
      <c r="AB326">
        <v>0</v>
      </c>
      <c r="AC326">
        <v>0</v>
      </c>
      <c r="AD326">
        <v>1</v>
      </c>
      <c r="AE326">
        <v>0</v>
      </c>
      <c r="AF326">
        <v>0</v>
      </c>
      <c r="AG326">
        <v>0</v>
      </c>
      <c r="AH326" s="86">
        <f>AVERAGEIFS($C$2:C326, $B$2:B326, B326)</f>
        <v>13.2</v>
      </c>
      <c r="AI326" s="86">
        <f>AVERAGEIFS($I$2:I326, $B$2:B326, B326)</f>
        <v>0.42000000000000004</v>
      </c>
      <c r="AJ326" s="86">
        <f>AVERAGEIFS($J$2:J326, $B$2:B326, B326)</f>
        <v>0.41</v>
      </c>
      <c r="AK326" s="86">
        <f>AVERAGEIFS($D$2:D326, $B$2:B326, B326)</f>
        <v>0.4</v>
      </c>
    </row>
    <row r="327" spans="1:37" x14ac:dyDescent="0.25">
      <c r="A327" s="85">
        <v>46147</v>
      </c>
      <c r="B327" t="s">
        <v>44</v>
      </c>
      <c r="C327">
        <v>19</v>
      </c>
      <c r="D327">
        <v>1</v>
      </c>
      <c r="E327">
        <v>3</v>
      </c>
      <c r="F327">
        <v>3</v>
      </c>
      <c r="G327">
        <v>13</v>
      </c>
      <c r="H327">
        <v>9</v>
      </c>
      <c r="I327">
        <v>1</v>
      </c>
      <c r="J327">
        <v>0.69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1</v>
      </c>
      <c r="W327">
        <v>0</v>
      </c>
      <c r="X327">
        <v>0</v>
      </c>
      <c r="Y327">
        <v>1</v>
      </c>
      <c r="Z327">
        <v>0</v>
      </c>
      <c r="AA327">
        <v>0</v>
      </c>
      <c r="AB327">
        <v>0</v>
      </c>
      <c r="AC327">
        <v>0</v>
      </c>
      <c r="AD327">
        <v>1</v>
      </c>
      <c r="AE327">
        <v>0</v>
      </c>
      <c r="AF327">
        <v>0</v>
      </c>
      <c r="AG327">
        <v>0</v>
      </c>
      <c r="AH327" s="86">
        <f>AVERAGEIFS($C$2:C327, $B$2:B327, B327)</f>
        <v>16.833333333333332</v>
      </c>
      <c r="AI327" s="86">
        <f>AVERAGEIFS($I$2:I327, $B$2:B327, B327)</f>
        <v>0.6</v>
      </c>
      <c r="AJ327" s="86">
        <f>AVERAGEIFS($J$2:J327, $B$2:B327, B327)</f>
        <v>0.55722222222222217</v>
      </c>
      <c r="AK327" s="86">
        <f>AVERAGEIFS($D$2:D327, $B$2:B327, B327)</f>
        <v>0.66666666666666663</v>
      </c>
    </row>
    <row r="328" spans="1:37" x14ac:dyDescent="0.25">
      <c r="A328" s="85">
        <v>46147</v>
      </c>
      <c r="B328" t="s">
        <v>42</v>
      </c>
      <c r="C328">
        <v>10</v>
      </c>
      <c r="D328">
        <v>1</v>
      </c>
      <c r="E328">
        <v>3</v>
      </c>
      <c r="F328">
        <v>3</v>
      </c>
      <c r="G328">
        <v>14</v>
      </c>
      <c r="H328">
        <v>9</v>
      </c>
      <c r="I328">
        <v>1</v>
      </c>
      <c r="J328">
        <v>0.64</v>
      </c>
      <c r="K328">
        <v>0</v>
      </c>
      <c r="L328">
        <v>1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1</v>
      </c>
      <c r="AA328">
        <v>0</v>
      </c>
      <c r="AB328">
        <v>0</v>
      </c>
      <c r="AC328">
        <v>1</v>
      </c>
      <c r="AD328">
        <v>0</v>
      </c>
      <c r="AE328">
        <v>0</v>
      </c>
      <c r="AF328">
        <v>0</v>
      </c>
      <c r="AG328">
        <v>0</v>
      </c>
      <c r="AH328" s="86">
        <f>AVERAGEIFS($C$2:C328, $B$2:B328, B328)</f>
        <v>16.7</v>
      </c>
      <c r="AI328" s="86">
        <f>AVERAGEIFS($I$2:I328, $B$2:B328, B328)</f>
        <v>0.49249999999999999</v>
      </c>
      <c r="AJ328" s="86">
        <f>AVERAGEIFS($J$2:J328, $B$2:B328, B328)</f>
        <v>0.46750000000000008</v>
      </c>
      <c r="AK328" s="86">
        <f>AVERAGEIFS($D$2:D328, $B$2:B328, B328)</f>
        <v>0.5</v>
      </c>
    </row>
    <row r="329" spans="1:37" x14ac:dyDescent="0.25">
      <c r="A329" s="85">
        <v>46147</v>
      </c>
      <c r="B329" t="s">
        <v>6</v>
      </c>
      <c r="C329">
        <v>13</v>
      </c>
      <c r="D329">
        <v>1</v>
      </c>
      <c r="E329">
        <v>3</v>
      </c>
      <c r="F329">
        <v>3</v>
      </c>
      <c r="G329">
        <v>14</v>
      </c>
      <c r="H329">
        <v>9</v>
      </c>
      <c r="I329">
        <v>1</v>
      </c>
      <c r="J329">
        <v>0.64</v>
      </c>
      <c r="K329">
        <v>0</v>
      </c>
      <c r="L329">
        <v>1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1</v>
      </c>
      <c r="AA329">
        <v>0</v>
      </c>
      <c r="AB329">
        <v>0</v>
      </c>
      <c r="AC329">
        <v>1</v>
      </c>
      <c r="AD329">
        <v>0</v>
      </c>
      <c r="AE329">
        <v>0</v>
      </c>
      <c r="AF329">
        <v>0</v>
      </c>
      <c r="AG329">
        <v>0</v>
      </c>
      <c r="AH329" s="86">
        <f>AVERAGEIFS($C$2:C329, $B$2:B329, B329)</f>
        <v>22.38095238095238</v>
      </c>
      <c r="AI329" s="86">
        <f>AVERAGEIFS($I$2:I329, $B$2:B329, B329)</f>
        <v>0.54761904761904767</v>
      </c>
      <c r="AJ329" s="86">
        <f>AVERAGEIFS($J$2:J329, $B$2:B329, B329)</f>
        <v>0.50809523809523804</v>
      </c>
      <c r="AK329" s="86">
        <f>AVERAGEIFS($D$2:D329, $B$2:B329, B329)</f>
        <v>0.5714285714285714</v>
      </c>
    </row>
    <row r="330" spans="1:37" x14ac:dyDescent="0.25">
      <c r="A330" s="85">
        <v>46147</v>
      </c>
      <c r="B330" t="s">
        <v>113</v>
      </c>
      <c r="C330">
        <v>15</v>
      </c>
      <c r="D330">
        <v>1</v>
      </c>
      <c r="E330">
        <v>3</v>
      </c>
      <c r="F330">
        <v>3</v>
      </c>
      <c r="G330">
        <v>14</v>
      </c>
      <c r="H330">
        <v>9</v>
      </c>
      <c r="I330">
        <v>1</v>
      </c>
      <c r="J330">
        <v>0.64</v>
      </c>
      <c r="K330">
        <v>0</v>
      </c>
      <c r="L330">
        <v>1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1</v>
      </c>
      <c r="AA330">
        <v>0</v>
      </c>
      <c r="AB330">
        <v>0</v>
      </c>
      <c r="AC330">
        <v>1</v>
      </c>
      <c r="AD330">
        <v>0</v>
      </c>
      <c r="AE330">
        <v>0</v>
      </c>
      <c r="AF330">
        <v>0</v>
      </c>
      <c r="AG330">
        <v>0</v>
      </c>
      <c r="AH330" s="86">
        <f>AVERAGEIFS($C$2:C330, $B$2:B330, B330)</f>
        <v>19.210526315789473</v>
      </c>
      <c r="AI330" s="86">
        <f>AVERAGEIFS($I$2:I330, $B$2:B330, B330)</f>
        <v>0.56842105263157894</v>
      </c>
      <c r="AJ330" s="86">
        <f>AVERAGEIFS($J$2:J330, $B$2:B330, B330)</f>
        <v>0.55000000000000004</v>
      </c>
      <c r="AK330" s="86">
        <f>AVERAGEIFS($D$2:D330, $B$2:B330, B330)</f>
        <v>0.52631578947368418</v>
      </c>
    </row>
    <row r="331" spans="1:37" x14ac:dyDescent="0.25">
      <c r="A331" s="85">
        <v>46147</v>
      </c>
      <c r="B331" t="s">
        <v>18</v>
      </c>
      <c r="C331">
        <v>10</v>
      </c>
      <c r="D331">
        <v>1</v>
      </c>
      <c r="E331">
        <v>3</v>
      </c>
      <c r="F331">
        <v>3</v>
      </c>
      <c r="G331">
        <v>14</v>
      </c>
      <c r="H331">
        <v>9</v>
      </c>
      <c r="I331">
        <v>1</v>
      </c>
      <c r="J331">
        <v>0.64</v>
      </c>
      <c r="K331">
        <v>0</v>
      </c>
      <c r="L331">
        <v>1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1</v>
      </c>
      <c r="AA331">
        <v>0</v>
      </c>
      <c r="AB331">
        <v>0</v>
      </c>
      <c r="AC331">
        <v>1</v>
      </c>
      <c r="AD331">
        <v>0</v>
      </c>
      <c r="AE331">
        <v>0</v>
      </c>
      <c r="AF331">
        <v>0</v>
      </c>
      <c r="AG331">
        <v>0</v>
      </c>
      <c r="AH331" s="86">
        <f>AVERAGEIFS($C$2:C331, $B$2:B331, B331)</f>
        <v>16</v>
      </c>
      <c r="AI331" s="86">
        <f>AVERAGEIFS($I$2:I331, $B$2:B331, B331)</f>
        <v>0.5</v>
      </c>
      <c r="AJ331" s="86">
        <f>AVERAGEIFS($J$2:J331, $B$2:B331, B331)</f>
        <v>0.47499999999999998</v>
      </c>
      <c r="AK331" s="86">
        <f>AVERAGEIFS($D$2:D331, $B$2:B331, B331)</f>
        <v>0.5</v>
      </c>
    </row>
    <row r="332" spans="1:37" x14ac:dyDescent="0.25">
      <c r="A332" s="85">
        <v>46147</v>
      </c>
      <c r="B332" t="s">
        <v>147</v>
      </c>
      <c r="C332">
        <v>11</v>
      </c>
      <c r="D332">
        <v>1</v>
      </c>
      <c r="E332">
        <v>3</v>
      </c>
      <c r="F332">
        <v>3</v>
      </c>
      <c r="G332">
        <v>14</v>
      </c>
      <c r="H332">
        <v>9</v>
      </c>
      <c r="I332">
        <v>1</v>
      </c>
      <c r="J332">
        <v>0.64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1</v>
      </c>
      <c r="AA332">
        <v>0</v>
      </c>
      <c r="AB332">
        <v>0</v>
      </c>
      <c r="AC332">
        <v>1</v>
      </c>
      <c r="AD332">
        <v>0</v>
      </c>
      <c r="AE332">
        <v>0</v>
      </c>
      <c r="AF332">
        <v>0</v>
      </c>
      <c r="AG332">
        <v>0</v>
      </c>
      <c r="AH332" s="86">
        <f>AVERAGEIFS($C$2:C332, $B$2:B332, B332)</f>
        <v>14.307692307692308</v>
      </c>
      <c r="AI332" s="86">
        <f>AVERAGEIFS($I$2:I332, $B$2:B332, B332)</f>
        <v>0.50384615384615383</v>
      </c>
      <c r="AJ332" s="86">
        <f>AVERAGEIFS($J$2:J332, $B$2:B332, B332)</f>
        <v>0.52076923076923076</v>
      </c>
      <c r="AK332" s="86">
        <f>AVERAGEIFS($D$2:D332, $B$2:B332, B332)</f>
        <v>0.38461538461538464</v>
      </c>
    </row>
    <row r="333" spans="1:37" x14ac:dyDescent="0.25">
      <c r="A333" s="85">
        <v>46147</v>
      </c>
      <c r="B333" t="s">
        <v>13</v>
      </c>
      <c r="C333">
        <v>17</v>
      </c>
      <c r="D333">
        <v>1</v>
      </c>
      <c r="E333">
        <v>3</v>
      </c>
      <c r="F333">
        <v>3</v>
      </c>
      <c r="G333">
        <v>14</v>
      </c>
      <c r="H333">
        <v>9</v>
      </c>
      <c r="I333">
        <v>1</v>
      </c>
      <c r="J333">
        <v>0.64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1</v>
      </c>
      <c r="AA333">
        <v>0</v>
      </c>
      <c r="AB333">
        <v>0</v>
      </c>
      <c r="AC333">
        <v>1</v>
      </c>
      <c r="AD333">
        <v>0</v>
      </c>
      <c r="AE333">
        <v>0</v>
      </c>
      <c r="AF333">
        <v>0</v>
      </c>
      <c r="AG333">
        <v>0</v>
      </c>
      <c r="AH333" s="86">
        <f>AVERAGEIFS($C$2:C333, $B$2:B333, B333)</f>
        <v>15.375</v>
      </c>
      <c r="AI333" s="86">
        <f>AVERAGEIFS($I$2:I333, $B$2:B333, B333)</f>
        <v>0.5</v>
      </c>
      <c r="AJ333" s="86">
        <f>AVERAGEIFS($J$2:J333, $B$2:B333, B333)</f>
        <v>0.46625</v>
      </c>
      <c r="AK333" s="86">
        <f>AVERAGEIFS($D$2:D333, $B$2:B333, B333)</f>
        <v>0.5</v>
      </c>
    </row>
    <row r="334" spans="1:37" x14ac:dyDescent="0.25">
      <c r="A334" s="85">
        <v>46147</v>
      </c>
      <c r="B334" t="s">
        <v>40</v>
      </c>
      <c r="C334">
        <v>13</v>
      </c>
      <c r="D334">
        <v>0</v>
      </c>
      <c r="E334">
        <v>3</v>
      </c>
      <c r="F334">
        <v>0</v>
      </c>
      <c r="G334">
        <v>14</v>
      </c>
      <c r="H334">
        <v>5</v>
      </c>
      <c r="I334">
        <v>0</v>
      </c>
      <c r="J334">
        <v>0.36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 s="86">
        <f>AVERAGEIFS($C$2:C334, $B$2:B334, B334)</f>
        <v>20.105263157894736</v>
      </c>
      <c r="AI334" s="86">
        <f>AVERAGEIFS($I$2:I334, $B$2:B334, B334)</f>
        <v>0.44210526315789478</v>
      </c>
      <c r="AJ334" s="86">
        <f>AVERAGEIFS($J$2:J334, $B$2:B334, B334)</f>
        <v>0.4852631578947369</v>
      </c>
      <c r="AK334" s="86">
        <f>AVERAGEIFS($D$2:D334, $B$2:B334, B334)</f>
        <v>0.42105263157894735</v>
      </c>
    </row>
    <row r="335" spans="1:37" x14ac:dyDescent="0.25">
      <c r="A335" s="85">
        <v>46147</v>
      </c>
      <c r="B335" t="s">
        <v>5</v>
      </c>
      <c r="C335">
        <v>9</v>
      </c>
      <c r="D335">
        <v>0</v>
      </c>
      <c r="E335">
        <v>3</v>
      </c>
      <c r="F335">
        <v>0</v>
      </c>
      <c r="G335">
        <v>14</v>
      </c>
      <c r="H335">
        <v>5</v>
      </c>
      <c r="I335">
        <v>0</v>
      </c>
      <c r="J335">
        <v>0.36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 s="86">
        <f>AVERAGEIFS($C$2:C335, $B$2:B335, B335)</f>
        <v>17.75</v>
      </c>
      <c r="AI335" s="86">
        <f>AVERAGEIFS($I$2:I335, $B$2:B335, B335)</f>
        <v>0.52187500000000009</v>
      </c>
      <c r="AJ335" s="86">
        <f>AVERAGEIFS($J$2:J335, $B$2:B335, B335)</f>
        <v>0.51500000000000001</v>
      </c>
      <c r="AK335" s="86">
        <f>AVERAGEIFS($D$2:D335, $B$2:B335, B335)</f>
        <v>0.5625</v>
      </c>
    </row>
    <row r="336" spans="1:37" x14ac:dyDescent="0.25">
      <c r="A336" s="85">
        <v>46147</v>
      </c>
      <c r="B336" t="s">
        <v>150</v>
      </c>
      <c r="C336">
        <v>13</v>
      </c>
      <c r="D336">
        <v>0</v>
      </c>
      <c r="E336">
        <v>3</v>
      </c>
      <c r="F336">
        <v>0</v>
      </c>
      <c r="G336">
        <v>14</v>
      </c>
      <c r="H336">
        <v>5</v>
      </c>
      <c r="I336">
        <v>0</v>
      </c>
      <c r="J336">
        <v>0.36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 s="86">
        <f>AVERAGEIFS($C$2:C336, $B$2:B336, B336)</f>
        <v>18.642857142857142</v>
      </c>
      <c r="AI336" s="86">
        <f>AVERAGEIFS($I$2:I336, $B$2:B336, B336)</f>
        <v>0.65357142857142858</v>
      </c>
      <c r="AJ336" s="86">
        <f>AVERAGEIFS($J$2:J336, $B$2:B336, B336)</f>
        <v>0.59785714285714275</v>
      </c>
      <c r="AK336" s="86">
        <f>AVERAGEIFS($D$2:D336, $B$2:B336, B336)</f>
        <v>0.7142857142857143</v>
      </c>
    </row>
    <row r="337" spans="1:37" x14ac:dyDescent="0.25">
      <c r="A337" s="85">
        <v>46147</v>
      </c>
      <c r="B337" t="s">
        <v>141</v>
      </c>
      <c r="C337">
        <v>14</v>
      </c>
      <c r="D337">
        <v>0</v>
      </c>
      <c r="E337">
        <v>3</v>
      </c>
      <c r="F337">
        <v>0</v>
      </c>
      <c r="G337">
        <v>14</v>
      </c>
      <c r="H337">
        <v>5</v>
      </c>
      <c r="I337">
        <v>0</v>
      </c>
      <c r="J337">
        <v>0.36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H337" s="86">
        <f>AVERAGEIFS($C$2:C337, $B$2:B337, B337)</f>
        <v>14.3</v>
      </c>
      <c r="AI337" s="86">
        <f>AVERAGEIFS($I$2:I337, $B$2:B337, B337)</f>
        <v>0.495</v>
      </c>
      <c r="AJ337" s="86">
        <f>AVERAGEIFS($J$2:J337, $B$2:B337, B337)</f>
        <v>0.502</v>
      </c>
      <c r="AK337" s="86">
        <f>AVERAGEIFS($D$2:D337, $B$2:B337, B337)</f>
        <v>0.6</v>
      </c>
    </row>
    <row r="338" spans="1:37" x14ac:dyDescent="0.25">
      <c r="A338" s="85">
        <v>46147</v>
      </c>
      <c r="B338" t="s">
        <v>179</v>
      </c>
      <c r="C338">
        <v>8</v>
      </c>
      <c r="D338">
        <v>0</v>
      </c>
      <c r="E338">
        <v>3</v>
      </c>
      <c r="F338">
        <v>0</v>
      </c>
      <c r="G338">
        <v>14</v>
      </c>
      <c r="H338">
        <v>5</v>
      </c>
      <c r="I338">
        <v>0</v>
      </c>
      <c r="J338">
        <v>0.36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 s="86">
        <f>AVERAGEIFS($C$2:C338, $B$2:B338, B338)</f>
        <v>9.5</v>
      </c>
      <c r="AI338" s="86">
        <f>AVERAGEIFS($I$2:I338, $B$2:B338, B338)</f>
        <v>0.375</v>
      </c>
      <c r="AJ338" s="86">
        <f>AVERAGEIFS($J$2:J338, $B$2:B338, B338)</f>
        <v>0.51500000000000001</v>
      </c>
      <c r="AK338" s="86">
        <f>AVERAGEIFS($D$2:D338, $B$2:B338, B338)</f>
        <v>0.5</v>
      </c>
    </row>
    <row r="339" spans="1:37" x14ac:dyDescent="0.25">
      <c r="A339" s="85">
        <v>46147</v>
      </c>
      <c r="B339" t="s">
        <v>146</v>
      </c>
      <c r="C339">
        <v>10</v>
      </c>
      <c r="D339">
        <v>0</v>
      </c>
      <c r="E339">
        <v>3</v>
      </c>
      <c r="F339">
        <v>0</v>
      </c>
      <c r="G339">
        <v>14</v>
      </c>
      <c r="H339">
        <v>5</v>
      </c>
      <c r="I339">
        <v>0</v>
      </c>
      <c r="J339">
        <v>0.36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 s="86">
        <f>AVERAGEIFS($C$2:C339, $B$2:B339, B339)</f>
        <v>9</v>
      </c>
      <c r="AI339" s="86">
        <f>AVERAGEIFS($I$2:I339, $B$2:B339, B339)</f>
        <v>8.3333333333333329E-2</v>
      </c>
      <c r="AJ339" s="86">
        <f>AVERAGEIFS($J$2:J339, $B$2:B339, B339)</f>
        <v>0.3</v>
      </c>
      <c r="AK339" s="86">
        <f>AVERAGEIFS($D$2:D339, $B$2:B339, B339)</f>
        <v>0</v>
      </c>
    </row>
    <row r="340" spans="1:37" x14ac:dyDescent="0.25">
      <c r="A340" s="85">
        <v>46151</v>
      </c>
      <c r="B340" t="s">
        <v>2</v>
      </c>
      <c r="C340">
        <v>29</v>
      </c>
      <c r="D340">
        <v>1</v>
      </c>
      <c r="E340">
        <v>5</v>
      </c>
      <c r="F340">
        <v>3</v>
      </c>
      <c r="G340">
        <v>17</v>
      </c>
      <c r="H340">
        <v>11</v>
      </c>
      <c r="I340">
        <v>0.6</v>
      </c>
      <c r="J340">
        <v>0.65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1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1</v>
      </c>
      <c r="AB340">
        <v>0</v>
      </c>
      <c r="AC340">
        <v>1</v>
      </c>
      <c r="AD340">
        <v>0</v>
      </c>
      <c r="AE340">
        <v>0</v>
      </c>
      <c r="AF340">
        <v>0</v>
      </c>
      <c r="AG340">
        <v>0</v>
      </c>
      <c r="AH340" s="86">
        <f>AVERAGEIFS($C$2:C340, $B$2:B340, B340)</f>
        <v>18.153846153846153</v>
      </c>
      <c r="AI340" s="86">
        <f>AVERAGEIFS($I$2:I340, $B$2:B340, B340)</f>
        <v>0.41538461538461535</v>
      </c>
      <c r="AJ340" s="86">
        <f>AVERAGEIFS($J$2:J340, $B$2:B340, B340)</f>
        <v>0.49384615384615393</v>
      </c>
      <c r="AK340" s="86">
        <f>AVERAGEIFS($D$2:D340, $B$2:B340, B340)</f>
        <v>0.38461538461538464</v>
      </c>
    </row>
    <row r="341" spans="1:37" x14ac:dyDescent="0.25">
      <c r="A341" s="85">
        <v>46151</v>
      </c>
      <c r="B341" t="s">
        <v>6</v>
      </c>
      <c r="C341">
        <v>31</v>
      </c>
      <c r="D341">
        <v>1</v>
      </c>
      <c r="E341">
        <v>5</v>
      </c>
      <c r="F341">
        <v>3</v>
      </c>
      <c r="G341">
        <v>17</v>
      </c>
      <c r="H341">
        <v>11</v>
      </c>
      <c r="I341">
        <v>0.6</v>
      </c>
      <c r="J341">
        <v>0.65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1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1</v>
      </c>
      <c r="AB341">
        <v>0</v>
      </c>
      <c r="AC341">
        <v>1</v>
      </c>
      <c r="AD341">
        <v>0</v>
      </c>
      <c r="AE341">
        <v>0</v>
      </c>
      <c r="AF341">
        <v>0</v>
      </c>
      <c r="AG341">
        <v>0</v>
      </c>
      <c r="AH341" s="86">
        <f>AVERAGEIFS($C$2:C341, $B$2:B341, B341)</f>
        <v>22.772727272727273</v>
      </c>
      <c r="AI341" s="86">
        <f>AVERAGEIFS($I$2:I341, $B$2:B341, B341)</f>
        <v>0.54999999999999993</v>
      </c>
      <c r="AJ341" s="86">
        <f>AVERAGEIFS($J$2:J341, $B$2:B341, B341)</f>
        <v>0.51454545454545453</v>
      </c>
      <c r="AK341" s="86">
        <f>AVERAGEIFS($D$2:D341, $B$2:B341, B341)</f>
        <v>0.59090909090909094</v>
      </c>
    </row>
    <row r="342" spans="1:37" x14ac:dyDescent="0.25">
      <c r="A342" s="85">
        <v>46151</v>
      </c>
      <c r="B342" t="s">
        <v>161</v>
      </c>
      <c r="C342">
        <v>8</v>
      </c>
      <c r="D342">
        <v>1</v>
      </c>
      <c r="E342">
        <v>5</v>
      </c>
      <c r="F342">
        <v>3</v>
      </c>
      <c r="G342">
        <v>17</v>
      </c>
      <c r="H342">
        <v>11</v>
      </c>
      <c r="I342">
        <v>0.6</v>
      </c>
      <c r="J342">
        <v>0.65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1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1</v>
      </c>
      <c r="AB342">
        <v>0</v>
      </c>
      <c r="AC342">
        <v>1</v>
      </c>
      <c r="AD342">
        <v>0</v>
      </c>
      <c r="AE342">
        <v>0</v>
      </c>
      <c r="AF342">
        <v>0</v>
      </c>
      <c r="AG342">
        <v>0</v>
      </c>
      <c r="AH342" s="86">
        <f>AVERAGEIFS($C$2:C342, $B$2:B342, B342)</f>
        <v>9.3000000000000007</v>
      </c>
      <c r="AI342" s="86">
        <f>AVERAGEIFS($I$2:I342, $B$2:B342, B342)</f>
        <v>0.59</v>
      </c>
      <c r="AJ342" s="86">
        <f>AVERAGEIFS($J$2:J342, $B$2:B342, B342)</f>
        <v>0.54299999999999993</v>
      </c>
      <c r="AK342" s="86">
        <f>AVERAGEIFS($D$2:D342, $B$2:B342, B342)</f>
        <v>0.6</v>
      </c>
    </row>
    <row r="343" spans="1:37" x14ac:dyDescent="0.25">
      <c r="A343" s="85">
        <v>46151</v>
      </c>
      <c r="B343" t="s">
        <v>150</v>
      </c>
      <c r="C343">
        <v>21</v>
      </c>
      <c r="D343">
        <v>1</v>
      </c>
      <c r="E343">
        <v>5</v>
      </c>
      <c r="F343">
        <v>3</v>
      </c>
      <c r="G343">
        <v>17</v>
      </c>
      <c r="H343">
        <v>11</v>
      </c>
      <c r="I343">
        <v>0.6</v>
      </c>
      <c r="J343">
        <v>0.65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1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1</v>
      </c>
      <c r="AB343">
        <v>0</v>
      </c>
      <c r="AC343">
        <v>1</v>
      </c>
      <c r="AD343">
        <v>0</v>
      </c>
      <c r="AE343">
        <v>0</v>
      </c>
      <c r="AF343">
        <v>0</v>
      </c>
      <c r="AG343">
        <v>0</v>
      </c>
      <c r="AH343" s="86">
        <f>AVERAGEIFS($C$2:C343, $B$2:B343, B343)</f>
        <v>18.8</v>
      </c>
      <c r="AI343" s="86">
        <f>AVERAGEIFS($I$2:I343, $B$2:B343, B343)</f>
        <v>0.65</v>
      </c>
      <c r="AJ343" s="86">
        <f>AVERAGEIFS($J$2:J343, $B$2:B343, B343)</f>
        <v>0.60133333333333328</v>
      </c>
      <c r="AK343" s="86">
        <f>AVERAGEIFS($D$2:D343, $B$2:B343, B343)</f>
        <v>0.73333333333333328</v>
      </c>
    </row>
    <row r="344" spans="1:37" x14ac:dyDescent="0.25">
      <c r="A344" s="85">
        <v>46151</v>
      </c>
      <c r="B344" t="s">
        <v>4</v>
      </c>
      <c r="C344">
        <v>6</v>
      </c>
      <c r="D344">
        <v>1</v>
      </c>
      <c r="E344">
        <v>5</v>
      </c>
      <c r="F344">
        <v>3</v>
      </c>
      <c r="G344">
        <v>17</v>
      </c>
      <c r="H344">
        <v>11</v>
      </c>
      <c r="I344">
        <v>0.6</v>
      </c>
      <c r="J344">
        <v>0.65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1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1</v>
      </c>
      <c r="AB344">
        <v>0</v>
      </c>
      <c r="AC344">
        <v>1</v>
      </c>
      <c r="AD344">
        <v>0</v>
      </c>
      <c r="AE344">
        <v>0</v>
      </c>
      <c r="AF344">
        <v>0</v>
      </c>
      <c r="AG344">
        <v>0</v>
      </c>
      <c r="AH344" s="86">
        <f>AVERAGEIFS($C$2:C344, $B$2:B344, B344)</f>
        <v>25.142857142857142</v>
      </c>
      <c r="AI344" s="86">
        <f>AVERAGEIFS($I$2:I344, $B$2:B344, B344)</f>
        <v>0.57500000000000007</v>
      </c>
      <c r="AJ344" s="86">
        <f>AVERAGEIFS($J$2:J344, $B$2:B344, B344)</f>
        <v>0.53071428571428569</v>
      </c>
      <c r="AK344" s="86">
        <f>AVERAGEIFS($D$2:D344, $B$2:B344, B344)</f>
        <v>0.6428571428571429</v>
      </c>
    </row>
    <row r="345" spans="1:37" x14ac:dyDescent="0.25">
      <c r="A345" s="85">
        <v>46151</v>
      </c>
      <c r="B345" t="s">
        <v>107</v>
      </c>
      <c r="C345">
        <v>12</v>
      </c>
      <c r="D345">
        <v>1</v>
      </c>
      <c r="E345">
        <v>5</v>
      </c>
      <c r="F345">
        <v>3</v>
      </c>
      <c r="G345">
        <v>17</v>
      </c>
      <c r="H345">
        <v>11</v>
      </c>
      <c r="I345">
        <v>0.6</v>
      </c>
      <c r="J345">
        <v>0.65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1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1</v>
      </c>
      <c r="AB345">
        <v>0</v>
      </c>
      <c r="AC345">
        <v>1</v>
      </c>
      <c r="AD345">
        <v>0</v>
      </c>
      <c r="AE345">
        <v>0</v>
      </c>
      <c r="AF345">
        <v>0</v>
      </c>
      <c r="AG345">
        <v>0</v>
      </c>
      <c r="AH345" s="86">
        <f>AVERAGEIFS($C$2:C345, $B$2:B345, B345)</f>
        <v>14.388888888888889</v>
      </c>
      <c r="AI345" s="86">
        <f>AVERAGEIFS($I$2:I345, $B$2:B345, B345)</f>
        <v>0.44722222222222219</v>
      </c>
      <c r="AJ345" s="86">
        <f>AVERAGEIFS($J$2:J345, $B$2:B345, B345)</f>
        <v>0.48500000000000004</v>
      </c>
      <c r="AK345" s="86">
        <f>AVERAGEIFS($D$2:D345, $B$2:B345, B345)</f>
        <v>0.55555555555555558</v>
      </c>
    </row>
    <row r="346" spans="1:37" x14ac:dyDescent="0.25">
      <c r="A346" s="85">
        <v>46151</v>
      </c>
      <c r="B346" t="s">
        <v>152</v>
      </c>
      <c r="C346">
        <v>2</v>
      </c>
      <c r="D346">
        <v>1</v>
      </c>
      <c r="E346">
        <v>5</v>
      </c>
      <c r="F346">
        <v>3</v>
      </c>
      <c r="G346">
        <v>17</v>
      </c>
      <c r="H346">
        <v>11</v>
      </c>
      <c r="I346">
        <v>0.6</v>
      </c>
      <c r="J346">
        <v>0.65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1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1</v>
      </c>
      <c r="AB346">
        <v>0</v>
      </c>
      <c r="AC346">
        <v>1</v>
      </c>
      <c r="AD346">
        <v>0</v>
      </c>
      <c r="AE346">
        <v>0</v>
      </c>
      <c r="AF346">
        <v>0</v>
      </c>
      <c r="AG346">
        <v>0</v>
      </c>
      <c r="AH346" s="86">
        <f>AVERAGEIFS($C$2:C346, $B$2:B346, B346)</f>
        <v>11</v>
      </c>
      <c r="AI346" s="86">
        <f>AVERAGEIFS($I$2:I346, $B$2:B346, B346)</f>
        <v>0.45</v>
      </c>
      <c r="AJ346" s="86">
        <f>AVERAGEIFS($J$2:J346, $B$2:B346, B346)</f>
        <v>0.48200000000000004</v>
      </c>
      <c r="AK346" s="86">
        <f>AVERAGEIFS($D$2:D346, $B$2:B346, B346)</f>
        <v>0.4</v>
      </c>
    </row>
    <row r="347" spans="1:37" x14ac:dyDescent="0.25">
      <c r="A347" s="85">
        <v>46151</v>
      </c>
      <c r="B347" t="s">
        <v>5</v>
      </c>
      <c r="C347">
        <v>17</v>
      </c>
      <c r="D347">
        <v>0</v>
      </c>
      <c r="E347">
        <v>5</v>
      </c>
      <c r="F347">
        <v>2</v>
      </c>
      <c r="G347">
        <v>17</v>
      </c>
      <c r="H347">
        <v>6</v>
      </c>
      <c r="I347">
        <v>0.4</v>
      </c>
      <c r="J347">
        <v>0.35</v>
      </c>
      <c r="K347">
        <v>1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1</v>
      </c>
      <c r="AF347">
        <v>0</v>
      </c>
      <c r="AG347">
        <v>0</v>
      </c>
      <c r="AH347" s="86">
        <f>AVERAGEIFS($C$2:C347, $B$2:B347, B347)</f>
        <v>17.705882352941178</v>
      </c>
      <c r="AI347" s="86">
        <f>AVERAGEIFS($I$2:I347, $B$2:B347, B347)</f>
        <v>0.51470588235294124</v>
      </c>
      <c r="AJ347" s="86">
        <f>AVERAGEIFS($J$2:J347, $B$2:B347, B347)</f>
        <v>0.50529411764705878</v>
      </c>
      <c r="AK347" s="86">
        <f>AVERAGEIFS($D$2:D347, $B$2:B347, B347)</f>
        <v>0.52941176470588236</v>
      </c>
    </row>
    <row r="348" spans="1:37" x14ac:dyDescent="0.25">
      <c r="A348" s="85">
        <v>46151</v>
      </c>
      <c r="B348" t="s">
        <v>54</v>
      </c>
      <c r="C348">
        <v>21</v>
      </c>
      <c r="D348">
        <v>0</v>
      </c>
      <c r="E348">
        <v>5</v>
      </c>
      <c r="F348">
        <v>2</v>
      </c>
      <c r="G348">
        <v>17</v>
      </c>
      <c r="H348">
        <v>6</v>
      </c>
      <c r="I348">
        <v>0.4</v>
      </c>
      <c r="J348">
        <v>0.35</v>
      </c>
      <c r="K348">
        <v>1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1</v>
      </c>
      <c r="AF348">
        <v>0</v>
      </c>
      <c r="AG348">
        <v>0</v>
      </c>
      <c r="AH348" s="86">
        <f>AVERAGEIFS($C$2:C348, $B$2:B348, B348)</f>
        <v>22.23076923076923</v>
      </c>
      <c r="AI348" s="86">
        <f>AVERAGEIFS($I$2:I348, $B$2:B348, B348)</f>
        <v>0.49230769230769234</v>
      </c>
      <c r="AJ348" s="86">
        <f>AVERAGEIFS($J$2:J348, $B$2:B348, B348)</f>
        <v>0.49461538461538451</v>
      </c>
      <c r="AK348" s="86">
        <f>AVERAGEIFS($D$2:D348, $B$2:B348, B348)</f>
        <v>0.46153846153846156</v>
      </c>
    </row>
    <row r="349" spans="1:37" x14ac:dyDescent="0.25">
      <c r="A349" s="85">
        <v>46151</v>
      </c>
      <c r="B349" t="s">
        <v>40</v>
      </c>
      <c r="C349">
        <v>17</v>
      </c>
      <c r="D349">
        <v>0</v>
      </c>
      <c r="E349">
        <v>5</v>
      </c>
      <c r="F349">
        <v>2</v>
      </c>
      <c r="G349">
        <v>17</v>
      </c>
      <c r="H349">
        <v>6</v>
      </c>
      <c r="I349">
        <v>0.4</v>
      </c>
      <c r="J349">
        <v>0.35</v>
      </c>
      <c r="K349">
        <v>1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1</v>
      </c>
      <c r="AF349">
        <v>0</v>
      </c>
      <c r="AG349">
        <v>0</v>
      </c>
      <c r="AH349" s="86">
        <f>AVERAGEIFS($C$2:C349, $B$2:B349, B349)</f>
        <v>19.95</v>
      </c>
      <c r="AI349" s="86">
        <f>AVERAGEIFS($I$2:I349, $B$2:B349, B349)</f>
        <v>0.44000000000000006</v>
      </c>
      <c r="AJ349" s="86">
        <f>AVERAGEIFS($J$2:J349, $B$2:B349, B349)</f>
        <v>0.47850000000000004</v>
      </c>
      <c r="AK349" s="86">
        <f>AVERAGEIFS($D$2:D349, $B$2:B349, B349)</f>
        <v>0.4</v>
      </c>
    </row>
    <row r="350" spans="1:37" x14ac:dyDescent="0.25">
      <c r="A350" s="85">
        <v>46151</v>
      </c>
      <c r="B350" t="s">
        <v>179</v>
      </c>
      <c r="C350">
        <v>19</v>
      </c>
      <c r="D350">
        <v>0</v>
      </c>
      <c r="E350">
        <v>5</v>
      </c>
      <c r="F350">
        <v>2</v>
      </c>
      <c r="G350">
        <v>17</v>
      </c>
      <c r="H350">
        <v>6</v>
      </c>
      <c r="I350">
        <v>0.4</v>
      </c>
      <c r="J350">
        <v>0.35</v>
      </c>
      <c r="K350">
        <v>1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1</v>
      </c>
      <c r="AF350">
        <v>0</v>
      </c>
      <c r="AG350">
        <v>0</v>
      </c>
      <c r="AH350" s="86">
        <f>AVERAGEIFS($C$2:C350, $B$2:B350, B350)</f>
        <v>12.666666666666666</v>
      </c>
      <c r="AI350" s="86">
        <f>AVERAGEIFS($I$2:I350, $B$2:B350, B350)</f>
        <v>0.3833333333333333</v>
      </c>
      <c r="AJ350" s="86">
        <f>AVERAGEIFS($J$2:J350, $B$2:B350, B350)</f>
        <v>0.45999999999999996</v>
      </c>
      <c r="AK350" s="86">
        <f>AVERAGEIFS($D$2:D350, $B$2:B350, B350)</f>
        <v>0.33333333333333331</v>
      </c>
    </row>
    <row r="351" spans="1:37" x14ac:dyDescent="0.25">
      <c r="A351" s="85">
        <v>46151</v>
      </c>
      <c r="B351" t="s">
        <v>35</v>
      </c>
      <c r="C351">
        <v>11</v>
      </c>
      <c r="D351">
        <v>0</v>
      </c>
      <c r="E351">
        <v>5</v>
      </c>
      <c r="F351">
        <v>2</v>
      </c>
      <c r="G351">
        <v>17</v>
      </c>
      <c r="H351">
        <v>6</v>
      </c>
      <c r="I351">
        <v>0.4</v>
      </c>
      <c r="J351">
        <v>0.35</v>
      </c>
      <c r="K351">
        <v>1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1</v>
      </c>
      <c r="AF351">
        <v>0</v>
      </c>
      <c r="AG351">
        <v>0</v>
      </c>
      <c r="AH351" s="86">
        <f>AVERAGEIFS($C$2:C351, $B$2:B351, B351)</f>
        <v>7.4285714285714288</v>
      </c>
      <c r="AI351" s="86">
        <f>AVERAGEIFS($I$2:I351, $B$2:B351, B351)</f>
        <v>0.39285714285714285</v>
      </c>
      <c r="AJ351" s="86">
        <f>AVERAGEIFS($J$2:J351, $B$2:B351, B351)</f>
        <v>0.44428571428571434</v>
      </c>
      <c r="AK351" s="86">
        <f>AVERAGEIFS($D$2:D351, $B$2:B351, B351)</f>
        <v>0.2857142857142857</v>
      </c>
    </row>
    <row r="352" spans="1:37" x14ac:dyDescent="0.25">
      <c r="A352" s="85">
        <v>46151</v>
      </c>
      <c r="B352" t="s">
        <v>44</v>
      </c>
      <c r="C352">
        <v>6</v>
      </c>
      <c r="D352">
        <v>0</v>
      </c>
      <c r="E352">
        <v>5</v>
      </c>
      <c r="F352">
        <v>2</v>
      </c>
      <c r="G352">
        <v>17</v>
      </c>
      <c r="H352">
        <v>6</v>
      </c>
      <c r="I352">
        <v>0.4</v>
      </c>
      <c r="J352">
        <v>0.35</v>
      </c>
      <c r="K352">
        <v>1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1</v>
      </c>
      <c r="AF352">
        <v>0</v>
      </c>
      <c r="AG352">
        <v>0</v>
      </c>
      <c r="AH352" s="86">
        <f>AVERAGEIFS($C$2:C352, $B$2:B352, B352)</f>
        <v>16.263157894736842</v>
      </c>
      <c r="AI352" s="86">
        <f>AVERAGEIFS($I$2:I352, $B$2:B352, B352)</f>
        <v>0.58947368421052626</v>
      </c>
      <c r="AJ352" s="86">
        <f>AVERAGEIFS($J$2:J352, $B$2:B352, B352)</f>
        <v>0.5463157894736842</v>
      </c>
      <c r="AK352" s="86">
        <f>AVERAGEIFS($D$2:D352, $B$2:B352, B352)</f>
        <v>0.63157894736842102</v>
      </c>
    </row>
    <row r="353" spans="1:37" x14ac:dyDescent="0.25">
      <c r="A353" s="85">
        <v>46151</v>
      </c>
      <c r="B353" t="s">
        <v>150</v>
      </c>
      <c r="C353">
        <v>30</v>
      </c>
      <c r="D353">
        <v>1</v>
      </c>
      <c r="E353">
        <v>3</v>
      </c>
      <c r="F353">
        <v>3</v>
      </c>
      <c r="G353">
        <v>12</v>
      </c>
      <c r="H353">
        <v>9</v>
      </c>
      <c r="I353">
        <v>1</v>
      </c>
      <c r="J353">
        <v>0.75</v>
      </c>
      <c r="K353">
        <v>0</v>
      </c>
      <c r="L353">
        <v>0</v>
      </c>
      <c r="M353">
        <v>0</v>
      </c>
      <c r="N353">
        <v>1</v>
      </c>
      <c r="O353">
        <v>0</v>
      </c>
      <c r="P353">
        <v>0</v>
      </c>
      <c r="Q353">
        <v>1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1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 s="86">
        <f>AVERAGEIFS($C$2:C353, $B$2:B353, B353)</f>
        <v>19.5</v>
      </c>
      <c r="AI353" s="86">
        <f>AVERAGEIFS($I$2:I353, $B$2:B353, B353)</f>
        <v>0.671875</v>
      </c>
      <c r="AJ353" s="86">
        <f>AVERAGEIFS($J$2:J353, $B$2:B353, B353)</f>
        <v>0.61062499999999997</v>
      </c>
      <c r="AK353" s="86">
        <f>AVERAGEIFS($D$2:D353, $B$2:B353, B353)</f>
        <v>0.75</v>
      </c>
    </row>
    <row r="354" spans="1:37" x14ac:dyDescent="0.25">
      <c r="A354" s="85">
        <v>46151</v>
      </c>
      <c r="B354" t="s">
        <v>6</v>
      </c>
      <c r="C354">
        <v>26</v>
      </c>
      <c r="D354">
        <v>1</v>
      </c>
      <c r="E354">
        <v>3</v>
      </c>
      <c r="F354">
        <v>3</v>
      </c>
      <c r="G354">
        <v>12</v>
      </c>
      <c r="H354">
        <v>9</v>
      </c>
      <c r="I354">
        <v>1</v>
      </c>
      <c r="J354">
        <v>0.75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1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1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0</v>
      </c>
      <c r="AH354" s="86">
        <f>AVERAGEIFS($C$2:C354, $B$2:B354, B354)</f>
        <v>22.913043478260871</v>
      </c>
      <c r="AI354" s="86">
        <f>AVERAGEIFS($I$2:I354, $B$2:B354, B354)</f>
        <v>0.56956521739130428</v>
      </c>
      <c r="AJ354" s="86">
        <f>AVERAGEIFS($J$2:J354, $B$2:B354, B354)</f>
        <v>0.52478260869565219</v>
      </c>
      <c r="AK354" s="86">
        <f>AVERAGEIFS($D$2:D354, $B$2:B354, B354)</f>
        <v>0.60869565217391308</v>
      </c>
    </row>
    <row r="355" spans="1:37" x14ac:dyDescent="0.25">
      <c r="A355" s="85">
        <v>46151</v>
      </c>
      <c r="B355" t="s">
        <v>179</v>
      </c>
      <c r="C355">
        <v>21</v>
      </c>
      <c r="D355">
        <v>1</v>
      </c>
      <c r="E355">
        <v>3</v>
      </c>
      <c r="F355">
        <v>3</v>
      </c>
      <c r="G355">
        <v>12</v>
      </c>
      <c r="H355">
        <v>9</v>
      </c>
      <c r="I355">
        <v>1</v>
      </c>
      <c r="J355">
        <v>0.75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1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v>0</v>
      </c>
      <c r="AH355" s="86">
        <f>AVERAGEIFS($C$2:C355, $B$2:B355, B355)</f>
        <v>14.75</v>
      </c>
      <c r="AI355" s="86">
        <f>AVERAGEIFS($I$2:I355, $B$2:B355, B355)</f>
        <v>0.53749999999999998</v>
      </c>
      <c r="AJ355" s="86">
        <f>AVERAGEIFS($J$2:J355, $B$2:B355, B355)</f>
        <v>0.53249999999999997</v>
      </c>
      <c r="AK355" s="86">
        <f>AVERAGEIFS($D$2:D355, $B$2:B355, B355)</f>
        <v>0.5</v>
      </c>
    </row>
    <row r="356" spans="1:37" x14ac:dyDescent="0.25">
      <c r="A356" s="85">
        <v>46151</v>
      </c>
      <c r="B356" t="s">
        <v>18</v>
      </c>
      <c r="C356">
        <v>13</v>
      </c>
      <c r="D356">
        <v>1</v>
      </c>
      <c r="E356">
        <v>3</v>
      </c>
      <c r="F356">
        <v>3</v>
      </c>
      <c r="G356">
        <v>12</v>
      </c>
      <c r="H356">
        <v>9</v>
      </c>
      <c r="I356">
        <v>1</v>
      </c>
      <c r="J356">
        <v>0.75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1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 s="86">
        <f>AVERAGEIFS($C$2:C356, $B$2:B356, B356)</f>
        <v>15</v>
      </c>
      <c r="AI356" s="86">
        <f>AVERAGEIFS($I$2:I356, $B$2:B356, B356)</f>
        <v>0.66666666666666663</v>
      </c>
      <c r="AJ356" s="86">
        <f>AVERAGEIFS($J$2:J356, $B$2:B356, B356)</f>
        <v>0.56666666666666665</v>
      </c>
      <c r="AK356" s="86">
        <f>AVERAGEIFS($D$2:D356, $B$2:B356, B356)</f>
        <v>0.66666666666666663</v>
      </c>
    </row>
    <row r="357" spans="1:37" x14ac:dyDescent="0.25">
      <c r="A357" s="85">
        <v>46151</v>
      </c>
      <c r="B357" t="s">
        <v>214</v>
      </c>
      <c r="C357">
        <v>1</v>
      </c>
      <c r="D357">
        <v>1</v>
      </c>
      <c r="E357">
        <v>3</v>
      </c>
      <c r="F357">
        <v>3</v>
      </c>
      <c r="G357">
        <v>12</v>
      </c>
      <c r="H357">
        <v>9</v>
      </c>
      <c r="I357">
        <v>1</v>
      </c>
      <c r="J357">
        <v>0.75</v>
      </c>
      <c r="K357">
        <v>0</v>
      </c>
      <c r="L357">
        <v>0</v>
      </c>
      <c r="M357">
        <v>0</v>
      </c>
      <c r="N357">
        <v>1</v>
      </c>
      <c r="O357">
        <v>0</v>
      </c>
      <c r="P357">
        <v>0</v>
      </c>
      <c r="Q357">
        <v>1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 s="86">
        <f>AVERAGEIFS($C$2:C357, $B$2:B357, B357)</f>
        <v>1</v>
      </c>
      <c r="AI357" s="86">
        <f>AVERAGEIFS($I$2:I357, $B$2:B357, B357)</f>
        <v>1</v>
      </c>
      <c r="AJ357" s="86">
        <f>AVERAGEIFS($J$2:J357, $B$2:B357, B357)</f>
        <v>0.75</v>
      </c>
      <c r="AK357" s="86">
        <f>AVERAGEIFS($D$2:D357, $B$2:B357, B357)</f>
        <v>1</v>
      </c>
    </row>
    <row r="358" spans="1:37" x14ac:dyDescent="0.25">
      <c r="A358" s="85">
        <v>46151</v>
      </c>
      <c r="B358" t="s">
        <v>141</v>
      </c>
      <c r="C358">
        <v>8</v>
      </c>
      <c r="D358">
        <v>1</v>
      </c>
      <c r="E358">
        <v>3</v>
      </c>
      <c r="F358">
        <v>3</v>
      </c>
      <c r="G358">
        <v>12</v>
      </c>
      <c r="H358">
        <v>9</v>
      </c>
      <c r="I358">
        <v>1</v>
      </c>
      <c r="J358">
        <v>0.75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1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 s="86">
        <f>AVERAGEIFS($C$2:C358, $B$2:B358, B358)</f>
        <v>13.727272727272727</v>
      </c>
      <c r="AI358" s="86">
        <f>AVERAGEIFS($I$2:I358, $B$2:B358, B358)</f>
        <v>0.54090909090909089</v>
      </c>
      <c r="AJ358" s="86">
        <f>AVERAGEIFS($J$2:J358, $B$2:B358, B358)</f>
        <v>0.52454545454545454</v>
      </c>
      <c r="AK358" s="86">
        <f>AVERAGEIFS($D$2:D358, $B$2:B358, B358)</f>
        <v>0.63636363636363635</v>
      </c>
    </row>
    <row r="359" spans="1:37" x14ac:dyDescent="0.25">
      <c r="A359" s="85">
        <v>46151</v>
      </c>
      <c r="B359" t="s">
        <v>107</v>
      </c>
      <c r="C359">
        <v>11</v>
      </c>
      <c r="D359">
        <v>0</v>
      </c>
      <c r="E359">
        <v>3</v>
      </c>
      <c r="F359">
        <v>0</v>
      </c>
      <c r="G359">
        <v>12</v>
      </c>
      <c r="H359">
        <v>3</v>
      </c>
      <c r="I359">
        <v>0</v>
      </c>
      <c r="J359">
        <v>0.25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 s="86">
        <f>AVERAGEIFS($C$2:C359, $B$2:B359, B359)</f>
        <v>14.210526315789474</v>
      </c>
      <c r="AI359" s="86">
        <f>AVERAGEIFS($I$2:I359, $B$2:B359, B359)</f>
        <v>0.42368421052631572</v>
      </c>
      <c r="AJ359" s="86">
        <f>AVERAGEIFS($J$2:J359, $B$2:B359, B359)</f>
        <v>0.47263157894736846</v>
      </c>
      <c r="AK359" s="86">
        <f>AVERAGEIFS($D$2:D359, $B$2:B359, B359)</f>
        <v>0.52631578947368418</v>
      </c>
    </row>
    <row r="360" spans="1:37" x14ac:dyDescent="0.25">
      <c r="A360" s="85">
        <v>46151</v>
      </c>
      <c r="B360" t="s">
        <v>5</v>
      </c>
      <c r="C360">
        <v>24</v>
      </c>
      <c r="D360">
        <v>0</v>
      </c>
      <c r="E360">
        <v>3</v>
      </c>
      <c r="F360">
        <v>0</v>
      </c>
      <c r="G360">
        <v>12</v>
      </c>
      <c r="H360">
        <v>3</v>
      </c>
      <c r="I360">
        <v>0</v>
      </c>
      <c r="J360">
        <v>0.25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H360" s="86">
        <f>AVERAGEIFS($C$2:C360, $B$2:B360, B360)</f>
        <v>18.055555555555557</v>
      </c>
      <c r="AI360" s="86">
        <f>AVERAGEIFS($I$2:I360, $B$2:B360, B360)</f>
        <v>0.48611111111111122</v>
      </c>
      <c r="AJ360" s="86">
        <f>AVERAGEIFS($J$2:J360, $B$2:B360, B360)</f>
        <v>0.49111111111111111</v>
      </c>
      <c r="AK360" s="86">
        <f>AVERAGEIFS($D$2:D360, $B$2:B360, B360)</f>
        <v>0.5</v>
      </c>
    </row>
    <row r="361" spans="1:37" x14ac:dyDescent="0.25">
      <c r="A361" s="85">
        <v>46151</v>
      </c>
      <c r="B361" t="s">
        <v>40</v>
      </c>
      <c r="C361">
        <v>7</v>
      </c>
      <c r="D361">
        <v>0</v>
      </c>
      <c r="E361">
        <v>3</v>
      </c>
      <c r="F361">
        <v>0</v>
      </c>
      <c r="G361">
        <v>12</v>
      </c>
      <c r="H361">
        <v>3</v>
      </c>
      <c r="I361">
        <v>0</v>
      </c>
      <c r="J361">
        <v>0.25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 s="86">
        <f>AVERAGEIFS($C$2:C361, $B$2:B361, B361)</f>
        <v>19.333333333333332</v>
      </c>
      <c r="AI361" s="86">
        <f>AVERAGEIFS($I$2:I361, $B$2:B361, B361)</f>
        <v>0.41904761904761906</v>
      </c>
      <c r="AJ361" s="86">
        <f>AVERAGEIFS($J$2:J361, $B$2:B361, B361)</f>
        <v>0.46761904761904766</v>
      </c>
      <c r="AK361" s="86">
        <f>AVERAGEIFS($D$2:D361, $B$2:B361, B361)</f>
        <v>0.38095238095238093</v>
      </c>
    </row>
    <row r="362" spans="1:37" x14ac:dyDescent="0.25">
      <c r="A362" s="85">
        <v>46151</v>
      </c>
      <c r="B362" t="s">
        <v>44</v>
      </c>
      <c r="C362">
        <v>16</v>
      </c>
      <c r="D362">
        <v>0</v>
      </c>
      <c r="E362">
        <v>3</v>
      </c>
      <c r="F362">
        <v>0</v>
      </c>
      <c r="G362">
        <v>12</v>
      </c>
      <c r="H362">
        <v>3</v>
      </c>
      <c r="I362">
        <v>0</v>
      </c>
      <c r="J362">
        <v>0.25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 s="86">
        <f>AVERAGEIFS($C$2:C362, $B$2:B362, B362)</f>
        <v>16.25</v>
      </c>
      <c r="AI362" s="86">
        <f>AVERAGEIFS($I$2:I362, $B$2:B362, B362)</f>
        <v>0.55999999999999994</v>
      </c>
      <c r="AJ362" s="86">
        <f>AVERAGEIFS($J$2:J362, $B$2:B362, B362)</f>
        <v>0.53149999999999997</v>
      </c>
      <c r="AK362" s="86">
        <f>AVERAGEIFS($D$2:D362, $B$2:B362, B362)</f>
        <v>0.6</v>
      </c>
    </row>
    <row r="363" spans="1:37" x14ac:dyDescent="0.25">
      <c r="A363" s="85">
        <v>46151</v>
      </c>
      <c r="B363" t="s">
        <v>152</v>
      </c>
      <c r="C363">
        <v>12</v>
      </c>
      <c r="D363">
        <v>0</v>
      </c>
      <c r="E363">
        <v>3</v>
      </c>
      <c r="F363">
        <v>0</v>
      </c>
      <c r="G363">
        <v>12</v>
      </c>
      <c r="H363">
        <v>3</v>
      </c>
      <c r="I363">
        <v>0</v>
      </c>
      <c r="J363">
        <v>0.25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 s="86">
        <f>AVERAGEIFS($C$2:C363, $B$2:B363, B363)</f>
        <v>11.166666666666666</v>
      </c>
      <c r="AI363" s="86">
        <f>AVERAGEIFS($I$2:I363, $B$2:B363, B363)</f>
        <v>0.375</v>
      </c>
      <c r="AJ363" s="86">
        <f>AVERAGEIFS($J$2:J363, $B$2:B363, B363)</f>
        <v>0.44333333333333336</v>
      </c>
      <c r="AK363" s="86">
        <f>AVERAGEIFS($D$2:D363, $B$2:B363, B363)</f>
        <v>0.33333333333333331</v>
      </c>
    </row>
    <row r="364" spans="1:37" x14ac:dyDescent="0.25">
      <c r="A364" s="85">
        <v>46151</v>
      </c>
      <c r="B364" t="s">
        <v>161</v>
      </c>
      <c r="C364">
        <v>4</v>
      </c>
      <c r="D364">
        <v>0</v>
      </c>
      <c r="E364">
        <v>3</v>
      </c>
      <c r="F364">
        <v>0</v>
      </c>
      <c r="G364">
        <v>12</v>
      </c>
      <c r="H364">
        <v>3</v>
      </c>
      <c r="I364">
        <v>0</v>
      </c>
      <c r="J364">
        <v>0.25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H364" s="86">
        <f>AVERAGEIFS($C$2:C364, $B$2:B364, B364)</f>
        <v>8.8181818181818183</v>
      </c>
      <c r="AI364" s="86">
        <f>AVERAGEIFS($I$2:I364, $B$2:B364, B364)</f>
        <v>0.53636363636363626</v>
      </c>
      <c r="AJ364" s="86">
        <f>AVERAGEIFS($J$2:J364, $B$2:B364, B364)</f>
        <v>0.51636363636363636</v>
      </c>
      <c r="AK364" s="86">
        <f>AVERAGEIFS($D$2:D364, $B$2:B364, B364)</f>
        <v>0.54545454545454541</v>
      </c>
    </row>
    <row r="365" spans="1:37" x14ac:dyDescent="0.25">
      <c r="A365" s="85">
        <v>46154</v>
      </c>
      <c r="B365" t="s">
        <v>14</v>
      </c>
      <c r="C365">
        <v>20</v>
      </c>
      <c r="D365">
        <v>1</v>
      </c>
      <c r="E365">
        <v>4</v>
      </c>
      <c r="F365">
        <v>3</v>
      </c>
      <c r="G365">
        <v>18</v>
      </c>
      <c r="H365">
        <v>11</v>
      </c>
      <c r="I365">
        <v>0.75</v>
      </c>
      <c r="J365">
        <v>0.61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1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1</v>
      </c>
      <c r="AA365">
        <v>0</v>
      </c>
      <c r="AB365">
        <v>0</v>
      </c>
      <c r="AC365">
        <v>1</v>
      </c>
      <c r="AD365">
        <v>0</v>
      </c>
      <c r="AE365">
        <v>0</v>
      </c>
      <c r="AF365">
        <v>0</v>
      </c>
      <c r="AG365">
        <v>0</v>
      </c>
      <c r="AH365" s="86">
        <f>AVERAGEIFS($C$2:C365, $B$2:B365, B365)</f>
        <v>14.333333333333334</v>
      </c>
      <c r="AI365" s="86">
        <f>AVERAGEIFS($I$2:I365, $B$2:B365, B365)</f>
        <v>0.47500000000000003</v>
      </c>
      <c r="AJ365" s="86">
        <f>AVERAGEIFS($J$2:J365, $B$2:B365, B365)</f>
        <v>0.4433333333333333</v>
      </c>
      <c r="AK365" s="86">
        <f>AVERAGEIFS($D$2:D365, $B$2:B365, B365)</f>
        <v>0.5</v>
      </c>
    </row>
    <row r="366" spans="1:37" x14ac:dyDescent="0.25">
      <c r="A366" s="85">
        <v>46154</v>
      </c>
      <c r="B366" t="s">
        <v>141</v>
      </c>
      <c r="C366">
        <v>25</v>
      </c>
      <c r="D366">
        <v>1</v>
      </c>
      <c r="E366">
        <v>4</v>
      </c>
      <c r="F366">
        <v>3</v>
      </c>
      <c r="G366">
        <v>18</v>
      </c>
      <c r="H366">
        <v>11</v>
      </c>
      <c r="I366">
        <v>0.75</v>
      </c>
      <c r="J366">
        <v>0.61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1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1</v>
      </c>
      <c r="AA366">
        <v>0</v>
      </c>
      <c r="AB366">
        <v>0</v>
      </c>
      <c r="AC366">
        <v>1</v>
      </c>
      <c r="AD366">
        <v>0</v>
      </c>
      <c r="AE366">
        <v>0</v>
      </c>
      <c r="AF366">
        <v>0</v>
      </c>
      <c r="AG366">
        <v>0</v>
      </c>
      <c r="AH366" s="86">
        <f>AVERAGEIFS($C$2:C366, $B$2:B366, B366)</f>
        <v>14.666666666666666</v>
      </c>
      <c r="AI366" s="86">
        <f>AVERAGEIFS($I$2:I366, $B$2:B366, B366)</f>
        <v>0.55833333333333335</v>
      </c>
      <c r="AJ366" s="86">
        <f>AVERAGEIFS($J$2:J366, $B$2:B366, B366)</f>
        <v>0.53166666666666673</v>
      </c>
      <c r="AK366" s="86">
        <f>AVERAGEIFS($D$2:D366, $B$2:B366, B366)</f>
        <v>0.66666666666666663</v>
      </c>
    </row>
    <row r="367" spans="1:37" x14ac:dyDescent="0.25">
      <c r="A367" s="85">
        <v>46154</v>
      </c>
      <c r="B367" t="s">
        <v>147</v>
      </c>
      <c r="C367">
        <v>18</v>
      </c>
      <c r="D367">
        <v>1</v>
      </c>
      <c r="E367">
        <v>4</v>
      </c>
      <c r="F367">
        <v>3</v>
      </c>
      <c r="G367">
        <v>18</v>
      </c>
      <c r="H367">
        <v>11</v>
      </c>
      <c r="I367">
        <v>0.75</v>
      </c>
      <c r="J367">
        <v>0.61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1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1</v>
      </c>
      <c r="AA367">
        <v>0</v>
      </c>
      <c r="AB367">
        <v>0</v>
      </c>
      <c r="AC367">
        <v>1</v>
      </c>
      <c r="AD367">
        <v>0</v>
      </c>
      <c r="AE367">
        <v>0</v>
      </c>
      <c r="AF367">
        <v>0</v>
      </c>
      <c r="AG367">
        <v>0</v>
      </c>
      <c r="AH367" s="86">
        <f>AVERAGEIFS($C$2:C367, $B$2:B367, B367)</f>
        <v>14.571428571428571</v>
      </c>
      <c r="AI367" s="86">
        <f>AVERAGEIFS($I$2:I367, $B$2:B367, B367)</f>
        <v>0.52142857142857146</v>
      </c>
      <c r="AJ367" s="86">
        <f>AVERAGEIFS($J$2:J367, $B$2:B367, B367)</f>
        <v>0.52714285714285725</v>
      </c>
      <c r="AK367" s="86">
        <f>AVERAGEIFS($D$2:D367, $B$2:B367, B367)</f>
        <v>0.42857142857142855</v>
      </c>
    </row>
    <row r="368" spans="1:37" x14ac:dyDescent="0.25">
      <c r="A368" s="85">
        <v>46154</v>
      </c>
      <c r="B368" t="s">
        <v>50</v>
      </c>
      <c r="C368">
        <v>24</v>
      </c>
      <c r="D368">
        <v>1</v>
      </c>
      <c r="E368">
        <v>4</v>
      </c>
      <c r="F368">
        <v>3</v>
      </c>
      <c r="G368">
        <v>18</v>
      </c>
      <c r="H368">
        <v>11</v>
      </c>
      <c r="I368">
        <v>0.75</v>
      </c>
      <c r="J368">
        <v>0.61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1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1</v>
      </c>
      <c r="AA368">
        <v>0</v>
      </c>
      <c r="AB368">
        <v>0</v>
      </c>
      <c r="AC368">
        <v>1</v>
      </c>
      <c r="AD368">
        <v>0</v>
      </c>
      <c r="AE368">
        <v>0</v>
      </c>
      <c r="AF368">
        <v>0</v>
      </c>
      <c r="AG368">
        <v>0</v>
      </c>
      <c r="AH368" s="86">
        <f>AVERAGEIFS($C$2:C368, $B$2:B368, B368)</f>
        <v>16.272727272727273</v>
      </c>
      <c r="AI368" s="86">
        <f>AVERAGEIFS($I$2:I368, $B$2:B368, B368)</f>
        <v>0.37272727272727268</v>
      </c>
      <c r="AJ368" s="86">
        <f>AVERAGEIFS($J$2:J368, $B$2:B368, B368)</f>
        <v>0.43727272727272726</v>
      </c>
      <c r="AK368" s="86">
        <f>AVERAGEIFS($D$2:D368, $B$2:B368, B368)</f>
        <v>0.36363636363636365</v>
      </c>
    </row>
    <row r="369" spans="1:37" x14ac:dyDescent="0.25">
      <c r="A369" s="85">
        <v>46154</v>
      </c>
      <c r="B369" t="s">
        <v>1</v>
      </c>
      <c r="C369">
        <v>25</v>
      </c>
      <c r="D369">
        <v>1</v>
      </c>
      <c r="E369">
        <v>4</v>
      </c>
      <c r="F369">
        <v>3</v>
      </c>
      <c r="G369">
        <v>18</v>
      </c>
      <c r="H369">
        <v>11</v>
      </c>
      <c r="I369">
        <v>0.75</v>
      </c>
      <c r="J369">
        <v>0.61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1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1</v>
      </c>
      <c r="AA369">
        <v>0</v>
      </c>
      <c r="AB369">
        <v>0</v>
      </c>
      <c r="AC369">
        <v>1</v>
      </c>
      <c r="AD369">
        <v>0</v>
      </c>
      <c r="AE369">
        <v>0</v>
      </c>
      <c r="AF369">
        <v>0</v>
      </c>
      <c r="AG369">
        <v>0</v>
      </c>
      <c r="AH369" s="86">
        <f>AVERAGEIFS($C$2:C369, $B$2:B369, B369)</f>
        <v>27.176470588235293</v>
      </c>
      <c r="AI369" s="86">
        <f>AVERAGEIFS($I$2:I369, $B$2:B369, B369)</f>
        <v>0.58235294117647063</v>
      </c>
      <c r="AJ369" s="86">
        <f>AVERAGEIFS($J$2:J369, $B$2:B369, B369)</f>
        <v>0.55882352941176461</v>
      </c>
      <c r="AK369" s="86">
        <f>AVERAGEIFS($D$2:D369, $B$2:B369, B369)</f>
        <v>0.58823529411764708</v>
      </c>
    </row>
    <row r="370" spans="1:37" x14ac:dyDescent="0.25">
      <c r="A370" s="85">
        <v>46154</v>
      </c>
      <c r="B370" t="s">
        <v>53</v>
      </c>
      <c r="C370">
        <v>22</v>
      </c>
      <c r="D370">
        <v>1</v>
      </c>
      <c r="E370">
        <v>4</v>
      </c>
      <c r="F370">
        <v>3</v>
      </c>
      <c r="G370">
        <v>18</v>
      </c>
      <c r="H370">
        <v>11</v>
      </c>
      <c r="I370">
        <v>0.75</v>
      </c>
      <c r="J370">
        <v>0.61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1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1</v>
      </c>
      <c r="AA370">
        <v>0</v>
      </c>
      <c r="AB370">
        <v>0</v>
      </c>
      <c r="AC370">
        <v>1</v>
      </c>
      <c r="AD370">
        <v>0</v>
      </c>
      <c r="AE370">
        <v>0</v>
      </c>
      <c r="AF370">
        <v>0</v>
      </c>
      <c r="AG370">
        <v>0</v>
      </c>
      <c r="AH370" s="86">
        <f>AVERAGEIFS($C$2:C370, $B$2:B370, B370)</f>
        <v>14</v>
      </c>
      <c r="AI370" s="86">
        <f>AVERAGEIFS($I$2:I370, $B$2:B370, B370)</f>
        <v>0.42999999999999994</v>
      </c>
      <c r="AJ370" s="86">
        <f>AVERAGEIFS($J$2:J370, $B$2:B370, B370)</f>
        <v>0.46399999999999991</v>
      </c>
      <c r="AK370" s="86">
        <f>AVERAGEIFS($D$2:D370, $B$2:B370, B370)</f>
        <v>0.26666666666666666</v>
      </c>
    </row>
    <row r="371" spans="1:37" x14ac:dyDescent="0.25">
      <c r="A371" s="85">
        <v>46154</v>
      </c>
      <c r="B371" t="s">
        <v>37</v>
      </c>
      <c r="C371">
        <v>27</v>
      </c>
      <c r="D371">
        <v>1</v>
      </c>
      <c r="E371">
        <v>4</v>
      </c>
      <c r="F371">
        <v>3</v>
      </c>
      <c r="G371">
        <v>18</v>
      </c>
      <c r="H371">
        <v>11</v>
      </c>
      <c r="I371">
        <v>0.75</v>
      </c>
      <c r="J371">
        <v>0.61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1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1</v>
      </c>
      <c r="AA371">
        <v>0</v>
      </c>
      <c r="AB371">
        <v>0</v>
      </c>
      <c r="AC371">
        <v>1</v>
      </c>
      <c r="AD371">
        <v>0</v>
      </c>
      <c r="AE371">
        <v>0</v>
      </c>
      <c r="AF371">
        <v>0</v>
      </c>
      <c r="AG371">
        <v>0</v>
      </c>
      <c r="AH371" s="86">
        <f>AVERAGEIFS($C$2:C371, $B$2:B371, B371)</f>
        <v>20.5</v>
      </c>
      <c r="AI371" s="86">
        <f>AVERAGEIFS($I$2:I371, $B$2:B371, B371)</f>
        <v>0.75</v>
      </c>
      <c r="AJ371" s="86">
        <f>AVERAGEIFS($J$2:J371, $B$2:B371, B371)</f>
        <v>0.58499999999999996</v>
      </c>
      <c r="AK371" s="86">
        <f>AVERAGEIFS($D$2:D371, $B$2:B371, B371)</f>
        <v>1</v>
      </c>
    </row>
    <row r="372" spans="1:37" x14ac:dyDescent="0.25">
      <c r="A372" s="85">
        <v>46154</v>
      </c>
      <c r="B372" t="s">
        <v>6</v>
      </c>
      <c r="C372">
        <v>30</v>
      </c>
      <c r="D372">
        <v>1</v>
      </c>
      <c r="E372">
        <v>4</v>
      </c>
      <c r="F372">
        <v>3</v>
      </c>
      <c r="G372">
        <v>18</v>
      </c>
      <c r="H372">
        <v>11</v>
      </c>
      <c r="I372">
        <v>0.75</v>
      </c>
      <c r="J372">
        <v>0.61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1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1</v>
      </c>
      <c r="AA372">
        <v>0</v>
      </c>
      <c r="AB372">
        <v>0</v>
      </c>
      <c r="AC372">
        <v>1</v>
      </c>
      <c r="AD372">
        <v>0</v>
      </c>
      <c r="AE372">
        <v>0</v>
      </c>
      <c r="AF372">
        <v>0</v>
      </c>
      <c r="AG372">
        <v>0</v>
      </c>
      <c r="AH372" s="86">
        <f>AVERAGEIFS($C$2:C372, $B$2:B372, B372)</f>
        <v>23.208333333333332</v>
      </c>
      <c r="AI372" s="86">
        <f>AVERAGEIFS($I$2:I372, $B$2:B372, B372)</f>
        <v>0.57708333333333328</v>
      </c>
      <c r="AJ372" s="86">
        <f>AVERAGEIFS($J$2:J372, $B$2:B372, B372)</f>
        <v>0.52833333333333332</v>
      </c>
      <c r="AK372" s="86">
        <f>AVERAGEIFS($D$2:D372, $B$2:B372, B372)</f>
        <v>0.625</v>
      </c>
    </row>
    <row r="373" spans="1:37" x14ac:dyDescent="0.25">
      <c r="A373" s="85">
        <v>46154</v>
      </c>
      <c r="B373" t="s">
        <v>42</v>
      </c>
      <c r="C373">
        <v>5</v>
      </c>
      <c r="D373">
        <v>0</v>
      </c>
      <c r="E373">
        <v>4</v>
      </c>
      <c r="F373">
        <v>1</v>
      </c>
      <c r="G373">
        <v>18</v>
      </c>
      <c r="H373">
        <v>7</v>
      </c>
      <c r="I373">
        <v>0.25</v>
      </c>
      <c r="J373">
        <v>0.39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1</v>
      </c>
      <c r="AC373">
        <v>0</v>
      </c>
      <c r="AD373">
        <v>0</v>
      </c>
      <c r="AE373">
        <v>0</v>
      </c>
      <c r="AF373">
        <v>0</v>
      </c>
      <c r="AG373">
        <v>0</v>
      </c>
      <c r="AH373" s="86">
        <f>AVERAGEIFS($C$2:C373, $B$2:B373, B373)</f>
        <v>16.142857142857142</v>
      </c>
      <c r="AI373" s="86">
        <f>AVERAGEIFS($I$2:I373, $B$2:B373, B373)</f>
        <v>0.48095238095238091</v>
      </c>
      <c r="AJ373" s="86">
        <f>AVERAGEIFS($J$2:J373, $B$2:B373, B373)</f>
        <v>0.46380952380952389</v>
      </c>
      <c r="AK373" s="86">
        <f>AVERAGEIFS($D$2:D373, $B$2:B373, B373)</f>
        <v>0.47619047619047616</v>
      </c>
    </row>
    <row r="374" spans="1:37" x14ac:dyDescent="0.25">
      <c r="A374" s="85">
        <v>46154</v>
      </c>
      <c r="B374" t="s">
        <v>161</v>
      </c>
      <c r="C374">
        <v>17</v>
      </c>
      <c r="D374">
        <v>0</v>
      </c>
      <c r="E374">
        <v>4</v>
      </c>
      <c r="F374">
        <v>1</v>
      </c>
      <c r="G374">
        <v>18</v>
      </c>
      <c r="H374">
        <v>7</v>
      </c>
      <c r="I374">
        <v>0.25</v>
      </c>
      <c r="J374">
        <v>0.39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1</v>
      </c>
      <c r="AC374">
        <v>0</v>
      </c>
      <c r="AD374">
        <v>0</v>
      </c>
      <c r="AE374">
        <v>0</v>
      </c>
      <c r="AF374">
        <v>0</v>
      </c>
      <c r="AG374">
        <v>0</v>
      </c>
      <c r="AH374" s="86">
        <f>AVERAGEIFS($C$2:C374, $B$2:B374, B374)</f>
        <v>9.5</v>
      </c>
      <c r="AI374" s="86">
        <f>AVERAGEIFS($I$2:I374, $B$2:B374, B374)</f>
        <v>0.51249999999999996</v>
      </c>
      <c r="AJ374" s="86">
        <f>AVERAGEIFS($J$2:J374, $B$2:B374, B374)</f>
        <v>0.50583333333333325</v>
      </c>
      <c r="AK374" s="86">
        <f>AVERAGEIFS($D$2:D374, $B$2:B374, B374)</f>
        <v>0.5</v>
      </c>
    </row>
    <row r="375" spans="1:37" x14ac:dyDescent="0.25">
      <c r="A375" s="85">
        <v>46154</v>
      </c>
      <c r="B375" t="s">
        <v>71</v>
      </c>
      <c r="C375">
        <v>17</v>
      </c>
      <c r="D375">
        <v>0</v>
      </c>
      <c r="E375">
        <v>4</v>
      </c>
      <c r="F375">
        <v>1</v>
      </c>
      <c r="G375">
        <v>18</v>
      </c>
      <c r="H375">
        <v>7</v>
      </c>
      <c r="I375">
        <v>0.25</v>
      </c>
      <c r="J375">
        <v>0.39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1</v>
      </c>
      <c r="AC375">
        <v>0</v>
      </c>
      <c r="AD375">
        <v>0</v>
      </c>
      <c r="AE375">
        <v>0</v>
      </c>
      <c r="AF375">
        <v>0</v>
      </c>
      <c r="AG375">
        <v>0</v>
      </c>
      <c r="AH375" s="86">
        <f>AVERAGEIFS($C$2:C375, $B$2:B375, B375)</f>
        <v>12.428571428571429</v>
      </c>
      <c r="AI375" s="86">
        <f>AVERAGEIFS($I$2:I375, $B$2:B375, B375)</f>
        <v>0.41428571428571426</v>
      </c>
      <c r="AJ375" s="86">
        <f>AVERAGEIFS($J$2:J375, $B$2:B375, B375)</f>
        <v>0.45928571428571419</v>
      </c>
      <c r="AK375" s="86">
        <f>AVERAGEIFS($D$2:D375, $B$2:B375, B375)</f>
        <v>0.35714285714285715</v>
      </c>
    </row>
    <row r="376" spans="1:37" x14ac:dyDescent="0.25">
      <c r="A376" s="85">
        <v>46154</v>
      </c>
      <c r="B376" t="s">
        <v>44</v>
      </c>
      <c r="C376">
        <v>31</v>
      </c>
      <c r="D376">
        <v>0</v>
      </c>
      <c r="E376">
        <v>4</v>
      </c>
      <c r="F376">
        <v>1</v>
      </c>
      <c r="G376">
        <v>18</v>
      </c>
      <c r="H376">
        <v>7</v>
      </c>
      <c r="I376">
        <v>0.25</v>
      </c>
      <c r="J376">
        <v>0.39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1</v>
      </c>
      <c r="AC376">
        <v>0</v>
      </c>
      <c r="AD376">
        <v>0</v>
      </c>
      <c r="AE376">
        <v>0</v>
      </c>
      <c r="AF376">
        <v>0</v>
      </c>
      <c r="AG376">
        <v>0</v>
      </c>
      <c r="AH376" s="86">
        <f>AVERAGEIFS($C$2:C376, $B$2:B376, B376)</f>
        <v>16.952380952380953</v>
      </c>
      <c r="AI376" s="86">
        <f>AVERAGEIFS($I$2:I376, $B$2:B376, B376)</f>
        <v>0.54523809523809519</v>
      </c>
      <c r="AJ376" s="86">
        <f>AVERAGEIFS($J$2:J376, $B$2:B376, B376)</f>
        <v>0.52476190476190476</v>
      </c>
      <c r="AK376" s="86">
        <f>AVERAGEIFS($D$2:D376, $B$2:B376, B376)</f>
        <v>0.5714285714285714</v>
      </c>
    </row>
    <row r="377" spans="1:37" x14ac:dyDescent="0.25">
      <c r="A377" s="85">
        <v>46154</v>
      </c>
      <c r="B377" t="s">
        <v>5</v>
      </c>
      <c r="C377">
        <v>21</v>
      </c>
      <c r="D377">
        <v>0</v>
      </c>
      <c r="E377">
        <v>4</v>
      </c>
      <c r="F377">
        <v>1</v>
      </c>
      <c r="G377">
        <v>18</v>
      </c>
      <c r="H377">
        <v>7</v>
      </c>
      <c r="I377">
        <v>0.25</v>
      </c>
      <c r="J377">
        <v>0.39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1</v>
      </c>
      <c r="AC377">
        <v>0</v>
      </c>
      <c r="AD377">
        <v>0</v>
      </c>
      <c r="AE377">
        <v>0</v>
      </c>
      <c r="AF377">
        <v>0</v>
      </c>
      <c r="AG377">
        <v>0</v>
      </c>
      <c r="AH377" s="86">
        <f>AVERAGEIFS($C$2:C377, $B$2:B377, B377)</f>
        <v>18.210526315789473</v>
      </c>
      <c r="AI377" s="86">
        <f>AVERAGEIFS($I$2:I377, $B$2:B377, B377)</f>
        <v>0.47368421052631587</v>
      </c>
      <c r="AJ377" s="86">
        <f>AVERAGEIFS($J$2:J377, $B$2:B377, B377)</f>
        <v>0.48578947368421055</v>
      </c>
      <c r="AK377" s="86">
        <f>AVERAGEIFS($D$2:D377, $B$2:B377, B377)</f>
        <v>0.47368421052631576</v>
      </c>
    </row>
    <row r="378" spans="1:37" x14ac:dyDescent="0.25">
      <c r="A378" s="85">
        <v>46154</v>
      </c>
      <c r="B378" t="s">
        <v>2</v>
      </c>
      <c r="C378">
        <v>17</v>
      </c>
      <c r="D378">
        <v>0</v>
      </c>
      <c r="E378">
        <v>4</v>
      </c>
      <c r="F378">
        <v>1</v>
      </c>
      <c r="G378">
        <v>18</v>
      </c>
      <c r="H378">
        <v>7</v>
      </c>
      <c r="I378">
        <v>0.25</v>
      </c>
      <c r="J378">
        <v>0.39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1</v>
      </c>
      <c r="AC378">
        <v>0</v>
      </c>
      <c r="AD378">
        <v>0</v>
      </c>
      <c r="AE378">
        <v>0</v>
      </c>
      <c r="AF378">
        <v>0</v>
      </c>
      <c r="AG378">
        <v>0</v>
      </c>
      <c r="AH378" s="86">
        <f>AVERAGEIFS($C$2:C378, $B$2:B378, B378)</f>
        <v>18.071428571428573</v>
      </c>
      <c r="AI378" s="86">
        <f>AVERAGEIFS($I$2:I378, $B$2:B378, B378)</f>
        <v>0.40357142857142853</v>
      </c>
      <c r="AJ378" s="86">
        <f>AVERAGEIFS($J$2:J378, $B$2:B378, B378)</f>
        <v>0.48642857142857149</v>
      </c>
      <c r="AK378" s="86">
        <f>AVERAGEIFS($D$2:D378, $B$2:B378, B378)</f>
        <v>0.35714285714285715</v>
      </c>
    </row>
    <row r="379" spans="1:37" x14ac:dyDescent="0.25">
      <c r="A379" s="85">
        <v>46154</v>
      </c>
      <c r="B379" t="s">
        <v>18</v>
      </c>
      <c r="C379">
        <v>30</v>
      </c>
      <c r="D379">
        <v>0</v>
      </c>
      <c r="E379">
        <v>4</v>
      </c>
      <c r="F379">
        <v>1</v>
      </c>
      <c r="G379">
        <v>18</v>
      </c>
      <c r="H379">
        <v>7</v>
      </c>
      <c r="I379">
        <v>0.25</v>
      </c>
      <c r="J379">
        <v>0.39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1</v>
      </c>
      <c r="AC379">
        <v>0</v>
      </c>
      <c r="AD379">
        <v>0</v>
      </c>
      <c r="AE379">
        <v>0</v>
      </c>
      <c r="AF379">
        <v>0</v>
      </c>
      <c r="AG379">
        <v>0</v>
      </c>
      <c r="AH379" s="86">
        <f>AVERAGEIFS($C$2:C379, $B$2:B379, B379)</f>
        <v>18.75</v>
      </c>
      <c r="AI379" s="86">
        <f>AVERAGEIFS($I$2:I379, $B$2:B379, B379)</f>
        <v>0.5625</v>
      </c>
      <c r="AJ379" s="86">
        <f>AVERAGEIFS($J$2:J379, $B$2:B379, B379)</f>
        <v>0.52249999999999996</v>
      </c>
      <c r="AK379" s="86">
        <f>AVERAGEIFS($D$2:D379, $B$2:B379, B379)</f>
        <v>0.5</v>
      </c>
    </row>
    <row r="380" spans="1:37" x14ac:dyDescent="0.25">
      <c r="A380" s="85">
        <v>46154</v>
      </c>
      <c r="B380" t="s">
        <v>13</v>
      </c>
      <c r="C380">
        <v>26</v>
      </c>
      <c r="D380">
        <v>0</v>
      </c>
      <c r="E380">
        <v>4</v>
      </c>
      <c r="F380">
        <v>1</v>
      </c>
      <c r="G380">
        <v>18</v>
      </c>
      <c r="H380">
        <v>7</v>
      </c>
      <c r="I380">
        <v>0.25</v>
      </c>
      <c r="J380">
        <v>0.39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1</v>
      </c>
      <c r="AC380">
        <v>0</v>
      </c>
      <c r="AD380">
        <v>0</v>
      </c>
      <c r="AE380">
        <v>0</v>
      </c>
      <c r="AF380">
        <v>0</v>
      </c>
      <c r="AG380">
        <v>0</v>
      </c>
      <c r="AH380" s="86">
        <f>AVERAGEIFS($C$2:C380, $B$2:B380, B380)</f>
        <v>16.555555555555557</v>
      </c>
      <c r="AI380" s="86">
        <f>AVERAGEIFS($I$2:I380, $B$2:B380, B380)</f>
        <v>0.47222222222222221</v>
      </c>
      <c r="AJ380" s="86">
        <f>AVERAGEIFS($J$2:J380, $B$2:B380, B380)</f>
        <v>0.45777777777777778</v>
      </c>
      <c r="AK380" s="86">
        <f>AVERAGEIFS($D$2:D380, $B$2:B380, B380)</f>
        <v>0.44444444444444442</v>
      </c>
    </row>
    <row r="381" spans="1:37" x14ac:dyDescent="0.25">
      <c r="A381" s="85">
        <v>46156</v>
      </c>
      <c r="B381" t="s">
        <v>5</v>
      </c>
      <c r="C381">
        <v>24</v>
      </c>
      <c r="D381">
        <v>1</v>
      </c>
      <c r="E381">
        <v>5</v>
      </c>
      <c r="F381">
        <v>3</v>
      </c>
      <c r="G381">
        <v>22</v>
      </c>
      <c r="H381">
        <v>11</v>
      </c>
      <c r="I381">
        <v>0.6</v>
      </c>
      <c r="J381">
        <v>0.5</v>
      </c>
      <c r="K381">
        <v>0</v>
      </c>
      <c r="L381">
        <v>0</v>
      </c>
      <c r="M381">
        <v>0</v>
      </c>
      <c r="N381">
        <v>1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1</v>
      </c>
      <c r="Z381">
        <v>1</v>
      </c>
      <c r="AA381">
        <v>0</v>
      </c>
      <c r="AB381">
        <v>0</v>
      </c>
      <c r="AC381">
        <v>0</v>
      </c>
      <c r="AD381">
        <v>0</v>
      </c>
      <c r="AE381">
        <v>0</v>
      </c>
      <c r="AF381">
        <v>0</v>
      </c>
      <c r="AG381">
        <v>0</v>
      </c>
      <c r="AH381" s="86">
        <f>AVERAGEIFS($C$2:C381, $B$2:B381, B381)</f>
        <v>18.5</v>
      </c>
      <c r="AI381" s="86">
        <f>AVERAGEIFS($I$2:I381, $B$2:B381, B381)</f>
        <v>0.48000000000000009</v>
      </c>
      <c r="AJ381" s="86">
        <f>AVERAGEIFS($J$2:J381, $B$2:B381, B381)</f>
        <v>0.48650000000000004</v>
      </c>
      <c r="AK381" s="86">
        <f>AVERAGEIFS($D$2:D381, $B$2:B381, B381)</f>
        <v>0.5</v>
      </c>
    </row>
    <row r="382" spans="1:37" x14ac:dyDescent="0.25">
      <c r="A382" s="85">
        <v>46156</v>
      </c>
      <c r="B382" t="s">
        <v>4</v>
      </c>
      <c r="C382">
        <v>18</v>
      </c>
      <c r="D382">
        <v>1</v>
      </c>
      <c r="E382">
        <v>5</v>
      </c>
      <c r="F382">
        <v>3</v>
      </c>
      <c r="G382">
        <v>22</v>
      </c>
      <c r="H382">
        <v>11</v>
      </c>
      <c r="I382">
        <v>0.6</v>
      </c>
      <c r="J382">
        <v>0.5</v>
      </c>
      <c r="K382">
        <v>0</v>
      </c>
      <c r="L382">
        <v>0</v>
      </c>
      <c r="M382">
        <v>0</v>
      </c>
      <c r="N382">
        <v>1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1</v>
      </c>
      <c r="Z382">
        <v>1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0</v>
      </c>
      <c r="AG382">
        <v>0</v>
      </c>
      <c r="AH382" s="86">
        <f>AVERAGEIFS($C$2:C382, $B$2:B382, B382)</f>
        <v>24.666666666666668</v>
      </c>
      <c r="AI382" s="86">
        <f>AVERAGEIFS($I$2:I382, $B$2:B382, B382)</f>
        <v>0.57666666666666666</v>
      </c>
      <c r="AJ382" s="86">
        <f>AVERAGEIFS($J$2:J382, $B$2:B382, B382)</f>
        <v>0.52866666666666662</v>
      </c>
      <c r="AK382" s="86">
        <f>AVERAGEIFS($D$2:D382, $B$2:B382, B382)</f>
        <v>0.66666666666666663</v>
      </c>
    </row>
    <row r="383" spans="1:37" x14ac:dyDescent="0.25">
      <c r="A383" s="85">
        <v>46156</v>
      </c>
      <c r="B383" t="s">
        <v>54</v>
      </c>
      <c r="C383">
        <v>14</v>
      </c>
      <c r="D383">
        <v>1</v>
      </c>
      <c r="E383">
        <v>5</v>
      </c>
      <c r="F383">
        <v>3</v>
      </c>
      <c r="G383">
        <v>22</v>
      </c>
      <c r="H383">
        <v>11</v>
      </c>
      <c r="I383">
        <v>0.6</v>
      </c>
      <c r="J383">
        <v>0.5</v>
      </c>
      <c r="K383">
        <v>0</v>
      </c>
      <c r="L383">
        <v>0</v>
      </c>
      <c r="M383">
        <v>0</v>
      </c>
      <c r="N383">
        <v>1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1</v>
      </c>
      <c r="Z383">
        <v>1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  <c r="AG383">
        <v>0</v>
      </c>
      <c r="AH383" s="86">
        <f>AVERAGEIFS($C$2:C383, $B$2:B383, B383)</f>
        <v>21.642857142857142</v>
      </c>
      <c r="AI383" s="86">
        <f>AVERAGEIFS($I$2:I383, $B$2:B383, B383)</f>
        <v>0.5</v>
      </c>
      <c r="AJ383" s="86">
        <f>AVERAGEIFS($J$2:J383, $B$2:B383, B383)</f>
        <v>0.49499999999999994</v>
      </c>
      <c r="AK383" s="86">
        <f>AVERAGEIFS($D$2:D383, $B$2:B383, B383)</f>
        <v>0.5</v>
      </c>
    </row>
    <row r="384" spans="1:37" x14ac:dyDescent="0.25">
      <c r="A384" s="85">
        <v>46156</v>
      </c>
      <c r="B384" t="s">
        <v>13</v>
      </c>
      <c r="C384">
        <v>16</v>
      </c>
      <c r="D384">
        <v>1</v>
      </c>
      <c r="E384">
        <v>5</v>
      </c>
      <c r="F384">
        <v>3</v>
      </c>
      <c r="G384">
        <v>22</v>
      </c>
      <c r="H384">
        <v>11</v>
      </c>
      <c r="I384">
        <v>0.6</v>
      </c>
      <c r="J384">
        <v>0.5</v>
      </c>
      <c r="K384">
        <v>0</v>
      </c>
      <c r="L384">
        <v>0</v>
      </c>
      <c r="M384">
        <v>0</v>
      </c>
      <c r="N384">
        <v>1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1</v>
      </c>
      <c r="Z384">
        <v>1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0</v>
      </c>
      <c r="AH384" s="86">
        <f>AVERAGEIFS($C$2:C384, $B$2:B384, B384)</f>
        <v>16.5</v>
      </c>
      <c r="AI384" s="86">
        <f>AVERAGEIFS($I$2:I384, $B$2:B384, B384)</f>
        <v>0.48499999999999999</v>
      </c>
      <c r="AJ384" s="86">
        <f>AVERAGEIFS($J$2:J384, $B$2:B384, B384)</f>
        <v>0.46200000000000002</v>
      </c>
      <c r="AK384" s="86">
        <f>AVERAGEIFS($D$2:D384, $B$2:B384, B384)</f>
        <v>0.5</v>
      </c>
    </row>
    <row r="385" spans="1:37" x14ac:dyDescent="0.25">
      <c r="A385" s="85">
        <v>46156</v>
      </c>
      <c r="B385" t="s">
        <v>140</v>
      </c>
      <c r="C385">
        <v>22</v>
      </c>
      <c r="D385">
        <v>1</v>
      </c>
      <c r="E385">
        <v>5</v>
      </c>
      <c r="F385">
        <v>3</v>
      </c>
      <c r="G385">
        <v>22</v>
      </c>
      <c r="H385">
        <v>11</v>
      </c>
      <c r="I385">
        <v>0.6</v>
      </c>
      <c r="J385">
        <v>0.5</v>
      </c>
      <c r="K385">
        <v>0</v>
      </c>
      <c r="L385">
        <v>0</v>
      </c>
      <c r="M385">
        <v>0</v>
      </c>
      <c r="N385">
        <v>1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1</v>
      </c>
      <c r="Z385">
        <v>1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0</v>
      </c>
      <c r="AH385" s="86">
        <f>AVERAGEIFS($C$2:C385, $B$2:B385, B385)</f>
        <v>14.4</v>
      </c>
      <c r="AI385" s="86">
        <f>AVERAGEIFS($I$2:I385, $B$2:B385, B385)</f>
        <v>0.62</v>
      </c>
      <c r="AJ385" s="86">
        <f>AVERAGEIFS($J$2:J385, $B$2:B385, B385)</f>
        <v>0.56799999999999995</v>
      </c>
      <c r="AK385" s="86">
        <f>AVERAGEIFS($D$2:D385, $B$2:B385, B385)</f>
        <v>0.8</v>
      </c>
    </row>
    <row r="386" spans="1:37" x14ac:dyDescent="0.25">
      <c r="A386" s="85">
        <v>46156</v>
      </c>
      <c r="B386" t="s">
        <v>141</v>
      </c>
      <c r="C386">
        <v>30</v>
      </c>
      <c r="D386">
        <v>1</v>
      </c>
      <c r="E386">
        <v>5</v>
      </c>
      <c r="F386">
        <v>3</v>
      </c>
      <c r="G386">
        <v>22</v>
      </c>
      <c r="H386">
        <v>11</v>
      </c>
      <c r="I386">
        <v>0.6</v>
      </c>
      <c r="J386">
        <v>0.5</v>
      </c>
      <c r="K386">
        <v>0</v>
      </c>
      <c r="L386">
        <v>0</v>
      </c>
      <c r="M386">
        <v>0</v>
      </c>
      <c r="N386">
        <v>1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1</v>
      </c>
      <c r="Z386">
        <v>1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0</v>
      </c>
      <c r="AH386" s="86">
        <f>AVERAGEIFS($C$2:C386, $B$2:B386, B386)</f>
        <v>15.846153846153847</v>
      </c>
      <c r="AI386" s="86">
        <f>AVERAGEIFS($I$2:I386, $B$2:B386, B386)</f>
        <v>0.56153846153846154</v>
      </c>
      <c r="AJ386" s="86">
        <f>AVERAGEIFS($J$2:J386, $B$2:B386, B386)</f>
        <v>0.52923076923076928</v>
      </c>
      <c r="AK386" s="86">
        <f>AVERAGEIFS($D$2:D386, $B$2:B386, B386)</f>
        <v>0.69230769230769229</v>
      </c>
    </row>
    <row r="387" spans="1:37" x14ac:dyDescent="0.25">
      <c r="A387" s="85">
        <v>46156</v>
      </c>
      <c r="B387" t="s">
        <v>107</v>
      </c>
      <c r="C387">
        <v>19</v>
      </c>
      <c r="D387">
        <v>1</v>
      </c>
      <c r="E387">
        <v>5</v>
      </c>
      <c r="F387">
        <v>3</v>
      </c>
      <c r="G387">
        <v>22</v>
      </c>
      <c r="H387">
        <v>11</v>
      </c>
      <c r="I387">
        <v>0.6</v>
      </c>
      <c r="J387">
        <v>0.5</v>
      </c>
      <c r="K387">
        <v>0</v>
      </c>
      <c r="L387">
        <v>0</v>
      </c>
      <c r="M387">
        <v>0</v>
      </c>
      <c r="N387">
        <v>1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1</v>
      </c>
      <c r="Z387">
        <v>1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0</v>
      </c>
      <c r="AH387" s="86">
        <f>AVERAGEIFS($C$2:C387, $B$2:B387, B387)</f>
        <v>14.45</v>
      </c>
      <c r="AI387" s="86">
        <f>AVERAGEIFS($I$2:I387, $B$2:B387, B387)</f>
        <v>0.43249999999999994</v>
      </c>
      <c r="AJ387" s="86">
        <f>AVERAGEIFS($J$2:J387, $B$2:B387, B387)</f>
        <v>0.47400000000000003</v>
      </c>
      <c r="AK387" s="86">
        <f>AVERAGEIFS($D$2:D387, $B$2:B387, B387)</f>
        <v>0.55000000000000004</v>
      </c>
    </row>
    <row r="388" spans="1:37" x14ac:dyDescent="0.25">
      <c r="A388" s="85">
        <v>46156</v>
      </c>
      <c r="B388" t="s">
        <v>14</v>
      </c>
      <c r="C388">
        <v>8</v>
      </c>
      <c r="D388">
        <v>1</v>
      </c>
      <c r="E388">
        <v>5</v>
      </c>
      <c r="F388">
        <v>3</v>
      </c>
      <c r="G388">
        <v>22</v>
      </c>
      <c r="H388">
        <v>11</v>
      </c>
      <c r="I388">
        <v>0.6</v>
      </c>
      <c r="J388">
        <v>0.5</v>
      </c>
      <c r="K388">
        <v>0</v>
      </c>
      <c r="L388">
        <v>0</v>
      </c>
      <c r="M388">
        <v>0</v>
      </c>
      <c r="N388">
        <v>1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1</v>
      </c>
      <c r="Z388">
        <v>1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0</v>
      </c>
      <c r="AH388" s="86">
        <f>AVERAGEIFS($C$2:C388, $B$2:B388, B388)</f>
        <v>13.428571428571429</v>
      </c>
      <c r="AI388" s="86">
        <f>AVERAGEIFS($I$2:I388, $B$2:B388, B388)</f>
        <v>0.49285714285714288</v>
      </c>
      <c r="AJ388" s="86">
        <f>AVERAGEIFS($J$2:J388, $B$2:B388, B388)</f>
        <v>0.4514285714285714</v>
      </c>
      <c r="AK388" s="86">
        <f>AVERAGEIFS($D$2:D388, $B$2:B388, B388)</f>
        <v>0.5714285714285714</v>
      </c>
    </row>
    <row r="389" spans="1:37" x14ac:dyDescent="0.25">
      <c r="A389" s="85">
        <v>46156</v>
      </c>
      <c r="B389" t="s">
        <v>44</v>
      </c>
      <c r="C389">
        <v>14</v>
      </c>
      <c r="D389">
        <v>0</v>
      </c>
      <c r="E389">
        <v>5</v>
      </c>
      <c r="F389">
        <v>2</v>
      </c>
      <c r="G389">
        <v>22</v>
      </c>
      <c r="H389">
        <v>11</v>
      </c>
      <c r="I389">
        <v>0.4</v>
      </c>
      <c r="J389">
        <v>0.5</v>
      </c>
      <c r="K389">
        <v>1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0</v>
      </c>
      <c r="AA389">
        <v>0</v>
      </c>
      <c r="AB389">
        <v>0</v>
      </c>
      <c r="AC389">
        <v>1</v>
      </c>
      <c r="AD389">
        <v>0</v>
      </c>
      <c r="AE389">
        <v>0</v>
      </c>
      <c r="AF389">
        <v>0</v>
      </c>
      <c r="AG389">
        <v>0</v>
      </c>
      <c r="AH389" s="86">
        <f>AVERAGEIFS($C$2:C389, $B$2:B389, B389)</f>
        <v>16.818181818181817</v>
      </c>
      <c r="AI389" s="86">
        <f>AVERAGEIFS($I$2:I389, $B$2:B389, B389)</f>
        <v>0.53863636363636358</v>
      </c>
      <c r="AJ389" s="86">
        <f>AVERAGEIFS($J$2:J389, $B$2:B389, B389)</f>
        <v>0.52363636363636357</v>
      </c>
      <c r="AK389" s="86">
        <f>AVERAGEIFS($D$2:D389, $B$2:B389, B389)</f>
        <v>0.54545454545454541</v>
      </c>
    </row>
    <row r="390" spans="1:37" x14ac:dyDescent="0.25">
      <c r="A390" s="85">
        <v>46156</v>
      </c>
      <c r="B390" t="s">
        <v>6</v>
      </c>
      <c r="C390">
        <v>26</v>
      </c>
      <c r="D390">
        <v>0</v>
      </c>
      <c r="E390">
        <v>5</v>
      </c>
      <c r="F390">
        <v>2</v>
      </c>
      <c r="G390">
        <v>22</v>
      </c>
      <c r="H390">
        <v>11</v>
      </c>
      <c r="I390">
        <v>0.4</v>
      </c>
      <c r="J390">
        <v>0.5</v>
      </c>
      <c r="K390">
        <v>1</v>
      </c>
      <c r="L390">
        <v>0</v>
      </c>
      <c r="M390">
        <v>0</v>
      </c>
      <c r="N390">
        <v>0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</v>
      </c>
      <c r="AC390">
        <v>1</v>
      </c>
      <c r="AD390">
        <v>0</v>
      </c>
      <c r="AE390">
        <v>0</v>
      </c>
      <c r="AF390">
        <v>0</v>
      </c>
      <c r="AG390">
        <v>0</v>
      </c>
      <c r="AH390" s="86">
        <f>AVERAGEIFS($C$2:C390, $B$2:B390, B390)</f>
        <v>23.32</v>
      </c>
      <c r="AI390" s="86">
        <f>AVERAGEIFS($I$2:I390, $B$2:B390, B390)</f>
        <v>0.56999999999999995</v>
      </c>
      <c r="AJ390" s="86">
        <f>AVERAGEIFS($J$2:J390, $B$2:B390, B390)</f>
        <v>0.5272</v>
      </c>
      <c r="AK390" s="86">
        <f>AVERAGEIFS($D$2:D390, $B$2:B390, B390)</f>
        <v>0.6</v>
      </c>
    </row>
    <row r="391" spans="1:37" x14ac:dyDescent="0.25">
      <c r="A391" s="85">
        <v>46156</v>
      </c>
      <c r="B391" t="s">
        <v>2</v>
      </c>
      <c r="C391">
        <v>38</v>
      </c>
      <c r="D391">
        <v>0</v>
      </c>
      <c r="E391">
        <v>5</v>
      </c>
      <c r="F391">
        <v>2</v>
      </c>
      <c r="G391">
        <v>22</v>
      </c>
      <c r="H391">
        <v>11</v>
      </c>
      <c r="I391">
        <v>0.4</v>
      </c>
      <c r="J391">
        <v>0.5</v>
      </c>
      <c r="K391">
        <v>1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>
        <v>1</v>
      </c>
      <c r="AD391">
        <v>0</v>
      </c>
      <c r="AE391">
        <v>0</v>
      </c>
      <c r="AF391">
        <v>0</v>
      </c>
      <c r="AG391">
        <v>0</v>
      </c>
      <c r="AH391" s="86">
        <f>AVERAGEIFS($C$2:C391, $B$2:B391, B391)</f>
        <v>19.399999999999999</v>
      </c>
      <c r="AI391" s="86">
        <f>AVERAGEIFS($I$2:I391, $B$2:B391, B391)</f>
        <v>0.40333333333333332</v>
      </c>
      <c r="AJ391" s="86">
        <f>AVERAGEIFS($J$2:J391, $B$2:B391, B391)</f>
        <v>0.48733333333333334</v>
      </c>
      <c r="AK391" s="86">
        <f>AVERAGEIFS($D$2:D391, $B$2:B391, B391)</f>
        <v>0.33333333333333331</v>
      </c>
    </row>
    <row r="392" spans="1:37" x14ac:dyDescent="0.25">
      <c r="A392" s="85">
        <v>46156</v>
      </c>
      <c r="B392" t="s">
        <v>179</v>
      </c>
      <c r="C392">
        <v>21</v>
      </c>
      <c r="D392">
        <v>0</v>
      </c>
      <c r="E392">
        <v>5</v>
      </c>
      <c r="F392">
        <v>2</v>
      </c>
      <c r="G392">
        <v>22</v>
      </c>
      <c r="H392">
        <v>11</v>
      </c>
      <c r="I392">
        <v>0.4</v>
      </c>
      <c r="J392">
        <v>0.5</v>
      </c>
      <c r="K392">
        <v>1</v>
      </c>
      <c r="L392">
        <v>0</v>
      </c>
      <c r="M392">
        <v>0</v>
      </c>
      <c r="N392">
        <v>0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0</v>
      </c>
      <c r="AC392">
        <v>1</v>
      </c>
      <c r="AD392">
        <v>0</v>
      </c>
      <c r="AE392">
        <v>0</v>
      </c>
      <c r="AF392">
        <v>0</v>
      </c>
      <c r="AG392">
        <v>0</v>
      </c>
      <c r="AH392" s="86">
        <f>AVERAGEIFS($C$2:C392, $B$2:B392, B392)</f>
        <v>16</v>
      </c>
      <c r="AI392" s="86">
        <f>AVERAGEIFS($I$2:I392, $B$2:B392, B392)</f>
        <v>0.51</v>
      </c>
      <c r="AJ392" s="86">
        <f>AVERAGEIFS($J$2:J392, $B$2:B392, B392)</f>
        <v>0.52600000000000002</v>
      </c>
      <c r="AK392" s="86">
        <f>AVERAGEIFS($D$2:D392, $B$2:B392, B392)</f>
        <v>0.4</v>
      </c>
    </row>
    <row r="393" spans="1:37" x14ac:dyDescent="0.25">
      <c r="A393" s="85">
        <v>46156</v>
      </c>
      <c r="B393" t="s">
        <v>147</v>
      </c>
      <c r="C393">
        <v>19</v>
      </c>
      <c r="D393">
        <v>0</v>
      </c>
      <c r="E393">
        <v>5</v>
      </c>
      <c r="F393">
        <v>2</v>
      </c>
      <c r="G393">
        <v>22</v>
      </c>
      <c r="H393">
        <v>11</v>
      </c>
      <c r="I393">
        <v>0.4</v>
      </c>
      <c r="J393">
        <v>0.5</v>
      </c>
      <c r="K393">
        <v>1</v>
      </c>
      <c r="L393">
        <v>0</v>
      </c>
      <c r="M393">
        <v>0</v>
      </c>
      <c r="N393">
        <v>0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0</v>
      </c>
      <c r="AA393">
        <v>0</v>
      </c>
      <c r="AB393">
        <v>0</v>
      </c>
      <c r="AC393">
        <v>1</v>
      </c>
      <c r="AD393">
        <v>0</v>
      </c>
      <c r="AE393">
        <v>0</v>
      </c>
      <c r="AF393">
        <v>0</v>
      </c>
      <c r="AG393">
        <v>0</v>
      </c>
      <c r="AH393" s="86">
        <f>AVERAGEIFS($C$2:C393, $B$2:B393, B393)</f>
        <v>14.866666666666667</v>
      </c>
      <c r="AI393" s="86">
        <f>AVERAGEIFS($I$2:I393, $B$2:B393, B393)</f>
        <v>0.51333333333333331</v>
      </c>
      <c r="AJ393" s="86">
        <f>AVERAGEIFS($J$2:J393, $B$2:B393, B393)</f>
        <v>0.52533333333333343</v>
      </c>
      <c r="AK393" s="86">
        <f>AVERAGEIFS($D$2:D393, $B$2:B393, B393)</f>
        <v>0.4</v>
      </c>
    </row>
    <row r="394" spans="1:37" x14ac:dyDescent="0.25">
      <c r="A394" s="85">
        <v>46156</v>
      </c>
      <c r="B394" t="s">
        <v>148</v>
      </c>
      <c r="C394">
        <v>13</v>
      </c>
      <c r="D394">
        <v>0</v>
      </c>
      <c r="E394">
        <v>5</v>
      </c>
      <c r="F394">
        <v>2</v>
      </c>
      <c r="G394">
        <v>22</v>
      </c>
      <c r="H394">
        <v>11</v>
      </c>
      <c r="I394">
        <v>0.4</v>
      </c>
      <c r="J394">
        <v>0.5</v>
      </c>
      <c r="K394">
        <v>1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1</v>
      </c>
      <c r="AD394">
        <v>0</v>
      </c>
      <c r="AE394">
        <v>0</v>
      </c>
      <c r="AF394">
        <v>0</v>
      </c>
      <c r="AG394">
        <v>0</v>
      </c>
      <c r="AH394" s="86">
        <f>AVERAGEIFS($C$2:C394, $B$2:B394, B394)</f>
        <v>7.5</v>
      </c>
      <c r="AI394" s="86">
        <f>AVERAGEIFS($I$2:I394, $B$2:B394, B394)</f>
        <v>0.5</v>
      </c>
      <c r="AJ394" s="86">
        <f>AVERAGEIFS($J$2:J394, $B$2:B394, B394)</f>
        <v>0.51500000000000001</v>
      </c>
      <c r="AK394" s="86">
        <f>AVERAGEIFS($D$2:D394, $B$2:B394, B394)</f>
        <v>0.5</v>
      </c>
    </row>
    <row r="395" spans="1:37" x14ac:dyDescent="0.25">
      <c r="A395" s="85">
        <v>46156</v>
      </c>
      <c r="B395" t="s">
        <v>113</v>
      </c>
      <c r="C395">
        <v>22</v>
      </c>
      <c r="D395">
        <v>0</v>
      </c>
      <c r="E395">
        <v>5</v>
      </c>
      <c r="F395">
        <v>2</v>
      </c>
      <c r="G395">
        <v>22</v>
      </c>
      <c r="H395">
        <v>11</v>
      </c>
      <c r="I395">
        <v>0.4</v>
      </c>
      <c r="J395">
        <v>0.5</v>
      </c>
      <c r="K395">
        <v>1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1</v>
      </c>
      <c r="AD395">
        <v>0</v>
      </c>
      <c r="AE395">
        <v>0</v>
      </c>
      <c r="AF395">
        <v>0</v>
      </c>
      <c r="AG395">
        <v>0</v>
      </c>
      <c r="AH395" s="86">
        <f>AVERAGEIFS($C$2:C395, $B$2:B395, B395)</f>
        <v>19.350000000000001</v>
      </c>
      <c r="AI395" s="86">
        <f>AVERAGEIFS($I$2:I395, $B$2:B395, B395)</f>
        <v>0.56000000000000005</v>
      </c>
      <c r="AJ395" s="86">
        <f>AVERAGEIFS($J$2:J395, $B$2:B395, B395)</f>
        <v>0.5475000000000001</v>
      </c>
      <c r="AK395" s="86">
        <f>AVERAGEIFS($D$2:D395, $B$2:B395, B395)</f>
        <v>0.5</v>
      </c>
    </row>
    <row r="396" spans="1:37" x14ac:dyDescent="0.25">
      <c r="A396" s="85">
        <v>46156</v>
      </c>
      <c r="B396" t="s">
        <v>44</v>
      </c>
      <c r="C396">
        <v>13</v>
      </c>
      <c r="D396">
        <v>1</v>
      </c>
      <c r="E396">
        <v>3</v>
      </c>
      <c r="F396">
        <v>3</v>
      </c>
      <c r="G396">
        <v>13</v>
      </c>
      <c r="H396">
        <v>9</v>
      </c>
      <c r="I396">
        <v>1</v>
      </c>
      <c r="J396">
        <v>0.69</v>
      </c>
      <c r="K396">
        <v>0</v>
      </c>
      <c r="L396">
        <v>0</v>
      </c>
      <c r="M396">
        <v>1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0</v>
      </c>
      <c r="AD396">
        <v>0</v>
      </c>
      <c r="AE396">
        <v>1</v>
      </c>
      <c r="AF396">
        <v>0</v>
      </c>
      <c r="AG396">
        <v>1</v>
      </c>
      <c r="AH396" s="86">
        <f>AVERAGEIFS($C$2:C396, $B$2:B396, B396)</f>
        <v>16.652173913043477</v>
      </c>
      <c r="AI396" s="86">
        <f>AVERAGEIFS($I$2:I396, $B$2:B396, B396)</f>
        <v>0.55869565217391304</v>
      </c>
      <c r="AJ396" s="86">
        <f>AVERAGEIFS($J$2:J396, $B$2:B396, B396)</f>
        <v>0.53086956521739126</v>
      </c>
      <c r="AK396" s="86">
        <f>AVERAGEIFS($D$2:D396, $B$2:B396, B396)</f>
        <v>0.56521739130434778</v>
      </c>
    </row>
    <row r="397" spans="1:37" x14ac:dyDescent="0.25">
      <c r="A397" s="85">
        <v>46156</v>
      </c>
      <c r="B397" t="s">
        <v>40</v>
      </c>
      <c r="C397">
        <v>12</v>
      </c>
      <c r="D397">
        <v>1</v>
      </c>
      <c r="E397">
        <v>3</v>
      </c>
      <c r="F397">
        <v>3</v>
      </c>
      <c r="G397">
        <v>13</v>
      </c>
      <c r="H397">
        <v>9</v>
      </c>
      <c r="I397">
        <v>1</v>
      </c>
      <c r="J397">
        <v>0.69</v>
      </c>
      <c r="K397">
        <v>0</v>
      </c>
      <c r="L397">
        <v>0</v>
      </c>
      <c r="M397">
        <v>1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0</v>
      </c>
      <c r="AE397">
        <v>1</v>
      </c>
      <c r="AF397">
        <v>0</v>
      </c>
      <c r="AG397">
        <v>1</v>
      </c>
      <c r="AH397" s="86">
        <f>AVERAGEIFS($C$2:C397, $B$2:B397, B397)</f>
        <v>19</v>
      </c>
      <c r="AI397" s="86">
        <f>AVERAGEIFS($I$2:I397, $B$2:B397, B397)</f>
        <v>0.44545454545454549</v>
      </c>
      <c r="AJ397" s="86">
        <f>AVERAGEIFS($J$2:J397, $B$2:B397, B397)</f>
        <v>0.47772727272727272</v>
      </c>
      <c r="AK397" s="86">
        <f>AVERAGEIFS($D$2:D397, $B$2:B397, B397)</f>
        <v>0.40909090909090912</v>
      </c>
    </row>
    <row r="398" spans="1:37" x14ac:dyDescent="0.25">
      <c r="A398" s="85">
        <v>46156</v>
      </c>
      <c r="B398" t="s">
        <v>140</v>
      </c>
      <c r="C398">
        <v>8</v>
      </c>
      <c r="D398">
        <v>1</v>
      </c>
      <c r="E398">
        <v>3</v>
      </c>
      <c r="F398">
        <v>3</v>
      </c>
      <c r="G398">
        <v>13</v>
      </c>
      <c r="H398">
        <v>9</v>
      </c>
      <c r="I398">
        <v>1</v>
      </c>
      <c r="J398">
        <v>0.69</v>
      </c>
      <c r="K398">
        <v>0</v>
      </c>
      <c r="L398">
        <v>0</v>
      </c>
      <c r="M398">
        <v>1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0</v>
      </c>
      <c r="AE398">
        <v>1</v>
      </c>
      <c r="AF398">
        <v>0</v>
      </c>
      <c r="AG398">
        <v>1</v>
      </c>
      <c r="AH398" s="86">
        <f>AVERAGEIFS($C$2:C398, $B$2:B398, B398)</f>
        <v>13.333333333333334</v>
      </c>
      <c r="AI398" s="86">
        <f>AVERAGEIFS($I$2:I398, $B$2:B398, B398)</f>
        <v>0.68333333333333324</v>
      </c>
      <c r="AJ398" s="86">
        <f>AVERAGEIFS($J$2:J398, $B$2:B398, B398)</f>
        <v>0.58833333333333326</v>
      </c>
      <c r="AK398" s="86">
        <f>AVERAGEIFS($D$2:D398, $B$2:B398, B398)</f>
        <v>0.83333333333333337</v>
      </c>
    </row>
    <row r="399" spans="1:37" x14ac:dyDescent="0.25">
      <c r="A399" s="85">
        <v>46156</v>
      </c>
      <c r="B399" t="s">
        <v>6</v>
      </c>
      <c r="C399">
        <v>20</v>
      </c>
      <c r="D399">
        <v>1</v>
      </c>
      <c r="E399">
        <v>3</v>
      </c>
      <c r="F399">
        <v>3</v>
      </c>
      <c r="G399">
        <v>13</v>
      </c>
      <c r="H399">
        <v>9</v>
      </c>
      <c r="I399">
        <v>1</v>
      </c>
      <c r="J399">
        <v>0.69</v>
      </c>
      <c r="K399">
        <v>0</v>
      </c>
      <c r="L399">
        <v>0</v>
      </c>
      <c r="M399">
        <v>1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0</v>
      </c>
      <c r="AD399">
        <v>0</v>
      </c>
      <c r="AE399">
        <v>1</v>
      </c>
      <c r="AF399">
        <v>0</v>
      </c>
      <c r="AG399">
        <v>1</v>
      </c>
      <c r="AH399" s="86">
        <f>AVERAGEIFS($C$2:C399, $B$2:B399, B399)</f>
        <v>23.192307692307693</v>
      </c>
      <c r="AI399" s="86">
        <f>AVERAGEIFS($I$2:I399, $B$2:B399, B399)</f>
        <v>0.58653846153846156</v>
      </c>
      <c r="AJ399" s="86">
        <f>AVERAGEIFS($J$2:J399, $B$2:B399, B399)</f>
        <v>0.53346153846153843</v>
      </c>
      <c r="AK399" s="86">
        <f>AVERAGEIFS($D$2:D399, $B$2:B399, B399)</f>
        <v>0.61538461538461542</v>
      </c>
    </row>
    <row r="400" spans="1:37" x14ac:dyDescent="0.25">
      <c r="A400" s="85">
        <v>46156</v>
      </c>
      <c r="B400" t="s">
        <v>107</v>
      </c>
      <c r="C400">
        <v>15</v>
      </c>
      <c r="D400">
        <v>1</v>
      </c>
      <c r="E400">
        <v>3</v>
      </c>
      <c r="F400">
        <v>3</v>
      </c>
      <c r="G400">
        <v>13</v>
      </c>
      <c r="H400">
        <v>9</v>
      </c>
      <c r="I400">
        <v>1</v>
      </c>
      <c r="J400">
        <v>0.69</v>
      </c>
      <c r="K400">
        <v>0</v>
      </c>
      <c r="L400">
        <v>0</v>
      </c>
      <c r="M400">
        <v>1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>
        <v>0</v>
      </c>
      <c r="AB400">
        <v>0</v>
      </c>
      <c r="AC400">
        <v>0</v>
      </c>
      <c r="AD400">
        <v>0</v>
      </c>
      <c r="AE400">
        <v>1</v>
      </c>
      <c r="AF400">
        <v>0</v>
      </c>
      <c r="AG400">
        <v>1</v>
      </c>
      <c r="AH400" s="86">
        <f>AVERAGEIFS($C$2:C400, $B$2:B400, B400)</f>
        <v>14.476190476190476</v>
      </c>
      <c r="AI400" s="86">
        <f>AVERAGEIFS($I$2:I400, $B$2:B400, B400)</f>
        <v>0.45952380952380945</v>
      </c>
      <c r="AJ400" s="86">
        <f>AVERAGEIFS($J$2:J400, $B$2:B400, B400)</f>
        <v>0.48428571428571426</v>
      </c>
      <c r="AK400" s="86">
        <f>AVERAGEIFS($D$2:D400, $B$2:B400, B400)</f>
        <v>0.5714285714285714</v>
      </c>
    </row>
    <row r="401" spans="1:37" x14ac:dyDescent="0.25">
      <c r="A401" s="85">
        <v>46156</v>
      </c>
      <c r="B401" t="s">
        <v>147</v>
      </c>
      <c r="C401">
        <v>11</v>
      </c>
      <c r="D401">
        <v>1</v>
      </c>
      <c r="E401">
        <v>3</v>
      </c>
      <c r="F401">
        <v>3</v>
      </c>
      <c r="G401">
        <v>13</v>
      </c>
      <c r="H401">
        <v>9</v>
      </c>
      <c r="I401">
        <v>1</v>
      </c>
      <c r="J401">
        <v>0.69</v>
      </c>
      <c r="K401">
        <v>0</v>
      </c>
      <c r="L401">
        <v>0</v>
      </c>
      <c r="M401">
        <v>1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>
        <v>0</v>
      </c>
      <c r="AB401">
        <v>0</v>
      </c>
      <c r="AC401">
        <v>0</v>
      </c>
      <c r="AD401">
        <v>0</v>
      </c>
      <c r="AE401">
        <v>1</v>
      </c>
      <c r="AF401">
        <v>0</v>
      </c>
      <c r="AG401">
        <v>1</v>
      </c>
      <c r="AH401" s="86">
        <f>AVERAGEIFS($C$2:C401, $B$2:B401, B401)</f>
        <v>14.625</v>
      </c>
      <c r="AI401" s="86">
        <f>AVERAGEIFS($I$2:I401, $B$2:B401, B401)</f>
        <v>0.54374999999999996</v>
      </c>
      <c r="AJ401" s="86">
        <f>AVERAGEIFS($J$2:J401, $B$2:B401, B401)</f>
        <v>0.53562500000000002</v>
      </c>
      <c r="AK401" s="86">
        <f>AVERAGEIFS($D$2:D401, $B$2:B401, B401)</f>
        <v>0.4375</v>
      </c>
    </row>
    <row r="402" spans="1:37" x14ac:dyDescent="0.25">
      <c r="A402" s="85">
        <v>46156</v>
      </c>
      <c r="B402" t="s">
        <v>50</v>
      </c>
      <c r="C402">
        <v>17</v>
      </c>
      <c r="D402">
        <v>0</v>
      </c>
      <c r="E402">
        <v>3</v>
      </c>
      <c r="F402">
        <v>0</v>
      </c>
      <c r="G402">
        <v>13</v>
      </c>
      <c r="H402">
        <v>4</v>
      </c>
      <c r="I402">
        <v>0</v>
      </c>
      <c r="J402">
        <v>0.31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>
        <v>0</v>
      </c>
      <c r="AB402">
        <v>0</v>
      </c>
      <c r="AC402">
        <v>0</v>
      </c>
      <c r="AD402">
        <v>0</v>
      </c>
      <c r="AE402">
        <v>0</v>
      </c>
      <c r="AF402">
        <v>0</v>
      </c>
      <c r="AG402">
        <v>0</v>
      </c>
      <c r="AH402" s="86">
        <f>AVERAGEIFS($C$2:C402, $B$2:B402, B402)</f>
        <v>16.333333333333332</v>
      </c>
      <c r="AI402" s="86">
        <f>AVERAGEIFS($I$2:I402, $B$2:B402, B402)</f>
        <v>0.34166666666666662</v>
      </c>
      <c r="AJ402" s="86">
        <f>AVERAGEIFS($J$2:J402, $B$2:B402, B402)</f>
        <v>0.42666666666666658</v>
      </c>
      <c r="AK402" s="86">
        <f>AVERAGEIFS($D$2:D402, $B$2:B402, B402)</f>
        <v>0.33333333333333331</v>
      </c>
    </row>
    <row r="403" spans="1:37" x14ac:dyDescent="0.25">
      <c r="A403" s="85">
        <v>46156</v>
      </c>
      <c r="B403" t="s">
        <v>141</v>
      </c>
      <c r="C403">
        <v>17</v>
      </c>
      <c r="D403">
        <v>0</v>
      </c>
      <c r="E403">
        <v>3</v>
      </c>
      <c r="F403">
        <v>0</v>
      </c>
      <c r="G403">
        <v>13</v>
      </c>
      <c r="H403">
        <v>4</v>
      </c>
      <c r="I403">
        <v>0</v>
      </c>
      <c r="J403">
        <v>0.31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>
        <v>0</v>
      </c>
      <c r="AB403">
        <v>0</v>
      </c>
      <c r="AC403">
        <v>0</v>
      </c>
      <c r="AD403">
        <v>0</v>
      </c>
      <c r="AE403">
        <v>0</v>
      </c>
      <c r="AF403">
        <v>0</v>
      </c>
      <c r="AG403">
        <v>0</v>
      </c>
      <c r="AH403" s="86">
        <f>AVERAGEIFS($C$2:C403, $B$2:B403, B403)</f>
        <v>15.928571428571429</v>
      </c>
      <c r="AI403" s="86">
        <f>AVERAGEIFS($I$2:I403, $B$2:B403, B403)</f>
        <v>0.52142857142857146</v>
      </c>
      <c r="AJ403" s="86">
        <f>AVERAGEIFS($J$2:J403, $B$2:B403, B403)</f>
        <v>0.51357142857142857</v>
      </c>
      <c r="AK403" s="86">
        <f>AVERAGEIFS($D$2:D403, $B$2:B403, B403)</f>
        <v>0.6428571428571429</v>
      </c>
    </row>
    <row r="404" spans="1:37" x14ac:dyDescent="0.25">
      <c r="A404" s="85">
        <v>46156</v>
      </c>
      <c r="B404" t="s">
        <v>115</v>
      </c>
      <c r="C404">
        <v>7</v>
      </c>
      <c r="D404">
        <v>0</v>
      </c>
      <c r="E404">
        <v>3</v>
      </c>
      <c r="F404">
        <v>0</v>
      </c>
      <c r="G404">
        <v>13</v>
      </c>
      <c r="H404">
        <v>4</v>
      </c>
      <c r="I404">
        <v>0</v>
      </c>
      <c r="J404">
        <v>0.31</v>
      </c>
      <c r="K404">
        <v>0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0</v>
      </c>
      <c r="AA404">
        <v>0</v>
      </c>
      <c r="AB404">
        <v>0</v>
      </c>
      <c r="AC404">
        <v>0</v>
      </c>
      <c r="AD404">
        <v>0</v>
      </c>
      <c r="AE404">
        <v>0</v>
      </c>
      <c r="AF404">
        <v>0</v>
      </c>
      <c r="AG404">
        <v>0</v>
      </c>
      <c r="AH404" s="86">
        <f>AVERAGEIFS($C$2:C404, $B$2:B404, B404)</f>
        <v>7</v>
      </c>
      <c r="AI404" s="86">
        <f>AVERAGEIFS($I$2:I404, $B$2:B404, B404)</f>
        <v>0</v>
      </c>
      <c r="AJ404" s="86">
        <f>AVERAGEIFS($J$2:J404, $B$2:B404, B404)</f>
        <v>0.31</v>
      </c>
      <c r="AK404" s="86">
        <f>AVERAGEIFS($D$2:D404, $B$2:B404, B404)</f>
        <v>0</v>
      </c>
    </row>
    <row r="405" spans="1:37" x14ac:dyDescent="0.25">
      <c r="A405" s="85">
        <v>46156</v>
      </c>
      <c r="B405" t="s">
        <v>5</v>
      </c>
      <c r="C405">
        <v>9</v>
      </c>
      <c r="D405">
        <v>0</v>
      </c>
      <c r="E405">
        <v>3</v>
      </c>
      <c r="F405">
        <v>0</v>
      </c>
      <c r="G405">
        <v>13</v>
      </c>
      <c r="H405">
        <v>4</v>
      </c>
      <c r="I405">
        <v>0</v>
      </c>
      <c r="J405">
        <v>0.31</v>
      </c>
      <c r="K405">
        <v>0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0</v>
      </c>
      <c r="Z405">
        <v>0</v>
      </c>
      <c r="AA405">
        <v>0</v>
      </c>
      <c r="AB405">
        <v>0</v>
      </c>
      <c r="AC405">
        <v>0</v>
      </c>
      <c r="AD405">
        <v>0</v>
      </c>
      <c r="AE405">
        <v>0</v>
      </c>
      <c r="AF405">
        <v>0</v>
      </c>
      <c r="AG405">
        <v>0</v>
      </c>
      <c r="AH405" s="86">
        <f>AVERAGEIFS($C$2:C405, $B$2:B405, B405)</f>
        <v>18.047619047619047</v>
      </c>
      <c r="AI405" s="86">
        <f>AVERAGEIFS($I$2:I405, $B$2:B405, B405)</f>
        <v>0.45714285714285718</v>
      </c>
      <c r="AJ405" s="86">
        <f>AVERAGEIFS($J$2:J405, $B$2:B405, B405)</f>
        <v>0.47809523809523813</v>
      </c>
      <c r="AK405" s="86">
        <f>AVERAGEIFS($D$2:D405, $B$2:B405, B405)</f>
        <v>0.47619047619047616</v>
      </c>
    </row>
    <row r="406" spans="1:37" x14ac:dyDescent="0.25">
      <c r="A406" s="85">
        <v>46156</v>
      </c>
      <c r="B406" t="s">
        <v>148</v>
      </c>
      <c r="C406">
        <v>2</v>
      </c>
      <c r="D406">
        <v>0</v>
      </c>
      <c r="E406">
        <v>3</v>
      </c>
      <c r="F406">
        <v>0</v>
      </c>
      <c r="G406">
        <v>13</v>
      </c>
      <c r="H406">
        <v>4</v>
      </c>
      <c r="I406">
        <v>0</v>
      </c>
      <c r="J406">
        <v>0.31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 s="86">
        <f>AVERAGEIFS($C$2:C406, $B$2:B406, B406)</f>
        <v>5.666666666666667</v>
      </c>
      <c r="AI406" s="86">
        <f>AVERAGEIFS($I$2:I406, $B$2:B406, B406)</f>
        <v>0.33333333333333331</v>
      </c>
      <c r="AJ406" s="86">
        <f>AVERAGEIFS($J$2:J406, $B$2:B406, B406)</f>
        <v>0.44666666666666671</v>
      </c>
      <c r="AK406" s="86">
        <f>AVERAGEIFS($D$2:D406, $B$2:B406, B406)</f>
        <v>0.33333333333333331</v>
      </c>
    </row>
    <row r="407" spans="1:37" x14ac:dyDescent="0.25">
      <c r="A407" s="85">
        <v>46156</v>
      </c>
      <c r="B407" t="s">
        <v>13</v>
      </c>
      <c r="C407">
        <v>14</v>
      </c>
      <c r="D407">
        <v>0</v>
      </c>
      <c r="E407">
        <v>3</v>
      </c>
      <c r="F407">
        <v>0</v>
      </c>
      <c r="G407">
        <v>13</v>
      </c>
      <c r="H407">
        <v>4</v>
      </c>
      <c r="I407">
        <v>0</v>
      </c>
      <c r="J407">
        <v>0.31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v>0</v>
      </c>
      <c r="AH407" s="86">
        <f>AVERAGEIFS($C$2:C407, $B$2:B407, B407)</f>
        <v>16.272727272727273</v>
      </c>
      <c r="AI407" s="86">
        <f>AVERAGEIFS($I$2:I407, $B$2:B407, B407)</f>
        <v>0.44090909090909086</v>
      </c>
      <c r="AJ407" s="86">
        <f>AVERAGEIFS($J$2:J407, $B$2:B407, B407)</f>
        <v>0.44818181818181818</v>
      </c>
      <c r="AK407" s="86">
        <f>AVERAGEIFS($D$2:D407, $B$2:B407, B407)</f>
        <v>0.45454545454545453</v>
      </c>
    </row>
    <row r="408" spans="1:37" x14ac:dyDescent="0.25">
      <c r="A408" s="85">
        <v>46157</v>
      </c>
      <c r="B408" t="s">
        <v>4</v>
      </c>
      <c r="C408">
        <v>28</v>
      </c>
      <c r="D408">
        <v>0</v>
      </c>
      <c r="E408">
        <v>3</v>
      </c>
      <c r="F408">
        <v>0</v>
      </c>
      <c r="G408">
        <v>14</v>
      </c>
      <c r="H408">
        <v>5</v>
      </c>
      <c r="I408">
        <v>0</v>
      </c>
      <c r="J408">
        <v>0.36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0</v>
      </c>
      <c r="AH408" s="86">
        <f>AVERAGEIFS($C$2:C408, $B$2:B408, B408)</f>
        <v>24.875</v>
      </c>
      <c r="AI408" s="86">
        <f>AVERAGEIFS($I$2:I408, $B$2:B408, B408)</f>
        <v>0.54062500000000002</v>
      </c>
      <c r="AJ408" s="86">
        <f>AVERAGEIFS($J$2:J408, $B$2:B408, B408)</f>
        <v>0.51812499999999995</v>
      </c>
      <c r="AK408" s="86">
        <f>AVERAGEIFS($D$2:D408, $B$2:B408, B408)</f>
        <v>0.625</v>
      </c>
    </row>
    <row r="409" spans="1:37" x14ac:dyDescent="0.25">
      <c r="A409" s="85">
        <v>46157</v>
      </c>
      <c r="B409" t="s">
        <v>150</v>
      </c>
      <c r="C409">
        <v>26</v>
      </c>
      <c r="D409">
        <v>0</v>
      </c>
      <c r="E409">
        <v>3</v>
      </c>
      <c r="F409">
        <v>0</v>
      </c>
      <c r="G409">
        <v>14</v>
      </c>
      <c r="H409">
        <v>5</v>
      </c>
      <c r="I409">
        <v>0</v>
      </c>
      <c r="J409">
        <v>0.36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0</v>
      </c>
      <c r="AH409" s="86">
        <f>AVERAGEIFS($C$2:C409, $B$2:B409, B409)</f>
        <v>19.882352941176471</v>
      </c>
      <c r="AI409" s="86">
        <f>AVERAGEIFS($I$2:I409, $B$2:B409, B409)</f>
        <v>0.63235294117647056</v>
      </c>
      <c r="AJ409" s="86">
        <f>AVERAGEIFS($J$2:J409, $B$2:B409, B409)</f>
        <v>0.59588235294117642</v>
      </c>
      <c r="AK409" s="86">
        <f>AVERAGEIFS($D$2:D409, $B$2:B409, B409)</f>
        <v>0.70588235294117652</v>
      </c>
    </row>
    <row r="410" spans="1:37" x14ac:dyDescent="0.25">
      <c r="A410" s="85">
        <v>46157</v>
      </c>
      <c r="B410" t="s">
        <v>13</v>
      </c>
      <c r="C410">
        <v>14</v>
      </c>
      <c r="D410">
        <v>0</v>
      </c>
      <c r="E410">
        <v>3</v>
      </c>
      <c r="F410">
        <v>0</v>
      </c>
      <c r="G410">
        <v>14</v>
      </c>
      <c r="H410">
        <v>5</v>
      </c>
      <c r="I410">
        <v>0</v>
      </c>
      <c r="J410">
        <v>0.36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v>0</v>
      </c>
      <c r="AH410" s="86">
        <f>AVERAGEIFS($C$2:C410, $B$2:B410, B410)</f>
        <v>16.083333333333332</v>
      </c>
      <c r="AI410" s="86">
        <f>AVERAGEIFS($I$2:I410, $B$2:B410, B410)</f>
        <v>0.40416666666666662</v>
      </c>
      <c r="AJ410" s="86">
        <f>AVERAGEIFS($J$2:J410, $B$2:B410, B410)</f>
        <v>0.44083333333333335</v>
      </c>
      <c r="AK410" s="86">
        <f>AVERAGEIFS($D$2:D410, $B$2:B410, B410)</f>
        <v>0.41666666666666669</v>
      </c>
    </row>
    <row r="411" spans="1:37" x14ac:dyDescent="0.25">
      <c r="A411" s="85">
        <v>46157</v>
      </c>
      <c r="B411" t="s">
        <v>152</v>
      </c>
      <c r="C411">
        <v>9</v>
      </c>
      <c r="D411">
        <v>0</v>
      </c>
      <c r="E411">
        <v>3</v>
      </c>
      <c r="F411">
        <v>0</v>
      </c>
      <c r="G411">
        <v>14</v>
      </c>
      <c r="H411">
        <v>5</v>
      </c>
      <c r="I411">
        <v>0</v>
      </c>
      <c r="J411">
        <v>0.36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>
        <v>0</v>
      </c>
      <c r="AH411" s="86">
        <f>AVERAGEIFS($C$2:C411, $B$2:B411, B411)</f>
        <v>10.857142857142858</v>
      </c>
      <c r="AI411" s="86">
        <f>AVERAGEIFS($I$2:I411, $B$2:B411, B411)</f>
        <v>0.32142857142857145</v>
      </c>
      <c r="AJ411" s="86">
        <f>AVERAGEIFS($J$2:J411, $B$2:B411, B411)</f>
        <v>0.43142857142857144</v>
      </c>
      <c r="AK411" s="86">
        <f>AVERAGEIFS($D$2:D411, $B$2:B411, B411)</f>
        <v>0.2857142857142857</v>
      </c>
    </row>
    <row r="412" spans="1:37" x14ac:dyDescent="0.25">
      <c r="A412" s="85">
        <v>46157</v>
      </c>
      <c r="B412" t="s">
        <v>70</v>
      </c>
      <c r="C412">
        <v>11</v>
      </c>
      <c r="D412">
        <v>0</v>
      </c>
      <c r="E412">
        <v>3</v>
      </c>
      <c r="F412">
        <v>0</v>
      </c>
      <c r="G412">
        <v>14</v>
      </c>
      <c r="H412">
        <v>5</v>
      </c>
      <c r="I412">
        <v>0</v>
      </c>
      <c r="J412">
        <v>0.36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v>0</v>
      </c>
      <c r="AD412">
        <v>0</v>
      </c>
      <c r="AE412">
        <v>0</v>
      </c>
      <c r="AF412">
        <v>0</v>
      </c>
      <c r="AG412">
        <v>0</v>
      </c>
      <c r="AH412" s="86">
        <f>AVERAGEIFS($C$2:C412, $B$2:B412, B412)</f>
        <v>9</v>
      </c>
      <c r="AI412" s="86">
        <f>AVERAGEIFS($I$2:I412, $B$2:B412, B412)</f>
        <v>0.16666666666666666</v>
      </c>
      <c r="AJ412" s="86">
        <f>AVERAGEIFS($J$2:J412, $B$2:B412, B412)</f>
        <v>0.40000000000000008</v>
      </c>
      <c r="AK412" s="86">
        <f>AVERAGEIFS($D$2:D412, $B$2:B412, B412)</f>
        <v>0</v>
      </c>
    </row>
    <row r="413" spans="1:37" x14ac:dyDescent="0.25">
      <c r="A413" s="85">
        <v>46157</v>
      </c>
      <c r="B413" t="s">
        <v>35</v>
      </c>
      <c r="C413">
        <v>7</v>
      </c>
      <c r="D413">
        <v>0</v>
      </c>
      <c r="E413">
        <v>3</v>
      </c>
      <c r="F413">
        <v>0</v>
      </c>
      <c r="G413">
        <v>14</v>
      </c>
      <c r="H413">
        <v>5</v>
      </c>
      <c r="I413">
        <v>0</v>
      </c>
      <c r="J413">
        <v>0.36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0</v>
      </c>
      <c r="AD413">
        <v>0</v>
      </c>
      <c r="AE413">
        <v>0</v>
      </c>
      <c r="AF413">
        <v>0</v>
      </c>
      <c r="AG413">
        <v>0</v>
      </c>
      <c r="AH413" s="86">
        <f>AVERAGEIFS($C$2:C413, $B$2:B413, B413)</f>
        <v>7.375</v>
      </c>
      <c r="AI413" s="86">
        <f>AVERAGEIFS($I$2:I413, $B$2:B413, B413)</f>
        <v>0.34375</v>
      </c>
      <c r="AJ413" s="86">
        <f>AVERAGEIFS($J$2:J413, $B$2:B413, B413)</f>
        <v>0.43375000000000002</v>
      </c>
      <c r="AK413" s="86">
        <f>AVERAGEIFS($D$2:D413, $B$2:B413, B413)</f>
        <v>0.25</v>
      </c>
    </row>
    <row r="414" spans="1:37" x14ac:dyDescent="0.25">
      <c r="A414" s="85">
        <v>46157</v>
      </c>
      <c r="B414" t="s">
        <v>54</v>
      </c>
      <c r="C414">
        <v>18</v>
      </c>
      <c r="D414">
        <v>1</v>
      </c>
      <c r="E414">
        <v>3</v>
      </c>
      <c r="F414">
        <v>3</v>
      </c>
      <c r="G414">
        <v>14</v>
      </c>
      <c r="H414">
        <v>9</v>
      </c>
      <c r="I414">
        <v>1</v>
      </c>
      <c r="J414">
        <v>0.64</v>
      </c>
      <c r="K414">
        <v>0</v>
      </c>
      <c r="L414">
        <v>0</v>
      </c>
      <c r="M414">
        <v>1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v>1</v>
      </c>
      <c r="AD414">
        <v>0</v>
      </c>
      <c r="AE414">
        <v>0</v>
      </c>
      <c r="AF414">
        <v>0</v>
      </c>
      <c r="AG414">
        <v>1</v>
      </c>
      <c r="AH414" s="86">
        <f>AVERAGEIFS($C$2:C414, $B$2:B414, B414)</f>
        <v>21.4</v>
      </c>
      <c r="AI414" s="86">
        <f>AVERAGEIFS($I$2:I414, $B$2:B414, B414)</f>
        <v>0.53333333333333333</v>
      </c>
      <c r="AJ414" s="86">
        <f>AVERAGEIFS($J$2:J414, $B$2:B414, B414)</f>
        <v>0.5046666666666666</v>
      </c>
      <c r="AK414" s="86">
        <f>AVERAGEIFS($D$2:D414, $B$2:B414, B414)</f>
        <v>0.53333333333333333</v>
      </c>
    </row>
    <row r="415" spans="1:37" x14ac:dyDescent="0.25">
      <c r="A415" s="85">
        <v>46157</v>
      </c>
      <c r="B415" t="s">
        <v>44</v>
      </c>
      <c r="C415">
        <v>6</v>
      </c>
      <c r="D415">
        <v>1</v>
      </c>
      <c r="E415">
        <v>3</v>
      </c>
      <c r="F415">
        <v>3</v>
      </c>
      <c r="G415">
        <v>14</v>
      </c>
      <c r="H415">
        <v>9</v>
      </c>
      <c r="I415">
        <v>1</v>
      </c>
      <c r="J415">
        <v>0.64</v>
      </c>
      <c r="K415">
        <v>0</v>
      </c>
      <c r="L415">
        <v>0</v>
      </c>
      <c r="M415">
        <v>1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1</v>
      </c>
      <c r="AD415">
        <v>0</v>
      </c>
      <c r="AE415">
        <v>0</v>
      </c>
      <c r="AF415">
        <v>0</v>
      </c>
      <c r="AG415">
        <v>1</v>
      </c>
      <c r="AH415" s="86">
        <f>AVERAGEIFS($C$2:C415, $B$2:B415, B415)</f>
        <v>16.208333333333332</v>
      </c>
      <c r="AI415" s="86">
        <f>AVERAGEIFS($I$2:I415, $B$2:B415, B415)</f>
        <v>0.57708333333333328</v>
      </c>
      <c r="AJ415" s="86">
        <f>AVERAGEIFS($J$2:J415, $B$2:B415, B415)</f>
        <v>0.53541666666666665</v>
      </c>
      <c r="AK415" s="86">
        <f>AVERAGEIFS($D$2:D415, $B$2:B415, B415)</f>
        <v>0.58333333333333337</v>
      </c>
    </row>
    <row r="416" spans="1:37" x14ac:dyDescent="0.25">
      <c r="A416" s="85">
        <v>46157</v>
      </c>
      <c r="B416" t="s">
        <v>50</v>
      </c>
      <c r="C416">
        <v>20</v>
      </c>
      <c r="D416">
        <v>1</v>
      </c>
      <c r="E416">
        <v>3</v>
      </c>
      <c r="F416">
        <v>3</v>
      </c>
      <c r="G416">
        <v>14</v>
      </c>
      <c r="H416">
        <v>9</v>
      </c>
      <c r="I416">
        <v>1</v>
      </c>
      <c r="J416">
        <v>0.64</v>
      </c>
      <c r="K416">
        <v>0</v>
      </c>
      <c r="L416">
        <v>0</v>
      </c>
      <c r="M416">
        <v>1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1</v>
      </c>
      <c r="AD416">
        <v>0</v>
      </c>
      <c r="AE416">
        <v>0</v>
      </c>
      <c r="AF416">
        <v>0</v>
      </c>
      <c r="AG416">
        <v>1</v>
      </c>
      <c r="AH416" s="86">
        <f>AVERAGEIFS($C$2:C416, $B$2:B416, B416)</f>
        <v>16.615384615384617</v>
      </c>
      <c r="AI416" s="86">
        <f>AVERAGEIFS($I$2:I416, $B$2:B416, B416)</f>
        <v>0.3923076923076923</v>
      </c>
      <c r="AJ416" s="86">
        <f>AVERAGEIFS($J$2:J416, $B$2:B416, B416)</f>
        <v>0.44307692307692298</v>
      </c>
      <c r="AK416" s="86">
        <f>AVERAGEIFS($D$2:D416, $B$2:B416, B416)</f>
        <v>0.38461538461538464</v>
      </c>
    </row>
    <row r="417" spans="1:37" x14ac:dyDescent="0.25">
      <c r="A417" s="85">
        <v>46157</v>
      </c>
      <c r="B417" t="s">
        <v>37</v>
      </c>
      <c r="C417">
        <v>19</v>
      </c>
      <c r="D417">
        <v>1</v>
      </c>
      <c r="E417">
        <v>3</v>
      </c>
      <c r="F417">
        <v>3</v>
      </c>
      <c r="G417">
        <v>14</v>
      </c>
      <c r="H417">
        <v>9</v>
      </c>
      <c r="I417">
        <v>1</v>
      </c>
      <c r="J417">
        <v>0.64</v>
      </c>
      <c r="K417">
        <v>0</v>
      </c>
      <c r="L417">
        <v>0</v>
      </c>
      <c r="M417">
        <v>1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1</v>
      </c>
      <c r="AD417">
        <v>0</v>
      </c>
      <c r="AE417">
        <v>0</v>
      </c>
      <c r="AF417">
        <v>0</v>
      </c>
      <c r="AG417">
        <v>1</v>
      </c>
      <c r="AH417" s="86">
        <f>AVERAGEIFS($C$2:C417, $B$2:B417, B417)</f>
        <v>20</v>
      </c>
      <c r="AI417" s="86">
        <f>AVERAGEIFS($I$2:I417, $B$2:B417, B417)</f>
        <v>0.83333333333333337</v>
      </c>
      <c r="AJ417" s="86">
        <f>AVERAGEIFS($J$2:J417, $B$2:B417, B417)</f>
        <v>0.60333333333333339</v>
      </c>
      <c r="AK417" s="86">
        <f>AVERAGEIFS($D$2:D417, $B$2:B417, B417)</f>
        <v>1</v>
      </c>
    </row>
    <row r="418" spans="1:37" x14ac:dyDescent="0.25">
      <c r="A418" s="85">
        <v>46157</v>
      </c>
      <c r="B418" t="s">
        <v>224</v>
      </c>
      <c r="C418">
        <v>10</v>
      </c>
      <c r="D418">
        <v>1</v>
      </c>
      <c r="E418">
        <v>3</v>
      </c>
      <c r="F418">
        <v>3</v>
      </c>
      <c r="G418">
        <v>14</v>
      </c>
      <c r="H418">
        <v>9</v>
      </c>
      <c r="I418">
        <v>1</v>
      </c>
      <c r="J418">
        <v>0.64</v>
      </c>
      <c r="K418">
        <v>0</v>
      </c>
      <c r="L418">
        <v>0</v>
      </c>
      <c r="M418">
        <v>1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1</v>
      </c>
      <c r="AD418">
        <v>0</v>
      </c>
      <c r="AE418">
        <v>0</v>
      </c>
      <c r="AF418">
        <v>0</v>
      </c>
      <c r="AG418">
        <v>1</v>
      </c>
      <c r="AH418" s="86">
        <f>AVERAGEIFS($C$2:C418, $B$2:B418, B418)</f>
        <v>10</v>
      </c>
      <c r="AI418" s="86">
        <f>AVERAGEIFS($I$2:I418, $B$2:B418, B418)</f>
        <v>1</v>
      </c>
      <c r="AJ418" s="86">
        <f>AVERAGEIFS($J$2:J418, $B$2:B418, B418)</f>
        <v>0.64</v>
      </c>
      <c r="AK418" s="86">
        <f>AVERAGEIFS($D$2:D418, $B$2:B418, B418)</f>
        <v>1</v>
      </c>
    </row>
    <row r="419" spans="1:37" x14ac:dyDescent="0.25">
      <c r="A419" s="85">
        <v>46157</v>
      </c>
      <c r="B419" t="s">
        <v>17</v>
      </c>
      <c r="C419">
        <v>31</v>
      </c>
      <c r="D419">
        <v>1</v>
      </c>
      <c r="E419">
        <v>3</v>
      </c>
      <c r="F419">
        <v>3</v>
      </c>
      <c r="G419">
        <v>14</v>
      </c>
      <c r="H419">
        <v>9</v>
      </c>
      <c r="I419">
        <v>1</v>
      </c>
      <c r="J419">
        <v>0.64</v>
      </c>
      <c r="K419">
        <v>0</v>
      </c>
      <c r="L419">
        <v>0</v>
      </c>
      <c r="M419">
        <v>1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1</v>
      </c>
      <c r="AD419">
        <v>0</v>
      </c>
      <c r="AE419">
        <v>0</v>
      </c>
      <c r="AF419">
        <v>0</v>
      </c>
      <c r="AG419">
        <v>1</v>
      </c>
      <c r="AH419" s="86">
        <f>AVERAGEIFS($C$2:C419, $B$2:B419, B419)</f>
        <v>19</v>
      </c>
      <c r="AI419" s="86">
        <f>AVERAGEIFS($I$2:I419, $B$2:B419, B419)</f>
        <v>0.66999999999999993</v>
      </c>
      <c r="AJ419" s="86">
        <f>AVERAGEIFS($J$2:J419, $B$2:B419, B419)</f>
        <v>0.55066666666666664</v>
      </c>
      <c r="AK419" s="86">
        <f>AVERAGEIFS($D$2:D419, $B$2:B419, B419)</f>
        <v>0.8</v>
      </c>
    </row>
    <row r="420" spans="1:37" x14ac:dyDescent="0.25">
      <c r="A420" s="85">
        <v>46157</v>
      </c>
      <c r="B420" t="s">
        <v>115</v>
      </c>
      <c r="C420">
        <v>24</v>
      </c>
      <c r="D420">
        <v>0</v>
      </c>
      <c r="E420">
        <v>5</v>
      </c>
      <c r="F420">
        <v>2</v>
      </c>
      <c r="G420">
        <v>21</v>
      </c>
      <c r="H420">
        <v>9</v>
      </c>
      <c r="I420">
        <v>0.4</v>
      </c>
      <c r="J420">
        <v>0.43</v>
      </c>
      <c r="K420">
        <v>0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v>1</v>
      </c>
      <c r="AH420" s="86">
        <f>AVERAGEIFS($C$2:C420, $B$2:B420, B420)</f>
        <v>15.5</v>
      </c>
      <c r="AI420" s="86">
        <f>AVERAGEIFS($I$2:I420, $B$2:B420, B420)</f>
        <v>0.2</v>
      </c>
      <c r="AJ420" s="86">
        <f>AVERAGEIFS($J$2:J420, $B$2:B420, B420)</f>
        <v>0.37</v>
      </c>
      <c r="AK420" s="86">
        <f>AVERAGEIFS($D$2:D420, $B$2:B420, B420)</f>
        <v>0</v>
      </c>
    </row>
    <row r="421" spans="1:37" x14ac:dyDescent="0.25">
      <c r="A421" s="85">
        <v>46157</v>
      </c>
      <c r="B421" t="s">
        <v>179</v>
      </c>
      <c r="C421">
        <v>26</v>
      </c>
      <c r="D421">
        <v>0</v>
      </c>
      <c r="E421">
        <v>5</v>
      </c>
      <c r="F421">
        <v>2</v>
      </c>
      <c r="G421">
        <v>21</v>
      </c>
      <c r="H421">
        <v>9</v>
      </c>
      <c r="I421">
        <v>0.4</v>
      </c>
      <c r="J421">
        <v>0.43</v>
      </c>
      <c r="K421">
        <v>0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1</v>
      </c>
      <c r="AH421" s="86">
        <f>AVERAGEIFS($C$2:C421, $B$2:B421, B421)</f>
        <v>17.666666666666668</v>
      </c>
      <c r="AI421" s="86">
        <f>AVERAGEIFS($I$2:I421, $B$2:B421, B421)</f>
        <v>0.49166666666666664</v>
      </c>
      <c r="AJ421" s="86">
        <f>AVERAGEIFS($J$2:J421, $B$2:B421, B421)</f>
        <v>0.51</v>
      </c>
      <c r="AK421" s="86">
        <f>AVERAGEIFS($D$2:D421, $B$2:B421, B421)</f>
        <v>0.33333333333333331</v>
      </c>
    </row>
    <row r="422" spans="1:37" x14ac:dyDescent="0.25">
      <c r="A422" s="85">
        <v>46157</v>
      </c>
      <c r="B422" t="s">
        <v>40</v>
      </c>
      <c r="C422">
        <v>14</v>
      </c>
      <c r="D422">
        <v>0</v>
      </c>
      <c r="E422">
        <v>5</v>
      </c>
      <c r="F422">
        <v>2</v>
      </c>
      <c r="G422">
        <v>21</v>
      </c>
      <c r="H422">
        <v>9</v>
      </c>
      <c r="I422">
        <v>0.4</v>
      </c>
      <c r="J422">
        <v>0.43</v>
      </c>
      <c r="K422">
        <v>0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1</v>
      </c>
      <c r="AH422" s="86">
        <f>AVERAGEIFS($C$2:C422, $B$2:B422, B422)</f>
        <v>18.782608695652176</v>
      </c>
      <c r="AI422" s="86">
        <f>AVERAGEIFS($I$2:I422, $B$2:B422, B422)</f>
        <v>0.44347826086956527</v>
      </c>
      <c r="AJ422" s="86">
        <f>AVERAGEIFS($J$2:J422, $B$2:B422, B422)</f>
        <v>0.47565217391304343</v>
      </c>
      <c r="AK422" s="86">
        <f>AVERAGEIFS($D$2:D422, $B$2:B422, B422)</f>
        <v>0.39130434782608697</v>
      </c>
    </row>
    <row r="423" spans="1:37" x14ac:dyDescent="0.25">
      <c r="A423" s="85">
        <v>46157</v>
      </c>
      <c r="B423" t="s">
        <v>113</v>
      </c>
      <c r="C423">
        <v>26</v>
      </c>
      <c r="D423">
        <v>0</v>
      </c>
      <c r="E423">
        <v>5</v>
      </c>
      <c r="F423">
        <v>2</v>
      </c>
      <c r="G423">
        <v>21</v>
      </c>
      <c r="H423">
        <v>9</v>
      </c>
      <c r="I423">
        <v>0.4</v>
      </c>
      <c r="J423">
        <v>0.43</v>
      </c>
      <c r="K423">
        <v>0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1</v>
      </c>
      <c r="AH423" s="86">
        <f>AVERAGEIFS($C$2:C423, $B$2:B423, B423)</f>
        <v>19.666666666666668</v>
      </c>
      <c r="AI423" s="86">
        <f>AVERAGEIFS($I$2:I423, $B$2:B423, B423)</f>
        <v>0.55238095238095242</v>
      </c>
      <c r="AJ423" s="86">
        <f>AVERAGEIFS($J$2:J423, $B$2:B423, B423)</f>
        <v>0.54190476190476189</v>
      </c>
      <c r="AK423" s="86">
        <f>AVERAGEIFS($D$2:D423, $B$2:B423, B423)</f>
        <v>0.47619047619047616</v>
      </c>
    </row>
    <row r="424" spans="1:37" x14ac:dyDescent="0.25">
      <c r="A424" s="85">
        <v>46157</v>
      </c>
      <c r="B424" t="s">
        <v>140</v>
      </c>
      <c r="C424">
        <v>5</v>
      </c>
      <c r="D424">
        <v>0</v>
      </c>
      <c r="E424">
        <v>5</v>
      </c>
      <c r="F424">
        <v>2</v>
      </c>
      <c r="G424">
        <v>21</v>
      </c>
      <c r="H424">
        <v>9</v>
      </c>
      <c r="I424">
        <v>0.4</v>
      </c>
      <c r="J424">
        <v>0.43</v>
      </c>
      <c r="K424">
        <v>0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1</v>
      </c>
      <c r="AH424" s="86">
        <f>AVERAGEIFS($C$2:C424, $B$2:B424, B424)</f>
        <v>12.142857142857142</v>
      </c>
      <c r="AI424" s="86">
        <f>AVERAGEIFS($I$2:I424, $B$2:B424, B424)</f>
        <v>0.6428571428571429</v>
      </c>
      <c r="AJ424" s="86">
        <f>AVERAGEIFS($J$2:J424, $B$2:B424, B424)</f>
        <v>0.56571428571428573</v>
      </c>
      <c r="AK424" s="86">
        <f>AVERAGEIFS($D$2:D424, $B$2:B424, B424)</f>
        <v>0.7142857142857143</v>
      </c>
    </row>
    <row r="425" spans="1:37" x14ac:dyDescent="0.25">
      <c r="A425" s="85">
        <v>46157</v>
      </c>
      <c r="B425" t="s">
        <v>71</v>
      </c>
      <c r="C425">
        <v>29</v>
      </c>
      <c r="D425">
        <v>0</v>
      </c>
      <c r="E425">
        <v>5</v>
      </c>
      <c r="F425">
        <v>2</v>
      </c>
      <c r="G425">
        <v>21</v>
      </c>
      <c r="H425">
        <v>9</v>
      </c>
      <c r="I425">
        <v>0.4</v>
      </c>
      <c r="J425">
        <v>0.43</v>
      </c>
      <c r="K425">
        <v>0</v>
      </c>
      <c r="L425">
        <v>0</v>
      </c>
      <c r="M425">
        <v>0</v>
      </c>
      <c r="N425">
        <v>1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0</v>
      </c>
      <c r="AA425">
        <v>0</v>
      </c>
      <c r="AB425">
        <v>0</v>
      </c>
      <c r="AC425">
        <v>0</v>
      </c>
      <c r="AD425">
        <v>0</v>
      </c>
      <c r="AE425">
        <v>0</v>
      </c>
      <c r="AF425">
        <v>0</v>
      </c>
      <c r="AG425">
        <v>1</v>
      </c>
      <c r="AH425" s="86">
        <f>AVERAGEIFS($C$2:C425, $B$2:B425, B425)</f>
        <v>13.533333333333333</v>
      </c>
      <c r="AI425" s="86">
        <f>AVERAGEIFS($I$2:I425, $B$2:B425, B425)</f>
        <v>0.41333333333333333</v>
      </c>
      <c r="AJ425" s="86">
        <f>AVERAGEIFS($J$2:J425, $B$2:B425, B425)</f>
        <v>0.45733333333333326</v>
      </c>
      <c r="AK425" s="86">
        <f>AVERAGEIFS($D$2:D425, $B$2:B425, B425)</f>
        <v>0.33333333333333331</v>
      </c>
    </row>
    <row r="426" spans="1:37" x14ac:dyDescent="0.25">
      <c r="A426" s="85">
        <v>46157</v>
      </c>
      <c r="B426" t="s">
        <v>150</v>
      </c>
      <c r="C426">
        <v>19</v>
      </c>
      <c r="D426">
        <v>0</v>
      </c>
      <c r="E426">
        <v>5</v>
      </c>
      <c r="F426">
        <v>2</v>
      </c>
      <c r="G426">
        <v>21</v>
      </c>
      <c r="H426">
        <v>9</v>
      </c>
      <c r="I426">
        <v>0.4</v>
      </c>
      <c r="J426">
        <v>0.43</v>
      </c>
      <c r="K426">
        <v>0</v>
      </c>
      <c r="L426">
        <v>0</v>
      </c>
      <c r="M426">
        <v>0</v>
      </c>
      <c r="N426">
        <v>1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0</v>
      </c>
      <c r="AA426">
        <v>0</v>
      </c>
      <c r="AB426">
        <v>0</v>
      </c>
      <c r="AC426">
        <v>0</v>
      </c>
      <c r="AD426">
        <v>0</v>
      </c>
      <c r="AE426">
        <v>0</v>
      </c>
      <c r="AF426">
        <v>0</v>
      </c>
      <c r="AG426">
        <v>1</v>
      </c>
      <c r="AH426" s="86">
        <f>AVERAGEIFS($C$2:C426, $B$2:B426, B426)</f>
        <v>19.833333333333332</v>
      </c>
      <c r="AI426" s="86">
        <f>AVERAGEIFS($I$2:I426, $B$2:B426, B426)</f>
        <v>0.61944444444444446</v>
      </c>
      <c r="AJ426" s="86">
        <f>AVERAGEIFS($J$2:J426, $B$2:B426, B426)</f>
        <v>0.58666666666666656</v>
      </c>
      <c r="AK426" s="86">
        <f>AVERAGEIFS($D$2:D426, $B$2:B426, B426)</f>
        <v>0.66666666666666663</v>
      </c>
    </row>
    <row r="427" spans="1:37" x14ac:dyDescent="0.25">
      <c r="A427" s="85">
        <v>46157</v>
      </c>
      <c r="B427" t="s">
        <v>42</v>
      </c>
      <c r="C427">
        <v>20</v>
      </c>
      <c r="D427">
        <v>1</v>
      </c>
      <c r="E427">
        <v>5</v>
      </c>
      <c r="F427">
        <v>3</v>
      </c>
      <c r="G427">
        <v>21</v>
      </c>
      <c r="H427">
        <v>12</v>
      </c>
      <c r="I427">
        <v>0.6</v>
      </c>
      <c r="J427">
        <v>0.56999999999999995</v>
      </c>
      <c r="K427">
        <v>1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>
        <v>0</v>
      </c>
      <c r="AB427">
        <v>0</v>
      </c>
      <c r="AC427">
        <v>1</v>
      </c>
      <c r="AD427">
        <v>1</v>
      </c>
      <c r="AE427">
        <v>0</v>
      </c>
      <c r="AF427">
        <v>0</v>
      </c>
      <c r="AG427">
        <v>0</v>
      </c>
      <c r="AH427" s="86">
        <f>AVERAGEIFS($C$2:C427, $B$2:B427, B427)</f>
        <v>16.318181818181817</v>
      </c>
      <c r="AI427" s="86">
        <f>AVERAGEIFS($I$2:I427, $B$2:B427, B427)</f>
        <v>0.48636363636363633</v>
      </c>
      <c r="AJ427" s="86">
        <f>AVERAGEIFS($J$2:J427, $B$2:B427, B427)</f>
        <v>0.46863636363636374</v>
      </c>
      <c r="AK427" s="86">
        <f>AVERAGEIFS($D$2:D427, $B$2:B427, B427)</f>
        <v>0.5</v>
      </c>
    </row>
    <row r="428" spans="1:37" x14ac:dyDescent="0.25">
      <c r="A428" s="85">
        <v>46157</v>
      </c>
      <c r="B428" t="s">
        <v>146</v>
      </c>
      <c r="C428">
        <v>21</v>
      </c>
      <c r="D428">
        <v>1</v>
      </c>
      <c r="E428">
        <v>5</v>
      </c>
      <c r="F428">
        <v>3</v>
      </c>
      <c r="G428">
        <v>21</v>
      </c>
      <c r="H428">
        <v>12</v>
      </c>
      <c r="I428">
        <v>0.6</v>
      </c>
      <c r="J428">
        <v>0.56999999999999995</v>
      </c>
      <c r="K428">
        <v>1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>
        <v>0</v>
      </c>
      <c r="AB428">
        <v>0</v>
      </c>
      <c r="AC428">
        <v>1</v>
      </c>
      <c r="AD428">
        <v>1</v>
      </c>
      <c r="AE428">
        <v>0</v>
      </c>
      <c r="AF428">
        <v>0</v>
      </c>
      <c r="AG428">
        <v>0</v>
      </c>
      <c r="AH428" s="86">
        <f>AVERAGEIFS($C$2:C428, $B$2:B428, B428)</f>
        <v>12</v>
      </c>
      <c r="AI428" s="86">
        <f>AVERAGEIFS($I$2:I428, $B$2:B428, B428)</f>
        <v>0.21249999999999999</v>
      </c>
      <c r="AJ428" s="86">
        <f>AVERAGEIFS($J$2:J428, $B$2:B428, B428)</f>
        <v>0.36749999999999999</v>
      </c>
      <c r="AK428" s="86">
        <f>AVERAGEIFS($D$2:D428, $B$2:B428, B428)</f>
        <v>0.25</v>
      </c>
    </row>
    <row r="429" spans="1:37" x14ac:dyDescent="0.25">
      <c r="A429" s="85">
        <v>46157</v>
      </c>
      <c r="B429" t="s">
        <v>6</v>
      </c>
      <c r="C429">
        <v>42</v>
      </c>
      <c r="D429">
        <v>1</v>
      </c>
      <c r="E429">
        <v>5</v>
      </c>
      <c r="F429">
        <v>3</v>
      </c>
      <c r="G429">
        <v>21</v>
      </c>
      <c r="H429">
        <v>12</v>
      </c>
      <c r="I429">
        <v>0.6</v>
      </c>
      <c r="J429">
        <v>0.56999999999999995</v>
      </c>
      <c r="K429">
        <v>1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>
        <v>0</v>
      </c>
      <c r="AB429">
        <v>0</v>
      </c>
      <c r="AC429">
        <v>1</v>
      </c>
      <c r="AD429">
        <v>1</v>
      </c>
      <c r="AE429">
        <v>0</v>
      </c>
      <c r="AF429">
        <v>0</v>
      </c>
      <c r="AG429">
        <v>0</v>
      </c>
      <c r="AH429" s="86">
        <f>AVERAGEIFS($C$2:C429, $B$2:B429, B429)</f>
        <v>23.888888888888889</v>
      </c>
      <c r="AI429" s="86">
        <f>AVERAGEIFS($I$2:I429, $B$2:B429, B429)</f>
        <v>0.58703703703703702</v>
      </c>
      <c r="AJ429" s="86">
        <f>AVERAGEIFS($J$2:J429, $B$2:B429, B429)</f>
        <v>0.53481481481481474</v>
      </c>
      <c r="AK429" s="86">
        <f>AVERAGEIFS($D$2:D429, $B$2:B429, B429)</f>
        <v>0.62962962962962965</v>
      </c>
    </row>
    <row r="430" spans="1:37" x14ac:dyDescent="0.25">
      <c r="A430" s="85">
        <v>46157</v>
      </c>
      <c r="B430" t="s">
        <v>141</v>
      </c>
      <c r="C430">
        <v>33</v>
      </c>
      <c r="D430">
        <v>1</v>
      </c>
      <c r="E430">
        <v>5</v>
      </c>
      <c r="F430">
        <v>3</v>
      </c>
      <c r="G430">
        <v>21</v>
      </c>
      <c r="H430">
        <v>12</v>
      </c>
      <c r="I430">
        <v>0.6</v>
      </c>
      <c r="J430">
        <v>0.56999999999999995</v>
      </c>
      <c r="K430">
        <v>1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>
        <v>0</v>
      </c>
      <c r="AB430">
        <v>0</v>
      </c>
      <c r="AC430">
        <v>1</v>
      </c>
      <c r="AD430">
        <v>1</v>
      </c>
      <c r="AE430">
        <v>0</v>
      </c>
      <c r="AF430">
        <v>0</v>
      </c>
      <c r="AG430">
        <v>0</v>
      </c>
      <c r="AH430" s="86">
        <f>AVERAGEIFS($C$2:C430, $B$2:B430, B430)</f>
        <v>17.066666666666666</v>
      </c>
      <c r="AI430" s="86">
        <f>AVERAGEIFS($I$2:I430, $B$2:B430, B430)</f>
        <v>0.52666666666666662</v>
      </c>
      <c r="AJ430" s="86">
        <f>AVERAGEIFS($J$2:J430, $B$2:B430, B430)</f>
        <v>0.51733333333333342</v>
      </c>
      <c r="AK430" s="86">
        <f>AVERAGEIFS($D$2:D430, $B$2:B430, B430)</f>
        <v>0.66666666666666663</v>
      </c>
    </row>
    <row r="431" spans="1:37" x14ac:dyDescent="0.25">
      <c r="A431" s="85">
        <v>46157</v>
      </c>
      <c r="B431" t="s">
        <v>148</v>
      </c>
      <c r="C431">
        <v>15</v>
      </c>
      <c r="D431">
        <v>1</v>
      </c>
      <c r="E431">
        <v>5</v>
      </c>
      <c r="F431">
        <v>3</v>
      </c>
      <c r="G431">
        <v>21</v>
      </c>
      <c r="H431">
        <v>12</v>
      </c>
      <c r="I431">
        <v>0.6</v>
      </c>
      <c r="J431">
        <v>0.56999999999999995</v>
      </c>
      <c r="K431">
        <v>1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1</v>
      </c>
      <c r="AD431">
        <v>1</v>
      </c>
      <c r="AE431">
        <v>0</v>
      </c>
      <c r="AF431">
        <v>0</v>
      </c>
      <c r="AG431">
        <v>0</v>
      </c>
      <c r="AH431" s="86">
        <f>AVERAGEIFS($C$2:C431, $B$2:B431, B431)</f>
        <v>8</v>
      </c>
      <c r="AI431" s="86">
        <f>AVERAGEIFS($I$2:I431, $B$2:B431, B431)</f>
        <v>0.4</v>
      </c>
      <c r="AJ431" s="86">
        <f>AVERAGEIFS($J$2:J431, $B$2:B431, B431)</f>
        <v>0.47750000000000004</v>
      </c>
      <c r="AK431" s="86">
        <f>AVERAGEIFS($D$2:D431, $B$2:B431, B431)</f>
        <v>0.5</v>
      </c>
    </row>
    <row r="432" spans="1:37" x14ac:dyDescent="0.25">
      <c r="A432" s="85">
        <v>46157</v>
      </c>
      <c r="B432" t="s">
        <v>147</v>
      </c>
      <c r="C432">
        <v>28</v>
      </c>
      <c r="D432">
        <v>1</v>
      </c>
      <c r="E432">
        <v>5</v>
      </c>
      <c r="F432">
        <v>3</v>
      </c>
      <c r="G432">
        <v>21</v>
      </c>
      <c r="H432">
        <v>12</v>
      </c>
      <c r="I432">
        <v>0.6</v>
      </c>
      <c r="J432">
        <v>0.56999999999999995</v>
      </c>
      <c r="K432">
        <v>1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1</v>
      </c>
      <c r="AD432">
        <v>1</v>
      </c>
      <c r="AE432">
        <v>0</v>
      </c>
      <c r="AF432">
        <v>0</v>
      </c>
      <c r="AG432">
        <v>0</v>
      </c>
      <c r="AH432" s="86">
        <f>AVERAGEIFS($C$2:C432, $B$2:B432, B432)</f>
        <v>15.411764705882353</v>
      </c>
      <c r="AI432" s="86">
        <f>AVERAGEIFS($I$2:I432, $B$2:B432, B432)</f>
        <v>0.54705882352941171</v>
      </c>
      <c r="AJ432" s="86">
        <f>AVERAGEIFS($J$2:J432, $B$2:B432, B432)</f>
        <v>0.53764705882352948</v>
      </c>
      <c r="AK432" s="86">
        <f>AVERAGEIFS($D$2:D432, $B$2:B432, B432)</f>
        <v>0.47058823529411764</v>
      </c>
    </row>
    <row r="433" spans="1:37" x14ac:dyDescent="0.25">
      <c r="A433" s="85">
        <v>46157</v>
      </c>
      <c r="B433" t="s">
        <v>42</v>
      </c>
      <c r="C433">
        <v>22</v>
      </c>
      <c r="D433">
        <v>1</v>
      </c>
      <c r="E433">
        <v>5</v>
      </c>
      <c r="F433">
        <v>3</v>
      </c>
      <c r="G433">
        <v>21</v>
      </c>
      <c r="H433">
        <v>11</v>
      </c>
      <c r="I433">
        <v>0.6</v>
      </c>
      <c r="J433">
        <v>0.52</v>
      </c>
      <c r="K433">
        <v>1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1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1</v>
      </c>
      <c r="AF433">
        <v>0</v>
      </c>
      <c r="AG433">
        <v>0</v>
      </c>
      <c r="AH433" s="86">
        <f>AVERAGEIFS($C$2:C433, $B$2:B433, B433)</f>
        <v>16.565217391304348</v>
      </c>
      <c r="AI433" s="86">
        <f>AVERAGEIFS($I$2:I433, $B$2:B433, B433)</f>
        <v>0.4913043478260869</v>
      </c>
      <c r="AJ433" s="86">
        <f>AVERAGEIFS($J$2:J433, $B$2:B433, B433)</f>
        <v>0.47086956521739137</v>
      </c>
      <c r="AK433" s="86">
        <f>AVERAGEIFS($D$2:D433, $B$2:B433, B433)</f>
        <v>0.52173913043478259</v>
      </c>
    </row>
    <row r="434" spans="1:37" x14ac:dyDescent="0.25">
      <c r="A434" s="85">
        <v>46157</v>
      </c>
      <c r="B434" t="s">
        <v>146</v>
      </c>
      <c r="C434">
        <v>19</v>
      </c>
      <c r="D434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1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1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1</v>
      </c>
      <c r="AF434">
        <v>0</v>
      </c>
      <c r="AG434">
        <v>0</v>
      </c>
      <c r="AH434" s="86">
        <f>AVERAGEIFS($C$2:C434, $B$2:B434, B434)</f>
        <v>13.4</v>
      </c>
      <c r="AI434" s="86">
        <f>AVERAGEIFS($I$2:I434, $B$2:B434, B434)</f>
        <v>0.28999999999999998</v>
      </c>
      <c r="AJ434" s="86">
        <f>AVERAGEIFS($J$2:J434, $B$2:B434, B434)</f>
        <v>0.39800000000000002</v>
      </c>
      <c r="AK434" s="86">
        <f>AVERAGEIFS($D$2:D434, $B$2:B434, B434)</f>
        <v>0.4</v>
      </c>
    </row>
    <row r="435" spans="1:37" x14ac:dyDescent="0.25">
      <c r="A435" s="85">
        <v>46157</v>
      </c>
      <c r="B435" t="s">
        <v>115</v>
      </c>
      <c r="C435">
        <v>12</v>
      </c>
      <c r="D435">
        <v>1</v>
      </c>
      <c r="E435">
        <v>5</v>
      </c>
      <c r="F435">
        <v>3</v>
      </c>
      <c r="G435">
        <v>21</v>
      </c>
      <c r="H435">
        <v>11</v>
      </c>
      <c r="I435">
        <v>0.6</v>
      </c>
      <c r="J435">
        <v>0.52</v>
      </c>
      <c r="K435">
        <v>1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1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1</v>
      </c>
      <c r="AF435">
        <v>0</v>
      </c>
      <c r="AG435">
        <v>0</v>
      </c>
      <c r="AH435" s="86">
        <f>AVERAGEIFS($C$2:C435, $B$2:B435, B435)</f>
        <v>14.333333333333334</v>
      </c>
      <c r="AI435" s="86">
        <f>AVERAGEIFS($I$2:I435, $B$2:B435, B435)</f>
        <v>0.33333333333333331</v>
      </c>
      <c r="AJ435" s="86">
        <f>AVERAGEIFS($J$2:J435, $B$2:B435, B435)</f>
        <v>0.42</v>
      </c>
      <c r="AK435" s="86">
        <f>AVERAGEIFS($D$2:D435, $B$2:B435, B435)</f>
        <v>0.33333333333333331</v>
      </c>
    </row>
    <row r="436" spans="1:37" x14ac:dyDescent="0.25">
      <c r="A436" s="85">
        <v>46157</v>
      </c>
      <c r="B436" t="s">
        <v>141</v>
      </c>
      <c r="C436">
        <v>16</v>
      </c>
      <c r="D436">
        <v>1</v>
      </c>
      <c r="E436">
        <v>5</v>
      </c>
      <c r="F436">
        <v>3</v>
      </c>
      <c r="G436">
        <v>21</v>
      </c>
      <c r="H436">
        <v>11</v>
      </c>
      <c r="I436">
        <v>0.6</v>
      </c>
      <c r="J436">
        <v>0.52</v>
      </c>
      <c r="K436">
        <v>1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1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1</v>
      </c>
      <c r="AF436">
        <v>0</v>
      </c>
      <c r="AG436">
        <v>0</v>
      </c>
      <c r="AH436" s="86">
        <f>AVERAGEIFS($C$2:C436, $B$2:B436, B436)</f>
        <v>17</v>
      </c>
      <c r="AI436" s="86">
        <f>AVERAGEIFS($I$2:I436, $B$2:B436, B436)</f>
        <v>0.53125</v>
      </c>
      <c r="AJ436" s="86">
        <f>AVERAGEIFS($J$2:J436, $B$2:B436, B436)</f>
        <v>0.51750000000000007</v>
      </c>
      <c r="AK436" s="86">
        <f>AVERAGEIFS($D$2:D436, $B$2:B436, B436)</f>
        <v>0.6875</v>
      </c>
    </row>
    <row r="437" spans="1:37" x14ac:dyDescent="0.25">
      <c r="A437" s="85">
        <v>46157</v>
      </c>
      <c r="B437" t="s">
        <v>40</v>
      </c>
      <c r="C437">
        <v>24</v>
      </c>
      <c r="D437">
        <v>1</v>
      </c>
      <c r="E437">
        <v>5</v>
      </c>
      <c r="F437">
        <v>3</v>
      </c>
      <c r="G437">
        <v>21</v>
      </c>
      <c r="H437">
        <v>11</v>
      </c>
      <c r="I437">
        <v>0.6</v>
      </c>
      <c r="J437">
        <v>0.52</v>
      </c>
      <c r="K437">
        <v>1</v>
      </c>
      <c r="L437">
        <v>0</v>
      </c>
      <c r="M437">
        <v>0</v>
      </c>
      <c r="N437">
        <v>0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1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1</v>
      </c>
      <c r="AF437">
        <v>0</v>
      </c>
      <c r="AG437">
        <v>0</v>
      </c>
      <c r="AH437" s="86">
        <f>AVERAGEIFS($C$2:C437, $B$2:B437, B437)</f>
        <v>19</v>
      </c>
      <c r="AI437" s="86">
        <f>AVERAGEIFS($I$2:I437, $B$2:B437, B437)</f>
        <v>0.45</v>
      </c>
      <c r="AJ437" s="86">
        <f>AVERAGEIFS($J$2:J437, $B$2:B437, B437)</f>
        <v>0.47749999999999998</v>
      </c>
      <c r="AK437" s="86">
        <f>AVERAGEIFS($D$2:D437, $B$2:B437, B437)</f>
        <v>0.41666666666666669</v>
      </c>
    </row>
    <row r="438" spans="1:37" x14ac:dyDescent="0.25">
      <c r="A438" s="85">
        <v>46157</v>
      </c>
      <c r="B438" t="s">
        <v>147</v>
      </c>
      <c r="C438">
        <v>23</v>
      </c>
      <c r="D438">
        <v>1</v>
      </c>
      <c r="E438">
        <v>5</v>
      </c>
      <c r="F438">
        <v>3</v>
      </c>
      <c r="G438">
        <v>21</v>
      </c>
      <c r="H438">
        <v>11</v>
      </c>
      <c r="I438">
        <v>0.6</v>
      </c>
      <c r="J438">
        <v>0.52</v>
      </c>
      <c r="K438">
        <v>1</v>
      </c>
      <c r="L438">
        <v>0</v>
      </c>
      <c r="M438">
        <v>0</v>
      </c>
      <c r="N438">
        <v>0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1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1</v>
      </c>
      <c r="AF438">
        <v>0</v>
      </c>
      <c r="AG438">
        <v>0</v>
      </c>
      <c r="AH438" s="86">
        <f>AVERAGEIFS($C$2:C438, $B$2:B438, B438)</f>
        <v>15.833333333333334</v>
      </c>
      <c r="AI438" s="86">
        <f>AVERAGEIFS($I$2:I438, $B$2:B438, B438)</f>
        <v>0.54999999999999993</v>
      </c>
      <c r="AJ438" s="86">
        <f>AVERAGEIFS($J$2:J438, $B$2:B438, B438)</f>
        <v>0.53666666666666663</v>
      </c>
      <c r="AK438" s="86">
        <f>AVERAGEIFS($D$2:D438, $B$2:B438, B438)</f>
        <v>0.5</v>
      </c>
    </row>
    <row r="439" spans="1:37" x14ac:dyDescent="0.25">
      <c r="A439" s="85">
        <v>46157</v>
      </c>
      <c r="B439" t="s">
        <v>150</v>
      </c>
      <c r="C439">
        <v>19</v>
      </c>
      <c r="D439">
        <v>1</v>
      </c>
      <c r="E439">
        <v>5</v>
      </c>
      <c r="F439">
        <v>3</v>
      </c>
      <c r="G439">
        <v>21</v>
      </c>
      <c r="H439">
        <v>11</v>
      </c>
      <c r="I439">
        <v>0.6</v>
      </c>
      <c r="J439">
        <v>0.52</v>
      </c>
      <c r="K439">
        <v>1</v>
      </c>
      <c r="L439">
        <v>0</v>
      </c>
      <c r="M439">
        <v>0</v>
      </c>
      <c r="N439">
        <v>0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1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1</v>
      </c>
      <c r="AF439">
        <v>0</v>
      </c>
      <c r="AG439">
        <v>0</v>
      </c>
      <c r="AH439" s="86">
        <f>AVERAGEIFS($C$2:C439, $B$2:B439, B439)</f>
        <v>19.789473684210527</v>
      </c>
      <c r="AI439" s="86">
        <f>AVERAGEIFS($I$2:I439, $B$2:B439, B439)</f>
        <v>0.61842105263157898</v>
      </c>
      <c r="AJ439" s="86">
        <f>AVERAGEIFS($J$2:J439, $B$2:B439, B439)</f>
        <v>0.58315789473684199</v>
      </c>
      <c r="AK439" s="86">
        <f>AVERAGEIFS($D$2:D439, $B$2:B439, B439)</f>
        <v>0.68421052631578949</v>
      </c>
    </row>
    <row r="440" spans="1:37" x14ac:dyDescent="0.25">
      <c r="A440" s="85">
        <v>46157</v>
      </c>
      <c r="B440" t="s">
        <v>113</v>
      </c>
      <c r="C440">
        <v>20</v>
      </c>
      <c r="D440">
        <v>1</v>
      </c>
      <c r="E440">
        <v>5</v>
      </c>
      <c r="F440">
        <v>3</v>
      </c>
      <c r="G440">
        <v>21</v>
      </c>
      <c r="H440">
        <v>11</v>
      </c>
      <c r="I440">
        <v>0.6</v>
      </c>
      <c r="J440">
        <v>0.52</v>
      </c>
      <c r="K440">
        <v>1</v>
      </c>
      <c r="L440">
        <v>0</v>
      </c>
      <c r="M440">
        <v>0</v>
      </c>
      <c r="N440">
        <v>0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1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1</v>
      </c>
      <c r="AF440">
        <v>0</v>
      </c>
      <c r="AG440">
        <v>0</v>
      </c>
      <c r="AH440" s="86">
        <f>AVERAGEIFS($C$2:C440, $B$2:B440, B440)</f>
        <v>19.681818181818183</v>
      </c>
      <c r="AI440" s="86">
        <f>AVERAGEIFS($I$2:I440, $B$2:B440, B440)</f>
        <v>0.55454545454545456</v>
      </c>
      <c r="AJ440" s="86">
        <f>AVERAGEIFS($J$2:J440, $B$2:B440, B440)</f>
        <v>0.54090909090909089</v>
      </c>
      <c r="AK440" s="86">
        <f>AVERAGEIFS($D$2:D440, $B$2:B440, B440)</f>
        <v>0.5</v>
      </c>
    </row>
    <row r="441" spans="1:37" x14ac:dyDescent="0.25">
      <c r="A441" s="85">
        <v>46157</v>
      </c>
      <c r="B441" t="s">
        <v>140</v>
      </c>
      <c r="C441">
        <v>14</v>
      </c>
      <c r="D441">
        <v>0</v>
      </c>
      <c r="E441">
        <v>5</v>
      </c>
      <c r="F441">
        <v>2</v>
      </c>
      <c r="G441">
        <v>21</v>
      </c>
      <c r="H441">
        <v>10</v>
      </c>
      <c r="I441">
        <v>0.4</v>
      </c>
      <c r="J441">
        <v>0.48</v>
      </c>
      <c r="K441">
        <v>0</v>
      </c>
      <c r="L441">
        <v>0</v>
      </c>
      <c r="M441">
        <v>0</v>
      </c>
      <c r="N441">
        <v>0</v>
      </c>
      <c r="O441">
        <v>1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1</v>
      </c>
      <c r="AD441">
        <v>0</v>
      </c>
      <c r="AE441">
        <v>0</v>
      </c>
      <c r="AF441">
        <v>0</v>
      </c>
      <c r="AG441">
        <v>0</v>
      </c>
      <c r="AH441" s="86">
        <f>AVERAGEIFS($C$2:C441, $B$2:B441, B441)</f>
        <v>12.375</v>
      </c>
      <c r="AI441" s="86">
        <f>AVERAGEIFS($I$2:I441, $B$2:B441, B441)</f>
        <v>0.61250000000000004</v>
      </c>
      <c r="AJ441" s="86">
        <f>AVERAGEIFS($J$2:J441, $B$2:B441, B441)</f>
        <v>0.55499999999999994</v>
      </c>
      <c r="AK441" s="86">
        <f>AVERAGEIFS($D$2:D441, $B$2:B441, B441)</f>
        <v>0.625</v>
      </c>
    </row>
    <row r="442" spans="1:37" x14ac:dyDescent="0.25">
      <c r="A442" s="85">
        <v>46157</v>
      </c>
      <c r="B442" t="s">
        <v>179</v>
      </c>
      <c r="C442">
        <v>19</v>
      </c>
      <c r="D442">
        <v>0</v>
      </c>
      <c r="E442">
        <v>5</v>
      </c>
      <c r="F442">
        <v>2</v>
      </c>
      <c r="G442">
        <v>21</v>
      </c>
      <c r="H442">
        <v>10</v>
      </c>
      <c r="I442">
        <v>0.4</v>
      </c>
      <c r="J442">
        <v>0.48</v>
      </c>
      <c r="K442">
        <v>0</v>
      </c>
      <c r="L442">
        <v>0</v>
      </c>
      <c r="M442">
        <v>0</v>
      </c>
      <c r="N442">
        <v>0</v>
      </c>
      <c r="O442">
        <v>1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1</v>
      </c>
      <c r="AD442">
        <v>0</v>
      </c>
      <c r="AE442">
        <v>0</v>
      </c>
      <c r="AF442">
        <v>0</v>
      </c>
      <c r="AG442">
        <v>0</v>
      </c>
      <c r="AH442" s="86">
        <f>AVERAGEIFS($C$2:C442, $B$2:B442, B442)</f>
        <v>17.857142857142858</v>
      </c>
      <c r="AI442" s="86">
        <f>AVERAGEIFS($I$2:I442, $B$2:B442, B442)</f>
        <v>0.47857142857142854</v>
      </c>
      <c r="AJ442" s="86">
        <f>AVERAGEIFS($J$2:J442, $B$2:B442, B442)</f>
        <v>0.50571428571428567</v>
      </c>
      <c r="AK442" s="86">
        <f>AVERAGEIFS($D$2:D442, $B$2:B442, B442)</f>
        <v>0.2857142857142857</v>
      </c>
    </row>
    <row r="443" spans="1:37" x14ac:dyDescent="0.25">
      <c r="A443" s="85">
        <v>46157</v>
      </c>
      <c r="B443" t="s">
        <v>152</v>
      </c>
      <c r="C443">
        <v>18</v>
      </c>
      <c r="D443">
        <v>0</v>
      </c>
      <c r="E443">
        <v>5</v>
      </c>
      <c r="F443">
        <v>2</v>
      </c>
      <c r="G443">
        <v>21</v>
      </c>
      <c r="H443">
        <v>10</v>
      </c>
      <c r="I443">
        <v>0.4</v>
      </c>
      <c r="J443">
        <v>0.48</v>
      </c>
      <c r="K443">
        <v>0</v>
      </c>
      <c r="L443">
        <v>0</v>
      </c>
      <c r="M443">
        <v>0</v>
      </c>
      <c r="N443">
        <v>0</v>
      </c>
      <c r="O443">
        <v>1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1</v>
      </c>
      <c r="AD443">
        <v>0</v>
      </c>
      <c r="AE443">
        <v>0</v>
      </c>
      <c r="AF443">
        <v>0</v>
      </c>
      <c r="AG443">
        <v>0</v>
      </c>
      <c r="AH443" s="86">
        <f>AVERAGEIFS($C$2:C443, $B$2:B443, B443)</f>
        <v>11.75</v>
      </c>
      <c r="AI443" s="86">
        <f>AVERAGEIFS($I$2:I443, $B$2:B443, B443)</f>
        <v>0.33124999999999999</v>
      </c>
      <c r="AJ443" s="86">
        <f>AVERAGEIFS($J$2:J443, $B$2:B443, B443)</f>
        <v>0.4375</v>
      </c>
      <c r="AK443" s="86">
        <f>AVERAGEIFS($D$2:D443, $B$2:B443, B443)</f>
        <v>0.25</v>
      </c>
    </row>
    <row r="444" spans="1:37" x14ac:dyDescent="0.25">
      <c r="A444" s="85">
        <v>46157</v>
      </c>
      <c r="B444" t="s">
        <v>50</v>
      </c>
      <c r="C444">
        <v>20</v>
      </c>
      <c r="D444">
        <v>0</v>
      </c>
      <c r="E444">
        <v>5</v>
      </c>
      <c r="F444">
        <v>2</v>
      </c>
      <c r="G444">
        <v>21</v>
      </c>
      <c r="H444">
        <v>10</v>
      </c>
      <c r="I444">
        <v>0.4</v>
      </c>
      <c r="J444">
        <v>0.48</v>
      </c>
      <c r="K444">
        <v>0</v>
      </c>
      <c r="L444">
        <v>0</v>
      </c>
      <c r="M444">
        <v>0</v>
      </c>
      <c r="N444">
        <v>0</v>
      </c>
      <c r="O444">
        <v>1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1</v>
      </c>
      <c r="AD444">
        <v>0</v>
      </c>
      <c r="AE444">
        <v>0</v>
      </c>
      <c r="AF444">
        <v>0</v>
      </c>
      <c r="AG444">
        <v>0</v>
      </c>
      <c r="AH444" s="86">
        <f>AVERAGEIFS($C$2:C444, $B$2:B444, B444)</f>
        <v>16.857142857142858</v>
      </c>
      <c r="AI444" s="86">
        <f>AVERAGEIFS($I$2:I444, $B$2:B444, B444)</f>
        <v>0.39285714285714285</v>
      </c>
      <c r="AJ444" s="86">
        <f>AVERAGEIFS($J$2:J444, $B$2:B444, B444)</f>
        <v>0.44571428571428562</v>
      </c>
      <c r="AK444" s="86">
        <f>AVERAGEIFS($D$2:D444, $B$2:B444, B444)</f>
        <v>0.35714285714285715</v>
      </c>
    </row>
    <row r="445" spans="1:37" x14ac:dyDescent="0.25">
      <c r="A445" s="85">
        <v>46157</v>
      </c>
      <c r="B445" t="s">
        <v>148</v>
      </c>
      <c r="C445">
        <v>11</v>
      </c>
      <c r="D445">
        <v>0</v>
      </c>
      <c r="E445">
        <v>5</v>
      </c>
      <c r="F445">
        <v>2</v>
      </c>
      <c r="G445">
        <v>21</v>
      </c>
      <c r="H445">
        <v>10</v>
      </c>
      <c r="I445">
        <v>0.4</v>
      </c>
      <c r="J445">
        <v>0.48</v>
      </c>
      <c r="K445">
        <v>0</v>
      </c>
      <c r="L445">
        <v>0</v>
      </c>
      <c r="M445">
        <v>0</v>
      </c>
      <c r="N445">
        <v>0</v>
      </c>
      <c r="O445">
        <v>1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1</v>
      </c>
      <c r="AD445">
        <v>0</v>
      </c>
      <c r="AE445">
        <v>0</v>
      </c>
      <c r="AF445">
        <v>0</v>
      </c>
      <c r="AG445">
        <v>0</v>
      </c>
      <c r="AH445" s="86">
        <f>AVERAGEIFS($C$2:C445, $B$2:B445, B445)</f>
        <v>8.6</v>
      </c>
      <c r="AI445" s="86">
        <f>AVERAGEIFS($I$2:I445, $B$2:B445, B445)</f>
        <v>0.4</v>
      </c>
      <c r="AJ445" s="86">
        <f>AVERAGEIFS($J$2:J445, $B$2:B445, B445)</f>
        <v>0.47800000000000004</v>
      </c>
      <c r="AK445" s="86">
        <f>AVERAGEIFS($D$2:D445, $B$2:B445, B445)</f>
        <v>0.4</v>
      </c>
    </row>
    <row r="446" spans="1:37" x14ac:dyDescent="0.25">
      <c r="A446" s="85">
        <v>46157</v>
      </c>
      <c r="B446" t="s">
        <v>13</v>
      </c>
      <c r="C446">
        <v>19</v>
      </c>
      <c r="D446">
        <v>0</v>
      </c>
      <c r="E446">
        <v>5</v>
      </c>
      <c r="F446">
        <v>2</v>
      </c>
      <c r="G446">
        <v>21</v>
      </c>
      <c r="H446">
        <v>10</v>
      </c>
      <c r="I446">
        <v>0.4</v>
      </c>
      <c r="J446">
        <v>0.48</v>
      </c>
      <c r="K446">
        <v>0</v>
      </c>
      <c r="L446">
        <v>0</v>
      </c>
      <c r="M446">
        <v>0</v>
      </c>
      <c r="N446">
        <v>0</v>
      </c>
      <c r="O446">
        <v>1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1</v>
      </c>
      <c r="AD446">
        <v>0</v>
      </c>
      <c r="AE446">
        <v>0</v>
      </c>
      <c r="AF446">
        <v>0</v>
      </c>
      <c r="AG446">
        <v>0</v>
      </c>
      <c r="AH446" s="86">
        <f>AVERAGEIFS($C$2:C446, $B$2:B446, B446)</f>
        <v>16.307692307692307</v>
      </c>
      <c r="AI446" s="86">
        <f>AVERAGEIFS($I$2:I446, $B$2:B446, B446)</f>
        <v>0.40384615384615385</v>
      </c>
      <c r="AJ446" s="86">
        <f>AVERAGEIFS($J$2:J446, $B$2:B446, B446)</f>
        <v>0.44384615384615383</v>
      </c>
      <c r="AK446" s="86">
        <f>AVERAGEIFS($D$2:D446, $B$2:B446, B446)</f>
        <v>0.38461538461538464</v>
      </c>
    </row>
    <row r="447" spans="1:37" x14ac:dyDescent="0.25">
      <c r="A447" s="85">
        <v>46157</v>
      </c>
      <c r="B447" t="s">
        <v>54</v>
      </c>
      <c r="C447">
        <v>19</v>
      </c>
      <c r="D447">
        <v>0</v>
      </c>
      <c r="E447">
        <v>5</v>
      </c>
      <c r="F447">
        <v>2</v>
      </c>
      <c r="G447">
        <v>21</v>
      </c>
      <c r="H447">
        <v>10</v>
      </c>
      <c r="I447">
        <v>0.4</v>
      </c>
      <c r="J447">
        <v>0.48</v>
      </c>
      <c r="K447">
        <v>0</v>
      </c>
      <c r="L447">
        <v>0</v>
      </c>
      <c r="M447">
        <v>0</v>
      </c>
      <c r="N447">
        <v>0</v>
      </c>
      <c r="O447">
        <v>1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1</v>
      </c>
      <c r="AD447">
        <v>0</v>
      </c>
      <c r="AE447">
        <v>0</v>
      </c>
      <c r="AF447">
        <v>0</v>
      </c>
      <c r="AG447">
        <v>0</v>
      </c>
      <c r="AH447" s="86">
        <f>AVERAGEIFS($C$2:C447, $B$2:B447, B447)</f>
        <v>21.25</v>
      </c>
      <c r="AI447" s="86">
        <f>AVERAGEIFS($I$2:I447, $B$2:B447, B447)</f>
        <v>0.52500000000000002</v>
      </c>
      <c r="AJ447" s="86">
        <f>AVERAGEIFS($J$2:J447, $B$2:B447, B447)</f>
        <v>0.50312499999999993</v>
      </c>
      <c r="AK447" s="86">
        <f>AVERAGEIFS($D$2:D447, $B$2:B447, B447)</f>
        <v>0.5</v>
      </c>
    </row>
    <row r="448" spans="1:37" x14ac:dyDescent="0.25">
      <c r="A448" s="85">
        <v>46157</v>
      </c>
      <c r="B448" t="s">
        <v>17</v>
      </c>
      <c r="C448">
        <v>28</v>
      </c>
      <c r="D448">
        <v>0</v>
      </c>
      <c r="E448">
        <v>5</v>
      </c>
      <c r="F448">
        <v>2</v>
      </c>
      <c r="G448">
        <v>21</v>
      </c>
      <c r="H448">
        <v>10</v>
      </c>
      <c r="I448">
        <v>0.4</v>
      </c>
      <c r="J448">
        <v>0.48</v>
      </c>
      <c r="K448">
        <v>0</v>
      </c>
      <c r="L448">
        <v>0</v>
      </c>
      <c r="M448">
        <v>0</v>
      </c>
      <c r="N448">
        <v>0</v>
      </c>
      <c r="O448">
        <v>1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1</v>
      </c>
      <c r="AD448">
        <v>0</v>
      </c>
      <c r="AE448">
        <v>0</v>
      </c>
      <c r="AF448">
        <v>0</v>
      </c>
      <c r="AG448">
        <v>0</v>
      </c>
      <c r="AH448" s="86">
        <f>AVERAGEIFS($C$2:C448, $B$2:B448, B448)</f>
        <v>19.5625</v>
      </c>
      <c r="AI448" s="86">
        <f>AVERAGEIFS($I$2:I448, $B$2:B448, B448)</f>
        <v>0.65312499999999996</v>
      </c>
      <c r="AJ448" s="86">
        <f>AVERAGEIFS($J$2:J448, $B$2:B448, B448)</f>
        <v>0.54625000000000001</v>
      </c>
      <c r="AK448" s="86">
        <f>AVERAGEIFS($D$2:D448, $B$2:B448, B448)</f>
        <v>0.75</v>
      </c>
    </row>
    <row r="449" spans="1:37" x14ac:dyDescent="0.25">
      <c r="A449" s="85">
        <v>46159</v>
      </c>
      <c r="B449" t="s">
        <v>179</v>
      </c>
      <c r="C449">
        <v>22</v>
      </c>
      <c r="D449">
        <v>0</v>
      </c>
      <c r="E449">
        <v>4</v>
      </c>
      <c r="F449">
        <v>1</v>
      </c>
      <c r="G449">
        <v>17</v>
      </c>
      <c r="H449">
        <v>7</v>
      </c>
      <c r="I449">
        <v>0.25</v>
      </c>
      <c r="J449">
        <v>0.41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1</v>
      </c>
      <c r="AG449">
        <v>0</v>
      </c>
      <c r="AH449" s="86">
        <f>AVERAGEIFS($C$2:C449, $B$2:B449, B449)</f>
        <v>18.375</v>
      </c>
      <c r="AI449" s="86">
        <f>AVERAGEIFS($I$2:I449, $B$2:B449, B449)</f>
        <v>0.44999999999999996</v>
      </c>
      <c r="AJ449" s="86">
        <f>AVERAGEIFS($J$2:J449, $B$2:B449, B449)</f>
        <v>0.49375000000000002</v>
      </c>
      <c r="AK449" s="86">
        <f>AVERAGEIFS($D$2:D449, $B$2:B449, B449)</f>
        <v>0.25</v>
      </c>
    </row>
    <row r="450" spans="1:37" x14ac:dyDescent="0.25">
      <c r="A450" s="85">
        <v>46159</v>
      </c>
      <c r="B450" t="s">
        <v>50</v>
      </c>
      <c r="C450">
        <v>17</v>
      </c>
      <c r="D450">
        <v>0</v>
      </c>
      <c r="E450">
        <v>4</v>
      </c>
      <c r="F450">
        <v>1</v>
      </c>
      <c r="G450">
        <v>17</v>
      </c>
      <c r="H450">
        <v>7</v>
      </c>
      <c r="I450">
        <v>0.25</v>
      </c>
      <c r="J450">
        <v>0.41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1</v>
      </c>
      <c r="AG450">
        <v>0</v>
      </c>
      <c r="AH450" s="86">
        <f>AVERAGEIFS($C$2:C450, $B$2:B450, B450)</f>
        <v>16.866666666666667</v>
      </c>
      <c r="AI450" s="86">
        <f>AVERAGEIFS($I$2:I450, $B$2:B450, B450)</f>
        <v>0.38333333333333336</v>
      </c>
      <c r="AJ450" s="86">
        <f>AVERAGEIFS($J$2:J450, $B$2:B450, B450)</f>
        <v>0.44333333333333325</v>
      </c>
      <c r="AK450" s="86">
        <f>AVERAGEIFS($D$2:D450, $B$2:B450, B450)</f>
        <v>0.33333333333333331</v>
      </c>
    </row>
    <row r="451" spans="1:37" x14ac:dyDescent="0.25">
      <c r="A451" s="85">
        <v>46159</v>
      </c>
      <c r="B451" t="s">
        <v>71</v>
      </c>
      <c r="C451">
        <v>12</v>
      </c>
      <c r="D451">
        <v>0</v>
      </c>
      <c r="E451">
        <v>4</v>
      </c>
      <c r="F451">
        <v>1</v>
      </c>
      <c r="G451">
        <v>17</v>
      </c>
      <c r="H451">
        <v>7</v>
      </c>
      <c r="I451">
        <v>0.25</v>
      </c>
      <c r="J451">
        <v>0.41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1</v>
      </c>
      <c r="AG451">
        <v>0</v>
      </c>
      <c r="AH451" s="86">
        <f>AVERAGEIFS($C$2:C451, $B$2:B451, B451)</f>
        <v>13.4375</v>
      </c>
      <c r="AI451" s="86">
        <f>AVERAGEIFS($I$2:I451, $B$2:B451, B451)</f>
        <v>0.40312500000000001</v>
      </c>
      <c r="AJ451" s="86">
        <f>AVERAGEIFS($J$2:J451, $B$2:B451, B451)</f>
        <v>0.45437499999999992</v>
      </c>
      <c r="AK451" s="86">
        <f>AVERAGEIFS($D$2:D451, $B$2:B451, B451)</f>
        <v>0.3125</v>
      </c>
    </row>
    <row r="452" spans="1:37" x14ac:dyDescent="0.25">
      <c r="A452" s="85">
        <v>46159</v>
      </c>
      <c r="B452" t="s">
        <v>141</v>
      </c>
      <c r="C452">
        <v>11</v>
      </c>
      <c r="D452">
        <v>0</v>
      </c>
      <c r="E452">
        <v>4</v>
      </c>
      <c r="F452">
        <v>1</v>
      </c>
      <c r="G452">
        <v>17</v>
      </c>
      <c r="H452">
        <v>7</v>
      </c>
      <c r="I452">
        <v>0.25</v>
      </c>
      <c r="J452">
        <v>0.41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1</v>
      </c>
      <c r="AG452">
        <v>0</v>
      </c>
      <c r="AH452" s="86">
        <f>AVERAGEIFS($C$2:C452, $B$2:B452, B452)</f>
        <v>16.647058823529413</v>
      </c>
      <c r="AI452" s="86">
        <f>AVERAGEIFS($I$2:I452, $B$2:B452, B452)</f>
        <v>0.51470588235294112</v>
      </c>
      <c r="AJ452" s="86">
        <f>AVERAGEIFS($J$2:J452, $B$2:B452, B452)</f>
        <v>0.51117647058823534</v>
      </c>
      <c r="AK452" s="86">
        <f>AVERAGEIFS($D$2:D452, $B$2:B452, B452)</f>
        <v>0.6470588235294118</v>
      </c>
    </row>
    <row r="453" spans="1:37" x14ac:dyDescent="0.25">
      <c r="A453" s="85">
        <v>46159</v>
      </c>
      <c r="B453" t="s">
        <v>17</v>
      </c>
      <c r="C453">
        <v>14</v>
      </c>
      <c r="D453">
        <v>0</v>
      </c>
      <c r="E453">
        <v>4</v>
      </c>
      <c r="F453">
        <v>1</v>
      </c>
      <c r="G453">
        <v>17</v>
      </c>
      <c r="H453">
        <v>7</v>
      </c>
      <c r="I453">
        <v>0.25</v>
      </c>
      <c r="J453">
        <v>0.41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1</v>
      </c>
      <c r="AG453">
        <v>0</v>
      </c>
      <c r="AH453" s="86">
        <f>AVERAGEIFS($C$2:C453, $B$2:B453, B453)</f>
        <v>19.235294117647058</v>
      </c>
      <c r="AI453" s="86">
        <f>AVERAGEIFS($I$2:I453, $B$2:B453, B453)</f>
        <v>0.62941176470588234</v>
      </c>
      <c r="AJ453" s="86">
        <f>AVERAGEIFS($J$2:J453, $B$2:B453, B453)</f>
        <v>0.53823529411764703</v>
      </c>
      <c r="AK453" s="86">
        <f>AVERAGEIFS($D$2:D453, $B$2:B453, B453)</f>
        <v>0.70588235294117652</v>
      </c>
    </row>
    <row r="454" spans="1:37" x14ac:dyDescent="0.25">
      <c r="A454" s="85">
        <v>46159</v>
      </c>
      <c r="B454" t="s">
        <v>107</v>
      </c>
      <c r="C454">
        <v>15</v>
      </c>
      <c r="D454">
        <v>0</v>
      </c>
      <c r="E454">
        <v>4</v>
      </c>
      <c r="F454">
        <v>1</v>
      </c>
      <c r="G454">
        <v>17</v>
      </c>
      <c r="H454">
        <v>7</v>
      </c>
      <c r="I454">
        <v>0.25</v>
      </c>
      <c r="J454">
        <v>0.41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1</v>
      </c>
      <c r="AG454">
        <v>0</v>
      </c>
      <c r="AH454" s="86">
        <f>AVERAGEIFS($C$2:C454, $B$2:B454, B454)</f>
        <v>14.5</v>
      </c>
      <c r="AI454" s="86">
        <f>AVERAGEIFS($I$2:I454, $B$2:B454, B454)</f>
        <v>0.44999999999999996</v>
      </c>
      <c r="AJ454" s="86">
        <f>AVERAGEIFS($J$2:J454, $B$2:B454, B454)</f>
        <v>0.4809090909090909</v>
      </c>
      <c r="AK454" s="86">
        <f>AVERAGEIFS($D$2:D454, $B$2:B454, B454)</f>
        <v>0.54545454545454541</v>
      </c>
    </row>
    <row r="455" spans="1:37" x14ac:dyDescent="0.25">
      <c r="A455" s="85">
        <v>46159</v>
      </c>
      <c r="B455" t="s">
        <v>150</v>
      </c>
      <c r="C455">
        <v>16</v>
      </c>
      <c r="D455">
        <v>1</v>
      </c>
      <c r="E455">
        <v>4</v>
      </c>
      <c r="F455">
        <v>3</v>
      </c>
      <c r="G455">
        <v>17</v>
      </c>
      <c r="H455">
        <v>10</v>
      </c>
      <c r="I455">
        <v>0.75</v>
      </c>
      <c r="J455">
        <v>0.59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1</v>
      </c>
      <c r="W455">
        <v>0</v>
      </c>
      <c r="X455">
        <v>0</v>
      </c>
      <c r="Y455">
        <v>0</v>
      </c>
      <c r="Z455">
        <v>1</v>
      </c>
      <c r="AA455">
        <v>0</v>
      </c>
      <c r="AB455">
        <v>1</v>
      </c>
      <c r="AC455">
        <v>0</v>
      </c>
      <c r="AD455">
        <v>0</v>
      </c>
      <c r="AE455">
        <v>0</v>
      </c>
      <c r="AF455">
        <v>0</v>
      </c>
      <c r="AG455">
        <v>0</v>
      </c>
      <c r="AH455" s="86">
        <f>AVERAGEIFS($C$2:C455, $B$2:B455, B455)</f>
        <v>19.600000000000001</v>
      </c>
      <c r="AI455" s="86">
        <f>AVERAGEIFS($I$2:I455, $B$2:B455, B455)</f>
        <v>0.625</v>
      </c>
      <c r="AJ455" s="86">
        <f>AVERAGEIFS($J$2:J455, $B$2:B455, B455)</f>
        <v>0.58349999999999991</v>
      </c>
      <c r="AK455" s="86">
        <f>AVERAGEIFS($D$2:D455, $B$2:B455, B455)</f>
        <v>0.7</v>
      </c>
    </row>
    <row r="456" spans="1:37" x14ac:dyDescent="0.25">
      <c r="A456" s="85">
        <v>46159</v>
      </c>
      <c r="B456" t="s">
        <v>42</v>
      </c>
      <c r="C456">
        <v>14</v>
      </c>
      <c r="D456">
        <v>1</v>
      </c>
      <c r="E456">
        <v>4</v>
      </c>
      <c r="F456">
        <v>3</v>
      </c>
      <c r="G456">
        <v>17</v>
      </c>
      <c r="H456">
        <v>10</v>
      </c>
      <c r="I456">
        <v>0.75</v>
      </c>
      <c r="J456">
        <v>0.59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1</v>
      </c>
      <c r="W456">
        <v>0</v>
      </c>
      <c r="X456">
        <v>0</v>
      </c>
      <c r="Y456">
        <v>0</v>
      </c>
      <c r="Z456">
        <v>1</v>
      </c>
      <c r="AA456">
        <v>0</v>
      </c>
      <c r="AB456">
        <v>1</v>
      </c>
      <c r="AC456">
        <v>0</v>
      </c>
      <c r="AD456">
        <v>0</v>
      </c>
      <c r="AE456">
        <v>0</v>
      </c>
      <c r="AF456">
        <v>0</v>
      </c>
      <c r="AG456">
        <v>0</v>
      </c>
      <c r="AH456" s="86">
        <f>AVERAGEIFS($C$2:C456, $B$2:B456, B456)</f>
        <v>16.458333333333332</v>
      </c>
      <c r="AI456" s="86">
        <f>AVERAGEIFS($I$2:I456, $B$2:B456, B456)</f>
        <v>0.50208333333333333</v>
      </c>
      <c r="AJ456" s="86">
        <f>AVERAGEIFS($J$2:J456, $B$2:B456, B456)</f>
        <v>0.47583333333333339</v>
      </c>
      <c r="AK456" s="86">
        <f>AVERAGEIFS($D$2:D456, $B$2:B456, B456)</f>
        <v>0.54166666666666663</v>
      </c>
    </row>
    <row r="457" spans="1:37" x14ac:dyDescent="0.25">
      <c r="A457" s="85">
        <v>46159</v>
      </c>
      <c r="B457" t="s">
        <v>54</v>
      </c>
      <c r="C457">
        <v>16</v>
      </c>
      <c r="D457">
        <v>1</v>
      </c>
      <c r="E457">
        <v>4</v>
      </c>
      <c r="F457">
        <v>3</v>
      </c>
      <c r="G457">
        <v>17</v>
      </c>
      <c r="H457">
        <v>10</v>
      </c>
      <c r="I457">
        <v>0.75</v>
      </c>
      <c r="J457">
        <v>0.59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1</v>
      </c>
      <c r="W457">
        <v>0</v>
      </c>
      <c r="X457">
        <v>0</v>
      </c>
      <c r="Y457">
        <v>0</v>
      </c>
      <c r="Z457">
        <v>1</v>
      </c>
      <c r="AA457">
        <v>0</v>
      </c>
      <c r="AB457">
        <v>1</v>
      </c>
      <c r="AC457">
        <v>0</v>
      </c>
      <c r="AD457">
        <v>0</v>
      </c>
      <c r="AE457">
        <v>0</v>
      </c>
      <c r="AF457">
        <v>0</v>
      </c>
      <c r="AG457">
        <v>0</v>
      </c>
      <c r="AH457" s="86">
        <f>AVERAGEIFS($C$2:C457, $B$2:B457, B457)</f>
        <v>20.941176470588236</v>
      </c>
      <c r="AI457" s="86">
        <f>AVERAGEIFS($I$2:I457, $B$2:B457, B457)</f>
        <v>0.53823529411764703</v>
      </c>
      <c r="AJ457" s="86">
        <f>AVERAGEIFS($J$2:J457, $B$2:B457, B457)</f>
        <v>0.50823529411764701</v>
      </c>
      <c r="AK457" s="86">
        <f>AVERAGEIFS($D$2:D457, $B$2:B457, B457)</f>
        <v>0.52941176470588236</v>
      </c>
    </row>
    <row r="458" spans="1:37" x14ac:dyDescent="0.25">
      <c r="A458" s="85">
        <v>46159</v>
      </c>
      <c r="B458" t="s">
        <v>40</v>
      </c>
      <c r="C458">
        <v>17</v>
      </c>
      <c r="D458">
        <v>1</v>
      </c>
      <c r="E458">
        <v>4</v>
      </c>
      <c r="F458">
        <v>3</v>
      </c>
      <c r="G458">
        <v>17</v>
      </c>
      <c r="H458">
        <v>10</v>
      </c>
      <c r="I458">
        <v>0.75</v>
      </c>
      <c r="J458">
        <v>0.59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1</v>
      </c>
      <c r="W458">
        <v>0</v>
      </c>
      <c r="X458">
        <v>0</v>
      </c>
      <c r="Y458">
        <v>0</v>
      </c>
      <c r="Z458">
        <v>1</v>
      </c>
      <c r="AA458">
        <v>0</v>
      </c>
      <c r="AB458">
        <v>1</v>
      </c>
      <c r="AC458">
        <v>0</v>
      </c>
      <c r="AD458">
        <v>0</v>
      </c>
      <c r="AE458">
        <v>0</v>
      </c>
      <c r="AF458">
        <v>0</v>
      </c>
      <c r="AG458">
        <v>0</v>
      </c>
      <c r="AH458" s="86">
        <f>AVERAGEIFS($C$2:C458, $B$2:B458, B458)</f>
        <v>18.920000000000002</v>
      </c>
      <c r="AI458" s="86">
        <f>AVERAGEIFS($I$2:I458, $B$2:B458, B458)</f>
        <v>0.46200000000000002</v>
      </c>
      <c r="AJ458" s="86">
        <f>AVERAGEIFS($J$2:J458, $B$2:B458, B458)</f>
        <v>0.48199999999999998</v>
      </c>
      <c r="AK458" s="86">
        <f>AVERAGEIFS($D$2:D458, $B$2:B458, B458)</f>
        <v>0.44</v>
      </c>
    </row>
    <row r="459" spans="1:37" x14ac:dyDescent="0.25">
      <c r="A459" s="85">
        <v>46159</v>
      </c>
      <c r="B459" t="s">
        <v>4</v>
      </c>
      <c r="C459">
        <v>15</v>
      </c>
      <c r="D459">
        <v>1</v>
      </c>
      <c r="E459">
        <v>4</v>
      </c>
      <c r="F459">
        <v>3</v>
      </c>
      <c r="G459">
        <v>17</v>
      </c>
      <c r="H459">
        <v>10</v>
      </c>
      <c r="I459">
        <v>0.75</v>
      </c>
      <c r="J459">
        <v>0.59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1</v>
      </c>
      <c r="W459">
        <v>0</v>
      </c>
      <c r="X459">
        <v>0</v>
      </c>
      <c r="Y459">
        <v>0</v>
      </c>
      <c r="Z459">
        <v>1</v>
      </c>
      <c r="AA459">
        <v>0</v>
      </c>
      <c r="AB459">
        <v>1</v>
      </c>
      <c r="AC459">
        <v>0</v>
      </c>
      <c r="AD459">
        <v>0</v>
      </c>
      <c r="AE459">
        <v>0</v>
      </c>
      <c r="AF459">
        <v>0</v>
      </c>
      <c r="AG459">
        <v>0</v>
      </c>
      <c r="AH459" s="86">
        <f>AVERAGEIFS($C$2:C459, $B$2:B459, B459)</f>
        <v>24.294117647058822</v>
      </c>
      <c r="AI459" s="86">
        <f>AVERAGEIFS($I$2:I459, $B$2:B459, B459)</f>
        <v>0.55294117647058827</v>
      </c>
      <c r="AJ459" s="86">
        <f>AVERAGEIFS($J$2:J459, $B$2:B459, B459)</f>
        <v>0.52235294117647058</v>
      </c>
      <c r="AK459" s="86">
        <f>AVERAGEIFS($D$2:D459, $B$2:B459, B459)</f>
        <v>0.6470588235294118</v>
      </c>
    </row>
    <row r="460" spans="1:37" x14ac:dyDescent="0.25">
      <c r="A460" s="85">
        <v>46159</v>
      </c>
      <c r="B460" t="s">
        <v>113</v>
      </c>
      <c r="C460">
        <v>27</v>
      </c>
      <c r="D460">
        <v>1</v>
      </c>
      <c r="E460">
        <v>4</v>
      </c>
      <c r="F460">
        <v>3</v>
      </c>
      <c r="G460">
        <v>17</v>
      </c>
      <c r="H460">
        <v>10</v>
      </c>
      <c r="I460">
        <v>0.75</v>
      </c>
      <c r="J460">
        <v>0.59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1</v>
      </c>
      <c r="W460">
        <v>0</v>
      </c>
      <c r="X460">
        <v>0</v>
      </c>
      <c r="Y460">
        <v>0</v>
      </c>
      <c r="Z460">
        <v>1</v>
      </c>
      <c r="AA460">
        <v>0</v>
      </c>
      <c r="AB460">
        <v>1</v>
      </c>
      <c r="AC460">
        <v>0</v>
      </c>
      <c r="AD460">
        <v>0</v>
      </c>
      <c r="AE460">
        <v>0</v>
      </c>
      <c r="AF460">
        <v>0</v>
      </c>
      <c r="AG460">
        <v>0</v>
      </c>
      <c r="AH460" s="86">
        <f>AVERAGEIFS($C$2:C460, $B$2:B460, B460)</f>
        <v>20</v>
      </c>
      <c r="AI460" s="86">
        <f>AVERAGEIFS($I$2:I460, $B$2:B460, B460)</f>
        <v>0.56304347826086965</v>
      </c>
      <c r="AJ460" s="86">
        <f>AVERAGEIFS($J$2:J460, $B$2:B460, B460)</f>
        <v>0.54304347826086963</v>
      </c>
      <c r="AK460" s="86">
        <f>AVERAGEIFS($D$2:D460, $B$2:B460, B460)</f>
        <v>0.52173913043478259</v>
      </c>
    </row>
    <row r="461" spans="1:37" x14ac:dyDescent="0.25">
      <c r="A461" s="85">
        <v>46160</v>
      </c>
      <c r="B461" t="s">
        <v>27</v>
      </c>
      <c r="C461">
        <v>19</v>
      </c>
      <c r="D461">
        <v>0</v>
      </c>
      <c r="E461">
        <v>5</v>
      </c>
      <c r="F461">
        <v>2</v>
      </c>
      <c r="G461">
        <v>22</v>
      </c>
      <c r="H461">
        <v>11</v>
      </c>
      <c r="I461">
        <v>0.4</v>
      </c>
      <c r="J461">
        <v>0.5</v>
      </c>
      <c r="K461">
        <v>0</v>
      </c>
      <c r="L461">
        <v>0</v>
      </c>
      <c r="M461">
        <v>0</v>
      </c>
      <c r="N461">
        <v>0</v>
      </c>
      <c r="O461">
        <v>1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1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 s="86">
        <f>AVERAGEIFS($C$2:C461, $B$2:B461, B461)</f>
        <v>13.333333333333334</v>
      </c>
      <c r="AI461" s="86">
        <f>AVERAGEIFS($I$2:I461, $B$2:B461, B461)</f>
        <v>0.6</v>
      </c>
      <c r="AJ461" s="86">
        <f>AVERAGEIFS($J$2:J461, $B$2:B461, B461)</f>
        <v>0.53333333333333333</v>
      </c>
      <c r="AK461" s="86">
        <f>AVERAGEIFS($D$2:D461, $B$2:B461, B461)</f>
        <v>0.33333333333333331</v>
      </c>
    </row>
    <row r="462" spans="1:37" x14ac:dyDescent="0.25">
      <c r="A462" s="85">
        <v>46160</v>
      </c>
      <c r="B462" t="s">
        <v>152</v>
      </c>
      <c r="C462">
        <v>23</v>
      </c>
      <c r="D462">
        <v>0</v>
      </c>
      <c r="E462">
        <v>5</v>
      </c>
      <c r="F462">
        <v>2</v>
      </c>
      <c r="G462">
        <v>22</v>
      </c>
      <c r="H462">
        <v>11</v>
      </c>
      <c r="I462">
        <v>0.4</v>
      </c>
      <c r="J462">
        <v>0.5</v>
      </c>
      <c r="K462">
        <v>0</v>
      </c>
      <c r="L462">
        <v>0</v>
      </c>
      <c r="M462">
        <v>0</v>
      </c>
      <c r="N462">
        <v>0</v>
      </c>
      <c r="O462">
        <v>1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1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 s="86">
        <f>AVERAGEIFS($C$2:C462, $B$2:B462, B462)</f>
        <v>13</v>
      </c>
      <c r="AI462" s="86">
        <f>AVERAGEIFS($I$2:I462, $B$2:B462, B462)</f>
        <v>0.33888888888888885</v>
      </c>
      <c r="AJ462" s="86">
        <f>AVERAGEIFS($J$2:J462, $B$2:B462, B462)</f>
        <v>0.44444444444444442</v>
      </c>
      <c r="AK462" s="86">
        <f>AVERAGEIFS($D$2:D462, $B$2:B462, B462)</f>
        <v>0.22222222222222221</v>
      </c>
    </row>
    <row r="463" spans="1:37" x14ac:dyDescent="0.25">
      <c r="A463" s="85">
        <v>46160</v>
      </c>
      <c r="B463" t="s">
        <v>54</v>
      </c>
      <c r="C463">
        <v>35</v>
      </c>
      <c r="D463">
        <v>0</v>
      </c>
      <c r="E463">
        <v>5</v>
      </c>
      <c r="F463">
        <v>2</v>
      </c>
      <c r="G463">
        <v>22</v>
      </c>
      <c r="H463">
        <v>11</v>
      </c>
      <c r="I463">
        <v>0.4</v>
      </c>
      <c r="J463">
        <v>0.5</v>
      </c>
      <c r="K463">
        <v>0</v>
      </c>
      <c r="L463">
        <v>0</v>
      </c>
      <c r="M463">
        <v>0</v>
      </c>
      <c r="N463">
        <v>0</v>
      </c>
      <c r="O463">
        <v>1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0</v>
      </c>
      <c r="Z463">
        <v>1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 s="86">
        <f>AVERAGEIFS($C$2:C463, $B$2:B463, B463)</f>
        <v>21.722222222222221</v>
      </c>
      <c r="AI463" s="86">
        <f>AVERAGEIFS($I$2:I463, $B$2:B463, B463)</f>
        <v>0.53055555555555556</v>
      </c>
      <c r="AJ463" s="86">
        <f>AVERAGEIFS($J$2:J463, $B$2:B463, B463)</f>
        <v>0.50777777777777766</v>
      </c>
      <c r="AK463" s="86">
        <f>AVERAGEIFS($D$2:D463, $B$2:B463, B463)</f>
        <v>0.5</v>
      </c>
    </row>
    <row r="464" spans="1:37" x14ac:dyDescent="0.25">
      <c r="A464" s="85">
        <v>46160</v>
      </c>
      <c r="B464" t="s">
        <v>2</v>
      </c>
      <c r="C464">
        <v>45</v>
      </c>
      <c r="D464">
        <v>0</v>
      </c>
      <c r="E464">
        <v>5</v>
      </c>
      <c r="F464">
        <v>2</v>
      </c>
      <c r="G464">
        <v>22</v>
      </c>
      <c r="H464">
        <v>11</v>
      </c>
      <c r="I464">
        <v>0.4</v>
      </c>
      <c r="J464">
        <v>0.5</v>
      </c>
      <c r="K464">
        <v>0</v>
      </c>
      <c r="L464">
        <v>0</v>
      </c>
      <c r="M464">
        <v>0</v>
      </c>
      <c r="N464">
        <v>0</v>
      </c>
      <c r="O464">
        <v>1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0</v>
      </c>
      <c r="Z464">
        <v>1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 s="86">
        <f>AVERAGEIFS($C$2:C464, $B$2:B464, B464)</f>
        <v>21</v>
      </c>
      <c r="AI464" s="86">
        <f>AVERAGEIFS($I$2:I464, $B$2:B464, B464)</f>
        <v>0.40312500000000001</v>
      </c>
      <c r="AJ464" s="86">
        <f>AVERAGEIFS($J$2:J464, $B$2:B464, B464)</f>
        <v>0.48812500000000003</v>
      </c>
      <c r="AK464" s="86">
        <f>AVERAGEIFS($D$2:D464, $B$2:B464, B464)</f>
        <v>0.3125</v>
      </c>
    </row>
    <row r="465" spans="1:37" x14ac:dyDescent="0.25">
      <c r="A465" s="85">
        <v>46160</v>
      </c>
      <c r="B465" t="s">
        <v>147</v>
      </c>
      <c r="C465">
        <v>28</v>
      </c>
      <c r="D465">
        <v>0</v>
      </c>
      <c r="E465">
        <v>5</v>
      </c>
      <c r="F465">
        <v>2</v>
      </c>
      <c r="G465">
        <v>22</v>
      </c>
      <c r="H465">
        <v>11</v>
      </c>
      <c r="I465">
        <v>0.4</v>
      </c>
      <c r="J465">
        <v>0.5</v>
      </c>
      <c r="K465">
        <v>0</v>
      </c>
      <c r="L465">
        <v>0</v>
      </c>
      <c r="M465">
        <v>0</v>
      </c>
      <c r="N465">
        <v>0</v>
      </c>
      <c r="O465">
        <v>1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1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0</v>
      </c>
      <c r="AH465" s="86">
        <f>AVERAGEIFS($C$2:C465, $B$2:B465, B465)</f>
        <v>16.473684210526315</v>
      </c>
      <c r="AI465" s="86">
        <f>AVERAGEIFS($I$2:I465, $B$2:B465, B465)</f>
        <v>0.54210526315789465</v>
      </c>
      <c r="AJ465" s="86">
        <f>AVERAGEIFS($J$2:J465, $B$2:B465, B465)</f>
        <v>0.53473684210526318</v>
      </c>
      <c r="AK465" s="86">
        <f>AVERAGEIFS($D$2:D465, $B$2:B465, B465)</f>
        <v>0.47368421052631576</v>
      </c>
    </row>
    <row r="466" spans="1:37" x14ac:dyDescent="0.25">
      <c r="A466" s="85">
        <v>46160</v>
      </c>
      <c r="B466" t="s">
        <v>107</v>
      </c>
      <c r="C466">
        <v>31</v>
      </c>
      <c r="D466">
        <v>0</v>
      </c>
      <c r="E466">
        <v>5</v>
      </c>
      <c r="F466">
        <v>2</v>
      </c>
      <c r="G466">
        <v>22</v>
      </c>
      <c r="H466">
        <v>11</v>
      </c>
      <c r="I466">
        <v>0.4</v>
      </c>
      <c r="J466">
        <v>0.5</v>
      </c>
      <c r="K466">
        <v>0</v>
      </c>
      <c r="L466">
        <v>0</v>
      </c>
      <c r="M466">
        <v>0</v>
      </c>
      <c r="N466">
        <v>0</v>
      </c>
      <c r="O466">
        <v>1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1</v>
      </c>
      <c r="AA466">
        <v>0</v>
      </c>
      <c r="AB466">
        <v>0</v>
      </c>
      <c r="AC466">
        <v>0</v>
      </c>
      <c r="AD466">
        <v>0</v>
      </c>
      <c r="AE466">
        <v>0</v>
      </c>
      <c r="AF466">
        <v>0</v>
      </c>
      <c r="AG466">
        <v>0</v>
      </c>
      <c r="AH466" s="86">
        <f>AVERAGEIFS($C$2:C466, $B$2:B466, B466)</f>
        <v>15.217391304347826</v>
      </c>
      <c r="AI466" s="86">
        <f>AVERAGEIFS($I$2:I466, $B$2:B466, B466)</f>
        <v>0.44782608695652171</v>
      </c>
      <c r="AJ466" s="86">
        <f>AVERAGEIFS($J$2:J466, $B$2:B466, B466)</f>
        <v>0.48173913043478261</v>
      </c>
      <c r="AK466" s="86">
        <f>AVERAGEIFS($D$2:D466, $B$2:B466, B466)</f>
        <v>0.52173913043478259</v>
      </c>
    </row>
    <row r="467" spans="1:37" x14ac:dyDescent="0.25">
      <c r="A467" s="85">
        <v>46160</v>
      </c>
      <c r="B467" t="s">
        <v>140</v>
      </c>
      <c r="C467">
        <v>6</v>
      </c>
      <c r="D467">
        <v>0</v>
      </c>
      <c r="E467">
        <v>5</v>
      </c>
      <c r="F467">
        <v>2</v>
      </c>
      <c r="G467">
        <v>22</v>
      </c>
      <c r="H467">
        <v>11</v>
      </c>
      <c r="I467">
        <v>0.4</v>
      </c>
      <c r="J467">
        <v>0.5</v>
      </c>
      <c r="K467">
        <v>0</v>
      </c>
      <c r="L467">
        <v>0</v>
      </c>
      <c r="M467">
        <v>0</v>
      </c>
      <c r="N467">
        <v>0</v>
      </c>
      <c r="O467">
        <v>1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1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0</v>
      </c>
      <c r="AH467" s="86">
        <f>AVERAGEIFS($C$2:C467, $B$2:B467, B467)</f>
        <v>11.666666666666666</v>
      </c>
      <c r="AI467" s="86">
        <f>AVERAGEIFS($I$2:I467, $B$2:B467, B467)</f>
        <v>0.58888888888888902</v>
      </c>
      <c r="AJ467" s="86">
        <f>AVERAGEIFS($J$2:J467, $B$2:B467, B467)</f>
        <v>0.54888888888888887</v>
      </c>
      <c r="AK467" s="86">
        <f>AVERAGEIFS($D$2:D467, $B$2:B467, B467)</f>
        <v>0.55555555555555558</v>
      </c>
    </row>
    <row r="468" spans="1:37" x14ac:dyDescent="0.25">
      <c r="A468" s="85">
        <v>46160</v>
      </c>
      <c r="B468" t="s">
        <v>5</v>
      </c>
      <c r="C468">
        <v>11</v>
      </c>
      <c r="D468">
        <v>0</v>
      </c>
      <c r="E468">
        <v>5</v>
      </c>
      <c r="F468">
        <v>2</v>
      </c>
      <c r="G468">
        <v>22</v>
      </c>
      <c r="H468">
        <v>11</v>
      </c>
      <c r="I468">
        <v>0.4</v>
      </c>
      <c r="J468">
        <v>0.5</v>
      </c>
      <c r="K468">
        <v>0</v>
      </c>
      <c r="L468">
        <v>0</v>
      </c>
      <c r="M468">
        <v>0</v>
      </c>
      <c r="N468">
        <v>0</v>
      </c>
      <c r="O468">
        <v>1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1</v>
      </c>
      <c r="AA468">
        <v>0</v>
      </c>
      <c r="AB468">
        <v>0</v>
      </c>
      <c r="AC468">
        <v>0</v>
      </c>
      <c r="AD468">
        <v>0</v>
      </c>
      <c r="AE468">
        <v>0</v>
      </c>
      <c r="AF468">
        <v>0</v>
      </c>
      <c r="AG468">
        <v>0</v>
      </c>
      <c r="AH468" s="86">
        <f>AVERAGEIFS($C$2:C468, $B$2:B468, B468)</f>
        <v>17.727272727272727</v>
      </c>
      <c r="AI468" s="86">
        <f>AVERAGEIFS($I$2:I468, $B$2:B468, B468)</f>
        <v>0.45454545454545464</v>
      </c>
      <c r="AJ468" s="86">
        <f>AVERAGEIFS($J$2:J468, $B$2:B468, B468)</f>
        <v>0.47909090909090912</v>
      </c>
      <c r="AK468" s="86">
        <f>AVERAGEIFS($D$2:D468, $B$2:B468, B468)</f>
        <v>0.45454545454545453</v>
      </c>
    </row>
    <row r="469" spans="1:37" x14ac:dyDescent="0.25">
      <c r="A469" s="85">
        <v>46160</v>
      </c>
      <c r="B469" t="s">
        <v>115</v>
      </c>
      <c r="C469">
        <v>22</v>
      </c>
      <c r="D469">
        <v>1</v>
      </c>
      <c r="E469">
        <v>5</v>
      </c>
      <c r="F469">
        <v>3</v>
      </c>
      <c r="G469">
        <v>22</v>
      </c>
      <c r="H469">
        <v>11</v>
      </c>
      <c r="I469">
        <v>0.6</v>
      </c>
      <c r="J469">
        <v>0.5</v>
      </c>
      <c r="K469">
        <v>0</v>
      </c>
      <c r="L469">
        <v>0</v>
      </c>
      <c r="M469">
        <v>1</v>
      </c>
      <c r="N469">
        <v>1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1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0</v>
      </c>
      <c r="AF469">
        <v>0</v>
      </c>
      <c r="AG469">
        <v>0</v>
      </c>
      <c r="AH469" s="86">
        <f>AVERAGEIFS($C$2:C469, $B$2:B469, B469)</f>
        <v>16.25</v>
      </c>
      <c r="AI469" s="86">
        <f>AVERAGEIFS($I$2:I469, $B$2:B469, B469)</f>
        <v>0.4</v>
      </c>
      <c r="AJ469" s="86">
        <f>AVERAGEIFS($J$2:J469, $B$2:B469, B469)</f>
        <v>0.44</v>
      </c>
      <c r="AK469" s="86">
        <f>AVERAGEIFS($D$2:D469, $B$2:B469, B469)</f>
        <v>0.5</v>
      </c>
    </row>
    <row r="470" spans="1:37" x14ac:dyDescent="0.25">
      <c r="A470" s="85">
        <v>46160</v>
      </c>
      <c r="B470" t="s">
        <v>161</v>
      </c>
      <c r="C470">
        <v>9</v>
      </c>
      <c r="D470">
        <v>1</v>
      </c>
      <c r="E470">
        <v>5</v>
      </c>
      <c r="F470">
        <v>3</v>
      </c>
      <c r="G470">
        <v>22</v>
      </c>
      <c r="H470">
        <v>11</v>
      </c>
      <c r="I470">
        <v>0.6</v>
      </c>
      <c r="J470">
        <v>0.5</v>
      </c>
      <c r="K470">
        <v>0</v>
      </c>
      <c r="L470">
        <v>0</v>
      </c>
      <c r="M470">
        <v>1</v>
      </c>
      <c r="N470">
        <v>1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1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0</v>
      </c>
      <c r="AF470">
        <v>0</v>
      </c>
      <c r="AG470">
        <v>0</v>
      </c>
      <c r="AH470" s="86">
        <f>AVERAGEIFS($C$2:C470, $B$2:B470, B470)</f>
        <v>9.4615384615384617</v>
      </c>
      <c r="AI470" s="86">
        <f>AVERAGEIFS($I$2:I470, $B$2:B470, B470)</f>
        <v>0.51923076923076916</v>
      </c>
      <c r="AJ470" s="86">
        <f>AVERAGEIFS($J$2:J470, $B$2:B470, B470)</f>
        <v>0.50538461538461532</v>
      </c>
      <c r="AK470" s="86">
        <f>AVERAGEIFS($D$2:D470, $B$2:B470, B470)</f>
        <v>0.53846153846153844</v>
      </c>
    </row>
    <row r="471" spans="1:37" x14ac:dyDescent="0.25">
      <c r="A471" s="85">
        <v>46160</v>
      </c>
      <c r="B471" t="s">
        <v>179</v>
      </c>
      <c r="C471">
        <v>14</v>
      </c>
      <c r="D471">
        <v>1</v>
      </c>
      <c r="E471">
        <v>5</v>
      </c>
      <c r="F471">
        <v>3</v>
      </c>
      <c r="G471">
        <v>22</v>
      </c>
      <c r="H471">
        <v>11</v>
      </c>
      <c r="I471">
        <v>0.6</v>
      </c>
      <c r="J471">
        <v>0.5</v>
      </c>
      <c r="K471">
        <v>0</v>
      </c>
      <c r="L471">
        <v>0</v>
      </c>
      <c r="M471">
        <v>1</v>
      </c>
      <c r="N471">
        <v>1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1</v>
      </c>
      <c r="W471">
        <v>0</v>
      </c>
      <c r="X471">
        <v>0</v>
      </c>
      <c r="Y471">
        <v>0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 s="86">
        <f>AVERAGEIFS($C$2:C471, $B$2:B471, B471)</f>
        <v>17.888888888888889</v>
      </c>
      <c r="AI471" s="86">
        <f>AVERAGEIFS($I$2:I471, $B$2:B471, B471)</f>
        <v>0.46666666666666656</v>
      </c>
      <c r="AJ471" s="86">
        <f>AVERAGEIFS($J$2:J471, $B$2:B471, B471)</f>
        <v>0.49444444444444446</v>
      </c>
      <c r="AK471" s="86">
        <f>AVERAGEIFS($D$2:D471, $B$2:B471, B471)</f>
        <v>0.33333333333333331</v>
      </c>
    </row>
    <row r="472" spans="1:37" x14ac:dyDescent="0.25">
      <c r="A472" s="85">
        <v>46160</v>
      </c>
      <c r="B472" t="s">
        <v>13</v>
      </c>
      <c r="C472">
        <v>7</v>
      </c>
      <c r="D472">
        <v>1</v>
      </c>
      <c r="E472">
        <v>5</v>
      </c>
      <c r="F472">
        <v>3</v>
      </c>
      <c r="G472">
        <v>22</v>
      </c>
      <c r="H472">
        <v>11</v>
      </c>
      <c r="I472">
        <v>0.6</v>
      </c>
      <c r="J472">
        <v>0.5</v>
      </c>
      <c r="K472">
        <v>0</v>
      </c>
      <c r="L472">
        <v>0</v>
      </c>
      <c r="M472">
        <v>1</v>
      </c>
      <c r="N472">
        <v>1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1</v>
      </c>
      <c r="W472">
        <v>0</v>
      </c>
      <c r="X472">
        <v>0</v>
      </c>
      <c r="Y472">
        <v>0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  <c r="AH472" s="86">
        <f>AVERAGEIFS($C$2:C472, $B$2:B472, B472)</f>
        <v>15.642857142857142</v>
      </c>
      <c r="AI472" s="86">
        <f>AVERAGEIFS($I$2:I472, $B$2:B472, B472)</f>
        <v>0.41785714285714282</v>
      </c>
      <c r="AJ472" s="86">
        <f>AVERAGEIFS($J$2:J472, $B$2:B472, B472)</f>
        <v>0.44785714285714284</v>
      </c>
      <c r="AK472" s="86">
        <f>AVERAGEIFS($D$2:D472, $B$2:B472, B472)</f>
        <v>0.42857142857142855</v>
      </c>
    </row>
    <row r="473" spans="1:37" x14ac:dyDescent="0.25">
      <c r="A473" s="85">
        <v>46160</v>
      </c>
      <c r="B473" t="s">
        <v>141</v>
      </c>
      <c r="C473">
        <v>43</v>
      </c>
      <c r="D473">
        <v>1</v>
      </c>
      <c r="E473">
        <v>5</v>
      </c>
      <c r="F473">
        <v>3</v>
      </c>
      <c r="G473">
        <v>22</v>
      </c>
      <c r="H473">
        <v>11</v>
      </c>
      <c r="I473">
        <v>0.6</v>
      </c>
      <c r="J473">
        <v>0.5</v>
      </c>
      <c r="K473">
        <v>0</v>
      </c>
      <c r="L473">
        <v>0</v>
      </c>
      <c r="M473">
        <v>1</v>
      </c>
      <c r="N473">
        <v>1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1</v>
      </c>
      <c r="W473">
        <v>0</v>
      </c>
      <c r="X473">
        <v>0</v>
      </c>
      <c r="Y473">
        <v>0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 s="86">
        <f>AVERAGEIFS($C$2:C473, $B$2:B473, B473)</f>
        <v>18.111111111111111</v>
      </c>
      <c r="AI473" s="86">
        <f>AVERAGEIFS($I$2:I473, $B$2:B473, B473)</f>
        <v>0.51944444444444438</v>
      </c>
      <c r="AJ473" s="86">
        <f>AVERAGEIFS($J$2:J473, $B$2:B473, B473)</f>
        <v>0.51055555555555565</v>
      </c>
      <c r="AK473" s="86">
        <f>AVERAGEIFS($D$2:D473, $B$2:B473, B473)</f>
        <v>0.66666666666666663</v>
      </c>
    </row>
    <row r="474" spans="1:37" x14ac:dyDescent="0.25">
      <c r="A474" s="85">
        <v>46160</v>
      </c>
      <c r="B474" t="s">
        <v>6</v>
      </c>
      <c r="C474">
        <v>40</v>
      </c>
      <c r="D474">
        <v>1</v>
      </c>
      <c r="E474">
        <v>5</v>
      </c>
      <c r="F474">
        <v>3</v>
      </c>
      <c r="G474">
        <v>22</v>
      </c>
      <c r="H474">
        <v>11</v>
      </c>
      <c r="I474">
        <v>0.6</v>
      </c>
      <c r="J474">
        <v>0.5</v>
      </c>
      <c r="K474">
        <v>0</v>
      </c>
      <c r="L474">
        <v>0</v>
      </c>
      <c r="M474">
        <v>1</v>
      </c>
      <c r="N474">
        <v>1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1</v>
      </c>
      <c r="W474">
        <v>0</v>
      </c>
      <c r="X474">
        <v>0</v>
      </c>
      <c r="Y474">
        <v>0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 s="86">
        <f>AVERAGEIFS($C$2:C474, $B$2:B474, B474)</f>
        <v>24.464285714285715</v>
      </c>
      <c r="AI474" s="86">
        <f>AVERAGEIFS($I$2:I474, $B$2:B474, B474)</f>
        <v>0.58750000000000002</v>
      </c>
      <c r="AJ474" s="86">
        <f>AVERAGEIFS($J$2:J474, $B$2:B474, B474)</f>
        <v>0.53357142857142859</v>
      </c>
      <c r="AK474" s="86">
        <f>AVERAGEIFS($D$2:D474, $B$2:B474, B474)</f>
        <v>0.6428571428571429</v>
      </c>
    </row>
    <row r="475" spans="1:37" x14ac:dyDescent="0.25">
      <c r="A475" s="85">
        <v>46160</v>
      </c>
      <c r="B475" t="s">
        <v>113</v>
      </c>
      <c r="C475">
        <v>30</v>
      </c>
      <c r="D475">
        <v>1</v>
      </c>
      <c r="E475">
        <v>5</v>
      </c>
      <c r="F475">
        <v>3</v>
      </c>
      <c r="G475">
        <v>22</v>
      </c>
      <c r="H475">
        <v>11</v>
      </c>
      <c r="I475">
        <v>0.6</v>
      </c>
      <c r="J475">
        <v>0.5</v>
      </c>
      <c r="K475">
        <v>0</v>
      </c>
      <c r="L475">
        <v>0</v>
      </c>
      <c r="M475">
        <v>1</v>
      </c>
      <c r="N475">
        <v>1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1</v>
      </c>
      <c r="W475">
        <v>0</v>
      </c>
      <c r="X475">
        <v>0</v>
      </c>
      <c r="Y475">
        <v>0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 s="86">
        <f>AVERAGEIFS($C$2:C475, $B$2:B475, B475)</f>
        <v>20.416666666666668</v>
      </c>
      <c r="AI475" s="86">
        <f>AVERAGEIFS($I$2:I475, $B$2:B475, B475)</f>
        <v>0.56458333333333333</v>
      </c>
      <c r="AJ475" s="86">
        <f>AVERAGEIFS($J$2:J475, $B$2:B475, B475)</f>
        <v>0.54125000000000001</v>
      </c>
      <c r="AK475" s="86">
        <f>AVERAGEIFS($D$2:D475, $B$2:B475, B475)</f>
        <v>0.54166666666666663</v>
      </c>
    </row>
    <row r="476" spans="1:37" x14ac:dyDescent="0.25">
      <c r="A476" s="85">
        <v>46160</v>
      </c>
      <c r="B476" t="s">
        <v>150</v>
      </c>
      <c r="C476">
        <v>33</v>
      </c>
      <c r="D476">
        <v>1</v>
      </c>
      <c r="E476">
        <v>5</v>
      </c>
      <c r="F476">
        <v>3</v>
      </c>
      <c r="G476">
        <v>22</v>
      </c>
      <c r="H476">
        <v>11</v>
      </c>
      <c r="I476">
        <v>0.6</v>
      </c>
      <c r="J476">
        <v>0.5</v>
      </c>
      <c r="K476">
        <v>0</v>
      </c>
      <c r="L476">
        <v>0</v>
      </c>
      <c r="M476">
        <v>1</v>
      </c>
      <c r="N476">
        <v>1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1</v>
      </c>
      <c r="W476">
        <v>0</v>
      </c>
      <c r="X476">
        <v>0</v>
      </c>
      <c r="Y476">
        <v>0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 s="86">
        <f>AVERAGEIFS($C$2:C476, $B$2:B476, B476)</f>
        <v>20.238095238095237</v>
      </c>
      <c r="AI476" s="86">
        <f>AVERAGEIFS($I$2:I476, $B$2:B476, B476)</f>
        <v>0.62380952380952381</v>
      </c>
      <c r="AJ476" s="86">
        <f>AVERAGEIFS($J$2:J476, $B$2:B476, B476)</f>
        <v>0.57952380952380944</v>
      </c>
      <c r="AK476" s="86">
        <f>AVERAGEIFS($D$2:D476, $B$2:B476, B476)</f>
        <v>0.7142857142857143</v>
      </c>
    </row>
    <row r="477" spans="1:37" x14ac:dyDescent="0.25">
      <c r="A477" s="85">
        <v>46161</v>
      </c>
      <c r="B477" t="s">
        <v>42</v>
      </c>
      <c r="C477">
        <v>25</v>
      </c>
      <c r="D477">
        <v>0</v>
      </c>
      <c r="E477">
        <v>5</v>
      </c>
      <c r="F477">
        <v>2</v>
      </c>
      <c r="G477">
        <v>21</v>
      </c>
      <c r="H477">
        <v>10</v>
      </c>
      <c r="I477">
        <v>0.4</v>
      </c>
      <c r="J477">
        <v>0.48</v>
      </c>
      <c r="K477">
        <v>0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1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0</v>
      </c>
      <c r="AF477">
        <v>0</v>
      </c>
      <c r="AG477">
        <v>1</v>
      </c>
      <c r="AH477" s="86">
        <f>AVERAGEIFS($C$2:C477, $B$2:B477, B477)</f>
        <v>16.8</v>
      </c>
      <c r="AI477" s="86">
        <f>AVERAGEIFS($I$2:I477, $B$2:B477, B477)</f>
        <v>0.498</v>
      </c>
      <c r="AJ477" s="86">
        <f>AVERAGEIFS($J$2:J477, $B$2:B477, B477)</f>
        <v>0.47600000000000009</v>
      </c>
      <c r="AK477" s="86">
        <f>AVERAGEIFS($D$2:D477, $B$2:B477, B477)</f>
        <v>0.52</v>
      </c>
    </row>
    <row r="478" spans="1:37" x14ac:dyDescent="0.25">
      <c r="A478" s="85">
        <v>46161</v>
      </c>
      <c r="B478" t="s">
        <v>6</v>
      </c>
      <c r="C478">
        <v>29</v>
      </c>
      <c r="D478">
        <v>0</v>
      </c>
      <c r="E478">
        <v>5</v>
      </c>
      <c r="F478">
        <v>2</v>
      </c>
      <c r="G478">
        <v>21</v>
      </c>
      <c r="H478">
        <v>10</v>
      </c>
      <c r="I478">
        <v>0.4</v>
      </c>
      <c r="J478">
        <v>0.48</v>
      </c>
      <c r="K478">
        <v>0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1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0</v>
      </c>
      <c r="AF478">
        <v>0</v>
      </c>
      <c r="AG478">
        <v>1</v>
      </c>
      <c r="AH478" s="86">
        <f>AVERAGEIFS($C$2:C478, $B$2:B478, B478)</f>
        <v>24.620689655172413</v>
      </c>
      <c r="AI478" s="86">
        <f>AVERAGEIFS($I$2:I478, $B$2:B478, B478)</f>
        <v>0.58103448275862057</v>
      </c>
      <c r="AJ478" s="86">
        <f>AVERAGEIFS($J$2:J478, $B$2:B478, B478)</f>
        <v>0.53172413793103446</v>
      </c>
      <c r="AK478" s="86">
        <f>AVERAGEIFS($D$2:D478, $B$2:B478, B478)</f>
        <v>0.62068965517241381</v>
      </c>
    </row>
    <row r="479" spans="1:37" x14ac:dyDescent="0.25">
      <c r="A479" s="85">
        <v>46161</v>
      </c>
      <c r="B479" t="s">
        <v>40</v>
      </c>
      <c r="C479">
        <v>29</v>
      </c>
      <c r="D479">
        <v>0</v>
      </c>
      <c r="E479">
        <v>5</v>
      </c>
      <c r="F479">
        <v>2</v>
      </c>
      <c r="G479">
        <v>21</v>
      </c>
      <c r="H479">
        <v>10</v>
      </c>
      <c r="I479">
        <v>0.4</v>
      </c>
      <c r="J479">
        <v>0.48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1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0</v>
      </c>
      <c r="AF479">
        <v>0</v>
      </c>
      <c r="AG479">
        <v>1</v>
      </c>
      <c r="AH479" s="86">
        <f>AVERAGEIFS($C$2:C479, $B$2:B479, B479)</f>
        <v>19.307692307692307</v>
      </c>
      <c r="AI479" s="86">
        <f>AVERAGEIFS($I$2:I479, $B$2:B479, B479)</f>
        <v>0.45961538461538465</v>
      </c>
      <c r="AJ479" s="86">
        <f>AVERAGEIFS($J$2:J479, $B$2:B479, B479)</f>
        <v>0.4819230769230769</v>
      </c>
      <c r="AK479" s="86">
        <f>AVERAGEIFS($D$2:D479, $B$2:B479, B479)</f>
        <v>0.42307692307692307</v>
      </c>
    </row>
    <row r="480" spans="1:37" x14ac:dyDescent="0.25">
      <c r="A480" s="85">
        <v>46161</v>
      </c>
      <c r="B480" t="s">
        <v>53</v>
      </c>
      <c r="C480">
        <v>21</v>
      </c>
      <c r="D480">
        <v>0</v>
      </c>
      <c r="E480">
        <v>5</v>
      </c>
      <c r="F480">
        <v>2</v>
      </c>
      <c r="G480">
        <v>21</v>
      </c>
      <c r="H480">
        <v>10</v>
      </c>
      <c r="I480">
        <v>0.4</v>
      </c>
      <c r="J480">
        <v>0.48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1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0</v>
      </c>
      <c r="AF480">
        <v>0</v>
      </c>
      <c r="AG480">
        <v>1</v>
      </c>
      <c r="AH480" s="86">
        <f>AVERAGEIFS($C$2:C480, $B$2:B480, B480)</f>
        <v>14.4375</v>
      </c>
      <c r="AI480" s="86">
        <f>AVERAGEIFS($I$2:I480, $B$2:B480, B480)</f>
        <v>0.42812499999999998</v>
      </c>
      <c r="AJ480" s="86">
        <f>AVERAGEIFS($J$2:J480, $B$2:B480, B480)</f>
        <v>0.46499999999999997</v>
      </c>
      <c r="AK480" s="86">
        <f>AVERAGEIFS($D$2:D480, $B$2:B480, B480)</f>
        <v>0.25</v>
      </c>
    </row>
    <row r="481" spans="1:37" x14ac:dyDescent="0.25">
      <c r="A481" s="85">
        <v>46161</v>
      </c>
      <c r="B481" t="s">
        <v>25</v>
      </c>
      <c r="C481">
        <v>29</v>
      </c>
      <c r="D481">
        <v>0</v>
      </c>
      <c r="E481">
        <v>5</v>
      </c>
      <c r="F481">
        <v>2</v>
      </c>
      <c r="G481">
        <v>21</v>
      </c>
      <c r="H481">
        <v>10</v>
      </c>
      <c r="I481">
        <v>0.4</v>
      </c>
      <c r="J481">
        <v>0.48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1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0</v>
      </c>
      <c r="AF481">
        <v>0</v>
      </c>
      <c r="AG481">
        <v>1</v>
      </c>
      <c r="AH481" s="86">
        <f>AVERAGEIFS($C$2:C481, $B$2:B481, B481)</f>
        <v>29</v>
      </c>
      <c r="AI481" s="86">
        <f>AVERAGEIFS($I$2:I481, $B$2:B481, B481)</f>
        <v>0.4</v>
      </c>
      <c r="AJ481" s="86">
        <f>AVERAGEIFS($J$2:J481, $B$2:B481, B481)</f>
        <v>0.48</v>
      </c>
      <c r="AK481" s="86">
        <f>AVERAGEIFS($D$2:D481, $B$2:B481, B481)</f>
        <v>0</v>
      </c>
    </row>
    <row r="482" spans="1:37" x14ac:dyDescent="0.25">
      <c r="A482" s="85">
        <v>46161</v>
      </c>
      <c r="B482" t="s">
        <v>44</v>
      </c>
      <c r="C482">
        <v>22</v>
      </c>
      <c r="D482">
        <v>0</v>
      </c>
      <c r="E482">
        <v>5</v>
      </c>
      <c r="F482">
        <v>2</v>
      </c>
      <c r="G482">
        <v>21</v>
      </c>
      <c r="H482">
        <v>10</v>
      </c>
      <c r="I482">
        <v>0.4</v>
      </c>
      <c r="J482">
        <v>0.48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1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0</v>
      </c>
      <c r="AE482">
        <v>0</v>
      </c>
      <c r="AF482">
        <v>0</v>
      </c>
      <c r="AG482">
        <v>1</v>
      </c>
      <c r="AH482" s="86">
        <f>AVERAGEIFS($C$2:C482, $B$2:B482, B482)</f>
        <v>16.440000000000001</v>
      </c>
      <c r="AI482" s="86">
        <f>AVERAGEIFS($I$2:I482, $B$2:B482, B482)</f>
        <v>0.56999999999999995</v>
      </c>
      <c r="AJ482" s="86">
        <f>AVERAGEIFS($J$2:J482, $B$2:B482, B482)</f>
        <v>0.53320000000000001</v>
      </c>
      <c r="AK482" s="86">
        <f>AVERAGEIFS($D$2:D482, $B$2:B482, B482)</f>
        <v>0.56000000000000005</v>
      </c>
    </row>
    <row r="483" spans="1:37" x14ac:dyDescent="0.25">
      <c r="A483" s="85">
        <v>46161</v>
      </c>
      <c r="B483" t="s">
        <v>4</v>
      </c>
      <c r="C483">
        <v>43</v>
      </c>
      <c r="D483">
        <v>1</v>
      </c>
      <c r="E483">
        <v>5</v>
      </c>
      <c r="F483">
        <v>3</v>
      </c>
      <c r="G483">
        <v>21</v>
      </c>
      <c r="H483">
        <v>11</v>
      </c>
      <c r="I483">
        <v>0.6</v>
      </c>
      <c r="J483">
        <v>0.52</v>
      </c>
      <c r="K483">
        <v>0</v>
      </c>
      <c r="L483">
        <v>1</v>
      </c>
      <c r="M483">
        <v>1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1</v>
      </c>
      <c r="X483">
        <v>0</v>
      </c>
      <c r="Y483">
        <v>0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v>0</v>
      </c>
      <c r="AH483" s="86">
        <f>AVERAGEIFS($C$2:C483, $B$2:B483, B483)</f>
        <v>25.333333333333332</v>
      </c>
      <c r="AI483" s="86">
        <f>AVERAGEIFS($I$2:I483, $B$2:B483, B483)</f>
        <v>0.55555555555555558</v>
      </c>
      <c r="AJ483" s="86">
        <f>AVERAGEIFS($J$2:J483, $B$2:B483, B483)</f>
        <v>0.52222222222222214</v>
      </c>
      <c r="AK483" s="86">
        <f>AVERAGEIFS($D$2:D483, $B$2:B483, B483)</f>
        <v>0.66666666666666663</v>
      </c>
    </row>
    <row r="484" spans="1:37" x14ac:dyDescent="0.25">
      <c r="A484" s="85">
        <v>46161</v>
      </c>
      <c r="B484" t="s">
        <v>54</v>
      </c>
      <c r="C484">
        <v>38</v>
      </c>
      <c r="D484">
        <v>1</v>
      </c>
      <c r="E484">
        <v>5</v>
      </c>
      <c r="F484">
        <v>3</v>
      </c>
      <c r="G484">
        <v>21</v>
      </c>
      <c r="H484">
        <v>11</v>
      </c>
      <c r="I484">
        <v>0.6</v>
      </c>
      <c r="J484">
        <v>0.52</v>
      </c>
      <c r="K484">
        <v>0</v>
      </c>
      <c r="L484">
        <v>1</v>
      </c>
      <c r="M484">
        <v>1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1</v>
      </c>
      <c r="X484">
        <v>0</v>
      </c>
      <c r="Y484">
        <v>0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 s="86">
        <f>AVERAGEIFS($C$2:C484, $B$2:B484, B484)</f>
        <v>22.578947368421051</v>
      </c>
      <c r="AI484" s="86">
        <f>AVERAGEIFS($I$2:I484, $B$2:B484, B484)</f>
        <v>0.53421052631578947</v>
      </c>
      <c r="AJ484" s="86">
        <f>AVERAGEIFS($J$2:J484, $B$2:B484, B484)</f>
        <v>0.50842105263157888</v>
      </c>
      <c r="AK484" s="86">
        <f>AVERAGEIFS($D$2:D484, $B$2:B484, B484)</f>
        <v>0.52631578947368418</v>
      </c>
    </row>
    <row r="485" spans="1:37" x14ac:dyDescent="0.25">
      <c r="A485" s="85">
        <v>46161</v>
      </c>
      <c r="B485" t="s">
        <v>147</v>
      </c>
      <c r="C485">
        <v>26</v>
      </c>
      <c r="D485">
        <v>1</v>
      </c>
      <c r="E485">
        <v>5</v>
      </c>
      <c r="F485">
        <v>3</v>
      </c>
      <c r="G485">
        <v>21</v>
      </c>
      <c r="H485">
        <v>11</v>
      </c>
      <c r="I485">
        <v>0.6</v>
      </c>
      <c r="J485">
        <v>0.52</v>
      </c>
      <c r="K485">
        <v>0</v>
      </c>
      <c r="L485">
        <v>1</v>
      </c>
      <c r="M485">
        <v>1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1</v>
      </c>
      <c r="X485">
        <v>0</v>
      </c>
      <c r="Y485">
        <v>0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 s="86">
        <f>AVERAGEIFS($C$2:C485, $B$2:B485, B485)</f>
        <v>16.95</v>
      </c>
      <c r="AI485" s="86">
        <f>AVERAGEIFS($I$2:I485, $B$2:B485, B485)</f>
        <v>0.54499999999999993</v>
      </c>
      <c r="AJ485" s="86">
        <f>AVERAGEIFS($J$2:J485, $B$2:B485, B485)</f>
        <v>0.53400000000000003</v>
      </c>
      <c r="AK485" s="86">
        <f>AVERAGEIFS($D$2:D485, $B$2:B485, B485)</f>
        <v>0.5</v>
      </c>
    </row>
    <row r="486" spans="1:37" x14ac:dyDescent="0.25">
      <c r="A486" s="85">
        <v>46161</v>
      </c>
      <c r="B486" t="s">
        <v>115</v>
      </c>
      <c r="C486">
        <v>13</v>
      </c>
      <c r="D486">
        <v>1</v>
      </c>
      <c r="E486">
        <v>5</v>
      </c>
      <c r="F486">
        <v>3</v>
      </c>
      <c r="G486">
        <v>21</v>
      </c>
      <c r="H486">
        <v>11</v>
      </c>
      <c r="I486">
        <v>0.6</v>
      </c>
      <c r="J486">
        <v>0.52</v>
      </c>
      <c r="K486">
        <v>0</v>
      </c>
      <c r="L486">
        <v>1</v>
      </c>
      <c r="M486">
        <v>1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1</v>
      </c>
      <c r="X486">
        <v>0</v>
      </c>
      <c r="Y486">
        <v>0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 s="86">
        <f>AVERAGEIFS($C$2:C486, $B$2:B486, B486)</f>
        <v>15.6</v>
      </c>
      <c r="AI486" s="86">
        <f>AVERAGEIFS($I$2:I486, $B$2:B486, B486)</f>
        <v>0.44000000000000006</v>
      </c>
      <c r="AJ486" s="86">
        <f>AVERAGEIFS($J$2:J486, $B$2:B486, B486)</f>
        <v>0.45600000000000007</v>
      </c>
      <c r="AK486" s="86">
        <f>AVERAGEIFS($D$2:D486, $B$2:B486, B486)</f>
        <v>0.6</v>
      </c>
    </row>
    <row r="487" spans="1:37" x14ac:dyDescent="0.25">
      <c r="A487" s="85">
        <v>46161</v>
      </c>
      <c r="B487" t="s">
        <v>214</v>
      </c>
      <c r="C487">
        <v>6</v>
      </c>
      <c r="D487">
        <v>1</v>
      </c>
      <c r="E487">
        <v>5</v>
      </c>
      <c r="F487">
        <v>3</v>
      </c>
      <c r="G487">
        <v>21</v>
      </c>
      <c r="H487">
        <v>11</v>
      </c>
      <c r="I487">
        <v>0.6</v>
      </c>
      <c r="J487">
        <v>0.52</v>
      </c>
      <c r="K487">
        <v>0</v>
      </c>
      <c r="L487">
        <v>1</v>
      </c>
      <c r="M487">
        <v>1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1</v>
      </c>
      <c r="X487">
        <v>0</v>
      </c>
      <c r="Y487">
        <v>0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 s="86">
        <f>AVERAGEIFS($C$2:C487, $B$2:B487, B487)</f>
        <v>3.5</v>
      </c>
      <c r="AI487" s="86">
        <f>AVERAGEIFS($I$2:I487, $B$2:B487, B487)</f>
        <v>0.8</v>
      </c>
      <c r="AJ487" s="86">
        <f>AVERAGEIFS($J$2:J487, $B$2:B487, B487)</f>
        <v>0.63500000000000001</v>
      </c>
      <c r="AK487" s="86">
        <f>AVERAGEIFS($D$2:D487, $B$2:B487, B487)</f>
        <v>1</v>
      </c>
    </row>
    <row r="488" spans="1:37" x14ac:dyDescent="0.25">
      <c r="A488" s="85">
        <v>46161</v>
      </c>
      <c r="B488" t="s">
        <v>71</v>
      </c>
      <c r="C488">
        <v>31</v>
      </c>
      <c r="D488">
        <v>1</v>
      </c>
      <c r="E488">
        <v>5</v>
      </c>
      <c r="F488">
        <v>3</v>
      </c>
      <c r="G488">
        <v>21</v>
      </c>
      <c r="H488">
        <v>11</v>
      </c>
      <c r="I488">
        <v>0.6</v>
      </c>
      <c r="J488">
        <v>0.52</v>
      </c>
      <c r="K488">
        <v>0</v>
      </c>
      <c r="L488">
        <v>1</v>
      </c>
      <c r="M488">
        <v>1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1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0</v>
      </c>
      <c r="AH488" s="86">
        <f>AVERAGEIFS($C$2:C488, $B$2:B488, B488)</f>
        <v>14.470588235294118</v>
      </c>
      <c r="AI488" s="86">
        <f>AVERAGEIFS($I$2:I488, $B$2:B488, B488)</f>
        <v>0.41470588235294115</v>
      </c>
      <c r="AJ488" s="86">
        <f>AVERAGEIFS($J$2:J488, $B$2:B488, B488)</f>
        <v>0.45823529411764702</v>
      </c>
      <c r="AK488" s="86">
        <f>AVERAGEIFS($D$2:D488, $B$2:B488, B488)</f>
        <v>0.35294117647058826</v>
      </c>
    </row>
    <row r="489" spans="1:37" x14ac:dyDescent="0.25">
      <c r="A489" s="85">
        <v>46163</v>
      </c>
      <c r="B489" t="s">
        <v>54</v>
      </c>
      <c r="C489">
        <v>18</v>
      </c>
      <c r="D489">
        <v>1</v>
      </c>
      <c r="E489">
        <v>4</v>
      </c>
      <c r="F489">
        <v>3</v>
      </c>
      <c r="G489">
        <v>17</v>
      </c>
      <c r="H489">
        <v>10</v>
      </c>
      <c r="I489">
        <v>0.75</v>
      </c>
      <c r="J489">
        <v>0.59</v>
      </c>
      <c r="K489">
        <v>0</v>
      </c>
      <c r="L489">
        <v>1</v>
      </c>
      <c r="M489">
        <v>0</v>
      </c>
      <c r="N489">
        <v>0</v>
      </c>
      <c r="O489">
        <v>0</v>
      </c>
      <c r="P489">
        <v>1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1</v>
      </c>
      <c r="AF489">
        <v>0</v>
      </c>
      <c r="AG489">
        <v>0</v>
      </c>
      <c r="AH489" s="86">
        <f>AVERAGEIFS($C$2:C489, $B$2:B489, B489)</f>
        <v>22.35</v>
      </c>
      <c r="AI489" s="86">
        <f>AVERAGEIFS($I$2:I489, $B$2:B489, B489)</f>
        <v>0.54500000000000004</v>
      </c>
      <c r="AJ489" s="86">
        <f>AVERAGEIFS($J$2:J489, $B$2:B489, B489)</f>
        <v>0.51249999999999996</v>
      </c>
      <c r="AK489" s="86">
        <f>AVERAGEIFS($D$2:D489, $B$2:B489, B489)</f>
        <v>0.55000000000000004</v>
      </c>
    </row>
    <row r="490" spans="1:37" x14ac:dyDescent="0.25">
      <c r="A490" s="85">
        <v>46163</v>
      </c>
      <c r="B490" t="s">
        <v>6</v>
      </c>
      <c r="C490">
        <v>25</v>
      </c>
      <c r="D490">
        <v>1</v>
      </c>
      <c r="E490">
        <v>4</v>
      </c>
      <c r="F490">
        <v>3</v>
      </c>
      <c r="G490">
        <v>17</v>
      </c>
      <c r="H490">
        <v>10</v>
      </c>
      <c r="I490">
        <v>0.75</v>
      </c>
      <c r="J490">
        <v>0.59</v>
      </c>
      <c r="K490">
        <v>0</v>
      </c>
      <c r="L490">
        <v>1</v>
      </c>
      <c r="M490">
        <v>0</v>
      </c>
      <c r="N490">
        <v>0</v>
      </c>
      <c r="O490">
        <v>0</v>
      </c>
      <c r="P490">
        <v>1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1</v>
      </c>
      <c r="AF490">
        <v>0</v>
      </c>
      <c r="AG490">
        <v>0</v>
      </c>
      <c r="AH490" s="86">
        <f>AVERAGEIFS($C$2:C490, $B$2:B490, B490)</f>
        <v>24.633333333333333</v>
      </c>
      <c r="AI490" s="86">
        <f>AVERAGEIFS($I$2:I490, $B$2:B490, B490)</f>
        <v>0.58666666666666656</v>
      </c>
      <c r="AJ490" s="86">
        <f>AVERAGEIFS($J$2:J490, $B$2:B490, B490)</f>
        <v>0.53366666666666673</v>
      </c>
      <c r="AK490" s="86">
        <f>AVERAGEIFS($D$2:D490, $B$2:B490, B490)</f>
        <v>0.6333333333333333</v>
      </c>
    </row>
    <row r="491" spans="1:37" x14ac:dyDescent="0.25">
      <c r="A491" s="85">
        <v>46163</v>
      </c>
      <c r="B491" t="s">
        <v>50</v>
      </c>
      <c r="C491">
        <v>20</v>
      </c>
      <c r="D491">
        <v>1</v>
      </c>
      <c r="E491">
        <v>4</v>
      </c>
      <c r="F491">
        <v>3</v>
      </c>
      <c r="G491">
        <v>17</v>
      </c>
      <c r="H491">
        <v>10</v>
      </c>
      <c r="I491">
        <v>0.75</v>
      </c>
      <c r="J491">
        <v>0.59</v>
      </c>
      <c r="K491">
        <v>0</v>
      </c>
      <c r="L491">
        <v>1</v>
      </c>
      <c r="M491">
        <v>0</v>
      </c>
      <c r="N491">
        <v>0</v>
      </c>
      <c r="O491">
        <v>0</v>
      </c>
      <c r="P491">
        <v>1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1</v>
      </c>
      <c r="AF491">
        <v>0</v>
      </c>
      <c r="AG491">
        <v>0</v>
      </c>
      <c r="AH491" s="86">
        <f>AVERAGEIFS($C$2:C491, $B$2:B491, B491)</f>
        <v>17.0625</v>
      </c>
      <c r="AI491" s="86">
        <f>AVERAGEIFS($I$2:I491, $B$2:B491, B491)</f>
        <v>0.40625</v>
      </c>
      <c r="AJ491" s="86">
        <f>AVERAGEIFS($J$2:J491, $B$2:B491, B491)</f>
        <v>0.4524999999999999</v>
      </c>
      <c r="AK491" s="86">
        <f>AVERAGEIFS($D$2:D491, $B$2:B491, B491)</f>
        <v>0.375</v>
      </c>
    </row>
    <row r="492" spans="1:37" x14ac:dyDescent="0.25">
      <c r="A492" s="85">
        <v>46163</v>
      </c>
      <c r="B492" t="s">
        <v>137</v>
      </c>
      <c r="C492">
        <v>8</v>
      </c>
      <c r="D492">
        <v>1</v>
      </c>
      <c r="E492">
        <v>4</v>
      </c>
      <c r="F492">
        <v>3</v>
      </c>
      <c r="G492">
        <v>17</v>
      </c>
      <c r="H492">
        <v>10</v>
      </c>
      <c r="I492">
        <v>0.75</v>
      </c>
      <c r="J492">
        <v>0.59</v>
      </c>
      <c r="K492">
        <v>0</v>
      </c>
      <c r="L492">
        <v>1</v>
      </c>
      <c r="M492">
        <v>0</v>
      </c>
      <c r="N492">
        <v>0</v>
      </c>
      <c r="O492">
        <v>0</v>
      </c>
      <c r="P492">
        <v>1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1</v>
      </c>
      <c r="AF492">
        <v>0</v>
      </c>
      <c r="AG492">
        <v>0</v>
      </c>
      <c r="AH492" s="86">
        <f>AVERAGEIFS($C$2:C492, $B$2:B492, B492)</f>
        <v>8</v>
      </c>
      <c r="AI492" s="86">
        <f>AVERAGEIFS($I$2:I492, $B$2:B492, B492)</f>
        <v>0.75</v>
      </c>
      <c r="AJ492" s="86">
        <f>AVERAGEIFS($J$2:J492, $B$2:B492, B492)</f>
        <v>0.59</v>
      </c>
      <c r="AK492" s="86">
        <f>AVERAGEIFS($D$2:D492, $B$2:B492, B492)</f>
        <v>1</v>
      </c>
    </row>
    <row r="493" spans="1:37" x14ac:dyDescent="0.25">
      <c r="A493" s="85">
        <v>46163</v>
      </c>
      <c r="B493" t="s">
        <v>147</v>
      </c>
      <c r="C493">
        <v>21</v>
      </c>
      <c r="D493">
        <v>1</v>
      </c>
      <c r="E493">
        <v>4</v>
      </c>
      <c r="F493">
        <v>3</v>
      </c>
      <c r="G493">
        <v>17</v>
      </c>
      <c r="H493">
        <v>10</v>
      </c>
      <c r="I493">
        <v>0.75</v>
      </c>
      <c r="J493">
        <v>0.59</v>
      </c>
      <c r="K493">
        <v>0</v>
      </c>
      <c r="L493">
        <v>1</v>
      </c>
      <c r="M493">
        <v>0</v>
      </c>
      <c r="N493">
        <v>0</v>
      </c>
      <c r="O493">
        <v>0</v>
      </c>
      <c r="P493">
        <v>1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0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1</v>
      </c>
      <c r="AF493">
        <v>0</v>
      </c>
      <c r="AG493">
        <v>0</v>
      </c>
      <c r="AH493" s="86">
        <f>AVERAGEIFS($C$2:C493, $B$2:B493, B493)</f>
        <v>17.142857142857142</v>
      </c>
      <c r="AI493" s="86">
        <f>AVERAGEIFS($I$2:I493, $B$2:B493, B493)</f>
        <v>0.55476190476190468</v>
      </c>
      <c r="AJ493" s="86">
        <f>AVERAGEIFS($J$2:J493, $B$2:B493, B493)</f>
        <v>0.53666666666666663</v>
      </c>
      <c r="AK493" s="86">
        <f>AVERAGEIFS($D$2:D493, $B$2:B493, B493)</f>
        <v>0.52380952380952384</v>
      </c>
    </row>
    <row r="494" spans="1:37" x14ac:dyDescent="0.25">
      <c r="A494" s="85">
        <v>46163</v>
      </c>
      <c r="B494" t="s">
        <v>1</v>
      </c>
      <c r="C494">
        <v>19</v>
      </c>
      <c r="D494">
        <v>0</v>
      </c>
      <c r="E494">
        <v>4</v>
      </c>
      <c r="F494">
        <v>1</v>
      </c>
      <c r="G494">
        <v>17</v>
      </c>
      <c r="H494">
        <v>7</v>
      </c>
      <c r="I494">
        <v>0.25</v>
      </c>
      <c r="J494">
        <v>0.41</v>
      </c>
      <c r="K494">
        <v>0</v>
      </c>
      <c r="L494">
        <v>0</v>
      </c>
      <c r="M494">
        <v>1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0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0</v>
      </c>
      <c r="AH494" s="86">
        <f>AVERAGEIFS($C$2:C494, $B$2:B494, B494)</f>
        <v>26.722222222222221</v>
      </c>
      <c r="AI494" s="86">
        <f>AVERAGEIFS($I$2:I494, $B$2:B494, B494)</f>
        <v>0.56388888888888888</v>
      </c>
      <c r="AJ494" s="86">
        <f>AVERAGEIFS($J$2:J494, $B$2:B494, B494)</f>
        <v>0.55055555555555546</v>
      </c>
      <c r="AK494" s="86">
        <f>AVERAGEIFS($D$2:D494, $B$2:B494, B494)</f>
        <v>0.55555555555555558</v>
      </c>
    </row>
    <row r="495" spans="1:37" x14ac:dyDescent="0.25">
      <c r="A495" s="85">
        <v>46163</v>
      </c>
      <c r="B495" t="s">
        <v>4</v>
      </c>
      <c r="C495">
        <v>28</v>
      </c>
      <c r="D495">
        <v>0</v>
      </c>
      <c r="E495">
        <v>4</v>
      </c>
      <c r="F495">
        <v>1</v>
      </c>
      <c r="G495">
        <v>17</v>
      </c>
      <c r="H495">
        <v>7</v>
      </c>
      <c r="I495">
        <v>0.25</v>
      </c>
      <c r="J495">
        <v>0.41</v>
      </c>
      <c r="K495">
        <v>0</v>
      </c>
      <c r="L495">
        <v>0</v>
      </c>
      <c r="M495">
        <v>1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 s="86">
        <f>AVERAGEIFS($C$2:C495, $B$2:B495, B495)</f>
        <v>25.473684210526315</v>
      </c>
      <c r="AI495" s="86">
        <f>AVERAGEIFS($I$2:I495, $B$2:B495, B495)</f>
        <v>0.53947368421052633</v>
      </c>
      <c r="AJ495" s="86">
        <f>AVERAGEIFS($J$2:J495, $B$2:B495, B495)</f>
        <v>0.51631578947368417</v>
      </c>
      <c r="AK495" s="86">
        <f>AVERAGEIFS($D$2:D495, $B$2:B495, B495)</f>
        <v>0.63157894736842102</v>
      </c>
    </row>
    <row r="496" spans="1:37" x14ac:dyDescent="0.25">
      <c r="A496" s="85">
        <v>46163</v>
      </c>
      <c r="B496" t="s">
        <v>46</v>
      </c>
      <c r="C496">
        <v>10</v>
      </c>
      <c r="D496">
        <v>0</v>
      </c>
      <c r="E496">
        <v>4</v>
      </c>
      <c r="F496">
        <v>1</v>
      </c>
      <c r="G496">
        <v>17</v>
      </c>
      <c r="H496">
        <v>7</v>
      </c>
      <c r="I496">
        <v>0.25</v>
      </c>
      <c r="J496">
        <v>0.41</v>
      </c>
      <c r="K496">
        <v>0</v>
      </c>
      <c r="L496">
        <v>0</v>
      </c>
      <c r="M496">
        <v>1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 s="86">
        <f>AVERAGEIFS($C$2:C496, $B$2:B496, B496)</f>
        <v>15.142857142857142</v>
      </c>
      <c r="AI496" s="86">
        <f>AVERAGEIFS($I$2:I496, $B$2:B496, B496)</f>
        <v>0.27142857142857141</v>
      </c>
      <c r="AJ496" s="86">
        <f>AVERAGEIFS($J$2:J496, $B$2:B496, B496)</f>
        <v>0.36285714285714288</v>
      </c>
      <c r="AK496" s="86">
        <f>AVERAGEIFS($D$2:D496, $B$2:B496, B496)</f>
        <v>0.14285714285714285</v>
      </c>
    </row>
    <row r="497" spans="1:37" x14ac:dyDescent="0.25">
      <c r="A497" s="85">
        <v>46163</v>
      </c>
      <c r="B497" t="s">
        <v>13</v>
      </c>
      <c r="C497">
        <v>18</v>
      </c>
      <c r="D497">
        <v>0</v>
      </c>
      <c r="E497">
        <v>4</v>
      </c>
      <c r="F497">
        <v>1</v>
      </c>
      <c r="G497">
        <v>17</v>
      </c>
      <c r="H497">
        <v>7</v>
      </c>
      <c r="I497">
        <v>0.25</v>
      </c>
      <c r="J497">
        <v>0.41</v>
      </c>
      <c r="K497">
        <v>0</v>
      </c>
      <c r="L497">
        <v>0</v>
      </c>
      <c r="M497">
        <v>1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0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H497" s="86">
        <f>AVERAGEIFS($C$2:C497, $B$2:B497, B497)</f>
        <v>15.8</v>
      </c>
      <c r="AI497" s="86">
        <f>AVERAGEIFS($I$2:I497, $B$2:B497, B497)</f>
        <v>0.40666666666666662</v>
      </c>
      <c r="AJ497" s="86">
        <f>AVERAGEIFS($J$2:J497, $B$2:B497, B497)</f>
        <v>0.4453333333333333</v>
      </c>
      <c r="AK497" s="86">
        <f>AVERAGEIFS($D$2:D497, $B$2:B497, B497)</f>
        <v>0.4</v>
      </c>
    </row>
    <row r="498" spans="1:37" x14ac:dyDescent="0.25">
      <c r="A498" s="85">
        <v>46163</v>
      </c>
      <c r="B498" t="s">
        <v>214</v>
      </c>
      <c r="C498">
        <v>5</v>
      </c>
      <c r="D498">
        <v>0</v>
      </c>
      <c r="E498">
        <v>4</v>
      </c>
      <c r="F498">
        <v>1</v>
      </c>
      <c r="G498">
        <v>17</v>
      </c>
      <c r="H498">
        <v>7</v>
      </c>
      <c r="I498">
        <v>0.25</v>
      </c>
      <c r="J498">
        <v>0.41</v>
      </c>
      <c r="K498">
        <v>0</v>
      </c>
      <c r="L498">
        <v>0</v>
      </c>
      <c r="M498">
        <v>1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v>0</v>
      </c>
      <c r="AH498" s="86">
        <f>AVERAGEIFS($C$2:C498, $B$2:B498, B498)</f>
        <v>4</v>
      </c>
      <c r="AI498" s="86">
        <f>AVERAGEIFS($I$2:I498, $B$2:B498, B498)</f>
        <v>0.6166666666666667</v>
      </c>
      <c r="AJ498" s="86">
        <f>AVERAGEIFS($J$2:J498, $B$2:B498, B498)</f>
        <v>0.55999999999999994</v>
      </c>
      <c r="AK498" s="86">
        <f>AVERAGEIFS($D$2:D498, $B$2:B498, B498)</f>
        <v>0.66666666666666663</v>
      </c>
    </row>
    <row r="499" spans="1:37" x14ac:dyDescent="0.25">
      <c r="A499" s="85">
        <v>46163</v>
      </c>
      <c r="B499" t="s">
        <v>42</v>
      </c>
      <c r="C499">
        <v>26</v>
      </c>
      <c r="D499">
        <v>1</v>
      </c>
      <c r="E499">
        <v>4</v>
      </c>
      <c r="F499">
        <v>3</v>
      </c>
      <c r="G499">
        <v>17</v>
      </c>
      <c r="H499">
        <v>11</v>
      </c>
      <c r="I499">
        <v>0.75</v>
      </c>
      <c r="J499">
        <v>0.65</v>
      </c>
      <c r="K499">
        <v>1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1</v>
      </c>
      <c r="AD499">
        <v>1</v>
      </c>
      <c r="AE499">
        <v>0</v>
      </c>
      <c r="AF499">
        <v>0</v>
      </c>
      <c r="AG499">
        <v>0</v>
      </c>
      <c r="AH499" s="86">
        <f>AVERAGEIFS($C$2:C499, $B$2:B499, B499)</f>
        <v>17.153846153846153</v>
      </c>
      <c r="AI499" s="86">
        <f>AVERAGEIFS($I$2:I499, $B$2:B499, B499)</f>
        <v>0.50769230769230766</v>
      </c>
      <c r="AJ499" s="86">
        <f>AVERAGEIFS($J$2:J499, $B$2:B499, B499)</f>
        <v>0.48269230769230781</v>
      </c>
      <c r="AK499" s="86">
        <f>AVERAGEIFS($D$2:D499, $B$2:B499, B499)</f>
        <v>0.53846153846153844</v>
      </c>
    </row>
    <row r="500" spans="1:37" x14ac:dyDescent="0.25">
      <c r="A500" s="85">
        <v>46163</v>
      </c>
      <c r="B500" t="s">
        <v>150</v>
      </c>
      <c r="C500">
        <v>31</v>
      </c>
      <c r="D500">
        <v>1</v>
      </c>
      <c r="E500">
        <v>4</v>
      </c>
      <c r="F500">
        <v>3</v>
      </c>
      <c r="G500">
        <v>17</v>
      </c>
      <c r="H500">
        <v>11</v>
      </c>
      <c r="I500">
        <v>0.75</v>
      </c>
      <c r="J500">
        <v>0.65</v>
      </c>
      <c r="K500">
        <v>1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1</v>
      </c>
      <c r="AD500">
        <v>1</v>
      </c>
      <c r="AE500">
        <v>0</v>
      </c>
      <c r="AF500">
        <v>0</v>
      </c>
      <c r="AG500">
        <v>0</v>
      </c>
      <c r="AH500" s="86">
        <f>AVERAGEIFS($C$2:C500, $B$2:B500, B500)</f>
        <v>20.727272727272727</v>
      </c>
      <c r="AI500" s="86">
        <f>AVERAGEIFS($I$2:I500, $B$2:B500, B500)</f>
        <v>0.62954545454545452</v>
      </c>
      <c r="AJ500" s="86">
        <f>AVERAGEIFS($J$2:J500, $B$2:B500, B500)</f>
        <v>0.58272727272727265</v>
      </c>
      <c r="AK500" s="86">
        <f>AVERAGEIFS($D$2:D500, $B$2:B500, B500)</f>
        <v>0.72727272727272729</v>
      </c>
    </row>
    <row r="501" spans="1:37" x14ac:dyDescent="0.25">
      <c r="A501" s="85">
        <v>46163</v>
      </c>
      <c r="B501" t="s">
        <v>146</v>
      </c>
      <c r="C501">
        <v>14</v>
      </c>
      <c r="D501">
        <v>1</v>
      </c>
      <c r="E501">
        <v>4</v>
      </c>
      <c r="F501">
        <v>3</v>
      </c>
      <c r="G501">
        <v>17</v>
      </c>
      <c r="H501">
        <v>11</v>
      </c>
      <c r="I501">
        <v>0.75</v>
      </c>
      <c r="J501">
        <v>0.65</v>
      </c>
      <c r="K501">
        <v>1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1</v>
      </c>
      <c r="AD501">
        <v>1</v>
      </c>
      <c r="AE501">
        <v>0</v>
      </c>
      <c r="AF501">
        <v>0</v>
      </c>
      <c r="AG501">
        <v>0</v>
      </c>
      <c r="AH501" s="86">
        <f>AVERAGEIFS($C$2:C501, $B$2:B501, B501)</f>
        <v>13.5</v>
      </c>
      <c r="AI501" s="86">
        <f>AVERAGEIFS($I$2:I501, $B$2:B501, B501)</f>
        <v>0.3666666666666667</v>
      </c>
      <c r="AJ501" s="86">
        <f>AVERAGEIFS($J$2:J501, $B$2:B501, B501)</f>
        <v>0.44</v>
      </c>
      <c r="AK501" s="86">
        <f>AVERAGEIFS($D$2:D501, $B$2:B501, B501)</f>
        <v>0.5</v>
      </c>
    </row>
    <row r="502" spans="1:37" x14ac:dyDescent="0.25">
      <c r="A502" s="85">
        <v>46163</v>
      </c>
      <c r="B502" t="s">
        <v>115</v>
      </c>
      <c r="C502">
        <v>8</v>
      </c>
      <c r="D502">
        <v>1</v>
      </c>
      <c r="E502">
        <v>4</v>
      </c>
      <c r="F502">
        <v>3</v>
      </c>
      <c r="G502">
        <v>17</v>
      </c>
      <c r="H502">
        <v>11</v>
      </c>
      <c r="I502">
        <v>0.75</v>
      </c>
      <c r="J502">
        <v>0.65</v>
      </c>
      <c r="K502">
        <v>1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1</v>
      </c>
      <c r="AD502">
        <v>1</v>
      </c>
      <c r="AE502">
        <v>0</v>
      </c>
      <c r="AF502">
        <v>0</v>
      </c>
      <c r="AG502">
        <v>0</v>
      </c>
      <c r="AH502" s="86">
        <f>AVERAGEIFS($C$2:C502, $B$2:B502, B502)</f>
        <v>14.333333333333334</v>
      </c>
      <c r="AI502" s="86">
        <f>AVERAGEIFS($I$2:I502, $B$2:B502, B502)</f>
        <v>0.4916666666666667</v>
      </c>
      <c r="AJ502" s="86">
        <f>AVERAGEIFS($J$2:J502, $B$2:B502, B502)</f>
        <v>0.48833333333333334</v>
      </c>
      <c r="AK502" s="86">
        <f>AVERAGEIFS($D$2:D502, $B$2:B502, B502)</f>
        <v>0.66666666666666663</v>
      </c>
    </row>
    <row r="503" spans="1:37" x14ac:dyDescent="0.25">
      <c r="A503" s="85">
        <v>46163</v>
      </c>
      <c r="B503" t="s">
        <v>13</v>
      </c>
      <c r="C503">
        <v>22</v>
      </c>
      <c r="D503">
        <v>1</v>
      </c>
      <c r="E503">
        <v>4</v>
      </c>
      <c r="F503">
        <v>3</v>
      </c>
      <c r="G503">
        <v>17</v>
      </c>
      <c r="H503">
        <v>11</v>
      </c>
      <c r="I503">
        <v>0.75</v>
      </c>
      <c r="J503">
        <v>0.65</v>
      </c>
      <c r="K503">
        <v>1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0</v>
      </c>
      <c r="AC503">
        <v>1</v>
      </c>
      <c r="AD503">
        <v>1</v>
      </c>
      <c r="AE503">
        <v>0</v>
      </c>
      <c r="AF503">
        <v>0</v>
      </c>
      <c r="AG503">
        <v>0</v>
      </c>
      <c r="AH503" s="86">
        <f>AVERAGEIFS($C$2:C503, $B$2:B503, B503)</f>
        <v>16.1875</v>
      </c>
      <c r="AI503" s="86">
        <f>AVERAGEIFS($I$2:I503, $B$2:B503, B503)</f>
        <v>0.42812499999999998</v>
      </c>
      <c r="AJ503" s="86">
        <f>AVERAGEIFS($J$2:J503, $B$2:B503, B503)</f>
        <v>0.458125</v>
      </c>
      <c r="AK503" s="86">
        <f>AVERAGEIFS($D$2:D503, $B$2:B503, B503)</f>
        <v>0.4375</v>
      </c>
    </row>
    <row r="504" spans="1:37" x14ac:dyDescent="0.25">
      <c r="A504" s="85">
        <v>46163</v>
      </c>
      <c r="B504" t="s">
        <v>50</v>
      </c>
      <c r="C504">
        <v>17</v>
      </c>
      <c r="D504">
        <v>1</v>
      </c>
      <c r="E504">
        <v>4</v>
      </c>
      <c r="F504">
        <v>3</v>
      </c>
      <c r="G504">
        <v>17</v>
      </c>
      <c r="H504">
        <v>11</v>
      </c>
      <c r="I504">
        <v>0.75</v>
      </c>
      <c r="J504">
        <v>0.65</v>
      </c>
      <c r="K504">
        <v>1</v>
      </c>
      <c r="L504">
        <v>0</v>
      </c>
      <c r="M504">
        <v>0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0</v>
      </c>
      <c r="AC504">
        <v>1</v>
      </c>
      <c r="AD504">
        <v>1</v>
      </c>
      <c r="AE504">
        <v>0</v>
      </c>
      <c r="AF504">
        <v>0</v>
      </c>
      <c r="AG504">
        <v>0</v>
      </c>
      <c r="AH504" s="86">
        <f>AVERAGEIFS($C$2:C504, $B$2:B504, B504)</f>
        <v>17.058823529411764</v>
      </c>
      <c r="AI504" s="86">
        <f>AVERAGEIFS($I$2:I504, $B$2:B504, B504)</f>
        <v>0.4264705882352941</v>
      </c>
      <c r="AJ504" s="86">
        <f>AVERAGEIFS($J$2:J504, $B$2:B504, B504)</f>
        <v>0.46411764705882347</v>
      </c>
      <c r="AK504" s="86">
        <f>AVERAGEIFS($D$2:D504, $B$2:B504, B504)</f>
        <v>0.41176470588235292</v>
      </c>
    </row>
    <row r="505" spans="1:37" x14ac:dyDescent="0.25">
      <c r="A505" s="85">
        <v>46163</v>
      </c>
      <c r="B505" t="s">
        <v>147</v>
      </c>
      <c r="C505">
        <v>20</v>
      </c>
      <c r="D505">
        <v>0</v>
      </c>
      <c r="E505">
        <v>4</v>
      </c>
      <c r="F505">
        <v>1</v>
      </c>
      <c r="G505">
        <v>17</v>
      </c>
      <c r="H505">
        <v>6</v>
      </c>
      <c r="I505">
        <v>0.25</v>
      </c>
      <c r="J505">
        <v>0.35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1</v>
      </c>
      <c r="X505">
        <v>0</v>
      </c>
      <c r="Y505">
        <v>0</v>
      </c>
      <c r="Z505">
        <v>0</v>
      </c>
      <c r="AA505">
        <v>0</v>
      </c>
      <c r="AB505">
        <v>0</v>
      </c>
      <c r="AC505">
        <v>0</v>
      </c>
      <c r="AD505">
        <v>0</v>
      </c>
      <c r="AE505">
        <v>0</v>
      </c>
      <c r="AF505">
        <v>0</v>
      </c>
      <c r="AG505">
        <v>0</v>
      </c>
      <c r="AH505" s="86">
        <f>AVERAGEIFS($C$2:C505, $B$2:B505, B505)</f>
        <v>17.272727272727273</v>
      </c>
      <c r="AI505" s="86">
        <f>AVERAGEIFS($I$2:I505, $B$2:B505, B505)</f>
        <v>0.54090909090909089</v>
      </c>
      <c r="AJ505" s="86">
        <f>AVERAGEIFS($J$2:J505, $B$2:B505, B505)</f>
        <v>0.5281818181818182</v>
      </c>
      <c r="AK505" s="86">
        <f>AVERAGEIFS($D$2:D505, $B$2:B505, B505)</f>
        <v>0.5</v>
      </c>
    </row>
    <row r="506" spans="1:37" x14ac:dyDescent="0.25">
      <c r="A506" s="85">
        <v>46163</v>
      </c>
      <c r="B506" t="s">
        <v>140</v>
      </c>
      <c r="C506">
        <v>20</v>
      </c>
      <c r="D506">
        <v>0</v>
      </c>
      <c r="E506">
        <v>4</v>
      </c>
      <c r="F506">
        <v>1</v>
      </c>
      <c r="G506">
        <v>17</v>
      </c>
      <c r="H506">
        <v>6</v>
      </c>
      <c r="I506">
        <v>0.25</v>
      </c>
      <c r="J506">
        <v>0.35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1</v>
      </c>
      <c r="X506">
        <v>0</v>
      </c>
      <c r="Y506">
        <v>0</v>
      </c>
      <c r="Z506">
        <v>0</v>
      </c>
      <c r="AA506">
        <v>0</v>
      </c>
      <c r="AB506">
        <v>0</v>
      </c>
      <c r="AC506">
        <v>0</v>
      </c>
      <c r="AD506">
        <v>0</v>
      </c>
      <c r="AE506">
        <v>0</v>
      </c>
      <c r="AF506">
        <v>0</v>
      </c>
      <c r="AG506">
        <v>0</v>
      </c>
      <c r="AH506" s="86">
        <f>AVERAGEIFS($C$2:C506, $B$2:B506, B506)</f>
        <v>12.5</v>
      </c>
      <c r="AI506" s="86">
        <f>AVERAGEIFS($I$2:I506, $B$2:B506, B506)</f>
        <v>0.55500000000000005</v>
      </c>
      <c r="AJ506" s="86">
        <f>AVERAGEIFS($J$2:J506, $B$2:B506, B506)</f>
        <v>0.52899999999999991</v>
      </c>
      <c r="AK506" s="86">
        <f>AVERAGEIFS($D$2:D506, $B$2:B506, B506)</f>
        <v>0.5</v>
      </c>
    </row>
    <row r="507" spans="1:37" x14ac:dyDescent="0.25">
      <c r="A507" s="85">
        <v>46163</v>
      </c>
      <c r="B507" t="s">
        <v>179</v>
      </c>
      <c r="C507">
        <v>16</v>
      </c>
      <c r="D507">
        <v>0</v>
      </c>
      <c r="E507">
        <v>4</v>
      </c>
      <c r="F507">
        <v>1</v>
      </c>
      <c r="G507">
        <v>17</v>
      </c>
      <c r="H507">
        <v>6</v>
      </c>
      <c r="I507">
        <v>0.25</v>
      </c>
      <c r="J507">
        <v>0.35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1</v>
      </c>
      <c r="X507">
        <v>0</v>
      </c>
      <c r="Y507">
        <v>0</v>
      </c>
      <c r="Z507">
        <v>0</v>
      </c>
      <c r="AA507">
        <v>0</v>
      </c>
      <c r="AB507">
        <v>0</v>
      </c>
      <c r="AC507">
        <v>0</v>
      </c>
      <c r="AD507">
        <v>0</v>
      </c>
      <c r="AE507">
        <v>0</v>
      </c>
      <c r="AF507">
        <v>0</v>
      </c>
      <c r="AG507">
        <v>0</v>
      </c>
      <c r="AH507" s="86">
        <f>AVERAGEIFS($C$2:C507, $B$2:B507, B507)</f>
        <v>17.7</v>
      </c>
      <c r="AI507" s="86">
        <f>AVERAGEIFS($I$2:I507, $B$2:B507, B507)</f>
        <v>0.44499999999999995</v>
      </c>
      <c r="AJ507" s="86">
        <f>AVERAGEIFS($J$2:J507, $B$2:B507, B507)</f>
        <v>0.48</v>
      </c>
      <c r="AK507" s="86">
        <f>AVERAGEIFS($D$2:D507, $B$2:B507, B507)</f>
        <v>0.3</v>
      </c>
    </row>
    <row r="508" spans="1:37" x14ac:dyDescent="0.25">
      <c r="A508" s="85">
        <v>46163</v>
      </c>
      <c r="B508" t="s">
        <v>6</v>
      </c>
      <c r="C508">
        <v>23</v>
      </c>
      <c r="D508">
        <v>0</v>
      </c>
      <c r="E508">
        <v>4</v>
      </c>
      <c r="F508">
        <v>1</v>
      </c>
      <c r="G508">
        <v>17</v>
      </c>
      <c r="H508">
        <v>6</v>
      </c>
      <c r="I508">
        <v>0.25</v>
      </c>
      <c r="J508">
        <v>0.35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1</v>
      </c>
      <c r="X508">
        <v>0</v>
      </c>
      <c r="Y508">
        <v>0</v>
      </c>
      <c r="Z508">
        <v>0</v>
      </c>
      <c r="AA508">
        <v>0</v>
      </c>
      <c r="AB508">
        <v>0</v>
      </c>
      <c r="AC508">
        <v>0</v>
      </c>
      <c r="AD508">
        <v>0</v>
      </c>
      <c r="AE508">
        <v>0</v>
      </c>
      <c r="AF508">
        <v>0</v>
      </c>
      <c r="AG508">
        <v>0</v>
      </c>
      <c r="AH508" s="86">
        <f>AVERAGEIFS($C$2:C508, $B$2:B508, B508)</f>
        <v>24.580645161290324</v>
      </c>
      <c r="AI508" s="86">
        <f>AVERAGEIFS($I$2:I508, $B$2:B508, B508)</f>
        <v>0.57580645161290311</v>
      </c>
      <c r="AJ508" s="86">
        <f>AVERAGEIFS($J$2:J508, $B$2:B508, B508)</f>
        <v>0.52774193548387105</v>
      </c>
      <c r="AK508" s="86">
        <f>AVERAGEIFS($D$2:D508, $B$2:B508, B508)</f>
        <v>0.61290322580645162</v>
      </c>
    </row>
    <row r="509" spans="1:37" x14ac:dyDescent="0.25">
      <c r="A509" s="85">
        <v>46163</v>
      </c>
      <c r="B509" t="s">
        <v>107</v>
      </c>
      <c r="C509">
        <v>21</v>
      </c>
      <c r="D509">
        <v>0</v>
      </c>
      <c r="E509">
        <v>4</v>
      </c>
      <c r="F509">
        <v>1</v>
      </c>
      <c r="G509">
        <v>17</v>
      </c>
      <c r="H509">
        <v>6</v>
      </c>
      <c r="I509">
        <v>0.25</v>
      </c>
      <c r="J509">
        <v>0.35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1</v>
      </c>
      <c r="X509">
        <v>0</v>
      </c>
      <c r="Y509">
        <v>0</v>
      </c>
      <c r="Z509">
        <v>0</v>
      </c>
      <c r="AA509">
        <v>0</v>
      </c>
      <c r="AB509">
        <v>0</v>
      </c>
      <c r="AC509">
        <v>0</v>
      </c>
      <c r="AD509">
        <v>0</v>
      </c>
      <c r="AE509">
        <v>0</v>
      </c>
      <c r="AF509">
        <v>0</v>
      </c>
      <c r="AG509">
        <v>0</v>
      </c>
      <c r="AH509" s="86">
        <f>AVERAGEIFS($C$2:C509, $B$2:B509, B509)</f>
        <v>15.458333333333334</v>
      </c>
      <c r="AI509" s="86">
        <f>AVERAGEIFS($I$2:I509, $B$2:B509, B509)</f>
        <v>0.43958333333333327</v>
      </c>
      <c r="AJ509" s="86">
        <f>AVERAGEIFS($J$2:J509, $B$2:B509, B509)</f>
        <v>0.47625000000000001</v>
      </c>
      <c r="AK509" s="86">
        <f>AVERAGEIFS($D$2:D509, $B$2:B509, B509)</f>
        <v>0.5</v>
      </c>
    </row>
    <row r="510" spans="1:37" x14ac:dyDescent="0.25">
      <c r="A510" s="85">
        <v>46163</v>
      </c>
      <c r="B510" t="s">
        <v>148</v>
      </c>
      <c r="C510">
        <v>8</v>
      </c>
      <c r="D510">
        <v>0</v>
      </c>
      <c r="E510">
        <v>4</v>
      </c>
      <c r="F510">
        <v>1</v>
      </c>
      <c r="G510">
        <v>17</v>
      </c>
      <c r="H510">
        <v>6</v>
      </c>
      <c r="I510">
        <v>0.25</v>
      </c>
      <c r="J510">
        <v>0.35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1</v>
      </c>
      <c r="X510">
        <v>0</v>
      </c>
      <c r="Y510">
        <v>0</v>
      </c>
      <c r="Z510">
        <v>0</v>
      </c>
      <c r="AA510">
        <v>0</v>
      </c>
      <c r="AB510">
        <v>0</v>
      </c>
      <c r="AC510">
        <v>0</v>
      </c>
      <c r="AD510">
        <v>0</v>
      </c>
      <c r="AE510">
        <v>0</v>
      </c>
      <c r="AF510">
        <v>0</v>
      </c>
      <c r="AG510">
        <v>0</v>
      </c>
      <c r="AH510" s="86">
        <f>AVERAGEIFS($C$2:C510, $B$2:B510, B510)</f>
        <v>8.5</v>
      </c>
      <c r="AI510" s="86">
        <f>AVERAGEIFS($I$2:I510, $B$2:B510, B510)</f>
        <v>0.375</v>
      </c>
      <c r="AJ510" s="86">
        <f>AVERAGEIFS($J$2:J510, $B$2:B510, B510)</f>
        <v>0.45666666666666672</v>
      </c>
      <c r="AK510" s="86">
        <f>AVERAGEIFS($D$2:D510, $B$2:B510, B510)</f>
        <v>0.33333333333333331</v>
      </c>
    </row>
    <row r="511" spans="1:37" x14ac:dyDescent="0.25">
      <c r="A511" s="85">
        <v>46165</v>
      </c>
      <c r="B511" t="s">
        <v>18</v>
      </c>
      <c r="C511">
        <v>21</v>
      </c>
      <c r="D511">
        <v>0</v>
      </c>
      <c r="E511">
        <v>4</v>
      </c>
      <c r="F511">
        <v>1</v>
      </c>
      <c r="G511">
        <v>19</v>
      </c>
      <c r="H511">
        <v>8</v>
      </c>
      <c r="I511">
        <v>0.25</v>
      </c>
      <c r="J511">
        <v>0.42</v>
      </c>
      <c r="K511">
        <v>0</v>
      </c>
      <c r="L511">
        <v>0</v>
      </c>
      <c r="M511">
        <v>0</v>
      </c>
      <c r="N511">
        <v>1</v>
      </c>
      <c r="O511">
        <v>0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>
        <v>0</v>
      </c>
      <c r="AH511" s="86">
        <f>AVERAGEIFS($C$2:C511, $B$2:B511, B511)</f>
        <v>19.2</v>
      </c>
      <c r="AI511" s="86">
        <f>AVERAGEIFS($I$2:I511, $B$2:B511, B511)</f>
        <v>0.5</v>
      </c>
      <c r="AJ511" s="86">
        <f>AVERAGEIFS($J$2:J511, $B$2:B511, B511)</f>
        <v>0.502</v>
      </c>
      <c r="AK511" s="86">
        <f>AVERAGEIFS($D$2:D511, $B$2:B511, B511)</f>
        <v>0.4</v>
      </c>
    </row>
    <row r="512" spans="1:37" x14ac:dyDescent="0.25">
      <c r="A512" s="85">
        <v>46165</v>
      </c>
      <c r="B512" t="s">
        <v>2</v>
      </c>
      <c r="C512">
        <v>41</v>
      </c>
      <c r="D512">
        <v>0</v>
      </c>
      <c r="E512">
        <v>4</v>
      </c>
      <c r="F512">
        <v>1</v>
      </c>
      <c r="G512">
        <v>19</v>
      </c>
      <c r="H512">
        <v>8</v>
      </c>
      <c r="I512">
        <v>0.25</v>
      </c>
      <c r="J512">
        <v>0.42</v>
      </c>
      <c r="K512">
        <v>0</v>
      </c>
      <c r="L512">
        <v>0</v>
      </c>
      <c r="M512">
        <v>0</v>
      </c>
      <c r="N512">
        <v>1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v>0</v>
      </c>
      <c r="AH512" s="86">
        <f>AVERAGEIFS($C$2:C512, $B$2:B512, B512)</f>
        <v>22.176470588235293</v>
      </c>
      <c r="AI512" s="86">
        <f>AVERAGEIFS($I$2:I512, $B$2:B512, B512)</f>
        <v>0.39411764705882352</v>
      </c>
      <c r="AJ512" s="86">
        <f>AVERAGEIFS($J$2:J512, $B$2:B512, B512)</f>
        <v>0.48411764705882354</v>
      </c>
      <c r="AK512" s="86">
        <f>AVERAGEIFS($D$2:D512, $B$2:B512, B512)</f>
        <v>0.29411764705882354</v>
      </c>
    </row>
    <row r="513" spans="1:37" x14ac:dyDescent="0.25">
      <c r="A513" s="85">
        <v>46165</v>
      </c>
      <c r="B513" t="s">
        <v>6</v>
      </c>
      <c r="C513">
        <v>38</v>
      </c>
      <c r="D513">
        <v>0</v>
      </c>
      <c r="E513">
        <v>4</v>
      </c>
      <c r="F513">
        <v>1</v>
      </c>
      <c r="G513">
        <v>19</v>
      </c>
      <c r="H513">
        <v>8</v>
      </c>
      <c r="I513">
        <v>0.25</v>
      </c>
      <c r="J513">
        <v>0.42</v>
      </c>
      <c r="K513">
        <v>0</v>
      </c>
      <c r="L513">
        <v>0</v>
      </c>
      <c r="M513">
        <v>0</v>
      </c>
      <c r="N513">
        <v>1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>
        <v>0</v>
      </c>
      <c r="AH513" s="86">
        <f>AVERAGEIFS($C$2:C513, $B$2:B513, B513)</f>
        <v>25</v>
      </c>
      <c r="AI513" s="86">
        <f>AVERAGEIFS($I$2:I513, $B$2:B513, B513)</f>
        <v>0.56562499999999993</v>
      </c>
      <c r="AJ513" s="86">
        <f>AVERAGEIFS($J$2:J513, $B$2:B513, B513)</f>
        <v>0.52437500000000015</v>
      </c>
      <c r="AK513" s="86">
        <f>AVERAGEIFS($D$2:D513, $B$2:B513, B513)</f>
        <v>0.59375</v>
      </c>
    </row>
    <row r="514" spans="1:37" x14ac:dyDescent="0.25">
      <c r="A514" s="85">
        <v>46165</v>
      </c>
      <c r="B514" t="s">
        <v>50</v>
      </c>
      <c r="C514">
        <v>21</v>
      </c>
      <c r="D514">
        <v>0</v>
      </c>
      <c r="E514">
        <v>4</v>
      </c>
      <c r="F514">
        <v>1</v>
      </c>
      <c r="G514">
        <v>19</v>
      </c>
      <c r="H514">
        <v>8</v>
      </c>
      <c r="I514">
        <v>0.25</v>
      </c>
      <c r="J514">
        <v>0.42</v>
      </c>
      <c r="K514">
        <v>0</v>
      </c>
      <c r="L514">
        <v>0</v>
      </c>
      <c r="M514">
        <v>0</v>
      </c>
      <c r="N514">
        <v>1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v>0</v>
      </c>
      <c r="AH514" s="86">
        <f>AVERAGEIFS($C$2:C514, $B$2:B514, B514)</f>
        <v>17.277777777777779</v>
      </c>
      <c r="AI514" s="86">
        <f>AVERAGEIFS($I$2:I514, $B$2:B514, B514)</f>
        <v>0.41666666666666669</v>
      </c>
      <c r="AJ514" s="86">
        <f>AVERAGEIFS($J$2:J514, $B$2:B514, B514)</f>
        <v>0.46166666666666661</v>
      </c>
      <c r="AK514" s="86">
        <f>AVERAGEIFS($D$2:D514, $B$2:B514, B514)</f>
        <v>0.3888888888888889</v>
      </c>
    </row>
    <row r="515" spans="1:37" x14ac:dyDescent="0.25">
      <c r="A515" s="85">
        <v>46165</v>
      </c>
      <c r="B515" t="s">
        <v>224</v>
      </c>
      <c r="C515">
        <v>7</v>
      </c>
      <c r="D515">
        <v>0</v>
      </c>
      <c r="E515">
        <v>4</v>
      </c>
      <c r="F515">
        <v>1</v>
      </c>
      <c r="G515">
        <v>19</v>
      </c>
      <c r="H515">
        <v>8</v>
      </c>
      <c r="I515">
        <v>0.25</v>
      </c>
      <c r="J515">
        <v>0.42</v>
      </c>
      <c r="K515">
        <v>0</v>
      </c>
      <c r="L515">
        <v>0</v>
      </c>
      <c r="M515">
        <v>0</v>
      </c>
      <c r="N515">
        <v>1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>
        <v>0</v>
      </c>
      <c r="AH515" s="86">
        <f>AVERAGEIFS($C$2:C515, $B$2:B515, B515)</f>
        <v>8.5</v>
      </c>
      <c r="AI515" s="86">
        <f>AVERAGEIFS($I$2:I515, $B$2:B515, B515)</f>
        <v>0.625</v>
      </c>
      <c r="AJ515" s="86">
        <f>AVERAGEIFS($J$2:J515, $B$2:B515, B515)</f>
        <v>0.53</v>
      </c>
      <c r="AK515" s="86">
        <f>AVERAGEIFS($D$2:D515, $B$2:B515, B515)</f>
        <v>0.5</v>
      </c>
    </row>
    <row r="516" spans="1:37" x14ac:dyDescent="0.25">
      <c r="A516" s="85">
        <v>46165</v>
      </c>
      <c r="B516" t="s">
        <v>44</v>
      </c>
      <c r="C516">
        <v>26</v>
      </c>
      <c r="D516">
        <v>0</v>
      </c>
      <c r="E516">
        <v>4</v>
      </c>
      <c r="F516">
        <v>1</v>
      </c>
      <c r="G516">
        <v>19</v>
      </c>
      <c r="H516">
        <v>8</v>
      </c>
      <c r="I516">
        <v>0.25</v>
      </c>
      <c r="J516">
        <v>0.42</v>
      </c>
      <c r="K516">
        <v>0</v>
      </c>
      <c r="L516">
        <v>0</v>
      </c>
      <c r="M516">
        <v>0</v>
      </c>
      <c r="N516">
        <v>1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>
        <v>0</v>
      </c>
      <c r="AH516" s="86">
        <f>AVERAGEIFS($C$2:C516, $B$2:B516, B516)</f>
        <v>16.807692307692307</v>
      </c>
      <c r="AI516" s="86">
        <f>AVERAGEIFS($I$2:I516, $B$2:B516, B516)</f>
        <v>0.55769230769230771</v>
      </c>
      <c r="AJ516" s="86">
        <f>AVERAGEIFS($J$2:J516, $B$2:B516, B516)</f>
        <v>0.52884615384615385</v>
      </c>
      <c r="AK516" s="86">
        <f>AVERAGEIFS($D$2:D516, $B$2:B516, B516)</f>
        <v>0.53846153846153844</v>
      </c>
    </row>
    <row r="517" spans="1:37" x14ac:dyDescent="0.25">
      <c r="A517" s="85">
        <v>46165</v>
      </c>
      <c r="B517" t="s">
        <v>113</v>
      </c>
      <c r="C517">
        <v>36</v>
      </c>
      <c r="D517">
        <v>1</v>
      </c>
      <c r="E517">
        <v>4</v>
      </c>
      <c r="F517">
        <v>3</v>
      </c>
      <c r="G517">
        <v>19</v>
      </c>
      <c r="H517">
        <v>11</v>
      </c>
      <c r="I517">
        <v>0.75</v>
      </c>
      <c r="J517">
        <v>0.57999999999999996</v>
      </c>
      <c r="K517">
        <v>1</v>
      </c>
      <c r="L517">
        <v>0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1</v>
      </c>
      <c r="Z517">
        <v>0</v>
      </c>
      <c r="AA517">
        <v>0</v>
      </c>
      <c r="AB517">
        <v>1</v>
      </c>
      <c r="AC517">
        <v>0</v>
      </c>
      <c r="AD517">
        <v>0</v>
      </c>
      <c r="AE517">
        <v>0</v>
      </c>
      <c r="AF517">
        <v>0</v>
      </c>
      <c r="AG517">
        <v>0</v>
      </c>
      <c r="AH517" s="86">
        <f>AVERAGEIFS($C$2:C517, $B$2:B517, B517)</f>
        <v>21.04</v>
      </c>
      <c r="AI517" s="86">
        <f>AVERAGEIFS($I$2:I517, $B$2:B517, B517)</f>
        <v>0.57200000000000006</v>
      </c>
      <c r="AJ517" s="86">
        <f>AVERAGEIFS($J$2:J517, $B$2:B517, B517)</f>
        <v>0.54280000000000006</v>
      </c>
      <c r="AK517" s="86">
        <f>AVERAGEIFS($D$2:D517, $B$2:B517, B517)</f>
        <v>0.56000000000000005</v>
      </c>
    </row>
    <row r="518" spans="1:37" x14ac:dyDescent="0.25">
      <c r="A518" s="85">
        <v>46165</v>
      </c>
      <c r="B518" t="s">
        <v>54</v>
      </c>
      <c r="C518">
        <v>23</v>
      </c>
      <c r="D518">
        <v>1</v>
      </c>
      <c r="E518">
        <v>4</v>
      </c>
      <c r="F518">
        <v>3</v>
      </c>
      <c r="G518">
        <v>19</v>
      </c>
      <c r="H518">
        <v>11</v>
      </c>
      <c r="I518">
        <v>0.75</v>
      </c>
      <c r="J518">
        <v>0.57999999999999996</v>
      </c>
      <c r="K518">
        <v>1</v>
      </c>
      <c r="L518">
        <v>0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1</v>
      </c>
      <c r="Z518">
        <v>0</v>
      </c>
      <c r="AA518">
        <v>0</v>
      </c>
      <c r="AB518">
        <v>1</v>
      </c>
      <c r="AC518">
        <v>0</v>
      </c>
      <c r="AD518">
        <v>0</v>
      </c>
      <c r="AE518">
        <v>0</v>
      </c>
      <c r="AF518">
        <v>0</v>
      </c>
      <c r="AG518">
        <v>0</v>
      </c>
      <c r="AH518" s="86">
        <f>AVERAGEIFS($C$2:C518, $B$2:B518, B518)</f>
        <v>22.38095238095238</v>
      </c>
      <c r="AI518" s="86">
        <f>AVERAGEIFS($I$2:I518, $B$2:B518, B518)</f>
        <v>0.55476190476190479</v>
      </c>
      <c r="AJ518" s="86">
        <f>AVERAGEIFS($J$2:J518, $B$2:B518, B518)</f>
        <v>0.51571428571428568</v>
      </c>
      <c r="AK518" s="86">
        <f>AVERAGEIFS($D$2:D518, $B$2:B518, B518)</f>
        <v>0.5714285714285714</v>
      </c>
    </row>
    <row r="519" spans="1:37" x14ac:dyDescent="0.25">
      <c r="A519" s="85">
        <v>46165</v>
      </c>
      <c r="B519" t="s">
        <v>4</v>
      </c>
      <c r="C519">
        <v>37</v>
      </c>
      <c r="D519">
        <v>1</v>
      </c>
      <c r="E519">
        <v>4</v>
      </c>
      <c r="F519">
        <v>3</v>
      </c>
      <c r="G519">
        <v>19</v>
      </c>
      <c r="H519">
        <v>11</v>
      </c>
      <c r="I519">
        <v>0.75</v>
      </c>
      <c r="J519">
        <v>0.57999999999999996</v>
      </c>
      <c r="K519">
        <v>1</v>
      </c>
      <c r="L519">
        <v>0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1</v>
      </c>
      <c r="Z519">
        <v>0</v>
      </c>
      <c r="AA519">
        <v>0</v>
      </c>
      <c r="AB519">
        <v>1</v>
      </c>
      <c r="AC519">
        <v>0</v>
      </c>
      <c r="AD519">
        <v>0</v>
      </c>
      <c r="AE519">
        <v>0</v>
      </c>
      <c r="AF519">
        <v>0</v>
      </c>
      <c r="AG519">
        <v>0</v>
      </c>
      <c r="AH519" s="86">
        <f>AVERAGEIFS($C$2:C519, $B$2:B519, B519)</f>
        <v>26.05</v>
      </c>
      <c r="AI519" s="86">
        <f>AVERAGEIFS($I$2:I519, $B$2:B519, B519)</f>
        <v>0.55000000000000004</v>
      </c>
      <c r="AJ519" s="86">
        <f>AVERAGEIFS($J$2:J519, $B$2:B519, B519)</f>
        <v>0.51949999999999996</v>
      </c>
      <c r="AK519" s="86">
        <f>AVERAGEIFS($D$2:D519, $B$2:B519, B519)</f>
        <v>0.65</v>
      </c>
    </row>
    <row r="520" spans="1:37" x14ac:dyDescent="0.25">
      <c r="A520" s="85">
        <v>46165</v>
      </c>
      <c r="B520" t="s">
        <v>141</v>
      </c>
      <c r="C520">
        <v>42</v>
      </c>
      <c r="D520">
        <v>1</v>
      </c>
      <c r="E520">
        <v>4</v>
      </c>
      <c r="F520">
        <v>3</v>
      </c>
      <c r="G520">
        <v>19</v>
      </c>
      <c r="H520">
        <v>11</v>
      </c>
      <c r="I520">
        <v>0.75</v>
      </c>
      <c r="J520">
        <v>0.57999999999999996</v>
      </c>
      <c r="K520">
        <v>1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1</v>
      </c>
      <c r="Z520">
        <v>0</v>
      </c>
      <c r="AA520">
        <v>0</v>
      </c>
      <c r="AB520">
        <v>1</v>
      </c>
      <c r="AC520">
        <v>0</v>
      </c>
      <c r="AD520">
        <v>0</v>
      </c>
      <c r="AE520">
        <v>0</v>
      </c>
      <c r="AF520">
        <v>0</v>
      </c>
      <c r="AG520">
        <v>0</v>
      </c>
      <c r="AH520" s="86">
        <f>AVERAGEIFS($C$2:C520, $B$2:B520, B520)</f>
        <v>19.368421052631579</v>
      </c>
      <c r="AI520" s="86">
        <f>AVERAGEIFS($I$2:I520, $B$2:B520, B520)</f>
        <v>0.53157894736842104</v>
      </c>
      <c r="AJ520" s="86">
        <f>AVERAGEIFS($J$2:J520, $B$2:B520, B520)</f>
        <v>0.51421052631578956</v>
      </c>
      <c r="AK520" s="86">
        <f>AVERAGEIFS($D$2:D520, $B$2:B520, B520)</f>
        <v>0.68421052631578949</v>
      </c>
    </row>
    <row r="521" spans="1:37" x14ac:dyDescent="0.25">
      <c r="A521" s="85">
        <v>46165</v>
      </c>
      <c r="B521" t="s">
        <v>161</v>
      </c>
      <c r="C521">
        <v>15</v>
      </c>
      <c r="D521">
        <v>1</v>
      </c>
      <c r="E521">
        <v>4</v>
      </c>
      <c r="F521">
        <v>3</v>
      </c>
      <c r="G521">
        <v>19</v>
      </c>
      <c r="H521">
        <v>11</v>
      </c>
      <c r="I521">
        <v>0.75</v>
      </c>
      <c r="J521">
        <v>0.57999999999999996</v>
      </c>
      <c r="K521">
        <v>1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1</v>
      </c>
      <c r="Z521">
        <v>0</v>
      </c>
      <c r="AA521">
        <v>0</v>
      </c>
      <c r="AB521">
        <v>1</v>
      </c>
      <c r="AC521">
        <v>0</v>
      </c>
      <c r="AD521">
        <v>0</v>
      </c>
      <c r="AE521">
        <v>0</v>
      </c>
      <c r="AF521">
        <v>0</v>
      </c>
      <c r="AG521">
        <v>0</v>
      </c>
      <c r="AH521" s="86">
        <f>AVERAGEIFS($C$2:C521, $B$2:B521, B521)</f>
        <v>9.8571428571428577</v>
      </c>
      <c r="AI521" s="86">
        <f>AVERAGEIFS($I$2:I521, $B$2:B521, B521)</f>
        <v>0.5357142857142857</v>
      </c>
      <c r="AJ521" s="86">
        <f>AVERAGEIFS($J$2:J521, $B$2:B521, B521)</f>
        <v>0.51071428571428568</v>
      </c>
      <c r="AK521" s="86">
        <f>AVERAGEIFS($D$2:D521, $B$2:B521, B521)</f>
        <v>0.5714285714285714</v>
      </c>
    </row>
    <row r="522" spans="1:37" x14ac:dyDescent="0.25">
      <c r="A522" s="85">
        <v>46165</v>
      </c>
      <c r="B522" t="s">
        <v>214</v>
      </c>
      <c r="C522">
        <v>3</v>
      </c>
      <c r="D522">
        <v>1</v>
      </c>
      <c r="E522">
        <v>4</v>
      </c>
      <c r="F522">
        <v>3</v>
      </c>
      <c r="G522">
        <v>19</v>
      </c>
      <c r="H522">
        <v>11</v>
      </c>
      <c r="I522">
        <v>0.75</v>
      </c>
      <c r="J522">
        <v>0.57999999999999996</v>
      </c>
      <c r="K522">
        <v>1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1</v>
      </c>
      <c r="Z522">
        <v>0</v>
      </c>
      <c r="AA522">
        <v>0</v>
      </c>
      <c r="AB522">
        <v>1</v>
      </c>
      <c r="AC522">
        <v>0</v>
      </c>
      <c r="AD522">
        <v>0</v>
      </c>
      <c r="AE522">
        <v>0</v>
      </c>
      <c r="AF522">
        <v>0</v>
      </c>
      <c r="AG522">
        <v>0</v>
      </c>
      <c r="AH522" s="86">
        <f>AVERAGEIFS($C$2:C522, $B$2:B522, B522)</f>
        <v>3.75</v>
      </c>
      <c r="AI522" s="86">
        <f>AVERAGEIFS($I$2:I522, $B$2:B522, B522)</f>
        <v>0.65</v>
      </c>
      <c r="AJ522" s="86">
        <f>AVERAGEIFS($J$2:J522, $B$2:B522, B522)</f>
        <v>0.56499999999999995</v>
      </c>
      <c r="AK522" s="86">
        <f>AVERAGEIFS($D$2:D522, $B$2:B522, B522)</f>
        <v>0.75</v>
      </c>
    </row>
    <row r="523" spans="1:37" x14ac:dyDescent="0.25">
      <c r="A523" s="85">
        <v>46166</v>
      </c>
      <c r="B523" t="s">
        <v>6</v>
      </c>
      <c r="C523">
        <v>19</v>
      </c>
      <c r="D523">
        <v>1</v>
      </c>
      <c r="E523">
        <v>3</v>
      </c>
      <c r="F523">
        <v>3</v>
      </c>
      <c r="G523">
        <v>13</v>
      </c>
      <c r="H523">
        <v>9</v>
      </c>
      <c r="I523">
        <v>1</v>
      </c>
      <c r="J523">
        <v>0.69</v>
      </c>
      <c r="K523">
        <v>0</v>
      </c>
      <c r="L523">
        <v>0</v>
      </c>
      <c r="M523">
        <v>1</v>
      </c>
      <c r="N523">
        <v>0</v>
      </c>
      <c r="O523">
        <v>1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>
        <v>0</v>
      </c>
      <c r="AB523">
        <v>0</v>
      </c>
      <c r="AC523">
        <v>0</v>
      </c>
      <c r="AD523">
        <v>0</v>
      </c>
      <c r="AE523">
        <v>1</v>
      </c>
      <c r="AF523">
        <v>0</v>
      </c>
      <c r="AG523">
        <v>0</v>
      </c>
      <c r="AH523" s="86">
        <f>AVERAGEIFS($C$2:C523, $B$2:B523, B523)</f>
        <v>24.818181818181817</v>
      </c>
      <c r="AI523" s="86">
        <f>AVERAGEIFS($I$2:I523, $B$2:B523, B523)</f>
        <v>0.57878787878787874</v>
      </c>
      <c r="AJ523" s="86">
        <f>AVERAGEIFS($J$2:J523, $B$2:B523, B523)</f>
        <v>0.52939393939393953</v>
      </c>
      <c r="AK523" s="86">
        <f>AVERAGEIFS($D$2:D523, $B$2:B523, B523)</f>
        <v>0.60606060606060608</v>
      </c>
    </row>
    <row r="524" spans="1:37" x14ac:dyDescent="0.25">
      <c r="A524" s="85">
        <v>46166</v>
      </c>
      <c r="B524" t="s">
        <v>2</v>
      </c>
      <c r="C524">
        <v>28</v>
      </c>
      <c r="D524">
        <v>1</v>
      </c>
      <c r="E524">
        <v>3</v>
      </c>
      <c r="F524">
        <v>3</v>
      </c>
      <c r="G524">
        <v>13</v>
      </c>
      <c r="H524">
        <v>9</v>
      </c>
      <c r="I524">
        <v>1</v>
      </c>
      <c r="J524">
        <v>0.69</v>
      </c>
      <c r="K524">
        <v>0</v>
      </c>
      <c r="L524">
        <v>0</v>
      </c>
      <c r="M524">
        <v>1</v>
      </c>
      <c r="N524">
        <v>0</v>
      </c>
      <c r="O524">
        <v>1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>
        <v>0</v>
      </c>
      <c r="AB524">
        <v>0</v>
      </c>
      <c r="AC524">
        <v>0</v>
      </c>
      <c r="AD524">
        <v>0</v>
      </c>
      <c r="AE524">
        <v>1</v>
      </c>
      <c r="AF524">
        <v>0</v>
      </c>
      <c r="AG524">
        <v>0</v>
      </c>
      <c r="AH524" s="86">
        <f>AVERAGEIFS($C$2:C524, $B$2:B524, B524)</f>
        <v>22.5</v>
      </c>
      <c r="AI524" s="86">
        <f>AVERAGEIFS($I$2:I524, $B$2:B524, B524)</f>
        <v>0.42777777777777781</v>
      </c>
      <c r="AJ524" s="86">
        <f>AVERAGEIFS($J$2:J524, $B$2:B524, B524)</f>
        <v>0.49555555555555553</v>
      </c>
      <c r="AK524" s="86">
        <f>AVERAGEIFS($D$2:D524, $B$2:B524, B524)</f>
        <v>0.33333333333333331</v>
      </c>
    </row>
    <row r="525" spans="1:37" x14ac:dyDescent="0.25">
      <c r="A525" s="85">
        <v>46166</v>
      </c>
      <c r="B525" t="s">
        <v>71</v>
      </c>
      <c r="C525">
        <v>15</v>
      </c>
      <c r="D525">
        <v>1</v>
      </c>
      <c r="E525">
        <v>3</v>
      </c>
      <c r="F525">
        <v>3</v>
      </c>
      <c r="G525">
        <v>13</v>
      </c>
      <c r="H525">
        <v>9</v>
      </c>
      <c r="I525">
        <v>1</v>
      </c>
      <c r="J525">
        <v>0.69</v>
      </c>
      <c r="K525">
        <v>0</v>
      </c>
      <c r="L525">
        <v>0</v>
      </c>
      <c r="M525">
        <v>1</v>
      </c>
      <c r="N525">
        <v>0</v>
      </c>
      <c r="O525">
        <v>1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1</v>
      </c>
      <c r="AF525">
        <v>0</v>
      </c>
      <c r="AG525">
        <v>0</v>
      </c>
      <c r="AH525" s="86">
        <f>AVERAGEIFS($C$2:C525, $B$2:B525, B525)</f>
        <v>14.5</v>
      </c>
      <c r="AI525" s="86">
        <f>AVERAGEIFS($I$2:I525, $B$2:B525, B525)</f>
        <v>0.44722222222222224</v>
      </c>
      <c r="AJ525" s="86">
        <f>AVERAGEIFS($J$2:J525, $B$2:B525, B525)</f>
        <v>0.47111111111111104</v>
      </c>
      <c r="AK525" s="86">
        <f>AVERAGEIFS($D$2:D525, $B$2:B525, B525)</f>
        <v>0.3888888888888889</v>
      </c>
    </row>
    <row r="526" spans="1:37" x14ac:dyDescent="0.25">
      <c r="A526" s="85">
        <v>46166</v>
      </c>
      <c r="B526" t="s">
        <v>107</v>
      </c>
      <c r="C526">
        <v>8</v>
      </c>
      <c r="D526">
        <v>1</v>
      </c>
      <c r="E526">
        <v>3</v>
      </c>
      <c r="F526">
        <v>3</v>
      </c>
      <c r="G526">
        <v>13</v>
      </c>
      <c r="H526">
        <v>9</v>
      </c>
      <c r="I526">
        <v>1</v>
      </c>
      <c r="J526">
        <v>0.69</v>
      </c>
      <c r="K526">
        <v>0</v>
      </c>
      <c r="L526">
        <v>0</v>
      </c>
      <c r="M526">
        <v>1</v>
      </c>
      <c r="N526">
        <v>0</v>
      </c>
      <c r="O526">
        <v>1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1</v>
      </c>
      <c r="AF526">
        <v>0</v>
      </c>
      <c r="AG526">
        <v>0</v>
      </c>
      <c r="AH526" s="86">
        <f>AVERAGEIFS($C$2:C526, $B$2:B526, B526)</f>
        <v>15.16</v>
      </c>
      <c r="AI526" s="86">
        <f>AVERAGEIFS($I$2:I526, $B$2:B526, B526)</f>
        <v>0.46199999999999997</v>
      </c>
      <c r="AJ526" s="86">
        <f>AVERAGEIFS($J$2:J526, $B$2:B526, B526)</f>
        <v>0.48479999999999995</v>
      </c>
      <c r="AK526" s="86">
        <f>AVERAGEIFS($D$2:D526, $B$2:B526, B526)</f>
        <v>0.52</v>
      </c>
    </row>
    <row r="527" spans="1:37" x14ac:dyDescent="0.25">
      <c r="A527" s="85">
        <v>46166</v>
      </c>
      <c r="B527" t="s">
        <v>13</v>
      </c>
      <c r="C527">
        <v>13</v>
      </c>
      <c r="D527">
        <v>1</v>
      </c>
      <c r="E527">
        <v>3</v>
      </c>
      <c r="F527">
        <v>3</v>
      </c>
      <c r="G527">
        <v>13</v>
      </c>
      <c r="H527">
        <v>9</v>
      </c>
      <c r="I527">
        <v>1</v>
      </c>
      <c r="J527">
        <v>0.69</v>
      </c>
      <c r="K527">
        <v>0</v>
      </c>
      <c r="L527">
        <v>0</v>
      </c>
      <c r="M527">
        <v>1</v>
      </c>
      <c r="N527">
        <v>0</v>
      </c>
      <c r="O527">
        <v>1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1</v>
      </c>
      <c r="AF527">
        <v>0</v>
      </c>
      <c r="AG527">
        <v>0</v>
      </c>
      <c r="AH527" s="86">
        <f>AVERAGEIFS($C$2:C527, $B$2:B527, B527)</f>
        <v>16</v>
      </c>
      <c r="AI527" s="86">
        <f>AVERAGEIFS($I$2:I527, $B$2:B527, B527)</f>
        <v>0.46176470588235291</v>
      </c>
      <c r="AJ527" s="86">
        <f>AVERAGEIFS($J$2:J527, $B$2:B527, B527)</f>
        <v>0.47176470588235292</v>
      </c>
      <c r="AK527" s="86">
        <f>AVERAGEIFS($D$2:D527, $B$2:B527, B527)</f>
        <v>0.47058823529411764</v>
      </c>
    </row>
    <row r="528" spans="1:37" x14ac:dyDescent="0.25">
      <c r="A528" s="85">
        <v>46166</v>
      </c>
      <c r="B528" t="s">
        <v>115</v>
      </c>
      <c r="C528">
        <v>7</v>
      </c>
      <c r="D528">
        <v>1</v>
      </c>
      <c r="E528">
        <v>3</v>
      </c>
      <c r="F528">
        <v>3</v>
      </c>
      <c r="G528">
        <v>13</v>
      </c>
      <c r="H528">
        <v>9</v>
      </c>
      <c r="I528">
        <v>1</v>
      </c>
      <c r="J528">
        <v>0.69</v>
      </c>
      <c r="K528">
        <v>0</v>
      </c>
      <c r="L528">
        <v>0</v>
      </c>
      <c r="M528">
        <v>1</v>
      </c>
      <c r="N528">
        <v>0</v>
      </c>
      <c r="O528">
        <v>1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1</v>
      </c>
      <c r="AF528">
        <v>0</v>
      </c>
      <c r="AG528">
        <v>0</v>
      </c>
      <c r="AH528" s="86">
        <f>AVERAGEIFS($C$2:C528, $B$2:B528, B528)</f>
        <v>13.285714285714286</v>
      </c>
      <c r="AI528" s="86">
        <f>AVERAGEIFS($I$2:I528, $B$2:B528, B528)</f>
        <v>0.56428571428571428</v>
      </c>
      <c r="AJ528" s="86">
        <f>AVERAGEIFS($J$2:J528, $B$2:B528, B528)</f>
        <v>0.51714285714285713</v>
      </c>
      <c r="AK528" s="86">
        <f>AVERAGEIFS($D$2:D528, $B$2:B528, B528)</f>
        <v>0.7142857142857143</v>
      </c>
    </row>
    <row r="529" spans="1:37" x14ac:dyDescent="0.25">
      <c r="A529" s="85">
        <v>46166</v>
      </c>
      <c r="B529" t="s">
        <v>28</v>
      </c>
      <c r="C529">
        <v>6</v>
      </c>
      <c r="D529">
        <v>1</v>
      </c>
      <c r="E529">
        <v>3</v>
      </c>
      <c r="F529">
        <v>3</v>
      </c>
      <c r="G529">
        <v>13</v>
      </c>
      <c r="H529">
        <v>9</v>
      </c>
      <c r="I529">
        <v>1</v>
      </c>
      <c r="J529">
        <v>0.69</v>
      </c>
      <c r="K529">
        <v>0</v>
      </c>
      <c r="L529">
        <v>0</v>
      </c>
      <c r="M529">
        <v>1</v>
      </c>
      <c r="N529">
        <v>0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1</v>
      </c>
      <c r="AF529">
        <v>0</v>
      </c>
      <c r="AG529">
        <v>0</v>
      </c>
      <c r="AH529" s="86">
        <f>AVERAGEIFS($C$2:C529, $B$2:B529, B529)</f>
        <v>10.666666666666666</v>
      </c>
      <c r="AI529" s="86">
        <f>AVERAGEIFS($I$2:I529, $B$2:B529, B529)</f>
        <v>0.58333333333333337</v>
      </c>
      <c r="AJ529" s="86">
        <f>AVERAGEIFS($J$2:J529, $B$2:B529, B529)</f>
        <v>0.48</v>
      </c>
      <c r="AK529" s="86">
        <f>AVERAGEIFS($D$2:D529, $B$2:B529, B529)</f>
        <v>0.66666666666666663</v>
      </c>
    </row>
    <row r="530" spans="1:37" x14ac:dyDescent="0.25">
      <c r="A530" s="85">
        <v>46166</v>
      </c>
      <c r="B530" t="s">
        <v>54</v>
      </c>
      <c r="C530">
        <v>23</v>
      </c>
      <c r="D530">
        <v>0</v>
      </c>
      <c r="E530">
        <v>3</v>
      </c>
      <c r="F530">
        <v>0</v>
      </c>
      <c r="G530">
        <v>13</v>
      </c>
      <c r="H530">
        <v>4</v>
      </c>
      <c r="I530">
        <v>0</v>
      </c>
      <c r="J530">
        <v>0.31</v>
      </c>
      <c r="K530">
        <v>0</v>
      </c>
      <c r="L530">
        <v>0</v>
      </c>
      <c r="M530">
        <v>0</v>
      </c>
      <c r="N530">
        <v>0</v>
      </c>
      <c r="O530">
        <v>0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>
        <v>0</v>
      </c>
      <c r="AH530" s="86">
        <f>AVERAGEIFS($C$2:C530, $B$2:B530, B530)</f>
        <v>22.40909090909091</v>
      </c>
      <c r="AI530" s="86">
        <f>AVERAGEIFS($I$2:I530, $B$2:B530, B530)</f>
        <v>0.52954545454545454</v>
      </c>
      <c r="AJ530" s="86">
        <f>AVERAGEIFS($J$2:J530, $B$2:B530, B530)</f>
        <v>0.50636363636363635</v>
      </c>
      <c r="AK530" s="86">
        <f>AVERAGEIFS($D$2:D530, $B$2:B530, B530)</f>
        <v>0.54545454545454541</v>
      </c>
    </row>
    <row r="531" spans="1:37" x14ac:dyDescent="0.25">
      <c r="A531" s="85">
        <v>46166</v>
      </c>
      <c r="B531" t="s">
        <v>141</v>
      </c>
      <c r="C531">
        <v>13</v>
      </c>
      <c r="D531">
        <v>0</v>
      </c>
      <c r="E531">
        <v>3</v>
      </c>
      <c r="F531">
        <v>0</v>
      </c>
      <c r="G531">
        <v>13</v>
      </c>
      <c r="H531">
        <v>4</v>
      </c>
      <c r="I531">
        <v>0</v>
      </c>
      <c r="J531">
        <v>0.31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>
        <v>0</v>
      </c>
      <c r="AB531">
        <v>0</v>
      </c>
      <c r="AC531">
        <v>0</v>
      </c>
      <c r="AD531">
        <v>0</v>
      </c>
      <c r="AE531">
        <v>0</v>
      </c>
      <c r="AF531">
        <v>0</v>
      </c>
      <c r="AG531">
        <v>0</v>
      </c>
      <c r="AH531" s="86">
        <f>AVERAGEIFS($C$2:C531, $B$2:B531, B531)</f>
        <v>19.05</v>
      </c>
      <c r="AI531" s="86">
        <f>AVERAGEIFS($I$2:I531, $B$2:B531, B531)</f>
        <v>0.505</v>
      </c>
      <c r="AJ531" s="86">
        <f>AVERAGEIFS($J$2:J531, $B$2:B531, B531)</f>
        <v>0.50400000000000011</v>
      </c>
      <c r="AK531" s="86">
        <f>AVERAGEIFS($D$2:D531, $B$2:B531, B531)</f>
        <v>0.65</v>
      </c>
    </row>
    <row r="532" spans="1:37" x14ac:dyDescent="0.25">
      <c r="A532" s="85">
        <v>46166</v>
      </c>
      <c r="B532" t="s">
        <v>17</v>
      </c>
      <c r="C532">
        <v>7</v>
      </c>
      <c r="D532">
        <v>0</v>
      </c>
      <c r="E532">
        <v>3</v>
      </c>
      <c r="F532">
        <v>0</v>
      </c>
      <c r="G532">
        <v>13</v>
      </c>
      <c r="H532">
        <v>4</v>
      </c>
      <c r="I532">
        <v>0</v>
      </c>
      <c r="J532">
        <v>0.31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>
        <v>0</v>
      </c>
      <c r="AB532">
        <v>0</v>
      </c>
      <c r="AC532">
        <v>0</v>
      </c>
      <c r="AD532">
        <v>0</v>
      </c>
      <c r="AE532">
        <v>0</v>
      </c>
      <c r="AF532">
        <v>0</v>
      </c>
      <c r="AG532">
        <v>0</v>
      </c>
      <c r="AH532" s="86">
        <f>AVERAGEIFS($C$2:C532, $B$2:B532, B532)</f>
        <v>18.555555555555557</v>
      </c>
      <c r="AI532" s="86">
        <f>AVERAGEIFS($I$2:I532, $B$2:B532, B532)</f>
        <v>0.59444444444444444</v>
      </c>
      <c r="AJ532" s="86">
        <f>AVERAGEIFS($J$2:J532, $B$2:B532, B532)</f>
        <v>0.52555555555555555</v>
      </c>
      <c r="AK532" s="86">
        <f>AVERAGEIFS($D$2:D532, $B$2:B532, B532)</f>
        <v>0.66666666666666663</v>
      </c>
    </row>
    <row r="533" spans="1:37" x14ac:dyDescent="0.25">
      <c r="A533" s="85">
        <v>46166</v>
      </c>
      <c r="B533" t="s">
        <v>44</v>
      </c>
      <c r="C533">
        <v>12</v>
      </c>
      <c r="D533">
        <v>0</v>
      </c>
      <c r="E533">
        <v>3</v>
      </c>
      <c r="F533">
        <v>0</v>
      </c>
      <c r="G533">
        <v>13</v>
      </c>
      <c r="H533">
        <v>4</v>
      </c>
      <c r="I533">
        <v>0</v>
      </c>
      <c r="J533">
        <v>0.31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>
        <v>0</v>
      </c>
      <c r="AB533">
        <v>0</v>
      </c>
      <c r="AC533">
        <v>0</v>
      </c>
      <c r="AD533">
        <v>0</v>
      </c>
      <c r="AE533">
        <v>0</v>
      </c>
      <c r="AF533">
        <v>0</v>
      </c>
      <c r="AG533">
        <v>0</v>
      </c>
      <c r="AH533" s="86">
        <f>AVERAGEIFS($C$2:C533, $B$2:B533, B533)</f>
        <v>16.62962962962963</v>
      </c>
      <c r="AI533" s="86">
        <f>AVERAGEIFS($I$2:I533, $B$2:B533, B533)</f>
        <v>0.53703703703703709</v>
      </c>
      <c r="AJ533" s="86">
        <f>AVERAGEIFS($J$2:J533, $B$2:B533, B533)</f>
        <v>0.52074074074074073</v>
      </c>
      <c r="AK533" s="86">
        <f>AVERAGEIFS($D$2:D533, $B$2:B533, B533)</f>
        <v>0.51851851851851849</v>
      </c>
    </row>
    <row r="534" spans="1:37" x14ac:dyDescent="0.25">
      <c r="A534" s="85">
        <v>46166</v>
      </c>
      <c r="B534" t="s">
        <v>3</v>
      </c>
      <c r="C534">
        <v>11</v>
      </c>
      <c r="D534">
        <v>0</v>
      </c>
      <c r="E534">
        <v>3</v>
      </c>
      <c r="F534">
        <v>0</v>
      </c>
      <c r="G534">
        <v>13</v>
      </c>
      <c r="H534">
        <v>4</v>
      </c>
      <c r="I534">
        <v>0</v>
      </c>
      <c r="J534">
        <v>0.31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>
        <v>0</v>
      </c>
      <c r="AB534">
        <v>0</v>
      </c>
      <c r="AC534">
        <v>0</v>
      </c>
      <c r="AD534">
        <v>0</v>
      </c>
      <c r="AE534">
        <v>0</v>
      </c>
      <c r="AF534">
        <v>0</v>
      </c>
      <c r="AG534">
        <v>0</v>
      </c>
      <c r="AH534" s="86">
        <f>AVERAGEIFS($C$2:C534, $B$2:B534, B534)</f>
        <v>11</v>
      </c>
      <c r="AI534" s="86">
        <f>AVERAGEIFS($I$2:I534, $B$2:B534, B534)</f>
        <v>0</v>
      </c>
      <c r="AJ534" s="86">
        <f>AVERAGEIFS($J$2:J534, $B$2:B534, B534)</f>
        <v>0.31</v>
      </c>
      <c r="AK534" s="86">
        <f>AVERAGEIFS($D$2:D534, $B$2:B534, B534)</f>
        <v>0</v>
      </c>
    </row>
    <row r="535" spans="1:37" x14ac:dyDescent="0.25">
      <c r="A535" s="85">
        <v>46166</v>
      </c>
      <c r="B535" t="s">
        <v>161</v>
      </c>
      <c r="C535">
        <v>8</v>
      </c>
      <c r="D535">
        <v>0</v>
      </c>
      <c r="E535">
        <v>3</v>
      </c>
      <c r="F535">
        <v>0</v>
      </c>
      <c r="G535">
        <v>13</v>
      </c>
      <c r="H535">
        <v>4</v>
      </c>
      <c r="I535">
        <v>0</v>
      </c>
      <c r="J535">
        <v>0.31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>
        <v>0</v>
      </c>
      <c r="AB535">
        <v>0</v>
      </c>
      <c r="AC535">
        <v>0</v>
      </c>
      <c r="AD535">
        <v>0</v>
      </c>
      <c r="AE535">
        <v>0</v>
      </c>
      <c r="AF535">
        <v>0</v>
      </c>
      <c r="AG535">
        <v>0</v>
      </c>
      <c r="AH535" s="86">
        <f>AVERAGEIFS($C$2:C535, $B$2:B535, B535)</f>
        <v>9.7333333333333325</v>
      </c>
      <c r="AI535" s="86">
        <f>AVERAGEIFS($I$2:I535, $B$2:B535, B535)</f>
        <v>0.49999999999999994</v>
      </c>
      <c r="AJ535" s="86">
        <f>AVERAGEIFS($J$2:J535, $B$2:B535, B535)</f>
        <v>0.49733333333333329</v>
      </c>
      <c r="AK535" s="86">
        <f>AVERAGEIFS($D$2:D535, $B$2:B535, B535)</f>
        <v>0.53333333333333333</v>
      </c>
    </row>
    <row r="536" spans="1:37" x14ac:dyDescent="0.25">
      <c r="A536" s="85">
        <v>46166</v>
      </c>
      <c r="B536" t="s">
        <v>148</v>
      </c>
      <c r="C536">
        <v>8</v>
      </c>
      <c r="D536">
        <v>0</v>
      </c>
      <c r="E536">
        <v>3</v>
      </c>
      <c r="F536">
        <v>0</v>
      </c>
      <c r="G536">
        <v>13</v>
      </c>
      <c r="H536">
        <v>4</v>
      </c>
      <c r="I536">
        <v>0</v>
      </c>
      <c r="J536">
        <v>0.31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>
        <v>0</v>
      </c>
      <c r="AB536">
        <v>0</v>
      </c>
      <c r="AC536">
        <v>0</v>
      </c>
      <c r="AD536">
        <v>0</v>
      </c>
      <c r="AE536">
        <v>0</v>
      </c>
      <c r="AF536">
        <v>0</v>
      </c>
      <c r="AG536">
        <v>0</v>
      </c>
      <c r="AH536" s="86">
        <f>AVERAGEIFS($C$2:C536, $B$2:B536, B536)</f>
        <v>8.4285714285714288</v>
      </c>
      <c r="AI536" s="86">
        <f>AVERAGEIFS($I$2:I536, $B$2:B536, B536)</f>
        <v>0.32142857142857145</v>
      </c>
      <c r="AJ536" s="86">
        <f>AVERAGEIFS($J$2:J536, $B$2:B536, B536)</f>
        <v>0.43571428571428578</v>
      </c>
      <c r="AK536" s="86">
        <f>AVERAGEIFS($D$2:D536, $B$2:B536, B536)</f>
        <v>0.2857142857142857</v>
      </c>
    </row>
    <row r="537" spans="1:37" x14ac:dyDescent="0.25">
      <c r="A537" s="85">
        <v>46166</v>
      </c>
      <c r="B537" t="s">
        <v>161</v>
      </c>
      <c r="C537">
        <v>29</v>
      </c>
      <c r="D537">
        <v>1</v>
      </c>
      <c r="E537">
        <v>5</v>
      </c>
      <c r="F537">
        <v>3</v>
      </c>
      <c r="G537">
        <v>24</v>
      </c>
      <c r="H537">
        <v>12</v>
      </c>
      <c r="I537">
        <v>0.6</v>
      </c>
      <c r="J537">
        <v>0.5</v>
      </c>
      <c r="K537">
        <v>0</v>
      </c>
      <c r="L537">
        <v>0</v>
      </c>
      <c r="M537">
        <v>1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1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  <c r="AG537">
        <v>1</v>
      </c>
      <c r="AH537" s="86">
        <f>AVERAGEIFS($C$2:C537, $B$2:B537, B537)</f>
        <v>10.9375</v>
      </c>
      <c r="AI537" s="86">
        <f>AVERAGEIFS($I$2:I537, $B$2:B537, B537)</f>
        <v>0.50624999999999998</v>
      </c>
      <c r="AJ537" s="86">
        <f>AVERAGEIFS($J$2:J537, $B$2:B537, B537)</f>
        <v>0.49749999999999994</v>
      </c>
      <c r="AK537" s="86">
        <f>AVERAGEIFS($D$2:D537, $B$2:B537, B537)</f>
        <v>0.5625</v>
      </c>
    </row>
    <row r="538" spans="1:37" x14ac:dyDescent="0.25">
      <c r="A538" s="85">
        <v>46166</v>
      </c>
      <c r="B538" t="s">
        <v>6</v>
      </c>
      <c r="C538">
        <v>37</v>
      </c>
      <c r="D538">
        <v>1</v>
      </c>
      <c r="E538">
        <v>5</v>
      </c>
      <c r="F538">
        <v>3</v>
      </c>
      <c r="G538">
        <v>24</v>
      </c>
      <c r="H538">
        <v>12</v>
      </c>
      <c r="I538">
        <v>0.6</v>
      </c>
      <c r="J538">
        <v>0.5</v>
      </c>
      <c r="K538">
        <v>0</v>
      </c>
      <c r="L538">
        <v>0</v>
      </c>
      <c r="M538">
        <v>1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1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1</v>
      </c>
      <c r="AH538" s="86">
        <f>AVERAGEIFS($C$2:C538, $B$2:B538, B538)</f>
        <v>25.176470588235293</v>
      </c>
      <c r="AI538" s="86">
        <f>AVERAGEIFS($I$2:I538, $B$2:B538, B538)</f>
        <v>0.57941176470588229</v>
      </c>
      <c r="AJ538" s="86">
        <f>AVERAGEIFS($J$2:J538, $B$2:B538, B538)</f>
        <v>0.52852941176470603</v>
      </c>
      <c r="AK538" s="86">
        <f>AVERAGEIFS($D$2:D538, $B$2:B538, B538)</f>
        <v>0.61764705882352944</v>
      </c>
    </row>
    <row r="539" spans="1:37" x14ac:dyDescent="0.25">
      <c r="A539" s="85">
        <v>46166</v>
      </c>
      <c r="B539" t="s">
        <v>71</v>
      </c>
      <c r="C539">
        <v>44</v>
      </c>
      <c r="D539">
        <v>1</v>
      </c>
      <c r="E539">
        <v>5</v>
      </c>
      <c r="F539">
        <v>3</v>
      </c>
      <c r="G539">
        <v>24</v>
      </c>
      <c r="H539">
        <v>12</v>
      </c>
      <c r="I539">
        <v>0.6</v>
      </c>
      <c r="J539">
        <v>0.5</v>
      </c>
      <c r="K539">
        <v>0</v>
      </c>
      <c r="L539">
        <v>0</v>
      </c>
      <c r="M539">
        <v>1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1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1</v>
      </c>
      <c r="AH539" s="86">
        <f>AVERAGEIFS($C$2:C539, $B$2:B539, B539)</f>
        <v>16.05263157894737</v>
      </c>
      <c r="AI539" s="86">
        <f>AVERAGEIFS($I$2:I539, $B$2:B539, B539)</f>
        <v>0.45526315789473687</v>
      </c>
      <c r="AJ539" s="86">
        <f>AVERAGEIFS($J$2:J539, $B$2:B539, B539)</f>
        <v>0.47263157894736835</v>
      </c>
      <c r="AK539" s="86">
        <f>AVERAGEIFS($D$2:D539, $B$2:B539, B539)</f>
        <v>0.42105263157894735</v>
      </c>
    </row>
    <row r="540" spans="1:37" x14ac:dyDescent="0.25">
      <c r="A540" s="85">
        <v>46166</v>
      </c>
      <c r="B540" t="s">
        <v>107</v>
      </c>
      <c r="C540">
        <v>33</v>
      </c>
      <c r="D540">
        <v>1</v>
      </c>
      <c r="E540">
        <v>5</v>
      </c>
      <c r="F540">
        <v>3</v>
      </c>
      <c r="G540">
        <v>24</v>
      </c>
      <c r="H540">
        <v>12</v>
      </c>
      <c r="I540">
        <v>0.6</v>
      </c>
      <c r="J540">
        <v>0.5</v>
      </c>
      <c r="K540">
        <v>0</v>
      </c>
      <c r="L540">
        <v>0</v>
      </c>
      <c r="M540">
        <v>1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1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0</v>
      </c>
      <c r="AG540">
        <v>1</v>
      </c>
      <c r="AH540" s="86">
        <f>AVERAGEIFS($C$2:C540, $B$2:B540, B540)</f>
        <v>15.846153846153847</v>
      </c>
      <c r="AI540" s="86">
        <f>AVERAGEIFS($I$2:I540, $B$2:B540, B540)</f>
        <v>0.46730769230769226</v>
      </c>
      <c r="AJ540" s="86">
        <f>AVERAGEIFS($J$2:J540, $B$2:B540, B540)</f>
        <v>0.48538461538461536</v>
      </c>
      <c r="AK540" s="86">
        <f>AVERAGEIFS($D$2:D540, $B$2:B540, B540)</f>
        <v>0.53846153846153844</v>
      </c>
    </row>
    <row r="541" spans="1:37" x14ac:dyDescent="0.25">
      <c r="A541" s="85">
        <v>46166</v>
      </c>
      <c r="B541" t="s">
        <v>115</v>
      </c>
      <c r="C541">
        <v>9</v>
      </c>
      <c r="D541">
        <v>1</v>
      </c>
      <c r="E541">
        <v>5</v>
      </c>
      <c r="F541">
        <v>3</v>
      </c>
      <c r="G541">
        <v>24</v>
      </c>
      <c r="H541">
        <v>12</v>
      </c>
      <c r="I541">
        <v>0.6</v>
      </c>
      <c r="J541">
        <v>0.5</v>
      </c>
      <c r="K541">
        <v>0</v>
      </c>
      <c r="L541">
        <v>0</v>
      </c>
      <c r="M541">
        <v>1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1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0</v>
      </c>
      <c r="AG541">
        <v>1</v>
      </c>
      <c r="AH541" s="86">
        <f>AVERAGEIFS($C$2:C541, $B$2:B541, B541)</f>
        <v>12.75</v>
      </c>
      <c r="AI541" s="86">
        <f>AVERAGEIFS($I$2:I541, $B$2:B541, B541)</f>
        <v>0.56874999999999998</v>
      </c>
      <c r="AJ541" s="86">
        <f>AVERAGEIFS($J$2:J541, $B$2:B541, B541)</f>
        <v>0.51500000000000001</v>
      </c>
      <c r="AK541" s="86">
        <f>AVERAGEIFS($D$2:D541, $B$2:B541, B541)</f>
        <v>0.75</v>
      </c>
    </row>
    <row r="542" spans="1:37" x14ac:dyDescent="0.25">
      <c r="A542" s="85">
        <v>46166</v>
      </c>
      <c r="B542" t="s">
        <v>148</v>
      </c>
      <c r="C542">
        <v>6</v>
      </c>
      <c r="D542">
        <v>1</v>
      </c>
      <c r="E542">
        <v>5</v>
      </c>
      <c r="F542">
        <v>3</v>
      </c>
      <c r="G542">
        <v>24</v>
      </c>
      <c r="H542">
        <v>12</v>
      </c>
      <c r="I542">
        <v>0.6</v>
      </c>
      <c r="J542">
        <v>0.5</v>
      </c>
      <c r="K542">
        <v>0</v>
      </c>
      <c r="L542">
        <v>0</v>
      </c>
      <c r="M542">
        <v>1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1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1</v>
      </c>
      <c r="AH542" s="86">
        <f>AVERAGEIFS($C$2:C542, $B$2:B542, B542)</f>
        <v>8.125</v>
      </c>
      <c r="AI542" s="86">
        <f>AVERAGEIFS($I$2:I542, $B$2:B542, B542)</f>
        <v>0.35625000000000001</v>
      </c>
      <c r="AJ542" s="86">
        <f>AVERAGEIFS($J$2:J542, $B$2:B542, B542)</f>
        <v>0.44375000000000003</v>
      </c>
      <c r="AK542" s="86">
        <f>AVERAGEIFS($D$2:D542, $B$2:B542, B542)</f>
        <v>0.375</v>
      </c>
    </row>
    <row r="543" spans="1:37" x14ac:dyDescent="0.25">
      <c r="A543" s="85">
        <v>46166</v>
      </c>
      <c r="B543" t="s">
        <v>146</v>
      </c>
      <c r="C543">
        <v>16</v>
      </c>
      <c r="D543">
        <v>1</v>
      </c>
      <c r="E543">
        <v>5</v>
      </c>
      <c r="F543">
        <v>3</v>
      </c>
      <c r="G543">
        <v>24</v>
      </c>
      <c r="H543">
        <v>12</v>
      </c>
      <c r="I543">
        <v>0.6</v>
      </c>
      <c r="J543">
        <v>0.5</v>
      </c>
      <c r="K543">
        <v>0</v>
      </c>
      <c r="L543">
        <v>0</v>
      </c>
      <c r="M543">
        <v>1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1</v>
      </c>
      <c r="AA543">
        <v>0</v>
      </c>
      <c r="AB543">
        <v>0</v>
      </c>
      <c r="AC543">
        <v>0</v>
      </c>
      <c r="AD543">
        <v>0</v>
      </c>
      <c r="AE543">
        <v>0</v>
      </c>
      <c r="AF543">
        <v>0</v>
      </c>
      <c r="AG543">
        <v>1</v>
      </c>
      <c r="AH543" s="86">
        <f>AVERAGEIFS($C$2:C543, $B$2:B543, B543)</f>
        <v>13.857142857142858</v>
      </c>
      <c r="AI543" s="86">
        <f>AVERAGEIFS($I$2:I543, $B$2:B543, B543)</f>
        <v>0.4</v>
      </c>
      <c r="AJ543" s="86">
        <f>AVERAGEIFS($J$2:J543, $B$2:B543, B543)</f>
        <v>0.44857142857142857</v>
      </c>
      <c r="AK543" s="86">
        <f>AVERAGEIFS($D$2:D543, $B$2:B543, B543)</f>
        <v>0.5714285714285714</v>
      </c>
    </row>
    <row r="544" spans="1:37" x14ac:dyDescent="0.25">
      <c r="A544" s="85">
        <v>46166</v>
      </c>
      <c r="B544" t="s">
        <v>113</v>
      </c>
      <c r="C544">
        <v>10</v>
      </c>
      <c r="D544">
        <v>1</v>
      </c>
      <c r="E544">
        <v>5</v>
      </c>
      <c r="F544">
        <v>3</v>
      </c>
      <c r="G544">
        <v>24</v>
      </c>
      <c r="H544">
        <v>12</v>
      </c>
      <c r="I544">
        <v>0.6</v>
      </c>
      <c r="J544">
        <v>0.5</v>
      </c>
      <c r="K544">
        <v>0</v>
      </c>
      <c r="L544">
        <v>0</v>
      </c>
      <c r="M544">
        <v>1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1</v>
      </c>
      <c r="AA544">
        <v>0</v>
      </c>
      <c r="AB544">
        <v>0</v>
      </c>
      <c r="AC544">
        <v>0</v>
      </c>
      <c r="AD544">
        <v>0</v>
      </c>
      <c r="AE544">
        <v>0</v>
      </c>
      <c r="AF544">
        <v>0</v>
      </c>
      <c r="AG544">
        <v>1</v>
      </c>
      <c r="AH544" s="86">
        <f>AVERAGEIFS($C$2:C544, $B$2:B544, B544)</f>
        <v>20.615384615384617</v>
      </c>
      <c r="AI544" s="86">
        <f>AVERAGEIFS($I$2:I544, $B$2:B544, B544)</f>
        <v>0.57307692307692304</v>
      </c>
      <c r="AJ544" s="86">
        <f>AVERAGEIFS($J$2:J544, $B$2:B544, B544)</f>
        <v>0.54115384615384621</v>
      </c>
      <c r="AK544" s="86">
        <f>AVERAGEIFS($D$2:D544, $B$2:B544, B544)</f>
        <v>0.57692307692307687</v>
      </c>
    </row>
    <row r="545" spans="1:37" x14ac:dyDescent="0.25">
      <c r="A545" s="85">
        <v>46166</v>
      </c>
      <c r="B545" t="s">
        <v>3</v>
      </c>
      <c r="C545">
        <v>26</v>
      </c>
      <c r="D545">
        <v>0</v>
      </c>
      <c r="E545">
        <v>5</v>
      </c>
      <c r="F545">
        <v>2</v>
      </c>
      <c r="G545">
        <v>24</v>
      </c>
      <c r="H545">
        <v>12</v>
      </c>
      <c r="I545">
        <v>0.4</v>
      </c>
      <c r="J545">
        <v>0.5</v>
      </c>
      <c r="K545">
        <v>0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1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1</v>
      </c>
      <c r="AD545">
        <v>0</v>
      </c>
      <c r="AE545">
        <v>0</v>
      </c>
      <c r="AF545">
        <v>0</v>
      </c>
      <c r="AG545">
        <v>0</v>
      </c>
      <c r="AH545" s="86">
        <f>AVERAGEIFS($C$2:C545, $B$2:B545, B545)</f>
        <v>18.5</v>
      </c>
      <c r="AI545" s="86">
        <f>AVERAGEIFS($I$2:I545, $B$2:B545, B545)</f>
        <v>0.2</v>
      </c>
      <c r="AJ545" s="86">
        <f>AVERAGEIFS($J$2:J545, $B$2:B545, B545)</f>
        <v>0.40500000000000003</v>
      </c>
      <c r="AK545" s="86">
        <f>AVERAGEIFS($D$2:D545, $B$2:B545, B545)</f>
        <v>0</v>
      </c>
    </row>
    <row r="546" spans="1:37" x14ac:dyDescent="0.25">
      <c r="A546" s="85">
        <v>46166</v>
      </c>
      <c r="B546" t="s">
        <v>2</v>
      </c>
      <c r="C546">
        <v>50</v>
      </c>
      <c r="D546">
        <v>0</v>
      </c>
      <c r="E546">
        <v>5</v>
      </c>
      <c r="F546">
        <v>2</v>
      </c>
      <c r="G546">
        <v>24</v>
      </c>
      <c r="H546">
        <v>12</v>
      </c>
      <c r="I546">
        <v>0.4</v>
      </c>
      <c r="J546">
        <v>0.5</v>
      </c>
      <c r="K546">
        <v>0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1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1</v>
      </c>
      <c r="AD546">
        <v>0</v>
      </c>
      <c r="AE546">
        <v>0</v>
      </c>
      <c r="AF546">
        <v>0</v>
      </c>
      <c r="AG546">
        <v>0</v>
      </c>
      <c r="AH546" s="86">
        <f>AVERAGEIFS($C$2:C546, $B$2:B546, B546)</f>
        <v>23.94736842105263</v>
      </c>
      <c r="AI546" s="86">
        <f>AVERAGEIFS($I$2:I546, $B$2:B546, B546)</f>
        <v>0.4263157894736842</v>
      </c>
      <c r="AJ546" s="86">
        <f>AVERAGEIFS($J$2:J546, $B$2:B546, B546)</f>
        <v>0.4957894736842105</v>
      </c>
      <c r="AK546" s="86">
        <f>AVERAGEIFS($D$2:D546, $B$2:B546, B546)</f>
        <v>0.31578947368421051</v>
      </c>
    </row>
    <row r="547" spans="1:37" x14ac:dyDescent="0.25">
      <c r="A547" s="85">
        <v>46166</v>
      </c>
      <c r="B547" t="s">
        <v>141</v>
      </c>
      <c r="C547">
        <v>32</v>
      </c>
      <c r="D547">
        <v>0</v>
      </c>
      <c r="E547">
        <v>5</v>
      </c>
      <c r="F547">
        <v>2</v>
      </c>
      <c r="G547">
        <v>24</v>
      </c>
      <c r="H547">
        <v>12</v>
      </c>
      <c r="I547">
        <v>0.4</v>
      </c>
      <c r="J547">
        <v>0.5</v>
      </c>
      <c r="K547">
        <v>0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1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1</v>
      </c>
      <c r="AD547">
        <v>0</v>
      </c>
      <c r="AE547">
        <v>0</v>
      </c>
      <c r="AF547">
        <v>0</v>
      </c>
      <c r="AG547">
        <v>0</v>
      </c>
      <c r="AH547" s="86">
        <f>AVERAGEIFS($C$2:C547, $B$2:B547, B547)</f>
        <v>19.666666666666668</v>
      </c>
      <c r="AI547" s="86">
        <f>AVERAGEIFS($I$2:I547, $B$2:B547, B547)</f>
        <v>0.5</v>
      </c>
      <c r="AJ547" s="86">
        <f>AVERAGEIFS($J$2:J547, $B$2:B547, B547)</f>
        <v>0.50380952380952393</v>
      </c>
      <c r="AK547" s="86">
        <f>AVERAGEIFS($D$2:D547, $B$2:B547, B547)</f>
        <v>0.61904761904761907</v>
      </c>
    </row>
    <row r="548" spans="1:37" x14ac:dyDescent="0.25">
      <c r="A548" s="85">
        <v>46166</v>
      </c>
      <c r="B548" t="s">
        <v>152</v>
      </c>
      <c r="C548">
        <v>37</v>
      </c>
      <c r="D548">
        <v>0</v>
      </c>
      <c r="E548">
        <v>5</v>
      </c>
      <c r="F548">
        <v>2</v>
      </c>
      <c r="G548">
        <v>24</v>
      </c>
      <c r="H548">
        <v>12</v>
      </c>
      <c r="I548">
        <v>0.4</v>
      </c>
      <c r="J548">
        <v>0.5</v>
      </c>
      <c r="K548">
        <v>0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1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1</v>
      </c>
      <c r="AD548">
        <v>0</v>
      </c>
      <c r="AE548">
        <v>0</v>
      </c>
      <c r="AF548">
        <v>0</v>
      </c>
      <c r="AG548">
        <v>0</v>
      </c>
      <c r="AH548" s="86">
        <f>AVERAGEIFS($C$2:C548, $B$2:B548, B548)</f>
        <v>15.4</v>
      </c>
      <c r="AI548" s="86">
        <f>AVERAGEIFS($I$2:I548, $B$2:B548, B548)</f>
        <v>0.34499999999999997</v>
      </c>
      <c r="AJ548" s="86">
        <f>AVERAGEIFS($J$2:J548, $B$2:B548, B548)</f>
        <v>0.45</v>
      </c>
      <c r="AK548" s="86">
        <f>AVERAGEIFS($D$2:D548, $B$2:B548, B548)</f>
        <v>0.2</v>
      </c>
    </row>
    <row r="549" spans="1:37" x14ac:dyDescent="0.25">
      <c r="A549" s="85">
        <v>46166</v>
      </c>
      <c r="B549" t="s">
        <v>13</v>
      </c>
      <c r="C549">
        <v>27</v>
      </c>
      <c r="D549">
        <v>0</v>
      </c>
      <c r="E549">
        <v>5</v>
      </c>
      <c r="F549">
        <v>2</v>
      </c>
      <c r="G549">
        <v>24</v>
      </c>
      <c r="H549">
        <v>12</v>
      </c>
      <c r="I549">
        <v>0.4</v>
      </c>
      <c r="J549">
        <v>0.5</v>
      </c>
      <c r="K549">
        <v>0</v>
      </c>
      <c r="L549">
        <v>0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1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1</v>
      </c>
      <c r="AD549">
        <v>0</v>
      </c>
      <c r="AE549">
        <v>0</v>
      </c>
      <c r="AF549">
        <v>0</v>
      </c>
      <c r="AG549">
        <v>0</v>
      </c>
      <c r="AH549" s="86">
        <f>AVERAGEIFS($C$2:C549, $B$2:B549, B549)</f>
        <v>16.611111111111111</v>
      </c>
      <c r="AI549" s="86">
        <f>AVERAGEIFS($I$2:I549, $B$2:B549, B549)</f>
        <v>0.45833333333333331</v>
      </c>
      <c r="AJ549" s="86">
        <f>AVERAGEIFS($J$2:J549, $B$2:B549, B549)</f>
        <v>0.47333333333333333</v>
      </c>
      <c r="AK549" s="86">
        <f>AVERAGEIFS($D$2:D549, $B$2:B549, B549)</f>
        <v>0.44444444444444442</v>
      </c>
    </row>
    <row r="550" spans="1:37" x14ac:dyDescent="0.25">
      <c r="A550" s="85">
        <v>46166</v>
      </c>
      <c r="B550" t="s">
        <v>35</v>
      </c>
      <c r="C550">
        <v>11</v>
      </c>
      <c r="D550">
        <v>0</v>
      </c>
      <c r="E550">
        <v>5</v>
      </c>
      <c r="F550">
        <v>2</v>
      </c>
      <c r="G550">
        <v>24</v>
      </c>
      <c r="H550">
        <v>12</v>
      </c>
      <c r="I550">
        <v>0.4</v>
      </c>
      <c r="J550">
        <v>0.5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1</v>
      </c>
      <c r="W550">
        <v>0</v>
      </c>
      <c r="X550">
        <v>0</v>
      </c>
      <c r="Y550">
        <v>0</v>
      </c>
      <c r="Z550">
        <v>0</v>
      </c>
      <c r="AA550">
        <v>0</v>
      </c>
      <c r="AB550">
        <v>0</v>
      </c>
      <c r="AC550">
        <v>1</v>
      </c>
      <c r="AD550">
        <v>0</v>
      </c>
      <c r="AE550">
        <v>0</v>
      </c>
      <c r="AF550">
        <v>0</v>
      </c>
      <c r="AG550">
        <v>0</v>
      </c>
      <c r="AH550" s="86">
        <f>AVERAGEIFS($C$2:C550, $B$2:B550, B550)</f>
        <v>7.7777777777777777</v>
      </c>
      <c r="AI550" s="86">
        <f>AVERAGEIFS($I$2:I550, $B$2:B550, B550)</f>
        <v>0.35</v>
      </c>
      <c r="AJ550" s="86">
        <f>AVERAGEIFS($J$2:J550, $B$2:B550, B550)</f>
        <v>0.44111111111111112</v>
      </c>
      <c r="AK550" s="86">
        <f>AVERAGEIFS($D$2:D550, $B$2:B550, B550)</f>
        <v>0.22222222222222221</v>
      </c>
    </row>
    <row r="551" spans="1:37" x14ac:dyDescent="0.25">
      <c r="A551" s="85">
        <v>46167</v>
      </c>
      <c r="B551" t="s">
        <v>42</v>
      </c>
      <c r="C551">
        <v>13</v>
      </c>
      <c r="D551">
        <v>0</v>
      </c>
      <c r="E551">
        <v>4</v>
      </c>
      <c r="F551">
        <v>1</v>
      </c>
      <c r="G551">
        <v>18</v>
      </c>
      <c r="H551">
        <v>8</v>
      </c>
      <c r="I551">
        <v>0.25</v>
      </c>
      <c r="J551">
        <v>0.44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1</v>
      </c>
      <c r="V551">
        <v>0</v>
      </c>
      <c r="W551">
        <v>0</v>
      </c>
      <c r="X551">
        <v>0</v>
      </c>
      <c r="Y551">
        <v>0</v>
      </c>
      <c r="Z551">
        <v>0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>
        <v>0</v>
      </c>
      <c r="AH551" s="86">
        <f>AVERAGEIFS($C$2:C551, $B$2:B551, B551)</f>
        <v>17</v>
      </c>
      <c r="AI551" s="86">
        <f>AVERAGEIFS($I$2:I551, $B$2:B551, B551)</f>
        <v>0.49814814814814812</v>
      </c>
      <c r="AJ551" s="86">
        <f>AVERAGEIFS($J$2:J551, $B$2:B551, B551)</f>
        <v>0.48111111111111121</v>
      </c>
      <c r="AK551" s="86">
        <f>AVERAGEIFS($D$2:D551, $B$2:B551, B551)</f>
        <v>0.51851851851851849</v>
      </c>
    </row>
    <row r="552" spans="1:37" x14ac:dyDescent="0.25">
      <c r="A552" s="85">
        <v>46167</v>
      </c>
      <c r="B552" t="s">
        <v>150</v>
      </c>
      <c r="C552">
        <v>24</v>
      </c>
      <c r="D552">
        <v>0</v>
      </c>
      <c r="E552">
        <v>4</v>
      </c>
      <c r="F552">
        <v>1</v>
      </c>
      <c r="G552">
        <v>18</v>
      </c>
      <c r="H552">
        <v>8</v>
      </c>
      <c r="I552">
        <v>0.25</v>
      </c>
      <c r="J552">
        <v>0.44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1</v>
      </c>
      <c r="V552">
        <v>0</v>
      </c>
      <c r="W552">
        <v>0</v>
      </c>
      <c r="X552">
        <v>0</v>
      </c>
      <c r="Y552">
        <v>0</v>
      </c>
      <c r="Z552">
        <v>0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>
        <v>0</v>
      </c>
      <c r="AH552" s="86">
        <f>AVERAGEIFS($C$2:C552, $B$2:B552, B552)</f>
        <v>20.869565217391305</v>
      </c>
      <c r="AI552" s="86">
        <f>AVERAGEIFS($I$2:I552, $B$2:B552, B552)</f>
        <v>0.61304347826086958</v>
      </c>
      <c r="AJ552" s="86">
        <f>AVERAGEIFS($J$2:J552, $B$2:B552, B552)</f>
        <v>0.5765217391304347</v>
      </c>
      <c r="AK552" s="86">
        <f>AVERAGEIFS($D$2:D552, $B$2:B552, B552)</f>
        <v>0.69565217391304346</v>
      </c>
    </row>
    <row r="553" spans="1:37" x14ac:dyDescent="0.25">
      <c r="A553" s="85">
        <v>46167</v>
      </c>
      <c r="B553" t="s">
        <v>115</v>
      </c>
      <c r="C553">
        <v>19</v>
      </c>
      <c r="D553">
        <v>0</v>
      </c>
      <c r="E553">
        <v>4</v>
      </c>
      <c r="F553">
        <v>1</v>
      </c>
      <c r="G553">
        <v>18</v>
      </c>
      <c r="H553">
        <v>8</v>
      </c>
      <c r="I553">
        <v>0.25</v>
      </c>
      <c r="J553">
        <v>0.44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1</v>
      </c>
      <c r="V553">
        <v>0</v>
      </c>
      <c r="W553">
        <v>0</v>
      </c>
      <c r="X553">
        <v>0</v>
      </c>
      <c r="Y553">
        <v>0</v>
      </c>
      <c r="Z553">
        <v>0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>
        <v>0</v>
      </c>
      <c r="AH553" s="86">
        <f>AVERAGEIFS($C$2:C553, $B$2:B553, B553)</f>
        <v>13.444444444444445</v>
      </c>
      <c r="AI553" s="86">
        <f>AVERAGEIFS($I$2:I553, $B$2:B553, B553)</f>
        <v>0.53333333333333333</v>
      </c>
      <c r="AJ553" s="86">
        <f>AVERAGEIFS($J$2:J553, $B$2:B553, B553)</f>
        <v>0.50666666666666671</v>
      </c>
      <c r="AK553" s="86">
        <f>AVERAGEIFS($D$2:D553, $B$2:B553, B553)</f>
        <v>0.66666666666666663</v>
      </c>
    </row>
    <row r="554" spans="1:37" x14ac:dyDescent="0.25">
      <c r="A554" s="85">
        <v>46167</v>
      </c>
      <c r="B554" t="s">
        <v>2</v>
      </c>
      <c r="C554">
        <v>33</v>
      </c>
      <c r="D554">
        <v>0</v>
      </c>
      <c r="E554">
        <v>4</v>
      </c>
      <c r="F554">
        <v>1</v>
      </c>
      <c r="G554">
        <v>18</v>
      </c>
      <c r="H554">
        <v>8</v>
      </c>
      <c r="I554">
        <v>0.25</v>
      </c>
      <c r="J554">
        <v>0.44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1</v>
      </c>
      <c r="V554">
        <v>0</v>
      </c>
      <c r="W554">
        <v>0</v>
      </c>
      <c r="X554">
        <v>0</v>
      </c>
      <c r="Y554">
        <v>0</v>
      </c>
      <c r="Z554">
        <v>0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>
        <v>0</v>
      </c>
      <c r="AH554" s="86">
        <f>AVERAGEIFS($C$2:C554, $B$2:B554, B554)</f>
        <v>24.4</v>
      </c>
      <c r="AI554" s="86">
        <f>AVERAGEIFS($I$2:I554, $B$2:B554, B554)</f>
        <v>0.41749999999999998</v>
      </c>
      <c r="AJ554" s="86">
        <f>AVERAGEIFS($J$2:J554, $B$2:B554, B554)</f>
        <v>0.49299999999999999</v>
      </c>
      <c r="AK554" s="86">
        <f>AVERAGEIFS($D$2:D554, $B$2:B554, B554)</f>
        <v>0.3</v>
      </c>
    </row>
    <row r="555" spans="1:37" x14ac:dyDescent="0.25">
      <c r="A555" s="85">
        <v>46167</v>
      </c>
      <c r="B555" t="s">
        <v>13</v>
      </c>
      <c r="C555">
        <v>25</v>
      </c>
      <c r="D555">
        <v>0</v>
      </c>
      <c r="E555">
        <v>4</v>
      </c>
      <c r="F555">
        <v>1</v>
      </c>
      <c r="G555">
        <v>18</v>
      </c>
      <c r="H555">
        <v>8</v>
      </c>
      <c r="I555">
        <v>0.25</v>
      </c>
      <c r="J555">
        <v>0.44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1</v>
      </c>
      <c r="V555">
        <v>0</v>
      </c>
      <c r="W555">
        <v>0</v>
      </c>
      <c r="X555">
        <v>0</v>
      </c>
      <c r="Y555">
        <v>0</v>
      </c>
      <c r="Z555">
        <v>0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v>0</v>
      </c>
      <c r="AH555" s="86">
        <f>AVERAGEIFS($C$2:C555, $B$2:B555, B555)</f>
        <v>17.05263157894737</v>
      </c>
      <c r="AI555" s="86">
        <f>AVERAGEIFS($I$2:I555, $B$2:B555, B555)</f>
        <v>0.44736842105263158</v>
      </c>
      <c r="AJ555" s="86">
        <f>AVERAGEIFS($J$2:J555, $B$2:B555, B555)</f>
        <v>0.47157894736842099</v>
      </c>
      <c r="AK555" s="86">
        <f>AVERAGEIFS($D$2:D555, $B$2:B555, B555)</f>
        <v>0.42105263157894735</v>
      </c>
    </row>
    <row r="556" spans="1:37" x14ac:dyDescent="0.25">
      <c r="A556" s="85">
        <v>46167</v>
      </c>
      <c r="B556" t="s">
        <v>146</v>
      </c>
      <c r="C556">
        <v>9</v>
      </c>
      <c r="D556">
        <v>0</v>
      </c>
      <c r="E556">
        <v>4</v>
      </c>
      <c r="F556">
        <v>1</v>
      </c>
      <c r="G556">
        <v>18</v>
      </c>
      <c r="H556">
        <v>8</v>
      </c>
      <c r="I556">
        <v>0.25</v>
      </c>
      <c r="J556">
        <v>0.44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1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0</v>
      </c>
      <c r="AD556">
        <v>0</v>
      </c>
      <c r="AE556">
        <v>0</v>
      </c>
      <c r="AF556">
        <v>0</v>
      </c>
      <c r="AG556">
        <v>0</v>
      </c>
      <c r="AH556" s="86">
        <f>AVERAGEIFS($C$2:C556, $B$2:B556, B556)</f>
        <v>13.25</v>
      </c>
      <c r="AI556" s="86">
        <f>AVERAGEIFS($I$2:I556, $B$2:B556, B556)</f>
        <v>0.38125000000000003</v>
      </c>
      <c r="AJ556" s="86">
        <f>AVERAGEIFS($J$2:J556, $B$2:B556, B556)</f>
        <v>0.44750000000000001</v>
      </c>
      <c r="AK556" s="86">
        <f>AVERAGEIFS($D$2:D556, $B$2:B556, B556)</f>
        <v>0.5</v>
      </c>
    </row>
    <row r="557" spans="1:37" x14ac:dyDescent="0.25">
      <c r="A557" s="85">
        <v>46167</v>
      </c>
      <c r="B557" t="s">
        <v>147</v>
      </c>
      <c r="C557">
        <v>24</v>
      </c>
      <c r="D557">
        <v>1</v>
      </c>
      <c r="E557">
        <v>4</v>
      </c>
      <c r="F557">
        <v>3</v>
      </c>
      <c r="G557">
        <v>18</v>
      </c>
      <c r="H557">
        <v>10</v>
      </c>
      <c r="I557">
        <v>0.75</v>
      </c>
      <c r="J557">
        <v>0.56000000000000005</v>
      </c>
      <c r="K557">
        <v>0</v>
      </c>
      <c r="L557">
        <v>0</v>
      </c>
      <c r="M557">
        <v>0</v>
      </c>
      <c r="N557">
        <v>1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1</v>
      </c>
      <c r="AD557">
        <v>0</v>
      </c>
      <c r="AE557">
        <v>1</v>
      </c>
      <c r="AF557">
        <v>0</v>
      </c>
      <c r="AG557">
        <v>0</v>
      </c>
      <c r="AH557" s="86">
        <f>AVERAGEIFS($C$2:C557, $B$2:B557, B557)</f>
        <v>17.565217391304348</v>
      </c>
      <c r="AI557" s="86">
        <f>AVERAGEIFS($I$2:I557, $B$2:B557, B557)</f>
        <v>0.54999999999999993</v>
      </c>
      <c r="AJ557" s="86">
        <f>AVERAGEIFS($J$2:J557, $B$2:B557, B557)</f>
        <v>0.52956521739130435</v>
      </c>
      <c r="AK557" s="86">
        <f>AVERAGEIFS($D$2:D557, $B$2:B557, B557)</f>
        <v>0.52173913043478259</v>
      </c>
    </row>
    <row r="558" spans="1:37" x14ac:dyDescent="0.25">
      <c r="A558" s="85">
        <v>46167</v>
      </c>
      <c r="B558" t="s">
        <v>71</v>
      </c>
      <c r="C558">
        <v>36</v>
      </c>
      <c r="D558">
        <v>1</v>
      </c>
      <c r="E558">
        <v>4</v>
      </c>
      <c r="F558">
        <v>3</v>
      </c>
      <c r="G558">
        <v>18</v>
      </c>
      <c r="H558">
        <v>10</v>
      </c>
      <c r="I558">
        <v>0.75</v>
      </c>
      <c r="J558">
        <v>0.56000000000000005</v>
      </c>
      <c r="K558">
        <v>0</v>
      </c>
      <c r="L558">
        <v>0</v>
      </c>
      <c r="M558">
        <v>0</v>
      </c>
      <c r="N558">
        <v>1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1</v>
      </c>
      <c r="AD558">
        <v>0</v>
      </c>
      <c r="AE558">
        <v>1</v>
      </c>
      <c r="AF558">
        <v>0</v>
      </c>
      <c r="AG558">
        <v>0</v>
      </c>
      <c r="AH558" s="86">
        <f>AVERAGEIFS($C$2:C558, $B$2:B558, B558)</f>
        <v>17.05</v>
      </c>
      <c r="AI558" s="86">
        <f>AVERAGEIFS($I$2:I558, $B$2:B558, B558)</f>
        <v>0.47000000000000003</v>
      </c>
      <c r="AJ558" s="86">
        <f>AVERAGEIFS($J$2:J558, $B$2:B558, B558)</f>
        <v>0.47699999999999998</v>
      </c>
      <c r="AK558" s="86">
        <f>AVERAGEIFS($D$2:D558, $B$2:B558, B558)</f>
        <v>0.45</v>
      </c>
    </row>
    <row r="559" spans="1:37" x14ac:dyDescent="0.25">
      <c r="A559" s="85">
        <v>46167</v>
      </c>
      <c r="B559" t="s">
        <v>141</v>
      </c>
      <c r="C559">
        <v>30</v>
      </c>
      <c r="D559">
        <v>1</v>
      </c>
      <c r="E559">
        <v>4</v>
      </c>
      <c r="F559">
        <v>3</v>
      </c>
      <c r="G559">
        <v>18</v>
      </c>
      <c r="H559">
        <v>10</v>
      </c>
      <c r="I559">
        <v>0.75</v>
      </c>
      <c r="J559">
        <v>0.56000000000000005</v>
      </c>
      <c r="K559">
        <v>0</v>
      </c>
      <c r="L559">
        <v>0</v>
      </c>
      <c r="M559">
        <v>0</v>
      </c>
      <c r="N559">
        <v>1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1</v>
      </c>
      <c r="AD559">
        <v>0</v>
      </c>
      <c r="AE559">
        <v>1</v>
      </c>
      <c r="AF559">
        <v>0</v>
      </c>
      <c r="AG559">
        <v>0</v>
      </c>
      <c r="AH559" s="86">
        <f>AVERAGEIFS($C$2:C559, $B$2:B559, B559)</f>
        <v>20.136363636363637</v>
      </c>
      <c r="AI559" s="86">
        <f>AVERAGEIFS($I$2:I559, $B$2:B559, B559)</f>
        <v>0.51136363636363635</v>
      </c>
      <c r="AJ559" s="86">
        <f>AVERAGEIFS($J$2:J559, $B$2:B559, B559)</f>
        <v>0.50636363636363646</v>
      </c>
      <c r="AK559" s="86">
        <f>AVERAGEIFS($D$2:D559, $B$2:B559, B559)</f>
        <v>0.63636363636363635</v>
      </c>
    </row>
    <row r="560" spans="1:37" x14ac:dyDescent="0.25">
      <c r="A560" s="85">
        <v>46167</v>
      </c>
      <c r="B560" t="s">
        <v>179</v>
      </c>
      <c r="C560">
        <v>20</v>
      </c>
      <c r="D560">
        <v>1</v>
      </c>
      <c r="E560">
        <v>4</v>
      </c>
      <c r="F560">
        <v>3</v>
      </c>
      <c r="G560">
        <v>18</v>
      </c>
      <c r="H560">
        <v>10</v>
      </c>
      <c r="I560">
        <v>0.75</v>
      </c>
      <c r="J560">
        <v>0.56000000000000005</v>
      </c>
      <c r="K560">
        <v>0</v>
      </c>
      <c r="L560">
        <v>0</v>
      </c>
      <c r="M560">
        <v>0</v>
      </c>
      <c r="N560">
        <v>1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v>1</v>
      </c>
      <c r="AD560">
        <v>0</v>
      </c>
      <c r="AE560">
        <v>1</v>
      </c>
      <c r="AF560">
        <v>0</v>
      </c>
      <c r="AG560">
        <v>0</v>
      </c>
      <c r="AH560" s="86">
        <f>AVERAGEIFS($C$2:C560, $B$2:B560, B560)</f>
        <v>17.90909090909091</v>
      </c>
      <c r="AI560" s="86">
        <f>AVERAGEIFS($I$2:I560, $B$2:B560, B560)</f>
        <v>0.47272727272727266</v>
      </c>
      <c r="AJ560" s="86">
        <f>AVERAGEIFS($J$2:J560, $B$2:B560, B560)</f>
        <v>0.48727272727272725</v>
      </c>
      <c r="AK560" s="86">
        <f>AVERAGEIFS($D$2:D560, $B$2:B560, B560)</f>
        <v>0.36363636363636365</v>
      </c>
    </row>
    <row r="561" spans="1:37" x14ac:dyDescent="0.25">
      <c r="A561" s="85">
        <v>46167</v>
      </c>
      <c r="B561" t="s">
        <v>214</v>
      </c>
      <c r="C561">
        <v>2</v>
      </c>
      <c r="D561">
        <v>1</v>
      </c>
      <c r="E561">
        <v>4</v>
      </c>
      <c r="F561">
        <v>3</v>
      </c>
      <c r="G561">
        <v>18</v>
      </c>
      <c r="H561">
        <v>10</v>
      </c>
      <c r="I561">
        <v>0.75</v>
      </c>
      <c r="J561">
        <v>0.56000000000000005</v>
      </c>
      <c r="K561">
        <v>0</v>
      </c>
      <c r="L561">
        <v>0</v>
      </c>
      <c r="M561">
        <v>0</v>
      </c>
      <c r="N561">
        <v>1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1</v>
      </c>
      <c r="AD561">
        <v>0</v>
      </c>
      <c r="AE561">
        <v>1</v>
      </c>
      <c r="AF561">
        <v>0</v>
      </c>
      <c r="AG561">
        <v>0</v>
      </c>
      <c r="AH561" s="86">
        <f>AVERAGEIFS($C$2:C561, $B$2:B561, B561)</f>
        <v>3.4</v>
      </c>
      <c r="AI561" s="86">
        <f>AVERAGEIFS($I$2:I561, $B$2:B561, B561)</f>
        <v>0.67</v>
      </c>
      <c r="AJ561" s="86">
        <f>AVERAGEIFS($J$2:J561, $B$2:B561, B561)</f>
        <v>0.56399999999999995</v>
      </c>
      <c r="AK561" s="86">
        <f>AVERAGEIFS($D$2:D561, $B$2:B561, B561)</f>
        <v>0.8</v>
      </c>
    </row>
    <row r="562" spans="1:37" x14ac:dyDescent="0.25">
      <c r="A562" s="85">
        <v>46167</v>
      </c>
      <c r="B562" t="s">
        <v>5</v>
      </c>
      <c r="C562">
        <v>21</v>
      </c>
      <c r="D562">
        <v>1</v>
      </c>
      <c r="E562">
        <v>4</v>
      </c>
      <c r="F562">
        <v>3</v>
      </c>
      <c r="G562">
        <v>18</v>
      </c>
      <c r="H562">
        <v>10</v>
      </c>
      <c r="I562">
        <v>0.75</v>
      </c>
      <c r="J562">
        <v>0.56000000000000005</v>
      </c>
      <c r="K562">
        <v>0</v>
      </c>
      <c r="L562">
        <v>0</v>
      </c>
      <c r="M562">
        <v>0</v>
      </c>
      <c r="N562">
        <v>1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1</v>
      </c>
      <c r="AD562">
        <v>0</v>
      </c>
      <c r="AE562">
        <v>1</v>
      </c>
      <c r="AF562">
        <v>0</v>
      </c>
      <c r="AG562">
        <v>0</v>
      </c>
      <c r="AH562" s="86">
        <f>AVERAGEIFS($C$2:C562, $B$2:B562, B562)</f>
        <v>17.869565217391305</v>
      </c>
      <c r="AI562" s="86">
        <f>AVERAGEIFS($I$2:I562, $B$2:B562, B562)</f>
        <v>0.46739130434782616</v>
      </c>
      <c r="AJ562" s="86">
        <f>AVERAGEIFS($J$2:J562, $B$2:B562, B562)</f>
        <v>0.48260869565217396</v>
      </c>
      <c r="AK562" s="86">
        <f>AVERAGEIFS($D$2:D562, $B$2:B562, B562)</f>
        <v>0.47826086956521741</v>
      </c>
    </row>
    <row r="563" spans="1:37" x14ac:dyDescent="0.25">
      <c r="A563" s="85">
        <v>46168</v>
      </c>
      <c r="B563" t="s">
        <v>1</v>
      </c>
      <c r="C563">
        <v>37</v>
      </c>
      <c r="D563">
        <v>1</v>
      </c>
      <c r="E563">
        <v>4</v>
      </c>
      <c r="F563">
        <v>3</v>
      </c>
      <c r="G563">
        <v>16</v>
      </c>
      <c r="H563">
        <v>10</v>
      </c>
      <c r="I563">
        <v>0.75</v>
      </c>
      <c r="J563">
        <v>0.63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1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1</v>
      </c>
      <c r="AF563">
        <v>0</v>
      </c>
      <c r="AG563">
        <v>1</v>
      </c>
      <c r="AH563" s="86">
        <f>AVERAGEIFS($C$2:C563, $B$2:B563, B563)</f>
        <v>27.263157894736842</v>
      </c>
      <c r="AI563" s="86">
        <f>AVERAGEIFS($I$2:I563, $B$2:B563, B563)</f>
        <v>0.5736842105263158</v>
      </c>
      <c r="AJ563" s="86">
        <f>AVERAGEIFS($J$2:J563, $B$2:B563, B563)</f>
        <v>0.55473684210526308</v>
      </c>
      <c r="AK563" s="86">
        <f>AVERAGEIFS($D$2:D563, $B$2:B563, B563)</f>
        <v>0.57894736842105265</v>
      </c>
    </row>
    <row r="564" spans="1:37" x14ac:dyDescent="0.25">
      <c r="A564" s="85">
        <v>46168</v>
      </c>
      <c r="B564" t="s">
        <v>179</v>
      </c>
      <c r="C564">
        <v>30</v>
      </c>
      <c r="D564">
        <v>1</v>
      </c>
      <c r="E564">
        <v>4</v>
      </c>
      <c r="F564">
        <v>3</v>
      </c>
      <c r="G564">
        <v>16</v>
      </c>
      <c r="H564">
        <v>10</v>
      </c>
      <c r="I564">
        <v>0.75</v>
      </c>
      <c r="J564">
        <v>0.63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1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1</v>
      </c>
      <c r="AF564">
        <v>0</v>
      </c>
      <c r="AG564">
        <v>1</v>
      </c>
      <c r="AH564" s="86">
        <f>AVERAGEIFS($C$2:C564, $B$2:B564, B564)</f>
        <v>18.916666666666668</v>
      </c>
      <c r="AI564" s="86">
        <f>AVERAGEIFS($I$2:I564, $B$2:B564, B564)</f>
        <v>0.49583333333333329</v>
      </c>
      <c r="AJ564" s="86">
        <f>AVERAGEIFS($J$2:J564, $B$2:B564, B564)</f>
        <v>0.49916666666666659</v>
      </c>
      <c r="AK564" s="86">
        <f>AVERAGEIFS($D$2:D564, $B$2:B564, B564)</f>
        <v>0.41666666666666669</v>
      </c>
    </row>
    <row r="565" spans="1:37" x14ac:dyDescent="0.25">
      <c r="A565" s="85">
        <v>46168</v>
      </c>
      <c r="B565" t="s">
        <v>147</v>
      </c>
      <c r="C565">
        <v>18</v>
      </c>
      <c r="D565">
        <v>1</v>
      </c>
      <c r="E565">
        <v>4</v>
      </c>
      <c r="F565">
        <v>3</v>
      </c>
      <c r="G565">
        <v>16</v>
      </c>
      <c r="H565">
        <v>10</v>
      </c>
      <c r="I565">
        <v>0.75</v>
      </c>
      <c r="J565">
        <v>0.63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1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1</v>
      </c>
      <c r="AF565">
        <v>0</v>
      </c>
      <c r="AG565">
        <v>1</v>
      </c>
      <c r="AH565" s="86">
        <f>AVERAGEIFS($C$2:C565, $B$2:B565, B565)</f>
        <v>17.583333333333332</v>
      </c>
      <c r="AI565" s="86">
        <f>AVERAGEIFS($I$2:I565, $B$2:B565, B565)</f>
        <v>0.55833333333333324</v>
      </c>
      <c r="AJ565" s="86">
        <f>AVERAGEIFS($J$2:J565, $B$2:B565, B565)</f>
        <v>0.53375000000000006</v>
      </c>
      <c r="AK565" s="86">
        <f>AVERAGEIFS($D$2:D565, $B$2:B565, B565)</f>
        <v>0.54166666666666663</v>
      </c>
    </row>
    <row r="566" spans="1:37" x14ac:dyDescent="0.25">
      <c r="A566" s="85">
        <v>46168</v>
      </c>
      <c r="B566" t="s">
        <v>37</v>
      </c>
      <c r="C566">
        <v>17</v>
      </c>
      <c r="D566">
        <v>1</v>
      </c>
      <c r="E566">
        <v>4</v>
      </c>
      <c r="F566">
        <v>3</v>
      </c>
      <c r="G566">
        <v>16</v>
      </c>
      <c r="H566">
        <v>10</v>
      </c>
      <c r="I566">
        <v>0.75</v>
      </c>
      <c r="J566">
        <v>0.63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1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1</v>
      </c>
      <c r="AF566">
        <v>0</v>
      </c>
      <c r="AG566">
        <v>1</v>
      </c>
      <c r="AH566" s="86">
        <f>AVERAGEIFS($C$2:C566, $B$2:B566, B566)</f>
        <v>19.25</v>
      </c>
      <c r="AI566" s="86">
        <f>AVERAGEIFS($I$2:I566, $B$2:B566, B566)</f>
        <v>0.8125</v>
      </c>
      <c r="AJ566" s="86">
        <f>AVERAGEIFS($J$2:J566, $B$2:B566, B566)</f>
        <v>0.61</v>
      </c>
      <c r="AK566" s="86">
        <f>AVERAGEIFS($D$2:D566, $B$2:B566, B566)</f>
        <v>1</v>
      </c>
    </row>
    <row r="567" spans="1:37" x14ac:dyDescent="0.25">
      <c r="A567" s="85">
        <v>46168</v>
      </c>
      <c r="B567" t="s">
        <v>44</v>
      </c>
      <c r="C567">
        <v>16</v>
      </c>
      <c r="D567">
        <v>1</v>
      </c>
      <c r="E567">
        <v>4</v>
      </c>
      <c r="F567">
        <v>3</v>
      </c>
      <c r="G567">
        <v>16</v>
      </c>
      <c r="H567">
        <v>10</v>
      </c>
      <c r="I567">
        <v>0.75</v>
      </c>
      <c r="J567">
        <v>0.63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1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1</v>
      </c>
      <c r="AF567">
        <v>0</v>
      </c>
      <c r="AG567">
        <v>1</v>
      </c>
      <c r="AH567" s="86">
        <f>AVERAGEIFS($C$2:C567, $B$2:B567, B567)</f>
        <v>16.607142857142858</v>
      </c>
      <c r="AI567" s="86">
        <f>AVERAGEIFS($I$2:I567, $B$2:B567, B567)</f>
        <v>0.5446428571428571</v>
      </c>
      <c r="AJ567" s="86">
        <f>AVERAGEIFS($J$2:J567, $B$2:B567, B567)</f>
        <v>0.52464285714285719</v>
      </c>
      <c r="AK567" s="86">
        <f>AVERAGEIFS($D$2:D567, $B$2:B567, B567)</f>
        <v>0.5357142857142857</v>
      </c>
    </row>
    <row r="568" spans="1:37" x14ac:dyDescent="0.25">
      <c r="A568" s="85">
        <v>46168</v>
      </c>
      <c r="B568" t="s">
        <v>214</v>
      </c>
      <c r="C568">
        <v>3</v>
      </c>
      <c r="D568">
        <v>1</v>
      </c>
      <c r="E568">
        <v>4</v>
      </c>
      <c r="F568">
        <v>3</v>
      </c>
      <c r="G568">
        <v>16</v>
      </c>
      <c r="H568">
        <v>10</v>
      </c>
      <c r="I568">
        <v>0.75</v>
      </c>
      <c r="J568">
        <v>0.63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1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1</v>
      </c>
      <c r="AF568">
        <v>0</v>
      </c>
      <c r="AG568">
        <v>1</v>
      </c>
      <c r="AH568" s="86">
        <f>AVERAGEIFS($C$2:C568, $B$2:B568, B568)</f>
        <v>3.3333333333333335</v>
      </c>
      <c r="AI568" s="86">
        <f>AVERAGEIFS($I$2:I568, $B$2:B568, B568)</f>
        <v>0.68333333333333324</v>
      </c>
      <c r="AJ568" s="86">
        <f>AVERAGEIFS($J$2:J568, $B$2:B568, B568)</f>
        <v>0.57499999999999996</v>
      </c>
      <c r="AK568" s="86">
        <f>AVERAGEIFS($D$2:D568, $B$2:B568, B568)</f>
        <v>0.83333333333333337</v>
      </c>
    </row>
    <row r="569" spans="1:37" x14ac:dyDescent="0.25">
      <c r="A569" s="85">
        <v>46168</v>
      </c>
      <c r="B569" t="s">
        <v>2</v>
      </c>
      <c r="C569">
        <v>38</v>
      </c>
      <c r="D569">
        <v>0</v>
      </c>
      <c r="E569">
        <v>4</v>
      </c>
      <c r="F569">
        <v>1</v>
      </c>
      <c r="G569">
        <v>16</v>
      </c>
      <c r="H569">
        <v>6</v>
      </c>
      <c r="I569">
        <v>0.25</v>
      </c>
      <c r="J569">
        <v>0.38</v>
      </c>
      <c r="K569">
        <v>1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 s="86">
        <f>AVERAGEIFS($C$2:C569, $B$2:B569, B569)</f>
        <v>25.047619047619047</v>
      </c>
      <c r="AI569" s="86">
        <f>AVERAGEIFS($I$2:I569, $B$2:B569, B569)</f>
        <v>0.40952380952380951</v>
      </c>
      <c r="AJ569" s="86">
        <f>AVERAGEIFS($J$2:J569, $B$2:B569, B569)</f>
        <v>0.48761904761904762</v>
      </c>
      <c r="AK569" s="86">
        <f>AVERAGEIFS($D$2:D569, $B$2:B569, B569)</f>
        <v>0.2857142857142857</v>
      </c>
    </row>
    <row r="570" spans="1:37" x14ac:dyDescent="0.25">
      <c r="A570" s="85">
        <v>46168</v>
      </c>
      <c r="B570" t="s">
        <v>42</v>
      </c>
      <c r="C570">
        <v>28</v>
      </c>
      <c r="D570">
        <v>0</v>
      </c>
      <c r="E570">
        <v>4</v>
      </c>
      <c r="F570">
        <v>1</v>
      </c>
      <c r="G570">
        <v>16</v>
      </c>
      <c r="H570">
        <v>6</v>
      </c>
      <c r="I570">
        <v>0.25</v>
      </c>
      <c r="J570">
        <v>0.38</v>
      </c>
      <c r="K570">
        <v>1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>
        <v>0</v>
      </c>
      <c r="AH570" s="86">
        <f>AVERAGEIFS($C$2:C570, $B$2:B570, B570)</f>
        <v>17.392857142857142</v>
      </c>
      <c r="AI570" s="86">
        <f>AVERAGEIFS($I$2:I570, $B$2:B570, B570)</f>
        <v>0.48928571428571427</v>
      </c>
      <c r="AJ570" s="86">
        <f>AVERAGEIFS($J$2:J570, $B$2:B570, B570)</f>
        <v>0.47750000000000009</v>
      </c>
      <c r="AK570" s="86">
        <f>AVERAGEIFS($D$2:D570, $B$2:B570, B570)</f>
        <v>0.5</v>
      </c>
    </row>
    <row r="571" spans="1:37" x14ac:dyDescent="0.25">
      <c r="A571" s="85">
        <v>46168</v>
      </c>
      <c r="B571" t="s">
        <v>28</v>
      </c>
      <c r="C571">
        <v>14</v>
      </c>
      <c r="D571">
        <v>0</v>
      </c>
      <c r="E571">
        <v>4</v>
      </c>
      <c r="F571">
        <v>1</v>
      </c>
      <c r="G571">
        <v>16</v>
      </c>
      <c r="H571">
        <v>6</v>
      </c>
      <c r="I571">
        <v>0.25</v>
      </c>
      <c r="J571">
        <v>0.38</v>
      </c>
      <c r="K571">
        <v>1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 s="86">
        <f>AVERAGEIFS($C$2:C571, $B$2:B571, B571)</f>
        <v>11.5</v>
      </c>
      <c r="AI571" s="86">
        <f>AVERAGEIFS($I$2:I571, $B$2:B571, B571)</f>
        <v>0.5</v>
      </c>
      <c r="AJ571" s="86">
        <f>AVERAGEIFS($J$2:J571, $B$2:B571, B571)</f>
        <v>0.45499999999999996</v>
      </c>
      <c r="AK571" s="86">
        <f>AVERAGEIFS($D$2:D571, $B$2:B571, B571)</f>
        <v>0.5</v>
      </c>
    </row>
    <row r="572" spans="1:37" x14ac:dyDescent="0.25">
      <c r="A572" s="85">
        <v>46168</v>
      </c>
      <c r="B572" t="s">
        <v>146</v>
      </c>
      <c r="C572">
        <v>13</v>
      </c>
      <c r="D572">
        <v>0</v>
      </c>
      <c r="E572">
        <v>4</v>
      </c>
      <c r="F572">
        <v>1</v>
      </c>
      <c r="G572">
        <v>16</v>
      </c>
      <c r="H572">
        <v>6</v>
      </c>
      <c r="I572">
        <v>0.25</v>
      </c>
      <c r="J572">
        <v>0.38</v>
      </c>
      <c r="K572">
        <v>1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0</v>
      </c>
      <c r="AD572">
        <v>0</v>
      </c>
      <c r="AE572">
        <v>0</v>
      </c>
      <c r="AF572">
        <v>0</v>
      </c>
      <c r="AG572">
        <v>0</v>
      </c>
      <c r="AH572" s="86">
        <f>AVERAGEIFS($C$2:C572, $B$2:B572, B572)</f>
        <v>13.222222222222221</v>
      </c>
      <c r="AI572" s="86">
        <f>AVERAGEIFS($I$2:I572, $B$2:B572, B572)</f>
        <v>0.3666666666666667</v>
      </c>
      <c r="AJ572" s="86">
        <f>AVERAGEIFS($J$2:J572, $B$2:B572, B572)</f>
        <v>0.44</v>
      </c>
      <c r="AK572" s="86">
        <f>AVERAGEIFS($D$2:D572, $B$2:B572, B572)</f>
        <v>0.44444444444444442</v>
      </c>
    </row>
    <row r="573" spans="1:37" x14ac:dyDescent="0.25">
      <c r="A573" s="85">
        <v>46168</v>
      </c>
      <c r="B573" t="s">
        <v>70</v>
      </c>
      <c r="C573">
        <v>13</v>
      </c>
      <c r="D573">
        <v>0</v>
      </c>
      <c r="E573">
        <v>4</v>
      </c>
      <c r="F573">
        <v>1</v>
      </c>
      <c r="G573">
        <v>16</v>
      </c>
      <c r="H573">
        <v>6</v>
      </c>
      <c r="I573">
        <v>0.25</v>
      </c>
      <c r="J573">
        <v>0.38</v>
      </c>
      <c r="K573">
        <v>1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0</v>
      </c>
      <c r="AD573">
        <v>0</v>
      </c>
      <c r="AE573">
        <v>0</v>
      </c>
      <c r="AF573">
        <v>0</v>
      </c>
      <c r="AG573">
        <v>0</v>
      </c>
      <c r="AH573" s="86">
        <f>AVERAGEIFS($C$2:C573, $B$2:B573, B573)</f>
        <v>10</v>
      </c>
      <c r="AI573" s="86">
        <f>AVERAGEIFS($I$2:I573, $B$2:B573, B573)</f>
        <v>0.1875</v>
      </c>
      <c r="AJ573" s="86">
        <f>AVERAGEIFS($J$2:J573, $B$2:B573, B573)</f>
        <v>0.39500000000000002</v>
      </c>
      <c r="AK573" s="86">
        <f>AVERAGEIFS($D$2:D573, $B$2:B573, B573)</f>
        <v>0</v>
      </c>
    </row>
    <row r="574" spans="1:37" x14ac:dyDescent="0.25">
      <c r="A574" s="85">
        <v>46168</v>
      </c>
      <c r="B574" t="s">
        <v>107</v>
      </c>
      <c r="C574">
        <v>12</v>
      </c>
      <c r="D574">
        <v>0</v>
      </c>
      <c r="E574">
        <v>4</v>
      </c>
      <c r="F574">
        <v>1</v>
      </c>
      <c r="G574">
        <v>16</v>
      </c>
      <c r="H574">
        <v>6</v>
      </c>
      <c r="I574">
        <v>0.25</v>
      </c>
      <c r="J574">
        <v>0.38</v>
      </c>
      <c r="K574">
        <v>1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0</v>
      </c>
      <c r="AC574">
        <v>0</v>
      </c>
      <c r="AD574">
        <v>0</v>
      </c>
      <c r="AE574">
        <v>0</v>
      </c>
      <c r="AF574">
        <v>0</v>
      </c>
      <c r="AG574">
        <v>0</v>
      </c>
      <c r="AH574" s="86">
        <f>AVERAGEIFS($C$2:C574, $B$2:B574, B574)</f>
        <v>15.703703703703704</v>
      </c>
      <c r="AI574" s="86">
        <f>AVERAGEIFS($I$2:I574, $B$2:B574, B574)</f>
        <v>0.4592592592592592</v>
      </c>
      <c r="AJ574" s="86">
        <f>AVERAGEIFS($J$2:J574, $B$2:B574, B574)</f>
        <v>0.48148148148148145</v>
      </c>
      <c r="AK574" s="86">
        <f>AVERAGEIFS($D$2:D574, $B$2:B574, B574)</f>
        <v>0.51851851851851849</v>
      </c>
    </row>
    <row r="575" spans="1:37" x14ac:dyDescent="0.25">
      <c r="A575" s="85">
        <v>46168</v>
      </c>
      <c r="B575" t="s">
        <v>71</v>
      </c>
      <c r="C575">
        <v>30</v>
      </c>
      <c r="D575">
        <v>1</v>
      </c>
      <c r="E575">
        <v>5</v>
      </c>
      <c r="F575">
        <v>3</v>
      </c>
      <c r="G575">
        <v>22</v>
      </c>
      <c r="H575">
        <v>11</v>
      </c>
      <c r="I575">
        <v>0.6</v>
      </c>
      <c r="J575">
        <v>0.5</v>
      </c>
      <c r="K575">
        <v>0</v>
      </c>
      <c r="L575">
        <v>0</v>
      </c>
      <c r="M575">
        <v>0</v>
      </c>
      <c r="N575">
        <v>0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1</v>
      </c>
      <c r="AA575">
        <v>0</v>
      </c>
      <c r="AB575">
        <v>0</v>
      </c>
      <c r="AC575">
        <v>1</v>
      </c>
      <c r="AD575">
        <v>0</v>
      </c>
      <c r="AE575">
        <v>0</v>
      </c>
      <c r="AF575">
        <v>0</v>
      </c>
      <c r="AG575">
        <v>1</v>
      </c>
      <c r="AH575" s="86">
        <f>AVERAGEIFS($C$2:C575, $B$2:B575, B575)</f>
        <v>17.666666666666668</v>
      </c>
      <c r="AI575" s="86">
        <f>AVERAGEIFS($I$2:I575, $B$2:B575, B575)</f>
        <v>0.47619047619047616</v>
      </c>
      <c r="AJ575" s="86">
        <f>AVERAGEIFS($J$2:J575, $B$2:B575, B575)</f>
        <v>0.47809523809523807</v>
      </c>
      <c r="AK575" s="86">
        <f>AVERAGEIFS($D$2:D575, $B$2:B575, B575)</f>
        <v>0.47619047619047616</v>
      </c>
    </row>
    <row r="576" spans="1:37" x14ac:dyDescent="0.25">
      <c r="A576" s="85">
        <v>46168</v>
      </c>
      <c r="B576" t="s">
        <v>6</v>
      </c>
      <c r="C576">
        <v>34</v>
      </c>
      <c r="D576">
        <v>1</v>
      </c>
      <c r="E576">
        <v>5</v>
      </c>
      <c r="F576">
        <v>3</v>
      </c>
      <c r="G576">
        <v>22</v>
      </c>
      <c r="H576">
        <v>11</v>
      </c>
      <c r="I576">
        <v>0.6</v>
      </c>
      <c r="J576">
        <v>0.5</v>
      </c>
      <c r="K576">
        <v>0</v>
      </c>
      <c r="L576">
        <v>0</v>
      </c>
      <c r="M576">
        <v>0</v>
      </c>
      <c r="N576">
        <v>0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1</v>
      </c>
      <c r="AA576">
        <v>0</v>
      </c>
      <c r="AB576">
        <v>0</v>
      </c>
      <c r="AC576">
        <v>1</v>
      </c>
      <c r="AD576">
        <v>0</v>
      </c>
      <c r="AE576">
        <v>0</v>
      </c>
      <c r="AF576">
        <v>0</v>
      </c>
      <c r="AG576">
        <v>1</v>
      </c>
      <c r="AH576" s="86">
        <f>AVERAGEIFS($C$2:C576, $B$2:B576, B576)</f>
        <v>25.428571428571427</v>
      </c>
      <c r="AI576" s="86">
        <f>AVERAGEIFS($I$2:I576, $B$2:B576, B576)</f>
        <v>0.58000000000000007</v>
      </c>
      <c r="AJ576" s="86">
        <f>AVERAGEIFS($J$2:J576, $B$2:B576, B576)</f>
        <v>0.52771428571428591</v>
      </c>
      <c r="AK576" s="86">
        <f>AVERAGEIFS($D$2:D576, $B$2:B576, B576)</f>
        <v>0.62857142857142856</v>
      </c>
    </row>
    <row r="577" spans="1:37" x14ac:dyDescent="0.25">
      <c r="A577" s="85">
        <v>46168</v>
      </c>
      <c r="B577" t="s">
        <v>141</v>
      </c>
      <c r="C577">
        <v>32</v>
      </c>
      <c r="D577">
        <v>1</v>
      </c>
      <c r="E577">
        <v>5</v>
      </c>
      <c r="F577">
        <v>3</v>
      </c>
      <c r="G577">
        <v>22</v>
      </c>
      <c r="H577">
        <v>11</v>
      </c>
      <c r="I577">
        <v>0.6</v>
      </c>
      <c r="J577">
        <v>0.5</v>
      </c>
      <c r="K577">
        <v>0</v>
      </c>
      <c r="L577">
        <v>0</v>
      </c>
      <c r="M577">
        <v>0</v>
      </c>
      <c r="N577">
        <v>0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1</v>
      </c>
      <c r="AA577">
        <v>0</v>
      </c>
      <c r="AB577">
        <v>0</v>
      </c>
      <c r="AC577">
        <v>1</v>
      </c>
      <c r="AD577">
        <v>0</v>
      </c>
      <c r="AE577">
        <v>0</v>
      </c>
      <c r="AF577">
        <v>0</v>
      </c>
      <c r="AG577">
        <v>1</v>
      </c>
      <c r="AH577" s="86">
        <f>AVERAGEIFS($C$2:C577, $B$2:B577, B577)</f>
        <v>20.652173913043477</v>
      </c>
      <c r="AI577" s="86">
        <f>AVERAGEIFS($I$2:I577, $B$2:B577, B577)</f>
        <v>0.51521739130434785</v>
      </c>
      <c r="AJ577" s="86">
        <f>AVERAGEIFS($J$2:J577, $B$2:B577, B577)</f>
        <v>0.50608695652173918</v>
      </c>
      <c r="AK577" s="86">
        <f>AVERAGEIFS($D$2:D577, $B$2:B577, B577)</f>
        <v>0.65217391304347827</v>
      </c>
    </row>
    <row r="578" spans="1:37" x14ac:dyDescent="0.25">
      <c r="A578" s="85">
        <v>46168</v>
      </c>
      <c r="B578" t="s">
        <v>152</v>
      </c>
      <c r="C578">
        <v>20</v>
      </c>
      <c r="D578">
        <v>1</v>
      </c>
      <c r="E578">
        <v>5</v>
      </c>
      <c r="F578">
        <v>3</v>
      </c>
      <c r="G578">
        <v>22</v>
      </c>
      <c r="H578">
        <v>11</v>
      </c>
      <c r="I578">
        <v>0.6</v>
      </c>
      <c r="J578">
        <v>0.5</v>
      </c>
      <c r="K578">
        <v>0</v>
      </c>
      <c r="L578">
        <v>0</v>
      </c>
      <c r="M578">
        <v>0</v>
      </c>
      <c r="N578">
        <v>0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1</v>
      </c>
      <c r="AA578">
        <v>0</v>
      </c>
      <c r="AB578">
        <v>0</v>
      </c>
      <c r="AC578">
        <v>1</v>
      </c>
      <c r="AD578">
        <v>0</v>
      </c>
      <c r="AE578">
        <v>0</v>
      </c>
      <c r="AF578">
        <v>0</v>
      </c>
      <c r="AG578">
        <v>1</v>
      </c>
      <c r="AH578" s="86">
        <f>AVERAGEIFS($C$2:C578, $B$2:B578, B578)</f>
        <v>15.818181818181818</v>
      </c>
      <c r="AI578" s="86">
        <f>AVERAGEIFS($I$2:I578, $B$2:B578, B578)</f>
        <v>0.36818181818181817</v>
      </c>
      <c r="AJ578" s="86">
        <f>AVERAGEIFS($J$2:J578, $B$2:B578, B578)</f>
        <v>0.45454545454545453</v>
      </c>
      <c r="AK578" s="86">
        <f>AVERAGEIFS($D$2:D578, $B$2:B578, B578)</f>
        <v>0.27272727272727271</v>
      </c>
    </row>
    <row r="579" spans="1:37" x14ac:dyDescent="0.25">
      <c r="A579" s="85">
        <v>46168</v>
      </c>
      <c r="B579" t="s">
        <v>147</v>
      </c>
      <c r="C579">
        <v>24</v>
      </c>
      <c r="D579">
        <v>1</v>
      </c>
      <c r="E579">
        <v>5</v>
      </c>
      <c r="F579">
        <v>3</v>
      </c>
      <c r="G579">
        <v>22</v>
      </c>
      <c r="H579">
        <v>11</v>
      </c>
      <c r="I579">
        <v>0.6</v>
      </c>
      <c r="J579">
        <v>0.5</v>
      </c>
      <c r="K579">
        <v>0</v>
      </c>
      <c r="L579">
        <v>0</v>
      </c>
      <c r="M579">
        <v>0</v>
      </c>
      <c r="N579">
        <v>0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1</v>
      </c>
      <c r="AA579">
        <v>0</v>
      </c>
      <c r="AB579">
        <v>0</v>
      </c>
      <c r="AC579">
        <v>1</v>
      </c>
      <c r="AD579">
        <v>0</v>
      </c>
      <c r="AE579">
        <v>0</v>
      </c>
      <c r="AF579">
        <v>0</v>
      </c>
      <c r="AG579">
        <v>1</v>
      </c>
      <c r="AH579" s="86">
        <f>AVERAGEIFS($C$2:C579, $B$2:B579, B579)</f>
        <v>17.84</v>
      </c>
      <c r="AI579" s="86">
        <f>AVERAGEIFS($I$2:I579, $B$2:B579, B579)</f>
        <v>0.55999999999999994</v>
      </c>
      <c r="AJ579" s="86">
        <f>AVERAGEIFS($J$2:J579, $B$2:B579, B579)</f>
        <v>0.53239999999999998</v>
      </c>
      <c r="AK579" s="86">
        <f>AVERAGEIFS($D$2:D579, $B$2:B579, B579)</f>
        <v>0.56000000000000005</v>
      </c>
    </row>
    <row r="580" spans="1:37" x14ac:dyDescent="0.25">
      <c r="A580" s="85">
        <v>46168</v>
      </c>
      <c r="B580" t="s">
        <v>115</v>
      </c>
      <c r="C580">
        <v>15</v>
      </c>
      <c r="D580">
        <v>1</v>
      </c>
      <c r="E580">
        <v>5</v>
      </c>
      <c r="F580">
        <v>3</v>
      </c>
      <c r="G580">
        <v>22</v>
      </c>
      <c r="H580">
        <v>11</v>
      </c>
      <c r="I580">
        <v>0.6</v>
      </c>
      <c r="J580">
        <v>0.5</v>
      </c>
      <c r="K580">
        <v>0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1</v>
      </c>
      <c r="AA580">
        <v>0</v>
      </c>
      <c r="AB580">
        <v>0</v>
      </c>
      <c r="AC580">
        <v>1</v>
      </c>
      <c r="AD580">
        <v>0</v>
      </c>
      <c r="AE580">
        <v>0</v>
      </c>
      <c r="AF580">
        <v>0</v>
      </c>
      <c r="AG580">
        <v>1</v>
      </c>
      <c r="AH580" s="86">
        <f>AVERAGEIFS($C$2:C580, $B$2:B580, B580)</f>
        <v>13.6</v>
      </c>
      <c r="AI580" s="86">
        <f>AVERAGEIFS($I$2:I580, $B$2:B580, B580)</f>
        <v>0.53999999999999992</v>
      </c>
      <c r="AJ580" s="86">
        <f>AVERAGEIFS($J$2:J580, $B$2:B580, B580)</f>
        <v>0.50600000000000001</v>
      </c>
      <c r="AK580" s="86">
        <f>AVERAGEIFS($D$2:D580, $B$2:B580, B580)</f>
        <v>0.7</v>
      </c>
    </row>
    <row r="581" spans="1:37" x14ac:dyDescent="0.25">
      <c r="A581" s="85">
        <v>46168</v>
      </c>
      <c r="B581" t="s">
        <v>42</v>
      </c>
      <c r="C581">
        <v>14</v>
      </c>
      <c r="D581">
        <v>0</v>
      </c>
      <c r="E581">
        <v>5</v>
      </c>
      <c r="F581">
        <v>2</v>
      </c>
      <c r="G581">
        <v>22</v>
      </c>
      <c r="H581">
        <v>11</v>
      </c>
      <c r="I581">
        <v>0.4</v>
      </c>
      <c r="J581">
        <v>0.5</v>
      </c>
      <c r="K581">
        <v>0</v>
      </c>
      <c r="L581">
        <v>1</v>
      </c>
      <c r="M581">
        <v>1</v>
      </c>
      <c r="N581">
        <v>0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 s="86">
        <f>AVERAGEIFS($C$2:C581, $B$2:B581, B581)</f>
        <v>17.275862068965516</v>
      </c>
      <c r="AI581" s="86">
        <f>AVERAGEIFS($I$2:I581, $B$2:B581, B581)</f>
        <v>0.48620689655172411</v>
      </c>
      <c r="AJ581" s="86">
        <f>AVERAGEIFS($J$2:J581, $B$2:B581, B581)</f>
        <v>0.47827586206896561</v>
      </c>
      <c r="AK581" s="86">
        <f>AVERAGEIFS($D$2:D581, $B$2:B581, B581)</f>
        <v>0.48275862068965519</v>
      </c>
    </row>
    <row r="582" spans="1:37" x14ac:dyDescent="0.25">
      <c r="A582" s="85">
        <v>46168</v>
      </c>
      <c r="B582" t="s">
        <v>2</v>
      </c>
      <c r="C582">
        <v>29</v>
      </c>
      <c r="D582">
        <v>0</v>
      </c>
      <c r="E582">
        <v>5</v>
      </c>
      <c r="F582">
        <v>2</v>
      </c>
      <c r="G582">
        <v>22</v>
      </c>
      <c r="H582">
        <v>11</v>
      </c>
      <c r="I582">
        <v>0.4</v>
      </c>
      <c r="J582">
        <v>0.5</v>
      </c>
      <c r="K582">
        <v>0</v>
      </c>
      <c r="L582">
        <v>1</v>
      </c>
      <c r="M582">
        <v>1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0</v>
      </c>
      <c r="AH582" s="86">
        <f>AVERAGEIFS($C$2:C582, $B$2:B582, B582)</f>
        <v>25.227272727272727</v>
      </c>
      <c r="AI582" s="86">
        <f>AVERAGEIFS($I$2:I582, $B$2:B582, B582)</f>
        <v>0.40909090909090912</v>
      </c>
      <c r="AJ582" s="86">
        <f>AVERAGEIFS($J$2:J582, $B$2:B582, B582)</f>
        <v>0.48818181818181822</v>
      </c>
      <c r="AK582" s="86">
        <f>AVERAGEIFS($D$2:D582, $B$2:B582, B582)</f>
        <v>0.27272727272727271</v>
      </c>
    </row>
    <row r="583" spans="1:37" x14ac:dyDescent="0.25">
      <c r="A583" s="85">
        <v>46168</v>
      </c>
      <c r="B583" t="s">
        <v>5</v>
      </c>
      <c r="C583">
        <v>33</v>
      </c>
      <c r="D583">
        <v>0</v>
      </c>
      <c r="E583">
        <v>5</v>
      </c>
      <c r="F583">
        <v>2</v>
      </c>
      <c r="G583">
        <v>22</v>
      </c>
      <c r="H583">
        <v>11</v>
      </c>
      <c r="I583">
        <v>0.4</v>
      </c>
      <c r="J583">
        <v>0.5</v>
      </c>
      <c r="K583">
        <v>0</v>
      </c>
      <c r="L583">
        <v>1</v>
      </c>
      <c r="M583">
        <v>1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 s="86">
        <f>AVERAGEIFS($C$2:C583, $B$2:B583, B583)</f>
        <v>18.5</v>
      </c>
      <c r="AI583" s="86">
        <f>AVERAGEIFS($I$2:I583, $B$2:B583, B583)</f>
        <v>0.4645833333333334</v>
      </c>
      <c r="AJ583" s="86">
        <f>AVERAGEIFS($J$2:J583, $B$2:B583, B583)</f>
        <v>0.48333333333333339</v>
      </c>
      <c r="AK583" s="86">
        <f>AVERAGEIFS($D$2:D583, $B$2:B583, B583)</f>
        <v>0.45833333333333331</v>
      </c>
    </row>
    <row r="584" spans="1:37" x14ac:dyDescent="0.25">
      <c r="A584" s="85">
        <v>46168</v>
      </c>
      <c r="B584" t="s">
        <v>13</v>
      </c>
      <c r="C584">
        <v>38</v>
      </c>
      <c r="D584">
        <v>0</v>
      </c>
      <c r="E584">
        <v>5</v>
      </c>
      <c r="F584">
        <v>2</v>
      </c>
      <c r="G584">
        <v>22</v>
      </c>
      <c r="H584">
        <v>11</v>
      </c>
      <c r="I584">
        <v>0.4</v>
      </c>
      <c r="J584">
        <v>0.5</v>
      </c>
      <c r="K584">
        <v>0</v>
      </c>
      <c r="L584">
        <v>1</v>
      </c>
      <c r="M584">
        <v>1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 s="86">
        <f>AVERAGEIFS($C$2:C584, $B$2:B584, B584)</f>
        <v>18.100000000000001</v>
      </c>
      <c r="AI584" s="86">
        <f>AVERAGEIFS($I$2:I584, $B$2:B584, B584)</f>
        <v>0.44500000000000001</v>
      </c>
      <c r="AJ584" s="86">
        <f>AVERAGEIFS($J$2:J584, $B$2:B584, B584)</f>
        <v>0.47299999999999998</v>
      </c>
      <c r="AK584" s="86">
        <f>AVERAGEIFS($D$2:D584, $B$2:B584, B584)</f>
        <v>0.4</v>
      </c>
    </row>
    <row r="585" spans="1:37" x14ac:dyDescent="0.25">
      <c r="A585" s="85">
        <v>46168</v>
      </c>
      <c r="B585" t="s">
        <v>146</v>
      </c>
      <c r="C585">
        <v>15</v>
      </c>
      <c r="D585">
        <v>0</v>
      </c>
      <c r="E585">
        <v>5</v>
      </c>
      <c r="F585">
        <v>2</v>
      </c>
      <c r="G585">
        <v>22</v>
      </c>
      <c r="H585">
        <v>11</v>
      </c>
      <c r="I585">
        <v>0.4</v>
      </c>
      <c r="J585">
        <v>0.5</v>
      </c>
      <c r="K585">
        <v>0</v>
      </c>
      <c r="L585">
        <v>1</v>
      </c>
      <c r="M585">
        <v>1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>
        <v>0</v>
      </c>
      <c r="AH585" s="86">
        <f>AVERAGEIFS($C$2:C585, $B$2:B585, B585)</f>
        <v>13.4</v>
      </c>
      <c r="AI585" s="86">
        <f>AVERAGEIFS($I$2:I585, $B$2:B585, B585)</f>
        <v>0.37</v>
      </c>
      <c r="AJ585" s="86">
        <f>AVERAGEIFS($J$2:J585, $B$2:B585, B585)</f>
        <v>0.44600000000000001</v>
      </c>
      <c r="AK585" s="86">
        <f>AVERAGEIFS($D$2:D585, $B$2:B585, B585)</f>
        <v>0.4</v>
      </c>
    </row>
    <row r="586" spans="1:37" x14ac:dyDescent="0.25">
      <c r="A586" s="85">
        <v>46168</v>
      </c>
      <c r="B586" t="s">
        <v>15</v>
      </c>
      <c r="C586">
        <v>23</v>
      </c>
      <c r="D586">
        <v>0</v>
      </c>
      <c r="E586">
        <v>5</v>
      </c>
      <c r="F586">
        <v>2</v>
      </c>
      <c r="G586">
        <v>22</v>
      </c>
      <c r="H586">
        <v>11</v>
      </c>
      <c r="I586">
        <v>0.4</v>
      </c>
      <c r="J586">
        <v>0.5</v>
      </c>
      <c r="K586">
        <v>0</v>
      </c>
      <c r="L586">
        <v>1</v>
      </c>
      <c r="M586">
        <v>1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>
        <v>0</v>
      </c>
      <c r="AH586" s="86">
        <f>AVERAGEIFS($C$2:C586, $B$2:B586, B586)</f>
        <v>23</v>
      </c>
      <c r="AI586" s="86">
        <f>AVERAGEIFS($I$2:I586, $B$2:B586, B586)</f>
        <v>0.4</v>
      </c>
      <c r="AJ586" s="86">
        <f>AVERAGEIFS($J$2:J586, $B$2:B586, B586)</f>
        <v>0.5</v>
      </c>
      <c r="AK586" s="86">
        <f>AVERAGEIFS($D$2:D586, $B$2:B586, B586)</f>
        <v>0</v>
      </c>
    </row>
  </sheetData>
  <autoFilter ref="A1:AK339" xr:uid="{2920E10D-1157-4164-84BC-1BB5367BF023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C13F5-AE6A-44E6-924D-3936AA002E17}">
  <dimension ref="A1:AD243"/>
  <sheetViews>
    <sheetView workbookViewId="0">
      <selection activeCell="A239" sqref="A239:XFD239"/>
    </sheetView>
  </sheetViews>
  <sheetFormatPr defaultRowHeight="15" x14ac:dyDescent="0.25"/>
  <cols>
    <col min="1" max="1" width="10.140625" bestFit="1" customWidth="1"/>
    <col min="2" max="2" width="10.7109375" bestFit="1" customWidth="1"/>
    <col min="26" max="26" width="11.42578125" bestFit="1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46033</v>
      </c>
      <c r="B2" t="s">
        <v>13</v>
      </c>
      <c r="C2">
        <v>50</v>
      </c>
      <c r="D2">
        <v>1</v>
      </c>
      <c r="E2">
        <v>5</v>
      </c>
      <c r="F2">
        <v>3</v>
      </c>
      <c r="G2">
        <v>21</v>
      </c>
      <c r="H2">
        <v>12</v>
      </c>
      <c r="I2">
        <v>0.6</v>
      </c>
      <c r="J2">
        <v>0.56999999999999995</v>
      </c>
      <c r="K2">
        <v>0</v>
      </c>
      <c r="L2">
        <v>0</v>
      </c>
      <c r="M2">
        <v>0</v>
      </c>
      <c r="N2">
        <v>1</v>
      </c>
      <c r="O2">
        <v>1</v>
      </c>
      <c r="P2">
        <v>0</v>
      </c>
      <c r="Q2">
        <v>1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 s="86">
        <f>AVERAGEIFS($C$2:C2, $B$2:B2, B2)</f>
        <v>50</v>
      </c>
      <c r="AB2" s="86">
        <f>AVERAGEIFS($I$2:I2, $B$2:B2, B2)</f>
        <v>0.6</v>
      </c>
      <c r="AC2" s="86">
        <f>AVERAGEIFS($J$2:J2, $B$2:B2, B2)</f>
        <v>0.56999999999999995</v>
      </c>
      <c r="AD2" s="86">
        <f>AVERAGEIFS($D$2:D2, $B$2:B2, B2)</f>
        <v>1</v>
      </c>
    </row>
    <row r="3" spans="1:30" x14ac:dyDescent="0.25">
      <c r="A3" s="85">
        <v>46033</v>
      </c>
      <c r="B3" t="s">
        <v>54</v>
      </c>
      <c r="C3">
        <v>29</v>
      </c>
      <c r="D3">
        <v>1</v>
      </c>
      <c r="E3">
        <v>5</v>
      </c>
      <c r="F3">
        <v>3</v>
      </c>
      <c r="G3">
        <v>21</v>
      </c>
      <c r="H3">
        <v>12</v>
      </c>
      <c r="I3">
        <v>0.6</v>
      </c>
      <c r="J3">
        <v>0.56999999999999995</v>
      </c>
      <c r="K3">
        <v>0</v>
      </c>
      <c r="L3">
        <v>0</v>
      </c>
      <c r="M3">
        <v>0</v>
      </c>
      <c r="N3">
        <v>1</v>
      </c>
      <c r="O3">
        <v>1</v>
      </c>
      <c r="P3">
        <v>0</v>
      </c>
      <c r="Q3">
        <v>1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 s="86">
        <f>AVERAGEIFS($C$2:C3, $B$2:B3, B3)</f>
        <v>29</v>
      </c>
      <c r="AB3" s="86">
        <f>AVERAGEIFS($I$2:I3, $B$2:B3, B3)</f>
        <v>0.6</v>
      </c>
      <c r="AC3" s="86">
        <f>AVERAGEIFS($J$2:J3, $B$2:B3, B3)</f>
        <v>0.56999999999999995</v>
      </c>
      <c r="AD3" s="86">
        <f>AVERAGEIFS($D$2:D3, $B$2:B3, B3)</f>
        <v>1</v>
      </c>
    </row>
    <row r="4" spans="1:30" x14ac:dyDescent="0.25">
      <c r="A4" s="85">
        <v>46033</v>
      </c>
      <c r="B4" t="s">
        <v>3</v>
      </c>
      <c r="C4">
        <v>26</v>
      </c>
      <c r="D4">
        <v>1</v>
      </c>
      <c r="E4">
        <v>5</v>
      </c>
      <c r="F4">
        <v>3</v>
      </c>
      <c r="G4">
        <v>21</v>
      </c>
      <c r="H4">
        <v>12</v>
      </c>
      <c r="I4">
        <v>0.6</v>
      </c>
      <c r="J4">
        <v>0.56999999999999995</v>
      </c>
      <c r="K4">
        <v>0</v>
      </c>
      <c r="L4">
        <v>0</v>
      </c>
      <c r="M4">
        <v>0</v>
      </c>
      <c r="N4">
        <v>1</v>
      </c>
      <c r="O4">
        <v>1</v>
      </c>
      <c r="P4">
        <v>0</v>
      </c>
      <c r="Q4">
        <v>1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 s="86">
        <f>AVERAGEIFS($C$2:C4, $B$2:B4, B4)</f>
        <v>26</v>
      </c>
      <c r="AB4" s="86">
        <f>AVERAGEIFS($I$2:I4, $B$2:B4, B4)</f>
        <v>0.6</v>
      </c>
      <c r="AC4" s="86">
        <f>AVERAGEIFS($J$2:J4, $B$2:B4, B4)</f>
        <v>0.56999999999999995</v>
      </c>
      <c r="AD4" s="86">
        <f>AVERAGEIFS($D$2:D4, $B$2:B4, B4)</f>
        <v>1</v>
      </c>
    </row>
    <row r="5" spans="1:30" x14ac:dyDescent="0.25">
      <c r="A5" s="85">
        <v>46033</v>
      </c>
      <c r="B5" t="s">
        <v>53</v>
      </c>
      <c r="C5">
        <v>25</v>
      </c>
      <c r="D5">
        <v>1</v>
      </c>
      <c r="E5">
        <v>5</v>
      </c>
      <c r="F5">
        <v>3</v>
      </c>
      <c r="G5">
        <v>21</v>
      </c>
      <c r="H5">
        <v>12</v>
      </c>
      <c r="I5">
        <v>0.6</v>
      </c>
      <c r="J5">
        <v>0.56999999999999995</v>
      </c>
      <c r="K5">
        <v>0</v>
      </c>
      <c r="L5">
        <v>0</v>
      </c>
      <c r="M5">
        <v>0</v>
      </c>
      <c r="N5">
        <v>1</v>
      </c>
      <c r="O5">
        <v>1</v>
      </c>
      <c r="P5">
        <v>0</v>
      </c>
      <c r="Q5">
        <v>1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 s="86">
        <f>AVERAGEIFS($C$2:C5, $B$2:B5, B5)</f>
        <v>25</v>
      </c>
      <c r="AB5" s="86">
        <f>AVERAGEIFS($I$2:I5, $B$2:B5, B5)</f>
        <v>0.6</v>
      </c>
      <c r="AC5" s="86">
        <f>AVERAGEIFS($J$2:J5, $B$2:B5, B5)</f>
        <v>0.56999999999999995</v>
      </c>
      <c r="AD5" s="86">
        <f>AVERAGEIFS($D$2:D5, $B$2:B5, B5)</f>
        <v>1</v>
      </c>
    </row>
    <row r="6" spans="1:30" x14ac:dyDescent="0.25">
      <c r="A6" s="85">
        <v>46033</v>
      </c>
      <c r="B6" t="s">
        <v>55</v>
      </c>
      <c r="C6">
        <v>12</v>
      </c>
      <c r="D6">
        <v>1</v>
      </c>
      <c r="E6">
        <v>5</v>
      </c>
      <c r="F6">
        <v>3</v>
      </c>
      <c r="G6">
        <v>21</v>
      </c>
      <c r="H6">
        <v>12</v>
      </c>
      <c r="I6">
        <v>0.6</v>
      </c>
      <c r="J6">
        <v>0.56999999999999995</v>
      </c>
      <c r="K6">
        <v>0</v>
      </c>
      <c r="L6">
        <v>0</v>
      </c>
      <c r="M6">
        <v>0</v>
      </c>
      <c r="N6">
        <v>1</v>
      </c>
      <c r="O6">
        <v>1</v>
      </c>
      <c r="P6">
        <v>0</v>
      </c>
      <c r="Q6">
        <v>1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 s="86">
        <f>AVERAGEIFS($C$2:C6, $B$2:B6, B6)</f>
        <v>12</v>
      </c>
      <c r="AB6" s="86">
        <f>AVERAGEIFS($I$2:I6, $B$2:B6, B6)</f>
        <v>0.6</v>
      </c>
      <c r="AC6" s="86">
        <f>AVERAGEIFS($J$2:J6, $B$2:B6, B6)</f>
        <v>0.56999999999999995</v>
      </c>
      <c r="AD6" s="86">
        <f>AVERAGEIFS($D$2:D6, $B$2:B6, B6)</f>
        <v>1</v>
      </c>
    </row>
    <row r="7" spans="1:30" x14ac:dyDescent="0.25">
      <c r="A7" s="85">
        <v>46033</v>
      </c>
      <c r="B7" t="s">
        <v>26</v>
      </c>
      <c r="C7">
        <v>8</v>
      </c>
      <c r="D7">
        <v>1</v>
      </c>
      <c r="E7">
        <v>5</v>
      </c>
      <c r="F7">
        <v>3</v>
      </c>
      <c r="G7">
        <v>21</v>
      </c>
      <c r="H7">
        <v>12</v>
      </c>
      <c r="I7">
        <v>0.6</v>
      </c>
      <c r="J7">
        <v>0.56999999999999995</v>
      </c>
      <c r="K7">
        <v>0</v>
      </c>
      <c r="L7">
        <v>0</v>
      </c>
      <c r="M7">
        <v>0</v>
      </c>
      <c r="N7">
        <v>1</v>
      </c>
      <c r="O7">
        <v>1</v>
      </c>
      <c r="P7">
        <v>0</v>
      </c>
      <c r="Q7">
        <v>1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 s="86">
        <f>AVERAGEIFS($C$2:C7, $B$2:B7, B7)</f>
        <v>8</v>
      </c>
      <c r="AB7" s="86">
        <f>AVERAGEIFS($I$2:I7, $B$2:B7, B7)</f>
        <v>0.6</v>
      </c>
      <c r="AC7" s="86">
        <f>AVERAGEIFS($J$2:J7, $B$2:B7, B7)</f>
        <v>0.56999999999999995</v>
      </c>
      <c r="AD7" s="86">
        <f>AVERAGEIFS($D$2:D7, $B$2:B7, B7)</f>
        <v>1</v>
      </c>
    </row>
    <row r="8" spans="1:30" x14ac:dyDescent="0.25">
      <c r="A8" s="85">
        <v>46033</v>
      </c>
      <c r="B8" t="s">
        <v>17</v>
      </c>
      <c r="C8">
        <v>33</v>
      </c>
      <c r="D8">
        <v>0</v>
      </c>
      <c r="E8">
        <v>5</v>
      </c>
      <c r="F8">
        <v>2</v>
      </c>
      <c r="G8">
        <v>21</v>
      </c>
      <c r="H8">
        <v>9</v>
      </c>
      <c r="I8">
        <v>0.4</v>
      </c>
      <c r="J8">
        <v>0.43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1</v>
      </c>
      <c r="Z8">
        <v>1</v>
      </c>
      <c r="AA8" s="86">
        <f>AVERAGEIFS($C$2:C8, $B$2:B8, B8)</f>
        <v>33</v>
      </c>
      <c r="AB8" s="86">
        <f>AVERAGEIFS($I$2:I8, $B$2:B8, B8)</f>
        <v>0.4</v>
      </c>
      <c r="AC8" s="86">
        <f>AVERAGEIFS($J$2:J8, $B$2:B8, B8)</f>
        <v>0.43</v>
      </c>
      <c r="AD8" s="86">
        <f>AVERAGEIFS($D$2:D8, $B$2:B8, B8)</f>
        <v>0</v>
      </c>
    </row>
    <row r="9" spans="1:30" x14ac:dyDescent="0.25">
      <c r="A9" s="85">
        <v>46033</v>
      </c>
      <c r="B9" t="s">
        <v>2</v>
      </c>
      <c r="C9">
        <v>32</v>
      </c>
      <c r="D9">
        <v>0</v>
      </c>
      <c r="E9">
        <v>5</v>
      </c>
      <c r="F9">
        <v>2</v>
      </c>
      <c r="G9">
        <v>21</v>
      </c>
      <c r="H9">
        <v>9</v>
      </c>
      <c r="I9">
        <v>0.4</v>
      </c>
      <c r="J9">
        <v>0.43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1</v>
      </c>
      <c r="Z9">
        <v>1</v>
      </c>
      <c r="AA9" s="86">
        <f>AVERAGEIFS($C$2:C9, $B$2:B9, B9)</f>
        <v>32</v>
      </c>
      <c r="AB9" s="86">
        <f>AVERAGEIFS($I$2:I9, $B$2:B9, B9)</f>
        <v>0.4</v>
      </c>
      <c r="AC9" s="86">
        <f>AVERAGEIFS($J$2:J9, $B$2:B9, B9)</f>
        <v>0.43</v>
      </c>
      <c r="AD9" s="86">
        <f>AVERAGEIFS($D$2:D9, $B$2:B9, B9)</f>
        <v>0</v>
      </c>
    </row>
    <row r="10" spans="1:30" x14ac:dyDescent="0.25">
      <c r="A10" s="85">
        <v>46033</v>
      </c>
      <c r="B10" t="s">
        <v>1</v>
      </c>
      <c r="C10">
        <v>24</v>
      </c>
      <c r="D10">
        <v>0</v>
      </c>
      <c r="E10">
        <v>5</v>
      </c>
      <c r="F10">
        <v>2</v>
      </c>
      <c r="G10">
        <v>21</v>
      </c>
      <c r="H10">
        <v>9</v>
      </c>
      <c r="I10">
        <v>0.4</v>
      </c>
      <c r="J10">
        <v>0.43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1</v>
      </c>
      <c r="Z10">
        <v>1</v>
      </c>
      <c r="AA10" s="86">
        <f>AVERAGEIFS($C$2:C10, $B$2:B10, B10)</f>
        <v>24</v>
      </c>
      <c r="AB10" s="86">
        <f>AVERAGEIFS($I$2:I10, $B$2:B10, B10)</f>
        <v>0.4</v>
      </c>
      <c r="AC10" s="86">
        <f>AVERAGEIFS($J$2:J10, $B$2:B10, B10)</f>
        <v>0.43</v>
      </c>
      <c r="AD10" s="86">
        <f>AVERAGEIFS($D$2:D10, $B$2:B10, B10)</f>
        <v>0</v>
      </c>
    </row>
    <row r="11" spans="1:30" x14ac:dyDescent="0.25">
      <c r="A11" s="85">
        <v>46033</v>
      </c>
      <c r="B11" t="s">
        <v>25</v>
      </c>
      <c r="C11">
        <v>20</v>
      </c>
      <c r="D11">
        <v>0</v>
      </c>
      <c r="E11">
        <v>5</v>
      </c>
      <c r="F11">
        <v>2</v>
      </c>
      <c r="G11">
        <v>21</v>
      </c>
      <c r="H11">
        <v>9</v>
      </c>
      <c r="I11">
        <v>0.4</v>
      </c>
      <c r="J11">
        <v>0.43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1</v>
      </c>
      <c r="Z11">
        <v>1</v>
      </c>
      <c r="AA11" s="86">
        <f>AVERAGEIFS($C$2:C11, $B$2:B11, B11)</f>
        <v>20</v>
      </c>
      <c r="AB11" s="86">
        <f>AVERAGEIFS($I$2:I11, $B$2:B11, B11)</f>
        <v>0.4</v>
      </c>
      <c r="AC11" s="86">
        <f>AVERAGEIFS($J$2:J11, $B$2:B11, B11)</f>
        <v>0.43</v>
      </c>
      <c r="AD11" s="86">
        <f>AVERAGEIFS($D$2:D11, $B$2:B11, B11)</f>
        <v>0</v>
      </c>
    </row>
    <row r="12" spans="1:30" x14ac:dyDescent="0.25">
      <c r="A12" s="85">
        <v>46033</v>
      </c>
      <c r="B12" t="s">
        <v>28</v>
      </c>
      <c r="C12">
        <v>17</v>
      </c>
      <c r="D12">
        <v>0</v>
      </c>
      <c r="E12">
        <v>5</v>
      </c>
      <c r="F12">
        <v>2</v>
      </c>
      <c r="G12">
        <v>21</v>
      </c>
      <c r="H12">
        <v>9</v>
      </c>
      <c r="I12">
        <v>0.4</v>
      </c>
      <c r="J12">
        <v>0.43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1</v>
      </c>
      <c r="Z12">
        <v>1</v>
      </c>
      <c r="AA12" s="86">
        <f>AVERAGEIFS($C$2:C12, $B$2:B12, B12)</f>
        <v>17</v>
      </c>
      <c r="AB12" s="86">
        <f>AVERAGEIFS($I$2:I12, $B$2:B12, B12)</f>
        <v>0.4</v>
      </c>
      <c r="AC12" s="86">
        <f>AVERAGEIFS($J$2:J12, $B$2:B12, B12)</f>
        <v>0.43</v>
      </c>
      <c r="AD12" s="86">
        <f>AVERAGEIFS($D$2:D12, $B$2:B12, B12)</f>
        <v>0</v>
      </c>
    </row>
    <row r="13" spans="1:30" x14ac:dyDescent="0.25">
      <c r="A13" s="85">
        <v>46033</v>
      </c>
      <c r="B13" t="s">
        <v>27</v>
      </c>
      <c r="C13">
        <v>7</v>
      </c>
      <c r="D13">
        <v>0</v>
      </c>
      <c r="E13">
        <v>5</v>
      </c>
      <c r="F13">
        <v>2</v>
      </c>
      <c r="G13">
        <v>21</v>
      </c>
      <c r="H13">
        <v>9</v>
      </c>
      <c r="I13">
        <v>0.4</v>
      </c>
      <c r="J13">
        <v>0.43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1</v>
      </c>
      <c r="Z13">
        <v>1</v>
      </c>
      <c r="AA13" s="86">
        <f>AVERAGEIFS($C$2:C13, $B$2:B13, B13)</f>
        <v>7</v>
      </c>
      <c r="AB13" s="86">
        <f>AVERAGEIFS($I$2:I13, $B$2:B13, B13)</f>
        <v>0.4</v>
      </c>
      <c r="AC13" s="86">
        <f>AVERAGEIFS($J$2:J13, $B$2:B13, B13)</f>
        <v>0.43</v>
      </c>
      <c r="AD13" s="86">
        <f>AVERAGEIFS($D$2:D13, $B$2:B13, B13)</f>
        <v>0</v>
      </c>
    </row>
    <row r="14" spans="1:30" x14ac:dyDescent="0.25">
      <c r="A14" s="85">
        <v>46034</v>
      </c>
      <c r="B14" t="s">
        <v>18</v>
      </c>
      <c r="C14">
        <v>24</v>
      </c>
      <c r="D14">
        <v>1</v>
      </c>
      <c r="E14">
        <v>4</v>
      </c>
      <c r="F14">
        <v>3</v>
      </c>
      <c r="G14">
        <v>15</v>
      </c>
      <c r="H14">
        <v>9</v>
      </c>
      <c r="I14">
        <v>0.75</v>
      </c>
      <c r="J14">
        <v>0.6</v>
      </c>
      <c r="K14">
        <v>1</v>
      </c>
      <c r="L14">
        <v>0</v>
      </c>
      <c r="M14">
        <v>0</v>
      </c>
      <c r="N14">
        <v>1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1</v>
      </c>
      <c r="Y14">
        <v>0</v>
      </c>
      <c r="Z14">
        <v>0</v>
      </c>
      <c r="AA14" s="86">
        <f>AVERAGEIFS($C$2:C14, $B$2:B14, B14)</f>
        <v>24</v>
      </c>
      <c r="AB14" s="86">
        <f>AVERAGEIFS($I$2:I14, $B$2:B14, B14)</f>
        <v>0.75</v>
      </c>
      <c r="AC14" s="86">
        <f>AVERAGEIFS($J$2:J14, $B$2:B14, B14)</f>
        <v>0.6</v>
      </c>
      <c r="AD14" s="86">
        <f>AVERAGEIFS($D$2:D14, $B$2:B14, B14)</f>
        <v>1</v>
      </c>
    </row>
    <row r="15" spans="1:30" x14ac:dyDescent="0.25">
      <c r="A15" s="85">
        <v>46034</v>
      </c>
      <c r="B15" t="s">
        <v>37</v>
      </c>
      <c r="C15">
        <v>21</v>
      </c>
      <c r="D15">
        <v>1</v>
      </c>
      <c r="E15">
        <v>4</v>
      </c>
      <c r="F15">
        <v>3</v>
      </c>
      <c r="G15">
        <v>15</v>
      </c>
      <c r="H15">
        <v>9</v>
      </c>
      <c r="I15">
        <v>0.75</v>
      </c>
      <c r="J15">
        <v>0.6</v>
      </c>
      <c r="K15">
        <v>1</v>
      </c>
      <c r="L15">
        <v>0</v>
      </c>
      <c r="M15">
        <v>0</v>
      </c>
      <c r="N15">
        <v>1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1</v>
      </c>
      <c r="Y15">
        <v>0</v>
      </c>
      <c r="Z15">
        <v>0</v>
      </c>
      <c r="AA15" s="86">
        <f>AVERAGEIFS($C$2:C15, $B$2:B15, B15)</f>
        <v>21</v>
      </c>
      <c r="AB15" s="86">
        <f>AVERAGEIFS($I$2:I15, $B$2:B15, B15)</f>
        <v>0.75</v>
      </c>
      <c r="AC15" s="86">
        <f>AVERAGEIFS($J$2:J15, $B$2:B15, B15)</f>
        <v>0.6</v>
      </c>
      <c r="AD15" s="86">
        <f>AVERAGEIFS($D$2:D15, $B$2:B15, B15)</f>
        <v>1</v>
      </c>
    </row>
    <row r="16" spans="1:30" x14ac:dyDescent="0.25">
      <c r="A16" s="85">
        <v>46034</v>
      </c>
      <c r="B16" t="s">
        <v>15</v>
      </c>
      <c r="C16">
        <v>20</v>
      </c>
      <c r="D16">
        <v>1</v>
      </c>
      <c r="E16">
        <v>4</v>
      </c>
      <c r="F16">
        <v>3</v>
      </c>
      <c r="G16">
        <v>15</v>
      </c>
      <c r="H16">
        <v>9</v>
      </c>
      <c r="I16">
        <v>0.75</v>
      </c>
      <c r="J16">
        <v>0.6</v>
      </c>
      <c r="K16">
        <v>1</v>
      </c>
      <c r="L16">
        <v>0</v>
      </c>
      <c r="M16">
        <v>0</v>
      </c>
      <c r="N16">
        <v>1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1</v>
      </c>
      <c r="Y16">
        <v>0</v>
      </c>
      <c r="Z16">
        <v>0</v>
      </c>
      <c r="AA16" s="86">
        <f>AVERAGEIFS($C$2:C16, $B$2:B16, B16)</f>
        <v>20</v>
      </c>
      <c r="AB16" s="86">
        <f>AVERAGEIFS($I$2:I16, $B$2:B16, B16)</f>
        <v>0.75</v>
      </c>
      <c r="AC16" s="86">
        <f>AVERAGEIFS($J$2:J16, $B$2:B16, B16)</f>
        <v>0.6</v>
      </c>
      <c r="AD16" s="86">
        <f>AVERAGEIFS($D$2:D16, $B$2:B16, B16)</f>
        <v>1</v>
      </c>
    </row>
    <row r="17" spans="1:30" x14ac:dyDescent="0.25">
      <c r="A17" s="85">
        <v>46034</v>
      </c>
      <c r="B17" t="s">
        <v>51</v>
      </c>
      <c r="C17">
        <v>18</v>
      </c>
      <c r="D17">
        <v>1</v>
      </c>
      <c r="E17">
        <v>4</v>
      </c>
      <c r="F17">
        <v>3</v>
      </c>
      <c r="G17">
        <v>15</v>
      </c>
      <c r="H17">
        <v>9</v>
      </c>
      <c r="I17">
        <v>0.75</v>
      </c>
      <c r="J17">
        <v>0.6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86">
        <f>AVERAGEIFS($C$2:C17, $B$2:B17, B17)</f>
        <v>18</v>
      </c>
      <c r="AB17" s="86">
        <f>AVERAGEIFS($I$2:I17, $B$2:B17, B17)</f>
        <v>0.75</v>
      </c>
      <c r="AC17" s="86">
        <f>AVERAGEIFS($J$2:J17, $B$2:B17, B17)</f>
        <v>0.6</v>
      </c>
      <c r="AD17" s="86">
        <f>AVERAGEIFS($D$2:D17, $B$2:B17, B17)</f>
        <v>1</v>
      </c>
    </row>
    <row r="18" spans="1:30" x14ac:dyDescent="0.25">
      <c r="A18" s="85">
        <v>46034</v>
      </c>
      <c r="B18" t="s">
        <v>19</v>
      </c>
      <c r="C18">
        <v>13</v>
      </c>
      <c r="D18">
        <v>1</v>
      </c>
      <c r="E18">
        <v>4</v>
      </c>
      <c r="F18">
        <v>3</v>
      </c>
      <c r="G18">
        <v>15</v>
      </c>
      <c r="H18">
        <v>9</v>
      </c>
      <c r="I18">
        <v>0.75</v>
      </c>
      <c r="J18">
        <v>0.6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86">
        <f>AVERAGEIFS($C$2:C18, $B$2:B18, B18)</f>
        <v>13</v>
      </c>
      <c r="AB18" s="86">
        <f>AVERAGEIFS($I$2:I18, $B$2:B18, B18)</f>
        <v>0.75</v>
      </c>
      <c r="AC18" s="86">
        <f>AVERAGEIFS($J$2:J18, $B$2:B18, B18)</f>
        <v>0.6</v>
      </c>
      <c r="AD18" s="86">
        <f>AVERAGEIFS($D$2:D18, $B$2:B18, B18)</f>
        <v>1</v>
      </c>
    </row>
    <row r="19" spans="1:30" x14ac:dyDescent="0.25">
      <c r="A19" s="85">
        <v>46034</v>
      </c>
      <c r="B19" t="s">
        <v>20</v>
      </c>
      <c r="C19">
        <v>7</v>
      </c>
      <c r="D19">
        <v>1</v>
      </c>
      <c r="E19">
        <v>4</v>
      </c>
      <c r="F19">
        <v>3</v>
      </c>
      <c r="G19">
        <v>15</v>
      </c>
      <c r="H19">
        <v>9</v>
      </c>
      <c r="I19">
        <v>0.75</v>
      </c>
      <c r="J19">
        <v>0.6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86">
        <f>AVERAGEIFS($C$2:C19, $B$2:B19, B19)</f>
        <v>7</v>
      </c>
      <c r="AB19" s="86">
        <f>AVERAGEIFS($I$2:I19, $B$2:B19, B19)</f>
        <v>0.75</v>
      </c>
      <c r="AC19" s="86">
        <f>AVERAGEIFS($J$2:J19, $B$2:B19, B19)</f>
        <v>0.6</v>
      </c>
      <c r="AD19" s="86">
        <f>AVERAGEIFS($D$2:D19, $B$2:B19, B19)</f>
        <v>1</v>
      </c>
    </row>
    <row r="20" spans="1:30" x14ac:dyDescent="0.25">
      <c r="A20" s="85">
        <v>46034</v>
      </c>
      <c r="B20" t="s">
        <v>14</v>
      </c>
      <c r="C20">
        <v>24</v>
      </c>
      <c r="D20">
        <v>0</v>
      </c>
      <c r="E20">
        <v>4</v>
      </c>
      <c r="F20">
        <v>1</v>
      </c>
      <c r="G20">
        <v>15</v>
      </c>
      <c r="H20">
        <v>6</v>
      </c>
      <c r="I20">
        <v>0.25</v>
      </c>
      <c r="J20">
        <v>0.4</v>
      </c>
      <c r="K20">
        <v>0</v>
      </c>
      <c r="L20">
        <v>0</v>
      </c>
      <c r="M20">
        <v>0</v>
      </c>
      <c r="N20">
        <v>0</v>
      </c>
      <c r="O20">
        <v>0</v>
      </c>
      <c r="P20">
        <v>1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 s="86">
        <f>AVERAGEIFS($C$2:C20, $B$2:B20, B20)</f>
        <v>24</v>
      </c>
      <c r="AB20" s="86">
        <f>AVERAGEIFS($I$2:I20, $B$2:B20, B20)</f>
        <v>0.25</v>
      </c>
      <c r="AC20" s="86">
        <f>AVERAGEIFS($J$2:J20, $B$2:B20, B20)</f>
        <v>0.4</v>
      </c>
      <c r="AD20" s="86">
        <f>AVERAGEIFS($D$2:D20, $B$2:B20, B20)</f>
        <v>0</v>
      </c>
    </row>
    <row r="21" spans="1:30" x14ac:dyDescent="0.25">
      <c r="A21" s="85">
        <v>46034</v>
      </c>
      <c r="B21" t="s">
        <v>5</v>
      </c>
      <c r="C21">
        <v>24</v>
      </c>
      <c r="D21">
        <v>0</v>
      </c>
      <c r="E21">
        <v>4</v>
      </c>
      <c r="F21">
        <v>1</v>
      </c>
      <c r="G21">
        <v>15</v>
      </c>
      <c r="H21">
        <v>6</v>
      </c>
      <c r="I21">
        <v>0.25</v>
      </c>
      <c r="J21">
        <v>0.4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 s="86">
        <f>AVERAGEIFS($C$2:C21, $B$2:B21, B21)</f>
        <v>24</v>
      </c>
      <c r="AB21" s="86">
        <f>AVERAGEIFS($I$2:I21, $B$2:B21, B21)</f>
        <v>0.25</v>
      </c>
      <c r="AC21" s="86">
        <f>AVERAGEIFS($J$2:J21, $B$2:B21, B21)</f>
        <v>0.4</v>
      </c>
      <c r="AD21" s="86">
        <f>AVERAGEIFS($D$2:D21, $B$2:B21, B21)</f>
        <v>0</v>
      </c>
    </row>
    <row r="22" spans="1:30" x14ac:dyDescent="0.25">
      <c r="A22" s="85">
        <v>46034</v>
      </c>
      <c r="B22" t="s">
        <v>46</v>
      </c>
      <c r="C22">
        <v>16</v>
      </c>
      <c r="D22">
        <v>0</v>
      </c>
      <c r="E22">
        <v>4</v>
      </c>
      <c r="F22">
        <v>1</v>
      </c>
      <c r="G22">
        <v>15</v>
      </c>
      <c r="H22">
        <v>6</v>
      </c>
      <c r="I22">
        <v>0.25</v>
      </c>
      <c r="J22">
        <v>0.4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 s="86">
        <f>AVERAGEIFS($C$2:C22, $B$2:B22, B22)</f>
        <v>16</v>
      </c>
      <c r="AB22" s="86">
        <f>AVERAGEIFS($I$2:I22, $B$2:B22, B22)</f>
        <v>0.25</v>
      </c>
      <c r="AC22" s="86">
        <f>AVERAGEIFS($J$2:J22, $B$2:B22, B22)</f>
        <v>0.4</v>
      </c>
      <c r="AD22" s="86">
        <f>AVERAGEIFS($D$2:D22, $B$2:B22, B22)</f>
        <v>0</v>
      </c>
    </row>
    <row r="23" spans="1:30" x14ac:dyDescent="0.25">
      <c r="A23" s="85">
        <v>46034</v>
      </c>
      <c r="B23" t="s">
        <v>45</v>
      </c>
      <c r="C23">
        <v>14</v>
      </c>
      <c r="D23" s="96">
        <v>0</v>
      </c>
      <c r="E23">
        <v>4</v>
      </c>
      <c r="F23">
        <v>1</v>
      </c>
      <c r="G23">
        <v>15</v>
      </c>
      <c r="H23">
        <v>6</v>
      </c>
      <c r="I23">
        <v>0.25</v>
      </c>
      <c r="J23">
        <v>0.4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 s="86">
        <f>AVERAGEIFS($C$2:C23, $B$2:B23, B23)</f>
        <v>14</v>
      </c>
      <c r="AB23" s="86">
        <f>AVERAGEIFS($I$2:I23, $B$2:B23, B23)</f>
        <v>0.25</v>
      </c>
      <c r="AC23" s="86">
        <f>AVERAGEIFS($J$2:J23, $B$2:B23, B23)</f>
        <v>0.4</v>
      </c>
      <c r="AD23" s="86">
        <f>AVERAGEIFS($D$2:D23, $B$2:B23, B23)</f>
        <v>0</v>
      </c>
    </row>
    <row r="24" spans="1:30" x14ac:dyDescent="0.25">
      <c r="A24" s="85">
        <v>46034</v>
      </c>
      <c r="B24" t="s">
        <v>29</v>
      </c>
      <c r="C24">
        <v>8</v>
      </c>
      <c r="D24">
        <v>0</v>
      </c>
      <c r="E24">
        <v>4</v>
      </c>
      <c r="F24">
        <v>1</v>
      </c>
      <c r="G24">
        <v>15</v>
      </c>
      <c r="H24">
        <v>6</v>
      </c>
      <c r="I24">
        <v>0.25</v>
      </c>
      <c r="J24">
        <v>0.4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 s="86">
        <f>AVERAGEIFS($C$2:C24, $B$2:B24, B24)</f>
        <v>8</v>
      </c>
      <c r="AB24" s="86">
        <f>AVERAGEIFS($I$2:I24, $B$2:B24, B24)</f>
        <v>0.25</v>
      </c>
      <c r="AC24" s="86">
        <f>AVERAGEIFS($J$2:J24, $B$2:B24, B24)</f>
        <v>0.4</v>
      </c>
      <c r="AD24" s="86">
        <f>AVERAGEIFS($D$2:D24, $B$2:B24, B24)</f>
        <v>0</v>
      </c>
    </row>
    <row r="25" spans="1:30" x14ac:dyDescent="0.25">
      <c r="A25" s="85">
        <v>46034</v>
      </c>
      <c r="B25" t="s">
        <v>35</v>
      </c>
      <c r="C25">
        <v>6</v>
      </c>
      <c r="D25">
        <v>0</v>
      </c>
      <c r="E25">
        <v>4</v>
      </c>
      <c r="F25">
        <v>1</v>
      </c>
      <c r="G25">
        <v>15</v>
      </c>
      <c r="H25">
        <v>6</v>
      </c>
      <c r="I25">
        <v>0.25</v>
      </c>
      <c r="J25">
        <v>0.4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 s="86">
        <f>AVERAGEIFS($C$2:C25, $B$2:B25, B25)</f>
        <v>6</v>
      </c>
      <c r="AB25" s="86">
        <f>AVERAGEIFS($I$2:I25, $B$2:B25, B25)</f>
        <v>0.25</v>
      </c>
      <c r="AC25" s="86">
        <f>AVERAGEIFS($J$2:J25, $B$2:B25, B25)</f>
        <v>0.4</v>
      </c>
      <c r="AD25" s="86">
        <f>AVERAGEIFS($D$2:D25, $B$2:B25, B25)</f>
        <v>0</v>
      </c>
    </row>
    <row r="26" spans="1:30" x14ac:dyDescent="0.25">
      <c r="A26" s="85">
        <v>46040</v>
      </c>
      <c r="B26" t="s">
        <v>3</v>
      </c>
      <c r="C26">
        <v>44</v>
      </c>
      <c r="D26" s="86">
        <v>1</v>
      </c>
      <c r="E26">
        <v>5</v>
      </c>
      <c r="F26">
        <v>3</v>
      </c>
      <c r="G26">
        <v>19</v>
      </c>
      <c r="H26">
        <v>11</v>
      </c>
      <c r="I26">
        <v>0.6</v>
      </c>
      <c r="J26">
        <v>0.57999999999999996</v>
      </c>
      <c r="K26">
        <v>0</v>
      </c>
      <c r="L26">
        <v>0</v>
      </c>
      <c r="M26">
        <v>0</v>
      </c>
      <c r="N26">
        <v>0</v>
      </c>
      <c r="O26">
        <v>1</v>
      </c>
      <c r="P26">
        <v>1</v>
      </c>
      <c r="Q26">
        <v>1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 s="86">
        <f>AVERAGEIFS($C$2:C26, $B$2:B26, B26)</f>
        <v>35</v>
      </c>
      <c r="AB26" s="86">
        <f>AVERAGEIFS($I$2:I26, $B$2:B26, B26)</f>
        <v>0.6</v>
      </c>
      <c r="AC26" s="86">
        <f>AVERAGEIFS($J$2:J26, $B$2:B26, B26)</f>
        <v>0.57499999999999996</v>
      </c>
      <c r="AD26" s="86">
        <f>AVERAGEIFS($D$2:D26, $B$2:B26, B26)</f>
        <v>1</v>
      </c>
    </row>
    <row r="27" spans="1:30" x14ac:dyDescent="0.25">
      <c r="A27" s="85">
        <v>46040</v>
      </c>
      <c r="B27" t="s">
        <v>13</v>
      </c>
      <c r="C27">
        <v>29</v>
      </c>
      <c r="D27" s="86">
        <v>1</v>
      </c>
      <c r="E27">
        <v>5</v>
      </c>
      <c r="F27">
        <v>3</v>
      </c>
      <c r="G27">
        <v>19</v>
      </c>
      <c r="H27">
        <v>11</v>
      </c>
      <c r="I27">
        <v>0.6</v>
      </c>
      <c r="J27">
        <v>0.57999999999999996</v>
      </c>
      <c r="K27">
        <v>0</v>
      </c>
      <c r="L27">
        <v>0</v>
      </c>
      <c r="M27">
        <v>0</v>
      </c>
      <c r="N27">
        <v>0</v>
      </c>
      <c r="O27">
        <v>1</v>
      </c>
      <c r="P27">
        <v>1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 s="86">
        <f>AVERAGEIFS($C$2:C27, $B$2:B27, B27)</f>
        <v>39.5</v>
      </c>
      <c r="AB27" s="86">
        <f>AVERAGEIFS($I$2:I27, $B$2:B27, B27)</f>
        <v>0.6</v>
      </c>
      <c r="AC27" s="86">
        <f>AVERAGEIFS($J$2:J27, $B$2:B27, B27)</f>
        <v>0.57499999999999996</v>
      </c>
      <c r="AD27" s="86">
        <f>AVERAGEIFS($D$2:D27, $B$2:B27, B27)</f>
        <v>1</v>
      </c>
    </row>
    <row r="28" spans="1:30" x14ac:dyDescent="0.25">
      <c r="A28" s="85">
        <v>46040</v>
      </c>
      <c r="B28" t="s">
        <v>54</v>
      </c>
      <c r="C28">
        <v>24</v>
      </c>
      <c r="D28" s="86">
        <v>1</v>
      </c>
      <c r="E28">
        <v>5</v>
      </c>
      <c r="F28">
        <v>3</v>
      </c>
      <c r="G28">
        <v>19</v>
      </c>
      <c r="H28">
        <v>11</v>
      </c>
      <c r="I28">
        <v>0.6</v>
      </c>
      <c r="J28">
        <v>0.57999999999999996</v>
      </c>
      <c r="K28">
        <v>0</v>
      </c>
      <c r="L28">
        <v>0</v>
      </c>
      <c r="M28">
        <v>0</v>
      </c>
      <c r="N28">
        <v>0</v>
      </c>
      <c r="O28">
        <v>1</v>
      </c>
      <c r="P28">
        <v>1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 s="86">
        <f>AVERAGEIFS($C$2:C28, $B$2:B28, B28)</f>
        <v>26.5</v>
      </c>
      <c r="AB28" s="86">
        <f>AVERAGEIFS($I$2:I28, $B$2:B28, B28)</f>
        <v>0.6</v>
      </c>
      <c r="AC28" s="86">
        <f>AVERAGEIFS($J$2:J28, $B$2:B28, B28)</f>
        <v>0.57499999999999996</v>
      </c>
      <c r="AD28" s="86">
        <f>AVERAGEIFS($D$2:D28, $B$2:B28, B28)</f>
        <v>1</v>
      </c>
    </row>
    <row r="29" spans="1:30" x14ac:dyDescent="0.25">
      <c r="A29" s="85">
        <v>46040</v>
      </c>
      <c r="B29" t="s">
        <v>26</v>
      </c>
      <c r="C29">
        <v>19</v>
      </c>
      <c r="D29" s="86">
        <v>1</v>
      </c>
      <c r="E29">
        <v>5</v>
      </c>
      <c r="F29">
        <v>3</v>
      </c>
      <c r="G29">
        <v>19</v>
      </c>
      <c r="H29">
        <v>11</v>
      </c>
      <c r="I29">
        <v>0.6</v>
      </c>
      <c r="J29">
        <v>0.57999999999999996</v>
      </c>
      <c r="K29">
        <v>0</v>
      </c>
      <c r="L29">
        <v>0</v>
      </c>
      <c r="M29">
        <v>0</v>
      </c>
      <c r="N29">
        <v>0</v>
      </c>
      <c r="O29">
        <v>1</v>
      </c>
      <c r="P29">
        <v>1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 s="86">
        <f>AVERAGEIFS($C$2:C29, $B$2:B29, B29)</f>
        <v>13.5</v>
      </c>
      <c r="AB29" s="86">
        <f>AVERAGEIFS($I$2:I29, $B$2:B29, B29)</f>
        <v>0.6</v>
      </c>
      <c r="AC29" s="86">
        <f>AVERAGEIFS($J$2:J29, $B$2:B29, B29)</f>
        <v>0.57499999999999996</v>
      </c>
      <c r="AD29" s="86">
        <f>AVERAGEIFS($D$2:D29, $B$2:B29, B29)</f>
        <v>1</v>
      </c>
    </row>
    <row r="30" spans="1:30" x14ac:dyDescent="0.25">
      <c r="A30" s="85">
        <v>46040</v>
      </c>
      <c r="B30" t="s">
        <v>27</v>
      </c>
      <c r="C30">
        <v>17</v>
      </c>
      <c r="D30" s="86">
        <v>1</v>
      </c>
      <c r="E30">
        <v>5</v>
      </c>
      <c r="F30">
        <v>3</v>
      </c>
      <c r="G30">
        <v>19</v>
      </c>
      <c r="H30">
        <v>11</v>
      </c>
      <c r="I30">
        <v>0.6</v>
      </c>
      <c r="J30">
        <v>0.57999999999999996</v>
      </c>
      <c r="K30">
        <v>0</v>
      </c>
      <c r="L30">
        <v>0</v>
      </c>
      <c r="M30">
        <v>0</v>
      </c>
      <c r="N30">
        <v>0</v>
      </c>
      <c r="O30">
        <v>1</v>
      </c>
      <c r="P30">
        <v>1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 s="86">
        <f>AVERAGEIFS($C$2:C30, $B$2:B30, B30)</f>
        <v>12</v>
      </c>
      <c r="AB30" s="86">
        <f>AVERAGEIFS($I$2:I30, $B$2:B30, B30)</f>
        <v>0.5</v>
      </c>
      <c r="AC30" s="86">
        <f>AVERAGEIFS($J$2:J30, $B$2:B30, B30)</f>
        <v>0.505</v>
      </c>
      <c r="AD30" s="86">
        <f>AVERAGEIFS($D$2:D30, $B$2:B30, B30)</f>
        <v>0.5</v>
      </c>
    </row>
    <row r="31" spans="1:30" x14ac:dyDescent="0.25">
      <c r="A31" s="85">
        <v>46040</v>
      </c>
      <c r="B31" t="s">
        <v>53</v>
      </c>
      <c r="C31">
        <v>11</v>
      </c>
      <c r="D31" s="86">
        <v>1</v>
      </c>
      <c r="E31">
        <v>5</v>
      </c>
      <c r="F31">
        <v>3</v>
      </c>
      <c r="G31">
        <v>19</v>
      </c>
      <c r="H31">
        <v>11</v>
      </c>
      <c r="I31">
        <v>0.6</v>
      </c>
      <c r="J31">
        <v>0.57999999999999996</v>
      </c>
      <c r="K31">
        <v>0</v>
      </c>
      <c r="L31">
        <v>0</v>
      </c>
      <c r="M31">
        <v>0</v>
      </c>
      <c r="N31">
        <v>0</v>
      </c>
      <c r="O31">
        <v>1</v>
      </c>
      <c r="P31">
        <v>1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 s="86">
        <f>AVERAGEIFS($C$2:C31, $B$2:B31, B31)</f>
        <v>18</v>
      </c>
      <c r="AB31" s="86">
        <f>AVERAGEIFS($I$2:I31, $B$2:B31, B31)</f>
        <v>0.6</v>
      </c>
      <c r="AC31" s="86">
        <f>AVERAGEIFS($J$2:J31, $B$2:B31, B31)</f>
        <v>0.57499999999999996</v>
      </c>
      <c r="AD31" s="86">
        <f>AVERAGEIFS($D$2:D31, $B$2:B31, B31)</f>
        <v>1</v>
      </c>
    </row>
    <row r="32" spans="1:30" x14ac:dyDescent="0.25">
      <c r="A32" s="85">
        <v>46040</v>
      </c>
      <c r="B32" t="s">
        <v>18</v>
      </c>
      <c r="C32">
        <v>35</v>
      </c>
      <c r="D32" s="86">
        <v>0</v>
      </c>
      <c r="E32">
        <v>5</v>
      </c>
      <c r="F32">
        <v>2</v>
      </c>
      <c r="G32">
        <v>19</v>
      </c>
      <c r="H32">
        <v>8</v>
      </c>
      <c r="I32">
        <v>0.4</v>
      </c>
      <c r="J32">
        <v>0.42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1</v>
      </c>
      <c r="Y32">
        <v>0</v>
      </c>
      <c r="Z32">
        <v>1</v>
      </c>
      <c r="AA32" s="86">
        <f>AVERAGEIFS($C$2:C32, $B$2:B32, B32)</f>
        <v>29.5</v>
      </c>
      <c r="AB32" s="86">
        <f>AVERAGEIFS($I$2:I32, $B$2:B32, B32)</f>
        <v>0.57499999999999996</v>
      </c>
      <c r="AC32" s="86">
        <f>AVERAGEIFS($J$2:J32, $B$2:B32, B32)</f>
        <v>0.51</v>
      </c>
      <c r="AD32" s="86">
        <f>AVERAGEIFS($D$2:D32, $B$2:B32, B32)</f>
        <v>0.5</v>
      </c>
    </row>
    <row r="33" spans="1:30" x14ac:dyDescent="0.25">
      <c r="A33" s="85">
        <v>46040</v>
      </c>
      <c r="B33" t="s">
        <v>15</v>
      </c>
      <c r="C33">
        <v>33</v>
      </c>
      <c r="D33" s="86">
        <v>0</v>
      </c>
      <c r="E33">
        <v>5</v>
      </c>
      <c r="F33">
        <v>2</v>
      </c>
      <c r="G33">
        <v>19</v>
      </c>
      <c r="H33">
        <v>8</v>
      </c>
      <c r="I33">
        <v>0.4</v>
      </c>
      <c r="J33">
        <v>0.42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1</v>
      </c>
      <c r="Y33">
        <v>0</v>
      </c>
      <c r="Z33">
        <v>1</v>
      </c>
      <c r="AA33" s="86">
        <f>AVERAGEIFS($C$2:C33, $B$2:B33, B33)</f>
        <v>26.5</v>
      </c>
      <c r="AB33" s="86">
        <f>AVERAGEIFS($I$2:I33, $B$2:B33, B33)</f>
        <v>0.57499999999999996</v>
      </c>
      <c r="AC33" s="86">
        <f>AVERAGEIFS($J$2:J33, $B$2:B33, B33)</f>
        <v>0.51</v>
      </c>
      <c r="AD33" s="86">
        <f>AVERAGEIFS($D$2:D33, $B$2:B33, B33)</f>
        <v>0.5</v>
      </c>
    </row>
    <row r="34" spans="1:30" x14ac:dyDescent="0.25">
      <c r="A34" s="85">
        <v>46040</v>
      </c>
      <c r="B34" t="s">
        <v>51</v>
      </c>
      <c r="C34">
        <v>19</v>
      </c>
      <c r="D34" s="86">
        <v>0</v>
      </c>
      <c r="E34">
        <v>5</v>
      </c>
      <c r="F34">
        <v>2</v>
      </c>
      <c r="G34">
        <v>19</v>
      </c>
      <c r="H34">
        <v>8</v>
      </c>
      <c r="I34">
        <v>0.4</v>
      </c>
      <c r="J34">
        <v>0.42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1</v>
      </c>
      <c r="Y34">
        <v>0</v>
      </c>
      <c r="Z34">
        <v>1</v>
      </c>
      <c r="AA34" s="86">
        <f>AVERAGEIFS($C$2:C34, $B$2:B34, B34)</f>
        <v>18.5</v>
      </c>
      <c r="AB34" s="86">
        <f>AVERAGEIFS($I$2:I34, $B$2:B34, B34)</f>
        <v>0.57499999999999996</v>
      </c>
      <c r="AC34" s="86">
        <f>AVERAGEIFS($J$2:J34, $B$2:B34, B34)</f>
        <v>0.51</v>
      </c>
      <c r="AD34" s="86">
        <f>AVERAGEIFS($D$2:D34, $B$2:B34, B34)</f>
        <v>0.5</v>
      </c>
    </row>
    <row r="35" spans="1:30" x14ac:dyDescent="0.25">
      <c r="A35" s="85">
        <v>46040</v>
      </c>
      <c r="B35" t="s">
        <v>37</v>
      </c>
      <c r="C35">
        <v>17</v>
      </c>
      <c r="D35" s="86">
        <v>0</v>
      </c>
      <c r="E35">
        <v>5</v>
      </c>
      <c r="F35">
        <v>2</v>
      </c>
      <c r="G35">
        <v>19</v>
      </c>
      <c r="H35">
        <v>8</v>
      </c>
      <c r="I35">
        <v>0.4</v>
      </c>
      <c r="J35">
        <v>0.42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1</v>
      </c>
      <c r="Y35">
        <v>0</v>
      </c>
      <c r="Z35">
        <v>1</v>
      </c>
      <c r="AA35" s="86">
        <f>AVERAGEIFS($C$2:C35, $B$2:B35, B35)</f>
        <v>19</v>
      </c>
      <c r="AB35" s="86">
        <f>AVERAGEIFS($I$2:I35, $B$2:B35, B35)</f>
        <v>0.57499999999999996</v>
      </c>
      <c r="AC35" s="86">
        <f>AVERAGEIFS($J$2:J35, $B$2:B35, B35)</f>
        <v>0.51</v>
      </c>
      <c r="AD35" s="86">
        <f>AVERAGEIFS($D$2:D35, $B$2:B35, B35)</f>
        <v>0.5</v>
      </c>
    </row>
    <row r="36" spans="1:30" x14ac:dyDescent="0.25">
      <c r="A36" s="85">
        <v>46040</v>
      </c>
      <c r="B36" t="s">
        <v>20</v>
      </c>
      <c r="C36">
        <v>17</v>
      </c>
      <c r="D36" s="86">
        <v>0</v>
      </c>
      <c r="E36">
        <v>5</v>
      </c>
      <c r="F36">
        <v>2</v>
      </c>
      <c r="G36">
        <v>19</v>
      </c>
      <c r="H36">
        <v>8</v>
      </c>
      <c r="I36">
        <v>0.4</v>
      </c>
      <c r="J36">
        <v>0.42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1</v>
      </c>
      <c r="Y36">
        <v>0</v>
      </c>
      <c r="Z36">
        <v>1</v>
      </c>
      <c r="AA36" s="86">
        <f>AVERAGEIFS($C$2:C36, $B$2:B36, B36)</f>
        <v>12</v>
      </c>
      <c r="AB36" s="86">
        <f>AVERAGEIFS($I$2:I36, $B$2:B36, B36)</f>
        <v>0.57499999999999996</v>
      </c>
      <c r="AC36" s="86">
        <f>AVERAGEIFS($J$2:J36, $B$2:B36, B36)</f>
        <v>0.51</v>
      </c>
      <c r="AD36" s="86">
        <f>AVERAGEIFS($D$2:D36, $B$2:B36, B36)</f>
        <v>0.5</v>
      </c>
    </row>
    <row r="37" spans="1:30" x14ac:dyDescent="0.25">
      <c r="A37" s="85">
        <v>46040</v>
      </c>
      <c r="B37" t="s">
        <v>19</v>
      </c>
      <c r="C37">
        <v>16</v>
      </c>
      <c r="D37" s="86">
        <v>0</v>
      </c>
      <c r="E37">
        <v>5</v>
      </c>
      <c r="F37">
        <v>2</v>
      </c>
      <c r="G37">
        <v>19</v>
      </c>
      <c r="H37">
        <v>8</v>
      </c>
      <c r="I37">
        <v>0.4</v>
      </c>
      <c r="J37">
        <v>0.42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1</v>
      </c>
      <c r="Y37">
        <v>0</v>
      </c>
      <c r="Z37">
        <v>1</v>
      </c>
      <c r="AA37" s="86">
        <f>AVERAGEIFS($C$2:C37, $B$2:B37, B37)</f>
        <v>14.5</v>
      </c>
      <c r="AB37" s="86">
        <f>AVERAGEIFS($I$2:I37, $B$2:B37, B37)</f>
        <v>0.57499999999999996</v>
      </c>
      <c r="AC37" s="86">
        <f>AVERAGEIFS($J$2:J37, $B$2:B37, B37)</f>
        <v>0.51</v>
      </c>
      <c r="AD37" s="86">
        <f>AVERAGEIFS($D$2:D37, $B$2:B37, B37)</f>
        <v>0.5</v>
      </c>
    </row>
    <row r="38" spans="1:30" x14ac:dyDescent="0.25">
      <c r="A38" s="85">
        <v>46047</v>
      </c>
      <c r="B38" t="s">
        <v>15</v>
      </c>
      <c r="C38">
        <v>24</v>
      </c>
      <c r="D38" s="86">
        <v>1</v>
      </c>
      <c r="E38">
        <v>3</v>
      </c>
      <c r="F38">
        <v>3</v>
      </c>
      <c r="G38">
        <v>13</v>
      </c>
      <c r="H38">
        <v>9</v>
      </c>
      <c r="I38">
        <v>1</v>
      </c>
      <c r="J38">
        <v>0.69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1</v>
      </c>
      <c r="Y38">
        <v>0</v>
      </c>
      <c r="Z38">
        <v>1</v>
      </c>
      <c r="AA38" s="86">
        <f>AVERAGEIFS($C$2:C38, $B$2:B38, B38)</f>
        <v>25.666666666666668</v>
      </c>
      <c r="AB38" s="86">
        <f>AVERAGEIFS($I$2:I38, $B$2:B38, B38)</f>
        <v>0.71666666666666667</v>
      </c>
      <c r="AC38" s="86">
        <f>AVERAGEIFS($J$2:J38, $B$2:B38, B38)</f>
        <v>0.56999999999999995</v>
      </c>
      <c r="AD38" s="86">
        <f>AVERAGEIFS($D$2:D38, $B$2:B38, B38)</f>
        <v>0.66666666666666663</v>
      </c>
    </row>
    <row r="39" spans="1:30" x14ac:dyDescent="0.25">
      <c r="A39" s="85">
        <v>46047</v>
      </c>
      <c r="B39" t="s">
        <v>17</v>
      </c>
      <c r="C39">
        <v>22</v>
      </c>
      <c r="D39" s="86">
        <v>1</v>
      </c>
      <c r="E39">
        <v>3</v>
      </c>
      <c r="F39">
        <v>3</v>
      </c>
      <c r="G39">
        <v>13</v>
      </c>
      <c r="H39">
        <v>9</v>
      </c>
      <c r="I39">
        <v>1</v>
      </c>
      <c r="J39">
        <v>0.69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1</v>
      </c>
      <c r="Y39">
        <v>0</v>
      </c>
      <c r="Z39">
        <v>1</v>
      </c>
      <c r="AA39" s="86">
        <f>AVERAGEIFS($C$2:C39, $B$2:B39, B39)</f>
        <v>27.5</v>
      </c>
      <c r="AB39" s="86">
        <f>AVERAGEIFS($I$2:I39, $B$2:B39, B39)</f>
        <v>0.7</v>
      </c>
      <c r="AC39" s="86">
        <f>AVERAGEIFS($J$2:J39, $B$2:B39, B39)</f>
        <v>0.55999999999999994</v>
      </c>
      <c r="AD39" s="86">
        <f>AVERAGEIFS($D$2:D39, $B$2:B39, B39)</f>
        <v>0.5</v>
      </c>
    </row>
    <row r="40" spans="1:30" x14ac:dyDescent="0.25">
      <c r="A40" s="85">
        <v>46047</v>
      </c>
      <c r="B40" t="s">
        <v>6</v>
      </c>
      <c r="C40">
        <v>17</v>
      </c>
      <c r="D40" s="86">
        <v>1</v>
      </c>
      <c r="E40">
        <v>3</v>
      </c>
      <c r="F40">
        <v>3</v>
      </c>
      <c r="G40">
        <v>13</v>
      </c>
      <c r="H40">
        <v>9</v>
      </c>
      <c r="I40">
        <v>1</v>
      </c>
      <c r="J40">
        <v>0.69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1</v>
      </c>
      <c r="Y40">
        <v>0</v>
      </c>
      <c r="Z40">
        <v>1</v>
      </c>
      <c r="AA40" s="86">
        <f>AVERAGEIFS($C$2:C40, $B$2:B40, B40)</f>
        <v>17</v>
      </c>
      <c r="AB40" s="86">
        <f>AVERAGEIFS($I$2:I40, $B$2:B40, B40)</f>
        <v>1</v>
      </c>
      <c r="AC40" s="86">
        <f>AVERAGEIFS($J$2:J40, $B$2:B40, B40)</f>
        <v>0.69</v>
      </c>
      <c r="AD40" s="86">
        <f>AVERAGEIFS($D$2:D40, $B$2:B40, B40)</f>
        <v>1</v>
      </c>
    </row>
    <row r="41" spans="1:30" x14ac:dyDescent="0.25">
      <c r="A41" s="85">
        <v>46047</v>
      </c>
      <c r="B41" t="s">
        <v>19</v>
      </c>
      <c r="C41">
        <v>11</v>
      </c>
      <c r="D41" s="86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1</v>
      </c>
      <c r="Y41">
        <v>0</v>
      </c>
      <c r="Z41">
        <v>1</v>
      </c>
      <c r="AA41" s="86">
        <f>AVERAGEIFS($C$2:C41, $B$2:B41, B41)</f>
        <v>13.333333333333334</v>
      </c>
      <c r="AB41" s="86">
        <f>AVERAGEIFS($I$2:I41, $B$2:B41, B41)</f>
        <v>0.71666666666666667</v>
      </c>
      <c r="AC41" s="86">
        <f>AVERAGEIFS($J$2:J41, $B$2:B41, B41)</f>
        <v>0.56999999999999995</v>
      </c>
      <c r="AD41" s="86">
        <f>AVERAGEIFS($D$2:D41, $B$2:B41, B41)</f>
        <v>0.66666666666666663</v>
      </c>
    </row>
    <row r="42" spans="1:30" x14ac:dyDescent="0.25">
      <c r="A42" s="85">
        <v>46047</v>
      </c>
      <c r="B42" t="s">
        <v>51</v>
      </c>
      <c r="C42">
        <v>8</v>
      </c>
      <c r="D42" s="86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1</v>
      </c>
      <c r="Y42">
        <v>0</v>
      </c>
      <c r="Z42">
        <v>1</v>
      </c>
      <c r="AA42" s="86">
        <f>AVERAGEIFS($C$2:C42, $B$2:B42, B42)</f>
        <v>15</v>
      </c>
      <c r="AB42" s="86">
        <f>AVERAGEIFS($I$2:I42, $B$2:B42, B42)</f>
        <v>0.71666666666666667</v>
      </c>
      <c r="AC42" s="86">
        <f>AVERAGEIFS($J$2:J42, $B$2:B42, B42)</f>
        <v>0.56999999999999995</v>
      </c>
      <c r="AD42" s="86">
        <f>AVERAGEIFS($D$2:D42, $B$2:B42, B42)</f>
        <v>0.66666666666666663</v>
      </c>
    </row>
    <row r="43" spans="1:30" x14ac:dyDescent="0.25">
      <c r="A43" s="85">
        <v>46047</v>
      </c>
      <c r="B43" t="s">
        <v>137</v>
      </c>
      <c r="C43">
        <v>7</v>
      </c>
      <c r="D43" s="86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1</v>
      </c>
      <c r="X43">
        <v>1</v>
      </c>
      <c r="Y43">
        <v>0</v>
      </c>
      <c r="Z43">
        <v>1</v>
      </c>
      <c r="AA43" s="86">
        <f>AVERAGEIFS($C$2:C43, $B$2:B43, B43)</f>
        <v>7</v>
      </c>
      <c r="AB43" s="86">
        <f>AVERAGEIFS($I$2:I43, $B$2:B43, B43)</f>
        <v>1</v>
      </c>
      <c r="AC43" s="86">
        <f>AVERAGEIFS($J$2:J43, $B$2:B43, B43)</f>
        <v>0.69</v>
      </c>
      <c r="AD43" s="86">
        <f>AVERAGEIFS($D$2:D43, $B$2:B43, B43)</f>
        <v>1</v>
      </c>
    </row>
    <row r="44" spans="1:30" x14ac:dyDescent="0.25">
      <c r="A44" s="85">
        <v>46047</v>
      </c>
      <c r="B44" t="s">
        <v>13</v>
      </c>
      <c r="C44">
        <v>26</v>
      </c>
      <c r="D44" s="86">
        <v>0</v>
      </c>
      <c r="E44">
        <v>3</v>
      </c>
      <c r="F44">
        <v>0</v>
      </c>
      <c r="G44">
        <v>13</v>
      </c>
      <c r="H44">
        <v>4</v>
      </c>
      <c r="I44">
        <v>0</v>
      </c>
      <c r="J44">
        <v>0.31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 s="86">
        <f>AVERAGEIFS($C$2:C44, $B$2:B44, B44)</f>
        <v>35</v>
      </c>
      <c r="AB44" s="86">
        <f>AVERAGEIFS($I$2:I44, $B$2:B44, B44)</f>
        <v>0.39999999999999997</v>
      </c>
      <c r="AC44" s="86">
        <f>AVERAGEIFS($J$2:J44, $B$2:B44, B44)</f>
        <v>0.48666666666666664</v>
      </c>
      <c r="AD44" s="86">
        <f>AVERAGEIFS($D$2:D44, $B$2:B44, B44)</f>
        <v>0.66666666666666663</v>
      </c>
    </row>
    <row r="45" spans="1:30" x14ac:dyDescent="0.25">
      <c r="A45" s="85">
        <v>46047</v>
      </c>
      <c r="B45" t="s">
        <v>46</v>
      </c>
      <c r="C45">
        <v>17</v>
      </c>
      <c r="D45" s="86">
        <v>0</v>
      </c>
      <c r="E45">
        <v>3</v>
      </c>
      <c r="F45">
        <v>0</v>
      </c>
      <c r="G45">
        <v>13</v>
      </c>
      <c r="H45">
        <v>4</v>
      </c>
      <c r="I45">
        <v>0</v>
      </c>
      <c r="J45">
        <v>0.31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 s="86">
        <f>AVERAGEIFS($C$2:C45, $B$2:B45, B45)</f>
        <v>16.5</v>
      </c>
      <c r="AB45" s="86">
        <f>AVERAGEIFS($I$2:I45, $B$2:B45, B45)</f>
        <v>0.125</v>
      </c>
      <c r="AC45" s="86">
        <f>AVERAGEIFS($J$2:J45, $B$2:B45, B45)</f>
        <v>0.35499999999999998</v>
      </c>
      <c r="AD45" s="86">
        <f>AVERAGEIFS($D$2:D45, $B$2:B45, B45)</f>
        <v>0</v>
      </c>
    </row>
    <row r="46" spans="1:30" x14ac:dyDescent="0.25">
      <c r="A46" s="85">
        <v>46047</v>
      </c>
      <c r="B46" t="s">
        <v>45</v>
      </c>
      <c r="C46">
        <v>10</v>
      </c>
      <c r="D46" s="86">
        <v>0</v>
      </c>
      <c r="E46">
        <v>3</v>
      </c>
      <c r="F46">
        <v>0</v>
      </c>
      <c r="G46">
        <v>13</v>
      </c>
      <c r="H46">
        <v>4</v>
      </c>
      <c r="I46">
        <v>0</v>
      </c>
      <c r="J46">
        <v>0.31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 s="86">
        <f>AVERAGEIFS($C$2:C46, $B$2:B46, B46)</f>
        <v>12</v>
      </c>
      <c r="AB46" s="86">
        <f>AVERAGEIFS($I$2:I46, $B$2:B46, B46)</f>
        <v>0.125</v>
      </c>
      <c r="AC46" s="86">
        <f>AVERAGEIFS($J$2:J46, $B$2:B46, B46)</f>
        <v>0.35499999999999998</v>
      </c>
      <c r="AD46" s="86">
        <f>AVERAGEIFS($D$2:D46, $B$2:B46, B46)</f>
        <v>0</v>
      </c>
    </row>
    <row r="47" spans="1:30" x14ac:dyDescent="0.25">
      <c r="A47" s="85">
        <v>46047</v>
      </c>
      <c r="B47" t="s">
        <v>53</v>
      </c>
      <c r="C47">
        <v>7</v>
      </c>
      <c r="D47" s="86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 s="86">
        <f>AVERAGEIFS($C$2:C47, $B$2:B47, B47)</f>
        <v>14.333333333333334</v>
      </c>
      <c r="AB47" s="86">
        <f>AVERAGEIFS($I$2:I47, $B$2:B47, B47)</f>
        <v>0.39999999999999997</v>
      </c>
      <c r="AC47" s="86">
        <f>AVERAGEIFS($J$2:J47, $B$2:B47, B47)</f>
        <v>0.48666666666666664</v>
      </c>
      <c r="AD47" s="86">
        <f>AVERAGEIFS($D$2:D47, $B$2:B47, B47)</f>
        <v>0.66666666666666663</v>
      </c>
    </row>
    <row r="48" spans="1:30" x14ac:dyDescent="0.25">
      <c r="A48" s="85">
        <v>46047</v>
      </c>
      <c r="B48" t="s">
        <v>35</v>
      </c>
      <c r="C48">
        <v>5</v>
      </c>
      <c r="D48" s="86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 s="86">
        <f>AVERAGEIFS($C$2:C48, $B$2:B48, B48)</f>
        <v>5.5</v>
      </c>
      <c r="AB48" s="86">
        <f>AVERAGEIFS($I$2:I48, $B$2:B48, B48)</f>
        <v>0.125</v>
      </c>
      <c r="AC48" s="86">
        <f>AVERAGEIFS($J$2:J48, $B$2:B48, B48)</f>
        <v>0.35499999999999998</v>
      </c>
      <c r="AD48" s="86">
        <f>AVERAGEIFS($D$2:D48, $B$2:B48, B48)</f>
        <v>0</v>
      </c>
    </row>
    <row r="49" spans="1:30" x14ac:dyDescent="0.25">
      <c r="A49" s="85">
        <v>46047</v>
      </c>
      <c r="B49" t="s">
        <v>52</v>
      </c>
      <c r="C49">
        <v>5</v>
      </c>
      <c r="D49" s="86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 s="86">
        <f>AVERAGEIFS($C$2:C49, $B$2:B49, B49)</f>
        <v>5</v>
      </c>
      <c r="AB49" s="86">
        <f>AVERAGEIFS($I$2:I49, $B$2:B49, B49)</f>
        <v>0</v>
      </c>
      <c r="AC49" s="86">
        <f>AVERAGEIFS($J$2:J49, $B$2:B49, B49)</f>
        <v>0.31</v>
      </c>
      <c r="AD49" s="86">
        <f>AVERAGEIFS($D$2:D49, $B$2:B49, B49)</f>
        <v>0</v>
      </c>
    </row>
    <row r="50" spans="1:30" x14ac:dyDescent="0.25">
      <c r="A50" s="85">
        <v>46047</v>
      </c>
      <c r="B50" t="s">
        <v>14</v>
      </c>
      <c r="C50">
        <v>47</v>
      </c>
      <c r="D50" s="86">
        <v>1</v>
      </c>
      <c r="E50">
        <v>4</v>
      </c>
      <c r="F50">
        <v>3</v>
      </c>
      <c r="G50">
        <v>19</v>
      </c>
      <c r="H50">
        <v>11</v>
      </c>
      <c r="I50">
        <v>0.75</v>
      </c>
      <c r="J50">
        <v>0.57999999999999996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1</v>
      </c>
      <c r="X50">
        <v>1</v>
      </c>
      <c r="Y50">
        <v>0</v>
      </c>
      <c r="Z50">
        <v>1</v>
      </c>
      <c r="AA50" s="86">
        <f>AVERAGEIFS($C$2:C50, $B$2:B50, B50)</f>
        <v>35.5</v>
      </c>
      <c r="AB50" s="86">
        <f>AVERAGEIFS($I$2:I50, $B$2:B50, B50)</f>
        <v>0.5</v>
      </c>
      <c r="AC50" s="86">
        <f>AVERAGEIFS($J$2:J50, $B$2:B50, B50)</f>
        <v>0.49</v>
      </c>
      <c r="AD50" s="86">
        <f>AVERAGEIFS($D$2:D50, $B$2:B50, B50)</f>
        <v>0.5</v>
      </c>
    </row>
    <row r="51" spans="1:30" x14ac:dyDescent="0.25">
      <c r="A51" s="85">
        <v>46047</v>
      </c>
      <c r="B51" t="s">
        <v>1</v>
      </c>
      <c r="C51">
        <v>22</v>
      </c>
      <c r="D51" s="86">
        <v>1</v>
      </c>
      <c r="E51">
        <v>4</v>
      </c>
      <c r="F51">
        <v>3</v>
      </c>
      <c r="G51">
        <v>19</v>
      </c>
      <c r="H51">
        <v>11</v>
      </c>
      <c r="I51">
        <v>0.75</v>
      </c>
      <c r="J51">
        <v>0.57999999999999996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1</v>
      </c>
      <c r="X51">
        <v>1</v>
      </c>
      <c r="Y51">
        <v>0</v>
      </c>
      <c r="Z51">
        <v>1</v>
      </c>
      <c r="AA51" s="86">
        <f>AVERAGEIFS($C$2:C51, $B$2:B51, B51)</f>
        <v>23</v>
      </c>
      <c r="AB51" s="86">
        <f>AVERAGEIFS($I$2:I51, $B$2:B51, B51)</f>
        <v>0.57499999999999996</v>
      </c>
      <c r="AC51" s="86">
        <f>AVERAGEIFS($J$2:J51, $B$2:B51, B51)</f>
        <v>0.505</v>
      </c>
      <c r="AD51" s="86">
        <f>AVERAGEIFS($D$2:D51, $B$2:B51, B51)</f>
        <v>0.5</v>
      </c>
    </row>
    <row r="52" spans="1:30" x14ac:dyDescent="0.25">
      <c r="A52" s="85">
        <v>46047</v>
      </c>
      <c r="B52" t="s">
        <v>5</v>
      </c>
      <c r="C52">
        <v>21</v>
      </c>
      <c r="D52" s="86">
        <v>1</v>
      </c>
      <c r="E52">
        <v>4</v>
      </c>
      <c r="F52">
        <v>3</v>
      </c>
      <c r="G52">
        <v>19</v>
      </c>
      <c r="H52">
        <v>11</v>
      </c>
      <c r="I52">
        <v>0.75</v>
      </c>
      <c r="J52">
        <v>0.57999999999999996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1</v>
      </c>
      <c r="X52">
        <v>1</v>
      </c>
      <c r="Y52">
        <v>0</v>
      </c>
      <c r="Z52">
        <v>1</v>
      </c>
      <c r="AA52" s="86">
        <f>AVERAGEIFS($C$2:C52, $B$2:B52, B52)</f>
        <v>22.5</v>
      </c>
      <c r="AB52" s="86">
        <f>AVERAGEIFS($I$2:I52, $B$2:B52, B52)</f>
        <v>0.5</v>
      </c>
      <c r="AC52" s="86">
        <f>AVERAGEIFS($J$2:J52, $B$2:B52, B52)</f>
        <v>0.49</v>
      </c>
      <c r="AD52" s="86">
        <f>AVERAGEIFS($D$2:D52, $B$2:B52, B52)</f>
        <v>0.5</v>
      </c>
    </row>
    <row r="53" spans="1:30" x14ac:dyDescent="0.25">
      <c r="A53" s="85">
        <v>46047</v>
      </c>
      <c r="B53" t="s">
        <v>28</v>
      </c>
      <c r="C53">
        <v>18</v>
      </c>
      <c r="D53" s="86">
        <v>1</v>
      </c>
      <c r="E53">
        <v>4</v>
      </c>
      <c r="F53">
        <v>3</v>
      </c>
      <c r="G53">
        <v>19</v>
      </c>
      <c r="H53">
        <v>11</v>
      </c>
      <c r="I53">
        <v>0.75</v>
      </c>
      <c r="J53">
        <v>0.57999999999999996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1</v>
      </c>
      <c r="X53">
        <v>1</v>
      </c>
      <c r="Y53">
        <v>0</v>
      </c>
      <c r="Z53">
        <v>1</v>
      </c>
      <c r="AA53" s="86">
        <f>AVERAGEIFS($C$2:C53, $B$2:B53, B53)</f>
        <v>17.5</v>
      </c>
      <c r="AB53" s="86">
        <f>AVERAGEIFS($I$2:I53, $B$2:B53, B53)</f>
        <v>0.57499999999999996</v>
      </c>
      <c r="AC53" s="86">
        <f>AVERAGEIFS($J$2:J53, $B$2:B53, B53)</f>
        <v>0.505</v>
      </c>
      <c r="AD53" s="86">
        <f>AVERAGEIFS($D$2:D53, $B$2:B53, B53)</f>
        <v>0.5</v>
      </c>
    </row>
    <row r="54" spans="1:30" x14ac:dyDescent="0.25">
      <c r="A54" s="85">
        <v>46047</v>
      </c>
      <c r="B54" t="s">
        <v>29</v>
      </c>
      <c r="C54">
        <v>13</v>
      </c>
      <c r="D54" s="86">
        <v>1</v>
      </c>
      <c r="E54">
        <v>4</v>
      </c>
      <c r="F54">
        <v>3</v>
      </c>
      <c r="G54">
        <v>19</v>
      </c>
      <c r="H54">
        <v>11</v>
      </c>
      <c r="I54">
        <v>0.75</v>
      </c>
      <c r="J54">
        <v>0.57999999999999996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1</v>
      </c>
      <c r="X54">
        <v>1</v>
      </c>
      <c r="Y54">
        <v>0</v>
      </c>
      <c r="Z54">
        <v>1</v>
      </c>
      <c r="AA54" s="86">
        <f>AVERAGEIFS($C$2:C54, $B$2:B54, B54)</f>
        <v>10.5</v>
      </c>
      <c r="AB54" s="86">
        <f>AVERAGEIFS($I$2:I54, $B$2:B54, B54)</f>
        <v>0.5</v>
      </c>
      <c r="AC54" s="86">
        <f>AVERAGEIFS($J$2:J54, $B$2:B54, B54)</f>
        <v>0.49</v>
      </c>
      <c r="AD54" s="86">
        <f>AVERAGEIFS($D$2:D54, $B$2:B54, B54)</f>
        <v>0.5</v>
      </c>
    </row>
    <row r="55" spans="1:30" x14ac:dyDescent="0.25">
      <c r="A55" s="85">
        <v>46047</v>
      </c>
      <c r="B55" t="s">
        <v>27</v>
      </c>
      <c r="C55">
        <v>12</v>
      </c>
      <c r="D55" s="86">
        <v>1</v>
      </c>
      <c r="E55">
        <v>4</v>
      </c>
      <c r="F55">
        <v>3</v>
      </c>
      <c r="G55">
        <v>19</v>
      </c>
      <c r="H55">
        <v>11</v>
      </c>
      <c r="I55">
        <v>0.75</v>
      </c>
      <c r="J55">
        <v>0.57999999999999996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1</v>
      </c>
      <c r="X55">
        <v>1</v>
      </c>
      <c r="Y55">
        <v>0</v>
      </c>
      <c r="Z55">
        <v>1</v>
      </c>
      <c r="AA55" s="86">
        <f>AVERAGEIFS($C$2:C55, $B$2:B55, B55)</f>
        <v>12</v>
      </c>
      <c r="AB55" s="86">
        <f>AVERAGEIFS($I$2:I55, $B$2:B55, B55)</f>
        <v>0.58333333333333337</v>
      </c>
      <c r="AC55" s="86">
        <f>AVERAGEIFS($J$2:J55, $B$2:B55, B55)</f>
        <v>0.52999999999999992</v>
      </c>
      <c r="AD55" s="86">
        <f>AVERAGEIFS($D$2:D55, $B$2:B55, B55)</f>
        <v>0.66666666666666663</v>
      </c>
    </row>
    <row r="56" spans="1:30" x14ac:dyDescent="0.25">
      <c r="A56" s="85">
        <v>46047</v>
      </c>
      <c r="B56" t="s">
        <v>18</v>
      </c>
      <c r="C56">
        <v>41</v>
      </c>
      <c r="D56" s="86">
        <v>0</v>
      </c>
      <c r="E56">
        <v>4</v>
      </c>
      <c r="F56">
        <v>1</v>
      </c>
      <c r="G56">
        <v>19</v>
      </c>
      <c r="H56">
        <v>8</v>
      </c>
      <c r="I56">
        <v>0.25</v>
      </c>
      <c r="J56">
        <v>0.42</v>
      </c>
      <c r="K56">
        <v>0</v>
      </c>
      <c r="L56">
        <v>0</v>
      </c>
      <c r="M56">
        <v>0</v>
      </c>
      <c r="N56">
        <v>0</v>
      </c>
      <c r="O56">
        <v>0</v>
      </c>
      <c r="P56">
        <v>1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86">
        <f>AVERAGEIFS($C$2:C56, $B$2:B56, B56)</f>
        <v>33.333333333333336</v>
      </c>
      <c r="AB56" s="86">
        <f>AVERAGEIFS($I$2:I56, $B$2:B56, B56)</f>
        <v>0.46666666666666662</v>
      </c>
      <c r="AC56" s="86">
        <f>AVERAGEIFS($J$2:J56, $B$2:B56, B56)</f>
        <v>0.48</v>
      </c>
      <c r="AD56" s="86">
        <f>AVERAGEIFS($D$2:D56, $B$2:B56, B56)</f>
        <v>0.33333333333333331</v>
      </c>
    </row>
    <row r="57" spans="1:30" x14ac:dyDescent="0.25">
      <c r="A57" s="85">
        <v>46047</v>
      </c>
      <c r="B57" t="s">
        <v>2</v>
      </c>
      <c r="C57">
        <v>26</v>
      </c>
      <c r="D57" s="86">
        <v>0</v>
      </c>
      <c r="E57">
        <v>4</v>
      </c>
      <c r="F57">
        <v>1</v>
      </c>
      <c r="G57">
        <v>19</v>
      </c>
      <c r="H57">
        <v>8</v>
      </c>
      <c r="I57">
        <v>0.25</v>
      </c>
      <c r="J57">
        <v>0.42</v>
      </c>
      <c r="K57">
        <v>0</v>
      </c>
      <c r="L57">
        <v>0</v>
      </c>
      <c r="M57">
        <v>0</v>
      </c>
      <c r="N57">
        <v>0</v>
      </c>
      <c r="O57">
        <v>0</v>
      </c>
      <c r="P57">
        <v>1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86">
        <f>AVERAGEIFS($C$2:C57, $B$2:B57, B57)</f>
        <v>29</v>
      </c>
      <c r="AB57" s="86">
        <f>AVERAGEIFS($I$2:I57, $B$2:B57, B57)</f>
        <v>0.32500000000000001</v>
      </c>
      <c r="AC57" s="86">
        <f>AVERAGEIFS($J$2:J57, $B$2:B57, B57)</f>
        <v>0.42499999999999999</v>
      </c>
      <c r="AD57" s="86">
        <f>AVERAGEIFS($D$2:D57, $B$2:B57, B57)</f>
        <v>0</v>
      </c>
    </row>
    <row r="58" spans="1:30" x14ac:dyDescent="0.25">
      <c r="A58" s="85">
        <v>46047</v>
      </c>
      <c r="B58" t="s">
        <v>37</v>
      </c>
      <c r="C58">
        <v>25</v>
      </c>
      <c r="D58" s="86">
        <v>0</v>
      </c>
      <c r="E58">
        <v>4</v>
      </c>
      <c r="F58">
        <v>1</v>
      </c>
      <c r="G58">
        <v>19</v>
      </c>
      <c r="H58">
        <v>8</v>
      </c>
      <c r="I58">
        <v>0.25</v>
      </c>
      <c r="J58">
        <v>0.42</v>
      </c>
      <c r="K58">
        <v>0</v>
      </c>
      <c r="L58">
        <v>0</v>
      </c>
      <c r="M58">
        <v>0</v>
      </c>
      <c r="N58">
        <v>0</v>
      </c>
      <c r="O58">
        <v>0</v>
      </c>
      <c r="P58">
        <v>1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 s="86">
        <f>AVERAGEIFS($C$2:C58, $B$2:B58, B58)</f>
        <v>21</v>
      </c>
      <c r="AB58" s="86">
        <f>AVERAGEIFS($I$2:I58, $B$2:B58, B58)</f>
        <v>0.46666666666666662</v>
      </c>
      <c r="AC58" s="86">
        <f>AVERAGEIFS($J$2:J58, $B$2:B58, B58)</f>
        <v>0.48</v>
      </c>
      <c r="AD58" s="86">
        <f>AVERAGEIFS($D$2:D58, $B$2:B58, B58)</f>
        <v>0.33333333333333331</v>
      </c>
    </row>
    <row r="59" spans="1:30" x14ac:dyDescent="0.25">
      <c r="A59" s="85">
        <v>46047</v>
      </c>
      <c r="B59" t="s">
        <v>26</v>
      </c>
      <c r="C59">
        <v>16</v>
      </c>
      <c r="D59" s="86">
        <v>0</v>
      </c>
      <c r="E59">
        <v>4</v>
      </c>
      <c r="F59">
        <v>1</v>
      </c>
      <c r="G59">
        <v>19</v>
      </c>
      <c r="H59">
        <v>8</v>
      </c>
      <c r="I59">
        <v>0.25</v>
      </c>
      <c r="J59">
        <v>0.42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 s="86">
        <f>AVERAGEIFS($C$2:C59, $B$2:B59, B59)</f>
        <v>14.333333333333334</v>
      </c>
      <c r="AB59" s="86">
        <f>AVERAGEIFS($I$2:I59, $B$2:B59, B59)</f>
        <v>0.48333333333333334</v>
      </c>
      <c r="AC59" s="86">
        <f>AVERAGEIFS($J$2:J59, $B$2:B59, B59)</f>
        <v>0.52333333333333332</v>
      </c>
      <c r="AD59" s="86">
        <f>AVERAGEIFS($D$2:D59, $B$2:B59, B59)</f>
        <v>0.66666666666666663</v>
      </c>
    </row>
    <row r="60" spans="1:30" x14ac:dyDescent="0.25">
      <c r="A60" s="85">
        <v>46047</v>
      </c>
      <c r="B60" t="s">
        <v>20</v>
      </c>
      <c r="C60">
        <v>14</v>
      </c>
      <c r="D60" s="86">
        <v>0</v>
      </c>
      <c r="E60">
        <v>4</v>
      </c>
      <c r="F60">
        <v>1</v>
      </c>
      <c r="G60">
        <v>19</v>
      </c>
      <c r="H60">
        <v>8</v>
      </c>
      <c r="I60">
        <v>0.25</v>
      </c>
      <c r="J60">
        <v>0.42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 s="86">
        <f>AVERAGEIFS($C$2:C60, $B$2:B60, B60)</f>
        <v>12.666666666666666</v>
      </c>
      <c r="AB60" s="86">
        <f>AVERAGEIFS($I$2:I60, $B$2:B60, B60)</f>
        <v>0.46666666666666662</v>
      </c>
      <c r="AC60" s="86">
        <f>AVERAGEIFS($J$2:J60, $B$2:B60, B60)</f>
        <v>0.48</v>
      </c>
      <c r="AD60" s="86">
        <f>AVERAGEIFS($D$2:D60, $B$2:B60, B60)</f>
        <v>0.33333333333333331</v>
      </c>
    </row>
    <row r="61" spans="1:30" x14ac:dyDescent="0.25">
      <c r="A61" s="85">
        <v>46047</v>
      </c>
      <c r="B61" t="s">
        <v>50</v>
      </c>
      <c r="C61">
        <v>14</v>
      </c>
      <c r="D61" s="86">
        <v>0</v>
      </c>
      <c r="E61">
        <v>4</v>
      </c>
      <c r="F61">
        <v>1</v>
      </c>
      <c r="G61">
        <v>19</v>
      </c>
      <c r="H61">
        <v>8</v>
      </c>
      <c r="I61">
        <v>0.25</v>
      </c>
      <c r="J61">
        <v>0.42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 s="86">
        <f>AVERAGEIFS($C$2:C61, $B$2:B61, B61)</f>
        <v>14</v>
      </c>
      <c r="AB61" s="86">
        <f>AVERAGEIFS($I$2:I61, $B$2:B61, B61)</f>
        <v>0.25</v>
      </c>
      <c r="AC61" s="86">
        <f>AVERAGEIFS($J$2:J61, $B$2:B61, B61)</f>
        <v>0.42</v>
      </c>
      <c r="AD61" s="86">
        <f>AVERAGEIFS($D$2:D61, $B$2:B61, B61)</f>
        <v>0</v>
      </c>
    </row>
    <row r="62" spans="1:30" x14ac:dyDescent="0.25">
      <c r="A62" s="85">
        <v>46055</v>
      </c>
      <c r="B62" t="s">
        <v>14</v>
      </c>
      <c r="C62">
        <v>56</v>
      </c>
      <c r="D62" s="86">
        <v>1</v>
      </c>
      <c r="E62">
        <v>5</v>
      </c>
      <c r="F62">
        <v>3</v>
      </c>
      <c r="G62">
        <v>24</v>
      </c>
      <c r="H62">
        <v>13</v>
      </c>
      <c r="I62">
        <v>0.6</v>
      </c>
      <c r="J62">
        <v>0.54</v>
      </c>
      <c r="K62">
        <v>0</v>
      </c>
      <c r="L62">
        <v>0</v>
      </c>
      <c r="M62">
        <v>1</v>
      </c>
      <c r="N62">
        <v>0</v>
      </c>
      <c r="O62">
        <v>1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42.333333333333336</v>
      </c>
      <c r="AB62" s="86">
        <f>AVERAGEIFS($I$2:I62, $B$2:B62, B62)</f>
        <v>0.53333333333333333</v>
      </c>
      <c r="AC62" s="86">
        <f>AVERAGEIFS($J$2:J62, $B$2:B62, B62)</f>
        <v>0.50666666666666671</v>
      </c>
      <c r="AD62" s="86">
        <f>AVERAGEIFS($D$2:D62, $B$2:B62, B62)</f>
        <v>0.66666666666666663</v>
      </c>
    </row>
    <row r="63" spans="1:30" x14ac:dyDescent="0.25">
      <c r="A63" s="85">
        <v>46055</v>
      </c>
      <c r="B63" t="s">
        <v>1</v>
      </c>
      <c r="C63">
        <v>33</v>
      </c>
      <c r="D63" s="86">
        <v>1</v>
      </c>
      <c r="E63">
        <v>5</v>
      </c>
      <c r="F63">
        <v>3</v>
      </c>
      <c r="G63">
        <v>24</v>
      </c>
      <c r="H63">
        <v>13</v>
      </c>
      <c r="I63">
        <v>0.6</v>
      </c>
      <c r="J63">
        <v>0.54</v>
      </c>
      <c r="K63">
        <v>0</v>
      </c>
      <c r="L63">
        <v>0</v>
      </c>
      <c r="M63">
        <v>1</v>
      </c>
      <c r="N63">
        <v>0</v>
      </c>
      <c r="O63">
        <v>1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26.333333333333332</v>
      </c>
      <c r="AB63" s="86">
        <f>AVERAGEIFS($I$2:I63, $B$2:B63, B63)</f>
        <v>0.58333333333333337</v>
      </c>
      <c r="AC63" s="86">
        <f>AVERAGEIFS($J$2:J63, $B$2:B63, B63)</f>
        <v>0.51666666666666672</v>
      </c>
      <c r="AD63" s="86">
        <f>AVERAGEIFS($D$2:D63, $B$2:B63, B63)</f>
        <v>0.66666666666666663</v>
      </c>
    </row>
    <row r="64" spans="1:30" x14ac:dyDescent="0.25">
      <c r="A64" s="85">
        <v>46055</v>
      </c>
      <c r="B64" t="s">
        <v>5</v>
      </c>
      <c r="C64">
        <v>33</v>
      </c>
      <c r="D64" s="86">
        <v>1</v>
      </c>
      <c r="E64">
        <v>5</v>
      </c>
      <c r="F64">
        <v>3</v>
      </c>
      <c r="G64">
        <v>24</v>
      </c>
      <c r="H64">
        <v>13</v>
      </c>
      <c r="I64">
        <v>0.6</v>
      </c>
      <c r="J64">
        <v>0.54</v>
      </c>
      <c r="K64">
        <v>0</v>
      </c>
      <c r="L64">
        <v>0</v>
      </c>
      <c r="M64">
        <v>1</v>
      </c>
      <c r="N64">
        <v>0</v>
      </c>
      <c r="O64">
        <v>1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26</v>
      </c>
      <c r="AB64" s="86">
        <f>AVERAGEIFS($I$2:I64, $B$2:B64, B64)</f>
        <v>0.53333333333333333</v>
      </c>
      <c r="AC64" s="86">
        <f>AVERAGEIFS($J$2:J64, $B$2:B64, B64)</f>
        <v>0.50666666666666671</v>
      </c>
      <c r="AD64" s="86">
        <f>AVERAGEIFS($D$2:D64, $B$2:B64, B64)</f>
        <v>0.66666666666666663</v>
      </c>
    </row>
    <row r="65" spans="1:30" x14ac:dyDescent="0.25">
      <c r="A65" s="85">
        <v>46055</v>
      </c>
      <c r="B65" t="s">
        <v>27</v>
      </c>
      <c r="C65">
        <v>24</v>
      </c>
      <c r="D65" s="86">
        <v>1</v>
      </c>
      <c r="E65">
        <v>5</v>
      </c>
      <c r="F65">
        <v>3</v>
      </c>
      <c r="G65">
        <v>24</v>
      </c>
      <c r="H65">
        <v>13</v>
      </c>
      <c r="I65">
        <v>0.6</v>
      </c>
      <c r="J65">
        <v>0.54</v>
      </c>
      <c r="K65">
        <v>0</v>
      </c>
      <c r="L65">
        <v>0</v>
      </c>
      <c r="M65">
        <v>1</v>
      </c>
      <c r="N65">
        <v>0</v>
      </c>
      <c r="O65">
        <v>1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0</v>
      </c>
      <c r="AA65" s="86">
        <f>AVERAGEIFS($C$2:C65, $B$2:B65, B65)</f>
        <v>15</v>
      </c>
      <c r="AB65" s="86">
        <f>AVERAGEIFS($I$2:I65, $B$2:B65, B65)</f>
        <v>0.58750000000000002</v>
      </c>
      <c r="AC65" s="86">
        <f>AVERAGEIFS($J$2:J65, $B$2:B65, B65)</f>
        <v>0.53249999999999997</v>
      </c>
      <c r="AD65" s="86">
        <f>AVERAGEIFS($D$2:D65, $B$2:B65, B65)</f>
        <v>0.75</v>
      </c>
    </row>
    <row r="66" spans="1:30" x14ac:dyDescent="0.25">
      <c r="A66" s="85">
        <v>46055</v>
      </c>
      <c r="B66" t="s">
        <v>28</v>
      </c>
      <c r="C66">
        <v>23</v>
      </c>
      <c r="D66" s="86">
        <v>1</v>
      </c>
      <c r="E66">
        <v>5</v>
      </c>
      <c r="F66">
        <v>3</v>
      </c>
      <c r="G66">
        <v>24</v>
      </c>
      <c r="H66">
        <v>13</v>
      </c>
      <c r="I66">
        <v>0.6</v>
      </c>
      <c r="J66">
        <v>0.54</v>
      </c>
      <c r="K66">
        <v>0</v>
      </c>
      <c r="L66">
        <v>0</v>
      </c>
      <c r="M66">
        <v>1</v>
      </c>
      <c r="N66">
        <v>0</v>
      </c>
      <c r="O66">
        <v>1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0</v>
      </c>
      <c r="AA66" s="86">
        <f>AVERAGEIFS($C$2:C66, $B$2:B66, B66)</f>
        <v>19.333333333333332</v>
      </c>
      <c r="AB66" s="86">
        <f>AVERAGEIFS($I$2:I66, $B$2:B66, B66)</f>
        <v>0.58333333333333337</v>
      </c>
      <c r="AC66" s="86">
        <f>AVERAGEIFS($J$2:J66, $B$2:B66, B66)</f>
        <v>0.51666666666666672</v>
      </c>
      <c r="AD66" s="86">
        <f>AVERAGEIFS($D$2:D66, $B$2:B66, B66)</f>
        <v>0.66666666666666663</v>
      </c>
    </row>
    <row r="67" spans="1:30" x14ac:dyDescent="0.25">
      <c r="A67" s="85">
        <v>46055</v>
      </c>
      <c r="B67" t="s">
        <v>29</v>
      </c>
      <c r="C67">
        <v>21</v>
      </c>
      <c r="D67" s="86">
        <v>1</v>
      </c>
      <c r="E67">
        <v>5</v>
      </c>
      <c r="F67">
        <v>3</v>
      </c>
      <c r="G67">
        <v>24</v>
      </c>
      <c r="H67">
        <v>13</v>
      </c>
      <c r="I67">
        <v>0.6</v>
      </c>
      <c r="J67">
        <v>0.54</v>
      </c>
      <c r="K67">
        <v>0</v>
      </c>
      <c r="L67">
        <v>0</v>
      </c>
      <c r="M67">
        <v>1</v>
      </c>
      <c r="N67">
        <v>0</v>
      </c>
      <c r="O67">
        <v>1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0</v>
      </c>
      <c r="AA67" s="86">
        <f>AVERAGEIFS($C$2:C67, $B$2:B67, B67)</f>
        <v>14</v>
      </c>
      <c r="AB67" s="86">
        <f>AVERAGEIFS($I$2:I67, $B$2:B67, B67)</f>
        <v>0.53333333333333333</v>
      </c>
      <c r="AC67" s="86">
        <f>AVERAGEIFS($J$2:J67, $B$2:B67, B67)</f>
        <v>0.50666666666666671</v>
      </c>
      <c r="AD67" s="86">
        <f>AVERAGEIFS($D$2:D67, $B$2:B67, B67)</f>
        <v>0.66666666666666663</v>
      </c>
    </row>
    <row r="68" spans="1:30" x14ac:dyDescent="0.25">
      <c r="A68" s="85">
        <v>46055</v>
      </c>
      <c r="B68" t="s">
        <v>15</v>
      </c>
      <c r="C68">
        <v>55</v>
      </c>
      <c r="D68" s="86">
        <v>0</v>
      </c>
      <c r="E68">
        <v>5</v>
      </c>
      <c r="F68">
        <v>2</v>
      </c>
      <c r="G68">
        <v>24</v>
      </c>
      <c r="H68">
        <v>11</v>
      </c>
      <c r="I68">
        <v>0.4</v>
      </c>
      <c r="J68">
        <v>0.46</v>
      </c>
      <c r="K68">
        <v>0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1</v>
      </c>
      <c r="X68">
        <v>0</v>
      </c>
      <c r="Y68">
        <v>0</v>
      </c>
      <c r="Z68">
        <v>0</v>
      </c>
      <c r="AA68" s="86">
        <f>AVERAGEIFS($C$2:C68, $B$2:B68, B68)</f>
        <v>33</v>
      </c>
      <c r="AB68" s="86">
        <f>AVERAGEIFS($I$2:I68, $B$2:B68, B68)</f>
        <v>0.63749999999999996</v>
      </c>
      <c r="AC68" s="86">
        <f>AVERAGEIFS($J$2:J68, $B$2:B68, B68)</f>
        <v>0.54249999999999998</v>
      </c>
      <c r="AD68" s="86">
        <f>AVERAGEIFS($D$2:D68, $B$2:B68, B68)</f>
        <v>0.5</v>
      </c>
    </row>
    <row r="69" spans="1:30" x14ac:dyDescent="0.25">
      <c r="A69" s="85">
        <v>46055</v>
      </c>
      <c r="B69" t="s">
        <v>17</v>
      </c>
      <c r="C69">
        <v>36</v>
      </c>
      <c r="D69" s="86">
        <v>0</v>
      </c>
      <c r="E69">
        <v>5</v>
      </c>
      <c r="F69">
        <v>2</v>
      </c>
      <c r="G69">
        <v>24</v>
      </c>
      <c r="H69">
        <v>11</v>
      </c>
      <c r="I69">
        <v>0.4</v>
      </c>
      <c r="J69">
        <v>0.46</v>
      </c>
      <c r="K69">
        <v>0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1</v>
      </c>
      <c r="X69">
        <v>0</v>
      </c>
      <c r="Y69">
        <v>0</v>
      </c>
      <c r="Z69">
        <v>0</v>
      </c>
      <c r="AA69" s="86">
        <f>AVERAGEIFS($C$2:C69, $B$2:B69, B69)</f>
        <v>30.333333333333332</v>
      </c>
      <c r="AB69" s="86">
        <f>AVERAGEIFS($I$2:I69, $B$2:B69, B69)</f>
        <v>0.6</v>
      </c>
      <c r="AC69" s="86">
        <f>AVERAGEIFS($J$2:J69, $B$2:B69, B69)</f>
        <v>0.52666666666666662</v>
      </c>
      <c r="AD69" s="86">
        <f>AVERAGEIFS($D$2:D69, $B$2:B69, B69)</f>
        <v>0.33333333333333331</v>
      </c>
    </row>
    <row r="70" spans="1:30" x14ac:dyDescent="0.25">
      <c r="A70" s="85">
        <v>46055</v>
      </c>
      <c r="B70" t="s">
        <v>6</v>
      </c>
      <c r="C70">
        <v>33</v>
      </c>
      <c r="D70" s="86">
        <v>0</v>
      </c>
      <c r="E70">
        <v>5</v>
      </c>
      <c r="F70">
        <v>2</v>
      </c>
      <c r="G70">
        <v>24</v>
      </c>
      <c r="H70">
        <v>11</v>
      </c>
      <c r="I70">
        <v>0.4</v>
      </c>
      <c r="J70">
        <v>0.46</v>
      </c>
      <c r="K70">
        <v>0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1</v>
      </c>
      <c r="X70">
        <v>0</v>
      </c>
      <c r="Y70">
        <v>0</v>
      </c>
      <c r="Z70">
        <v>0</v>
      </c>
      <c r="AA70" s="86">
        <f>AVERAGEIFS($C$2:C70, $B$2:B70, B70)</f>
        <v>25</v>
      </c>
      <c r="AB70" s="86">
        <f>AVERAGEIFS($I$2:I70, $B$2:B70, B70)</f>
        <v>0.7</v>
      </c>
      <c r="AC70" s="86">
        <f>AVERAGEIFS($J$2:J70, $B$2:B70, B70)</f>
        <v>0.57499999999999996</v>
      </c>
      <c r="AD70" s="86">
        <f>AVERAGEIFS($D$2:D70, $B$2:B70, B70)</f>
        <v>0.5</v>
      </c>
    </row>
    <row r="71" spans="1:30" x14ac:dyDescent="0.25">
      <c r="A71" s="85">
        <v>46055</v>
      </c>
      <c r="B71" t="s">
        <v>20</v>
      </c>
      <c r="C71">
        <v>28</v>
      </c>
      <c r="D71" s="86">
        <v>0</v>
      </c>
      <c r="E71">
        <v>5</v>
      </c>
      <c r="F71">
        <v>2</v>
      </c>
      <c r="G71">
        <v>24</v>
      </c>
      <c r="H71">
        <v>11</v>
      </c>
      <c r="I71">
        <v>0.4</v>
      </c>
      <c r="J71">
        <v>0.46</v>
      </c>
      <c r="K71">
        <v>0</v>
      </c>
      <c r="L71">
        <v>0</v>
      </c>
      <c r="M71">
        <v>0</v>
      </c>
      <c r="N71">
        <v>0</v>
      </c>
      <c r="O71">
        <v>0</v>
      </c>
      <c r="P71">
        <v>1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1</v>
      </c>
      <c r="X71">
        <v>0</v>
      </c>
      <c r="Y71">
        <v>0</v>
      </c>
      <c r="Z71">
        <v>0</v>
      </c>
      <c r="AA71" s="86">
        <f>AVERAGEIFS($C$2:C71, $B$2:B71, B71)</f>
        <v>16.5</v>
      </c>
      <c r="AB71" s="86">
        <f>AVERAGEIFS($I$2:I71, $B$2:B71, B71)</f>
        <v>0.44999999999999996</v>
      </c>
      <c r="AC71" s="86">
        <f>AVERAGEIFS($J$2:J71, $B$2:B71, B71)</f>
        <v>0.47499999999999998</v>
      </c>
      <c r="AD71" s="86">
        <f>AVERAGEIFS($D$2:D71, $B$2:B71, B71)</f>
        <v>0.25</v>
      </c>
    </row>
    <row r="72" spans="1:30" x14ac:dyDescent="0.25">
      <c r="A72" s="85">
        <v>46055</v>
      </c>
      <c r="B72" t="s">
        <v>19</v>
      </c>
      <c r="C72">
        <v>26</v>
      </c>
      <c r="D72" s="86">
        <v>0</v>
      </c>
      <c r="E72">
        <v>5</v>
      </c>
      <c r="F72">
        <v>2</v>
      </c>
      <c r="G72">
        <v>24</v>
      </c>
      <c r="H72">
        <v>11</v>
      </c>
      <c r="I72">
        <v>0.4</v>
      </c>
      <c r="J72">
        <v>0.46</v>
      </c>
      <c r="K72">
        <v>0</v>
      </c>
      <c r="L72">
        <v>0</v>
      </c>
      <c r="M72">
        <v>0</v>
      </c>
      <c r="N72">
        <v>0</v>
      </c>
      <c r="O72">
        <v>0</v>
      </c>
      <c r="P72">
        <v>1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1</v>
      </c>
      <c r="X72">
        <v>0</v>
      </c>
      <c r="Y72">
        <v>0</v>
      </c>
      <c r="Z72">
        <v>0</v>
      </c>
      <c r="AA72" s="86">
        <f>AVERAGEIFS($C$2:C72, $B$2:B72, B72)</f>
        <v>16.5</v>
      </c>
      <c r="AB72" s="86">
        <f>AVERAGEIFS($I$2:I72, $B$2:B72, B72)</f>
        <v>0.63749999999999996</v>
      </c>
      <c r="AC72" s="86">
        <f>AVERAGEIFS($J$2:J72, $B$2:B72, B72)</f>
        <v>0.54249999999999998</v>
      </c>
      <c r="AD72" s="86">
        <f>AVERAGEIFS($D$2:D72, $B$2:B72, B72)</f>
        <v>0.5</v>
      </c>
    </row>
    <row r="73" spans="1:30" x14ac:dyDescent="0.25">
      <c r="A73" s="85">
        <v>46055</v>
      </c>
      <c r="B73" t="s">
        <v>137</v>
      </c>
      <c r="C73">
        <v>13</v>
      </c>
      <c r="D73" s="86">
        <v>0</v>
      </c>
      <c r="E73">
        <v>5</v>
      </c>
      <c r="F73">
        <v>2</v>
      </c>
      <c r="G73">
        <v>24</v>
      </c>
      <c r="H73">
        <v>11</v>
      </c>
      <c r="I73">
        <v>0.4</v>
      </c>
      <c r="J73">
        <v>0.46</v>
      </c>
      <c r="K73">
        <v>0</v>
      </c>
      <c r="L73">
        <v>0</v>
      </c>
      <c r="M73">
        <v>0</v>
      </c>
      <c r="N73">
        <v>0</v>
      </c>
      <c r="O73">
        <v>0</v>
      </c>
      <c r="P73">
        <v>1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1</v>
      </c>
      <c r="X73">
        <v>0</v>
      </c>
      <c r="Y73">
        <v>0</v>
      </c>
      <c r="Z73">
        <v>0</v>
      </c>
      <c r="AA73" s="86">
        <f>AVERAGEIFS($C$2:C73, $B$2:B73, B73)</f>
        <v>10</v>
      </c>
      <c r="AB73" s="86">
        <f>AVERAGEIFS($I$2:I73, $B$2:B73, B73)</f>
        <v>0.7</v>
      </c>
      <c r="AC73" s="86">
        <f>AVERAGEIFS($J$2:J73, $B$2:B73, B73)</f>
        <v>0.57499999999999996</v>
      </c>
      <c r="AD73" s="86">
        <f>AVERAGEIFS($D$2:D73, $B$2:B73, B73)</f>
        <v>0.5</v>
      </c>
    </row>
    <row r="74" spans="1:30" x14ac:dyDescent="0.25">
      <c r="A74" s="85">
        <v>46074</v>
      </c>
      <c r="B74" t="s">
        <v>1</v>
      </c>
      <c r="C74">
        <v>32</v>
      </c>
      <c r="D74" s="86">
        <v>1</v>
      </c>
      <c r="E74">
        <v>4</v>
      </c>
      <c r="F74">
        <v>3</v>
      </c>
      <c r="G74">
        <v>18</v>
      </c>
      <c r="H74">
        <v>10</v>
      </c>
      <c r="I74">
        <v>0.75</v>
      </c>
      <c r="J74">
        <v>0.56000000000000005</v>
      </c>
      <c r="K74">
        <v>0</v>
      </c>
      <c r="L74">
        <v>1</v>
      </c>
      <c r="M74">
        <v>1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1</v>
      </c>
      <c r="Z74">
        <v>0</v>
      </c>
      <c r="AA74" s="86">
        <f>AVERAGEIFS($C$2:C74, $B$2:B74, B74)</f>
        <v>27.75</v>
      </c>
      <c r="AB74" s="86">
        <f>AVERAGEIFS($I$2:I74, $B$2:B74, B74)</f>
        <v>0.625</v>
      </c>
      <c r="AC74" s="86">
        <f>AVERAGEIFS($J$2:J74, $B$2:B74, B74)</f>
        <v>0.52750000000000008</v>
      </c>
      <c r="AD74" s="86">
        <f>AVERAGEIFS($D$2:D74, $B$2:B74, B74)</f>
        <v>0.75</v>
      </c>
    </row>
    <row r="75" spans="1:30" x14ac:dyDescent="0.25">
      <c r="A75" s="85">
        <v>46074</v>
      </c>
      <c r="B75" t="s">
        <v>2</v>
      </c>
      <c r="C75">
        <v>32</v>
      </c>
      <c r="D75" s="86">
        <v>1</v>
      </c>
      <c r="E75">
        <v>4</v>
      </c>
      <c r="F75">
        <v>3</v>
      </c>
      <c r="G75">
        <v>18</v>
      </c>
      <c r="H75">
        <v>10</v>
      </c>
      <c r="I75">
        <v>0.75</v>
      </c>
      <c r="J75">
        <v>0.56000000000000005</v>
      </c>
      <c r="K75">
        <v>0</v>
      </c>
      <c r="L75">
        <v>1</v>
      </c>
      <c r="M75">
        <v>1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1</v>
      </c>
      <c r="Z75">
        <v>0</v>
      </c>
      <c r="AA75" s="86">
        <f>AVERAGEIFS($C$2:C75, $B$2:B75, B75)</f>
        <v>30</v>
      </c>
      <c r="AB75" s="86">
        <f>AVERAGEIFS($I$2:I75, $B$2:B75, B75)</f>
        <v>0.46666666666666662</v>
      </c>
      <c r="AC75" s="86">
        <f>AVERAGEIFS($J$2:J75, $B$2:B75, B75)</f>
        <v>0.47000000000000003</v>
      </c>
      <c r="AD75" s="86">
        <f>AVERAGEIFS($D$2:D75, $B$2:B75, B75)</f>
        <v>0.33333333333333331</v>
      </c>
    </row>
    <row r="76" spans="1:30" x14ac:dyDescent="0.25">
      <c r="A76" s="85">
        <v>46074</v>
      </c>
      <c r="B76" t="s">
        <v>3</v>
      </c>
      <c r="C76">
        <v>29</v>
      </c>
      <c r="D76" s="86">
        <v>1</v>
      </c>
      <c r="E76">
        <v>4</v>
      </c>
      <c r="F76">
        <v>3</v>
      </c>
      <c r="G76">
        <v>18</v>
      </c>
      <c r="H76">
        <v>10</v>
      </c>
      <c r="I76">
        <v>0.75</v>
      </c>
      <c r="J76">
        <v>0.56000000000000005</v>
      </c>
      <c r="K76">
        <v>0</v>
      </c>
      <c r="L76">
        <v>1</v>
      </c>
      <c r="M76">
        <v>1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1</v>
      </c>
      <c r="Z76">
        <v>0</v>
      </c>
      <c r="AA76" s="86">
        <f>AVERAGEIFS($C$2:C76, $B$2:B76, B76)</f>
        <v>33</v>
      </c>
      <c r="AB76" s="86">
        <f>AVERAGEIFS($I$2:I76, $B$2:B76, B76)</f>
        <v>0.65</v>
      </c>
      <c r="AC76" s="86">
        <f>AVERAGEIFS($J$2:J76, $B$2:B76, B76)</f>
        <v>0.56999999999999995</v>
      </c>
      <c r="AD76" s="86">
        <f>AVERAGEIFS($D$2:D76, $B$2:B76, B76)</f>
        <v>1</v>
      </c>
    </row>
    <row r="77" spans="1:30" x14ac:dyDescent="0.25">
      <c r="A77" s="85">
        <v>46074</v>
      </c>
      <c r="B77" t="s">
        <v>4</v>
      </c>
      <c r="C77">
        <v>24</v>
      </c>
      <c r="D77" s="86">
        <v>1</v>
      </c>
      <c r="E77">
        <v>4</v>
      </c>
      <c r="F77">
        <v>3</v>
      </c>
      <c r="G77">
        <v>18</v>
      </c>
      <c r="H77">
        <v>10</v>
      </c>
      <c r="I77">
        <v>0.75</v>
      </c>
      <c r="J77">
        <v>0.56000000000000005</v>
      </c>
      <c r="K77">
        <v>0</v>
      </c>
      <c r="L77">
        <v>1</v>
      </c>
      <c r="M77">
        <v>1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 s="86">
        <f>AVERAGEIFS($C$2:C77, $B$2:B77, B77)</f>
        <v>24</v>
      </c>
      <c r="AB77" s="86">
        <f>AVERAGEIFS($I$2:I77, $B$2:B77, B77)</f>
        <v>0.75</v>
      </c>
      <c r="AC77" s="86">
        <f>AVERAGEIFS($J$2:J77, $B$2:B77, B77)</f>
        <v>0.56000000000000005</v>
      </c>
      <c r="AD77" s="86">
        <f>AVERAGEIFS($D$2:D77, $B$2:B77, B77)</f>
        <v>1</v>
      </c>
    </row>
    <row r="78" spans="1:30" x14ac:dyDescent="0.25">
      <c r="A78" s="85">
        <v>46074</v>
      </c>
      <c r="B78" t="s">
        <v>5</v>
      </c>
      <c r="C78">
        <v>23</v>
      </c>
      <c r="D78" s="86">
        <v>1</v>
      </c>
      <c r="E78">
        <v>4</v>
      </c>
      <c r="F78">
        <v>3</v>
      </c>
      <c r="G78">
        <v>18</v>
      </c>
      <c r="H78">
        <v>10</v>
      </c>
      <c r="I78">
        <v>0.75</v>
      </c>
      <c r="J78">
        <v>0.56000000000000005</v>
      </c>
      <c r="K78">
        <v>0</v>
      </c>
      <c r="L78">
        <v>1</v>
      </c>
      <c r="M78">
        <v>1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 s="86">
        <f>AVERAGEIFS($C$2:C78, $B$2:B78, B78)</f>
        <v>25.25</v>
      </c>
      <c r="AB78" s="86">
        <f>AVERAGEIFS($I$2:I78, $B$2:B78, B78)</f>
        <v>0.58750000000000002</v>
      </c>
      <c r="AC78" s="86">
        <f>AVERAGEIFS($J$2:J78, $B$2:B78, B78)</f>
        <v>0.52</v>
      </c>
      <c r="AD78" s="86">
        <f>AVERAGEIFS($D$2:D78, $B$2:B78, B78)</f>
        <v>0.75</v>
      </c>
    </row>
    <row r="79" spans="1:30" x14ac:dyDescent="0.25">
      <c r="A79" s="85">
        <v>46074</v>
      </c>
      <c r="B79" t="s">
        <v>6</v>
      </c>
      <c r="C79">
        <v>19</v>
      </c>
      <c r="D79" s="86">
        <v>1</v>
      </c>
      <c r="E79">
        <v>4</v>
      </c>
      <c r="F79">
        <v>3</v>
      </c>
      <c r="G79">
        <v>18</v>
      </c>
      <c r="H79">
        <v>10</v>
      </c>
      <c r="I79">
        <v>0.75</v>
      </c>
      <c r="J79">
        <v>0.56000000000000005</v>
      </c>
      <c r="K79">
        <v>0</v>
      </c>
      <c r="L79">
        <v>1</v>
      </c>
      <c r="M79">
        <v>1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 s="86">
        <f>AVERAGEIFS($C$2:C79, $B$2:B79, B79)</f>
        <v>23</v>
      </c>
      <c r="AB79" s="86">
        <f>AVERAGEIFS($I$2:I79, $B$2:B79, B79)</f>
        <v>0.71666666666666667</v>
      </c>
      <c r="AC79" s="86">
        <f>AVERAGEIFS($J$2:J79, $B$2:B79, B79)</f>
        <v>0.56999999999999995</v>
      </c>
      <c r="AD79" s="86">
        <f>AVERAGEIFS($D$2:D79, $B$2:B79, B79)</f>
        <v>0.66666666666666663</v>
      </c>
    </row>
    <row r="80" spans="1:30" x14ac:dyDescent="0.25">
      <c r="A80" s="85">
        <v>46074</v>
      </c>
      <c r="B80" t="s">
        <v>46</v>
      </c>
      <c r="C80">
        <v>14</v>
      </c>
      <c r="D80" s="86">
        <v>1</v>
      </c>
      <c r="E80">
        <v>4</v>
      </c>
      <c r="F80">
        <v>3</v>
      </c>
      <c r="G80">
        <v>18</v>
      </c>
      <c r="H80">
        <v>10</v>
      </c>
      <c r="I80">
        <v>0.75</v>
      </c>
      <c r="J80">
        <v>0.56000000000000005</v>
      </c>
      <c r="K80">
        <v>0</v>
      </c>
      <c r="L80">
        <v>1</v>
      </c>
      <c r="M80">
        <v>1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 s="86">
        <f>AVERAGEIFS($C$2:C80, $B$2:B80, B80)</f>
        <v>15.666666666666666</v>
      </c>
      <c r="AB80" s="86">
        <f>AVERAGEIFS($I$2:I80, $B$2:B80, B80)</f>
        <v>0.33333333333333331</v>
      </c>
      <c r="AC80" s="86">
        <f>AVERAGEIFS($J$2:J80, $B$2:B80, B80)</f>
        <v>0.42333333333333334</v>
      </c>
      <c r="AD80" s="86">
        <f>AVERAGEIFS($D$2:D80, $B$2:B80, B80)</f>
        <v>0.33333333333333331</v>
      </c>
    </row>
    <row r="81" spans="1:30" x14ac:dyDescent="0.25">
      <c r="A81" s="85">
        <v>46074</v>
      </c>
      <c r="B81" t="s">
        <v>13</v>
      </c>
      <c r="C81">
        <v>35</v>
      </c>
      <c r="D81" s="86">
        <v>0</v>
      </c>
      <c r="E81">
        <v>4</v>
      </c>
      <c r="F81">
        <v>1</v>
      </c>
      <c r="G81">
        <v>18</v>
      </c>
      <c r="H81">
        <v>8</v>
      </c>
      <c r="I81">
        <v>0.25</v>
      </c>
      <c r="J81">
        <v>0.44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0</v>
      </c>
      <c r="Z81">
        <v>0</v>
      </c>
      <c r="AA81" s="86">
        <f>AVERAGEIFS($C$2:C81, $B$2:B81, B81)</f>
        <v>35</v>
      </c>
      <c r="AB81" s="86">
        <f>AVERAGEIFS($I$2:I81, $B$2:B81, B81)</f>
        <v>0.36249999999999999</v>
      </c>
      <c r="AC81" s="86">
        <f>AVERAGEIFS($J$2:J81, $B$2:B81, B81)</f>
        <v>0.47499999999999998</v>
      </c>
      <c r="AD81" s="86">
        <f>AVERAGEIFS($D$2:D81, $B$2:B81, B81)</f>
        <v>0.5</v>
      </c>
    </row>
    <row r="82" spans="1:30" x14ac:dyDescent="0.25">
      <c r="A82" s="85">
        <v>46074</v>
      </c>
      <c r="B82" t="s">
        <v>14</v>
      </c>
      <c r="C82">
        <v>32</v>
      </c>
      <c r="D82" s="86">
        <v>0</v>
      </c>
      <c r="E82">
        <v>4</v>
      </c>
      <c r="F82">
        <v>1</v>
      </c>
      <c r="G82">
        <v>18</v>
      </c>
      <c r="H82">
        <v>8</v>
      </c>
      <c r="I82">
        <v>0.25</v>
      </c>
      <c r="J82">
        <v>0.44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1</v>
      </c>
      <c r="X82">
        <v>0</v>
      </c>
      <c r="Y82">
        <v>0</v>
      </c>
      <c r="Z82">
        <v>0</v>
      </c>
      <c r="AA82" s="86">
        <f>AVERAGEIFS($C$2:C82, $B$2:B82, B82)</f>
        <v>39.75</v>
      </c>
      <c r="AB82" s="86">
        <f>AVERAGEIFS($I$2:I82, $B$2:B82, B82)</f>
        <v>0.46250000000000002</v>
      </c>
      <c r="AC82" s="86">
        <f>AVERAGEIFS($J$2:J82, $B$2:B82, B82)</f>
        <v>0.49</v>
      </c>
      <c r="AD82" s="86">
        <f>AVERAGEIFS($D$2:D82, $B$2:B82, B82)</f>
        <v>0.5</v>
      </c>
    </row>
    <row r="83" spans="1:30" x14ac:dyDescent="0.25">
      <c r="A83" s="85">
        <v>46074</v>
      </c>
      <c r="B83" t="s">
        <v>15</v>
      </c>
      <c r="C83">
        <v>31</v>
      </c>
      <c r="D83" s="86">
        <v>0</v>
      </c>
      <c r="E83">
        <v>4</v>
      </c>
      <c r="F83">
        <v>1</v>
      </c>
      <c r="G83">
        <v>18</v>
      </c>
      <c r="H83">
        <v>8</v>
      </c>
      <c r="I83">
        <v>0.25</v>
      </c>
      <c r="J83">
        <v>0.44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1</v>
      </c>
      <c r="X83">
        <v>0</v>
      </c>
      <c r="Y83">
        <v>0</v>
      </c>
      <c r="Z83">
        <v>0</v>
      </c>
      <c r="AA83" s="86">
        <f>AVERAGEIFS($C$2:C83, $B$2:B83, B83)</f>
        <v>32.6</v>
      </c>
      <c r="AB83" s="86">
        <f>AVERAGEIFS($I$2:I83, $B$2:B83, B83)</f>
        <v>0.55999999999999994</v>
      </c>
      <c r="AC83" s="86">
        <f>AVERAGEIFS($J$2:J83, $B$2:B83, B83)</f>
        <v>0.52200000000000002</v>
      </c>
      <c r="AD83" s="86">
        <f>AVERAGEIFS($D$2:D83, $B$2:B83, B83)</f>
        <v>0.4</v>
      </c>
    </row>
    <row r="84" spans="1:30" x14ac:dyDescent="0.25">
      <c r="A84" s="85">
        <v>46074</v>
      </c>
      <c r="B84" t="s">
        <v>17</v>
      </c>
      <c r="C84">
        <v>27</v>
      </c>
      <c r="D84" s="86">
        <v>0</v>
      </c>
      <c r="E84">
        <v>4</v>
      </c>
      <c r="F84">
        <v>1</v>
      </c>
      <c r="G84">
        <v>18</v>
      </c>
      <c r="H84">
        <v>8</v>
      </c>
      <c r="I84">
        <v>0.25</v>
      </c>
      <c r="J84">
        <v>0.44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1</v>
      </c>
      <c r="X84">
        <v>0</v>
      </c>
      <c r="Y84">
        <v>0</v>
      </c>
      <c r="Z84">
        <v>0</v>
      </c>
      <c r="AA84" s="86">
        <f>AVERAGEIFS($C$2:C84, $B$2:B84, B84)</f>
        <v>29.5</v>
      </c>
      <c r="AB84" s="86">
        <f>AVERAGEIFS($I$2:I84, $B$2:B84, B84)</f>
        <v>0.51249999999999996</v>
      </c>
      <c r="AC84" s="86">
        <f>AVERAGEIFS($J$2:J84, $B$2:B84, B84)</f>
        <v>0.505</v>
      </c>
      <c r="AD84" s="86">
        <f>AVERAGEIFS($D$2:D84, $B$2:B84, B84)</f>
        <v>0.25</v>
      </c>
    </row>
    <row r="85" spans="1:30" x14ac:dyDescent="0.25">
      <c r="A85" s="85">
        <v>46074</v>
      </c>
      <c r="B85" t="s">
        <v>18</v>
      </c>
      <c r="C85">
        <v>20</v>
      </c>
      <c r="D85" s="86">
        <v>0</v>
      </c>
      <c r="E85">
        <v>4</v>
      </c>
      <c r="F85">
        <v>1</v>
      </c>
      <c r="G85">
        <v>18</v>
      </c>
      <c r="H85">
        <v>8</v>
      </c>
      <c r="I85">
        <v>0.25</v>
      </c>
      <c r="J85">
        <v>0.44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1</v>
      </c>
      <c r="X85">
        <v>0</v>
      </c>
      <c r="Y85">
        <v>0</v>
      </c>
      <c r="Z85">
        <v>0</v>
      </c>
      <c r="AA85" s="86">
        <f>AVERAGEIFS($C$2:C85, $B$2:B85, B85)</f>
        <v>30</v>
      </c>
      <c r="AB85" s="86">
        <f>AVERAGEIFS($I$2:I85, $B$2:B85, B85)</f>
        <v>0.41249999999999998</v>
      </c>
      <c r="AC85" s="86">
        <f>AVERAGEIFS($J$2:J85, $B$2:B85, B85)</f>
        <v>0.47</v>
      </c>
      <c r="AD85" s="86">
        <f>AVERAGEIFS($D$2:D85, $B$2:B85, B85)</f>
        <v>0.25</v>
      </c>
    </row>
    <row r="86" spans="1:30" x14ac:dyDescent="0.25">
      <c r="A86" s="85">
        <v>46074</v>
      </c>
      <c r="B86" t="s">
        <v>19</v>
      </c>
      <c r="C86">
        <v>15</v>
      </c>
      <c r="D86" s="86">
        <v>0</v>
      </c>
      <c r="E86">
        <v>4</v>
      </c>
      <c r="F86">
        <v>1</v>
      </c>
      <c r="G86">
        <v>18</v>
      </c>
      <c r="H86">
        <v>8</v>
      </c>
      <c r="I86">
        <v>0.25</v>
      </c>
      <c r="J86">
        <v>0.44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1</v>
      </c>
      <c r="X86">
        <v>0</v>
      </c>
      <c r="Y86">
        <v>0</v>
      </c>
      <c r="Z86">
        <v>0</v>
      </c>
      <c r="AA86" s="86">
        <f>AVERAGEIFS($C$2:C86, $B$2:B86, B86)</f>
        <v>16.2</v>
      </c>
      <c r="AB86" s="86">
        <f>AVERAGEIFS($I$2:I86, $B$2:B86, B86)</f>
        <v>0.55999999999999994</v>
      </c>
      <c r="AC86" s="86">
        <f>AVERAGEIFS($J$2:J86, $B$2:B86, B86)</f>
        <v>0.52200000000000002</v>
      </c>
      <c r="AD86" s="86">
        <f>AVERAGEIFS($D$2:D86, $B$2:B86, B86)</f>
        <v>0.4</v>
      </c>
    </row>
    <row r="87" spans="1:30" x14ac:dyDescent="0.25">
      <c r="A87" s="85">
        <v>46074</v>
      </c>
      <c r="B87" t="s">
        <v>20</v>
      </c>
      <c r="C87">
        <v>14</v>
      </c>
      <c r="D87" s="86">
        <v>0</v>
      </c>
      <c r="E87">
        <v>4</v>
      </c>
      <c r="F87">
        <v>1</v>
      </c>
      <c r="G87">
        <v>18</v>
      </c>
      <c r="H87">
        <v>8</v>
      </c>
      <c r="I87">
        <v>0.25</v>
      </c>
      <c r="J87">
        <v>0.44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1</v>
      </c>
      <c r="X87">
        <v>0</v>
      </c>
      <c r="Y87">
        <v>0</v>
      </c>
      <c r="Z87">
        <v>0</v>
      </c>
      <c r="AA87" s="86">
        <f>AVERAGEIFS($C$2:C87, $B$2:B87, B87)</f>
        <v>16</v>
      </c>
      <c r="AB87" s="86">
        <f>AVERAGEIFS($I$2:I87, $B$2:B87, B87)</f>
        <v>0.41</v>
      </c>
      <c r="AC87" s="86">
        <f>AVERAGEIFS($J$2:J87, $B$2:B87, B87)</f>
        <v>0.46799999999999997</v>
      </c>
      <c r="AD87" s="86">
        <f>AVERAGEIFS($D$2:D87, $B$2:B87, B87)</f>
        <v>0.2</v>
      </c>
    </row>
    <row r="88" spans="1:30" x14ac:dyDescent="0.25">
      <c r="A88" s="85">
        <v>46075</v>
      </c>
      <c r="B88" t="s">
        <v>18</v>
      </c>
      <c r="C88">
        <v>36</v>
      </c>
      <c r="D88" s="86">
        <v>1</v>
      </c>
      <c r="E88">
        <v>4</v>
      </c>
      <c r="F88">
        <v>3</v>
      </c>
      <c r="G88">
        <v>18</v>
      </c>
      <c r="H88">
        <v>10</v>
      </c>
      <c r="I88">
        <v>0.75</v>
      </c>
      <c r="J88">
        <v>0.56000000000000005</v>
      </c>
      <c r="K88">
        <v>0</v>
      </c>
      <c r="L88">
        <v>0</v>
      </c>
      <c r="M88">
        <v>0</v>
      </c>
      <c r="N88">
        <v>1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1</v>
      </c>
      <c r="X88">
        <v>0</v>
      </c>
      <c r="Y88">
        <v>0</v>
      </c>
      <c r="Z88">
        <v>0</v>
      </c>
      <c r="AA88" s="86">
        <f>AVERAGEIFS($C$2:C88, $B$2:B88, B88)</f>
        <v>31.2</v>
      </c>
      <c r="AB88" s="86">
        <f>AVERAGEIFS($I$2:I88, $B$2:B88, B88)</f>
        <v>0.48</v>
      </c>
      <c r="AC88" s="86">
        <f>AVERAGEIFS($J$2:J88, $B$2:B88, B88)</f>
        <v>0.48799999999999999</v>
      </c>
      <c r="AD88" s="86">
        <f>AVERAGEIFS($D$2:D88, $B$2:B88, B88)</f>
        <v>0.4</v>
      </c>
    </row>
    <row r="89" spans="1:30" x14ac:dyDescent="0.25">
      <c r="A89" s="85">
        <v>46075</v>
      </c>
      <c r="B89" t="s">
        <v>46</v>
      </c>
      <c r="C89">
        <v>36</v>
      </c>
      <c r="D89" s="86">
        <v>1</v>
      </c>
      <c r="E89">
        <v>4</v>
      </c>
      <c r="F89">
        <v>3</v>
      </c>
      <c r="G89">
        <v>18</v>
      </c>
      <c r="H89">
        <v>10</v>
      </c>
      <c r="I89">
        <v>0.75</v>
      </c>
      <c r="J89">
        <v>0.56000000000000005</v>
      </c>
      <c r="K89">
        <v>0</v>
      </c>
      <c r="L89">
        <v>0</v>
      </c>
      <c r="M89">
        <v>0</v>
      </c>
      <c r="N89">
        <v>1</v>
      </c>
      <c r="O89">
        <v>0</v>
      </c>
      <c r="P89">
        <v>1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1</v>
      </c>
      <c r="X89">
        <v>0</v>
      </c>
      <c r="Y89">
        <v>0</v>
      </c>
      <c r="Z89">
        <v>0</v>
      </c>
      <c r="AA89" s="86">
        <f>AVERAGEIFS($C$2:C89, $B$2:B89, B89)</f>
        <v>20.75</v>
      </c>
      <c r="AB89" s="86">
        <f>AVERAGEIFS($I$2:I89, $B$2:B89, B89)</f>
        <v>0.4375</v>
      </c>
      <c r="AC89" s="86">
        <f>AVERAGEIFS($J$2:J89, $B$2:B89, B89)</f>
        <v>0.45750000000000002</v>
      </c>
      <c r="AD89" s="86">
        <f>AVERAGEIFS($D$2:D89, $B$2:B89, B89)</f>
        <v>0.5</v>
      </c>
    </row>
    <row r="90" spans="1:30" x14ac:dyDescent="0.25">
      <c r="A90" s="85">
        <v>46075</v>
      </c>
      <c r="B90" t="s">
        <v>6</v>
      </c>
      <c r="C90">
        <v>25</v>
      </c>
      <c r="D90" s="86">
        <v>1</v>
      </c>
      <c r="E90">
        <v>4</v>
      </c>
      <c r="F90">
        <v>3</v>
      </c>
      <c r="G90">
        <v>18</v>
      </c>
      <c r="H90">
        <v>10</v>
      </c>
      <c r="I90">
        <v>0.75</v>
      </c>
      <c r="J90">
        <v>0.56000000000000005</v>
      </c>
      <c r="K90">
        <v>0</v>
      </c>
      <c r="L90">
        <v>0</v>
      </c>
      <c r="M90">
        <v>0</v>
      </c>
      <c r="N90">
        <v>1</v>
      </c>
      <c r="O90">
        <v>0</v>
      </c>
      <c r="P90">
        <v>1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1</v>
      </c>
      <c r="X90">
        <v>0</v>
      </c>
      <c r="Y90">
        <v>0</v>
      </c>
      <c r="Z90">
        <v>0</v>
      </c>
      <c r="AA90" s="86">
        <f>AVERAGEIFS($C$2:C90, $B$2:B90, B90)</f>
        <v>23.5</v>
      </c>
      <c r="AB90" s="86">
        <f>AVERAGEIFS($I$2:I90, $B$2:B90, B90)</f>
        <v>0.72499999999999998</v>
      </c>
      <c r="AC90" s="86">
        <f>AVERAGEIFS($J$2:J90, $B$2:B90, B90)</f>
        <v>0.5675</v>
      </c>
      <c r="AD90" s="86">
        <f>AVERAGEIFS($D$2:D90, $B$2:B90, B90)</f>
        <v>0.75</v>
      </c>
    </row>
    <row r="91" spans="1:30" x14ac:dyDescent="0.25">
      <c r="A91" s="85">
        <v>46075</v>
      </c>
      <c r="B91" t="s">
        <v>51</v>
      </c>
      <c r="C91">
        <v>22</v>
      </c>
      <c r="D91" s="86">
        <v>1</v>
      </c>
      <c r="E91">
        <v>4</v>
      </c>
      <c r="F91">
        <v>3</v>
      </c>
      <c r="G91">
        <v>18</v>
      </c>
      <c r="H91">
        <v>10</v>
      </c>
      <c r="I91">
        <v>0.75</v>
      </c>
      <c r="J91">
        <v>0.56000000000000005</v>
      </c>
      <c r="K91">
        <v>0</v>
      </c>
      <c r="L91">
        <v>0</v>
      </c>
      <c r="M91">
        <v>0</v>
      </c>
      <c r="N91">
        <v>1</v>
      </c>
      <c r="O91">
        <v>0</v>
      </c>
      <c r="P91">
        <v>1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1</v>
      </c>
      <c r="X91">
        <v>0</v>
      </c>
      <c r="Y91">
        <v>0</v>
      </c>
      <c r="Z91">
        <v>0</v>
      </c>
      <c r="AA91" s="86">
        <f>AVERAGEIFS($C$2:C91, $B$2:B91, B91)</f>
        <v>16.75</v>
      </c>
      <c r="AB91" s="86">
        <f>AVERAGEIFS($I$2:I91, $B$2:B91, B91)</f>
        <v>0.72499999999999998</v>
      </c>
      <c r="AC91" s="86">
        <f>AVERAGEIFS($J$2:J91, $B$2:B91, B91)</f>
        <v>0.5675</v>
      </c>
      <c r="AD91" s="86">
        <f>AVERAGEIFS($D$2:D91, $B$2:B91, B91)</f>
        <v>0.75</v>
      </c>
    </row>
    <row r="92" spans="1:30" x14ac:dyDescent="0.25">
      <c r="A92" s="85">
        <v>46075</v>
      </c>
      <c r="B92" t="s">
        <v>26</v>
      </c>
      <c r="C92">
        <v>17</v>
      </c>
      <c r="D92" s="86">
        <v>1</v>
      </c>
      <c r="E92">
        <v>4</v>
      </c>
      <c r="F92">
        <v>3</v>
      </c>
      <c r="G92">
        <v>18</v>
      </c>
      <c r="H92">
        <v>10</v>
      </c>
      <c r="I92">
        <v>0.75</v>
      </c>
      <c r="J92">
        <v>0.56000000000000005</v>
      </c>
      <c r="K92">
        <v>0</v>
      </c>
      <c r="L92">
        <v>0</v>
      </c>
      <c r="M92">
        <v>0</v>
      </c>
      <c r="N92">
        <v>1</v>
      </c>
      <c r="O92">
        <v>0</v>
      </c>
      <c r="P92">
        <v>1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1</v>
      </c>
      <c r="X92">
        <v>0</v>
      </c>
      <c r="Y92">
        <v>0</v>
      </c>
      <c r="Z92">
        <v>0</v>
      </c>
      <c r="AA92" s="86">
        <f>AVERAGEIFS($C$2:C92, $B$2:B92, B92)</f>
        <v>15</v>
      </c>
      <c r="AB92" s="86">
        <f>AVERAGEIFS($I$2:I92, $B$2:B92, B92)</f>
        <v>0.55000000000000004</v>
      </c>
      <c r="AC92" s="86">
        <f>AVERAGEIFS($J$2:J92, $B$2:B92, B92)</f>
        <v>0.53249999999999997</v>
      </c>
      <c r="AD92" s="86">
        <f>AVERAGEIFS($D$2:D92, $B$2:B92, B92)</f>
        <v>0.75</v>
      </c>
    </row>
    <row r="93" spans="1:30" x14ac:dyDescent="0.25">
      <c r="A93" s="85">
        <v>46075</v>
      </c>
      <c r="B93" t="s">
        <v>38</v>
      </c>
      <c r="C93">
        <v>6</v>
      </c>
      <c r="D93" s="86">
        <v>1</v>
      </c>
      <c r="E93">
        <v>4</v>
      </c>
      <c r="F93">
        <v>3</v>
      </c>
      <c r="G93">
        <v>18</v>
      </c>
      <c r="H93">
        <v>10</v>
      </c>
      <c r="I93">
        <v>0.75</v>
      </c>
      <c r="J93">
        <v>0.56000000000000005</v>
      </c>
      <c r="K93">
        <v>0</v>
      </c>
      <c r="L93">
        <v>0</v>
      </c>
      <c r="M93">
        <v>0</v>
      </c>
      <c r="N93">
        <v>1</v>
      </c>
      <c r="O93">
        <v>0</v>
      </c>
      <c r="P93">
        <v>1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1</v>
      </c>
      <c r="X93">
        <v>0</v>
      </c>
      <c r="Y93">
        <v>0</v>
      </c>
      <c r="Z93">
        <v>0</v>
      </c>
      <c r="AA93" s="86">
        <f>AVERAGEIFS($C$2:C93, $B$2:B93, B93)</f>
        <v>6</v>
      </c>
      <c r="AB93" s="86">
        <f>AVERAGEIFS($I$2:I93, $B$2:B93, B93)</f>
        <v>0.75</v>
      </c>
      <c r="AC93" s="86">
        <f>AVERAGEIFS($J$2:J93, $B$2:B93, B93)</f>
        <v>0.56000000000000005</v>
      </c>
      <c r="AD93" s="86">
        <f>AVERAGEIFS($D$2:D93, $B$2:B93, B93)</f>
        <v>1</v>
      </c>
    </row>
    <row r="94" spans="1:30" x14ac:dyDescent="0.25">
      <c r="A94" s="85">
        <v>46075</v>
      </c>
      <c r="B94" t="s">
        <v>17</v>
      </c>
      <c r="C94">
        <v>42</v>
      </c>
      <c r="D94" s="86">
        <v>0</v>
      </c>
      <c r="E94">
        <v>4</v>
      </c>
      <c r="F94">
        <v>1</v>
      </c>
      <c r="G94">
        <v>18</v>
      </c>
      <c r="H94">
        <v>8</v>
      </c>
      <c r="I94">
        <v>0.25</v>
      </c>
      <c r="J94">
        <v>0.44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86">
        <f>AVERAGEIFS($C$2:C94, $B$2:B94, B94)</f>
        <v>32</v>
      </c>
      <c r="AB94" s="86">
        <f>AVERAGEIFS($I$2:I94, $B$2:B94, B94)</f>
        <v>0.45999999999999996</v>
      </c>
      <c r="AC94" s="86">
        <f>AVERAGEIFS($J$2:J94, $B$2:B94, B94)</f>
        <v>0.49199999999999999</v>
      </c>
      <c r="AD94" s="86">
        <f>AVERAGEIFS($D$2:D94, $B$2:B94, B94)</f>
        <v>0.2</v>
      </c>
    </row>
    <row r="95" spans="1:30" x14ac:dyDescent="0.25">
      <c r="A95" s="85">
        <v>46075</v>
      </c>
      <c r="B95" t="s">
        <v>15</v>
      </c>
      <c r="C95">
        <v>35</v>
      </c>
      <c r="D95" s="86">
        <v>0</v>
      </c>
      <c r="E95">
        <v>4</v>
      </c>
      <c r="F95">
        <v>1</v>
      </c>
      <c r="G95">
        <v>18</v>
      </c>
      <c r="H95">
        <v>8</v>
      </c>
      <c r="I95">
        <v>0.25</v>
      </c>
      <c r="J95">
        <v>0.44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86">
        <f>AVERAGEIFS($C$2:C95, $B$2:B95, B95)</f>
        <v>33</v>
      </c>
      <c r="AB95" s="86">
        <f>AVERAGEIFS($I$2:I95, $B$2:B95, B95)</f>
        <v>0.5083333333333333</v>
      </c>
      <c r="AC95" s="86">
        <f>AVERAGEIFS($J$2:J95, $B$2:B95, B95)</f>
        <v>0.5083333333333333</v>
      </c>
      <c r="AD95" s="86">
        <f>AVERAGEIFS($D$2:D95, $B$2:B95, B95)</f>
        <v>0.33333333333333331</v>
      </c>
    </row>
    <row r="96" spans="1:30" x14ac:dyDescent="0.25">
      <c r="A96" s="85">
        <v>46075</v>
      </c>
      <c r="B96" t="s">
        <v>28</v>
      </c>
      <c r="C96">
        <v>18</v>
      </c>
      <c r="D96" s="86">
        <v>0</v>
      </c>
      <c r="E96">
        <v>4</v>
      </c>
      <c r="F96">
        <v>1</v>
      </c>
      <c r="G96">
        <v>18</v>
      </c>
      <c r="H96">
        <v>8</v>
      </c>
      <c r="I96">
        <v>0.25</v>
      </c>
      <c r="J96">
        <v>0.44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86">
        <f>AVERAGEIFS($C$2:C96, $B$2:B96, B96)</f>
        <v>19</v>
      </c>
      <c r="AB96" s="86">
        <f>AVERAGEIFS($I$2:I96, $B$2:B96, B96)</f>
        <v>0.5</v>
      </c>
      <c r="AC96" s="86">
        <f>AVERAGEIFS($J$2:J96, $B$2:B96, B96)</f>
        <v>0.4975</v>
      </c>
      <c r="AD96" s="86">
        <f>AVERAGEIFS($D$2:D96, $B$2:B96, B96)</f>
        <v>0.5</v>
      </c>
    </row>
    <row r="97" spans="1:30" x14ac:dyDescent="0.25">
      <c r="A97" s="85">
        <v>46075</v>
      </c>
      <c r="B97" t="s">
        <v>25</v>
      </c>
      <c r="C97">
        <v>16</v>
      </c>
      <c r="D97" s="86">
        <v>0</v>
      </c>
      <c r="E97">
        <v>4</v>
      </c>
      <c r="F97">
        <v>1</v>
      </c>
      <c r="G97">
        <v>18</v>
      </c>
      <c r="H97">
        <v>8</v>
      </c>
      <c r="I97">
        <v>0.25</v>
      </c>
      <c r="J97">
        <v>0.44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1</v>
      </c>
      <c r="AA97" s="86">
        <f>AVERAGEIFS($C$2:C97, $B$2:B97, B97)</f>
        <v>18</v>
      </c>
      <c r="AB97" s="86">
        <f>AVERAGEIFS($I$2:I97, $B$2:B97, B97)</f>
        <v>0.32500000000000001</v>
      </c>
      <c r="AC97" s="86">
        <f>AVERAGEIFS($J$2:J97, $B$2:B97, B97)</f>
        <v>0.435</v>
      </c>
      <c r="AD97" s="86">
        <f>AVERAGEIFS($D$2:D97, $B$2:B97, B97)</f>
        <v>0</v>
      </c>
    </row>
    <row r="98" spans="1:30" x14ac:dyDescent="0.25">
      <c r="A98" s="85">
        <v>46075</v>
      </c>
      <c r="B98" t="s">
        <v>40</v>
      </c>
      <c r="C98">
        <v>16</v>
      </c>
      <c r="D98" s="86">
        <v>0</v>
      </c>
      <c r="E98">
        <v>4</v>
      </c>
      <c r="F98">
        <v>1</v>
      </c>
      <c r="G98">
        <v>18</v>
      </c>
      <c r="H98">
        <v>8</v>
      </c>
      <c r="I98">
        <v>0.25</v>
      </c>
      <c r="J98">
        <v>0.44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1</v>
      </c>
      <c r="AA98" s="86">
        <f>AVERAGEIFS($C$2:C98, $B$2:B98, B98)</f>
        <v>16</v>
      </c>
      <c r="AB98" s="86">
        <f>AVERAGEIFS($I$2:I98, $B$2:B98, B98)</f>
        <v>0.25</v>
      </c>
      <c r="AC98" s="86">
        <f>AVERAGEIFS($J$2:J98, $B$2:B98, B98)</f>
        <v>0.44</v>
      </c>
      <c r="AD98" s="86">
        <f>AVERAGEIFS($D$2:D98, $B$2:B98, B98)</f>
        <v>0</v>
      </c>
    </row>
    <row r="99" spans="1:30" x14ac:dyDescent="0.25">
      <c r="A99" s="85">
        <v>46075</v>
      </c>
      <c r="B99" t="s">
        <v>137</v>
      </c>
      <c r="C99">
        <v>13</v>
      </c>
      <c r="D99" s="86">
        <v>0</v>
      </c>
      <c r="E99">
        <v>4</v>
      </c>
      <c r="F99">
        <v>1</v>
      </c>
      <c r="G99">
        <v>18</v>
      </c>
      <c r="H99">
        <v>8</v>
      </c>
      <c r="I99">
        <v>0.25</v>
      </c>
      <c r="J99">
        <v>0.44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1</v>
      </c>
      <c r="AA99" s="86">
        <f>AVERAGEIFS($C$2:C99, $B$2:B99, B99)</f>
        <v>11</v>
      </c>
      <c r="AB99" s="86">
        <f>AVERAGEIFS($I$2:I99, $B$2:B99, B99)</f>
        <v>0.54999999999999993</v>
      </c>
      <c r="AC99" s="86">
        <f>AVERAGEIFS($J$2:J99, $B$2:B99, B99)</f>
        <v>0.52999999999999992</v>
      </c>
      <c r="AD99" s="86">
        <f>AVERAGEIFS($D$2:D99, $B$2:B99, B99)</f>
        <v>0.33333333333333331</v>
      </c>
    </row>
    <row r="100" spans="1:30" x14ac:dyDescent="0.25">
      <c r="A100" s="85">
        <v>46075</v>
      </c>
      <c r="B100" t="s">
        <v>13</v>
      </c>
      <c r="C100">
        <v>38</v>
      </c>
      <c r="D100" s="86">
        <v>1</v>
      </c>
      <c r="E100">
        <v>4</v>
      </c>
      <c r="F100">
        <v>3</v>
      </c>
      <c r="G100">
        <v>16</v>
      </c>
      <c r="H100">
        <v>10</v>
      </c>
      <c r="I100">
        <v>0.75</v>
      </c>
      <c r="J100">
        <v>0.63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1</v>
      </c>
      <c r="X100">
        <v>0</v>
      </c>
      <c r="Y100">
        <v>0</v>
      </c>
      <c r="Z100">
        <v>0</v>
      </c>
      <c r="AA100" s="86">
        <f>AVERAGEIFS($C$2:C100, $B$2:B100, B100)</f>
        <v>35.6</v>
      </c>
      <c r="AB100" s="86">
        <f>AVERAGEIFS($I$2:I100, $B$2:B100, B100)</f>
        <v>0.44000000000000006</v>
      </c>
      <c r="AC100" s="86">
        <f>AVERAGEIFS($J$2:J100, $B$2:B100, B100)</f>
        <v>0.50600000000000001</v>
      </c>
      <c r="AD100" s="86">
        <f>AVERAGEIFS($D$2:D100, $B$2:B100, B100)</f>
        <v>0.6</v>
      </c>
    </row>
    <row r="101" spans="1:30" x14ac:dyDescent="0.25">
      <c r="A101" s="85">
        <v>46075</v>
      </c>
      <c r="B101" t="s">
        <v>2</v>
      </c>
      <c r="C101">
        <v>29</v>
      </c>
      <c r="D101" s="86">
        <v>1</v>
      </c>
      <c r="E101">
        <v>4</v>
      </c>
      <c r="F101">
        <v>3</v>
      </c>
      <c r="G101">
        <v>16</v>
      </c>
      <c r="H101">
        <v>10</v>
      </c>
      <c r="I101">
        <v>0.75</v>
      </c>
      <c r="J101">
        <v>0.63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0</v>
      </c>
      <c r="Y101">
        <v>0</v>
      </c>
      <c r="Z101">
        <v>0</v>
      </c>
      <c r="AA101" s="86">
        <f>AVERAGEIFS($C$2:C101, $B$2:B101, B101)</f>
        <v>29.75</v>
      </c>
      <c r="AB101" s="86">
        <f>AVERAGEIFS($I$2:I101, $B$2:B101, B101)</f>
        <v>0.53749999999999998</v>
      </c>
      <c r="AC101" s="86">
        <f>AVERAGEIFS($J$2:J101, $B$2:B101, B101)</f>
        <v>0.51</v>
      </c>
      <c r="AD101" s="86">
        <f>AVERAGEIFS($D$2:D101, $B$2:B101, B101)</f>
        <v>0.5</v>
      </c>
    </row>
    <row r="102" spans="1:30" x14ac:dyDescent="0.25">
      <c r="A102" s="85">
        <v>46075</v>
      </c>
      <c r="B102" t="s">
        <v>45</v>
      </c>
      <c r="C102">
        <v>17</v>
      </c>
      <c r="D102" s="86">
        <v>1</v>
      </c>
      <c r="E102">
        <v>4</v>
      </c>
      <c r="F102">
        <v>3</v>
      </c>
      <c r="G102">
        <v>16</v>
      </c>
      <c r="H102">
        <v>10</v>
      </c>
      <c r="I102">
        <v>0.75</v>
      </c>
      <c r="J102">
        <v>0.63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0</v>
      </c>
      <c r="Y102">
        <v>0</v>
      </c>
      <c r="Z102">
        <v>0</v>
      </c>
      <c r="AA102" s="86">
        <f>AVERAGEIFS($C$2:C102, $B$2:B102, B102)</f>
        <v>13.666666666666666</v>
      </c>
      <c r="AB102" s="86">
        <f>AVERAGEIFS($I$2:I102, $B$2:B102, B102)</f>
        <v>0.33333333333333331</v>
      </c>
      <c r="AC102" s="86">
        <f>AVERAGEIFS($J$2:J102, $B$2:B102, B102)</f>
        <v>0.4466666666666666</v>
      </c>
      <c r="AD102" s="86">
        <f>AVERAGEIFS($D$2:D102, $B$2:B102, B102)</f>
        <v>0.33333333333333331</v>
      </c>
    </row>
    <row r="103" spans="1:30" x14ac:dyDescent="0.25">
      <c r="A103" s="85">
        <v>46075</v>
      </c>
      <c r="B103" t="s">
        <v>20</v>
      </c>
      <c r="C103">
        <v>15</v>
      </c>
      <c r="D103" s="86">
        <v>1</v>
      </c>
      <c r="E103">
        <v>4</v>
      </c>
      <c r="F103">
        <v>3</v>
      </c>
      <c r="G103">
        <v>16</v>
      </c>
      <c r="H103">
        <v>10</v>
      </c>
      <c r="I103">
        <v>0.75</v>
      </c>
      <c r="J103">
        <v>0.63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0</v>
      </c>
      <c r="Y103">
        <v>0</v>
      </c>
      <c r="Z103">
        <v>0</v>
      </c>
      <c r="AA103" s="86">
        <f>AVERAGEIFS($C$2:C103, $B$2:B103, B103)</f>
        <v>15.833333333333334</v>
      </c>
      <c r="AB103" s="86">
        <f>AVERAGEIFS($I$2:I103, $B$2:B103, B103)</f>
        <v>0.46666666666666662</v>
      </c>
      <c r="AC103" s="86">
        <f>AVERAGEIFS($J$2:J103, $B$2:B103, B103)</f>
        <v>0.49499999999999994</v>
      </c>
      <c r="AD103" s="86">
        <f>AVERAGEIFS($D$2:D103, $B$2:B103, B103)</f>
        <v>0.33333333333333331</v>
      </c>
    </row>
    <row r="104" spans="1:30" x14ac:dyDescent="0.25">
      <c r="A104" s="85">
        <v>46075</v>
      </c>
      <c r="B104" t="s">
        <v>35</v>
      </c>
      <c r="C104">
        <v>13</v>
      </c>
      <c r="D104" s="86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0</v>
      </c>
      <c r="Y104">
        <v>0</v>
      </c>
      <c r="Z104">
        <v>0</v>
      </c>
      <c r="AA104" s="86">
        <f>AVERAGEIFS($C$2:C104, $B$2:B104, B104)</f>
        <v>8</v>
      </c>
      <c r="AB104" s="86">
        <f>AVERAGEIFS($I$2:I104, $B$2:B104, B104)</f>
        <v>0.33333333333333331</v>
      </c>
      <c r="AC104" s="86">
        <f>AVERAGEIFS($J$2:J104, $B$2:B104, B104)</f>
        <v>0.4466666666666666</v>
      </c>
      <c r="AD104" s="86">
        <f>AVERAGEIFS($D$2:D104, $B$2:B104, B104)</f>
        <v>0.33333333333333331</v>
      </c>
    </row>
    <row r="105" spans="1:30" x14ac:dyDescent="0.25">
      <c r="A105" s="85">
        <v>46075</v>
      </c>
      <c r="B105" t="s">
        <v>29</v>
      </c>
      <c r="C105">
        <v>9</v>
      </c>
      <c r="D105" s="86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0</v>
      </c>
      <c r="Y105">
        <v>0</v>
      </c>
      <c r="Z105">
        <v>0</v>
      </c>
      <c r="AA105" s="86">
        <f>AVERAGEIFS($C$2:C105, $B$2:B105, B105)</f>
        <v>12.75</v>
      </c>
      <c r="AB105" s="86">
        <f>AVERAGEIFS($I$2:I105, $B$2:B105, B105)</f>
        <v>0.58750000000000002</v>
      </c>
      <c r="AC105" s="86">
        <f>AVERAGEIFS($J$2:J105, $B$2:B105, B105)</f>
        <v>0.53749999999999998</v>
      </c>
      <c r="AD105" s="86">
        <f>AVERAGEIFS($D$2:D105, $B$2:B105, B105)</f>
        <v>0.75</v>
      </c>
    </row>
    <row r="106" spans="1:30" x14ac:dyDescent="0.25">
      <c r="A106" s="85">
        <v>46075</v>
      </c>
      <c r="B106" t="s">
        <v>14</v>
      </c>
      <c r="C106">
        <v>33</v>
      </c>
      <c r="D106" s="86">
        <v>0</v>
      </c>
      <c r="E106">
        <v>4</v>
      </c>
      <c r="F106">
        <v>1</v>
      </c>
      <c r="G106">
        <v>16</v>
      </c>
      <c r="H106">
        <v>6</v>
      </c>
      <c r="I106">
        <v>0.25</v>
      </c>
      <c r="J106">
        <v>0.38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86">
        <f>AVERAGEIFS($C$2:C106, $B$2:B106, B106)</f>
        <v>38.4</v>
      </c>
      <c r="AB106" s="86">
        <f>AVERAGEIFS($I$2:I106, $B$2:B106, B106)</f>
        <v>0.42000000000000004</v>
      </c>
      <c r="AC106" s="86">
        <f>AVERAGEIFS($J$2:J106, $B$2:B106, B106)</f>
        <v>0.46799999999999997</v>
      </c>
      <c r="AD106" s="86">
        <f>AVERAGEIFS($D$2:D106, $B$2:B106, B106)</f>
        <v>0.4</v>
      </c>
    </row>
    <row r="107" spans="1:30" x14ac:dyDescent="0.25">
      <c r="A107" s="85">
        <v>46075</v>
      </c>
      <c r="B107" t="s">
        <v>3</v>
      </c>
      <c r="C107">
        <v>18</v>
      </c>
      <c r="D107" s="86">
        <v>0</v>
      </c>
      <c r="E107">
        <v>4</v>
      </c>
      <c r="F107">
        <v>1</v>
      </c>
      <c r="G107">
        <v>16</v>
      </c>
      <c r="H107">
        <v>6</v>
      </c>
      <c r="I107">
        <v>0.25</v>
      </c>
      <c r="J107">
        <v>0.38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1</v>
      </c>
      <c r="Y107">
        <v>0</v>
      </c>
      <c r="Z107">
        <v>0</v>
      </c>
      <c r="AA107" s="86">
        <f>AVERAGEIFS($C$2:C107, $B$2:B107, B107)</f>
        <v>29.25</v>
      </c>
      <c r="AB107" s="86">
        <f>AVERAGEIFS($I$2:I107, $B$2:B107, B107)</f>
        <v>0.55000000000000004</v>
      </c>
      <c r="AC107" s="86">
        <f>AVERAGEIFS($J$2:J107, $B$2:B107, B107)</f>
        <v>0.52249999999999996</v>
      </c>
      <c r="AD107" s="86">
        <f>AVERAGEIFS($D$2:D107, $B$2:B107, B107)</f>
        <v>0.75</v>
      </c>
    </row>
    <row r="108" spans="1:30" x14ac:dyDescent="0.25">
      <c r="A108" s="85">
        <v>46075</v>
      </c>
      <c r="B108" t="s">
        <v>27</v>
      </c>
      <c r="C108">
        <v>18</v>
      </c>
      <c r="D108" s="86">
        <v>0</v>
      </c>
      <c r="E108">
        <v>4</v>
      </c>
      <c r="F108">
        <v>1</v>
      </c>
      <c r="G108">
        <v>16</v>
      </c>
      <c r="H108">
        <v>6</v>
      </c>
      <c r="I108">
        <v>0.25</v>
      </c>
      <c r="J108">
        <v>0.38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1</v>
      </c>
      <c r="Y108">
        <v>0</v>
      </c>
      <c r="Z108">
        <v>0</v>
      </c>
      <c r="AA108" s="86">
        <f>AVERAGEIFS($C$2:C108, $B$2:B108, B108)</f>
        <v>15.6</v>
      </c>
      <c r="AB108" s="86">
        <f>AVERAGEIFS($I$2:I108, $B$2:B108, B108)</f>
        <v>0.52</v>
      </c>
      <c r="AC108" s="86">
        <f>AVERAGEIFS($J$2:J108, $B$2:B108, B108)</f>
        <v>0.502</v>
      </c>
      <c r="AD108" s="86">
        <f>AVERAGEIFS($D$2:D108, $B$2:B108, B108)</f>
        <v>0.6</v>
      </c>
    </row>
    <row r="109" spans="1:30" x14ac:dyDescent="0.25">
      <c r="A109" s="85">
        <v>46075</v>
      </c>
      <c r="B109" t="s">
        <v>37</v>
      </c>
      <c r="C109">
        <v>17</v>
      </c>
      <c r="D109" s="86">
        <v>0</v>
      </c>
      <c r="E109">
        <v>4</v>
      </c>
      <c r="F109">
        <v>1</v>
      </c>
      <c r="G109">
        <v>16</v>
      </c>
      <c r="H109">
        <v>6</v>
      </c>
      <c r="I109">
        <v>0.25</v>
      </c>
      <c r="J109">
        <v>0.38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1</v>
      </c>
      <c r="Y109">
        <v>0</v>
      </c>
      <c r="Z109">
        <v>0</v>
      </c>
      <c r="AA109" s="86">
        <f>AVERAGEIFS($C$2:C109, $B$2:B109, B109)</f>
        <v>20</v>
      </c>
      <c r="AB109" s="86">
        <f>AVERAGEIFS($I$2:I109, $B$2:B109, B109)</f>
        <v>0.41249999999999998</v>
      </c>
      <c r="AC109" s="86">
        <f>AVERAGEIFS($J$2:J109, $B$2:B109, B109)</f>
        <v>0.45499999999999996</v>
      </c>
      <c r="AD109" s="86">
        <f>AVERAGEIFS($D$2:D109, $B$2:B109, B109)</f>
        <v>0.25</v>
      </c>
    </row>
    <row r="110" spans="1:30" x14ac:dyDescent="0.25">
      <c r="A110" s="85">
        <v>46075</v>
      </c>
      <c r="B110" t="s">
        <v>19</v>
      </c>
      <c r="C110">
        <v>11</v>
      </c>
      <c r="D110" s="86">
        <v>0</v>
      </c>
      <c r="E110">
        <v>4</v>
      </c>
      <c r="F110">
        <v>1</v>
      </c>
      <c r="G110">
        <v>16</v>
      </c>
      <c r="H110">
        <v>6</v>
      </c>
      <c r="I110">
        <v>0.25</v>
      </c>
      <c r="J110">
        <v>0.38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1</v>
      </c>
      <c r="Y110">
        <v>0</v>
      </c>
      <c r="Z110">
        <v>0</v>
      </c>
      <c r="AA110" s="86">
        <f>AVERAGEIFS($C$2:C110, $B$2:B110, B110)</f>
        <v>15.333333333333334</v>
      </c>
      <c r="AB110" s="86">
        <f>AVERAGEIFS($I$2:I110, $B$2:B110, B110)</f>
        <v>0.5083333333333333</v>
      </c>
      <c r="AC110" s="86">
        <f>AVERAGEIFS($J$2:J110, $B$2:B110, B110)</f>
        <v>0.49833333333333329</v>
      </c>
      <c r="AD110" s="86">
        <f>AVERAGEIFS($D$2:D110, $B$2:B110, B110)</f>
        <v>0.33333333333333331</v>
      </c>
    </row>
    <row r="111" spans="1:30" x14ac:dyDescent="0.25">
      <c r="A111" s="85">
        <v>46075</v>
      </c>
      <c r="B111" t="s">
        <v>55</v>
      </c>
      <c r="C111">
        <v>6</v>
      </c>
      <c r="D111" s="86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86">
        <f>AVERAGEIFS($C$2:C111, $B$2:B111, B111)</f>
        <v>9</v>
      </c>
      <c r="AB111" s="86">
        <f>AVERAGEIFS($I$2:I111, $B$2:B111, B111)</f>
        <v>0.42499999999999999</v>
      </c>
      <c r="AC111" s="86">
        <f>AVERAGEIFS($J$2:J111, $B$2:B111, B111)</f>
        <v>0.47499999999999998</v>
      </c>
      <c r="AD111" s="86">
        <f>AVERAGEIFS($D$2:D111, $B$2:B111, B111)</f>
        <v>0.5</v>
      </c>
    </row>
    <row r="112" spans="1:30" x14ac:dyDescent="0.25">
      <c r="A112" s="85">
        <v>46083</v>
      </c>
      <c r="B112" t="s">
        <v>13</v>
      </c>
      <c r="C112">
        <v>43</v>
      </c>
      <c r="D112" s="86">
        <v>1</v>
      </c>
      <c r="E112">
        <v>4</v>
      </c>
      <c r="F112">
        <v>3</v>
      </c>
      <c r="G112">
        <v>16</v>
      </c>
      <c r="H112">
        <v>11</v>
      </c>
      <c r="I112">
        <v>0.75</v>
      </c>
      <c r="J112">
        <v>0.69</v>
      </c>
      <c r="K112">
        <v>0</v>
      </c>
      <c r="L112">
        <v>0</v>
      </c>
      <c r="M112">
        <v>0</v>
      </c>
      <c r="N112">
        <v>1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1</v>
      </c>
      <c r="X112">
        <v>0</v>
      </c>
      <c r="Y112">
        <v>0</v>
      </c>
      <c r="Z112">
        <v>1</v>
      </c>
      <c r="AA112" s="86">
        <f>AVERAGEIFS($C$2:C112, $B$2:B112, B112)</f>
        <v>36.833333333333336</v>
      </c>
      <c r="AB112" s="86">
        <f>AVERAGEIFS($I$2:I112, $B$2:B112, B112)</f>
        <v>0.4916666666666667</v>
      </c>
      <c r="AC112" s="86">
        <f>AVERAGEIFS($J$2:J112, $B$2:B112, B112)</f>
        <v>0.53666666666666663</v>
      </c>
      <c r="AD112" s="86">
        <f>AVERAGEIFS($D$2:D112, $B$2:B112, B112)</f>
        <v>0.66666666666666663</v>
      </c>
    </row>
    <row r="113" spans="1:30" x14ac:dyDescent="0.25">
      <c r="A113" s="85">
        <v>46083</v>
      </c>
      <c r="B113" t="s">
        <v>2</v>
      </c>
      <c r="C113">
        <v>37</v>
      </c>
      <c r="D113" s="86">
        <v>1</v>
      </c>
      <c r="E113">
        <v>4</v>
      </c>
      <c r="F113">
        <v>3</v>
      </c>
      <c r="G113">
        <v>16</v>
      </c>
      <c r="H113">
        <v>11</v>
      </c>
      <c r="I113">
        <v>0.75</v>
      </c>
      <c r="J113">
        <v>0.69</v>
      </c>
      <c r="K113">
        <v>0</v>
      </c>
      <c r="L113">
        <v>0</v>
      </c>
      <c r="M113">
        <v>0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1</v>
      </c>
      <c r="AA113" s="86">
        <f>AVERAGEIFS($C$2:C113, $B$2:B113, B113)</f>
        <v>31.2</v>
      </c>
      <c r="AB113" s="86">
        <f>AVERAGEIFS($I$2:I113, $B$2:B113, B113)</f>
        <v>0.57999999999999996</v>
      </c>
      <c r="AC113" s="86">
        <f>AVERAGEIFS($J$2:J113, $B$2:B113, B113)</f>
        <v>0.54600000000000004</v>
      </c>
      <c r="AD113" s="86">
        <f>AVERAGEIFS($D$2:D113, $B$2:B113, B113)</f>
        <v>0.6</v>
      </c>
    </row>
    <row r="114" spans="1:30" x14ac:dyDescent="0.25">
      <c r="A114" s="85">
        <v>46083</v>
      </c>
      <c r="B114" t="s">
        <v>20</v>
      </c>
      <c r="C114">
        <v>17</v>
      </c>
      <c r="D114" s="86">
        <v>1</v>
      </c>
      <c r="E114">
        <v>4</v>
      </c>
      <c r="F114">
        <v>3</v>
      </c>
      <c r="G114">
        <v>16</v>
      </c>
      <c r="H114">
        <v>11</v>
      </c>
      <c r="I114">
        <v>0.75</v>
      </c>
      <c r="J114">
        <v>0.69</v>
      </c>
      <c r="K114">
        <v>0</v>
      </c>
      <c r="L114">
        <v>0</v>
      </c>
      <c r="M114">
        <v>0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1</v>
      </c>
      <c r="AA114" s="86">
        <f>AVERAGEIFS($C$2:C114, $B$2:B114, B114)</f>
        <v>16</v>
      </c>
      <c r="AB114" s="86">
        <f>AVERAGEIFS($I$2:I114, $B$2:B114, B114)</f>
        <v>0.50714285714285712</v>
      </c>
      <c r="AC114" s="86">
        <f>AVERAGEIFS($J$2:J114, $B$2:B114, B114)</f>
        <v>0.5228571428571428</v>
      </c>
      <c r="AD114" s="86">
        <f>AVERAGEIFS($D$2:D114, $B$2:B114, B114)</f>
        <v>0.42857142857142855</v>
      </c>
    </row>
    <row r="115" spans="1:30" x14ac:dyDescent="0.25">
      <c r="A115" s="85">
        <v>46083</v>
      </c>
      <c r="B115" t="s">
        <v>35</v>
      </c>
      <c r="C115">
        <v>17</v>
      </c>
      <c r="D115" s="86">
        <v>1</v>
      </c>
      <c r="E115">
        <v>4</v>
      </c>
      <c r="F115">
        <v>3</v>
      </c>
      <c r="G115">
        <v>16</v>
      </c>
      <c r="H115">
        <v>11</v>
      </c>
      <c r="I115">
        <v>0.75</v>
      </c>
      <c r="J115">
        <v>0.69</v>
      </c>
      <c r="K115">
        <v>0</v>
      </c>
      <c r="L115">
        <v>0</v>
      </c>
      <c r="M115">
        <v>0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1</v>
      </c>
      <c r="AA115" s="86">
        <f>AVERAGEIFS($C$2:C115, $B$2:B115, B115)</f>
        <v>10.25</v>
      </c>
      <c r="AB115" s="86">
        <f>AVERAGEIFS($I$2:I115, $B$2:B115, B115)</f>
        <v>0.4375</v>
      </c>
      <c r="AC115" s="86">
        <f>AVERAGEIFS($J$2:J115, $B$2:B115, B115)</f>
        <v>0.50749999999999995</v>
      </c>
      <c r="AD115" s="86">
        <f>AVERAGEIFS($D$2:D115, $B$2:B115, B115)</f>
        <v>0.5</v>
      </c>
    </row>
    <row r="116" spans="1:30" x14ac:dyDescent="0.25">
      <c r="A116" s="85">
        <v>46083</v>
      </c>
      <c r="B116" t="s">
        <v>29</v>
      </c>
      <c r="C116">
        <v>14</v>
      </c>
      <c r="D116" s="86">
        <v>1</v>
      </c>
      <c r="E116">
        <v>4</v>
      </c>
      <c r="F116">
        <v>3</v>
      </c>
      <c r="G116">
        <v>16</v>
      </c>
      <c r="H116">
        <v>11</v>
      </c>
      <c r="I116">
        <v>0.75</v>
      </c>
      <c r="J116">
        <v>0.69</v>
      </c>
      <c r="K116">
        <v>0</v>
      </c>
      <c r="L116">
        <v>0</v>
      </c>
      <c r="M116">
        <v>0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1</v>
      </c>
      <c r="AA116" s="86">
        <f>AVERAGEIFS($C$2:C116, $B$2:B116, B116)</f>
        <v>13</v>
      </c>
      <c r="AB116" s="86">
        <f>AVERAGEIFS($I$2:I116, $B$2:B116, B116)</f>
        <v>0.62</v>
      </c>
      <c r="AC116" s="86">
        <f>AVERAGEIFS($J$2:J116, $B$2:B116, B116)</f>
        <v>0.56799999999999995</v>
      </c>
      <c r="AD116" s="86">
        <f>AVERAGEIFS($D$2:D116, $B$2:B116, B116)</f>
        <v>0.8</v>
      </c>
    </row>
    <row r="117" spans="1:30" x14ac:dyDescent="0.25">
      <c r="A117" s="85">
        <v>46083</v>
      </c>
      <c r="B117" t="s">
        <v>45</v>
      </c>
      <c r="C117">
        <v>13</v>
      </c>
      <c r="D117" s="86">
        <v>1</v>
      </c>
      <c r="E117">
        <v>4</v>
      </c>
      <c r="F117">
        <v>3</v>
      </c>
      <c r="G117">
        <v>16</v>
      </c>
      <c r="H117">
        <v>11</v>
      </c>
      <c r="I117">
        <v>0.75</v>
      </c>
      <c r="J117">
        <v>0.69</v>
      </c>
      <c r="K117">
        <v>0</v>
      </c>
      <c r="L117">
        <v>0</v>
      </c>
      <c r="M117">
        <v>0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1</v>
      </c>
      <c r="AA117" s="86">
        <f>AVERAGEIFS($C$2:C117, $B$2:B117, B117)</f>
        <v>13.5</v>
      </c>
      <c r="AB117" s="86">
        <f>AVERAGEIFS($I$2:I117, $B$2:B117, B117)</f>
        <v>0.4375</v>
      </c>
      <c r="AC117" s="86">
        <f>AVERAGEIFS($J$2:J117, $B$2:B117, B117)</f>
        <v>0.50749999999999995</v>
      </c>
      <c r="AD117" s="86">
        <f>AVERAGEIFS($D$2:D117, $B$2:B117, B117)</f>
        <v>0.5</v>
      </c>
    </row>
    <row r="118" spans="1:30" x14ac:dyDescent="0.25">
      <c r="A118" s="85">
        <v>46083</v>
      </c>
      <c r="B118" t="s">
        <v>6</v>
      </c>
      <c r="C118">
        <v>32</v>
      </c>
      <c r="D118" s="86">
        <v>0</v>
      </c>
      <c r="E118">
        <v>4</v>
      </c>
      <c r="F118">
        <v>1</v>
      </c>
      <c r="G118">
        <v>16</v>
      </c>
      <c r="H118">
        <v>5</v>
      </c>
      <c r="I118">
        <v>0.25</v>
      </c>
      <c r="J118">
        <v>0.31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1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 s="86">
        <f>AVERAGEIFS($C$2:C118, $B$2:B118, B118)</f>
        <v>25.2</v>
      </c>
      <c r="AB118" s="86">
        <f>AVERAGEIFS($I$2:I118, $B$2:B118, B118)</f>
        <v>0.63</v>
      </c>
      <c r="AC118" s="86">
        <f>AVERAGEIFS($J$2:J118, $B$2:B118, B118)</f>
        <v>0.51600000000000001</v>
      </c>
      <c r="AD118" s="86">
        <f>AVERAGEIFS($D$2:D118, $B$2:B118, B118)</f>
        <v>0.6</v>
      </c>
    </row>
    <row r="119" spans="1:30" x14ac:dyDescent="0.25">
      <c r="A119" s="85">
        <v>46083</v>
      </c>
      <c r="B119" t="s">
        <v>18</v>
      </c>
      <c r="C119">
        <v>25</v>
      </c>
      <c r="D119" s="86">
        <v>0</v>
      </c>
      <c r="E119">
        <v>4</v>
      </c>
      <c r="F119">
        <v>1</v>
      </c>
      <c r="G119">
        <v>16</v>
      </c>
      <c r="H119">
        <v>5</v>
      </c>
      <c r="I119">
        <v>0.25</v>
      </c>
      <c r="J119">
        <v>0.31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1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 s="86">
        <f>AVERAGEIFS($C$2:C119, $B$2:B119, B119)</f>
        <v>30.166666666666668</v>
      </c>
      <c r="AB119" s="86">
        <f>AVERAGEIFS($I$2:I119, $B$2:B119, B119)</f>
        <v>0.44166666666666665</v>
      </c>
      <c r="AC119" s="86">
        <f>AVERAGEIFS($J$2:J119, $B$2:B119, B119)</f>
        <v>0.45833333333333331</v>
      </c>
      <c r="AD119" s="86">
        <f>AVERAGEIFS($D$2:D119, $B$2:B119, B119)</f>
        <v>0.33333333333333331</v>
      </c>
    </row>
    <row r="120" spans="1:30" x14ac:dyDescent="0.25">
      <c r="A120" s="85">
        <v>46083</v>
      </c>
      <c r="B120" t="s">
        <v>26</v>
      </c>
      <c r="C120">
        <v>24</v>
      </c>
      <c r="D120" s="86">
        <v>0</v>
      </c>
      <c r="E120">
        <v>4</v>
      </c>
      <c r="F120">
        <v>1</v>
      </c>
      <c r="G120">
        <v>16</v>
      </c>
      <c r="H120">
        <v>5</v>
      </c>
      <c r="I120">
        <v>0.25</v>
      </c>
      <c r="J120">
        <v>0.31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1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 s="86">
        <f>AVERAGEIFS($C$2:C120, $B$2:B120, B120)</f>
        <v>16.8</v>
      </c>
      <c r="AB120" s="86">
        <f>AVERAGEIFS($I$2:I120, $B$2:B120, B120)</f>
        <v>0.49000000000000005</v>
      </c>
      <c r="AC120" s="86">
        <f>AVERAGEIFS($J$2:J120, $B$2:B120, B120)</f>
        <v>0.48799999999999999</v>
      </c>
      <c r="AD120" s="86">
        <f>AVERAGEIFS($D$2:D120, $B$2:B120, B120)</f>
        <v>0.6</v>
      </c>
    </row>
    <row r="121" spans="1:30" x14ac:dyDescent="0.25">
      <c r="A121" s="85">
        <v>46083</v>
      </c>
      <c r="B121" t="s">
        <v>46</v>
      </c>
      <c r="C121">
        <v>23</v>
      </c>
      <c r="D121" s="86">
        <v>0</v>
      </c>
      <c r="E121">
        <v>4</v>
      </c>
      <c r="F121">
        <v>1</v>
      </c>
      <c r="G121">
        <v>16</v>
      </c>
      <c r="H121">
        <v>5</v>
      </c>
      <c r="I121">
        <v>0.25</v>
      </c>
      <c r="J121">
        <v>0.31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1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 s="86">
        <f>AVERAGEIFS($C$2:C121, $B$2:B121, B121)</f>
        <v>21.2</v>
      </c>
      <c r="AB121" s="86">
        <f>AVERAGEIFS($I$2:I121, $B$2:B121, B121)</f>
        <v>0.4</v>
      </c>
      <c r="AC121" s="86">
        <f>AVERAGEIFS($J$2:J121, $B$2:B121, B121)</f>
        <v>0.42800000000000005</v>
      </c>
      <c r="AD121" s="86">
        <f>AVERAGEIFS($D$2:D121, $B$2:B121, B121)</f>
        <v>0.4</v>
      </c>
    </row>
    <row r="122" spans="1:30" x14ac:dyDescent="0.25">
      <c r="A122" s="85">
        <v>46083</v>
      </c>
      <c r="B122" t="s">
        <v>51</v>
      </c>
      <c r="C122">
        <v>17</v>
      </c>
      <c r="D122" s="86">
        <v>0</v>
      </c>
      <c r="E122">
        <v>4</v>
      </c>
      <c r="F122">
        <v>1</v>
      </c>
      <c r="G122">
        <v>16</v>
      </c>
      <c r="H122">
        <v>5</v>
      </c>
      <c r="I122">
        <v>0.25</v>
      </c>
      <c r="J122">
        <v>0.31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1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 s="86">
        <f>AVERAGEIFS($C$2:C122, $B$2:B122, B122)</f>
        <v>16.8</v>
      </c>
      <c r="AB122" s="86">
        <f>AVERAGEIFS($I$2:I122, $B$2:B122, B122)</f>
        <v>0.63</v>
      </c>
      <c r="AC122" s="86">
        <f>AVERAGEIFS($J$2:J122, $B$2:B122, B122)</f>
        <v>0.51600000000000001</v>
      </c>
      <c r="AD122" s="86">
        <f>AVERAGEIFS($D$2:D122, $B$2:B122, B122)</f>
        <v>0.6</v>
      </c>
    </row>
    <row r="123" spans="1:30" x14ac:dyDescent="0.25">
      <c r="A123" s="85">
        <v>46083</v>
      </c>
      <c r="B123" t="s">
        <v>38</v>
      </c>
      <c r="C123">
        <v>4</v>
      </c>
      <c r="D123" s="86">
        <v>0</v>
      </c>
      <c r="E123">
        <v>4</v>
      </c>
      <c r="F123">
        <v>1</v>
      </c>
      <c r="G123">
        <v>16</v>
      </c>
      <c r="H123">
        <v>5</v>
      </c>
      <c r="I123">
        <v>0.25</v>
      </c>
      <c r="J123">
        <v>0.31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1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 s="86">
        <f>AVERAGEIFS($C$2:C123, $B$2:B123, B123)</f>
        <v>5</v>
      </c>
      <c r="AB123" s="86">
        <f>AVERAGEIFS($I$2:I123, $B$2:B123, B123)</f>
        <v>0.5</v>
      </c>
      <c r="AC123" s="86">
        <f>AVERAGEIFS($J$2:J123, $B$2:B123, B123)</f>
        <v>0.43500000000000005</v>
      </c>
      <c r="AD123" s="86">
        <f>AVERAGEIFS($D$2:D123, $B$2:B123, B123)</f>
        <v>0.5</v>
      </c>
    </row>
    <row r="124" spans="1:30" x14ac:dyDescent="0.25">
      <c r="A124" s="85">
        <v>46103</v>
      </c>
      <c r="B124" t="s">
        <v>40</v>
      </c>
      <c r="C124">
        <v>28</v>
      </c>
      <c r="D124" s="86">
        <v>0</v>
      </c>
      <c r="E124">
        <v>5</v>
      </c>
      <c r="F124">
        <v>2</v>
      </c>
      <c r="G124">
        <v>20</v>
      </c>
      <c r="H124">
        <v>8</v>
      </c>
      <c r="I124">
        <v>0.4</v>
      </c>
      <c r="J124">
        <v>0.4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1</v>
      </c>
      <c r="Y124">
        <v>1</v>
      </c>
      <c r="Z124">
        <v>0</v>
      </c>
      <c r="AA124" s="86">
        <f>AVERAGEIFS($C$2:C124, $B$2:B124, B124)</f>
        <v>22</v>
      </c>
      <c r="AB124" s="86">
        <f>AVERAGEIFS($I$2:I124, $B$2:B124, B124)</f>
        <v>0.32500000000000001</v>
      </c>
      <c r="AC124" s="86">
        <f>AVERAGEIFS($J$2:J124, $B$2:B124, B124)</f>
        <v>0.42000000000000004</v>
      </c>
      <c r="AD124" s="86">
        <f>AVERAGEIFS($D$2:D124, $B$2:B124, B124)</f>
        <v>0</v>
      </c>
    </row>
    <row r="125" spans="1:30" x14ac:dyDescent="0.25">
      <c r="A125" s="85">
        <v>46103</v>
      </c>
      <c r="B125" t="s">
        <v>17</v>
      </c>
      <c r="C125">
        <v>31</v>
      </c>
      <c r="D125" s="86">
        <v>0</v>
      </c>
      <c r="E125">
        <v>5</v>
      </c>
      <c r="F125">
        <v>2</v>
      </c>
      <c r="G125">
        <v>20</v>
      </c>
      <c r="H125">
        <v>8</v>
      </c>
      <c r="I125">
        <v>0.4</v>
      </c>
      <c r="J125">
        <v>0.4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1</v>
      </c>
      <c r="Y125">
        <v>1</v>
      </c>
      <c r="Z125">
        <v>0</v>
      </c>
      <c r="AA125" s="86">
        <f>AVERAGEIFS($C$2:C125, $B$2:B125, B125)</f>
        <v>31.833333333333332</v>
      </c>
      <c r="AB125" s="86">
        <f>AVERAGEIFS($I$2:I125, $B$2:B125, B125)</f>
        <v>0.44999999999999996</v>
      </c>
      <c r="AC125" s="86">
        <f>AVERAGEIFS($J$2:J125, $B$2:B125, B125)</f>
        <v>0.47666666666666663</v>
      </c>
      <c r="AD125" s="86">
        <f>AVERAGEIFS($D$2:D125, $B$2:B125, B125)</f>
        <v>0.16666666666666666</v>
      </c>
    </row>
    <row r="126" spans="1:30" x14ac:dyDescent="0.25">
      <c r="A126" s="85">
        <v>46103</v>
      </c>
      <c r="B126" t="s">
        <v>147</v>
      </c>
      <c r="C126">
        <v>22</v>
      </c>
      <c r="D126" s="86">
        <v>0</v>
      </c>
      <c r="E126">
        <v>5</v>
      </c>
      <c r="F126">
        <v>2</v>
      </c>
      <c r="G126">
        <v>20</v>
      </c>
      <c r="H126">
        <v>8</v>
      </c>
      <c r="I126">
        <v>0.4</v>
      </c>
      <c r="J126">
        <v>0.4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1</v>
      </c>
      <c r="Y126">
        <v>1</v>
      </c>
      <c r="Z126">
        <v>0</v>
      </c>
      <c r="AA126" s="86">
        <f>AVERAGEIFS($C$2:C126, $B$2:B126, B126)</f>
        <v>22</v>
      </c>
      <c r="AB126" s="86">
        <f>AVERAGEIFS($I$2:I126, $B$2:B126, B126)</f>
        <v>0.4</v>
      </c>
      <c r="AC126" s="86">
        <f>AVERAGEIFS($J$2:J126, $B$2:B126, B126)</f>
        <v>0.4</v>
      </c>
      <c r="AD126" s="86">
        <f>AVERAGEIFS($D$2:D126, $B$2:B126, B126)</f>
        <v>0</v>
      </c>
    </row>
    <row r="127" spans="1:30" x14ac:dyDescent="0.25">
      <c r="A127" s="85">
        <v>46103</v>
      </c>
      <c r="B127" t="s">
        <v>45</v>
      </c>
      <c r="C127">
        <v>17</v>
      </c>
      <c r="D127" s="86">
        <v>0</v>
      </c>
      <c r="E127">
        <v>5</v>
      </c>
      <c r="F127">
        <v>2</v>
      </c>
      <c r="G127">
        <v>20</v>
      </c>
      <c r="H127">
        <v>8</v>
      </c>
      <c r="I127">
        <v>0.4</v>
      </c>
      <c r="J127">
        <v>0.4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1</v>
      </c>
      <c r="Y127">
        <v>1</v>
      </c>
      <c r="Z127">
        <v>0</v>
      </c>
      <c r="AA127" s="86">
        <f>AVERAGEIFS($C$2:C127, $B$2:B127, B127)</f>
        <v>14.2</v>
      </c>
      <c r="AB127" s="86">
        <f>AVERAGEIFS($I$2:I127, $B$2:B127, B127)</f>
        <v>0.43</v>
      </c>
      <c r="AC127" s="86">
        <f>AVERAGEIFS($J$2:J127, $B$2:B127, B127)</f>
        <v>0.48599999999999993</v>
      </c>
      <c r="AD127" s="86">
        <f>AVERAGEIFS($D$2:D127, $B$2:B127, B127)</f>
        <v>0.4</v>
      </c>
    </row>
    <row r="128" spans="1:30" x14ac:dyDescent="0.25">
      <c r="A128" s="85">
        <v>46103</v>
      </c>
      <c r="B128" t="s">
        <v>146</v>
      </c>
      <c r="C128">
        <v>21</v>
      </c>
      <c r="D128" s="86">
        <v>0</v>
      </c>
      <c r="E128">
        <v>5</v>
      </c>
      <c r="F128">
        <v>2</v>
      </c>
      <c r="G128">
        <v>20</v>
      </c>
      <c r="H128">
        <v>8</v>
      </c>
      <c r="I128">
        <v>0.4</v>
      </c>
      <c r="J128">
        <v>0.4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1</v>
      </c>
      <c r="Y128">
        <v>1</v>
      </c>
      <c r="Z128">
        <v>0</v>
      </c>
      <c r="AA128" s="86">
        <f>AVERAGEIFS($C$2:C128, $B$2:B128, B128)</f>
        <v>21</v>
      </c>
      <c r="AB128" s="86">
        <f>AVERAGEIFS($I$2:I128, $B$2:B128, B128)</f>
        <v>0.4</v>
      </c>
      <c r="AC128" s="86">
        <f>AVERAGEIFS($J$2:J128, $B$2:B128, B128)</f>
        <v>0.4</v>
      </c>
      <c r="AD128" s="86">
        <f>AVERAGEIFS($D$2:D128, $B$2:B128, B128)</f>
        <v>0</v>
      </c>
    </row>
    <row r="129" spans="1:30" x14ac:dyDescent="0.25">
      <c r="A129" s="85">
        <v>46103</v>
      </c>
      <c r="B129" t="s">
        <v>15</v>
      </c>
      <c r="C129">
        <v>33</v>
      </c>
      <c r="D129" s="86">
        <v>0</v>
      </c>
      <c r="E129">
        <v>5</v>
      </c>
      <c r="F129">
        <v>2</v>
      </c>
      <c r="G129">
        <v>20</v>
      </c>
      <c r="H129">
        <v>8</v>
      </c>
      <c r="I129">
        <v>0.4</v>
      </c>
      <c r="J129">
        <v>0.4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1</v>
      </c>
      <c r="Y129">
        <v>1</v>
      </c>
      <c r="Z129">
        <v>0</v>
      </c>
      <c r="AA129" s="86">
        <f>AVERAGEIFS($C$2:C129, $B$2:B129, B129)</f>
        <v>33</v>
      </c>
      <c r="AB129" s="86">
        <f>AVERAGEIFS($I$2:I129, $B$2:B129, B129)</f>
        <v>0.49285714285714283</v>
      </c>
      <c r="AC129" s="86">
        <f>AVERAGEIFS($J$2:J129, $B$2:B129, B129)</f>
        <v>0.49285714285714283</v>
      </c>
      <c r="AD129" s="86">
        <f>AVERAGEIFS($D$2:D129, $B$2:B129, B129)</f>
        <v>0.2857142857142857</v>
      </c>
    </row>
    <row r="130" spans="1:30" x14ac:dyDescent="0.25">
      <c r="A130" s="85">
        <v>46103</v>
      </c>
      <c r="B130" t="s">
        <v>19</v>
      </c>
      <c r="C130">
        <v>10</v>
      </c>
      <c r="D130" s="86">
        <v>1</v>
      </c>
      <c r="E130">
        <v>5</v>
      </c>
      <c r="F130">
        <v>3</v>
      </c>
      <c r="G130">
        <v>20</v>
      </c>
      <c r="H130">
        <v>12</v>
      </c>
      <c r="I130">
        <v>0.6</v>
      </c>
      <c r="J130">
        <v>0.6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 s="86">
        <f>AVERAGEIFS($C$2:C130, $B$2:B130, B130)</f>
        <v>14.571428571428571</v>
      </c>
      <c r="AB130" s="86">
        <f>AVERAGEIFS($I$2:I130, $B$2:B130, B130)</f>
        <v>0.52142857142857146</v>
      </c>
      <c r="AC130" s="86">
        <f>AVERAGEIFS($J$2:J130, $B$2:B130, B130)</f>
        <v>0.51285714285714279</v>
      </c>
      <c r="AD130" s="86">
        <f>AVERAGEIFS($D$2:D130, $B$2:B130, B130)</f>
        <v>0.42857142857142855</v>
      </c>
    </row>
    <row r="131" spans="1:30" x14ac:dyDescent="0.25">
      <c r="A131" s="85">
        <v>46103</v>
      </c>
      <c r="B131" t="s">
        <v>37</v>
      </c>
      <c r="C131">
        <v>33</v>
      </c>
      <c r="D131" s="86">
        <v>1</v>
      </c>
      <c r="E131">
        <v>5</v>
      </c>
      <c r="F131">
        <v>3</v>
      </c>
      <c r="G131">
        <v>20</v>
      </c>
      <c r="H131">
        <v>12</v>
      </c>
      <c r="I131">
        <v>0.6</v>
      </c>
      <c r="J131">
        <v>0.6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1</v>
      </c>
      <c r="AA131" s="86">
        <f>AVERAGEIFS($C$2:C131, $B$2:B131, B131)</f>
        <v>22.6</v>
      </c>
      <c r="AB131" s="86">
        <f>AVERAGEIFS($I$2:I131, $B$2:B131, B131)</f>
        <v>0.45</v>
      </c>
      <c r="AC131" s="86">
        <f>AVERAGEIFS($J$2:J131, $B$2:B131, B131)</f>
        <v>0.48399999999999999</v>
      </c>
      <c r="AD131" s="86">
        <f>AVERAGEIFS($D$2:D131, $B$2:B131, B131)</f>
        <v>0.4</v>
      </c>
    </row>
    <row r="132" spans="1:30" x14ac:dyDescent="0.25">
      <c r="A132" s="85">
        <v>46103</v>
      </c>
      <c r="B132" t="s">
        <v>13</v>
      </c>
      <c r="C132">
        <v>35</v>
      </c>
      <c r="D132" s="86">
        <v>1</v>
      </c>
      <c r="E132">
        <v>5</v>
      </c>
      <c r="F132">
        <v>3</v>
      </c>
      <c r="G132">
        <v>20</v>
      </c>
      <c r="H132">
        <v>12</v>
      </c>
      <c r="I132">
        <v>0.6</v>
      </c>
      <c r="J132">
        <v>0.6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1</v>
      </c>
      <c r="AA132" s="86">
        <f>AVERAGEIFS($C$2:C132, $B$2:B132, B132)</f>
        <v>36.571428571428569</v>
      </c>
      <c r="AB132" s="86">
        <f>AVERAGEIFS($I$2:I132, $B$2:B132, B132)</f>
        <v>0.50714285714285723</v>
      </c>
      <c r="AC132" s="86">
        <f>AVERAGEIFS($J$2:J132, $B$2:B132, B132)</f>
        <v>0.54571428571428571</v>
      </c>
      <c r="AD132" s="86">
        <f>AVERAGEIFS($D$2:D132, $B$2:B132, B132)</f>
        <v>0.7142857142857143</v>
      </c>
    </row>
    <row r="133" spans="1:30" x14ac:dyDescent="0.25">
      <c r="A133" s="85">
        <v>46103</v>
      </c>
      <c r="B133" t="s">
        <v>27</v>
      </c>
      <c r="C133">
        <v>29</v>
      </c>
      <c r="D133" s="86">
        <v>1</v>
      </c>
      <c r="E133">
        <v>5</v>
      </c>
      <c r="F133">
        <v>3</v>
      </c>
      <c r="G133">
        <v>20</v>
      </c>
      <c r="H133">
        <v>12</v>
      </c>
      <c r="I133">
        <v>0.6</v>
      </c>
      <c r="J133">
        <v>0.6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1</v>
      </c>
      <c r="AA133" s="86">
        <f>AVERAGEIFS($C$2:C133, $B$2:B133, B133)</f>
        <v>17.833333333333332</v>
      </c>
      <c r="AB133" s="86">
        <f>AVERAGEIFS($I$2:I133, $B$2:B133, B133)</f>
        <v>0.53333333333333333</v>
      </c>
      <c r="AC133" s="86">
        <f>AVERAGEIFS($J$2:J133, $B$2:B133, B133)</f>
        <v>0.51833333333333331</v>
      </c>
      <c r="AD133" s="86">
        <f>AVERAGEIFS($D$2:D133, $B$2:B133, B133)</f>
        <v>0.66666666666666663</v>
      </c>
    </row>
    <row r="134" spans="1:30" x14ac:dyDescent="0.25">
      <c r="A134" s="85">
        <v>46103</v>
      </c>
      <c r="B134" t="s">
        <v>4</v>
      </c>
      <c r="C134">
        <v>20</v>
      </c>
      <c r="D134" s="86">
        <v>1</v>
      </c>
      <c r="E134">
        <v>5</v>
      </c>
      <c r="F134">
        <v>3</v>
      </c>
      <c r="G134">
        <v>20</v>
      </c>
      <c r="H134">
        <v>12</v>
      </c>
      <c r="I134">
        <v>0.6</v>
      </c>
      <c r="J134">
        <v>0.6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1</v>
      </c>
      <c r="AA134" s="86">
        <f>AVERAGEIFS($C$2:C134, $B$2:B134, B134)</f>
        <v>22</v>
      </c>
      <c r="AB134" s="86">
        <f>AVERAGEIFS($I$2:I134, $B$2:B134, B134)</f>
        <v>0.67500000000000004</v>
      </c>
      <c r="AC134" s="86">
        <f>AVERAGEIFS($J$2:J134, $B$2:B134, B134)</f>
        <v>0.58000000000000007</v>
      </c>
      <c r="AD134" s="86">
        <f>AVERAGEIFS($D$2:D134, $B$2:B134, B134)</f>
        <v>1</v>
      </c>
    </row>
    <row r="135" spans="1:30" x14ac:dyDescent="0.25">
      <c r="A135" s="85">
        <v>46103</v>
      </c>
      <c r="B135" t="s">
        <v>137</v>
      </c>
      <c r="C135">
        <v>11</v>
      </c>
      <c r="D135" s="86">
        <v>1</v>
      </c>
      <c r="E135">
        <v>5</v>
      </c>
      <c r="F135">
        <v>3</v>
      </c>
      <c r="G135">
        <v>20</v>
      </c>
      <c r="H135">
        <v>12</v>
      </c>
      <c r="I135">
        <v>0.6</v>
      </c>
      <c r="J135">
        <v>0.6</v>
      </c>
      <c r="K135">
        <v>0</v>
      </c>
      <c r="L135">
        <v>0</v>
      </c>
      <c r="M135">
        <v>0</v>
      </c>
      <c r="N135">
        <v>0</v>
      </c>
      <c r="O135">
        <v>1</v>
      </c>
      <c r="P135">
        <v>1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1</v>
      </c>
      <c r="AA135" s="86">
        <f>AVERAGEIFS($C$2:C135, $B$2:B135, B135)</f>
        <v>11</v>
      </c>
      <c r="AB135" s="86">
        <f>AVERAGEIFS($I$2:I135, $B$2:B135, B135)</f>
        <v>0.5625</v>
      </c>
      <c r="AC135" s="86">
        <f>AVERAGEIFS($J$2:J135, $B$2:B135, B135)</f>
        <v>0.54749999999999999</v>
      </c>
      <c r="AD135" s="86">
        <f>AVERAGEIFS($D$2:D135, $B$2:B135, B135)</f>
        <v>0.5</v>
      </c>
    </row>
    <row r="136" spans="1:30" x14ac:dyDescent="0.25">
      <c r="A136" s="85">
        <v>46103</v>
      </c>
      <c r="B136" t="s">
        <v>14</v>
      </c>
      <c r="C136">
        <v>35</v>
      </c>
      <c r="D136" s="86">
        <v>1</v>
      </c>
      <c r="E136">
        <v>5</v>
      </c>
      <c r="F136">
        <v>3</v>
      </c>
      <c r="G136">
        <v>21</v>
      </c>
      <c r="H136">
        <v>11</v>
      </c>
      <c r="I136">
        <v>0.6</v>
      </c>
      <c r="J136">
        <v>0.52</v>
      </c>
      <c r="K136">
        <v>0</v>
      </c>
      <c r="L136">
        <v>1</v>
      </c>
      <c r="M136">
        <v>0</v>
      </c>
      <c r="N136">
        <v>0</v>
      </c>
      <c r="O136">
        <v>1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86">
        <f>AVERAGEIFS($C$2:C136, $B$2:B136, B136)</f>
        <v>37.833333333333336</v>
      </c>
      <c r="AB136" s="86">
        <f>AVERAGEIFS($I$2:I136, $B$2:B136, B136)</f>
        <v>0.45</v>
      </c>
      <c r="AC136" s="86">
        <f>AVERAGEIFS($J$2:J136, $B$2:B136, B136)</f>
        <v>0.47666666666666663</v>
      </c>
      <c r="AD136" s="86">
        <f>AVERAGEIFS($D$2:D136, $B$2:B136, B136)</f>
        <v>0.5</v>
      </c>
    </row>
    <row r="137" spans="1:30" x14ac:dyDescent="0.25">
      <c r="A137" s="85">
        <v>46103</v>
      </c>
      <c r="B137" t="s">
        <v>6</v>
      </c>
      <c r="C137">
        <v>33</v>
      </c>
      <c r="D137" s="86">
        <v>1</v>
      </c>
      <c r="E137">
        <v>5</v>
      </c>
      <c r="F137">
        <v>3</v>
      </c>
      <c r="G137">
        <v>21</v>
      </c>
      <c r="H137">
        <v>11</v>
      </c>
      <c r="I137">
        <v>0.6</v>
      </c>
      <c r="J137">
        <v>0.52</v>
      </c>
      <c r="K137">
        <v>0</v>
      </c>
      <c r="L137">
        <v>1</v>
      </c>
      <c r="M137">
        <v>0</v>
      </c>
      <c r="N137">
        <v>0</v>
      </c>
      <c r="O137">
        <v>1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86">
        <f>AVERAGEIFS($C$2:C137, $B$2:B137, B137)</f>
        <v>26.5</v>
      </c>
      <c r="AB137" s="86">
        <f>AVERAGEIFS($I$2:I137, $B$2:B137, B137)</f>
        <v>0.625</v>
      </c>
      <c r="AC137" s="86">
        <f>AVERAGEIFS($J$2:J137, $B$2:B137, B137)</f>
        <v>0.51666666666666672</v>
      </c>
      <c r="AD137" s="86">
        <f>AVERAGEIFS($D$2:D137, $B$2:B137, B137)</f>
        <v>0.66666666666666663</v>
      </c>
    </row>
    <row r="138" spans="1:30" x14ac:dyDescent="0.25">
      <c r="A138" s="85">
        <v>46103</v>
      </c>
      <c r="B138" t="s">
        <v>1</v>
      </c>
      <c r="C138">
        <v>32</v>
      </c>
      <c r="D138" s="86">
        <v>1</v>
      </c>
      <c r="E138">
        <v>5</v>
      </c>
      <c r="F138">
        <v>3</v>
      </c>
      <c r="G138">
        <v>21</v>
      </c>
      <c r="H138">
        <v>11</v>
      </c>
      <c r="I138">
        <v>0.6</v>
      </c>
      <c r="J138">
        <v>0.52</v>
      </c>
      <c r="K138">
        <v>0</v>
      </c>
      <c r="L138">
        <v>1</v>
      </c>
      <c r="M138">
        <v>0</v>
      </c>
      <c r="N138">
        <v>0</v>
      </c>
      <c r="O138">
        <v>1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86">
        <f>AVERAGEIFS($C$2:C138, $B$2:B138, B138)</f>
        <v>28.6</v>
      </c>
      <c r="AB138" s="86">
        <f>AVERAGEIFS($I$2:I138, $B$2:B138, B138)</f>
        <v>0.62</v>
      </c>
      <c r="AC138" s="86">
        <f>AVERAGEIFS($J$2:J138, $B$2:B138, B138)</f>
        <v>0.52600000000000002</v>
      </c>
      <c r="AD138" s="86">
        <f>AVERAGEIFS($D$2:D138, $B$2:B138, B138)</f>
        <v>0.8</v>
      </c>
    </row>
    <row r="139" spans="1:30" x14ac:dyDescent="0.25">
      <c r="A139" s="85">
        <v>46103</v>
      </c>
      <c r="B139" t="s">
        <v>26</v>
      </c>
      <c r="C139">
        <v>16</v>
      </c>
      <c r="D139" s="86">
        <v>1</v>
      </c>
      <c r="E139">
        <v>5</v>
      </c>
      <c r="F139">
        <v>3</v>
      </c>
      <c r="G139">
        <v>21</v>
      </c>
      <c r="H139">
        <v>11</v>
      </c>
      <c r="I139">
        <v>0.6</v>
      </c>
      <c r="J139">
        <v>0.52</v>
      </c>
      <c r="K139">
        <v>0</v>
      </c>
      <c r="L139">
        <v>1</v>
      </c>
      <c r="M139">
        <v>0</v>
      </c>
      <c r="N139">
        <v>0</v>
      </c>
      <c r="O139">
        <v>1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86">
        <f>AVERAGEIFS($C$2:C139, $B$2:B139, B139)</f>
        <v>16.666666666666668</v>
      </c>
      <c r="AB139" s="86">
        <f>AVERAGEIFS($I$2:I139, $B$2:B139, B139)</f>
        <v>0.50833333333333341</v>
      </c>
      <c r="AC139" s="86">
        <f>AVERAGEIFS($J$2:J139, $B$2:B139, B139)</f>
        <v>0.49333333333333335</v>
      </c>
      <c r="AD139" s="86">
        <f>AVERAGEIFS($D$2:D139, $B$2:B139, B139)</f>
        <v>0.66666666666666663</v>
      </c>
    </row>
    <row r="140" spans="1:30" x14ac:dyDescent="0.25">
      <c r="A140" s="85">
        <v>46103</v>
      </c>
      <c r="B140" t="s">
        <v>42</v>
      </c>
      <c r="C140">
        <v>12</v>
      </c>
      <c r="D140" s="86">
        <v>1</v>
      </c>
      <c r="E140">
        <v>5</v>
      </c>
      <c r="F140">
        <v>3</v>
      </c>
      <c r="G140">
        <v>21</v>
      </c>
      <c r="H140">
        <v>11</v>
      </c>
      <c r="I140">
        <v>0.6</v>
      </c>
      <c r="J140">
        <v>0.52</v>
      </c>
      <c r="K140">
        <v>0</v>
      </c>
      <c r="L140">
        <v>1</v>
      </c>
      <c r="M140">
        <v>0</v>
      </c>
      <c r="N140">
        <v>0</v>
      </c>
      <c r="O140">
        <v>1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86">
        <f>AVERAGEIFS($C$2:C140, $B$2:B140, B140)</f>
        <v>12</v>
      </c>
      <c r="AB140" s="86">
        <f>AVERAGEIFS($I$2:I140, $B$2:B140, B140)</f>
        <v>0.6</v>
      </c>
      <c r="AC140" s="86">
        <f>AVERAGEIFS($J$2:J140, $B$2:B140, B140)</f>
        <v>0.52</v>
      </c>
      <c r="AD140" s="86">
        <f>AVERAGEIFS($D$2:D140, $B$2:B140, B140)</f>
        <v>1</v>
      </c>
    </row>
    <row r="141" spans="1:30" x14ac:dyDescent="0.25">
      <c r="A141" s="85">
        <v>46103</v>
      </c>
      <c r="B141" t="s">
        <v>29</v>
      </c>
      <c r="C141">
        <v>12</v>
      </c>
      <c r="D141" s="86">
        <v>1</v>
      </c>
      <c r="E141">
        <v>5</v>
      </c>
      <c r="F141">
        <v>3</v>
      </c>
      <c r="G141">
        <v>21</v>
      </c>
      <c r="H141">
        <v>11</v>
      </c>
      <c r="I141">
        <v>0.6</v>
      </c>
      <c r="J141">
        <v>0.52</v>
      </c>
      <c r="K141">
        <v>0</v>
      </c>
      <c r="L141">
        <v>1</v>
      </c>
      <c r="M141">
        <v>0</v>
      </c>
      <c r="N141">
        <v>0</v>
      </c>
      <c r="O141">
        <v>1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86">
        <f>AVERAGEIFS($C$2:C141, $B$2:B141, B141)</f>
        <v>12.833333333333334</v>
      </c>
      <c r="AB141" s="86">
        <f>AVERAGEIFS($I$2:I141, $B$2:B141, B141)</f>
        <v>0.6166666666666667</v>
      </c>
      <c r="AC141" s="86">
        <f>AVERAGEIFS($J$2:J141, $B$2:B141, B141)</f>
        <v>0.55999999999999994</v>
      </c>
      <c r="AD141" s="86">
        <f>AVERAGEIFS($D$2:D141, $B$2:B141, B141)</f>
        <v>0.83333333333333337</v>
      </c>
    </row>
    <row r="142" spans="1:30" x14ac:dyDescent="0.25">
      <c r="A142" s="85">
        <v>46103</v>
      </c>
      <c r="B142" t="s">
        <v>2</v>
      </c>
      <c r="C142">
        <v>33</v>
      </c>
      <c r="D142" s="86">
        <v>0</v>
      </c>
      <c r="E142">
        <v>5</v>
      </c>
      <c r="F142">
        <v>2</v>
      </c>
      <c r="G142">
        <v>21</v>
      </c>
      <c r="H142">
        <v>10</v>
      </c>
      <c r="I142">
        <v>0.4</v>
      </c>
      <c r="J142">
        <v>0.48</v>
      </c>
      <c r="K142">
        <v>0</v>
      </c>
      <c r="L142">
        <v>0</v>
      </c>
      <c r="M142">
        <v>0</v>
      </c>
      <c r="N142">
        <v>1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 s="86">
        <f>AVERAGEIFS($C$2:C142, $B$2:B142, B142)</f>
        <v>31.5</v>
      </c>
      <c r="AB142" s="86">
        <f>AVERAGEIFS($I$2:I142, $B$2:B142, B142)</f>
        <v>0.54999999999999993</v>
      </c>
      <c r="AC142" s="86">
        <f>AVERAGEIFS($J$2:J142, $B$2:B142, B142)</f>
        <v>0.53500000000000003</v>
      </c>
      <c r="AD142" s="86">
        <f>AVERAGEIFS($D$2:D142, $B$2:B142, B142)</f>
        <v>0.5</v>
      </c>
    </row>
    <row r="143" spans="1:30" x14ac:dyDescent="0.25">
      <c r="A143" s="85">
        <v>46103</v>
      </c>
      <c r="B143" t="s">
        <v>18</v>
      </c>
      <c r="C143">
        <v>31</v>
      </c>
      <c r="D143" s="86">
        <v>0</v>
      </c>
      <c r="E143">
        <v>5</v>
      </c>
      <c r="F143">
        <v>2</v>
      </c>
      <c r="G143">
        <v>21</v>
      </c>
      <c r="H143">
        <v>10</v>
      </c>
      <c r="I143">
        <v>0.4</v>
      </c>
      <c r="J143">
        <v>0.48</v>
      </c>
      <c r="K143">
        <v>0</v>
      </c>
      <c r="L143">
        <v>0</v>
      </c>
      <c r="M143">
        <v>0</v>
      </c>
      <c r="N143">
        <v>1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 s="86">
        <f>AVERAGEIFS($C$2:C143, $B$2:B143, B143)</f>
        <v>30.285714285714285</v>
      </c>
      <c r="AB143" s="86">
        <f>AVERAGEIFS($I$2:I143, $B$2:B143, B143)</f>
        <v>0.43571428571428567</v>
      </c>
      <c r="AC143" s="86">
        <f>AVERAGEIFS($J$2:J143, $B$2:B143, B143)</f>
        <v>0.46142857142857141</v>
      </c>
      <c r="AD143" s="86">
        <f>AVERAGEIFS($D$2:D143, $B$2:B143, B143)</f>
        <v>0.2857142857142857</v>
      </c>
    </row>
    <row r="144" spans="1:30" x14ac:dyDescent="0.25">
      <c r="A144" s="85">
        <v>46103</v>
      </c>
      <c r="B144" t="s">
        <v>25</v>
      </c>
      <c r="C144">
        <v>31</v>
      </c>
      <c r="D144" s="86">
        <v>0</v>
      </c>
      <c r="E144">
        <v>5</v>
      </c>
      <c r="F144">
        <v>2</v>
      </c>
      <c r="G144">
        <v>21</v>
      </c>
      <c r="H144">
        <v>10</v>
      </c>
      <c r="I144">
        <v>0.4</v>
      </c>
      <c r="J144">
        <v>0.48</v>
      </c>
      <c r="K144">
        <v>0</v>
      </c>
      <c r="L144">
        <v>0</v>
      </c>
      <c r="M144">
        <v>0</v>
      </c>
      <c r="N144">
        <v>1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 s="86">
        <f>AVERAGEIFS($C$2:C144, $B$2:B144, B144)</f>
        <v>22.333333333333332</v>
      </c>
      <c r="AB144" s="86">
        <f>AVERAGEIFS($I$2:I144, $B$2:B144, B144)</f>
        <v>0.35000000000000003</v>
      </c>
      <c r="AC144" s="86">
        <f>AVERAGEIFS($J$2:J144, $B$2:B144, B144)</f>
        <v>0.45</v>
      </c>
      <c r="AD144" s="86">
        <f>AVERAGEIFS($D$2:D144, $B$2:B144, B144)</f>
        <v>0</v>
      </c>
    </row>
    <row r="145" spans="1:30" x14ac:dyDescent="0.25">
      <c r="A145" s="85">
        <v>46103</v>
      </c>
      <c r="B145" t="s">
        <v>70</v>
      </c>
      <c r="C145">
        <v>25</v>
      </c>
      <c r="D145" s="86">
        <v>0</v>
      </c>
      <c r="E145">
        <v>5</v>
      </c>
      <c r="F145">
        <v>2</v>
      </c>
      <c r="G145">
        <v>21</v>
      </c>
      <c r="H145">
        <v>10</v>
      </c>
      <c r="I145">
        <v>0.4</v>
      </c>
      <c r="J145">
        <v>0.48</v>
      </c>
      <c r="K145">
        <v>0</v>
      </c>
      <c r="L145">
        <v>0</v>
      </c>
      <c r="M145">
        <v>0</v>
      </c>
      <c r="N145">
        <v>1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 s="86">
        <f>AVERAGEIFS($C$2:C145, $B$2:B145, B145)</f>
        <v>25</v>
      </c>
      <c r="AB145" s="86">
        <f>AVERAGEIFS($I$2:I145, $B$2:B145, B145)</f>
        <v>0.4</v>
      </c>
      <c r="AC145" s="86">
        <f>AVERAGEIFS($J$2:J145, $B$2:B145, B145)</f>
        <v>0.48</v>
      </c>
      <c r="AD145" s="86">
        <f>AVERAGEIFS($D$2:D145, $B$2:B145, B145)</f>
        <v>0</v>
      </c>
    </row>
    <row r="146" spans="1:30" x14ac:dyDescent="0.25">
      <c r="A146" s="85">
        <v>46103</v>
      </c>
      <c r="B146" t="s">
        <v>20</v>
      </c>
      <c r="C146">
        <v>15</v>
      </c>
      <c r="D146" s="86">
        <v>0</v>
      </c>
      <c r="E146">
        <v>5</v>
      </c>
      <c r="F146">
        <v>2</v>
      </c>
      <c r="G146">
        <v>21</v>
      </c>
      <c r="H146">
        <v>10</v>
      </c>
      <c r="I146">
        <v>0.4</v>
      </c>
      <c r="J146">
        <v>0.48</v>
      </c>
      <c r="K146">
        <v>0</v>
      </c>
      <c r="L146">
        <v>0</v>
      </c>
      <c r="M146">
        <v>0</v>
      </c>
      <c r="N146">
        <v>1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 s="86">
        <f>AVERAGEIFS($C$2:C146, $B$2:B146, B146)</f>
        <v>15.875</v>
      </c>
      <c r="AB146" s="86">
        <f>AVERAGEIFS($I$2:I146, $B$2:B146, B146)</f>
        <v>0.49374999999999997</v>
      </c>
      <c r="AC146" s="86">
        <f>AVERAGEIFS($J$2:J146, $B$2:B146, B146)</f>
        <v>0.51749999999999996</v>
      </c>
      <c r="AD146" s="86">
        <f>AVERAGEIFS($D$2:D146, $B$2:B146, B146)</f>
        <v>0.375</v>
      </c>
    </row>
    <row r="147" spans="1:30" x14ac:dyDescent="0.25">
      <c r="A147" s="85">
        <v>46103</v>
      </c>
      <c r="B147" t="s">
        <v>28</v>
      </c>
      <c r="C147">
        <v>14</v>
      </c>
      <c r="D147" s="86">
        <v>0</v>
      </c>
      <c r="E147">
        <v>5</v>
      </c>
      <c r="F147">
        <v>2</v>
      </c>
      <c r="G147">
        <v>21</v>
      </c>
      <c r="H147">
        <v>10</v>
      </c>
      <c r="I147">
        <v>0.4</v>
      </c>
      <c r="J147">
        <v>0.48</v>
      </c>
      <c r="K147">
        <v>0</v>
      </c>
      <c r="L147">
        <v>0</v>
      </c>
      <c r="M147">
        <v>0</v>
      </c>
      <c r="N147">
        <v>1</v>
      </c>
      <c r="O147">
        <v>0</v>
      </c>
      <c r="P147">
        <v>0</v>
      </c>
      <c r="Q147">
        <v>0</v>
      </c>
      <c r="R147">
        <v>1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86">
        <f>AVERAGEIFS($C$2:C147, $B$2:B147, B147)</f>
        <v>18</v>
      </c>
      <c r="AB147" s="86">
        <f>AVERAGEIFS($I$2:I147, $B$2:B147, B147)</f>
        <v>0.48</v>
      </c>
      <c r="AC147" s="86">
        <f>AVERAGEIFS($J$2:J147, $B$2:B147, B147)</f>
        <v>0.49399999999999994</v>
      </c>
      <c r="AD147" s="86">
        <f>AVERAGEIFS($D$2:D147, $B$2:B147, B147)</f>
        <v>0.4</v>
      </c>
    </row>
    <row r="148" spans="1:30" x14ac:dyDescent="0.25">
      <c r="A148" s="85">
        <v>46110</v>
      </c>
      <c r="B148" t="s">
        <v>14</v>
      </c>
      <c r="C148">
        <v>34</v>
      </c>
      <c r="D148" s="86">
        <v>1</v>
      </c>
      <c r="E148">
        <v>3</v>
      </c>
      <c r="F148">
        <v>3</v>
      </c>
      <c r="G148">
        <v>11</v>
      </c>
      <c r="H148">
        <v>9</v>
      </c>
      <c r="I148">
        <v>1</v>
      </c>
      <c r="J148">
        <v>0.82</v>
      </c>
      <c r="K148">
        <v>0</v>
      </c>
      <c r="L148">
        <v>1</v>
      </c>
      <c r="M148">
        <v>1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1</v>
      </c>
      <c r="AA148" s="86">
        <f>AVERAGEIFS($C$2:C148, $B$2:B148, B148)</f>
        <v>37.285714285714285</v>
      </c>
      <c r="AB148" s="86">
        <f>AVERAGEIFS($I$2:I148, $B$2:B148, B148)</f>
        <v>0.52857142857142858</v>
      </c>
      <c r="AC148" s="86">
        <f>AVERAGEIFS($J$2:J148, $B$2:B148, B148)</f>
        <v>0.52571428571428569</v>
      </c>
      <c r="AD148" s="86">
        <f>AVERAGEIFS($D$2:D148, $B$2:B148, B148)</f>
        <v>0.5714285714285714</v>
      </c>
    </row>
    <row r="149" spans="1:30" x14ac:dyDescent="0.25">
      <c r="A149" s="85">
        <v>46110</v>
      </c>
      <c r="B149" t="s">
        <v>1</v>
      </c>
      <c r="C149">
        <v>17</v>
      </c>
      <c r="D149" s="86">
        <v>1</v>
      </c>
      <c r="E149">
        <v>3</v>
      </c>
      <c r="F149">
        <v>3</v>
      </c>
      <c r="G149">
        <v>11</v>
      </c>
      <c r="H149">
        <v>9</v>
      </c>
      <c r="I149">
        <v>1</v>
      </c>
      <c r="J149">
        <v>0.82</v>
      </c>
      <c r="K149">
        <v>0</v>
      </c>
      <c r="L149">
        <v>1</v>
      </c>
      <c r="M149">
        <v>1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1</v>
      </c>
      <c r="AA149" s="86">
        <f>AVERAGEIFS($C$2:C149, $B$2:B149, B149)</f>
        <v>26.666666666666668</v>
      </c>
      <c r="AB149" s="86">
        <f>AVERAGEIFS($I$2:I149, $B$2:B149, B149)</f>
        <v>0.68333333333333324</v>
      </c>
      <c r="AC149" s="86">
        <f>AVERAGEIFS($J$2:J149, $B$2:B149, B149)</f>
        <v>0.57500000000000007</v>
      </c>
      <c r="AD149" s="86">
        <f>AVERAGEIFS($D$2:D149, $B$2:B149, B149)</f>
        <v>0.83333333333333337</v>
      </c>
    </row>
    <row r="150" spans="1:30" x14ac:dyDescent="0.25">
      <c r="A150" s="85">
        <v>46110</v>
      </c>
      <c r="B150" t="s">
        <v>6</v>
      </c>
      <c r="C150">
        <v>17</v>
      </c>
      <c r="D150" s="86">
        <v>1</v>
      </c>
      <c r="E150">
        <v>3</v>
      </c>
      <c r="F150">
        <v>3</v>
      </c>
      <c r="G150">
        <v>11</v>
      </c>
      <c r="H150">
        <v>9</v>
      </c>
      <c r="I150">
        <v>1</v>
      </c>
      <c r="J150">
        <v>0.82</v>
      </c>
      <c r="K150">
        <v>0</v>
      </c>
      <c r="L150">
        <v>1</v>
      </c>
      <c r="M150">
        <v>1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 s="86">
        <f>AVERAGEIFS($C$2:C150, $B$2:B150, B150)</f>
        <v>25.142857142857142</v>
      </c>
      <c r="AB150" s="86">
        <f>AVERAGEIFS($I$2:I150, $B$2:B150, B150)</f>
        <v>0.6785714285714286</v>
      </c>
      <c r="AC150" s="86">
        <f>AVERAGEIFS($J$2:J150, $B$2:B150, B150)</f>
        <v>0.55999999999999994</v>
      </c>
      <c r="AD150" s="86">
        <f>AVERAGEIFS($D$2:D150, $B$2:B150, B150)</f>
        <v>0.7142857142857143</v>
      </c>
    </row>
    <row r="151" spans="1:30" x14ac:dyDescent="0.25">
      <c r="A151" s="85">
        <v>46110</v>
      </c>
      <c r="B151" t="s">
        <v>26</v>
      </c>
      <c r="C151">
        <v>8</v>
      </c>
      <c r="D151" s="86">
        <v>1</v>
      </c>
      <c r="E151">
        <v>3</v>
      </c>
      <c r="F151">
        <v>3</v>
      </c>
      <c r="G151">
        <v>11</v>
      </c>
      <c r="H151">
        <v>9</v>
      </c>
      <c r="I151">
        <v>1</v>
      </c>
      <c r="J151">
        <v>0.82</v>
      </c>
      <c r="K151">
        <v>0</v>
      </c>
      <c r="L151">
        <v>1</v>
      </c>
      <c r="M151">
        <v>1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 s="86">
        <f>AVERAGEIFS($C$2:C151, $B$2:B151, B151)</f>
        <v>15.428571428571429</v>
      </c>
      <c r="AB151" s="86">
        <f>AVERAGEIFS($I$2:I151, $B$2:B151, B151)</f>
        <v>0.57857142857142863</v>
      </c>
      <c r="AC151" s="86">
        <f>AVERAGEIFS($J$2:J151, $B$2:B151, B151)</f>
        <v>0.53999999999999992</v>
      </c>
      <c r="AD151" s="86">
        <f>AVERAGEIFS($D$2:D151, $B$2:B151, B151)</f>
        <v>0.7142857142857143</v>
      </c>
    </row>
    <row r="152" spans="1:30" x14ac:dyDescent="0.25">
      <c r="A152" s="85">
        <v>46110</v>
      </c>
      <c r="B152" t="s">
        <v>29</v>
      </c>
      <c r="C152">
        <v>6</v>
      </c>
      <c r="D152" s="86">
        <v>1</v>
      </c>
      <c r="E152">
        <v>3</v>
      </c>
      <c r="F152">
        <v>3</v>
      </c>
      <c r="G152">
        <v>11</v>
      </c>
      <c r="H152">
        <v>9</v>
      </c>
      <c r="I152">
        <v>1</v>
      </c>
      <c r="J152">
        <v>0.82</v>
      </c>
      <c r="K152">
        <v>0</v>
      </c>
      <c r="L152">
        <v>1</v>
      </c>
      <c r="M152">
        <v>1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 s="86">
        <f>AVERAGEIFS($C$2:C152, $B$2:B152, B152)</f>
        <v>11.857142857142858</v>
      </c>
      <c r="AB152" s="86">
        <f>AVERAGEIFS($I$2:I152, $B$2:B152, B152)</f>
        <v>0.67142857142857149</v>
      </c>
      <c r="AC152" s="86">
        <f>AVERAGEIFS($J$2:J152, $B$2:B152, B152)</f>
        <v>0.59714285714285709</v>
      </c>
      <c r="AD152" s="86">
        <f>AVERAGEIFS($D$2:D152, $B$2:B152, B152)</f>
        <v>0.8571428571428571</v>
      </c>
    </row>
    <row r="153" spans="1:30" x14ac:dyDescent="0.25">
      <c r="A153" s="85">
        <v>46110</v>
      </c>
      <c r="B153" t="s">
        <v>42</v>
      </c>
      <c r="C153">
        <v>6</v>
      </c>
      <c r="D153" s="86">
        <v>1</v>
      </c>
      <c r="E153">
        <v>3</v>
      </c>
      <c r="F153">
        <v>3</v>
      </c>
      <c r="G153">
        <v>11</v>
      </c>
      <c r="H153">
        <v>9</v>
      </c>
      <c r="I153">
        <v>1</v>
      </c>
      <c r="J153">
        <v>0.82</v>
      </c>
      <c r="K153">
        <v>0</v>
      </c>
      <c r="L153">
        <v>1</v>
      </c>
      <c r="M153">
        <v>1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 s="86">
        <f>AVERAGEIFS($C$2:C153, $B$2:B153, B153)</f>
        <v>9</v>
      </c>
      <c r="AB153" s="86">
        <f>AVERAGEIFS($I$2:I153, $B$2:B153, B153)</f>
        <v>0.8</v>
      </c>
      <c r="AC153" s="86">
        <f>AVERAGEIFS($J$2:J153, $B$2:B153, B153)</f>
        <v>0.66999999999999993</v>
      </c>
      <c r="AD153" s="86">
        <f>AVERAGEIFS($D$2:D153, $B$2:B153, B153)</f>
        <v>1</v>
      </c>
    </row>
    <row r="154" spans="1:30" x14ac:dyDescent="0.25">
      <c r="A154" s="85">
        <v>46110</v>
      </c>
      <c r="B154" t="s">
        <v>4</v>
      </c>
      <c r="C154">
        <v>17</v>
      </c>
      <c r="D154" s="86">
        <v>0</v>
      </c>
      <c r="E154">
        <v>3</v>
      </c>
      <c r="F154">
        <v>0</v>
      </c>
      <c r="G154">
        <v>11</v>
      </c>
      <c r="H154">
        <v>2</v>
      </c>
      <c r="I154">
        <v>0</v>
      </c>
      <c r="J154">
        <v>0.18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86">
        <f>AVERAGEIFS($C$2:C154, $B$2:B154, B154)</f>
        <v>20.333333333333332</v>
      </c>
      <c r="AB154" s="86">
        <f>AVERAGEIFS($I$2:I154, $B$2:B154, B154)</f>
        <v>0.45</v>
      </c>
      <c r="AC154" s="86">
        <f>AVERAGEIFS($J$2:J154, $B$2:B154, B154)</f>
        <v>0.44666666666666671</v>
      </c>
      <c r="AD154" s="86">
        <f>AVERAGEIFS($D$2:D154, $B$2:B154, B154)</f>
        <v>0.66666666666666663</v>
      </c>
    </row>
    <row r="155" spans="1:30" x14ac:dyDescent="0.25">
      <c r="A155" s="85">
        <v>46110</v>
      </c>
      <c r="B155" t="s">
        <v>37</v>
      </c>
      <c r="C155">
        <v>13</v>
      </c>
      <c r="D155" s="86">
        <v>0</v>
      </c>
      <c r="E155">
        <v>3</v>
      </c>
      <c r="F155">
        <v>0</v>
      </c>
      <c r="G155">
        <v>11</v>
      </c>
      <c r="H155">
        <v>2</v>
      </c>
      <c r="I155">
        <v>0</v>
      </c>
      <c r="J155">
        <v>0.18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86">
        <f>AVERAGEIFS($C$2:C155, $B$2:B155, B155)</f>
        <v>21</v>
      </c>
      <c r="AB155" s="86">
        <f>AVERAGEIFS($I$2:I155, $B$2:B155, B155)</f>
        <v>0.375</v>
      </c>
      <c r="AC155" s="86">
        <f>AVERAGEIFS($J$2:J155, $B$2:B155, B155)</f>
        <v>0.43333333333333335</v>
      </c>
      <c r="AD155" s="86">
        <f>AVERAGEIFS($D$2:D155, $B$2:B155, B155)</f>
        <v>0.33333333333333331</v>
      </c>
    </row>
    <row r="156" spans="1:30" x14ac:dyDescent="0.25">
      <c r="A156" s="85">
        <v>46110</v>
      </c>
      <c r="B156" t="s">
        <v>13</v>
      </c>
      <c r="C156">
        <v>11</v>
      </c>
      <c r="D156" s="86">
        <v>0</v>
      </c>
      <c r="E156">
        <v>3</v>
      </c>
      <c r="F156">
        <v>0</v>
      </c>
      <c r="G156">
        <v>11</v>
      </c>
      <c r="H156">
        <v>2</v>
      </c>
      <c r="I156">
        <v>0</v>
      </c>
      <c r="J156">
        <v>0.18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86">
        <f>AVERAGEIFS($C$2:C156, $B$2:B156, B156)</f>
        <v>33.375</v>
      </c>
      <c r="AB156" s="86">
        <f>AVERAGEIFS($I$2:I156, $B$2:B156, B156)</f>
        <v>0.44375000000000003</v>
      </c>
      <c r="AC156" s="86">
        <f>AVERAGEIFS($J$2:J156, $B$2:B156, B156)</f>
        <v>0.5</v>
      </c>
      <c r="AD156" s="86">
        <f>AVERAGEIFS($D$2:D156, $B$2:B156, B156)</f>
        <v>0.625</v>
      </c>
    </row>
    <row r="157" spans="1:30" x14ac:dyDescent="0.25">
      <c r="A157" s="85">
        <v>46110</v>
      </c>
      <c r="B157" t="s">
        <v>19</v>
      </c>
      <c r="C157">
        <v>9</v>
      </c>
      <c r="D157" s="86">
        <v>0</v>
      </c>
      <c r="E157">
        <v>3</v>
      </c>
      <c r="F157">
        <v>0</v>
      </c>
      <c r="G157">
        <v>11</v>
      </c>
      <c r="H157">
        <v>2</v>
      </c>
      <c r="I157">
        <v>0</v>
      </c>
      <c r="J157">
        <v>0.18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86">
        <f>AVERAGEIFS($C$2:C157, $B$2:B157, B157)</f>
        <v>13.875</v>
      </c>
      <c r="AB157" s="86">
        <f>AVERAGEIFS($I$2:I157, $B$2:B157, B157)</f>
        <v>0.45624999999999999</v>
      </c>
      <c r="AC157" s="86">
        <f>AVERAGEIFS($J$2:J157, $B$2:B157, B157)</f>
        <v>0.47125</v>
      </c>
      <c r="AD157" s="86">
        <f>AVERAGEIFS($D$2:D157, $B$2:B157, B157)</f>
        <v>0.375</v>
      </c>
    </row>
    <row r="158" spans="1:30" x14ac:dyDescent="0.25">
      <c r="A158" s="85">
        <v>46110</v>
      </c>
      <c r="B158" t="s">
        <v>27</v>
      </c>
      <c r="C158">
        <v>5</v>
      </c>
      <c r="D158" s="86">
        <v>0</v>
      </c>
      <c r="E158">
        <v>3</v>
      </c>
      <c r="F158">
        <v>0</v>
      </c>
      <c r="G158">
        <v>11</v>
      </c>
      <c r="H158">
        <v>2</v>
      </c>
      <c r="I158">
        <v>0</v>
      </c>
      <c r="J158">
        <v>0.18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 s="86">
        <f>AVERAGEIFS($C$2:C158, $B$2:B158, B158)</f>
        <v>16</v>
      </c>
      <c r="AB158" s="86">
        <f>AVERAGEIFS($I$2:I158, $B$2:B158, B158)</f>
        <v>0.45714285714285718</v>
      </c>
      <c r="AC158" s="86">
        <f>AVERAGEIFS($J$2:J158, $B$2:B158, B158)</f>
        <v>0.47000000000000003</v>
      </c>
      <c r="AD158" s="86">
        <f>AVERAGEIFS($D$2:D158, $B$2:B158, B158)</f>
        <v>0.5714285714285714</v>
      </c>
    </row>
    <row r="159" spans="1:30" x14ac:dyDescent="0.25">
      <c r="A159" s="85">
        <v>46110</v>
      </c>
      <c r="B159" t="s">
        <v>137</v>
      </c>
      <c r="C159">
        <v>4</v>
      </c>
      <c r="D159" s="86">
        <v>0</v>
      </c>
      <c r="E159">
        <v>3</v>
      </c>
      <c r="F159">
        <v>0</v>
      </c>
      <c r="G159">
        <v>11</v>
      </c>
      <c r="H159">
        <v>2</v>
      </c>
      <c r="I159">
        <v>0</v>
      </c>
      <c r="J159">
        <v>0.18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 s="86">
        <f>AVERAGEIFS($C$2:C159, $B$2:B159, B159)</f>
        <v>9.6</v>
      </c>
      <c r="AB159" s="86">
        <f>AVERAGEIFS($I$2:I159, $B$2:B159, B159)</f>
        <v>0.45</v>
      </c>
      <c r="AC159" s="86">
        <f>AVERAGEIFS($J$2:J159, $B$2:B159, B159)</f>
        <v>0.47400000000000003</v>
      </c>
      <c r="AD159" s="86">
        <f>AVERAGEIFS($D$2:D159, $B$2:B159, B159)</f>
        <v>0.4</v>
      </c>
    </row>
    <row r="160" spans="1:30" x14ac:dyDescent="0.25">
      <c r="A160" s="85">
        <v>46131</v>
      </c>
      <c r="B160" t="s">
        <v>17</v>
      </c>
      <c r="C160">
        <v>58</v>
      </c>
      <c r="D160" s="86">
        <v>1</v>
      </c>
      <c r="E160">
        <v>5</v>
      </c>
      <c r="F160">
        <v>3</v>
      </c>
      <c r="G160">
        <v>23</v>
      </c>
      <c r="H160">
        <v>13</v>
      </c>
      <c r="I160">
        <v>0.6</v>
      </c>
      <c r="J160">
        <v>0.56999999999999995</v>
      </c>
      <c r="K160">
        <v>0</v>
      </c>
      <c r="L160">
        <v>0</v>
      </c>
      <c r="M160">
        <v>0</v>
      </c>
      <c r="N160">
        <v>0</v>
      </c>
      <c r="O160">
        <v>1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1</v>
      </c>
      <c r="Y160">
        <v>0</v>
      </c>
      <c r="Z160">
        <v>1</v>
      </c>
      <c r="AA160" s="86">
        <f>AVERAGEIFS($C$2:C160, $B$2:B160, B160)</f>
        <v>35.571428571428569</v>
      </c>
      <c r="AB160" s="86">
        <f>AVERAGEIFS($I$2:I160, $B$2:B160, B160)</f>
        <v>0.47142857142857142</v>
      </c>
      <c r="AC160" s="86">
        <f>AVERAGEIFS($J$2:J160, $B$2:B160, B160)</f>
        <v>0.48999999999999994</v>
      </c>
      <c r="AD160" s="86">
        <f>AVERAGEIFS($D$2:D160, $B$2:B160, B160)</f>
        <v>0.2857142857142857</v>
      </c>
    </row>
    <row r="161" spans="1:30" x14ac:dyDescent="0.25">
      <c r="A161" s="85">
        <v>46131</v>
      </c>
      <c r="B161" t="s">
        <v>14</v>
      </c>
      <c r="C161">
        <v>51</v>
      </c>
      <c r="D161" s="86">
        <v>1</v>
      </c>
      <c r="E161">
        <v>5</v>
      </c>
      <c r="F161">
        <v>3</v>
      </c>
      <c r="G161">
        <v>23</v>
      </c>
      <c r="H161">
        <v>13</v>
      </c>
      <c r="I161">
        <v>0.6</v>
      </c>
      <c r="J161">
        <v>0.56999999999999995</v>
      </c>
      <c r="K161">
        <v>0</v>
      </c>
      <c r="L161">
        <v>0</v>
      </c>
      <c r="M161">
        <v>0</v>
      </c>
      <c r="N161">
        <v>0</v>
      </c>
      <c r="O161">
        <v>1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1</v>
      </c>
      <c r="Y161">
        <v>0</v>
      </c>
      <c r="Z161">
        <v>1</v>
      </c>
      <c r="AA161" s="86">
        <f>AVERAGEIFS($C$2:C161, $B$2:B161, B161)</f>
        <v>39</v>
      </c>
      <c r="AB161" s="86">
        <f>AVERAGEIFS($I$2:I161, $B$2:B161, B161)</f>
        <v>0.53749999999999998</v>
      </c>
      <c r="AC161" s="86">
        <f>AVERAGEIFS($J$2:J161, $B$2:B161, B161)</f>
        <v>0.53125</v>
      </c>
      <c r="AD161" s="86">
        <f>AVERAGEIFS($D$2:D161, $B$2:B161, B161)</f>
        <v>0.625</v>
      </c>
    </row>
    <row r="162" spans="1:30" x14ac:dyDescent="0.25">
      <c r="A162" s="85">
        <v>46131</v>
      </c>
      <c r="B162" t="s">
        <v>28</v>
      </c>
      <c r="C162">
        <v>43</v>
      </c>
      <c r="D162" s="86">
        <v>1</v>
      </c>
      <c r="E162">
        <v>5</v>
      </c>
      <c r="F162">
        <v>3</v>
      </c>
      <c r="G162">
        <v>23</v>
      </c>
      <c r="H162">
        <v>13</v>
      </c>
      <c r="I162">
        <v>0.6</v>
      </c>
      <c r="J162">
        <v>0.56999999999999995</v>
      </c>
      <c r="K162">
        <v>0</v>
      </c>
      <c r="L162">
        <v>0</v>
      </c>
      <c r="M162">
        <v>0</v>
      </c>
      <c r="N162">
        <v>0</v>
      </c>
      <c r="O162">
        <v>1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1</v>
      </c>
      <c r="Y162">
        <v>0</v>
      </c>
      <c r="Z162">
        <v>1</v>
      </c>
      <c r="AA162" s="86">
        <f>AVERAGEIFS($C$2:C162, $B$2:B162, B162)</f>
        <v>22.166666666666668</v>
      </c>
      <c r="AB162" s="86">
        <f>AVERAGEIFS($I$2:I162, $B$2:B162, B162)</f>
        <v>0.5</v>
      </c>
      <c r="AC162" s="86">
        <f>AVERAGEIFS($J$2:J162, $B$2:B162, B162)</f>
        <v>0.5066666666666666</v>
      </c>
      <c r="AD162" s="86">
        <f>AVERAGEIFS($D$2:D162, $B$2:B162, B162)</f>
        <v>0.5</v>
      </c>
    </row>
    <row r="163" spans="1:30" x14ac:dyDescent="0.25">
      <c r="A163" s="85">
        <v>46131</v>
      </c>
      <c r="B163" t="s">
        <v>25</v>
      </c>
      <c r="C163">
        <v>35</v>
      </c>
      <c r="D163" s="86">
        <v>1</v>
      </c>
      <c r="E163">
        <v>5</v>
      </c>
      <c r="F163">
        <v>3</v>
      </c>
      <c r="G163">
        <v>23</v>
      </c>
      <c r="H163">
        <v>13</v>
      </c>
      <c r="I163">
        <v>0.6</v>
      </c>
      <c r="J163">
        <v>0.56999999999999995</v>
      </c>
      <c r="K163">
        <v>0</v>
      </c>
      <c r="L163">
        <v>0</v>
      </c>
      <c r="M163">
        <v>0</v>
      </c>
      <c r="N163">
        <v>0</v>
      </c>
      <c r="O163">
        <v>1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1</v>
      </c>
      <c r="Y163">
        <v>0</v>
      </c>
      <c r="Z163">
        <v>1</v>
      </c>
      <c r="AA163" s="86">
        <f>AVERAGEIFS($C$2:C163, $B$2:B163, B163)</f>
        <v>25.5</v>
      </c>
      <c r="AB163" s="86">
        <f>AVERAGEIFS($I$2:I163, $B$2:B163, B163)</f>
        <v>0.41249999999999998</v>
      </c>
      <c r="AC163" s="86">
        <f>AVERAGEIFS($J$2:J163, $B$2:B163, B163)</f>
        <v>0.48</v>
      </c>
      <c r="AD163" s="86">
        <f>AVERAGEIFS($D$2:D163, $B$2:B163, B163)</f>
        <v>0.25</v>
      </c>
    </row>
    <row r="164" spans="1:30" x14ac:dyDescent="0.25">
      <c r="A164" s="85">
        <v>46131</v>
      </c>
      <c r="B164" t="s">
        <v>70</v>
      </c>
      <c r="C164">
        <v>27</v>
      </c>
      <c r="D164" s="86">
        <v>1</v>
      </c>
      <c r="E164">
        <v>5</v>
      </c>
      <c r="F164">
        <v>3</v>
      </c>
      <c r="G164">
        <v>23</v>
      </c>
      <c r="H164">
        <v>13</v>
      </c>
      <c r="I164">
        <v>0.6</v>
      </c>
      <c r="J164">
        <v>0.56999999999999995</v>
      </c>
      <c r="K164">
        <v>0</v>
      </c>
      <c r="L164">
        <v>0</v>
      </c>
      <c r="M164">
        <v>0</v>
      </c>
      <c r="N164">
        <v>0</v>
      </c>
      <c r="O164">
        <v>1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1</v>
      </c>
      <c r="Y164">
        <v>0</v>
      </c>
      <c r="Z164">
        <v>1</v>
      </c>
      <c r="AA164" s="86">
        <f>AVERAGEIFS($C$2:C164, $B$2:B164, B164)</f>
        <v>26</v>
      </c>
      <c r="AB164" s="86">
        <f>AVERAGEIFS($I$2:I164, $B$2:B164, B164)</f>
        <v>0.5</v>
      </c>
      <c r="AC164" s="86">
        <f>AVERAGEIFS($J$2:J164, $B$2:B164, B164)</f>
        <v>0.52499999999999991</v>
      </c>
      <c r="AD164" s="86">
        <f>AVERAGEIFS($D$2:D164, $B$2:B164, B164)</f>
        <v>0.5</v>
      </c>
    </row>
    <row r="165" spans="1:30" x14ac:dyDescent="0.25">
      <c r="A165" s="85">
        <v>46131</v>
      </c>
      <c r="B165" t="s">
        <v>40</v>
      </c>
      <c r="C165">
        <v>22</v>
      </c>
      <c r="D165" s="86">
        <v>1</v>
      </c>
      <c r="E165">
        <v>5</v>
      </c>
      <c r="F165">
        <v>3</v>
      </c>
      <c r="G165">
        <v>23</v>
      </c>
      <c r="H165">
        <v>13</v>
      </c>
      <c r="I165">
        <v>0.6</v>
      </c>
      <c r="J165">
        <v>0.56999999999999995</v>
      </c>
      <c r="K165">
        <v>0</v>
      </c>
      <c r="L165">
        <v>0</v>
      </c>
      <c r="M165">
        <v>0</v>
      </c>
      <c r="N165">
        <v>0</v>
      </c>
      <c r="O165">
        <v>1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1</v>
      </c>
      <c r="Y165">
        <v>0</v>
      </c>
      <c r="Z165">
        <v>1</v>
      </c>
      <c r="AA165" s="86">
        <f>AVERAGEIFS($C$2:C165, $B$2:B165, B165)</f>
        <v>22</v>
      </c>
      <c r="AB165" s="86">
        <f>AVERAGEIFS($I$2:I165, $B$2:B165, B165)</f>
        <v>0.41666666666666669</v>
      </c>
      <c r="AC165" s="86">
        <f>AVERAGEIFS($J$2:J165, $B$2:B165, B165)</f>
        <v>0.47000000000000003</v>
      </c>
      <c r="AD165" s="86">
        <f>AVERAGEIFS($D$2:D165, $B$2:B165, B165)</f>
        <v>0.33333333333333331</v>
      </c>
    </row>
    <row r="166" spans="1:30" x14ac:dyDescent="0.25">
      <c r="A166" s="85">
        <v>46131</v>
      </c>
      <c r="B166" t="s">
        <v>2</v>
      </c>
      <c r="C166">
        <v>52</v>
      </c>
      <c r="D166" s="86">
        <v>0</v>
      </c>
      <c r="E166">
        <v>5</v>
      </c>
      <c r="F166">
        <v>2</v>
      </c>
      <c r="G166">
        <v>23</v>
      </c>
      <c r="H166">
        <v>10</v>
      </c>
      <c r="I166">
        <v>0.4</v>
      </c>
      <c r="J166">
        <v>0.43</v>
      </c>
      <c r="K166">
        <v>0</v>
      </c>
      <c r="L166">
        <v>1</v>
      </c>
      <c r="M166">
        <v>0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86">
        <f>AVERAGEIFS($C$2:C166, $B$2:B166, B166)</f>
        <v>34.428571428571431</v>
      </c>
      <c r="AB166" s="86">
        <f>AVERAGEIFS($I$2:I166, $B$2:B166, B166)</f>
        <v>0.52857142857142858</v>
      </c>
      <c r="AC166" s="86">
        <f>AVERAGEIFS($J$2:J166, $B$2:B166, B166)</f>
        <v>0.52</v>
      </c>
      <c r="AD166" s="86">
        <f>AVERAGEIFS($D$2:D166, $B$2:B166, B166)</f>
        <v>0.42857142857142855</v>
      </c>
    </row>
    <row r="167" spans="1:30" x14ac:dyDescent="0.25">
      <c r="A167" s="85">
        <v>46131</v>
      </c>
      <c r="B167" t="s">
        <v>113</v>
      </c>
      <c r="C167">
        <v>49</v>
      </c>
      <c r="D167" s="86">
        <v>0</v>
      </c>
      <c r="E167">
        <v>5</v>
      </c>
      <c r="F167">
        <v>2</v>
      </c>
      <c r="G167">
        <v>23</v>
      </c>
      <c r="H167">
        <v>10</v>
      </c>
      <c r="I167">
        <v>0.4</v>
      </c>
      <c r="J167">
        <v>0.43</v>
      </c>
      <c r="K167">
        <v>0</v>
      </c>
      <c r="L167">
        <v>1</v>
      </c>
      <c r="M167">
        <v>0</v>
      </c>
      <c r="N167">
        <v>1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 s="86">
        <f>AVERAGEIFS($C$2:C167, $B$2:B167, B167)</f>
        <v>49</v>
      </c>
      <c r="AB167" s="86">
        <f>AVERAGEIFS($I$2:I167, $B$2:B167, B167)</f>
        <v>0.4</v>
      </c>
      <c r="AC167" s="86">
        <f>AVERAGEIFS($J$2:J167, $B$2:B167, B167)</f>
        <v>0.43</v>
      </c>
      <c r="AD167" s="86">
        <f>AVERAGEIFS($D$2:D167, $B$2:B167, B167)</f>
        <v>0</v>
      </c>
    </row>
    <row r="168" spans="1:30" x14ac:dyDescent="0.25">
      <c r="A168" s="85">
        <v>46131</v>
      </c>
      <c r="B168" t="s">
        <v>15</v>
      </c>
      <c r="C168">
        <v>37</v>
      </c>
      <c r="D168" s="86">
        <v>0</v>
      </c>
      <c r="E168">
        <v>5</v>
      </c>
      <c r="F168">
        <v>2</v>
      </c>
      <c r="G168">
        <v>23</v>
      </c>
      <c r="H168">
        <v>10</v>
      </c>
      <c r="I168">
        <v>0.4</v>
      </c>
      <c r="J168">
        <v>0.43</v>
      </c>
      <c r="K168">
        <v>0</v>
      </c>
      <c r="L168">
        <v>1</v>
      </c>
      <c r="M168">
        <v>0</v>
      </c>
      <c r="N168">
        <v>1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 s="86">
        <f>AVERAGEIFS($C$2:C168, $B$2:B168, B168)</f>
        <v>33.5</v>
      </c>
      <c r="AB168" s="86">
        <f>AVERAGEIFS($I$2:I168, $B$2:B168, B168)</f>
        <v>0.48124999999999996</v>
      </c>
      <c r="AC168" s="86">
        <f>AVERAGEIFS($J$2:J168, $B$2:B168, B168)</f>
        <v>0.48499999999999999</v>
      </c>
      <c r="AD168" s="86">
        <f>AVERAGEIFS($D$2:D168, $B$2:B168, B168)</f>
        <v>0.25</v>
      </c>
    </row>
    <row r="169" spans="1:30" x14ac:dyDescent="0.25">
      <c r="A169" s="85">
        <v>46131</v>
      </c>
      <c r="B169" t="s">
        <v>147</v>
      </c>
      <c r="C169">
        <v>34</v>
      </c>
      <c r="D169" s="86">
        <v>0</v>
      </c>
      <c r="E169">
        <v>5</v>
      </c>
      <c r="F169">
        <v>2</v>
      </c>
      <c r="G169">
        <v>23</v>
      </c>
      <c r="H169">
        <v>10</v>
      </c>
      <c r="I169">
        <v>0.4</v>
      </c>
      <c r="J169">
        <v>0.43</v>
      </c>
      <c r="K169">
        <v>0</v>
      </c>
      <c r="L169">
        <v>1</v>
      </c>
      <c r="M169">
        <v>0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 s="86">
        <f>AVERAGEIFS($C$2:C169, $B$2:B169, B169)</f>
        <v>28</v>
      </c>
      <c r="AB169" s="86">
        <f>AVERAGEIFS($I$2:I169, $B$2:B169, B169)</f>
        <v>0.4</v>
      </c>
      <c r="AC169" s="86">
        <f>AVERAGEIFS($J$2:J169, $B$2:B169, B169)</f>
        <v>0.41500000000000004</v>
      </c>
      <c r="AD169" s="86">
        <f>AVERAGEIFS($D$2:D169, $B$2:B169, B169)</f>
        <v>0</v>
      </c>
    </row>
    <row r="170" spans="1:30" x14ac:dyDescent="0.25">
      <c r="A170" s="85">
        <v>46131</v>
      </c>
      <c r="B170" t="s">
        <v>146</v>
      </c>
      <c r="C170">
        <v>27</v>
      </c>
      <c r="D170" s="86">
        <v>0</v>
      </c>
      <c r="E170">
        <v>5</v>
      </c>
      <c r="F170">
        <v>2</v>
      </c>
      <c r="G170">
        <v>23</v>
      </c>
      <c r="H170">
        <v>10</v>
      </c>
      <c r="I170">
        <v>0.4</v>
      </c>
      <c r="J170">
        <v>0.43</v>
      </c>
      <c r="K170">
        <v>0</v>
      </c>
      <c r="L170">
        <v>1</v>
      </c>
      <c r="M170">
        <v>0</v>
      </c>
      <c r="N170">
        <v>1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 s="86">
        <f>AVERAGEIFS($C$2:C170, $B$2:B170, B170)</f>
        <v>24</v>
      </c>
      <c r="AB170" s="86">
        <f>AVERAGEIFS($I$2:I170, $B$2:B170, B170)</f>
        <v>0.4</v>
      </c>
      <c r="AC170" s="86">
        <f>AVERAGEIFS($J$2:J170, $B$2:B170, B170)</f>
        <v>0.41500000000000004</v>
      </c>
      <c r="AD170" s="86">
        <f>AVERAGEIFS($D$2:D170, $B$2:B170, B170)</f>
        <v>0</v>
      </c>
    </row>
    <row r="171" spans="1:30" x14ac:dyDescent="0.25">
      <c r="A171" s="85">
        <v>46131</v>
      </c>
      <c r="B171" t="s">
        <v>154</v>
      </c>
      <c r="C171">
        <v>22</v>
      </c>
      <c r="D171" s="86">
        <v>0</v>
      </c>
      <c r="E171">
        <v>5</v>
      </c>
      <c r="F171">
        <v>2</v>
      </c>
      <c r="G171">
        <v>23</v>
      </c>
      <c r="H171">
        <v>10</v>
      </c>
      <c r="I171">
        <v>0.4</v>
      </c>
      <c r="J171">
        <v>0.43</v>
      </c>
      <c r="K171">
        <v>0</v>
      </c>
      <c r="L171">
        <v>1</v>
      </c>
      <c r="M171">
        <v>0</v>
      </c>
      <c r="N171">
        <v>1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 s="86">
        <f>AVERAGEIFS($C$2:C171, $B$2:B171, B171)</f>
        <v>22</v>
      </c>
      <c r="AB171" s="86">
        <f>AVERAGEIFS($I$2:I171, $B$2:B171, B171)</f>
        <v>0.4</v>
      </c>
      <c r="AC171" s="86">
        <f>AVERAGEIFS($J$2:J171, $B$2:B171, B171)</f>
        <v>0.43</v>
      </c>
      <c r="AD171" s="86">
        <f>AVERAGEIFS($D$2:D171, $B$2:B171, B171)</f>
        <v>0</v>
      </c>
    </row>
    <row r="172" spans="1:30" x14ac:dyDescent="0.25">
      <c r="A172" s="85">
        <v>46131</v>
      </c>
      <c r="B172" t="s">
        <v>13</v>
      </c>
      <c r="C172">
        <v>58</v>
      </c>
      <c r="D172" s="86">
        <v>0</v>
      </c>
      <c r="E172">
        <v>5</v>
      </c>
      <c r="F172">
        <v>2</v>
      </c>
      <c r="G172">
        <v>19</v>
      </c>
      <c r="H172">
        <v>8</v>
      </c>
      <c r="I172">
        <v>0.4</v>
      </c>
      <c r="J172">
        <v>0.42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1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1</v>
      </c>
      <c r="Z172">
        <v>0</v>
      </c>
      <c r="AA172" s="86">
        <f>AVERAGEIFS($C$2:C172, $B$2:B172, B172)</f>
        <v>36.111111111111114</v>
      </c>
      <c r="AB172" s="86">
        <f>AVERAGEIFS($I$2:I172, $B$2:B172, B172)</f>
        <v>0.43888888888888888</v>
      </c>
      <c r="AC172" s="86">
        <f>AVERAGEIFS($J$2:J172, $B$2:B172, B172)</f>
        <v>0.49111111111111111</v>
      </c>
      <c r="AD172" s="86">
        <f>AVERAGEIFS($D$2:D172, $B$2:B172, B172)</f>
        <v>0.55555555555555558</v>
      </c>
    </row>
    <row r="173" spans="1:30" x14ac:dyDescent="0.25">
      <c r="A173" s="85">
        <v>46131</v>
      </c>
      <c r="B173" t="s">
        <v>6</v>
      </c>
      <c r="C173">
        <v>51</v>
      </c>
      <c r="D173" s="86">
        <v>0</v>
      </c>
      <c r="E173">
        <v>5</v>
      </c>
      <c r="F173">
        <v>2</v>
      </c>
      <c r="G173">
        <v>19</v>
      </c>
      <c r="H173">
        <v>8</v>
      </c>
      <c r="I173">
        <v>0.4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0</v>
      </c>
      <c r="AA173" s="86">
        <f>AVERAGEIFS($C$2:C173, $B$2:B173, B173)</f>
        <v>28.375</v>
      </c>
      <c r="AB173" s="86">
        <f>AVERAGEIFS($I$2:I173, $B$2:B173, B173)</f>
        <v>0.64375000000000004</v>
      </c>
      <c r="AC173" s="86">
        <f>AVERAGEIFS($J$2:J173, $B$2:B173, B173)</f>
        <v>0.54249999999999998</v>
      </c>
      <c r="AD173" s="86">
        <f>AVERAGEIFS($D$2:D173, $B$2:B173, B173)</f>
        <v>0.625</v>
      </c>
    </row>
    <row r="174" spans="1:30" x14ac:dyDescent="0.25">
      <c r="A174" s="85">
        <v>46131</v>
      </c>
      <c r="B174" t="s">
        <v>27</v>
      </c>
      <c r="C174">
        <v>44</v>
      </c>
      <c r="D174" s="86">
        <v>0</v>
      </c>
      <c r="E174">
        <v>5</v>
      </c>
      <c r="F174">
        <v>2</v>
      </c>
      <c r="G174">
        <v>19</v>
      </c>
      <c r="H174">
        <v>8</v>
      </c>
      <c r="I174">
        <v>0.4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0</v>
      </c>
      <c r="AA174" s="86">
        <f>AVERAGEIFS($C$2:C174, $B$2:B174, B174)</f>
        <v>19.5</v>
      </c>
      <c r="AB174" s="86">
        <f>AVERAGEIFS($I$2:I174, $B$2:B174, B174)</f>
        <v>0.45</v>
      </c>
      <c r="AC174" s="86">
        <f>AVERAGEIFS($J$2:J174, $B$2:B174, B174)</f>
        <v>0.46375</v>
      </c>
      <c r="AD174" s="86">
        <f>AVERAGEIFS($D$2:D174, $B$2:B174, B174)</f>
        <v>0.5</v>
      </c>
    </row>
    <row r="175" spans="1:30" x14ac:dyDescent="0.25">
      <c r="A175" s="85">
        <v>46131</v>
      </c>
      <c r="B175" t="s">
        <v>26</v>
      </c>
      <c r="C175">
        <v>41</v>
      </c>
      <c r="D175" s="86">
        <v>0</v>
      </c>
      <c r="E175">
        <v>5</v>
      </c>
      <c r="F175">
        <v>2</v>
      </c>
      <c r="G175">
        <v>19</v>
      </c>
      <c r="H175">
        <v>8</v>
      </c>
      <c r="I175">
        <v>0.4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0</v>
      </c>
      <c r="AA175" s="86">
        <f>AVERAGEIFS($C$2:C175, $B$2:B175, B175)</f>
        <v>18.625</v>
      </c>
      <c r="AB175" s="86">
        <f>AVERAGEIFS($I$2:I175, $B$2:B175, B175)</f>
        <v>0.55625000000000013</v>
      </c>
      <c r="AC175" s="86">
        <f>AVERAGEIFS($J$2:J175, $B$2:B175, B175)</f>
        <v>0.52500000000000002</v>
      </c>
      <c r="AD175" s="86">
        <f>AVERAGEIFS($D$2:D175, $B$2:B175, B175)</f>
        <v>0.625</v>
      </c>
    </row>
    <row r="176" spans="1:30" x14ac:dyDescent="0.25">
      <c r="A176" s="85">
        <v>46131</v>
      </c>
      <c r="B176" t="s">
        <v>20</v>
      </c>
      <c r="C176">
        <v>37</v>
      </c>
      <c r="D176" s="86">
        <v>0</v>
      </c>
      <c r="E176">
        <v>5</v>
      </c>
      <c r="F176">
        <v>2</v>
      </c>
      <c r="G176">
        <v>19</v>
      </c>
      <c r="H176">
        <v>8</v>
      </c>
      <c r="I176">
        <v>0.4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0</v>
      </c>
      <c r="AA176" s="86">
        <f>AVERAGEIFS($C$2:C176, $B$2:B176, B176)</f>
        <v>18.222222222222221</v>
      </c>
      <c r="AB176" s="86">
        <f>AVERAGEIFS($I$2:I176, $B$2:B176, B176)</f>
        <v>0.48333333333333328</v>
      </c>
      <c r="AC176" s="86">
        <f>AVERAGEIFS($J$2:J176, $B$2:B176, B176)</f>
        <v>0.5066666666666666</v>
      </c>
      <c r="AD176" s="86">
        <f>AVERAGEIFS($D$2:D176, $B$2:B176, B176)</f>
        <v>0.33333333333333331</v>
      </c>
    </row>
    <row r="177" spans="1:30" x14ac:dyDescent="0.25">
      <c r="A177" s="85">
        <v>46131</v>
      </c>
      <c r="B177" t="s">
        <v>19</v>
      </c>
      <c r="C177">
        <v>24</v>
      </c>
      <c r="D177" s="86">
        <v>0</v>
      </c>
      <c r="E177">
        <v>5</v>
      </c>
      <c r="F177">
        <v>2</v>
      </c>
      <c r="G177">
        <v>19</v>
      </c>
      <c r="H177">
        <v>8</v>
      </c>
      <c r="I177">
        <v>0.4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0</v>
      </c>
      <c r="AA177" s="86">
        <f>AVERAGEIFS($C$2:C177, $B$2:B177, B177)</f>
        <v>15</v>
      </c>
      <c r="AB177" s="86">
        <f>AVERAGEIFS($I$2:I177, $B$2:B177, B177)</f>
        <v>0.44999999999999996</v>
      </c>
      <c r="AC177" s="86">
        <f>AVERAGEIFS($J$2:J177, $B$2:B177, B177)</f>
        <v>0.46555555555555561</v>
      </c>
      <c r="AD177" s="86">
        <f>AVERAGEIFS($D$2:D177, $B$2:B177, B177)</f>
        <v>0.33333333333333331</v>
      </c>
    </row>
    <row r="178" spans="1:30" x14ac:dyDescent="0.25">
      <c r="A178" s="85">
        <v>46131</v>
      </c>
      <c r="B178" t="s">
        <v>29</v>
      </c>
      <c r="C178">
        <v>21</v>
      </c>
      <c r="D178" s="86">
        <v>1</v>
      </c>
      <c r="E178">
        <v>5</v>
      </c>
      <c r="F178">
        <v>3</v>
      </c>
      <c r="G178">
        <v>19</v>
      </c>
      <c r="H178">
        <v>11</v>
      </c>
      <c r="I178">
        <v>0.6</v>
      </c>
      <c r="J178">
        <v>0.57999999999999996</v>
      </c>
      <c r="K178">
        <v>1</v>
      </c>
      <c r="L178">
        <v>1</v>
      </c>
      <c r="M178">
        <v>0</v>
      </c>
      <c r="N178">
        <v>0</v>
      </c>
      <c r="O178">
        <v>1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86">
        <f>AVERAGEIFS($C$2:C178, $B$2:B178, B178)</f>
        <v>13</v>
      </c>
      <c r="AB178" s="86">
        <f>AVERAGEIFS($I$2:I178, $B$2:B178, B178)</f>
        <v>0.66249999999999998</v>
      </c>
      <c r="AC178" s="86">
        <f>AVERAGEIFS($J$2:J178, $B$2:B178, B178)</f>
        <v>0.59499999999999997</v>
      </c>
      <c r="AD178" s="86">
        <f>AVERAGEIFS($D$2:D178, $B$2:B178, B178)</f>
        <v>0.875</v>
      </c>
    </row>
    <row r="179" spans="1:30" x14ac:dyDescent="0.25">
      <c r="A179" s="85">
        <v>46131</v>
      </c>
      <c r="B179" t="s">
        <v>18</v>
      </c>
      <c r="C179">
        <v>55</v>
      </c>
      <c r="D179" s="86">
        <v>1</v>
      </c>
      <c r="E179">
        <v>5</v>
      </c>
      <c r="F179">
        <v>3</v>
      </c>
      <c r="G179">
        <v>19</v>
      </c>
      <c r="H179">
        <v>11</v>
      </c>
      <c r="I179">
        <v>0.6</v>
      </c>
      <c r="J179">
        <v>0.57999999999999996</v>
      </c>
      <c r="K179">
        <v>1</v>
      </c>
      <c r="L179">
        <v>1</v>
      </c>
      <c r="M179">
        <v>0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 s="86">
        <f>AVERAGEIFS($C$2:C179, $B$2:B179, B179)</f>
        <v>33.375</v>
      </c>
      <c r="AB179" s="86">
        <f>AVERAGEIFS($I$2:I179, $B$2:B179, B179)</f>
        <v>0.45624999999999999</v>
      </c>
      <c r="AC179" s="86">
        <f>AVERAGEIFS($J$2:J179, $B$2:B179, B179)</f>
        <v>0.47625000000000001</v>
      </c>
      <c r="AD179" s="86">
        <f>AVERAGEIFS($D$2:D179, $B$2:B179, B179)</f>
        <v>0.375</v>
      </c>
    </row>
    <row r="180" spans="1:30" x14ac:dyDescent="0.25">
      <c r="A180" s="85">
        <v>46131</v>
      </c>
      <c r="B180" t="s">
        <v>35</v>
      </c>
      <c r="C180">
        <v>32</v>
      </c>
      <c r="D180" s="86">
        <v>1</v>
      </c>
      <c r="E180">
        <v>5</v>
      </c>
      <c r="F180">
        <v>3</v>
      </c>
      <c r="G180">
        <v>19</v>
      </c>
      <c r="H180">
        <v>11</v>
      </c>
      <c r="I180">
        <v>0.6</v>
      </c>
      <c r="J180">
        <v>0.57999999999999996</v>
      </c>
      <c r="K180">
        <v>1</v>
      </c>
      <c r="L180">
        <v>1</v>
      </c>
      <c r="M180">
        <v>0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 s="86">
        <f>AVERAGEIFS($C$2:C180, $B$2:B180, B180)</f>
        <v>14.6</v>
      </c>
      <c r="AB180" s="86">
        <f>AVERAGEIFS($I$2:I180, $B$2:B180, B180)</f>
        <v>0.47000000000000003</v>
      </c>
      <c r="AC180" s="86">
        <f>AVERAGEIFS($J$2:J180, $B$2:B180, B180)</f>
        <v>0.52200000000000002</v>
      </c>
      <c r="AD180" s="86">
        <f>AVERAGEIFS($D$2:D180, $B$2:B180, B180)</f>
        <v>0.6</v>
      </c>
    </row>
    <row r="181" spans="1:30" x14ac:dyDescent="0.25">
      <c r="A181" s="85">
        <v>46131</v>
      </c>
      <c r="B181" t="s">
        <v>4</v>
      </c>
      <c r="C181">
        <v>46</v>
      </c>
      <c r="D181" s="86">
        <v>1</v>
      </c>
      <c r="E181">
        <v>5</v>
      </c>
      <c r="F181">
        <v>3</v>
      </c>
      <c r="G181">
        <v>19</v>
      </c>
      <c r="H181">
        <v>11</v>
      </c>
      <c r="I181">
        <v>0.6</v>
      </c>
      <c r="J181">
        <v>0.57999999999999996</v>
      </c>
      <c r="K181">
        <v>1</v>
      </c>
      <c r="L181">
        <v>1</v>
      </c>
      <c r="M181">
        <v>0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 s="86">
        <f>AVERAGEIFS($C$2:C181, $B$2:B181, B181)</f>
        <v>26.75</v>
      </c>
      <c r="AB181" s="86">
        <f>AVERAGEIFS($I$2:I181, $B$2:B181, B181)</f>
        <v>0.48750000000000004</v>
      </c>
      <c r="AC181" s="86">
        <f>AVERAGEIFS($J$2:J181, $B$2:B181, B181)</f>
        <v>0.48</v>
      </c>
      <c r="AD181" s="86">
        <f>AVERAGEIFS($D$2:D181, $B$2:B181, B181)</f>
        <v>0.75</v>
      </c>
    </row>
    <row r="182" spans="1:30" x14ac:dyDescent="0.25">
      <c r="A182" s="85">
        <v>46131</v>
      </c>
      <c r="B182" t="s">
        <v>155</v>
      </c>
      <c r="C182">
        <v>43</v>
      </c>
      <c r="D182" s="86">
        <v>1</v>
      </c>
      <c r="E182">
        <v>5</v>
      </c>
      <c r="F182">
        <v>3</v>
      </c>
      <c r="G182">
        <v>19</v>
      </c>
      <c r="H182">
        <v>11</v>
      </c>
      <c r="I182">
        <v>0.6</v>
      </c>
      <c r="J182">
        <v>0.57999999999999996</v>
      </c>
      <c r="K182">
        <v>1</v>
      </c>
      <c r="L182">
        <v>1</v>
      </c>
      <c r="M182">
        <v>0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 s="86">
        <f>AVERAGEIFS($C$2:C182, $B$2:B182, B182)</f>
        <v>43</v>
      </c>
      <c r="AB182" s="86">
        <f>AVERAGEIFS($I$2:I182, $B$2:B182, B182)</f>
        <v>0.6</v>
      </c>
      <c r="AC182" s="86">
        <f>AVERAGEIFS($J$2:J182, $B$2:B182, B182)</f>
        <v>0.57999999999999996</v>
      </c>
      <c r="AD182" s="86">
        <f>AVERAGEIFS($D$2:D182, $B$2:B182, B182)</f>
        <v>1</v>
      </c>
    </row>
    <row r="183" spans="1:30" x14ac:dyDescent="0.25">
      <c r="A183" s="85">
        <v>46131</v>
      </c>
      <c r="B183" t="s">
        <v>5</v>
      </c>
      <c r="C183">
        <v>51</v>
      </c>
      <c r="D183" s="86">
        <v>1</v>
      </c>
      <c r="E183">
        <v>5</v>
      </c>
      <c r="F183">
        <v>3</v>
      </c>
      <c r="G183">
        <v>19</v>
      </c>
      <c r="H183">
        <v>11</v>
      </c>
      <c r="I183">
        <v>0.6</v>
      </c>
      <c r="J183">
        <v>0.57999999999999996</v>
      </c>
      <c r="K183">
        <v>1</v>
      </c>
      <c r="L183">
        <v>1</v>
      </c>
      <c r="M183">
        <v>0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 s="86">
        <f>AVERAGEIFS($C$2:C183, $B$2:B183, B183)</f>
        <v>30.4</v>
      </c>
      <c r="AB183" s="86">
        <f>AVERAGEIFS($I$2:I183, $B$2:B183, B183)</f>
        <v>0.59000000000000008</v>
      </c>
      <c r="AC183" s="86">
        <f>AVERAGEIFS($J$2:J183, $B$2:B183, B183)</f>
        <v>0.53200000000000003</v>
      </c>
      <c r="AD183" s="86">
        <f>AVERAGEIFS($D$2:D183, $B$2:B183, B183)</f>
        <v>0.8</v>
      </c>
    </row>
    <row r="184" spans="1:30" x14ac:dyDescent="0.25">
      <c r="A184" s="85">
        <v>46138</v>
      </c>
      <c r="B184" t="s">
        <v>5</v>
      </c>
      <c r="C184">
        <v>47</v>
      </c>
      <c r="D184" s="86">
        <v>1</v>
      </c>
      <c r="E184">
        <v>5</v>
      </c>
      <c r="F184">
        <v>3</v>
      </c>
      <c r="G184">
        <v>21</v>
      </c>
      <c r="H184">
        <v>12</v>
      </c>
      <c r="I184">
        <v>0.6</v>
      </c>
      <c r="J184">
        <v>0.56999999999999995</v>
      </c>
      <c r="K184">
        <v>0</v>
      </c>
      <c r="L184">
        <v>0</v>
      </c>
      <c r="M184">
        <v>0</v>
      </c>
      <c r="N184">
        <v>1</v>
      </c>
      <c r="O184">
        <v>1</v>
      </c>
      <c r="P184">
        <v>1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 s="86">
        <f>AVERAGEIFS($C$2:C184, $B$2:B184, B184)</f>
        <v>33.166666666666664</v>
      </c>
      <c r="AB184" s="86">
        <f>AVERAGEIFS($I$2:I184, $B$2:B184, B184)</f>
        <v>0.59166666666666667</v>
      </c>
      <c r="AC184" s="86">
        <f>AVERAGEIFS($J$2:J184, $B$2:B184, B184)</f>
        <v>0.53833333333333333</v>
      </c>
      <c r="AD184" s="86">
        <f>AVERAGEIFS($D$2:D184, $B$2:B184, B184)</f>
        <v>0.83333333333333337</v>
      </c>
    </row>
    <row r="185" spans="1:30" x14ac:dyDescent="0.25">
      <c r="A185" s="85">
        <v>46138</v>
      </c>
      <c r="B185" t="s">
        <v>18</v>
      </c>
      <c r="C185">
        <v>38</v>
      </c>
      <c r="D185" s="86">
        <v>1</v>
      </c>
      <c r="E185">
        <v>5</v>
      </c>
      <c r="F185">
        <v>3</v>
      </c>
      <c r="G185">
        <v>21</v>
      </c>
      <c r="H185">
        <v>12</v>
      </c>
      <c r="I185">
        <v>0.6</v>
      </c>
      <c r="J185">
        <v>0.56999999999999995</v>
      </c>
      <c r="K185">
        <v>0</v>
      </c>
      <c r="L185">
        <v>0</v>
      </c>
      <c r="M185">
        <v>0</v>
      </c>
      <c r="N185">
        <v>1</v>
      </c>
      <c r="O185">
        <v>1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 s="86">
        <f>AVERAGEIFS($C$2:C185, $B$2:B185, B185)</f>
        <v>33.888888888888886</v>
      </c>
      <c r="AB185" s="86">
        <f>AVERAGEIFS($I$2:I185, $B$2:B185, B185)</f>
        <v>0.47222222222222221</v>
      </c>
      <c r="AC185" s="86">
        <f>AVERAGEIFS($J$2:J185, $B$2:B185, B185)</f>
        <v>0.48666666666666664</v>
      </c>
      <c r="AD185" s="86">
        <f>AVERAGEIFS($D$2:D185, $B$2:B185, B185)</f>
        <v>0.44444444444444442</v>
      </c>
    </row>
    <row r="186" spans="1:30" x14ac:dyDescent="0.25">
      <c r="A186" s="85">
        <v>46138</v>
      </c>
      <c r="B186" t="s">
        <v>155</v>
      </c>
      <c r="C186">
        <v>37</v>
      </c>
      <c r="D186" s="86">
        <v>1</v>
      </c>
      <c r="E186">
        <v>5</v>
      </c>
      <c r="F186">
        <v>3</v>
      </c>
      <c r="G186">
        <v>21</v>
      </c>
      <c r="H186">
        <v>12</v>
      </c>
      <c r="I186">
        <v>0.6</v>
      </c>
      <c r="J186">
        <v>0.56999999999999995</v>
      </c>
      <c r="K186">
        <v>0</v>
      </c>
      <c r="L186">
        <v>0</v>
      </c>
      <c r="M186">
        <v>0</v>
      </c>
      <c r="N186">
        <v>1</v>
      </c>
      <c r="O186">
        <v>1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 s="86">
        <f>AVERAGEIFS($C$2:C186, $B$2:B186, B186)</f>
        <v>40</v>
      </c>
      <c r="AB186" s="86">
        <f>AVERAGEIFS($I$2:I186, $B$2:B186, B186)</f>
        <v>0.6</v>
      </c>
      <c r="AC186" s="86">
        <f>AVERAGEIFS($J$2:J186, $B$2:B186, B186)</f>
        <v>0.57499999999999996</v>
      </c>
      <c r="AD186" s="86">
        <f>AVERAGEIFS($D$2:D186, $B$2:B186, B186)</f>
        <v>1</v>
      </c>
    </row>
    <row r="187" spans="1:30" x14ac:dyDescent="0.25">
      <c r="A187" s="85">
        <v>46138</v>
      </c>
      <c r="B187" t="s">
        <v>4</v>
      </c>
      <c r="C187">
        <v>32</v>
      </c>
      <c r="D187" s="86">
        <v>1</v>
      </c>
      <c r="E187">
        <v>5</v>
      </c>
      <c r="F187">
        <v>3</v>
      </c>
      <c r="G187">
        <v>21</v>
      </c>
      <c r="H187">
        <v>12</v>
      </c>
      <c r="I187">
        <v>0.6</v>
      </c>
      <c r="J187">
        <v>0.56999999999999995</v>
      </c>
      <c r="K187">
        <v>0</v>
      </c>
      <c r="L187">
        <v>0</v>
      </c>
      <c r="M187">
        <v>0</v>
      </c>
      <c r="N187">
        <v>1</v>
      </c>
      <c r="O187">
        <v>1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 s="86">
        <f>AVERAGEIFS($C$2:C187, $B$2:B187, B187)</f>
        <v>27.8</v>
      </c>
      <c r="AB187" s="86">
        <f>AVERAGEIFS($I$2:I187, $B$2:B187, B187)</f>
        <v>0.51</v>
      </c>
      <c r="AC187" s="86">
        <f>AVERAGEIFS($J$2:J187, $B$2:B187, B187)</f>
        <v>0.49799999999999994</v>
      </c>
      <c r="AD187" s="86">
        <f>AVERAGEIFS($D$2:D187, $B$2:B187, B187)</f>
        <v>0.8</v>
      </c>
    </row>
    <row r="188" spans="1:30" x14ac:dyDescent="0.25">
      <c r="A188" s="85">
        <v>46138</v>
      </c>
      <c r="B188" t="s">
        <v>35</v>
      </c>
      <c r="C188">
        <v>24</v>
      </c>
      <c r="D188" s="86">
        <v>1</v>
      </c>
      <c r="E188">
        <v>5</v>
      </c>
      <c r="F188">
        <v>3</v>
      </c>
      <c r="G188">
        <v>21</v>
      </c>
      <c r="H188">
        <v>12</v>
      </c>
      <c r="I188">
        <v>0.6</v>
      </c>
      <c r="J188">
        <v>0.56999999999999995</v>
      </c>
      <c r="K188">
        <v>0</v>
      </c>
      <c r="L188">
        <v>0</v>
      </c>
      <c r="M188">
        <v>0</v>
      </c>
      <c r="N188">
        <v>1</v>
      </c>
      <c r="O188">
        <v>1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 s="86">
        <f>AVERAGEIFS($C$2:C188, $B$2:B188, B188)</f>
        <v>16.166666666666668</v>
      </c>
      <c r="AB188" s="86">
        <f>AVERAGEIFS($I$2:I188, $B$2:B188, B188)</f>
        <v>0.4916666666666667</v>
      </c>
      <c r="AC188" s="86">
        <f>AVERAGEIFS($J$2:J188, $B$2:B188, B188)</f>
        <v>0.52999999999999992</v>
      </c>
      <c r="AD188" s="86">
        <f>AVERAGEIFS($D$2:D188, $B$2:B188, B188)</f>
        <v>0.66666666666666663</v>
      </c>
    </row>
    <row r="189" spans="1:30" x14ac:dyDescent="0.25">
      <c r="A189" s="85">
        <v>46138</v>
      </c>
      <c r="B189" t="s">
        <v>29</v>
      </c>
      <c r="C189">
        <v>13</v>
      </c>
      <c r="D189" s="86">
        <v>1</v>
      </c>
      <c r="E189">
        <v>5</v>
      </c>
      <c r="F189">
        <v>3</v>
      </c>
      <c r="G189">
        <v>21</v>
      </c>
      <c r="H189">
        <v>12</v>
      </c>
      <c r="I189">
        <v>0.6</v>
      </c>
      <c r="J189">
        <v>0.56999999999999995</v>
      </c>
      <c r="K189">
        <v>0</v>
      </c>
      <c r="L189">
        <v>0</v>
      </c>
      <c r="M189">
        <v>0</v>
      </c>
      <c r="N189">
        <v>1</v>
      </c>
      <c r="O189">
        <v>1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 s="86">
        <f>AVERAGEIFS($C$2:C189, $B$2:B189, B189)</f>
        <v>13</v>
      </c>
      <c r="AB189" s="86">
        <f>AVERAGEIFS($I$2:I189, $B$2:B189, B189)</f>
        <v>0.65555555555555545</v>
      </c>
      <c r="AC189" s="86">
        <f>AVERAGEIFS($J$2:J189, $B$2:B189, B189)</f>
        <v>0.59222222222222221</v>
      </c>
      <c r="AD189" s="86">
        <f>AVERAGEIFS($D$2:D189, $B$2:B189, B189)</f>
        <v>0.88888888888888884</v>
      </c>
    </row>
    <row r="190" spans="1:30" x14ac:dyDescent="0.25">
      <c r="A190" s="85">
        <v>46138</v>
      </c>
      <c r="B190" t="s">
        <v>14</v>
      </c>
      <c r="C190">
        <v>41</v>
      </c>
      <c r="D190" s="86">
        <v>0</v>
      </c>
      <c r="E190">
        <v>5</v>
      </c>
      <c r="F190">
        <v>2</v>
      </c>
      <c r="G190">
        <v>21</v>
      </c>
      <c r="H190">
        <v>9</v>
      </c>
      <c r="I190">
        <v>0.4</v>
      </c>
      <c r="J190">
        <v>0.43</v>
      </c>
      <c r="K190">
        <v>1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1</v>
      </c>
      <c r="Y190">
        <v>0</v>
      </c>
      <c r="Z190">
        <v>0</v>
      </c>
      <c r="AA190" s="86">
        <f>AVERAGEIFS($C$2:C190, $B$2:B190, B190)</f>
        <v>39.222222222222221</v>
      </c>
      <c r="AB190" s="86">
        <f>AVERAGEIFS($I$2:I190, $B$2:B190, B190)</f>
        <v>0.52222222222222225</v>
      </c>
      <c r="AC190" s="86">
        <f>AVERAGEIFS($J$2:J190, $B$2:B190, B190)</f>
        <v>0.52</v>
      </c>
      <c r="AD190" s="86">
        <f>AVERAGEIFS($D$2:D190, $B$2:B190, B190)</f>
        <v>0.55555555555555558</v>
      </c>
    </row>
    <row r="191" spans="1:30" x14ac:dyDescent="0.25">
      <c r="A191" s="85">
        <v>46138</v>
      </c>
      <c r="B191" t="s">
        <v>28</v>
      </c>
      <c r="C191">
        <v>33</v>
      </c>
      <c r="D191" s="86">
        <v>0</v>
      </c>
      <c r="E191">
        <v>5</v>
      </c>
      <c r="F191">
        <v>2</v>
      </c>
      <c r="G191">
        <v>21</v>
      </c>
      <c r="H191">
        <v>9</v>
      </c>
      <c r="I191">
        <v>0.4</v>
      </c>
      <c r="J191">
        <v>0.43</v>
      </c>
      <c r="K191">
        <v>1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0</v>
      </c>
      <c r="AA191" s="86">
        <f>AVERAGEIFS($C$2:C191, $B$2:B191, B191)</f>
        <v>23.714285714285715</v>
      </c>
      <c r="AB191" s="86">
        <f>AVERAGEIFS($I$2:I191, $B$2:B191, B191)</f>
        <v>0.48571428571428571</v>
      </c>
      <c r="AC191" s="86">
        <f>AVERAGEIFS($J$2:J191, $B$2:B191, B191)</f>
        <v>0.49571428571428566</v>
      </c>
      <c r="AD191" s="86">
        <f>AVERAGEIFS($D$2:D191, $B$2:B191, B191)</f>
        <v>0.42857142857142855</v>
      </c>
    </row>
    <row r="192" spans="1:30" x14ac:dyDescent="0.25">
      <c r="A192" s="85">
        <v>46138</v>
      </c>
      <c r="B192" t="s">
        <v>17</v>
      </c>
      <c r="C192">
        <v>31</v>
      </c>
      <c r="D192" s="86">
        <v>0</v>
      </c>
      <c r="E192">
        <v>5</v>
      </c>
      <c r="F192">
        <v>2</v>
      </c>
      <c r="G192">
        <v>21</v>
      </c>
      <c r="H192">
        <v>9</v>
      </c>
      <c r="I192">
        <v>0.4</v>
      </c>
      <c r="J192">
        <v>0.43</v>
      </c>
      <c r="K192">
        <v>1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0</v>
      </c>
      <c r="AA192" s="86">
        <f>AVERAGEIFS($C$2:C192, $B$2:B192, B192)</f>
        <v>35</v>
      </c>
      <c r="AB192" s="86">
        <f>AVERAGEIFS($I$2:I192, $B$2:B192, B192)</f>
        <v>0.46249999999999997</v>
      </c>
      <c r="AC192" s="86">
        <f>AVERAGEIFS($J$2:J192, $B$2:B192, B192)</f>
        <v>0.48249999999999998</v>
      </c>
      <c r="AD192" s="86">
        <f>AVERAGEIFS($D$2:D192, $B$2:B192, B192)</f>
        <v>0.25</v>
      </c>
    </row>
    <row r="193" spans="1:30" x14ac:dyDescent="0.25">
      <c r="A193" s="85">
        <v>46138</v>
      </c>
      <c r="B193" t="s">
        <v>40</v>
      </c>
      <c r="C193">
        <v>28</v>
      </c>
      <c r="D193" s="86">
        <v>0</v>
      </c>
      <c r="E193">
        <v>5</v>
      </c>
      <c r="F193">
        <v>2</v>
      </c>
      <c r="G193">
        <v>21</v>
      </c>
      <c r="H193">
        <v>9</v>
      </c>
      <c r="I193">
        <v>0.4</v>
      </c>
      <c r="J193">
        <v>0.43</v>
      </c>
      <c r="K193">
        <v>1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0</v>
      </c>
      <c r="AA193" s="86">
        <f>AVERAGEIFS($C$2:C193, $B$2:B193, B193)</f>
        <v>23.5</v>
      </c>
      <c r="AB193" s="86">
        <f>AVERAGEIFS($I$2:I193, $B$2:B193, B193)</f>
        <v>0.41249999999999998</v>
      </c>
      <c r="AC193" s="86">
        <f>AVERAGEIFS($J$2:J193, $B$2:B193, B193)</f>
        <v>0.46</v>
      </c>
      <c r="AD193" s="86">
        <f>AVERAGEIFS($D$2:D193, $B$2:B193, B193)</f>
        <v>0.25</v>
      </c>
    </row>
    <row r="194" spans="1:30" x14ac:dyDescent="0.25">
      <c r="A194" s="85">
        <v>46138</v>
      </c>
      <c r="B194" t="s">
        <v>25</v>
      </c>
      <c r="C194">
        <v>24</v>
      </c>
      <c r="D194" s="86">
        <v>0</v>
      </c>
      <c r="E194">
        <v>5</v>
      </c>
      <c r="F194">
        <v>2</v>
      </c>
      <c r="G194">
        <v>21</v>
      </c>
      <c r="H194">
        <v>9</v>
      </c>
      <c r="I194">
        <v>0.4</v>
      </c>
      <c r="J194">
        <v>0.43</v>
      </c>
      <c r="K194">
        <v>1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0</v>
      </c>
      <c r="AA194" s="86">
        <f>AVERAGEIFS($C$2:C194, $B$2:B194, B194)</f>
        <v>25.2</v>
      </c>
      <c r="AB194" s="86">
        <f>AVERAGEIFS($I$2:I194, $B$2:B194, B194)</f>
        <v>0.41</v>
      </c>
      <c r="AC194" s="86">
        <f>AVERAGEIFS($J$2:J194, $B$2:B194, B194)</f>
        <v>0.47000000000000003</v>
      </c>
      <c r="AD194" s="86">
        <f>AVERAGEIFS($D$2:D194, $B$2:B194, B194)</f>
        <v>0.2</v>
      </c>
    </row>
    <row r="195" spans="1:30" x14ac:dyDescent="0.25">
      <c r="A195" s="85">
        <v>46138</v>
      </c>
      <c r="B195" t="s">
        <v>70</v>
      </c>
      <c r="C195">
        <v>19</v>
      </c>
      <c r="D195" s="86">
        <v>0</v>
      </c>
      <c r="E195">
        <v>5</v>
      </c>
      <c r="F195">
        <v>2</v>
      </c>
      <c r="G195">
        <v>21</v>
      </c>
      <c r="H195">
        <v>9</v>
      </c>
      <c r="I195">
        <v>0.4</v>
      </c>
      <c r="J195">
        <v>0.43</v>
      </c>
      <c r="K195">
        <v>1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0</v>
      </c>
      <c r="AA195" s="86">
        <f>AVERAGEIFS($C$2:C195, $B$2:B195, B195)</f>
        <v>23.666666666666668</v>
      </c>
      <c r="AB195" s="86">
        <f>AVERAGEIFS($I$2:I195, $B$2:B195, B195)</f>
        <v>0.46666666666666662</v>
      </c>
      <c r="AC195" s="86">
        <f>AVERAGEIFS($J$2:J195, $B$2:B195, B195)</f>
        <v>0.49333333333333323</v>
      </c>
      <c r="AD195" s="86">
        <f>AVERAGEIFS($D$2:D195, $B$2:B195, B195)</f>
        <v>0.33333333333333331</v>
      </c>
    </row>
    <row r="196" spans="1:30" x14ac:dyDescent="0.25">
      <c r="A196" s="85">
        <v>46149</v>
      </c>
      <c r="B196" t="s">
        <v>6</v>
      </c>
      <c r="C196">
        <v>66</v>
      </c>
      <c r="D196" s="86">
        <v>1</v>
      </c>
      <c r="E196">
        <v>5</v>
      </c>
      <c r="F196">
        <v>3</v>
      </c>
      <c r="G196">
        <v>21</v>
      </c>
      <c r="H196">
        <v>11</v>
      </c>
      <c r="I196">
        <v>0.6</v>
      </c>
      <c r="J196">
        <v>0.52</v>
      </c>
      <c r="K196">
        <v>0</v>
      </c>
      <c r="L196">
        <v>0</v>
      </c>
      <c r="M196">
        <v>1</v>
      </c>
      <c r="N196">
        <v>1</v>
      </c>
      <c r="O196">
        <v>1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 s="86">
        <f>AVERAGEIFS($C$2:C196, $B$2:B196, B196)</f>
        <v>32.555555555555557</v>
      </c>
      <c r="AB196" s="86">
        <f>AVERAGEIFS($I$2:I196, $B$2:B196, B196)</f>
        <v>0.63888888888888884</v>
      </c>
      <c r="AC196" s="86">
        <f>AVERAGEIFS($J$2:J196, $B$2:B196, B196)</f>
        <v>0.53999999999999992</v>
      </c>
      <c r="AD196" s="86">
        <f>AVERAGEIFS($D$2:D196, $B$2:B196, B196)</f>
        <v>0.66666666666666663</v>
      </c>
    </row>
    <row r="197" spans="1:30" x14ac:dyDescent="0.25">
      <c r="A197" s="85">
        <v>46149</v>
      </c>
      <c r="B197" t="s">
        <v>113</v>
      </c>
      <c r="C197">
        <v>50</v>
      </c>
      <c r="D197" s="86">
        <v>1</v>
      </c>
      <c r="E197">
        <v>5</v>
      </c>
      <c r="F197">
        <v>3</v>
      </c>
      <c r="G197">
        <v>21</v>
      </c>
      <c r="H197">
        <v>11</v>
      </c>
      <c r="I197">
        <v>0.6</v>
      </c>
      <c r="J197">
        <v>0.52</v>
      </c>
      <c r="K197">
        <v>0</v>
      </c>
      <c r="L197">
        <v>0</v>
      </c>
      <c r="M197">
        <v>1</v>
      </c>
      <c r="N197">
        <v>1</v>
      </c>
      <c r="O197">
        <v>1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49.5</v>
      </c>
      <c r="AB197" s="86">
        <f>AVERAGEIFS($I$2:I197, $B$2:B197, B197)</f>
        <v>0.5</v>
      </c>
      <c r="AC197" s="86">
        <f>AVERAGEIFS($J$2:J197, $B$2:B197, B197)</f>
        <v>0.47499999999999998</v>
      </c>
      <c r="AD197" s="86">
        <f>AVERAGEIFS($D$2:D197, $B$2:B197, B197)</f>
        <v>0.5</v>
      </c>
    </row>
    <row r="198" spans="1:30" x14ac:dyDescent="0.25">
      <c r="A198" s="85">
        <v>46149</v>
      </c>
      <c r="B198" t="s">
        <v>40</v>
      </c>
      <c r="C198">
        <v>40</v>
      </c>
      <c r="D198" s="86">
        <v>1</v>
      </c>
      <c r="E198">
        <v>5</v>
      </c>
      <c r="F198">
        <v>3</v>
      </c>
      <c r="G198">
        <v>21</v>
      </c>
      <c r="H198">
        <v>11</v>
      </c>
      <c r="I198">
        <v>0.6</v>
      </c>
      <c r="J198">
        <v>0.52</v>
      </c>
      <c r="K198">
        <v>0</v>
      </c>
      <c r="L198">
        <v>0</v>
      </c>
      <c r="M198">
        <v>1</v>
      </c>
      <c r="N198">
        <v>1</v>
      </c>
      <c r="O198">
        <v>1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26.8</v>
      </c>
      <c r="AB198" s="86">
        <f>AVERAGEIFS($I$2:I198, $B$2:B198, B198)</f>
        <v>0.45</v>
      </c>
      <c r="AC198" s="86">
        <f>AVERAGEIFS($J$2:J198, $B$2:B198, B198)</f>
        <v>0.47200000000000009</v>
      </c>
      <c r="AD198" s="86">
        <f>AVERAGEIFS($D$2:D198, $B$2:B198, B198)</f>
        <v>0.4</v>
      </c>
    </row>
    <row r="199" spans="1:30" x14ac:dyDescent="0.25">
      <c r="A199" s="85">
        <v>46149</v>
      </c>
      <c r="B199" t="s">
        <v>147</v>
      </c>
      <c r="C199">
        <v>35</v>
      </c>
      <c r="D199" s="86">
        <v>1</v>
      </c>
      <c r="E199">
        <v>5</v>
      </c>
      <c r="F199">
        <v>3</v>
      </c>
      <c r="G199">
        <v>21</v>
      </c>
      <c r="H199">
        <v>11</v>
      </c>
      <c r="I199">
        <v>0.6</v>
      </c>
      <c r="J199">
        <v>0.52</v>
      </c>
      <c r="K199">
        <v>0</v>
      </c>
      <c r="L199">
        <v>0</v>
      </c>
      <c r="M199">
        <v>1</v>
      </c>
      <c r="N199">
        <v>1</v>
      </c>
      <c r="O199">
        <v>1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30.333333333333332</v>
      </c>
      <c r="AB199" s="86">
        <f>AVERAGEIFS($I$2:I199, $B$2:B199, B199)</f>
        <v>0.46666666666666662</v>
      </c>
      <c r="AC199" s="86">
        <f>AVERAGEIFS($J$2:J199, $B$2:B199, B199)</f>
        <v>0.45</v>
      </c>
      <c r="AD199" s="86">
        <f>AVERAGEIFS($D$2:D199, $B$2:B199, B199)</f>
        <v>0.33333333333333331</v>
      </c>
    </row>
    <row r="200" spans="1:30" x14ac:dyDescent="0.25">
      <c r="A200" s="85">
        <v>46149</v>
      </c>
      <c r="B200" t="s">
        <v>154</v>
      </c>
      <c r="C200">
        <v>35</v>
      </c>
      <c r="D200" s="86">
        <v>1</v>
      </c>
      <c r="E200">
        <v>5</v>
      </c>
      <c r="F200">
        <v>3</v>
      </c>
      <c r="G200">
        <v>21</v>
      </c>
      <c r="H200">
        <v>11</v>
      </c>
      <c r="I200">
        <v>0.6</v>
      </c>
      <c r="J200">
        <v>0.52</v>
      </c>
      <c r="K200">
        <v>0</v>
      </c>
      <c r="L200">
        <v>0</v>
      </c>
      <c r="M200">
        <v>1</v>
      </c>
      <c r="N200">
        <v>1</v>
      </c>
      <c r="O200">
        <v>1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28.5</v>
      </c>
      <c r="AB200" s="86">
        <f>AVERAGEIFS($I$2:I200, $B$2:B200, B200)</f>
        <v>0.5</v>
      </c>
      <c r="AC200" s="86">
        <f>AVERAGEIFS($J$2:J200, $B$2:B200, B200)</f>
        <v>0.47499999999999998</v>
      </c>
      <c r="AD200" s="86">
        <f>AVERAGEIFS($D$2:D200, $B$2:B200, B200)</f>
        <v>0.5</v>
      </c>
    </row>
    <row r="201" spans="1:30" x14ac:dyDescent="0.25">
      <c r="A201" s="85">
        <v>46149</v>
      </c>
      <c r="B201" t="s">
        <v>146</v>
      </c>
      <c r="C201">
        <v>22</v>
      </c>
      <c r="D201" s="86">
        <v>1</v>
      </c>
      <c r="E201">
        <v>5</v>
      </c>
      <c r="F201">
        <v>3</v>
      </c>
      <c r="G201">
        <v>21</v>
      </c>
      <c r="H201">
        <v>11</v>
      </c>
      <c r="I201">
        <v>0.6</v>
      </c>
      <c r="J201">
        <v>0.52</v>
      </c>
      <c r="K201">
        <v>0</v>
      </c>
      <c r="L201">
        <v>0</v>
      </c>
      <c r="M201">
        <v>1</v>
      </c>
      <c r="N201">
        <v>1</v>
      </c>
      <c r="O201">
        <v>1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23.333333333333332</v>
      </c>
      <c r="AB201" s="86">
        <f>AVERAGEIFS($I$2:I201, $B$2:B201, B201)</f>
        <v>0.46666666666666662</v>
      </c>
      <c r="AC201" s="86">
        <f>AVERAGEIFS($J$2:J201, $B$2:B201, B201)</f>
        <v>0.45</v>
      </c>
      <c r="AD201" s="86">
        <f>AVERAGEIFS($D$2:D201, $B$2:B201, B201)</f>
        <v>0.33333333333333331</v>
      </c>
    </row>
    <row r="202" spans="1:30" x14ac:dyDescent="0.25">
      <c r="A202" s="85">
        <v>46149</v>
      </c>
      <c r="B202" t="s">
        <v>2</v>
      </c>
      <c r="C202">
        <v>68</v>
      </c>
      <c r="D202" s="86">
        <v>0</v>
      </c>
      <c r="E202">
        <v>5</v>
      </c>
      <c r="F202">
        <v>2</v>
      </c>
      <c r="G202">
        <v>21</v>
      </c>
      <c r="H202">
        <v>10</v>
      </c>
      <c r="I202">
        <v>0.4</v>
      </c>
      <c r="J202">
        <v>0.48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1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1</v>
      </c>
      <c r="Y202">
        <v>0</v>
      </c>
      <c r="Z202">
        <v>0</v>
      </c>
      <c r="AA202" s="86">
        <f>AVERAGEIFS($C$2:C202, $B$2:B202, B202)</f>
        <v>38.625</v>
      </c>
      <c r="AB202" s="86">
        <f>AVERAGEIFS($I$2:I202, $B$2:B202, B202)</f>
        <v>0.51249999999999996</v>
      </c>
      <c r="AC202" s="86">
        <f>AVERAGEIFS($J$2:J202, $B$2:B202, B202)</f>
        <v>0.51500000000000001</v>
      </c>
      <c r="AD202" s="86">
        <f>AVERAGEIFS($D$2:D202, $B$2:B202, B202)</f>
        <v>0.375</v>
      </c>
    </row>
    <row r="203" spans="1:30" x14ac:dyDescent="0.25">
      <c r="A203" s="85">
        <v>46149</v>
      </c>
      <c r="B203" t="s">
        <v>18</v>
      </c>
      <c r="C203">
        <v>58</v>
      </c>
      <c r="D203" s="86">
        <v>0</v>
      </c>
      <c r="E203">
        <v>5</v>
      </c>
      <c r="F203">
        <v>2</v>
      </c>
      <c r="G203">
        <v>21</v>
      </c>
      <c r="H203">
        <v>10</v>
      </c>
      <c r="I203">
        <v>0.4</v>
      </c>
      <c r="J203">
        <v>0.48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1</v>
      </c>
      <c r="Y203">
        <v>0</v>
      </c>
      <c r="Z203">
        <v>0</v>
      </c>
      <c r="AA203" s="86">
        <f>AVERAGEIFS($C$2:C203, $B$2:B203, B203)</f>
        <v>36.299999999999997</v>
      </c>
      <c r="AB203" s="86">
        <f>AVERAGEIFS($I$2:I203, $B$2:B203, B203)</f>
        <v>0.46500000000000002</v>
      </c>
      <c r="AC203" s="86">
        <f>AVERAGEIFS($J$2:J203, $B$2:B203, B203)</f>
        <v>0.48599999999999993</v>
      </c>
      <c r="AD203" s="86">
        <f>AVERAGEIFS($D$2:D203, $B$2:B203, B203)</f>
        <v>0.4</v>
      </c>
    </row>
    <row r="204" spans="1:30" x14ac:dyDescent="0.25">
      <c r="A204" s="85">
        <v>46149</v>
      </c>
      <c r="B204" t="s">
        <v>25</v>
      </c>
      <c r="C204">
        <v>50</v>
      </c>
      <c r="D204" s="86">
        <v>0</v>
      </c>
      <c r="E204">
        <v>5</v>
      </c>
      <c r="F204">
        <v>2</v>
      </c>
      <c r="G204">
        <v>21</v>
      </c>
      <c r="H204">
        <v>10</v>
      </c>
      <c r="I204">
        <v>0.4</v>
      </c>
      <c r="J204">
        <v>0.48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1</v>
      </c>
      <c r="Y204">
        <v>0</v>
      </c>
      <c r="Z204">
        <v>0</v>
      </c>
      <c r="AA204" s="86">
        <f>AVERAGEIFS($C$2:C204, $B$2:B204, B204)</f>
        <v>29.333333333333332</v>
      </c>
      <c r="AB204" s="86">
        <f>AVERAGEIFS($I$2:I204, $B$2:B204, B204)</f>
        <v>0.40833333333333327</v>
      </c>
      <c r="AC204" s="86">
        <f>AVERAGEIFS($J$2:J204, $B$2:B204, B204)</f>
        <v>0.47166666666666668</v>
      </c>
      <c r="AD204" s="86">
        <f>AVERAGEIFS($D$2:D204, $B$2:B204, B204)</f>
        <v>0.16666666666666666</v>
      </c>
    </row>
    <row r="205" spans="1:30" x14ac:dyDescent="0.25">
      <c r="A205" s="85">
        <v>46149</v>
      </c>
      <c r="B205" t="s">
        <v>150</v>
      </c>
      <c r="C205">
        <v>41</v>
      </c>
      <c r="D205" s="86">
        <v>0</v>
      </c>
      <c r="E205">
        <v>5</v>
      </c>
      <c r="F205">
        <v>2</v>
      </c>
      <c r="G205">
        <v>21</v>
      </c>
      <c r="H205">
        <v>10</v>
      </c>
      <c r="I205">
        <v>0.4</v>
      </c>
      <c r="J205">
        <v>0.48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1</v>
      </c>
      <c r="Y205">
        <v>0</v>
      </c>
      <c r="Z205">
        <v>0</v>
      </c>
      <c r="AA205" s="86">
        <f>AVERAGEIFS($C$2:C205, $B$2:B205, B205)</f>
        <v>41</v>
      </c>
      <c r="AB205" s="86">
        <f>AVERAGEIFS($I$2:I205, $B$2:B205, B205)</f>
        <v>0.4</v>
      </c>
      <c r="AC205" s="86">
        <f>AVERAGEIFS($J$2:J205, $B$2:B205, B205)</f>
        <v>0.48</v>
      </c>
      <c r="AD205" s="86">
        <f>AVERAGEIFS($D$2:D205, $B$2:B205, B205)</f>
        <v>0</v>
      </c>
    </row>
    <row r="206" spans="1:30" x14ac:dyDescent="0.25">
      <c r="A206" s="85">
        <v>46149</v>
      </c>
      <c r="B206" t="s">
        <v>45</v>
      </c>
      <c r="C206">
        <v>29</v>
      </c>
      <c r="D206" s="86">
        <v>0</v>
      </c>
      <c r="E206">
        <v>5</v>
      </c>
      <c r="F206">
        <v>2</v>
      </c>
      <c r="G206">
        <v>21</v>
      </c>
      <c r="H206">
        <v>10</v>
      </c>
      <c r="I206">
        <v>0.4</v>
      </c>
      <c r="J206">
        <v>0.48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1</v>
      </c>
      <c r="Y206">
        <v>0</v>
      </c>
      <c r="Z206">
        <v>0</v>
      </c>
      <c r="AA206" s="86">
        <f>AVERAGEIFS($C$2:C206, $B$2:B206, B206)</f>
        <v>16.666666666666668</v>
      </c>
      <c r="AB206" s="86">
        <f>AVERAGEIFS($I$2:I206, $B$2:B206, B206)</f>
        <v>0.42499999999999999</v>
      </c>
      <c r="AC206" s="86">
        <f>AVERAGEIFS($J$2:J206, $B$2:B206, B206)</f>
        <v>0.48499999999999993</v>
      </c>
      <c r="AD206" s="86">
        <f>AVERAGEIFS($D$2:D206, $B$2:B206, B206)</f>
        <v>0.33333333333333331</v>
      </c>
    </row>
    <row r="207" spans="1:30" x14ac:dyDescent="0.25">
      <c r="A207" s="85">
        <v>46149</v>
      </c>
      <c r="B207" t="s">
        <v>140</v>
      </c>
      <c r="C207">
        <v>18</v>
      </c>
      <c r="D207" s="86">
        <v>0</v>
      </c>
      <c r="E207">
        <v>5</v>
      </c>
      <c r="F207">
        <v>2</v>
      </c>
      <c r="G207">
        <v>21</v>
      </c>
      <c r="H207">
        <v>10</v>
      </c>
      <c r="I207">
        <v>0.4</v>
      </c>
      <c r="J207">
        <v>0.48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1</v>
      </c>
      <c r="Y207">
        <v>0</v>
      </c>
      <c r="Z207">
        <v>0</v>
      </c>
      <c r="AA207" s="86">
        <f>AVERAGEIFS($C$2:C207, $B$2:B207, B207)</f>
        <v>18</v>
      </c>
      <c r="AB207" s="86">
        <f>AVERAGEIFS($I$2:I207, $B$2:B207, B207)</f>
        <v>0.4</v>
      </c>
      <c r="AC207" s="86">
        <f>AVERAGEIFS($J$2:J207, $B$2:B207, B207)</f>
        <v>0.48</v>
      </c>
      <c r="AD207" s="86">
        <f>AVERAGEIFS($D$2:D207, $B$2:B207, B207)</f>
        <v>0</v>
      </c>
    </row>
    <row r="208" spans="1:30" x14ac:dyDescent="0.25">
      <c r="A208" s="85">
        <v>46155</v>
      </c>
      <c r="B208" t="s">
        <v>5</v>
      </c>
      <c r="C208">
        <v>21</v>
      </c>
      <c r="D208" s="86">
        <v>1</v>
      </c>
      <c r="E208">
        <v>4</v>
      </c>
      <c r="F208">
        <v>3</v>
      </c>
      <c r="G208">
        <v>15</v>
      </c>
      <c r="H208">
        <v>9</v>
      </c>
      <c r="I208">
        <v>0.75</v>
      </c>
      <c r="J208">
        <v>0.6</v>
      </c>
      <c r="K208">
        <v>1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1</v>
      </c>
      <c r="X208">
        <v>1</v>
      </c>
      <c r="Y208">
        <v>0</v>
      </c>
      <c r="Z208">
        <v>0</v>
      </c>
      <c r="AA208" s="86">
        <f>AVERAGEIFS($C$2:C208, $B$2:B208, B208)</f>
        <v>31.428571428571427</v>
      </c>
      <c r="AB208" s="86">
        <f>AVERAGEIFS($I$2:I208, $B$2:B208, B208)</f>
        <v>0.61428571428571443</v>
      </c>
      <c r="AC208" s="86">
        <f>AVERAGEIFS($J$2:J208, $B$2:B208, B208)</f>
        <v>0.54714285714285715</v>
      </c>
      <c r="AD208" s="86">
        <f>AVERAGEIFS($D$2:D208, $B$2:B208, B208)</f>
        <v>0.8571428571428571</v>
      </c>
    </row>
    <row r="209" spans="1:30" x14ac:dyDescent="0.25">
      <c r="A209" s="85">
        <v>46155</v>
      </c>
      <c r="B209" t="s">
        <v>4</v>
      </c>
      <c r="C209">
        <v>21</v>
      </c>
      <c r="D209" s="86">
        <v>1</v>
      </c>
      <c r="E209">
        <v>4</v>
      </c>
      <c r="F209">
        <v>3</v>
      </c>
      <c r="G209">
        <v>15</v>
      </c>
      <c r="H209">
        <v>9</v>
      </c>
      <c r="I209">
        <v>0.75</v>
      </c>
      <c r="J209">
        <v>0.6</v>
      </c>
      <c r="K209">
        <v>1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1</v>
      </c>
      <c r="X209">
        <v>1</v>
      </c>
      <c r="Y209">
        <v>0</v>
      </c>
      <c r="Z209">
        <v>0</v>
      </c>
      <c r="AA209" s="86">
        <f>AVERAGEIFS($C$2:C209, $B$2:B209, B209)</f>
        <v>26.666666666666668</v>
      </c>
      <c r="AB209" s="86">
        <f>AVERAGEIFS($I$2:I209, $B$2:B209, B209)</f>
        <v>0.55000000000000004</v>
      </c>
      <c r="AC209" s="86">
        <f>AVERAGEIFS($J$2:J209, $B$2:B209, B209)</f>
        <v>0.51500000000000001</v>
      </c>
      <c r="AD209" s="86">
        <f>AVERAGEIFS($D$2:D209, $B$2:B209, B209)</f>
        <v>0.83333333333333337</v>
      </c>
    </row>
    <row r="210" spans="1:30" x14ac:dyDescent="0.25">
      <c r="A210" s="85">
        <v>46155</v>
      </c>
      <c r="B210" t="s">
        <v>42</v>
      </c>
      <c r="C210">
        <v>12</v>
      </c>
      <c r="D210" s="86">
        <v>1</v>
      </c>
      <c r="E210">
        <v>4</v>
      </c>
      <c r="F210">
        <v>3</v>
      </c>
      <c r="G210">
        <v>15</v>
      </c>
      <c r="H210">
        <v>9</v>
      </c>
      <c r="I210">
        <v>0.75</v>
      </c>
      <c r="J210">
        <v>0.6</v>
      </c>
      <c r="K210">
        <v>1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1</v>
      </c>
      <c r="X210">
        <v>1</v>
      </c>
      <c r="Y210">
        <v>0</v>
      </c>
      <c r="Z210">
        <v>0</v>
      </c>
      <c r="AA210" s="86">
        <f>AVERAGEIFS($C$2:C210, $B$2:B210, B210)</f>
        <v>10</v>
      </c>
      <c r="AB210" s="86">
        <f>AVERAGEIFS($I$2:I210, $B$2:B210, B210)</f>
        <v>0.78333333333333333</v>
      </c>
      <c r="AC210" s="86">
        <f>AVERAGEIFS($J$2:J210, $B$2:B210, B210)</f>
        <v>0.64666666666666661</v>
      </c>
      <c r="AD210" s="86">
        <f>AVERAGEIFS($D$2:D210, $B$2:B210, B210)</f>
        <v>1</v>
      </c>
    </row>
    <row r="211" spans="1:30" x14ac:dyDescent="0.25">
      <c r="A211" s="85">
        <v>46155</v>
      </c>
      <c r="B211" t="s">
        <v>53</v>
      </c>
      <c r="C211">
        <v>12</v>
      </c>
      <c r="D211" s="86">
        <v>1</v>
      </c>
      <c r="E211">
        <v>4</v>
      </c>
      <c r="F211">
        <v>3</v>
      </c>
      <c r="G211">
        <v>15</v>
      </c>
      <c r="H211">
        <v>9</v>
      </c>
      <c r="I211">
        <v>0.75</v>
      </c>
      <c r="J211">
        <v>0.6</v>
      </c>
      <c r="K211">
        <v>1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1</v>
      </c>
      <c r="X211">
        <v>1</v>
      </c>
      <c r="Y211">
        <v>0</v>
      </c>
      <c r="Z211">
        <v>0</v>
      </c>
      <c r="AA211" s="86">
        <f>AVERAGEIFS($C$2:C211, $B$2:B211, B211)</f>
        <v>13.75</v>
      </c>
      <c r="AB211" s="86">
        <f>AVERAGEIFS($I$2:I211, $B$2:B211, B211)</f>
        <v>0.48749999999999999</v>
      </c>
      <c r="AC211" s="86">
        <f>AVERAGEIFS($J$2:J211, $B$2:B211, B211)</f>
        <v>0.51500000000000001</v>
      </c>
      <c r="AD211" s="86">
        <f>AVERAGEIFS($D$2:D211, $B$2:B211, B211)</f>
        <v>0.75</v>
      </c>
    </row>
    <row r="212" spans="1:30" x14ac:dyDescent="0.25">
      <c r="A212" s="85">
        <v>46155</v>
      </c>
      <c r="B212" t="s">
        <v>20</v>
      </c>
      <c r="C212">
        <v>19</v>
      </c>
      <c r="D212" s="86">
        <v>1</v>
      </c>
      <c r="E212">
        <v>4</v>
      </c>
      <c r="F212">
        <v>3</v>
      </c>
      <c r="G212">
        <v>15</v>
      </c>
      <c r="H212">
        <v>9</v>
      </c>
      <c r="I212">
        <v>0.75</v>
      </c>
      <c r="J212">
        <v>0.6</v>
      </c>
      <c r="K212">
        <v>1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1</v>
      </c>
      <c r="X212">
        <v>1</v>
      </c>
      <c r="Y212">
        <v>0</v>
      </c>
      <c r="Z212">
        <v>0</v>
      </c>
      <c r="AA212" s="86">
        <f>AVERAGEIFS($C$2:C212, $B$2:B212, B212)</f>
        <v>18.3</v>
      </c>
      <c r="AB212" s="86">
        <f>AVERAGEIFS($I$2:I212, $B$2:B212, B212)</f>
        <v>0.51</v>
      </c>
      <c r="AC212" s="86">
        <f>AVERAGEIFS($J$2:J212, $B$2:B212, B212)</f>
        <v>0.5159999999999999</v>
      </c>
      <c r="AD212" s="86">
        <f>AVERAGEIFS($D$2:D212, $B$2:B212, B212)</f>
        <v>0.4</v>
      </c>
    </row>
    <row r="213" spans="1:30" x14ac:dyDescent="0.25">
      <c r="A213" s="85">
        <v>46155</v>
      </c>
      <c r="B213" t="s">
        <v>137</v>
      </c>
      <c r="C213">
        <v>14</v>
      </c>
      <c r="D213" s="86">
        <v>1</v>
      </c>
      <c r="E213">
        <v>4</v>
      </c>
      <c r="F213">
        <v>3</v>
      </c>
      <c r="G213">
        <v>15</v>
      </c>
      <c r="H213">
        <v>9</v>
      </c>
      <c r="I213">
        <v>0.75</v>
      </c>
      <c r="J213">
        <v>0.6</v>
      </c>
      <c r="K213">
        <v>1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1</v>
      </c>
      <c r="X213">
        <v>1</v>
      </c>
      <c r="Y213">
        <v>0</v>
      </c>
      <c r="Z213">
        <v>0</v>
      </c>
      <c r="AA213" s="86">
        <f>AVERAGEIFS($C$2:C213, $B$2:B213, B213)</f>
        <v>10.333333333333334</v>
      </c>
      <c r="AB213" s="86">
        <f>AVERAGEIFS($I$2:I213, $B$2:B213, B213)</f>
        <v>0.5</v>
      </c>
      <c r="AC213" s="86">
        <f>AVERAGEIFS($J$2:J213, $B$2:B213, B213)</f>
        <v>0.49500000000000005</v>
      </c>
      <c r="AD213" s="86">
        <f>AVERAGEIFS($D$2:D213, $B$2:B213, B213)</f>
        <v>0.5</v>
      </c>
    </row>
    <row r="214" spans="1:30" x14ac:dyDescent="0.25">
      <c r="A214" s="85">
        <v>46155</v>
      </c>
      <c r="B214" t="s">
        <v>14</v>
      </c>
      <c r="C214">
        <v>20</v>
      </c>
      <c r="D214" s="86">
        <v>0</v>
      </c>
      <c r="E214">
        <v>4</v>
      </c>
      <c r="F214">
        <v>1</v>
      </c>
      <c r="G214">
        <v>15</v>
      </c>
      <c r="H214">
        <v>6</v>
      </c>
      <c r="I214">
        <v>0.25</v>
      </c>
      <c r="J214">
        <v>0.4</v>
      </c>
      <c r="K214">
        <v>0</v>
      </c>
      <c r="L214">
        <v>1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37.299999999999997</v>
      </c>
      <c r="AB214" s="86">
        <f>AVERAGEIFS($I$2:I214, $B$2:B214, B214)</f>
        <v>0.495</v>
      </c>
      <c r="AC214" s="86">
        <f>AVERAGEIFS($J$2:J214, $B$2:B214, B214)</f>
        <v>0.50800000000000001</v>
      </c>
      <c r="AD214" s="86">
        <f>AVERAGEIFS($D$2:D214, $B$2:B214, B214)</f>
        <v>0.5</v>
      </c>
    </row>
    <row r="215" spans="1:30" x14ac:dyDescent="0.25">
      <c r="A215" s="85">
        <v>46155</v>
      </c>
      <c r="B215" t="s">
        <v>15</v>
      </c>
      <c r="C215">
        <v>23</v>
      </c>
      <c r="D215" s="86">
        <v>0</v>
      </c>
      <c r="E215">
        <v>4</v>
      </c>
      <c r="F215">
        <v>1</v>
      </c>
      <c r="G215">
        <v>15</v>
      </c>
      <c r="H215">
        <v>6</v>
      </c>
      <c r="I215">
        <v>0.25</v>
      </c>
      <c r="J215">
        <v>0.4</v>
      </c>
      <c r="K215">
        <v>0</v>
      </c>
      <c r="L215">
        <v>1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 s="86">
        <f>AVERAGEIFS($C$2:C215, $B$2:B215, B215)</f>
        <v>32.333333333333336</v>
      </c>
      <c r="AB215" s="86">
        <f>AVERAGEIFS($I$2:I215, $B$2:B215, B215)</f>
        <v>0.45555555555555549</v>
      </c>
      <c r="AC215" s="86">
        <f>AVERAGEIFS($J$2:J215, $B$2:B215, B215)</f>
        <v>0.47555555555555556</v>
      </c>
      <c r="AD215" s="86">
        <f>AVERAGEIFS($D$2:D215, $B$2:B215, B215)</f>
        <v>0.22222222222222221</v>
      </c>
    </row>
    <row r="216" spans="1:30" x14ac:dyDescent="0.25">
      <c r="A216" s="85">
        <v>46155</v>
      </c>
      <c r="B216" t="s">
        <v>155</v>
      </c>
      <c r="C216">
        <v>17</v>
      </c>
      <c r="D216" s="86">
        <v>0</v>
      </c>
      <c r="E216">
        <v>4</v>
      </c>
      <c r="F216">
        <v>1</v>
      </c>
      <c r="G216">
        <v>15</v>
      </c>
      <c r="H216">
        <v>6</v>
      </c>
      <c r="I216">
        <v>0.25</v>
      </c>
      <c r="J216">
        <v>0.4</v>
      </c>
      <c r="K216">
        <v>0</v>
      </c>
      <c r="L216">
        <v>1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 s="86">
        <f>AVERAGEIFS($C$2:C216, $B$2:B216, B216)</f>
        <v>32.333333333333336</v>
      </c>
      <c r="AB216" s="86">
        <f>AVERAGEIFS($I$2:I216, $B$2:B216, B216)</f>
        <v>0.48333333333333334</v>
      </c>
      <c r="AC216" s="86">
        <f>AVERAGEIFS($J$2:J216, $B$2:B216, B216)</f>
        <v>0.51666666666666661</v>
      </c>
      <c r="AD216" s="86">
        <f>AVERAGEIFS($D$2:D216, $B$2:B216, B216)</f>
        <v>0.66666666666666663</v>
      </c>
    </row>
    <row r="217" spans="1:30" x14ac:dyDescent="0.25">
      <c r="A217" s="85">
        <v>46155</v>
      </c>
      <c r="B217" t="s">
        <v>27</v>
      </c>
      <c r="C217">
        <v>10</v>
      </c>
      <c r="D217" s="86">
        <v>0</v>
      </c>
      <c r="E217">
        <v>4</v>
      </c>
      <c r="F217">
        <v>1</v>
      </c>
      <c r="G217">
        <v>15</v>
      </c>
      <c r="H217">
        <v>6</v>
      </c>
      <c r="I217">
        <v>0.25</v>
      </c>
      <c r="J217">
        <v>0.4</v>
      </c>
      <c r="K217">
        <v>0</v>
      </c>
      <c r="L217">
        <v>1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 s="86">
        <f>AVERAGEIFS($C$2:C217, $B$2:B217, B217)</f>
        <v>18.444444444444443</v>
      </c>
      <c r="AB217" s="86">
        <f>AVERAGEIFS($I$2:I217, $B$2:B217, B217)</f>
        <v>0.42777777777777781</v>
      </c>
      <c r="AC217" s="86">
        <f>AVERAGEIFS($J$2:J217, $B$2:B217, B217)</f>
        <v>0.45666666666666672</v>
      </c>
      <c r="AD217" s="86">
        <f>AVERAGEIFS($D$2:D217, $B$2:B217, B217)</f>
        <v>0.44444444444444442</v>
      </c>
    </row>
    <row r="218" spans="1:30" x14ac:dyDescent="0.25">
      <c r="A218" s="85">
        <v>46155</v>
      </c>
      <c r="B218" t="s">
        <v>35</v>
      </c>
      <c r="C218">
        <v>12</v>
      </c>
      <c r="D218" s="86">
        <v>0</v>
      </c>
      <c r="E218">
        <v>4</v>
      </c>
      <c r="F218">
        <v>1</v>
      </c>
      <c r="G218">
        <v>15</v>
      </c>
      <c r="H218">
        <v>6</v>
      </c>
      <c r="I218">
        <v>0.25</v>
      </c>
      <c r="J218">
        <v>0.4</v>
      </c>
      <c r="K218">
        <v>0</v>
      </c>
      <c r="L218">
        <v>1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 s="86">
        <f>AVERAGEIFS($C$2:C218, $B$2:B218, B218)</f>
        <v>15.571428571428571</v>
      </c>
      <c r="AB218" s="86">
        <f>AVERAGEIFS($I$2:I218, $B$2:B218, B218)</f>
        <v>0.45714285714285718</v>
      </c>
      <c r="AC218" s="86">
        <f>AVERAGEIFS($J$2:J218, $B$2:B218, B218)</f>
        <v>0.51142857142857134</v>
      </c>
      <c r="AD218" s="86">
        <f>AVERAGEIFS($D$2:D218, $B$2:B218, B218)</f>
        <v>0.5714285714285714</v>
      </c>
    </row>
    <row r="219" spans="1:30" x14ac:dyDescent="0.25">
      <c r="A219" s="85">
        <v>46155</v>
      </c>
      <c r="B219" t="s">
        <v>19</v>
      </c>
      <c r="C219">
        <v>9</v>
      </c>
      <c r="D219" s="86">
        <v>0</v>
      </c>
      <c r="E219">
        <v>4</v>
      </c>
      <c r="F219">
        <v>1</v>
      </c>
      <c r="G219">
        <v>15</v>
      </c>
      <c r="H219">
        <v>6</v>
      </c>
      <c r="I219">
        <v>0.25</v>
      </c>
      <c r="J219">
        <v>0.4</v>
      </c>
      <c r="K219">
        <v>0</v>
      </c>
      <c r="L219">
        <v>1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 s="86">
        <f>AVERAGEIFS($C$2:C219, $B$2:B219, B219)</f>
        <v>14.4</v>
      </c>
      <c r="AB219" s="86">
        <f>AVERAGEIFS($I$2:I219, $B$2:B219, B219)</f>
        <v>0.43</v>
      </c>
      <c r="AC219" s="86">
        <f>AVERAGEIFS($J$2:J219, $B$2:B219, B219)</f>
        <v>0.45900000000000007</v>
      </c>
      <c r="AD219" s="86">
        <f>AVERAGEIFS($D$2:D219, $B$2:B219, B219)</f>
        <v>0.3</v>
      </c>
    </row>
    <row r="220" spans="1:30" x14ac:dyDescent="0.25">
      <c r="A220" s="85">
        <v>46162</v>
      </c>
      <c r="B220" t="s">
        <v>37</v>
      </c>
      <c r="C220">
        <v>21</v>
      </c>
      <c r="D220" s="86">
        <v>1</v>
      </c>
      <c r="E220">
        <v>5</v>
      </c>
      <c r="F220">
        <v>3</v>
      </c>
      <c r="G220">
        <v>17</v>
      </c>
      <c r="H220">
        <v>10</v>
      </c>
      <c r="I220">
        <v>0.6</v>
      </c>
      <c r="J220">
        <v>0.59</v>
      </c>
      <c r="K220">
        <v>0</v>
      </c>
      <c r="L220">
        <v>0</v>
      </c>
      <c r="M220">
        <v>0</v>
      </c>
      <c r="N220">
        <v>0</v>
      </c>
      <c r="O220">
        <v>1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1</v>
      </c>
      <c r="Z220">
        <v>1</v>
      </c>
      <c r="AA220" s="86">
        <f>AVERAGEIFS($C$2:C220, $B$2:B220, B220)</f>
        <v>21</v>
      </c>
      <c r="AB220" s="86">
        <f>AVERAGEIFS($I$2:I220, $B$2:B220, B220)</f>
        <v>0.40714285714285714</v>
      </c>
      <c r="AC220" s="86">
        <f>AVERAGEIFS($J$2:J220, $B$2:B220, B220)</f>
        <v>0.45571428571428568</v>
      </c>
      <c r="AD220" s="86">
        <f>AVERAGEIFS($D$2:D220, $B$2:B220, B220)</f>
        <v>0.42857142857142855</v>
      </c>
    </row>
    <row r="221" spans="1:30" x14ac:dyDescent="0.25">
      <c r="A221" s="85">
        <v>46162</v>
      </c>
      <c r="B221" t="s">
        <v>1</v>
      </c>
      <c r="C221">
        <v>38</v>
      </c>
      <c r="D221" s="86">
        <v>1</v>
      </c>
      <c r="E221">
        <v>5</v>
      </c>
      <c r="F221">
        <v>3</v>
      </c>
      <c r="G221">
        <v>17</v>
      </c>
      <c r="H221">
        <v>10</v>
      </c>
      <c r="I221">
        <v>0.6</v>
      </c>
      <c r="J221">
        <v>0.59</v>
      </c>
      <c r="K221">
        <v>0</v>
      </c>
      <c r="L221">
        <v>0</v>
      </c>
      <c r="M221">
        <v>0</v>
      </c>
      <c r="N221">
        <v>0</v>
      </c>
      <c r="O221">
        <v>1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1</v>
      </c>
      <c r="Z221">
        <v>1</v>
      </c>
      <c r="AA221" s="86">
        <f>AVERAGEIFS($C$2:C221, $B$2:B221, B221)</f>
        <v>28.285714285714285</v>
      </c>
      <c r="AB221" s="86">
        <f>AVERAGEIFS($I$2:I221, $B$2:B221, B221)</f>
        <v>0.67142857142857137</v>
      </c>
      <c r="AC221" s="86">
        <f>AVERAGEIFS($J$2:J221, $B$2:B221, B221)</f>
        <v>0.57714285714285718</v>
      </c>
      <c r="AD221" s="86">
        <f>AVERAGEIFS($D$2:D221, $B$2:B221, B221)</f>
        <v>0.8571428571428571</v>
      </c>
    </row>
    <row r="222" spans="1:30" x14ac:dyDescent="0.25">
      <c r="A222" s="85">
        <v>46162</v>
      </c>
      <c r="B222" t="s">
        <v>70</v>
      </c>
      <c r="C222">
        <v>17</v>
      </c>
      <c r="D222" s="86">
        <v>1</v>
      </c>
      <c r="E222">
        <v>5</v>
      </c>
      <c r="F222">
        <v>3</v>
      </c>
      <c r="G222">
        <v>17</v>
      </c>
      <c r="H222">
        <v>10</v>
      </c>
      <c r="I222">
        <v>0.6</v>
      </c>
      <c r="J222">
        <v>0.59</v>
      </c>
      <c r="K222">
        <v>0</v>
      </c>
      <c r="L222">
        <v>0</v>
      </c>
      <c r="M222">
        <v>0</v>
      </c>
      <c r="N222">
        <v>0</v>
      </c>
      <c r="O222">
        <v>1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1</v>
      </c>
      <c r="Z222">
        <v>1</v>
      </c>
      <c r="AA222" s="86">
        <f>AVERAGEIFS($C$2:C222, $B$2:B222, B222)</f>
        <v>22</v>
      </c>
      <c r="AB222" s="86">
        <f>AVERAGEIFS($I$2:I222, $B$2:B222, B222)</f>
        <v>0.5</v>
      </c>
      <c r="AC222" s="86">
        <f>AVERAGEIFS($J$2:J222, $B$2:B222, B222)</f>
        <v>0.51749999999999996</v>
      </c>
      <c r="AD222" s="86">
        <f>AVERAGEIFS($D$2:D222, $B$2:B222, B222)</f>
        <v>0.5</v>
      </c>
    </row>
    <row r="223" spans="1:30" x14ac:dyDescent="0.25">
      <c r="A223" s="85">
        <v>46162</v>
      </c>
      <c r="B223" t="s">
        <v>29</v>
      </c>
      <c r="C223">
        <v>13</v>
      </c>
      <c r="D223" s="86">
        <v>1</v>
      </c>
      <c r="E223">
        <v>5</v>
      </c>
      <c r="F223">
        <v>3</v>
      </c>
      <c r="G223">
        <v>17</v>
      </c>
      <c r="H223">
        <v>10</v>
      </c>
      <c r="I223">
        <v>0.6</v>
      </c>
      <c r="J223">
        <v>0.59</v>
      </c>
      <c r="K223">
        <v>0</v>
      </c>
      <c r="L223">
        <v>0</v>
      </c>
      <c r="M223">
        <v>0</v>
      </c>
      <c r="N223">
        <v>0</v>
      </c>
      <c r="O223">
        <v>1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1</v>
      </c>
      <c r="Z223">
        <v>1</v>
      </c>
      <c r="AA223" s="86">
        <f>AVERAGEIFS($C$2:C223, $B$2:B223, B223)</f>
        <v>13</v>
      </c>
      <c r="AB223" s="86">
        <f>AVERAGEIFS($I$2:I223, $B$2:B223, B223)</f>
        <v>0.64999999999999991</v>
      </c>
      <c r="AC223" s="86">
        <f>AVERAGEIFS($J$2:J223, $B$2:B223, B223)</f>
        <v>0.59199999999999997</v>
      </c>
      <c r="AD223" s="86">
        <f>AVERAGEIFS($D$2:D223, $B$2:B223, B223)</f>
        <v>0.9</v>
      </c>
    </row>
    <row r="224" spans="1:30" x14ac:dyDescent="0.25">
      <c r="A224" s="85">
        <v>46162</v>
      </c>
      <c r="B224" t="s">
        <v>3</v>
      </c>
      <c r="C224">
        <v>26</v>
      </c>
      <c r="D224" s="86">
        <v>1</v>
      </c>
      <c r="E224">
        <v>5</v>
      </c>
      <c r="F224">
        <v>3</v>
      </c>
      <c r="G224">
        <v>17</v>
      </c>
      <c r="H224">
        <v>10</v>
      </c>
      <c r="I224">
        <v>0.6</v>
      </c>
      <c r="J224">
        <v>0.59</v>
      </c>
      <c r="K224">
        <v>0</v>
      </c>
      <c r="L224">
        <v>0</v>
      </c>
      <c r="M224">
        <v>0</v>
      </c>
      <c r="N224">
        <v>0</v>
      </c>
      <c r="O224">
        <v>1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1</v>
      </c>
      <c r="Z224">
        <v>1</v>
      </c>
      <c r="AA224" s="86">
        <f>AVERAGEIFS($C$2:C224, $B$2:B224, B224)</f>
        <v>28.6</v>
      </c>
      <c r="AB224" s="86">
        <f>AVERAGEIFS($I$2:I224, $B$2:B224, B224)</f>
        <v>0.56000000000000005</v>
      </c>
      <c r="AC224" s="86">
        <f>AVERAGEIFS($J$2:J224, $B$2:B224, B224)</f>
        <v>0.53599999999999992</v>
      </c>
      <c r="AD224" s="86">
        <f>AVERAGEIFS($D$2:D224, $B$2:B224, B224)</f>
        <v>0.8</v>
      </c>
    </row>
    <row r="225" spans="1:30" x14ac:dyDescent="0.25">
      <c r="A225" s="85">
        <v>46162</v>
      </c>
      <c r="B225" t="s">
        <v>141</v>
      </c>
      <c r="C225">
        <v>15</v>
      </c>
      <c r="D225" s="86">
        <v>1</v>
      </c>
      <c r="E225">
        <v>5</v>
      </c>
      <c r="F225">
        <v>3</v>
      </c>
      <c r="G225">
        <v>17</v>
      </c>
      <c r="H225">
        <v>10</v>
      </c>
      <c r="I225">
        <v>0.6</v>
      </c>
      <c r="J225">
        <v>0.59</v>
      </c>
      <c r="K225">
        <v>0</v>
      </c>
      <c r="L225">
        <v>0</v>
      </c>
      <c r="M225">
        <v>0</v>
      </c>
      <c r="N225">
        <v>0</v>
      </c>
      <c r="O225">
        <v>1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1</v>
      </c>
      <c r="Z225">
        <v>1</v>
      </c>
      <c r="AA225" s="86">
        <f>AVERAGEIFS($C$2:C225, $B$2:B225, B225)</f>
        <v>15</v>
      </c>
      <c r="AB225" s="86">
        <f>AVERAGEIFS($I$2:I225, $B$2:B225, B225)</f>
        <v>0.6</v>
      </c>
      <c r="AC225" s="86">
        <f>AVERAGEIFS($J$2:J225, $B$2:B225, B225)</f>
        <v>0.59</v>
      </c>
      <c r="AD225" s="86">
        <f>AVERAGEIFS($D$2:D225, $B$2:B225, B225)</f>
        <v>1</v>
      </c>
    </row>
    <row r="226" spans="1:30" x14ac:dyDescent="0.25">
      <c r="A226" s="85">
        <v>46162</v>
      </c>
      <c r="B226" t="s">
        <v>148</v>
      </c>
      <c r="C226">
        <v>12</v>
      </c>
      <c r="D226" s="86">
        <v>0</v>
      </c>
      <c r="E226">
        <v>5</v>
      </c>
      <c r="F226">
        <v>2</v>
      </c>
      <c r="G226">
        <v>17</v>
      </c>
      <c r="H226">
        <v>7</v>
      </c>
      <c r="I226">
        <v>0.4</v>
      </c>
      <c r="J226">
        <v>0.41</v>
      </c>
      <c r="K226">
        <v>0</v>
      </c>
      <c r="L226">
        <v>1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1</v>
      </c>
      <c r="Y226">
        <v>0</v>
      </c>
      <c r="Z226">
        <v>0</v>
      </c>
      <c r="AA226" s="86">
        <f>AVERAGEIFS($C$2:C226, $B$2:B226, B226)</f>
        <v>12</v>
      </c>
      <c r="AB226" s="86">
        <f>AVERAGEIFS($I$2:I226, $B$2:B226, B226)</f>
        <v>0.4</v>
      </c>
      <c r="AC226" s="86">
        <f>AVERAGEIFS($J$2:J226, $B$2:B226, B226)</f>
        <v>0.41</v>
      </c>
      <c r="AD226" s="86">
        <f>AVERAGEIFS($D$2:D226, $B$2:B226, B226)</f>
        <v>0</v>
      </c>
    </row>
    <row r="227" spans="1:30" x14ac:dyDescent="0.25">
      <c r="A227" s="85">
        <v>46162</v>
      </c>
      <c r="B227" t="s">
        <v>13</v>
      </c>
      <c r="C227">
        <v>32</v>
      </c>
      <c r="D227" s="86">
        <v>0</v>
      </c>
      <c r="E227">
        <v>5</v>
      </c>
      <c r="F227">
        <v>2</v>
      </c>
      <c r="G227">
        <v>17</v>
      </c>
      <c r="H227">
        <v>7</v>
      </c>
      <c r="I227">
        <v>0.4</v>
      </c>
      <c r="J227">
        <v>0.41</v>
      </c>
      <c r="K227">
        <v>0</v>
      </c>
      <c r="L227">
        <v>1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1</v>
      </c>
      <c r="Y227">
        <v>0</v>
      </c>
      <c r="Z227">
        <v>0</v>
      </c>
      <c r="AA227" s="86">
        <f>AVERAGEIFS($C$2:C227, $B$2:B227, B227)</f>
        <v>35.700000000000003</v>
      </c>
      <c r="AB227" s="86">
        <f>AVERAGEIFS($I$2:I227, $B$2:B227, B227)</f>
        <v>0.43500000000000005</v>
      </c>
      <c r="AC227" s="86">
        <f>AVERAGEIFS($J$2:J227, $B$2:B227, B227)</f>
        <v>0.48299999999999998</v>
      </c>
      <c r="AD227" s="86">
        <f>AVERAGEIFS($D$2:D227, $B$2:B227, B227)</f>
        <v>0.5</v>
      </c>
    </row>
    <row r="228" spans="1:30" x14ac:dyDescent="0.25">
      <c r="A228" s="85">
        <v>46162</v>
      </c>
      <c r="B228" t="s">
        <v>17</v>
      </c>
      <c r="C228">
        <v>36</v>
      </c>
      <c r="D228" s="86">
        <v>0</v>
      </c>
      <c r="E228">
        <v>5</v>
      </c>
      <c r="F228">
        <v>2</v>
      </c>
      <c r="G228">
        <v>17</v>
      </c>
      <c r="H228">
        <v>7</v>
      </c>
      <c r="I228">
        <v>0.4</v>
      </c>
      <c r="J228">
        <v>0.41</v>
      </c>
      <c r="K228">
        <v>0</v>
      </c>
      <c r="L228">
        <v>1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1</v>
      </c>
      <c r="Y228">
        <v>0</v>
      </c>
      <c r="Z228">
        <v>0</v>
      </c>
      <c r="AA228" s="86">
        <f>AVERAGEIFS($C$2:C228, $B$2:B228, B228)</f>
        <v>35.111111111111114</v>
      </c>
      <c r="AB228" s="86">
        <f>AVERAGEIFS($I$2:I228, $B$2:B228, B228)</f>
        <v>0.45555555555555549</v>
      </c>
      <c r="AC228" s="86">
        <f>AVERAGEIFS($J$2:J228, $B$2:B228, B228)</f>
        <v>0.47444444444444439</v>
      </c>
      <c r="AD228" s="86">
        <f>AVERAGEIFS($D$2:D228, $B$2:B228, B228)</f>
        <v>0.22222222222222221</v>
      </c>
    </row>
    <row r="229" spans="1:30" x14ac:dyDescent="0.25">
      <c r="A229" s="85">
        <v>46162</v>
      </c>
      <c r="B229" t="s">
        <v>28</v>
      </c>
      <c r="C229">
        <v>12</v>
      </c>
      <c r="D229" s="86">
        <v>0</v>
      </c>
      <c r="E229">
        <v>5</v>
      </c>
      <c r="F229">
        <v>2</v>
      </c>
      <c r="G229">
        <v>17</v>
      </c>
      <c r="H229">
        <v>7</v>
      </c>
      <c r="I229">
        <v>0.4</v>
      </c>
      <c r="J229">
        <v>0.41</v>
      </c>
      <c r="K229">
        <v>0</v>
      </c>
      <c r="L229">
        <v>1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1</v>
      </c>
      <c r="Y229">
        <v>0</v>
      </c>
      <c r="Z229">
        <v>0</v>
      </c>
      <c r="AA229" s="86">
        <f>AVERAGEIFS($C$2:C229, $B$2:B229, B229)</f>
        <v>22.25</v>
      </c>
      <c r="AB229" s="86">
        <f>AVERAGEIFS($I$2:I229, $B$2:B229, B229)</f>
        <v>0.47499999999999998</v>
      </c>
      <c r="AC229" s="86">
        <f>AVERAGEIFS($J$2:J229, $B$2:B229, B229)</f>
        <v>0.48499999999999999</v>
      </c>
      <c r="AD229" s="86">
        <f>AVERAGEIFS($D$2:D229, $B$2:B229, B229)</f>
        <v>0.375</v>
      </c>
    </row>
    <row r="230" spans="1:30" x14ac:dyDescent="0.25">
      <c r="A230" s="85">
        <v>46162</v>
      </c>
      <c r="B230" t="s">
        <v>139</v>
      </c>
      <c r="C230">
        <v>11</v>
      </c>
      <c r="D230" s="86">
        <v>0</v>
      </c>
      <c r="E230">
        <v>5</v>
      </c>
      <c r="F230">
        <v>2</v>
      </c>
      <c r="G230">
        <v>17</v>
      </c>
      <c r="H230">
        <v>7</v>
      </c>
      <c r="I230">
        <v>0.4</v>
      </c>
      <c r="J230">
        <v>0.41</v>
      </c>
      <c r="K230">
        <v>0</v>
      </c>
      <c r="L230">
        <v>1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1</v>
      </c>
      <c r="Y230">
        <v>0</v>
      </c>
      <c r="Z230">
        <v>0</v>
      </c>
      <c r="AA230" s="86">
        <f>AVERAGEIFS($C$2:C230, $B$2:B230, B230)</f>
        <v>11</v>
      </c>
      <c r="AB230" s="86">
        <f>AVERAGEIFS($I$2:I230, $B$2:B230, B230)</f>
        <v>0.4</v>
      </c>
      <c r="AC230" s="86">
        <f>AVERAGEIFS($J$2:J230, $B$2:B230, B230)</f>
        <v>0.41</v>
      </c>
      <c r="AD230" s="86">
        <f>AVERAGEIFS($D$2:D230, $B$2:B230, B230)</f>
        <v>0</v>
      </c>
    </row>
    <row r="231" spans="1:30" x14ac:dyDescent="0.25">
      <c r="A231" s="85">
        <v>46162</v>
      </c>
      <c r="B231" t="s">
        <v>26</v>
      </c>
      <c r="C231">
        <v>17</v>
      </c>
      <c r="D231" s="86">
        <v>0</v>
      </c>
      <c r="E231">
        <v>5</v>
      </c>
      <c r="F231">
        <v>2</v>
      </c>
      <c r="G231">
        <v>17</v>
      </c>
      <c r="H231">
        <v>7</v>
      </c>
      <c r="I231">
        <v>0.4</v>
      </c>
      <c r="J231">
        <v>0.41</v>
      </c>
      <c r="K231">
        <v>0</v>
      </c>
      <c r="L231">
        <v>1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1</v>
      </c>
      <c r="Y231">
        <v>0</v>
      </c>
      <c r="Z231">
        <v>0</v>
      </c>
      <c r="AA231" s="86">
        <f>AVERAGEIFS($C$2:C231, $B$2:B231, B231)</f>
        <v>18.444444444444443</v>
      </c>
      <c r="AB231" s="86">
        <f>AVERAGEIFS($I$2:I231, $B$2:B231, B231)</f>
        <v>0.53888888888888908</v>
      </c>
      <c r="AC231" s="86">
        <f>AVERAGEIFS($J$2:J231, $B$2:B231, B231)</f>
        <v>0.51222222222222225</v>
      </c>
      <c r="AD231" s="86">
        <f>AVERAGEIFS($D$2:D231, $B$2:B231, B231)</f>
        <v>0.55555555555555558</v>
      </c>
    </row>
    <row r="232" spans="1:30" x14ac:dyDescent="0.25">
      <c r="A232" s="85">
        <v>46166</v>
      </c>
      <c r="B232" t="s">
        <v>26</v>
      </c>
      <c r="C232">
        <v>20</v>
      </c>
      <c r="D232" s="86">
        <v>0</v>
      </c>
      <c r="E232">
        <v>5</v>
      </c>
      <c r="F232">
        <v>2</v>
      </c>
      <c r="G232">
        <v>22</v>
      </c>
      <c r="H232">
        <v>10</v>
      </c>
      <c r="I232">
        <v>0.4</v>
      </c>
      <c r="J232">
        <v>0.45</v>
      </c>
      <c r="K232">
        <v>0</v>
      </c>
      <c r="L232">
        <v>1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 s="86">
        <f>AVERAGEIFS($C$2:C232, $B$2:B232, B232)</f>
        <v>18.600000000000001</v>
      </c>
      <c r="AB232" s="86">
        <f>AVERAGEIFS($I$2:I232, $B$2:B232, B232)</f>
        <v>0.52500000000000013</v>
      </c>
      <c r="AC232" s="86">
        <f>AVERAGEIFS($J$2:J232, $B$2:B232, B232)</f>
        <v>0.50600000000000001</v>
      </c>
      <c r="AD232" s="86">
        <f>AVERAGEIFS($D$2:D232, $B$2:B232, B232)</f>
        <v>0.5</v>
      </c>
    </row>
    <row r="233" spans="1:30" x14ac:dyDescent="0.25">
      <c r="A233" s="85">
        <v>46166</v>
      </c>
      <c r="B233" t="s">
        <v>139</v>
      </c>
      <c r="C233">
        <v>21</v>
      </c>
      <c r="D233" s="86">
        <v>0</v>
      </c>
      <c r="E233">
        <v>5</v>
      </c>
      <c r="F233">
        <v>2</v>
      </c>
      <c r="G233">
        <v>22</v>
      </c>
      <c r="H233">
        <v>10</v>
      </c>
      <c r="I233">
        <v>0.4</v>
      </c>
      <c r="J233">
        <v>0.45</v>
      </c>
      <c r="K233">
        <v>0</v>
      </c>
      <c r="L233">
        <v>1</v>
      </c>
      <c r="M233">
        <v>0</v>
      </c>
      <c r="N233">
        <v>0</v>
      </c>
      <c r="O233">
        <v>0</v>
      </c>
      <c r="P233">
        <v>1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 s="86">
        <f>AVERAGEIFS($C$2:C233, $B$2:B233, B233)</f>
        <v>16</v>
      </c>
      <c r="AB233" s="86">
        <f>AVERAGEIFS($I$2:I233, $B$2:B233, B233)</f>
        <v>0.4</v>
      </c>
      <c r="AC233" s="86">
        <f>AVERAGEIFS($J$2:J233, $B$2:B233, B233)</f>
        <v>0.43</v>
      </c>
      <c r="AD233" s="86">
        <f>AVERAGEIFS($D$2:D233, $B$2:B233, B233)</f>
        <v>0</v>
      </c>
    </row>
    <row r="234" spans="1:30" x14ac:dyDescent="0.25">
      <c r="A234" s="85">
        <v>46166</v>
      </c>
      <c r="B234" t="s">
        <v>28</v>
      </c>
      <c r="C234">
        <v>29</v>
      </c>
      <c r="D234" s="86">
        <v>0</v>
      </c>
      <c r="E234">
        <v>5</v>
      </c>
      <c r="F234">
        <v>2</v>
      </c>
      <c r="G234">
        <v>22</v>
      </c>
      <c r="H234">
        <v>10</v>
      </c>
      <c r="I234">
        <v>0.4</v>
      </c>
      <c r="J234">
        <v>0.45</v>
      </c>
      <c r="K234">
        <v>0</v>
      </c>
      <c r="L234">
        <v>1</v>
      </c>
      <c r="M234">
        <v>0</v>
      </c>
      <c r="N234">
        <v>0</v>
      </c>
      <c r="O234">
        <v>0</v>
      </c>
      <c r="P234">
        <v>1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 s="86">
        <f>AVERAGEIFS($C$2:C234, $B$2:B234, B234)</f>
        <v>23</v>
      </c>
      <c r="AB234" s="86">
        <f>AVERAGEIFS($I$2:I234, $B$2:B234, B234)</f>
        <v>0.46666666666666667</v>
      </c>
      <c r="AC234" s="86">
        <f>AVERAGEIFS($J$2:J234, $B$2:B234, B234)</f>
        <v>0.4811111111111111</v>
      </c>
      <c r="AD234" s="86">
        <f>AVERAGEIFS($D$2:D234, $B$2:B234, B234)</f>
        <v>0.33333333333333331</v>
      </c>
    </row>
    <row r="235" spans="1:30" x14ac:dyDescent="0.25">
      <c r="A235" s="85">
        <v>46166</v>
      </c>
      <c r="B235" t="s">
        <v>13</v>
      </c>
      <c r="C235">
        <v>34</v>
      </c>
      <c r="D235" s="86">
        <v>0</v>
      </c>
      <c r="E235">
        <v>5</v>
      </c>
      <c r="F235">
        <v>2</v>
      </c>
      <c r="G235">
        <v>22</v>
      </c>
      <c r="H235">
        <v>10</v>
      </c>
      <c r="I235">
        <v>0.4</v>
      </c>
      <c r="J235">
        <v>0.45</v>
      </c>
      <c r="K235">
        <v>0</v>
      </c>
      <c r="L235">
        <v>1</v>
      </c>
      <c r="M235">
        <v>0</v>
      </c>
      <c r="N235">
        <v>0</v>
      </c>
      <c r="O235">
        <v>0</v>
      </c>
      <c r="P235">
        <v>1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 s="86">
        <f>AVERAGEIFS($C$2:C235, $B$2:B235, B235)</f>
        <v>35.545454545454547</v>
      </c>
      <c r="AB235" s="86">
        <f>AVERAGEIFS($I$2:I235, $B$2:B235, B235)</f>
        <v>0.43181818181818188</v>
      </c>
      <c r="AC235" s="86">
        <f>AVERAGEIFS($J$2:J235, $B$2:B235, B235)</f>
        <v>0.48000000000000004</v>
      </c>
      <c r="AD235" s="86">
        <f>AVERAGEIFS($D$2:D235, $B$2:B235, B235)</f>
        <v>0.45454545454545453</v>
      </c>
    </row>
    <row r="236" spans="1:30" x14ac:dyDescent="0.25">
      <c r="A236" s="85">
        <v>46166</v>
      </c>
      <c r="B236" t="s">
        <v>17</v>
      </c>
      <c r="C236">
        <v>49</v>
      </c>
      <c r="D236" s="86">
        <v>0</v>
      </c>
      <c r="E236">
        <v>5</v>
      </c>
      <c r="F236">
        <v>2</v>
      </c>
      <c r="G236">
        <v>22</v>
      </c>
      <c r="H236">
        <v>10</v>
      </c>
      <c r="I236">
        <v>0.4</v>
      </c>
      <c r="J236">
        <v>0.45</v>
      </c>
      <c r="K236">
        <v>0</v>
      </c>
      <c r="L236">
        <v>1</v>
      </c>
      <c r="M236">
        <v>0</v>
      </c>
      <c r="N236">
        <v>0</v>
      </c>
      <c r="O236">
        <v>0</v>
      </c>
      <c r="P236">
        <v>1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86">
        <f>AVERAGEIFS($C$2:C236, $B$2:B236, B236)</f>
        <v>36.5</v>
      </c>
      <c r="AB236" s="86">
        <f>AVERAGEIFS($I$2:I236, $B$2:B236, B236)</f>
        <v>0.45</v>
      </c>
      <c r="AC236" s="86">
        <f>AVERAGEIFS($J$2:J236, $B$2:B236, B236)</f>
        <v>0.47199999999999998</v>
      </c>
      <c r="AD236" s="86">
        <f>AVERAGEIFS($D$2:D236, $B$2:B236, B236)</f>
        <v>0.2</v>
      </c>
    </row>
    <row r="237" spans="1:30" x14ac:dyDescent="0.25">
      <c r="A237" s="85">
        <v>46166</v>
      </c>
      <c r="B237" t="s">
        <v>148</v>
      </c>
      <c r="C237">
        <v>27</v>
      </c>
      <c r="D237" s="86">
        <v>0</v>
      </c>
      <c r="E237">
        <v>5</v>
      </c>
      <c r="F237">
        <v>2</v>
      </c>
      <c r="G237">
        <v>22</v>
      </c>
      <c r="H237">
        <v>10</v>
      </c>
      <c r="I237">
        <v>0.4</v>
      </c>
      <c r="J237">
        <v>0.45</v>
      </c>
      <c r="K237">
        <v>0</v>
      </c>
      <c r="L237">
        <v>1</v>
      </c>
      <c r="M237">
        <v>0</v>
      </c>
      <c r="N237">
        <v>0</v>
      </c>
      <c r="O237">
        <v>0</v>
      </c>
      <c r="P237">
        <v>1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86">
        <f>AVERAGEIFS($C$2:C237, $B$2:B237, B237)</f>
        <v>19.5</v>
      </c>
      <c r="AB237" s="86">
        <f>AVERAGEIFS($I$2:I237, $B$2:B237, B237)</f>
        <v>0.4</v>
      </c>
      <c r="AC237" s="86">
        <f>AVERAGEIFS($J$2:J237, $B$2:B237, B237)</f>
        <v>0.43</v>
      </c>
      <c r="AD237" s="86">
        <f>AVERAGEIFS($D$2:D237, $B$2:B237, B237)</f>
        <v>0</v>
      </c>
    </row>
    <row r="238" spans="1:30" ht="16.5" customHeight="1" x14ac:dyDescent="0.25">
      <c r="A238" s="85">
        <v>46166</v>
      </c>
      <c r="B238" t="s">
        <v>35</v>
      </c>
      <c r="C238">
        <v>21</v>
      </c>
      <c r="D238" s="86">
        <v>1</v>
      </c>
      <c r="E238">
        <v>5</v>
      </c>
      <c r="F238">
        <v>3</v>
      </c>
      <c r="G238">
        <v>22</v>
      </c>
      <c r="H238">
        <v>12</v>
      </c>
      <c r="I238">
        <v>0.6</v>
      </c>
      <c r="J238">
        <v>0.55000000000000004</v>
      </c>
      <c r="K238">
        <v>0</v>
      </c>
      <c r="L238">
        <v>0</v>
      </c>
      <c r="M238">
        <v>0</v>
      </c>
      <c r="N238">
        <v>0</v>
      </c>
      <c r="O238">
        <v>1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1</v>
      </c>
      <c r="X238">
        <v>1</v>
      </c>
      <c r="Y238">
        <v>0</v>
      </c>
      <c r="Z238">
        <v>0</v>
      </c>
      <c r="AA238" s="86">
        <f>AVERAGEIFS($C$2:C238, $B$2:B238, B238)</f>
        <v>16.25</v>
      </c>
      <c r="AB238" s="86">
        <f>AVERAGEIFS($I$2:I238, $B$2:B238, B238)</f>
        <v>0.47500000000000003</v>
      </c>
      <c r="AC238" s="86">
        <f>AVERAGEIFS($J$2:J238, $B$2:B238, B238)</f>
        <v>0.51624999999999999</v>
      </c>
      <c r="AD238" s="86">
        <f>AVERAGEIFS($D$2:D238, $B$2:B238, B238)</f>
        <v>0.625</v>
      </c>
    </row>
    <row r="239" spans="1:30" x14ac:dyDescent="0.25">
      <c r="A239" s="85">
        <v>46166</v>
      </c>
      <c r="B239" t="s">
        <v>27</v>
      </c>
      <c r="C239">
        <v>30</v>
      </c>
      <c r="D239" s="86">
        <v>1</v>
      </c>
      <c r="E239">
        <v>5</v>
      </c>
      <c r="F239">
        <v>3</v>
      </c>
      <c r="G239">
        <v>22</v>
      </c>
      <c r="H239">
        <v>12</v>
      </c>
      <c r="I239">
        <v>0.6</v>
      </c>
      <c r="J239">
        <v>0.55000000000000004</v>
      </c>
      <c r="K239">
        <v>0</v>
      </c>
      <c r="L239">
        <v>0</v>
      </c>
      <c r="M239">
        <v>0</v>
      </c>
      <c r="N239">
        <v>0</v>
      </c>
      <c r="O239">
        <v>1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1</v>
      </c>
      <c r="X239">
        <v>1</v>
      </c>
      <c r="Y239">
        <v>0</v>
      </c>
      <c r="Z239">
        <v>0</v>
      </c>
      <c r="AA239" s="86">
        <f>AVERAGEIFS($C$2:C239, $B$2:B239, B239)</f>
        <v>19.600000000000001</v>
      </c>
      <c r="AB239" s="86">
        <f>AVERAGEIFS($I$2:I239, $B$2:B239, B239)</f>
        <v>0.44500000000000001</v>
      </c>
      <c r="AC239" s="86">
        <f>AVERAGEIFS($J$2:J239, $B$2:B239, B239)</f>
        <v>0.46600000000000003</v>
      </c>
      <c r="AD239" s="86">
        <f>AVERAGEIFS($D$2:D239, $B$2:B239, B239)</f>
        <v>0.5</v>
      </c>
    </row>
    <row r="240" spans="1:30" x14ac:dyDescent="0.25">
      <c r="A240" s="85">
        <v>46166</v>
      </c>
      <c r="B240" t="s">
        <v>19</v>
      </c>
      <c r="C240">
        <v>19</v>
      </c>
      <c r="D240" s="86">
        <v>1</v>
      </c>
      <c r="E240">
        <v>5</v>
      </c>
      <c r="F240">
        <v>3</v>
      </c>
      <c r="G240">
        <v>22</v>
      </c>
      <c r="H240">
        <v>12</v>
      </c>
      <c r="I240">
        <v>0.6</v>
      </c>
      <c r="J240">
        <v>0.55000000000000004</v>
      </c>
      <c r="K240">
        <v>0</v>
      </c>
      <c r="L240">
        <v>0</v>
      </c>
      <c r="M240">
        <v>0</v>
      </c>
      <c r="N240">
        <v>0</v>
      </c>
      <c r="O240">
        <v>1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1</v>
      </c>
      <c r="X240">
        <v>1</v>
      </c>
      <c r="Y240">
        <v>0</v>
      </c>
      <c r="Z240">
        <v>0</v>
      </c>
      <c r="AA240" s="86">
        <f>AVERAGEIFS($C$2:C240, $B$2:B240, B240)</f>
        <v>14.818181818181818</v>
      </c>
      <c r="AB240" s="86">
        <f>AVERAGEIFS($I$2:I240, $B$2:B240, B240)</f>
        <v>0.44545454545454538</v>
      </c>
      <c r="AC240" s="86">
        <f>AVERAGEIFS($J$2:J240, $B$2:B240, B240)</f>
        <v>0.46727272727272734</v>
      </c>
      <c r="AD240" s="86">
        <f>AVERAGEIFS($D$2:D240, $B$2:B240, B240)</f>
        <v>0.36363636363636365</v>
      </c>
    </row>
    <row r="241" spans="1:30" x14ac:dyDescent="0.25">
      <c r="A241" s="85">
        <v>46166</v>
      </c>
      <c r="B241" t="s">
        <v>15</v>
      </c>
      <c r="C241">
        <v>33</v>
      </c>
      <c r="D241" s="86">
        <v>1</v>
      </c>
      <c r="E241">
        <v>5</v>
      </c>
      <c r="F241">
        <v>3</v>
      </c>
      <c r="G241">
        <v>22</v>
      </c>
      <c r="H241">
        <v>12</v>
      </c>
      <c r="I241">
        <v>0.6</v>
      </c>
      <c r="J241">
        <v>0.55000000000000004</v>
      </c>
      <c r="K241">
        <v>0</v>
      </c>
      <c r="L241">
        <v>0</v>
      </c>
      <c r="M241">
        <v>0</v>
      </c>
      <c r="N241">
        <v>0</v>
      </c>
      <c r="O241">
        <v>1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1</v>
      </c>
      <c r="X241">
        <v>1</v>
      </c>
      <c r="Y241">
        <v>0</v>
      </c>
      <c r="Z241">
        <v>0</v>
      </c>
      <c r="AA241" s="86">
        <f>AVERAGEIFS($C$2:C241, $B$2:B241, B241)</f>
        <v>32.4</v>
      </c>
      <c r="AB241" s="86">
        <f>AVERAGEIFS($I$2:I241, $B$2:B241, B241)</f>
        <v>0.46999999999999992</v>
      </c>
      <c r="AC241" s="86">
        <f>AVERAGEIFS($J$2:J241, $B$2:B241, B241)</f>
        <v>0.48299999999999998</v>
      </c>
      <c r="AD241" s="86">
        <f>AVERAGEIFS($D$2:D241, $B$2:B241, B241)</f>
        <v>0.3</v>
      </c>
    </row>
    <row r="242" spans="1:30" x14ac:dyDescent="0.25">
      <c r="A242" s="85">
        <v>46166</v>
      </c>
      <c r="B242" t="s">
        <v>14</v>
      </c>
      <c r="C242">
        <v>54</v>
      </c>
      <c r="D242" s="86">
        <v>1</v>
      </c>
      <c r="E242">
        <v>5</v>
      </c>
      <c r="F242">
        <v>3</v>
      </c>
      <c r="G242">
        <v>22</v>
      </c>
      <c r="H242">
        <v>12</v>
      </c>
      <c r="I242">
        <v>0.6</v>
      </c>
      <c r="J242">
        <v>0.55000000000000004</v>
      </c>
      <c r="K242">
        <v>0</v>
      </c>
      <c r="L242">
        <v>0</v>
      </c>
      <c r="M242">
        <v>0</v>
      </c>
      <c r="N242">
        <v>0</v>
      </c>
      <c r="O242">
        <v>1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1</v>
      </c>
      <c r="X242">
        <v>1</v>
      </c>
      <c r="Y242">
        <v>0</v>
      </c>
      <c r="Z242">
        <v>0</v>
      </c>
      <c r="AA242" s="86">
        <f>AVERAGEIFS($C$2:C242, $B$2:B242, B242)</f>
        <v>38.81818181818182</v>
      </c>
      <c r="AB242" s="86">
        <f>AVERAGEIFS($I$2:I242, $B$2:B242, B242)</f>
        <v>0.50454545454545452</v>
      </c>
      <c r="AC242" s="86">
        <f>AVERAGEIFS($J$2:J242, $B$2:B242, B242)</f>
        <v>0.51181818181818184</v>
      </c>
      <c r="AD242" s="86">
        <f>AVERAGEIFS($D$2:D242, $B$2:B242, B242)</f>
        <v>0.54545454545454541</v>
      </c>
    </row>
    <row r="243" spans="1:30" x14ac:dyDescent="0.25">
      <c r="A243" s="85">
        <v>46166</v>
      </c>
      <c r="B243" t="s">
        <v>155</v>
      </c>
      <c r="C243">
        <v>26</v>
      </c>
      <c r="D243" s="86">
        <v>1</v>
      </c>
      <c r="E243">
        <v>5</v>
      </c>
      <c r="F243">
        <v>3</v>
      </c>
      <c r="G243">
        <v>22</v>
      </c>
      <c r="H243">
        <v>12</v>
      </c>
      <c r="I243">
        <v>0.6</v>
      </c>
      <c r="J243">
        <v>0.55000000000000004</v>
      </c>
      <c r="K243">
        <v>0</v>
      </c>
      <c r="L243">
        <v>0</v>
      </c>
      <c r="M243">
        <v>0</v>
      </c>
      <c r="N243">
        <v>0</v>
      </c>
      <c r="O243">
        <v>1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1</v>
      </c>
      <c r="X243">
        <v>1</v>
      </c>
      <c r="Y243">
        <v>0</v>
      </c>
      <c r="Z243">
        <v>0</v>
      </c>
      <c r="AA243" s="86">
        <f>AVERAGEIFS($C$2:C243, $B$2:B243, B243)</f>
        <v>30.75</v>
      </c>
      <c r="AB243" s="86">
        <f>AVERAGEIFS($I$2:I243, $B$2:B243, B243)</f>
        <v>0.51249999999999996</v>
      </c>
      <c r="AC243" s="86">
        <f>AVERAGEIFS($J$2:J243, $B$2:B243, B243)</f>
        <v>0.52499999999999991</v>
      </c>
      <c r="AD243" s="86">
        <f>AVERAGEIFS($D$2:D243, $B$2:B243, B243)</f>
        <v>0.75</v>
      </c>
    </row>
  </sheetData>
  <autoFilter ref="A1:AD159" xr:uid="{683C13F5-AE6A-44E6-924D-3936AA002E17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7B1FA-2AF5-405E-8A74-F6C83AC8FBE8}">
  <dimension ref="A1:AE4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" sqref="A2:A44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2.5703125" customWidth="1"/>
    <col min="26" max="26" width="10.7109375" bestFit="1" customWidth="1"/>
    <col min="27" max="28" width="12.85546875" bestFit="1" customWidth="1"/>
    <col min="29" max="29" width="12.7109375" bestFit="1" customWidth="1"/>
    <col min="30" max="30" width="13.85546875" bestFit="1" customWidth="1"/>
    <col min="31" max="31" width="15.7109375" bestFit="1" customWidth="1"/>
  </cols>
  <sheetData>
    <row r="1" spans="1:31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145</v>
      </c>
      <c r="Z1" s="32" t="s">
        <v>57</v>
      </c>
      <c r="AA1" s="32" t="s">
        <v>56</v>
      </c>
      <c r="AB1" s="32" t="s">
        <v>9</v>
      </c>
      <c r="AC1" s="32" t="s">
        <v>30</v>
      </c>
      <c r="AD1" s="32" t="s">
        <v>11</v>
      </c>
      <c r="AE1" s="46" t="s">
        <v>39</v>
      </c>
    </row>
    <row r="2" spans="1:31" x14ac:dyDescent="0.25">
      <c r="A2" s="2" t="s">
        <v>154</v>
      </c>
      <c r="B2" s="3" t="s">
        <v>79</v>
      </c>
      <c r="C2" s="3" t="s">
        <v>79</v>
      </c>
      <c r="D2" s="34">
        <f>SUMIFS('Tourney History'!C:C,'Tourney History'!B:B,A2)</f>
        <v>57</v>
      </c>
      <c r="E2" s="4">
        <f>AVERAGEIFS('Tourney History'!C:C,'Tourney History'!B:B,A2)</f>
        <v>28.5</v>
      </c>
      <c r="F2" s="35">
        <f t="array" ref="F2">MAX(IF('Tourney History'!B:B=A2, 'Tourney History'!C:C))</f>
        <v>35</v>
      </c>
      <c r="G2" s="34">
        <f>COUNTIFS('Tourney History'!B:B,A2,'Tourney History'!D:D, 1)</f>
        <v>1</v>
      </c>
      <c r="H2" s="2">
        <f>COUNTIFS('Tourney History'!B:B,A2,'Tourney History'!D:D, 0)</f>
        <v>1</v>
      </c>
      <c r="I2" s="88">
        <f>LOOKUP(2, 1/('Tourney History'!$B:$B=A2), 'Tourney History'!$AD:$AD)</f>
        <v>0.5</v>
      </c>
      <c r="J2" s="34">
        <f>SUMIFS('Tourney History'!F:F,'Tourney History'!B:B,A2)</f>
        <v>5</v>
      </c>
      <c r="K2" s="2">
        <f>SUMIFS('Tourney History'!E:E,'Tourney History'!B:B,A2)-J2</f>
        <v>5</v>
      </c>
      <c r="L2" s="88">
        <f>LOOKUP(2, 1/('Tourney History'!$B:$B=A2), 'Tourney History'!$AB:$AB)</f>
        <v>0.5</v>
      </c>
      <c r="M2" s="34">
        <f>SUMIFS('Tourney History'!H:H,'Tourney History'!B:B,A2)</f>
        <v>21</v>
      </c>
      <c r="N2" s="2">
        <f>SUMIFS('Tourney History'!G:G,'Tourney History'!B:B,A2)-M2</f>
        <v>23</v>
      </c>
      <c r="O2" s="88">
        <f>LOOKUP(2, 1/('Tourney History'!$B:$B=A2), 'Tourney History'!$AC:$AC)</f>
        <v>0.47499999999999998</v>
      </c>
      <c r="P2" s="2">
        <f>COUNTIFS('Tourney History'!$B:$B,$A$2,'Tourney History'!K:K, 1)</f>
        <v>0</v>
      </c>
      <c r="Q2" s="2">
        <f>COUNTIFS('Tourney History'!$B:$B,$A$2,'Tourney History'!L:L, 1)</f>
        <v>1</v>
      </c>
      <c r="R2" s="2">
        <f>COUNTIFS('Tourney History'!$B:$B,$A$2,'Tourney History'!M:M, 1)</f>
        <v>1</v>
      </c>
      <c r="S2" s="2">
        <f>COUNTIFS('Tourney History'!$B:$B,$A$2,'Tourney History'!N:N, 1)</f>
        <v>2</v>
      </c>
      <c r="T2" s="2">
        <f>COUNTIFS('Tourney History'!$B:$B,$A$2,'Tourney History'!O:O, 1)</f>
        <v>1</v>
      </c>
      <c r="U2" s="2">
        <f>COUNTIFS('Tourney History'!$B:$B,$A$2,'Tourney History'!P:P, 1)</f>
        <v>0</v>
      </c>
      <c r="V2" s="2">
        <f>COUNTIFS('Tourney History'!$B:$B,$A$2,'Tourney History'!Q:Q, 1)</f>
        <v>0</v>
      </c>
      <c r="W2" s="2">
        <f>COUNTIFS('Tourney History'!$B:$B,$A$2,'Tourney History'!R:R, 1)</f>
        <v>0</v>
      </c>
      <c r="X2" s="2">
        <f>COUNTIFS('Tourney History'!$B:$B,$A$2,'Tourney History'!S:S, 1)</f>
        <v>0</v>
      </c>
      <c r="Y2" s="2">
        <f>COUNTIFS('Tourney History'!$B:$B,$A$2,'Tourney History'!T:T, 1)</f>
        <v>0</v>
      </c>
      <c r="Z2" s="2">
        <f>COUNTIFS('Tourney History'!$B:$B,$A$2,'Tourney History'!U:U, 1)</f>
        <v>0</v>
      </c>
      <c r="AA2" s="2">
        <f>COUNTIFS('Tourney History'!$B:$B,$A$2,'Tourney History'!V:V, 1)</f>
        <v>0</v>
      </c>
      <c r="AB2" s="2">
        <f>COUNTIFS('Tourney History'!$B:$B,$A$2,'Tourney History'!W:W, 1)</f>
        <v>0</v>
      </c>
      <c r="AC2" s="2">
        <f>COUNTIFS('Tourney History'!$B:$B,$A$2,'Tourney History'!X:X, 1)</f>
        <v>0</v>
      </c>
      <c r="AD2" s="2">
        <f>COUNTIFS('Tourney History'!$B:$B,$A$2,'Tourney History'!Y:Y, 1)</f>
        <v>0</v>
      </c>
      <c r="AE2" s="2">
        <f>COUNTIFS('Tourney History'!$B:$B,$A$2,'Tourney History'!Z:Z, 1)</f>
        <v>0</v>
      </c>
    </row>
    <row r="3" spans="1:31" x14ac:dyDescent="0.25">
      <c r="A3" s="2" t="s">
        <v>140</v>
      </c>
      <c r="B3" s="3" t="s">
        <v>79</v>
      </c>
      <c r="C3" s="3" t="s">
        <v>79</v>
      </c>
      <c r="D3" s="34">
        <f>SUMIFS('Tourney History'!C:C,'Tourney History'!B:B,A3)</f>
        <v>18</v>
      </c>
      <c r="E3" s="4">
        <f>AVERAGEIFS('Tourney History'!C:C,'Tourney History'!B:B,A3)</f>
        <v>18</v>
      </c>
      <c r="F3" s="35">
        <f t="array" ref="F3">MAX(IF('Tourney History'!B:B=A3, 'Tourney History'!C:C))</f>
        <v>18</v>
      </c>
      <c r="G3" s="34">
        <f>COUNTIFS('Tourney History'!B:B,A3,'Tourney History'!D:D, 1)</f>
        <v>0</v>
      </c>
      <c r="H3" s="2">
        <f>COUNTIFS('Tourney History'!B:B,A3,'Tourney History'!D:D, 0)</f>
        <v>1</v>
      </c>
      <c r="I3" s="88">
        <f>LOOKUP(2, 1/('Tourney History'!$B:$B=A3), 'Tourney History'!$AD:$AD)</f>
        <v>0</v>
      </c>
      <c r="J3" s="34">
        <f>SUMIFS('Tourney History'!F:F,'Tourney History'!B:B,A3)</f>
        <v>2</v>
      </c>
      <c r="K3" s="2">
        <f>SUMIFS('Tourney History'!E:E,'Tourney History'!B:B,A3)-J3</f>
        <v>3</v>
      </c>
      <c r="L3" s="88">
        <f>LOOKUP(2, 1/('Tourney History'!$B:$B=A3), 'Tourney History'!$AB:$AB)</f>
        <v>0.4</v>
      </c>
      <c r="M3" s="34">
        <f>SUMIFS('Tourney History'!H:H,'Tourney History'!B:B,A3)</f>
        <v>10</v>
      </c>
      <c r="N3" s="2">
        <f>SUMIFS('Tourney History'!G:G,'Tourney History'!B:B,A3)-M3</f>
        <v>11</v>
      </c>
      <c r="O3" s="88">
        <f>LOOKUP(2, 1/('Tourney History'!$B:$B=A3), 'Tourney History'!$AC:$AC)</f>
        <v>0.48</v>
      </c>
      <c r="P3" s="2">
        <f>COUNTIFS('Tourney History'!$B:$B,$A$3,'Tourney History'!K:K, 1)</f>
        <v>0</v>
      </c>
      <c r="Q3" s="2">
        <f>COUNTIFS('Tourney History'!$B:$B,$A$3,'Tourney History'!L:L, 1)</f>
        <v>0</v>
      </c>
      <c r="R3" s="2">
        <f>COUNTIFS('Tourney History'!$B:$B,$A$3,'Tourney History'!M:M, 1)</f>
        <v>0</v>
      </c>
      <c r="S3" s="2">
        <f>COUNTIFS('Tourney History'!$B:$B,$A$3,'Tourney History'!N:N, 1)</f>
        <v>0</v>
      </c>
      <c r="T3" s="2">
        <f>COUNTIFS('Tourney History'!$B:$B,$A$3,'Tourney History'!O:O, 1)</f>
        <v>0</v>
      </c>
      <c r="U3" s="2">
        <f>COUNTIFS('Tourney History'!$B:$B,$A$3,'Tourney History'!P:P, 1)</f>
        <v>1</v>
      </c>
      <c r="V3" s="2">
        <f>COUNTIFS('Tourney History'!$B:$B,$A$3,'Tourney History'!Q:Q, 1)</f>
        <v>0</v>
      </c>
      <c r="W3" s="2">
        <f>COUNTIFS('Tourney History'!$B:$B,$A$3,'Tourney History'!R:R, 1)</f>
        <v>0</v>
      </c>
      <c r="X3" s="2">
        <f>COUNTIFS('Tourney History'!$B:$B,$A$3,'Tourney History'!S:S, 1)</f>
        <v>0</v>
      </c>
      <c r="Y3" s="2">
        <f>COUNTIFS('Tourney History'!$B:$B,$A$3,'Tourney History'!T:T, 1)</f>
        <v>0</v>
      </c>
      <c r="Z3" s="2">
        <f>COUNTIFS('Tourney History'!$B:$B,$A$3,'Tourney History'!U:U, 1)</f>
        <v>0</v>
      </c>
      <c r="AA3" s="2">
        <f>COUNTIFS('Tourney History'!$B:$B,$A$3,'Tourney History'!V:V, 1)</f>
        <v>0</v>
      </c>
      <c r="AB3" s="2">
        <f>COUNTIFS('Tourney History'!$B:$B,$A$3,'Tourney History'!W:W, 1)</f>
        <v>0</v>
      </c>
      <c r="AC3" s="2">
        <f>COUNTIFS('Tourney History'!$B:$B,$A$3,'Tourney History'!X:X, 1)</f>
        <v>1</v>
      </c>
      <c r="AD3" s="2">
        <f>COUNTIFS('Tourney History'!$B:$B,$A$3,'Tourney History'!Y:Y, 1)</f>
        <v>0</v>
      </c>
      <c r="AE3" s="2">
        <f>COUNTIFS('Tourney History'!$B:$B,$A$3,'Tourney History'!Z:Z, 1)</f>
        <v>0</v>
      </c>
    </row>
    <row r="4" spans="1:31" x14ac:dyDescent="0.25">
      <c r="A4" s="2" t="s">
        <v>37</v>
      </c>
      <c r="B4" s="2" t="s">
        <v>79</v>
      </c>
      <c r="C4" s="2" t="s">
        <v>79</v>
      </c>
      <c r="D4" s="34">
        <f>SUMIFS('Tourney History'!C:C,'Tourney History'!B:B,A4)</f>
        <v>147</v>
      </c>
      <c r="E4" s="4">
        <f>AVERAGEIFS('Tourney History'!C:C,'Tourney History'!B:B,A4)</f>
        <v>21</v>
      </c>
      <c r="F4" s="35">
        <f t="array" ref="F4">MAX(IF('Tourney History'!B:B=A4, 'Tourney History'!C:C))</f>
        <v>33</v>
      </c>
      <c r="G4" s="34">
        <f>COUNTIFS('Tourney History'!B:B,A4,'Tourney History'!D:D, 1)</f>
        <v>3</v>
      </c>
      <c r="H4" s="2">
        <f>COUNTIFS('Tourney History'!B:B,A4,'Tourney History'!D:D, 0)</f>
        <v>4</v>
      </c>
      <c r="I4" s="88">
        <f>LOOKUP(2, 1/('Tourney History'!$B:$B=A4), 'Tourney History'!$AD:$AD)</f>
        <v>0.42857142857142855</v>
      </c>
      <c r="J4" s="34">
        <f>SUMIFS('Tourney History'!F:F,'Tourney History'!B:B,A4)</f>
        <v>13</v>
      </c>
      <c r="K4" s="2">
        <f>SUMIFS('Tourney History'!E:E,'Tourney History'!B:B,A4)-J4</f>
        <v>17</v>
      </c>
      <c r="L4" s="88">
        <f>LOOKUP(2, 1/('Tourney History'!$B:$B=A4), 'Tourney History'!$AB:$AB)</f>
        <v>0.40714285714285714</v>
      </c>
      <c r="M4" s="34">
        <f>SUMIFS('Tourney History'!H:H,'Tourney History'!B:B,A4)</f>
        <v>55</v>
      </c>
      <c r="N4" s="2">
        <f>SUMIFS('Tourney History'!G:G,'Tourney History'!B:B,A4)-M4</f>
        <v>62</v>
      </c>
      <c r="O4" s="88">
        <f>LOOKUP(2, 1/('Tourney History'!$B:$B=A4), 'Tourney History'!$AC:$AC)</f>
        <v>0.45571428571428568</v>
      </c>
      <c r="P4" s="2">
        <f>COUNTIFS('Tourney History'!$B:$B,$A$4,'Tourney History'!K:K, 1)</f>
        <v>1</v>
      </c>
      <c r="Q4" s="2">
        <f>COUNTIFS('Tourney History'!$B:$B,$A$4,'Tourney History'!L:L, 1)</f>
        <v>0</v>
      </c>
      <c r="R4" s="2">
        <f>COUNTIFS('Tourney History'!$B:$B,$A$4,'Tourney History'!M:M, 1)</f>
        <v>0</v>
      </c>
      <c r="S4" s="2">
        <f>COUNTIFS('Tourney History'!$B:$B,$A$4,'Tourney History'!N:N, 1)</f>
        <v>1</v>
      </c>
      <c r="T4" s="2">
        <f>COUNTIFS('Tourney History'!$B:$B,$A$4,'Tourney History'!O:O, 1)</f>
        <v>2</v>
      </c>
      <c r="U4" s="2">
        <f>COUNTIFS('Tourney History'!$B:$B,$A$4,'Tourney History'!P:P, 1)</f>
        <v>2</v>
      </c>
      <c r="V4" s="2">
        <f>COUNTIFS('Tourney History'!$B:$B,$A$4,'Tourney History'!Q:Q, 1)</f>
        <v>0</v>
      </c>
      <c r="W4" s="2">
        <f>COUNTIFS('Tourney History'!$B:$B,$A$4,'Tourney History'!R:R, 1)</f>
        <v>0</v>
      </c>
      <c r="X4" s="2">
        <f>COUNTIFS('Tourney History'!$B:$B,$A$4,'Tourney History'!S:S, 1)</f>
        <v>0</v>
      </c>
      <c r="Y4" s="2">
        <f>COUNTIFS('Tourney History'!$B:$B,$A$4,'Tourney History'!T:T, 1)</f>
        <v>0</v>
      </c>
      <c r="Z4" s="2">
        <f>COUNTIFS('Tourney History'!$B:$B,$A$4,'Tourney History'!U:U, 1)</f>
        <v>0</v>
      </c>
      <c r="AA4" s="2">
        <f>COUNTIFS('Tourney History'!$B:$B,$A$4,'Tourney History'!V:V, 1)</f>
        <v>0</v>
      </c>
      <c r="AB4" s="2">
        <f>COUNTIFS('Tourney History'!$B:$B,$A$4,'Tourney History'!W:W, 1)</f>
        <v>0</v>
      </c>
      <c r="AC4" s="2">
        <f>COUNTIFS('Tourney History'!$B:$B,$A$4,'Tourney History'!X:X, 1)</f>
        <v>3</v>
      </c>
      <c r="AD4" s="2">
        <f>COUNTIFS('Tourney History'!$B:$B,$A$4,'Tourney History'!Y:Y, 1)</f>
        <v>1</v>
      </c>
      <c r="AE4" s="2">
        <f>COUNTIFS('Tourney History'!$B:$B,$A$4,'Tourney History'!Z:Z, 1)</f>
        <v>3</v>
      </c>
    </row>
    <row r="5" spans="1:31" ht="15.75" x14ac:dyDescent="0.25">
      <c r="A5" s="2" t="s">
        <v>35</v>
      </c>
      <c r="B5" s="80" t="s">
        <v>174</v>
      </c>
      <c r="C5" s="2" t="s">
        <v>79</v>
      </c>
      <c r="D5" s="34">
        <f>SUMIFS('Tourney History'!C:C,'Tourney History'!B:B,A5)</f>
        <v>130</v>
      </c>
      <c r="E5" s="4">
        <f>AVERAGEIFS('Tourney History'!C:C,'Tourney History'!B:B,A5)</f>
        <v>16.25</v>
      </c>
      <c r="F5" s="35">
        <f t="array" ref="F5">MAX(IF('Tourney History'!B:B=A5, 'Tourney History'!C:C))</f>
        <v>32</v>
      </c>
      <c r="G5" s="34">
        <f>COUNTIFS('Tourney History'!B:B,A5,'Tourney History'!D:D, 1)</f>
        <v>5</v>
      </c>
      <c r="H5" s="2">
        <f>COUNTIFS('Tourney History'!B:B,A5,'Tourney History'!D:D, 0)</f>
        <v>3</v>
      </c>
      <c r="I5" s="88">
        <f>LOOKUP(2, 1/('Tourney History'!$B:$B=A5), 'Tourney History'!$AD:$AD)</f>
        <v>0.625</v>
      </c>
      <c r="J5" s="34">
        <f>SUMIFS('Tourney History'!F:F,'Tourney History'!B:B,A5)</f>
        <v>17</v>
      </c>
      <c r="K5" s="2">
        <f>SUMIFS('Tourney History'!E:E,'Tourney History'!B:B,A5)-J5</f>
        <v>17</v>
      </c>
      <c r="L5" s="88">
        <f>LOOKUP(2, 1/('Tourney History'!$B:$B=A5), 'Tourney History'!$AB:$AB)</f>
        <v>0.47500000000000003</v>
      </c>
      <c r="M5" s="34">
        <f>SUMIFS('Tourney History'!H:H,'Tourney History'!B:B,A5)</f>
        <v>72</v>
      </c>
      <c r="N5" s="2">
        <f>SUMIFS('Tourney History'!G:G,'Tourney History'!B:B,A5)-M5</f>
        <v>65</v>
      </c>
      <c r="O5" s="88">
        <f>LOOKUP(2, 1/('Tourney History'!$B:$B=A5), 'Tourney History'!$AC:$AC)</f>
        <v>0.51624999999999999</v>
      </c>
      <c r="P5" s="2">
        <f>COUNTIFS('Tourney History'!$B:$B,$A$5,'Tourney History'!K:K, 1)</f>
        <v>1</v>
      </c>
      <c r="Q5" s="2">
        <f>COUNTIFS('Tourney History'!$B:$B,$A$5,'Tourney History'!L:L, 1)</f>
        <v>3</v>
      </c>
      <c r="R5" s="2">
        <f>COUNTIFS('Tourney History'!$B:$B,$A$5,'Tourney History'!M:M, 1)</f>
        <v>0</v>
      </c>
      <c r="S5" s="2">
        <f>COUNTIFS('Tourney History'!$B:$B,$A$5,'Tourney History'!N:N, 1)</f>
        <v>3</v>
      </c>
      <c r="T5" s="2">
        <f>COUNTIFS('Tourney History'!$B:$B,$A$5,'Tourney History'!O:O, 1)</f>
        <v>3</v>
      </c>
      <c r="U5" s="2">
        <f>COUNTIFS('Tourney History'!$B:$B,$A$5,'Tourney History'!P:P, 1)</f>
        <v>2</v>
      </c>
      <c r="V5" s="2">
        <f>COUNTIFS('Tourney History'!$B:$B,$A$5,'Tourney History'!Q:Q, 1)</f>
        <v>0</v>
      </c>
      <c r="W5" s="2">
        <f>COUNTIFS('Tourney History'!$B:$B,$A$5,'Tourney History'!R:R, 1)</f>
        <v>0</v>
      </c>
      <c r="X5" s="2">
        <f>COUNTIFS('Tourney History'!$B:$B,$A$5,'Tourney History'!S:S, 1)</f>
        <v>0</v>
      </c>
      <c r="Y5" s="2">
        <f>COUNTIFS('Tourney History'!$B:$B,$A$5,'Tourney History'!T:T, 1)</f>
        <v>0</v>
      </c>
      <c r="Z5" s="2">
        <f>COUNTIFS('Tourney History'!$B:$B,$A$5,'Tourney History'!U:U, 1)</f>
        <v>0</v>
      </c>
      <c r="AA5" s="2">
        <f>COUNTIFS('Tourney History'!$B:$B,$A$5,'Tourney History'!V:V, 1)</f>
        <v>0</v>
      </c>
      <c r="AB5" s="2">
        <f>COUNTIFS('Tourney History'!$B:$B,$A$5,'Tourney History'!W:W, 1)</f>
        <v>3</v>
      </c>
      <c r="AC5" s="2">
        <f>COUNTIFS('Tourney History'!$B:$B,$A$5,'Tourney History'!X:X, 1)</f>
        <v>1</v>
      </c>
      <c r="AD5" s="2">
        <f>COUNTIFS('Tourney History'!$B:$B,$A$5,'Tourney History'!Y:Y, 1)</f>
        <v>0</v>
      </c>
      <c r="AE5" s="2">
        <f>COUNTIFS('Tourney History'!$B:$B,$A$5,'Tourney History'!Z:Z, 1)</f>
        <v>1</v>
      </c>
    </row>
    <row r="6" spans="1:31" ht="15.75" x14ac:dyDescent="0.25">
      <c r="A6" s="2" t="s">
        <v>19</v>
      </c>
      <c r="B6" s="95" t="s">
        <v>79</v>
      </c>
      <c r="C6" s="2" t="s">
        <v>79</v>
      </c>
      <c r="D6" s="34">
        <f>SUMIFS('Tourney History'!C:C,'Tourney History'!B:B,A6)</f>
        <v>163</v>
      </c>
      <c r="E6" s="4">
        <f>AVERAGEIFS('Tourney History'!C:C,'Tourney History'!B:B,A6)</f>
        <v>14.818181818181818</v>
      </c>
      <c r="F6" s="35">
        <f t="array" ref="F6">MAX(IF('Tourney History'!B:B=A6, 'Tourney History'!C:C))</f>
        <v>26</v>
      </c>
      <c r="G6" s="34">
        <f>COUNTIFS('Tourney History'!B:B,A6,'Tourney History'!D:D, 1)</f>
        <v>4</v>
      </c>
      <c r="H6" s="2">
        <f>COUNTIFS('Tourney History'!B:B,A6,'Tourney History'!D:D, 0)</f>
        <v>7</v>
      </c>
      <c r="I6" s="88">
        <f>LOOKUP(2, 1/('Tourney History'!$B:$B=A6), 'Tourney History'!$AD:$AD)</f>
        <v>0.36363636363636365</v>
      </c>
      <c r="J6" s="34">
        <f>SUMIFS('Tourney History'!F:F,'Tourney History'!B:B,A6)</f>
        <v>21</v>
      </c>
      <c r="K6" s="2">
        <f>SUMIFS('Tourney History'!E:E,'Tourney History'!B:B,A6)-J6</f>
        <v>26</v>
      </c>
      <c r="L6" s="88">
        <f>LOOKUP(2, 1/('Tourney History'!$B:$B=A6), 'Tourney History'!$AB:$AB)</f>
        <v>0.44545454545454538</v>
      </c>
      <c r="M6" s="34">
        <f>SUMIFS('Tourney History'!H:H,'Tourney History'!B:B,A6)</f>
        <v>91</v>
      </c>
      <c r="N6" s="2">
        <f>SUMIFS('Tourney History'!G:G,'Tourney History'!B:B,A6)-M6</f>
        <v>101</v>
      </c>
      <c r="O6" s="88">
        <f>LOOKUP(2, 1/('Tourney History'!$B:$B=A6), 'Tourney History'!$AC:$AC)</f>
        <v>0.46727272727272734</v>
      </c>
      <c r="P6" s="2">
        <f>COUNTIFS('Tourney History'!$B:$B,$A$6,'Tourney History'!K:K, 1)</f>
        <v>1</v>
      </c>
      <c r="Q6" s="2">
        <f>COUNTIFS('Tourney History'!$B:$B,$A$6,'Tourney History'!L:L, 1)</f>
        <v>1</v>
      </c>
      <c r="R6" s="2">
        <f>COUNTIFS('Tourney History'!$B:$B,$A$6,'Tourney History'!M:M, 1)</f>
        <v>0</v>
      </c>
      <c r="S6" s="2">
        <f>COUNTIFS('Tourney History'!$B:$B,$A$6,'Tourney History'!N:N, 1)</f>
        <v>1</v>
      </c>
      <c r="T6" s="2">
        <f>COUNTIFS('Tourney History'!$B:$B,$A$6,'Tourney History'!O:O, 1)</f>
        <v>2</v>
      </c>
      <c r="U6" s="2">
        <f>COUNTIFS('Tourney History'!$B:$B,$A$6,'Tourney History'!P:P, 1)</f>
        <v>3</v>
      </c>
      <c r="V6" s="2">
        <f>COUNTIFS('Tourney History'!$B:$B,$A$6,'Tourney History'!Q:Q, 1)</f>
        <v>0</v>
      </c>
      <c r="W6" s="2">
        <f>COUNTIFS('Tourney History'!$B:$B,$A$6,'Tourney History'!R:R, 1)</f>
        <v>0</v>
      </c>
      <c r="X6" s="2">
        <f>COUNTIFS('Tourney History'!$B:$B,$A$6,'Tourney History'!S:S, 1)</f>
        <v>0</v>
      </c>
      <c r="Y6" s="2">
        <f>COUNTIFS('Tourney History'!$B:$B,$A$6,'Tourney History'!T:T, 1)</f>
        <v>0</v>
      </c>
      <c r="Z6" s="2">
        <f>COUNTIFS('Tourney History'!$B:$B,$A$6,'Tourney History'!U:U, 1)</f>
        <v>0</v>
      </c>
      <c r="AA6" s="2">
        <f>COUNTIFS('Tourney History'!$B:$B,$A$6,'Tourney History'!V:V, 1)</f>
        <v>0</v>
      </c>
      <c r="AB6" s="2">
        <f>COUNTIFS('Tourney History'!$B:$B,$A$6,'Tourney History'!W:W, 1)</f>
        <v>4</v>
      </c>
      <c r="AC6" s="2">
        <f>COUNTIFS('Tourney History'!$B:$B,$A$6,'Tourney History'!X:X, 1)</f>
        <v>5</v>
      </c>
      <c r="AD6" s="2">
        <f>COUNTIFS('Tourney History'!$B:$B,$A$6,'Tourney History'!Y:Y, 1)</f>
        <v>1</v>
      </c>
      <c r="AE6" s="2">
        <f>COUNTIFS('Tourney History'!$B:$B,$A$6,'Tourney History'!Z:Z, 1)</f>
        <v>3</v>
      </c>
    </row>
    <row r="7" spans="1:31" x14ac:dyDescent="0.25">
      <c r="A7" s="1" t="s">
        <v>42</v>
      </c>
      <c r="B7" s="6" t="s">
        <v>60</v>
      </c>
      <c r="C7" s="2" t="s">
        <v>79</v>
      </c>
      <c r="D7" s="34">
        <f>SUMIFS('Tourney History'!C:C,'Tourney History'!B:B,A7)</f>
        <v>30</v>
      </c>
      <c r="E7" s="4">
        <f>AVERAGEIFS('Tourney History'!C:C,'Tourney History'!B:B,A7)</f>
        <v>10</v>
      </c>
      <c r="F7" s="35">
        <f t="array" ref="F7">MAX(IF('Tourney History'!B:B=A7, 'Tourney History'!C:C))</f>
        <v>12</v>
      </c>
      <c r="G7" s="34">
        <f>COUNTIFS('Tourney History'!B:B,A7,'Tourney History'!D:D, 1)</f>
        <v>3</v>
      </c>
      <c r="H7" s="2">
        <f>COUNTIFS('Tourney History'!B:B,A7,'Tourney History'!D:D, 0)</f>
        <v>0</v>
      </c>
      <c r="I7" s="88">
        <f>LOOKUP(2, 1/('Tourney History'!$B:$B=A7), 'Tourney History'!$AD:$AD)</f>
        <v>1</v>
      </c>
      <c r="J7" s="34">
        <f>SUMIFS('Tourney History'!F:F,'Tourney History'!B:B,A7)</f>
        <v>9</v>
      </c>
      <c r="K7" s="2">
        <f>SUMIFS('Tourney History'!E:E,'Tourney History'!B:B,A7)-J7</f>
        <v>3</v>
      </c>
      <c r="L7" s="88">
        <f>LOOKUP(2, 1/('Tourney History'!$B:$B=A7), 'Tourney History'!$AB:$AB)</f>
        <v>0.78333333333333333</v>
      </c>
      <c r="M7" s="34">
        <f>SUMIFS('Tourney History'!H:H,'Tourney History'!B:B,A7)</f>
        <v>29</v>
      </c>
      <c r="N7" s="2">
        <f>SUMIFS('Tourney History'!G:G,'Tourney History'!B:B,A7)-M7</f>
        <v>18</v>
      </c>
      <c r="O7" s="88">
        <f>LOOKUP(2, 1/('Tourney History'!$B:$B=A7), 'Tourney History'!$AC:$AC)</f>
        <v>0.64666666666666661</v>
      </c>
      <c r="P7" s="2">
        <f>COUNTIFS('Tourney History'!$B:$B,$A$7,'Tourney History'!K:K, 1)</f>
        <v>1</v>
      </c>
      <c r="Q7" s="2">
        <f>COUNTIFS('Tourney History'!$B:$B,$A$7,'Tourney History'!L:L, 1)</f>
        <v>2</v>
      </c>
      <c r="R7" s="2">
        <f>COUNTIFS('Tourney History'!$B:$B,$A$7,'Tourney History'!M:M, 1)</f>
        <v>1</v>
      </c>
      <c r="S7" s="2">
        <f>COUNTIFS('Tourney History'!$B:$B,$A$7,'Tourney History'!N:N, 1)</f>
        <v>0</v>
      </c>
      <c r="T7" s="2">
        <f>COUNTIFS('Tourney History'!$B:$B,$A$7,'Tourney History'!O:O, 1)</f>
        <v>1</v>
      </c>
      <c r="U7" s="2">
        <f>COUNTIFS('Tourney History'!$B:$B,$A$7,'Tourney History'!P:P, 1)</f>
        <v>0</v>
      </c>
      <c r="V7" s="2">
        <f>COUNTIFS('Tourney History'!$B:$B,$A$7,'Tourney History'!Q:Q, 1)</f>
        <v>0</v>
      </c>
      <c r="W7" s="2">
        <f>COUNTIFS('Tourney History'!$B:$B,$A$7,'Tourney History'!R:R, 1)</f>
        <v>0</v>
      </c>
      <c r="X7" s="2">
        <f>COUNTIFS('Tourney History'!$B:$B,$A$7,'Tourney History'!S:S, 1)</f>
        <v>0</v>
      </c>
      <c r="Y7" s="2">
        <f>COUNTIFS('Tourney History'!$B:$B,$A$7,'Tourney History'!T:T, 1)</f>
        <v>0</v>
      </c>
      <c r="Z7" s="2">
        <f>COUNTIFS('Tourney History'!$B:$B,$A$7,'Tourney History'!U:U, 1)</f>
        <v>0</v>
      </c>
      <c r="AA7" s="2">
        <f>COUNTIFS('Tourney History'!$B:$B,$A$7,'Tourney History'!V:V, 1)</f>
        <v>0</v>
      </c>
      <c r="AB7" s="2">
        <f>COUNTIFS('Tourney History'!$B:$B,$A$7,'Tourney History'!W:W, 1)</f>
        <v>2</v>
      </c>
      <c r="AC7" s="2">
        <f>COUNTIFS('Tourney History'!$B:$B,$A$7,'Tourney History'!X:X, 1)</f>
        <v>1</v>
      </c>
      <c r="AD7" s="2">
        <f>COUNTIFS('Tourney History'!$B:$B,$A$7,'Tourney History'!Y:Y, 1)</f>
        <v>0</v>
      </c>
      <c r="AE7" s="2">
        <f>COUNTIFS('Tourney History'!$B:$B,$A$7,'Tourney History'!Z:Z, 1)</f>
        <v>1</v>
      </c>
    </row>
    <row r="8" spans="1:31" x14ac:dyDescent="0.25">
      <c r="A8" s="1" t="s">
        <v>25</v>
      </c>
      <c r="B8" s="6" t="s">
        <v>79</v>
      </c>
      <c r="C8" s="2" t="s">
        <v>79</v>
      </c>
      <c r="D8" s="34">
        <f>SUMIFS('Tourney History'!C:C,'Tourney History'!B:B,A8)</f>
        <v>176</v>
      </c>
      <c r="E8" s="4">
        <f>AVERAGEIFS('Tourney History'!C:C,'Tourney History'!B:B,A8)</f>
        <v>29.333333333333332</v>
      </c>
      <c r="F8" s="35">
        <f t="array" ref="F8">MAX(IF('Tourney History'!B:B=A8, 'Tourney History'!C:C))</f>
        <v>50</v>
      </c>
      <c r="G8" s="34">
        <f>COUNTIFS('Tourney History'!B:B,A8,'Tourney History'!D:D, 1)</f>
        <v>1</v>
      </c>
      <c r="H8" s="2">
        <f>COUNTIFS('Tourney History'!B:B,A8,'Tourney History'!D:D, 0)</f>
        <v>5</v>
      </c>
      <c r="I8" s="88">
        <f>LOOKUP(2, 1/('Tourney History'!$B:$B=A8), 'Tourney History'!$AD:$AD)</f>
        <v>0.16666666666666666</v>
      </c>
      <c r="J8" s="34">
        <f>SUMIFS('Tourney History'!F:F,'Tourney History'!B:B,A8)</f>
        <v>12</v>
      </c>
      <c r="K8" s="2">
        <f>SUMIFS('Tourney History'!E:E,'Tourney History'!B:B,A8)-J8</f>
        <v>17</v>
      </c>
      <c r="L8" s="88">
        <f>LOOKUP(2, 1/('Tourney History'!$B:$B=A8), 'Tourney History'!$AB:$AB)</f>
        <v>0.40833333333333327</v>
      </c>
      <c r="M8" s="34">
        <f>SUMIFS('Tourney History'!H:H,'Tourney History'!B:B,A8)</f>
        <v>59</v>
      </c>
      <c r="N8" s="2">
        <f>SUMIFS('Tourney History'!G:G,'Tourney History'!B:B,A8)-M8</f>
        <v>66</v>
      </c>
      <c r="O8" s="88">
        <f>LOOKUP(2, 1/('Tourney History'!$B:$B=A8), 'Tourney History'!$AC:$AC)</f>
        <v>0.47166666666666668</v>
      </c>
      <c r="P8" s="2">
        <f>COUNTIFS('Tourney History'!$B:$B,$A$8,'Tourney History'!K:K, 1)</f>
        <v>1</v>
      </c>
      <c r="Q8" s="2">
        <f>COUNTIFS('Tourney History'!$B:$B,$A$8,'Tourney History'!L:L, 1)</f>
        <v>0</v>
      </c>
      <c r="R8" s="2">
        <f>COUNTIFS('Tourney History'!$B:$B,$A$8,'Tourney History'!M:M, 1)</f>
        <v>0</v>
      </c>
      <c r="S8" s="2">
        <f>COUNTIFS('Tourney History'!$B:$B,$A$8,'Tourney History'!N:N, 1)</f>
        <v>1</v>
      </c>
      <c r="T8" s="2">
        <f>COUNTIFS('Tourney History'!$B:$B,$A$8,'Tourney History'!O:O, 1)</f>
        <v>1</v>
      </c>
      <c r="U8" s="2">
        <f>COUNTIFS('Tourney History'!$B:$B,$A$8,'Tourney History'!P:P, 1)</f>
        <v>1</v>
      </c>
      <c r="V8" s="2">
        <f>COUNTIFS('Tourney History'!$B:$B,$A$8,'Tourney History'!Q:Q, 1)</f>
        <v>0</v>
      </c>
      <c r="W8" s="2">
        <f>COUNTIFS('Tourney History'!$B:$B,$A$8,'Tourney History'!R:R, 1)</f>
        <v>1</v>
      </c>
      <c r="X8" s="2">
        <f>COUNTIFS('Tourney History'!$B:$B,$A$8,'Tourney History'!S:S, 1)</f>
        <v>0</v>
      </c>
      <c r="Y8" s="2">
        <f>COUNTIFS('Tourney History'!$B:$B,$A$8,'Tourney History'!T:T, 1)</f>
        <v>0</v>
      </c>
      <c r="Z8" s="2">
        <f>COUNTIFS('Tourney History'!$B:$B,$A$8,'Tourney History'!U:U, 1)</f>
        <v>0</v>
      </c>
      <c r="AA8" s="2">
        <f>COUNTIFS('Tourney History'!$B:$B,$A$8,'Tourney History'!V:V, 1)</f>
        <v>0</v>
      </c>
      <c r="AB8" s="2">
        <f>COUNTIFS('Tourney History'!$B:$B,$A$8,'Tourney History'!W:W, 1)</f>
        <v>0</v>
      </c>
      <c r="AC8" s="2">
        <f>COUNTIFS('Tourney History'!$B:$B,$A$8,'Tourney History'!X:X, 1)</f>
        <v>3</v>
      </c>
      <c r="AD8" s="2">
        <f>COUNTIFS('Tourney History'!$B:$B,$A$8,'Tourney History'!Y:Y, 1)</f>
        <v>1</v>
      </c>
      <c r="AE8" s="2">
        <f>COUNTIFS('Tourney History'!$B:$B,$A$8,'Tourney History'!Z:Z, 1)</f>
        <v>3</v>
      </c>
    </row>
    <row r="9" spans="1:31" x14ac:dyDescent="0.25">
      <c r="A9" s="1" t="s">
        <v>146</v>
      </c>
      <c r="B9" s="6" t="s">
        <v>79</v>
      </c>
      <c r="C9" s="2" t="s">
        <v>79</v>
      </c>
      <c r="D9" s="34">
        <f>SUMIFS('Tourney History'!C:C,'Tourney History'!B:B,A9)</f>
        <v>70</v>
      </c>
      <c r="E9" s="4">
        <f>AVERAGEIFS('Tourney History'!C:C,'Tourney History'!B:B,A9)</f>
        <v>23.333333333333332</v>
      </c>
      <c r="F9" s="35">
        <f t="array" ref="F9">MAX(IF('Tourney History'!B:B=A9, 'Tourney History'!C:C))</f>
        <v>27</v>
      </c>
      <c r="G9" s="34">
        <f>COUNTIFS('Tourney History'!B:B,A9,'Tourney History'!D:D, 1)</f>
        <v>1</v>
      </c>
      <c r="H9" s="2">
        <f>COUNTIFS('Tourney History'!B:B,A9,'Tourney History'!D:D, 0)</f>
        <v>2</v>
      </c>
      <c r="I9" s="88">
        <f>LOOKUP(2, 1/('Tourney History'!$B:$B=A9), 'Tourney History'!$AD:$AD)</f>
        <v>0.33333333333333331</v>
      </c>
      <c r="J9" s="34">
        <f>SUMIFS('Tourney History'!F:F,'Tourney History'!B:B,A9)</f>
        <v>7</v>
      </c>
      <c r="K9" s="2">
        <f>SUMIFS('Tourney History'!E:E,'Tourney History'!B:B,A9)-J9</f>
        <v>8</v>
      </c>
      <c r="L9" s="88">
        <f>LOOKUP(2, 1/('Tourney History'!$B:$B=A9), 'Tourney History'!$AB:$AB)</f>
        <v>0.46666666666666662</v>
      </c>
      <c r="M9" s="34">
        <f>SUMIFS('Tourney History'!H:H,'Tourney History'!B:B,A9)</f>
        <v>29</v>
      </c>
      <c r="N9" s="2">
        <f>SUMIFS('Tourney History'!G:G,'Tourney History'!B:B,A9)-M9</f>
        <v>35</v>
      </c>
      <c r="O9" s="88">
        <f>LOOKUP(2, 1/('Tourney History'!$B:$B=A9), 'Tourney History'!$AC:$AC)</f>
        <v>0.45</v>
      </c>
      <c r="P9" s="2">
        <f>COUNTIFS('Tourney History'!$B:$B,$A$9,'Tourney History'!K:K, 1)</f>
        <v>0</v>
      </c>
      <c r="Q9" s="2">
        <f>COUNTIFS('Tourney History'!$B:$B,$A$9,'Tourney History'!L:L, 1)</f>
        <v>1</v>
      </c>
      <c r="R9" s="2">
        <f>COUNTIFS('Tourney History'!$B:$B,$A$9,'Tourney History'!M:M, 1)</f>
        <v>1</v>
      </c>
      <c r="S9" s="2">
        <f>COUNTIFS('Tourney History'!$B:$B,$A$9,'Tourney History'!N:N, 1)</f>
        <v>2</v>
      </c>
      <c r="T9" s="2">
        <f>COUNTIFS('Tourney History'!$B:$B,$A$9,'Tourney History'!O:O, 1)</f>
        <v>1</v>
      </c>
      <c r="U9" s="2">
        <f>COUNTIFS('Tourney History'!$B:$B,$A$9,'Tourney History'!P:P, 1)</f>
        <v>0</v>
      </c>
      <c r="V9" s="2">
        <f>COUNTIFS('Tourney History'!$B:$B,$A$9,'Tourney History'!Q:Q, 1)</f>
        <v>0</v>
      </c>
      <c r="W9" s="2">
        <f>COUNTIFS('Tourney History'!$B:$B,$A$9,'Tourney History'!R:R, 1)</f>
        <v>0</v>
      </c>
      <c r="X9" s="2">
        <f>COUNTIFS('Tourney History'!$B:$B,$A$9,'Tourney History'!S:S, 1)</f>
        <v>0</v>
      </c>
      <c r="Y9" s="2">
        <f>COUNTIFS('Tourney History'!$B:$B,$A$9,'Tourney History'!T:T, 1)</f>
        <v>0</v>
      </c>
      <c r="Z9" s="2">
        <f>COUNTIFS('Tourney History'!$B:$B,$A$9,'Tourney History'!U:U, 1)</f>
        <v>0</v>
      </c>
      <c r="AA9" s="2">
        <f>COUNTIFS('Tourney History'!$B:$B,$A$9,'Tourney History'!V:V, 1)</f>
        <v>0</v>
      </c>
      <c r="AB9" s="2">
        <f>COUNTIFS('Tourney History'!$B:$B,$A$9,'Tourney History'!W:W, 1)</f>
        <v>0</v>
      </c>
      <c r="AC9" s="2">
        <f>COUNTIFS('Tourney History'!$B:$B,$A$9,'Tourney History'!X:X, 1)</f>
        <v>1</v>
      </c>
      <c r="AD9" s="2">
        <f>COUNTIFS('Tourney History'!$B:$B,$A$9,'Tourney History'!Y:Y, 1)</f>
        <v>1</v>
      </c>
      <c r="AE9" s="2">
        <f>COUNTIFS('Tourney History'!$B:$B,$A$9,'Tourney History'!Z:Z, 1)</f>
        <v>0</v>
      </c>
    </row>
    <row r="10" spans="1:31" x14ac:dyDescent="0.25">
      <c r="A10" s="1" t="s">
        <v>27</v>
      </c>
      <c r="B10" s="6" t="s">
        <v>76</v>
      </c>
      <c r="C10" s="6" t="s">
        <v>79</v>
      </c>
      <c r="D10" s="34">
        <f>SUMIFS('Tourney History'!C:C,'Tourney History'!B:B,A10)</f>
        <v>196</v>
      </c>
      <c r="E10" s="4">
        <f>AVERAGEIFS('Tourney History'!C:C,'Tourney History'!B:B,A10)</f>
        <v>19.600000000000001</v>
      </c>
      <c r="F10" s="35">
        <f t="array" ref="F10">MAX(IF('Tourney History'!B:B=A10, 'Tourney History'!C:C))</f>
        <v>44</v>
      </c>
      <c r="G10" s="34">
        <f>COUNTIFS('Tourney History'!B:B,A10,'Tourney History'!D:D, 1)</f>
        <v>5</v>
      </c>
      <c r="H10" s="2">
        <f>COUNTIFS('Tourney History'!B:B,A10,'Tourney History'!D:D, 0)</f>
        <v>5</v>
      </c>
      <c r="I10" s="88">
        <f>LOOKUP(2, 1/('Tourney History'!$B:$B=A10), 'Tourney History'!$AD:$AD)</f>
        <v>0.5</v>
      </c>
      <c r="J10" s="34">
        <f>SUMIFS('Tourney History'!F:F,'Tourney History'!B:B,A10)</f>
        <v>21</v>
      </c>
      <c r="K10" s="2">
        <f>SUMIFS('Tourney History'!E:E,'Tourney History'!B:B,A10)-J10</f>
        <v>24</v>
      </c>
      <c r="L10" s="88">
        <f>LOOKUP(2, 1/('Tourney History'!$B:$B=A10), 'Tourney History'!$AB:$AB)</f>
        <v>0.44500000000000001</v>
      </c>
      <c r="M10" s="34">
        <f>SUMIFS('Tourney History'!H:H,'Tourney History'!B:B,A10)</f>
        <v>90</v>
      </c>
      <c r="N10" s="2">
        <f>SUMIFS('Tourney History'!G:G,'Tourney History'!B:B,A10)-M10</f>
        <v>96</v>
      </c>
      <c r="O10" s="88">
        <f>LOOKUP(2, 1/('Tourney History'!$B:$B=A10), 'Tourney History'!$AC:$AC)</f>
        <v>0.46600000000000003</v>
      </c>
      <c r="P10" s="2">
        <f>COUNTIFS('Tourney History'!$B:$B,$A$10,'Tourney History'!K:K, 1)</f>
        <v>0</v>
      </c>
      <c r="Q10" s="2">
        <f>COUNTIFS('Tourney History'!$B:$B,$A$10,'Tourney History'!L:L, 1)</f>
        <v>1</v>
      </c>
      <c r="R10" s="2">
        <f>COUNTIFS('Tourney History'!$B:$B,$A$10,'Tourney History'!M:M, 1)</f>
        <v>1</v>
      </c>
      <c r="S10" s="2">
        <f>COUNTIFS('Tourney History'!$B:$B,$A$10,'Tourney History'!N:N, 1)</f>
        <v>0</v>
      </c>
      <c r="T10" s="2">
        <f>COUNTIFS('Tourney History'!$B:$B,$A$10,'Tourney History'!O:O, 1)</f>
        <v>4</v>
      </c>
      <c r="U10" s="2">
        <f>COUNTIFS('Tourney History'!$B:$B,$A$10,'Tourney History'!P:P, 1)</f>
        <v>3</v>
      </c>
      <c r="V10" s="2">
        <f>COUNTIFS('Tourney History'!$B:$B,$A$10,'Tourney History'!Q:Q, 1)</f>
        <v>1</v>
      </c>
      <c r="W10" s="2">
        <f>COUNTIFS('Tourney History'!$B:$B,$A$10,'Tourney History'!R:R, 1)</f>
        <v>0</v>
      </c>
      <c r="X10" s="2">
        <f>COUNTIFS('Tourney History'!$B:$B,$A$10,'Tourney History'!S:S, 1)</f>
        <v>0</v>
      </c>
      <c r="Y10" s="2">
        <f>COUNTIFS('Tourney History'!$B:$B,$A$10,'Tourney History'!T:T, 1)</f>
        <v>0</v>
      </c>
      <c r="Z10" s="2">
        <f>COUNTIFS('Tourney History'!$B:$B,$A$10,'Tourney History'!U:U, 1)</f>
        <v>0</v>
      </c>
      <c r="AA10" s="2">
        <f>COUNTIFS('Tourney History'!$B:$B,$A$10,'Tourney History'!V:V, 1)</f>
        <v>0</v>
      </c>
      <c r="AB10" s="2">
        <f>COUNTIFS('Tourney History'!$B:$B,$A$10,'Tourney History'!W:W, 1)</f>
        <v>2</v>
      </c>
      <c r="AC10" s="2">
        <f>COUNTIFS('Tourney History'!$B:$B,$A$10,'Tourney History'!X:X, 1)</f>
        <v>4</v>
      </c>
      <c r="AD10" s="2">
        <f>COUNTIFS('Tourney History'!$B:$B,$A$10,'Tourney History'!Y:Y, 1)</f>
        <v>2</v>
      </c>
      <c r="AE10" s="2">
        <f>COUNTIFS('Tourney History'!$B:$B,$A$10,'Tourney History'!Z:Z, 1)</f>
        <v>3</v>
      </c>
    </row>
    <row r="11" spans="1:31" x14ac:dyDescent="0.25">
      <c r="A11" s="1" t="s">
        <v>26</v>
      </c>
      <c r="B11" s="6" t="s">
        <v>124</v>
      </c>
      <c r="C11" s="6" t="s">
        <v>79</v>
      </c>
      <c r="D11" s="34">
        <f>SUMIFS('Tourney History'!C:C,'Tourney History'!B:B,A11)</f>
        <v>186</v>
      </c>
      <c r="E11" s="4">
        <f>AVERAGEIFS('Tourney History'!C:C,'Tourney History'!B:B,A11)</f>
        <v>18.600000000000001</v>
      </c>
      <c r="F11" s="35">
        <f t="array" ref="F11">MAX(IF('Tourney History'!B:B=A11, 'Tourney History'!C:C))</f>
        <v>41</v>
      </c>
      <c r="G11" s="34">
        <f>COUNTIFS('Tourney History'!B:B,A11,'Tourney History'!D:D, 1)</f>
        <v>5</v>
      </c>
      <c r="H11" s="2">
        <f>COUNTIFS('Tourney History'!B:B,A11,'Tourney History'!D:D, 0)</f>
        <v>5</v>
      </c>
      <c r="I11" s="88">
        <f>LOOKUP(2, 1/('Tourney History'!$B:$B=A11), 'Tourney History'!$AD:$AD)</f>
        <v>0.5</v>
      </c>
      <c r="J11" s="34">
        <f>SUMIFS('Tourney History'!F:F,'Tourney History'!B:B,A11)</f>
        <v>23</v>
      </c>
      <c r="K11" s="2">
        <f>SUMIFS('Tourney History'!E:E,'Tourney History'!B:B,A11)-J11</f>
        <v>22</v>
      </c>
      <c r="L11" s="88">
        <f>LOOKUP(2, 1/('Tourney History'!$B:$B=A11), 'Tourney History'!$AB:$AB)</f>
        <v>0.52500000000000013</v>
      </c>
      <c r="M11" s="34">
        <f>SUMIFS('Tourney History'!H:H,'Tourney History'!B:B,A11)</f>
        <v>91</v>
      </c>
      <c r="N11" s="2">
        <f>SUMIFS('Tourney History'!G:G,'Tourney History'!B:B,A11)-M11</f>
        <v>92</v>
      </c>
      <c r="O11" s="88">
        <f>LOOKUP(2, 1/('Tourney History'!$B:$B=A11), 'Tourney History'!$AC:$AC)</f>
        <v>0.50600000000000001</v>
      </c>
      <c r="P11" s="2">
        <f>COUNTIFS('Tourney History'!$B:$B,$A$11,'Tourney History'!K:K, 1)</f>
        <v>0</v>
      </c>
      <c r="Q11" s="2">
        <f>COUNTIFS('Tourney History'!$B:$B,$A$11,'Tourney History'!L:L, 1)</f>
        <v>4</v>
      </c>
      <c r="R11" s="2">
        <f>COUNTIFS('Tourney History'!$B:$B,$A$11,'Tourney History'!M:M, 1)</f>
        <v>1</v>
      </c>
      <c r="S11" s="2">
        <f>COUNTIFS('Tourney History'!$B:$B,$A$11,'Tourney History'!N:N, 1)</f>
        <v>2</v>
      </c>
      <c r="T11" s="2">
        <f>COUNTIFS('Tourney History'!$B:$B,$A$11,'Tourney History'!O:O, 1)</f>
        <v>3</v>
      </c>
      <c r="U11" s="2">
        <f>COUNTIFS('Tourney History'!$B:$B,$A$11,'Tourney History'!P:P, 1)</f>
        <v>5</v>
      </c>
      <c r="V11" s="2">
        <f>COUNTIFS('Tourney History'!$B:$B,$A$11,'Tourney History'!Q:Q, 1)</f>
        <v>2</v>
      </c>
      <c r="W11" s="2">
        <f>COUNTIFS('Tourney History'!$B:$B,$A$11,'Tourney History'!R:R, 1)</f>
        <v>1</v>
      </c>
      <c r="X11" s="2">
        <f>COUNTIFS('Tourney History'!$B:$B,$A$11,'Tourney History'!S:S, 1)</f>
        <v>0</v>
      </c>
      <c r="Y11" s="2">
        <f>COUNTIFS('Tourney History'!$B:$B,$A$11,'Tourney History'!T:T, 1)</f>
        <v>0</v>
      </c>
      <c r="Z11" s="2">
        <f>COUNTIFS('Tourney History'!$B:$B,$A$11,'Tourney History'!U:U, 1)</f>
        <v>0</v>
      </c>
      <c r="AA11" s="2">
        <f>COUNTIFS('Tourney History'!$B:$B,$A$11,'Tourney History'!V:V, 1)</f>
        <v>0</v>
      </c>
      <c r="AB11" s="2">
        <f>COUNTIFS('Tourney History'!$B:$B,$A$11,'Tourney History'!W:W, 1)</f>
        <v>2</v>
      </c>
      <c r="AC11" s="2">
        <f>COUNTIFS('Tourney History'!$B:$B,$A$11,'Tourney History'!X:X, 1)</f>
        <v>1</v>
      </c>
      <c r="AD11" s="2">
        <f>COUNTIFS('Tourney History'!$B:$B,$A$11,'Tourney History'!Y:Y, 1)</f>
        <v>1</v>
      </c>
      <c r="AE11" s="2">
        <f>COUNTIFS('Tourney History'!$B:$B,$A$11,'Tourney History'!Z:Z, 1)</f>
        <v>1</v>
      </c>
    </row>
    <row r="12" spans="1:31" ht="15.75" x14ac:dyDescent="0.25">
      <c r="A12" s="1" t="s">
        <v>45</v>
      </c>
      <c r="B12" s="80" t="s">
        <v>60</v>
      </c>
      <c r="C12" s="2" t="s">
        <v>79</v>
      </c>
      <c r="D12" s="34">
        <f>SUMIFS('Tourney History'!C:C,'Tourney History'!B:B,A12)</f>
        <v>100</v>
      </c>
      <c r="E12" s="4">
        <f>AVERAGEIFS('Tourney History'!C:C,'Tourney History'!B:B,A12)</f>
        <v>16.666666666666668</v>
      </c>
      <c r="F12" s="35">
        <f t="array" ref="F12">MAX(IF('Tourney History'!B:B=A12, 'Tourney History'!C:C))</f>
        <v>29</v>
      </c>
      <c r="G12" s="34">
        <f>COUNTIFS('Tourney History'!B:B,A12,'Tourney History'!D:D, 1)</f>
        <v>2</v>
      </c>
      <c r="H12" s="2">
        <f>COUNTIFS('Tourney History'!B:B,A12,'Tourney History'!D:D, 0)</f>
        <v>4</v>
      </c>
      <c r="I12" s="88">
        <f>LOOKUP(2, 1/('Tourney History'!$B:$B=A12), 'Tourney History'!$AD:$AD)</f>
        <v>0.33333333333333331</v>
      </c>
      <c r="J12" s="34">
        <f>SUMIFS('Tourney History'!F:F,'Tourney History'!B:B,A12)</f>
        <v>11</v>
      </c>
      <c r="K12" s="2">
        <f>SUMIFS('Tourney History'!E:E,'Tourney History'!B:B,A12)-J12</f>
        <v>14</v>
      </c>
      <c r="L12" s="88">
        <f>LOOKUP(2, 1/('Tourney History'!$B:$B=A12), 'Tourney History'!$AB:$AB)</f>
        <v>0.42499999999999999</v>
      </c>
      <c r="M12" s="34">
        <f>SUMIFS('Tourney History'!H:H,'Tourney History'!B:B,A12)</f>
        <v>49</v>
      </c>
      <c r="N12" s="2">
        <f>SUMIFS('Tourney History'!G:G,'Tourney History'!B:B,A12)-M12</f>
        <v>52</v>
      </c>
      <c r="O12" s="88">
        <f>LOOKUP(2, 1/('Tourney History'!$B:$B=A12), 'Tourney History'!$AC:$AC)</f>
        <v>0.48499999999999993</v>
      </c>
      <c r="P12" s="2">
        <f>COUNTIFS('Tourney History'!$B:$B,$A$12,'Tourney History'!K:K, 1)</f>
        <v>0</v>
      </c>
      <c r="Q12" s="2">
        <f>COUNTIFS('Tourney History'!$B:$B,$A$12,'Tourney History'!L:L, 1)</f>
        <v>1</v>
      </c>
      <c r="R12" s="2">
        <f>COUNTIFS('Tourney History'!$B:$B,$A$12,'Tourney History'!M:M, 1)</f>
        <v>0</v>
      </c>
      <c r="S12" s="2">
        <f>COUNTIFS('Tourney History'!$B:$B,$A$12,'Tourney History'!N:N, 1)</f>
        <v>2</v>
      </c>
      <c r="T12" s="2">
        <f>COUNTIFS('Tourney History'!$B:$B,$A$12,'Tourney History'!O:O, 1)</f>
        <v>0</v>
      </c>
      <c r="U12" s="2">
        <f>COUNTIFS('Tourney History'!$B:$B,$A$12,'Tourney History'!P:P, 1)</f>
        <v>2</v>
      </c>
      <c r="V12" s="2">
        <f>COUNTIFS('Tourney History'!$B:$B,$A$12,'Tourney History'!Q:Q, 1)</f>
        <v>0</v>
      </c>
      <c r="W12" s="2">
        <f>COUNTIFS('Tourney History'!$B:$B,$A$12,'Tourney History'!R:R, 1)</f>
        <v>0</v>
      </c>
      <c r="X12" s="2">
        <f>COUNTIFS('Tourney History'!$B:$B,$A$12,'Tourney History'!S:S, 1)</f>
        <v>0</v>
      </c>
      <c r="Y12" s="2">
        <f>COUNTIFS('Tourney History'!$B:$B,$A$12,'Tourney History'!T:T, 1)</f>
        <v>0</v>
      </c>
      <c r="Z12" s="2">
        <f>COUNTIFS('Tourney History'!$B:$B,$A$12,'Tourney History'!U:U, 1)</f>
        <v>0</v>
      </c>
      <c r="AA12" s="2">
        <f>COUNTIFS('Tourney History'!$B:$B,$A$12,'Tourney History'!V:V, 1)</f>
        <v>0</v>
      </c>
      <c r="AB12" s="2">
        <f>COUNTIFS('Tourney History'!$B:$B,$A$12,'Tourney History'!W:W, 1)</f>
        <v>2</v>
      </c>
      <c r="AC12" s="2">
        <f>COUNTIFS('Tourney History'!$B:$B,$A$12,'Tourney History'!X:X, 1)</f>
        <v>2</v>
      </c>
      <c r="AD12" s="2">
        <f>COUNTIFS('Tourney History'!$B:$B,$A$12,'Tourney History'!Y:Y, 1)</f>
        <v>1</v>
      </c>
      <c r="AE12" s="2">
        <f>COUNTIFS('Tourney History'!$B:$B,$A$12,'Tourney History'!Z:Z, 1)</f>
        <v>1</v>
      </c>
    </row>
    <row r="13" spans="1:31" ht="15.75" x14ac:dyDescent="0.25">
      <c r="A13" s="1" t="s">
        <v>50</v>
      </c>
      <c r="B13" s="95" t="s">
        <v>79</v>
      </c>
      <c r="C13" s="2" t="s">
        <v>79</v>
      </c>
      <c r="D13" s="34">
        <f>SUMIFS('Tourney History'!C:C,'Tourney History'!B:B,A13)</f>
        <v>14</v>
      </c>
      <c r="E13" s="4">
        <f>AVERAGEIFS('Tourney History'!C:C,'Tourney History'!B:B,A13)</f>
        <v>14</v>
      </c>
      <c r="F13" s="35">
        <f t="array" ref="F13">MAX(IF('Tourney History'!B:B=A13, 'Tourney History'!C:C))</f>
        <v>14</v>
      </c>
      <c r="G13" s="34">
        <f>COUNTIFS('Tourney History'!B:B,A13,'Tourney History'!D:D, 1)</f>
        <v>0</v>
      </c>
      <c r="H13" s="2">
        <f>COUNTIFS('Tourney History'!B:B,A13,'Tourney History'!D:D, 0)</f>
        <v>1</v>
      </c>
      <c r="I13" s="88">
        <f>LOOKUP(2, 1/('Tourney History'!$B:$B=A13), 'Tourney History'!$AD:$AD)</f>
        <v>0</v>
      </c>
      <c r="J13" s="34">
        <f>SUMIFS('Tourney History'!F:F,'Tourney History'!B:B,A13)</f>
        <v>1</v>
      </c>
      <c r="K13" s="2">
        <f>SUMIFS('Tourney History'!E:E,'Tourney History'!B:B,A13)-J13</f>
        <v>3</v>
      </c>
      <c r="L13" s="88">
        <f>LOOKUP(2, 1/('Tourney History'!$B:$B=A13), 'Tourney History'!$AB:$AB)</f>
        <v>0.25</v>
      </c>
      <c r="M13" s="34">
        <f>SUMIFS('Tourney History'!H:H,'Tourney History'!B:B,A13)</f>
        <v>8</v>
      </c>
      <c r="N13" s="2">
        <f>SUMIFS('Tourney History'!G:G,'Tourney History'!B:B,A13)-M13</f>
        <v>11</v>
      </c>
      <c r="O13" s="88">
        <f>LOOKUP(2, 1/('Tourney History'!$B:$B=A13), 'Tourney History'!$AC:$AC)</f>
        <v>0.42</v>
      </c>
      <c r="P13" s="2">
        <f>COUNTIFS('Tourney History'!$B:$B,$A$13,'Tourney History'!K:K, 1)</f>
        <v>0</v>
      </c>
      <c r="Q13" s="2">
        <f>COUNTIFS('Tourney History'!$B:$B,$A$13,'Tourney History'!L:L, 1)</f>
        <v>0</v>
      </c>
      <c r="R13" s="2">
        <f>COUNTIFS('Tourney History'!$B:$B,$A$13,'Tourney History'!M:M, 1)</f>
        <v>0</v>
      </c>
      <c r="S13" s="2">
        <f>COUNTIFS('Tourney History'!$B:$B,$A$13,'Tourney History'!N:N, 1)</f>
        <v>0</v>
      </c>
      <c r="T13" s="2">
        <f>COUNTIFS('Tourney History'!$B:$B,$A$13,'Tourney History'!O:O, 1)</f>
        <v>0</v>
      </c>
      <c r="U13" s="2">
        <f>COUNTIFS('Tourney History'!$B:$B,$A$13,'Tourney History'!P:P, 1)</f>
        <v>1</v>
      </c>
      <c r="V13" s="2">
        <f>COUNTIFS('Tourney History'!$B:$B,$A$13,'Tourney History'!Q:Q, 1)</f>
        <v>0</v>
      </c>
      <c r="W13" s="2">
        <f>COUNTIFS('Tourney History'!$B:$B,$A$13,'Tourney History'!R:R, 1)</f>
        <v>0</v>
      </c>
      <c r="X13" s="2">
        <f>COUNTIFS('Tourney History'!$B:$B,$A$13,'Tourney History'!S:S, 1)</f>
        <v>0</v>
      </c>
      <c r="Y13" s="2">
        <f>COUNTIFS('Tourney History'!$B:$B,$A$13,'Tourney History'!T:T, 1)</f>
        <v>0</v>
      </c>
      <c r="Z13" s="2">
        <f>COUNTIFS('Tourney History'!$B:$B,$A$13,'Tourney History'!U:U, 1)</f>
        <v>0</v>
      </c>
      <c r="AA13" s="2">
        <f>COUNTIFS('Tourney History'!$B:$B,$A$13,'Tourney History'!V:V, 1)</f>
        <v>0</v>
      </c>
      <c r="AB13" s="2">
        <f>COUNTIFS('Tourney History'!$B:$B,$A$13,'Tourney History'!W:W, 1)</f>
        <v>0</v>
      </c>
      <c r="AC13" s="2">
        <f>COUNTIFS('Tourney History'!$B:$B,$A$13,'Tourney History'!X:X, 1)</f>
        <v>0</v>
      </c>
      <c r="AD13" s="2">
        <f>COUNTIFS('Tourney History'!$B:$B,$A$13,'Tourney History'!Y:Y, 1)</f>
        <v>0</v>
      </c>
      <c r="AE13" s="2">
        <f>COUNTIFS('Tourney History'!$B:$B,$A$13,'Tourney History'!Z:Z, 1)</f>
        <v>0</v>
      </c>
    </row>
    <row r="14" spans="1:31" x14ac:dyDescent="0.25">
      <c r="A14" s="2" t="s">
        <v>52</v>
      </c>
      <c r="B14" s="2" t="s">
        <v>79</v>
      </c>
      <c r="C14" s="2" t="s">
        <v>79</v>
      </c>
      <c r="D14" s="34">
        <f>SUMIFS('Tourney History'!C:C,'Tourney History'!B:B,A14)</f>
        <v>5</v>
      </c>
      <c r="E14" s="4">
        <f>AVERAGEIFS('Tourney History'!C:C,'Tourney History'!B:B,A14)</f>
        <v>5</v>
      </c>
      <c r="F14" s="35">
        <f t="array" ref="F14">MAX(IF('Tourney History'!B:B=A14, 'Tourney History'!C:C))</f>
        <v>5</v>
      </c>
      <c r="G14" s="34">
        <f>COUNTIFS('Tourney History'!B:B,A14,'Tourney History'!D:D, 1)</f>
        <v>0</v>
      </c>
      <c r="H14" s="2">
        <f>COUNTIFS('Tourney History'!B:B,A14,'Tourney History'!D:D, 0)</f>
        <v>1</v>
      </c>
      <c r="I14" s="88">
        <f>LOOKUP(2, 1/('Tourney History'!$B:$B=A14), 'Tourney History'!$AD:$AD)</f>
        <v>0</v>
      </c>
      <c r="J14" s="34">
        <f>SUMIFS('Tourney History'!F:F,'Tourney History'!B:B,A14)</f>
        <v>0</v>
      </c>
      <c r="K14" s="2">
        <f>SUMIFS('Tourney History'!E:E,'Tourney History'!B:B,A14)-J14</f>
        <v>3</v>
      </c>
      <c r="L14" s="88">
        <f>LOOKUP(2, 1/('Tourney History'!$B:$B=A14), 'Tourney History'!$AB:$AB)</f>
        <v>0</v>
      </c>
      <c r="M14" s="34">
        <f>SUMIFS('Tourney History'!H:H,'Tourney History'!B:B,A14)</f>
        <v>4</v>
      </c>
      <c r="N14" s="2">
        <f>SUMIFS('Tourney History'!G:G,'Tourney History'!B:B,A14)-M14</f>
        <v>9</v>
      </c>
      <c r="O14" s="88">
        <f>LOOKUP(2, 1/('Tourney History'!$B:$B=A14), 'Tourney History'!$AC:$AC)</f>
        <v>0.31</v>
      </c>
      <c r="P14" s="2">
        <f>COUNTIFS('Tourney History'!$B:$B,$A$14,'Tourney History'!K:K, 1)</f>
        <v>0</v>
      </c>
      <c r="Q14" s="2">
        <f>COUNTIFS('Tourney History'!$B:$B,$A$14,'Tourney History'!L:L, 1)</f>
        <v>0</v>
      </c>
      <c r="R14" s="2">
        <f>COUNTIFS('Tourney History'!$B:$B,$A$14,'Tourney History'!M:M, 1)</f>
        <v>0</v>
      </c>
      <c r="S14" s="2">
        <f>COUNTIFS('Tourney History'!$B:$B,$A$14,'Tourney History'!N:N, 1)</f>
        <v>0</v>
      </c>
      <c r="T14" s="2">
        <f>COUNTIFS('Tourney History'!$B:$B,$A$14,'Tourney History'!O:O, 1)</f>
        <v>0</v>
      </c>
      <c r="U14" s="2">
        <f>COUNTIFS('Tourney History'!$B:$B,$A$14,'Tourney History'!P:P, 1)</f>
        <v>0</v>
      </c>
      <c r="V14" s="2">
        <f>COUNTIFS('Tourney History'!$B:$B,$A$14,'Tourney History'!Q:Q, 1)</f>
        <v>0</v>
      </c>
      <c r="W14" s="2">
        <f>COUNTIFS('Tourney History'!$B:$B,$A$14,'Tourney History'!R:R, 1)</f>
        <v>0</v>
      </c>
      <c r="X14" s="2">
        <f>COUNTIFS('Tourney History'!$B:$B,$A$14,'Tourney History'!S:S, 1)</f>
        <v>0</v>
      </c>
      <c r="Y14" s="2">
        <f>COUNTIFS('Tourney History'!$B:$B,$A$14,'Tourney History'!T:T, 1)</f>
        <v>0</v>
      </c>
      <c r="Z14" s="2">
        <f>COUNTIFS('Tourney History'!$B:$B,$A$14,'Tourney History'!U:U, 1)</f>
        <v>0</v>
      </c>
      <c r="AA14" s="2">
        <f>COUNTIFS('Tourney History'!$B:$B,$A$14,'Tourney History'!V:V, 1)</f>
        <v>0</v>
      </c>
      <c r="AB14" s="2">
        <f>COUNTIFS('Tourney History'!$B:$B,$A$14,'Tourney History'!W:W, 1)</f>
        <v>0</v>
      </c>
      <c r="AC14" s="2">
        <f>COUNTIFS('Tourney History'!$B:$B,$A$14,'Tourney History'!X:X, 1)</f>
        <v>0</v>
      </c>
      <c r="AD14" s="2">
        <f>COUNTIFS('Tourney History'!$B:$B,$A$14,'Tourney History'!Y:Y, 1)</f>
        <v>0</v>
      </c>
      <c r="AE14" s="2">
        <f>COUNTIFS('Tourney History'!$B:$B,$A$14,'Tourney History'!Z:Z, 1)</f>
        <v>0</v>
      </c>
    </row>
    <row r="15" spans="1:31" x14ac:dyDescent="0.25">
      <c r="A15" s="2" t="s">
        <v>150</v>
      </c>
      <c r="B15" s="2" t="s">
        <v>79</v>
      </c>
      <c r="C15" s="2" t="s">
        <v>79</v>
      </c>
      <c r="D15" s="34">
        <f>SUMIFS('Tourney History'!C:C,'Tourney History'!B:B,A15)</f>
        <v>41</v>
      </c>
      <c r="E15" s="4">
        <f>AVERAGEIFS('Tourney History'!C:C,'Tourney History'!B:B,A15)</f>
        <v>41</v>
      </c>
      <c r="F15" s="35">
        <f t="array" ref="F15">MAX(IF('Tourney History'!B:B=A15, 'Tourney History'!C:C))</f>
        <v>41</v>
      </c>
      <c r="G15" s="34">
        <f>COUNTIFS('Tourney History'!B:B,A15,'Tourney History'!D:D, 1)</f>
        <v>0</v>
      </c>
      <c r="H15" s="2">
        <f>COUNTIFS('Tourney History'!B:B,A15,'Tourney History'!D:D, 0)</f>
        <v>1</v>
      </c>
      <c r="I15" s="88">
        <f>LOOKUP(2, 1/('Tourney History'!$B:$B=A15), 'Tourney History'!$AD:$AD)</f>
        <v>0</v>
      </c>
      <c r="J15" s="34">
        <f>SUMIFS('Tourney History'!F:F,'Tourney History'!B:B,A15)</f>
        <v>2</v>
      </c>
      <c r="K15" s="2">
        <f>SUMIFS('Tourney History'!E:E,'Tourney History'!B:B,A15)-J15</f>
        <v>3</v>
      </c>
      <c r="L15" s="88">
        <f>LOOKUP(2, 1/('Tourney History'!$B:$B=A15), 'Tourney History'!$AB:$AB)</f>
        <v>0.4</v>
      </c>
      <c r="M15" s="34">
        <f>SUMIFS('Tourney History'!H:H,'Tourney History'!B:B,A15)</f>
        <v>10</v>
      </c>
      <c r="N15" s="2">
        <f>SUMIFS('Tourney History'!G:G,'Tourney History'!B:B,A15)-M15</f>
        <v>11</v>
      </c>
      <c r="O15" s="88">
        <f>LOOKUP(2, 1/('Tourney History'!$B:$B=A15), 'Tourney History'!$AC:$AC)</f>
        <v>0.48</v>
      </c>
      <c r="P15" s="2">
        <f>COUNTIFS('Tourney History'!$B:$B,$A$15,'Tourney History'!K:K, 1)</f>
        <v>0</v>
      </c>
      <c r="Q15" s="2">
        <f>COUNTIFS('Tourney History'!$B:$B,$A$15,'Tourney History'!L:L, 1)</f>
        <v>0</v>
      </c>
      <c r="R15" s="2">
        <f>COUNTIFS('Tourney History'!$B:$B,$A$15,'Tourney History'!M:M, 1)</f>
        <v>0</v>
      </c>
      <c r="S15" s="2">
        <f>COUNTIFS('Tourney History'!$B:$B,$A$15,'Tourney History'!N:N, 1)</f>
        <v>0</v>
      </c>
      <c r="T15" s="2">
        <f>COUNTIFS('Tourney History'!$B:$B,$A$15,'Tourney History'!O:O, 1)</f>
        <v>0</v>
      </c>
      <c r="U15" s="2">
        <f>COUNTIFS('Tourney History'!$B:$B,$A$15,'Tourney History'!P:P, 1)</f>
        <v>1</v>
      </c>
      <c r="V15" s="2">
        <f>COUNTIFS('Tourney History'!$B:$B,$A$15,'Tourney History'!Q:Q, 1)</f>
        <v>0</v>
      </c>
      <c r="W15" s="2">
        <f>COUNTIFS('Tourney History'!$B:$B,$A$15,'Tourney History'!R:R, 1)</f>
        <v>0</v>
      </c>
      <c r="X15" s="2">
        <f>COUNTIFS('Tourney History'!$B:$B,$A$15,'Tourney History'!S:S, 1)</f>
        <v>0</v>
      </c>
      <c r="Y15" s="2">
        <f>COUNTIFS('Tourney History'!$B:$B,$A$15,'Tourney History'!T:T, 1)</f>
        <v>0</v>
      </c>
      <c r="Z15" s="2">
        <f>COUNTIFS('Tourney History'!$B:$B,$A$15,'Tourney History'!U:U, 1)</f>
        <v>0</v>
      </c>
      <c r="AA15" s="2">
        <f>COUNTIFS('Tourney History'!$B:$B,$A$15,'Tourney History'!V:V, 1)</f>
        <v>0</v>
      </c>
      <c r="AB15" s="2">
        <f>COUNTIFS('Tourney History'!$B:$B,$A$15,'Tourney History'!W:W, 1)</f>
        <v>0</v>
      </c>
      <c r="AC15" s="2">
        <f>COUNTIFS('Tourney History'!$B:$B,$A$15,'Tourney History'!X:X, 1)</f>
        <v>1</v>
      </c>
      <c r="AD15" s="2">
        <f>COUNTIFS('Tourney History'!$B:$B,$A$15,'Tourney History'!Y:Y, 1)</f>
        <v>0</v>
      </c>
      <c r="AE15" s="2">
        <f>COUNTIFS('Tourney History'!$B:$B,$A$15,'Tourney History'!Z:Z, 1)</f>
        <v>0</v>
      </c>
    </row>
    <row r="16" spans="1:31" x14ac:dyDescent="0.25">
      <c r="A16" s="2" t="s">
        <v>29</v>
      </c>
      <c r="B16" s="6" t="s">
        <v>173</v>
      </c>
      <c r="C16" s="2" t="s">
        <v>79</v>
      </c>
      <c r="D16" s="34">
        <f>SUMIFS('Tourney History'!C:C,'Tourney History'!B:B,A16)</f>
        <v>130</v>
      </c>
      <c r="E16" s="4">
        <f>AVERAGEIFS('Tourney History'!C:C,'Tourney History'!B:B,A16)</f>
        <v>13</v>
      </c>
      <c r="F16" s="35">
        <f t="array" ref="F16">MAX(IF('Tourney History'!B:B=A16, 'Tourney History'!C:C))</f>
        <v>21</v>
      </c>
      <c r="G16" s="34">
        <f>COUNTIFS('Tourney History'!B:B,A16,'Tourney History'!D:D, 1)</f>
        <v>9</v>
      </c>
      <c r="H16" s="2">
        <f>COUNTIFS('Tourney History'!B:B,A16,'Tourney History'!D:D, 0)</f>
        <v>1</v>
      </c>
      <c r="I16" s="88">
        <f>LOOKUP(2, 1/('Tourney History'!$B:$B=A16), 'Tourney History'!$AD:$AD)</f>
        <v>0.9</v>
      </c>
      <c r="J16" s="34">
        <f>SUMIFS('Tourney History'!F:F,'Tourney History'!B:B,A16)</f>
        <v>28</v>
      </c>
      <c r="K16" s="2">
        <f>SUMIFS('Tourney History'!E:E,'Tourney History'!B:B,A16)-J16</f>
        <v>16</v>
      </c>
      <c r="L16" s="88">
        <f>LOOKUP(2, 1/('Tourney History'!$B:$B=A16), 'Tourney History'!$AB:$AB)</f>
        <v>0.64999999999999991</v>
      </c>
      <c r="M16" s="34">
        <f>SUMIFS('Tourney History'!H:H,'Tourney History'!B:B,A16)</f>
        <v>104</v>
      </c>
      <c r="N16" s="2">
        <f>SUMIFS('Tourney History'!G:G,'Tourney History'!B:B,A16)-M16</f>
        <v>75</v>
      </c>
      <c r="O16" s="88">
        <f>LOOKUP(2, 1/('Tourney History'!$B:$B=A16), 'Tourney History'!$AC:$AC)</f>
        <v>0.59199999999999997</v>
      </c>
      <c r="P16" s="2">
        <f>COUNTIFS('Tourney History'!$B:$B,$A$16,'Tourney History'!K:K, 1)</f>
        <v>1</v>
      </c>
      <c r="Q16" s="2">
        <f>COUNTIFS('Tourney History'!$B:$B,$A$16,'Tourney History'!L:L, 1)</f>
        <v>4</v>
      </c>
      <c r="R16" s="2">
        <f>COUNTIFS('Tourney History'!$B:$B,$A$16,'Tourney History'!M:M, 1)</f>
        <v>2</v>
      </c>
      <c r="S16" s="2">
        <f>COUNTIFS('Tourney History'!$B:$B,$A$16,'Tourney History'!N:N, 1)</f>
        <v>3</v>
      </c>
      <c r="T16" s="2">
        <f>COUNTIFS('Tourney History'!$B:$B,$A$16,'Tourney History'!O:O, 1)</f>
        <v>5</v>
      </c>
      <c r="U16" s="2">
        <f>COUNTIFS('Tourney History'!$B:$B,$A$16,'Tourney History'!P:P, 1)</f>
        <v>2</v>
      </c>
      <c r="V16" s="2">
        <f>COUNTIFS('Tourney History'!$B:$B,$A$16,'Tourney History'!Q:Q, 1)</f>
        <v>0</v>
      </c>
      <c r="W16" s="2">
        <f>COUNTIFS('Tourney History'!$B:$B,$A$16,'Tourney History'!R:R, 1)</f>
        <v>0</v>
      </c>
      <c r="X16" s="2">
        <f>COUNTIFS('Tourney History'!$B:$B,$A$16,'Tourney History'!S:S, 1)</f>
        <v>0</v>
      </c>
      <c r="Y16" s="2">
        <f>COUNTIFS('Tourney History'!$B:$B,$A$16,'Tourney History'!T:T, 1)</f>
        <v>0</v>
      </c>
      <c r="Z16" s="2">
        <f>COUNTIFS('Tourney History'!$B:$B,$A$16,'Tourney History'!U:U, 1)</f>
        <v>0</v>
      </c>
      <c r="AA16" s="2">
        <f>COUNTIFS('Tourney History'!$B:$B,$A$16,'Tourney History'!V:V, 1)</f>
        <v>0</v>
      </c>
      <c r="AB16" s="2">
        <f>COUNTIFS('Tourney History'!$B:$B,$A$16,'Tourney History'!W:W, 1)</f>
        <v>4</v>
      </c>
      <c r="AC16" s="2">
        <f>COUNTIFS('Tourney History'!$B:$B,$A$16,'Tourney History'!X:X, 1)</f>
        <v>2</v>
      </c>
      <c r="AD16" s="2">
        <f>COUNTIFS('Tourney History'!$B:$B,$A$16,'Tourney History'!Y:Y, 1)</f>
        <v>1</v>
      </c>
      <c r="AE16" s="2">
        <f>COUNTIFS('Tourney History'!$B:$B,$A$16,'Tourney History'!Z:Z, 1)</f>
        <v>4</v>
      </c>
    </row>
    <row r="17" spans="1:31" x14ac:dyDescent="0.25">
      <c r="A17" s="2" t="s">
        <v>1</v>
      </c>
      <c r="B17" s="6" t="s">
        <v>156</v>
      </c>
      <c r="C17" s="2" t="s">
        <v>79</v>
      </c>
      <c r="D17" s="34">
        <f>SUMIFS('Tourney History'!C:C,'Tourney History'!B:B,A17)</f>
        <v>198</v>
      </c>
      <c r="E17" s="4">
        <f>AVERAGEIFS('Tourney History'!C:C,'Tourney History'!B:B,A17)</f>
        <v>28.285714285714285</v>
      </c>
      <c r="F17" s="35">
        <f t="array" ref="F17">MAX(IF('Tourney History'!B:B=A17, 'Tourney History'!C:C))</f>
        <v>38</v>
      </c>
      <c r="G17" s="34">
        <f>COUNTIFS('Tourney History'!B:B,A17,'Tourney History'!D:D, 1)</f>
        <v>6</v>
      </c>
      <c r="H17" s="2">
        <f>COUNTIFS('Tourney History'!B:B,A17,'Tourney History'!D:D, 0)</f>
        <v>1</v>
      </c>
      <c r="I17" s="88">
        <f>LOOKUP(2, 1/('Tourney History'!$B:$B=A17), 'Tourney History'!$AD:$AD)</f>
        <v>0.8571428571428571</v>
      </c>
      <c r="J17" s="34">
        <f>SUMIFS('Tourney History'!F:F,'Tourney History'!B:B,A17)</f>
        <v>20</v>
      </c>
      <c r="K17" s="2">
        <f>SUMIFS('Tourney History'!E:E,'Tourney History'!B:B,A17)-J17</f>
        <v>11</v>
      </c>
      <c r="L17" s="88">
        <f>LOOKUP(2, 1/('Tourney History'!$B:$B=A17), 'Tourney History'!$AB:$AB)</f>
        <v>0.67142857142857137</v>
      </c>
      <c r="M17" s="34">
        <f>SUMIFS('Tourney History'!H:H,'Tourney History'!B:B,A17)</f>
        <v>73</v>
      </c>
      <c r="N17" s="2">
        <f>SUMIFS('Tourney History'!G:G,'Tourney History'!B:B,A17)-M17</f>
        <v>58</v>
      </c>
      <c r="O17" s="88">
        <f>LOOKUP(2, 1/('Tourney History'!$B:$B=A17), 'Tourney History'!$AC:$AC)</f>
        <v>0.57714285714285718</v>
      </c>
      <c r="P17" s="2">
        <f>COUNTIFS('Tourney History'!$B:$B,$A$17,'Tourney History'!K:K, 1)</f>
        <v>0</v>
      </c>
      <c r="Q17" s="2">
        <f>COUNTIFS('Tourney History'!$B:$B,$A$17,'Tourney History'!L:L, 1)</f>
        <v>3</v>
      </c>
      <c r="R17" s="2">
        <f>COUNTIFS('Tourney History'!$B:$B,$A$17,'Tourney History'!M:M, 1)</f>
        <v>3</v>
      </c>
      <c r="S17" s="2">
        <f>COUNTIFS('Tourney History'!$B:$B,$A$17,'Tourney History'!N:N, 1)</f>
        <v>0</v>
      </c>
      <c r="T17" s="2">
        <f>COUNTIFS('Tourney History'!$B:$B,$A$17,'Tourney History'!O:O, 1)</f>
        <v>3</v>
      </c>
      <c r="U17" s="2">
        <f>COUNTIFS('Tourney History'!$B:$B,$A$17,'Tourney History'!P:P, 1)</f>
        <v>0</v>
      </c>
      <c r="V17" s="2">
        <f>COUNTIFS('Tourney History'!$B:$B,$A$17,'Tourney History'!Q:Q, 1)</f>
        <v>0</v>
      </c>
      <c r="W17" s="2">
        <f>COUNTIFS('Tourney History'!$B:$B,$A$17,'Tourney History'!R:R, 1)</f>
        <v>0</v>
      </c>
      <c r="X17" s="2">
        <f>COUNTIFS('Tourney History'!$B:$B,$A$17,'Tourney History'!S:S, 1)</f>
        <v>0</v>
      </c>
      <c r="Y17" s="2">
        <f>COUNTIFS('Tourney History'!$B:$B,$A$17,'Tourney History'!T:T, 1)</f>
        <v>0</v>
      </c>
      <c r="Z17" s="2">
        <f>COUNTIFS('Tourney History'!$B:$B,$A$17,'Tourney History'!U:U, 1)</f>
        <v>0</v>
      </c>
      <c r="AA17" s="2">
        <f>COUNTIFS('Tourney History'!$B:$B,$A$17,'Tourney History'!V:V, 1)</f>
        <v>0</v>
      </c>
      <c r="AB17" s="2">
        <f>COUNTIFS('Tourney History'!$B:$B,$A$17,'Tourney History'!W:W, 1)</f>
        <v>2</v>
      </c>
      <c r="AC17" s="2">
        <f>COUNTIFS('Tourney History'!$B:$B,$A$17,'Tourney History'!X:X, 1)</f>
        <v>2</v>
      </c>
      <c r="AD17" s="2">
        <f>COUNTIFS('Tourney History'!$B:$B,$A$17,'Tourney History'!Y:Y, 1)</f>
        <v>3</v>
      </c>
      <c r="AE17" s="2">
        <f>COUNTIFS('Tourney History'!$B:$B,$A$17,'Tourney History'!Z:Z, 1)</f>
        <v>4</v>
      </c>
    </row>
    <row r="18" spans="1:31" x14ac:dyDescent="0.25">
      <c r="A18" s="2" t="s">
        <v>46</v>
      </c>
      <c r="B18" s="6" t="s">
        <v>158</v>
      </c>
      <c r="C18" s="2" t="s">
        <v>79</v>
      </c>
      <c r="D18" s="34">
        <f>SUMIFS('Tourney History'!C:C,'Tourney History'!B:B,A18)</f>
        <v>106</v>
      </c>
      <c r="E18" s="4">
        <f>AVERAGEIFS('Tourney History'!C:C,'Tourney History'!B:B,A18)</f>
        <v>21.2</v>
      </c>
      <c r="F18" s="35">
        <f t="array" ref="F18">MAX(IF('Tourney History'!B:B=A18, 'Tourney History'!C:C))</f>
        <v>36</v>
      </c>
      <c r="G18" s="34">
        <f>COUNTIFS('Tourney History'!B:B,A18,'Tourney History'!D:D, 1)</f>
        <v>2</v>
      </c>
      <c r="H18" s="2">
        <f>COUNTIFS('Tourney History'!B:B,A18,'Tourney History'!D:D, 0)</f>
        <v>3</v>
      </c>
      <c r="I18" s="88">
        <f>LOOKUP(2, 1/('Tourney History'!$B:$B=A18), 'Tourney History'!$AD:$AD)</f>
        <v>0.4</v>
      </c>
      <c r="J18" s="34">
        <f>SUMIFS('Tourney History'!F:F,'Tourney History'!B:B,A18)</f>
        <v>8</v>
      </c>
      <c r="K18" s="2">
        <f>SUMIFS('Tourney History'!E:E,'Tourney History'!B:B,A18)-J18</f>
        <v>11</v>
      </c>
      <c r="L18" s="88">
        <f>LOOKUP(2, 1/('Tourney History'!$B:$B=A18), 'Tourney History'!$AB:$AB)</f>
        <v>0.4</v>
      </c>
      <c r="M18" s="34">
        <f>SUMIFS('Tourney History'!H:H,'Tourney History'!B:B,A18)</f>
        <v>35</v>
      </c>
      <c r="N18" s="2">
        <f>SUMIFS('Tourney History'!G:G,'Tourney History'!B:B,A18)-M18</f>
        <v>45</v>
      </c>
      <c r="O18" s="88">
        <f>LOOKUP(2, 1/('Tourney History'!$B:$B=A18), 'Tourney History'!$AC:$AC)</f>
        <v>0.42800000000000005</v>
      </c>
      <c r="P18" s="2">
        <f>COUNTIFS('Tourney History'!$B:$B,$A$18,'Tourney History'!K:K, 1)</f>
        <v>0</v>
      </c>
      <c r="Q18" s="2">
        <f>COUNTIFS('Tourney History'!$B:$B,$A$18,'Tourney History'!L:L, 1)</f>
        <v>1</v>
      </c>
      <c r="R18" s="2">
        <f>COUNTIFS('Tourney History'!$B:$B,$A$18,'Tourney History'!M:M, 1)</f>
        <v>1</v>
      </c>
      <c r="S18" s="2">
        <f>COUNTIFS('Tourney History'!$B:$B,$A$18,'Tourney History'!N:N, 1)</f>
        <v>1</v>
      </c>
      <c r="T18" s="2">
        <f>COUNTIFS('Tourney History'!$B:$B,$A$18,'Tourney History'!O:O, 1)</f>
        <v>0</v>
      </c>
      <c r="U18" s="2">
        <f>COUNTIFS('Tourney History'!$B:$B,$A$18,'Tourney History'!P:P, 1)</f>
        <v>2</v>
      </c>
      <c r="V18" s="2">
        <f>COUNTIFS('Tourney History'!$B:$B,$A$18,'Tourney History'!Q:Q, 1)</f>
        <v>0</v>
      </c>
      <c r="W18" s="2">
        <f>COUNTIFS('Tourney History'!$B:$B,$A$18,'Tourney History'!R:R, 1)</f>
        <v>1</v>
      </c>
      <c r="X18" s="2">
        <f>COUNTIFS('Tourney History'!$B:$B,$A$18,'Tourney History'!S:S, 1)</f>
        <v>0</v>
      </c>
      <c r="Y18" s="2">
        <f>COUNTIFS('Tourney History'!$B:$B,$A$18,'Tourney History'!T:T, 1)</f>
        <v>0</v>
      </c>
      <c r="Z18" s="2">
        <f>COUNTIFS('Tourney History'!$B:$B,$A$18,'Tourney History'!U:U, 1)</f>
        <v>0</v>
      </c>
      <c r="AA18" s="2">
        <f>COUNTIFS('Tourney History'!$B:$B,$A$18,'Tourney History'!V:V, 1)</f>
        <v>0</v>
      </c>
      <c r="AB18" s="2">
        <f>COUNTIFS('Tourney History'!$B:$B,$A$18,'Tourney History'!W:W, 1)</f>
        <v>1</v>
      </c>
      <c r="AC18" s="2">
        <f>COUNTIFS('Tourney History'!$B:$B,$A$18,'Tourney History'!X:X, 1)</f>
        <v>0</v>
      </c>
      <c r="AD18" s="2">
        <f>COUNTIFS('Tourney History'!$B:$B,$A$18,'Tourney History'!Y:Y, 1)</f>
        <v>1</v>
      </c>
      <c r="AE18" s="2">
        <f>COUNTIFS('Tourney History'!$B:$B,$A$18,'Tourney History'!Z:Z, 1)</f>
        <v>0</v>
      </c>
    </row>
    <row r="19" spans="1:31" x14ac:dyDescent="0.25">
      <c r="A19" s="2" t="s">
        <v>139</v>
      </c>
      <c r="B19" s="6" t="s">
        <v>79</v>
      </c>
      <c r="C19" s="2" t="s">
        <v>79</v>
      </c>
      <c r="D19" s="34">
        <f>SUMIFS('Tourney History'!C:C,'Tourney History'!B:B,A19)</f>
        <v>32</v>
      </c>
      <c r="E19" s="4">
        <f>AVERAGEIFS('Tourney History'!C:C,'Tourney History'!B:B,A19)</f>
        <v>16</v>
      </c>
      <c r="F19" s="35">
        <f t="array" ref="F19">MAX(IF('Tourney History'!B:B=A19, 'Tourney History'!C:C))</f>
        <v>21</v>
      </c>
      <c r="G19" s="34">
        <f>COUNTIFS('Tourney History'!B:B,A19,'Tourney History'!D:D, 1)</f>
        <v>0</v>
      </c>
      <c r="H19" s="2">
        <f>COUNTIFS('Tourney History'!B:B,A19,'Tourney History'!D:D, 0)</f>
        <v>2</v>
      </c>
      <c r="I19" s="88">
        <f>LOOKUP(2, 1/('Tourney History'!$B:$B=A19), 'Tourney History'!$AD:$AD)</f>
        <v>0</v>
      </c>
      <c r="J19" s="34">
        <f>SUMIFS('Tourney History'!F:F,'Tourney History'!B:B,A19)</f>
        <v>4</v>
      </c>
      <c r="K19" s="2">
        <f>SUMIFS('Tourney History'!E:E,'Tourney History'!B:B,A19)-J19</f>
        <v>6</v>
      </c>
      <c r="L19" s="88">
        <f>LOOKUP(2, 1/('Tourney History'!$B:$B=A19), 'Tourney History'!$AB:$AB)</f>
        <v>0.4</v>
      </c>
      <c r="M19" s="34">
        <f>SUMIFS('Tourney History'!H:H,'Tourney History'!B:B,A19)</f>
        <v>17</v>
      </c>
      <c r="N19" s="2">
        <f>SUMIFS('Tourney History'!G:G,'Tourney History'!B:B,A19)-M19</f>
        <v>22</v>
      </c>
      <c r="O19" s="88">
        <f>LOOKUP(2, 1/('Tourney History'!$B:$B=A19), 'Tourney History'!$AC:$AC)</f>
        <v>0.43</v>
      </c>
      <c r="P19" s="2">
        <f>COUNTIFS('Tourney History'!$B:$B,$A$19,'Tourney History'!K:K, 1)</f>
        <v>0</v>
      </c>
      <c r="Q19" s="2">
        <f>COUNTIFS('Tourney History'!$B:$B,$A$19,'Tourney History'!L:L, 1)</f>
        <v>2</v>
      </c>
      <c r="R19" s="2">
        <f>COUNTIFS('Tourney History'!$B:$B,$A$19,'Tourney History'!M:M, 1)</f>
        <v>0</v>
      </c>
      <c r="S19" s="2">
        <f>COUNTIFS('Tourney History'!$B:$B,$A$19,'Tourney History'!N:N, 1)</f>
        <v>0</v>
      </c>
      <c r="T19" s="2">
        <f>COUNTIFS('Tourney History'!$B:$B,$A$19,'Tourney History'!O:O, 1)</f>
        <v>0</v>
      </c>
      <c r="U19" s="2">
        <f>COUNTIFS('Tourney History'!$B:$B,$A$19,'Tourney History'!P:P, 1)</f>
        <v>1</v>
      </c>
      <c r="V19" s="2">
        <f>COUNTIFS('Tourney History'!$B:$B,$A$19,'Tourney History'!Q:Q, 1)</f>
        <v>0</v>
      </c>
      <c r="W19" s="2">
        <f>COUNTIFS('Tourney History'!$B:$B,$A$19,'Tourney History'!R:R, 1)</f>
        <v>0</v>
      </c>
      <c r="X19" s="2">
        <f>COUNTIFS('Tourney History'!$B:$B,$A$19,'Tourney History'!S:S, 1)</f>
        <v>0</v>
      </c>
      <c r="Y19" s="2">
        <f>COUNTIFS('Tourney History'!$B:$B,$A$19,'Tourney History'!T:T, 1)</f>
        <v>0</v>
      </c>
      <c r="Z19" s="2">
        <f>COUNTIFS('Tourney History'!$B:$B,$A$19,'Tourney History'!U:U, 1)</f>
        <v>0</v>
      </c>
      <c r="AA19" s="2">
        <f>COUNTIFS('Tourney History'!$B:$B,$A$19,'Tourney History'!V:V, 1)</f>
        <v>0</v>
      </c>
      <c r="AB19" s="2">
        <f>COUNTIFS('Tourney History'!$B:$B,$A$19,'Tourney History'!W:W, 1)</f>
        <v>0</v>
      </c>
      <c r="AC19" s="2">
        <f>COUNTIFS('Tourney History'!$B:$B,$A$19,'Tourney History'!X:X, 1)</f>
        <v>1</v>
      </c>
      <c r="AD19" s="2">
        <f>COUNTIFS('Tourney History'!$B:$B,$A$19,'Tourney History'!Y:Y, 1)</f>
        <v>0</v>
      </c>
      <c r="AE19" s="2">
        <f>COUNTIFS('Tourney History'!$B:$B,$A$19,'Tourney History'!Z:Z, 1)</f>
        <v>0</v>
      </c>
    </row>
    <row r="20" spans="1:31" x14ac:dyDescent="0.25">
      <c r="A20" s="2" t="s">
        <v>28</v>
      </c>
      <c r="B20" s="6" t="s">
        <v>60</v>
      </c>
      <c r="C20" s="2" t="s">
        <v>79</v>
      </c>
      <c r="D20" s="34">
        <f>SUMIFS('Tourney History'!C:C,'Tourney History'!B:B,A20)</f>
        <v>207</v>
      </c>
      <c r="E20" s="4">
        <f>AVERAGEIFS('Tourney History'!C:C,'Tourney History'!B:B,A20)</f>
        <v>23</v>
      </c>
      <c r="F20" s="35">
        <f t="array" ref="F20">MAX(IF('Tourney History'!B:B=A20, 'Tourney History'!C:C))</f>
        <v>43</v>
      </c>
      <c r="G20" s="34">
        <f>COUNTIFS('Tourney History'!B:B,A20,'Tourney History'!D:D, 1)</f>
        <v>3</v>
      </c>
      <c r="H20" s="2">
        <f>COUNTIFS('Tourney History'!B:B,A20,'Tourney History'!D:D, 0)</f>
        <v>6</v>
      </c>
      <c r="I20" s="88">
        <f>LOOKUP(2, 1/('Tourney History'!$B:$B=A20), 'Tourney History'!$AD:$AD)</f>
        <v>0.33333333333333331</v>
      </c>
      <c r="J20" s="34">
        <f>SUMIFS('Tourney History'!F:F,'Tourney History'!B:B,A20)</f>
        <v>20</v>
      </c>
      <c r="K20" s="2">
        <f>SUMIFS('Tourney History'!E:E,'Tourney History'!B:B,A20)-J20</f>
        <v>23</v>
      </c>
      <c r="L20" s="88">
        <f>LOOKUP(2, 1/('Tourney History'!$B:$B=A20), 'Tourney History'!$AB:$AB)</f>
        <v>0.46666666666666667</v>
      </c>
      <c r="M20" s="34">
        <f>SUMIFS('Tourney History'!H:H,'Tourney History'!B:B,A20)</f>
        <v>90</v>
      </c>
      <c r="N20" s="2">
        <f>SUMIFS('Tourney History'!G:G,'Tourney History'!B:B,A20)-M20</f>
        <v>96</v>
      </c>
      <c r="O20" s="88">
        <f>LOOKUP(2, 1/('Tourney History'!$B:$B=A20), 'Tourney History'!$AC:$AC)</f>
        <v>0.4811111111111111</v>
      </c>
      <c r="P20" s="2">
        <f>COUNTIFS('Tourney History'!$B:$B,$A$20,'Tourney History'!K:K, 1)</f>
        <v>1</v>
      </c>
      <c r="Q20" s="2">
        <f>COUNTIFS('Tourney History'!$B:$B,$A$20,'Tourney History'!L:L, 1)</f>
        <v>2</v>
      </c>
      <c r="R20" s="2">
        <f>COUNTIFS('Tourney History'!$B:$B,$A$20,'Tourney History'!M:M, 1)</f>
        <v>1</v>
      </c>
      <c r="S20" s="2">
        <f>COUNTIFS('Tourney History'!$B:$B,$A$20,'Tourney History'!N:N, 1)</f>
        <v>1</v>
      </c>
      <c r="T20" s="2">
        <f>COUNTIFS('Tourney History'!$B:$B,$A$20,'Tourney History'!O:O, 1)</f>
        <v>2</v>
      </c>
      <c r="U20" s="2">
        <f>COUNTIFS('Tourney History'!$B:$B,$A$20,'Tourney History'!P:P, 1)</f>
        <v>1</v>
      </c>
      <c r="V20" s="2">
        <f>COUNTIFS('Tourney History'!$B:$B,$A$20,'Tourney History'!Q:Q, 1)</f>
        <v>0</v>
      </c>
      <c r="W20" s="2">
        <f>COUNTIFS('Tourney History'!$B:$B,$A$20,'Tourney History'!R:R, 1)</f>
        <v>1</v>
      </c>
      <c r="X20" s="2">
        <f>COUNTIFS('Tourney History'!$B:$B,$A$20,'Tourney History'!S:S, 1)</f>
        <v>0</v>
      </c>
      <c r="Y20" s="2">
        <f>COUNTIFS('Tourney History'!$B:$B,$A$20,'Tourney History'!T:T, 1)</f>
        <v>0</v>
      </c>
      <c r="Z20" s="2">
        <f>COUNTIFS('Tourney History'!$B:$B,$A$20,'Tourney History'!U:U, 1)</f>
        <v>0</v>
      </c>
      <c r="AA20" s="2">
        <f>COUNTIFS('Tourney History'!$B:$B,$A$20,'Tourney History'!V:V, 1)</f>
        <v>0</v>
      </c>
      <c r="AB20" s="2">
        <f>COUNTIFS('Tourney History'!$B:$B,$A$20,'Tourney History'!W:W, 1)</f>
        <v>1</v>
      </c>
      <c r="AC20" s="2">
        <f>COUNTIFS('Tourney History'!$B:$B,$A$20,'Tourney History'!X:X, 1)</f>
        <v>5</v>
      </c>
      <c r="AD20" s="2">
        <f>COUNTIFS('Tourney History'!$B:$B,$A$20,'Tourney History'!Y:Y, 1)</f>
        <v>1</v>
      </c>
      <c r="AE20" s="2">
        <f>COUNTIFS('Tourney History'!$B:$B,$A$20,'Tourney History'!Z:Z, 1)</f>
        <v>4</v>
      </c>
    </row>
    <row r="21" spans="1:31" x14ac:dyDescent="0.25">
      <c r="A21" s="2" t="s">
        <v>53</v>
      </c>
      <c r="B21" s="6" t="s">
        <v>60</v>
      </c>
      <c r="C21" s="2" t="s">
        <v>79</v>
      </c>
      <c r="D21" s="34">
        <f>SUMIFS('Tourney History'!C:C,'Tourney History'!B:B,A21)</f>
        <v>55</v>
      </c>
      <c r="E21" s="4">
        <f>AVERAGEIFS('Tourney History'!C:C,'Tourney History'!B:B,A21)</f>
        <v>13.75</v>
      </c>
      <c r="F21" s="35">
        <f t="array" ref="F21">MAX(IF('Tourney History'!B:B=A21, 'Tourney History'!C:C))</f>
        <v>25</v>
      </c>
      <c r="G21" s="34">
        <f>COUNTIFS('Tourney History'!B:B,A21,'Tourney History'!D:D, 1)</f>
        <v>3</v>
      </c>
      <c r="H21" s="2">
        <f>COUNTIFS('Tourney History'!B:B,A21,'Tourney History'!D:D, 0)</f>
        <v>1</v>
      </c>
      <c r="I21" s="88">
        <f>LOOKUP(2, 1/('Tourney History'!$B:$B=A21), 'Tourney History'!$AD:$AD)</f>
        <v>0.75</v>
      </c>
      <c r="J21" s="34">
        <f>SUMIFS('Tourney History'!F:F,'Tourney History'!B:B,A21)</f>
        <v>9</v>
      </c>
      <c r="K21" s="2">
        <f>SUMIFS('Tourney History'!E:E,'Tourney History'!B:B,A21)-J21</f>
        <v>8</v>
      </c>
      <c r="L21" s="88">
        <f>LOOKUP(2, 1/('Tourney History'!$B:$B=A21), 'Tourney History'!$AB:$AB)</f>
        <v>0.48749999999999999</v>
      </c>
      <c r="M21" s="34">
        <f>SUMIFS('Tourney History'!H:H,'Tourney History'!B:B,A21)</f>
        <v>36</v>
      </c>
      <c r="N21" s="2">
        <f>SUMIFS('Tourney History'!G:G,'Tourney History'!B:B,A21)-M21</f>
        <v>32</v>
      </c>
      <c r="O21" s="88">
        <f>LOOKUP(2, 1/('Tourney History'!$B:$B=A21), 'Tourney History'!$AC:$AC)</f>
        <v>0.51500000000000001</v>
      </c>
      <c r="P21" s="2">
        <f>COUNTIFS('Tourney History'!$B:$B,$A$21,'Tourney History'!K:K, 1)</f>
        <v>1</v>
      </c>
      <c r="Q21" s="2">
        <f>COUNTIFS('Tourney History'!$B:$B,$A$21,'Tourney History'!L:L, 1)</f>
        <v>0</v>
      </c>
      <c r="R21" s="2">
        <f>COUNTIFS('Tourney History'!$B:$B,$A$21,'Tourney History'!M:M, 1)</f>
        <v>0</v>
      </c>
      <c r="S21" s="2">
        <f>COUNTIFS('Tourney History'!$B:$B,$A$21,'Tourney History'!N:N, 1)</f>
        <v>1</v>
      </c>
      <c r="T21" s="2">
        <f>COUNTIFS('Tourney History'!$B:$B,$A$21,'Tourney History'!O:O, 1)</f>
        <v>2</v>
      </c>
      <c r="U21" s="2">
        <f>COUNTIFS('Tourney History'!$B:$B,$A$21,'Tourney History'!P:P, 1)</f>
        <v>1</v>
      </c>
      <c r="V21" s="2">
        <f>COUNTIFS('Tourney History'!$B:$B,$A$21,'Tourney History'!Q:Q, 1)</f>
        <v>2</v>
      </c>
      <c r="W21" s="2">
        <f>COUNTIFS('Tourney History'!$B:$B,$A$21,'Tourney History'!R:R, 1)</f>
        <v>0</v>
      </c>
      <c r="X21" s="2">
        <f>COUNTIFS('Tourney History'!$B:$B,$A$21,'Tourney History'!S:S, 1)</f>
        <v>0</v>
      </c>
      <c r="Y21" s="2">
        <f>COUNTIFS('Tourney History'!$B:$B,$A$21,'Tourney History'!T:T, 1)</f>
        <v>0</v>
      </c>
      <c r="Z21" s="2">
        <f>COUNTIFS('Tourney History'!$B:$B,$A$21,'Tourney History'!U:U, 1)</f>
        <v>0</v>
      </c>
      <c r="AA21" s="2">
        <f>COUNTIFS('Tourney History'!$B:$B,$A$21,'Tourney History'!V:V, 1)</f>
        <v>0</v>
      </c>
      <c r="AB21" s="2">
        <f>COUNTIFS('Tourney History'!$B:$B,$A$21,'Tourney History'!W:W, 1)</f>
        <v>1</v>
      </c>
      <c r="AC21" s="2">
        <f>COUNTIFS('Tourney History'!$B:$B,$A$21,'Tourney History'!X:X, 1)</f>
        <v>1</v>
      </c>
      <c r="AD21" s="2">
        <f>COUNTIFS('Tourney History'!$B:$B,$A$21,'Tourney History'!Y:Y, 1)</f>
        <v>0</v>
      </c>
      <c r="AE21" s="2">
        <f>COUNTIFS('Tourney History'!$B:$B,$A$21,'Tourney History'!Z:Z, 1)</f>
        <v>0</v>
      </c>
    </row>
    <row r="22" spans="1:31" x14ac:dyDescent="0.25">
      <c r="A22" s="2" t="s">
        <v>51</v>
      </c>
      <c r="B22" s="6" t="s">
        <v>79</v>
      </c>
      <c r="C22" s="2" t="s">
        <v>79</v>
      </c>
      <c r="D22" s="34">
        <f>SUMIFS('Tourney History'!C:C,'Tourney History'!B:B,A22)</f>
        <v>84</v>
      </c>
      <c r="E22" s="4">
        <f>AVERAGEIFS('Tourney History'!C:C,'Tourney History'!B:B,A22)</f>
        <v>16.8</v>
      </c>
      <c r="F22" s="35">
        <f t="array" ref="F22">MAX(IF('Tourney History'!B:B=A22, 'Tourney History'!C:C))</f>
        <v>22</v>
      </c>
      <c r="G22" s="34">
        <f>COUNTIFS('Tourney History'!B:B,A22,'Tourney History'!D:D, 1)</f>
        <v>3</v>
      </c>
      <c r="H22" s="2">
        <f>COUNTIFS('Tourney History'!B:B,A22,'Tourney History'!D:D, 0)</f>
        <v>2</v>
      </c>
      <c r="I22" s="88">
        <f>LOOKUP(2, 1/('Tourney History'!$B:$B=A22), 'Tourney History'!$AD:$AD)</f>
        <v>0.6</v>
      </c>
      <c r="J22" s="34">
        <f>SUMIFS('Tourney History'!F:F,'Tourney History'!B:B,A22)</f>
        <v>12</v>
      </c>
      <c r="K22" s="2">
        <f>SUMIFS('Tourney History'!E:E,'Tourney History'!B:B,A22)-J22</f>
        <v>8</v>
      </c>
      <c r="L22" s="88">
        <f>LOOKUP(2, 1/('Tourney History'!$B:$B=A22), 'Tourney History'!$AB:$AB)</f>
        <v>0.63</v>
      </c>
      <c r="M22" s="34">
        <f>SUMIFS('Tourney History'!H:H,'Tourney History'!B:B,A22)</f>
        <v>41</v>
      </c>
      <c r="N22" s="2">
        <f>SUMIFS('Tourney History'!G:G,'Tourney History'!B:B,A22)-M22</f>
        <v>40</v>
      </c>
      <c r="O22" s="88">
        <f>LOOKUP(2, 1/('Tourney History'!$B:$B=A22), 'Tourney History'!$AC:$AC)</f>
        <v>0.51600000000000001</v>
      </c>
      <c r="P22" s="2">
        <f>COUNTIFS('Tourney History'!$B:$B,$A$22,'Tourney History'!K:K, 1)</f>
        <v>1</v>
      </c>
      <c r="Q22" s="2">
        <f>COUNTIFS('Tourney History'!$B:$B,$A$22,'Tourney History'!L:L, 1)</f>
        <v>0</v>
      </c>
      <c r="R22" s="2">
        <f>COUNTIFS('Tourney History'!$B:$B,$A$22,'Tourney History'!M:M, 1)</f>
        <v>0</v>
      </c>
      <c r="S22" s="2">
        <f>COUNTIFS('Tourney History'!$B:$B,$A$22,'Tourney History'!N:N, 1)</f>
        <v>2</v>
      </c>
      <c r="T22" s="2">
        <f>COUNTIFS('Tourney History'!$B:$B,$A$22,'Tourney History'!O:O, 1)</f>
        <v>0</v>
      </c>
      <c r="U22" s="2">
        <f>COUNTIFS('Tourney History'!$B:$B,$A$22,'Tourney History'!P:P, 1)</f>
        <v>1</v>
      </c>
      <c r="V22" s="2">
        <f>COUNTIFS('Tourney History'!$B:$B,$A$22,'Tourney History'!Q:Q, 1)</f>
        <v>0</v>
      </c>
      <c r="W22" s="2">
        <f>COUNTIFS('Tourney History'!$B:$B,$A$22,'Tourney History'!R:R, 1)</f>
        <v>1</v>
      </c>
      <c r="X22" s="2">
        <f>COUNTIFS('Tourney History'!$B:$B,$A$22,'Tourney History'!S:S, 1)</f>
        <v>0</v>
      </c>
      <c r="Y22" s="2">
        <f>COUNTIFS('Tourney History'!$B:$B,$A$22,'Tourney History'!T:T, 1)</f>
        <v>0</v>
      </c>
      <c r="Z22" s="2">
        <f>COUNTIFS('Tourney History'!$B:$B,$A$22,'Tourney History'!U:U, 1)</f>
        <v>0</v>
      </c>
      <c r="AA22" s="2">
        <f>COUNTIFS('Tourney History'!$B:$B,$A$22,'Tourney History'!V:V, 1)</f>
        <v>0</v>
      </c>
      <c r="AB22" s="2">
        <f>COUNTIFS('Tourney History'!$B:$B,$A$22,'Tourney History'!W:W, 1)</f>
        <v>2</v>
      </c>
      <c r="AC22" s="2">
        <f>COUNTIFS('Tourney History'!$B:$B,$A$22,'Tourney History'!X:X, 1)</f>
        <v>3</v>
      </c>
      <c r="AD22" s="2">
        <f>COUNTIFS('Tourney History'!$B:$B,$A$22,'Tourney History'!Y:Y, 1)</f>
        <v>0</v>
      </c>
      <c r="AE22" s="2">
        <f>COUNTIFS('Tourney History'!$B:$B,$A$22,'Tourney History'!Z:Z, 1)</f>
        <v>2</v>
      </c>
    </row>
    <row r="23" spans="1:31" ht="15.75" x14ac:dyDescent="0.25">
      <c r="A23" s="2" t="s">
        <v>20</v>
      </c>
      <c r="B23" s="80" t="s">
        <v>60</v>
      </c>
      <c r="C23" s="2" t="s">
        <v>79</v>
      </c>
      <c r="D23" s="34">
        <f>SUMIFS('Tourney History'!C:C,'Tourney History'!B:B,A23)</f>
        <v>183</v>
      </c>
      <c r="E23" s="4">
        <f>AVERAGEIFS('Tourney History'!C:C,'Tourney History'!B:B,A23)</f>
        <v>18.3</v>
      </c>
      <c r="F23" s="35">
        <f t="array" ref="F23">MAX(IF('Tourney History'!B:B=A23, 'Tourney History'!C:C))</f>
        <v>37</v>
      </c>
      <c r="G23" s="34">
        <f>COUNTIFS('Tourney History'!B:B,A23,'Tourney History'!D:D, 1)</f>
        <v>4</v>
      </c>
      <c r="H23" s="2">
        <f>COUNTIFS('Tourney History'!B:B,A23,'Tourney History'!D:D, 0)</f>
        <v>6</v>
      </c>
      <c r="I23" s="88">
        <f>LOOKUP(2, 1/('Tourney History'!$B:$B=A23), 'Tourney History'!$AD:$AD)</f>
        <v>0.4</v>
      </c>
      <c r="J23" s="34">
        <f>SUMIFS('Tourney History'!F:F,'Tourney History'!B:B,A23)</f>
        <v>22</v>
      </c>
      <c r="K23" s="2">
        <f>SUMIFS('Tourney History'!E:E,'Tourney History'!B:B,A23)-J23</f>
        <v>22</v>
      </c>
      <c r="L23" s="88">
        <f>LOOKUP(2, 1/('Tourney History'!$B:$B=A23), 'Tourney History'!$AB:$AB)</f>
        <v>0.51</v>
      </c>
      <c r="M23" s="34">
        <f>SUMIFS('Tourney History'!H:H,'Tourney History'!B:B,A23)</f>
        <v>92</v>
      </c>
      <c r="N23" s="2">
        <f>SUMIFS('Tourney History'!G:G,'Tourney History'!B:B,A23)-M23</f>
        <v>90</v>
      </c>
      <c r="O23" s="88">
        <f>LOOKUP(2, 1/('Tourney History'!$B:$B=A23), 'Tourney History'!$AC:$AC)</f>
        <v>0.5159999999999999</v>
      </c>
      <c r="P23" s="2">
        <f>COUNTIFS('Tourney History'!$B:$B,$A$23,'Tourney History'!K:K, 1)</f>
        <v>2</v>
      </c>
      <c r="Q23" s="2">
        <f>COUNTIFS('Tourney History'!$B:$B,$A$23,'Tourney History'!L:L, 1)</f>
        <v>1</v>
      </c>
      <c r="R23" s="2">
        <f>COUNTIFS('Tourney History'!$B:$B,$A$23,'Tourney History'!M:M, 1)</f>
        <v>0</v>
      </c>
      <c r="S23" s="2">
        <f>COUNTIFS('Tourney History'!$B:$B,$A$23,'Tourney History'!N:N, 1)</f>
        <v>4</v>
      </c>
      <c r="T23" s="2">
        <f>COUNTIFS('Tourney History'!$B:$B,$A$23,'Tourney History'!O:O, 1)</f>
        <v>0</v>
      </c>
      <c r="U23" s="2">
        <f>COUNTIFS('Tourney History'!$B:$B,$A$23,'Tourney History'!P:P, 1)</f>
        <v>3</v>
      </c>
      <c r="V23" s="2">
        <f>COUNTIFS('Tourney History'!$B:$B,$A$23,'Tourney History'!Q:Q, 1)</f>
        <v>0</v>
      </c>
      <c r="W23" s="2">
        <f>COUNTIFS('Tourney History'!$B:$B,$A$23,'Tourney History'!R:R, 1)</f>
        <v>1</v>
      </c>
      <c r="X23" s="2">
        <f>COUNTIFS('Tourney History'!$B:$B,$A$23,'Tourney History'!S:S, 1)</f>
        <v>0</v>
      </c>
      <c r="Y23" s="2">
        <f>COUNTIFS('Tourney History'!$B:$B,$A$23,'Tourney History'!T:T, 1)</f>
        <v>0</v>
      </c>
      <c r="Z23" s="2">
        <f>COUNTIFS('Tourney History'!$B:$B,$A$23,'Tourney History'!U:U, 1)</f>
        <v>0</v>
      </c>
      <c r="AA23" s="2">
        <f>COUNTIFS('Tourney History'!$B:$B,$A$23,'Tourney History'!V:V, 1)</f>
        <v>0</v>
      </c>
      <c r="AB23" s="2">
        <f>COUNTIFS('Tourney History'!$B:$B,$A$23,'Tourney History'!W:W, 1)</f>
        <v>5</v>
      </c>
      <c r="AC23" s="2">
        <f>COUNTIFS('Tourney History'!$B:$B,$A$23,'Tourney History'!X:X, 1)</f>
        <v>3</v>
      </c>
      <c r="AD23" s="2">
        <f>COUNTIFS('Tourney History'!$B:$B,$A$23,'Tourney History'!Y:Y, 1)</f>
        <v>1</v>
      </c>
      <c r="AE23" s="2">
        <f>COUNTIFS('Tourney History'!$B:$B,$A$23,'Tourney History'!Z:Z, 1)</f>
        <v>2</v>
      </c>
    </row>
    <row r="24" spans="1:31" x14ac:dyDescent="0.25">
      <c r="A24" s="1" t="s">
        <v>47</v>
      </c>
      <c r="B24" s="2" t="s">
        <v>79</v>
      </c>
      <c r="C24" s="2" t="s">
        <v>79</v>
      </c>
      <c r="D24" s="34">
        <f>SUMIFS('Tourney History'!C:C,'Tourney History'!B:B,A24)</f>
        <v>62</v>
      </c>
      <c r="E24" s="4">
        <f>AVERAGEIFS('Tourney History'!C:C,'Tourney History'!B:B,A24)</f>
        <v>10.333333333333334</v>
      </c>
      <c r="F24" s="35">
        <f t="array" ref="F24">MAX(IF('Tourney History'!B:B=A24, 'Tourney History'!C:C))</f>
        <v>14</v>
      </c>
      <c r="G24" s="34">
        <f>COUNTIFS('Tourney History'!B:B,A24,'Tourney History'!D:D, 1)</f>
        <v>3</v>
      </c>
      <c r="H24" s="2">
        <f>COUNTIFS('Tourney History'!B:B,A24,'Tourney History'!D:D, 0)</f>
        <v>3</v>
      </c>
      <c r="I24" s="88">
        <f>LOOKUP(2, 1/('Tourney History'!$B:$B=A24), 'Tourney History'!$AD:$AD)</f>
        <v>0.5</v>
      </c>
      <c r="J24" s="34">
        <f>SUMIFS('Tourney History'!F:F,'Tourney History'!B:B,A24)</f>
        <v>12</v>
      </c>
      <c r="K24" s="2">
        <f>SUMIFS('Tourney History'!E:E,'Tourney History'!B:B,A24)-J24</f>
        <v>12</v>
      </c>
      <c r="L24" s="88">
        <f>LOOKUP(2, 1/('Tourney History'!$B:$B=A24), 'Tourney History'!$AB:$AB)</f>
        <v>0.5</v>
      </c>
      <c r="M24" s="34">
        <f>SUMIFS('Tourney History'!H:H,'Tourney History'!B:B,A24)</f>
        <v>51</v>
      </c>
      <c r="N24" s="2">
        <f>SUMIFS('Tourney History'!G:G,'Tourney History'!B:B,A24)-M24</f>
        <v>50</v>
      </c>
      <c r="O24" s="88">
        <f>LOOKUP(2, 1/('Tourney History'!$B:$B=A24), 'Tourney History'!$AC:$AC)</f>
        <v>0.49500000000000005</v>
      </c>
      <c r="P24" s="2">
        <f>COUNTIFS('Tourney History'!$B:$B,$A$24,'Tourney History'!K:K, 1)</f>
        <v>1</v>
      </c>
      <c r="Q24" s="2">
        <f>COUNTIFS('Tourney History'!$B:$B,$A$24,'Tourney History'!L:L, 1)</f>
        <v>0</v>
      </c>
      <c r="R24" s="2">
        <f>COUNTIFS('Tourney History'!$B:$B,$A$24,'Tourney History'!M:M, 1)</f>
        <v>0</v>
      </c>
      <c r="S24" s="2">
        <f>COUNTIFS('Tourney History'!$B:$B,$A$24,'Tourney History'!N:N, 1)</f>
        <v>0</v>
      </c>
      <c r="T24" s="2">
        <f>COUNTIFS('Tourney History'!$B:$B,$A$24,'Tourney History'!O:O, 1)</f>
        <v>1</v>
      </c>
      <c r="U24" s="2">
        <f>COUNTIFS('Tourney History'!$B:$B,$A$24,'Tourney History'!P:P, 1)</f>
        <v>2</v>
      </c>
      <c r="V24" s="2">
        <f>COUNTIFS('Tourney History'!$B:$B,$A$24,'Tourney History'!Q:Q, 1)</f>
        <v>0</v>
      </c>
      <c r="W24" s="2">
        <f>COUNTIFS('Tourney History'!$B:$B,$A$24,'Tourney History'!R:R, 1)</f>
        <v>0</v>
      </c>
      <c r="X24" s="2">
        <f>COUNTIFS('Tourney History'!$B:$B,$A$24,'Tourney History'!S:S, 1)</f>
        <v>0</v>
      </c>
      <c r="Y24" s="2">
        <f>COUNTIFS('Tourney History'!$B:$B,$A$24,'Tourney History'!T:T, 1)</f>
        <v>0</v>
      </c>
      <c r="Z24" s="2">
        <f>COUNTIFS('Tourney History'!$B:$B,$A$24,'Tourney History'!U:U, 1)</f>
        <v>0</v>
      </c>
      <c r="AA24" s="2">
        <f>COUNTIFS('Tourney History'!$B:$B,$A$24,'Tourney History'!V:V, 1)</f>
        <v>0</v>
      </c>
      <c r="AB24" s="2">
        <f>COUNTIFS('Tourney History'!$B:$B,$A$24,'Tourney History'!W:W, 1)</f>
        <v>3</v>
      </c>
      <c r="AC24" s="2">
        <f>COUNTIFS('Tourney History'!$B:$B,$A$24,'Tourney History'!X:X, 1)</f>
        <v>2</v>
      </c>
      <c r="AD24" s="2">
        <f>COUNTIFS('Tourney History'!$B:$B,$A$24,'Tourney History'!Y:Y, 1)</f>
        <v>0</v>
      </c>
      <c r="AE24" s="2">
        <f>COUNTIFS('Tourney History'!$B:$B,$A$24,'Tourney History'!Z:Z, 1)</f>
        <v>3</v>
      </c>
    </row>
    <row r="25" spans="1:31" ht="15.75" x14ac:dyDescent="0.25">
      <c r="A25" s="1" t="s">
        <v>3</v>
      </c>
      <c r="B25" s="80" t="s">
        <v>157</v>
      </c>
      <c r="C25" s="2" t="s">
        <v>159</v>
      </c>
      <c r="D25" s="34">
        <f>SUMIFS('Tourney History'!C:C,'Tourney History'!B:B,A25)</f>
        <v>143</v>
      </c>
      <c r="E25" s="4">
        <f>AVERAGEIFS('Tourney History'!C:C,'Tourney History'!B:B,A25)</f>
        <v>28.6</v>
      </c>
      <c r="F25" s="35">
        <f t="array" ref="F25">MAX(IF('Tourney History'!B:B=A25, 'Tourney History'!C:C))</f>
        <v>44</v>
      </c>
      <c r="G25" s="34">
        <f>COUNTIFS('Tourney History'!B:B,A25,'Tourney History'!D:D, 1)</f>
        <v>4</v>
      </c>
      <c r="H25" s="2">
        <f>COUNTIFS('Tourney History'!B:B,A25,'Tourney History'!D:D, 0)</f>
        <v>1</v>
      </c>
      <c r="I25" s="88">
        <f>LOOKUP(2, 1/('Tourney History'!$B:$B=A25), 'Tourney History'!$AD:$AD)</f>
        <v>0.8</v>
      </c>
      <c r="J25" s="34">
        <f>SUMIFS('Tourney History'!F:F,'Tourney History'!B:B,A25)</f>
        <v>13</v>
      </c>
      <c r="K25" s="2">
        <f>SUMIFS('Tourney History'!E:E,'Tourney History'!B:B,A25)-J25</f>
        <v>10</v>
      </c>
      <c r="L25" s="88">
        <f>LOOKUP(2, 1/('Tourney History'!$B:$B=A25), 'Tourney History'!$AB:$AB)</f>
        <v>0.56000000000000005</v>
      </c>
      <c r="M25" s="34">
        <f>SUMIFS('Tourney History'!H:H,'Tourney History'!B:B,A25)</f>
        <v>49</v>
      </c>
      <c r="N25" s="2">
        <f>SUMIFS('Tourney History'!G:G,'Tourney History'!B:B,A25)-M25</f>
        <v>42</v>
      </c>
      <c r="O25" s="88">
        <f>LOOKUP(2, 1/('Tourney History'!$B:$B=A25), 'Tourney History'!$AC:$AC)</f>
        <v>0.53599999999999992</v>
      </c>
      <c r="P25" s="2">
        <f>COUNTIFS('Tourney History'!$B:$B,$A$25,'Tourney History'!K:K, 1)</f>
        <v>0</v>
      </c>
      <c r="Q25" s="2">
        <f>COUNTIFS('Tourney History'!$B:$B,$A$25,'Tourney History'!L:L, 1)</f>
        <v>1</v>
      </c>
      <c r="R25" s="2">
        <f>COUNTIFS('Tourney History'!$B:$B,$A$25,'Tourney History'!M:M, 1)</f>
        <v>1</v>
      </c>
      <c r="S25" s="2">
        <f>COUNTIFS('Tourney History'!$B:$B,$A$25,'Tourney History'!N:N, 1)</f>
        <v>1</v>
      </c>
      <c r="T25" s="2">
        <f>COUNTIFS('Tourney History'!$B:$B,$A$25,'Tourney History'!O:O, 1)</f>
        <v>3</v>
      </c>
      <c r="U25" s="2">
        <f>COUNTIFS('Tourney History'!$B:$B,$A$25,'Tourney History'!P:P, 1)</f>
        <v>1</v>
      </c>
      <c r="V25" s="2">
        <f>COUNTIFS('Tourney History'!$B:$B,$A$25,'Tourney History'!Q:Q, 1)</f>
        <v>2</v>
      </c>
      <c r="W25" s="2">
        <f>COUNTIFS('Tourney History'!$B:$B,$A$25,'Tourney History'!R:R, 1)</f>
        <v>0</v>
      </c>
      <c r="X25" s="2">
        <f>COUNTIFS('Tourney History'!$B:$B,$A$25,'Tourney History'!S:S, 1)</f>
        <v>0</v>
      </c>
      <c r="Y25" s="2">
        <f>COUNTIFS('Tourney History'!$B:$B,$A$25,'Tourney History'!T:T, 1)</f>
        <v>0</v>
      </c>
      <c r="Z25" s="2">
        <f>COUNTIFS('Tourney History'!$B:$B,$A$25,'Tourney History'!U:U, 1)</f>
        <v>0</v>
      </c>
      <c r="AA25" s="2">
        <f>COUNTIFS('Tourney History'!$B:$B,$A$25,'Tourney History'!V:V, 1)</f>
        <v>0</v>
      </c>
      <c r="AB25" s="2">
        <f>COUNTIFS('Tourney History'!$B:$B,$A$25,'Tourney History'!W:W, 1)</f>
        <v>0</v>
      </c>
      <c r="AC25" s="2">
        <f>COUNTIFS('Tourney History'!$B:$B,$A$25,'Tourney History'!X:X, 1)</f>
        <v>1</v>
      </c>
      <c r="AD25" s="2">
        <f>COUNTIFS('Tourney History'!$B:$B,$A$25,'Tourney History'!Y:Y, 1)</f>
        <v>2</v>
      </c>
      <c r="AE25" s="2">
        <f>COUNTIFS('Tourney History'!$B:$B,$A$25,'Tourney History'!Z:Z, 1)</f>
        <v>1</v>
      </c>
    </row>
    <row r="26" spans="1:31" ht="15.75" x14ac:dyDescent="0.25">
      <c r="A26" s="1" t="s">
        <v>148</v>
      </c>
      <c r="B26" s="80" t="s">
        <v>79</v>
      </c>
      <c r="C26" s="2" t="s">
        <v>79</v>
      </c>
      <c r="D26" s="34">
        <f>SUMIFS('Tourney History'!C:C,'Tourney History'!B:B,A26)</f>
        <v>39</v>
      </c>
      <c r="E26" s="4">
        <f>AVERAGEIFS('Tourney History'!C:C,'Tourney History'!B:B,A26)</f>
        <v>19.5</v>
      </c>
      <c r="F26" s="35">
        <f t="array" ref="F26">MAX(IF('Tourney History'!B:B=A26, 'Tourney History'!C:C))</f>
        <v>27</v>
      </c>
      <c r="G26" s="34">
        <f>COUNTIFS('Tourney History'!B:B,A26,'Tourney History'!D:D, 1)</f>
        <v>0</v>
      </c>
      <c r="H26" s="2">
        <f>COUNTIFS('Tourney History'!B:B,A26,'Tourney History'!D:D, 0)</f>
        <v>2</v>
      </c>
      <c r="I26" s="88">
        <f>LOOKUP(2, 1/('Tourney History'!$B:$B=A26), 'Tourney History'!$AD:$AD)</f>
        <v>0</v>
      </c>
      <c r="J26" s="34">
        <f>SUMIFS('Tourney History'!F:F,'Tourney History'!B:B,A26)</f>
        <v>4</v>
      </c>
      <c r="K26" s="2">
        <f>SUMIFS('Tourney History'!E:E,'Tourney History'!B:B,A26)-J26</f>
        <v>6</v>
      </c>
      <c r="L26" s="88">
        <f>LOOKUP(2, 1/('Tourney History'!$B:$B=A26), 'Tourney History'!$AB:$AB)</f>
        <v>0.4</v>
      </c>
      <c r="M26" s="34">
        <f>SUMIFS('Tourney History'!H:H,'Tourney History'!B:B,A26)</f>
        <v>17</v>
      </c>
      <c r="N26" s="2">
        <f>SUMIFS('Tourney History'!G:G,'Tourney History'!B:B,A26)-M26</f>
        <v>22</v>
      </c>
      <c r="O26" s="88">
        <f>LOOKUP(2, 1/('Tourney History'!$B:$B=A26), 'Tourney History'!$AC:$AC)</f>
        <v>0.43</v>
      </c>
      <c r="P26" s="2">
        <f>COUNTIFS('Tourney History'!$B:$B,$A$26,'Tourney History'!K:K, 1)</f>
        <v>0</v>
      </c>
      <c r="Q26" s="2">
        <f>COUNTIFS('Tourney History'!$B:$B,$A$26,'Tourney History'!L:L, 1)</f>
        <v>2</v>
      </c>
      <c r="R26" s="2">
        <f>COUNTIFS('Tourney History'!$B:$B,$A$26,'Tourney History'!M:M, 1)</f>
        <v>0</v>
      </c>
      <c r="S26" s="2">
        <f>COUNTIFS('Tourney History'!$B:$B,$A$26,'Tourney History'!N:N, 1)</f>
        <v>0</v>
      </c>
      <c r="T26" s="2">
        <f>COUNTIFS('Tourney History'!$B:$B,$A$26,'Tourney History'!O:O, 1)</f>
        <v>0</v>
      </c>
      <c r="U26" s="2">
        <f>COUNTIFS('Tourney History'!$B:$B,$A$26,'Tourney History'!P:P, 1)</f>
        <v>1</v>
      </c>
      <c r="V26" s="2">
        <f>COUNTIFS('Tourney History'!$B:$B,$A$26,'Tourney History'!Q:Q, 1)</f>
        <v>0</v>
      </c>
      <c r="W26" s="2">
        <f>COUNTIFS('Tourney History'!$B:$B,$A$26,'Tourney History'!R:R, 1)</f>
        <v>0</v>
      </c>
      <c r="X26" s="2">
        <f>COUNTIFS('Tourney History'!$B:$B,$A$26,'Tourney History'!S:S, 1)</f>
        <v>0</v>
      </c>
      <c r="Y26" s="2">
        <f>COUNTIFS('Tourney History'!$B:$B,$A$26,'Tourney History'!T:T, 1)</f>
        <v>0</v>
      </c>
      <c r="Z26" s="2">
        <f>COUNTIFS('Tourney History'!$B:$B,$A$26,'Tourney History'!U:U, 1)</f>
        <v>0</v>
      </c>
      <c r="AA26" s="2">
        <f>COUNTIFS('Tourney History'!$B:$B,$A$26,'Tourney History'!V:V, 1)</f>
        <v>0</v>
      </c>
      <c r="AB26" s="2">
        <f>COUNTIFS('Tourney History'!$B:$B,$A$26,'Tourney History'!W:W, 1)</f>
        <v>0</v>
      </c>
      <c r="AC26" s="2">
        <f>COUNTIFS('Tourney History'!$B:$B,$A$26,'Tourney History'!X:X, 1)</f>
        <v>1</v>
      </c>
      <c r="AD26" s="2">
        <f>COUNTIFS('Tourney History'!$B:$B,$A$26,'Tourney History'!Y:Y, 1)</f>
        <v>0</v>
      </c>
      <c r="AE26" s="2">
        <f>COUNTIFS('Tourney History'!$B:$B,$A$26,'Tourney History'!Z:Z, 1)</f>
        <v>0</v>
      </c>
    </row>
    <row r="27" spans="1:31" x14ac:dyDescent="0.25">
      <c r="A27" s="2" t="s">
        <v>15</v>
      </c>
      <c r="B27" s="2" t="s">
        <v>79</v>
      </c>
      <c r="C27" s="2" t="s">
        <v>79</v>
      </c>
      <c r="D27" s="34">
        <f>SUMIFS('Tourney History'!C:C,'Tourney History'!B:B,A27)</f>
        <v>324</v>
      </c>
      <c r="E27" s="4">
        <f>AVERAGEIFS('Tourney History'!C:C,'Tourney History'!B:B,A27)</f>
        <v>32.4</v>
      </c>
      <c r="F27" s="35">
        <f t="array" ref="F27">MAX(IF('Tourney History'!B:B=A27, 'Tourney History'!C:C))</f>
        <v>55</v>
      </c>
      <c r="G27" s="34">
        <f>COUNTIFS('Tourney History'!B:B,A27,'Tourney History'!D:D, 1)</f>
        <v>3</v>
      </c>
      <c r="H27" s="2">
        <f>COUNTIFS('Tourney History'!B:B,A27,'Tourney History'!D:D, 0)</f>
        <v>7</v>
      </c>
      <c r="I27" s="88">
        <f>LOOKUP(2, 1/('Tourney History'!$B:$B=A27), 'Tourney History'!$AD:$AD)</f>
        <v>0.3</v>
      </c>
      <c r="J27" s="34">
        <f>SUMIFS('Tourney History'!F:F,'Tourney History'!B:B,A27)</f>
        <v>20</v>
      </c>
      <c r="K27" s="2">
        <f>SUMIFS('Tourney History'!E:E,'Tourney History'!B:B,A27)-J27</f>
        <v>24</v>
      </c>
      <c r="L27" s="88">
        <f>LOOKUP(2, 1/('Tourney History'!$B:$B=A27), 'Tourney History'!$AB:$AB)</f>
        <v>0.46999999999999992</v>
      </c>
      <c r="M27" s="34">
        <f>SUMIFS('Tourney History'!H:H,'Tourney History'!B:B,A27)</f>
        <v>89</v>
      </c>
      <c r="N27" s="2">
        <f>SUMIFS('Tourney History'!G:G,'Tourney History'!B:B,A27)-M27</f>
        <v>98</v>
      </c>
      <c r="O27" s="88">
        <f>LOOKUP(2, 1/('Tourney History'!$B:$B=A27), 'Tourney History'!$AC:$AC)</f>
        <v>0.48299999999999998</v>
      </c>
      <c r="P27" s="2">
        <f>COUNTIFS('Tourney History'!$B:$B,$A$27,'Tourney History'!K:K, 1)</f>
        <v>1</v>
      </c>
      <c r="Q27" s="2">
        <f>COUNTIFS('Tourney History'!$B:$B,$A$27,'Tourney History'!L:L, 1)</f>
        <v>2</v>
      </c>
      <c r="R27" s="2">
        <f>COUNTIFS('Tourney History'!$B:$B,$A$27,'Tourney History'!M:M, 1)</f>
        <v>0</v>
      </c>
      <c r="S27" s="2">
        <f>COUNTIFS('Tourney History'!$B:$B,$A$27,'Tourney History'!N:N, 1)</f>
        <v>2</v>
      </c>
      <c r="T27" s="2">
        <f>COUNTIFS('Tourney History'!$B:$B,$A$27,'Tourney History'!O:O, 1)</f>
        <v>1</v>
      </c>
      <c r="U27" s="2">
        <f>COUNTIFS('Tourney History'!$B:$B,$A$27,'Tourney History'!P:P, 1)</f>
        <v>1</v>
      </c>
      <c r="V27" s="2">
        <f>COUNTIFS('Tourney History'!$B:$B,$A$27,'Tourney History'!Q:Q, 1)</f>
        <v>0</v>
      </c>
      <c r="W27" s="2">
        <f>COUNTIFS('Tourney History'!$B:$B,$A$27,'Tourney History'!R:R, 1)</f>
        <v>0</v>
      </c>
      <c r="X27" s="2">
        <f>COUNTIFS('Tourney History'!$B:$B,$A$27,'Tourney History'!S:S, 1)</f>
        <v>0</v>
      </c>
      <c r="Y27" s="2">
        <f>COUNTIFS('Tourney History'!$B:$B,$A$27,'Tourney History'!T:T, 1)</f>
        <v>0</v>
      </c>
      <c r="Z27" s="2">
        <f>COUNTIFS('Tourney History'!$B:$B,$A$27,'Tourney History'!U:U, 1)</f>
        <v>0</v>
      </c>
      <c r="AA27" s="2">
        <f>COUNTIFS('Tourney History'!$B:$B,$A$27,'Tourney History'!V:V, 1)</f>
        <v>0</v>
      </c>
      <c r="AB27" s="2">
        <f>COUNTIFS('Tourney History'!$B:$B,$A$27,'Tourney History'!W:W, 1)</f>
        <v>4</v>
      </c>
      <c r="AC27" s="2">
        <f>COUNTIFS('Tourney History'!$B:$B,$A$27,'Tourney History'!X:X, 1)</f>
        <v>5</v>
      </c>
      <c r="AD27" s="2">
        <f>COUNTIFS('Tourney History'!$B:$B,$A$27,'Tourney History'!Y:Y, 1)</f>
        <v>1</v>
      </c>
      <c r="AE27" s="2">
        <f>COUNTIFS('Tourney History'!$B:$B,$A$27,'Tourney History'!Z:Z, 1)</f>
        <v>3</v>
      </c>
    </row>
    <row r="28" spans="1:31" x14ac:dyDescent="0.25">
      <c r="A28" s="2" t="s">
        <v>13</v>
      </c>
      <c r="B28" s="6" t="s">
        <v>124</v>
      </c>
      <c r="C28" s="1" t="s">
        <v>159</v>
      </c>
      <c r="D28" s="34">
        <f>SUMIFS('Tourney History'!C:C,'Tourney History'!B:B,A28)</f>
        <v>391</v>
      </c>
      <c r="E28" s="4">
        <f>AVERAGEIFS('Tourney History'!C:C,'Tourney History'!B:B,A28)</f>
        <v>35.545454545454547</v>
      </c>
      <c r="F28" s="35">
        <f t="array" ref="F28">MAX(IF('Tourney History'!B:B=A28, 'Tourney History'!C:C))</f>
        <v>58</v>
      </c>
      <c r="G28" s="34">
        <f>COUNTIFS('Tourney History'!B:B,A28,'Tourney History'!D:D, 1)</f>
        <v>5</v>
      </c>
      <c r="H28" s="2">
        <f>COUNTIFS('Tourney History'!B:B,A28,'Tourney History'!D:D, 0)</f>
        <v>6</v>
      </c>
      <c r="I28" s="88">
        <f>LOOKUP(2, 1/('Tourney History'!$B:$B=A28), 'Tourney History'!$AD:$AD)</f>
        <v>0.45454545454545453</v>
      </c>
      <c r="J28" s="34">
        <f>SUMIFS('Tourney History'!F:F,'Tourney History'!B:B,A28)</f>
        <v>22</v>
      </c>
      <c r="K28" s="2">
        <f>SUMIFS('Tourney History'!E:E,'Tourney History'!B:B,A28)-J28</f>
        <v>26</v>
      </c>
      <c r="L28" s="88">
        <f>LOOKUP(2, 1/('Tourney History'!$B:$B=A28), 'Tourney History'!$AB:$AB)</f>
        <v>0.43181818181818188</v>
      </c>
      <c r="M28" s="34">
        <f>SUMIFS('Tourney History'!H:H,'Tourney History'!B:B,A28)</f>
        <v>95</v>
      </c>
      <c r="N28" s="2">
        <f>SUMIFS('Tourney History'!G:G,'Tourney History'!B:B,A28)-M28</f>
        <v>97</v>
      </c>
      <c r="O28" s="88">
        <f>LOOKUP(2, 1/('Tourney History'!$B:$B=A28), 'Tourney History'!$AC:$AC)</f>
        <v>0.48000000000000004</v>
      </c>
      <c r="P28" s="2">
        <f>COUNTIFS('Tourney History'!$B:$B,$A$28,'Tourney History'!K:K, 1)</f>
        <v>0</v>
      </c>
      <c r="Q28" s="2">
        <f>COUNTIFS('Tourney History'!$B:$B,$A$28,'Tourney History'!L:L, 1)</f>
        <v>3</v>
      </c>
      <c r="R28" s="2">
        <f>COUNTIFS('Tourney History'!$B:$B,$A$28,'Tourney History'!M:M, 1)</f>
        <v>0</v>
      </c>
      <c r="S28" s="2">
        <f>COUNTIFS('Tourney History'!$B:$B,$A$28,'Tourney History'!N:N, 1)</f>
        <v>3</v>
      </c>
      <c r="T28" s="2">
        <f>COUNTIFS('Tourney History'!$B:$B,$A$28,'Tourney History'!O:O, 1)</f>
        <v>3</v>
      </c>
      <c r="U28" s="2">
        <f>COUNTIFS('Tourney History'!$B:$B,$A$28,'Tourney History'!P:P, 1)</f>
        <v>4</v>
      </c>
      <c r="V28" s="2">
        <f>COUNTIFS('Tourney History'!$B:$B,$A$28,'Tourney History'!Q:Q, 1)</f>
        <v>2</v>
      </c>
      <c r="W28" s="2">
        <f>COUNTIFS('Tourney History'!$B:$B,$A$28,'Tourney History'!R:R, 1)</f>
        <v>0</v>
      </c>
      <c r="X28" s="2">
        <f>COUNTIFS('Tourney History'!$B:$B,$A$28,'Tourney History'!S:S, 1)</f>
        <v>0</v>
      </c>
      <c r="Y28" s="2">
        <f>COUNTIFS('Tourney History'!$B:$B,$A$28,'Tourney History'!T:T, 1)</f>
        <v>0</v>
      </c>
      <c r="Z28" s="2">
        <f>COUNTIFS('Tourney History'!$B:$B,$A$28,'Tourney History'!U:U, 1)</f>
        <v>0</v>
      </c>
      <c r="AA28" s="2">
        <f>COUNTIFS('Tourney History'!$B:$B,$A$28,'Tourney History'!V:V, 1)</f>
        <v>0</v>
      </c>
      <c r="AB28" s="2">
        <f>COUNTIFS('Tourney History'!$B:$B,$A$28,'Tourney History'!W:W, 1)</f>
        <v>3</v>
      </c>
      <c r="AC28" s="2">
        <f>COUNTIFS('Tourney History'!$B:$B,$A$28,'Tourney History'!X:X, 1)</f>
        <v>1</v>
      </c>
      <c r="AD28" s="2">
        <f>COUNTIFS('Tourney History'!$B:$B,$A$28,'Tourney History'!Y:Y, 1)</f>
        <v>1</v>
      </c>
      <c r="AE28" s="2">
        <f>COUNTIFS('Tourney History'!$B:$B,$A$28,'Tourney History'!Z:Z, 1)</f>
        <v>2</v>
      </c>
    </row>
    <row r="29" spans="1:31" x14ac:dyDescent="0.25">
      <c r="A29" s="2" t="s">
        <v>2</v>
      </c>
      <c r="B29" s="6" t="s">
        <v>124</v>
      </c>
      <c r="C29" s="6" t="s">
        <v>79</v>
      </c>
      <c r="D29" s="34">
        <f>SUMIFS('Tourney History'!C:C,'Tourney History'!B:B,A29)</f>
        <v>309</v>
      </c>
      <c r="E29" s="4">
        <f>AVERAGEIFS('Tourney History'!C:C,'Tourney History'!B:B,A29)</f>
        <v>38.625</v>
      </c>
      <c r="F29" s="35">
        <f t="array" ref="F29">MAX(IF('Tourney History'!B:B=A29, 'Tourney History'!C:C))</f>
        <v>68</v>
      </c>
      <c r="G29" s="34">
        <f>COUNTIFS('Tourney History'!B:B,A29,'Tourney History'!D:D, 1)</f>
        <v>3</v>
      </c>
      <c r="H29" s="2">
        <f>COUNTIFS('Tourney History'!B:B,A29,'Tourney History'!D:D, 0)</f>
        <v>5</v>
      </c>
      <c r="I29" s="88">
        <f>LOOKUP(2, 1/('Tourney History'!$B:$B=A29), 'Tourney History'!$AD:$AD)</f>
        <v>0.375</v>
      </c>
      <c r="J29" s="34">
        <f>SUMIFS('Tourney History'!F:F,'Tourney History'!B:B,A29)</f>
        <v>18</v>
      </c>
      <c r="K29" s="2">
        <f>SUMIFS('Tourney History'!E:E,'Tourney History'!B:B,A29)-J29</f>
        <v>18</v>
      </c>
      <c r="L29" s="88">
        <f>LOOKUP(2, 1/('Tourney History'!$B:$B=A29), 'Tourney History'!$AB:$AB)</f>
        <v>0.51249999999999996</v>
      </c>
      <c r="M29" s="34">
        <f>SUMIFS('Tourney History'!H:H,'Tourney History'!B:B,A29)</f>
        <v>78</v>
      </c>
      <c r="N29" s="2">
        <f>SUMIFS('Tourney History'!G:G,'Tourney History'!B:B,A29)-M29</f>
        <v>77</v>
      </c>
      <c r="O29" s="88">
        <f>LOOKUP(2, 1/('Tourney History'!$B:$B=A29), 'Tourney History'!$AC:$AC)</f>
        <v>0.51500000000000001</v>
      </c>
      <c r="P29" s="2">
        <f>COUNTIFS('Tourney History'!$B:$B,$A$29,'Tourney History'!K:K, 1)</f>
        <v>0</v>
      </c>
      <c r="Q29" s="2">
        <f>COUNTIFS('Tourney History'!$B:$B,$A$29,'Tourney History'!L:L, 1)</f>
        <v>3</v>
      </c>
      <c r="R29" s="2">
        <f>COUNTIFS('Tourney History'!$B:$B,$A$29,'Tourney History'!M:M, 1)</f>
        <v>1</v>
      </c>
      <c r="S29" s="2">
        <f>COUNTIFS('Tourney History'!$B:$B,$A$29,'Tourney History'!N:N, 1)</f>
        <v>4</v>
      </c>
      <c r="T29" s="2">
        <f>COUNTIFS('Tourney History'!$B:$B,$A$29,'Tourney History'!O:O, 1)</f>
        <v>0</v>
      </c>
      <c r="U29" s="2">
        <f>COUNTIFS('Tourney History'!$B:$B,$A$29,'Tourney History'!P:P, 1)</f>
        <v>2</v>
      </c>
      <c r="V29" s="2">
        <f>COUNTIFS('Tourney History'!$B:$B,$A$29,'Tourney History'!Q:Q, 1)</f>
        <v>0</v>
      </c>
      <c r="W29" s="2">
        <f>COUNTIFS('Tourney History'!$B:$B,$A$29,'Tourney History'!R:R, 1)</f>
        <v>1</v>
      </c>
      <c r="X29" s="2">
        <f>COUNTIFS('Tourney History'!$B:$B,$A$29,'Tourney History'!S:S, 1)</f>
        <v>0</v>
      </c>
      <c r="Y29" s="2">
        <f>COUNTIFS('Tourney History'!$B:$B,$A$29,'Tourney History'!T:T, 1)</f>
        <v>0</v>
      </c>
      <c r="Z29" s="2">
        <f>COUNTIFS('Tourney History'!$B:$B,$A$29,'Tourney History'!U:U, 1)</f>
        <v>0</v>
      </c>
      <c r="AA29" s="2">
        <f>COUNTIFS('Tourney History'!$B:$B,$A$29,'Tourney History'!V:V, 1)</f>
        <v>0</v>
      </c>
      <c r="AB29" s="2">
        <f>COUNTIFS('Tourney History'!$B:$B,$A$29,'Tourney History'!W:W, 1)</f>
        <v>2</v>
      </c>
      <c r="AC29" s="2">
        <f>COUNTIFS('Tourney History'!$B:$B,$A$29,'Tourney History'!X:X, 1)</f>
        <v>1</v>
      </c>
      <c r="AD29" s="2">
        <f>COUNTIFS('Tourney History'!$B:$B,$A$29,'Tourney History'!Y:Y, 1)</f>
        <v>2</v>
      </c>
      <c r="AE29" s="2">
        <f>COUNTIFS('Tourney History'!$B:$B,$A$29,'Tourney History'!Z:Z, 1)</f>
        <v>2</v>
      </c>
    </row>
    <row r="30" spans="1:31" x14ac:dyDescent="0.25">
      <c r="A30" s="2" t="s">
        <v>54</v>
      </c>
      <c r="B30" s="6" t="s">
        <v>60</v>
      </c>
      <c r="C30" s="6" t="s">
        <v>79</v>
      </c>
      <c r="D30" s="34">
        <f>SUMIFS('Tourney History'!C:C,'Tourney History'!B:B,A30)</f>
        <v>53</v>
      </c>
      <c r="E30" s="4">
        <f>AVERAGEIFS('Tourney History'!C:C,'Tourney History'!B:B,A30)</f>
        <v>26.5</v>
      </c>
      <c r="F30" s="35">
        <f t="array" ref="F30">MAX(IF('Tourney History'!B:B=A30, 'Tourney History'!C:C))</f>
        <v>29</v>
      </c>
      <c r="G30" s="34">
        <f>COUNTIFS('Tourney History'!B:B,A30,'Tourney History'!D:D, 1)</f>
        <v>2</v>
      </c>
      <c r="H30" s="2">
        <f>COUNTIFS('Tourney History'!B:B,A30,'Tourney History'!D:D, 0)</f>
        <v>0</v>
      </c>
      <c r="I30" s="88">
        <f>LOOKUP(2, 1/('Tourney History'!$B:$B=A30), 'Tourney History'!$AD:$AD)</f>
        <v>1</v>
      </c>
      <c r="J30" s="34">
        <f>SUMIFS('Tourney History'!F:F,'Tourney History'!B:B,A30)</f>
        <v>6</v>
      </c>
      <c r="K30" s="2">
        <f>SUMIFS('Tourney History'!E:E,'Tourney History'!B:B,A30)-J30</f>
        <v>4</v>
      </c>
      <c r="L30" s="88">
        <f>LOOKUP(2, 1/('Tourney History'!$B:$B=A30), 'Tourney History'!$AB:$AB)</f>
        <v>0.6</v>
      </c>
      <c r="M30" s="34">
        <f>SUMIFS('Tourney History'!H:H,'Tourney History'!B:B,A30)</f>
        <v>23</v>
      </c>
      <c r="N30" s="2">
        <f>SUMIFS('Tourney History'!G:G,'Tourney History'!B:B,A30)-M30</f>
        <v>17</v>
      </c>
      <c r="O30" s="88">
        <f>LOOKUP(2, 1/('Tourney History'!$B:$B=A30), 'Tourney History'!$AC:$AC)</f>
        <v>0.57499999999999996</v>
      </c>
      <c r="P30" s="2">
        <f>COUNTIFS('Tourney History'!$B:$B,$A$30,'Tourney History'!K:K, 1)</f>
        <v>0</v>
      </c>
      <c r="Q30" s="2">
        <f>COUNTIFS('Tourney History'!$B:$B,$A$30,'Tourney History'!L:L, 1)</f>
        <v>0</v>
      </c>
      <c r="R30" s="2">
        <f>COUNTIFS('Tourney History'!$B:$B,$A$30,'Tourney History'!M:M, 1)</f>
        <v>0</v>
      </c>
      <c r="S30" s="2">
        <f>COUNTIFS('Tourney History'!$B:$B,$A$30,'Tourney History'!N:N, 1)</f>
        <v>1</v>
      </c>
      <c r="T30" s="2">
        <f>COUNTIFS('Tourney History'!$B:$B,$A$30,'Tourney History'!O:O, 1)</f>
        <v>2</v>
      </c>
      <c r="U30" s="2">
        <f>COUNTIFS('Tourney History'!$B:$B,$A$30,'Tourney History'!P:P, 1)</f>
        <v>1</v>
      </c>
      <c r="V30" s="2">
        <f>COUNTIFS('Tourney History'!$B:$B,$A$30,'Tourney History'!Q:Q, 1)</f>
        <v>2</v>
      </c>
      <c r="W30" s="2">
        <f>COUNTIFS('Tourney History'!$B:$B,$A$30,'Tourney History'!R:R, 1)</f>
        <v>0</v>
      </c>
      <c r="X30" s="2">
        <f>COUNTIFS('Tourney History'!$B:$B,$A$30,'Tourney History'!S:S, 1)</f>
        <v>0</v>
      </c>
      <c r="Y30" s="2">
        <f>COUNTIFS('Tourney History'!$B:$B,$A$30,'Tourney History'!T:T, 1)</f>
        <v>0</v>
      </c>
      <c r="Z30" s="2">
        <f>COUNTIFS('Tourney History'!$B:$B,$A$30,'Tourney History'!U:U, 1)</f>
        <v>0</v>
      </c>
      <c r="AA30" s="2">
        <f>COUNTIFS('Tourney History'!$B:$B,$A$30,'Tourney History'!V:V, 1)</f>
        <v>0</v>
      </c>
      <c r="AB30" s="2">
        <f>COUNTIFS('Tourney History'!$B:$B,$A$30,'Tourney History'!W:W, 1)</f>
        <v>0</v>
      </c>
      <c r="AC30" s="2">
        <f>COUNTIFS('Tourney History'!$B:$B,$A$30,'Tourney History'!X:X, 1)</f>
        <v>0</v>
      </c>
      <c r="AD30" s="2">
        <f>COUNTIFS('Tourney History'!$B:$B,$A$30,'Tourney History'!Y:Y, 1)</f>
        <v>0</v>
      </c>
      <c r="AE30" s="2">
        <f>COUNTIFS('Tourney History'!$B:$B,$A$30,'Tourney History'!Z:Z, 1)</f>
        <v>0</v>
      </c>
    </row>
    <row r="31" spans="1:31" x14ac:dyDescent="0.25">
      <c r="A31" s="2" t="s">
        <v>5</v>
      </c>
      <c r="B31" s="6" t="s">
        <v>177</v>
      </c>
      <c r="C31" s="1" t="s">
        <v>159</v>
      </c>
      <c r="D31" s="34">
        <f>SUMIFS('Tourney History'!C:C,'Tourney History'!B:B,A31)</f>
        <v>220</v>
      </c>
      <c r="E31" s="4">
        <f>AVERAGEIFS('Tourney History'!C:C,'Tourney History'!B:B,A31)</f>
        <v>31.428571428571427</v>
      </c>
      <c r="F31" s="35">
        <f t="array" ref="F31">MAX(IF('Tourney History'!B:B=A31, 'Tourney History'!C:C))</f>
        <v>51</v>
      </c>
      <c r="G31" s="34">
        <f>COUNTIFS('Tourney History'!B:B,A31,'Tourney History'!D:D, 1)</f>
        <v>6</v>
      </c>
      <c r="H31" s="2">
        <f>COUNTIFS('Tourney History'!B:B,A31,'Tourney History'!D:D, 0)</f>
        <v>1</v>
      </c>
      <c r="I31" s="88">
        <f>LOOKUP(2, 1/('Tourney History'!$B:$B=A31), 'Tourney History'!$AD:$AD)</f>
        <v>0.8571428571428571</v>
      </c>
      <c r="J31" s="34">
        <f>SUMIFS('Tourney History'!F:F,'Tourney History'!B:B,A31)</f>
        <v>19</v>
      </c>
      <c r="K31" s="2">
        <f>SUMIFS('Tourney History'!E:E,'Tourney History'!B:B,A31)-J31</f>
        <v>12</v>
      </c>
      <c r="L31" s="88">
        <f>LOOKUP(2, 1/('Tourney History'!$B:$B=A31), 'Tourney History'!$AB:$AB)</f>
        <v>0.61428571428571443</v>
      </c>
      <c r="M31" s="34">
        <f>SUMIFS('Tourney History'!H:H,'Tourney History'!B:B,A31)</f>
        <v>72</v>
      </c>
      <c r="N31" s="2">
        <f>SUMIFS('Tourney History'!G:G,'Tourney History'!B:B,A31)-M31</f>
        <v>59</v>
      </c>
      <c r="O31" s="88">
        <f>LOOKUP(2, 1/('Tourney History'!$B:$B=A31), 'Tourney History'!$AC:$AC)</f>
        <v>0.54714285714285715</v>
      </c>
      <c r="P31" s="2">
        <f>COUNTIFS('Tourney History'!$B:$B,$A$31,'Tourney History'!K:K, 1)</f>
        <v>2</v>
      </c>
      <c r="Q31" s="2">
        <f>COUNTIFS('Tourney History'!$B:$B,$A$31,'Tourney History'!L:L, 1)</f>
        <v>2</v>
      </c>
      <c r="R31" s="2">
        <f>COUNTIFS('Tourney History'!$B:$B,$A$31,'Tourney History'!M:M, 1)</f>
        <v>2</v>
      </c>
      <c r="S31" s="2">
        <f>COUNTIFS('Tourney History'!$B:$B,$A$31,'Tourney History'!N:N, 1)</f>
        <v>1</v>
      </c>
      <c r="T31" s="2">
        <f>COUNTIFS('Tourney History'!$B:$B,$A$31,'Tourney History'!O:O, 1)</f>
        <v>3</v>
      </c>
      <c r="U31" s="2">
        <f>COUNTIFS('Tourney History'!$B:$B,$A$31,'Tourney History'!P:P, 1)</f>
        <v>2</v>
      </c>
      <c r="V31" s="2">
        <f>COUNTIFS('Tourney History'!$B:$B,$A$31,'Tourney History'!Q:Q, 1)</f>
        <v>0</v>
      </c>
      <c r="W31" s="2">
        <f>COUNTIFS('Tourney History'!$B:$B,$A$31,'Tourney History'!R:R, 1)</f>
        <v>0</v>
      </c>
      <c r="X31" s="2">
        <f>COUNTIFS('Tourney History'!$B:$B,$A$31,'Tourney History'!S:S, 1)</f>
        <v>0</v>
      </c>
      <c r="Y31" s="2">
        <f>COUNTIFS('Tourney History'!$B:$B,$A$31,'Tourney History'!T:T, 1)</f>
        <v>0</v>
      </c>
      <c r="Z31" s="2">
        <f>COUNTIFS('Tourney History'!$B:$B,$A$31,'Tourney History'!U:U, 1)</f>
        <v>0</v>
      </c>
      <c r="AA31" s="2">
        <f>COUNTIFS('Tourney History'!$B:$B,$A$31,'Tourney History'!V:V, 1)</f>
        <v>0</v>
      </c>
      <c r="AB31" s="2">
        <f>COUNTIFS('Tourney History'!$B:$B,$A$31,'Tourney History'!W:W, 1)</f>
        <v>2</v>
      </c>
      <c r="AC31" s="2">
        <f>COUNTIFS('Tourney History'!$B:$B,$A$31,'Tourney History'!X:X, 1)</f>
        <v>3</v>
      </c>
      <c r="AD31" s="2">
        <f>COUNTIFS('Tourney History'!$B:$B,$A$31,'Tourney History'!Y:Y, 1)</f>
        <v>1</v>
      </c>
      <c r="AE31" s="2">
        <f>COUNTIFS('Tourney History'!$B:$B,$A$31,'Tourney History'!Z:Z, 1)</f>
        <v>1</v>
      </c>
    </row>
    <row r="32" spans="1:31" x14ac:dyDescent="0.25">
      <c r="A32" s="2" t="s">
        <v>38</v>
      </c>
      <c r="B32" s="6" t="s">
        <v>79</v>
      </c>
      <c r="C32" s="6" t="s">
        <v>79</v>
      </c>
      <c r="D32" s="34">
        <f>SUMIFS('Tourney History'!C:C,'Tourney History'!B:B,A32)</f>
        <v>10</v>
      </c>
      <c r="E32" s="4">
        <f>AVERAGEIFS('Tourney History'!C:C,'Tourney History'!B:B,A32)</f>
        <v>5</v>
      </c>
      <c r="F32" s="35">
        <f t="array" ref="F32">MAX(IF('Tourney History'!B:B=A32, 'Tourney History'!C:C))</f>
        <v>6</v>
      </c>
      <c r="G32" s="34">
        <f>COUNTIFS('Tourney History'!B:B,A32,'Tourney History'!D:D, 1)</f>
        <v>1</v>
      </c>
      <c r="H32" s="2">
        <f>COUNTIFS('Tourney History'!B:B,A32,'Tourney History'!D:D, 0)</f>
        <v>1</v>
      </c>
      <c r="I32" s="88">
        <f>LOOKUP(2, 1/('Tourney History'!$B:$B=A32), 'Tourney History'!$AD:$AD)</f>
        <v>0.5</v>
      </c>
      <c r="J32" s="34">
        <f>SUMIFS('Tourney History'!F:F,'Tourney History'!B:B,A32)</f>
        <v>4</v>
      </c>
      <c r="K32" s="2">
        <f>SUMIFS('Tourney History'!E:E,'Tourney History'!B:B,A32)-J32</f>
        <v>4</v>
      </c>
      <c r="L32" s="88">
        <f>LOOKUP(2, 1/('Tourney History'!$B:$B=A32), 'Tourney History'!$AB:$AB)</f>
        <v>0.5</v>
      </c>
      <c r="M32" s="34">
        <f>SUMIFS('Tourney History'!H:H,'Tourney History'!B:B,A32)</f>
        <v>15</v>
      </c>
      <c r="N32" s="2">
        <f>SUMIFS('Tourney History'!G:G,'Tourney History'!B:B,A32)-M32</f>
        <v>19</v>
      </c>
      <c r="O32" s="88">
        <f>LOOKUP(2, 1/('Tourney History'!$B:$B=A32), 'Tourney History'!$AC:$AC)</f>
        <v>0.43500000000000005</v>
      </c>
      <c r="P32" s="2">
        <f>COUNTIFS('Tourney History'!$B:$B,$A$32,'Tourney History'!K:K, 1)</f>
        <v>0</v>
      </c>
      <c r="Q32" s="2">
        <f>COUNTIFS('Tourney History'!$B:$B,$A$32,'Tourney History'!L:L, 1)</f>
        <v>0</v>
      </c>
      <c r="R32" s="2">
        <f>COUNTIFS('Tourney History'!$B:$B,$A$32,'Tourney History'!M:M, 1)</f>
        <v>0</v>
      </c>
      <c r="S32" s="2">
        <f>COUNTIFS('Tourney History'!$B:$B,$A$32,'Tourney History'!N:N, 1)</f>
        <v>1</v>
      </c>
      <c r="T32" s="2">
        <f>COUNTIFS('Tourney History'!$B:$B,$A$32,'Tourney History'!O:O, 1)</f>
        <v>0</v>
      </c>
      <c r="U32" s="2">
        <f>COUNTIFS('Tourney History'!$B:$B,$A$32,'Tourney History'!P:P, 1)</f>
        <v>1</v>
      </c>
      <c r="V32" s="2">
        <f>COUNTIFS('Tourney History'!$B:$B,$A$32,'Tourney History'!Q:Q, 1)</f>
        <v>0</v>
      </c>
      <c r="W32" s="2">
        <f>COUNTIFS('Tourney History'!$B:$B,$A$32,'Tourney History'!R:R, 1)</f>
        <v>1</v>
      </c>
      <c r="X32" s="2">
        <f>COUNTIFS('Tourney History'!$B:$B,$A$32,'Tourney History'!S:S, 1)</f>
        <v>0</v>
      </c>
      <c r="Y32" s="2">
        <f>COUNTIFS('Tourney History'!$B:$B,$A$32,'Tourney History'!T:T, 1)</f>
        <v>0</v>
      </c>
      <c r="Z32" s="2">
        <f>COUNTIFS('Tourney History'!$B:$B,$A$32,'Tourney History'!U:U, 1)</f>
        <v>0</v>
      </c>
      <c r="AA32" s="2">
        <f>COUNTIFS('Tourney History'!$B:$B,$A$32,'Tourney History'!V:V, 1)</f>
        <v>0</v>
      </c>
      <c r="AB32" s="2">
        <f>COUNTIFS('Tourney History'!$B:$B,$A$32,'Tourney History'!W:W, 1)</f>
        <v>1</v>
      </c>
      <c r="AC32" s="2">
        <f>COUNTIFS('Tourney History'!$B:$B,$A$32,'Tourney History'!X:X, 1)</f>
        <v>0</v>
      </c>
      <c r="AD32" s="2">
        <f>COUNTIFS('Tourney History'!$B:$B,$A$32,'Tourney History'!Y:Y, 1)</f>
        <v>0</v>
      </c>
      <c r="AE32" s="2">
        <f>COUNTIFS('Tourney History'!$B:$B,$A$32,'Tourney History'!Z:Z, 1)</f>
        <v>0</v>
      </c>
    </row>
    <row r="33" spans="1:31" x14ac:dyDescent="0.25">
      <c r="A33" s="2" t="s">
        <v>141</v>
      </c>
      <c r="B33" s="6" t="s">
        <v>79</v>
      </c>
      <c r="C33" s="6" t="s">
        <v>79</v>
      </c>
      <c r="D33" s="34">
        <f>SUMIFS('Tourney History'!C:C,'Tourney History'!B:B,A33)</f>
        <v>15</v>
      </c>
      <c r="E33" s="4">
        <f>AVERAGEIFS('Tourney History'!C:C,'Tourney History'!B:B,A33)</f>
        <v>15</v>
      </c>
      <c r="F33" s="35">
        <f t="array" ref="F33">MAX(IF('Tourney History'!B:B=A33, 'Tourney History'!C:C))</f>
        <v>15</v>
      </c>
      <c r="G33" s="34">
        <f>COUNTIFS('Tourney History'!B:B,A33,'Tourney History'!D:D, 1)</f>
        <v>1</v>
      </c>
      <c r="H33" s="2">
        <f>COUNTIFS('Tourney History'!B:B,A33,'Tourney History'!D:D, 0)</f>
        <v>0</v>
      </c>
      <c r="I33" s="88">
        <f>LOOKUP(2, 1/('Tourney History'!$B:$B=A33), 'Tourney History'!$AD:$AD)</f>
        <v>1</v>
      </c>
      <c r="J33" s="34">
        <f>SUMIFS('Tourney History'!F:F,'Tourney History'!B:B,A33)</f>
        <v>3</v>
      </c>
      <c r="K33" s="2">
        <f>SUMIFS('Tourney History'!E:E,'Tourney History'!B:B,A33)-J33</f>
        <v>2</v>
      </c>
      <c r="L33" s="88">
        <f>LOOKUP(2, 1/('Tourney History'!$B:$B=A33), 'Tourney History'!$AB:$AB)</f>
        <v>0.6</v>
      </c>
      <c r="M33" s="34">
        <f>SUMIFS('Tourney History'!H:H,'Tourney History'!B:B,A33)</f>
        <v>10</v>
      </c>
      <c r="N33" s="2">
        <f>SUMIFS('Tourney History'!G:G,'Tourney History'!B:B,A33)-M33</f>
        <v>7</v>
      </c>
      <c r="O33" s="88">
        <f>LOOKUP(2, 1/('Tourney History'!$B:$B=A33), 'Tourney History'!$AC:$AC)</f>
        <v>0.59</v>
      </c>
      <c r="P33" s="2">
        <f>COUNTIFS('Tourney History'!$B:$B,$A$33,'Tourney History'!K:K, 1)</f>
        <v>0</v>
      </c>
      <c r="Q33" s="2">
        <f>COUNTIFS('Tourney History'!$B:$B,$A$33,'Tourney History'!L:L, 1)</f>
        <v>0</v>
      </c>
      <c r="R33" s="2">
        <f>COUNTIFS('Tourney History'!$B:$B,$A$33,'Tourney History'!M:M, 1)</f>
        <v>0</v>
      </c>
      <c r="S33" s="2">
        <f>COUNTIFS('Tourney History'!$B:$B,$A$33,'Tourney History'!N:N, 1)</f>
        <v>0</v>
      </c>
      <c r="T33" s="2">
        <f>COUNTIFS('Tourney History'!$B:$B,$A$33,'Tourney History'!O:O, 1)</f>
        <v>1</v>
      </c>
      <c r="U33" s="2">
        <f>COUNTIFS('Tourney History'!$B:$B,$A$33,'Tourney History'!P:P, 1)</f>
        <v>0</v>
      </c>
      <c r="V33" s="2">
        <f>COUNTIFS('Tourney History'!$B:$B,$A$33,'Tourney History'!Q:Q, 1)</f>
        <v>0</v>
      </c>
      <c r="W33" s="2">
        <f>COUNTIFS('Tourney History'!$B:$B,$A$33,'Tourney History'!R:R, 1)</f>
        <v>0</v>
      </c>
      <c r="X33" s="2">
        <f>COUNTIFS('Tourney History'!$B:$B,$A$33,'Tourney History'!S:S, 1)</f>
        <v>0</v>
      </c>
      <c r="Y33" s="2">
        <f>COUNTIFS('Tourney History'!$B:$B,$A$33,'Tourney History'!T:T, 1)</f>
        <v>0</v>
      </c>
      <c r="Z33" s="2">
        <f>COUNTIFS('Tourney History'!$B:$B,$A$33,'Tourney History'!U:U, 1)</f>
        <v>0</v>
      </c>
      <c r="AA33" s="2">
        <f>COUNTIFS('Tourney History'!$B:$B,$A$33,'Tourney History'!V:V, 1)</f>
        <v>0</v>
      </c>
      <c r="AB33" s="2">
        <f>COUNTIFS('Tourney History'!$B:$B,$A$33,'Tourney History'!W:W, 1)</f>
        <v>0</v>
      </c>
      <c r="AC33" s="2">
        <f>COUNTIFS('Tourney History'!$B:$B,$A$33,'Tourney History'!X:X, 1)</f>
        <v>0</v>
      </c>
      <c r="AD33" s="2">
        <f>COUNTIFS('Tourney History'!$B:$B,$A$33,'Tourney History'!Y:Y, 1)</f>
        <v>1</v>
      </c>
      <c r="AE33" s="2">
        <f>COUNTIFS('Tourney History'!$B:$B,$A$33,'Tourney History'!Z:Z, 1)</f>
        <v>1</v>
      </c>
    </row>
    <row r="34" spans="1:31" x14ac:dyDescent="0.25">
      <c r="A34" s="2" t="s">
        <v>40</v>
      </c>
      <c r="B34" s="2" t="s">
        <v>79</v>
      </c>
      <c r="C34" s="2" t="s">
        <v>79</v>
      </c>
      <c r="D34" s="34">
        <f>SUMIFS('Tourney History'!C:C,'Tourney History'!B:B,A34)</f>
        <v>134</v>
      </c>
      <c r="E34" s="4">
        <f>AVERAGEIFS('Tourney History'!C:C,'Tourney History'!B:B,A34)</f>
        <v>26.8</v>
      </c>
      <c r="F34" s="35">
        <f t="array" ref="F34">MAX(IF('Tourney History'!B:B=A34, 'Tourney History'!C:C))</f>
        <v>40</v>
      </c>
      <c r="G34" s="34">
        <f>COUNTIFS('Tourney History'!B:B,A34,'Tourney History'!D:D, 1)</f>
        <v>2</v>
      </c>
      <c r="H34" s="2">
        <f>COUNTIFS('Tourney History'!B:B,A34,'Tourney History'!D:D, 0)</f>
        <v>3</v>
      </c>
      <c r="I34" s="88">
        <f>LOOKUP(2, 1/('Tourney History'!$B:$B=A34), 'Tourney History'!$AD:$AD)</f>
        <v>0.4</v>
      </c>
      <c r="J34" s="34">
        <f>SUMIFS('Tourney History'!F:F,'Tourney History'!B:B,A34)</f>
        <v>11</v>
      </c>
      <c r="K34" s="2">
        <f>SUMIFS('Tourney History'!E:E,'Tourney History'!B:B,A34)-J34</f>
        <v>13</v>
      </c>
      <c r="L34" s="88">
        <f>LOOKUP(2, 1/('Tourney History'!$B:$B=A34), 'Tourney History'!$AB:$AB)</f>
        <v>0.45</v>
      </c>
      <c r="M34" s="34">
        <f>SUMIFS('Tourney History'!H:H,'Tourney History'!B:B,A34)</f>
        <v>49</v>
      </c>
      <c r="N34" s="2">
        <f>SUMIFS('Tourney History'!G:G,'Tourney History'!B:B,A34)-M34</f>
        <v>54</v>
      </c>
      <c r="O34" s="88">
        <f>LOOKUP(2, 1/('Tourney History'!$B:$B=A34), 'Tourney History'!$AC:$AC)</f>
        <v>0.47200000000000009</v>
      </c>
      <c r="P34" s="2">
        <f>COUNTIFS('Tourney History'!$B:$B,$A$34,'Tourney History'!K:K, 1)</f>
        <v>1</v>
      </c>
      <c r="Q34" s="2">
        <f>COUNTIFS('Tourney History'!$B:$B,$A$34,'Tourney History'!L:L, 1)</f>
        <v>0</v>
      </c>
      <c r="R34" s="2">
        <f>COUNTIFS('Tourney History'!$B:$B,$A$34,'Tourney History'!M:M, 1)</f>
        <v>1</v>
      </c>
      <c r="S34" s="2">
        <f>COUNTIFS('Tourney History'!$B:$B,$A$34,'Tourney History'!N:N, 1)</f>
        <v>1</v>
      </c>
      <c r="T34" s="2">
        <f>COUNTIFS('Tourney History'!$B:$B,$A$34,'Tourney History'!O:O, 1)</f>
        <v>2</v>
      </c>
      <c r="U34" s="2">
        <f>COUNTIFS('Tourney History'!$B:$B,$A$34,'Tourney History'!P:P, 1)</f>
        <v>0</v>
      </c>
      <c r="V34" s="2">
        <f>COUNTIFS('Tourney History'!$B:$B,$A$34,'Tourney History'!Q:Q, 1)</f>
        <v>0</v>
      </c>
      <c r="W34" s="2">
        <f>COUNTIFS('Tourney History'!$B:$B,$A$34,'Tourney History'!R:R, 1)</f>
        <v>0</v>
      </c>
      <c r="X34" s="2">
        <f>COUNTIFS('Tourney History'!$B:$B,$A$34,'Tourney History'!S:S, 1)</f>
        <v>0</v>
      </c>
      <c r="Y34" s="2">
        <f>COUNTIFS('Tourney History'!$B:$B,$A$34,'Tourney History'!T:T, 1)</f>
        <v>0</v>
      </c>
      <c r="Z34" s="2">
        <f>COUNTIFS('Tourney History'!$B:$B,$A$34,'Tourney History'!U:U, 1)</f>
        <v>0</v>
      </c>
      <c r="AA34" s="2">
        <f>COUNTIFS('Tourney History'!$B:$B,$A$34,'Tourney History'!V:V, 1)</f>
        <v>0</v>
      </c>
      <c r="AB34" s="2">
        <f>COUNTIFS('Tourney History'!$B:$B,$A$34,'Tourney History'!W:W, 1)</f>
        <v>0</v>
      </c>
      <c r="AC34" s="2">
        <f>COUNTIFS('Tourney History'!$B:$B,$A$34,'Tourney History'!X:X, 1)</f>
        <v>3</v>
      </c>
      <c r="AD34" s="2">
        <f>COUNTIFS('Tourney History'!$B:$B,$A$34,'Tourney History'!Y:Y, 1)</f>
        <v>1</v>
      </c>
      <c r="AE34" s="2">
        <f>COUNTIFS('Tourney History'!$B:$B,$A$34,'Tourney History'!Z:Z, 1)</f>
        <v>2</v>
      </c>
    </row>
    <row r="35" spans="1:31" x14ac:dyDescent="0.25">
      <c r="A35" s="2" t="s">
        <v>147</v>
      </c>
      <c r="B35" s="2" t="s">
        <v>79</v>
      </c>
      <c r="C35" s="2" t="s">
        <v>79</v>
      </c>
      <c r="D35" s="34">
        <f>SUMIFS('Tourney History'!C:C,'Tourney History'!B:B,A35)</f>
        <v>91</v>
      </c>
      <c r="E35" s="4">
        <f>AVERAGEIFS('Tourney History'!C:C,'Tourney History'!B:B,A35)</f>
        <v>30.333333333333332</v>
      </c>
      <c r="F35" s="35">
        <f t="array" ref="F35">MAX(IF('Tourney History'!B:B=A35, 'Tourney History'!C:C))</f>
        <v>35</v>
      </c>
      <c r="G35" s="34">
        <f>COUNTIFS('Tourney History'!B:B,A35,'Tourney History'!D:D, 1)</f>
        <v>1</v>
      </c>
      <c r="H35" s="2">
        <f>COUNTIFS('Tourney History'!B:B,A35,'Tourney History'!D:D, 0)</f>
        <v>2</v>
      </c>
      <c r="I35" s="88">
        <f>LOOKUP(2, 1/('Tourney History'!$B:$B=A35), 'Tourney History'!$AD:$AD)</f>
        <v>0.33333333333333331</v>
      </c>
      <c r="J35" s="34">
        <f>SUMIFS('Tourney History'!F:F,'Tourney History'!B:B,A35)</f>
        <v>7</v>
      </c>
      <c r="K35" s="2">
        <f>SUMIFS('Tourney History'!E:E,'Tourney History'!B:B,A35)-J35</f>
        <v>8</v>
      </c>
      <c r="L35" s="88">
        <f>LOOKUP(2, 1/('Tourney History'!$B:$B=A35), 'Tourney History'!$AB:$AB)</f>
        <v>0.46666666666666662</v>
      </c>
      <c r="M35" s="34">
        <f>SUMIFS('Tourney History'!H:H,'Tourney History'!B:B,A35)</f>
        <v>29</v>
      </c>
      <c r="N35" s="2">
        <f>SUMIFS('Tourney History'!G:G,'Tourney History'!B:B,A35)-M35</f>
        <v>35</v>
      </c>
      <c r="O35" s="88">
        <f>LOOKUP(2, 1/('Tourney History'!$B:$B=A35), 'Tourney History'!$AC:$AC)</f>
        <v>0.45</v>
      </c>
      <c r="P35" s="2">
        <f>COUNTIFS('Tourney History'!$B:$B,$A$35,'Tourney History'!K:K, 1)</f>
        <v>0</v>
      </c>
      <c r="Q35" s="2">
        <f>COUNTIFS('Tourney History'!$B:$B,$A$35,'Tourney History'!L:L, 1)</f>
        <v>1</v>
      </c>
      <c r="R35" s="2">
        <f>COUNTIFS('Tourney History'!$B:$B,$A$35,'Tourney History'!M:M, 1)</f>
        <v>1</v>
      </c>
      <c r="S35" s="2">
        <f>COUNTIFS('Tourney History'!$B:$B,$A$35,'Tourney History'!N:N, 1)</f>
        <v>2</v>
      </c>
      <c r="T35" s="2">
        <f>COUNTIFS('Tourney History'!$B:$B,$A$35,'Tourney History'!O:O, 1)</f>
        <v>1</v>
      </c>
      <c r="U35" s="2">
        <f>COUNTIFS('Tourney History'!$B:$B,$A$35,'Tourney History'!P:P, 1)</f>
        <v>0</v>
      </c>
      <c r="V35" s="2">
        <f>COUNTIFS('Tourney History'!$B:$B,$A$35,'Tourney History'!Q:Q, 1)</f>
        <v>0</v>
      </c>
      <c r="W35" s="2">
        <f>COUNTIFS('Tourney History'!$B:$B,$A$35,'Tourney History'!R:R, 1)</f>
        <v>0</v>
      </c>
      <c r="X35" s="2">
        <f>COUNTIFS('Tourney History'!$B:$B,$A$35,'Tourney History'!S:S, 1)</f>
        <v>0</v>
      </c>
      <c r="Y35" s="2">
        <f>COUNTIFS('Tourney History'!$B:$B,$A$35,'Tourney History'!T:T, 1)</f>
        <v>0</v>
      </c>
      <c r="Z35" s="2">
        <f>COUNTIFS('Tourney History'!$B:$B,$A$35,'Tourney History'!U:U, 1)</f>
        <v>0</v>
      </c>
      <c r="AA35" s="2">
        <f>COUNTIFS('Tourney History'!$B:$B,$A$35,'Tourney History'!V:V, 1)</f>
        <v>0</v>
      </c>
      <c r="AB35" s="2">
        <f>COUNTIFS('Tourney History'!$B:$B,$A$35,'Tourney History'!W:W, 1)</f>
        <v>0</v>
      </c>
      <c r="AC35" s="2">
        <f>COUNTIFS('Tourney History'!$B:$B,$A$35,'Tourney History'!X:X, 1)</f>
        <v>1</v>
      </c>
      <c r="AD35" s="2">
        <f>COUNTIFS('Tourney History'!$B:$B,$A$35,'Tourney History'!Y:Y, 1)</f>
        <v>1</v>
      </c>
      <c r="AE35" s="2">
        <f>COUNTIFS('Tourney History'!$B:$B,$A$35,'Tourney History'!Z:Z, 1)</f>
        <v>0</v>
      </c>
    </row>
    <row r="36" spans="1:31" x14ac:dyDescent="0.25">
      <c r="A36" s="2" t="s">
        <v>17</v>
      </c>
      <c r="B36" s="2" t="s">
        <v>79</v>
      </c>
      <c r="C36" s="2" t="s">
        <v>79</v>
      </c>
      <c r="D36" s="34">
        <f>SUMIFS('Tourney History'!C:C,'Tourney History'!B:B,A36)</f>
        <v>365</v>
      </c>
      <c r="E36" s="4">
        <f>AVERAGEIFS('Tourney History'!C:C,'Tourney History'!B:B,A36)</f>
        <v>36.5</v>
      </c>
      <c r="F36" s="35">
        <f t="array" ref="F36">MAX(IF('Tourney History'!B:B=A36, 'Tourney History'!C:C))</f>
        <v>58</v>
      </c>
      <c r="G36" s="34">
        <f>COUNTIFS('Tourney History'!B:B,A36,'Tourney History'!D:D, 1)</f>
        <v>2</v>
      </c>
      <c r="H36" s="2">
        <f>COUNTIFS('Tourney History'!B:B,A36,'Tourney History'!D:D, 0)</f>
        <v>8</v>
      </c>
      <c r="I36" s="88">
        <f>LOOKUP(2, 1/('Tourney History'!$B:$B=A36), 'Tourney History'!$AD:$AD)</f>
        <v>0.2</v>
      </c>
      <c r="J36" s="34">
        <f>SUMIFS('Tourney History'!F:F,'Tourney History'!B:B,A36)</f>
        <v>20</v>
      </c>
      <c r="K36" s="2">
        <f>SUMIFS('Tourney History'!E:E,'Tourney History'!B:B,A36)-J36</f>
        <v>26</v>
      </c>
      <c r="L36" s="88">
        <f>LOOKUP(2, 1/('Tourney History'!$B:$B=A36), 'Tourney History'!$AB:$AB)</f>
        <v>0.45</v>
      </c>
      <c r="M36" s="34">
        <f>SUMIFS('Tourney History'!H:H,'Tourney History'!B:B,A36)</f>
        <v>92</v>
      </c>
      <c r="N36" s="2">
        <f>SUMIFS('Tourney History'!G:G,'Tourney History'!B:B,A36)-M36</f>
        <v>105</v>
      </c>
      <c r="O36" s="88">
        <f>LOOKUP(2, 1/('Tourney History'!$B:$B=A36), 'Tourney History'!$AC:$AC)</f>
        <v>0.47199999999999998</v>
      </c>
      <c r="P36" s="2">
        <f>COUNTIFS('Tourney History'!$B:$B,$A$36,'Tourney History'!K:K, 1)</f>
        <v>1</v>
      </c>
      <c r="Q36" s="2">
        <f>COUNTIFS('Tourney History'!$B:$B,$A$36,'Tourney History'!L:L, 1)</f>
        <v>2</v>
      </c>
      <c r="R36" s="2">
        <f>COUNTIFS('Tourney History'!$B:$B,$A$36,'Tourney History'!M:M, 1)</f>
        <v>0</v>
      </c>
      <c r="S36" s="2">
        <f>COUNTIFS('Tourney History'!$B:$B,$A$36,'Tourney History'!N:N, 1)</f>
        <v>0</v>
      </c>
      <c r="T36" s="2">
        <f>COUNTIFS('Tourney History'!$B:$B,$A$36,'Tourney History'!O:O, 1)</f>
        <v>1</v>
      </c>
      <c r="U36" s="2">
        <f>COUNTIFS('Tourney History'!$B:$B,$A$36,'Tourney History'!P:P, 1)</f>
        <v>2</v>
      </c>
      <c r="V36" s="2">
        <f>COUNTIFS('Tourney History'!$B:$B,$A$36,'Tourney History'!Q:Q, 1)</f>
        <v>0</v>
      </c>
      <c r="W36" s="2">
        <f>COUNTIFS('Tourney History'!$B:$B,$A$36,'Tourney History'!R:R, 1)</f>
        <v>0</v>
      </c>
      <c r="X36" s="2">
        <f>COUNTIFS('Tourney History'!$B:$B,$A$36,'Tourney History'!S:S, 1)</f>
        <v>0</v>
      </c>
      <c r="Y36" s="2">
        <f>COUNTIFS('Tourney History'!$B:$B,$A$36,'Tourney History'!T:T, 1)</f>
        <v>0</v>
      </c>
      <c r="Z36" s="2">
        <f>COUNTIFS('Tourney History'!$B:$B,$A$36,'Tourney History'!U:U, 1)</f>
        <v>0</v>
      </c>
      <c r="AA36" s="2">
        <f>COUNTIFS('Tourney History'!$B:$B,$A$36,'Tourney History'!V:V, 1)</f>
        <v>0</v>
      </c>
      <c r="AB36" s="2">
        <f>COUNTIFS('Tourney History'!$B:$B,$A$36,'Tourney History'!W:W, 1)</f>
        <v>3</v>
      </c>
      <c r="AC36" s="2">
        <f>COUNTIFS('Tourney History'!$B:$B,$A$36,'Tourney History'!X:X, 1)</f>
        <v>5</v>
      </c>
      <c r="AD36" s="2">
        <f>COUNTIFS('Tourney History'!$B:$B,$A$36,'Tourney History'!Y:Y, 1)</f>
        <v>2</v>
      </c>
      <c r="AE36" s="2">
        <f>COUNTIFS('Tourney History'!$B:$B,$A$36,'Tourney History'!Z:Z, 1)</f>
        <v>4</v>
      </c>
    </row>
    <row r="37" spans="1:31" ht="15.75" x14ac:dyDescent="0.25">
      <c r="A37" s="2" t="s">
        <v>155</v>
      </c>
      <c r="B37" s="97" t="s">
        <v>176</v>
      </c>
      <c r="C37" s="2" t="s">
        <v>79</v>
      </c>
      <c r="D37" s="34">
        <f>SUMIFS('Tourney History'!C:C,'Tourney History'!B:B,A37)</f>
        <v>123</v>
      </c>
      <c r="E37" s="4">
        <f>AVERAGEIFS('Tourney History'!C:C,'Tourney History'!B:B,A37)</f>
        <v>30.75</v>
      </c>
      <c r="F37" s="35">
        <f t="array" ref="F37">MAX(IF('Tourney History'!B:B=A37, 'Tourney History'!C:C))</f>
        <v>43</v>
      </c>
      <c r="G37" s="34">
        <f>COUNTIFS('Tourney History'!B:B,A37,'Tourney History'!D:D, 1)</f>
        <v>3</v>
      </c>
      <c r="H37" s="2">
        <f>COUNTIFS('Tourney History'!B:B,A37,'Tourney History'!D:D, 0)</f>
        <v>1</v>
      </c>
      <c r="I37" s="88">
        <f>LOOKUP(2, 1/('Tourney History'!$B:$B=A37), 'Tourney History'!$AD:$AD)</f>
        <v>0.75</v>
      </c>
      <c r="J37" s="34">
        <f>SUMIFS('Tourney History'!F:F,'Tourney History'!B:B,A37)</f>
        <v>10</v>
      </c>
      <c r="K37" s="2">
        <f>SUMIFS('Tourney History'!E:E,'Tourney History'!B:B,A37)-J37</f>
        <v>9</v>
      </c>
      <c r="L37" s="88">
        <f>LOOKUP(2, 1/('Tourney History'!$B:$B=A37), 'Tourney History'!$AB:$AB)</f>
        <v>0.51249999999999996</v>
      </c>
      <c r="M37" s="34">
        <f>SUMIFS('Tourney History'!H:H,'Tourney History'!B:B,A37)</f>
        <v>41</v>
      </c>
      <c r="N37" s="2">
        <f>SUMIFS('Tourney History'!G:G,'Tourney History'!B:B,A37)-M37</f>
        <v>36</v>
      </c>
      <c r="O37" s="88">
        <f>LOOKUP(2, 1/('Tourney History'!$B:$B=A37), 'Tourney History'!$AC:$AC)</f>
        <v>0.52499999999999991</v>
      </c>
      <c r="P37" s="2">
        <f>COUNTIFS('Tourney History'!$B:$B,$A$37,'Tourney History'!K:K, 1)</f>
        <v>1</v>
      </c>
      <c r="Q37" s="2">
        <f>COUNTIFS('Tourney History'!$B:$B,$A$37,'Tourney History'!L:L, 1)</f>
        <v>2</v>
      </c>
      <c r="R37" s="2">
        <f>COUNTIFS('Tourney History'!$B:$B,$A$37,'Tourney History'!M:M, 1)</f>
        <v>0</v>
      </c>
      <c r="S37" s="2">
        <f>COUNTIFS('Tourney History'!$B:$B,$A$37,'Tourney History'!N:N, 1)</f>
        <v>1</v>
      </c>
      <c r="T37" s="2">
        <f>COUNTIFS('Tourney History'!$B:$B,$A$37,'Tourney History'!O:O, 1)</f>
        <v>3</v>
      </c>
      <c r="U37" s="2">
        <f>COUNTIFS('Tourney History'!$B:$B,$A$37,'Tourney History'!P:P, 1)</f>
        <v>1</v>
      </c>
      <c r="V37" s="2">
        <f>COUNTIFS('Tourney History'!$B:$B,$A$37,'Tourney History'!Q:Q, 1)</f>
        <v>0</v>
      </c>
      <c r="W37" s="2">
        <f>COUNTIFS('Tourney History'!$B:$B,$A$37,'Tourney History'!R:R, 1)</f>
        <v>0</v>
      </c>
      <c r="X37" s="2">
        <f>COUNTIFS('Tourney History'!$B:$B,$A$37,'Tourney History'!S:S, 1)</f>
        <v>0</v>
      </c>
      <c r="Y37" s="2">
        <f>COUNTIFS('Tourney History'!$B:$B,$A$37,'Tourney History'!T:T, 1)</f>
        <v>0</v>
      </c>
      <c r="Z37" s="2">
        <f>COUNTIFS('Tourney History'!$B:$B,$A$37,'Tourney History'!U:U, 1)</f>
        <v>0</v>
      </c>
      <c r="AA37" s="2">
        <f>COUNTIFS('Tourney History'!$B:$B,$A$37,'Tourney History'!V:V, 1)</f>
        <v>0</v>
      </c>
      <c r="AB37" s="2">
        <f>COUNTIFS('Tourney History'!$B:$B,$A$37,'Tourney History'!W:W, 1)</f>
        <v>1</v>
      </c>
      <c r="AC37" s="2">
        <f>COUNTIFS('Tourney History'!$B:$B,$A$37,'Tourney History'!X:X, 1)</f>
        <v>1</v>
      </c>
      <c r="AD37" s="2">
        <f>COUNTIFS('Tourney History'!$B:$B,$A$37,'Tourney History'!Y:Y, 1)</f>
        <v>0</v>
      </c>
      <c r="AE37" s="2">
        <f>COUNTIFS('Tourney History'!$B:$B,$A$37,'Tourney History'!Z:Z, 1)</f>
        <v>0</v>
      </c>
    </row>
    <row r="38" spans="1:31" x14ac:dyDescent="0.25">
      <c r="A38" s="2" t="s">
        <v>6</v>
      </c>
      <c r="B38" s="2" t="s">
        <v>157</v>
      </c>
      <c r="C38" s="2" t="s">
        <v>79</v>
      </c>
      <c r="D38" s="34">
        <f>SUMIFS('Tourney History'!C:C,'Tourney History'!B:B,A38)</f>
        <v>293</v>
      </c>
      <c r="E38" s="4">
        <f>AVERAGEIFS('Tourney History'!C:C,'Tourney History'!B:B,A38)</f>
        <v>32.555555555555557</v>
      </c>
      <c r="F38" s="35">
        <f t="array" ref="F38">MAX(IF('Tourney History'!B:B=A38, 'Tourney History'!C:C))</f>
        <v>66</v>
      </c>
      <c r="G38" s="34">
        <f>COUNTIFS('Tourney History'!B:B,A38,'Tourney History'!D:D, 1)</f>
        <v>6</v>
      </c>
      <c r="H38" s="2">
        <f>COUNTIFS('Tourney History'!B:B,A38,'Tourney History'!D:D, 0)</f>
        <v>3</v>
      </c>
      <c r="I38" s="88">
        <f>LOOKUP(2, 1/('Tourney History'!$B:$B=A38), 'Tourney History'!$AD:$AD)</f>
        <v>0.66666666666666663</v>
      </c>
      <c r="J38" s="34">
        <f>SUMIFS('Tourney History'!F:F,'Tourney History'!B:B,A38)</f>
        <v>23</v>
      </c>
      <c r="K38" s="2">
        <f>SUMIFS('Tourney History'!E:E,'Tourney History'!B:B,A38)-J38</f>
        <v>15</v>
      </c>
      <c r="L38" s="88">
        <f>LOOKUP(2, 1/('Tourney History'!$B:$B=A38), 'Tourney History'!$AB:$AB)</f>
        <v>0.63888888888888884</v>
      </c>
      <c r="M38" s="34">
        <f>SUMIFS('Tourney History'!H:H,'Tourney History'!B:B,A38)</f>
        <v>84</v>
      </c>
      <c r="N38" s="2">
        <f>SUMIFS('Tourney History'!G:G,'Tourney History'!B:B,A38)-M38</f>
        <v>77</v>
      </c>
      <c r="O38" s="88">
        <f>LOOKUP(2, 1/('Tourney History'!$B:$B=A38), 'Tourney History'!$AC:$AC)</f>
        <v>0.53999999999999992</v>
      </c>
      <c r="P38" s="2">
        <f>COUNTIFS('Tourney History'!$B:$B,$A$38,'Tourney History'!K:K, 1)</f>
        <v>0</v>
      </c>
      <c r="Q38" s="2">
        <f>COUNTIFS('Tourney History'!$B:$B,$A$38,'Tourney History'!L:L, 1)</f>
        <v>3</v>
      </c>
      <c r="R38" s="2">
        <f>COUNTIFS('Tourney History'!$B:$B,$A$38,'Tourney History'!M:M, 1)</f>
        <v>3</v>
      </c>
      <c r="S38" s="2">
        <f>COUNTIFS('Tourney History'!$B:$B,$A$38,'Tourney History'!N:N, 1)</f>
        <v>2</v>
      </c>
      <c r="T38" s="2">
        <f>COUNTIFS('Tourney History'!$B:$B,$A$38,'Tourney History'!O:O, 1)</f>
        <v>2</v>
      </c>
      <c r="U38" s="2">
        <f>COUNTIFS('Tourney History'!$B:$B,$A$38,'Tourney History'!P:P, 1)</f>
        <v>3</v>
      </c>
      <c r="V38" s="2">
        <f>COUNTIFS('Tourney History'!$B:$B,$A$38,'Tourney History'!Q:Q, 1)</f>
        <v>0</v>
      </c>
      <c r="W38" s="2">
        <f>COUNTIFS('Tourney History'!$B:$B,$A$38,'Tourney History'!R:R, 1)</f>
        <v>1</v>
      </c>
      <c r="X38" s="2">
        <f>COUNTIFS('Tourney History'!$B:$B,$A$38,'Tourney History'!S:S, 1)</f>
        <v>0</v>
      </c>
      <c r="Y38" s="2">
        <f>COUNTIFS('Tourney History'!$B:$B,$A$38,'Tourney History'!T:T, 1)</f>
        <v>0</v>
      </c>
      <c r="Z38" s="2">
        <f>COUNTIFS('Tourney History'!$B:$B,$A$38,'Tourney History'!U:U, 1)</f>
        <v>0</v>
      </c>
      <c r="AA38" s="2">
        <f>COUNTIFS('Tourney History'!$B:$B,$A$38,'Tourney History'!V:V, 1)</f>
        <v>0</v>
      </c>
      <c r="AB38" s="2">
        <f>COUNTIFS('Tourney History'!$B:$B,$A$38,'Tourney History'!W:W, 1)</f>
        <v>4</v>
      </c>
      <c r="AC38" s="2">
        <f>COUNTIFS('Tourney History'!$B:$B,$A$38,'Tourney History'!X:X, 1)</f>
        <v>1</v>
      </c>
      <c r="AD38" s="2">
        <f>COUNTIFS('Tourney History'!$B:$B,$A$38,'Tourney History'!Y:Y, 1)</f>
        <v>2</v>
      </c>
      <c r="AE38" s="2">
        <f>COUNTIFS('Tourney History'!$B:$B,$A$38,'Tourney History'!Z:Z, 1)</f>
        <v>2</v>
      </c>
    </row>
    <row r="39" spans="1:31" ht="15.75" x14ac:dyDescent="0.25">
      <c r="A39" s="2" t="s">
        <v>18</v>
      </c>
      <c r="B39" s="97" t="s">
        <v>176</v>
      </c>
      <c r="C39" s="2" t="s">
        <v>79</v>
      </c>
      <c r="D39" s="34">
        <f>SUMIFS('Tourney History'!C:C,'Tourney History'!B:B,A39)</f>
        <v>363</v>
      </c>
      <c r="E39" s="4">
        <f>AVERAGEIFS('Tourney History'!C:C,'Tourney History'!B:B,A39)</f>
        <v>36.299999999999997</v>
      </c>
      <c r="F39" s="35">
        <f t="array" ref="F39">MAX(IF('Tourney History'!B:B=A39, 'Tourney History'!C:C))</f>
        <v>58</v>
      </c>
      <c r="G39" s="34">
        <f>COUNTIFS('Tourney History'!B:B,A39,'Tourney History'!D:D, 1)</f>
        <v>4</v>
      </c>
      <c r="H39" s="2">
        <f>COUNTIFS('Tourney History'!B:B,A39,'Tourney History'!D:D, 0)</f>
        <v>6</v>
      </c>
      <c r="I39" s="88">
        <f>LOOKUP(2, 1/('Tourney History'!$B:$B=A39), 'Tourney History'!$AD:$AD)</f>
        <v>0.4</v>
      </c>
      <c r="J39" s="34">
        <f>SUMIFS('Tourney History'!F:F,'Tourney History'!B:B,A39)</f>
        <v>21</v>
      </c>
      <c r="K39" s="2">
        <f>SUMIFS('Tourney History'!E:E,'Tourney History'!B:B,A39)-J39</f>
        <v>24</v>
      </c>
      <c r="L39" s="88">
        <f>LOOKUP(2, 1/('Tourney History'!$B:$B=A39), 'Tourney History'!$AB:$AB)</f>
        <v>0.46500000000000002</v>
      </c>
      <c r="M39" s="34">
        <f>SUMIFS('Tourney History'!H:H,'Tourney History'!B:B,A39)</f>
        <v>91</v>
      </c>
      <c r="N39" s="2">
        <f>SUMIFS('Tourney History'!G:G,'Tourney History'!B:B,A39)-M39</f>
        <v>96</v>
      </c>
      <c r="O39" s="88">
        <f>LOOKUP(2, 1/('Tourney History'!$B:$B=A39), 'Tourney History'!$AC:$AC)</f>
        <v>0.48599999999999993</v>
      </c>
      <c r="P39" s="2">
        <f>COUNTIFS('Tourney History'!$B:$B,$A$39,'Tourney History'!K:K, 1)</f>
        <v>2</v>
      </c>
      <c r="Q39" s="2">
        <f>COUNTIFS('Tourney History'!$B:$B,$A$39,'Tourney History'!L:L, 1)</f>
        <v>1</v>
      </c>
      <c r="R39" s="2">
        <f>COUNTIFS('Tourney History'!$B:$B,$A$39,'Tourney History'!M:M, 1)</f>
        <v>0</v>
      </c>
      <c r="S39" s="2">
        <f>COUNTIFS('Tourney History'!$B:$B,$A$39,'Tourney History'!N:N, 1)</f>
        <v>4</v>
      </c>
      <c r="T39" s="2">
        <f>COUNTIFS('Tourney History'!$B:$B,$A$39,'Tourney History'!O:O, 1)</f>
        <v>2</v>
      </c>
      <c r="U39" s="2">
        <f>COUNTIFS('Tourney History'!$B:$B,$A$39,'Tourney History'!P:P, 1)</f>
        <v>4</v>
      </c>
      <c r="V39" s="2">
        <f>COUNTIFS('Tourney History'!$B:$B,$A$39,'Tourney History'!Q:Q, 1)</f>
        <v>0</v>
      </c>
      <c r="W39" s="2">
        <f>COUNTIFS('Tourney History'!$B:$B,$A$39,'Tourney History'!R:R, 1)</f>
        <v>2</v>
      </c>
      <c r="X39" s="2">
        <f>COUNTIFS('Tourney History'!$B:$B,$A$39,'Tourney History'!S:S, 1)</f>
        <v>0</v>
      </c>
      <c r="Y39" s="2">
        <f>COUNTIFS('Tourney History'!$B:$B,$A$39,'Tourney History'!T:T, 1)</f>
        <v>0</v>
      </c>
      <c r="Z39" s="2">
        <f>COUNTIFS('Tourney History'!$B:$B,$A$39,'Tourney History'!U:U, 1)</f>
        <v>0</v>
      </c>
      <c r="AA39" s="2">
        <f>COUNTIFS('Tourney History'!$B:$B,$A$39,'Tourney History'!V:V, 1)</f>
        <v>0</v>
      </c>
      <c r="AB39" s="2">
        <f>COUNTIFS('Tourney History'!$B:$B,$A$39,'Tourney History'!W:W, 1)</f>
        <v>2</v>
      </c>
      <c r="AC39" s="2">
        <f>COUNTIFS('Tourney History'!$B:$B,$A$39,'Tourney History'!X:X, 1)</f>
        <v>3</v>
      </c>
      <c r="AD39" s="2">
        <f>COUNTIFS('Tourney History'!$B:$B,$A$39,'Tourney History'!Y:Y, 1)</f>
        <v>0</v>
      </c>
      <c r="AE39" s="2">
        <f>COUNTIFS('Tourney History'!$B:$B,$A$39,'Tourney History'!Z:Z, 1)</f>
        <v>1</v>
      </c>
    </row>
    <row r="40" spans="1:31" x14ac:dyDescent="0.25">
      <c r="A40" s="2" t="s">
        <v>113</v>
      </c>
      <c r="B40" s="2" t="s">
        <v>79</v>
      </c>
      <c r="C40" s="2" t="s">
        <v>79</v>
      </c>
      <c r="D40" s="34">
        <f>SUMIFS('Tourney History'!C:C,'Tourney History'!B:B,A40)</f>
        <v>99</v>
      </c>
      <c r="E40" s="4">
        <f>AVERAGEIFS('Tourney History'!C:C,'Tourney History'!B:B,A40)</f>
        <v>49.5</v>
      </c>
      <c r="F40" s="35">
        <f t="array" ref="F40">MAX(IF('Tourney History'!B:B=A40, 'Tourney History'!C:C))</f>
        <v>50</v>
      </c>
      <c r="G40" s="34">
        <f>COUNTIFS('Tourney History'!B:B,A40,'Tourney History'!D:D, 1)</f>
        <v>1</v>
      </c>
      <c r="H40" s="2">
        <f>COUNTIFS('Tourney History'!B:B,A40,'Tourney History'!D:D, 0)</f>
        <v>1</v>
      </c>
      <c r="I40" s="88">
        <f>LOOKUP(2, 1/('Tourney History'!$B:$B=A40), 'Tourney History'!$AD:$AD)</f>
        <v>0.5</v>
      </c>
      <c r="J40" s="34">
        <f>SUMIFS('Tourney History'!F:F,'Tourney History'!B:B,A40)</f>
        <v>5</v>
      </c>
      <c r="K40" s="2">
        <f>SUMIFS('Tourney History'!E:E,'Tourney History'!B:B,A40)-J40</f>
        <v>5</v>
      </c>
      <c r="L40" s="88">
        <f>LOOKUP(2, 1/('Tourney History'!$B:$B=A40), 'Tourney History'!$AB:$AB)</f>
        <v>0.5</v>
      </c>
      <c r="M40" s="34">
        <f>SUMIFS('Tourney History'!H:H,'Tourney History'!B:B,A40)</f>
        <v>21</v>
      </c>
      <c r="N40" s="2">
        <f>SUMIFS('Tourney History'!G:G,'Tourney History'!B:B,A40)-M40</f>
        <v>23</v>
      </c>
      <c r="O40" s="88">
        <f>LOOKUP(2, 1/('Tourney History'!$B:$B=A40), 'Tourney History'!$AC:$AC)</f>
        <v>0.47499999999999998</v>
      </c>
      <c r="P40" s="2">
        <f>COUNTIFS('Tourney History'!$B:$B,$A$40,'Tourney History'!K:K, 1)</f>
        <v>0</v>
      </c>
      <c r="Q40" s="2">
        <f>COUNTIFS('Tourney History'!$B:$B,$A$40,'Tourney History'!L:L, 1)</f>
        <v>1</v>
      </c>
      <c r="R40" s="2">
        <f>COUNTIFS('Tourney History'!$B:$B,$A$40,'Tourney History'!M:M, 1)</f>
        <v>1</v>
      </c>
      <c r="S40" s="2">
        <f>COUNTIFS('Tourney History'!$B:$B,$A$40,'Tourney History'!N:N, 1)</f>
        <v>2</v>
      </c>
      <c r="T40" s="2">
        <f>COUNTIFS('Tourney History'!$B:$B,$A$40,'Tourney History'!O:O, 1)</f>
        <v>1</v>
      </c>
      <c r="U40" s="2">
        <f>COUNTIFS('Tourney History'!$B:$B,$A$40,'Tourney History'!P:P, 1)</f>
        <v>0</v>
      </c>
      <c r="V40" s="2">
        <f>COUNTIFS('Tourney History'!$B:$B,$A$40,'Tourney History'!Q:Q, 1)</f>
        <v>0</v>
      </c>
      <c r="W40" s="2">
        <f>COUNTIFS('Tourney History'!$B:$B,$A$40,'Tourney History'!R:R, 1)</f>
        <v>0</v>
      </c>
      <c r="X40" s="2">
        <f>COUNTIFS('Tourney History'!$B:$B,$A$40,'Tourney History'!S:S, 1)</f>
        <v>0</v>
      </c>
      <c r="Y40" s="2">
        <f>COUNTIFS('Tourney History'!$B:$B,$A$40,'Tourney History'!T:T, 1)</f>
        <v>0</v>
      </c>
      <c r="Z40" s="2">
        <f>COUNTIFS('Tourney History'!$B:$B,$A$40,'Tourney History'!U:U, 1)</f>
        <v>0</v>
      </c>
      <c r="AA40" s="2">
        <f>COUNTIFS('Tourney History'!$B:$B,$A$40,'Tourney History'!V:V, 1)</f>
        <v>0</v>
      </c>
      <c r="AB40" s="2">
        <f>COUNTIFS('Tourney History'!$B:$B,$A$40,'Tourney History'!W:W, 1)</f>
        <v>0</v>
      </c>
      <c r="AC40" s="2">
        <f>COUNTIFS('Tourney History'!$B:$B,$A$40,'Tourney History'!X:X, 1)</f>
        <v>0</v>
      </c>
      <c r="AD40" s="2">
        <f>COUNTIFS('Tourney History'!$B:$B,$A$40,'Tourney History'!Y:Y, 1)</f>
        <v>0</v>
      </c>
      <c r="AE40" s="2">
        <f>COUNTIFS('Tourney History'!$B:$B,$A$40,'Tourney History'!Z:Z, 1)</f>
        <v>0</v>
      </c>
    </row>
    <row r="41" spans="1:31" x14ac:dyDescent="0.25">
      <c r="A41" s="2" t="s">
        <v>14</v>
      </c>
      <c r="B41" s="6" t="s">
        <v>124</v>
      </c>
      <c r="C41" s="6" t="s">
        <v>160</v>
      </c>
      <c r="D41" s="34">
        <f>SUMIFS('Tourney History'!C:C,'Tourney History'!B:B,A41)</f>
        <v>427</v>
      </c>
      <c r="E41" s="4">
        <f>AVERAGEIFS('Tourney History'!C:C,'Tourney History'!B:B,A41)</f>
        <v>38.81818181818182</v>
      </c>
      <c r="F41" s="35">
        <f t="array" ref="F41">MAX(IF('Tourney History'!B:B=A41, 'Tourney History'!C:C))</f>
        <v>56</v>
      </c>
      <c r="G41" s="34">
        <f>COUNTIFS('Tourney History'!B:B,A41,'Tourney History'!D:D, 1)</f>
        <v>6</v>
      </c>
      <c r="H41" s="2">
        <f>COUNTIFS('Tourney History'!B:B,A41,'Tourney History'!D:D, 0)</f>
        <v>5</v>
      </c>
      <c r="I41" s="88">
        <f>LOOKUP(2, 1/('Tourney History'!$B:$B=A41), 'Tourney History'!$AD:$AD)</f>
        <v>0.54545454545454541</v>
      </c>
      <c r="J41" s="34">
        <f>SUMIFS('Tourney History'!F:F,'Tourney History'!B:B,A41)</f>
        <v>24</v>
      </c>
      <c r="K41" s="2">
        <f>SUMIFS('Tourney History'!E:E,'Tourney History'!B:B,A41)-J41</f>
        <v>24</v>
      </c>
      <c r="L41" s="88">
        <f>LOOKUP(2, 1/('Tourney History'!$B:$B=A41), 'Tourney History'!$AB:$AB)</f>
        <v>0.50454545454545452</v>
      </c>
      <c r="M41" s="34">
        <f>SUMIFS('Tourney History'!H:H,'Tourney History'!B:B,A41)</f>
        <v>104</v>
      </c>
      <c r="N41" s="2">
        <f>SUMIFS('Tourney History'!G:G,'Tourney History'!B:B,A41)-M41</f>
        <v>101</v>
      </c>
      <c r="O41" s="88">
        <f>LOOKUP(2, 1/('Tourney History'!$B:$B=A41), 'Tourney History'!$AC:$AC)</f>
        <v>0.51181818181818184</v>
      </c>
      <c r="P41" s="2">
        <f>COUNTIFS('Tourney History'!$B:$B,$A$41,'Tourney History'!K:K, 1)</f>
        <v>1</v>
      </c>
      <c r="Q41" s="2">
        <f>COUNTIFS('Tourney History'!$B:$B,$A$41,'Tourney History'!L:L, 1)</f>
        <v>3</v>
      </c>
      <c r="R41" s="2">
        <f>COUNTIFS('Tourney History'!$B:$B,$A$41,'Tourney History'!M:M, 1)</f>
        <v>2</v>
      </c>
      <c r="S41" s="2">
        <f>COUNTIFS('Tourney History'!$B:$B,$A$41,'Tourney History'!N:N, 1)</f>
        <v>0</v>
      </c>
      <c r="T41" s="2">
        <f>COUNTIFS('Tourney History'!$B:$B,$A$41,'Tourney History'!O:O, 1)</f>
        <v>4</v>
      </c>
      <c r="U41" s="2">
        <f>COUNTIFS('Tourney History'!$B:$B,$A$41,'Tourney History'!P:P, 1)</f>
        <v>1</v>
      </c>
      <c r="V41" s="2">
        <f>COUNTIFS('Tourney History'!$B:$B,$A$41,'Tourney History'!Q:Q, 1)</f>
        <v>0</v>
      </c>
      <c r="W41" s="2">
        <f>COUNTIFS('Tourney History'!$B:$B,$A$41,'Tourney History'!R:R, 1)</f>
        <v>0</v>
      </c>
      <c r="X41" s="2">
        <f>COUNTIFS('Tourney History'!$B:$B,$A$41,'Tourney History'!S:S, 1)</f>
        <v>0</v>
      </c>
      <c r="Y41" s="2">
        <f>COUNTIFS('Tourney History'!$B:$B,$A$41,'Tourney History'!T:T, 1)</f>
        <v>0</v>
      </c>
      <c r="Z41" s="2">
        <f>COUNTIFS('Tourney History'!$B:$B,$A$41,'Tourney History'!U:U, 1)</f>
        <v>0</v>
      </c>
      <c r="AA41" s="2">
        <f>COUNTIFS('Tourney History'!$B:$B,$A$41,'Tourney History'!V:V, 1)</f>
        <v>0</v>
      </c>
      <c r="AB41" s="2">
        <f>COUNTIFS('Tourney History'!$B:$B,$A$41,'Tourney History'!W:W, 1)</f>
        <v>4</v>
      </c>
      <c r="AC41" s="2">
        <f>COUNTIFS('Tourney History'!$B:$B,$A$41,'Tourney History'!X:X, 1)</f>
        <v>6</v>
      </c>
      <c r="AD41" s="2">
        <f>COUNTIFS('Tourney History'!$B:$B,$A$41,'Tourney History'!Y:Y, 1)</f>
        <v>0</v>
      </c>
      <c r="AE41" s="2">
        <f>COUNTIFS('Tourney History'!$B:$B,$A$41,'Tourney History'!Z:Z, 1)</f>
        <v>3</v>
      </c>
    </row>
    <row r="42" spans="1:31" x14ac:dyDescent="0.25">
      <c r="A42" s="2" t="s">
        <v>70</v>
      </c>
      <c r="B42" s="6" t="s">
        <v>79</v>
      </c>
      <c r="C42" s="6" t="s">
        <v>79</v>
      </c>
      <c r="D42" s="34">
        <f>SUMIFS('Tourney History'!C:C,'Tourney History'!B:B,A42)</f>
        <v>88</v>
      </c>
      <c r="E42" s="4">
        <f>AVERAGEIFS('Tourney History'!C:C,'Tourney History'!B:B,A42)</f>
        <v>22</v>
      </c>
      <c r="F42" s="35">
        <f t="array" ref="F42">MAX(IF('Tourney History'!B:B=A42, 'Tourney History'!C:C))</f>
        <v>27</v>
      </c>
      <c r="G42" s="34">
        <f>COUNTIFS('Tourney History'!B:B,A42,'Tourney History'!D:D, 1)</f>
        <v>2</v>
      </c>
      <c r="H42" s="2">
        <f>COUNTIFS('Tourney History'!B:B,A42,'Tourney History'!D:D, 0)</f>
        <v>2</v>
      </c>
      <c r="I42" s="88">
        <f>LOOKUP(2, 1/('Tourney History'!$B:$B=A42), 'Tourney History'!$AD:$AD)</f>
        <v>0.5</v>
      </c>
      <c r="J42" s="34">
        <f>SUMIFS('Tourney History'!F:F,'Tourney History'!B:B,A42)</f>
        <v>10</v>
      </c>
      <c r="K42" s="2">
        <f>SUMIFS('Tourney History'!E:E,'Tourney History'!B:B,A42)-J42</f>
        <v>10</v>
      </c>
      <c r="L42" s="88">
        <f>LOOKUP(2, 1/('Tourney History'!$B:$B=A42), 'Tourney History'!$AB:$AB)</f>
        <v>0.5</v>
      </c>
      <c r="M42" s="34">
        <f>SUMIFS('Tourney History'!H:H,'Tourney History'!B:B,A42)</f>
        <v>42</v>
      </c>
      <c r="N42" s="2">
        <f>SUMIFS('Tourney History'!G:G,'Tourney History'!B:B,A42)-M42</f>
        <v>40</v>
      </c>
      <c r="O42" s="88">
        <f>LOOKUP(2, 1/('Tourney History'!$B:$B=A42), 'Tourney History'!$AC:$AC)</f>
        <v>0.51749999999999996</v>
      </c>
      <c r="P42" s="2">
        <f>COUNTIFS('Tourney History'!$B:$B,$A$42,'Tourney History'!K:K, 1)</f>
        <v>1</v>
      </c>
      <c r="Q42" s="2">
        <f>COUNTIFS('Tourney History'!$B:$B,$A$42,'Tourney History'!L:L, 1)</f>
        <v>0</v>
      </c>
      <c r="R42" s="2">
        <f>COUNTIFS('Tourney History'!$B:$B,$A$42,'Tourney History'!M:M, 1)</f>
        <v>0</v>
      </c>
      <c r="S42" s="2">
        <f>COUNTIFS('Tourney History'!$B:$B,$A$42,'Tourney History'!N:N, 1)</f>
        <v>1</v>
      </c>
      <c r="T42" s="2">
        <f>COUNTIFS('Tourney History'!$B:$B,$A$42,'Tourney History'!O:O, 1)</f>
        <v>2</v>
      </c>
      <c r="U42" s="2">
        <f>COUNTIFS('Tourney History'!$B:$B,$A$42,'Tourney History'!P:P, 1)</f>
        <v>0</v>
      </c>
      <c r="V42" s="2">
        <f>COUNTIFS('Tourney History'!$B:$B,$A$42,'Tourney History'!Q:Q, 1)</f>
        <v>0</v>
      </c>
      <c r="W42" s="2">
        <f>COUNTIFS('Tourney History'!$B:$B,$A$42,'Tourney History'!R:R, 1)</f>
        <v>1</v>
      </c>
      <c r="X42" s="2">
        <f>COUNTIFS('Tourney History'!$B:$B,$A$42,'Tourney History'!S:S, 1)</f>
        <v>0</v>
      </c>
      <c r="Y42" s="2">
        <f>COUNTIFS('Tourney History'!$B:$B,$A$42,'Tourney History'!T:T, 1)</f>
        <v>0</v>
      </c>
      <c r="Z42" s="2">
        <f>COUNTIFS('Tourney History'!$B:$B,$A$42,'Tourney History'!U:U, 1)</f>
        <v>0</v>
      </c>
      <c r="AA42" s="2">
        <f>COUNTIFS('Tourney History'!$B:$B,$A$42,'Tourney History'!V:V, 1)</f>
        <v>0</v>
      </c>
      <c r="AB42" s="2">
        <f>COUNTIFS('Tourney History'!$B:$B,$A$42,'Tourney History'!W:W, 1)</f>
        <v>0</v>
      </c>
      <c r="AC42" s="2">
        <f>COUNTIFS('Tourney History'!$B:$B,$A$42,'Tourney History'!X:X, 1)</f>
        <v>2</v>
      </c>
      <c r="AD42" s="2">
        <f>COUNTIFS('Tourney History'!$B:$B,$A$42,'Tourney History'!Y:Y, 1)</f>
        <v>1</v>
      </c>
      <c r="AE42" s="2">
        <f>COUNTIFS('Tourney History'!$B:$B,$A$42,'Tourney History'!Z:Z, 1)</f>
        <v>2</v>
      </c>
    </row>
    <row r="43" spans="1:31" x14ac:dyDescent="0.25">
      <c r="A43" s="2" t="s">
        <v>4</v>
      </c>
      <c r="B43" s="6" t="s">
        <v>175</v>
      </c>
      <c r="C43" s="2" t="s">
        <v>79</v>
      </c>
      <c r="D43" s="34">
        <f>SUMIFS('Tourney History'!C:C,'Tourney History'!B:B,A43)</f>
        <v>160</v>
      </c>
      <c r="E43" s="4">
        <f>AVERAGEIFS('Tourney History'!C:C,'Tourney History'!B:B,A43)</f>
        <v>26.666666666666668</v>
      </c>
      <c r="F43" s="35">
        <f t="array" ref="F43">MAX(IF('Tourney History'!B:B=A43, 'Tourney History'!C:C))</f>
        <v>46</v>
      </c>
      <c r="G43" s="34">
        <f>COUNTIFS('Tourney History'!B:B,A43,'Tourney History'!D:D, 1)</f>
        <v>5</v>
      </c>
      <c r="H43" s="2">
        <f>COUNTIFS('Tourney History'!B:B,A43,'Tourney History'!D:D, 0)</f>
        <v>1</v>
      </c>
      <c r="I43" s="88">
        <f>LOOKUP(2, 1/('Tourney History'!$B:$B=A43), 'Tourney History'!$AD:$AD)</f>
        <v>0.83333333333333337</v>
      </c>
      <c r="J43" s="34">
        <f>SUMIFS('Tourney History'!F:F,'Tourney History'!B:B,A43)</f>
        <v>15</v>
      </c>
      <c r="K43" s="2">
        <f>SUMIFS('Tourney History'!E:E,'Tourney History'!B:B,A43)-J43</f>
        <v>11</v>
      </c>
      <c r="L43" s="88">
        <f>LOOKUP(2, 1/('Tourney History'!$B:$B=A43), 'Tourney History'!$AB:$AB)</f>
        <v>0.55000000000000004</v>
      </c>
      <c r="M43" s="34">
        <f>SUMIFS('Tourney History'!H:H,'Tourney History'!B:B,A43)</f>
        <v>56</v>
      </c>
      <c r="N43" s="2">
        <f>SUMIFS('Tourney History'!G:G,'Tourney History'!B:B,A43)-M43</f>
        <v>48</v>
      </c>
      <c r="O43" s="88">
        <f>LOOKUP(2, 1/('Tourney History'!$B:$B=A43), 'Tourney History'!$AC:$AC)</f>
        <v>0.51500000000000001</v>
      </c>
      <c r="P43" s="2">
        <f>COUNTIFS('Tourney History'!$B:$B,$A$43,'Tourney History'!K:K, 1)</f>
        <v>2</v>
      </c>
      <c r="Q43" s="2">
        <f>COUNTIFS('Tourney History'!$B:$B,$A$43,'Tourney History'!L:L, 1)</f>
        <v>2</v>
      </c>
      <c r="R43" s="2">
        <f>COUNTIFS('Tourney History'!$B:$B,$A$43,'Tourney History'!M:M, 1)</f>
        <v>1</v>
      </c>
      <c r="S43" s="2">
        <f>COUNTIFS('Tourney History'!$B:$B,$A$43,'Tourney History'!N:N, 1)</f>
        <v>1</v>
      </c>
      <c r="T43" s="2">
        <f>COUNTIFS('Tourney History'!$B:$B,$A$43,'Tourney History'!O:O, 1)</f>
        <v>3</v>
      </c>
      <c r="U43" s="2">
        <f>COUNTIFS('Tourney History'!$B:$B,$A$43,'Tourney History'!P:P, 1)</f>
        <v>2</v>
      </c>
      <c r="V43" s="2">
        <f>COUNTIFS('Tourney History'!$B:$B,$A$43,'Tourney History'!Q:Q, 1)</f>
        <v>0</v>
      </c>
      <c r="W43" s="2">
        <f>COUNTIFS('Tourney History'!$B:$B,$A$43,'Tourney History'!R:R, 1)</f>
        <v>0</v>
      </c>
      <c r="X43" s="2">
        <f>COUNTIFS('Tourney History'!$B:$B,$A$43,'Tourney History'!S:S, 1)</f>
        <v>0</v>
      </c>
      <c r="Y43" s="2">
        <f>COUNTIFS('Tourney History'!$B:$B,$A$43,'Tourney History'!T:T, 1)</f>
        <v>0</v>
      </c>
      <c r="Z43" s="2">
        <f>COUNTIFS('Tourney History'!$B:$B,$A$43,'Tourney History'!U:U, 1)</f>
        <v>0</v>
      </c>
      <c r="AA43" s="2">
        <f>COUNTIFS('Tourney History'!$B:$B,$A$43,'Tourney History'!V:V, 1)</f>
        <v>0</v>
      </c>
      <c r="AB43" s="2">
        <f>COUNTIFS('Tourney History'!$B:$B,$A$43,'Tourney History'!W:W, 1)</f>
        <v>1</v>
      </c>
      <c r="AC43" s="2">
        <f>COUNTIFS('Tourney History'!$B:$B,$A$43,'Tourney History'!X:X, 1)</f>
        <v>1</v>
      </c>
      <c r="AD43" s="2">
        <f>COUNTIFS('Tourney History'!$B:$B,$A$43,'Tourney History'!Y:Y, 1)</f>
        <v>1</v>
      </c>
      <c r="AE43" s="2">
        <f>COUNTIFS('Tourney History'!$B:$B,$A$43,'Tourney History'!Z:Z, 1)</f>
        <v>1</v>
      </c>
    </row>
    <row r="44" spans="1:31" x14ac:dyDescent="0.25">
      <c r="A44" s="2" t="s">
        <v>55</v>
      </c>
      <c r="B44" s="2" t="s">
        <v>79</v>
      </c>
      <c r="C44" s="2" t="s">
        <v>79</v>
      </c>
      <c r="D44" s="34">
        <f>SUMIFS('Tourney History'!C:C,'Tourney History'!B:B,A44)</f>
        <v>18</v>
      </c>
      <c r="E44" s="4">
        <f>AVERAGEIFS('Tourney History'!C:C,'Tourney History'!B:B,A44)</f>
        <v>9</v>
      </c>
      <c r="F44" s="35">
        <f t="array" ref="F44">MAX(IF('Tourney History'!B:B=A44, 'Tourney History'!C:C))</f>
        <v>12</v>
      </c>
      <c r="G44" s="34">
        <f>COUNTIFS('Tourney History'!B:B,A44,'Tourney History'!D:D, 1)</f>
        <v>1</v>
      </c>
      <c r="H44" s="2">
        <f>COUNTIFS('Tourney History'!B:B,A44,'Tourney History'!D:D, 0)</f>
        <v>1</v>
      </c>
      <c r="I44" s="88">
        <f>LOOKUP(2, 1/('Tourney History'!$B:$B=A44), 'Tourney History'!$AD:$AD)</f>
        <v>0.5</v>
      </c>
      <c r="J44" s="34">
        <f>SUMIFS('Tourney History'!F:F,'Tourney History'!B:B,A44)</f>
        <v>4</v>
      </c>
      <c r="K44" s="2">
        <f>SUMIFS('Tourney History'!E:E,'Tourney History'!B:B,A44)-J44</f>
        <v>5</v>
      </c>
      <c r="L44" s="88">
        <f>LOOKUP(2, 1/('Tourney History'!$B:$B=A44), 'Tourney History'!$AB:$AB)</f>
        <v>0.42499999999999999</v>
      </c>
      <c r="M44" s="34">
        <f>SUMIFS('Tourney History'!H:H,'Tourney History'!B:B,A44)</f>
        <v>18</v>
      </c>
      <c r="N44" s="2">
        <f>SUMIFS('Tourney History'!G:G,'Tourney History'!B:B,A44)-M44</f>
        <v>19</v>
      </c>
      <c r="O44" s="88">
        <f>LOOKUP(2, 1/('Tourney History'!$B:$B=A44), 'Tourney History'!$AC:$AC)</f>
        <v>0.47499999999999998</v>
      </c>
      <c r="P44" s="2">
        <f>COUNTIFS('Tourney History'!$B:$B,$A$44,'Tourney History'!K:K, 1)</f>
        <v>0</v>
      </c>
      <c r="Q44" s="2">
        <f>COUNTIFS('Tourney History'!$B:$B,$A$44,'Tourney History'!L:L, 1)</f>
        <v>0</v>
      </c>
      <c r="R44" s="2">
        <f>COUNTIFS('Tourney History'!$B:$B,$A$44,'Tourney History'!M:M, 1)</f>
        <v>0</v>
      </c>
      <c r="S44" s="2">
        <f>COUNTIFS('Tourney History'!$B:$B,$A$44,'Tourney History'!N:N, 1)</f>
        <v>1</v>
      </c>
      <c r="T44" s="2">
        <f>COUNTIFS('Tourney History'!$B:$B,$A$44,'Tourney History'!O:O, 1)</f>
        <v>1</v>
      </c>
      <c r="U44" s="2">
        <f>COUNTIFS('Tourney History'!$B:$B,$A$44,'Tourney History'!P:P, 1)</f>
        <v>0</v>
      </c>
      <c r="V44" s="2">
        <f>COUNTIFS('Tourney History'!$B:$B,$A$44,'Tourney History'!Q:Q, 1)</f>
        <v>1</v>
      </c>
      <c r="W44" s="2">
        <f>COUNTIFS('Tourney History'!$B:$B,$A$44,'Tourney History'!R:R, 1)</f>
        <v>0</v>
      </c>
      <c r="X44" s="2">
        <f>COUNTIFS('Tourney History'!$B:$B,$A$44,'Tourney History'!S:S, 1)</f>
        <v>0</v>
      </c>
      <c r="Y44" s="2">
        <f>COUNTIFS('Tourney History'!$B:$B,$A$44,'Tourney History'!T:T, 1)</f>
        <v>0</v>
      </c>
      <c r="Z44" s="2">
        <f>COUNTIFS('Tourney History'!$B:$B,$A$44,'Tourney History'!U:U, 1)</f>
        <v>0</v>
      </c>
      <c r="AA44" s="2">
        <f>COUNTIFS('Tourney History'!$B:$B,$A$44,'Tourney History'!V:V, 1)</f>
        <v>0</v>
      </c>
      <c r="AB44" s="2">
        <f>COUNTIFS('Tourney History'!$B:$B,$A$44,'Tourney History'!W:W, 1)</f>
        <v>0</v>
      </c>
      <c r="AC44" s="2">
        <f>COUNTIFS('Tourney History'!$B:$B,$A$44,'Tourney History'!X:X, 1)</f>
        <v>1</v>
      </c>
      <c r="AD44" s="2">
        <f>COUNTIFS('Tourney History'!$B:$B,$A$44,'Tourney History'!Y:Y, 1)</f>
        <v>0</v>
      </c>
      <c r="AE44" s="2">
        <f>COUNTIFS('Tourney History'!$B:$B,$A$44,'Tourney History'!Z:Z, 1)</f>
        <v>0</v>
      </c>
    </row>
  </sheetData>
  <autoFilter ref="A1:AE44" xr:uid="{EEC03B8F-669F-4FC0-BA62-50F3D395660C}"/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8E3A36-7401-430D-8F92-98AE1169C25F}">
  <dimension ref="A1:D26"/>
  <sheetViews>
    <sheetView workbookViewId="0">
      <selection activeCell="H31" sqref="H31"/>
    </sheetView>
  </sheetViews>
  <sheetFormatPr defaultRowHeight="15" x14ac:dyDescent="0.25"/>
  <cols>
    <col min="1" max="1" width="55" bestFit="1" customWidth="1"/>
    <col min="2" max="2" width="10.42578125" bestFit="1" customWidth="1"/>
    <col min="3" max="3" width="11.28515625" bestFit="1" customWidth="1"/>
  </cols>
  <sheetData>
    <row r="1" spans="1:4" ht="15.75" thickBot="1" x14ac:dyDescent="0.3">
      <c r="A1" s="98" t="s">
        <v>180</v>
      </c>
      <c r="B1" s="98" t="s">
        <v>181</v>
      </c>
      <c r="C1" s="98" t="s">
        <v>183</v>
      </c>
      <c r="D1" s="98" t="s">
        <v>182</v>
      </c>
    </row>
    <row r="2" spans="1:4" x14ac:dyDescent="0.25">
      <c r="A2" t="s">
        <v>187</v>
      </c>
      <c r="B2" s="99" t="s">
        <v>186</v>
      </c>
      <c r="C2" t="s">
        <v>190</v>
      </c>
      <c r="D2" t="s">
        <v>185</v>
      </c>
    </row>
    <row r="3" spans="1:4" x14ac:dyDescent="0.25">
      <c r="A3" t="s">
        <v>188</v>
      </c>
      <c r="B3" s="99" t="s">
        <v>189</v>
      </c>
      <c r="C3" t="s">
        <v>190</v>
      </c>
      <c r="D3" t="s">
        <v>191</v>
      </c>
    </row>
    <row r="4" spans="1:4" x14ac:dyDescent="0.25">
      <c r="A4" t="s">
        <v>187</v>
      </c>
      <c r="B4" s="99" t="s">
        <v>192</v>
      </c>
      <c r="C4" t="s">
        <v>190</v>
      </c>
      <c r="D4" t="s">
        <v>185</v>
      </c>
    </row>
    <row r="5" spans="1:4" x14ac:dyDescent="0.25">
      <c r="A5" t="s">
        <v>188</v>
      </c>
      <c r="B5" s="99" t="s">
        <v>193</v>
      </c>
      <c r="C5" t="s">
        <v>190</v>
      </c>
      <c r="D5" t="s">
        <v>191</v>
      </c>
    </row>
    <row r="6" spans="1:4" x14ac:dyDescent="0.25">
      <c r="A6" t="s">
        <v>187</v>
      </c>
      <c r="B6" s="99" t="s">
        <v>194</v>
      </c>
      <c r="C6" t="s">
        <v>190</v>
      </c>
      <c r="D6" t="s">
        <v>185</v>
      </c>
    </row>
    <row r="7" spans="1:4" x14ac:dyDescent="0.25">
      <c r="A7" t="s">
        <v>188</v>
      </c>
      <c r="B7" s="99" t="s">
        <v>195</v>
      </c>
      <c r="C7" t="s">
        <v>190</v>
      </c>
      <c r="D7" t="s">
        <v>191</v>
      </c>
    </row>
    <row r="8" spans="1:4" x14ac:dyDescent="0.25">
      <c r="A8" t="s">
        <v>187</v>
      </c>
      <c r="B8" s="99" t="s">
        <v>201</v>
      </c>
      <c r="C8" t="s">
        <v>190</v>
      </c>
      <c r="D8" t="s">
        <v>185</v>
      </c>
    </row>
    <row r="9" spans="1:4" x14ac:dyDescent="0.25">
      <c r="A9" t="s">
        <v>188</v>
      </c>
      <c r="B9" s="99" t="s">
        <v>202</v>
      </c>
      <c r="C9" t="s">
        <v>190</v>
      </c>
      <c r="D9" t="s">
        <v>191</v>
      </c>
    </row>
    <row r="10" spans="1:4" x14ac:dyDescent="0.25">
      <c r="A10" t="s">
        <v>187</v>
      </c>
      <c r="B10" s="99" t="s">
        <v>203</v>
      </c>
      <c r="C10" t="s">
        <v>190</v>
      </c>
      <c r="D10" t="s">
        <v>185</v>
      </c>
    </row>
    <row r="11" spans="1:4" x14ac:dyDescent="0.25">
      <c r="A11" t="s">
        <v>188</v>
      </c>
      <c r="B11" s="99" t="s">
        <v>204</v>
      </c>
      <c r="C11" t="s">
        <v>190</v>
      </c>
      <c r="D11" t="s">
        <v>191</v>
      </c>
    </row>
    <row r="12" spans="1:4" x14ac:dyDescent="0.25">
      <c r="A12" t="s">
        <v>206</v>
      </c>
      <c r="B12" s="99" t="s">
        <v>208</v>
      </c>
      <c r="C12" t="s">
        <v>207</v>
      </c>
      <c r="D12" t="s">
        <v>184</v>
      </c>
    </row>
    <row r="13" spans="1:4" x14ac:dyDescent="0.25">
      <c r="A13" t="s">
        <v>228</v>
      </c>
      <c r="B13" s="99" t="s">
        <v>229</v>
      </c>
      <c r="C13" t="s">
        <v>230</v>
      </c>
      <c r="D13" t="s">
        <v>184</v>
      </c>
    </row>
    <row r="14" spans="1:4" x14ac:dyDescent="0.25">
      <c r="A14" t="s">
        <v>226</v>
      </c>
      <c r="B14" s="99" t="s">
        <v>201</v>
      </c>
      <c r="C14" t="s">
        <v>227</v>
      </c>
      <c r="D14" t="s">
        <v>184</v>
      </c>
    </row>
    <row r="15" spans="1:4" x14ac:dyDescent="0.25">
      <c r="A15" t="s">
        <v>196</v>
      </c>
      <c r="B15" s="99" t="s">
        <v>197</v>
      </c>
      <c r="C15" t="s">
        <v>198</v>
      </c>
      <c r="D15" t="s">
        <v>205</v>
      </c>
    </row>
    <row r="16" spans="1:4" x14ac:dyDescent="0.25">
      <c r="A16" t="s">
        <v>199</v>
      </c>
      <c r="B16" s="99" t="s">
        <v>200</v>
      </c>
      <c r="C16" t="s">
        <v>198</v>
      </c>
      <c r="D16" t="s">
        <v>205</v>
      </c>
    </row>
    <row r="17" spans="1:4" x14ac:dyDescent="0.25">
      <c r="A17" t="s">
        <v>209</v>
      </c>
      <c r="B17" s="99" t="s">
        <v>210</v>
      </c>
      <c r="C17" t="s">
        <v>211</v>
      </c>
      <c r="D17" t="s">
        <v>184</v>
      </c>
    </row>
    <row r="18" spans="1:4" x14ac:dyDescent="0.25">
      <c r="A18" t="s">
        <v>221</v>
      </c>
      <c r="B18" s="99" t="s">
        <v>222</v>
      </c>
      <c r="C18" t="s">
        <v>223</v>
      </c>
      <c r="D18" t="s">
        <v>205</v>
      </c>
    </row>
    <row r="19" spans="1:4" x14ac:dyDescent="0.25">
      <c r="A19" t="s">
        <v>239</v>
      </c>
      <c r="B19" s="99" t="s">
        <v>202</v>
      </c>
      <c r="C19" t="s">
        <v>211</v>
      </c>
      <c r="D19" t="s">
        <v>205</v>
      </c>
    </row>
    <row r="20" spans="1:4" x14ac:dyDescent="0.25">
      <c r="B20" s="99"/>
    </row>
    <row r="21" spans="1:4" x14ac:dyDescent="0.25">
      <c r="B21" s="99"/>
    </row>
    <row r="22" spans="1:4" x14ac:dyDescent="0.25">
      <c r="B22" s="99"/>
    </row>
    <row r="23" spans="1:4" x14ac:dyDescent="0.25">
      <c r="B23" s="99"/>
    </row>
    <row r="24" spans="1:4" x14ac:dyDescent="0.25">
      <c r="B24" s="99"/>
    </row>
    <row r="25" spans="1:4" x14ac:dyDescent="0.25">
      <c r="B25" s="99"/>
    </row>
    <row r="26" spans="1:4" x14ac:dyDescent="0.25">
      <c r="B26" s="99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3E7F2-B531-4EA9-8178-58324B8F06EF}">
  <dimension ref="A1:E57"/>
  <sheetViews>
    <sheetView workbookViewId="0">
      <selection activeCell="G8" sqref="G8"/>
    </sheetView>
  </sheetViews>
  <sheetFormatPr defaultRowHeight="15" x14ac:dyDescent="0.25"/>
  <cols>
    <col min="1" max="1" width="12.7109375" bestFit="1" customWidth="1"/>
    <col min="3" max="3" width="15.28515625" style="1" customWidth="1"/>
    <col min="4" max="4" width="17.140625" customWidth="1"/>
    <col min="5" max="5" width="13.42578125" style="1" customWidth="1"/>
  </cols>
  <sheetData>
    <row r="1" spans="1:5" ht="30.75" thickBot="1" x14ac:dyDescent="0.3">
      <c r="A1" s="52" t="s">
        <v>0</v>
      </c>
      <c r="B1" s="52" t="s">
        <v>231</v>
      </c>
      <c r="C1" s="52" t="s">
        <v>232</v>
      </c>
      <c r="D1" s="52" t="s">
        <v>237</v>
      </c>
      <c r="E1" s="52" t="s">
        <v>238</v>
      </c>
    </row>
    <row r="2" spans="1:5" x14ac:dyDescent="0.25">
      <c r="A2" s="2" t="s">
        <v>2</v>
      </c>
      <c r="B2" s="4">
        <f>'Old Bow v2'!J40</f>
        <v>27</v>
      </c>
      <c r="C2" s="1" t="s">
        <v>235</v>
      </c>
      <c r="D2" s="1">
        <f t="shared" ref="D2:D33" si="0">IF(C2="Unknown", 0.1, IF(C2="conservative", 0.25, IF(C2="aggressive", 0.5, IF(C2="versatile", 1, 0))))</f>
        <v>1</v>
      </c>
      <c r="E2" s="100">
        <f>(0.75*B2)+(0.25*B2*D2)</f>
        <v>27</v>
      </c>
    </row>
    <row r="3" spans="1:5" x14ac:dyDescent="0.25">
      <c r="A3" s="2" t="s">
        <v>18</v>
      </c>
      <c r="B3" s="4">
        <f>'Old Bow v2'!J51</f>
        <v>25</v>
      </c>
      <c r="C3" s="1" t="s">
        <v>235</v>
      </c>
      <c r="D3" s="1">
        <f t="shared" si="0"/>
        <v>1</v>
      </c>
      <c r="E3" s="100">
        <f t="shared" ref="E3:E57" si="1">(0.75*B3)+(0.25*B3*D3)</f>
        <v>25</v>
      </c>
    </row>
    <row r="4" spans="1:5" x14ac:dyDescent="0.25">
      <c r="A4" s="2" t="s">
        <v>17</v>
      </c>
      <c r="B4" s="4">
        <f>'Old Bow v2'!J48</f>
        <v>23</v>
      </c>
      <c r="C4" s="1" t="s">
        <v>235</v>
      </c>
      <c r="D4" s="1">
        <f t="shared" si="0"/>
        <v>1</v>
      </c>
      <c r="E4" s="100">
        <f t="shared" si="1"/>
        <v>23</v>
      </c>
    </row>
    <row r="5" spans="1:5" x14ac:dyDescent="0.25">
      <c r="A5" s="2" t="s">
        <v>70</v>
      </c>
      <c r="B5" s="4">
        <f>'Old Bow v2'!J55</f>
        <v>20</v>
      </c>
      <c r="C5" s="1" t="s">
        <v>235</v>
      </c>
      <c r="D5" s="1">
        <f t="shared" si="0"/>
        <v>1</v>
      </c>
      <c r="E5" s="100">
        <f t="shared" si="1"/>
        <v>20</v>
      </c>
    </row>
    <row r="6" spans="1:5" x14ac:dyDescent="0.25">
      <c r="A6" s="2" t="s">
        <v>52</v>
      </c>
      <c r="B6" s="4">
        <f>'Old Bow v2'!J22</f>
        <v>19.5</v>
      </c>
      <c r="C6" s="1" t="s">
        <v>235</v>
      </c>
      <c r="D6" s="1">
        <f t="shared" si="0"/>
        <v>1</v>
      </c>
      <c r="E6" s="100">
        <f t="shared" si="1"/>
        <v>19.5</v>
      </c>
    </row>
    <row r="7" spans="1:5" x14ac:dyDescent="0.25">
      <c r="A7" s="2" t="s">
        <v>4</v>
      </c>
      <c r="B7" s="4">
        <f>'Old Bow v2'!J56</f>
        <v>19</v>
      </c>
      <c r="C7" s="1" t="s">
        <v>235</v>
      </c>
      <c r="D7" s="1">
        <f t="shared" si="0"/>
        <v>1</v>
      </c>
      <c r="E7" s="100">
        <f t="shared" si="1"/>
        <v>19</v>
      </c>
    </row>
    <row r="8" spans="1:5" x14ac:dyDescent="0.25">
      <c r="A8" s="2" t="s">
        <v>37</v>
      </c>
      <c r="B8" s="4">
        <f>'Old Bow v2'!J5</f>
        <v>18</v>
      </c>
      <c r="C8" s="1" t="s">
        <v>235</v>
      </c>
      <c r="D8" s="1">
        <f t="shared" si="0"/>
        <v>1</v>
      </c>
      <c r="E8" s="100">
        <f t="shared" si="1"/>
        <v>18</v>
      </c>
    </row>
    <row r="9" spans="1:5" x14ac:dyDescent="0.25">
      <c r="A9" s="2" t="s">
        <v>1</v>
      </c>
      <c r="B9" s="4">
        <f>'Old Bow v2'!J24</f>
        <v>24</v>
      </c>
      <c r="C9" s="1" t="s">
        <v>234</v>
      </c>
      <c r="D9" s="1">
        <f t="shared" si="0"/>
        <v>0.5</v>
      </c>
      <c r="E9" s="100">
        <f t="shared" si="1"/>
        <v>21</v>
      </c>
    </row>
    <row r="10" spans="1:5" x14ac:dyDescent="0.25">
      <c r="A10" s="2" t="s">
        <v>46</v>
      </c>
      <c r="B10" s="4">
        <f>'Old Bow v2'!J27</f>
        <v>18</v>
      </c>
      <c r="C10" s="1" t="s">
        <v>235</v>
      </c>
      <c r="D10" s="1">
        <f t="shared" si="0"/>
        <v>1</v>
      </c>
      <c r="E10" s="100">
        <f t="shared" si="1"/>
        <v>18</v>
      </c>
    </row>
    <row r="11" spans="1:5" x14ac:dyDescent="0.25">
      <c r="A11" s="2" t="s">
        <v>54</v>
      </c>
      <c r="B11" s="4">
        <f>'Old Bow v2'!J41</f>
        <v>18</v>
      </c>
      <c r="C11" s="1" t="s">
        <v>235</v>
      </c>
      <c r="D11" s="1">
        <f t="shared" si="0"/>
        <v>1</v>
      </c>
      <c r="E11" s="100">
        <f t="shared" si="1"/>
        <v>18</v>
      </c>
    </row>
    <row r="12" spans="1:5" x14ac:dyDescent="0.25">
      <c r="A12" s="2" t="s">
        <v>25</v>
      </c>
      <c r="B12" s="4">
        <f>'Old Bow v2'!J13</f>
        <v>16</v>
      </c>
      <c r="C12" s="1" t="s">
        <v>235</v>
      </c>
      <c r="D12" s="1">
        <f t="shared" si="0"/>
        <v>1</v>
      </c>
      <c r="E12" s="100">
        <f t="shared" si="1"/>
        <v>16</v>
      </c>
    </row>
    <row r="13" spans="1:5" x14ac:dyDescent="0.25">
      <c r="A13" s="2" t="s">
        <v>15</v>
      </c>
      <c r="B13" s="4">
        <f>'Old Bow v2'!J36</f>
        <v>22.5</v>
      </c>
      <c r="C13" s="1" t="s">
        <v>234</v>
      </c>
      <c r="D13" s="1">
        <f t="shared" si="0"/>
        <v>0.5</v>
      </c>
      <c r="E13" s="100">
        <f t="shared" si="1"/>
        <v>19.6875</v>
      </c>
    </row>
    <row r="14" spans="1:5" x14ac:dyDescent="0.25">
      <c r="A14" s="2" t="s">
        <v>152</v>
      </c>
      <c r="B14" s="4">
        <f>'Old Bow v2'!J18</f>
        <v>16</v>
      </c>
      <c r="C14" s="1" t="s">
        <v>235</v>
      </c>
      <c r="D14" s="1">
        <f t="shared" si="0"/>
        <v>1</v>
      </c>
      <c r="E14" s="100">
        <f t="shared" si="1"/>
        <v>16</v>
      </c>
    </row>
    <row r="15" spans="1:5" x14ac:dyDescent="0.25">
      <c r="A15" s="2" t="s">
        <v>141</v>
      </c>
      <c r="B15" s="4">
        <f>'Old Bow v2'!J44</f>
        <v>16</v>
      </c>
      <c r="C15" s="1" t="s">
        <v>235</v>
      </c>
      <c r="D15" s="1">
        <f t="shared" si="0"/>
        <v>1</v>
      </c>
      <c r="E15" s="100">
        <f t="shared" si="1"/>
        <v>16</v>
      </c>
    </row>
    <row r="16" spans="1:5" x14ac:dyDescent="0.25">
      <c r="A16" s="2" t="s">
        <v>3</v>
      </c>
      <c r="B16" s="4">
        <f>'Old Bow v2'!J34</f>
        <v>21</v>
      </c>
      <c r="C16" s="1" t="s">
        <v>234</v>
      </c>
      <c r="D16" s="1">
        <f t="shared" si="0"/>
        <v>0.5</v>
      </c>
      <c r="E16" s="100">
        <f t="shared" si="1"/>
        <v>18.375</v>
      </c>
    </row>
    <row r="17" spans="1:5" x14ac:dyDescent="0.25">
      <c r="A17" s="2" t="s">
        <v>147</v>
      </c>
      <c r="B17" s="4">
        <f>'Old Bow v2'!J47</f>
        <v>15.5</v>
      </c>
      <c r="C17" s="1" t="s">
        <v>235</v>
      </c>
      <c r="D17" s="1">
        <f t="shared" si="0"/>
        <v>1</v>
      </c>
      <c r="E17" s="100">
        <f t="shared" si="1"/>
        <v>15.5</v>
      </c>
    </row>
    <row r="18" spans="1:5" x14ac:dyDescent="0.25">
      <c r="A18" s="2" t="s">
        <v>14</v>
      </c>
      <c r="B18" s="4">
        <f>'Old Bow v2'!J54</f>
        <v>20.5</v>
      </c>
      <c r="C18" s="1" t="s">
        <v>234</v>
      </c>
      <c r="D18" s="1">
        <f t="shared" si="0"/>
        <v>0.5</v>
      </c>
      <c r="E18" s="100">
        <f t="shared" si="1"/>
        <v>17.9375</v>
      </c>
    </row>
    <row r="19" spans="1:5" x14ac:dyDescent="0.25">
      <c r="A19" s="2" t="s">
        <v>13</v>
      </c>
      <c r="B19" s="4">
        <f>'Old Bow v2'!J39</f>
        <v>24.5</v>
      </c>
      <c r="C19" s="1" t="s">
        <v>233</v>
      </c>
      <c r="D19" s="1">
        <f t="shared" si="0"/>
        <v>0.25</v>
      </c>
      <c r="E19" s="100">
        <f t="shared" si="1"/>
        <v>19.90625</v>
      </c>
    </row>
    <row r="20" spans="1:5" x14ac:dyDescent="0.25">
      <c r="A20" s="1" t="s">
        <v>179</v>
      </c>
      <c r="B20" s="4">
        <f>'Old Bow v2'!J11</f>
        <v>14.5</v>
      </c>
      <c r="C20" s="1" t="s">
        <v>235</v>
      </c>
      <c r="D20" s="1">
        <f t="shared" si="0"/>
        <v>1</v>
      </c>
      <c r="E20" s="100">
        <f t="shared" si="1"/>
        <v>14.5</v>
      </c>
    </row>
    <row r="21" spans="1:5" x14ac:dyDescent="0.25">
      <c r="A21" s="2" t="s">
        <v>51</v>
      </c>
      <c r="B21" s="4">
        <f>'Old Bow v2'!J31</f>
        <v>14</v>
      </c>
      <c r="C21" s="1" t="s">
        <v>235</v>
      </c>
      <c r="D21" s="1">
        <f t="shared" si="0"/>
        <v>1</v>
      </c>
      <c r="E21" s="100">
        <f t="shared" si="1"/>
        <v>14</v>
      </c>
    </row>
    <row r="22" spans="1:5" x14ac:dyDescent="0.25">
      <c r="A22" s="2" t="s">
        <v>150</v>
      </c>
      <c r="B22" s="4">
        <f>'Old Bow v2'!J25</f>
        <v>16</v>
      </c>
      <c r="C22" s="1" t="s">
        <v>234</v>
      </c>
      <c r="D22" s="1">
        <f t="shared" si="0"/>
        <v>0.5</v>
      </c>
      <c r="E22" s="100">
        <f t="shared" si="1"/>
        <v>14</v>
      </c>
    </row>
    <row r="23" spans="1:5" x14ac:dyDescent="0.25">
      <c r="A23" s="2" t="s">
        <v>28</v>
      </c>
      <c r="B23" s="4">
        <f>'Old Bow v2'!J29</f>
        <v>14</v>
      </c>
      <c r="C23" s="1" t="s">
        <v>235</v>
      </c>
      <c r="D23" s="1">
        <f t="shared" si="0"/>
        <v>1</v>
      </c>
      <c r="E23" s="100">
        <f t="shared" si="1"/>
        <v>14</v>
      </c>
    </row>
    <row r="24" spans="1:5" x14ac:dyDescent="0.25">
      <c r="A24" s="2" t="s">
        <v>5</v>
      </c>
      <c r="B24" s="4">
        <f>'Old Bow v2'!J42</f>
        <v>21</v>
      </c>
      <c r="C24" s="1" t="s">
        <v>233</v>
      </c>
      <c r="D24" s="1">
        <f t="shared" si="0"/>
        <v>0.25</v>
      </c>
      <c r="E24" s="100">
        <f t="shared" si="1"/>
        <v>17.0625</v>
      </c>
    </row>
    <row r="25" spans="1:5" x14ac:dyDescent="0.25">
      <c r="A25" s="2" t="s">
        <v>40</v>
      </c>
      <c r="B25" s="4">
        <f>'Old Bow v2'!J46</f>
        <v>17.5</v>
      </c>
      <c r="C25" s="1" t="s">
        <v>234</v>
      </c>
      <c r="D25" s="1">
        <f t="shared" si="0"/>
        <v>0.5</v>
      </c>
      <c r="E25" s="100">
        <f t="shared" si="1"/>
        <v>15.3125</v>
      </c>
    </row>
    <row r="26" spans="1:5" x14ac:dyDescent="0.25">
      <c r="A26" s="1" t="s">
        <v>44</v>
      </c>
      <c r="B26" s="4">
        <f>'Old Bow v2'!J23</f>
        <v>13</v>
      </c>
      <c r="C26" s="1" t="s">
        <v>235</v>
      </c>
      <c r="D26" s="1">
        <f t="shared" si="0"/>
        <v>1</v>
      </c>
      <c r="E26" s="100">
        <f t="shared" si="1"/>
        <v>13</v>
      </c>
    </row>
    <row r="27" spans="1:5" x14ac:dyDescent="0.25">
      <c r="A27" s="2" t="s">
        <v>155</v>
      </c>
      <c r="B27" s="4">
        <f>'Old Bow v2'!J49</f>
        <v>17.5</v>
      </c>
      <c r="C27" s="1" t="s">
        <v>234</v>
      </c>
      <c r="D27" s="1">
        <f t="shared" si="0"/>
        <v>0.5</v>
      </c>
      <c r="E27" s="100">
        <f t="shared" si="1"/>
        <v>15.3125</v>
      </c>
    </row>
    <row r="28" spans="1:5" x14ac:dyDescent="0.25">
      <c r="A28" s="2" t="s">
        <v>113</v>
      </c>
      <c r="B28" s="4">
        <f>'Old Bow v2'!J52</f>
        <v>16</v>
      </c>
      <c r="C28" s="1" t="s">
        <v>234</v>
      </c>
      <c r="D28" s="1">
        <f t="shared" si="0"/>
        <v>0.5</v>
      </c>
      <c r="E28" s="100">
        <f t="shared" si="1"/>
        <v>14</v>
      </c>
    </row>
    <row r="29" spans="1:5" x14ac:dyDescent="0.25">
      <c r="A29" s="2" t="s">
        <v>6</v>
      </c>
      <c r="B29" s="4">
        <f>'Old Bow v2'!J50</f>
        <v>19</v>
      </c>
      <c r="C29" s="1" t="s">
        <v>233</v>
      </c>
      <c r="D29" s="1">
        <f t="shared" si="0"/>
        <v>0.25</v>
      </c>
      <c r="E29" s="100">
        <f t="shared" si="1"/>
        <v>15.4375</v>
      </c>
    </row>
    <row r="30" spans="1:5" x14ac:dyDescent="0.25">
      <c r="A30" s="2" t="s">
        <v>161</v>
      </c>
      <c r="B30" s="4">
        <f>'Old Bow v2'!J37</f>
        <v>15.5</v>
      </c>
      <c r="C30" s="1" t="s">
        <v>233</v>
      </c>
      <c r="D30" s="1">
        <f t="shared" si="0"/>
        <v>0.25</v>
      </c>
      <c r="E30" s="100">
        <f t="shared" si="1"/>
        <v>12.59375</v>
      </c>
    </row>
    <row r="31" spans="1:5" x14ac:dyDescent="0.25">
      <c r="A31" s="1" t="s">
        <v>45</v>
      </c>
      <c r="B31" s="4">
        <f>'Old Bow v2'!J20</f>
        <v>12.5</v>
      </c>
      <c r="C31" s="1" t="s">
        <v>234</v>
      </c>
      <c r="D31" s="1">
        <f t="shared" si="0"/>
        <v>0.5</v>
      </c>
      <c r="E31" s="100">
        <f t="shared" si="1"/>
        <v>10.9375</v>
      </c>
    </row>
    <row r="32" spans="1:5" x14ac:dyDescent="0.25">
      <c r="A32" s="2" t="s">
        <v>50</v>
      </c>
      <c r="B32" s="4">
        <f>'Old Bow v2'!J21</f>
        <v>15</v>
      </c>
      <c r="C32" s="1" t="s">
        <v>233</v>
      </c>
      <c r="D32" s="1">
        <f t="shared" si="0"/>
        <v>0.25</v>
      </c>
      <c r="E32" s="100">
        <f t="shared" si="1"/>
        <v>12.1875</v>
      </c>
    </row>
    <row r="33" spans="1:5" x14ac:dyDescent="0.25">
      <c r="A33" s="2" t="s">
        <v>20</v>
      </c>
      <c r="B33" s="4">
        <f>'Old Bow v2'!J32</f>
        <v>14</v>
      </c>
      <c r="C33" s="1" t="s">
        <v>233</v>
      </c>
      <c r="D33" s="1">
        <f t="shared" si="0"/>
        <v>0.25</v>
      </c>
      <c r="E33" s="100">
        <f t="shared" si="1"/>
        <v>11.375</v>
      </c>
    </row>
    <row r="34" spans="1:5" x14ac:dyDescent="0.25">
      <c r="A34" s="2" t="s">
        <v>19</v>
      </c>
      <c r="B34" s="4">
        <f>'Old Bow v2'!J9</f>
        <v>11</v>
      </c>
      <c r="C34" s="1" t="s">
        <v>234</v>
      </c>
      <c r="D34" s="1">
        <f t="shared" ref="D34:D57" si="2">IF(C34="Unknown", 0.1, IF(C34="conservative", 0.25, IF(C34="aggressive", 0.5, IF(C34="versatile", 1, 0))))</f>
        <v>0.5</v>
      </c>
      <c r="E34" s="100">
        <f t="shared" si="1"/>
        <v>9.625</v>
      </c>
    </row>
    <row r="35" spans="1:5" x14ac:dyDescent="0.25">
      <c r="A35" s="2" t="s">
        <v>27</v>
      </c>
      <c r="B35" s="4">
        <f>'Old Bow v2'!J15</f>
        <v>13.5</v>
      </c>
      <c r="C35" s="1" t="s">
        <v>233</v>
      </c>
      <c r="D35" s="1">
        <f t="shared" si="2"/>
        <v>0.25</v>
      </c>
      <c r="E35" s="100">
        <f t="shared" si="1"/>
        <v>10.96875</v>
      </c>
    </row>
    <row r="36" spans="1:5" x14ac:dyDescent="0.25">
      <c r="A36" s="2" t="s">
        <v>35</v>
      </c>
      <c r="B36" s="4">
        <f>'Old Bow v2'!J8</f>
        <v>12</v>
      </c>
      <c r="C36" s="1" t="s">
        <v>233</v>
      </c>
      <c r="D36" s="1">
        <f t="shared" si="2"/>
        <v>0.25</v>
      </c>
      <c r="E36" s="100">
        <f t="shared" si="1"/>
        <v>9.75</v>
      </c>
    </row>
    <row r="37" spans="1:5" x14ac:dyDescent="0.25">
      <c r="A37" s="2" t="s">
        <v>146</v>
      </c>
      <c r="B37" s="4">
        <f>'Old Bow v2'!J14</f>
        <v>12</v>
      </c>
      <c r="C37" s="1" t="s">
        <v>233</v>
      </c>
      <c r="D37" s="1">
        <f t="shared" si="2"/>
        <v>0.25</v>
      </c>
      <c r="E37" s="100">
        <f t="shared" si="1"/>
        <v>9.75</v>
      </c>
    </row>
    <row r="38" spans="1:5" x14ac:dyDescent="0.25">
      <c r="A38" s="2" t="s">
        <v>26</v>
      </c>
      <c r="B38" s="4">
        <f>'Old Bow v2'!J16</f>
        <v>12</v>
      </c>
      <c r="C38" s="1" t="s">
        <v>233</v>
      </c>
      <c r="D38" s="1">
        <f t="shared" si="2"/>
        <v>0.25</v>
      </c>
      <c r="E38" s="100">
        <f t="shared" si="1"/>
        <v>9.75</v>
      </c>
    </row>
    <row r="39" spans="1:5" x14ac:dyDescent="0.25">
      <c r="A39" s="2" t="s">
        <v>53</v>
      </c>
      <c r="B39" s="4">
        <f>'Old Bow v2'!J30</f>
        <v>12</v>
      </c>
      <c r="C39" s="1" t="s">
        <v>233</v>
      </c>
      <c r="D39" s="1">
        <f t="shared" si="2"/>
        <v>0.25</v>
      </c>
      <c r="E39" s="100">
        <f t="shared" si="1"/>
        <v>9.75</v>
      </c>
    </row>
    <row r="40" spans="1:5" x14ac:dyDescent="0.25">
      <c r="A40" s="2" t="s">
        <v>148</v>
      </c>
      <c r="B40" s="4">
        <f>'Old Bow v2'!J35</f>
        <v>12</v>
      </c>
      <c r="C40" s="1" t="s">
        <v>233</v>
      </c>
      <c r="D40" s="1">
        <f t="shared" si="2"/>
        <v>0.25</v>
      </c>
      <c r="E40" s="100">
        <f t="shared" si="1"/>
        <v>9.75</v>
      </c>
    </row>
    <row r="41" spans="1:5" x14ac:dyDescent="0.25">
      <c r="A41" s="2" t="s">
        <v>29</v>
      </c>
      <c r="B41" s="4">
        <f>'Old Bow v2'!J26</f>
        <v>11</v>
      </c>
      <c r="C41" s="1" t="s">
        <v>233</v>
      </c>
      <c r="D41" s="1">
        <f t="shared" si="2"/>
        <v>0.25</v>
      </c>
      <c r="E41" s="100">
        <f t="shared" si="1"/>
        <v>8.9375</v>
      </c>
    </row>
    <row r="42" spans="1:5" x14ac:dyDescent="0.25">
      <c r="A42" s="2" t="s">
        <v>139</v>
      </c>
      <c r="B42" s="4">
        <f>'Old Bow v2'!J28</f>
        <v>11</v>
      </c>
      <c r="C42" s="1" t="s">
        <v>233</v>
      </c>
      <c r="D42" s="1">
        <f t="shared" si="2"/>
        <v>0.25</v>
      </c>
      <c r="E42" s="100">
        <f t="shared" si="1"/>
        <v>8.9375</v>
      </c>
    </row>
    <row r="43" spans="1:5" x14ac:dyDescent="0.25">
      <c r="A43" s="2" t="s">
        <v>74</v>
      </c>
      <c r="B43" s="4">
        <f>'Old Bow v2'!J17</f>
        <v>10</v>
      </c>
      <c r="C43" s="1" t="s">
        <v>233</v>
      </c>
      <c r="D43" s="1">
        <f t="shared" si="2"/>
        <v>0.25</v>
      </c>
      <c r="E43" s="100">
        <f t="shared" si="1"/>
        <v>8.125</v>
      </c>
    </row>
    <row r="44" spans="1:5" x14ac:dyDescent="0.25">
      <c r="A44" s="2" t="s">
        <v>55</v>
      </c>
      <c r="B44" s="4">
        <f>'Old Bow v2'!J57</f>
        <v>10</v>
      </c>
      <c r="C44" s="1" t="s">
        <v>233</v>
      </c>
      <c r="D44" s="1">
        <f t="shared" si="2"/>
        <v>0.25</v>
      </c>
      <c r="E44" s="100">
        <f t="shared" si="1"/>
        <v>8.125</v>
      </c>
    </row>
    <row r="45" spans="1:5" x14ac:dyDescent="0.25">
      <c r="A45" s="1" t="s">
        <v>47</v>
      </c>
      <c r="B45" s="4">
        <f>'Old Bow v2'!J33</f>
        <v>9</v>
      </c>
      <c r="C45" s="1" t="s">
        <v>233</v>
      </c>
      <c r="D45" s="1">
        <f t="shared" si="2"/>
        <v>0.25</v>
      </c>
      <c r="E45" s="100">
        <f t="shared" si="1"/>
        <v>7.3125</v>
      </c>
    </row>
    <row r="46" spans="1:5" x14ac:dyDescent="0.25">
      <c r="A46" s="2" t="s">
        <v>154</v>
      </c>
      <c r="B46" s="4">
        <f>'Old Bow v2'!J3</f>
        <v>10</v>
      </c>
      <c r="C46" s="1" t="s">
        <v>236</v>
      </c>
      <c r="D46" s="1">
        <f t="shared" si="2"/>
        <v>0.1</v>
      </c>
      <c r="E46" s="100">
        <f t="shared" si="1"/>
        <v>7.75</v>
      </c>
    </row>
    <row r="47" spans="1:5" x14ac:dyDescent="0.25">
      <c r="A47" s="2" t="s">
        <v>34</v>
      </c>
      <c r="B47" s="4">
        <f>'Old Bow v2'!J7</f>
        <v>8.5</v>
      </c>
      <c r="C47" s="1" t="s">
        <v>233</v>
      </c>
      <c r="D47" s="1">
        <f t="shared" si="2"/>
        <v>0.25</v>
      </c>
      <c r="E47" s="100">
        <f t="shared" si="1"/>
        <v>6.90625</v>
      </c>
    </row>
    <row r="48" spans="1:5" x14ac:dyDescent="0.25">
      <c r="A48" s="1" t="s">
        <v>42</v>
      </c>
      <c r="B48" s="4">
        <f>'Old Bow v2'!J10</f>
        <v>8.5</v>
      </c>
      <c r="C48" s="1" t="s">
        <v>233</v>
      </c>
      <c r="D48" s="1">
        <f t="shared" si="2"/>
        <v>0.25</v>
      </c>
      <c r="E48" s="100">
        <f t="shared" si="1"/>
        <v>6.90625</v>
      </c>
    </row>
    <row r="49" spans="1:5" x14ac:dyDescent="0.25">
      <c r="A49" s="2" t="s">
        <v>38</v>
      </c>
      <c r="B49" s="4">
        <f>'Old Bow v2'!J43</f>
        <v>7</v>
      </c>
      <c r="C49" s="1" t="s">
        <v>234</v>
      </c>
      <c r="D49" s="1">
        <f t="shared" si="2"/>
        <v>0.5</v>
      </c>
      <c r="E49" s="100">
        <f t="shared" si="1"/>
        <v>6.125</v>
      </c>
    </row>
    <row r="50" spans="1:5" x14ac:dyDescent="0.25">
      <c r="A50" s="2" t="s">
        <v>140</v>
      </c>
      <c r="B50" s="4">
        <f>'Old Bow v2'!J4</f>
        <v>8.5</v>
      </c>
      <c r="C50" s="1" t="s">
        <v>233</v>
      </c>
      <c r="D50" s="1">
        <f t="shared" si="2"/>
        <v>0.25</v>
      </c>
      <c r="E50" s="100">
        <f t="shared" si="1"/>
        <v>6.90625</v>
      </c>
    </row>
    <row r="51" spans="1:5" x14ac:dyDescent="0.25">
      <c r="A51" s="2" t="s">
        <v>71</v>
      </c>
      <c r="B51" s="4">
        <f>'Old Bow v2'!J6</f>
        <v>12</v>
      </c>
      <c r="C51" s="1" t="s">
        <v>236</v>
      </c>
      <c r="D51" s="1">
        <f t="shared" si="2"/>
        <v>0.1</v>
      </c>
      <c r="E51" s="100">
        <f t="shared" si="1"/>
        <v>9.3000000000000007</v>
      </c>
    </row>
    <row r="52" spans="1:5" x14ac:dyDescent="0.25">
      <c r="A52" s="1" t="s">
        <v>214</v>
      </c>
      <c r="B52" s="4">
        <f>'Old Bow v2'!J12</f>
        <v>10</v>
      </c>
      <c r="C52" s="1" t="s">
        <v>233</v>
      </c>
      <c r="D52" s="1">
        <f t="shared" si="2"/>
        <v>0.25</v>
      </c>
      <c r="E52" s="100">
        <f t="shared" si="1"/>
        <v>8.125</v>
      </c>
    </row>
    <row r="53" spans="1:5" x14ac:dyDescent="0.25">
      <c r="A53" s="1" t="s">
        <v>43</v>
      </c>
      <c r="B53" s="4">
        <f>'Old Bow v2'!J38</f>
        <v>4</v>
      </c>
      <c r="C53" s="1" t="s">
        <v>236</v>
      </c>
      <c r="D53" s="1">
        <f t="shared" si="2"/>
        <v>0.1</v>
      </c>
      <c r="E53" s="100">
        <f t="shared" si="1"/>
        <v>3.1</v>
      </c>
    </row>
    <row r="54" spans="1:5" x14ac:dyDescent="0.25">
      <c r="A54" s="2" t="s">
        <v>149</v>
      </c>
      <c r="B54" s="4">
        <f>'Old Bow v2'!J45</f>
        <v>4</v>
      </c>
      <c r="C54" s="1" t="s">
        <v>236</v>
      </c>
      <c r="D54" s="1">
        <f t="shared" si="2"/>
        <v>0.1</v>
      </c>
      <c r="E54" s="100">
        <f t="shared" si="1"/>
        <v>3.1</v>
      </c>
    </row>
    <row r="55" spans="1:5" x14ac:dyDescent="0.25">
      <c r="A55" s="2" t="s">
        <v>168</v>
      </c>
      <c r="B55" s="4">
        <f>'Old Bow v2'!J2</f>
        <v>2</v>
      </c>
      <c r="C55" s="1" t="s">
        <v>236</v>
      </c>
      <c r="D55" s="1">
        <f t="shared" si="2"/>
        <v>0.1</v>
      </c>
      <c r="E55" s="100">
        <f t="shared" si="1"/>
        <v>1.55</v>
      </c>
    </row>
    <row r="56" spans="1:5" x14ac:dyDescent="0.25">
      <c r="A56" s="2" t="s">
        <v>169</v>
      </c>
      <c r="B56" s="4">
        <f>'Old Bow v2'!J53</f>
        <v>2</v>
      </c>
      <c r="C56" s="1" t="s">
        <v>236</v>
      </c>
      <c r="D56" s="1">
        <f t="shared" si="2"/>
        <v>0.1</v>
      </c>
      <c r="E56" s="100">
        <f t="shared" si="1"/>
        <v>1.55</v>
      </c>
    </row>
    <row r="57" spans="1:5" x14ac:dyDescent="0.25">
      <c r="A57" s="2" t="s">
        <v>213</v>
      </c>
      <c r="B57" s="4">
        <f>'Old Bow v2'!J19</f>
        <v>0</v>
      </c>
      <c r="C57" s="1" t="s">
        <v>236</v>
      </c>
      <c r="D57" s="1">
        <f t="shared" si="2"/>
        <v>0.1</v>
      </c>
      <c r="E57" s="100">
        <f t="shared" si="1"/>
        <v>0</v>
      </c>
    </row>
  </sheetData>
  <autoFilter ref="A1:E1" xr:uid="{F0C3E7F2-B531-4EA9-8178-58324B8F06EF}">
    <sortState xmlns:xlrd2="http://schemas.microsoft.com/office/spreadsheetml/2017/richdata2" ref="A2:E57">
      <sortCondition descending="1" ref="E1"/>
    </sortState>
  </autoFilter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1B33F-0D7A-4AAD-BD51-99562648A6BB}">
  <dimension ref="A1:E7"/>
  <sheetViews>
    <sheetView workbookViewId="0">
      <selection activeCell="C12" sqref="C12"/>
    </sheetView>
  </sheetViews>
  <sheetFormatPr defaultRowHeight="15" x14ac:dyDescent="0.25"/>
  <cols>
    <col min="1" max="1" width="56.28515625" bestFit="1" customWidth="1"/>
  </cols>
  <sheetData>
    <row r="1" spans="1:5" x14ac:dyDescent="0.25">
      <c r="A1" s="53">
        <v>46082</v>
      </c>
      <c r="E1" s="1"/>
    </row>
    <row r="2" spans="1:5" x14ac:dyDescent="0.25">
      <c r="E2" s="1"/>
    </row>
    <row r="3" spans="1:5" x14ac:dyDescent="0.25">
      <c r="A3" s="54" t="s">
        <v>110</v>
      </c>
      <c r="E3" s="1"/>
    </row>
    <row r="4" spans="1:5" x14ac:dyDescent="0.25">
      <c r="A4" s="54" t="s">
        <v>109</v>
      </c>
      <c r="E4" s="1"/>
    </row>
    <row r="5" spans="1:5" x14ac:dyDescent="0.25">
      <c r="A5" t="s">
        <v>111</v>
      </c>
      <c r="E5" s="1"/>
    </row>
    <row r="6" spans="1:5" x14ac:dyDescent="0.25">
      <c r="A6" t="s">
        <v>117</v>
      </c>
      <c r="E6" s="1"/>
    </row>
    <row r="7" spans="1:5" x14ac:dyDescent="0.25">
      <c r="E7" s="1"/>
    </row>
  </sheetData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0A237-5C74-4CF2-9F1D-8BC50443A1F4}">
  <dimension ref="A1:AH36"/>
  <sheetViews>
    <sheetView workbookViewId="0">
      <selection activeCell="K7" sqref="K7:K8"/>
    </sheetView>
  </sheetViews>
  <sheetFormatPr defaultRowHeight="15" x14ac:dyDescent="0.25"/>
  <cols>
    <col min="2" max="2" width="15.28515625" customWidth="1"/>
    <col min="3" max="3" width="16.42578125" customWidth="1"/>
    <col min="4" max="4" width="17.28515625" customWidth="1"/>
    <col min="5" max="5" width="17" customWidth="1"/>
    <col min="16" max="16" width="8.140625" bestFit="1" customWidth="1"/>
    <col min="17" max="17" width="9.5703125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  <col min="30" max="30" width="11.5703125" customWidth="1"/>
  </cols>
  <sheetData>
    <row r="1" spans="1:34" x14ac:dyDescent="0.25">
      <c r="C1" s="104" t="s">
        <v>7</v>
      </c>
      <c r="D1" s="105"/>
      <c r="E1" s="106"/>
      <c r="F1" s="104" t="s">
        <v>22</v>
      </c>
      <c r="G1" s="105"/>
      <c r="H1" s="106"/>
      <c r="I1" s="104" t="s">
        <v>16</v>
      </c>
      <c r="J1" s="105"/>
      <c r="K1" s="106"/>
      <c r="L1" s="104" t="s">
        <v>23</v>
      </c>
      <c r="M1" s="105"/>
      <c r="N1" s="106"/>
      <c r="O1" s="104" t="s">
        <v>64</v>
      </c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  <c r="AA1" s="105"/>
      <c r="AB1" s="105"/>
      <c r="AC1" s="105"/>
      <c r="AD1" s="55"/>
      <c r="AE1" s="55"/>
      <c r="AF1" s="55"/>
      <c r="AG1" s="55"/>
      <c r="AH1" s="56"/>
    </row>
    <row r="2" spans="1:34" ht="45.75" thickBot="1" x14ac:dyDescent="0.3">
      <c r="B2" s="3" t="s">
        <v>0</v>
      </c>
      <c r="C2" s="20" t="s">
        <v>7</v>
      </c>
      <c r="D2" s="21" t="s">
        <v>36</v>
      </c>
      <c r="E2" s="24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17" t="s">
        <v>62</v>
      </c>
      <c r="P2" s="29" t="s">
        <v>63</v>
      </c>
      <c r="Q2" s="57" t="s">
        <v>106</v>
      </c>
      <c r="R2" s="29" t="s">
        <v>56</v>
      </c>
      <c r="S2" s="29" t="s">
        <v>32</v>
      </c>
      <c r="T2" s="57" t="s">
        <v>66</v>
      </c>
      <c r="U2" s="29" t="s">
        <v>67</v>
      </c>
      <c r="V2" s="29" t="s">
        <v>68</v>
      </c>
      <c r="W2" s="57" t="s">
        <v>69</v>
      </c>
      <c r="X2" s="57" t="s">
        <v>72</v>
      </c>
      <c r="Y2" s="57" t="s">
        <v>73</v>
      </c>
      <c r="Z2" s="57" t="s">
        <v>41</v>
      </c>
      <c r="AA2" s="57" t="s">
        <v>91</v>
      </c>
      <c r="AB2" s="57" t="s">
        <v>92</v>
      </c>
      <c r="AC2" s="57" t="s">
        <v>93</v>
      </c>
      <c r="AD2" s="29" t="s">
        <v>95</v>
      </c>
      <c r="AE2" s="29" t="s">
        <v>96</v>
      </c>
      <c r="AF2" s="57" t="s">
        <v>104</v>
      </c>
      <c r="AG2" s="57" t="s">
        <v>112</v>
      </c>
      <c r="AH2" s="58" t="s">
        <v>116</v>
      </c>
    </row>
    <row r="3" spans="1:34" x14ac:dyDescent="0.25">
      <c r="A3" s="107" t="s">
        <v>75</v>
      </c>
      <c r="B3" s="7" t="s">
        <v>37</v>
      </c>
      <c r="C3" s="13">
        <f>INDEX(BA!B2:B46,MATCH('Match Analyzer BA'!$B$3,BA!$A$2:$A$46,0))</f>
        <v>95</v>
      </c>
      <c r="D3" s="59">
        <f>INDEX(BA!C2:C46,MATCH('Match Analyzer BA'!$B$3,BA!$A$2:$A$46,0))</f>
        <v>13.571428571428571</v>
      </c>
      <c r="E3" s="14">
        <f>INDEX(BA!D2:D46,MATCH('Match Analyzer BA'!$B$3,BA!$A$2:$A$46,0))</f>
        <v>19</v>
      </c>
      <c r="F3" s="13">
        <f>INDEX(BA!E2:E46,MATCH('Match Analyzer BA'!$B$3,BA!$A$2:$A$46,0))</f>
        <v>3</v>
      </c>
      <c r="G3" s="26">
        <f>INDEX(BA!F2:F46,MATCH('Match Analyzer BA'!$B$3,BA!$A$2:$A$46,0))</f>
        <v>4</v>
      </c>
      <c r="H3" s="73">
        <f>INDEX(BA!G2:G46,MATCH('Match Analyzer BA'!$B$3,BA!$A$2:$A$46,0))</f>
        <v>0.42857142857142855</v>
      </c>
      <c r="I3" s="13">
        <f>INDEX(BA!H2:H46,MATCH('Match Analyzer BA'!$B$3,BA!$A$2:$A$46,0))</f>
        <v>17</v>
      </c>
      <c r="J3" s="26">
        <f>INDEX(BA!I2:I46,MATCH('Match Analyzer BA'!$B$3,BA!$A$2:$A$46,0))</f>
        <v>14</v>
      </c>
      <c r="K3" s="73">
        <f>INDEX(BA!J2:J46,MATCH('Match Analyzer BA'!$B$3,BA!$A$2:$A$46,0))</f>
        <v>0.54838709677419351</v>
      </c>
      <c r="L3" s="13">
        <f>INDEX(BA!K2:K46,MATCH('Match Analyzer BA'!$B$3,BA!$A$2:$A$46,0))</f>
        <v>69</v>
      </c>
      <c r="M3" s="26">
        <f>INDEX(BA!L2:L46,MATCH('Match Analyzer BA'!$B$3,BA!$A$2:$A$46,0))</f>
        <v>62</v>
      </c>
      <c r="N3" s="73">
        <f>INDEX(BA!M2:M46,MATCH('Match Analyzer BA'!$B$3,BA!$A$2:$A$46,0))</f>
        <v>0.52671755725190839</v>
      </c>
      <c r="O3" s="13">
        <f>INDEX(BA!V2:V46,MATCH('Match Analyzer BA'!$B$3,BA!$A$2:$A$46,0))</f>
        <v>0</v>
      </c>
      <c r="P3" s="26">
        <f>INDEX(BA!Q2:Q46,MATCH('Match Analyzer BA'!$B$3,BA!$A$2:$A$46,0))</f>
        <v>0</v>
      </c>
      <c r="Q3" s="26">
        <f>INDEX(BA!U2:U46,MATCH('Match Analyzer BA'!$B$3,BA!$A$2:$A$46,0))</f>
        <v>2</v>
      </c>
      <c r="R3" s="26">
        <f>INDEX(BA!AB2:AB46,MATCH('Match Analyzer BA'!$B$3,BA!$A$2:$A$46,0))</f>
        <v>1</v>
      </c>
      <c r="S3" s="26">
        <f>INDEX(BA!T2:T46,MATCH('Match Analyzer BA'!$B$3,BA!$A$2:$A$46,0))</f>
        <v>0</v>
      </c>
      <c r="T3" s="26">
        <f>INDEX(BA!AD2:AD46,MATCH('Match Analyzer BA'!$B$3,BA!$A$2:$A$46,0))</f>
        <v>1</v>
      </c>
      <c r="U3" s="26">
        <f>INDEX(BA!AA2:AA46,MATCH('Match Analyzer BA'!$B$3,BA!$A$2:$A$46,0))</f>
        <v>2</v>
      </c>
      <c r="V3" s="26">
        <f>INDEX(BA!AF2:AF46,MATCH('Match Analyzer BA'!$B$3,BA!$A$2:$A$46,0))</f>
        <v>1</v>
      </c>
      <c r="W3" s="26">
        <f>INDEX(BA!P2:P46,MATCH('Match Analyzer BA'!$B$3,BA!$A$2:$A$46,0))</f>
        <v>2</v>
      </c>
      <c r="X3" s="26">
        <f>INDEX(BA!AE2:AE46,MATCH('Match Analyzer BA'!$B$3,BA!$A$2:$A$46,0))</f>
        <v>2</v>
      </c>
      <c r="Y3" s="26">
        <f>INDEX(BA!W2:W46,MATCH('Match Analyzer BA'!$B$3,BA!$A$2:$A$46,0))</f>
        <v>0</v>
      </c>
      <c r="Z3" s="26">
        <f>INDEX(BA!O2:O46,MATCH('Match Analyzer BA'!$B$3,BA!$A$2:$A$46,0))</f>
        <v>1</v>
      </c>
      <c r="AA3" s="26">
        <f>INDEX(BA!X2:X46,MATCH('Match Analyzer BA'!$B$3,BA!$A$2:$A$46,0))</f>
        <v>2</v>
      </c>
      <c r="AB3" s="26">
        <f>INDEX(BA!Z2:Z46,MATCH('Match Analyzer BA'!$B$3,BA!$A$2:$A$46,0))</f>
        <v>0</v>
      </c>
      <c r="AC3" s="26">
        <f>INDEX(BA!N2:N46,MATCH('Match Analyzer BA'!$B$3,BA!$A$2:$A$46,0))</f>
        <v>1</v>
      </c>
      <c r="AD3" s="26">
        <f>INDEX(BA!Y2:Y46,MATCH('Match Analyzer BA'!$B$3,BA!$A$2:$A$46,0))</f>
        <v>0</v>
      </c>
      <c r="AE3" s="26">
        <f>INDEX(BA!AH2:AH46,MATCH('Match Analyzer BA'!$B$3,BA!$A$2:$A$46,0))</f>
        <v>2</v>
      </c>
      <c r="AF3" s="26">
        <f>INDEX(BA!AC2:AC46,MATCH('Match Analyzer BA'!$B$3,BA!$A$2:$A$46,0))</f>
        <v>0</v>
      </c>
      <c r="AG3" s="26">
        <f>INDEX(BA!S2:S46,MATCH('Match Analyzer BA'!$B$3,BA!$A$2:$A$46,0))</f>
        <v>0</v>
      </c>
      <c r="AH3" s="14">
        <f>INDEX(BA!R2:R46,MATCH('Match Analyzer BA'!$B$3,BA!$A$2:$A$46,0))</f>
        <v>0</v>
      </c>
    </row>
    <row r="4" spans="1:34" x14ac:dyDescent="0.25">
      <c r="A4" s="107"/>
      <c r="B4" s="7" t="s">
        <v>37</v>
      </c>
      <c r="C4" s="13">
        <f>INDEX(BA!B2:B46,MATCH('Match Analyzer BA'!$B$4,BA!$A$2:$A$46,0))</f>
        <v>95</v>
      </c>
      <c r="D4" s="59">
        <f>INDEX(BA!C2:C46,MATCH('Match Analyzer BA'!$B$4,BA!$A$2:$A$46,0))</f>
        <v>13.571428571428571</v>
      </c>
      <c r="E4" s="14">
        <f>INDEX(BA!D2:D46,MATCH('Match Analyzer BA'!$B$4,BA!$A$2:$A$46,0))</f>
        <v>19</v>
      </c>
      <c r="F4" s="13">
        <f>INDEX(BA!E2:E46,MATCH('Match Analyzer BA'!$B$4,BA!$A$2:$A$46,0))</f>
        <v>3</v>
      </c>
      <c r="G4" s="26">
        <f>INDEX(BA!F2:F46,MATCH('Match Analyzer BA'!$B$4,BA!$A$2:$A$46,0))</f>
        <v>4</v>
      </c>
      <c r="H4" s="73">
        <f>INDEX(BA!G2:G46,MATCH('Match Analyzer BA'!$B$4,BA!$A$2:$A$46,0))</f>
        <v>0.42857142857142855</v>
      </c>
      <c r="I4" s="13">
        <f>INDEX(BA!H2:H46,MATCH('Match Analyzer BA'!$B$4,BA!$A$2:$A$46,0))</f>
        <v>17</v>
      </c>
      <c r="J4" s="26">
        <f>INDEX(BA!I2:I46,MATCH('Match Analyzer BA'!$B$4,BA!$A$2:$A$46,0))</f>
        <v>14</v>
      </c>
      <c r="K4" s="73">
        <f>INDEX(BA!J2:J46,MATCH('Match Analyzer BA'!$B$4,BA!$A$2:$A$46,0))</f>
        <v>0.54838709677419351</v>
      </c>
      <c r="L4" s="13">
        <f>INDEX(BA!K2:K46,MATCH('Match Analyzer BA'!$B$4,BA!$A$2:$A$46,0))</f>
        <v>69</v>
      </c>
      <c r="M4" s="26">
        <f>INDEX(BA!L2:L46,MATCH('Match Analyzer BA'!$B$4,BA!$A$2:$A$46,0))</f>
        <v>62</v>
      </c>
      <c r="N4" s="73">
        <f>INDEX(BA!M2:M46,MATCH('Match Analyzer BA'!$B$4,BA!$A$2:$A$46,0))</f>
        <v>0.52671755725190839</v>
      </c>
      <c r="O4" s="13">
        <f>INDEX(BA!V2:V46,MATCH('Match Analyzer BA'!$B$4,BA!$A$2:$A$46,0))</f>
        <v>0</v>
      </c>
      <c r="P4" s="26">
        <f>INDEX(BA!Q2:Q46,MATCH('Match Analyzer BA'!$B$4,BA!$A$2:$A$46,0))</f>
        <v>0</v>
      </c>
      <c r="Q4" s="26">
        <f>INDEX(BA!U2:U46,MATCH('Match Analyzer BA'!$B$4,BA!$A$2:$A$46,0))</f>
        <v>2</v>
      </c>
      <c r="R4" s="26">
        <f>INDEX(BA!AB2:AB46,MATCH('Match Analyzer BA'!$B$4,BA!$A$2:$A$46,0))</f>
        <v>1</v>
      </c>
      <c r="S4" s="26">
        <f>INDEX(BA!T2:T46,MATCH('Match Analyzer BA'!$B$4,BA!$A$2:$A$46,0))</f>
        <v>0</v>
      </c>
      <c r="T4" s="26">
        <f>INDEX(BA!AD2:AD46,MATCH('Match Analyzer BA'!$B$4,BA!$A$2:$A$46,0))</f>
        <v>1</v>
      </c>
      <c r="U4" s="26">
        <f>INDEX(BA!AA2:AA46,MATCH('Match Analyzer BA'!$B$4,BA!$A$2:$A$46,0))</f>
        <v>2</v>
      </c>
      <c r="V4" s="26">
        <f>INDEX(BA!AF2:AF46,MATCH('Match Analyzer BA'!$B$4,BA!$A$2:$A$46,0))</f>
        <v>1</v>
      </c>
      <c r="W4" s="26">
        <f>INDEX(BA!P2:P46,MATCH('Match Analyzer BA'!$B$4,BA!$A$2:$A$46,0))</f>
        <v>2</v>
      </c>
      <c r="X4" s="26">
        <f>INDEX(BA!AE2:AE46,MATCH('Match Analyzer BA'!$B$4,BA!$A$2:$A$46,0))</f>
        <v>2</v>
      </c>
      <c r="Y4" s="26">
        <f>INDEX(BA!W2:W46,MATCH('Match Analyzer BA'!$B$4,BA!$A$2:$A$46,0))</f>
        <v>0</v>
      </c>
      <c r="Z4" s="26">
        <f>INDEX(BA!O2:O46,MATCH('Match Analyzer BA'!$B$4,BA!$A$2:$A$46,0))</f>
        <v>1</v>
      </c>
      <c r="AA4" s="26">
        <f>INDEX(BA!X2:X46,MATCH('Match Analyzer BA'!$B$4,BA!$A$2:$A$46,0))</f>
        <v>2</v>
      </c>
      <c r="AB4" s="26">
        <f>INDEX(BA!Z2:Z46,MATCH('Match Analyzer BA'!$B$4,BA!$A$2:$A$46,0))</f>
        <v>0</v>
      </c>
      <c r="AC4" s="26">
        <f>INDEX(BA!N2:N46,MATCH('Match Analyzer BA'!$B$4,BA!$A$2:$A$46,0))</f>
        <v>1</v>
      </c>
      <c r="AD4" s="26">
        <f>INDEX(BA!Y2:Y46,MATCH('Match Analyzer BA'!$B$4,BA!$A$2:$A$46,0))</f>
        <v>0</v>
      </c>
      <c r="AE4" s="26">
        <f>INDEX(BA!AH2:AH46,MATCH('Match Analyzer BA'!$B$4,BA!$A$2:$A$46,0))</f>
        <v>2</v>
      </c>
      <c r="AF4" s="26">
        <f>INDEX(BA!AC2:AC46,MATCH('Match Analyzer BA'!$B$4,BA!$A$2:$A$46,0))</f>
        <v>0</v>
      </c>
      <c r="AG4" s="26">
        <f>INDEX(BA!S2:S46,MATCH('Match Analyzer BA'!$B$4,BA!$A$2:$A$46,0))</f>
        <v>0</v>
      </c>
      <c r="AH4" s="14">
        <f>INDEX(BA!R2:R46,MATCH('Match Analyzer BA'!$B$4,BA!$A$2:$A$46,0))</f>
        <v>0</v>
      </c>
    </row>
    <row r="5" spans="1:34" x14ac:dyDescent="0.25">
      <c r="A5" s="107"/>
      <c r="B5" s="7" t="s">
        <v>35</v>
      </c>
      <c r="C5" s="13">
        <f>INDEX(BA!B2:B46,MATCH('Match Analyzer BA'!$B$5,BA!$A$2:$A$46,0))</f>
        <v>214</v>
      </c>
      <c r="D5" s="59">
        <f>INDEX(BA!C2:C46,MATCH('Match Analyzer BA'!$B$5,BA!$A$2:$A$46,0))</f>
        <v>11.263157894736842</v>
      </c>
      <c r="E5" s="14">
        <f>INDEX(BA!D2:D46,MATCH('Match Analyzer BA'!$B$5,BA!$A$2:$A$46,0))</f>
        <v>20</v>
      </c>
      <c r="F5" s="13">
        <f>INDEX(BA!E2:E46,MATCH('Match Analyzer BA'!$B$5,BA!$A$2:$A$46,0))</f>
        <v>6</v>
      </c>
      <c r="G5" s="26">
        <f>INDEX(BA!F2:F46,MATCH('Match Analyzer BA'!$B$5,BA!$A$2:$A$46,0))</f>
        <v>13</v>
      </c>
      <c r="H5" s="73">
        <f>INDEX(BA!G2:G46,MATCH('Match Analyzer BA'!$B$5,BA!$A$2:$A$46,0))</f>
        <v>0.31578947368421051</v>
      </c>
      <c r="I5" s="13">
        <f>INDEX(BA!H2:H46,MATCH('Match Analyzer BA'!$B$5,BA!$A$2:$A$46,0))</f>
        <v>33</v>
      </c>
      <c r="J5" s="26">
        <f>INDEX(BA!I2:I46,MATCH('Match Analyzer BA'!$B$5,BA!$A$2:$A$46,0))</f>
        <v>47</v>
      </c>
      <c r="K5" s="73">
        <f>INDEX(BA!J2:J46,MATCH('Match Analyzer BA'!$B$5,BA!$A$2:$A$46,0))</f>
        <v>0.41249999999999998</v>
      </c>
      <c r="L5" s="13">
        <f>INDEX(BA!K2:K46,MATCH('Match Analyzer BA'!$B$5,BA!$A$2:$A$46,0))</f>
        <v>157</v>
      </c>
      <c r="M5" s="26">
        <f>INDEX(BA!L2:L46,MATCH('Match Analyzer BA'!$B$5,BA!$A$2:$A$46,0))</f>
        <v>176</v>
      </c>
      <c r="N5" s="73">
        <f>INDEX(BA!M2:M46,MATCH('Match Analyzer BA'!$B$5,BA!$A$2:$A$46,0))</f>
        <v>0.47147147147147145</v>
      </c>
      <c r="O5" s="13">
        <f>INDEX(BA!V2:V46,MATCH('Match Analyzer BA'!$B$5,BA!$A$2:$A$46,0))</f>
        <v>1</v>
      </c>
      <c r="P5" s="26">
        <f>INDEX(BA!Q2:Q46,MATCH('Match Analyzer BA'!$B$5,BA!$A$2:$A$46,0))</f>
        <v>2</v>
      </c>
      <c r="Q5" s="26">
        <f>INDEX(BA!U2:U46,MATCH('Match Analyzer BA'!$B$5,BA!$A$2:$A$46,0))</f>
        <v>3</v>
      </c>
      <c r="R5" s="26">
        <f>INDEX(BA!AB2:AB46,MATCH('Match Analyzer BA'!$B$5,BA!$A$2:$A$46,0))</f>
        <v>5</v>
      </c>
      <c r="S5" s="26">
        <f>INDEX(BA!T2:T46,MATCH('Match Analyzer BA'!$B$5,BA!$A$2:$A$46,0))</f>
        <v>1</v>
      </c>
      <c r="T5" s="26">
        <f>INDEX(BA!AD2:AD46,MATCH('Match Analyzer BA'!$B$5,BA!$A$2:$A$46,0))</f>
        <v>3</v>
      </c>
      <c r="U5" s="26">
        <f>INDEX(BA!AA2:AA46,MATCH('Match Analyzer BA'!$B$5,BA!$A$2:$A$46,0))</f>
        <v>1</v>
      </c>
      <c r="V5" s="26">
        <f>INDEX(BA!AF2:AF46,MATCH('Match Analyzer BA'!$B$5,BA!$A$2:$A$46,0))</f>
        <v>3</v>
      </c>
      <c r="W5" s="26">
        <f>INDEX(BA!P2:P46,MATCH('Match Analyzer BA'!$B$5,BA!$A$2:$A$46,0))</f>
        <v>2</v>
      </c>
      <c r="X5" s="26">
        <f>INDEX(BA!AE2:AE46,MATCH('Match Analyzer BA'!$B$5,BA!$A$2:$A$46,0))</f>
        <v>4</v>
      </c>
      <c r="Y5" s="26">
        <f>INDEX(BA!W2:W46,MATCH('Match Analyzer BA'!$B$5,BA!$A$2:$A$46,0))</f>
        <v>1</v>
      </c>
      <c r="Z5" s="26">
        <f>INDEX(BA!O2:O46,MATCH('Match Analyzer BA'!$B$5,BA!$A$2:$A$46,0))</f>
        <v>2</v>
      </c>
      <c r="AA5" s="26">
        <f>INDEX(BA!X2:X46,MATCH('Match Analyzer BA'!$B$5,BA!$A$2:$A$46,0))</f>
        <v>2</v>
      </c>
      <c r="AB5" s="26">
        <f>INDEX(BA!Z2:Z46,MATCH('Match Analyzer BA'!$B$5,BA!$A$2:$A$46,0))</f>
        <v>1</v>
      </c>
      <c r="AC5" s="26">
        <f>INDEX(BA!N2:N46,MATCH('Match Analyzer BA'!$B$5,BA!$A$2:$A$46,0))</f>
        <v>0</v>
      </c>
      <c r="AD5" s="26">
        <f>INDEX(BA!Y2:Y46,MATCH('Match Analyzer BA'!$B$5,BA!$A$2:$A$46,0))</f>
        <v>0</v>
      </c>
      <c r="AE5" s="26">
        <f>INDEX(BA!AH2:AH46,MATCH('Match Analyzer BA'!$B$5,BA!$A$2:$A$46,0))</f>
        <v>1</v>
      </c>
      <c r="AF5" s="26">
        <f>INDEX(BA!AC2:AC46,MATCH('Match Analyzer BA'!$B$5,BA!$A$2:$A$46,0))</f>
        <v>0</v>
      </c>
      <c r="AG5" s="26">
        <f>INDEX(BA!S2:S46,MATCH('Match Analyzer BA'!$B$5,BA!$A$2:$A$46,0))</f>
        <v>0</v>
      </c>
      <c r="AH5" s="14">
        <f>INDEX(BA!R2:R46,MATCH('Match Analyzer BA'!$B$5,BA!$A$2:$A$46,0))</f>
        <v>1</v>
      </c>
    </row>
    <row r="6" spans="1:34" x14ac:dyDescent="0.25">
      <c r="A6" s="107"/>
      <c r="B6" s="7" t="s">
        <v>19</v>
      </c>
      <c r="C6" s="13">
        <f>INDEX(BA!B2:B46,MATCH('Match Analyzer BA'!$B$6,BA!$A$2:$A$46,0))</f>
        <v>88</v>
      </c>
      <c r="D6" s="59">
        <f>INDEX(BA!C2:C46,MATCH('Match Analyzer BA'!$B$6,BA!$A$2:$A$46,0))</f>
        <v>8</v>
      </c>
      <c r="E6" s="14">
        <f>INDEX(BA!D2:D46,MATCH('Match Analyzer BA'!$B$6,BA!$A$2:$A$46,0))</f>
        <v>11</v>
      </c>
      <c r="F6" s="13">
        <f>INDEX(BA!E2:E46,MATCH('Match Analyzer BA'!$B$6,BA!$A$2:$A$46,0))</f>
        <v>9</v>
      </c>
      <c r="G6" s="26">
        <f>INDEX(BA!F2:F46,MATCH('Match Analyzer BA'!$B$6,BA!$A$2:$A$46,0))</f>
        <v>2</v>
      </c>
      <c r="H6" s="73">
        <f>INDEX(BA!G2:G46,MATCH('Match Analyzer BA'!$B$6,BA!$A$2:$A$46,0))</f>
        <v>0.81818181818181823</v>
      </c>
      <c r="I6" s="13">
        <f>INDEX(BA!H2:H46,MATCH('Match Analyzer BA'!$B$6,BA!$A$2:$A$46,0))</f>
        <v>30</v>
      </c>
      <c r="J6" s="26">
        <f>INDEX(BA!I2:I46,MATCH('Match Analyzer BA'!$B$6,BA!$A$2:$A$46,0))</f>
        <v>16</v>
      </c>
      <c r="K6" s="73">
        <f>INDEX(BA!J2:J46,MATCH('Match Analyzer BA'!$B$6,BA!$A$2:$A$46,0))</f>
        <v>0.65217391304347827</v>
      </c>
      <c r="L6" s="13">
        <f>INDEX(BA!K2:K46,MATCH('Match Analyzer BA'!$B$6,BA!$A$2:$A$46,0))</f>
        <v>106</v>
      </c>
      <c r="M6" s="26">
        <f>INDEX(BA!L2:L46,MATCH('Match Analyzer BA'!$B$6,BA!$A$2:$A$46,0))</f>
        <v>79</v>
      </c>
      <c r="N6" s="73">
        <f>INDEX(BA!M2:M46,MATCH('Match Analyzer BA'!$B$6,BA!$A$2:$A$46,0))</f>
        <v>0.572972972972973</v>
      </c>
      <c r="O6" s="13">
        <f>INDEX(BA!V2:V46,MATCH('Match Analyzer BA'!$B$6,BA!$A$2:$A$46,0))</f>
        <v>1</v>
      </c>
      <c r="P6" s="26">
        <f>INDEX(BA!Q2:Q46,MATCH('Match Analyzer BA'!$B$6,BA!$A$2:$A$46,0))</f>
        <v>2</v>
      </c>
      <c r="Q6" s="26">
        <f>INDEX(BA!U2:U46,MATCH('Match Analyzer BA'!$B$6,BA!$A$2:$A$46,0))</f>
        <v>1</v>
      </c>
      <c r="R6" s="26">
        <f>INDEX(BA!AB2:AB46,MATCH('Match Analyzer BA'!$B$6,BA!$A$2:$A$46,0))</f>
        <v>3</v>
      </c>
      <c r="S6" s="26">
        <f>INDEX(BA!T2:T46,MATCH('Match Analyzer BA'!$B$6,BA!$A$2:$A$46,0))</f>
        <v>1</v>
      </c>
      <c r="T6" s="26">
        <f>INDEX(BA!AD2:AD46,MATCH('Match Analyzer BA'!$B$6,BA!$A$2:$A$46,0))</f>
        <v>5</v>
      </c>
      <c r="U6" s="26">
        <f>INDEX(BA!AA2:AA46,MATCH('Match Analyzer BA'!$B$6,BA!$A$2:$A$46,0))</f>
        <v>2</v>
      </c>
      <c r="V6" s="26">
        <f>INDEX(BA!AF2:AF46,MATCH('Match Analyzer BA'!$B$6,BA!$A$2:$A$46,0))</f>
        <v>3</v>
      </c>
      <c r="W6" s="26">
        <f>INDEX(BA!P2:P46,MATCH('Match Analyzer BA'!$B$6,BA!$A$2:$A$46,0))</f>
        <v>2</v>
      </c>
      <c r="X6" s="26">
        <f>INDEX(BA!AE2:AE46,MATCH('Match Analyzer BA'!$B$6,BA!$A$2:$A$46,0))</f>
        <v>3</v>
      </c>
      <c r="Y6" s="26">
        <f>INDEX(BA!W2:W46,MATCH('Match Analyzer BA'!$B$6,BA!$A$2:$A$46,0))</f>
        <v>2</v>
      </c>
      <c r="Z6" s="26">
        <f>INDEX(BA!O2:O46,MATCH('Match Analyzer BA'!$B$6,BA!$A$2:$A$46,0))</f>
        <v>1</v>
      </c>
      <c r="AA6" s="26">
        <f>INDEX(BA!X2:X46,MATCH('Match Analyzer BA'!$B$6,BA!$A$2:$A$46,0))</f>
        <v>1</v>
      </c>
      <c r="AB6" s="26">
        <f>INDEX(BA!Z2:Z46,MATCH('Match Analyzer BA'!$B$6,BA!$A$2:$A$46,0))</f>
        <v>1</v>
      </c>
      <c r="AC6" s="26">
        <f>INDEX(BA!N2:N46,MATCH('Match Analyzer BA'!$B$6,BA!$A$2:$A$46,0))</f>
        <v>1</v>
      </c>
      <c r="AD6" s="26">
        <f>INDEX(BA!Y2:Y46,MATCH('Match Analyzer BA'!$B$6,BA!$A$2:$A$46,0))</f>
        <v>0</v>
      </c>
      <c r="AE6" s="26">
        <f>INDEX(BA!AH2:AH46,MATCH('Match Analyzer BA'!$B$6,BA!$A$2:$A$46,0))</f>
        <v>1</v>
      </c>
      <c r="AF6" s="26">
        <f>INDEX(BA!AC2:AC46,MATCH('Match Analyzer BA'!$B$6,BA!$A$2:$A$46,0))</f>
        <v>0</v>
      </c>
      <c r="AG6" s="26">
        <f>INDEX(BA!S2:S46,MATCH('Match Analyzer BA'!$B$6,BA!$A$2:$A$46,0))</f>
        <v>0</v>
      </c>
      <c r="AH6" s="14">
        <f>INDEX(BA!R2:R46,MATCH('Match Analyzer BA'!$B$6,BA!$A$2:$A$46,0))</f>
        <v>0</v>
      </c>
    </row>
    <row r="7" spans="1:34" x14ac:dyDescent="0.25">
      <c r="A7" s="107"/>
      <c r="B7" s="7" t="s">
        <v>25</v>
      </c>
      <c r="C7" s="13">
        <f>INDEX(BA!B2:B46,MATCH('Match Analyzer BA'!$B$7,BA!$A$2:$A$46,0))</f>
        <v>34</v>
      </c>
      <c r="D7" s="59">
        <f>INDEX(BA!C2:C46,MATCH('Match Analyzer BA'!$B$7,BA!$A$2:$A$46,0))</f>
        <v>8.5</v>
      </c>
      <c r="E7" s="14">
        <f>INDEX(BA!D2:D46,MATCH('Match Analyzer BA'!$B$7,BA!$A$2:$A$46,0))</f>
        <v>12</v>
      </c>
      <c r="F7" s="13">
        <f>INDEX(BA!E2:E46,MATCH('Match Analyzer BA'!$B$7,BA!$A$2:$A$46,0))</f>
        <v>3</v>
      </c>
      <c r="G7" s="26">
        <f>INDEX(BA!F2:F46,MATCH('Match Analyzer BA'!$B$7,BA!$A$2:$A$46,0))</f>
        <v>1</v>
      </c>
      <c r="H7" s="73">
        <f>INDEX(BA!G2:G46,MATCH('Match Analyzer BA'!$B$7,BA!$A$2:$A$46,0))</f>
        <v>0.75</v>
      </c>
      <c r="I7" s="13">
        <f>INDEX(BA!H2:H46,MATCH('Match Analyzer BA'!$B$7,BA!$A$2:$A$46,0))</f>
        <v>10</v>
      </c>
      <c r="J7" s="26">
        <f>INDEX(BA!I2:I46,MATCH('Match Analyzer BA'!$B$7,BA!$A$2:$A$46,0))</f>
        <v>5</v>
      </c>
      <c r="K7" s="73">
        <f>INDEX(BA!J2:J46,MATCH('Match Analyzer BA'!$B$7,BA!$A$2:$A$46,0))</f>
        <v>0.66666666666666663</v>
      </c>
      <c r="L7" s="13">
        <f>INDEX(BA!K2:K46,MATCH('Match Analyzer BA'!$B$7,BA!$A$2:$A$46,0))</f>
        <v>36</v>
      </c>
      <c r="M7" s="26">
        <f>INDEX(BA!L2:L46,MATCH('Match Analyzer BA'!$B$7,BA!$A$2:$A$46,0))</f>
        <v>20</v>
      </c>
      <c r="N7" s="73">
        <f>INDEX(BA!M2:M46,MATCH('Match Analyzer BA'!$B$7,BA!$A$2:$A$46,0))</f>
        <v>0.6428571428571429</v>
      </c>
      <c r="O7" s="13">
        <f>INDEX(BA!V2:V46,MATCH('Match Analyzer BA'!$B$7,BA!$A$2:$A$46,0))</f>
        <v>0</v>
      </c>
      <c r="P7" s="26">
        <f>INDEX(BA!Q2:Q46,MATCH('Match Analyzer BA'!$B$7,BA!$A$2:$A$46,0))</f>
        <v>1</v>
      </c>
      <c r="Q7" s="26">
        <f>INDEX(BA!U2:U46,MATCH('Match Analyzer BA'!$B$7,BA!$A$2:$A$46,0))</f>
        <v>0</v>
      </c>
      <c r="R7" s="26">
        <f>INDEX(BA!AB2:AB46,MATCH('Match Analyzer BA'!$B$7,BA!$A$2:$A$46,0))</f>
        <v>2</v>
      </c>
      <c r="S7" s="26">
        <f>INDEX(BA!T2:T46,MATCH('Match Analyzer BA'!$B$7,BA!$A$2:$A$46,0))</f>
        <v>1</v>
      </c>
      <c r="T7" s="26">
        <f>INDEX(BA!AD2:AD46,MATCH('Match Analyzer BA'!$B$7,BA!$A$2:$A$46,0))</f>
        <v>1</v>
      </c>
      <c r="U7" s="26">
        <f>INDEX(BA!AA2:AA46,MATCH('Match Analyzer BA'!$B$7,BA!$A$2:$A$46,0))</f>
        <v>1</v>
      </c>
      <c r="V7" s="26">
        <f>INDEX(BA!AF2:AF46,MATCH('Match Analyzer BA'!$B$7,BA!$A$2:$A$46,0))</f>
        <v>0</v>
      </c>
      <c r="W7" s="26">
        <f>INDEX(BA!P2:P46,MATCH('Match Analyzer BA'!$B$7,BA!$A$2:$A$46,0))</f>
        <v>0</v>
      </c>
      <c r="X7" s="26">
        <f>INDEX(BA!AE2:AE46,MATCH('Match Analyzer BA'!$B$7,BA!$A$2:$A$46,0))</f>
        <v>0</v>
      </c>
      <c r="Y7" s="26">
        <f>INDEX(BA!W2:W46,MATCH('Match Analyzer BA'!$B$7,BA!$A$2:$A$46,0))</f>
        <v>0</v>
      </c>
      <c r="Z7" s="26">
        <f>INDEX(BA!O2:O46,MATCH('Match Analyzer BA'!$B$7,BA!$A$2:$A$46,0))</f>
        <v>0</v>
      </c>
      <c r="AA7" s="26">
        <f>INDEX(BA!X2:X46,MATCH('Match Analyzer BA'!$B$7,BA!$A$2:$A$46,0))</f>
        <v>1</v>
      </c>
      <c r="AB7" s="26">
        <f>INDEX(BA!Z2:Z46,MATCH('Match Analyzer BA'!$B$7,BA!$A$2:$A$46,0))</f>
        <v>0</v>
      </c>
      <c r="AC7" s="26">
        <f>INDEX(BA!N2:N46,MATCH('Match Analyzer BA'!$B$7,BA!$A$2:$A$46,0))</f>
        <v>2</v>
      </c>
      <c r="AD7" s="26">
        <f>INDEX(BA!Y2:Y46,MATCH('Match Analyzer BA'!$B$7,BA!$A$2:$A$46,0))</f>
        <v>0</v>
      </c>
      <c r="AE7" s="26">
        <f>INDEX(BA!AH2:AH46,MATCH('Match Analyzer BA'!$B$7,BA!$A$2:$A$46,0))</f>
        <v>0</v>
      </c>
      <c r="AF7" s="26">
        <f>INDEX(BA!AC2:AC46,MATCH('Match Analyzer BA'!$B$7,BA!$A$2:$A$46,0))</f>
        <v>0</v>
      </c>
      <c r="AG7" s="26">
        <f>INDEX(BA!S2:S46,MATCH('Match Analyzer BA'!$B$7,BA!$A$2:$A$46,0))</f>
        <v>1</v>
      </c>
      <c r="AH7" s="14">
        <f>INDEX(BA!R2:R46,MATCH('Match Analyzer BA'!$B$7,BA!$A$2:$A$46,0))</f>
        <v>0</v>
      </c>
    </row>
    <row r="8" spans="1:34" x14ac:dyDescent="0.25">
      <c r="A8" s="107"/>
      <c r="B8" s="7" t="s">
        <v>27</v>
      </c>
      <c r="C8" s="13">
        <f>INDEX(BA!B2:B46,MATCH('Match Analyzer BA'!$B$8,BA!$A$2:$A$46,0))</f>
        <v>71</v>
      </c>
      <c r="D8" s="59">
        <f>INDEX(BA!C2:C46,MATCH('Match Analyzer BA'!$B$8,BA!$A$2:$A$46,0))</f>
        <v>14.2</v>
      </c>
      <c r="E8" s="14">
        <f>INDEX(BA!D2:D46,MATCH('Match Analyzer BA'!$B$8,BA!$A$2:$A$46,0))</f>
        <v>20</v>
      </c>
      <c r="F8" s="13">
        <f>INDEX(BA!E2:E46,MATCH('Match Analyzer BA'!$B$8,BA!$A$2:$A$46,0))</f>
        <v>2</v>
      </c>
      <c r="G8" s="26">
        <f>INDEX(BA!F2:F46,MATCH('Match Analyzer BA'!$B$8,BA!$A$2:$A$46,0))</f>
        <v>3</v>
      </c>
      <c r="H8" s="73">
        <f>INDEX(BA!G2:G46,MATCH('Match Analyzer BA'!$B$8,BA!$A$2:$A$46,0))</f>
        <v>0.4</v>
      </c>
      <c r="I8" s="13">
        <f>INDEX(BA!H2:H46,MATCH('Match Analyzer BA'!$B$8,BA!$A$2:$A$46,0))</f>
        <v>11</v>
      </c>
      <c r="J8" s="26">
        <f>INDEX(BA!I2:I46,MATCH('Match Analyzer BA'!$B$8,BA!$A$2:$A$46,0))</f>
        <v>12</v>
      </c>
      <c r="K8" s="73">
        <f>INDEX(BA!J2:J46,MATCH('Match Analyzer BA'!$B$8,BA!$A$2:$A$46,0))</f>
        <v>0.47826086956521741</v>
      </c>
      <c r="L8" s="13">
        <f>INDEX(BA!K2:K46,MATCH('Match Analyzer BA'!$B$8,BA!$A$2:$A$46,0))</f>
        <v>43</v>
      </c>
      <c r="M8" s="26">
        <f>INDEX(BA!L2:L46,MATCH('Match Analyzer BA'!$B$8,BA!$A$2:$A$46,0))</f>
        <v>51</v>
      </c>
      <c r="N8" s="73">
        <f>INDEX(BA!M2:M46,MATCH('Match Analyzer BA'!$B$8,BA!$A$2:$A$46,0))</f>
        <v>0.45744680851063829</v>
      </c>
      <c r="O8" s="13">
        <f>INDEX(BA!V2:V46,MATCH('Match Analyzer BA'!$B$8,BA!$A$2:$A$46,0))</f>
        <v>0</v>
      </c>
      <c r="P8" s="26">
        <f>INDEX(BA!Q2:Q46,MATCH('Match Analyzer BA'!$B$8,BA!$A$2:$A$46,0))</f>
        <v>2</v>
      </c>
      <c r="Q8" s="26">
        <f>INDEX(BA!U2:U46,MATCH('Match Analyzer BA'!$B$8,BA!$A$2:$A$46,0))</f>
        <v>0</v>
      </c>
      <c r="R8" s="26">
        <f>INDEX(BA!AB2:AB46,MATCH('Match Analyzer BA'!$B$8,BA!$A$2:$A$46,0))</f>
        <v>2</v>
      </c>
      <c r="S8" s="26">
        <f>INDEX(BA!T2:T46,MATCH('Match Analyzer BA'!$B$8,BA!$A$2:$A$46,0))</f>
        <v>0</v>
      </c>
      <c r="T8" s="26">
        <f>INDEX(BA!AD2:AD46,MATCH('Match Analyzer BA'!$B$8,BA!$A$2:$A$46,0))</f>
        <v>3</v>
      </c>
      <c r="U8" s="26">
        <f>INDEX(BA!AA2:AA46,MATCH('Match Analyzer BA'!$B$8,BA!$A$2:$A$46,0))</f>
        <v>1</v>
      </c>
      <c r="V8" s="26">
        <f>INDEX(BA!AF2:AF46,MATCH('Match Analyzer BA'!$B$8,BA!$A$2:$A$46,0))</f>
        <v>0</v>
      </c>
      <c r="W8" s="26">
        <f>INDEX(BA!P2:P46,MATCH('Match Analyzer BA'!$B$8,BA!$A$2:$A$46,0))</f>
        <v>1</v>
      </c>
      <c r="X8" s="26">
        <f>INDEX(BA!AE2:AE46,MATCH('Match Analyzer BA'!$B$8,BA!$A$2:$A$46,0))</f>
        <v>1</v>
      </c>
      <c r="Y8" s="26">
        <f>INDEX(BA!W2:W46,MATCH('Match Analyzer BA'!$B$8,BA!$A$2:$A$46,0))</f>
        <v>1</v>
      </c>
      <c r="Z8" s="26">
        <f>INDEX(BA!O2:O46,MATCH('Match Analyzer BA'!$B$8,BA!$A$2:$A$46,0))</f>
        <v>0</v>
      </c>
      <c r="AA8" s="26">
        <f>INDEX(BA!X2:X46,MATCH('Match Analyzer BA'!$B$8,BA!$A$2:$A$46,0))</f>
        <v>0</v>
      </c>
      <c r="AB8" s="26">
        <f>INDEX(BA!Z2:Z46,MATCH('Match Analyzer BA'!$B$8,BA!$A$2:$A$46,0))</f>
        <v>0</v>
      </c>
      <c r="AC8" s="26">
        <f>INDEX(BA!N2:N46,MATCH('Match Analyzer BA'!$B$8,BA!$A$2:$A$46,0))</f>
        <v>0</v>
      </c>
      <c r="AD8" s="26">
        <f>INDEX(BA!Y2:Y46,MATCH('Match Analyzer BA'!$B$8,BA!$A$2:$A$46,0))</f>
        <v>0</v>
      </c>
      <c r="AE8" s="26">
        <f>INDEX(BA!AH2:AH46,MATCH('Match Analyzer BA'!$B$8,BA!$A$2:$A$46,0))</f>
        <v>0</v>
      </c>
      <c r="AF8" s="26">
        <f>INDEX(BA!AC2:AC46,MATCH('Match Analyzer BA'!$B$8,BA!$A$2:$A$46,0))</f>
        <v>0</v>
      </c>
      <c r="AG8" s="26">
        <f>INDEX(BA!S2:S46,MATCH('Match Analyzer BA'!$B$8,BA!$A$2:$A$46,0))</f>
        <v>0</v>
      </c>
      <c r="AH8" s="14">
        <f>INDEX(BA!R2:R46,MATCH('Match Analyzer BA'!$B$8,BA!$A$2:$A$46,0))</f>
        <v>0</v>
      </c>
    </row>
    <row r="9" spans="1:34" x14ac:dyDescent="0.25">
      <c r="A9" s="107"/>
      <c r="B9" s="7" t="s">
        <v>78</v>
      </c>
      <c r="C9" s="13">
        <f>INDEX(BA!B2:B46,MATCH('Match Analyzer BA'!$B$9,BA!$A$2:$A$46,0))</f>
        <v>0</v>
      </c>
      <c r="D9" s="59">
        <f>INDEX(BA!C2:C46,MATCH('Match Analyzer BA'!$B$9,BA!$A$2:$A$46,0))</f>
        <v>0</v>
      </c>
      <c r="E9" s="14">
        <f>INDEX(BA!D2:D46,MATCH('Match Analyzer BA'!$B$9,BA!$A$2:$A$46,0))</f>
        <v>0</v>
      </c>
      <c r="F9" s="13">
        <f>INDEX(BA!E2:E46,MATCH('Match Analyzer BA'!$B$9,BA!$A$2:$A$46,0))</f>
        <v>0</v>
      </c>
      <c r="G9" s="26">
        <f>INDEX(BA!F2:F46,MATCH('Match Analyzer BA'!$B$9,BA!$A$2:$A$46,0))</f>
        <v>0</v>
      </c>
      <c r="H9" s="73" t="str">
        <f>INDEX(BA!G2:G46,MATCH('Match Analyzer BA'!$B$9,BA!$A$2:$A$46,0))</f>
        <v>-</v>
      </c>
      <c r="I9" s="13">
        <f>INDEX(BA!H2:H46,MATCH('Match Analyzer BA'!$B$9,BA!$A$2:$A$46,0))</f>
        <v>0</v>
      </c>
      <c r="J9" s="26">
        <f>INDEX(BA!I2:I46,MATCH('Match Analyzer BA'!$B$9,BA!$A$2:$A$46,0))</f>
        <v>0</v>
      </c>
      <c r="K9" s="73" t="str">
        <f>INDEX(BA!J2:J46,MATCH('Match Analyzer BA'!$B$9,BA!$A$2:$A$46,0))</f>
        <v>-</v>
      </c>
      <c r="L9" s="13">
        <f>INDEX(BA!K2:K46,MATCH('Match Analyzer BA'!$B$9,BA!$A$2:$A$46,0))</f>
        <v>0</v>
      </c>
      <c r="M9" s="26">
        <f>INDEX(BA!L2:L46,MATCH('Match Analyzer BA'!$B$9,BA!$A$2:$A$46,0))</f>
        <v>0</v>
      </c>
      <c r="N9" s="73" t="str">
        <f>INDEX(BA!M2:M46,MATCH('Match Analyzer BA'!$B$9,BA!$A$2:$A$46,0))</f>
        <v>-</v>
      </c>
      <c r="O9" s="13">
        <f>INDEX(BA!V2:V46,MATCH('Match Analyzer BA'!$B$9,BA!$A$2:$A$46,0))</f>
        <v>0</v>
      </c>
      <c r="P9" s="26">
        <f>INDEX(BA!Q2:Q46,MATCH('Match Analyzer BA'!$B$9,BA!$A$2:$A$46,0))</f>
        <v>0</v>
      </c>
      <c r="Q9" s="26">
        <f>INDEX(BA!U2:U46,MATCH('Match Analyzer BA'!$B$9,BA!$A$2:$A$46,0))</f>
        <v>0</v>
      </c>
      <c r="R9" s="26">
        <f>INDEX(BA!AB2:AB46,MATCH('Match Analyzer BA'!$B$9,BA!$A$2:$A$46,0))</f>
        <v>0</v>
      </c>
      <c r="S9" s="26">
        <f>INDEX(BA!T2:T46,MATCH('Match Analyzer BA'!$B$9,BA!$A$2:$A$46,0))</f>
        <v>0</v>
      </c>
      <c r="T9" s="26">
        <f>INDEX(BA!AD2:AD46,MATCH('Match Analyzer BA'!$B$9,BA!$A$2:$A$46,0))</f>
        <v>0</v>
      </c>
      <c r="U9" s="26">
        <f>INDEX(BA!AA2:AA46,MATCH('Match Analyzer BA'!$B$9,BA!$A$2:$A$46,0))</f>
        <v>0</v>
      </c>
      <c r="V9" s="26">
        <f>INDEX(BA!AF2:AF46,MATCH('Match Analyzer BA'!$B$9,BA!$A$2:$A$46,0))</f>
        <v>0</v>
      </c>
      <c r="W9" s="26">
        <f>INDEX(BA!P2:P46,MATCH('Match Analyzer BA'!$B$9,BA!$A$2:$A$46,0))</f>
        <v>0</v>
      </c>
      <c r="X9" s="26">
        <f>INDEX(BA!AE2:AE46,MATCH('Match Analyzer BA'!$B$9,BA!$A$2:$A$46,0))</f>
        <v>0</v>
      </c>
      <c r="Y9" s="26">
        <f>INDEX(BA!W2:W46,MATCH('Match Analyzer BA'!$B$9,BA!$A$2:$A$46,0))</f>
        <v>0</v>
      </c>
      <c r="Z9" s="26">
        <f>INDEX(BA!O2:O46,MATCH('Match Analyzer BA'!$B$9,BA!$A$2:$A$46,0))</f>
        <v>0</v>
      </c>
      <c r="AA9" s="26">
        <f>INDEX(BA!X2:X46,MATCH('Match Analyzer BA'!$B$9,BA!$A$2:$A$46,0))</f>
        <v>0</v>
      </c>
      <c r="AB9" s="26">
        <f>INDEX(BA!Z2:Z46,MATCH('Match Analyzer BA'!$B$9,BA!$A$2:$A$46,0))</f>
        <v>0</v>
      </c>
      <c r="AC9" s="26">
        <f>INDEX(BA!N2:N46,MATCH('Match Analyzer BA'!$B$9,BA!$A$2:$A$46,0))</f>
        <v>0</v>
      </c>
      <c r="AD9" s="26">
        <f>INDEX(BA!Y2:Y46,MATCH('Match Analyzer BA'!$B$9,BA!$A$2:$A$46,0))</f>
        <v>0</v>
      </c>
      <c r="AE9" s="26">
        <f>INDEX(BA!AH2:AH46,MATCH('Match Analyzer BA'!$B$9,BA!$A$2:$A$46,0))</f>
        <v>0</v>
      </c>
      <c r="AF9" s="26">
        <f>INDEX(BA!AC2:AC46,MATCH('Match Analyzer BA'!$B$9,BA!$A$2:$A$46,0))</f>
        <v>0</v>
      </c>
      <c r="AG9" s="26">
        <f>INDEX(BA!S2:S46,MATCH('Match Analyzer BA'!$B$9,BA!$A$2:$A$46,0))</f>
        <v>0</v>
      </c>
      <c r="AH9" s="14">
        <f>INDEX(BA!R2:R46,MATCH('Match Analyzer BA'!$B$9,BA!$A$2:$A$46,0))</f>
        <v>0</v>
      </c>
    </row>
    <row r="10" spans="1:34" ht="15.75" thickBot="1" x14ac:dyDescent="0.3">
      <c r="A10" s="107"/>
      <c r="B10" s="7" t="s">
        <v>78</v>
      </c>
      <c r="C10" s="17">
        <f>INDEX(BA!B2:B46,MATCH('Match Analyzer BA'!$B$10,BA!$A$2:$A$46,0))</f>
        <v>0</v>
      </c>
      <c r="D10" s="60">
        <f>INDEX(BA!C2:C46,MATCH('Match Analyzer BA'!$B$10,BA!$A$2:$A$46,0))</f>
        <v>0</v>
      </c>
      <c r="E10" s="18">
        <f>INDEX(BA!D2:D46,MATCH('Match Analyzer BA'!$B$10,BA!$A$2:$A$46,0))</f>
        <v>0</v>
      </c>
      <c r="F10" s="17">
        <f>INDEX(BA!E2:E46,MATCH('Match Analyzer BA'!$B$10,BA!$A$2:$A$46,0))</f>
        <v>0</v>
      </c>
      <c r="G10" s="29">
        <f>INDEX(BA!F2:F46,MATCH('Match Analyzer BA'!$B$10,BA!$A$2:$A$46,0))</f>
        <v>0</v>
      </c>
      <c r="H10" s="74" t="str">
        <f>INDEX(BA!G2:G46,MATCH('Match Analyzer BA'!$B$10,BA!$A$2:$A$46,0))</f>
        <v>-</v>
      </c>
      <c r="I10" s="17">
        <f>INDEX(BA!H2:H46,MATCH('Match Analyzer BA'!$B$10,BA!$A$2:$A$46,0))</f>
        <v>0</v>
      </c>
      <c r="J10" s="29">
        <f>INDEX(BA!I2:I46,MATCH('Match Analyzer BA'!$B$10,BA!$A$2:$A$46,0))</f>
        <v>0</v>
      </c>
      <c r="K10" s="74" t="str">
        <f>INDEX(BA!J2:J46,MATCH('Match Analyzer BA'!$B$10,BA!$A$2:$A$46,0))</f>
        <v>-</v>
      </c>
      <c r="L10" s="17">
        <f>INDEX(BA!K2:K46,MATCH('Match Analyzer BA'!$B$10,BA!$A$2:$A$46,0))</f>
        <v>0</v>
      </c>
      <c r="M10" s="29">
        <f>INDEX(BA!L2:L46,MATCH('Match Analyzer BA'!$B$10,BA!$A$2:$A$46,0))</f>
        <v>0</v>
      </c>
      <c r="N10" s="74" t="str">
        <f>INDEX(BA!M2:M46,MATCH('Match Analyzer BA'!$B$10,BA!$A$2:$A$46,0))</f>
        <v>-</v>
      </c>
      <c r="O10" s="17">
        <f>INDEX(BA!V2:V46,MATCH('Match Analyzer BA'!$B$10,BA!$A$2:$A$46,0))</f>
        <v>0</v>
      </c>
      <c r="P10" s="29">
        <f>INDEX(BA!Q2:Q46,MATCH('Match Analyzer BA'!$B$10,BA!$A$2:$A$46,0))</f>
        <v>0</v>
      </c>
      <c r="Q10" s="29">
        <f>INDEX(BA!U2:U46,MATCH('Match Analyzer BA'!$B$10,BA!$A$2:$A$46,0))</f>
        <v>0</v>
      </c>
      <c r="R10" s="29">
        <f>INDEX(BA!AB2:AB46,MATCH('Match Analyzer BA'!$B$10,BA!$A$2:$A$46,0))</f>
        <v>0</v>
      </c>
      <c r="S10" s="29">
        <f>INDEX(BA!T2:T46,MATCH('Match Analyzer BA'!$B$10,BA!$A$2:$A$46,0))</f>
        <v>0</v>
      </c>
      <c r="T10" s="29">
        <f>INDEX(BA!AD2:AD46,MATCH('Match Analyzer BA'!$B$10,BA!$A$2:$A$46,0))</f>
        <v>0</v>
      </c>
      <c r="U10" s="29">
        <f>INDEX(BA!AA2:AA46,MATCH('Match Analyzer BA'!$B$10,BA!$A$2:$A$46,0))</f>
        <v>0</v>
      </c>
      <c r="V10" s="29">
        <f>INDEX(BA!AF2:AF46,MATCH('Match Analyzer BA'!$B$10,BA!$A$2:$A$46,0))</f>
        <v>0</v>
      </c>
      <c r="W10" s="29">
        <f>INDEX(BA!P2:P46,MATCH('Match Analyzer BA'!$B$10,BA!$A$2:$A$46,0))</f>
        <v>0</v>
      </c>
      <c r="X10" s="29">
        <f>INDEX(BA!AE2:AE46,MATCH('Match Analyzer BA'!$B$10,BA!$A$2:$A$46,0))</f>
        <v>0</v>
      </c>
      <c r="Y10" s="29">
        <f>INDEX(BA!W2:W46,MATCH('Match Analyzer BA'!$B$10,BA!$A$2:$A$46,0))</f>
        <v>0</v>
      </c>
      <c r="Z10" s="29">
        <f>INDEX(BA!O2:O46,MATCH('Match Analyzer BA'!$B$10,BA!$A$2:$A$46,0))</f>
        <v>0</v>
      </c>
      <c r="AA10" s="29">
        <f>INDEX(BA!X2:X46,MATCH('Match Analyzer BA'!$B$10,BA!$A$2:$A$46,0))</f>
        <v>0</v>
      </c>
      <c r="AB10" s="29">
        <f>INDEX(BA!Z2:Z46,MATCH('Match Analyzer BA'!$B$10,BA!$A$2:$A$46,0))</f>
        <v>0</v>
      </c>
      <c r="AC10" s="29">
        <f>INDEX(BA!N2:N46,MATCH('Match Analyzer BA'!$B$10,BA!$A$2:$A$46,0))</f>
        <v>0</v>
      </c>
      <c r="AD10" s="29">
        <f>INDEX(BA!Y2:Y46,MATCH('Match Analyzer BA'!$B$10,BA!$A$2:$A$46,0))</f>
        <v>0</v>
      </c>
      <c r="AE10" s="29">
        <f>INDEX(BA!AH2:AH46,MATCH('Match Analyzer BA'!$B$10,BA!$A$2:$A$46,0))</f>
        <v>0</v>
      </c>
      <c r="AF10" s="29">
        <f>INDEX(BA!AC2:AC46,MATCH('Match Analyzer BA'!$B$10,BA!$A$2:$A$46,0))</f>
        <v>0</v>
      </c>
      <c r="AG10" s="29">
        <f>INDEX(BA!S2:S46,MATCH('Match Analyzer BA'!$B$10,BA!$A$2:$A$46,0))</f>
        <v>0</v>
      </c>
      <c r="AH10" s="18">
        <f>INDEX(BA!R2:R46,MATCH('Match Analyzer BA'!$B$10,BA!$A$2:$A$46,0))</f>
        <v>0</v>
      </c>
    </row>
    <row r="11" spans="1:34" x14ac:dyDescent="0.25">
      <c r="D11" s="8">
        <f>SUM(D3:D10)</f>
        <v>69.106015037593991</v>
      </c>
      <c r="H11" s="9">
        <f>AVERAGE(H3:H10)</f>
        <v>0.52351902483481427</v>
      </c>
      <c r="I11" s="1"/>
      <c r="J11" s="1"/>
      <c r="K11" s="9">
        <f>AVERAGE(K3:K10)</f>
        <v>0.55106260713729149</v>
      </c>
      <c r="N11" s="9">
        <f>AVERAGE(N3:N10)</f>
        <v>0.53303058505267376</v>
      </c>
      <c r="O11" s="5">
        <f>SUM(O3:O10)</f>
        <v>2</v>
      </c>
      <c r="P11" s="5">
        <f t="shared" ref="P11:AH11" si="0">SUM(P3:P10)</f>
        <v>7</v>
      </c>
      <c r="Q11" s="5">
        <f t="shared" si="0"/>
        <v>8</v>
      </c>
      <c r="R11" s="5">
        <f t="shared" si="0"/>
        <v>14</v>
      </c>
      <c r="S11" s="5">
        <f t="shared" si="0"/>
        <v>3</v>
      </c>
      <c r="T11" s="5">
        <f t="shared" si="0"/>
        <v>14</v>
      </c>
      <c r="U11" s="5">
        <f t="shared" si="0"/>
        <v>9</v>
      </c>
      <c r="V11" s="5">
        <f t="shared" si="0"/>
        <v>8</v>
      </c>
      <c r="W11" s="5">
        <f t="shared" si="0"/>
        <v>9</v>
      </c>
      <c r="X11" s="5">
        <f t="shared" si="0"/>
        <v>12</v>
      </c>
      <c r="Y11" s="5">
        <f t="shared" si="0"/>
        <v>4</v>
      </c>
      <c r="Z11" s="5">
        <f t="shared" si="0"/>
        <v>5</v>
      </c>
      <c r="AA11" s="5">
        <f t="shared" si="0"/>
        <v>8</v>
      </c>
      <c r="AB11" s="5">
        <f t="shared" si="0"/>
        <v>2</v>
      </c>
      <c r="AC11" s="5">
        <f t="shared" si="0"/>
        <v>5</v>
      </c>
      <c r="AD11" s="5">
        <f t="shared" si="0"/>
        <v>0</v>
      </c>
      <c r="AE11" s="5">
        <f t="shared" si="0"/>
        <v>6</v>
      </c>
      <c r="AF11" s="5">
        <f t="shared" si="0"/>
        <v>0</v>
      </c>
      <c r="AG11" s="5">
        <f t="shared" si="0"/>
        <v>1</v>
      </c>
      <c r="AH11" s="5">
        <f t="shared" si="0"/>
        <v>1</v>
      </c>
    </row>
    <row r="14" spans="1:34" ht="15.75" thickBot="1" x14ac:dyDescent="0.3"/>
    <row r="15" spans="1:34" x14ac:dyDescent="0.25">
      <c r="C15" s="104" t="s">
        <v>7</v>
      </c>
      <c r="D15" s="105"/>
      <c r="E15" s="106"/>
      <c r="F15" s="104" t="s">
        <v>22</v>
      </c>
      <c r="G15" s="105"/>
      <c r="H15" s="106"/>
      <c r="I15" s="104" t="s">
        <v>16</v>
      </c>
      <c r="J15" s="105"/>
      <c r="K15" s="106"/>
      <c r="L15" s="104" t="s">
        <v>23</v>
      </c>
      <c r="M15" s="105"/>
      <c r="N15" s="106"/>
      <c r="O15" s="104" t="s">
        <v>64</v>
      </c>
      <c r="P15" s="105"/>
      <c r="Q15" s="105"/>
      <c r="R15" s="105"/>
      <c r="S15" s="105"/>
      <c r="T15" s="105"/>
      <c r="U15" s="105"/>
      <c r="V15" s="105"/>
      <c r="W15" s="105"/>
      <c r="X15" s="105"/>
      <c r="Y15" s="105"/>
      <c r="Z15" s="105"/>
      <c r="AA15" s="105"/>
      <c r="AB15" s="105"/>
      <c r="AC15" s="105"/>
      <c r="AD15" s="55"/>
      <c r="AE15" s="55"/>
      <c r="AF15" s="55"/>
      <c r="AG15" s="55"/>
      <c r="AH15" s="56"/>
    </row>
    <row r="16" spans="1:34" ht="45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63" t="s">
        <v>62</v>
      </c>
      <c r="P16" s="57" t="s">
        <v>63</v>
      </c>
      <c r="Q16" s="57" t="s">
        <v>106</v>
      </c>
      <c r="R16" s="57" t="s">
        <v>56</v>
      </c>
      <c r="S16" s="57" t="s">
        <v>32</v>
      </c>
      <c r="T16" s="57" t="s">
        <v>66</v>
      </c>
      <c r="U16" s="57" t="s">
        <v>67</v>
      </c>
      <c r="V16" s="57" t="s">
        <v>68</v>
      </c>
      <c r="W16" s="57" t="s">
        <v>69</v>
      </c>
      <c r="X16" s="57" t="s">
        <v>72</v>
      </c>
      <c r="Y16" s="57" t="s">
        <v>73</v>
      </c>
      <c r="Z16" s="57" t="s">
        <v>41</v>
      </c>
      <c r="AA16" s="57" t="s">
        <v>91</v>
      </c>
      <c r="AB16" s="57" t="s">
        <v>92</v>
      </c>
      <c r="AC16" s="57" t="s">
        <v>93</v>
      </c>
      <c r="AD16" s="57" t="s">
        <v>95</v>
      </c>
      <c r="AE16" s="57" t="s">
        <v>96</v>
      </c>
      <c r="AF16" s="57" t="s">
        <v>104</v>
      </c>
      <c r="AG16" s="57" t="s">
        <v>112</v>
      </c>
      <c r="AH16" s="64" t="s">
        <v>116</v>
      </c>
    </row>
    <row r="17" spans="1:34" x14ac:dyDescent="0.25">
      <c r="A17" s="103" t="s">
        <v>77</v>
      </c>
      <c r="B17" s="7" t="s">
        <v>35</v>
      </c>
      <c r="C17" s="13">
        <f>INDEX(BA!B2:B46,MATCH('Match Analyzer BA'!$B$17,BA!$A$2:$A$46,0))</f>
        <v>214</v>
      </c>
      <c r="D17" s="59">
        <f>INDEX(BA!C2:C46,MATCH('Match Analyzer BA'!$B$17,BA!$A$2:$A$46,0))</f>
        <v>11.263157894736842</v>
      </c>
      <c r="E17" s="14">
        <f>INDEX(BA!D2:D46,MATCH('Match Analyzer BA'!$B$17,BA!$A$2:$A$46,0))</f>
        <v>20</v>
      </c>
      <c r="F17" s="13">
        <f>INDEX(BA!E2:E46,MATCH('Match Analyzer BA'!$B$17,BA!$A$2:$A$46,0))</f>
        <v>6</v>
      </c>
      <c r="G17" s="26">
        <f>INDEX(BA!F2:F46,MATCH('Match Analyzer BA'!$B$17,BA!$A$2:$A$46,0))</f>
        <v>13</v>
      </c>
      <c r="H17" s="27">
        <f>INDEX(BA!G2:G46,MATCH('Match Analyzer BA'!$B$17,BA!$A$2:$A$46,0))</f>
        <v>0.31578947368421051</v>
      </c>
      <c r="I17" s="13">
        <f>INDEX(BA!H2:H46,MATCH('Match Analyzer BA'!$B$17,BA!$A$2:$A$46,0))</f>
        <v>33</v>
      </c>
      <c r="J17" s="26">
        <f>INDEX(BA!I2:I46,MATCH('Match Analyzer BA'!$B$17,BA!$A$2:$A$46,0))</f>
        <v>47</v>
      </c>
      <c r="K17" s="27">
        <f>INDEX(BA!J2:J46,MATCH('Match Analyzer BA'!$B$17,BA!$A$2:$A$46,0))</f>
        <v>0.41249999999999998</v>
      </c>
      <c r="L17" s="13">
        <f>INDEX(BA!K2:K46,MATCH('Match Analyzer BA'!$B$17,BA!$A$2:$A$46,0))</f>
        <v>157</v>
      </c>
      <c r="M17" s="26">
        <f>INDEX(BA!L2:L46,MATCH('Match Analyzer BA'!$B$17,BA!$A$2:$A$46,0))</f>
        <v>176</v>
      </c>
      <c r="N17" s="27">
        <f>INDEX(BA!M2:M46,MATCH('Match Analyzer BA'!$B$17,BA!$A$2:$A$46,0))</f>
        <v>0.47147147147147145</v>
      </c>
      <c r="O17" s="13">
        <f>INDEX(BA!V2:V46,MATCH('Match Analyzer BA'!$B$17,BA!$A$2:$A$46,0))</f>
        <v>1</v>
      </c>
      <c r="P17" s="26">
        <f>INDEX(BA!Q2:Q46,MATCH('Match Analyzer BA'!$B$17,BA!$A$2:$A$46,0))</f>
        <v>2</v>
      </c>
      <c r="Q17" s="26">
        <f>INDEX(BA!U2:U46,MATCH('Match Analyzer BA'!$B$17,BA!$A$2:$A$46,0))</f>
        <v>3</v>
      </c>
      <c r="R17" s="26">
        <f>INDEX(BA!AB2:AB46,MATCH('Match Analyzer BA'!$B$17,BA!$A$2:$A$46,0))</f>
        <v>5</v>
      </c>
      <c r="S17" s="26">
        <f>INDEX(BA!T2:T46,MATCH('Match Analyzer BA'!$B$17,BA!$A$2:$A$46,0))</f>
        <v>1</v>
      </c>
      <c r="T17" s="26">
        <f>INDEX(BA!AD2:AD46,MATCH('Match Analyzer BA'!$B$17,BA!$A$2:$A$46,0))</f>
        <v>3</v>
      </c>
      <c r="U17" s="26">
        <f>INDEX(BA!AA2:AA46,MATCH('Match Analyzer BA'!$B$17,BA!$A$2:$A$46,0))</f>
        <v>1</v>
      </c>
      <c r="V17" s="26">
        <f>INDEX(BA!AF2:AF46,MATCH('Match Analyzer BA'!$B$17,BA!$A$2:$A$46,0))</f>
        <v>3</v>
      </c>
      <c r="W17" s="26">
        <f>INDEX(BA!P2:P46,MATCH('Match Analyzer BA'!$B$17,BA!$A$2:$A$46,0))</f>
        <v>2</v>
      </c>
      <c r="X17" s="26">
        <f>INDEX(BA!AE2:AE46,MATCH('Match Analyzer BA'!$B$17,BA!$A$2:$A$46,0))</f>
        <v>4</v>
      </c>
      <c r="Y17" s="26">
        <f>INDEX(BA!W2:W46,MATCH('Match Analyzer BA'!$B$17,BA!$A$2:$A$46,0))</f>
        <v>1</v>
      </c>
      <c r="Z17" s="26">
        <f>INDEX(BA!O2:O46,MATCH('Match Analyzer BA'!$B$17,BA!$A$2:$A$46,0))</f>
        <v>2</v>
      </c>
      <c r="AA17" s="26">
        <f>INDEX(BA!X2:X46,MATCH('Match Analyzer BA'!$B$17,BA!$A$2:$A$46,0))</f>
        <v>2</v>
      </c>
      <c r="AB17" s="26">
        <f>INDEX(BA!Z2:Z46,MATCH('Match Analyzer BA'!$B$17,BA!$A$2:$A$46,0))</f>
        <v>1</v>
      </c>
      <c r="AC17" s="26">
        <f>INDEX(BA!N2:N46,MATCH('Match Analyzer BA'!$B$17,BA!$A$2:$A$46,0))</f>
        <v>0</v>
      </c>
      <c r="AD17" s="26">
        <f>INDEX(BA!Y2:Y46,MATCH('Match Analyzer BA'!$B$17,BA!$A$2:$A$46,0))</f>
        <v>0</v>
      </c>
      <c r="AE17" s="26">
        <f>INDEX(BA!AH2:AH46,MATCH('Match Analyzer BA'!$B$17,BA!$A$2:$A$46,0))</f>
        <v>1</v>
      </c>
      <c r="AF17" s="26">
        <f>INDEX(BA!AC2:AC46,MATCH('Match Analyzer BA'!$B$17,BA!$A$2:$A$46,0))</f>
        <v>0</v>
      </c>
      <c r="AG17" s="26">
        <f>INDEX(BA!S2:S46,MATCH('Match Analyzer BA'!$B$17,BA!$A$2:$A$46,0))</f>
        <v>0</v>
      </c>
      <c r="AH17" s="14">
        <f>INDEX(BA!R2:R46,MATCH('Match Analyzer BA'!$B$17,BA!$A$2:$A$46,0))</f>
        <v>1</v>
      </c>
    </row>
    <row r="18" spans="1:34" x14ac:dyDescent="0.25">
      <c r="A18" s="103"/>
      <c r="B18" s="7" t="s">
        <v>42</v>
      </c>
      <c r="C18" s="13">
        <f>INDEX(BA!B2:B46,MATCH('Match Analyzer BA'!$B$18,BA!$A$2:$A$46,0))</f>
        <v>233</v>
      </c>
      <c r="D18" s="59">
        <f>INDEX(BA!C2:C46,MATCH('Match Analyzer BA'!$B$18,BA!$A$2:$A$46,0))</f>
        <v>16.642857142857142</v>
      </c>
      <c r="E18" s="14">
        <f>INDEX(BA!D2:D46,MATCH('Match Analyzer BA'!$B$18,BA!$A$2:$A$46,0))</f>
        <v>31</v>
      </c>
      <c r="F18" s="13">
        <f>INDEX(BA!E2:E46,MATCH('Match Analyzer BA'!$B$18,BA!$A$2:$A$46,0))</f>
        <v>6</v>
      </c>
      <c r="G18" s="26">
        <f>INDEX(BA!F2:F46,MATCH('Match Analyzer BA'!$B$18,BA!$A$2:$A$46,0))</f>
        <v>8</v>
      </c>
      <c r="H18" s="27">
        <f>INDEX(BA!G2:G46,MATCH('Match Analyzer BA'!$B$18,BA!$A$2:$A$46,0))</f>
        <v>0.42857142857142855</v>
      </c>
      <c r="I18" s="13">
        <f>INDEX(BA!H2:H46,MATCH('Match Analyzer BA'!$B$18,BA!$A$2:$A$46,0))</f>
        <v>25</v>
      </c>
      <c r="J18" s="26">
        <f>INDEX(BA!I2:I46,MATCH('Match Analyzer BA'!$B$18,BA!$A$2:$A$46,0))</f>
        <v>33</v>
      </c>
      <c r="K18" s="27">
        <f>INDEX(BA!J2:J46,MATCH('Match Analyzer BA'!$B$18,BA!$A$2:$A$46,0))</f>
        <v>0.43103448275862066</v>
      </c>
      <c r="L18" s="13">
        <f>INDEX(BA!K2:K46,MATCH('Match Analyzer BA'!$B$18,BA!$A$2:$A$46,0))</f>
        <v>109</v>
      </c>
      <c r="M18" s="26">
        <f>INDEX(BA!L2:L46,MATCH('Match Analyzer BA'!$B$18,BA!$A$2:$A$46,0))</f>
        <v>128</v>
      </c>
      <c r="N18" s="27">
        <f>INDEX(BA!M2:M46,MATCH('Match Analyzer BA'!$B$18,BA!$A$2:$A$46,0))</f>
        <v>0.45991561181434598</v>
      </c>
      <c r="O18" s="13">
        <f>INDEX(BA!V2:V46,MATCH('Match Analyzer BA'!$B$18,BA!$A$2:$A$46,0))</f>
        <v>0</v>
      </c>
      <c r="P18" s="26">
        <f>INDEX(BA!Q2:Q46,MATCH('Match Analyzer BA'!$B$18,BA!$A$2:$A$46,0))</f>
        <v>2</v>
      </c>
      <c r="Q18" s="26">
        <f>INDEX(BA!U2:U46,MATCH('Match Analyzer BA'!$B$18,BA!$A$2:$A$46,0))</f>
        <v>1</v>
      </c>
      <c r="R18" s="26">
        <f>INDEX(BA!AB2:AB46,MATCH('Match Analyzer BA'!$B$18,BA!$A$2:$A$46,0))</f>
        <v>4</v>
      </c>
      <c r="S18" s="26">
        <f>INDEX(BA!T2:T46,MATCH('Match Analyzer BA'!$B$18,BA!$A$2:$A$46,0))</f>
        <v>1</v>
      </c>
      <c r="T18" s="26">
        <f>INDEX(BA!AD2:AD46,MATCH('Match Analyzer BA'!$B$18,BA!$A$2:$A$46,0))</f>
        <v>0</v>
      </c>
      <c r="U18" s="26">
        <f>INDEX(BA!AA2:AA46,MATCH('Match Analyzer BA'!$B$18,BA!$A$2:$A$46,0))</f>
        <v>2</v>
      </c>
      <c r="V18" s="26">
        <f>INDEX(BA!AF2:AF46,MATCH('Match Analyzer BA'!$B$18,BA!$A$2:$A$46,0))</f>
        <v>2</v>
      </c>
      <c r="W18" s="26">
        <f>INDEX(BA!P2:P46,MATCH('Match Analyzer BA'!$B$18,BA!$A$2:$A$46,0))</f>
        <v>1</v>
      </c>
      <c r="X18" s="26">
        <f>INDEX(BA!AE2:AE46,MATCH('Match Analyzer BA'!$B$18,BA!$A$2:$A$46,0))</f>
        <v>1</v>
      </c>
      <c r="Y18" s="26">
        <f>INDEX(BA!W2:W46,MATCH('Match Analyzer BA'!$B$18,BA!$A$2:$A$46,0))</f>
        <v>1</v>
      </c>
      <c r="Z18" s="26">
        <f>INDEX(BA!O2:O46,MATCH('Match Analyzer BA'!$B$18,BA!$A$2:$A$46,0))</f>
        <v>5</v>
      </c>
      <c r="AA18" s="26">
        <f>INDEX(BA!X2:X46,MATCH('Match Analyzer BA'!$B$18,BA!$A$2:$A$46,0))</f>
        <v>2</v>
      </c>
      <c r="AB18" s="26">
        <f>INDEX(BA!Z2:Z46,MATCH('Match Analyzer BA'!$B$18,BA!$A$2:$A$46,0))</f>
        <v>0</v>
      </c>
      <c r="AC18" s="26">
        <f>INDEX(BA!N2:N46,MATCH('Match Analyzer BA'!$B$18,BA!$A$2:$A$46,0))</f>
        <v>0</v>
      </c>
      <c r="AD18" s="26">
        <f>INDEX(BA!Y2:Y46,MATCH('Match Analyzer BA'!$B$18,BA!$A$2:$A$46,0))</f>
        <v>1</v>
      </c>
      <c r="AE18" s="26">
        <f>INDEX(BA!AH2:AH46,MATCH('Match Analyzer BA'!$B$18,BA!$A$2:$A$46,0))</f>
        <v>1</v>
      </c>
      <c r="AF18" s="26">
        <f>INDEX(BA!AC2:AC46,MATCH('Match Analyzer BA'!$B$18,BA!$A$2:$A$46,0))</f>
        <v>1</v>
      </c>
      <c r="AG18" s="26">
        <f>INDEX(BA!S2:S46,MATCH('Match Analyzer BA'!$B$18,BA!$A$2:$A$46,0))</f>
        <v>0</v>
      </c>
      <c r="AH18" s="14">
        <f>INDEX(BA!R2:R46,MATCH('Match Analyzer BA'!$B$18,BA!$A$2:$A$46,0))</f>
        <v>0</v>
      </c>
    </row>
    <row r="19" spans="1:34" x14ac:dyDescent="0.25">
      <c r="A19" s="103"/>
      <c r="B19" s="7" t="s">
        <v>52</v>
      </c>
      <c r="C19" s="13">
        <f>INDEX(BA!B2:B46,MATCH('Match Analyzer BA'!$B$19,BA!$A$2:$A$46,0))</f>
        <v>98</v>
      </c>
      <c r="D19" s="59">
        <f>INDEX(BA!C2:C46,MATCH('Match Analyzer BA'!$B$19,BA!$A$2:$A$46,0))</f>
        <v>12.25</v>
      </c>
      <c r="E19" s="14">
        <f>INDEX(BA!D2:D46,MATCH('Match Analyzer BA'!$B$19,BA!$A$2:$A$46,0))</f>
        <v>19</v>
      </c>
      <c r="F19" s="13">
        <f>INDEX(BA!E2:E46,MATCH('Match Analyzer BA'!$B$19,BA!$A$2:$A$46,0))</f>
        <v>2</v>
      </c>
      <c r="G19" s="26">
        <f>INDEX(BA!F2:F46,MATCH('Match Analyzer BA'!$B$19,BA!$A$2:$A$46,0))</f>
        <v>6</v>
      </c>
      <c r="H19" s="27">
        <f>INDEX(BA!G2:G46,MATCH('Match Analyzer BA'!$B$19,BA!$A$2:$A$46,0))</f>
        <v>0.25</v>
      </c>
      <c r="I19" s="13">
        <f>INDEX(BA!H2:H46,MATCH('Match Analyzer BA'!$B$19,BA!$A$2:$A$46,0))</f>
        <v>14</v>
      </c>
      <c r="J19" s="26">
        <f>INDEX(BA!I2:I46,MATCH('Match Analyzer BA'!$B$19,BA!$A$2:$A$46,0))</f>
        <v>21</v>
      </c>
      <c r="K19" s="27">
        <f>INDEX(BA!J2:J46,MATCH('Match Analyzer BA'!$B$19,BA!$A$2:$A$46,0))</f>
        <v>0.4</v>
      </c>
      <c r="L19" s="13">
        <f>INDEX(BA!K2:K46,MATCH('Match Analyzer BA'!$B$19,BA!$A$2:$A$46,0))</f>
        <v>60</v>
      </c>
      <c r="M19" s="26">
        <f>INDEX(BA!L2:L46,MATCH('Match Analyzer BA'!$B$19,BA!$A$2:$A$46,0))</f>
        <v>79</v>
      </c>
      <c r="N19" s="27">
        <f>INDEX(BA!M2:M46,MATCH('Match Analyzer BA'!$B$19,BA!$A$2:$A$46,0))</f>
        <v>0.43165467625899279</v>
      </c>
      <c r="O19" s="13">
        <f>INDEX(BA!V2:V46,MATCH('Match Analyzer BA'!$B$19,BA!$A$2:$A$46,0))</f>
        <v>0</v>
      </c>
      <c r="P19" s="26">
        <f>INDEX(BA!Q2:Q46,MATCH('Match Analyzer BA'!$B$19,BA!$A$2:$A$46,0))</f>
        <v>1</v>
      </c>
      <c r="Q19" s="26">
        <f>INDEX(BA!U2:U46,MATCH('Match Analyzer BA'!$B$19,BA!$A$2:$A$46,0))</f>
        <v>0</v>
      </c>
      <c r="R19" s="26">
        <f>INDEX(BA!AB2:AB46,MATCH('Match Analyzer BA'!$B$19,BA!$A$2:$A$46,0))</f>
        <v>2</v>
      </c>
      <c r="S19" s="26">
        <f>INDEX(BA!T2:T46,MATCH('Match Analyzer BA'!$B$19,BA!$A$2:$A$46,0))</f>
        <v>0</v>
      </c>
      <c r="T19" s="26">
        <f>INDEX(BA!AD2:AD46,MATCH('Match Analyzer BA'!$B$19,BA!$A$2:$A$46,0))</f>
        <v>3</v>
      </c>
      <c r="U19" s="26">
        <f>INDEX(BA!AA2:AA46,MATCH('Match Analyzer BA'!$B$19,BA!$A$2:$A$46,0))</f>
        <v>0</v>
      </c>
      <c r="V19" s="26">
        <f>INDEX(BA!AF2:AF46,MATCH('Match Analyzer BA'!$B$19,BA!$A$2:$A$46,0))</f>
        <v>1</v>
      </c>
      <c r="W19" s="26">
        <f>INDEX(BA!P2:P46,MATCH('Match Analyzer BA'!$B$19,BA!$A$2:$A$46,0))</f>
        <v>0</v>
      </c>
      <c r="X19" s="26">
        <f>INDEX(BA!AE2:AE46,MATCH('Match Analyzer BA'!$B$19,BA!$A$2:$A$46,0))</f>
        <v>2</v>
      </c>
      <c r="Y19" s="26">
        <f>INDEX(BA!W2:W46,MATCH('Match Analyzer BA'!$B$19,BA!$A$2:$A$46,0))</f>
        <v>3</v>
      </c>
      <c r="Z19" s="26">
        <f>INDEX(BA!O2:O46,MATCH('Match Analyzer BA'!$B$19,BA!$A$2:$A$46,0))</f>
        <v>2</v>
      </c>
      <c r="AA19" s="26">
        <f>INDEX(BA!X2:X46,MATCH('Match Analyzer BA'!$B$19,BA!$A$2:$A$46,0))</f>
        <v>0</v>
      </c>
      <c r="AB19" s="26">
        <f>INDEX(BA!Z2:Z46,MATCH('Match Analyzer BA'!$B$19,BA!$A$2:$A$46,0))</f>
        <v>0</v>
      </c>
      <c r="AC19" s="26">
        <f>INDEX(BA!N2:N46,MATCH('Match Analyzer BA'!$B$19,BA!$A$2:$A$46,0))</f>
        <v>0</v>
      </c>
      <c r="AD19" s="26">
        <f>INDEX(BA!Y2:Y46,MATCH('Match Analyzer BA'!$B$19,BA!$A$2:$A$46,0))</f>
        <v>0</v>
      </c>
      <c r="AE19" s="26">
        <f>INDEX(BA!AH2:AH46,MATCH('Match Analyzer BA'!$B$19,BA!$A$2:$A$46,0))</f>
        <v>0</v>
      </c>
      <c r="AF19" s="26">
        <f>INDEX(BA!AC2:AC46,MATCH('Match Analyzer BA'!$B$19,BA!$A$2:$A$46,0))</f>
        <v>0</v>
      </c>
      <c r="AG19" s="26">
        <f>INDEX(BA!S2:S46,MATCH('Match Analyzer BA'!$B$19,BA!$A$2:$A$46,0))</f>
        <v>0</v>
      </c>
      <c r="AH19" s="14">
        <f>INDEX(BA!R2:R46,MATCH('Match Analyzer BA'!$B$19,BA!$A$2:$A$46,0))</f>
        <v>0</v>
      </c>
    </row>
    <row r="20" spans="1:34" x14ac:dyDescent="0.25">
      <c r="A20" s="103"/>
      <c r="B20" s="7" t="s">
        <v>19</v>
      </c>
      <c r="C20" s="13">
        <f>INDEX(BA!B2:B46,MATCH('Match Analyzer BA'!$B$20,BA!$A$2:$A$46,0))</f>
        <v>88</v>
      </c>
      <c r="D20" s="59">
        <f>INDEX(BA!C2:C46,MATCH('Match Analyzer BA'!$B$20,BA!$A$2:$A$46,0))</f>
        <v>8</v>
      </c>
      <c r="E20" s="14">
        <f>INDEX(BA!D2:D46,MATCH('Match Analyzer BA'!$B$20,BA!$A$2:$A$46,0))</f>
        <v>11</v>
      </c>
      <c r="F20" s="13">
        <f>INDEX(BA!E2:E46,MATCH('Match Analyzer BA'!$B$20,BA!$A$2:$A$46,0))</f>
        <v>9</v>
      </c>
      <c r="G20" s="26">
        <f>INDEX(BA!F2:F46,MATCH('Match Analyzer BA'!$B$20,BA!$A$2:$A$46,0))</f>
        <v>2</v>
      </c>
      <c r="H20" s="27">
        <f>INDEX(BA!G2:G46,MATCH('Match Analyzer BA'!$B$20,BA!$A$2:$A$46,0))</f>
        <v>0.81818181818181823</v>
      </c>
      <c r="I20" s="13">
        <f>INDEX(BA!H2:H46,MATCH('Match Analyzer BA'!$B$20,BA!$A$2:$A$46,0))</f>
        <v>30</v>
      </c>
      <c r="J20" s="26">
        <f>INDEX(BA!I2:I46,MATCH('Match Analyzer BA'!$B$20,BA!$A$2:$A$46,0))</f>
        <v>16</v>
      </c>
      <c r="K20" s="27">
        <f>INDEX(BA!J2:J46,MATCH('Match Analyzer BA'!$B$20,BA!$A$2:$A$46,0))</f>
        <v>0.65217391304347827</v>
      </c>
      <c r="L20" s="13">
        <f>INDEX(BA!K2:K46,MATCH('Match Analyzer BA'!$B$20,BA!$A$2:$A$46,0))</f>
        <v>106</v>
      </c>
      <c r="M20" s="26">
        <f>INDEX(BA!L2:L46,MATCH('Match Analyzer BA'!$B$20,BA!$A$2:$A$46,0))</f>
        <v>79</v>
      </c>
      <c r="N20" s="27">
        <f>INDEX(BA!M2:M46,MATCH('Match Analyzer BA'!$B$20,BA!$A$2:$A$46,0))</f>
        <v>0.572972972972973</v>
      </c>
      <c r="O20" s="13">
        <f>INDEX(BA!V2:V46,MATCH('Match Analyzer BA'!$B$20,BA!$A$2:$A$46,0))</f>
        <v>1</v>
      </c>
      <c r="P20" s="26">
        <f>INDEX(BA!Q2:Q46,MATCH('Match Analyzer BA'!$B$20,BA!$A$2:$A$46,0))</f>
        <v>2</v>
      </c>
      <c r="Q20" s="26">
        <f>INDEX(BA!U2:U46,MATCH('Match Analyzer BA'!$B$20,BA!$A$2:$A$46,0))</f>
        <v>1</v>
      </c>
      <c r="R20" s="26">
        <f>INDEX(BA!AB2:AB46,MATCH('Match Analyzer BA'!$B$20,BA!$A$2:$A$46,0))</f>
        <v>3</v>
      </c>
      <c r="S20" s="26">
        <f>INDEX(BA!T2:T46,MATCH('Match Analyzer BA'!$B$20,BA!$A$2:$A$46,0))</f>
        <v>1</v>
      </c>
      <c r="T20" s="26">
        <f>INDEX(BA!AD2:AD46,MATCH('Match Analyzer BA'!$B$20,BA!$A$2:$A$46,0))</f>
        <v>5</v>
      </c>
      <c r="U20" s="26">
        <f>INDEX(BA!AA2:AA46,MATCH('Match Analyzer BA'!$B$20,BA!$A$2:$A$46,0))</f>
        <v>2</v>
      </c>
      <c r="V20" s="26">
        <f>INDEX(BA!AF2:AF46,MATCH('Match Analyzer BA'!$B$20,BA!$A$2:$A$46,0))</f>
        <v>3</v>
      </c>
      <c r="W20" s="26">
        <f>INDEX(BA!P2:P46,MATCH('Match Analyzer BA'!$B$20,BA!$A$2:$A$46,0))</f>
        <v>2</v>
      </c>
      <c r="X20" s="26">
        <f>INDEX(BA!AE2:AE46,MATCH('Match Analyzer BA'!$B$20,BA!$A$2:$A$46,0))</f>
        <v>3</v>
      </c>
      <c r="Y20" s="26">
        <f>INDEX(BA!W2:W46,MATCH('Match Analyzer BA'!$B$20,BA!$A$2:$A$46,0))</f>
        <v>2</v>
      </c>
      <c r="Z20" s="26">
        <f>INDEX(BA!O2:O46,MATCH('Match Analyzer BA'!$B$20,BA!$A$2:$A$46,0))</f>
        <v>1</v>
      </c>
      <c r="AA20" s="26">
        <f>INDEX(BA!X2:X46,MATCH('Match Analyzer BA'!$B$20,BA!$A$2:$A$46,0))</f>
        <v>1</v>
      </c>
      <c r="AB20" s="26">
        <f>INDEX(BA!Z2:Z46,MATCH('Match Analyzer BA'!$B$20,BA!$A$2:$A$46,0))</f>
        <v>1</v>
      </c>
      <c r="AC20" s="26">
        <f>INDEX(BA!N2:N46,MATCH('Match Analyzer BA'!$B$20,BA!$A$2:$A$46,0))</f>
        <v>1</v>
      </c>
      <c r="AD20" s="26">
        <f>INDEX(BA!Y2:Y46,MATCH('Match Analyzer BA'!$B$20,BA!$A$2:$A$46,0))</f>
        <v>0</v>
      </c>
      <c r="AE20" s="26">
        <f>INDEX(BA!AH2:AH46,MATCH('Match Analyzer BA'!$B$20,BA!$A$2:$A$46,0))</f>
        <v>1</v>
      </c>
      <c r="AF20" s="26">
        <f>INDEX(BA!AC2:AC46,MATCH('Match Analyzer BA'!$B$20,BA!$A$2:$A$46,0))</f>
        <v>0</v>
      </c>
      <c r="AG20" s="26">
        <f>INDEX(BA!S2:S46,MATCH('Match Analyzer BA'!$B$20,BA!$A$2:$A$46,0))</f>
        <v>0</v>
      </c>
      <c r="AH20" s="14">
        <f>INDEX(BA!R2:R46,MATCH('Match Analyzer BA'!$B$20,BA!$A$2:$A$46,0))</f>
        <v>0</v>
      </c>
    </row>
    <row r="21" spans="1:34" x14ac:dyDescent="0.25">
      <c r="A21" s="103"/>
      <c r="B21" s="7" t="s">
        <v>3</v>
      </c>
      <c r="C21" s="13">
        <f>INDEX(BA!B2:B46,MATCH('Match Analyzer BA'!$B$21,BA!$A$2:$A$46,0))</f>
        <v>166</v>
      </c>
      <c r="D21" s="59">
        <f>INDEX(BA!C2:C46,MATCH('Match Analyzer BA'!$B$21,BA!$A$2:$A$46,0))</f>
        <v>23.714285714285715</v>
      </c>
      <c r="E21" s="14">
        <f>INDEX(BA!D2:D46,MATCH('Match Analyzer BA'!$B$21,BA!$A$2:$A$46,0))</f>
        <v>27</v>
      </c>
      <c r="F21" s="13">
        <f>INDEX(BA!E2:E46,MATCH('Match Analyzer BA'!$B$21,BA!$A$2:$A$46,0))</f>
        <v>2</v>
      </c>
      <c r="G21" s="26">
        <f>INDEX(BA!F2:F46,MATCH('Match Analyzer BA'!$B$21,BA!$A$2:$A$46,0))</f>
        <v>5</v>
      </c>
      <c r="H21" s="27">
        <f>INDEX(BA!G2:G46,MATCH('Match Analyzer BA'!$B$21,BA!$A$2:$A$46,0))</f>
        <v>0.2857142857142857</v>
      </c>
      <c r="I21" s="13">
        <f>INDEX(BA!H2:H46,MATCH('Match Analyzer BA'!$B$21,BA!$A$2:$A$46,0))</f>
        <v>16</v>
      </c>
      <c r="J21" s="26">
        <f>INDEX(BA!I2:I46,MATCH('Match Analyzer BA'!$B$21,BA!$A$2:$A$46,0))</f>
        <v>20</v>
      </c>
      <c r="K21" s="27">
        <f>INDEX(BA!J2:J46,MATCH('Match Analyzer BA'!$B$21,BA!$A$2:$A$46,0))</f>
        <v>0.44444444444444442</v>
      </c>
      <c r="L21" s="13">
        <f>INDEX(BA!K2:K46,MATCH('Match Analyzer BA'!$B$21,BA!$A$2:$A$46,0))</f>
        <v>74</v>
      </c>
      <c r="M21" s="26">
        <f>INDEX(BA!L2:L46,MATCH('Match Analyzer BA'!$B$21,BA!$A$2:$A$46,0))</f>
        <v>83</v>
      </c>
      <c r="N21" s="27">
        <f>INDEX(BA!M2:M46,MATCH('Match Analyzer BA'!$B$21,BA!$A$2:$A$46,0))</f>
        <v>0.4713375796178344</v>
      </c>
      <c r="O21" s="13">
        <f>INDEX(BA!V2:V46,MATCH('Match Analyzer BA'!$B$21,BA!$A$2:$A$46,0))</f>
        <v>0</v>
      </c>
      <c r="P21" s="26">
        <f>INDEX(BA!Q2:Q46,MATCH('Match Analyzer BA'!$B$21,BA!$A$2:$A$46,0))</f>
        <v>1</v>
      </c>
      <c r="Q21" s="26">
        <f>INDEX(BA!U2:U46,MATCH('Match Analyzer BA'!$B$21,BA!$A$2:$A$46,0))</f>
        <v>0</v>
      </c>
      <c r="R21" s="26">
        <f>INDEX(BA!AB2:AB46,MATCH('Match Analyzer BA'!$B$21,BA!$A$2:$A$46,0))</f>
        <v>1</v>
      </c>
      <c r="S21" s="26">
        <f>INDEX(BA!T2:T46,MATCH('Match Analyzer BA'!$B$21,BA!$A$2:$A$46,0))</f>
        <v>0</v>
      </c>
      <c r="T21" s="26">
        <f>INDEX(BA!AD2:AD46,MATCH('Match Analyzer BA'!$B$21,BA!$A$2:$A$46,0))</f>
        <v>1</v>
      </c>
      <c r="U21" s="26">
        <f>INDEX(BA!AA2:AA46,MATCH('Match Analyzer BA'!$B$21,BA!$A$2:$A$46,0))</f>
        <v>2</v>
      </c>
      <c r="V21" s="26">
        <f>INDEX(BA!AF2:AF46,MATCH('Match Analyzer BA'!$B$21,BA!$A$2:$A$46,0))</f>
        <v>2</v>
      </c>
      <c r="W21" s="26">
        <f>INDEX(BA!P2:P46,MATCH('Match Analyzer BA'!$B$21,BA!$A$2:$A$46,0))</f>
        <v>2</v>
      </c>
      <c r="X21" s="26">
        <f>INDEX(BA!AE2:AE46,MATCH('Match Analyzer BA'!$B$21,BA!$A$2:$A$46,0))</f>
        <v>3</v>
      </c>
      <c r="Y21" s="26">
        <f>INDEX(BA!W2:W46,MATCH('Match Analyzer BA'!$B$21,BA!$A$2:$A$46,0))</f>
        <v>1</v>
      </c>
      <c r="Z21" s="26">
        <f>INDEX(BA!O2:O46,MATCH('Match Analyzer BA'!$B$21,BA!$A$2:$A$46,0))</f>
        <v>2</v>
      </c>
      <c r="AA21" s="26">
        <f>INDEX(BA!X2:X46,MATCH('Match Analyzer BA'!$B$21,BA!$A$2:$A$46,0))</f>
        <v>0</v>
      </c>
      <c r="AB21" s="26">
        <f>INDEX(BA!Z2:Z46,MATCH('Match Analyzer BA'!$B$21,BA!$A$2:$A$46,0))</f>
        <v>0</v>
      </c>
      <c r="AC21" s="26">
        <f>INDEX(BA!N2:N46,MATCH('Match Analyzer BA'!$B$21,BA!$A$2:$A$46,0))</f>
        <v>0</v>
      </c>
      <c r="AD21" s="26">
        <f>INDEX(BA!Y2:Y46,MATCH('Match Analyzer BA'!$B$21,BA!$A$2:$A$46,0))</f>
        <v>0</v>
      </c>
      <c r="AE21" s="26">
        <f>INDEX(BA!AH2:AH46,MATCH('Match Analyzer BA'!$B$21,BA!$A$2:$A$46,0))</f>
        <v>0</v>
      </c>
      <c r="AF21" s="26">
        <f>INDEX(BA!AC2:AC46,MATCH('Match Analyzer BA'!$B$21,BA!$A$2:$A$46,0))</f>
        <v>0</v>
      </c>
      <c r="AG21" s="26">
        <f>INDEX(BA!S2:S46,MATCH('Match Analyzer BA'!$B$21,BA!$A$2:$A$46,0))</f>
        <v>1</v>
      </c>
      <c r="AH21" s="14">
        <f>INDEX(BA!R2:R46,MATCH('Match Analyzer BA'!$B$21,BA!$A$2:$A$46,0))</f>
        <v>0</v>
      </c>
    </row>
    <row r="22" spans="1:34" x14ac:dyDescent="0.25">
      <c r="A22" s="103"/>
      <c r="B22" s="7" t="s">
        <v>14</v>
      </c>
      <c r="C22" s="13">
        <f>INDEX(BA!B2:B46,MATCH('Match Analyzer BA'!$B$22,BA!$A$2:$A$46,0))</f>
        <v>183</v>
      </c>
      <c r="D22" s="59">
        <f>INDEX(BA!C2:C46,MATCH('Match Analyzer BA'!$B$22,BA!$A$2:$A$46,0))</f>
        <v>16.636363636363637</v>
      </c>
      <c r="E22" s="14">
        <f>INDEX(BA!D2:D46,MATCH('Match Analyzer BA'!$B$22,BA!$A$2:$A$46,0))</f>
        <v>25</v>
      </c>
      <c r="F22" s="13">
        <f>INDEX(BA!E2:E46,MATCH('Match Analyzer BA'!$B$22,BA!$A$2:$A$46,0))</f>
        <v>5</v>
      </c>
      <c r="G22" s="26">
        <f>INDEX(BA!F2:F46,MATCH('Match Analyzer BA'!$B$22,BA!$A$2:$A$46,0))</f>
        <v>6</v>
      </c>
      <c r="H22" s="27">
        <f>INDEX(BA!G2:G46,MATCH('Match Analyzer BA'!$B$22,BA!$A$2:$A$46,0))</f>
        <v>0.45454545454545453</v>
      </c>
      <c r="I22" s="13">
        <f>INDEX(BA!H2:H46,MATCH('Match Analyzer BA'!$B$22,BA!$A$2:$A$46,0))</f>
        <v>22</v>
      </c>
      <c r="J22" s="26">
        <f>INDEX(BA!I2:I46,MATCH('Match Analyzer BA'!$B$22,BA!$A$2:$A$46,0))</f>
        <v>26</v>
      </c>
      <c r="K22" s="27">
        <f>INDEX(BA!J2:J46,MATCH('Match Analyzer BA'!$B$22,BA!$A$2:$A$46,0))</f>
        <v>0.45833333333333331</v>
      </c>
      <c r="L22" s="13">
        <f>INDEX(BA!K2:K46,MATCH('Match Analyzer BA'!$B$22,BA!$A$2:$A$46,0))</f>
        <v>94</v>
      </c>
      <c r="M22" s="26">
        <f>INDEX(BA!L2:L46,MATCH('Match Analyzer BA'!$B$22,BA!$A$2:$A$46,0))</f>
        <v>96</v>
      </c>
      <c r="N22" s="27">
        <f>INDEX(BA!M2:M46,MATCH('Match Analyzer BA'!$B$22,BA!$A$2:$A$46,0))</f>
        <v>0.49473684210526314</v>
      </c>
      <c r="O22" s="13">
        <f>INDEX(BA!V2:V46,MATCH('Match Analyzer BA'!$B$22,BA!$A$2:$A$46,0))</f>
        <v>1</v>
      </c>
      <c r="P22" s="26">
        <f>INDEX(BA!Q2:Q46,MATCH('Match Analyzer BA'!$B$22,BA!$A$2:$A$46,0))</f>
        <v>0</v>
      </c>
      <c r="Q22" s="26">
        <f>INDEX(BA!U2:U46,MATCH('Match Analyzer BA'!$B$22,BA!$A$2:$A$46,0))</f>
        <v>1</v>
      </c>
      <c r="R22" s="26">
        <f>INDEX(BA!AB2:AB46,MATCH('Match Analyzer BA'!$B$22,BA!$A$2:$A$46,0))</f>
        <v>5</v>
      </c>
      <c r="S22" s="26">
        <f>INDEX(BA!T2:T46,MATCH('Match Analyzer BA'!$B$22,BA!$A$2:$A$46,0))</f>
        <v>2</v>
      </c>
      <c r="T22" s="26">
        <f>INDEX(BA!AD2:AD46,MATCH('Match Analyzer BA'!$B$22,BA!$A$2:$A$46,0))</f>
        <v>3</v>
      </c>
      <c r="U22" s="26">
        <f>INDEX(BA!AA2:AA46,MATCH('Match Analyzer BA'!$B$22,BA!$A$2:$A$46,0))</f>
        <v>1</v>
      </c>
      <c r="V22" s="26">
        <f>INDEX(BA!AF2:AF46,MATCH('Match Analyzer BA'!$B$22,BA!$A$2:$A$46,0))</f>
        <v>0</v>
      </c>
      <c r="W22" s="26">
        <f>INDEX(BA!P2:P46,MATCH('Match Analyzer BA'!$B$22,BA!$A$2:$A$46,0))</f>
        <v>0</v>
      </c>
      <c r="X22" s="26">
        <f>INDEX(BA!AE2:AE46,MATCH('Match Analyzer BA'!$B$22,BA!$A$2:$A$46,0))</f>
        <v>2</v>
      </c>
      <c r="Y22" s="26">
        <f>INDEX(BA!W2:W46,MATCH('Match Analyzer BA'!$B$22,BA!$A$2:$A$46,0))</f>
        <v>1</v>
      </c>
      <c r="Z22" s="26">
        <f>INDEX(BA!O2:O46,MATCH('Match Analyzer BA'!$B$22,BA!$A$2:$A$46,0))</f>
        <v>1</v>
      </c>
      <c r="AA22" s="26">
        <f>INDEX(BA!X2:X46,MATCH('Match Analyzer BA'!$B$22,BA!$A$2:$A$46,0))</f>
        <v>0</v>
      </c>
      <c r="AB22" s="26">
        <f>INDEX(BA!Z2:Z46,MATCH('Match Analyzer BA'!$B$22,BA!$A$2:$A$46,0))</f>
        <v>1</v>
      </c>
      <c r="AC22" s="26">
        <f>INDEX(BA!N2:N46,MATCH('Match Analyzer BA'!$B$22,BA!$A$2:$A$46,0))</f>
        <v>1</v>
      </c>
      <c r="AD22" s="26">
        <f>INDEX(BA!Y2:Y46,MATCH('Match Analyzer BA'!$B$22,BA!$A$2:$A$46,0))</f>
        <v>2</v>
      </c>
      <c r="AE22" s="26">
        <f>INDEX(BA!AH2:AH46,MATCH('Match Analyzer BA'!$B$22,BA!$A$2:$A$46,0))</f>
        <v>0</v>
      </c>
      <c r="AF22" s="26">
        <f>INDEX(BA!AC2:AC46,MATCH('Match Analyzer BA'!$B$22,BA!$A$2:$A$46,0))</f>
        <v>1</v>
      </c>
      <c r="AG22" s="26">
        <f>INDEX(BA!S2:S46,MATCH('Match Analyzer BA'!$B$22,BA!$A$2:$A$46,0))</f>
        <v>0</v>
      </c>
      <c r="AH22" s="14">
        <f>INDEX(BA!R2:R46,MATCH('Match Analyzer BA'!$B$22,BA!$A$2:$A$46,0))</f>
        <v>0</v>
      </c>
    </row>
    <row r="23" spans="1:34" x14ac:dyDescent="0.25">
      <c r="A23" s="103"/>
      <c r="B23" s="7" t="s">
        <v>80</v>
      </c>
      <c r="C23" s="13">
        <f>INDEX(BA!B2:B46,MATCH('Match Analyzer BA'!$B$23,BA!$A$2:$A$46,0))</f>
        <v>0</v>
      </c>
      <c r="D23" s="59">
        <f>INDEX(BA!C2:C46,MATCH('Match Analyzer BA'!$B$23,BA!$A$2:$A$46,0))</f>
        <v>0</v>
      </c>
      <c r="E23" s="14">
        <f>INDEX(BA!D2:D46,MATCH('Match Analyzer BA'!$B$23,BA!$A$2:$A$46,0))</f>
        <v>0</v>
      </c>
      <c r="F23" s="13">
        <f>INDEX(BA!E2:E46,MATCH('Match Analyzer BA'!$B$23,BA!$A$2:$A$46,0))</f>
        <v>0</v>
      </c>
      <c r="G23" s="26">
        <f>INDEX(BA!F2:F46,MATCH('Match Analyzer BA'!$B$23,BA!$A$2:$A$46,0))</f>
        <v>0</v>
      </c>
      <c r="H23" s="27" t="str">
        <f>INDEX(BA!G2:G46,MATCH('Match Analyzer BA'!$B$23,BA!$A$2:$A$46,0))</f>
        <v>-</v>
      </c>
      <c r="I23" s="13">
        <f>INDEX(BA!H2:H46,MATCH('Match Analyzer BA'!$B$23,BA!$A$2:$A$46,0))</f>
        <v>0</v>
      </c>
      <c r="J23" s="26">
        <f>INDEX(BA!I2:I46,MATCH('Match Analyzer BA'!$B$23,BA!$A$2:$A$46,0))</f>
        <v>0</v>
      </c>
      <c r="K23" s="27" t="str">
        <f>INDEX(BA!J2:J46,MATCH('Match Analyzer BA'!$B$23,BA!$A$2:$A$46,0))</f>
        <v>-</v>
      </c>
      <c r="L23" s="13">
        <f>INDEX(BA!K2:K46,MATCH('Match Analyzer BA'!$B$23,BA!$A$2:$A$46,0))</f>
        <v>0</v>
      </c>
      <c r="M23" s="26">
        <f>INDEX(BA!L2:L46,MATCH('Match Analyzer BA'!$B$23,BA!$A$2:$A$46,0))</f>
        <v>0</v>
      </c>
      <c r="N23" s="27" t="str">
        <f>INDEX(BA!M2:M46,MATCH('Match Analyzer BA'!$B$23,BA!$A$2:$A$46,0))</f>
        <v>-</v>
      </c>
      <c r="O23" s="13">
        <f>INDEX(BA!V2:V46,MATCH('Match Analyzer BA'!$B$23,BA!$A$2:$A$46,0))</f>
        <v>0</v>
      </c>
      <c r="P23" s="26">
        <f>INDEX(BA!Q2:Q46,MATCH('Match Analyzer BA'!$B$23,BA!$A$2:$A$46,0))</f>
        <v>0</v>
      </c>
      <c r="Q23" s="26">
        <f>INDEX(BA!U2:U46,MATCH('Match Analyzer BA'!$B$23,BA!$A$2:$A$46,0))</f>
        <v>0</v>
      </c>
      <c r="R23" s="26">
        <f>INDEX(BA!AB2:AB46,MATCH('Match Analyzer BA'!$B$23,BA!$A$2:$A$46,0))</f>
        <v>0</v>
      </c>
      <c r="S23" s="26">
        <f>INDEX(BA!T2:T46,MATCH('Match Analyzer BA'!$B$23,BA!$A$2:$A$46,0))</f>
        <v>0</v>
      </c>
      <c r="T23" s="26">
        <f>INDEX(BA!AD2:AD46,MATCH('Match Analyzer BA'!$B$23,BA!$A$2:$A$46,0))</f>
        <v>0</v>
      </c>
      <c r="U23" s="26">
        <f>INDEX(BA!AA2:AA46,MATCH('Match Analyzer BA'!$B$23,BA!$A$2:$A$46,0))</f>
        <v>0</v>
      </c>
      <c r="V23" s="26">
        <f>INDEX(BA!AF2:AF46,MATCH('Match Analyzer BA'!$B$23,BA!$A$2:$A$46,0))</f>
        <v>0</v>
      </c>
      <c r="W23" s="26">
        <f>INDEX(BA!P2:P46,MATCH('Match Analyzer BA'!$B$23,BA!$A$2:$A$46,0))</f>
        <v>0</v>
      </c>
      <c r="X23" s="26">
        <f>INDEX(BA!AE2:AE46,MATCH('Match Analyzer BA'!$B$23,BA!$A$2:$A$46,0))</f>
        <v>0</v>
      </c>
      <c r="Y23" s="26">
        <f>INDEX(BA!W2:W46,MATCH('Match Analyzer BA'!$B$23,BA!$A$2:$A$46,0))</f>
        <v>0</v>
      </c>
      <c r="Z23" s="26">
        <f>INDEX(BA!O2:O46,MATCH('Match Analyzer BA'!$B$23,BA!$A$2:$A$46,0))</f>
        <v>0</v>
      </c>
      <c r="AA23" s="26">
        <f>INDEX(BA!X2:X46,MATCH('Match Analyzer BA'!$B$23,BA!$A$2:$A$46,0))</f>
        <v>0</v>
      </c>
      <c r="AB23" s="26">
        <f>INDEX(BA!Z2:Z46,MATCH('Match Analyzer BA'!$B$23,BA!$A$2:$A$46,0))</f>
        <v>0</v>
      </c>
      <c r="AC23" s="26">
        <f>INDEX(BA!N2:N46,MATCH('Match Analyzer BA'!$B$23,BA!$A$2:$A$46,0))</f>
        <v>0</v>
      </c>
      <c r="AD23" s="26">
        <f>INDEX(BA!Y2:Y46,MATCH('Match Analyzer BA'!$B$23,BA!$A$2:$A$46,0))</f>
        <v>0</v>
      </c>
      <c r="AE23" s="26">
        <f>INDEX(BA!AH2:AH46,MATCH('Match Analyzer BA'!$B$23,BA!$A$2:$A$46,0))</f>
        <v>0</v>
      </c>
      <c r="AF23" s="26">
        <f>INDEX(BA!AC2:AC46,MATCH('Match Analyzer BA'!$B$23,BA!$A$2:$A$46,0))</f>
        <v>0</v>
      </c>
      <c r="AG23" s="26">
        <f>INDEX(BA!S2:S46,MATCH('Match Analyzer BA'!$B$23,BA!$A$2:$A$46,0))</f>
        <v>0</v>
      </c>
      <c r="AH23" s="14">
        <f>INDEX(BA!R2:R46,MATCH('Match Analyzer BA'!$B$23,BA!$A$2:$A$46,0))</f>
        <v>0</v>
      </c>
    </row>
    <row r="24" spans="1:34" ht="15.75" thickBot="1" x14ac:dyDescent="0.3">
      <c r="A24" s="103"/>
      <c r="B24" s="7" t="s">
        <v>80</v>
      </c>
      <c r="C24" s="17">
        <f>INDEX(BA!B2:B46,MATCH('Match Analyzer BA'!$B$24,BA!$A$2:$A$46,0))</f>
        <v>0</v>
      </c>
      <c r="D24" s="60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29">
        <f>INDEX('Old Bow'!X2:X37, MATCH($B$24, 'Old Bow'!$A$2:$A$37, 0))</f>
        <v>0</v>
      </c>
      <c r="AD24" s="29" t="e">
        <f>INDEX('Old Bow'!#REF!, MATCH($B$24, 'Old Bow'!$A$2:$A$37, 0))</f>
        <v>#REF!</v>
      </c>
      <c r="AE24" s="29">
        <f>INDEX('Old Bow'!AF2:AF37, MATCH($B$24, 'Old Bow'!$A$2:$A$37, 0))</f>
        <v>0</v>
      </c>
      <c r="AF24" s="29">
        <f>INDEX('Old Bow'!AG2:AG37, MATCH($B$24, 'Old Bow'!$A$2:$A$37, 0))</f>
        <v>0</v>
      </c>
      <c r="AG24" s="29">
        <f>INDEX('Old Bow'!AH2:AH37, MATCH($B$24, 'Old Bow'!$A$2:$A$37, 0))</f>
        <v>0</v>
      </c>
      <c r="AH24" s="18">
        <f>INDEX('Old Bow'!AI2:AI37, MATCH($B$24, 'Old Bow'!$A$2:$A$37, 0))</f>
        <v>0</v>
      </c>
    </row>
    <row r="25" spans="1:34" x14ac:dyDescent="0.25">
      <c r="D25" s="8">
        <f>SUM(D17:D24)</f>
        <v>88.506664388243351</v>
      </c>
      <c r="H25" s="9">
        <f>AVERAGE(H17:H24)</f>
        <v>0.42546707678286627</v>
      </c>
      <c r="I25" s="1"/>
      <c r="J25" s="1"/>
      <c r="K25" s="9">
        <f>AVERAGE(K17:K24)</f>
        <v>0.46641436226331279</v>
      </c>
      <c r="N25" s="9">
        <f>AVERAGE(N17:N24)</f>
        <v>0.48368152570681344</v>
      </c>
      <c r="O25" s="5">
        <f>SUM(O17:O24)</f>
        <v>3</v>
      </c>
      <c r="P25" s="5">
        <f t="shared" ref="P25:AH25" si="1">SUM(P17:P24)</f>
        <v>8</v>
      </c>
      <c r="Q25" s="5">
        <f t="shared" si="1"/>
        <v>6</v>
      </c>
      <c r="R25" s="5">
        <f t="shared" si="1"/>
        <v>20</v>
      </c>
      <c r="S25" s="5">
        <f t="shared" si="1"/>
        <v>5</v>
      </c>
      <c r="T25" s="5">
        <f t="shared" si="1"/>
        <v>15</v>
      </c>
      <c r="U25" s="5">
        <f t="shared" si="1"/>
        <v>8</v>
      </c>
      <c r="V25" s="5">
        <f t="shared" si="1"/>
        <v>11</v>
      </c>
      <c r="W25" s="5">
        <f t="shared" si="1"/>
        <v>7</v>
      </c>
      <c r="X25" s="5">
        <f t="shared" si="1"/>
        <v>15</v>
      </c>
      <c r="Y25" s="5">
        <f t="shared" si="1"/>
        <v>9</v>
      </c>
      <c r="Z25" s="5">
        <f t="shared" si="1"/>
        <v>13</v>
      </c>
      <c r="AA25" s="5">
        <f t="shared" si="1"/>
        <v>5</v>
      </c>
      <c r="AB25" s="5">
        <f t="shared" si="1"/>
        <v>3</v>
      </c>
      <c r="AC25" s="5">
        <f t="shared" si="1"/>
        <v>2</v>
      </c>
      <c r="AD25" s="5" t="e">
        <f t="shared" si="1"/>
        <v>#REF!</v>
      </c>
      <c r="AE25" s="5">
        <f t="shared" si="1"/>
        <v>3</v>
      </c>
      <c r="AF25" s="5">
        <f t="shared" si="1"/>
        <v>2</v>
      </c>
      <c r="AG25" s="5">
        <f t="shared" si="1"/>
        <v>1</v>
      </c>
      <c r="AH25" s="5">
        <f t="shared" si="1"/>
        <v>1</v>
      </c>
    </row>
    <row r="28" spans="1:34" x14ac:dyDescent="0.25">
      <c r="B28" s="19"/>
      <c r="C28" s="19"/>
      <c r="D28" s="19"/>
    </row>
    <row r="29" spans="1:34" ht="15.75" thickBot="1" x14ac:dyDescent="0.3">
      <c r="B29" s="2"/>
      <c r="C29" s="61" t="s">
        <v>81</v>
      </c>
      <c r="D29" s="62" t="s">
        <v>82</v>
      </c>
    </row>
    <row r="30" spans="1:34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34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34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>✔</v>
      </c>
      <c r="D33" s="14" t="str">
        <f>IF(C33="✔", "", "✔")</f>
        <v/>
      </c>
    </row>
    <row r="34" spans="2:4" ht="18.75" customHeight="1" x14ac:dyDescent="0.25">
      <c r="B34" s="15" t="s">
        <v>86</v>
      </c>
      <c r="C34" s="13" t="str">
        <f>INDEX(O2:AC2, MATCH(LARGE(O11:AC11, 1), O11:AC11, 0))</f>
        <v>Presidio</v>
      </c>
      <c r="D34" s="14" t="str">
        <f>INDEX(O16:AC16, MATCH(LARGE(O25:AC25, 1), O25:AC25, 0))</f>
        <v>Presidio</v>
      </c>
    </row>
    <row r="35" spans="2:4" x14ac:dyDescent="0.25">
      <c r="B35" s="15" t="s">
        <v>87</v>
      </c>
      <c r="C35" s="13" t="str">
        <f>INDEX(O2:AC2, MATCH(LARGE(O11:AC11, 2), O11:AC11, 0))</f>
        <v>Presidio</v>
      </c>
      <c r="D35" s="14" t="str">
        <f>INDEX(O16:AC16, MATCH(LARGE(O25:AC25, 2), O25:AC25, 0))</f>
        <v>Rocket Facility</v>
      </c>
    </row>
    <row r="36" spans="2:4" ht="15.75" thickBot="1" x14ac:dyDescent="0.3">
      <c r="B36" s="16" t="s">
        <v>88</v>
      </c>
      <c r="C36" s="17" t="str">
        <f>INDEX(O2:AC2, MATCH(LARGE(O11:AC11, 3), O11:AC11, 0))</f>
        <v>Streets of Milan</v>
      </c>
      <c r="D36" s="18" t="str">
        <f>INDEX(O16:AC16, MATCH(LARGE(O25:AC25, 3), O25:AC25, 0))</f>
        <v>Rocket Facility</v>
      </c>
    </row>
  </sheetData>
  <mergeCells count="12">
    <mergeCell ref="O1:AC1"/>
    <mergeCell ref="A3:A10"/>
    <mergeCell ref="A17:A24"/>
    <mergeCell ref="C1:E1"/>
    <mergeCell ref="F1:H1"/>
    <mergeCell ref="I1:K1"/>
    <mergeCell ref="L1:N1"/>
    <mergeCell ref="C15:E15"/>
    <mergeCell ref="F15:H15"/>
    <mergeCell ref="I15:K15"/>
    <mergeCell ref="L15:N15"/>
    <mergeCell ref="O15:AC15"/>
  </mergeCells>
  <conditionalFormatting sqref="O11:AH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H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E3F0B27D-B9F0-4BB5-8456-75066D0F630B}">
          <x14:formula1>
            <xm:f>BA!$A$2:$A$46</xm:f>
          </x14:formula1>
          <xm:sqref>B17:B24</xm:sqref>
        </x14:dataValidation>
        <x14:dataValidation type="list" allowBlank="1" showErrorMessage="1" promptTitle="Select Player Name" prompt="Select Player Name" xr:uid="{7CF85145-1224-4D7F-A47C-6F9DFE0593DF}">
          <x14:formula1>
            <xm:f>BA!$A$2:$A$46</xm:f>
          </x14:formula1>
          <xm:sqref>B3:B10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Old Bow v2</vt:lpstr>
      <vt:lpstr>OB History</vt:lpstr>
      <vt:lpstr>OB Season 2</vt:lpstr>
      <vt:lpstr>OB History S2</vt:lpstr>
      <vt:lpstr>Old Bow</vt:lpstr>
      <vt:lpstr>Old Bow comments</vt:lpstr>
      <vt:lpstr>Match Analyzer Old Bow</vt:lpstr>
      <vt:lpstr>BA v2</vt:lpstr>
      <vt:lpstr>BA</vt:lpstr>
      <vt:lpstr>BA History</vt:lpstr>
      <vt:lpstr>BA S2</vt:lpstr>
      <vt:lpstr>BA History S2</vt:lpstr>
      <vt:lpstr>Tourney History</vt:lpstr>
      <vt:lpstr>Tourney Stats</vt:lpstr>
      <vt:lpstr>Events</vt:lpstr>
      <vt:lpstr>TG OB</vt:lpstr>
      <vt:lpstr>BA comments</vt:lpstr>
      <vt:lpstr>Match Analyzer BA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Brett Miller</dc:creator>
  <cp:lastModifiedBy>Brett Miller</cp:lastModifiedBy>
  <dcterms:created xsi:type="dcterms:W3CDTF">2026-02-22T15:52:04Z</dcterms:created>
  <dcterms:modified xsi:type="dcterms:W3CDTF">2026-05-28T01:40:35Z</dcterms:modified>
</cp:coreProperties>
</file>