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225CAC61-E7B2-42B2-925B-E282EFB5D230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S2'!$A$1:$AM$33</definedName>
    <definedName name="_xlnm._FilterDatabase" localSheetId="7" hidden="1">'BA v2'!$A$1:$AM$57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2'!$A$1:$AG$37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80" i="15" l="1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L30" i="16"/>
  <c r="R30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R31" i="16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I2" i="17"/>
  <c r="AJ2" i="17"/>
  <c r="AH2" i="17"/>
  <c r="AG2" i="17"/>
  <c r="F31" i="16"/>
  <c r="G31" i="16"/>
  <c r="H31" i="16" a="1"/>
  <c r="H31" i="16" s="1"/>
  <c r="I31" i="16"/>
  <c r="J31" i="16"/>
  <c r="L31" i="16"/>
  <c r="M31" i="16" s="1"/>
  <c r="O31" i="16"/>
  <c r="P31" i="16" s="1"/>
  <c r="Q31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1" i="16"/>
  <c r="K31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8" i="13"/>
  <c r="G38" i="13"/>
  <c r="H38" i="13" a="1"/>
  <c r="H38" i="13" s="1"/>
  <c r="I38" i="13"/>
  <c r="J38" i="13"/>
  <c r="K38" i="13"/>
  <c r="L38" i="13"/>
  <c r="M38" i="13" s="1"/>
  <c r="N38" i="13"/>
  <c r="O38" i="13"/>
  <c r="P38" i="13" s="1"/>
  <c r="Q38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R32" i="16"/>
  <c r="R29" i="16"/>
  <c r="R28" i="16"/>
  <c r="R27" i="16"/>
  <c r="R26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6" i="16"/>
  <c r="Q27" i="16"/>
  <c r="Q28" i="16"/>
  <c r="Q29" i="16"/>
  <c r="Q30" i="16"/>
  <c r="Q32" i="16"/>
  <c r="Q33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6" i="16"/>
  <c r="P26" i="16" s="1"/>
  <c r="O27" i="16"/>
  <c r="P27" i="16" s="1"/>
  <c r="O28" i="16"/>
  <c r="P28" i="16" s="1"/>
  <c r="O29" i="16"/>
  <c r="P29" i="16" s="1"/>
  <c r="O30" i="16"/>
  <c r="P30" i="16" s="1"/>
  <c r="O32" i="16"/>
  <c r="P32" i="16" s="1"/>
  <c r="O33" i="16"/>
  <c r="P33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6" i="16"/>
  <c r="N27" i="16"/>
  <c r="N28" i="16"/>
  <c r="N29" i="16"/>
  <c r="N30" i="16"/>
  <c r="N32" i="16"/>
  <c r="N33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6" i="16"/>
  <c r="M26" i="16" s="1"/>
  <c r="L27" i="16"/>
  <c r="M27" i="16" s="1"/>
  <c r="L28" i="16"/>
  <c r="M28" i="16" s="1"/>
  <c r="L29" i="16"/>
  <c r="M29" i="16" s="1"/>
  <c r="M30" i="16"/>
  <c r="L32" i="16"/>
  <c r="M32" i="16" s="1"/>
  <c r="L33" i="16"/>
  <c r="M33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6" i="16"/>
  <c r="K27" i="16"/>
  <c r="K28" i="16"/>
  <c r="K29" i="16"/>
  <c r="K30" i="16"/>
  <c r="K32" i="16"/>
  <c r="K33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6" i="16"/>
  <c r="J27" i="16"/>
  <c r="J28" i="16"/>
  <c r="J29" i="16"/>
  <c r="J30" i="16"/>
  <c r="J32" i="16"/>
  <c r="J33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6" i="16"/>
  <c r="I27" i="16"/>
  <c r="I28" i="16"/>
  <c r="I29" i="16"/>
  <c r="I30" i="16"/>
  <c r="I32" i="16"/>
  <c r="I33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6" i="16" a="1"/>
  <c r="H26" i="16" s="1"/>
  <c r="H27" i="16" a="1"/>
  <c r="H27" i="16" s="1"/>
  <c r="H28" i="16" a="1"/>
  <c r="H28" i="16" s="1"/>
  <c r="H29" i="16" a="1"/>
  <c r="H29" i="16" s="1"/>
  <c r="H30" i="16" a="1"/>
  <c r="H30" i="16" s="1"/>
  <c r="H32" i="16" a="1"/>
  <c r="H32" i="16" s="1"/>
  <c r="H33" i="16" a="1"/>
  <c r="H33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6" i="16"/>
  <c r="G27" i="16"/>
  <c r="G28" i="16"/>
  <c r="G29" i="16"/>
  <c r="G30" i="16"/>
  <c r="G32" i="16"/>
  <c r="G33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6" i="16"/>
  <c r="F27" i="16"/>
  <c r="F28" i="16"/>
  <c r="F29" i="16"/>
  <c r="F30" i="16"/>
  <c r="F32" i="16"/>
  <c r="F33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7" i="13"/>
  <c r="P37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7" i="13"/>
  <c r="M37" i="13" s="1"/>
  <c r="K37" i="13"/>
  <c r="J4" i="13"/>
  <c r="J5" i="13"/>
  <c r="J6" i="13"/>
  <c r="J8" i="13"/>
  <c r="J32" i="13"/>
  <c r="J33" i="13"/>
  <c r="J34" i="13"/>
  <c r="J35" i="13"/>
  <c r="J36" i="13"/>
  <c r="J37" i="13"/>
  <c r="I4" i="13"/>
  <c r="I5" i="13"/>
  <c r="I6" i="13"/>
  <c r="I8" i="13"/>
  <c r="I32" i="13"/>
  <c r="I33" i="13"/>
  <c r="I34" i="13"/>
  <c r="I35" i="13"/>
  <c r="I36" i="13"/>
  <c r="I37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7" i="13" a="1"/>
  <c r="H37" i="13" s="1"/>
  <c r="G4" i="13"/>
  <c r="G5" i="13"/>
  <c r="G6" i="13"/>
  <c r="G8" i="13"/>
  <c r="G32" i="13"/>
  <c r="G33" i="13"/>
  <c r="G34" i="13"/>
  <c r="G35" i="13"/>
  <c r="G36" i="13"/>
  <c r="G37" i="13"/>
  <c r="F4" i="13"/>
  <c r="F5" i="13"/>
  <c r="F6" i="13"/>
  <c r="F8" i="13"/>
  <c r="F32" i="13"/>
  <c r="F33" i="13"/>
  <c r="F34" i="13"/>
  <c r="F35" i="13"/>
  <c r="F36" i="13"/>
  <c r="F37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7" i="13"/>
  <c r="Q37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4" i="12"/>
  <c r="Q45" i="12"/>
  <c r="Q49" i="12"/>
  <c r="Q51" i="12"/>
  <c r="Q52" i="12"/>
  <c r="Q54" i="12"/>
  <c r="Q55" i="12"/>
  <c r="N7" i="12"/>
  <c r="N9" i="12"/>
  <c r="N18" i="12"/>
  <c r="N20" i="12"/>
  <c r="N22" i="12"/>
  <c r="N37" i="12"/>
  <c r="N38" i="12"/>
  <c r="N42" i="12"/>
  <c r="N43" i="12"/>
  <c r="N44" i="12"/>
  <c r="N45" i="12"/>
  <c r="N49" i="12"/>
  <c r="N51" i="12"/>
  <c r="N52" i="12"/>
  <c r="N54" i="12"/>
  <c r="N55" i="12"/>
  <c r="K7" i="12"/>
  <c r="K9" i="12"/>
  <c r="K18" i="12"/>
  <c r="K20" i="12"/>
  <c r="K22" i="12"/>
  <c r="K37" i="12"/>
  <c r="K38" i="12"/>
  <c r="K42" i="12"/>
  <c r="K43" i="12"/>
  <c r="K44" i="12"/>
  <c r="K45" i="12"/>
  <c r="K49" i="12"/>
  <c r="K51" i="12"/>
  <c r="K52" i="12"/>
  <c r="K54" i="12"/>
  <c r="K55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7" i="12" s="1"/>
  <c r="AI52" i="9"/>
  <c r="Q57" i="12" s="1"/>
  <c r="AJ52" i="9"/>
  <c r="K57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6" i="12" s="1"/>
  <c r="AI102" i="9"/>
  <c r="Q56" i="12" s="1"/>
  <c r="AJ102" i="9"/>
  <c r="K56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6" i="12" s="1"/>
  <c r="AI183" i="9"/>
  <c r="Q46" i="12" s="1"/>
  <c r="AJ183" i="9"/>
  <c r="K46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8" i="12" s="1"/>
  <c r="AI436" i="9"/>
  <c r="Q48" i="12" s="1"/>
  <c r="AJ436" i="9"/>
  <c r="K48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7" i="12" s="1"/>
  <c r="AI476" i="9"/>
  <c r="Q47" i="12" s="1"/>
  <c r="AJ476" i="9"/>
  <c r="K47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3" i="12" s="1"/>
  <c r="AI564" i="9"/>
  <c r="Q53" i="12" s="1"/>
  <c r="AJ564" i="9"/>
  <c r="K53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0" i="12" s="1"/>
  <c r="AI678" i="9"/>
  <c r="Q50" i="12" s="1"/>
  <c r="AJ678" i="9"/>
  <c r="K50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7" i="12"/>
  <c r="M47" i="12" s="1"/>
  <c r="O47" i="12"/>
  <c r="P47" i="12" s="1"/>
  <c r="I47" i="12"/>
  <c r="J47" i="12"/>
  <c r="F47" i="12"/>
  <c r="G47" i="12"/>
  <c r="H47" i="12" a="1"/>
  <c r="H47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4" i="12"/>
  <c r="P44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5" i="12"/>
  <c r="P45" i="12" s="1"/>
  <c r="O46" i="12"/>
  <c r="P46" i="12" s="1"/>
  <c r="O48" i="12"/>
  <c r="P48" i="12" s="1"/>
  <c r="O49" i="12"/>
  <c r="P49" i="12" s="1"/>
  <c r="O50" i="12"/>
  <c r="P50" i="12" s="1"/>
  <c r="O51" i="12"/>
  <c r="P51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4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5" i="12"/>
  <c r="M45" i="12" s="1"/>
  <c r="L46" i="12"/>
  <c r="M46" i="12" s="1"/>
  <c r="L48" i="12"/>
  <c r="M48" i="12" s="1"/>
  <c r="L49" i="12"/>
  <c r="M49" i="12" s="1"/>
  <c r="L50" i="12"/>
  <c r="M50" i="12" s="1"/>
  <c r="L51" i="12"/>
  <c r="M51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3" i="12"/>
  <c r="M3" i="12" s="1"/>
  <c r="J4" i="12"/>
  <c r="J5" i="12"/>
  <c r="J6" i="12"/>
  <c r="J7" i="12"/>
  <c r="J8" i="12"/>
  <c r="J9" i="12"/>
  <c r="J10" i="12"/>
  <c r="J11" i="12"/>
  <c r="J13" i="12"/>
  <c r="J44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5" i="12"/>
  <c r="J46" i="12"/>
  <c r="J48" i="12"/>
  <c r="J49" i="12"/>
  <c r="J50" i="12"/>
  <c r="J51" i="12"/>
  <c r="J52" i="12"/>
  <c r="J53" i="12"/>
  <c r="J54" i="12"/>
  <c r="J55" i="12"/>
  <c r="J56" i="12"/>
  <c r="J57" i="12"/>
  <c r="J3" i="12"/>
  <c r="I44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5" i="12"/>
  <c r="I46" i="12"/>
  <c r="I48" i="12"/>
  <c r="I49" i="12"/>
  <c r="I50" i="12"/>
  <c r="I51" i="12"/>
  <c r="I52" i="12"/>
  <c r="I53" i="12"/>
  <c r="I54" i="12"/>
  <c r="I55" i="12"/>
  <c r="I56" i="12"/>
  <c r="I57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4" i="12" a="1"/>
  <c r="H44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5" i="12" a="1"/>
  <c r="H45" i="12" s="1"/>
  <c r="H46" i="12" a="1"/>
  <c r="H46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3" i="12" a="1"/>
  <c r="H3" i="12" s="1"/>
  <c r="G44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5" i="12"/>
  <c r="G46" i="12"/>
  <c r="G48" i="12"/>
  <c r="G49" i="12"/>
  <c r="G50" i="12"/>
  <c r="G51" i="12"/>
  <c r="G52" i="12"/>
  <c r="G53" i="12"/>
  <c r="G54" i="12"/>
  <c r="G55" i="12"/>
  <c r="G56" i="12"/>
  <c r="G57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4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5" i="12"/>
  <c r="F46" i="12"/>
  <c r="F48" i="12"/>
  <c r="F49" i="12"/>
  <c r="F50" i="12"/>
  <c r="F51" i="12"/>
  <c r="F52" i="12"/>
  <c r="F53" i="12"/>
  <c r="F54" i="12"/>
  <c r="F55" i="12"/>
  <c r="F56" i="12"/>
  <c r="F57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4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<sst xmlns="http://schemas.openxmlformats.org/spreadsheetml/2006/main" count="3298" uniqueCount="168">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</sst>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51" sqref="E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42</v>
      </c>
      <c r="G3" s="4">
        <f>AVERAGEIFS('OB History'!C:C,'OB History'!B:B,A3)</f>
        <v>10.5</v>
      </c>
      <c r="H3" s="35">
        <f t="array" ref="H3">MAX(IF('OB History'!B:B=A3, 'OB History'!C:C))</f>
        <v>19</v>
      </c>
      <c r="I3" s="34">
        <f>COUNTIFS('OB History'!B:B,A3,'OB History'!D:D, 1)</f>
        <v>3</v>
      </c>
      <c r="J3" s="2">
        <f>COUNTIFS('OB History'!B:B,A3,'OB History'!D:D, 0)</f>
        <v>1</v>
      </c>
      <c r="K3" s="88">
        <f>LOOKUP(2, 1/('OB History'!$B:$B=A3), 'OB History'!$AD:$AD)</f>
        <v>0.75</v>
      </c>
      <c r="L3" s="34">
        <f>SUMIFS('OB History'!F:F,'OB History'!B:B,A3)</f>
        <v>9</v>
      </c>
      <c r="M3" s="2">
        <f>SUMIFS('OB History'!E:E,'OB History'!B:B,A3)-L3</f>
        <v>8</v>
      </c>
      <c r="N3" s="88">
        <f>LOOKUP(2, 1/('OB History'!$B:$B=A3), 'OB History'!$AB:$AB)</f>
        <v>0.48749999999999999</v>
      </c>
      <c r="O3" s="34">
        <f>SUMIFS('OB History'!H:H,'OB History'!B:B,A3)</f>
        <v>35</v>
      </c>
      <c r="P3" s="2">
        <f>SUMIFS('OB History'!G:G,'OB History'!B:B,A3)-O3</f>
        <v>35</v>
      </c>
      <c r="Q3" s="88">
        <f>LOOKUP(2, 1/('OB History'!$B:$B=A3), 'OB History'!$AC:$AC)</f>
        <v>0.46999999999999992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2</v>
      </c>
      <c r="X3" s="2">
        <f>COUNTIFS('OB History'!$B:$B,$A$3,'OB History'!Q:Q, 1)</f>
        <v>0</v>
      </c>
      <c r="Y3" s="2">
        <f>COUNTIFS('OB History'!$B:$B,$A$3,'OB History'!R:R, 1)</f>
        <v>0</v>
      </c>
      <c r="Z3" s="2">
        <f>COUNTIFS('OB History'!$B:$B,$A$3,'OB History'!S:S, 1)</f>
        <v>0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1</v>
      </c>
      <c r="AD3" s="2">
        <f>COUNTIFS('OB History'!$B:$B,$A$3,'OB History'!W:W, 1)</f>
        <v>0</v>
      </c>
      <c r="AE3" s="2">
        <f>COUNTIFS('OB History'!$B:$B,$A$3,'OB History'!X:X, 1)</f>
        <v>2</v>
      </c>
      <c r="AF3" s="2">
        <f>COUNTIFS('OB History'!$B:$B,$A$3,'OB History'!Y:Y, 1)</f>
        <v>1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428</v>
      </c>
      <c r="G4" s="4">
        <f>AVERAGEIFS('OB History'!C:C,'OB History'!B:B,A4)</f>
        <v>20.38095238095238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11</v>
      </c>
      <c r="K4" s="88">
        <f>LOOKUP(2, 1/('OB History'!$B:$B=A4), 'OB History'!$AD:$AD)</f>
        <v>0.47619047619047616</v>
      </c>
      <c r="L4" s="34">
        <f>SUMIFS('OB History'!F:F,'OB History'!B:B,A4)</f>
        <v>40</v>
      </c>
      <c r="M4" s="2">
        <f>SUMIFS('OB History'!E:E,'OB History'!B:B,A4)-L4</f>
        <v>47</v>
      </c>
      <c r="N4" s="88">
        <f>LOOKUP(2, 1/('OB History'!$B:$B=A4), 'OB History'!$AB:$AB)</f>
        <v>0.44285714285714278</v>
      </c>
      <c r="O4" s="34">
        <f>SUMIFS('OB History'!H:H,'OB History'!B:B,A4)</f>
        <v>169</v>
      </c>
      <c r="P4" s="2">
        <f>SUMIFS('OB History'!G:G,'OB History'!B:B,A4)-O4</f>
        <v>185</v>
      </c>
      <c r="Q4" s="88">
        <f>LOOKUP(2, 1/('OB History'!$B:$B=A4), 'OB History'!$AC:$AC)</f>
        <v>0.46523809523809523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264</v>
      </c>
      <c r="G6" s="4">
        <f>AVERAGEIFS('OB History'!C:C,'OB History'!B:B,A6)</f>
        <v>12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10</v>
      </c>
      <c r="K6" s="88">
        <f>LOOKUP(2, 1/('OB History'!$B:$B=A6), 'OB History'!$AD:$AD)</f>
        <v>0.54545454545454541</v>
      </c>
      <c r="L6" s="34">
        <f>SUMIFS('OB History'!F:F,'OB History'!B:B,A6)</f>
        <v>43</v>
      </c>
      <c r="M6" s="2">
        <f>SUMIFS('OB History'!E:E,'OB History'!B:B,A6)-L6</f>
        <v>47</v>
      </c>
      <c r="N6" s="88">
        <f>LOOKUP(2, 1/('OB History'!$B:$B=A6), 'OB History'!$AB:$AB)</f>
        <v>0.45454545454545453</v>
      </c>
      <c r="O6" s="34">
        <f>SUMIFS('OB History'!H:H,'OB History'!B:B,'Old Bow v2'!A6)</f>
        <v>178</v>
      </c>
      <c r="P6" s="2">
        <f>SUMIFS('OB History'!G:G,'OB History'!B:B,'Old Bow v2'!A6)-O6</f>
        <v>190</v>
      </c>
      <c r="Q6" s="88">
        <f>LOOKUP(2, 1/('OB History'!$B:$B=A6), 'OB History'!$AC:$AC)</f>
        <v>0.475909090909091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/>
      <c r="E7" s="3"/>
      <c r="F7" s="34">
        <f>SUMIFS('OB History'!C:C,'OB History'!B:B,A7)</f>
        <v>362</v>
      </c>
      <c r="G7" s="4">
        <f>AVERAGEIFS('OB History'!C:C,'OB History'!B:B,A7)</f>
        <v>11.67741935483871</v>
      </c>
      <c r="H7" s="35">
        <f t="array" ref="H7">MAX(IF('OB History'!B:B=A7, 'OB History'!C:C))</f>
        <v>26</v>
      </c>
      <c r="I7" s="34">
        <f>COUNTIFS('OB History'!B:B,A7,'OB History'!D:D, 1)</f>
        <v>12</v>
      </c>
      <c r="J7" s="2">
        <f>COUNTIFS('OB History'!B:B,A7,'OB History'!D:D, 0)</f>
        <v>19</v>
      </c>
      <c r="K7" s="88">
        <f>LOOKUP(2, 1/('OB History'!$B:$B=A7), 'OB History'!$AD:$AD)</f>
        <v>0.38709677419354838</v>
      </c>
      <c r="L7" s="34">
        <f>SUMIFS('OB History'!F:F,'OB History'!B:B,A7)</f>
        <v>55</v>
      </c>
      <c r="M7" s="2">
        <f>SUMIFS('OB History'!E:E,'OB History'!B:B,A7)-L7</f>
        <v>74</v>
      </c>
      <c r="N7" s="88">
        <f>LOOKUP(2, 1/('OB History'!$B:$B=A7), 'OB History'!$AB:$AB)</f>
        <v>0.40322580645161288</v>
      </c>
      <c r="O7" s="34">
        <f>SUMIFS('OB History'!H:H,'OB History'!B:B,'Old Bow v2'!A7)</f>
        <v>247</v>
      </c>
      <c r="P7" s="2">
        <f>SUMIFS('OB History'!G:G,'OB History'!B:B,'Old Bow v2'!A7)-O7</f>
        <v>283</v>
      </c>
      <c r="Q7" s="88">
        <f>LOOKUP(2, 1/('OB History'!$B:$B=A7), 'OB History'!$AC:$AC)</f>
        <v>0.45064516129032262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0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11</v>
      </c>
      <c r="AF7" s="2">
        <f>COUNTIFS('OB History'!$B:$B,$A$7,'OB History'!Y:Y, 1)</f>
        <v>2</v>
      </c>
      <c r="AG7" s="2">
        <f>COUNTIFS('OB History'!$B:$B,$A$7,'OB History'!Z:Z, 1)</f>
        <v>11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331</v>
      </c>
      <c r="G9" s="4">
        <f>AVERAGEIFS('OB History'!C:C,'OB History'!B:B,A9)</f>
        <v>16.55</v>
      </c>
      <c r="H9" s="35">
        <f t="array" ref="H9">MAX(IF('OB History'!B:B=A9, 'OB History'!C:C))</f>
        <v>31</v>
      </c>
      <c r="I9" s="34">
        <f>COUNTIFS('OB History'!B:B,A9,'OB History'!D:D, 1)</f>
        <v>12</v>
      </c>
      <c r="J9" s="2">
        <f>COUNTIFS('OB History'!B:B,A9,'OB History'!D:D, 0)</f>
        <v>8</v>
      </c>
      <c r="K9" s="88">
        <f>LOOKUP(2, 1/('OB History'!$B:$B=A9), 'OB History'!$AD:$AD)</f>
        <v>0.6</v>
      </c>
      <c r="L9" s="34">
        <f>SUMIFS('OB History'!F:F,'OB History'!B:B,A9)</f>
        <v>48</v>
      </c>
      <c r="M9" s="2">
        <f>SUMIFS('OB History'!E:E,'OB History'!B:B,A9)-L9</f>
        <v>35</v>
      </c>
      <c r="N9" s="88">
        <f>LOOKUP(2, 1/('OB History'!$B:$B=A9), 'OB History'!$AB:$AB)</f>
        <v>0.60750000000000004</v>
      </c>
      <c r="O9" s="34">
        <f>SUMIFS('OB History'!H:H,'OB History'!B:B,'Old Bow v2'!A9)</f>
        <v>180</v>
      </c>
      <c r="P9" s="2">
        <f>SUMIFS('OB History'!G:G,'OB History'!B:B,'Old Bow v2'!A9)-O9</f>
        <v>161</v>
      </c>
      <c r="Q9" s="88">
        <f>LOOKUP(2, 1/('OB History'!$B:$B=A9), 'OB History'!$AC:$AC)</f>
        <v>0.54200000000000004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4</v>
      </c>
      <c r="X9" s="2">
        <f>COUNTIFS('OB History'!$B:$B,$A$9,'OB History'!Q:Q, 1)</f>
        <v>4</v>
      </c>
      <c r="Y9" s="2">
        <f>COUNTIFS('OB History'!$B:$B,$A$9,'OB History'!R:R, 1)</f>
        <v>3</v>
      </c>
      <c r="Z9" s="2">
        <f>COUNTIFS('OB History'!$B:$B,$A$9,'OB History'!S:S, 1)</f>
        <v>0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1</v>
      </c>
      <c r="AD9" s="2">
        <f>COUNTIFS('OB History'!$B:$B,$A$9,'OB History'!W:W, 1)</f>
        <v>3</v>
      </c>
      <c r="AE9" s="2">
        <f>COUNTIFS('OB History'!$B:$B,$A$9,'OB History'!X:X, 1)</f>
        <v>8</v>
      </c>
      <c r="AF9" s="2">
        <f>COUNTIFS('OB History'!$B:$B,$A$9,'OB History'!Y:Y, 1)</f>
        <v>4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82</v>
      </c>
      <c r="G10" s="4">
        <f>AVERAGEIFS('OB History'!C:C,'OB History'!B:B,A10)</f>
        <v>13.666666666666666</v>
      </c>
      <c r="H10" s="35">
        <f t="array" ref="H10">MAX(IF('OB History'!B:B=A10, 'OB History'!C:C))</f>
        <v>21</v>
      </c>
      <c r="I10" s="34">
        <f>COUNTIFS('OB History'!B:B,A10,'OB History'!D:D, 1)</f>
        <v>2</v>
      </c>
      <c r="J10" s="2">
        <f>COUNTIFS('OB History'!B:B,A10,'OB History'!D:D, 0)</f>
        <v>4</v>
      </c>
      <c r="K10" s="88">
        <f>LOOKUP(2, 1/('OB History'!$B:$B=A10), 'OB History'!$AD:$AD)</f>
        <v>0.33333333333333331</v>
      </c>
      <c r="L10" s="34">
        <f>SUMIFS('OB History'!F:F,'OB History'!B:B,A10)</f>
        <v>12</v>
      </c>
      <c r="M10" s="2">
        <f>SUMIFS('OB History'!E:E,'OB History'!B:B,A10)-L10</f>
        <v>16</v>
      </c>
      <c r="N10" s="88">
        <f>LOOKUP(2, 1/('OB History'!$B:$B=A10), 'OB History'!$AB:$AB)</f>
        <v>0.41666666666666669</v>
      </c>
      <c r="O10" s="34">
        <f>SUMIFS('OB History'!H:H,'OB History'!B:B,'Old Bow v2'!A10)</f>
        <v>54</v>
      </c>
      <c r="P10" s="2">
        <f>SUMIFS('OB History'!G:G,'OB History'!B:B,'Old Bow v2'!A10)-O10</f>
        <v>61</v>
      </c>
      <c r="Q10" s="88">
        <f>LOOKUP(2, 1/('OB History'!$B:$B=A10), 'OB History'!$AC:$AC)</f>
        <v>0.46500000000000002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1</v>
      </c>
      <c r="U10" s="2">
        <f>COUNTIFS('OB History'!$B:$B,$A$10,'OB History'!N:N, 1)</f>
        <v>1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0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0</v>
      </c>
      <c r="AE10" s="2">
        <f>COUNTIFS('OB History'!$B:$B,$A$10,'OB History'!X:X, 1)</f>
        <v>5</v>
      </c>
      <c r="AF10" s="2">
        <f>COUNTIFS('OB History'!$B:$B,$A$10,'OB History'!Y:Y, 1)</f>
        <v>1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322</v>
      </c>
      <c r="G12" s="4">
        <f>AVERAGEIFS('OB History'!C:C,'OB History'!B:B,A12)</f>
        <v>11.925925925925926</v>
      </c>
      <c r="H12" s="35">
        <f t="array" ref="H12">MAX(IF('OB History'!B:B=A12, 'OB History'!C:C))</f>
        <v>24</v>
      </c>
      <c r="I12" s="34">
        <f>COUNTIFS('OB History'!B:B,A12,'OB History'!D:D, 1)</f>
        <v>19</v>
      </c>
      <c r="J12" s="2">
        <f>COUNTIFS('OB History'!B:B,A12,'OB History'!D:D, 0)</f>
        <v>8</v>
      </c>
      <c r="K12" s="88">
        <f>LOOKUP(2, 1/('OB History'!$B:$B=A12), 'OB History'!$AD:$AD)</f>
        <v>0.70370370370370372</v>
      </c>
      <c r="L12" s="34">
        <f>SUMIFS('OB History'!F:F,'OB History'!B:B,A12)</f>
        <v>69</v>
      </c>
      <c r="M12" s="2">
        <f>SUMIFS('OB History'!E:E,'OB History'!B:B,A12)-L12</f>
        <v>43</v>
      </c>
      <c r="N12" s="88">
        <f>LOOKUP(2, 1/('OB History'!$B:$B=A12), 'OB History'!$AB:$AB)</f>
        <v>0.64259259259259249</v>
      </c>
      <c r="O12" s="34">
        <f>SUMIFS('OB History'!H:H,'OB History'!B:B,'Old Bow v2'!A12)</f>
        <v>256</v>
      </c>
      <c r="P12" s="2">
        <f>SUMIFS('OB History'!G:G,'OB History'!B:B,'Old Bow v2'!A12)-O12</f>
        <v>202</v>
      </c>
      <c r="Q12" s="88">
        <f>LOOKUP(2, 1/('OB History'!$B:$B=A12), 'OB History'!$AC:$AC)</f>
        <v>0.57148148148148137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10</v>
      </c>
      <c r="X12" s="2">
        <f>COUNTIFS('OB History'!$B:$B,$A$12,'OB History'!Q:Q, 1)</f>
        <v>5</v>
      </c>
      <c r="Y12" s="2">
        <f>COUNTIFS('OB History'!$B:$B,$A$12,'OB History'!R:R, 1)</f>
        <v>3</v>
      </c>
      <c r="Z12" s="2">
        <f>COUNTIFS('OB History'!$B:$B,$A$12,'OB History'!S:S, 1)</f>
        <v>1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2</v>
      </c>
      <c r="AD12" s="2">
        <f>COUNTIFS('OB History'!$B:$B,$A$12,'OB History'!W:W, 1)</f>
        <v>5</v>
      </c>
      <c r="AE12" s="2">
        <f>COUNTIFS('OB History'!$B:$B,$A$12,'OB History'!X:X, 1)</f>
        <v>7</v>
      </c>
      <c r="AF12" s="2">
        <f>COUNTIFS('OB History'!$B:$B,$A$12,'OB History'!Y:Y, 1)</f>
        <v>3</v>
      </c>
      <c r="AG12" s="2">
        <f>COUNTIFS('OB History'!$B:$B,$A$12,'OB History'!Z:Z, 1)</f>
        <v>7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57</v>
      </c>
      <c r="G17" s="4">
        <f>AVERAGEIFS('OB History'!C:C,'OB History'!B:B,A17)</f>
        <v>19</v>
      </c>
      <c r="H17" s="35">
        <f t="array" ref="H17">MAX(IF('OB History'!B:B=A17, 'OB History'!C:C))</f>
        <v>28</v>
      </c>
      <c r="I17" s="34">
        <f>COUNTIFS('OB History'!B:B,A17,'OB History'!D:D, 1)</f>
        <v>3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9</v>
      </c>
      <c r="M17" s="2">
        <f>SUMIFS('OB History'!E:E,'OB History'!B:B,A17)-L17</f>
        <v>4</v>
      </c>
      <c r="N17" s="88">
        <f>LOOKUP(2, 1/('OB History'!$B:$B=A17), 'OB History'!$AB:$AB)</f>
        <v>0.73333333333333339</v>
      </c>
      <c r="O17" s="34">
        <f>SUMIFS('OB History'!H:H,'OB History'!B:B,'Old Bow v2'!A17)</f>
        <v>32</v>
      </c>
      <c r="P17" s="2">
        <f>SUMIFS('OB History'!G:G,'OB History'!B:B,'Old Bow v2'!A17)-O17</f>
        <v>23</v>
      </c>
      <c r="Q17" s="88">
        <f>LOOKUP(2, 1/('OB History'!$B:$B=A17), 'OB History'!$AC:$AC)</f>
        <v>0.59333333333333327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0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0</v>
      </c>
      <c r="AE17" s="2">
        <f>COUNTIFS('OB History'!$B:$B,$A$17,'OB History'!X:X, 1)</f>
        <v>3</v>
      </c>
      <c r="AF17" s="2">
        <f>COUNTIFS('OB History'!$B:$B,$A$17,'OB History'!Y:Y, 1)</f>
        <v>1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38</v>
      </c>
      <c r="G19" s="4">
        <f>AVERAGEIFS('OB History'!C:C,'OB History'!B:B,A19)</f>
        <v>12.666666666666666</v>
      </c>
      <c r="H19" s="35">
        <f t="array" ref="H19">MAX(IF('OB History'!B:B=A19, 'OB History'!C:C))</f>
        <v>15</v>
      </c>
      <c r="I19" s="34">
        <f>COUNTIFS('OB History'!B:B,A19,'OB History'!D:D, 1)</f>
        <v>3</v>
      </c>
      <c r="J19" s="2">
        <f>COUNTIFS('OB History'!B:B,A19,'OB History'!D:D, 0)</f>
        <v>0</v>
      </c>
      <c r="K19" s="88">
        <f>LOOKUP(2, 1/('OB History'!$B:$B=A19), 'OB History'!$AD:$AD)</f>
        <v>1</v>
      </c>
      <c r="L19" s="34">
        <f>SUMIFS('OB History'!F:F,'OB History'!B:B,A19)</f>
        <v>9</v>
      </c>
      <c r="M19" s="2">
        <f>SUMIFS('OB History'!E:E,'OB History'!B:B,A19)-L19</f>
        <v>4</v>
      </c>
      <c r="N19" s="88">
        <f>LOOKUP(2, 1/('OB History'!$B:$B=A19), 'OB History'!$AB:$AB)</f>
        <v>0.70000000000000007</v>
      </c>
      <c r="O19" s="34">
        <f>SUMIFS('OB History'!H:H,'OB History'!B:B,'Old Bow v2'!A19)</f>
        <v>31</v>
      </c>
      <c r="P19" s="2">
        <f>SUMIFS('OB History'!G:G,'OB History'!B:B,'Old Bow v2'!A19)-O19</f>
        <v>15</v>
      </c>
      <c r="Q19" s="88">
        <f>LOOKUP(2, 1/('OB History'!$B:$B=A19), 'OB History'!$AC:$AC)</f>
        <v>0.67333333333333334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0</v>
      </c>
      <c r="U19" s="2">
        <f>COUNTIFS('OB History'!$B:$B,$A$19,'OB History'!N:N, 1)</f>
        <v>1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0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1</v>
      </c>
      <c r="AE19" s="2">
        <f>COUNTIFS('OB History'!$B:$B,$A$19,'OB History'!X:X, 1)</f>
        <v>2</v>
      </c>
      <c r="AF19" s="2">
        <f>COUNTIFS('OB History'!$B:$B,$A$19,'OB History'!Y:Y, 1)</f>
        <v>2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357</v>
      </c>
      <c r="G20" s="4">
        <f>AVERAGEIFS('OB History'!C:C,'OB History'!B:B,A20)</f>
        <v>10.5</v>
      </c>
      <c r="H20" s="35">
        <f t="array" ref="H20">MAX(IF('OB History'!B:B=A20, 'OB History'!C:C))</f>
        <v>21</v>
      </c>
      <c r="I20" s="34">
        <f>COUNTIFS('OB History'!B:B,A20,'OB History'!D:D, 1)</f>
        <v>15</v>
      </c>
      <c r="J20" s="2">
        <f>COUNTIFS('OB History'!B:B,A20,'OB History'!D:D, 0)</f>
        <v>19</v>
      </c>
      <c r="K20" s="88">
        <f>LOOKUP(2, 1/('OB History'!$B:$B=A20), 'OB History'!$AD:$AD)</f>
        <v>0.44117647058823528</v>
      </c>
      <c r="L20" s="34">
        <f>SUMIFS('OB History'!F:F,'OB History'!B:B,A20)</f>
        <v>68</v>
      </c>
      <c r="M20" s="2">
        <f>SUMIFS('OB History'!E:E,'OB History'!B:B,A20)-L20</f>
        <v>72</v>
      </c>
      <c r="N20" s="88">
        <f>LOOKUP(2, 1/('OB History'!$B:$B=A20), 'OB History'!$AB:$AB)</f>
        <v>0.48529411764705882</v>
      </c>
      <c r="O20" s="34">
        <f>SUMIFS('OB History'!H:H,'OB History'!B:B,'Old Bow v2'!A20)</f>
        <v>288</v>
      </c>
      <c r="P20" s="2">
        <f>SUMIFS('OB History'!G:G,'OB History'!B:B,'Old Bow v2'!A20)-O20</f>
        <v>289</v>
      </c>
      <c r="Q20" s="88">
        <f>LOOKUP(2, 1/('OB History'!$B:$B=A20), 'OB History'!$AC:$AC)</f>
        <v>0.50470588235294123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6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6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136</v>
      </c>
      <c r="G22" s="4">
        <f>AVERAGEIFS('OB History'!C:C,'OB History'!B:B,A22)</f>
        <v>10.461538461538462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4</v>
      </c>
      <c r="K22" s="88">
        <f>LOOKUP(2, 1/('OB History'!$B:$B=A22), 'OB History'!$AD:$AD)</f>
        <v>0.69230769230769229</v>
      </c>
      <c r="L22" s="34">
        <f>SUMIFS('OB History'!F:F,'OB History'!B:B,A22)</f>
        <v>33</v>
      </c>
      <c r="M22" s="2">
        <f>SUMIFS('OB History'!E:E,'OB History'!B:B,A22)-L22</f>
        <v>24</v>
      </c>
      <c r="N22" s="88">
        <f>LOOKUP(2, 1/('OB History'!$B:$B=A22), 'OB History'!$AB:$AB)</f>
        <v>0.5923076923076922</v>
      </c>
      <c r="O22" s="34">
        <f>SUMIFS('OB History'!H:H,'OB History'!B:B,'Old Bow v2'!A22)</f>
        <v>121</v>
      </c>
      <c r="P22" s="2">
        <f>SUMIFS('OB History'!G:G,'OB History'!B:B,'Old Bow v2'!A22)-O22</f>
        <v>105</v>
      </c>
      <c r="Q22" s="88">
        <f>LOOKUP(2, 1/('OB History'!$B:$B=A22), 'OB History'!$AC:$AC)</f>
        <v>0.54307692307692301</v>
      </c>
      <c r="R22" s="2">
        <f>COUNTIFS('OB History'!$B:$B,$A$22,'OB History'!K:K, 1)</f>
        <v>1</v>
      </c>
      <c r="S22" s="2">
        <f>COUNTIFS('OB History'!$B:$B,$A$22,'OB History'!L:L, 1)</f>
        <v>3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406</v>
      </c>
      <c r="G26" s="4">
        <f>AVERAGEIFS('OB History'!C:C,'OB History'!B:B,A26)</f>
        <v>14</v>
      </c>
      <c r="H26" s="35">
        <f t="array" ref="H26">MAX(IF('OB History'!B:B=A26, 'OB History'!C:C))</f>
        <v>28</v>
      </c>
      <c r="I26" s="34">
        <f>COUNTIFS('OB History'!B:B,A26,'OB History'!D:D, 1)</f>
        <v>12</v>
      </c>
      <c r="J26" s="2">
        <f>COUNTIFS('OB History'!B:B,A26,'OB History'!D:D, 0)</f>
        <v>17</v>
      </c>
      <c r="K26" s="88">
        <f>LOOKUP(2, 1/('OB History'!$B:$B=A26), 'OB History'!$AD:$AD)</f>
        <v>0.41379310344827586</v>
      </c>
      <c r="L26" s="34">
        <f>SUMIFS('OB History'!F:F,'OB History'!B:B,A26)</f>
        <v>59</v>
      </c>
      <c r="M26" s="2">
        <f>SUMIFS('OB History'!E:E,'OB History'!B:B,A26)-L26</f>
        <v>64</v>
      </c>
      <c r="N26" s="88">
        <f>LOOKUP(2, 1/('OB History'!$B:$B=A26), 'OB History'!$AB:$AB)</f>
        <v>0.47931034482758622</v>
      </c>
      <c r="O26" s="34">
        <f>SUMIFS('OB History'!H:H,'OB History'!B:B,'Old Bow v2'!A26)</f>
        <v>257</v>
      </c>
      <c r="P26" s="2">
        <f>SUMIFS('OB History'!G:G,'OB History'!B:B,'Old Bow v2'!A26)-O26</f>
        <v>257</v>
      </c>
      <c r="Q26" s="88">
        <f>LOOKUP(2, 1/('OB History'!$B:$B=A26), 'OB History'!$AC:$AC)</f>
        <v>0.49896551724137939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0</v>
      </c>
      <c r="U26" s="2">
        <f>COUNTIFS('OB History'!$B:$B,$A$26,'OB History'!N:N, 1)</f>
        <v>13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2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7</v>
      </c>
      <c r="AF26" s="2">
        <f>COUNTIFS('OB History'!$B:$B,$A$26,'OB History'!Y:Y, 1)</f>
        <v>4</v>
      </c>
      <c r="AG26" s="2">
        <f>COUNTIFS('OB History'!$B:$B,$A$26,'OB History'!Z:Z, 1)</f>
        <v>6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237</v>
      </c>
      <c r="G29" s="4">
        <f>AVERAGEIFS('OB History'!C:C,'OB History'!B:B,A29)</f>
        <v>13.166666666666666</v>
      </c>
      <c r="H29" s="35">
        <f t="array" ref="H29">MAX(IF('OB History'!B:B=A29, 'OB History'!C:C))</f>
        <v>23</v>
      </c>
      <c r="I29" s="34">
        <f>COUNTIFS('OB History'!B:B,A29,'OB History'!D:D, 1)</f>
        <v>10</v>
      </c>
      <c r="J29" s="2">
        <f>COUNTIFS('OB History'!B:B,A29,'OB History'!D:D, 0)</f>
        <v>8</v>
      </c>
      <c r="K29" s="88">
        <f>LOOKUP(2, 1/('OB History'!$B:$B=A29), 'OB History'!$AD:$AD)</f>
        <v>0.55555555555555558</v>
      </c>
      <c r="L29" s="34">
        <f>SUMIFS('OB History'!F:F,'OB History'!B:B,A29)</f>
        <v>41</v>
      </c>
      <c r="M29" s="2">
        <f>SUMIFS('OB History'!E:E,'OB History'!B:B,A29)-L29</f>
        <v>36</v>
      </c>
      <c r="N29" s="88">
        <f>LOOKUP(2, 1/('OB History'!$B:$B=A29), 'OB History'!$AB:$AB)</f>
        <v>0.5527777777777777</v>
      </c>
      <c r="O29" s="34">
        <f>SUMIFS('OB History'!H:H,'OB History'!B:B,'Old Bow v2'!A29)</f>
        <v>157</v>
      </c>
      <c r="P29" s="2">
        <f>SUMIFS('OB History'!G:G,'OB History'!B:B,'Old Bow v2'!A29)-O29</f>
        <v>152</v>
      </c>
      <c r="Q29" s="88">
        <f>LOOKUP(2, 1/('OB History'!$B:$B=A29), 'OB History'!$AC:$AC)</f>
        <v>0.51888888888888896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1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9</v>
      </c>
      <c r="AF29" s="2">
        <f>COUNTIFS('OB History'!$B:$B,$A$29,'OB History'!Y:Y, 1)</f>
        <v>8</v>
      </c>
      <c r="AG29" s="2">
        <f>COUNTIFS('OB History'!$B:$B,$A$29,'OB History'!Z:Z, 1)</f>
        <v>3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769</v>
      </c>
      <c r="G30" s="4">
        <f>AVERAGEIFS('OB History'!C:C,'OB History'!B:B,A30)</f>
        <v>24.806451612903224</v>
      </c>
      <c r="H30" s="35">
        <f t="array" ref="H30">MAX(IF('OB History'!B:B=A30, 'OB History'!C:C))</f>
        <v>55</v>
      </c>
      <c r="I30" s="34">
        <f>COUNTIFS('OB History'!B:B,A30,'OB History'!D:D, 1)</f>
        <v>11</v>
      </c>
      <c r="J30" s="2">
        <f>COUNTIFS('OB History'!B:B,A30,'OB History'!D:D, 0)</f>
        <v>20</v>
      </c>
      <c r="K30" s="88">
        <f>LOOKUP(2, 1/('OB History'!$B:$B=A30), 'OB History'!$AD:$AD)</f>
        <v>0.35483870967741937</v>
      </c>
      <c r="L30" s="34">
        <f>SUMIFS('OB History'!F:F,'OB History'!B:B,A30)</f>
        <v>59</v>
      </c>
      <c r="M30" s="2">
        <f>SUMIFS('OB History'!E:E,'OB History'!B:B,A30)-L30</f>
        <v>70</v>
      </c>
      <c r="N30" s="88">
        <f>LOOKUP(2, 1/('OB History'!$B:$B=A30), 'OB History'!$AB:$AB)</f>
        <v>0.46774193548387094</v>
      </c>
      <c r="O30" s="34">
        <f>SUMIFS('OB History'!H:H,'OB History'!B:B,'Old Bow v2'!A30)</f>
        <v>257</v>
      </c>
      <c r="P30" s="2">
        <f>SUMIFS('OB History'!G:G,'OB History'!B:B,'Old Bow v2'!A30)-O30</f>
        <v>277</v>
      </c>
      <c r="Q30" s="88">
        <f>LOOKUP(2, 1/('OB History'!$B:$B=A30), 'OB History'!$AC:$AC)</f>
        <v>0.48645161290322586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6</v>
      </c>
      <c r="X30" s="2">
        <f>COUNTIFS('OB History'!$B:$B,$A$30,'OB History'!Q:Q, 1)</f>
        <v>3</v>
      </c>
      <c r="Y30" s="2">
        <f>COUNTIFS('OB History'!$B:$B,$A$30,'OB History'!R:R, 1)</f>
        <v>1</v>
      </c>
      <c r="Z30" s="2">
        <f>COUNTIFS('OB History'!$B:$B,$A$30,'OB History'!S:S, 1)</f>
        <v>0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0</v>
      </c>
      <c r="AD30" s="2">
        <f>COUNTIFS('OB History'!$B:$B,$A$30,'OB History'!W:W, 1)</f>
        <v>5</v>
      </c>
      <c r="AE30" s="2">
        <f>COUNTIFS('OB History'!$B:$B,$A$30,'OB History'!X:X, 1)</f>
        <v>16</v>
      </c>
      <c r="AF30" s="2">
        <f>COUNTIFS('OB History'!$B:$B,$A$30,'OB History'!Y:Y, 1)</f>
        <v>6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2</v>
      </c>
      <c r="E32" s="3">
        <v>1</v>
      </c>
      <c r="F32" s="34">
        <f>SUMIFS('OB History'!C:C,'OB History'!B:B,A32)</f>
        <v>1240</v>
      </c>
      <c r="G32" s="4">
        <f>AVERAGEIFS('OB History'!C:C,'OB History'!B:B,A32)</f>
        <v>26.382978723404257</v>
      </c>
      <c r="H32" s="35">
        <f t="array" ref="H32">MAX(IF('OB History'!B:B=A32, 'OB History'!C:C))</f>
        <v>57</v>
      </c>
      <c r="I32" s="34">
        <f>COUNTIFS('OB History'!B:B,A32,'OB History'!D:D, 1)</f>
        <v>30</v>
      </c>
      <c r="J32" s="2">
        <f>COUNTIFS('OB History'!B:B,A32,'OB History'!D:D, 0)</f>
        <v>17</v>
      </c>
      <c r="K32" s="88">
        <f>LOOKUP(2, 1/('OB History'!$B:$B=A32), 'OB History'!$AD:$AD)</f>
        <v>0.63829787234042556</v>
      </c>
      <c r="L32" s="34">
        <f>SUMIFS('OB History'!F:F,'OB History'!B:B,A32)</f>
        <v>110</v>
      </c>
      <c r="M32" s="2">
        <f>SUMIFS('OB History'!E:E,'OB History'!B:B,A32)-L32</f>
        <v>85</v>
      </c>
      <c r="N32" s="88">
        <f>LOOKUP(2, 1/('OB History'!$B:$B=A32), 'OB History'!$AB:$AB)</f>
        <v>0.56808510638297871</v>
      </c>
      <c r="O32" s="34">
        <f>SUMIFS('OB History'!H:H,'OB History'!B:B,'Old Bow v2'!A32)</f>
        <v>431</v>
      </c>
      <c r="P32" s="2">
        <f>SUMIFS('OB History'!G:G,'OB History'!B:B,'Old Bow v2'!A32)-O32</f>
        <v>361</v>
      </c>
      <c r="Q32" s="88">
        <f>LOOKUP(2, 1/('OB History'!$B:$B=A32), 'OB History'!$AC:$AC)</f>
        <v>0.547659574468085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15</v>
      </c>
      <c r="X32" s="2">
        <f>COUNTIFS('OB History'!$B:$B,$A$32,'OB History'!Q:Q, 1)</f>
        <v>5</v>
      </c>
      <c r="Y32" s="2">
        <f>COUNTIFS('OB History'!$B:$B,$A$32,'OB History'!R:R, 1)</f>
        <v>3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11</v>
      </c>
      <c r="AF32" s="2">
        <f>COUNTIFS('OB History'!$B:$B,$A$32,'OB History'!Y:Y, 1)</f>
        <v>10</v>
      </c>
      <c r="AG32" s="2">
        <f>COUNTIFS('OB History'!$B:$B,$A$32,'OB History'!Z:Z, 1)</f>
        <v>12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236</v>
      </c>
      <c r="G35" s="4">
        <f>AVERAGEIFS('OB History'!C:C,'OB History'!B:B,A35)</f>
        <v>23.6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5</v>
      </c>
      <c r="K35" s="88">
        <f>LOOKUP(2, 1/('OB History'!$B:$B=A35), 'OB History'!$AD:$AD)</f>
        <v>0.5</v>
      </c>
      <c r="L35" s="34">
        <f>SUMIFS('OB History'!F:F,'OB History'!B:B,A35)</f>
        <v>21</v>
      </c>
      <c r="M35" s="2">
        <f>SUMIFS('OB History'!E:E,'OB History'!B:B,A35)-L35</f>
        <v>23</v>
      </c>
      <c r="N35" s="88">
        <f>LOOKUP(2, 1/('OB History'!$B:$B=A35), 'OB History'!$AB:$AB)</f>
        <v>0.46999999999999992</v>
      </c>
      <c r="O35" s="34">
        <f>SUMIFS('OB History'!H:H,'OB History'!B:B,'Old Bow v2'!A35)</f>
        <v>91</v>
      </c>
      <c r="P35" s="2">
        <f>SUMIFS('OB History'!G:G,'OB History'!B:B,'Old Bow v2'!A35)-O35</f>
        <v>95</v>
      </c>
      <c r="Q35" s="88">
        <f>LOOKUP(2, 1/('OB History'!$B:$B=A35), 'OB History'!$AC:$AC)</f>
        <v>0.48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4</v>
      </c>
      <c r="E41" s="3">
        <v>2</v>
      </c>
      <c r="F41" s="34">
        <f>SUMIFS('OB History'!C:C,'OB History'!B:B,A41)</f>
        <v>1080</v>
      </c>
      <c r="G41" s="4">
        <f>AVERAGEIFS('OB History'!C:C,'OB History'!B:B,A41)</f>
        <v>25.714285714285715</v>
      </c>
      <c r="H41" s="35">
        <f t="array" ref="H41">MAX(IF('OB History'!B:B=A41, 'OB History'!C:C))</f>
        <v>49</v>
      </c>
      <c r="I41" s="34">
        <f>COUNTIFS('OB History'!B:B,A41,'OB History'!D:D, 1)</f>
        <v>18</v>
      </c>
      <c r="J41" s="2">
        <f>COUNTIFS('OB History'!B:B,A41,'OB History'!D:D, 0)</f>
        <v>24</v>
      </c>
      <c r="K41" s="88">
        <f>LOOKUP(2, 1/('OB History'!$B:$B=A41), 'OB History'!$AD:$AD)</f>
        <v>0.42857142857142855</v>
      </c>
      <c r="L41" s="34">
        <f>SUMIFS('OB History'!F:F,'OB History'!B:B,A41)</f>
        <v>86</v>
      </c>
      <c r="M41" s="2">
        <f>SUMIFS('OB History'!E:E,'OB History'!B:B,A41)-L41</f>
        <v>89</v>
      </c>
      <c r="N41" s="88">
        <f>LOOKUP(2, 1/('OB History'!$B:$B=A41), 'OB History'!$AB:$AB)</f>
        <v>0.50357142857142867</v>
      </c>
      <c r="O41" s="34">
        <f>SUMIFS('OB History'!H:H,'OB History'!B:B,'Old Bow v2'!A41)</f>
        <v>358</v>
      </c>
      <c r="P41" s="2">
        <f>SUMIFS('OB History'!G:G,'OB History'!B:B,'Old Bow v2'!A41)-O41</f>
        <v>356</v>
      </c>
      <c r="Q41" s="88">
        <f>LOOKUP(2, 1/('OB History'!$B:$B=A41), 'OB History'!$AC:$AC)</f>
        <v>0.51166666666666649</v>
      </c>
      <c r="R41" s="2">
        <f>COUNTIFS('OB History'!$B:$B,$A$41,'OB History'!K:K, 1)</f>
        <v>6</v>
      </c>
      <c r="S41" s="2">
        <f>COUNTIFS('OB History'!$B:$B,$A$41,'OB History'!L:L, 1)</f>
        <v>5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2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16</v>
      </c>
      <c r="AF41" s="2">
        <f>COUNTIFS('OB History'!$B:$B,$A$41,'OB History'!Y:Y, 1)</f>
        <v>8</v>
      </c>
      <c r="AG41" s="2">
        <f>COUNTIFS('OB History'!$B:$B,$A$41,'OB History'!Z:Z, 1)</f>
        <v>12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/>
      <c r="E42" s="3">
        <v>1</v>
      </c>
      <c r="F42" s="34">
        <f>SUMIFS('OB History'!C:C,'OB History'!B:B,A42)</f>
        <v>174</v>
      </c>
      <c r="G42" s="4">
        <f>AVERAGEIFS('OB History'!C:C,'OB History'!B:B,A42)</f>
        <v>14.5</v>
      </c>
      <c r="H42" s="35">
        <f t="array" ref="H42">MAX(IF('OB History'!B:B=A42, 'OB History'!C:C))</f>
        <v>28</v>
      </c>
      <c r="I42" s="34">
        <f>COUNTIFS('OB History'!B:B,A42,'OB History'!D:D, 1)</f>
        <v>2</v>
      </c>
      <c r="J42" s="2">
        <f>COUNTIFS('OB History'!B:B,A42,'OB History'!D:D, 0)</f>
        <v>10</v>
      </c>
      <c r="K42" s="88">
        <f>LOOKUP(2, 1/('OB History'!$B:$B=A42), 'OB History'!$AD:$AD)</f>
        <v>0.16666666666666666</v>
      </c>
      <c r="L42" s="34">
        <f>SUMIFS('OB History'!F:F,'OB History'!B:B,A42)</f>
        <v>20</v>
      </c>
      <c r="M42" s="2">
        <f>SUMIFS('OB History'!E:E,'OB History'!B:B,A42)-L42</f>
        <v>33</v>
      </c>
      <c r="N42" s="88">
        <f>LOOKUP(2, 1/('OB History'!$B:$B=A42), 'OB History'!$AB:$AB)</f>
        <v>0.37083333333333335</v>
      </c>
      <c r="O42" s="34">
        <f>SUMIFS('OB History'!H:H,'OB History'!B:B,'Old Bow v2'!A42)</f>
        <v>95</v>
      </c>
      <c r="P42" s="2">
        <f>SUMIFS('OB History'!G:G,'OB History'!B:B,'Old Bow v2'!A42)-O42</f>
        <v>115</v>
      </c>
      <c r="Q42" s="88">
        <f>LOOKUP(2, 1/('OB History'!$B:$B=A42), 'OB History'!$AC:$AC)</f>
        <v>0.4383333333333333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3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0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0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501</v>
      </c>
      <c r="G43" s="4">
        <f>AVERAGEIFS('OB History'!C:C,'OB History'!B:B,A43)</f>
        <v>22.772727272727273</v>
      </c>
      <c r="H43" s="35">
        <f t="array" ref="H43">MAX(IF('OB History'!B:B=A43, 'OB History'!C:C))</f>
        <v>43</v>
      </c>
      <c r="I43" s="34">
        <f>COUNTIFS('OB History'!B:B,A43,'OB History'!D:D, 1)</f>
        <v>16</v>
      </c>
      <c r="J43" s="2">
        <f>COUNTIFS('OB History'!B:B,A43,'OB History'!D:D, 0)</f>
        <v>6</v>
      </c>
      <c r="K43" s="88">
        <f>LOOKUP(2, 1/('OB History'!$B:$B=A43), 'OB History'!$AD:$AD)</f>
        <v>0.72727272727272729</v>
      </c>
      <c r="L43" s="34">
        <f>SUMIFS('OB History'!F:F,'OB History'!B:B,A43)</f>
        <v>54</v>
      </c>
      <c r="M43" s="2">
        <f>SUMIFS('OB History'!E:E,'OB History'!B:B,A43)-L43</f>
        <v>35</v>
      </c>
      <c r="N43" s="88">
        <f>LOOKUP(2, 1/('OB History'!$B:$B=A43), 'OB History'!$AB:$AB)</f>
        <v>0.62045454545454537</v>
      </c>
      <c r="O43" s="34">
        <f>SUMIFS('OB History'!H:H,'OB History'!B:B,'Old Bow v2'!A43)</f>
        <v>207</v>
      </c>
      <c r="P43" s="2">
        <f>SUMIFS('OB History'!G:G,'OB History'!B:B,'Old Bow v2'!A43)-O43</f>
        <v>170</v>
      </c>
      <c r="Q43" s="88">
        <f>LOOKUP(2, 1/('OB History'!$B:$B=A43), 'OB History'!$AC:$AC)</f>
        <v>0.55636363636363639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5</v>
      </c>
      <c r="U43" s="2">
        <f>COUNTIFS('OB History'!$B:$B,$A$43,'OB History'!N:N, 1)</f>
        <v>2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2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6</v>
      </c>
      <c r="AE43" s="2">
        <f>COUNTIFS('OB History'!$B:$B,$A$43,'OB History'!X:X, 1)</f>
        <v>7</v>
      </c>
      <c r="AF43" s="2">
        <f>COUNTIFS('OB History'!$B:$B,$A$43,'OB History'!Y:Y, 1)</f>
        <v>3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551</v>
      </c>
      <c r="G44" s="4">
        <f>AVERAGEIFS('OB History'!C:C,'OB History'!B:B,A44)</f>
        <v>25.045454545454547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11</v>
      </c>
      <c r="K44" s="88">
        <f>LOOKUP(2, 1/('OB History'!$B:$B=A44), 'OB History'!$AD:$AD)</f>
        <v>0.5</v>
      </c>
      <c r="L44" s="34">
        <f>SUMIFS('OB History'!F:F,'OB History'!B:B,A44)</f>
        <v>46</v>
      </c>
      <c r="M44" s="2">
        <f>SUMIFS('OB History'!E:E,'OB History'!B:B,A44)-L44</f>
        <v>45</v>
      </c>
      <c r="N44" s="88">
        <f>LOOKUP(2, 1/('OB History'!$B:$B=A44), 'OB History'!$AB:$AB)</f>
        <v>0.50681818181818183</v>
      </c>
      <c r="O44" s="34">
        <f>SUMIFS('OB History'!H:H,'OB History'!B:B,'Old Bow v2'!A44)</f>
        <v>188</v>
      </c>
      <c r="P44" s="2">
        <f>SUMIFS('OB History'!G:G,'OB History'!B:B,'Old Bow v2'!A44)-O44</f>
        <v>187</v>
      </c>
      <c r="Q44" s="88">
        <f>LOOKUP(2, 1/('OB History'!$B:$B=A44), 'OB History'!$AC:$AC)</f>
        <v>0.5027272727272728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0</v>
      </c>
      <c r="U44" s="2">
        <f>COUNTIFS('OB History'!$B:$B,$A$44,'OB History'!N:N, 1)</f>
        <v>8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2</v>
      </c>
      <c r="E46" s="3"/>
      <c r="F46" s="34">
        <f>SUMIFS('OB History'!C:C,'OB History'!B:B,A46)</f>
        <v>862</v>
      </c>
      <c r="G46" s="4">
        <f>AVERAGEIFS('OB History'!C:C,'OB History'!B:B,A46)</f>
        <v>24.62857142857143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17</v>
      </c>
      <c r="K46" s="88">
        <f>LOOKUP(2, 1/('OB History'!$B:$B=A46), 'OB History'!$AD:$AD)</f>
        <v>0.51428571428571423</v>
      </c>
      <c r="L46" s="34">
        <f>SUMIFS('OB History'!F:F,'OB History'!B:B,A46)</f>
        <v>72</v>
      </c>
      <c r="M46" s="2">
        <f>SUMIFS('OB History'!E:E,'OB History'!B:B,A46)-L46</f>
        <v>71</v>
      </c>
      <c r="N46" s="88">
        <f>LOOKUP(2, 1/('OB History'!$B:$B=A46), 'OB History'!$AB:$AB)</f>
        <v>0.51142857142857134</v>
      </c>
      <c r="O46" s="34">
        <f>SUMIFS('OB History'!H:H,'OB History'!B:B,'Old Bow v2'!A46)</f>
        <v>290</v>
      </c>
      <c r="P46" s="2">
        <f>SUMIFS('OB History'!G:G,'OB History'!B:B,'Old Bow v2'!A46)-O46</f>
        <v>298</v>
      </c>
      <c r="Q46" s="88">
        <f>LOOKUP(2, 1/('OB History'!$B:$B=A46), 'OB History'!$AC:$AC)</f>
        <v>0.50057142857142867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46</v>
      </c>
      <c r="G47" s="4">
        <f>AVERAGEIFS('OB History'!C:C,'OB History'!B:B,A47)</f>
        <v>23</v>
      </c>
      <c r="H47" s="35">
        <f t="array" ref="H47">MAX(IF('OB History'!B:B=A47, 'OB History'!C:C))</f>
        <v>25</v>
      </c>
      <c r="I47" s="34">
        <f>COUNTIFS('OB History'!B:B,A47,'OB History'!D:D, 1)</f>
        <v>1</v>
      </c>
      <c r="J47" s="2">
        <f>COUNTIFS('OB History'!B:B,A47,'OB History'!D:D, 0)</f>
        <v>1</v>
      </c>
      <c r="K47" s="88">
        <f>LOOKUP(2, 1/('OB History'!$B:$B=A47), 'OB History'!$AD:$AD)</f>
        <v>0.5</v>
      </c>
      <c r="L47" s="34">
        <f>SUMIFS('OB History'!F:F,'OB History'!B:B,A47)</f>
        <v>5</v>
      </c>
      <c r="M47" s="2">
        <f>SUMIFS('OB History'!E:E,'OB History'!B:B,A47)-L47</f>
        <v>5</v>
      </c>
      <c r="N47" s="88">
        <f>LOOKUP(2, 1/('OB History'!$B:$B=A47), 'OB History'!$AB:$AB)</f>
        <v>0.5</v>
      </c>
      <c r="O47" s="34">
        <f>SUMIFS('OB History'!H:H,'OB History'!B:B,'Old Bow v2'!A47)</f>
        <v>20</v>
      </c>
      <c r="P47" s="2">
        <f>SUMIFS('OB History'!G:G,'OB History'!B:B,'Old Bow v2'!A47)-O47</f>
        <v>19</v>
      </c>
      <c r="Q47" s="88">
        <f>LOOKUP(2, 1/('OB History'!$B:$B=A47), 'OB History'!$AC:$AC)</f>
        <v>0.52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1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1</v>
      </c>
      <c r="AF47" s="2">
        <f>COUNTIFS('OB History'!$B:$B,$A$47,'OB History'!Y:Y, 1)</f>
        <v>0</v>
      </c>
      <c r="AG47" s="2">
        <f>COUNTIFS('OB History'!$B:$B,$A$47,'OB History'!Z:Z, 1)</f>
        <v>0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676"/>
  <sheetViews>
    <sheetView workbookViewId="0">
      <pane ySplit="1" topLeftCell="A640" activePane="bottomLeft" state="frozen"/>
      <selection pane="bottomLeft" activeCell="A665" sqref="A665:Z67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1" sqref="E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</v>
      </c>
      <c r="G3" s="4">
        <f>AVERAGEIFS('OB History S2'!C:C,'OB History S2'!B:B,A3)</f>
        <v>2</v>
      </c>
      <c r="H3" s="35">
        <f t="array" ref="H3">MAX(IF('OB History S2'!B:B=A3, 'OB History S2'!C:C))</f>
        <v>2</v>
      </c>
      <c r="I3" s="34">
        <f>COUNTIFS('OB History S2'!B:B,A3,'OB History S2'!D:D, 1)</f>
        <v>0</v>
      </c>
      <c r="J3" s="2">
        <f>COUNTIFS('OB History S2'!B:B,A3,'OB History S2'!D:D, 0)</f>
        <v>1</v>
      </c>
      <c r="K3" s="88">
        <f>LOOKUP(2, 1/('OB History S2'!$B:$B=A3), 'OB History S2'!$AD:$AD)</f>
        <v>0</v>
      </c>
      <c r="L3" s="34">
        <f>SUMIFS('OB History S2'!F:F,'OB History S2'!B:B,A3)</f>
        <v>0</v>
      </c>
      <c r="M3" s="2">
        <f>SUMIFS('OB History S2'!E:E,'OB History S2'!B:B,A3)-L3</f>
        <v>3</v>
      </c>
      <c r="N3" s="88">
        <f>LOOKUP(2, 1/('OB History S2'!$B:$B=A3), 'OB History S2'!$AB:$AB)</f>
        <v>0</v>
      </c>
      <c r="O3" s="34">
        <f>SUMIFS('OB History S2'!H:H,'OB History S2'!B:B,A3)</f>
        <v>2</v>
      </c>
      <c r="P3" s="2">
        <f>SUMIFS('OB History S2'!G:G,'OB History S2'!B:B,A3)-O3</f>
        <v>9</v>
      </c>
      <c r="Q3" s="88">
        <f>LOOKUP(2, 1/('OB History S2'!$B:$B=A3), 'OB History S2'!$AC:$AC)</f>
        <v>0.18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0</v>
      </c>
      <c r="X3" s="2">
        <f>COUNTIFS('OB History S2'!$B:$B,$A$3,'OB History S2'!Q:Q, 1)</f>
        <v>0</v>
      </c>
      <c r="Y3" s="2">
        <f>COUNTIFS('OB History S2'!$B:$B,$A$3,'OB History S2'!R:R, 1)</f>
        <v>0</v>
      </c>
      <c r="Z3" s="2">
        <f>COUNTIFS('OB History S2'!$B:$B,$A$3,'OB History S2'!S:S, 1)</f>
        <v>0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0</v>
      </c>
      <c r="AD3" s="2">
        <f>COUNTIFS('OB History S2'!$B:$B,$A$3,'OB History S2'!W:W, 1)</f>
        <v>0</v>
      </c>
      <c r="AE3" s="2">
        <f>COUNTIFS('OB History S2'!$B:$B,$A$3,'OB History S2'!X:X, 1)</f>
        <v>0</v>
      </c>
      <c r="AF3" s="2">
        <f>COUNTIFS('OB History S2'!$B:$B,$A$3,'OB History S2'!Y:Y, 1)</f>
        <v>0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122</v>
      </c>
      <c r="G4" s="4">
        <f>AVERAGEIFS('OB History S2'!C:C,'OB History S2'!B:B,A4)</f>
        <v>24.4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1</v>
      </c>
      <c r="K4" s="88">
        <f>LOOKUP(2, 1/('OB History S2'!$B:$B=A4), 'OB History S2'!$AD:$AD)</f>
        <v>0.8</v>
      </c>
      <c r="L4" s="34">
        <f>SUMIFS('OB History S2'!F:F,'OB History S2'!B:B,A4)</f>
        <v>12</v>
      </c>
      <c r="M4" s="2">
        <f>SUMIFS('OB History S2'!E:E,'OB History S2'!B:B,A4)-L4</f>
        <v>10</v>
      </c>
      <c r="N4" s="88">
        <f>LOOKUP(2, 1/('OB History S2'!$B:$B=A4), 'OB History S2'!$AB:$AB)</f>
        <v>0.51</v>
      </c>
      <c r="O4" s="34">
        <f>SUMIFS('OB History S2'!H:H,'OB History S2'!B:B,A4)</f>
        <v>48</v>
      </c>
      <c r="P4" s="2">
        <f>SUMIFS('OB History S2'!G:G,'OB History S2'!B:B,A4)-O4</f>
        <v>45</v>
      </c>
      <c r="Q4" s="88">
        <f>LOOKUP(2, 1/('OB History S2'!$B:$B=A4), 'OB History S2'!$AC:$AC)</f>
        <v>0.504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119</v>
      </c>
      <c r="G6" s="4">
        <f>AVERAGEIFS('OB History S2'!C:C,'OB History S2'!B:B,A6)</f>
        <v>13.222222222222221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6</v>
      </c>
      <c r="K6" s="88">
        <f>LOOKUP(2, 1/('OB History S2'!$B:$B=A6), 'OB History S2'!$AD:$AD)</f>
        <v>0.33333333333333331</v>
      </c>
      <c r="L6" s="34">
        <f>SUMIFS('OB History S2'!F:F,'OB History S2'!B:B,A6)</f>
        <v>14</v>
      </c>
      <c r="M6" s="2">
        <f>SUMIFS('OB History S2'!E:E,'OB History S2'!B:B,A6)-L6</f>
        <v>23</v>
      </c>
      <c r="N6" s="88">
        <f>LOOKUP(2, 1/('OB History S2'!$B:$B=A6), 'OB History S2'!$AB:$AB)</f>
        <v>0.34444444444444444</v>
      </c>
      <c r="O6" s="34">
        <f>SUMIFS('OB History S2'!H:H,'OB History S2'!B:B,A6)</f>
        <v>61</v>
      </c>
      <c r="P6" s="2">
        <f>SUMIFS('OB History S2'!G:G,'OB History S2'!B:B,A6)-O6</f>
        <v>88</v>
      </c>
      <c r="Q6" s="88">
        <f>LOOKUP(2, 1/('OB History S2'!$B:$B=A6), 'OB History S2'!$AC:$AC)</f>
        <v>0.38999999999999996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/>
      <c r="E7" s="2"/>
      <c r="F7" s="34">
        <f>SUMIFS('OB History S2'!C:C,'OB History S2'!B:B,A7)</f>
        <v>39</v>
      </c>
      <c r="G7" s="4">
        <f>AVERAGEIFS('OB History S2'!C:C,'OB History S2'!B:B,A7)</f>
        <v>9.75</v>
      </c>
      <c r="H7" s="35">
        <f t="array" ref="H7">MAX(IF('OB History S2'!B:B=A7, 'OB History S2'!C:C))</f>
        <v>17</v>
      </c>
      <c r="I7" s="34">
        <f>COUNTIFS('OB History S2'!B:B,A7,'OB History S2'!D:D, 1)</f>
        <v>2</v>
      </c>
      <c r="J7" s="2">
        <f>COUNTIFS('OB History S2'!B:B,A7,'OB History S2'!D:D, 0)</f>
        <v>2</v>
      </c>
      <c r="K7" s="88">
        <f>LOOKUP(2, 1/('OB History S2'!$B:$B=A7), 'OB History S2'!$AD:$AD)</f>
        <v>0.5</v>
      </c>
      <c r="L7" s="34">
        <f>SUMIFS('OB History S2'!F:F,'OB History S2'!B:B,A7)</f>
        <v>9</v>
      </c>
      <c r="M7" s="2">
        <f>SUMIFS('OB History S2'!E:E,'OB History S2'!B:B,A7)-L7</f>
        <v>8</v>
      </c>
      <c r="N7" s="88">
        <f>LOOKUP(2, 1/('OB History S2'!$B:$B=A7), 'OB History S2'!$AB:$AB)</f>
        <v>0.53749999999999998</v>
      </c>
      <c r="O7" s="34">
        <f>SUMIFS('OB History S2'!H:H,'OB History S2'!B:B,A7)</f>
        <v>36</v>
      </c>
      <c r="P7" s="2">
        <f>SUMIFS('OB History S2'!G:G,'OB History S2'!B:B,A7)-O7</f>
        <v>33</v>
      </c>
      <c r="Q7" s="88">
        <f>LOOKUP(2, 1/('OB History S2'!$B:$B=A7), 'OB History S2'!$AC:$AC)</f>
        <v>0.52249999999999996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0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0</v>
      </c>
      <c r="AF7" s="2">
        <f>COUNTIFS('OB History S2'!$B:$B,$A$7,'OB History S2'!Y:Y, 1)</f>
        <v>2</v>
      </c>
      <c r="AG7" s="2">
        <f>COUNTIFS('OB History S2'!$B:$B,$A$7,'OB History S2'!Z:Z, 1)</f>
        <v>2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108</v>
      </c>
      <c r="G9" s="4">
        <f>AVERAGEIFS('OB History S2'!C:C,'OB History S2'!B:B,A9)</f>
        <v>18</v>
      </c>
      <c r="H9" s="35">
        <f t="array" ref="H9">MAX(IF('OB History S2'!B:B=A9, 'OB History S2'!C:C))</f>
        <v>25</v>
      </c>
      <c r="I9" s="34">
        <f>COUNTIFS('OB History S2'!B:B,A9,'OB History S2'!D:D, 1)</f>
        <v>4</v>
      </c>
      <c r="J9" s="2">
        <f>COUNTIFS('OB History S2'!B:B,A9,'OB History S2'!D:D, 0)</f>
        <v>2</v>
      </c>
      <c r="K9" s="88">
        <f>LOOKUP(2, 1/('OB History S2'!$B:$B=A9), 'OB History S2'!$AD:$AD)</f>
        <v>0.66666666666666663</v>
      </c>
      <c r="L9" s="34">
        <f>SUMIFS('OB History S2'!F:F,'OB History S2'!B:B,A9)</f>
        <v>14</v>
      </c>
      <c r="M9" s="2">
        <f>SUMIFS('OB History S2'!E:E,'OB History S2'!B:B,A9)-L9</f>
        <v>11</v>
      </c>
      <c r="N9" s="88">
        <f>LOOKUP(2, 1/('OB History S2'!$B:$B=A9), 'OB History S2'!$AB:$AB)</f>
        <v>0.55833333333333335</v>
      </c>
      <c r="O9" s="34">
        <f>SUMIFS('OB History S2'!H:H,'OB History S2'!B:B,A9)</f>
        <v>49</v>
      </c>
      <c r="P9" s="2">
        <f>SUMIFS('OB History S2'!G:G,'OB History S2'!B:B,A9)-O9</f>
        <v>49</v>
      </c>
      <c r="Q9" s="88">
        <f>LOOKUP(2, 1/('OB History S2'!$B:$B=A9), 'OB History S2'!$AC:$AC)</f>
        <v>0.50166666666666671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1</v>
      </c>
      <c r="X9" s="2">
        <f>COUNTIFS('OB History S2'!$B:$B,$A$9,'OB History S2'!Q:Q, 1)</f>
        <v>1</v>
      </c>
      <c r="Y9" s="2">
        <f>COUNTIFS('OB History S2'!$B:$B,$A$9,'OB History S2'!R:R, 1)</f>
        <v>1</v>
      </c>
      <c r="Z9" s="2">
        <f>COUNTIFS('OB History S2'!$B:$B,$A$9,'OB History S2'!S:S, 1)</f>
        <v>0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0</v>
      </c>
      <c r="AD9" s="2">
        <f>COUNTIFS('OB History S2'!$B:$B,$A$9,'OB History S2'!W:W, 1)</f>
        <v>0</v>
      </c>
      <c r="AE9" s="2">
        <f>COUNTIFS('OB History S2'!$B:$B,$A$9,'OB History S2'!X:X, 1)</f>
        <v>2</v>
      </c>
      <c r="AF9" s="2">
        <f>COUNTIFS('OB History S2'!$B:$B,$A$9,'OB History S2'!Y:Y, 1)</f>
        <v>1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6</v>
      </c>
      <c r="G10" s="4">
        <f>AVERAGEIFS('OB History S2'!C:C,'OB History S2'!B:B,A10)</f>
        <v>6</v>
      </c>
      <c r="H10" s="35">
        <f t="array" ref="H10">MAX(IF('OB History S2'!B:B=A10, 'OB History S2'!C:C))</f>
        <v>6</v>
      </c>
      <c r="I10" s="34">
        <f>COUNTIFS('OB History S2'!B:B,A10,'OB History S2'!D:D, 1)</f>
        <v>0</v>
      </c>
      <c r="J10" s="2">
        <f>COUNTIFS('OB History S2'!B:B,A10,'OB History S2'!D:D, 0)</f>
        <v>1</v>
      </c>
      <c r="K10" s="88">
        <f>LOOKUP(2, 1/('OB History S2'!$B:$B=A10), 'OB History S2'!$AD:$AD)</f>
        <v>0</v>
      </c>
      <c r="L10" s="34">
        <f>SUMIFS('OB History S2'!F:F,'OB History S2'!B:B,A10)</f>
        <v>0</v>
      </c>
      <c r="M10" s="2">
        <f>SUMIFS('OB History S2'!E:E,'OB History S2'!B:B,A10)-L10</f>
        <v>3</v>
      </c>
      <c r="N10" s="88">
        <f>LOOKUP(2, 1/('OB History S2'!$B:$B=A10), 'OB History S2'!$AB:$AB)</f>
        <v>0</v>
      </c>
      <c r="O10" s="34">
        <f>SUMIFS('OB History S2'!H:H,'OB History S2'!B:B,A10)</f>
        <v>4</v>
      </c>
      <c r="P10" s="2">
        <f>SUMIFS('OB History S2'!G:G,'OB History S2'!B:B,A10)-O10</f>
        <v>9</v>
      </c>
      <c r="Q10" s="88">
        <f>LOOKUP(2, 1/('OB History S2'!$B:$B=A10), 'OB History S2'!$AC:$AC)</f>
        <v>0.31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0</v>
      </c>
      <c r="U10" s="2">
        <f>COUNTIFS('OB History S2'!$B:$B,$A$10,'OB History S2'!N:N, 1)</f>
        <v>0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0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0</v>
      </c>
      <c r="AE10" s="2">
        <f>COUNTIFS('OB History S2'!$B:$B,$A$10,'OB History S2'!X:X, 1)</f>
        <v>0</v>
      </c>
      <c r="AF10" s="2">
        <f>COUNTIFS('OB History S2'!$B:$B,$A$10,'OB History S2'!Y:Y, 1)</f>
        <v>0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45</v>
      </c>
      <c r="G12" s="4">
        <f>AVERAGEIFS('OB History S2'!C:C,'OB History S2'!B:B,A12)</f>
        <v>11.25</v>
      </c>
      <c r="H12" s="35">
        <f t="array" ref="H12">MAX(IF('OB History S2'!B:B=A12, 'OB History S2'!C:C))</f>
        <v>22</v>
      </c>
      <c r="I12" s="34">
        <f>COUNTIFS('OB History S2'!B:B,A12,'OB History S2'!D:D, 1)</f>
        <v>1</v>
      </c>
      <c r="J12" s="2">
        <f>COUNTIFS('OB History S2'!B:B,A12,'OB History S2'!D:D, 0)</f>
        <v>3</v>
      </c>
      <c r="K12" s="88">
        <f>LOOKUP(2, 1/('OB History S2'!$B:$B=A12), 'OB History S2'!$AD:$AD)</f>
        <v>0.25</v>
      </c>
      <c r="L12" s="34">
        <f>SUMIFS('OB History S2'!F:F,'OB History S2'!B:B,A12)</f>
        <v>7</v>
      </c>
      <c r="M12" s="2">
        <f>SUMIFS('OB History S2'!E:E,'OB History S2'!B:B,A12)-L12</f>
        <v>10</v>
      </c>
      <c r="N12" s="88">
        <f>LOOKUP(2, 1/('OB History S2'!$B:$B=A12), 'OB History S2'!$AB:$AB)</f>
        <v>0.41249999999999998</v>
      </c>
      <c r="O12" s="34">
        <f>SUMIFS('OB History S2'!H:H,'OB History S2'!B:B,A12)</f>
        <v>30</v>
      </c>
      <c r="P12" s="2">
        <f>SUMIFS('OB History S2'!G:G,'OB History S2'!B:B,A12)-O12</f>
        <v>37</v>
      </c>
      <c r="Q12" s="88">
        <f>LOOKUP(2, 1/('OB History S2'!$B:$B=A12), 'OB History S2'!$AC:$AC)</f>
        <v>0.4375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0</v>
      </c>
      <c r="X12" s="2">
        <f>COUNTIFS('OB History S2'!$B:$B,$A$12,'OB History S2'!Q:Q, 1)</f>
        <v>1</v>
      </c>
      <c r="Y12" s="2">
        <f>COUNTIFS('OB History S2'!$B:$B,$A$12,'OB History S2'!R:R, 1)</f>
        <v>1</v>
      </c>
      <c r="Z12" s="2">
        <f>COUNTIFS('OB History S2'!$B:$B,$A$12,'OB History S2'!S:S, 1)</f>
        <v>0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0</v>
      </c>
      <c r="AD12" s="2">
        <f>COUNTIFS('OB History S2'!$B:$B,$A$12,'OB History S2'!W:W, 1)</f>
        <v>0</v>
      </c>
      <c r="AE12" s="2">
        <f>COUNTIFS('OB History S2'!$B:$B,$A$12,'OB History S2'!X:X, 1)</f>
        <v>1</v>
      </c>
      <c r="AF12" s="2">
        <f>COUNTIFS('OB History S2'!$B:$B,$A$12,'OB History S2'!Y:Y, 1)</f>
        <v>1</v>
      </c>
      <c r="AG12" s="2">
        <f>COUNTIFS('OB History S2'!$B:$B,$A$12,'OB History S2'!Z:Z, 1)</f>
        <v>1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28</v>
      </c>
      <c r="G16" s="4">
        <f>AVERAGEIFS('OB History S2'!C:C,'OB History S2'!B:B,A16)</f>
        <v>28</v>
      </c>
      <c r="H16" s="35">
        <f t="array" ref="H16">MAX(IF('OB History S2'!B:B=A16, 'OB History S2'!C:C))</f>
        <v>28</v>
      </c>
      <c r="I16" s="34">
        <f>COUNTIFS('OB History S2'!B:B,A16,'OB History S2'!D:D, 1)</f>
        <v>1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3</v>
      </c>
      <c r="M16" s="2">
        <f>SUMIFS('OB History S2'!E:E,'OB History S2'!B:B,A16)-L16</f>
        <v>2</v>
      </c>
      <c r="N16" s="88">
        <f>LOOKUP(2, 1/('OB History S2'!$B:$B=A16), 'OB History S2'!$AB:$AB)</f>
        <v>0.6</v>
      </c>
      <c r="O16" s="34">
        <f>SUMIFS('OB History S2'!H:H,'OB History S2'!B:B,A16)</f>
        <v>11</v>
      </c>
      <c r="P16" s="2">
        <f>SUMIFS('OB History S2'!G:G,'OB History S2'!B:B,A16)-O16</f>
        <v>10</v>
      </c>
      <c r="Q16" s="88">
        <f>LOOKUP(2, 1/('OB History S2'!$B:$B=A16), 'OB History S2'!$AC:$AC)</f>
        <v>0.52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0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0</v>
      </c>
      <c r="AE16" s="2">
        <f>COUNTIFS('OB History S2'!$B:$B,$A$16,'OB History S2'!X:X, 1)</f>
        <v>1</v>
      </c>
      <c r="AF16" s="2">
        <f>COUNTIFS('OB History S2'!$B:$B,$A$16,'OB History S2'!Y:Y, 1)</f>
        <v>1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38</v>
      </c>
      <c r="G18" s="4">
        <f>AVERAGEIFS('OB History S2'!C:C,'OB History S2'!B:B,A18)</f>
        <v>12.666666666666666</v>
      </c>
      <c r="H18" s="35">
        <f t="array" ref="H18">MAX(IF('OB History S2'!B:B=A18, 'OB History S2'!C:C))</f>
        <v>15</v>
      </c>
      <c r="I18" s="34">
        <f>COUNTIFS('OB History S2'!B:B,A18,'OB History S2'!D:D, 1)</f>
        <v>3</v>
      </c>
      <c r="J18" s="2">
        <f>COUNTIFS('OB History S2'!B:B,A18,'OB History S2'!D:D, 0)</f>
        <v>0</v>
      </c>
      <c r="K18" s="88">
        <f>LOOKUP(2, 1/('OB History S2'!$B:$B=A18), 'OB History S2'!$AD:$AD)</f>
        <v>1</v>
      </c>
      <c r="L18" s="34">
        <f>SUMIFS('OB History S2'!F:F,'OB History S2'!B:B,A18)</f>
        <v>9</v>
      </c>
      <c r="M18" s="2">
        <f>SUMIFS('OB History S2'!E:E,'OB History S2'!B:B,A18)-L18</f>
        <v>4</v>
      </c>
      <c r="N18" s="88">
        <f>LOOKUP(2, 1/('OB History S2'!$B:$B=A18), 'OB History S2'!$AB:$AB)</f>
        <v>0.70000000000000007</v>
      </c>
      <c r="O18" s="34">
        <f>SUMIFS('OB History S2'!H:H,'OB History S2'!B:B,A18)</f>
        <v>31</v>
      </c>
      <c r="P18" s="2">
        <f>SUMIFS('OB History S2'!G:G,'OB History S2'!B:B,A18)-O18</f>
        <v>15</v>
      </c>
      <c r="Q18" s="88">
        <f>LOOKUP(2, 1/('OB History S2'!$B:$B=A18), 'OB History S2'!$AC:$AC)</f>
        <v>0.67333333333333334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0</v>
      </c>
      <c r="U18" s="2">
        <f>COUNTIFS('OB History S2'!$B:$B,$A$18,'OB History S2'!N:N, 1)</f>
        <v>1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0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1</v>
      </c>
      <c r="AE18" s="2">
        <f>COUNTIFS('OB History S2'!$B:$B,$A$18,'OB History S2'!X:X, 1)</f>
        <v>2</v>
      </c>
      <c r="AF18" s="2">
        <f>COUNTIFS('OB History S2'!$B:$B,$A$18,'OB History S2'!Y:Y, 1)</f>
        <v>2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113</v>
      </c>
      <c r="G19" s="4">
        <f>AVERAGEIFS('OB History S2'!C:C,'OB History S2'!B:B,A19)</f>
        <v>12.555555555555555</v>
      </c>
      <c r="H19" s="35">
        <f t="array" ref="H19">MAX(IF('OB History S2'!B:B=A19, 'OB History S2'!C:C))</f>
        <v>20</v>
      </c>
      <c r="I19" s="34">
        <f>COUNTIFS('OB History S2'!B:B,A19,'OB History S2'!D:D, 1)</f>
        <v>2</v>
      </c>
      <c r="J19" s="2">
        <f>COUNTIFS('OB History S2'!B:B,A19,'OB History S2'!D:D, 0)</f>
        <v>7</v>
      </c>
      <c r="K19" s="88">
        <f>LOOKUP(2, 1/('OB History S2'!$B:$B=A19), 'OB History S2'!$AD:$AD)</f>
        <v>0.22222222222222221</v>
      </c>
      <c r="L19" s="34">
        <f>SUMIFS('OB History S2'!F:F,'OB History S2'!B:B,A19)</f>
        <v>15</v>
      </c>
      <c r="M19" s="2">
        <f>SUMIFS('OB History S2'!E:E,'OB History S2'!B:B,A19)-L19</f>
        <v>22</v>
      </c>
      <c r="N19" s="88">
        <f>LOOKUP(2, 1/('OB History S2'!$B:$B=A19), 'OB History S2'!$AB:$AB)</f>
        <v>0.41111111111111109</v>
      </c>
      <c r="O19" s="34">
        <f>SUMIFS('OB History S2'!H:H,'OB History S2'!B:B,A19)</f>
        <v>67</v>
      </c>
      <c r="P19" s="2">
        <f>SUMIFS('OB History S2'!G:G,'OB History S2'!B:B,A19)-O19</f>
        <v>78</v>
      </c>
      <c r="Q19" s="88">
        <f>LOOKUP(2, 1/('OB History S2'!$B:$B=A19), 'OB History S2'!$AC:$AC)</f>
        <v>0.47000000000000003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2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3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82</v>
      </c>
      <c r="G21" s="4">
        <f>AVERAGEIFS('OB History S2'!C:C,'OB History S2'!B:B,A21)</f>
        <v>10.25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2</v>
      </c>
      <c r="K21" s="88">
        <f>LOOKUP(2, 1/('OB History S2'!$B:$B=A21), 'OB History S2'!$AD:$AD)</f>
        <v>0.75</v>
      </c>
      <c r="L21" s="34">
        <f>SUMIFS('OB History S2'!F:F,'OB History S2'!B:B,A21)</f>
        <v>20</v>
      </c>
      <c r="M21" s="2">
        <f>SUMIFS('OB History S2'!E:E,'OB History S2'!B:B,A21)-L21</f>
        <v>14</v>
      </c>
      <c r="N21" s="88">
        <f>LOOKUP(2, 1/('OB History S2'!$B:$B=A21), 'OB History S2'!$AB:$AB)</f>
        <v>0.58750000000000002</v>
      </c>
      <c r="O21" s="34">
        <f>SUMIFS('OB History S2'!H:H,'OB History S2'!B:B,A21)</f>
        <v>69</v>
      </c>
      <c r="P21" s="2">
        <f>SUMIFS('OB History S2'!G:G,'OB History S2'!B:B,A21)-O21</f>
        <v>60</v>
      </c>
      <c r="Q21" s="88">
        <f>LOOKUP(2, 1/('OB History S2'!$B:$B=A21), 'OB History S2'!$AC:$AC)</f>
        <v>0.53749999999999998</v>
      </c>
      <c r="R21" s="2">
        <f>COUNTIFS('OB History S2'!$B:$B,$A$21,'OB History S2'!K:K, 1)</f>
        <v>1</v>
      </c>
      <c r="S21" s="2">
        <f>COUNTIFS('OB History S2'!$B:$B,$A$21,'OB History S2'!L:L, 1)</f>
        <v>3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65</v>
      </c>
      <c r="G22" s="4">
        <f>AVERAGEIFS('OB History S2'!C:C,'OB History S2'!B:B,A22)</f>
        <v>13</v>
      </c>
      <c r="H22" s="35">
        <f t="array" ref="H22">MAX(IF('OB History S2'!B:B=A22, 'OB History S2'!C:C))</f>
        <v>28</v>
      </c>
      <c r="I22" s="34">
        <f>COUNTIFS('OB History S2'!B:B,A22,'OB History S2'!D:D, 1)</f>
        <v>2</v>
      </c>
      <c r="J22" s="2">
        <f>COUNTIFS('OB History S2'!B:B,A22,'OB History S2'!D:D, 0)</f>
        <v>3</v>
      </c>
      <c r="K22" s="88">
        <f>LOOKUP(2, 1/('OB History S2'!$B:$B=A22), 'OB History S2'!$AD:$AD)</f>
        <v>0.4</v>
      </c>
      <c r="L22" s="34">
        <f>SUMIFS('OB History S2'!F:F,'OB History S2'!B:B,A22)</f>
        <v>9</v>
      </c>
      <c r="M22" s="2">
        <f>SUMIFS('OB History S2'!E:E,'OB History S2'!B:B,A22)-L22</f>
        <v>11</v>
      </c>
      <c r="N22" s="88">
        <f>LOOKUP(2, 1/('OB History S2'!$B:$B=A22), 'OB History S2'!$AB:$AB)</f>
        <v>0.43</v>
      </c>
      <c r="O22" s="34">
        <f>SUMIFS('OB History S2'!H:H,'OB History S2'!B:B,A22)</f>
        <v>42</v>
      </c>
      <c r="P22" s="2">
        <f>SUMIFS('OB History S2'!G:G,'OB History S2'!B:B,A22)-O22</f>
        <v>40</v>
      </c>
      <c r="Q22" s="88">
        <f>LOOKUP(2, 1/('OB History S2'!$B:$B=A22), 'OB History S2'!$AC:$AC)</f>
        <v>0.50600000000000001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0</v>
      </c>
      <c r="U22" s="2">
        <f>COUNTIFS('OB History S2'!$B:$B,$A$22,'OB History S2'!N:N, 1)</f>
        <v>1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0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0</v>
      </c>
      <c r="AF22" s="2">
        <f>COUNTIFS('OB History S2'!$B:$B,$A$22,'OB History S2'!Y:Y, 1)</f>
        <v>2</v>
      </c>
      <c r="AG22" s="2">
        <f>COUNTIFS('OB History S2'!$B:$B,$A$22,'OB History S2'!Z:Z, 1)</f>
        <v>1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187</v>
      </c>
      <c r="G24" s="4">
        <f>AVERAGEIFS('OB History S2'!C:C,'OB History S2'!B:B,A24)</f>
        <v>13.357142857142858</v>
      </c>
      <c r="H24" s="35">
        <f t="array" ref="H24">MAX(IF('OB History S2'!B:B=A24, 'OB History S2'!C:C))</f>
        <v>23</v>
      </c>
      <c r="I24" s="34">
        <f>COUNTIFS('OB History S2'!B:B,A24,'OB History S2'!D:D, 1)</f>
        <v>9</v>
      </c>
      <c r="J24" s="2">
        <f>COUNTIFS('OB History S2'!B:B,A24,'OB History S2'!D:D, 0)</f>
        <v>5</v>
      </c>
      <c r="K24" s="88">
        <f>LOOKUP(2, 1/('OB History S2'!$B:$B=A24), 'OB History S2'!$AD:$AD)</f>
        <v>0.6428571428571429</v>
      </c>
      <c r="L24" s="34">
        <f>SUMIFS('OB History S2'!F:F,'OB History S2'!B:B,A24)</f>
        <v>33</v>
      </c>
      <c r="M24" s="2">
        <f>SUMIFS('OB History S2'!E:E,'OB History S2'!B:B,A24)-L24</f>
        <v>25</v>
      </c>
      <c r="N24" s="88">
        <f>LOOKUP(2, 1/('OB History S2'!$B:$B=A24), 'OB History S2'!$AB:$AB)</f>
        <v>0.59285714285714286</v>
      </c>
      <c r="O24" s="34">
        <f>SUMIFS('OB History S2'!H:H,'OB History S2'!B:B,A24)</f>
        <v>121</v>
      </c>
      <c r="P24" s="2">
        <f>SUMIFS('OB History S2'!G:G,'OB History S2'!B:B,A24)-O24</f>
        <v>108</v>
      </c>
      <c r="Q24" s="88">
        <f>LOOKUP(2, 1/('OB History S2'!$B:$B=A24), 'OB History S2'!$AC:$AC)</f>
        <v>0.5407142857142857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1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6</v>
      </c>
      <c r="AF24" s="2">
        <f>COUNTIFS('OB History S2'!$B:$B,$A$24,'OB History S2'!Y:Y, 1)</f>
        <v>6</v>
      </c>
      <c r="AG24" s="2">
        <f>COUNTIFS('OB History S2'!$B:$B,$A$24,'OB History S2'!Z:Z, 1)</f>
        <v>3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188</v>
      </c>
      <c r="G25" s="4">
        <f>AVERAGEIFS('OB History S2'!C:C,'OB History S2'!B:B,A25)</f>
        <v>23.5</v>
      </c>
      <c r="H25" s="35">
        <f t="array" ref="H25">MAX(IF('OB History S2'!B:B=A25, 'OB History S2'!C:C))</f>
        <v>39</v>
      </c>
      <c r="I25" s="34">
        <f>COUNTIFS('OB History S2'!B:B,A25,'OB History S2'!D:D, 1)</f>
        <v>4</v>
      </c>
      <c r="J25" s="2">
        <f>COUNTIFS('OB History S2'!B:B,A25,'OB History S2'!D:D, 0)</f>
        <v>4</v>
      </c>
      <c r="K25" s="88">
        <f>LOOKUP(2, 1/('OB History S2'!$B:$B=A25), 'OB History S2'!$AD:$AD)</f>
        <v>0.5</v>
      </c>
      <c r="L25" s="34">
        <f>SUMIFS('OB History S2'!F:F,'OB History S2'!B:B,A25)</f>
        <v>18</v>
      </c>
      <c r="M25" s="2">
        <f>SUMIFS('OB History S2'!E:E,'OB History S2'!B:B,A25)-L25</f>
        <v>15</v>
      </c>
      <c r="N25" s="88">
        <f>LOOKUP(2, 1/('OB History S2'!$B:$B=A25), 'OB History S2'!$AB:$AB)</f>
        <v>0.56874999999999998</v>
      </c>
      <c r="O25" s="34">
        <f>SUMIFS('OB History S2'!H:H,'OB History S2'!B:B,A25)</f>
        <v>69</v>
      </c>
      <c r="P25" s="2">
        <f>SUMIFS('OB History S2'!G:G,'OB History S2'!B:B,A25)-O25</f>
        <v>63</v>
      </c>
      <c r="Q25" s="88">
        <f>LOOKUP(2, 1/('OB History S2'!$B:$B=A25), 'OB History S2'!$AC:$AC)</f>
        <v>0.52999999999999992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2</v>
      </c>
      <c r="X25" s="2">
        <f>COUNTIFS('OB History S2'!$B:$B,$A$25,'OB History S2'!Q:Q, 1)</f>
        <v>2</v>
      </c>
      <c r="Y25" s="2">
        <f>COUNTIFS('OB History S2'!$B:$B,$A$25,'OB History S2'!R:R, 1)</f>
        <v>1</v>
      </c>
      <c r="Z25" s="2">
        <f>COUNTIFS('OB History S2'!$B:$B,$A$25,'OB History S2'!S:S, 1)</f>
        <v>0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0</v>
      </c>
      <c r="AD25" s="2">
        <f>COUNTIFS('OB History S2'!$B:$B,$A$25,'OB History S2'!W:W, 1)</f>
        <v>0</v>
      </c>
      <c r="AE25" s="2">
        <f>COUNTIFS('OB History S2'!$B:$B,$A$25,'OB History S2'!X:X, 1)</f>
        <v>4</v>
      </c>
      <c r="AF25" s="2">
        <f>COUNTIFS('OB History S2'!$B:$B,$A$25,'OB History S2'!Y:Y, 1)</f>
        <v>2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2</v>
      </c>
      <c r="E26" s="6">
        <v>1</v>
      </c>
      <c r="F26" s="34">
        <f>SUMIFS('OB History S2'!C:C,'OB History S2'!B:B,A26)</f>
        <v>322</v>
      </c>
      <c r="G26" s="4">
        <f>AVERAGEIFS('OB History S2'!C:C,'OB History S2'!B:B,A26)</f>
        <v>23</v>
      </c>
      <c r="H26" s="35">
        <f t="array" ref="H26">MAX(IF('OB History S2'!B:B=A26, 'OB History S2'!C:C))</f>
        <v>35</v>
      </c>
      <c r="I26" s="34">
        <f>COUNTIFS('OB History S2'!B:B,A26,'OB History S2'!D:D, 1)</f>
        <v>10</v>
      </c>
      <c r="J26" s="2">
        <f>COUNTIFS('OB History S2'!B:B,A26,'OB History S2'!D:D, 0)</f>
        <v>4</v>
      </c>
      <c r="K26" s="88">
        <f>LOOKUP(2, 1/('OB History S2'!$B:$B=A26), 'OB History S2'!$AD:$AD)</f>
        <v>0.7142857142857143</v>
      </c>
      <c r="L26" s="34">
        <f>SUMIFS('OB History S2'!F:F,'OB History S2'!B:B,A26)</f>
        <v>36</v>
      </c>
      <c r="M26" s="2">
        <f>SUMIFS('OB History S2'!E:E,'OB History S2'!B:B,A26)-L26</f>
        <v>22</v>
      </c>
      <c r="N26" s="88">
        <f>LOOKUP(2, 1/('OB History S2'!$B:$B=A26), 'OB History S2'!$AB:$AB)</f>
        <v>0.65</v>
      </c>
      <c r="O26" s="34">
        <f>SUMIFS('OB History S2'!H:H,'OB History S2'!B:B,A26)</f>
        <v>135</v>
      </c>
      <c r="P26" s="2">
        <f>SUMIFS('OB History S2'!G:G,'OB History S2'!B:B,A26)-O26</f>
        <v>94</v>
      </c>
      <c r="Q26" s="88">
        <f>LOOKUP(2, 1/('OB History S2'!$B:$B=A26), 'OB History S2'!$AC:$AC)</f>
        <v>0.60428571428571431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3</v>
      </c>
      <c r="X26" s="2">
        <f>COUNTIFS('OB History S2'!$B:$B,$A$26,'OB History S2'!Q:Q, 1)</f>
        <v>1</v>
      </c>
      <c r="Y26" s="2">
        <f>COUNTIFS('OB History S2'!$B:$B,$A$26,'OB History S2'!R:R, 1)</f>
        <v>2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3</v>
      </c>
      <c r="AF26" s="2">
        <f>COUNTIFS('OB History S2'!$B:$B,$A$26,'OB History S2'!Y:Y, 1)</f>
        <v>8</v>
      </c>
      <c r="AG26" s="2">
        <f>COUNTIFS('OB History S2'!$B:$B,$A$26,'OB History S2'!Z:Z, 1)</f>
        <v>3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4</v>
      </c>
      <c r="E31" s="2">
        <v>2</v>
      </c>
      <c r="F31" s="34">
        <f>SUMIFS('OB History S2'!C:C,'OB History S2'!B:B,A31)</f>
        <v>248</v>
      </c>
      <c r="G31" s="4">
        <f>AVERAGEIFS('OB History S2'!C:C,'OB History S2'!B:B,A31)</f>
        <v>22.545454545454547</v>
      </c>
      <c r="H31" s="35">
        <f t="array" ref="H31">MAX(IF('OB History S2'!B:B=A31, 'OB History S2'!C:C))</f>
        <v>43</v>
      </c>
      <c r="I31" s="34">
        <f>COUNTIFS('OB History S2'!B:B,A31,'OB History S2'!D:D, 1)</f>
        <v>6</v>
      </c>
      <c r="J31" s="2">
        <f>COUNTIFS('OB History S2'!B:B,A31,'OB History S2'!D:D, 0)</f>
        <v>5</v>
      </c>
      <c r="K31" s="88">
        <f>LOOKUP(2, 1/('OB History S2'!$B:$B=A31), 'OB History S2'!$AD:$AD)</f>
        <v>0.54545454545454541</v>
      </c>
      <c r="L31" s="34">
        <f>SUMIFS('OB History S2'!F:F,'OB History S2'!B:B,A31)</f>
        <v>22</v>
      </c>
      <c r="M31" s="2">
        <f>SUMIFS('OB History S2'!E:E,'OB History S2'!B:B,A31)-L31</f>
        <v>23</v>
      </c>
      <c r="N31" s="88">
        <f>LOOKUP(2, 1/('OB History S2'!$B:$B=A31), 'OB History S2'!$AB:$AB)</f>
        <v>0.48181818181818181</v>
      </c>
      <c r="O31" s="34">
        <f>SUMIFS('OB History S2'!H:H,'OB History S2'!B:B,A31)</f>
        <v>86</v>
      </c>
      <c r="P31" s="2">
        <f>SUMIFS('OB History S2'!G:G,'OB History S2'!B:B,A31)-O31</f>
        <v>88</v>
      </c>
      <c r="Q31" s="88">
        <f>LOOKUP(2, 1/('OB History S2'!$B:$B=A31), 'OB History S2'!$AC:$AC)</f>
        <v>0.49636363636363628</v>
      </c>
      <c r="R31" s="2">
        <f>COUNTIFS('OB History S2'!$B:$B,$A$31,'OB History S2'!K:K, 1)</f>
        <v>0</v>
      </c>
      <c r="S31" s="2">
        <f>COUNTIFS('OB History S2'!$B:$B,$A$31,'OB History S2'!L:L, 1)</f>
        <v>3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2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7</v>
      </c>
      <c r="AF31" s="2">
        <f>COUNTIFS('OB History S2'!$B:$B,$A$31,'OB History S2'!Y:Y, 1)</f>
        <v>3</v>
      </c>
      <c r="AG31" s="2">
        <f>COUNTIFS('OB History S2'!$B:$B,$A$31,'OB History S2'!Z:Z, 1)</f>
        <v>2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/>
      <c r="E32" s="3">
        <v>1</v>
      </c>
      <c r="F32" s="34">
        <f>SUMIFS('OB History S2'!C:C,'OB History S2'!B:B,A32)</f>
        <v>159</v>
      </c>
      <c r="G32" s="4">
        <f>AVERAGEIFS('OB History S2'!C:C,'OB History S2'!B:B,A32)</f>
        <v>15.9</v>
      </c>
      <c r="H32" s="35">
        <f t="array" ref="H32">MAX(IF('OB History S2'!B:B=A32, 'OB History S2'!C:C))</f>
        <v>28</v>
      </c>
      <c r="I32" s="34">
        <f>COUNTIFS('OB History S2'!B:B,A32,'OB History S2'!D:D, 1)</f>
        <v>1</v>
      </c>
      <c r="J32" s="2">
        <f>COUNTIFS('OB History S2'!B:B,A32,'OB History S2'!D:D, 0)</f>
        <v>9</v>
      </c>
      <c r="K32" s="88">
        <f>LOOKUP(2, 1/('OB History S2'!$B:$B=A32), 'OB History S2'!$AD:$AD)</f>
        <v>0.1</v>
      </c>
      <c r="L32" s="34">
        <f>SUMIFS('OB History S2'!F:F,'OB History S2'!B:B,A32)</f>
        <v>15</v>
      </c>
      <c r="M32" s="2">
        <f>SUMIFS('OB History S2'!E:E,'OB History S2'!B:B,A32)-L32</f>
        <v>29</v>
      </c>
      <c r="N32" s="88">
        <f>LOOKUP(2, 1/('OB History S2'!$B:$B=A32), 'OB History S2'!$AB:$AB)</f>
        <v>0.32999999999999996</v>
      </c>
      <c r="O32" s="34">
        <f>SUMIFS('OB History S2'!H:H,'OB History S2'!B:B,A32)</f>
        <v>73</v>
      </c>
      <c r="P32" s="2">
        <f>SUMIFS('OB History S2'!G:G,'OB History S2'!B:B,A32)-O32</f>
        <v>99</v>
      </c>
      <c r="Q32" s="88">
        <f>LOOKUP(2, 1/('OB History S2'!$B:$B=A32), 'OB History S2'!$AC:$AC)</f>
        <v>0.40899999999999997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1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0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0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89</v>
      </c>
      <c r="G33" s="4">
        <f>AVERAGEIFS('OB History S2'!C:C,'OB History S2'!B:B,A33)</f>
        <v>22.25</v>
      </c>
      <c r="H33" s="35">
        <f t="array" ref="H33">MAX(IF('OB History S2'!B:B=A33, 'OB History S2'!C:C))</f>
        <v>42</v>
      </c>
      <c r="I33" s="34">
        <f>COUNTIFS('OB History S2'!B:B,A33,'OB History S2'!D:D, 1)</f>
        <v>2</v>
      </c>
      <c r="J33" s="2">
        <f>COUNTIFS('OB History S2'!B:B,A33,'OB History S2'!D:D, 0)</f>
        <v>2</v>
      </c>
      <c r="K33" s="88">
        <f>LOOKUP(2, 1/('OB History S2'!$B:$B=A33), 'OB History S2'!$AD:$AD)</f>
        <v>0.5</v>
      </c>
      <c r="L33" s="34">
        <f>SUMIFS('OB History S2'!F:F,'OB History S2'!B:B,A33)</f>
        <v>8</v>
      </c>
      <c r="M33" s="2">
        <f>SUMIFS('OB History S2'!E:E,'OB History S2'!B:B,A33)-L33</f>
        <v>8</v>
      </c>
      <c r="N33" s="88">
        <f>LOOKUP(2, 1/('OB History S2'!$B:$B=A33), 'OB History S2'!$AB:$AB)</f>
        <v>0.5</v>
      </c>
      <c r="O33" s="34">
        <f>SUMIFS('OB History S2'!H:H,'OB History S2'!B:B,A33)</f>
        <v>37</v>
      </c>
      <c r="P33" s="2">
        <f>SUMIFS('OB History S2'!G:G,'OB History S2'!B:B,A33)-O33</f>
        <v>31</v>
      </c>
      <c r="Q33" s="88">
        <f>LOOKUP(2, 1/('OB History S2'!$B:$B=A33), 'OB History S2'!$AC:$AC)</f>
        <v>0.54499999999999993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2</v>
      </c>
      <c r="U33" s="2">
        <f>COUNTIFS('OB History S2'!$B:$B,$A$33,'OB History S2'!N:N, 1)</f>
        <v>0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1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0</v>
      </c>
      <c r="AE33" s="2">
        <f>COUNTIFS('OB History S2'!$B:$B,$A$33,'OB History S2'!X:X, 1)</f>
        <v>0</v>
      </c>
      <c r="AF33" s="2">
        <f>COUNTIFS('OB History S2'!$B:$B,$A$33,'OB History S2'!Y:Y, 1)</f>
        <v>1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137</v>
      </c>
      <c r="G34" s="4">
        <f>AVERAGEIFS('OB History S2'!C:C,'OB History S2'!B:B,A34)</f>
        <v>22.833333333333332</v>
      </c>
      <c r="H34" s="35">
        <f t="array" ref="H34">MAX(IF('OB History S2'!B:B=A34, 'OB History S2'!C:C))</f>
        <v>29</v>
      </c>
      <c r="I34" s="34">
        <f>COUNTIFS('OB History S2'!B:B,A34,'OB History S2'!D:D, 1)</f>
        <v>5</v>
      </c>
      <c r="J34" s="2">
        <f>COUNTIFS('OB History S2'!B:B,A34,'OB History S2'!D:D, 0)</f>
        <v>1</v>
      </c>
      <c r="K34" s="88">
        <f>LOOKUP(2, 1/('OB History S2'!$B:$B=A34), 'OB History S2'!$AD:$AD)</f>
        <v>0.83333333333333337</v>
      </c>
      <c r="L34" s="34">
        <f>SUMIFS('OB History S2'!F:F,'OB History S2'!B:B,A34)</f>
        <v>16</v>
      </c>
      <c r="M34" s="2">
        <f>SUMIFS('OB History S2'!E:E,'OB History S2'!B:B,A34)-L34</f>
        <v>7</v>
      </c>
      <c r="N34" s="88">
        <f>LOOKUP(2, 1/('OB History S2'!$B:$B=A34), 'OB History S2'!$AB:$AB)</f>
        <v>0.72499999999999998</v>
      </c>
      <c r="O34" s="34">
        <f>SUMIFS('OB History S2'!H:H,'OB History S2'!B:B,A34)</f>
        <v>55</v>
      </c>
      <c r="P34" s="2">
        <f>SUMIFS('OB History S2'!G:G,'OB History S2'!B:B,A34)-O34</f>
        <v>36</v>
      </c>
      <c r="Q34" s="88">
        <f>LOOKUP(2, 1/('OB History S2'!$B:$B=A34), 'OB History S2'!$AC:$AC)</f>
        <v>0.62666666666666659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0</v>
      </c>
      <c r="U34" s="2">
        <f>COUNTIFS('OB History S2'!$B:$B,$A$34,'OB History S2'!N:N, 1)</f>
        <v>2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2</v>
      </c>
      <c r="E36" s="6"/>
      <c r="F36" s="34">
        <f>SUMIFS('OB History S2'!C:C,'OB History S2'!B:B,A36)</f>
        <v>165</v>
      </c>
      <c r="G36" s="4">
        <f>AVERAGEIFS('OB History S2'!C:C,'OB History S2'!B:B,A36)</f>
        <v>20.625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6</v>
      </c>
      <c r="K36" s="88">
        <f>LOOKUP(2, 1/('OB History S2'!$B:$B=A36), 'OB History S2'!$AD:$AD)</f>
        <v>0.25</v>
      </c>
      <c r="L36" s="34">
        <f>SUMIFS('OB History S2'!F:F,'OB History S2'!B:B,A36)</f>
        <v>12</v>
      </c>
      <c r="M36" s="2">
        <f>SUMIFS('OB History S2'!E:E,'OB History S2'!B:B,A36)-L36</f>
        <v>19</v>
      </c>
      <c r="N36" s="88">
        <f>LOOKUP(2, 1/('OB History S2'!$B:$B=A36), 'OB History S2'!$AB:$AB)</f>
        <v>0.38124999999999998</v>
      </c>
      <c r="O36" s="34">
        <f>SUMIFS('OB History S2'!H:H,'OB History S2'!B:B,A36)</f>
        <v>50</v>
      </c>
      <c r="P36" s="2">
        <f>SUMIFS('OB History S2'!G:G,'OB History S2'!B:B,A36)-O36</f>
        <v>69</v>
      </c>
      <c r="Q36" s="88">
        <f>LOOKUP(2, 1/('OB History S2'!$B:$B=A36), 'OB History S2'!$AC:$AC)</f>
        <v>0.4325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4</v>
      </c>
      <c r="B37" s="2" t="s">
        <v>79</v>
      </c>
      <c r="C37" s="2" t="s">
        <v>79</v>
      </c>
      <c r="D37" s="3"/>
      <c r="E37" s="2"/>
      <c r="F37" s="34">
        <f>SUMIFS('OB History S2'!C:C,'OB History S2'!B:B,A37)</f>
        <v>83</v>
      </c>
      <c r="G37" s="4">
        <f>AVERAGEIFS('OB History S2'!C:C,'OB History S2'!B:B,A37)</f>
        <v>20.75</v>
      </c>
      <c r="H37" s="35">
        <f t="array" ref="H37">MAX(IF('OB History S2'!B:B=A37, 'OB History S2'!C:C))</f>
        <v>31</v>
      </c>
      <c r="I37" s="34">
        <f>COUNTIFS('OB History S2'!B:B,A37,'OB History S2'!D:D, 1)</f>
        <v>1</v>
      </c>
      <c r="J37" s="2">
        <f>COUNTIFS('OB History S2'!B:B,A37,'OB History S2'!D:D, 0)</f>
        <v>3</v>
      </c>
      <c r="K37" s="88">
        <f>LOOKUP(2, 1/('OB History S2'!$B:$B=A37), 'OB History S2'!$AD:$AD)</f>
        <v>0.25</v>
      </c>
      <c r="L37" s="34">
        <f>SUMIFS('OB History S2'!F:F,'OB History S2'!B:B,A37)</f>
        <v>5</v>
      </c>
      <c r="M37" s="2">
        <f>SUMIFS('OB History S2'!E:E,'OB History S2'!B:B,A37)-L37</f>
        <v>11</v>
      </c>
      <c r="N37" s="88">
        <f>LOOKUP(2, 1/('OB History S2'!$B:$B=A37), 'OB History S2'!$AB:$AB)</f>
        <v>0.25</v>
      </c>
      <c r="O37" s="34">
        <f>SUMIFS('OB History S2'!H:H,'OB History S2'!B:B,A37)</f>
        <v>27</v>
      </c>
      <c r="P37" s="2">
        <f>SUMIFS('OB History S2'!G:G,'OB History S2'!B:B,A37)-O37</f>
        <v>39</v>
      </c>
      <c r="Q37" s="88">
        <f>LOOKUP(2, 1/('OB History S2'!$B:$B=A37), 'OB History S2'!$AC:$AC)</f>
        <v>0.36249999999999999</v>
      </c>
      <c r="R37" s="2">
        <f>COUNTIFS('OB History S2'!$B:$B,$A$37,'OB History S2'!K:K, 1)</f>
        <v>0</v>
      </c>
      <c r="S37" s="2">
        <f>COUNTIFS('OB History S2'!$B:$B,$A$37,'OB History S2'!L:L, 1)</f>
        <v>1</v>
      </c>
      <c r="T37" s="2">
        <f>COUNTIFS('OB History S2'!$B:$B,$A$37,'OB History S2'!M:M, 1)</f>
        <v>1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1</v>
      </c>
      <c r="Y37" s="2">
        <f>COUNTIFS('OB History S2'!$B:$B,$A$37,'OB History S2'!R:R, 1)</f>
        <v>0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1</v>
      </c>
      <c r="AG37" s="2">
        <f>COUNTIFS('OB History S2'!$B:$B,$A$37,'OB History S2'!Z:Z, 1)</f>
        <v>0</v>
      </c>
    </row>
    <row r="38" spans="1:33" x14ac:dyDescent="0.25">
      <c r="A38" s="2" t="s">
        <v>55</v>
      </c>
      <c r="B38" s="2" t="s">
        <v>79</v>
      </c>
      <c r="C38" s="2" t="s">
        <v>79</v>
      </c>
      <c r="D38" s="2"/>
      <c r="E38" s="2"/>
      <c r="F38" s="34">
        <f>SUMIFS('OB History S2'!C:C,'OB History S2'!B:B,A38)</f>
        <v>28</v>
      </c>
      <c r="G38" s="4">
        <f>AVERAGEIFS('OB History S2'!C:C,'OB History S2'!B:B,A38)</f>
        <v>7</v>
      </c>
      <c r="H38" s="35">
        <f t="array" ref="H38">MAX(IF('OB History S2'!B:B=A38, 'OB History S2'!C:C))</f>
        <v>12</v>
      </c>
      <c r="I38" s="34">
        <f>COUNTIFS('OB History S2'!B:B,A38,'OB History S2'!D:D, 1)</f>
        <v>2</v>
      </c>
      <c r="J38" s="2">
        <f>COUNTIFS('OB History S2'!B:B,A38,'OB History S2'!D:D, 0)</f>
        <v>2</v>
      </c>
      <c r="K38" s="88">
        <f>LOOKUP(2, 1/('OB History S2'!$B:$B=A38), 'OB History S2'!$AD:$AD)</f>
        <v>0.5</v>
      </c>
      <c r="L38" s="34">
        <f>SUMIFS('OB History S2'!F:F,'OB History S2'!B:B,A38)</f>
        <v>9</v>
      </c>
      <c r="M38" s="2">
        <f>SUMIFS('OB History S2'!E:E,'OB History S2'!B:B,A38)-L38</f>
        <v>7</v>
      </c>
      <c r="N38" s="88">
        <f>LOOKUP(2, 1/('OB History S2'!$B:$B=A38), 'OB History S2'!$AB:$AB)</f>
        <v>0.6</v>
      </c>
      <c r="O38" s="34">
        <f>SUMIFS('OB History S2'!H:H,'OB History S2'!B:B,A38)</f>
        <v>37</v>
      </c>
      <c r="P38" s="2">
        <f>SUMIFS('OB History S2'!G:G,'OB History S2'!B:B,A38)-O38</f>
        <v>26</v>
      </c>
      <c r="Q38" s="88">
        <f>LOOKUP(2, 1/('OB History S2'!$B:$B=A38), 'OB History S2'!$AC:$AC)</f>
        <v>0.60749999999999993</v>
      </c>
      <c r="R38" s="2">
        <f>COUNTIFS('OB History S2'!$B:$B,$A$38,'OB History S2'!K:K, 1)</f>
        <v>1</v>
      </c>
      <c r="S38" s="2">
        <f>COUNTIFS('OB History S2'!$B:$B,$A$38,'OB History S2'!L:L, 1)</f>
        <v>1</v>
      </c>
      <c r="T38" s="2">
        <f>COUNTIFS('OB History S2'!$B:$B,$A$38,'OB History S2'!M:M, 1)</f>
        <v>0</v>
      </c>
      <c r="U38" s="2">
        <f>COUNTIFS('OB History S2'!$B:$B,$A$38,'OB History S2'!N:N, 1)</f>
        <v>1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0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1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3</v>
      </c>
      <c r="AF38" s="2">
        <f>COUNTIFS('OB History S2'!$B:$B,$A$38,'OB History S2'!Y:Y, 1)</f>
        <v>2</v>
      </c>
      <c r="AG38" s="2">
        <f>COUNTIFS('OB History S2'!$B:$B,$A$38,'OB History S2'!Z:Z, 1)</f>
        <v>0</v>
      </c>
    </row>
  </sheetData>
  <autoFilter ref="A1:AG37" xr:uid="{EEC03B8F-669F-4FC0-BA62-50F3D395660C}">
    <sortState xmlns:xlrd2="http://schemas.microsoft.com/office/spreadsheetml/2017/richdata2" ref="A2:AG38">
      <sortCondition ref="A1:A37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155" activePane="bottomLeft" state="frozen"/>
      <selection pane="bottomLeft" activeCell="T197" sqref="T19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/>
      <c r="AA192" s="86"/>
      <c r="AB192" s="86"/>
      <c r="AC192" s="86"/>
      <c r="AD192" s="86"/>
    </row>
    <row r="193" spans="1:30" x14ac:dyDescent="0.25">
      <c r="A193" s="85"/>
      <c r="AA193" s="86"/>
      <c r="AB193" s="86"/>
      <c r="AC193" s="86"/>
      <c r="AD193" s="86"/>
    </row>
    <row r="194" spans="1:30" x14ac:dyDescent="0.25">
      <c r="A194" s="85"/>
      <c r="AA194" s="86"/>
      <c r="AB194" s="86"/>
      <c r="AC194" s="86"/>
      <c r="AD194" s="86"/>
    </row>
    <row r="195" spans="1:30" x14ac:dyDescent="0.25">
      <c r="A195" s="85"/>
      <c r="AA195" s="86"/>
      <c r="AB195" s="86"/>
      <c r="AC195" s="86"/>
      <c r="AD195" s="86"/>
    </row>
    <row r="196" spans="1:30" x14ac:dyDescent="0.25">
      <c r="A196" s="85"/>
      <c r="AA196" s="86"/>
      <c r="AB196" s="86"/>
      <c r="AC196" s="86"/>
      <c r="AD196" s="86"/>
    </row>
    <row r="197" spans="1:30" x14ac:dyDescent="0.25">
      <c r="A197" s="85"/>
      <c r="AA197" s="86"/>
      <c r="AB197" s="86"/>
      <c r="AC197" s="86"/>
      <c r="AD197" s="86"/>
    </row>
    <row r="198" spans="1:30" x14ac:dyDescent="0.25">
      <c r="A198" s="85"/>
      <c r="AA198" s="86"/>
      <c r="AB198" s="86"/>
      <c r="AC198" s="86"/>
      <c r="AD198" s="86"/>
    </row>
    <row r="199" spans="1:30" x14ac:dyDescent="0.25">
      <c r="A199" s="85"/>
      <c r="AA199" s="86"/>
      <c r="AB199" s="86"/>
      <c r="AC199" s="86"/>
      <c r="AD199" s="86"/>
    </row>
    <row r="200" spans="1:30" x14ac:dyDescent="0.25">
      <c r="A200" s="85"/>
      <c r="AA200" s="86"/>
      <c r="AB200" s="86"/>
      <c r="AC200" s="86"/>
      <c r="AD200" s="86"/>
    </row>
    <row r="201" spans="1:30" x14ac:dyDescent="0.25">
      <c r="A201" s="85"/>
      <c r="AA201" s="86"/>
      <c r="AB201" s="86"/>
      <c r="AC201" s="86"/>
      <c r="AD201" s="86"/>
    </row>
    <row r="202" spans="1:30" x14ac:dyDescent="0.25">
      <c r="A202" s="85"/>
      <c r="AA202" s="86"/>
      <c r="AB202" s="86"/>
      <c r="AC202" s="86"/>
      <c r="AD202" s="86"/>
    </row>
    <row r="203" spans="1:30" x14ac:dyDescent="0.25">
      <c r="A203" s="85"/>
      <c r="AA203" s="86"/>
      <c r="AB203" s="86"/>
      <c r="AC203" s="86"/>
      <c r="AD203" s="86"/>
    </row>
    <row r="204" spans="1:30" x14ac:dyDescent="0.25">
      <c r="A204" s="85"/>
      <c r="AA204" s="86"/>
      <c r="AB204" s="86"/>
      <c r="AC204" s="86"/>
      <c r="AD204" s="86"/>
    </row>
    <row r="205" spans="1:30" x14ac:dyDescent="0.25">
      <c r="A205" s="85"/>
      <c r="AA205" s="86"/>
      <c r="AB205" s="86"/>
      <c r="AC205" s="86"/>
      <c r="AD205" s="86"/>
    </row>
    <row r="206" spans="1:30" x14ac:dyDescent="0.25">
      <c r="A206" s="85"/>
      <c r="AA206" s="86"/>
      <c r="AB206" s="86"/>
      <c r="AC206" s="86"/>
      <c r="AD206" s="86"/>
    </row>
    <row r="207" spans="1:30" x14ac:dyDescent="0.25">
      <c r="A207" s="85"/>
      <c r="AA207" s="86"/>
      <c r="AB207" s="86"/>
      <c r="AC207" s="86"/>
      <c r="AD207" s="86"/>
    </row>
    <row r="208" spans="1:30" x14ac:dyDescent="0.25">
      <c r="A208" s="85"/>
      <c r="AA208" s="86"/>
      <c r="AB208" s="86"/>
      <c r="AC208" s="86"/>
      <c r="AD208" s="86"/>
    </row>
    <row r="209" spans="1:30" x14ac:dyDescent="0.25">
      <c r="A209" s="85"/>
      <c r="AA209" s="86"/>
      <c r="AB209" s="86"/>
      <c r="AC209" s="86"/>
      <c r="AD209" s="86"/>
    </row>
    <row r="210" spans="1:30" x14ac:dyDescent="0.25">
      <c r="A210" s="85"/>
      <c r="AA210" s="86"/>
      <c r="AB210" s="86"/>
      <c r="AC210" s="86"/>
      <c r="AD210" s="86"/>
    </row>
    <row r="211" spans="1:30" x14ac:dyDescent="0.25">
      <c r="A211" s="85"/>
      <c r="AA211" s="86"/>
      <c r="AB211" s="86"/>
      <c r="AC211" s="86"/>
      <c r="AD211" s="86"/>
    </row>
    <row r="212" spans="1:30" x14ac:dyDescent="0.25">
      <c r="A212" s="85"/>
      <c r="AA212" s="86"/>
      <c r="AB212" s="86"/>
      <c r="AC212" s="86"/>
      <c r="AD212" s="86"/>
    </row>
    <row r="213" spans="1:30" x14ac:dyDescent="0.25">
      <c r="A213" s="85"/>
      <c r="AA213" s="86"/>
      <c r="AB213" s="86"/>
      <c r="AC213" s="86"/>
      <c r="AD213" s="86"/>
    </row>
    <row r="214" spans="1:30" x14ac:dyDescent="0.25">
      <c r="A214" s="85"/>
      <c r="AA214" s="86"/>
      <c r="AB214" s="86"/>
      <c r="AC214" s="86"/>
      <c r="AD214" s="86"/>
    </row>
    <row r="215" spans="1:30" x14ac:dyDescent="0.25">
      <c r="A215" s="85"/>
      <c r="AA215" s="86"/>
      <c r="AB215" s="86"/>
      <c r="AC215" s="86"/>
      <c r="AD215" s="86"/>
    </row>
    <row r="216" spans="1:30" x14ac:dyDescent="0.25">
      <c r="A216" s="85"/>
      <c r="AA216" s="86"/>
      <c r="AB216" s="86"/>
      <c r="AC216" s="86"/>
      <c r="AD216" s="86"/>
    </row>
    <row r="217" spans="1:30" x14ac:dyDescent="0.25">
      <c r="A217" s="85"/>
      <c r="AA217" s="86"/>
      <c r="AB217" s="86"/>
      <c r="AC217" s="86"/>
      <c r="AD217" s="86"/>
    </row>
    <row r="218" spans="1:30" x14ac:dyDescent="0.25">
      <c r="A218" s="85"/>
      <c r="AA218" s="86"/>
      <c r="AB218" s="86"/>
      <c r="AC218" s="86"/>
      <c r="AD218" s="86"/>
    </row>
    <row r="219" spans="1:30" x14ac:dyDescent="0.25">
      <c r="A219" s="85"/>
      <c r="AA219" s="86"/>
      <c r="AB219" s="86"/>
      <c r="AC219" s="86"/>
      <c r="AD219" s="86"/>
    </row>
    <row r="220" spans="1:30" x14ac:dyDescent="0.25">
      <c r="A220" s="85"/>
      <c r="AA220" s="86"/>
      <c r="AB220" s="86"/>
      <c r="AC220" s="86"/>
      <c r="AD220" s="86"/>
    </row>
    <row r="221" spans="1:30" x14ac:dyDescent="0.25">
      <c r="A221" s="85"/>
      <c r="AA221" s="86"/>
      <c r="AB221" s="86"/>
      <c r="AC221" s="86"/>
      <c r="AD221" s="86"/>
    </row>
    <row r="222" spans="1:30" x14ac:dyDescent="0.25">
      <c r="A222" s="85"/>
      <c r="AA222" s="86"/>
      <c r="AB222" s="86"/>
      <c r="AC222" s="86"/>
      <c r="AD222" s="86"/>
    </row>
    <row r="223" spans="1:30" x14ac:dyDescent="0.25">
      <c r="A223" s="85"/>
      <c r="AA223" s="86"/>
      <c r="AB223" s="86"/>
      <c r="AC223" s="86"/>
      <c r="AD223" s="86"/>
    </row>
    <row r="224" spans="1:30" x14ac:dyDescent="0.25">
      <c r="A224" s="85"/>
      <c r="AA224" s="86"/>
      <c r="AB224" s="86"/>
      <c r="AC224" s="86"/>
      <c r="AD224" s="86"/>
    </row>
    <row r="225" spans="1:30" x14ac:dyDescent="0.25">
      <c r="A225" s="85"/>
      <c r="AA225" s="86"/>
      <c r="AB225" s="86"/>
      <c r="AC225" s="86"/>
      <c r="AD225" s="86"/>
    </row>
    <row r="226" spans="1:30" x14ac:dyDescent="0.25">
      <c r="A226" s="85"/>
      <c r="AA226" s="86"/>
      <c r="AB226" s="86"/>
      <c r="AC226" s="86"/>
      <c r="AD226" s="86"/>
    </row>
    <row r="227" spans="1:30" x14ac:dyDescent="0.25">
      <c r="A227" s="85"/>
      <c r="AA227" s="86"/>
      <c r="AB227" s="86"/>
      <c r="AC227" s="86"/>
      <c r="AD227" s="86"/>
    </row>
    <row r="228" spans="1:30" x14ac:dyDescent="0.25">
      <c r="A228" s="85"/>
      <c r="AA228" s="86"/>
      <c r="AB228" s="86"/>
      <c r="AC228" s="86"/>
      <c r="AD228" s="86"/>
    </row>
    <row r="229" spans="1:30" x14ac:dyDescent="0.25">
      <c r="A229" s="85"/>
      <c r="AA229" s="86"/>
      <c r="AB229" s="86"/>
      <c r="AC229" s="86"/>
      <c r="AD229" s="86"/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7"/>
  <sheetViews>
    <sheetView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D51" sqref="D5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391</v>
      </c>
      <c r="G7" s="66">
        <f>AVERAGEIFS('BA History'!C:C,'BA History'!B:B,A7)</f>
        <v>10.861111111111111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20</v>
      </c>
      <c r="K7" s="75">
        <f>LOOKUP(2, 1/('BA History'!$B:$B=A7), 'BA History'!$AJ:$AJ)</f>
        <v>0.44444444444444442</v>
      </c>
      <c r="L7" s="34">
        <f>SUMIFS('BA History'!F:F,'BA History'!B:B,A7)</f>
        <v>71</v>
      </c>
      <c r="M7" s="2">
        <f>SUMIFS('BA History'!E:E,'BA History'!B:B,A7)-L7</f>
        <v>77</v>
      </c>
      <c r="N7" s="75">
        <f>LOOKUP(2, 1/('BA History'!$B:$B=A7), 'BA History'!$AH:$AH)</f>
        <v>0.46750000000000003</v>
      </c>
      <c r="O7" s="34">
        <f>SUMIFS('BA History'!H:H,'BA History'!B:B,A7)</f>
        <v>308</v>
      </c>
      <c r="P7" s="2">
        <f>SUMIFS('BA History'!G:G,'BA History'!B:B,A7)-O7</f>
        <v>313</v>
      </c>
      <c r="Q7" s="89">
        <f>LOOKUP(2, 1/('BA History'!$B:$B=A7), 'BA History'!$AI:$AI)</f>
        <v>0.48861111111111111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8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662</v>
      </c>
      <c r="G9" s="66">
        <f>AVERAGEIFS('BA History'!C:C,'BA History'!B:B,A9)</f>
        <v>18.914285714285715</v>
      </c>
      <c r="H9" s="35">
        <f t="array" ref="H9">MAX(IF('BA History'!B:B=A9, 'BA History'!C:C))</f>
        <v>40</v>
      </c>
      <c r="I9" s="34">
        <f>COUNTIFS('BA History'!B:B,A9,'BA History'!D:D, 1)</f>
        <v>15</v>
      </c>
      <c r="J9" s="2">
        <f>COUNTIFS('BA History'!B:B,A9,'BA History'!D:D, 0)</f>
        <v>20</v>
      </c>
      <c r="K9" s="75">
        <f>LOOKUP(2, 1/('BA History'!$B:$B=A9), 'BA History'!$AJ:$AJ)</f>
        <v>0.42857142857142855</v>
      </c>
      <c r="L9" s="34">
        <f>SUMIFS('BA History'!F:F,'BA History'!B:B,A9)</f>
        <v>64</v>
      </c>
      <c r="M9" s="2">
        <f>SUMIFS('BA History'!E:E,'BA History'!B:B,A9)-L9</f>
        <v>81</v>
      </c>
      <c r="N9" s="75">
        <f>LOOKUP(2, 1/('BA History'!$B:$B=A9), 'BA History'!$AH:$AH)</f>
        <v>0.42857142857142855</v>
      </c>
      <c r="O9" s="34">
        <f>SUMIFS('BA History'!H:H,'BA History'!B:B,A9)</f>
        <v>276</v>
      </c>
      <c r="P9" s="2">
        <f>SUMIFS('BA History'!G:G,'BA History'!B:B,A9)-O9</f>
        <v>329</v>
      </c>
      <c r="Q9" s="89">
        <f>LOOKUP(2, 1/('BA History'!$B:$B=A9), 'BA History'!$AI:$AI)</f>
        <v>0.44571428571428573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2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2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8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1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576</v>
      </c>
      <c r="G20" s="66">
        <f>AVERAGEIFS('BA History'!C:C,'BA History'!B:B,A20)</f>
        <v>16.941176470588236</v>
      </c>
      <c r="H20" s="35">
        <f t="array" ref="H20">MAX(IF('BA History'!B:B=A20, 'BA History'!C:C))</f>
        <v>36</v>
      </c>
      <c r="I20" s="34">
        <f>COUNTIFS('BA History'!B:B,A20,'BA History'!D:D, 1)</f>
        <v>20</v>
      </c>
      <c r="J20" s="2">
        <f>COUNTIFS('BA History'!B:B,A20,'BA History'!D:D, 0)</f>
        <v>14</v>
      </c>
      <c r="K20" s="75">
        <f>LOOKUP(2, 1/('BA History'!$B:$B=A20), 'BA History'!$AJ:$AJ)</f>
        <v>0.58823529411764708</v>
      </c>
      <c r="L20" s="34">
        <f>SUMIFS('BA History'!F:F,'BA History'!B:B,A20)</f>
        <v>70</v>
      </c>
      <c r="M20" s="2">
        <f>SUMIFS('BA History'!E:E,'BA History'!B:B,A20)-L20</f>
        <v>68</v>
      </c>
      <c r="N20" s="75">
        <f>LOOKUP(2, 1/('BA History'!$B:$B=A20), 'BA History'!$AH:$AH)</f>
        <v>0.48823529411764699</v>
      </c>
      <c r="O20" s="34">
        <f>SUMIFS('BA History'!H:H,'BA History'!B:B,A20)</f>
        <v>297</v>
      </c>
      <c r="P20" s="2">
        <f>SUMIFS('BA History'!G:G,'BA History'!B:B,A20)-O20</f>
        <v>283</v>
      </c>
      <c r="Q20" s="89">
        <f>LOOKUP(2, 1/('BA History'!$B:$B=A20), 'BA History'!$AI:$AI)</f>
        <v>0.51058823529411768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7</v>
      </c>
      <c r="U20" s="2">
        <f>COUNTIFS('BA History'!$B:$B,$A$20,'BA History'!N:N, 1)</f>
        <v>8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1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3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7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4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757</v>
      </c>
      <c r="G22" s="66">
        <f>AVERAGEIFS('BA History'!C:C,'BA History'!B:B,A22)</f>
        <v>26.103448275862068</v>
      </c>
      <c r="H22" s="35">
        <f t="array" ref="H22">MAX(IF('BA History'!B:B=A22, 'BA History'!C:C))</f>
        <v>50</v>
      </c>
      <c r="I22" s="34">
        <f>COUNTIFS('BA History'!B:B,A22,'BA History'!D:D, 1)</f>
        <v>14</v>
      </c>
      <c r="J22" s="2">
        <f>COUNTIFS('BA History'!B:B,A22,'BA History'!D:D, 0)</f>
        <v>15</v>
      </c>
      <c r="K22" s="75">
        <f>LOOKUP(2, 1/('BA History'!$B:$B=A22), 'BA History'!$AJ:$AJ)</f>
        <v>0.48275862068965519</v>
      </c>
      <c r="L22" s="34">
        <f>SUMIFS('BA History'!F:F,'BA History'!B:B,A22)</f>
        <v>55</v>
      </c>
      <c r="M22" s="2">
        <f>SUMIFS('BA History'!E:E,'BA History'!B:B,A22)-L22</f>
        <v>61</v>
      </c>
      <c r="N22" s="75">
        <f>LOOKUP(2, 1/('BA History'!$B:$B=A22), 'BA History'!$AH:$AH)</f>
        <v>0.46034482758620693</v>
      </c>
      <c r="O22" s="34">
        <f>SUMIFS('BA History'!H:H,'BA History'!B:B,A22)</f>
        <v>230</v>
      </c>
      <c r="P22" s="2">
        <f>SUMIFS('BA History'!G:G,'BA History'!B:B,A22)-O22</f>
        <v>251</v>
      </c>
      <c r="Q22" s="89">
        <f>LOOKUP(2, 1/('BA History'!$B:$B=A22), 'BA History'!$AI:$AI)</f>
        <v>0.47241379310344833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192</v>
      </c>
      <c r="G24" s="66">
        <f>AVERAGEIFS('BA History'!C:C,'BA History'!B:B,A24)</f>
        <v>16</v>
      </c>
      <c r="H24" s="35">
        <f t="array" ref="H24">MAX(IF('BA History'!B:B=A24, 'BA History'!C:C))</f>
        <v>28</v>
      </c>
      <c r="I24" s="34">
        <f>COUNTIFS('BA History'!B:B,A24,'BA History'!D:D, 1)</f>
        <v>6</v>
      </c>
      <c r="J24" s="2">
        <f>COUNTIFS('BA History'!B:B,A24,'BA History'!D:D, 0)</f>
        <v>6</v>
      </c>
      <c r="K24" s="75">
        <f>LOOKUP(2, 1/('BA History'!$B:$B=A24), 'BA History'!$AJ:$AJ)</f>
        <v>0.5</v>
      </c>
      <c r="L24" s="34">
        <f>SUMIFS('BA History'!F:F,'BA History'!B:B,A24)</f>
        <v>28</v>
      </c>
      <c r="M24" s="2">
        <f>SUMIFS('BA History'!E:E,'BA History'!B:B,A24)-L24</f>
        <v>23</v>
      </c>
      <c r="N24" s="75">
        <f>LOOKUP(2, 1/('BA History'!$B:$B=A24), 'BA History'!$AH:$AH)</f>
        <v>0.57916666666666672</v>
      </c>
      <c r="O24" s="34">
        <f>SUMIFS('BA History'!H:H,'BA History'!B:B,A24)</f>
        <v>114</v>
      </c>
      <c r="P24" s="2">
        <f>SUMIFS('BA History'!G:G,'BA History'!B:B,A24)-O24</f>
        <v>96</v>
      </c>
      <c r="Q24" s="89">
        <f>LOOKUP(2, 1/('BA History'!$B:$B=A24), 'BA History'!$AI:$AI)</f>
        <v>0.5675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3</v>
      </c>
      <c r="U24" s="2">
        <f>COUNTIFS('BA History'!$B:$B,$A$24,'BA History'!N:N, 1)</f>
        <v>3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0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2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4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0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331</v>
      </c>
      <c r="G27" s="66">
        <f>AVERAGEIFS('BA History'!C:C,'BA History'!B:B,A27)</f>
        <v>15.045454545454545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12</v>
      </c>
      <c r="K27" s="75">
        <f>LOOKUP(2, 1/('BA History'!$B:$B=A27), 'BA History'!$AJ:$AJ)</f>
        <v>0.45454545454545453</v>
      </c>
      <c r="L27" s="34">
        <f>SUMIFS('BA History'!F:F,'BA History'!B:B,A27)</f>
        <v>44</v>
      </c>
      <c r="M27" s="2">
        <f>SUMIFS('BA History'!E:E,'BA History'!B:B,A27)-L27</f>
        <v>41</v>
      </c>
      <c r="N27" s="75">
        <f>LOOKUP(2, 1/('BA History'!$B:$B=A27), 'BA History'!$AH:$AH)</f>
        <v>0.53863636363636369</v>
      </c>
      <c r="O27" s="34">
        <f>SUMIFS('BA History'!H:H,'BA History'!B:B,A27)</f>
        <v>176</v>
      </c>
      <c r="P27" s="2">
        <f>SUMIFS('BA History'!G:G,'BA History'!B:B,A27)-O27</f>
        <v>170</v>
      </c>
      <c r="Q27" s="89">
        <f>LOOKUP(2, 1/('BA History'!$B:$B=A27), 'BA History'!$AI:$AI)</f>
        <v>0.52181818181818196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8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14</v>
      </c>
      <c r="G32" s="66">
        <f>AVERAGEIFS('BA History'!C:C,'BA History'!B:B,A32)</f>
        <v>7</v>
      </c>
      <c r="H32" s="35">
        <f t="array" ref="H32">MAX(IF('BA History'!B:B=A32, 'BA History'!C:C))</f>
        <v>10</v>
      </c>
      <c r="I32" s="34">
        <f>COUNTIFS('BA History'!B:B,A32,'BA History'!D:D, 1)</f>
        <v>2</v>
      </c>
      <c r="J32" s="2">
        <f>COUNTIFS('BA History'!B:B,A32,'BA History'!D:D, 0)</f>
        <v>0</v>
      </c>
      <c r="K32" s="75">
        <f>LOOKUP(2, 1/('BA History'!$B:$B=A32), 'BA History'!$AJ:$AJ)</f>
        <v>1</v>
      </c>
      <c r="L32" s="34">
        <f>SUMIFS('BA History'!F:F,'BA History'!B:B,A32)</f>
        <v>6</v>
      </c>
      <c r="M32" s="2">
        <f>SUMIFS('BA History'!E:E,'BA History'!B:B,A32)-L32</f>
        <v>2</v>
      </c>
      <c r="N32" s="75">
        <f>LOOKUP(2, 1/('BA History'!$B:$B=A32), 'BA History'!$AH:$AH)</f>
        <v>0.75</v>
      </c>
      <c r="O32" s="34">
        <f>SUMIFS('BA History'!H:H,'BA History'!B:B,A32)</f>
        <v>21</v>
      </c>
      <c r="P32" s="2">
        <f>SUMIFS('BA History'!G:G,'BA History'!B:B,A32)-O32</f>
        <v>15</v>
      </c>
      <c r="Q32" s="89">
        <f>LOOKUP(2, 1/('BA History'!$B:$B=A32), 'BA History'!$AI:$AI)</f>
        <v>0.58499999999999996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0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0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1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0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1227</v>
      </c>
      <c r="G38" s="66">
        <f>AVERAGEIFS('BA History'!C:C,'BA History'!B:B,A38)</f>
        <v>24.058823529411764</v>
      </c>
      <c r="H38" s="35">
        <f t="array" ref="H38">MAX(IF('BA History'!B:B=A38, 'BA History'!C:C))</f>
        <v>42</v>
      </c>
      <c r="I38" s="34">
        <f>COUNTIFS('BA History'!B:B,A38,'BA History'!D:D, 1)</f>
        <v>29</v>
      </c>
      <c r="J38" s="2">
        <f>COUNTIFS('BA History'!B:B,A38,'BA History'!D:D, 0)</f>
        <v>22</v>
      </c>
      <c r="K38" s="75">
        <f>LOOKUP(2, 1/('BA History'!$B:$B=A38), 'BA History'!$AJ:$AJ)</f>
        <v>0.56862745098039214</v>
      </c>
      <c r="L38" s="34">
        <f>SUMIFS('BA History'!F:F,'BA History'!B:B,A38)</f>
        <v>112</v>
      </c>
      <c r="M38" s="2">
        <f>SUMIFS('BA History'!E:E,'BA History'!B:B,A38)-L38</f>
        <v>94</v>
      </c>
      <c r="N38" s="75">
        <f>LOOKUP(2, 1/('BA History'!$B:$B=A38), 'BA History'!$AH:$AH)</f>
        <v>0.54941176470588238</v>
      </c>
      <c r="O38" s="34">
        <f>SUMIFS('BA History'!H:H,'BA History'!B:B,A38)</f>
        <v>444</v>
      </c>
      <c r="P38" s="2">
        <f>SUMIFS('BA History'!G:G,'BA History'!B:B,A38)-O38</f>
        <v>414</v>
      </c>
      <c r="Q38" s="89">
        <f>LOOKUP(2, 1/('BA History'!$B:$B=A38), 'BA History'!$AI:$AI)</f>
        <v>0.52196078431372539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7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0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10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5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404</v>
      </c>
      <c r="G39" s="66">
        <f>AVERAGEIFS('BA History'!C:C,'BA History'!B:B,A39)</f>
        <v>20.2</v>
      </c>
      <c r="H39" s="35">
        <f t="array" ref="H39">MAX(IF('BA History'!B:B=A39, 'BA History'!C:C))</f>
        <v>36</v>
      </c>
      <c r="I39" s="34">
        <f>COUNTIFS('BA History'!B:B,A39,'BA History'!D:D, 1)</f>
        <v>16</v>
      </c>
      <c r="J39" s="2">
        <f>COUNTIFS('BA History'!B:B,A39,'BA History'!D:D, 0)</f>
        <v>4</v>
      </c>
      <c r="K39" s="75">
        <f>LOOKUP(2, 1/('BA History'!$B:$B=A39), 'BA History'!$AJ:$AJ)</f>
        <v>0.8</v>
      </c>
      <c r="L39" s="34">
        <f>SUMIFS('BA History'!F:F,'BA History'!B:B,A39)</f>
        <v>50</v>
      </c>
      <c r="M39" s="2">
        <f>SUMIFS('BA History'!E:E,'BA History'!B:B,A39)-L39</f>
        <v>28</v>
      </c>
      <c r="N39" s="75">
        <f>LOOKUP(2, 1/('BA History'!$B:$B=A39), 'BA History'!$AH:$AH)</f>
        <v>0.65349999999999997</v>
      </c>
      <c r="O39" s="34">
        <f>SUMIFS('BA History'!H:H,'BA History'!B:B,A39)</f>
        <v>187</v>
      </c>
      <c r="P39" s="2">
        <f>SUMIFS('BA History'!G:G,'BA History'!B:B,A39)-O39</f>
        <v>147</v>
      </c>
      <c r="Q39" s="89">
        <f>LOOKUP(2, 1/('BA History'!$B:$B=A39), 'BA History'!$AI:$AI)</f>
        <v>0.57550000000000001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8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3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6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1010</v>
      </c>
      <c r="G43" s="66">
        <f>AVERAGEIFS('BA History'!C:C,'BA History'!B:B,A43)</f>
        <v>18.363636363636363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31</v>
      </c>
      <c r="K43" s="75">
        <f>LOOKUP(2, 1/('BA History'!$B:$B=A43), 'BA History'!$AJ:$AJ)</f>
        <v>0.43636363636363634</v>
      </c>
      <c r="L43" s="34">
        <f>SUMIFS('BA History'!F:F,'BA History'!B:B,A43)</f>
        <v>110</v>
      </c>
      <c r="M43" s="2">
        <f>SUMIFS('BA History'!E:E,'BA History'!B:B,A43)-L43</f>
        <v>116</v>
      </c>
      <c r="N43" s="75">
        <f>LOOKUP(2, 1/('BA History'!$B:$B=A43), 'BA History'!$AH:$AH)</f>
        <v>0.49363636363636348</v>
      </c>
      <c r="O43" s="34">
        <f>SUMIFS('BA History'!H:H,'BA History'!B:B,A43)</f>
        <v>457</v>
      </c>
      <c r="P43" s="2">
        <f>SUMIFS('BA History'!G:G,'BA History'!B:B,A43)-O43</f>
        <v>476</v>
      </c>
      <c r="Q43" s="89">
        <f>LOOKUP(2, 1/('BA History'!$B:$B=A43), 'BA History'!$AI:$AI)</f>
        <v>0.48690909090909101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148</v>
      </c>
      <c r="B44" s="2" t="s">
        <v>79</v>
      </c>
      <c r="C44" s="2"/>
      <c r="D44" s="2"/>
      <c r="E44" s="2"/>
      <c r="F44" s="34">
        <f>SUMIFS('BA History'!C:C,'BA History'!B:B,A44)</f>
        <v>234</v>
      </c>
      <c r="G44" s="66">
        <f>AVERAGEIFS('BA History'!C:C,'BA History'!B:B,A44)</f>
        <v>11.7</v>
      </c>
      <c r="H44" s="35">
        <f t="array" ref="H44">MAX(IF('BA History'!B:B=A44, 'BA History'!C:C))</f>
        <v>33</v>
      </c>
      <c r="I44" s="34">
        <f>COUNTIFS('BA History'!B:B,A44,'BA History'!D:D, 1)</f>
        <v>11</v>
      </c>
      <c r="J44" s="2">
        <f>COUNTIFS('BA History'!B:B,A44,'BA History'!D:D, 0)</f>
        <v>9</v>
      </c>
      <c r="K44" s="75">
        <f>LOOKUP(2, 1/('BA History'!$B:$B=A44), 'BA History'!$AJ:$AJ)</f>
        <v>0.55000000000000004</v>
      </c>
      <c r="L44" s="34">
        <f>SUMIFS('BA History'!F:F,'BA History'!B:B,A44)</f>
        <v>43</v>
      </c>
      <c r="M44" s="2">
        <f>SUMIFS('BA History'!E:E,'BA History'!B:B,A44)-L44</f>
        <v>35</v>
      </c>
      <c r="N44" s="75">
        <f>LOOKUP(2, 1/('BA History'!$B:$B=A44), 'BA History'!$AH:$AH)</f>
        <v>0.57999999999999996</v>
      </c>
      <c r="O44" s="34">
        <f>SUMIFS('BA History'!H:H,'BA History'!B:B,A44)</f>
        <v>167</v>
      </c>
      <c r="P44" s="2">
        <f>SUMIFS('BA History'!G:G,'BA History'!B:B,A44)-O44</f>
        <v>152</v>
      </c>
      <c r="Q44" s="89">
        <f>LOOKUP(2, 1/('BA History'!$B:$B=A44), 'BA History'!$AI:$AI)</f>
        <v>0.54599999999999993</v>
      </c>
      <c r="R44" s="2">
        <f>COUNTIFS('BA History'!$B:$B,$A$44,'BA History'!K:K, 1)</f>
        <v>3</v>
      </c>
      <c r="S44" s="2">
        <f>COUNTIFS('BA History'!$B:$B,$A$44,'BA History'!L:L, 1)</f>
        <v>3</v>
      </c>
      <c r="T44" s="2">
        <f>COUNTIFS('BA History'!$B:$B,$A$44,'BA History'!M:M, 1)</f>
        <v>3</v>
      </c>
      <c r="U44" s="2">
        <f>COUNTIFS('BA History'!$B:$B,$A$44,'BA History'!N:N, 1)</f>
        <v>5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1</v>
      </c>
      <c r="Y44" s="2">
        <f>COUNTIFS('BA History'!$B:$B,$A$44,'BA History'!R:R, 1)</f>
        <v>1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2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5</v>
      </c>
      <c r="AG44" s="2">
        <f>COUNTIFS('BA History'!$B:$B,$A$44,'BA History'!Z:Z, 1)</f>
        <v>7</v>
      </c>
      <c r="AH44" s="2">
        <f>COUNTIFS('BA History'!$B:$B,$A$44,'BA History'!AA:AA, 1)</f>
        <v>0</v>
      </c>
      <c r="AI44" s="2">
        <f>COUNTIFS('BA History'!$B:$B,$A$44,'BA History'!AB:AB, 1)</f>
        <v>7</v>
      </c>
      <c r="AJ44" s="2">
        <f>COUNTIFS('BA History'!$B:$B,$A$44,'BA History'!AC:AC, 1)</f>
        <v>0</v>
      </c>
      <c r="AK44" s="2">
        <f>COUNTIFS('BA History'!$B:$B,$A$44,'BA History'!AD:AD, 1)</f>
        <v>2</v>
      </c>
      <c r="AL44" s="2">
        <f>COUNTIFS('BA History'!$B:$B,$A$44,'BA History'!AE:AE, 1)</f>
        <v>0</v>
      </c>
      <c r="AM44" s="2">
        <f>COUNTIFS('BA History'!$B:$B,$A$44,'BA History'!AF:AF, 1)</f>
        <v>4</v>
      </c>
    </row>
    <row r="45" spans="1:39" x14ac:dyDescent="0.25">
      <c r="A45" s="2" t="s">
        <v>17</v>
      </c>
      <c r="B45" s="2" t="s">
        <v>79</v>
      </c>
      <c r="C45" s="2"/>
      <c r="D45" s="2"/>
      <c r="E45" s="2"/>
      <c r="F45" s="34">
        <f>SUMIFS('BA History'!C:C,'BA History'!B:B,A45)</f>
        <v>630</v>
      </c>
      <c r="G45" s="66">
        <f>AVERAGEIFS('BA History'!C:C,'BA History'!B:B,A45)</f>
        <v>20.322580645161292</v>
      </c>
      <c r="H45" s="35">
        <f t="array" ref="H45">MAX(IF('BA History'!B:B=A45, 'BA History'!C:C))</f>
        <v>32</v>
      </c>
      <c r="I45" s="34">
        <f>COUNTIFS('BA History'!B:B,A45,'BA History'!D:D, 1)</f>
        <v>17</v>
      </c>
      <c r="J45" s="2">
        <f>COUNTIFS('BA History'!B:B,A45,'BA History'!D:D, 0)</f>
        <v>14</v>
      </c>
      <c r="K45" s="75">
        <f>LOOKUP(2, 1/('BA History'!$B:$B=A45), 'BA History'!$AJ:$AJ)</f>
        <v>0.54838709677419351</v>
      </c>
      <c r="L45" s="34">
        <f>SUMIFS('BA History'!F:F,'BA History'!B:B,A45)</f>
        <v>66</v>
      </c>
      <c r="M45" s="2">
        <f>SUMIFS('BA History'!E:E,'BA History'!B:B,A45)-L45</f>
        <v>58</v>
      </c>
      <c r="N45" s="75">
        <f>LOOKUP(2, 1/('BA History'!$B:$B=A45), 'BA History'!$AH:$AH)</f>
        <v>0.53935483870967738</v>
      </c>
      <c r="O45" s="34">
        <f>SUMIFS('BA History'!H:H,'BA History'!B:B,A45)</f>
        <v>261</v>
      </c>
      <c r="P45" s="2">
        <f>SUMIFS('BA History'!G:G,'BA History'!B:B,A45)-O45</f>
        <v>253</v>
      </c>
      <c r="Q45" s="89">
        <f>LOOKUP(2, 1/('BA History'!$B:$B=A45), 'BA History'!$AI:$AI)</f>
        <v>0.5074193548387097</v>
      </c>
      <c r="R45" s="2">
        <f>COUNTIFS('BA History'!$B:$B,$A$45,'BA History'!K:K, 1)</f>
        <v>5</v>
      </c>
      <c r="S45" s="2">
        <f>COUNTIFS('BA History'!$B:$B,$A$45,'BA History'!L:L, 1)</f>
        <v>2</v>
      </c>
      <c r="T45" s="2">
        <f>COUNTIFS('BA History'!$B:$B,$A$45,'BA History'!M:M, 1)</f>
        <v>5</v>
      </c>
      <c r="U45" s="2">
        <f>COUNTIFS('BA History'!$B:$B,$A$45,'BA History'!N:N, 1)</f>
        <v>9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3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2</v>
      </c>
      <c r="AC45" s="2">
        <f>COUNTIFS('BA History'!$B:$B,$A$45,'BA History'!V:V, 1)</f>
        <v>3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2</v>
      </c>
      <c r="AG45" s="2">
        <f>COUNTIFS('BA History'!$B:$B,$A$45,'BA History'!Z:Z, 1)</f>
        <v>8</v>
      </c>
      <c r="AH45" s="2">
        <f>COUNTIFS('BA History'!$B:$B,$A$45,'BA History'!AA:AA, 1)</f>
        <v>1</v>
      </c>
      <c r="AI45" s="2">
        <f>COUNTIFS('BA History'!$B:$B,$A$45,'BA History'!AB:AB, 1)</f>
        <v>8</v>
      </c>
      <c r="AJ45" s="2">
        <f>COUNTIFS('BA History'!$B:$B,$A$45,'BA History'!AC:AC, 1)</f>
        <v>6</v>
      </c>
      <c r="AK45" s="2">
        <f>COUNTIFS('BA History'!$B:$B,$A$45,'BA History'!AD:AD, 1)</f>
        <v>8</v>
      </c>
      <c r="AL45" s="2">
        <f>COUNTIFS('BA History'!$B:$B,$A$45,'BA History'!AE:AE, 1)</f>
        <v>1</v>
      </c>
      <c r="AM45" s="2">
        <f>COUNTIFS('BA History'!$B:$B,$A$45,'BA History'!AF:AF, 1)</f>
        <v>2</v>
      </c>
    </row>
    <row r="46" spans="1:39" ht="14.25" customHeight="1" x14ac:dyDescent="0.25">
      <c r="A46" s="1" t="s">
        <v>105</v>
      </c>
      <c r="B46" s="2" t="s">
        <v>79</v>
      </c>
      <c r="C46" s="2"/>
      <c r="D46" s="2"/>
      <c r="E46" s="2"/>
      <c r="F46" s="34">
        <f>SUMIFS('BA History'!C:C,'BA History'!B:B,A46)</f>
        <v>12</v>
      </c>
      <c r="G46" s="66">
        <f>AVERAGEIFS('BA History'!C:C,'BA History'!B:B,A46)</f>
        <v>12</v>
      </c>
      <c r="H46" s="35">
        <f t="array" ref="H46">MAX(IF('BA History'!B:B=A46, 'BA History'!C:C))</f>
        <v>12</v>
      </c>
      <c r="I46" s="34">
        <f>COUNTIFS('BA History'!B:B,A46,'BA History'!D:D, 1)</f>
        <v>1</v>
      </c>
      <c r="J46" s="2">
        <f>COUNTIFS('BA History'!B:B,A46,'BA History'!D:D, 0)</f>
        <v>0</v>
      </c>
      <c r="K46" s="75">
        <f>LOOKUP(2, 1/('BA History'!$B:$B=A46), 'BA History'!$AJ:$AJ)</f>
        <v>1</v>
      </c>
      <c r="L46" s="34">
        <f>SUMIFS('BA History'!F:F,'BA History'!B:B,A46)</f>
        <v>3</v>
      </c>
      <c r="M46" s="2">
        <f>SUMIFS('BA History'!E:E,'BA History'!B:B,A46)-L46</f>
        <v>2</v>
      </c>
      <c r="N46" s="75">
        <f>LOOKUP(2, 1/('BA History'!$B:$B=A46), 'BA History'!$AH:$AH)</f>
        <v>0.6</v>
      </c>
      <c r="O46" s="34">
        <f>SUMIFS('BA History'!H:H,'BA History'!B:B,A46)</f>
        <v>9</v>
      </c>
      <c r="P46" s="2">
        <f>SUMIFS('BA History'!G:G,'BA History'!B:B,A46)-O46</f>
        <v>10</v>
      </c>
      <c r="Q46" s="89">
        <f>LOOKUP(2, 1/('BA History'!$B:$B=A46), 'BA History'!$AI:$AI)</f>
        <v>0.47</v>
      </c>
      <c r="R46" s="2">
        <f>COUNTIFS('BA History'!$B:$B,$A$46,'BA History'!K:K, 1)</f>
        <v>0</v>
      </c>
      <c r="S46" s="2">
        <f>COUNTIFS('BA History'!$B:$B,$A$46,'BA History'!L:L, 1)</f>
        <v>0</v>
      </c>
      <c r="T46" s="2">
        <f>COUNTIFS('BA History'!$B:$B,$A$46,'BA History'!M:M, 1)</f>
        <v>0</v>
      </c>
      <c r="U46" s="2">
        <f>COUNTIFS('BA History'!$B:$B,$A$46,'BA History'!N:N, 1)</f>
        <v>0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0</v>
      </c>
      <c r="Y46" s="2">
        <f>COUNTIFS('BA History'!$B:$B,$A$46,'BA History'!R:R, 1)</f>
        <v>0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1</v>
      </c>
      <c r="AC46" s="2">
        <f>COUNTIFS('BA History'!$B:$B,$A$46,'BA History'!V:V, 1)</f>
        <v>0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0</v>
      </c>
      <c r="AG46" s="2">
        <f>COUNTIFS('BA History'!$B:$B,$A$46,'BA History'!Z:Z, 1)</f>
        <v>0</v>
      </c>
      <c r="AH46" s="2">
        <f>COUNTIFS('BA History'!$B:$B,$A$46,'BA History'!AA:AA, 1)</f>
        <v>0</v>
      </c>
      <c r="AI46" s="2">
        <f>COUNTIFS('BA History'!$B:$B,$A$46,'BA History'!AB:AB, 1)</f>
        <v>1</v>
      </c>
      <c r="AJ46" s="2">
        <f>COUNTIFS('BA History'!$B:$B,$A$46,'BA History'!AC:AC, 1)</f>
        <v>1</v>
      </c>
      <c r="AK46" s="2">
        <f>COUNTIFS('BA History'!$B:$B,$A$46,'BA History'!AD:AD, 1)</f>
        <v>0</v>
      </c>
      <c r="AL46" s="2">
        <f>COUNTIFS('BA History'!$B:$B,$A$46,'BA History'!AE:AE, 1)</f>
        <v>0</v>
      </c>
      <c r="AM46" s="2">
        <f>COUNTIFS('BA History'!$B:$B,$A$46,'BA History'!AF:AF, 1)</f>
        <v>0</v>
      </c>
    </row>
    <row r="47" spans="1:39" ht="14.25" customHeight="1" x14ac:dyDescent="0.25">
      <c r="A47" s="1" t="s">
        <v>144</v>
      </c>
      <c r="B47" s="2" t="s">
        <v>79</v>
      </c>
      <c r="C47" s="2"/>
      <c r="D47" s="2"/>
      <c r="E47" s="2"/>
      <c r="F47" s="34">
        <f>SUMIFS('BA History'!C:C,'BA History'!B:B,A47)</f>
        <v>4</v>
      </c>
      <c r="G47" s="66">
        <f>AVERAGEIFS('BA History'!C:C,'BA History'!B:B,A47)</f>
        <v>4</v>
      </c>
      <c r="H47" s="35">
        <f t="array" ref="H47">MAX(IF('BA History'!B:B=A47, 'BA History'!C:C))</f>
        <v>4</v>
      </c>
      <c r="I47" s="34">
        <f>COUNTIFS('BA History'!B:B,A47,'BA History'!D:D, 1)</f>
        <v>0</v>
      </c>
      <c r="J47" s="2">
        <f>COUNTIFS('BA History'!B:B,A47,'BA History'!D:D, 0)</f>
        <v>1</v>
      </c>
      <c r="K47" s="75">
        <f>LOOKUP(2, 1/('BA History'!$B:$B=A47), 'BA History'!$AJ:$AJ)</f>
        <v>0</v>
      </c>
      <c r="L47" s="34">
        <f>SUMIFS('BA History'!F:F,'BA History'!B:B,A47)</f>
        <v>1</v>
      </c>
      <c r="M47" s="2">
        <f>SUMIFS('BA History'!E:E,'BA History'!B:B,A47)-L47</f>
        <v>3</v>
      </c>
      <c r="N47" s="75">
        <f>LOOKUP(2, 1/('BA History'!$B:$B=A47), 'BA History'!$AH:$AH)</f>
        <v>0.25</v>
      </c>
      <c r="O47" s="34">
        <f>SUMIFS('BA History'!H:H,'BA History'!B:B,A47)</f>
        <v>7</v>
      </c>
      <c r="P47" s="2">
        <f>SUMIFS('BA History'!G:G,'BA History'!B:B,A47)-O47</f>
        <v>9</v>
      </c>
      <c r="Q47" s="89">
        <f>LOOKUP(2, 1/('BA History'!$B:$B=A47), 'BA History'!$AI:$AI)</f>
        <v>0.44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0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1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0</v>
      </c>
      <c r="AJ47" s="2">
        <f>COUNTIFS('BA History'!$B:$B,$A$47,'BA History'!AC:AC, 1)</f>
        <v>0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x14ac:dyDescent="0.25">
      <c r="A48" s="1" t="s">
        <v>118</v>
      </c>
      <c r="B48" s="2" t="s">
        <v>79</v>
      </c>
      <c r="C48" s="2"/>
      <c r="D48" s="2"/>
      <c r="E48" s="2"/>
      <c r="F48" s="34">
        <f>SUMIFS('BA History'!C:C,'BA History'!B:B,A48)</f>
        <v>30</v>
      </c>
      <c r="G48" s="66">
        <f>AVERAGEIFS('BA History'!C:C,'BA History'!B:B,A48)</f>
        <v>15</v>
      </c>
      <c r="H48" s="35">
        <f t="array" ref="H48">MAX(IF('BA History'!B:B=A48, 'BA History'!C:C))</f>
        <v>20</v>
      </c>
      <c r="I48" s="34">
        <f>COUNTIFS('BA History'!B:B,A48,'BA History'!D:D, 1)</f>
        <v>1</v>
      </c>
      <c r="J48" s="2">
        <f>COUNTIFS('BA History'!B:B,A48,'BA History'!D:D, 0)</f>
        <v>1</v>
      </c>
      <c r="K48" s="75">
        <f>LOOKUP(2, 1/('BA History'!$B:$B=A48), 'BA History'!$AJ:$AJ)</f>
        <v>0.5</v>
      </c>
      <c r="L48" s="34">
        <f>SUMIFS('BA History'!F:F,'BA History'!B:B,A48)</f>
        <v>4</v>
      </c>
      <c r="M48" s="2">
        <f>SUMIFS('BA History'!E:E,'BA History'!B:B,A48)-L48</f>
        <v>4</v>
      </c>
      <c r="N48" s="75">
        <f>LOOKUP(2, 1/('BA History'!$B:$B=A48), 'BA History'!$AH:$AH)</f>
        <v>0.5</v>
      </c>
      <c r="O48" s="34">
        <f>SUMIFS('BA History'!H:H,'BA History'!B:B,A48)</f>
        <v>15</v>
      </c>
      <c r="P48" s="2">
        <f>SUMIFS('BA History'!G:G,'BA History'!B:B,A48)-O48</f>
        <v>15</v>
      </c>
      <c r="Q48" s="89">
        <f>LOOKUP(2, 1/('BA History'!$B:$B=A48), 'BA History'!$AI:$AI)</f>
        <v>0.51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1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0</v>
      </c>
      <c r="AG48" s="2">
        <f>COUNTIFS('BA History'!$B:$B,$A$48,'BA History'!Z:Z, 1)</f>
        <v>1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1</v>
      </c>
      <c r="AK48" s="2">
        <f>COUNTIFS('BA History'!$B:$B,$A$48,'BA History'!AD:AD, 1)</f>
        <v>1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2" t="s">
        <v>6</v>
      </c>
      <c r="B49" s="1" t="s">
        <v>161</v>
      </c>
      <c r="C49" s="1"/>
      <c r="D49" s="1"/>
      <c r="E49" s="1">
        <v>1</v>
      </c>
      <c r="F49" s="34">
        <f>SUMIFS('BA History'!C:C,'BA History'!B:B,A49)</f>
        <v>1216</v>
      </c>
      <c r="G49" s="66">
        <f>AVERAGEIFS('BA History'!C:C,'BA History'!B:B,A49)</f>
        <v>22.109090909090909</v>
      </c>
      <c r="H49" s="35">
        <f t="array" ref="H49">MAX(IF('BA History'!B:B=A49, 'BA History'!C:C))</f>
        <v>37</v>
      </c>
      <c r="I49" s="34">
        <f>COUNTIFS('BA History'!B:B,A49,'BA History'!D:D, 1)</f>
        <v>32</v>
      </c>
      <c r="J49" s="2">
        <f>COUNTIFS('BA History'!B:B,A49,'BA History'!D:D, 0)</f>
        <v>23</v>
      </c>
      <c r="K49" s="75">
        <f>LOOKUP(2, 1/('BA History'!$B:$B=A49), 'BA History'!$AJ:$AJ)</f>
        <v>0.58181818181818179</v>
      </c>
      <c r="L49" s="34">
        <f>SUMIFS('BA History'!F:F,'BA History'!B:B,A49)</f>
        <v>117</v>
      </c>
      <c r="M49" s="2">
        <f>SUMIFS('BA History'!E:E,'BA History'!B:B,A49)-L49</f>
        <v>105</v>
      </c>
      <c r="N49" s="75">
        <f>LOOKUP(2, 1/('BA History'!$B:$B=A49), 'BA History'!$AH:$AH)</f>
        <v>0.51963636363636367</v>
      </c>
      <c r="O49" s="34">
        <f>SUMIFS('BA History'!H:H,'BA History'!B:B,A49)</f>
        <v>481</v>
      </c>
      <c r="P49" s="2">
        <f>SUMIFS('BA History'!G:G,'BA History'!B:B,A49)-O49</f>
        <v>445</v>
      </c>
      <c r="Q49" s="89">
        <f>LOOKUP(2, 1/('BA History'!$B:$B=A49), 'BA History'!$AI:$AI)</f>
        <v>0.51418181818181818</v>
      </c>
      <c r="R49" s="2">
        <f>COUNTIFS('BA History'!$B:$B,$A$49,'BA History'!K:K, 1)</f>
        <v>5</v>
      </c>
      <c r="S49" s="2">
        <f>COUNTIFS('BA History'!$B:$B,$A$49,'BA History'!L:L, 1)</f>
        <v>6</v>
      </c>
      <c r="T49" s="2">
        <f>COUNTIFS('BA History'!$B:$B,$A$49,'BA History'!M:M, 1)</f>
        <v>10</v>
      </c>
      <c r="U49" s="2">
        <f>COUNTIFS('BA History'!$B:$B,$A$49,'BA History'!N:N, 1)</f>
        <v>10</v>
      </c>
      <c r="V49" s="2">
        <f>COUNTIFS('BA History'!$B:$B,$A$49,'BA History'!O:O, 1)</f>
        <v>2</v>
      </c>
      <c r="W49" s="2">
        <f>COUNTIFS('BA History'!$B:$B,$A$49,'BA History'!P:P, 1)</f>
        <v>0</v>
      </c>
      <c r="X49" s="2">
        <f>COUNTIFS('BA History'!$B:$B,$A$49,'BA History'!Q:Q, 1)</f>
        <v>5</v>
      </c>
      <c r="Y49" s="2">
        <f>COUNTIFS('BA History'!$B:$B,$A$49,'BA History'!R:R, 1)</f>
        <v>3</v>
      </c>
      <c r="Z49" s="2">
        <f>COUNTIFS('BA History'!$B:$B,$A$49,'BA History'!S:S, 1)</f>
        <v>1</v>
      </c>
      <c r="AA49" s="2">
        <f>COUNTIFS('BA History'!$B:$B,$A$49,'BA History'!T:T, 1)</f>
        <v>0</v>
      </c>
      <c r="AB49" s="2">
        <f>COUNTIFS('BA History'!$B:$B,$A$49,'BA History'!U:U, 1)</f>
        <v>2</v>
      </c>
      <c r="AC49" s="2">
        <f>COUNTIFS('BA History'!$B:$B,$A$49,'BA History'!V:V, 1)</f>
        <v>9</v>
      </c>
      <c r="AD49" s="2">
        <f>COUNTIFS('BA History'!$B:$B,$A$49,'BA History'!W:W, 1)</f>
        <v>4</v>
      </c>
      <c r="AE49" s="2">
        <f>COUNTIFS('BA History'!$B:$B,$A$49,'BA History'!X:X, 1)</f>
        <v>2</v>
      </c>
      <c r="AF49" s="2">
        <f>COUNTIFS('BA History'!$B:$B,$A$49,'BA History'!Y:Y, 1)</f>
        <v>5</v>
      </c>
      <c r="AG49" s="2">
        <f>COUNTIFS('BA History'!$B:$B,$A$49,'BA History'!Z:Z, 1)</f>
        <v>16</v>
      </c>
      <c r="AH49" s="2">
        <f>COUNTIFS('BA History'!$B:$B,$A$49,'BA History'!AA:AA, 1)</f>
        <v>1</v>
      </c>
      <c r="AI49" s="2">
        <f>COUNTIFS('BA History'!$B:$B,$A$49,'BA History'!AB:AB, 1)</f>
        <v>13</v>
      </c>
      <c r="AJ49" s="2">
        <f>COUNTIFS('BA History'!$B:$B,$A$49,'BA History'!AC:AC, 1)</f>
        <v>6</v>
      </c>
      <c r="AK49" s="2">
        <f>COUNTIFS('BA History'!$B:$B,$A$49,'BA History'!AD:AD, 1)</f>
        <v>9</v>
      </c>
      <c r="AL49" s="2">
        <f>COUNTIFS('BA History'!$B:$B,$A$49,'BA History'!AE:AE, 1)</f>
        <v>1</v>
      </c>
      <c r="AM49" s="2">
        <f>COUNTIFS('BA History'!$B:$B,$A$49,'BA History'!AF:AF, 1)</f>
        <v>7</v>
      </c>
    </row>
    <row r="50" spans="1:39" x14ac:dyDescent="0.25">
      <c r="A50" s="2" t="s">
        <v>18</v>
      </c>
      <c r="B50" s="2" t="s">
        <v>79</v>
      </c>
      <c r="C50" s="2"/>
      <c r="D50" s="2"/>
      <c r="E50" s="2"/>
      <c r="F50" s="34">
        <f>SUMIFS('BA History'!C:C,'BA History'!B:B,A50)</f>
        <v>129</v>
      </c>
      <c r="G50" s="66">
        <f>AVERAGEIFS('BA History'!C:C,'BA History'!B:B,A50)</f>
        <v>18.428571428571427</v>
      </c>
      <c r="H50" s="35">
        <f t="array" ref="H50">MAX(IF('BA History'!B:B=A50, 'BA History'!C:C))</f>
        <v>26</v>
      </c>
      <c r="I50" s="34">
        <f>COUNTIFS('BA History'!B:B,A50,'BA History'!D:D, 1)</f>
        <v>6</v>
      </c>
      <c r="J50" s="2">
        <f>COUNTIFS('BA History'!B:B,A50,'BA History'!D:D, 0)</f>
        <v>1</v>
      </c>
      <c r="K50" s="75">
        <f>LOOKUP(2, 1/('BA History'!$B:$B=A50), 'BA History'!$AJ:$AJ)</f>
        <v>0.8571428571428571</v>
      </c>
      <c r="L50" s="34">
        <f>SUMIFS('BA History'!F:F,'BA History'!B:B,A50)</f>
        <v>19</v>
      </c>
      <c r="M50" s="2">
        <f>SUMIFS('BA History'!E:E,'BA History'!B:B,A50)-L50</f>
        <v>7</v>
      </c>
      <c r="N50" s="75">
        <f>LOOKUP(2, 1/('BA History'!$B:$B=A50), 'BA History'!$AH:$AH)</f>
        <v>0.76428571428571423</v>
      </c>
      <c r="O50" s="34">
        <f>SUMIFS('BA History'!H:H,'BA History'!B:B,A50)</f>
        <v>66</v>
      </c>
      <c r="P50" s="2">
        <f>SUMIFS('BA History'!G:G,'BA History'!B:B,A50)-O50</f>
        <v>44</v>
      </c>
      <c r="Q50" s="89">
        <f>LOOKUP(2, 1/('BA History'!$B:$B=A50), 'BA History'!$AI:$AI)</f>
        <v>0.62</v>
      </c>
      <c r="R50" s="2">
        <f>COUNTIFS('BA History'!$B:$B,$A$50,'BA History'!K:K, 1)</f>
        <v>0</v>
      </c>
      <c r="S50" s="2">
        <f>COUNTIFS('BA History'!$B:$B,$A$50,'BA History'!L:L, 1)</f>
        <v>3</v>
      </c>
      <c r="T50" s="2">
        <f>COUNTIFS('BA History'!$B:$B,$A$50,'BA History'!M:M, 1)</f>
        <v>1</v>
      </c>
      <c r="U50" s="2">
        <f>COUNTIFS('BA History'!$B:$B,$A$50,'BA History'!N:N, 1)</f>
        <v>3</v>
      </c>
      <c r="V50" s="2">
        <f>COUNTIFS('BA History'!$B:$B,$A$50,'BA History'!O:O, 1)</f>
        <v>0</v>
      </c>
      <c r="W50" s="2">
        <f>COUNTIFS('BA History'!$B:$B,$A$50,'BA History'!P:P, 1)</f>
        <v>0</v>
      </c>
      <c r="X50" s="2">
        <f>COUNTIFS('BA History'!$B:$B,$A$50,'BA History'!Q:Q, 1)</f>
        <v>1</v>
      </c>
      <c r="Y50" s="2">
        <f>COUNTIFS('BA History'!$B:$B,$A$50,'BA History'!R:R, 1)</f>
        <v>1</v>
      </c>
      <c r="Z50" s="2">
        <f>COUNTIFS('BA History'!$B:$B,$A$50,'BA History'!S:S, 1)</f>
        <v>0</v>
      </c>
      <c r="AA50" s="2">
        <f>COUNTIFS('BA History'!$B:$B,$A$50,'BA History'!T:T, 1)</f>
        <v>0</v>
      </c>
      <c r="AB50" s="2">
        <f>COUNTIFS('BA History'!$B:$B,$A$50,'BA History'!U:U, 1)</f>
        <v>0</v>
      </c>
      <c r="AC50" s="2">
        <f>COUNTIFS('BA History'!$B:$B,$A$50,'BA History'!V:V, 1)</f>
        <v>1</v>
      </c>
      <c r="AD50" s="2">
        <f>COUNTIFS('BA History'!$B:$B,$A$50,'BA History'!W:W, 1)</f>
        <v>1</v>
      </c>
      <c r="AE50" s="2">
        <f>COUNTIFS('BA History'!$B:$B,$A$50,'BA History'!X:X, 1)</f>
        <v>1</v>
      </c>
      <c r="AF50" s="2">
        <f>COUNTIFS('BA History'!$B:$B,$A$50,'BA History'!Y:Y, 1)</f>
        <v>1</v>
      </c>
      <c r="AG50" s="2">
        <f>COUNTIFS('BA History'!$B:$B,$A$50,'BA History'!Z:Z, 1)</f>
        <v>2</v>
      </c>
      <c r="AH50" s="2">
        <f>COUNTIFS('BA History'!$B:$B,$A$50,'BA History'!AA:AA, 1)</f>
        <v>1</v>
      </c>
      <c r="AI50" s="2">
        <f>COUNTIFS('BA History'!$B:$B,$A$50,'BA History'!AB:AB, 1)</f>
        <v>1</v>
      </c>
      <c r="AJ50" s="2">
        <f>COUNTIFS('BA History'!$B:$B,$A$50,'BA History'!AC:AC, 1)</f>
        <v>0</v>
      </c>
      <c r="AK50" s="2">
        <f>COUNTIFS('BA History'!$B:$B,$A$50,'BA History'!AD:AD, 1)</f>
        <v>2</v>
      </c>
      <c r="AL50" s="2">
        <f>COUNTIFS('BA History'!$B:$B,$A$50,'BA History'!AE:AE, 1)</f>
        <v>0</v>
      </c>
      <c r="AM50" s="2">
        <f>COUNTIFS('BA History'!$B:$B,$A$50,'BA History'!AF:AF, 1)</f>
        <v>0</v>
      </c>
    </row>
    <row r="51" spans="1:39" x14ac:dyDescent="0.25">
      <c r="A51" s="2" t="s">
        <v>113</v>
      </c>
      <c r="B51" s="2" t="s">
        <v>79</v>
      </c>
      <c r="C51" s="2">
        <v>1</v>
      </c>
      <c r="D51" s="2">
        <v>1</v>
      </c>
      <c r="E51" s="2"/>
      <c r="F51" s="34">
        <f>SUMIFS('BA History'!C:C,'BA History'!B:B,A51)</f>
        <v>531</v>
      </c>
      <c r="G51" s="66">
        <f>AVERAGEIFS('BA History'!C:C,'BA History'!B:B,A51)</f>
        <v>17.7</v>
      </c>
      <c r="H51" s="35">
        <f t="array" ref="H51">MAX(IF('BA History'!B:B=A51, 'BA History'!C:C))</f>
        <v>36</v>
      </c>
      <c r="I51" s="34">
        <f>COUNTIFS('BA History'!B:B,A51,'BA History'!D:D, 1)</f>
        <v>17</v>
      </c>
      <c r="J51" s="2">
        <f>COUNTIFS('BA History'!B:B,A51,'BA History'!D:D, 0)</f>
        <v>13</v>
      </c>
      <c r="K51" s="75">
        <f>LOOKUP(2, 1/('BA History'!$B:$B=A51), 'BA History'!$AJ:$AJ)</f>
        <v>0.56666666666666665</v>
      </c>
      <c r="L51" s="34">
        <f>SUMIFS('BA History'!F:F,'BA History'!B:B,A51)</f>
        <v>66</v>
      </c>
      <c r="M51" s="2">
        <f>SUMIFS('BA History'!E:E,'BA History'!B:B,A51)-L51</f>
        <v>53</v>
      </c>
      <c r="N51" s="75">
        <f>LOOKUP(2, 1/('BA History'!$B:$B=A51), 'BA History'!$AH:$AH)</f>
        <v>0.56833333333333336</v>
      </c>
      <c r="O51" s="34">
        <f>SUMIFS('BA History'!H:H,'BA History'!B:B,A51)</f>
        <v>252</v>
      </c>
      <c r="P51" s="2">
        <f>SUMIFS('BA History'!G:G,'BA History'!B:B,A51)-O51</f>
        <v>232</v>
      </c>
      <c r="Q51" s="89">
        <f>LOOKUP(2, 1/('BA History'!$B:$B=A51), 'BA History'!$AI:$AI)</f>
        <v>0.52200000000000013</v>
      </c>
      <c r="R51" s="2">
        <f>COUNTIFS('BA History'!$B:$B,$A$51,'BA History'!K:K, 1)</f>
        <v>2</v>
      </c>
      <c r="S51" s="2">
        <f>COUNTIFS('BA History'!$B:$B,$A$51,'BA History'!L:L, 1)</f>
        <v>4</v>
      </c>
      <c r="T51" s="2">
        <f>COUNTIFS('BA History'!$B:$B,$A$51,'BA History'!M:M, 1)</f>
        <v>10</v>
      </c>
      <c r="U51" s="2">
        <f>COUNTIFS('BA History'!$B:$B,$A$51,'BA History'!N:N, 1)</f>
        <v>8</v>
      </c>
      <c r="V51" s="2">
        <f>COUNTIFS('BA History'!$B:$B,$A$51,'BA History'!O:O, 1)</f>
        <v>1</v>
      </c>
      <c r="W51" s="2">
        <f>COUNTIFS('BA History'!$B:$B,$A$51,'BA History'!P:P, 1)</f>
        <v>0</v>
      </c>
      <c r="X51" s="2">
        <f>COUNTIFS('BA History'!$B:$B,$A$51,'BA History'!Q:Q, 1)</f>
        <v>3</v>
      </c>
      <c r="Y51" s="2">
        <f>COUNTIFS('BA History'!$B:$B,$A$51,'BA History'!R:R, 1)</f>
        <v>1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2</v>
      </c>
      <c r="AC51" s="2">
        <f>COUNTIFS('BA History'!$B:$B,$A$51,'BA History'!V:V, 1)</f>
        <v>4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7</v>
      </c>
      <c r="AG51" s="2">
        <f>COUNTIFS('BA History'!$B:$B,$A$51,'BA History'!Z:Z, 1)</f>
        <v>6</v>
      </c>
      <c r="AH51" s="2">
        <f>COUNTIFS('BA History'!$B:$B,$A$51,'BA History'!AA:AA, 1)</f>
        <v>0</v>
      </c>
      <c r="AI51" s="2">
        <f>COUNTIFS('BA History'!$B:$B,$A$51,'BA History'!AB:AB, 1)</f>
        <v>8</v>
      </c>
      <c r="AJ51" s="2">
        <f>COUNTIFS('BA History'!$B:$B,$A$51,'BA History'!AC:AC, 1)</f>
        <v>7</v>
      </c>
      <c r="AK51" s="2">
        <f>COUNTIFS('BA History'!$B:$B,$A$51,'BA History'!AD:AD, 1)</f>
        <v>2</v>
      </c>
      <c r="AL51" s="2">
        <f>COUNTIFS('BA History'!$B:$B,$A$51,'BA History'!AE:AE, 1)</f>
        <v>0</v>
      </c>
      <c r="AM51" s="2">
        <f>COUNTIFS('BA History'!$B:$B,$A$51,'BA History'!AF:AF, 1)</f>
        <v>1</v>
      </c>
    </row>
    <row r="52" spans="1:39" x14ac:dyDescent="0.25">
      <c r="A52" s="2" t="s">
        <v>14</v>
      </c>
      <c r="B52" s="2" t="s">
        <v>79</v>
      </c>
      <c r="C52" s="2">
        <v>1</v>
      </c>
      <c r="D52" s="2"/>
      <c r="E52" s="2"/>
      <c r="F52" s="34">
        <f>SUMIFS('BA History'!C:C,'BA History'!B:B,A52)</f>
        <v>328</v>
      </c>
      <c r="G52" s="66">
        <f>AVERAGEIFS('BA History'!C:C,'BA History'!B:B,A52)</f>
        <v>17.263157894736842</v>
      </c>
      <c r="H52" s="35">
        <f t="array" ref="H52">MAX(IF('BA History'!B:B=A52, 'BA History'!C:C))</f>
        <v>30</v>
      </c>
      <c r="I52" s="34">
        <f>COUNTIFS('BA History'!B:B,A52,'BA History'!D:D, 1)</f>
        <v>9</v>
      </c>
      <c r="J52" s="2">
        <f>COUNTIFS('BA History'!B:B,A52,'BA History'!D:D, 0)</f>
        <v>10</v>
      </c>
      <c r="K52" s="75">
        <f>LOOKUP(2, 1/('BA History'!$B:$B=A52), 'BA History'!$AJ:$AJ)</f>
        <v>0.47368421052631576</v>
      </c>
      <c r="L52" s="34">
        <f>SUMIFS('BA History'!F:F,'BA History'!B:B,A52)</f>
        <v>38</v>
      </c>
      <c r="M52" s="2">
        <f>SUMIFS('BA History'!E:E,'BA History'!B:B,A52)-L52</f>
        <v>42</v>
      </c>
      <c r="N52" s="75">
        <f>LOOKUP(2, 1/('BA History'!$B:$B=A52), 'BA History'!$AH:$AH)</f>
        <v>0.48</v>
      </c>
      <c r="O52" s="34">
        <f>SUMIFS('BA History'!H:H,'BA History'!B:B,A52)</f>
        <v>167</v>
      </c>
      <c r="P52" s="2">
        <f>SUMIFS('BA History'!G:G,'BA History'!B:B,A52)-O52</f>
        <v>164</v>
      </c>
      <c r="Q52" s="89">
        <f>LOOKUP(2, 1/('BA History'!$B:$B=A52), 'BA History'!$AI:$AI)</f>
        <v>0.51263157894736844</v>
      </c>
      <c r="R52" s="2">
        <f>COUNTIFS('BA History'!$B:$B,$A$52,'BA History'!K:K, 1)</f>
        <v>1</v>
      </c>
      <c r="S52" s="2">
        <f>COUNTIFS('BA History'!$B:$B,$A$52,'BA History'!L:L, 1)</f>
        <v>3</v>
      </c>
      <c r="T52" s="2">
        <f>COUNTIFS('BA History'!$B:$B,$A$52,'BA History'!M:M, 1)</f>
        <v>0</v>
      </c>
      <c r="U52" s="2">
        <f>COUNTIFS('BA History'!$B:$B,$A$52,'BA History'!N:N, 1)</f>
        <v>2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3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1</v>
      </c>
      <c r="AB52" s="2">
        <f>COUNTIFS('BA History'!$B:$B,$A$52,'BA History'!U:U, 1)</f>
        <v>1</v>
      </c>
      <c r="AC52" s="2">
        <f>COUNTIFS('BA History'!$B:$B,$A$52,'BA History'!V:V, 1)</f>
        <v>1</v>
      </c>
      <c r="AD52" s="2">
        <f>COUNTIFS('BA History'!$B:$B,$A$52,'BA History'!W:W, 1)</f>
        <v>2</v>
      </c>
      <c r="AE52" s="2">
        <f>COUNTIFS('BA History'!$B:$B,$A$52,'BA History'!X:X, 1)</f>
        <v>1</v>
      </c>
      <c r="AF52" s="2">
        <f>COUNTIFS('BA History'!$B:$B,$A$52,'BA History'!Y:Y, 1)</f>
        <v>4</v>
      </c>
      <c r="AG52" s="2">
        <f>COUNTIFS('BA History'!$B:$B,$A$52,'BA History'!Z:Z, 1)</f>
        <v>6</v>
      </c>
      <c r="AH52" s="2">
        <f>COUNTIFS('BA History'!$B:$B,$A$52,'BA History'!AA:AA, 1)</f>
        <v>1</v>
      </c>
      <c r="AI52" s="2">
        <f>COUNTIFS('BA History'!$B:$B,$A$52,'BA History'!AB:AB, 1)</f>
        <v>8</v>
      </c>
      <c r="AJ52" s="2">
        <f>COUNTIFS('BA History'!$B:$B,$A$52,'BA History'!AC:AC, 1)</f>
        <v>3</v>
      </c>
      <c r="AK52" s="2">
        <f>COUNTIFS('BA History'!$B:$B,$A$52,'BA History'!AD:AD, 1)</f>
        <v>0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70</v>
      </c>
      <c r="B53" s="2" t="s">
        <v>79</v>
      </c>
      <c r="C53" s="2"/>
      <c r="D53" s="2"/>
      <c r="E53" s="2"/>
      <c r="F53" s="34">
        <f>SUMIFS('BA History'!C:C,'BA History'!B:B,A53)</f>
        <v>80</v>
      </c>
      <c r="G53" s="66">
        <f>AVERAGEIFS('BA History'!C:C,'BA History'!B:B,A53)</f>
        <v>11.428571428571429</v>
      </c>
      <c r="H53" s="35">
        <f t="array" ref="H53">MAX(IF('BA History'!B:B=A53, 'BA History'!C:C))</f>
        <v>19</v>
      </c>
      <c r="I53" s="34">
        <f>COUNTIFS('BA History'!B:B,A53,'BA History'!D:D, 1)</f>
        <v>5</v>
      </c>
      <c r="J53" s="2">
        <f>COUNTIFS('BA History'!B:B,A53,'BA History'!D:D, 0)</f>
        <v>2</v>
      </c>
      <c r="K53" s="75">
        <f>LOOKUP(2, 1/('BA History'!$B:$B=A53), 'BA History'!$AJ:$AJ)</f>
        <v>0.7142857142857143</v>
      </c>
      <c r="L53" s="34">
        <f>SUMIFS('BA History'!F:F,'BA History'!B:B,A53)</f>
        <v>16</v>
      </c>
      <c r="M53" s="2">
        <f>SUMIFS('BA History'!E:E,'BA History'!B:B,A53)-L53</f>
        <v>13</v>
      </c>
      <c r="N53" s="75">
        <f>LOOKUP(2, 1/('BA History'!$B:$B=A53), 'BA History'!$AH:$AH)</f>
        <v>0.54285714285714293</v>
      </c>
      <c r="O53" s="34">
        <f>SUMIFS('BA History'!H:H,'BA History'!B:B,A53)</f>
        <v>64</v>
      </c>
      <c r="P53" s="2">
        <f>SUMIFS('BA History'!G:G,'BA History'!B:B,A53)-O53</f>
        <v>59</v>
      </c>
      <c r="Q53" s="89">
        <f>LOOKUP(2, 1/('BA History'!$B:$B=A53), 'BA History'!$AI:$AI)</f>
        <v>0.52142857142857146</v>
      </c>
      <c r="R53" s="2">
        <f>COUNTIFS('BA History'!$B:$B,$A$53,'BA History'!K:K, 1)</f>
        <v>1</v>
      </c>
      <c r="S53" s="2">
        <f>COUNTIFS('BA History'!$B:$B,$A$53,'BA History'!L:L, 1)</f>
        <v>1</v>
      </c>
      <c r="T53" s="2">
        <f>COUNTIFS('BA History'!$B:$B,$A$53,'BA History'!M:M, 1)</f>
        <v>2</v>
      </c>
      <c r="U53" s="2">
        <f>COUNTIFS('BA History'!$B:$B,$A$53,'BA History'!N:N, 1)</f>
        <v>3</v>
      </c>
      <c r="V53" s="2">
        <f>COUNTIFS('BA History'!$B:$B,$A$53,'BA History'!O:O, 1)</f>
        <v>0</v>
      </c>
      <c r="W53" s="2">
        <f>COUNTIFS('BA History'!$B:$B,$A$53,'BA History'!P:P, 1)</f>
        <v>0</v>
      </c>
      <c r="X53" s="2">
        <f>COUNTIFS('BA History'!$B:$B,$A$53,'BA History'!Q:Q, 1)</f>
        <v>0</v>
      </c>
      <c r="Y53" s="2">
        <f>COUNTIFS('BA History'!$B:$B,$A$53,'BA History'!R:R, 1)</f>
        <v>1</v>
      </c>
      <c r="Z53" s="2">
        <f>COUNTIFS('BA History'!$B:$B,$A$53,'BA History'!S:S, 1)</f>
        <v>0</v>
      </c>
      <c r="AA53" s="2">
        <f>COUNTIFS('BA History'!$B:$B,$A$53,'BA History'!T:T, 1)</f>
        <v>0</v>
      </c>
      <c r="AB53" s="2">
        <f>COUNTIFS('BA History'!$B:$B,$A$53,'BA History'!U:U, 1)</f>
        <v>0</v>
      </c>
      <c r="AC53" s="2">
        <f>COUNTIFS('BA History'!$B:$B,$A$53,'BA History'!V:V, 1)</f>
        <v>1</v>
      </c>
      <c r="AD53" s="2">
        <f>COUNTIFS('BA History'!$B:$B,$A$53,'BA History'!W:W, 1)</f>
        <v>1</v>
      </c>
      <c r="AE53" s="2">
        <f>COUNTIFS('BA History'!$B:$B,$A$53,'BA History'!X:X, 1)</f>
        <v>0</v>
      </c>
      <c r="AF53" s="2">
        <f>COUNTIFS('BA History'!$B:$B,$A$53,'BA History'!Y:Y, 1)</f>
        <v>1</v>
      </c>
      <c r="AG53" s="2">
        <f>COUNTIFS('BA History'!$B:$B,$A$53,'BA History'!Z:Z, 1)</f>
        <v>0</v>
      </c>
      <c r="AH53" s="2">
        <f>COUNTIFS('BA History'!$B:$B,$A$53,'BA History'!AA:AA, 1)</f>
        <v>0</v>
      </c>
      <c r="AI53" s="2">
        <f>COUNTIFS('BA History'!$B:$B,$A$53,'BA History'!AB:AB, 1)</f>
        <v>0</v>
      </c>
      <c r="AJ53" s="2">
        <f>COUNTIFS('BA History'!$B:$B,$A$53,'BA History'!AC:AC, 1)</f>
        <v>0</v>
      </c>
      <c r="AK53" s="2">
        <f>COUNTIFS('BA History'!$B:$B,$A$53,'BA History'!AD:AD, 1)</f>
        <v>3</v>
      </c>
      <c r="AL53" s="2">
        <f>COUNTIFS('BA History'!$B:$B,$A$53,'BA History'!AE:AE, 1)</f>
        <v>0</v>
      </c>
      <c r="AM53" s="2">
        <f>COUNTIFS('BA History'!$B:$B,$A$53,'BA History'!AF:AF, 1)</f>
        <v>2</v>
      </c>
    </row>
    <row r="54" spans="1:39" x14ac:dyDescent="0.25">
      <c r="A54" s="2" t="s">
        <v>4</v>
      </c>
      <c r="B54" s="1" t="s">
        <v>161</v>
      </c>
      <c r="C54" s="1">
        <v>1</v>
      </c>
      <c r="D54" s="1"/>
      <c r="E54" s="1"/>
      <c r="F54" s="34">
        <f>SUMIFS('BA History'!C:C,'BA History'!B:B,A54)</f>
        <v>713</v>
      </c>
      <c r="G54" s="66">
        <f>AVERAGEIFS('BA History'!C:C,'BA History'!B:B,A54)</f>
        <v>24.586206896551722</v>
      </c>
      <c r="H54" s="35">
        <f t="array" ref="H54">MAX(IF('BA History'!B:B=A54, 'BA History'!C:C))</f>
        <v>41</v>
      </c>
      <c r="I54" s="34">
        <f>COUNTIFS('BA History'!B:B,A54,'BA History'!D:D, 1)</f>
        <v>10</v>
      </c>
      <c r="J54" s="2">
        <f>COUNTIFS('BA History'!B:B,A54,'BA History'!D:D, 0)</f>
        <v>19</v>
      </c>
      <c r="K54" s="75">
        <f>LOOKUP(2, 1/('BA History'!$B:$B=A54), 'BA History'!$AJ:$AJ)</f>
        <v>0.34482758620689657</v>
      </c>
      <c r="L54" s="34">
        <f>SUMIFS('BA History'!F:F,'BA History'!B:B,A54)</f>
        <v>52</v>
      </c>
      <c r="M54" s="2">
        <f>SUMIFS('BA History'!E:E,'BA History'!B:B,A54)-L54</f>
        <v>67</v>
      </c>
      <c r="N54" s="75">
        <f>LOOKUP(2, 1/('BA History'!$B:$B=A54), 'BA History'!$AH:$AH)</f>
        <v>0.43793103448275861</v>
      </c>
      <c r="O54" s="34">
        <f>SUMIFS('BA History'!H:H,'BA History'!B:B,A54)</f>
        <v>230</v>
      </c>
      <c r="P54" s="2">
        <f>SUMIFS('BA History'!G:G,'BA History'!B:B,A54)-O54</f>
        <v>264</v>
      </c>
      <c r="Q54" s="89">
        <f>LOOKUP(2, 1/('BA History'!$B:$B=A54), 'BA History'!$AI:$AI)</f>
        <v>0.46034482758620687</v>
      </c>
      <c r="R54" s="2">
        <f>COUNTIFS('BA History'!$B:$B,$A$54,'BA History'!K:K, 1)</f>
        <v>2</v>
      </c>
      <c r="S54" s="2">
        <f>COUNTIFS('BA History'!$B:$B,$A$54,'BA History'!L:L, 1)</f>
        <v>6</v>
      </c>
      <c r="T54" s="2">
        <f>COUNTIFS('BA History'!$B:$B,$A$54,'BA History'!M:M, 1)</f>
        <v>4</v>
      </c>
      <c r="U54" s="2">
        <f>COUNTIFS('BA History'!$B:$B,$A$54,'BA History'!N:N, 1)</f>
        <v>8</v>
      </c>
      <c r="V54" s="2">
        <f>COUNTIFS('BA History'!$B:$B,$A$54,'BA History'!O:O, 1)</f>
        <v>1</v>
      </c>
      <c r="W54" s="2">
        <f>COUNTIFS('BA History'!$B:$B,$A$54,'BA History'!P:P, 1)</f>
        <v>0</v>
      </c>
      <c r="X54" s="2">
        <f>COUNTIFS('BA History'!$B:$B,$A$54,'BA History'!Q:Q, 1)</f>
        <v>1</v>
      </c>
      <c r="Y54" s="2">
        <f>COUNTIFS('BA History'!$B:$B,$A$54,'BA History'!R:R, 1)</f>
        <v>0</v>
      </c>
      <c r="Z54" s="2">
        <f>COUNTIFS('BA History'!$B:$B,$A$54,'BA History'!S:S, 1)</f>
        <v>0</v>
      </c>
      <c r="AA54" s="2">
        <f>COUNTIFS('BA History'!$B:$B,$A$54,'BA History'!T:T, 1)</f>
        <v>0</v>
      </c>
      <c r="AB54" s="2">
        <f>COUNTIFS('BA History'!$B:$B,$A$54,'BA History'!U:U, 1)</f>
        <v>2</v>
      </c>
      <c r="AC54" s="2">
        <f>COUNTIFS('BA History'!$B:$B,$A$54,'BA History'!V:V, 1)</f>
        <v>1</v>
      </c>
      <c r="AD54" s="2">
        <f>COUNTIFS('BA History'!$B:$B,$A$54,'BA History'!W:W, 1)</f>
        <v>0</v>
      </c>
      <c r="AE54" s="2">
        <f>COUNTIFS('BA History'!$B:$B,$A$54,'BA History'!X:X, 1)</f>
        <v>0</v>
      </c>
      <c r="AF54" s="2">
        <f>COUNTIFS('BA History'!$B:$B,$A$54,'BA History'!Y:Y, 1)</f>
        <v>8</v>
      </c>
      <c r="AG54" s="2">
        <f>COUNTIFS('BA History'!$B:$B,$A$54,'BA History'!Z:Z, 1)</f>
        <v>3</v>
      </c>
      <c r="AH54" s="2">
        <f>COUNTIFS('BA History'!$B:$B,$A$54,'BA History'!AA:AA, 1)</f>
        <v>0</v>
      </c>
      <c r="AI54" s="2">
        <f>COUNTIFS('BA History'!$B:$B,$A$54,'BA History'!AB:AB, 1)</f>
        <v>5</v>
      </c>
      <c r="AJ54" s="2">
        <f>COUNTIFS('BA History'!$B:$B,$A$54,'BA History'!AC:AC, 1)</f>
        <v>6</v>
      </c>
      <c r="AK54" s="2">
        <f>COUNTIFS('BA History'!$B:$B,$A$54,'BA History'!AD:AD, 1)</f>
        <v>4</v>
      </c>
      <c r="AL54" s="2">
        <f>COUNTIFS('BA History'!$B:$B,$A$54,'BA History'!AE:AE, 1)</f>
        <v>0</v>
      </c>
      <c r="AM54" s="2">
        <f>COUNTIFS('BA History'!$B:$B,$A$54,'BA History'!AF:AF, 1)</f>
        <v>1</v>
      </c>
    </row>
    <row r="55" spans="1:39" x14ac:dyDescent="0.25">
      <c r="A55" s="1" t="s">
        <v>107</v>
      </c>
      <c r="B55" s="2" t="s">
        <v>79</v>
      </c>
      <c r="C55" s="2"/>
      <c r="D55" s="2"/>
      <c r="E55" s="2"/>
      <c r="F55" s="34">
        <f>SUMIFS('BA History'!C:C,'BA History'!B:B,A55)</f>
        <v>558</v>
      </c>
      <c r="G55" s="66">
        <f>AVERAGEIFS('BA History'!C:C,'BA History'!B:B,A55)</f>
        <v>16.411764705882351</v>
      </c>
      <c r="H55" s="35">
        <f t="array" ref="H55">MAX(IF('BA History'!B:B=A55, 'BA History'!C:C))</f>
        <v>35</v>
      </c>
      <c r="I55" s="34">
        <f>COUNTIFS('BA History'!B:B,A55,'BA History'!D:D, 1)</f>
        <v>19</v>
      </c>
      <c r="J55" s="2">
        <f>COUNTIFS('BA History'!B:B,A55,'BA History'!D:D, 0)</f>
        <v>15</v>
      </c>
      <c r="K55" s="75">
        <f>LOOKUP(2, 1/('BA History'!$B:$B=A55), 'BA History'!$AJ:$AJ)</f>
        <v>0.55882352941176472</v>
      </c>
      <c r="L55" s="34">
        <f>SUMIFS('BA History'!F:F,'BA History'!B:B,A55)</f>
        <v>72</v>
      </c>
      <c r="M55" s="2">
        <f>SUMIFS('BA History'!E:E,'BA History'!B:B,A55)-L55</f>
        <v>65</v>
      </c>
      <c r="N55" s="75">
        <f>LOOKUP(2, 1/('BA History'!$B:$B=A55), 'BA History'!$AH:$AH)</f>
        <v>0.51911764705882346</v>
      </c>
      <c r="O55" s="34">
        <f>SUMIFS('BA History'!H:H,'BA History'!B:B,A55)</f>
        <v>296</v>
      </c>
      <c r="P55" s="2">
        <f>SUMIFS('BA History'!G:G,'BA History'!B:B,A55)-O55</f>
        <v>274</v>
      </c>
      <c r="Q55" s="89">
        <f>LOOKUP(2, 1/('BA History'!$B:$B=A55), 'BA History'!$AI:$AI)</f>
        <v>0.51147058823529412</v>
      </c>
      <c r="R55" s="2">
        <f>COUNTIFS('BA History'!$B:$B,$A$55,'BA History'!K:K, 1)</f>
        <v>4</v>
      </c>
      <c r="S55" s="2">
        <f>COUNTIFS('BA History'!$B:$B,$A$55,'BA History'!L:L, 1)</f>
        <v>3</v>
      </c>
      <c r="T55" s="2">
        <f>COUNTIFS('BA History'!$B:$B,$A$55,'BA History'!M:M, 1)</f>
        <v>8</v>
      </c>
      <c r="U55" s="2">
        <f>COUNTIFS('BA History'!$B:$B,$A$55,'BA History'!N:N, 1)</f>
        <v>10</v>
      </c>
      <c r="V55" s="2">
        <f>COUNTIFS('BA History'!$B:$B,$A$55,'BA History'!O:O, 1)</f>
        <v>2</v>
      </c>
      <c r="W55" s="2">
        <f>COUNTIFS('BA History'!$B:$B,$A$55,'BA History'!P:P, 1)</f>
        <v>1</v>
      </c>
      <c r="X55" s="2">
        <f>COUNTIFS('BA History'!$B:$B,$A$55,'BA History'!Q:Q, 1)</f>
        <v>2</v>
      </c>
      <c r="Y55" s="2">
        <f>COUNTIFS('BA History'!$B:$B,$A$55,'BA History'!R:R, 1)</f>
        <v>1</v>
      </c>
      <c r="Z55" s="2">
        <f>COUNTIFS('BA History'!$B:$B,$A$55,'BA History'!S:S, 1)</f>
        <v>1</v>
      </c>
      <c r="AA55" s="2">
        <f>COUNTIFS('BA History'!$B:$B,$A$55,'BA History'!T:T, 1)</f>
        <v>0</v>
      </c>
      <c r="AB55" s="2">
        <f>COUNTIFS('BA History'!$B:$B,$A$55,'BA History'!U:U, 1)</f>
        <v>1</v>
      </c>
      <c r="AC55" s="2">
        <f>COUNTIFS('BA History'!$B:$B,$A$55,'BA History'!V:V, 1)</f>
        <v>3</v>
      </c>
      <c r="AD55" s="2">
        <f>COUNTIFS('BA History'!$B:$B,$A$55,'BA History'!W:W, 1)</f>
        <v>2</v>
      </c>
      <c r="AE55" s="2">
        <f>COUNTIFS('BA History'!$B:$B,$A$55,'BA History'!X:X, 1)</f>
        <v>0</v>
      </c>
      <c r="AF55" s="2">
        <f>COUNTIFS('BA History'!$B:$B,$A$55,'BA History'!Y:Y, 1)</f>
        <v>6</v>
      </c>
      <c r="AG55" s="2">
        <f>COUNTIFS('BA History'!$B:$B,$A$55,'BA History'!Z:Z, 1)</f>
        <v>7</v>
      </c>
      <c r="AH55" s="2">
        <f>COUNTIFS('BA History'!$B:$B,$A$55,'BA History'!AA:AA, 1)</f>
        <v>1</v>
      </c>
      <c r="AI55" s="2">
        <f>COUNTIFS('BA History'!$B:$B,$A$55,'BA History'!AB:AB, 1)</f>
        <v>5</v>
      </c>
      <c r="AJ55" s="2">
        <f>COUNTIFS('BA History'!$B:$B,$A$55,'BA History'!AC:AC, 1)</f>
        <v>4</v>
      </c>
      <c r="AK55" s="2">
        <f>COUNTIFS('BA History'!$B:$B,$A$55,'BA History'!AD:AD, 1)</f>
        <v>7</v>
      </c>
      <c r="AL55" s="2">
        <f>COUNTIFS('BA History'!$B:$B,$A$55,'BA History'!AE:AE, 1)</f>
        <v>0</v>
      </c>
      <c r="AM55" s="2">
        <f>COUNTIFS('BA History'!$B:$B,$A$55,'BA History'!AF:AF, 1)</f>
        <v>4</v>
      </c>
    </row>
    <row r="56" spans="1:39" x14ac:dyDescent="0.25">
      <c r="A56" s="2" t="s">
        <v>94</v>
      </c>
      <c r="B56" s="2" t="s">
        <v>79</v>
      </c>
      <c r="C56" s="2"/>
      <c r="D56" s="2"/>
      <c r="E56" s="2"/>
      <c r="F56" s="34">
        <f>SUMIFS('BA History'!C:C,'BA History'!B:B,A56)</f>
        <v>18</v>
      </c>
      <c r="G56" s="66">
        <f>AVERAGEIFS('BA History'!C:C,'BA History'!B:B,A56)</f>
        <v>18</v>
      </c>
      <c r="H56" s="35">
        <f t="array" ref="H56">MAX(IF('BA History'!B:B=A56, 'BA History'!C:C))</f>
        <v>18</v>
      </c>
      <c r="I56" s="34">
        <f>COUNTIFS('BA History'!B:B,A56,'BA History'!D:D, 1)</f>
        <v>1</v>
      </c>
      <c r="J56" s="2">
        <f>COUNTIFS('BA History'!B:B,A56,'BA History'!D:D, 0)</f>
        <v>0</v>
      </c>
      <c r="K56" s="75">
        <f>LOOKUP(2, 1/('BA History'!$B:$B=A56), 'BA History'!$AJ:$AJ)</f>
        <v>1</v>
      </c>
      <c r="L56" s="34">
        <f>SUMIFS('BA History'!F:F,'BA History'!B:B,A56)</f>
        <v>3</v>
      </c>
      <c r="M56" s="2">
        <f>SUMIFS('BA History'!E:E,'BA History'!B:B,A56)-L56</f>
        <v>2</v>
      </c>
      <c r="N56" s="75">
        <f>LOOKUP(2, 1/('BA History'!$B:$B=A56), 'BA History'!$AH:$AH)</f>
        <v>0.6</v>
      </c>
      <c r="O56" s="34">
        <f>SUMIFS('BA History'!H:H,'BA History'!B:B,A56)</f>
        <v>11</v>
      </c>
      <c r="P56" s="2">
        <f>SUMIFS('BA History'!G:G,'BA History'!B:B,A56)-O56</f>
        <v>10</v>
      </c>
      <c r="Q56" s="89">
        <f>LOOKUP(2, 1/('BA History'!$B:$B=A56), 'BA History'!$AI:$AI)</f>
        <v>0.52</v>
      </c>
      <c r="R56" s="2">
        <f>COUNTIFS('BA History'!$B:$B,$A$56,'BA History'!K:K, 1)</f>
        <v>0</v>
      </c>
      <c r="S56" s="2">
        <f>COUNTIFS('BA History'!$B:$B,$A$56,'BA History'!L:L, 1)</f>
        <v>0</v>
      </c>
      <c r="T56" s="2">
        <f>COUNTIFS('BA History'!$B:$B,$A$56,'BA History'!M:M, 1)</f>
        <v>0</v>
      </c>
      <c r="U56" s="2">
        <f>COUNTIFS('BA History'!$B:$B,$A$56,'BA History'!N:N, 1)</f>
        <v>0</v>
      </c>
      <c r="V56" s="2">
        <f>COUNTIFS('BA History'!$B:$B,$A$56,'BA History'!O:O, 1)</f>
        <v>0</v>
      </c>
      <c r="W56" s="2">
        <f>COUNTIFS('BA History'!$B:$B,$A$56,'BA History'!P:P, 1)</f>
        <v>0</v>
      </c>
      <c r="X56" s="2">
        <f>COUNTIFS('BA History'!$B:$B,$A$56,'BA History'!Q:Q, 1)</f>
        <v>0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0</v>
      </c>
      <c r="AC56" s="2">
        <f>COUNTIFS('BA History'!$B:$B,$A$56,'BA History'!V:V, 1)</f>
        <v>0</v>
      </c>
      <c r="AD56" s="2">
        <f>COUNTIFS('BA History'!$B:$B,$A$56,'BA History'!W:W, 1)</f>
        <v>1</v>
      </c>
      <c r="AE56" s="2">
        <f>COUNTIFS('BA History'!$B:$B,$A$56,'BA History'!X:X, 1)</f>
        <v>1</v>
      </c>
      <c r="AF56" s="2">
        <f>COUNTIFS('BA History'!$B:$B,$A$56,'BA History'!Y:Y, 1)</f>
        <v>0</v>
      </c>
      <c r="AG56" s="2">
        <f>COUNTIFS('BA History'!$B:$B,$A$56,'BA History'!Z:Z, 1)</f>
        <v>1</v>
      </c>
      <c r="AH56" s="2">
        <f>COUNTIFS('BA History'!$B:$B,$A$56,'BA History'!AA:AA, 1)</f>
        <v>0</v>
      </c>
      <c r="AI56" s="2">
        <f>COUNTIFS('BA History'!$B:$B,$A$56,'BA History'!AB:AB, 1)</f>
        <v>0</v>
      </c>
      <c r="AJ56" s="2">
        <f>COUNTIFS('BA History'!$B:$B,$A$56,'BA History'!AC:AC, 1)</f>
        <v>0</v>
      </c>
      <c r="AK56" s="2">
        <f>COUNTIFS('BA History'!$B:$B,$A$56,'BA History'!AD:AD, 1)</f>
        <v>0</v>
      </c>
      <c r="AL56" s="2">
        <f>COUNTIFS('BA History'!$B:$B,$A$56,'BA History'!AE:AE, 1)</f>
        <v>0</v>
      </c>
      <c r="AM56" s="2">
        <f>COUNTIFS('BA History'!$B:$B,$A$56,'BA History'!AF:AF, 1)</f>
        <v>0</v>
      </c>
    </row>
    <row r="57" spans="1:39" ht="15.75" thickBot="1" x14ac:dyDescent="0.3">
      <c r="A57" s="2" t="s">
        <v>55</v>
      </c>
      <c r="B57" s="2" t="s">
        <v>79</v>
      </c>
      <c r="C57" s="2"/>
      <c r="D57" s="2"/>
      <c r="E57" s="2"/>
      <c r="F57" s="34">
        <f>SUMIFS('BA History'!C:C,'BA History'!B:B,A57)</f>
        <v>2</v>
      </c>
      <c r="G57" s="66">
        <f>AVERAGEIFS('BA History'!C:C,'BA History'!B:B,A57)</f>
        <v>2</v>
      </c>
      <c r="H57" s="35">
        <f t="array" ref="H57">MAX(IF('BA History'!B:B=A57, 'BA History'!C:C))</f>
        <v>2</v>
      </c>
      <c r="I57" s="34">
        <f>COUNTIFS('BA History'!B:B,A57,'BA History'!D:D, 1)</f>
        <v>0</v>
      </c>
      <c r="J57" s="2">
        <f>COUNTIFS('BA History'!B:B,A57,'BA History'!D:D, 0)</f>
        <v>1</v>
      </c>
      <c r="K57" s="75">
        <f>LOOKUP(2, 1/('BA History'!$B:$B=A57), 'BA History'!$AJ:$AJ)</f>
        <v>0</v>
      </c>
      <c r="L57" s="34">
        <f>SUMIFS('BA History'!F:F,'BA History'!B:B,A57)</f>
        <v>0</v>
      </c>
      <c r="M57" s="2">
        <f>SUMIFS('BA History'!E:E,'BA History'!B:B,A57)-L57</f>
        <v>3</v>
      </c>
      <c r="N57" s="75">
        <f>LOOKUP(2, 1/('BA History'!$B:$B=A57), 'BA History'!$AH:$AH)</f>
        <v>0</v>
      </c>
      <c r="O57" s="34">
        <f>SUMIFS('BA History'!H:H,'BA History'!B:B,A57)</f>
        <v>4</v>
      </c>
      <c r="P57" s="48">
        <v>9</v>
      </c>
      <c r="Q57" s="89">
        <f>LOOKUP(2, 1/('BA History'!$B:$B=A57), 'BA History'!$AI:$AI)</f>
        <v>0.31</v>
      </c>
      <c r="R57" s="2">
        <f>COUNTIFS('BA History'!$B:$B,$A$57,'BA History'!K:K, 1)</f>
        <v>0</v>
      </c>
      <c r="S57" s="2">
        <f>COUNTIFS('BA History'!$B:$B,$A$57,'BA History'!L:L, 1)</f>
        <v>0</v>
      </c>
      <c r="T57" s="2">
        <f>COUNTIFS('BA History'!$B:$B,$A$57,'BA History'!M:M, 1)</f>
        <v>0</v>
      </c>
      <c r="U57" s="2">
        <f>COUNTIFS('BA History'!$B:$B,$A$57,'BA History'!N:N, 1)</f>
        <v>0</v>
      </c>
      <c r="V57" s="2">
        <f>COUNTIFS('BA History'!$B:$B,$A$57,'BA History'!O:O, 1)</f>
        <v>0</v>
      </c>
      <c r="W57" s="2">
        <f>COUNTIFS('BA History'!$B:$B,$A$57,'BA History'!P:P, 1)</f>
        <v>0</v>
      </c>
      <c r="X57" s="2">
        <f>COUNTIFS('BA History'!$B:$B,$A$57,'BA History'!Q:Q, 1)</f>
        <v>0</v>
      </c>
      <c r="Y57" s="2">
        <f>COUNTIFS('BA History'!$B:$B,$A$57,'BA History'!R:R, 1)</f>
        <v>0</v>
      </c>
      <c r="Z57" s="2">
        <f>COUNTIFS('BA History'!$B:$B,$A$57,'BA History'!S:S, 1)</f>
        <v>0</v>
      </c>
      <c r="AA57" s="2">
        <f>COUNTIFS('BA History'!$B:$B,$A$57,'BA History'!T:T, 1)</f>
        <v>0</v>
      </c>
      <c r="AB57" s="2">
        <f>COUNTIFS('BA History'!$B:$B,$A$57,'BA History'!U:U, 1)</f>
        <v>0</v>
      </c>
      <c r="AC57" s="2">
        <f>COUNTIFS('BA History'!$B:$B,$A$57,'BA History'!V:V, 1)</f>
        <v>0</v>
      </c>
      <c r="AD57" s="2">
        <f>COUNTIFS('BA History'!$B:$B,$A$57,'BA History'!W:W, 1)</f>
        <v>0</v>
      </c>
      <c r="AE57" s="2">
        <f>COUNTIFS('BA History'!$B:$B,$A$57,'BA History'!X:X, 1)</f>
        <v>0</v>
      </c>
      <c r="AF57" s="2">
        <f>COUNTIFS('BA History'!$B:$B,$A$57,'BA History'!Y:Y, 1)</f>
        <v>0</v>
      </c>
      <c r="AG57" s="2">
        <f>COUNTIFS('BA History'!$B:$B,$A$57,'BA History'!Z:Z, 1)</f>
        <v>0</v>
      </c>
      <c r="AH57" s="2">
        <f>COUNTIFS('BA History'!$B:$B,$A$57,'BA History'!AA:AA, 1)</f>
        <v>0</v>
      </c>
      <c r="AI57" s="2">
        <f>COUNTIFS('BA History'!$B:$B,$A$57,'BA History'!AB:AB, 1)</f>
        <v>0</v>
      </c>
      <c r="AJ57" s="2">
        <f>COUNTIFS('BA History'!$B:$B,$A$57,'BA History'!AC:AC, 1)</f>
        <v>0</v>
      </c>
      <c r="AK57" s="2">
        <f>COUNTIFS('BA History'!$B:$B,$A$57,'BA History'!AD:AD, 1)</f>
        <v>0</v>
      </c>
      <c r="AL57" s="2">
        <f>COUNTIFS('BA History'!$B:$B,$A$57,'BA History'!AE:AE, 1)</f>
        <v>0</v>
      </c>
      <c r="AM57" s="2">
        <f>COUNTIFS('BA History'!$B:$B,$A$57,'BA History'!AF:AF, 1)</f>
        <v>0</v>
      </c>
    </row>
  </sheetData>
  <autoFilter ref="A1:AM57" xr:uid="{DA548192-1F03-46EA-8AB8-115EB9A7CE5D}">
    <sortState xmlns:xlrd2="http://schemas.microsoft.com/office/spreadsheetml/2017/richdata2" ref="A2:AM57">
      <sortCondition ref="A1:A57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41"/>
  <sheetViews>
    <sheetView workbookViewId="0">
      <pane xSplit="2" ySplit="1" topLeftCell="J818" activePane="bottomRight" state="frozen"/>
      <selection pane="topRight" activeCell="C1" sqref="C1"/>
      <selection pane="bottomLeft" activeCell="A2" sqref="A2"/>
      <selection pane="bottomRight" activeCell="A829" sqref="A829:AF84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6" sqref="F46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8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10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8.5555555555555554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</v>
      </c>
      <c r="G5" s="66">
        <f>AVERAGEIFS('BA History S2'!C:C,'BA History S2'!B:B,A5)</f>
        <v>3</v>
      </c>
      <c r="H5" s="35">
        <f t="array" ref="H5">MAX(IF('BA History S2'!B:B=A5, 'BA History S2'!C:C))</f>
        <v>3</v>
      </c>
      <c r="I5" s="34">
        <f>COUNTIFS('BA History S2'!B:B,A5,'BA History S2'!D:D, 1)</f>
        <v>0</v>
      </c>
      <c r="J5" s="2">
        <f>COUNTIFS('BA History S2'!B:B,A5,'BA History S2'!D:D, 0)</f>
        <v>1</v>
      </c>
      <c r="K5" s="75">
        <f>LOOKUP(2, 1/('BA History S2'!$B:$B=A5), 'BA History S2'!$AJ:$AJ)</f>
        <v>0</v>
      </c>
      <c r="L5" s="34">
        <f>SUMIFS('BA History S2'!F:F,'BA History S2'!B:B,A5)</f>
        <v>1</v>
      </c>
      <c r="M5" s="2">
        <f>SUMIFS('BA History S2'!E:E,'BA History S2'!B:B,A5)-L5</f>
        <v>3</v>
      </c>
      <c r="N5" s="75">
        <f>LOOKUP(2, 1/('BA History S2'!$B:$B=A5), 'BA History S2'!$AH:$AH)</f>
        <v>0.25</v>
      </c>
      <c r="O5" s="34">
        <f>SUMIFS('BA History S2'!H:H,'BA History S2'!B:B,A5)</f>
        <v>7</v>
      </c>
      <c r="P5" s="2">
        <f>SUMIFS('BA History S2'!G:G,'BA History S2'!B:B,A5)-O5</f>
        <v>11</v>
      </c>
      <c r="Q5" s="89">
        <f>LOOKUP(2, 1/('BA History S2'!$B:$B=A5), 'BA History S2'!$AI:$AI)</f>
        <v>7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0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132</v>
      </c>
      <c r="G6" s="66">
        <f>AVERAGEIFS('BA History S2'!C:C,'BA History S2'!B:B,A6)</f>
        <v>18.857142857142858</v>
      </c>
      <c r="H6" s="35">
        <f t="array" ref="H6">MAX(IF('BA History S2'!B:B=A6, 'BA History S2'!C:C))</f>
        <v>40</v>
      </c>
      <c r="I6" s="34">
        <f>COUNTIFS('BA History S2'!B:B,A6,'BA History S2'!D:D, 1)</f>
        <v>2</v>
      </c>
      <c r="J6" s="2">
        <f>COUNTIFS('BA History S2'!B:B,A6,'BA History S2'!D:D, 0)</f>
        <v>5</v>
      </c>
      <c r="K6" s="75">
        <f>LOOKUP(2, 1/('BA History S2'!$B:$B=A6), 'BA History S2'!$AJ:$AJ)</f>
        <v>0.2857142857142857</v>
      </c>
      <c r="L6" s="34">
        <f>SUMIFS('BA History S2'!F:F,'BA History S2'!B:B,A6)</f>
        <v>11</v>
      </c>
      <c r="M6" s="2">
        <f>SUMIFS('BA History S2'!E:E,'BA History S2'!B:B,A6)-L6</f>
        <v>18</v>
      </c>
      <c r="N6" s="75">
        <f>LOOKUP(2, 1/('BA History S2'!$B:$B=A6), 'BA History S2'!$AH:$AH)</f>
        <v>0.35714285714285715</v>
      </c>
      <c r="O6" s="34">
        <f>SUMIFS('BA History S2'!H:H,'BA History S2'!B:B,A6)</f>
        <v>55</v>
      </c>
      <c r="P6" s="2">
        <f>SUMIFS('BA History S2'!G:G,'BA History S2'!B:B,A6)-O6</f>
        <v>73</v>
      </c>
      <c r="Q6" s="89">
        <f>LOOKUP(2, 1/('BA History S2'!$B:$B=A6), 'BA History S2'!$AI:$AI)</f>
        <v>7.8571428571428568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1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0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1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0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4.5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8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6.666666666666667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8.5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129</v>
      </c>
      <c r="G11" s="66">
        <f>AVERAGEIFS('BA History S2'!C:C,'BA History S2'!B:B,A11)</f>
        <v>18.428571428571427</v>
      </c>
      <c r="H11" s="35">
        <f t="array" ref="H11">MAX(IF('BA History S2'!B:B=A11, 'BA History S2'!C:C))</f>
        <v>28</v>
      </c>
      <c r="I11" s="34">
        <f>COUNTIFS('BA History S2'!B:B,A11,'BA History S2'!D:D, 1)</f>
        <v>3</v>
      </c>
      <c r="J11" s="2">
        <f>COUNTIFS('BA History S2'!B:B,A11,'BA History S2'!D:D, 0)</f>
        <v>4</v>
      </c>
      <c r="K11" s="75">
        <f>LOOKUP(2, 1/('BA History S2'!$B:$B=A11), 'BA History S2'!$AJ:$AJ)</f>
        <v>0.42857142857142855</v>
      </c>
      <c r="L11" s="34">
        <f>SUMIFS('BA History S2'!F:F,'BA History S2'!B:B,A11)</f>
        <v>12</v>
      </c>
      <c r="M11" s="2">
        <f>SUMIFS('BA History S2'!E:E,'BA History S2'!B:B,A11)-L11</f>
        <v>17</v>
      </c>
      <c r="N11" s="75">
        <f>LOOKUP(2, 1/('BA History S2'!$B:$B=A11), 'BA History S2'!$AH:$AH)</f>
        <v>0.38571428571428573</v>
      </c>
      <c r="O11" s="34">
        <f>SUMIFS('BA History S2'!H:H,'BA History S2'!B:B,A11)</f>
        <v>58</v>
      </c>
      <c r="P11" s="2">
        <f>SUMIFS('BA History S2'!G:G,'BA History S2'!B:B,A11)-O11</f>
        <v>70</v>
      </c>
      <c r="Q11" s="89">
        <f>LOOKUP(2, 1/('BA History S2'!$B:$B=A11), 'BA History S2'!$AI:$AI)</f>
        <v>8.2857142857142865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3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0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2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0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10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129</v>
      </c>
      <c r="G13" s="66">
        <f>AVERAGEIFS('BA History S2'!C:C,'BA History S2'!B:B,A13)</f>
        <v>21.5</v>
      </c>
      <c r="H13" s="35">
        <f t="array" ref="H13">MAX(IF('BA History S2'!B:B=A13, 'BA History S2'!C:C))</f>
        <v>28</v>
      </c>
      <c r="I13" s="34">
        <f>COUNTIFS('BA History S2'!B:B,A13,'BA History S2'!D:D, 1)</f>
        <v>3</v>
      </c>
      <c r="J13" s="2">
        <f>COUNTIFS('BA History S2'!B:B,A13,'BA History S2'!D:D, 0)</f>
        <v>3</v>
      </c>
      <c r="K13" s="75">
        <f>LOOKUP(2, 1/('BA History S2'!$B:$B=A13), 'BA History S2'!$AJ:$AJ)</f>
        <v>0.5</v>
      </c>
      <c r="L13" s="34">
        <f>SUMIFS('BA History S2'!F:F,'BA History S2'!B:B,A13)</f>
        <v>12</v>
      </c>
      <c r="M13" s="2">
        <f>SUMIFS('BA History S2'!E:E,'BA History S2'!B:B,A13)-L13</f>
        <v>11</v>
      </c>
      <c r="N13" s="75">
        <f>LOOKUP(2, 1/('BA History S2'!$B:$B=A13), 'BA History S2'!$AH:$AH)</f>
        <v>0.52500000000000002</v>
      </c>
      <c r="O13" s="34">
        <f>SUMIFS('BA History S2'!H:H,'BA History S2'!B:B,A13)</f>
        <v>50</v>
      </c>
      <c r="P13" s="2">
        <f>SUMIFS('BA History S2'!G:G,'BA History S2'!B:B,A13)-O13</f>
        <v>49</v>
      </c>
      <c r="Q13" s="89">
        <f>LOOKUP(2, 1/('BA History S2'!$B:$B=A13), 'BA History S2'!$AI:$AI)</f>
        <v>8.3333333333333339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112</v>
      </c>
      <c r="G14" s="66">
        <f>AVERAGEIFS('BA History S2'!C:C,'BA History S2'!B:B,A14)</f>
        <v>18.666666666666668</v>
      </c>
      <c r="H14" s="35">
        <f t="array" ref="H14">MAX(IF('BA History S2'!B:B=A14, 'BA History S2'!C:C))</f>
        <v>28</v>
      </c>
      <c r="I14" s="34">
        <f>COUNTIFS('BA History S2'!B:B,A14,'BA History S2'!D:D, 1)</f>
        <v>4</v>
      </c>
      <c r="J14" s="2">
        <f>COUNTIFS('BA History S2'!B:B,A14,'BA History S2'!D:D, 0)</f>
        <v>2</v>
      </c>
      <c r="K14" s="75">
        <f>LOOKUP(2, 1/('BA History S2'!$B:$B=A14), 'BA History S2'!$AJ:$AJ)</f>
        <v>0.66666666666666663</v>
      </c>
      <c r="L14" s="34">
        <f>SUMIFS('BA History S2'!F:F,'BA History S2'!B:B,A14)</f>
        <v>15</v>
      </c>
      <c r="M14" s="2">
        <f>SUMIFS('BA History S2'!E:E,'BA History S2'!B:B,A14)-L14</f>
        <v>8</v>
      </c>
      <c r="N14" s="75">
        <f>LOOKUP(2, 1/('BA History S2'!$B:$B=A14), 'BA History S2'!$AH:$AH)</f>
        <v>0.69166666666666676</v>
      </c>
      <c r="O14" s="34">
        <f>SUMIFS('BA History S2'!H:H,'BA History S2'!B:B,A14)</f>
        <v>56</v>
      </c>
      <c r="P14" s="2">
        <f>SUMIFS('BA History S2'!G:G,'BA History S2'!B:B,A14)-O14</f>
        <v>39</v>
      </c>
      <c r="Q14" s="89">
        <f>LOOKUP(2, 1/('BA History S2'!$B:$B=A14), 'BA History S2'!$AI:$AI)</f>
        <v>9.3333333333333339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1</v>
      </c>
      <c r="U14" s="2">
        <f>COUNTIFS('BA History S2'!$B:$B,$A$14,'BA History S2'!N:N, 1)</f>
        <v>3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1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2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0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8.1999999999999993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90</v>
      </c>
      <c r="G17" s="66">
        <f>AVERAGEIFS('BA History S2'!C:C,'BA History S2'!B:B,A17)</f>
        <v>12.857142857142858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5</v>
      </c>
      <c r="K17" s="75">
        <f>LOOKUP(2, 1/('BA History S2'!$B:$B=A17), 'BA History S2'!$AJ:$AJ)</f>
        <v>0.2857142857142857</v>
      </c>
      <c r="L17" s="34">
        <f>SUMIFS('BA History S2'!F:F,'BA History S2'!B:B,A17)</f>
        <v>14</v>
      </c>
      <c r="M17" s="2">
        <f>SUMIFS('BA History S2'!E:E,'BA History S2'!B:B,A17)-L17</f>
        <v>15</v>
      </c>
      <c r="N17" s="75">
        <f>LOOKUP(2, 1/('BA History S2'!$B:$B=A17), 'BA History S2'!$AH:$AH)</f>
        <v>0.52857142857142858</v>
      </c>
      <c r="O17" s="34">
        <f>SUMIFS('BA History S2'!H:H,'BA History S2'!B:B,A17)</f>
        <v>62</v>
      </c>
      <c r="P17" s="2">
        <f>SUMIFS('BA History S2'!G:G,'BA History S2'!B:B,A17)-O17</f>
        <v>62</v>
      </c>
      <c r="Q17" s="89">
        <f>LOOKUP(2, 1/('BA History S2'!$B:$B=A17), 'BA History S2'!$AI:$AI)</f>
        <v>8.8571428571428577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2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10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14</v>
      </c>
      <c r="G19" s="66">
        <f>AVERAGEIFS('BA History S2'!C:C,'BA History S2'!B:B,A19)</f>
        <v>7</v>
      </c>
      <c r="H19" s="35">
        <f t="array" ref="H19">MAX(IF('BA History S2'!B:B=A19, 'BA History S2'!C:C))</f>
        <v>10</v>
      </c>
      <c r="I19" s="34">
        <f>COUNTIFS('BA History S2'!B:B,A19,'BA History S2'!D:D, 1)</f>
        <v>2</v>
      </c>
      <c r="J19" s="2">
        <f>COUNTIFS('BA History S2'!B:B,A19,'BA History S2'!D:D, 0)</f>
        <v>0</v>
      </c>
      <c r="K19" s="75">
        <f>LOOKUP(2, 1/('BA History S2'!$B:$B=A19), 'BA History S2'!$AJ:$AJ)</f>
        <v>1</v>
      </c>
      <c r="L19" s="34">
        <f>SUMIFS('BA History S2'!F:F,'BA History S2'!B:B,A19)</f>
        <v>6</v>
      </c>
      <c r="M19" s="2">
        <f>SUMIFS('BA History S2'!E:E,'BA History S2'!B:B,A19)-L19</f>
        <v>2</v>
      </c>
      <c r="N19" s="75">
        <f>LOOKUP(2, 1/('BA History S2'!$B:$B=A19), 'BA History S2'!$AH:$AH)</f>
        <v>0.75</v>
      </c>
      <c r="O19" s="34">
        <f>SUMIFS('BA History S2'!H:H,'BA History S2'!B:B,A19)</f>
        <v>21</v>
      </c>
      <c r="P19" s="2">
        <f>SUMIFS('BA History S2'!G:G,'BA History S2'!B:B,A19)-O19</f>
        <v>15</v>
      </c>
      <c r="Q19" s="89">
        <f>LOOKUP(2, 1/('BA History S2'!$B:$B=A19), 'BA History S2'!$AI:$AI)</f>
        <v>10.5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0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0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1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0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7.8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10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94</v>
      </c>
      <c r="G22" s="66">
        <f>AVERAGEIFS('BA History S2'!C:C,'BA History S2'!B:B,A22)</f>
        <v>23.5</v>
      </c>
      <c r="H22" s="35">
        <f t="array" ref="H22">MAX(IF('BA History S2'!B:B=A22, 'BA History S2'!C:C))</f>
        <v>42</v>
      </c>
      <c r="I22" s="34">
        <f>COUNTIFS('BA History S2'!B:B,A22,'BA History S2'!D:D, 1)</f>
        <v>3</v>
      </c>
      <c r="J22" s="2">
        <f>COUNTIFS('BA History S2'!B:B,A22,'BA History S2'!D:D, 0)</f>
        <v>1</v>
      </c>
      <c r="K22" s="75">
        <f>LOOKUP(2, 1/('BA History S2'!$B:$B=A22), 'BA History S2'!$AJ:$AJ)</f>
        <v>0.75</v>
      </c>
      <c r="L22" s="34">
        <f>SUMIFS('BA History S2'!F:F,'BA History S2'!B:B,A22)</f>
        <v>10</v>
      </c>
      <c r="M22" s="2">
        <f>SUMIFS('BA History S2'!E:E,'BA History S2'!B:B,A22)-L22</f>
        <v>4</v>
      </c>
      <c r="N22" s="75">
        <f>LOOKUP(2, 1/('BA History S2'!$B:$B=A22), 'BA History S2'!$AH:$AH)</f>
        <v>0.75</v>
      </c>
      <c r="O22" s="34">
        <f>SUMIFS('BA History S2'!H:H,'BA History S2'!B:B,A22)</f>
        <v>37</v>
      </c>
      <c r="P22" s="2">
        <f>SUMIFS('BA History S2'!G:G,'BA History S2'!B:B,A22)-O22</f>
        <v>23</v>
      </c>
      <c r="Q22" s="89">
        <f>LOOKUP(2, 1/('BA History S2'!$B:$B=A22), 'BA History S2'!$AI:$AI)</f>
        <v>9.25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0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1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67</v>
      </c>
      <c r="G23" s="66">
        <f>AVERAGEIFS('BA History S2'!C:C,'BA History S2'!B:B,A23)</f>
        <v>16.75</v>
      </c>
      <c r="H23" s="35">
        <f t="array" ref="H23">MAX(IF('BA History S2'!B:B=A23, 'BA History S2'!C:C))</f>
        <v>19</v>
      </c>
      <c r="I23" s="34">
        <f>COUNTIFS('BA History S2'!B:B,A23,'BA History S2'!D:D, 1)</f>
        <v>3</v>
      </c>
      <c r="J23" s="2">
        <f>COUNTIFS('BA History S2'!B:B,A23,'BA History S2'!D:D, 0)</f>
        <v>1</v>
      </c>
      <c r="K23" s="75">
        <f>LOOKUP(2, 1/('BA History S2'!$B:$B=A23), 'BA History S2'!$AJ:$AJ)</f>
        <v>0.75</v>
      </c>
      <c r="L23" s="34">
        <f>SUMIFS('BA History S2'!F:F,'BA History S2'!B:B,A23)</f>
        <v>10</v>
      </c>
      <c r="M23" s="2">
        <f>SUMIFS('BA History S2'!E:E,'BA History S2'!B:B,A23)-L23</f>
        <v>7</v>
      </c>
      <c r="N23" s="75">
        <f>LOOKUP(2, 1/('BA History S2'!$B:$B=A23), 'BA History S2'!$AH:$AH)</f>
        <v>0.61250000000000004</v>
      </c>
      <c r="O23" s="34">
        <f>SUMIFS('BA History S2'!H:H,'BA History S2'!B:B,A23)</f>
        <v>38</v>
      </c>
      <c r="P23" s="2">
        <f>SUMIFS('BA History S2'!G:G,'BA History S2'!B:B,A23)-O23</f>
        <v>34</v>
      </c>
      <c r="Q23" s="89">
        <f>LOOKUP(2, 1/('BA History S2'!$B:$B=A23), 'BA History S2'!$AI:$AI)</f>
        <v>9.5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3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3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8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196</v>
      </c>
      <c r="G25" s="66">
        <f>AVERAGEIFS('BA History S2'!C:C,'BA History S2'!B:B,A25)</f>
        <v>19.600000000000001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5</v>
      </c>
      <c r="K25" s="75">
        <f>LOOKUP(2, 1/('BA History S2'!$B:$B=A25), 'BA History S2'!$AJ:$AJ)</f>
        <v>0.5</v>
      </c>
      <c r="L25" s="34">
        <f>SUMIFS('BA History S2'!F:F,'BA History S2'!B:B,A25)</f>
        <v>21</v>
      </c>
      <c r="M25" s="2">
        <f>SUMIFS('BA History S2'!E:E,'BA History S2'!B:B,A25)-L25</f>
        <v>20</v>
      </c>
      <c r="N25" s="75">
        <f>LOOKUP(2, 1/('BA History S2'!$B:$B=A25), 'BA History S2'!$AH:$AH)</f>
        <v>0.51500000000000001</v>
      </c>
      <c r="O25" s="34">
        <f>SUMIFS('BA History S2'!H:H,'BA History S2'!B:B,A25)</f>
        <v>90</v>
      </c>
      <c r="P25" s="2">
        <f>SUMIFS('BA History S2'!G:G,'BA History S2'!B:B,A25)-O25</f>
        <v>85</v>
      </c>
      <c r="Q25" s="89">
        <f>LOOKUP(2, 1/('BA History S2'!$B:$B=A25), 'BA History S2'!$AI:$AI)</f>
        <v>9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148</v>
      </c>
      <c r="B26" s="2" t="s">
        <v>79</v>
      </c>
      <c r="C26" s="2"/>
      <c r="D26" s="2"/>
      <c r="E26" s="2"/>
      <c r="F26" s="34">
        <f>SUMIFS('BA History S2'!C:C,'BA History S2'!B:B,A26)</f>
        <v>40</v>
      </c>
      <c r="G26" s="66">
        <f>AVERAGEIFS('BA History S2'!C:C,'BA History S2'!B:B,A26)</f>
        <v>13.333333333333334</v>
      </c>
      <c r="H26" s="35">
        <f t="array" ref="H26">MAX(IF('BA History S2'!B:B=A26, 'BA History S2'!C:C))</f>
        <v>15</v>
      </c>
      <c r="I26" s="34">
        <f>COUNTIFS('BA History S2'!B:B,A26,'BA History S2'!D:D, 1)</f>
        <v>1</v>
      </c>
      <c r="J26" s="2">
        <f>COUNTIFS('BA History S2'!B:B,A26,'BA History S2'!D:D, 0)</f>
        <v>2</v>
      </c>
      <c r="K26" s="75">
        <f>LOOKUP(2, 1/('BA History S2'!$B:$B=A26), 'BA History S2'!$AJ:$AJ)</f>
        <v>0.33333333333333331</v>
      </c>
      <c r="L26" s="34">
        <f>SUMIFS('BA History S2'!F:F,'BA History S2'!B:B,A26)</f>
        <v>6</v>
      </c>
      <c r="M26" s="2">
        <f>SUMIFS('BA History S2'!E:E,'BA History S2'!B:B,A26)-L26</f>
        <v>6</v>
      </c>
      <c r="N26" s="75">
        <f>LOOKUP(2, 1/('BA History S2'!$B:$B=A26), 'BA History S2'!$AH:$AH)</f>
        <v>0.54999999999999993</v>
      </c>
      <c r="O26" s="34">
        <f>SUMIFS('BA History S2'!H:H,'BA History S2'!B:B,A26)</f>
        <v>29</v>
      </c>
      <c r="P26" s="2">
        <f>SUMIFS('BA History S2'!G:G,'BA History S2'!B:B,A26)-O26</f>
        <v>23</v>
      </c>
      <c r="Q26" s="89">
        <f>LOOKUP(2, 1/('BA History S2'!$B:$B=A26), 'BA History S2'!$AI:$AI)</f>
        <v>9.6666666666666661</v>
      </c>
      <c r="R26" s="2">
        <f>COUNTIFS('BA History S2'!$B:$B,$A$26,'BA History S2'!K:K, 1)</f>
        <v>0</v>
      </c>
      <c r="S26" s="2">
        <f>COUNTIFS('BA History S2'!$B:$B,$A$26,'BA History S2'!L:L, 1)</f>
        <v>1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1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</row>
    <row r="27" spans="1:39" x14ac:dyDescent="0.25">
      <c r="A27" s="2" t="s">
        <v>17</v>
      </c>
      <c r="B27" s="2" t="s">
        <v>79</v>
      </c>
      <c r="C27" s="2"/>
      <c r="D27" s="2"/>
      <c r="E27" s="2"/>
      <c r="F27" s="34">
        <f>SUMIFS('BA History S2'!C:C,'BA History S2'!B:B,A27)</f>
        <v>91</v>
      </c>
      <c r="G27" s="66">
        <f>AVERAGEIFS('BA History S2'!C:C,'BA History S2'!B:B,A27)</f>
        <v>18.2</v>
      </c>
      <c r="H27" s="35">
        <f t="array" ref="H27">MAX(IF('BA History S2'!B:B=A27, 'BA History S2'!C:C))</f>
        <v>26</v>
      </c>
      <c r="I27" s="34">
        <f>COUNTIFS('BA History S2'!B:B,A27,'BA History S2'!D:D, 1)</f>
        <v>5</v>
      </c>
      <c r="J27" s="2">
        <f>COUNTIFS('BA History S2'!B:B,A27,'BA History S2'!D:D, 0)</f>
        <v>0</v>
      </c>
      <c r="K27" s="75">
        <f>LOOKUP(2, 1/('BA History S2'!$B:$B=A27), 'BA History S2'!$AJ:$AJ)</f>
        <v>1</v>
      </c>
      <c r="L27" s="34">
        <f>SUMIFS('BA History S2'!F:F,'BA History S2'!B:B,A27)</f>
        <v>15</v>
      </c>
      <c r="M27" s="2">
        <f>SUMIFS('BA History S2'!E:E,'BA History S2'!B:B,A27)-L27</f>
        <v>5</v>
      </c>
      <c r="N27" s="75">
        <f>LOOKUP(2, 1/('BA History S2'!$B:$B=A27), 'BA History S2'!$AH:$AH)</f>
        <v>0.77</v>
      </c>
      <c r="O27" s="34">
        <f>SUMIFS('BA History S2'!H:H,'BA History S2'!B:B,A27)</f>
        <v>51</v>
      </c>
      <c r="P27" s="2">
        <f>SUMIFS('BA History S2'!G:G,'BA History S2'!B:B,A27)-O27</f>
        <v>32</v>
      </c>
      <c r="Q27" s="89">
        <f>LOOKUP(2, 1/('BA History S2'!$B:$B=A27), 'BA History S2'!$AI:$AI)</f>
        <v>10.199999999999999</v>
      </c>
      <c r="R27" s="2">
        <f>COUNTIFS('BA History S2'!$B:$B,$A$27,'BA History S2'!K:K, 1)</f>
        <v>1</v>
      </c>
      <c r="S27" s="2">
        <f>COUNTIFS('BA History S2'!$B:$B,$A$27,'BA History S2'!L:L, 1)</f>
        <v>1</v>
      </c>
      <c r="T27" s="2">
        <f>COUNTIFS('BA History S2'!$B:$B,$A$27,'BA History S2'!M:M, 1)</f>
        <v>2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2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2</v>
      </c>
      <c r="AH27" s="2">
        <f>COUNTIFS('BA History S2'!$B:$B,$A$27,'BA History S2'!AA:AA, 1)</f>
        <v>0</v>
      </c>
      <c r="AI27" s="2">
        <f>COUNTIFS('BA History S2'!$B:$B,$A$27,'BA History S2'!AB:AB, 1)</f>
        <v>2</v>
      </c>
      <c r="AJ27" s="2">
        <f>COUNTIFS('BA History S2'!$B:$B,$A$27,'BA History S2'!AC:AC, 1)</f>
        <v>1</v>
      </c>
      <c r="AK27" s="2">
        <f>COUNTIFS('BA History S2'!$B:$B,$A$27,'BA History S2'!AD:AD, 1)</f>
        <v>2</v>
      </c>
      <c r="AL27" s="2">
        <f>COUNTIFS('BA History S2'!$B:$B,$A$27,'BA History S2'!AE:AE, 1)</f>
        <v>0</v>
      </c>
      <c r="AM27" s="2">
        <f>COUNTIFS('BA History S2'!$B:$B,$A$27,'BA History S2'!AF:AF, 1)</f>
        <v>0</v>
      </c>
    </row>
    <row r="28" spans="1:39" x14ac:dyDescent="0.25">
      <c r="A28" s="2" t="s">
        <v>6</v>
      </c>
      <c r="B28" s="1" t="s">
        <v>161</v>
      </c>
      <c r="E28" s="1">
        <v>1</v>
      </c>
      <c r="F28" s="34">
        <f>SUMIFS('BA History S2'!C:C,'BA History S2'!B:B,A28)</f>
        <v>192</v>
      </c>
      <c r="G28" s="66">
        <f>AVERAGEIFS('BA History S2'!C:C,'BA History S2'!B:B,A28)</f>
        <v>21.333333333333332</v>
      </c>
      <c r="H28" s="35">
        <f t="array" ref="H28">MAX(IF('BA History S2'!B:B=A28, 'BA History S2'!C:C))</f>
        <v>31</v>
      </c>
      <c r="I28" s="34">
        <f>COUNTIFS('BA History S2'!B:B,A28,'BA History S2'!D:D, 1)</f>
        <v>3</v>
      </c>
      <c r="J28" s="2">
        <f>COUNTIFS('BA History S2'!B:B,A28,'BA History S2'!D:D, 0)</f>
        <v>6</v>
      </c>
      <c r="K28" s="75">
        <f>LOOKUP(2, 1/('BA History S2'!$B:$B=A28), 'BA History S2'!$AJ:$AJ)</f>
        <v>0.33333333333333331</v>
      </c>
      <c r="L28" s="34">
        <f>SUMIFS('BA History S2'!F:F,'BA History S2'!B:B,A28)</f>
        <v>15</v>
      </c>
      <c r="M28" s="2">
        <f>SUMIFS('BA History S2'!E:E,'BA History S2'!B:B,A28)-L28</f>
        <v>22</v>
      </c>
      <c r="N28" s="75">
        <f>LOOKUP(2, 1/('BA History S2'!$B:$B=A28), 'BA History S2'!$AH:$AH)</f>
        <v>0.37777777777777777</v>
      </c>
      <c r="O28" s="34">
        <f>SUMIFS('BA History S2'!H:H,'BA History S2'!B:B,A28)</f>
        <v>72</v>
      </c>
      <c r="P28" s="2">
        <f>SUMIFS('BA History S2'!G:G,'BA History S2'!B:B,A28)-O28</f>
        <v>85</v>
      </c>
      <c r="Q28" s="89">
        <f>LOOKUP(2, 1/('BA History S2'!$B:$B=A28), 'BA History S2'!$AI:$AI)</f>
        <v>8</v>
      </c>
      <c r="R28" s="2">
        <f>COUNTIFS('BA History S2'!$B:$B,$A$28,'BA History S2'!K:K, 1)</f>
        <v>0</v>
      </c>
      <c r="S28" s="2">
        <f>COUNTIFS('BA History S2'!$B:$B,$A$28,'BA History S2'!L:L, 1)</f>
        <v>2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2</v>
      </c>
      <c r="AK28" s="2">
        <f>COUNTIFS('BA History S2'!$B:$B,$A$28,'BA History S2'!AD:AD, 1)</f>
        <v>1</v>
      </c>
      <c r="AL28" s="2">
        <f>COUNTIFS('BA History S2'!$B:$B,$A$28,'BA History S2'!AE:AE, 1)</f>
        <v>0</v>
      </c>
      <c r="AM28" s="2">
        <f>COUNTIFS('BA History S2'!$B:$B,$A$28,'BA History S2'!AF:AF, 1)</f>
        <v>1</v>
      </c>
    </row>
    <row r="29" spans="1:39" x14ac:dyDescent="0.25">
      <c r="A29" s="2" t="s">
        <v>113</v>
      </c>
      <c r="B29" s="2" t="s">
        <v>79</v>
      </c>
      <c r="C29" s="2">
        <v>1</v>
      </c>
      <c r="D29" s="2">
        <v>1</v>
      </c>
      <c r="E29" s="2"/>
      <c r="F29" s="34">
        <f>SUMIFS('BA History S2'!C:C,'BA History S2'!B:B,A29)</f>
        <v>170</v>
      </c>
      <c r="G29" s="66">
        <f>AVERAGEIFS('BA History S2'!C:C,'BA History S2'!B:B,A29)</f>
        <v>21.25</v>
      </c>
      <c r="H29" s="35">
        <f t="array" ref="H29">MAX(IF('BA History S2'!B:B=A29, 'BA History S2'!C:C))</f>
        <v>36</v>
      </c>
      <c r="I29" s="34">
        <f>COUNTIFS('BA History S2'!B:B,A29,'BA History S2'!D:D, 1)</f>
        <v>6</v>
      </c>
      <c r="J29" s="2">
        <f>COUNTIFS('BA History S2'!B:B,A29,'BA History S2'!D:D, 0)</f>
        <v>2</v>
      </c>
      <c r="K29" s="75">
        <f>LOOKUP(2, 1/('BA History S2'!$B:$B=A29), 'BA History S2'!$AJ:$AJ)</f>
        <v>0.75</v>
      </c>
      <c r="L29" s="34">
        <f>SUMIFS('BA History S2'!F:F,'BA History S2'!B:B,A29)</f>
        <v>21</v>
      </c>
      <c r="M29" s="2">
        <f>SUMIFS('BA History S2'!E:E,'BA History S2'!B:B,A29)-L29</f>
        <v>12</v>
      </c>
      <c r="N29" s="75">
        <f>LOOKUP(2, 1/('BA History S2'!$B:$B=A29), 'BA History S2'!$AH:$AH)</f>
        <v>0.66874999999999996</v>
      </c>
      <c r="O29" s="34">
        <f>SUMIFS('BA History S2'!H:H,'BA History S2'!B:B,A29)</f>
        <v>79</v>
      </c>
      <c r="P29" s="2">
        <f>SUMIFS('BA History S2'!G:G,'BA History S2'!B:B,A29)-O29</f>
        <v>62</v>
      </c>
      <c r="Q29" s="89">
        <f>LOOKUP(2, 1/('BA History S2'!$B:$B=A29), 'BA History S2'!$AI:$AI)</f>
        <v>9.875</v>
      </c>
      <c r="R29" s="2">
        <f>COUNTIFS('BA History S2'!$B:$B,$A$29,'BA History S2'!K:K, 1)</f>
        <v>0</v>
      </c>
      <c r="S29" s="2">
        <f>COUNTIFS('BA History S2'!$B:$B,$A$29,'BA History S2'!L:L, 1)</f>
        <v>3</v>
      </c>
      <c r="T29" s="2">
        <f>COUNTIFS('BA History S2'!$B:$B,$A$29,'BA History S2'!M:M, 1)</f>
        <v>1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1</v>
      </c>
      <c r="AC29" s="2">
        <f>COUNTIFS('BA History S2'!$B:$B,$A$29,'BA History S2'!V:V, 1)</f>
        <v>1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3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3</v>
      </c>
      <c r="AK29" s="2">
        <f>COUNTIFS('BA History S2'!$B:$B,$A$29,'BA History S2'!AD:AD, 1)</f>
        <v>0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14</v>
      </c>
      <c r="B30" s="2" t="s">
        <v>79</v>
      </c>
      <c r="C30" s="2">
        <v>1</v>
      </c>
      <c r="D30" s="2"/>
      <c r="E30" s="2"/>
      <c r="F30" s="34">
        <f>SUMIFS('BA History S2'!C:C,'BA History S2'!B:B,A30)</f>
        <v>42</v>
      </c>
      <c r="G30" s="66">
        <f>AVERAGEIFS('BA History S2'!C:C,'BA History S2'!B:B,A30)</f>
        <v>14</v>
      </c>
      <c r="H30" s="35">
        <f t="array" ref="H30">MAX(IF('BA History S2'!B:B=A30, 'BA History S2'!C:C))</f>
        <v>21</v>
      </c>
      <c r="I30" s="34">
        <f>COUNTIFS('BA History S2'!B:B,A30,'BA History S2'!D:D, 1)</f>
        <v>1</v>
      </c>
      <c r="J30" s="2">
        <f>COUNTIFS('BA History S2'!B:B,A30,'BA History S2'!D:D, 0)</f>
        <v>2</v>
      </c>
      <c r="K30" s="75">
        <f>LOOKUP(2, 1/('BA History S2'!$B:$B=A30), 'BA History S2'!$AJ:$AJ)</f>
        <v>0.33333333333333331</v>
      </c>
      <c r="L30" s="34">
        <f>SUMIFS('BA History S2'!F:F,'BA History S2'!B:B,A30)</f>
        <v>5</v>
      </c>
      <c r="M30" s="2">
        <f>SUMIFS('BA History S2'!E:E,'BA History S2'!B:B,A30)-L30</f>
        <v>8</v>
      </c>
      <c r="N30" s="75">
        <f>LOOKUP(2, 1/('BA History S2'!$B:$B=A30), 'BA History S2'!$AH:$AH)</f>
        <v>0.3666666666666667</v>
      </c>
      <c r="O30" s="34">
        <f>SUMIFS('BA History S2'!H:H,'BA History S2'!B:B,A30)</f>
        <v>25</v>
      </c>
      <c r="P30" s="2">
        <f>SUMIFS('BA History S2'!G:G,'BA History S2'!B:B,A30)-O30</f>
        <v>30</v>
      </c>
      <c r="Q30" s="89">
        <f>LOOKUP(2, 1/('BA History S2'!$B:$B=A30), 'BA History S2'!$AI:$AI)</f>
        <v>8.3333333333333339</v>
      </c>
      <c r="R30" s="2">
        <f>COUNTIFS('BA History S2'!$B:$B,$A$30,'BA History S2'!K:K, 1)</f>
        <v>0</v>
      </c>
      <c r="S30" s="2">
        <f>COUNTIFS('BA History S2'!$B:$B,$A$30,'BA History S2'!L:L, 1)</f>
        <v>1</v>
      </c>
      <c r="T30" s="2">
        <f>COUNTIFS('BA History S2'!$B:$B,$A$30,'BA History S2'!M:M, 1)</f>
        <v>0</v>
      </c>
      <c r="U30" s="2">
        <f>COUNTIFS('BA History S2'!$B:$B,$A$30,'BA History S2'!N:N, 1)</f>
        <v>1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0</v>
      </c>
      <c r="AH30" s="2">
        <f>COUNTIFS('BA History S2'!$B:$B,$A$30,'BA History S2'!AA:AA, 1)</f>
        <v>0</v>
      </c>
      <c r="AI30" s="2">
        <f>COUNTIFS('BA History S2'!$B:$B,$A$30,'BA History S2'!AB:AB, 1)</f>
        <v>3</v>
      </c>
      <c r="AJ30" s="2">
        <f>COUNTIFS('BA History S2'!$B:$B,$A$30,'BA History S2'!AC:AC, 1)</f>
        <v>0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70</v>
      </c>
      <c r="B31" s="2" t="s">
        <v>79</v>
      </c>
      <c r="C31" s="2"/>
      <c r="D31" s="2"/>
      <c r="E31" s="2"/>
      <c r="F31" s="34">
        <f>SUMIFS('BA History S2'!C:C,'BA History S2'!B:B,A31)</f>
        <v>7</v>
      </c>
      <c r="G31" s="66">
        <f>AVERAGEIFS('BA History S2'!C:C,'BA History S2'!B:B,A31)</f>
        <v>7</v>
      </c>
      <c r="H31" s="35">
        <f t="array" ref="H31">MAX(IF('BA History S2'!B:B=A31, 'BA History S2'!C:C))</f>
        <v>7</v>
      </c>
      <c r="I31" s="34">
        <f>COUNTIFS('BA History S2'!B:B,A31,'BA History S2'!D:D, 1)</f>
        <v>0</v>
      </c>
      <c r="J31" s="2">
        <f>COUNTIFS('BA History S2'!B:B,A31,'BA History S2'!D:D, 0)</f>
        <v>1</v>
      </c>
      <c r="K31" s="75">
        <f>LOOKUP(2, 1/('BA History S2'!$B:$B=A31), 'BA History S2'!$AJ:$AJ)</f>
        <v>0</v>
      </c>
      <c r="L31" s="34">
        <f>SUMIFS('BA History S2'!F:F,'BA History S2'!B:B,A31)</f>
        <v>1</v>
      </c>
      <c r="M31" s="2">
        <f>SUMIFS('BA History S2'!E:E,'BA History S2'!B:B,A31)-L31</f>
        <v>3</v>
      </c>
      <c r="N31" s="75">
        <f>LOOKUP(2, 1/('BA History S2'!$B:$B=A31), 'BA History S2'!$AH:$AH)</f>
        <v>0.25</v>
      </c>
      <c r="O31" s="34">
        <f>SUMIFS('BA History S2'!H:H,'BA History S2'!B:B,A31)</f>
        <v>8</v>
      </c>
      <c r="P31" s="2">
        <f>SUMIFS('BA History S2'!G:G,'BA History S2'!B:B,A31)-O31</f>
        <v>10</v>
      </c>
      <c r="Q31" s="89">
        <f>LOOKUP(2, 1/('BA History S2'!$B:$B=A31), 'BA History S2'!$AI:$AI)</f>
        <v>8</v>
      </c>
      <c r="R31" s="2">
        <f>COUNTIFS('BA History S2'!$B:$B,$A$31,'BA History S2'!K:K, 1)</f>
        <v>0</v>
      </c>
      <c r="S31" s="2">
        <f>COUNTIFS('BA History S2'!$B:$B,$A$31,'BA History S2'!L:L, 1)</f>
        <v>0</v>
      </c>
      <c r="T31" s="2">
        <f>COUNTIFS('BA History S2'!$B:$B,$A$31,'BA History S2'!M:M, 1)</f>
        <v>0</v>
      </c>
      <c r="U31" s="2">
        <f>COUNTIFS('BA History S2'!$B:$B,$A$31,'BA History S2'!N:N, 1)</f>
        <v>1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0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0</v>
      </c>
      <c r="AG31" s="2">
        <f>COUNTIFS('BA History S2'!$B:$B,$A$31,'BA History S2'!Z:Z, 1)</f>
        <v>0</v>
      </c>
      <c r="AH31" s="2">
        <f>COUNTIFS('BA History S2'!$B:$B,$A$31,'BA History S2'!AA:AA, 1)</f>
        <v>0</v>
      </c>
      <c r="AI31" s="2">
        <f>COUNTIFS('BA History S2'!$B:$B,$A$31,'BA History S2'!AB:AB, 1)</f>
        <v>0</v>
      </c>
      <c r="AJ31" s="2">
        <f>COUNTIFS('BA History S2'!$B:$B,$A$31,'BA History S2'!AC:AC, 1)</f>
        <v>0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0</v>
      </c>
    </row>
    <row r="32" spans="1:39" x14ac:dyDescent="0.25">
      <c r="A32" s="2" t="s">
        <v>4</v>
      </c>
      <c r="B32" s="1" t="s">
        <v>161</v>
      </c>
      <c r="C32" s="1">
        <v>1</v>
      </c>
      <c r="F32" s="34">
        <f>SUMIFS('BA History S2'!C:C,'BA History S2'!B:B,A32)</f>
        <v>166</v>
      </c>
      <c r="G32" s="66">
        <f>AVERAGEIFS('BA History S2'!C:C,'BA History S2'!B:B,A32)</f>
        <v>27.666666666666668</v>
      </c>
      <c r="H32" s="35">
        <f t="array" ref="H32">MAX(IF('BA History S2'!B:B=A32, 'BA History S2'!C:C))</f>
        <v>38</v>
      </c>
      <c r="I32" s="34">
        <f>COUNTIFS('BA History S2'!B:B,A32,'BA History S2'!D:D, 1)</f>
        <v>5</v>
      </c>
      <c r="J32" s="2">
        <f>COUNTIFS('BA History S2'!B:B,A32,'BA History S2'!D:D, 0)</f>
        <v>1</v>
      </c>
      <c r="K32" s="75">
        <f>LOOKUP(2, 1/('BA History S2'!$B:$B=A32), 'BA History S2'!$AJ:$AJ)</f>
        <v>0.83333333333333337</v>
      </c>
      <c r="L32" s="34">
        <f>SUMIFS('BA History S2'!F:F,'BA History S2'!B:B,A32)</f>
        <v>16</v>
      </c>
      <c r="M32" s="2">
        <f>SUMIFS('BA History S2'!E:E,'BA History S2'!B:B,A32)-L32</f>
        <v>9</v>
      </c>
      <c r="N32" s="75">
        <f>LOOKUP(2, 1/('BA History S2'!$B:$B=A32), 'BA History S2'!$AH:$AH)</f>
        <v>0.65833333333333333</v>
      </c>
      <c r="O32" s="34">
        <f>SUMIFS('BA History S2'!H:H,'BA History S2'!B:B,A32)</f>
        <v>62</v>
      </c>
      <c r="P32" s="2">
        <f>SUMIFS('BA History S2'!G:G,'BA History S2'!B:B,A32)-O32</f>
        <v>50</v>
      </c>
      <c r="Q32" s="89">
        <f>LOOKUP(2, 1/('BA History S2'!$B:$B=A32), 'BA History S2'!$AI:$AI)</f>
        <v>10.333333333333334</v>
      </c>
      <c r="R32" s="2">
        <f>COUNTIFS('BA History S2'!$B:$B,$A$32,'BA History S2'!K:K, 1)</f>
        <v>1</v>
      </c>
      <c r="S32" s="2">
        <f>COUNTIFS('BA History S2'!$B:$B,$A$32,'BA History S2'!L:L, 1)</f>
        <v>2</v>
      </c>
      <c r="T32" s="2">
        <f>COUNTIFS('BA History S2'!$B:$B,$A$32,'BA History S2'!M:M, 1)</f>
        <v>1</v>
      </c>
      <c r="U32" s="2">
        <f>COUNTIFS('BA History S2'!$B:$B,$A$32,'BA History S2'!N:N, 1)</f>
        <v>3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1</v>
      </c>
      <c r="AG32" s="2">
        <f>COUNTIFS('BA History S2'!$B:$B,$A$32,'BA History S2'!Z:Z, 1)</f>
        <v>1</v>
      </c>
      <c r="AH32" s="2">
        <f>COUNTIFS('BA History S2'!$B:$B,$A$32,'BA History S2'!AA:AA, 1)</f>
        <v>0</v>
      </c>
      <c r="AI32" s="2">
        <f>COUNTIFS('BA History S2'!$B:$B,$A$32,'BA History S2'!AB:AB, 1)</f>
        <v>2</v>
      </c>
      <c r="AJ32" s="2">
        <f>COUNTIFS('BA History S2'!$B:$B,$A$32,'BA History S2'!AC:AC, 1)</f>
        <v>3</v>
      </c>
      <c r="AK32" s="2">
        <f>COUNTIFS('BA History S2'!$B:$B,$A$32,'BA History S2'!AD:AD, 1)</f>
        <v>1</v>
      </c>
      <c r="AL32" s="2">
        <f>COUNTIFS('BA History S2'!$B:$B,$A$32,'BA History S2'!AE:AE, 1)</f>
        <v>0</v>
      </c>
      <c r="AM32" s="2">
        <f>COUNTIFS('BA History S2'!$B:$B,$A$32,'BA History S2'!AF:AF, 1)</f>
        <v>1</v>
      </c>
    </row>
    <row r="33" spans="1:39" x14ac:dyDescent="0.25">
      <c r="A33" s="1" t="s">
        <v>107</v>
      </c>
      <c r="B33" s="2" t="s">
        <v>79</v>
      </c>
      <c r="C33" s="2"/>
      <c r="D33" s="2"/>
      <c r="E33" s="2"/>
      <c r="F33" s="34">
        <f>SUMIFS('BA History S2'!C:C,'BA History S2'!B:B,A33)</f>
        <v>99</v>
      </c>
      <c r="G33" s="66">
        <f>AVERAGEIFS('BA History S2'!C:C,'BA History S2'!B:B,A33)</f>
        <v>14.142857142857142</v>
      </c>
      <c r="H33" s="35">
        <f t="array" ref="H33">MAX(IF('BA History S2'!B:B=A33, 'BA History S2'!C:C))</f>
        <v>22</v>
      </c>
      <c r="I33" s="34">
        <f>COUNTIFS('BA History S2'!B:B,A33,'BA History S2'!D:D, 1)</f>
        <v>3</v>
      </c>
      <c r="J33" s="2">
        <f>COUNTIFS('BA History S2'!B:B,A33,'BA History S2'!D:D, 0)</f>
        <v>4</v>
      </c>
      <c r="K33" s="75">
        <f>LOOKUP(2, 1/('BA History S2'!$B:$B=A33), 'BA History S2'!$AJ:$AJ)</f>
        <v>0.42857142857142855</v>
      </c>
      <c r="L33" s="34">
        <f>SUMIFS('BA History S2'!F:F,'BA History S2'!B:B,A33)</f>
        <v>11</v>
      </c>
      <c r="M33" s="2">
        <f>SUMIFS('BA History S2'!E:E,'BA History S2'!B:B,A33)-L33</f>
        <v>15</v>
      </c>
      <c r="N33" s="75">
        <f>LOOKUP(2, 1/('BA History S2'!$B:$B=A33), 'BA History S2'!$AH:$AH)</f>
        <v>0.37857142857142856</v>
      </c>
      <c r="O33" s="34">
        <f>SUMIFS('BA History S2'!H:H,'BA History S2'!B:B,A33)</f>
        <v>48</v>
      </c>
      <c r="P33" s="2">
        <f>SUMIFS('BA History S2'!G:G,'BA History S2'!B:B,A33)-O33</f>
        <v>61</v>
      </c>
      <c r="Q33" s="89">
        <f>LOOKUP(2, 1/('BA History S2'!$B:$B=A33), 'BA History S2'!$AI:$AI)</f>
        <v>6.8571428571428568</v>
      </c>
      <c r="R33" s="2">
        <f>COUNTIFS('BA History S2'!$B:$B,$A$33,'BA History S2'!K:K, 1)</f>
        <v>2</v>
      </c>
      <c r="S33" s="2">
        <f>COUNTIFS('BA History S2'!$B:$B,$A$33,'BA History S2'!L:L, 1)</f>
        <v>1</v>
      </c>
      <c r="T33" s="2">
        <f>COUNTIFS('BA History S2'!$B:$B,$A$33,'BA History S2'!M:M, 1)</f>
        <v>1</v>
      </c>
      <c r="U33" s="2">
        <f>COUNTIFS('BA History S2'!$B:$B,$A$33,'BA History S2'!N:N, 1)</f>
        <v>0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1</v>
      </c>
      <c r="AC33" s="2">
        <f>COUNTIFS('BA History S2'!$B:$B,$A$33,'BA History S2'!V:V, 1)</f>
        <v>1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1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</v>
      </c>
      <c r="AK33" s="2">
        <f>COUNTIFS('BA History S2'!$B:$B,$A$33,'BA History S2'!AD:AD, 1)</f>
        <v>2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</sheetData>
  <autoFilter ref="A1:AM33" xr:uid="{DA548192-1F03-46EA-8AB8-115EB9A7CE5D}">
    <sortState xmlns:xlrd2="http://schemas.microsoft.com/office/spreadsheetml/2017/richdata2" ref="A2:AM33">
      <sortCondition ref="A1:A33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37"/>
  <sheetViews>
    <sheetView workbookViewId="0">
      <pane xSplit="2" ySplit="1" topLeftCell="C109" activePane="bottomRight" state="frozen"/>
      <selection pane="topRight" activeCell="C1" sqref="C1"/>
      <selection pane="bottomLeft" activeCell="A2" sqref="A2"/>
      <selection pane="bottomRight" activeCell="AG124" sqref="AG124:AJ137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AVERAGEIFS($H2:H$2, $B2:B$2, B2)</f>
        <v>4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AVERAGEIFS($H$2:H3, $B$2:B3, B3)</f>
        <v>4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AVERAGEIFS($H$2:H4, $B$2:B4, B4)</f>
        <v>4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AVERAGEIFS($H$2:H5, $B$2:B5, B5)</f>
        <v>4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AVERAGEIFS($H$2:H6, $B$2:B6, B6)</f>
        <v>4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AVERAGEIFS($H$2:H7, $B$2:B7, B7)</f>
        <v>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AVERAGEIFS($H$2:H8, $B$2:B8, B8)</f>
        <v>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AVERAGEIFS($H$2:H9, $B$2:B9, B9)</f>
        <v>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AVERAGEIFS($H$2:H10, $B$2:B10, B10)</f>
        <v>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AVERAGEIFS($H$2:H11, $B$2:B11, B11)</f>
        <v>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AVERAGEIFS($H$2:H12, $B$2:B12, B12)</f>
        <v>10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AVERAGEIFS($H$2:H13, $B$2:B13, B13)</f>
        <v>10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AVERAGEIFS($H$2:H14, $B$2:B14, B14)</f>
        <v>10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AVERAGEIFS($H$2:H15, $B$2:B15, B15)</f>
        <v>10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AVERAGEIFS($H$2:H16, $B$2:B16, B16)</f>
        <v>10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AVERAGEIFS($H$2:H17, $B$2:B17, B17)</f>
        <v>8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AVERAGEIFS($H$2:H18, $B$2:B18, B18)</f>
        <v>8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AVERAGEIFS($H$2:H19, $B$2:B19, B19)</f>
        <v>8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AVERAGEIFS($H$2:H20, $B$2:B20, B20)</f>
        <v>8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AVERAGEIFS($H$2:H21, $B$2:B21, B21)</f>
        <v>8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AVERAGEIFS($H$2:H22, $B$2:B22, B22)</f>
        <v>11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AVERAGEIFS($H$2:H23, $B$2:B23, B23)</f>
        <v>10.5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AVERAGEIFS($H$2:H24, $B$2:B24, B24)</f>
        <v>7.5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AVERAGEIFS($H$2:H25, $B$2:B25, B25)</f>
        <v>10.5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AVERAGEIFS($H$2:H26, $B$2:B26, B26)</f>
        <v>10.5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AVERAGEIFS($H$2:H27, $B$2:B27, B27)</f>
        <v>7.5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AVERAGEIFS($H$2:H28, $B$2:B28, B28)</f>
        <v>5.5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AVERAGEIFS($H$2:H29, $B$2:B29, B29)</f>
        <v>8.5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AVERAGEIFS($H$2:H30, $B$2:B30, B30)</f>
        <v>8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AVERAGEIFS($H$2:H31, $B$2:B31, B31)</f>
        <v>7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AVERAGEIFS($H$2:H32, $B$2:B32, B32)</f>
        <v>7.5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AVERAGEIFS($H$2:H33, $B$2:B33, B33)</f>
        <v>5.5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AVERAGEIFS($H$2:H34, $B$2:B34, B34)</f>
        <v>7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AVERAGEIFS($H$2:H35, $B$2:B35, B35)</f>
        <v>11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AVERAGEIFS($H$2:H36, $B$2:B36, B36)</f>
        <v>11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AVERAGEIFS($H$2:H37, $B$2:B37, B37)</f>
        <v>10.5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AVERAGEIFS($H$2:H38, $B$2:B38, B38)</f>
        <v>10.5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AVERAGEIFS($H$2:H39, $B$2:B39, B39)</f>
        <v>9.6666666666666661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AVERAGEIFS($H$2:H40, $B$2:B40, B40)</f>
        <v>8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AVERAGEIFS($H$2:H41, $B$2:B41, B41)</f>
        <v>6.333333333333333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AVERAGEIFS($H$2:H42, $B$2:B42, B42)</f>
        <v>7.666666666666667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AVERAGEIFS($H$2:H43, $B$2:B43, B43)</f>
        <v>7.666666666666667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AVERAGEIFS($H$2:H44, $B$2:B44, B44)</f>
        <v>6.333333333333333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AVERAGEIFS($H$2:H45, $B$2:B45, B45)</f>
        <v>8.5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AVERAGEIFS($H$2:H46, $B$2:B46, B46)</f>
        <v>8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AVERAGEIFS($H$2:H47, $B$2:B47, B47)</f>
        <v>8.5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AVERAGEIFS($H$2:H48, $B$2:B48, B48)</f>
        <v>9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AVERAGEIFS($H$2:H49, $B$2:B49, B49)</f>
        <v>8.5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AVERAGEIFS($H$2:H50, $B$2:B50, B50)</f>
        <v>10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AVERAGEIFS($H$2:H51, $B$2:B51, B51)</f>
        <v>10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AVERAGEIFS($H$2:H52, $B$2:B52, B52)</f>
        <v>10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AVERAGEIFS($H$2:H53, $B$2:B53, B53)</f>
        <v>8.5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AVERAGEIFS($H$2:H54, $B$2:B54, B54)</f>
        <v>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AVERAGEIFS($H$2:H55, $B$2:B55, B55)</f>
        <v>4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AVERAGEIFS($H$2:H56, $B$2:B56, B56)</f>
        <v>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AVERAGEIFS($H$2:H57, $B$2:B57, B57)</f>
        <v>8.5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AVERAGEIFS($H$2:H58, $B$2:B58, B58)</f>
        <v>6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AVERAGEIFS($H$2:H59, $B$2:B59, B59)</f>
        <v>11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AVERAGEIFS($H$2:H60, $B$2:B60, B60)</f>
        <v>9.3333333333333339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AVERAGEIFS($H$2:H61, $B$2:B61, B61)</f>
        <v>10.25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AVERAGEIFS($H$2:H62, $B$2:B62, B62)</f>
        <v>10.5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AVERAGEIFS($H$2:H63, $B$2:B63, B63)</f>
        <v>12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AVERAGEIFS($H$2:H64, $B$2:B64, B64)</f>
        <v>6.666666666666667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AVERAGEIFS($H$2:H65, $B$2:B65, B65)</f>
        <v>8.75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AVERAGEIFS($H$2:H66, $B$2:B66, B66)</f>
        <v>9.1999999999999993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AVERAGEIFS($H$2:H67, $B$2:B67, B67)</f>
        <v>9.6666666666666661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AVERAGEIFS($H$2:H68, $B$2:B68, B68)</f>
        <v>7.75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AVERAGEIFS($H$2:H69, $B$2:B69, B69)</f>
        <v>9.6666666666666661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AVERAGEIFS($H$2:H70, $B$2:B70, B70)</f>
        <v>9.1999999999999993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AVERAGEIFS($H$2:H71, $B$2:B71, B71)</f>
        <v>9.6666666666666661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AVERAGEIFS($H$2:H72, $B$2:B72, B72)</f>
        <v>7.5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AVERAGEIFS($H$2:H73, $B$2:B73, B73)</f>
        <v>10.25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AVERAGEIFS($H$2:H74, $B$2:B74, B74)</f>
        <v>11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AVERAGEIFS($H$2:H75, $B$2:B75, B75)</f>
        <v>10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AVERAGEIFS($H$2:H76, $B$2:B76, B76)</f>
        <v>9.1999999999999993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AVERAGEIFS($H$2:H77, $B$2:B77, B77)</f>
        <v>9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AVERAGEIFS($H$2:H78, $B$2:B78, B78)</f>
        <v>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AVERAGEIFS($H$2:H79, $B$2:B79, B79)</f>
        <v>11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AVERAGEIFS($H$2:H80, $B$2:B80, B80)</f>
        <v>8.8333333333333339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AVERAGEIFS($H$2:H81, $B$2:B81, B81)</f>
        <v>9.8000000000000007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AVERAGEIFS($H$2:H82, $B$2:B82, B82)</f>
        <v>9.5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AVERAGEIFS($H$2:H83, $B$2:B83, B83)</f>
        <v>8.8333333333333339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AVERAGEIFS($H$2:H84, $B$2:B84, B84)</f>
        <v>8.75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AVERAGEIFS($H$2:H85, $B$2:B85, B85)</f>
        <v>9.6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AVERAGEIFS($H$2:H86, $B$2:B86, B86)</f>
        <v>9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AVERAGEIFS($H$2:H87, $B$2:B87, B87)</f>
        <v>7.5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AVERAGEIFS($H$2:H88, $B$2:B88, B88)</f>
        <v>8.8571428571428577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AVERAGEIFS($H$2:H89, $B$2:B89, B89)</f>
        <v>7.8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AVERAGEIFS($H$2:H90, $B$2:B90, B90)</f>
        <v>9.3333333333333339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AVERAGEIFS($H$2:H91, $B$2:B91, B91)</f>
        <v>9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AVERAGEIFS($H$2:H92, $B$2:B92, B92)</f>
        <v>9.6666666666666661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AVERAGEIFS($H$2:H93, $B$2:B93, B93)</f>
        <v>8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AVERAGEIFS($H$2:H94, $B$2:B94, B94)</f>
        <v>7.4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AVERAGEIFS($H$2:H95, $B$2:B95, B95)</f>
        <v>7.8571428571428568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AVERAGEIFS($H$2:H96, $B$2:B96, B96)</f>
        <v>6.166666666666667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AVERAGEIFS($H$2:H97, $B$2:B97, B97)</f>
        <v>8.3333333333333339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AVERAGEIFS($H$2:H98, $B$2:B98, B98)</f>
        <v>7.25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AVERAGEIFS($H$2:H99, $B$2:B99, B99)</f>
        <v>8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AVERAGEIFS($H$2:H100, $B$2:B100, B100)</f>
        <v>8.3333333333333339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AVERAGEIFS($H$2:H101, $B$2:B101, B101)</f>
        <v>8.2857142857142865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AVERAGEIFS($H$2:H102, $B$2:B102, B102)</f>
        <v>8.1999999999999993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AVERAGEIFS($H$2:H103, $B$2:B103, B103)</f>
        <v>9.5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AVERAGEIFS($H$2:H104, $B$2:B104, B104)</f>
        <v>10.199999999999999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AVERAGEIFS($H$2:H105, $B$2:B105, B105)</f>
        <v>10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AVERAGEIFS($H$2:H106, $B$2:B106, B106)</f>
        <v>8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AVERAGEIFS($H$2:H107, $B$2:B107, B107)</f>
        <v>9.6666666666666661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AVERAGEIFS($H$2:H108, $B$2:B108, B108)</f>
        <v>9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AVERAGEIFS($H$2:H109, $B$2:B109, B109)</f>
        <v>8.875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AVERAGEIFS($H$2:H110, $B$2:B110, B110)</f>
        <v>9.5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AVERAGEIFS($H$2:H111, $B$2:B111, B111)</f>
        <v>9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AVERAGEIFS($H$2:H112, $B$2:B112, B112)</f>
        <v>10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AVERAGEIFS($H$2:H113, $B$2:B113, B113)</f>
        <v>7.8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AVERAGEIFS($H$2:H114, $B$2:B114, B114)</f>
        <v>10.5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AVERAGEIFS($H$2:H115, $B$2:B115, B115)</f>
        <v>7.833333333333333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AVERAGEIFS($H$2:H116, $B$2:B116, B116)</f>
        <v>9.6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AVERAGEIFS($H$2:H117, $B$2:B117, B117)</f>
        <v>10.8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AVERAGEIFS($H$2:H118, $B$2:B118, B118)</f>
        <v>9.7142857142857135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AVERAGEIFS($H$2:H119, $B$2:B119, B119)</f>
        <v>8.6666666666666661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AVERAGEIFS($H$2:H120, $B$2:B120, B120)</f>
        <v>4.5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AVERAGEIFS($H$2:H121, $B$2:B121, B121)</f>
        <v>8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AVERAGEIFS($H$2:H122, $B$2:B122, B122)</f>
        <v>8.7777777777777786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AVERAGEIFS($H$2:H123, $B$2:B123, B123)</f>
        <v>8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AVERAGEIFS($H$2:H124, $B$2:B124, B124)</f>
        <v>8.25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AVERAGEIFS($H$2:H125, $B$2:B125, B125)</f>
        <v>10.333333333333334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AVERAGEIFS($H$2:H126, $B$2:B126, B126)</f>
        <v>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AVERAGEIFS($H$2:H127, $B$2:B127, B127)</f>
        <v>7.8571428571428568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AVERAGEIFS($H$2:H128, $B$2:B128, B128)</f>
        <v>8.5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AVERAGEIFS($H$2:H129, $B$2:B129, B129)</f>
        <v>9.3333333333333339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AVERAGEIFS($H$2:H130, $B$2:B130, B130)</f>
        <v>8.2857142857142865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AVERAGEIFS($H$2:H131, $B$2:B131, B131)</f>
        <v>8.8571428571428577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AVERAGEIFS($H$2:H132, $B$2:B132, B132)</f>
        <v>9.25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AVERAGEIFS($H$2:H133, $B$2:B133, B133)</f>
        <v>8.3333333333333339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AVERAGEIFS($H$2:H134, $B$2:B134, B134)</f>
        <v>9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AVERAGEIFS($H$2:H135, $B$2:B135, B135)</f>
        <v>6.8571428571428568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AVERAGEIFS($H$2:H136, $B$2:B136, B136)</f>
        <v>9.875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AVERAGEIFS($H$2:H137, $B$2:B137, B137)</f>
        <v>8.5555555555555554</v>
      </c>
      <c r="AJ137" s="86">
        <f>AVERAGEIFS($D$2:D137, $B$2:B137, B137)</f>
        <v>0.33333333333333331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2026-04-13T05:00:27Z</dcterms:modified>
</cp:coreProperties>
</file>