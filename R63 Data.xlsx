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46406DF-101C-4852-ABCF-AE0E634CE76D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History'!$A$1:$AJ$689</definedName>
    <definedName name="_xlnm._FilterDatabase" localSheetId="5" hidden="1">'BA v2'!$A$1:$AJ$55</definedName>
    <definedName name="_xlnm._FilterDatabase" localSheetId="4" hidden="1">'OB History'!$A$1:$AD$486</definedName>
    <definedName name="_xlnm._FilterDatabase" localSheetId="1" hidden="1">'Old Bow'!$A$1:$AD$37</definedName>
    <definedName name="_xlnm._FilterDatabase" localSheetId="0" hidden="1">'Old Bow v2'!$A$1:$AE$46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690" i="9" l="1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I30" i="11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0" i="11" s="1"/>
  <c r="AC475" i="10"/>
  <c r="O30" i="11" s="1"/>
  <c r="AD475" i="10"/>
  <c r="AA476" i="10"/>
  <c r="AB476" i="10"/>
  <c r="L3" i="11" s="1"/>
  <c r="AC476" i="10"/>
  <c r="O3" i="11" s="1"/>
  <c r="AD476" i="10"/>
  <c r="I3" i="11" s="1"/>
  <c r="AA477" i="10"/>
  <c r="AB477" i="10"/>
  <c r="L24" i="11" s="1"/>
  <c r="AC477" i="10"/>
  <c r="O24" i="11" s="1"/>
  <c r="AD477" i="10"/>
  <c r="I24" i="11" s="1"/>
  <c r="AA478" i="10"/>
  <c r="AB478" i="10"/>
  <c r="L12" i="11" s="1"/>
  <c r="AC478" i="10"/>
  <c r="O12" i="11" s="1"/>
  <c r="AD478" i="10"/>
  <c r="I12" i="11" s="1"/>
  <c r="AA479" i="10"/>
  <c r="AB479" i="10"/>
  <c r="L18" i="11" s="1"/>
  <c r="AC479" i="10"/>
  <c r="O18" i="11" s="1"/>
  <c r="AD479" i="10"/>
  <c r="I18" i="11" s="1"/>
  <c r="AA480" i="10"/>
  <c r="AB480" i="10"/>
  <c r="L39" i="11" s="1"/>
  <c r="AC480" i="10"/>
  <c r="O39" i="11" s="1"/>
  <c r="AD480" i="10"/>
  <c r="I39" i="11" s="1"/>
  <c r="AA481" i="10"/>
  <c r="AB481" i="10"/>
  <c r="L28" i="11" s="1"/>
  <c r="AC481" i="10"/>
  <c r="O28" i="11" s="1"/>
  <c r="AD481" i="10"/>
  <c r="I28" i="11" s="1"/>
  <c r="AA482" i="10"/>
  <c r="AB482" i="10"/>
  <c r="L38" i="11" s="1"/>
  <c r="AC482" i="10"/>
  <c r="O38" i="11" s="1"/>
  <c r="AD482" i="10"/>
  <c r="I38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7" i="11" s="1"/>
  <c r="AC485" i="10"/>
  <c r="O27" i="11" s="1"/>
  <c r="AD485" i="10"/>
  <c r="I27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P2" i="11"/>
  <c r="D2" i="11"/>
  <c r="E2" i="11"/>
  <c r="F2" i="11" a="1"/>
  <c r="F2" i="11" s="1"/>
  <c r="G2" i="11"/>
  <c r="H2" i="11"/>
  <c r="J2" i="11"/>
  <c r="K2" i="11" s="1"/>
  <c r="M2" i="11"/>
  <c r="N2" i="11" s="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P39" i="11"/>
  <c r="D39" i="11"/>
  <c r="E39" i="11"/>
  <c r="F39" i="11" a="1"/>
  <c r="F39" i="11" s="1"/>
  <c r="G39" i="11"/>
  <c r="H39" i="11"/>
  <c r="J39" i="11"/>
  <c r="K39" i="11" s="1"/>
  <c r="M39" i="11"/>
  <c r="N3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L37" i="11" s="1"/>
  <c r="AC470" i="10"/>
  <c r="O37" i="11" s="1"/>
  <c r="AD470" i="10"/>
  <c r="I37" i="11" s="1"/>
  <c r="AA471" i="10"/>
  <c r="AB471" i="10"/>
  <c r="L14" i="11" s="1"/>
  <c r="AC471" i="10"/>
  <c r="O14" i="11" s="1"/>
  <c r="AD471" i="10"/>
  <c r="I14" i="11" s="1"/>
  <c r="AA472" i="10"/>
  <c r="AB472" i="10"/>
  <c r="AC472" i="10"/>
  <c r="AD472" i="10"/>
  <c r="AA473" i="10"/>
  <c r="AB473" i="10"/>
  <c r="AC473" i="10"/>
  <c r="AD473" i="10"/>
  <c r="AA474" i="10"/>
  <c r="AB474" i="10"/>
  <c r="L46" i="11" s="1"/>
  <c r="AC474" i="10"/>
  <c r="O46" i="11" s="1"/>
  <c r="AD474" i="10"/>
  <c r="I46" i="11" s="1"/>
  <c r="AA451" i="10"/>
  <c r="AB451" i="10"/>
  <c r="L43" i="11" s="1"/>
  <c r="AC451" i="10"/>
  <c r="O43" i="11" s="1"/>
  <c r="AD451" i="10"/>
  <c r="I43" i="11" s="1"/>
  <c r="AA452" i="10"/>
  <c r="AB452" i="10"/>
  <c r="L17" i="11" s="1"/>
  <c r="AC452" i="10"/>
  <c r="O17" i="11" s="1"/>
  <c r="AD452" i="10"/>
  <c r="I17" i="11" s="1"/>
  <c r="AA453" i="10"/>
  <c r="AB453" i="10"/>
  <c r="L40" i="11" s="1"/>
  <c r="AC453" i="10"/>
  <c r="O40" i="11" s="1"/>
  <c r="AD453" i="10"/>
  <c r="I40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5" i="11" s="1"/>
  <c r="AC457" i="10"/>
  <c r="O45" i="11" s="1"/>
  <c r="AD457" i="10"/>
  <c r="I45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5" i="11" s="1"/>
  <c r="AC462" i="10"/>
  <c r="O25" i="11" s="1"/>
  <c r="AD462" i="10"/>
  <c r="I25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1" i="11" s="1"/>
  <c r="AC445" i="10"/>
  <c r="O21" i="11" s="1"/>
  <c r="AD445" i="10"/>
  <c r="I21" i="11" s="1"/>
  <c r="AA446" i="10"/>
  <c r="AB446" i="10"/>
  <c r="AC446" i="10"/>
  <c r="AD446" i="10"/>
  <c r="AA447" i="10"/>
  <c r="AB447" i="10"/>
  <c r="L13" i="11" s="1"/>
  <c r="AC447" i="10"/>
  <c r="O13" i="11" s="1"/>
  <c r="AD447" i="10"/>
  <c r="I13" i="11" s="1"/>
  <c r="AA448" i="10"/>
  <c r="AB448" i="10"/>
  <c r="AC448" i="10"/>
  <c r="AD448" i="10"/>
  <c r="AA449" i="10"/>
  <c r="AB449" i="10"/>
  <c r="AC449" i="10"/>
  <c r="AD449" i="10"/>
  <c r="AA450" i="10"/>
  <c r="AB450" i="10"/>
  <c r="L20" i="11" s="1"/>
  <c r="AC450" i="10"/>
  <c r="O20" i="11" s="1"/>
  <c r="AD450" i="10"/>
  <c r="I20" i="11" s="1"/>
  <c r="D44" i="11"/>
  <c r="E44" i="11"/>
  <c r="F44" i="11" a="1"/>
  <c r="F44" i="11" s="1"/>
  <c r="G44" i="11"/>
  <c r="H44" i="11"/>
  <c r="J44" i="11"/>
  <c r="K44" i="11" s="1"/>
  <c r="M44" i="11"/>
  <c r="N44" i="11" s="1"/>
  <c r="D35" i="11"/>
  <c r="E35" i="11"/>
  <c r="F35" i="11" a="1"/>
  <c r="F35" i="11" s="1"/>
  <c r="G35" i="11"/>
  <c r="H35" i="11"/>
  <c r="J35" i="11"/>
  <c r="K35" i="11" s="1"/>
  <c r="M35" i="11"/>
  <c r="N35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P35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6" i="11" s="1"/>
  <c r="AC415" i="10"/>
  <c r="O36" i="11" s="1"/>
  <c r="AD415" i="10"/>
  <c r="I3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1" i="11" s="1"/>
  <c r="AC435" i="10"/>
  <c r="O31" i="11" s="1"/>
  <c r="AD435" i="10"/>
  <c r="I31" i="11" s="1"/>
  <c r="AA436" i="10"/>
  <c r="AB436" i="10"/>
  <c r="L41" i="11" s="1"/>
  <c r="AC436" i="10"/>
  <c r="O41" i="11" s="1"/>
  <c r="AD436" i="10"/>
  <c r="I41" i="11" s="1"/>
  <c r="AA437" i="10"/>
  <c r="AB437" i="10"/>
  <c r="AC437" i="10"/>
  <c r="AD437" i="10"/>
  <c r="AA438" i="10"/>
  <c r="AB438" i="10"/>
  <c r="L44" i="11" s="1"/>
  <c r="AC438" i="10"/>
  <c r="O44" i="11" s="1"/>
  <c r="AD438" i="10"/>
  <c r="I44" i="11" s="1"/>
  <c r="AA439" i="10"/>
  <c r="AB439" i="10"/>
  <c r="AC439" i="10"/>
  <c r="AD439" i="10"/>
  <c r="AA440" i="10"/>
  <c r="AB440" i="10"/>
  <c r="AC440" i="10"/>
  <c r="AD440" i="10"/>
  <c r="P34" i="11"/>
  <c r="C24" i="12"/>
  <c r="D24" i="12"/>
  <c r="E24" i="12" a="1"/>
  <c r="E24" i="12" s="1"/>
  <c r="F24" i="12"/>
  <c r="G24" i="12"/>
  <c r="I24" i="12"/>
  <c r="J24" i="12" s="1"/>
  <c r="L24" i="12"/>
  <c r="M24" i="12" s="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J37" i="11"/>
  <c r="K37" i="11" s="1"/>
  <c r="M37" i="11"/>
  <c r="N37" i="11" s="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AE27" i="11"/>
  <c r="P27" i="11"/>
  <c r="D27" i="11"/>
  <c r="E27" i="11"/>
  <c r="F27" i="11" a="1"/>
  <c r="F27" i="11" s="1"/>
  <c r="G27" i="11"/>
  <c r="H27" i="11"/>
  <c r="J27" i="11"/>
  <c r="K27" i="11" s="1"/>
  <c r="M27" i="11"/>
  <c r="N27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5" i="11" s="1"/>
  <c r="AC414" i="10"/>
  <c r="O35" i="11" s="1"/>
  <c r="AD414" i="10"/>
  <c r="I35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390" i="10"/>
  <c r="AB390" i="10"/>
  <c r="AC390" i="10"/>
  <c r="AD390" i="10"/>
  <c r="AA391" i="10"/>
  <c r="AB391" i="10"/>
  <c r="AC391" i="10"/>
  <c r="AD391" i="10"/>
  <c r="AA392" i="10"/>
  <c r="AB392" i="10"/>
  <c r="L33" i="11" s="1"/>
  <c r="AC392" i="10"/>
  <c r="O33" i="11" s="1"/>
  <c r="AD392" i="10"/>
  <c r="I33" i="11" s="1"/>
  <c r="AA393" i="10"/>
  <c r="AB393" i="10"/>
  <c r="L16" i="11" s="1"/>
  <c r="AC393" i="10"/>
  <c r="O16" i="11" s="1"/>
  <c r="AD393" i="10"/>
  <c r="I16" i="11" s="1"/>
  <c r="AA394" i="10"/>
  <c r="AB394" i="10"/>
  <c r="AC394" i="10"/>
  <c r="AD394" i="10"/>
  <c r="AA395" i="10"/>
  <c r="AB395" i="10"/>
  <c r="AC395" i="10"/>
  <c r="AD395" i="10"/>
  <c r="AA396" i="10"/>
  <c r="AB396" i="10"/>
  <c r="L42" i="11" s="1"/>
  <c r="AC396" i="10"/>
  <c r="O42" i="11" s="1"/>
  <c r="AD396" i="10"/>
  <c r="I4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8" i="11"/>
  <c r="Y29" i="11"/>
  <c r="Y30" i="11"/>
  <c r="Y31" i="11"/>
  <c r="Y32" i="11"/>
  <c r="Y33" i="11"/>
  <c r="Y34" i="11"/>
  <c r="Y36" i="11"/>
  <c r="Y38" i="11"/>
  <c r="Y40" i="11"/>
  <c r="Y41" i="11"/>
  <c r="Y43" i="11"/>
  <c r="Y44" i="11"/>
  <c r="Y45" i="11"/>
  <c r="Y46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4" i="11" s="1"/>
  <c r="AC361" i="10"/>
  <c r="O34" i="11" s="1"/>
  <c r="AD361" i="10"/>
  <c r="I34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M2" i="12" l="1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M20" i="11"/>
  <c r="N20" i="11" s="1"/>
  <c r="J20" i="11"/>
  <c r="H20" i="11"/>
  <c r="G20" i="11"/>
  <c r="E20" i="11"/>
  <c r="D20" i="11"/>
  <c r="F20" i="11" a="1"/>
  <c r="F20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L23" i="11" s="1"/>
  <c r="AC335" i="10"/>
  <c r="O23" i="11" s="1"/>
  <c r="AD335" i="10"/>
  <c r="I23" i="11" s="1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L5" i="11" s="1"/>
  <c r="AC325" i="10"/>
  <c r="O5" i="11" s="1"/>
  <c r="AD325" i="10"/>
  <c r="I5" i="11" s="1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L19" i="11" s="1"/>
  <c r="AC318" i="10"/>
  <c r="O19" i="11" s="1"/>
  <c r="AD318" i="10"/>
  <c r="I19" i="11" s="1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L26" i="11" s="1"/>
  <c r="AC304" i="10"/>
  <c r="O26" i="11" s="1"/>
  <c r="AD304" i="10"/>
  <c r="I26" i="11" s="1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L29" i="11" s="1"/>
  <c r="AC195" i="10"/>
  <c r="O29" i="11" s="1"/>
  <c r="AD195" i="10"/>
  <c r="I29" i="11" s="1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L22" i="11" s="1"/>
  <c r="AC164" i="10"/>
  <c r="O22" i="11" s="1"/>
  <c r="AD164" i="10"/>
  <c r="I22" i="11" s="1"/>
  <c r="AA165" i="10"/>
  <c r="AB165" i="10"/>
  <c r="AC165" i="10"/>
  <c r="AD165" i="10"/>
  <c r="AA166" i="10"/>
  <c r="AB166" i="10"/>
  <c r="L15" i="11" s="1"/>
  <c r="AC166" i="10"/>
  <c r="O15" i="11" s="1"/>
  <c r="AD166" i="10"/>
  <c r="I15" i="11" s="1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L32" i="11" s="1"/>
  <c r="AC131" i="10"/>
  <c r="O32" i="11" s="1"/>
  <c r="AD131" i="10"/>
  <c r="I32" i="11" s="1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3" i="11"/>
  <c r="K13" i="11" s="1"/>
  <c r="J14" i="11"/>
  <c r="K14" i="11" s="1"/>
  <c r="J15" i="11"/>
  <c r="K15" i="11" s="1"/>
  <c r="J16" i="11"/>
  <c r="K16" i="11" s="1"/>
  <c r="J17" i="11"/>
  <c r="K17" i="11" s="1"/>
  <c r="J18" i="11"/>
  <c r="K18" i="11" s="1"/>
  <c r="J19" i="11"/>
  <c r="K19" i="11" s="1"/>
  <c r="J21" i="11"/>
  <c r="K21" i="11" s="1"/>
  <c r="J22" i="11"/>
  <c r="K22" i="11" s="1"/>
  <c r="J23" i="11"/>
  <c r="K23" i="11" s="1"/>
  <c r="J24" i="11"/>
  <c r="K24" i="11" s="1"/>
  <c r="J25" i="11"/>
  <c r="K25" i="11" s="1"/>
  <c r="J26" i="11"/>
  <c r="K26" i="11" s="1"/>
  <c r="J28" i="11"/>
  <c r="K28" i="11" s="1"/>
  <c r="J29" i="11"/>
  <c r="K29" i="11" s="1"/>
  <c r="J30" i="11"/>
  <c r="K30" i="11" s="1"/>
  <c r="J31" i="11"/>
  <c r="K31" i="11" s="1"/>
  <c r="J32" i="11"/>
  <c r="K32" i="11" s="1"/>
  <c r="J33" i="11"/>
  <c r="K33" i="11" s="1"/>
  <c r="J34" i="11"/>
  <c r="K34" i="11" s="1"/>
  <c r="J36" i="11"/>
  <c r="K36" i="11" s="1"/>
  <c r="J38" i="11"/>
  <c r="K38" i="11" s="1"/>
  <c r="J40" i="11"/>
  <c r="K40" i="11" s="1"/>
  <c r="J41" i="11"/>
  <c r="K41" i="11" s="1"/>
  <c r="J43" i="11"/>
  <c r="K43" i="11" s="1"/>
  <c r="J45" i="11"/>
  <c r="K45" i="11" s="1"/>
  <c r="J46" i="11"/>
  <c r="K46" i="11" s="1"/>
  <c r="J4" i="11"/>
  <c r="K4" i="11" s="1"/>
  <c r="H5" i="11"/>
  <c r="H6" i="11"/>
  <c r="H7" i="11"/>
  <c r="H8" i="11"/>
  <c r="H9" i="11"/>
  <c r="H11" i="11"/>
  <c r="H12" i="11"/>
  <c r="H13" i="11"/>
  <c r="H14" i="11"/>
  <c r="H15" i="11"/>
  <c r="H16" i="11"/>
  <c r="H17" i="11"/>
  <c r="H18" i="11"/>
  <c r="H19" i="11"/>
  <c r="H21" i="11"/>
  <c r="H22" i="11"/>
  <c r="H23" i="11"/>
  <c r="H24" i="11"/>
  <c r="H25" i="11"/>
  <c r="H26" i="11"/>
  <c r="H28" i="11"/>
  <c r="H29" i="11"/>
  <c r="H30" i="11"/>
  <c r="H31" i="11"/>
  <c r="H32" i="11"/>
  <c r="H33" i="11"/>
  <c r="H34" i="11"/>
  <c r="H36" i="11"/>
  <c r="H38" i="11"/>
  <c r="H40" i="11"/>
  <c r="H41" i="11"/>
  <c r="H43" i="11"/>
  <c r="H45" i="11"/>
  <c r="H46" i="11"/>
  <c r="H4" i="11"/>
  <c r="G5" i="11"/>
  <c r="G6" i="11"/>
  <c r="G7" i="11"/>
  <c r="G8" i="11"/>
  <c r="G9" i="11"/>
  <c r="G11" i="11"/>
  <c r="G12" i="11"/>
  <c r="G13" i="11"/>
  <c r="G14" i="11"/>
  <c r="G15" i="11"/>
  <c r="G16" i="11"/>
  <c r="G17" i="11"/>
  <c r="G18" i="11"/>
  <c r="G19" i="11"/>
  <c r="G21" i="11"/>
  <c r="G22" i="11"/>
  <c r="G23" i="11"/>
  <c r="G24" i="11"/>
  <c r="G25" i="11"/>
  <c r="G26" i="11"/>
  <c r="G28" i="11"/>
  <c r="G29" i="11"/>
  <c r="G30" i="11"/>
  <c r="G31" i="11"/>
  <c r="G32" i="11"/>
  <c r="G33" i="11"/>
  <c r="G34" i="11"/>
  <c r="G36" i="11"/>
  <c r="G38" i="11"/>
  <c r="G40" i="11"/>
  <c r="G41" i="11"/>
  <c r="G43" i="11"/>
  <c r="G45" i="11"/>
  <c r="G46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3" i="11"/>
  <c r="N13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1" i="11"/>
  <c r="N21" i="11" s="1"/>
  <c r="M22" i="11"/>
  <c r="N22" i="11" s="1"/>
  <c r="M23" i="11"/>
  <c r="N23" i="11" s="1"/>
  <c r="M24" i="11"/>
  <c r="N24" i="11" s="1"/>
  <c r="M25" i="11"/>
  <c r="M26" i="11"/>
  <c r="N26" i="11" s="1"/>
  <c r="M28" i="11"/>
  <c r="N28" i="11" s="1"/>
  <c r="M29" i="11"/>
  <c r="N29" i="11" s="1"/>
  <c r="M30" i="11"/>
  <c r="N30" i="11" s="1"/>
  <c r="M31" i="11"/>
  <c r="N31" i="11" s="1"/>
  <c r="M32" i="11"/>
  <c r="N32" i="11" s="1"/>
  <c r="M33" i="11"/>
  <c r="N33" i="11" s="1"/>
  <c r="M34" i="11"/>
  <c r="N34" i="11" s="1"/>
  <c r="M36" i="11"/>
  <c r="N36" i="11" s="1"/>
  <c r="M38" i="11"/>
  <c r="N38" i="11" s="1"/>
  <c r="M40" i="11"/>
  <c r="N40" i="11" s="1"/>
  <c r="M41" i="11"/>
  <c r="N41" i="11" s="1"/>
  <c r="M43" i="11"/>
  <c r="N43" i="11" s="1"/>
  <c r="M45" i="11"/>
  <c r="N45" i="11" s="1"/>
  <c r="M46" i="11"/>
  <c r="N46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6" i="11" a="1"/>
  <c r="F36" i="11" s="1"/>
  <c r="F38" i="11" a="1"/>
  <c r="F38" i="11" s="1"/>
  <c r="F40" i="11" a="1"/>
  <c r="F40" i="11" s="1"/>
  <c r="F41" i="11" a="1"/>
  <c r="F41" i="11" s="1"/>
  <c r="F43" i="11" a="1"/>
  <c r="F43" i="11" s="1"/>
  <c r="F45" i="11" a="1"/>
  <c r="F45" i="11" s="1"/>
  <c r="F46" i="11" a="1"/>
  <c r="F46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8" i="11"/>
  <c r="E29" i="11"/>
  <c r="E30" i="11"/>
  <c r="E31" i="11"/>
  <c r="E32" i="11"/>
  <c r="E33" i="11"/>
  <c r="E34" i="11"/>
  <c r="E36" i="11"/>
  <c r="E38" i="11"/>
  <c r="E40" i="11"/>
  <c r="E41" i="11"/>
  <c r="E43" i="11"/>
  <c r="E45" i="11"/>
  <c r="E46" i="11"/>
  <c r="D11" i="11"/>
  <c r="D12" i="11"/>
  <c r="D13" i="11"/>
  <c r="D14" i="11"/>
  <c r="D15" i="11"/>
  <c r="D16" i="11"/>
  <c r="D17" i="11"/>
  <c r="D18" i="11"/>
  <c r="D19" i="11"/>
  <c r="D21" i="11"/>
  <c r="D22" i="11"/>
  <c r="D23" i="11"/>
  <c r="D24" i="11"/>
  <c r="D25" i="11"/>
  <c r="D26" i="11"/>
  <c r="D28" i="11"/>
  <c r="D29" i="11"/>
  <c r="D30" i="11"/>
  <c r="D31" i="11"/>
  <c r="D32" i="11"/>
  <c r="D33" i="11"/>
  <c r="D34" i="11"/>
  <c r="D36" i="11"/>
  <c r="D38" i="11"/>
  <c r="D40" i="11"/>
  <c r="D41" i="11"/>
  <c r="D43" i="11"/>
  <c r="D45" i="11"/>
  <c r="D46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20" i="11" l="1"/>
  <c r="J42" i="12"/>
  <c r="N25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<sst xmlns="http://schemas.openxmlformats.org/spreadsheetml/2006/main" count="1991" uniqueCount="158">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</sst>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Wingdings 2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11" fillId="0" borderId="0" xfId="0" applyFon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0" sqref="E3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29</v>
      </c>
      <c r="E2" s="4">
        <f>AVERAGEIFS('OB History'!C:C,'OB History'!B:B,A2)</f>
        <v>14.5</v>
      </c>
      <c r="F2" s="35">
        <f t="array" ref="F2">MAX(IF('OB History'!B:B=A2, 'OB History'!C:C))</f>
        <v>22</v>
      </c>
      <c r="G2" s="34">
        <f>COUNTIFS('OB History'!B:B,A2,'OB History'!D:D, 1)</f>
        <v>1</v>
      </c>
      <c r="H2" s="2">
        <f>COUNTIFS('OB History'!B:B,A2,'OB History'!D:D, 0)</f>
        <v>1</v>
      </c>
      <c r="I2" s="88">
        <f>LOOKUP(2, 1/('OB History'!$B:$B=A2), 'OB History'!$AD:$AD)</f>
        <v>0.5</v>
      </c>
      <c r="J2" s="34">
        <f>SUMIFS('OB History'!F:F,'OB History'!B:B,A2)</f>
        <v>4</v>
      </c>
      <c r="K2" s="2">
        <f>SUMIFS('OB History'!E:E,'OB History'!B:B,A2)-J2</f>
        <v>5</v>
      </c>
      <c r="L2" s="88">
        <f>LOOKUP(2, 1/('OB History'!$B:$B=A2), 'OB History'!$AB:$AB)</f>
        <v>0.42499999999999999</v>
      </c>
      <c r="M2" s="34">
        <f>SUMIFS('OB History'!H:H,'OB History'!B:B,A2)</f>
        <v>16</v>
      </c>
      <c r="N2" s="2">
        <f>SUMIFS('OB History'!G:G,'OB History'!B:B,A2)-M2</f>
        <v>22</v>
      </c>
      <c r="O2" s="88">
        <f>LOOKUP(2, 1/('OB History'!$B:$B=A2), 'OB History'!$AC:$AC)</f>
        <v>0.41499999999999998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1</v>
      </c>
      <c r="T2" s="2">
        <f>COUNTIFS('OB History'!$B:$B,$A$2,'OB History'!O:O, 1)</f>
        <v>0</v>
      </c>
      <c r="U2" s="2">
        <f>COUNTIFS('OB History'!$B:$B,$A$2,'OB History'!P:P, 1)</f>
        <v>0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0</v>
      </c>
      <c r="AA2" s="2">
        <f>COUNTIFS('OB History'!$B:$B,$A$2,'OB History'!V:V, 1)</f>
        <v>0</v>
      </c>
      <c r="AB2" s="2">
        <f>COUNTIFS('OB History'!$B:$B,$A$2,'OB History'!W:W, 1)</f>
        <v>0</v>
      </c>
      <c r="AC2" s="2">
        <f>COUNTIFS('OB History'!$B:$B,$A$2,'OB History'!X:X, 1)</f>
        <v>2</v>
      </c>
      <c r="AD2" s="2">
        <f>COUNTIFS('OB History'!$B:$B,$A$2,'OB History'!Y:Y, 1)</f>
        <v>1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40</v>
      </c>
      <c r="E3" s="4">
        <f>AVERAGEIFS('OB History'!C:C,'OB History'!B:B,A3)</f>
        <v>13.333333333333334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0</v>
      </c>
      <c r="I3" s="88">
        <f>LOOKUP(2, 1/('OB History'!$B:$B=A3), 'OB History'!$AD:$AD)</f>
        <v>1</v>
      </c>
      <c r="J3" s="34">
        <f>SUMIFS('OB History'!F:F,'OB History'!B:B,A3)</f>
        <v>9</v>
      </c>
      <c r="K3" s="2">
        <f>SUMIFS('OB History'!E:E,'OB History'!B:B,A3)-J3</f>
        <v>5</v>
      </c>
      <c r="L3" s="88">
        <f>LOOKUP(2, 1/('OB History'!$B:$B=A3), 'OB History'!$AB:$AB)</f>
        <v>0.65</v>
      </c>
      <c r="M3" s="34">
        <f>SUMIFS('OB History'!H:H,'OB History'!B:B,A3)</f>
        <v>33</v>
      </c>
      <c r="N3" s="2">
        <f>SUMIFS('OB History'!G:G,'OB History'!B:B,A3)-M3</f>
        <v>26</v>
      </c>
      <c r="O3" s="88">
        <f>LOOKUP(2, 1/('OB History'!$B:$B=A3), 'OB History'!$AC:$AC)</f>
        <v>0.56666666666666654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306</v>
      </c>
      <c r="E4" s="4">
        <f>AVERAGEIFS('OB History'!C:C,'OB History'!B:B,A4)</f>
        <v>19.125</v>
      </c>
      <c r="F4" s="35">
        <f t="array" ref="F4">MAX(IF('OB History'!B:B=A4, 'OB History'!C:C))</f>
        <v>33</v>
      </c>
      <c r="G4" s="34">
        <f>COUNTIFS('OB History'!B:B,A4,'OB History'!D:D, 1)</f>
        <v>6</v>
      </c>
      <c r="H4" s="2">
        <f>COUNTIFS('OB History'!B:B,A4,'OB History'!D:D, 0)</f>
        <v>10</v>
      </c>
      <c r="I4" s="88">
        <f>LOOKUP(2, 1/('OB History'!$B:$B=A4), 'OB History'!$AD:$AD)</f>
        <v>0.375</v>
      </c>
      <c r="J4" s="34">
        <f>SUMIFS('OB History'!F:F,'OB History'!B:B,A4)</f>
        <v>28</v>
      </c>
      <c r="K4" s="2">
        <f>SUMIFS('OB History'!E:E,'OB History'!B:B,A4)-J4</f>
        <v>37</v>
      </c>
      <c r="L4" s="88">
        <f>LOOKUP(2, 1/('OB History'!$B:$B=A4), 'OB History'!$AB:$AB)</f>
        <v>0.421875</v>
      </c>
      <c r="M4" s="34">
        <f>SUMIFS('OB History'!H:H,'OB History'!B:B,A4)</f>
        <v>121</v>
      </c>
      <c r="N4" s="2">
        <f>SUMIFS('OB History'!G:G,'OB History'!B:B,A4)-M4</f>
        <v>140</v>
      </c>
      <c r="O4" s="88">
        <f>LOOKUP(2, 1/('OB History'!$B:$B=A4), 'OB History'!$AC:$AC)</f>
        <v>0.45312499999999989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0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0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1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11</v>
      </c>
      <c r="E5" s="4">
        <f>AVERAGEIFS('OB History'!C:C,'OB History'!B:B,A5)</f>
        <v>5.5</v>
      </c>
      <c r="F5" s="35">
        <f t="array" ref="F5">MAX(IF('OB History'!B:B=A5, 'OB History'!C:C))</f>
        <v>6</v>
      </c>
      <c r="G5" s="34">
        <f>COUNTIFS('OB History'!B:B,A5,'OB History'!D:D, 1)</f>
        <v>2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6</v>
      </c>
      <c r="K5" s="2">
        <f>SUMIFS('OB History'!E:E,'OB History'!B:B,A5)-J5</f>
        <v>1</v>
      </c>
      <c r="L5" s="88">
        <f>LOOKUP(2, 1/('OB History'!$B:$B=A5), 'OB History'!$AB:$AB)</f>
        <v>0.875</v>
      </c>
      <c r="M5" s="34">
        <f>SUMIFS('OB History'!H:H,'OB History'!B:B,'Old Bow v2'!A5)</f>
        <v>19</v>
      </c>
      <c r="N5" s="2">
        <f>SUMIFS('OB History'!G:G,'OB History'!B:B,'Old Bow v2'!A5)-M5</f>
        <v>8</v>
      </c>
      <c r="O5" s="88">
        <f>LOOKUP(2, 1/('OB History'!$B:$B=A5), 'OB History'!$AC:$AC)</f>
        <v>0.71</v>
      </c>
      <c r="P5" s="2">
        <f>COUNTIFS('OB History'!$B:$B,$A$5,'OB History'!K:K, 1)</f>
        <v>0</v>
      </c>
      <c r="Q5" s="2">
        <f>COUNTIFS('OB History'!$B:$B,$A$5,'OB History'!L:L, 1)</f>
        <v>1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1</v>
      </c>
      <c r="AD5" s="2">
        <f>COUNTIFS('OB History'!$B:$B,$A$5,'OB History'!Y:Y, 1)</f>
        <v>0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145</v>
      </c>
      <c r="E6" s="4">
        <f>AVERAGEIFS('OB History'!C:C,'OB History'!B:B,A6)</f>
        <v>11.153846153846153</v>
      </c>
      <c r="F6" s="35">
        <f t="array" ref="F6">MAX(IF('OB History'!B:B=A6, 'OB History'!C:C))</f>
        <v>21</v>
      </c>
      <c r="G6" s="34">
        <f>COUNTIFS('OB History'!B:B,A6,'OB History'!D:D, 1)</f>
        <v>9</v>
      </c>
      <c r="H6" s="2">
        <f>COUNTIFS('OB History'!B:B,A6,'OB History'!D:D, 0)</f>
        <v>4</v>
      </c>
      <c r="I6" s="88">
        <f>LOOKUP(2, 1/('OB History'!$B:$B=A6), 'OB History'!$AD:$AD)</f>
        <v>0.69230769230769229</v>
      </c>
      <c r="J6" s="34">
        <f>SUMIFS('OB History'!F:F,'OB History'!B:B,A6)</f>
        <v>29</v>
      </c>
      <c r="K6" s="2">
        <f>SUMIFS('OB History'!E:E,'OB History'!B:B,A6)-J6</f>
        <v>24</v>
      </c>
      <c r="L6" s="88">
        <f>LOOKUP(2, 1/('OB History'!$B:$B=A6), 'OB History'!$AB:$AB)</f>
        <v>0.53076923076923077</v>
      </c>
      <c r="M6" s="34">
        <f>SUMIFS('OB History'!H:H,'OB History'!B:B,'Old Bow v2'!A6)</f>
        <v>117</v>
      </c>
      <c r="N6" s="2">
        <f>SUMIFS('OB History'!G:G,'OB History'!B:B,'Old Bow v2'!A6)-M6</f>
        <v>102</v>
      </c>
      <c r="O6" s="88">
        <f>LOOKUP(2, 1/('OB History'!$B:$B=A6), 'OB History'!$AC:$AC)</f>
        <v>0.53538461538461546</v>
      </c>
      <c r="P6" s="2">
        <f>COUNTIFS('OB History'!$B:$B,$A$6,'OB History'!K:K, 1)</f>
        <v>2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5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4</v>
      </c>
      <c r="AC6" s="2">
        <f>COUNTIFS('OB History'!$B:$B,$A$6,'OB History'!X:X, 1)</f>
        <v>4</v>
      </c>
      <c r="AD6" s="2">
        <f>COUNTIFS('OB History'!$B:$B,$A$6,'OB History'!Y:Y, 1)</f>
        <v>1</v>
      </c>
      <c r="AE6" s="2">
        <f>COUNTIFS('OB History'!$B:$B,$A$6,'OB History'!Z:Z, 1)</f>
        <v>4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323</v>
      </c>
      <c r="E7" s="4">
        <f>AVERAGEIFS('OB History'!C:C,'OB History'!B:B,A7)</f>
        <v>11.962962962962964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17</v>
      </c>
      <c r="I7" s="88">
        <f>LOOKUP(2, 1/('OB History'!$B:$B=A7), 'OB History'!$AD:$AD)</f>
        <v>0.37037037037037035</v>
      </c>
      <c r="J7" s="34">
        <f>SUMIFS('OB History'!F:F,'OB History'!B:B,A7)</f>
        <v>46</v>
      </c>
      <c r="K7" s="2">
        <f>SUMIFS('OB History'!E:E,'OB History'!B:B,A7)-J7</f>
        <v>66</v>
      </c>
      <c r="L7" s="88">
        <f>LOOKUP(2, 1/('OB History'!$B:$B=A7), 'OB History'!$AB:$AB)</f>
        <v>0.3833333333333333</v>
      </c>
      <c r="M7" s="34">
        <f>SUMIFS('OB History'!H:H,'OB History'!B:B,'Old Bow v2'!A7)</f>
        <v>211</v>
      </c>
      <c r="N7" s="2">
        <f>SUMIFS('OB History'!G:G,'OB History'!B:B,'Old Bow v2'!A7)-M7</f>
        <v>250</v>
      </c>
      <c r="O7" s="88">
        <f>LOOKUP(2, 1/('OB History'!$B:$B=A7), 'OB History'!$AC:$AC)</f>
        <v>0.44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9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33</v>
      </c>
      <c r="E8" s="4">
        <f>AVERAGEIFS('OB History'!C:C,'OB History'!B:B,A8)</f>
        <v>8.25</v>
      </c>
      <c r="F8" s="35">
        <f t="array" ref="F8">MAX(IF('OB History'!B:B=A8, 'OB History'!C:C))</f>
        <v>12</v>
      </c>
      <c r="G8" s="34">
        <f>COUNTIFS('OB History'!B:B,A8,'OB History'!D:D, 1)</f>
        <v>2</v>
      </c>
      <c r="H8" s="2">
        <f>COUNTIFS('OB History'!B:B,A8,'OB History'!D:D, 0)</f>
        <v>2</v>
      </c>
      <c r="I8" s="88">
        <f>LOOKUP(2, 1/('OB History'!$B:$B=A8), 'OB History'!$AD:$AD)</f>
        <v>0.5</v>
      </c>
      <c r="J8" s="34">
        <f>SUMIFS('OB History'!F:F,'OB History'!B:B,A8)</f>
        <v>8</v>
      </c>
      <c r="K8" s="2">
        <f>SUMIFS('OB History'!E:E,'OB History'!B:B,A8)-J8</f>
        <v>8</v>
      </c>
      <c r="L8" s="88">
        <f>LOOKUP(2, 1/('OB History'!$B:$B=A8), 'OB History'!$AB:$AB)</f>
        <v>0.5</v>
      </c>
      <c r="M8" s="34">
        <f>SUMIFS('OB History'!H:H,'OB History'!B:B,'Old Bow v2'!A8)</f>
        <v>29</v>
      </c>
      <c r="N8" s="2">
        <f>SUMIFS('OB History'!G:G,'OB History'!B:B,'Old Bow v2'!A8)-M8</f>
        <v>33</v>
      </c>
      <c r="O8" s="88">
        <f>LOOKUP(2, 1/('OB History'!$B:$B=A8), 'OB History'!$AC:$AC)</f>
        <v>0.47250000000000003</v>
      </c>
      <c r="P8" s="2">
        <f>COUNTIFS('OB History'!$B:$B,$A$8,'OB History'!K:K, 1)</f>
        <v>0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1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223</v>
      </c>
      <c r="E9" s="4">
        <f>AVERAGEIFS('OB History'!C:C,'OB History'!B:B,A9)</f>
        <v>15.928571428571429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6</v>
      </c>
      <c r="I9" s="88">
        <f>LOOKUP(2, 1/('OB History'!$B:$B=A9), 'OB History'!$AD:$AD)</f>
        <v>0.5714285714285714</v>
      </c>
      <c r="J9" s="34">
        <f>SUMIFS('OB History'!F:F,'OB History'!B:B,A9)</f>
        <v>34</v>
      </c>
      <c r="K9" s="2">
        <f>SUMIFS('OB History'!E:E,'OB History'!B:B,A9)-J9</f>
        <v>24</v>
      </c>
      <c r="L9" s="88">
        <f>LOOKUP(2, 1/('OB History'!$B:$B=A9), 'OB History'!$AB:$AB)</f>
        <v>0.62857142857142867</v>
      </c>
      <c r="M9" s="34">
        <f>SUMIFS('OB History'!H:H,'OB History'!B:B,'Old Bow v2'!A9)</f>
        <v>131</v>
      </c>
      <c r="N9" s="2">
        <f>SUMIFS('OB History'!G:G,'OB History'!B:B,'Old Bow v2'!A9)-M9</f>
        <v>112</v>
      </c>
      <c r="O9" s="88">
        <f>LOOKUP(2, 1/('OB History'!$B:$B=A9), 'OB History'!$AC:$AC)</f>
        <v>0.55928571428571427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6</v>
      </c>
      <c r="AD9" s="2">
        <f>COUNTIFS('OB History'!$B:$B,$A$9,'OB History'!Y:Y, 1)</f>
        <v>3</v>
      </c>
      <c r="AE9" s="2">
        <f>COUNTIFS('OB History'!$B:$B,$A$9,'OB History'!Z:Z, 1)</f>
        <v>5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236</v>
      </c>
      <c r="E11" s="4">
        <f>AVERAGEIFS('OB History'!C:C,'OB History'!B:B,A11)</f>
        <v>13.882352941176471</v>
      </c>
      <c r="F11" s="35">
        <f t="array" ref="F11">MAX(IF('OB History'!B:B=A11, 'OB History'!C:C))</f>
        <v>29</v>
      </c>
      <c r="G11" s="34">
        <f>COUNTIFS('OB History'!B:B,A11,'OB History'!D:D, 1)</f>
        <v>8</v>
      </c>
      <c r="H11" s="2">
        <f>COUNTIFS('OB History'!B:B,A11,'OB History'!D:D, 0)</f>
        <v>9</v>
      </c>
      <c r="I11" s="88">
        <f>LOOKUP(2, 1/('OB History'!$B:$B=A11), 'OB History'!$AD:$AD)</f>
        <v>0.47058823529411764</v>
      </c>
      <c r="J11" s="34">
        <f>SUMIFS('OB History'!F:F,'OB History'!B:B,A11)</f>
        <v>32</v>
      </c>
      <c r="K11" s="2">
        <f>SUMIFS('OB History'!E:E,'OB History'!B:B,A11)-J11</f>
        <v>37</v>
      </c>
      <c r="L11" s="88">
        <f>LOOKUP(2, 1/('OB History'!$B:$B=A11), 'OB History'!$AB:$AB)</f>
        <v>0.45294117647058818</v>
      </c>
      <c r="M11" s="34">
        <f>SUMIFS('OB History'!H:H,'OB History'!B:B,'Old Bow v2'!A11)</f>
        <v>137</v>
      </c>
      <c r="N11" s="2">
        <f>SUMIFS('OB History'!G:G,'OB History'!B:B,'Old Bow v2'!A11)-M11</f>
        <v>151</v>
      </c>
      <c r="O11" s="88">
        <f>LOOKUP(2, 1/('OB History'!$B:$B=A11), 'OB History'!$AC:$AC)</f>
        <v>0.47117647058823531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2</v>
      </c>
      <c r="T11" s="2">
        <f>COUNTIFS('OB History'!$B:$B,$A$11,'OB History'!O:O, 1)</f>
        <v>3</v>
      </c>
      <c r="U11" s="2">
        <f>COUNTIFS('OB History'!$B:$B,$A$11,'OB History'!P:P, 1)</f>
        <v>5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0</v>
      </c>
      <c r="AA11" s="2">
        <f>COUNTIFS('OB History'!$B:$B,$A$11,'OB History'!V:V, 1)</f>
        <v>1</v>
      </c>
      <c r="AB11" s="2">
        <f>COUNTIFS('OB History'!$B:$B,$A$11,'OB History'!W:W, 1)</f>
        <v>4</v>
      </c>
      <c r="AC11" s="2">
        <f>COUNTIFS('OB History'!$B:$B,$A$11,'OB History'!X:X, 1)</f>
        <v>6</v>
      </c>
      <c r="AD11" s="2">
        <f>COUNTIFS('OB History'!$B:$B,$A$11,'OB History'!Y:Y, 1)</f>
        <v>2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277</v>
      </c>
      <c r="E12" s="4">
        <f>AVERAGEIFS('OB History'!C:C,'OB History'!B:B,A12)</f>
        <v>12.043478260869565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5</v>
      </c>
      <c r="I12" s="88">
        <f>LOOKUP(2, 1/('OB History'!$B:$B=A12), 'OB History'!$AD:$AD)</f>
        <v>0.78260869565217395</v>
      </c>
      <c r="J12" s="34">
        <f>SUMIFS('OB History'!F:F,'OB History'!B:B,A12)</f>
        <v>62</v>
      </c>
      <c r="K12" s="2">
        <f>SUMIFS('OB History'!E:E,'OB History'!B:B,A12)-J12</f>
        <v>33</v>
      </c>
      <c r="L12" s="88">
        <f>LOOKUP(2, 1/('OB History'!$B:$B=A12), 'OB History'!$AB:$AB)</f>
        <v>0.68260869565217386</v>
      </c>
      <c r="M12" s="34">
        <f>SUMIFS('OB History'!H:H,'OB History'!B:B,'Old Bow v2'!A12)</f>
        <v>226</v>
      </c>
      <c r="N12" s="2">
        <f>SUMIFS('OB History'!G:G,'OB History'!B:B,'Old Bow v2'!A12)-M12</f>
        <v>165</v>
      </c>
      <c r="O12" s="88">
        <f>LOOKUP(2, 1/('OB History'!$B:$B=A12), 'OB History'!$AC:$AC)</f>
        <v>0.59478260869565214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6</v>
      </c>
      <c r="AD12" s="2">
        <f>COUNTIFS('OB History'!$B:$B,$A$12,'OB History'!Y:Y, 1)</f>
        <v>2</v>
      </c>
      <c r="AE12" s="2">
        <f>COUNTIFS('OB History'!$B:$B,$A$12,'OB History'!Z:Z, 1)</f>
        <v>6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SUMIFS('OB History'!C:C,'OB History'!B:B,A13)</f>
        <v>183</v>
      </c>
      <c r="E13" s="4">
        <f>AVERAGEIFS('OB History'!C:C,'OB History'!B:B,A13)</f>
        <v>12.2</v>
      </c>
      <c r="F13" s="35">
        <f t="array" ref="F13">MAX(IF('OB History'!B:B=A13, 'OB History'!C:C))</f>
        <v>19</v>
      </c>
      <c r="G13" s="34">
        <f>COUNTIFS('OB History'!B:B,A13,'OB History'!D:D, 1)</f>
        <v>5</v>
      </c>
      <c r="H13" s="2">
        <f>COUNTIFS('OB History'!B:B,A13,'OB History'!D:D, 0)</f>
        <v>10</v>
      </c>
      <c r="I13" s="88">
        <f>LOOKUP(2, 1/('OB History'!$B:$B=A13), 'OB History'!$AD:$AD)</f>
        <v>0.33333333333333331</v>
      </c>
      <c r="J13" s="34">
        <f>SUMIFS('OB History'!F:F,'OB History'!B:B,A13)</f>
        <v>28</v>
      </c>
      <c r="K13" s="2">
        <f>SUMIFS('OB History'!E:E,'OB History'!B:B,A13)-J13</f>
        <v>35</v>
      </c>
      <c r="L13" s="88">
        <f>LOOKUP(2, 1/('OB History'!$B:$B=A13), 'OB History'!$AB:$AB)</f>
        <v>0.44000000000000011</v>
      </c>
      <c r="M13" s="34">
        <f>SUMIFS('OB History'!H:H,'OB History'!B:B,'Old Bow v2'!A13)</f>
        <v>124</v>
      </c>
      <c r="N13" s="2">
        <f>SUMIFS('OB History'!G:G,'OB History'!B:B,'Old Bow v2'!A13)-M13</f>
        <v>135</v>
      </c>
      <c r="O13" s="88">
        <f>LOOKUP(2, 1/('OB History'!$B:$B=A13), 'OB History'!$AC:$AC)</f>
        <v>0.47866666666666663</v>
      </c>
      <c r="P13" s="2">
        <f>COUNTIFS('OB History'!$B:$B,$A$13,'OB History'!K:K, 1)</f>
        <v>0</v>
      </c>
      <c r="Q13" s="2">
        <f>COUNTIFS('OB History'!$B:$B,$A$13,'OB History'!L:L, 1)</f>
        <v>2</v>
      </c>
      <c r="R13" s="2">
        <f>COUNTIFS('OB History'!$B:$B,$A$13,'OB History'!M:M, 1)</f>
        <v>0</v>
      </c>
      <c r="S13" s="2">
        <f>COUNTIFS('OB History'!$B:$B,$A$13,'OB History'!N:N, 1)</f>
        <v>6</v>
      </c>
      <c r="T13" s="2">
        <f>COUNTIFS('OB History'!$B:$B,$A$13,'OB History'!O:O, 1)</f>
        <v>0</v>
      </c>
      <c r="U13" s="2">
        <f>COUNTIFS('OB History'!$B:$B,$A$13,'OB History'!P:P, 1)</f>
        <v>4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2</v>
      </c>
      <c r="AC13" s="2">
        <f>COUNTIFS('OB History'!$B:$B,$A$13,'OB History'!X:X, 1)</f>
        <v>6</v>
      </c>
      <c r="AD13" s="2">
        <f>COUNTIFS('OB History'!$B:$B,$A$13,'OB History'!Y:Y, 1)</f>
        <v>3</v>
      </c>
      <c r="AE13" s="2">
        <f>COUNTIFS('OB History'!$B:$B,$A$13,'OB History'!Z:Z, 1)</f>
        <v>5</v>
      </c>
    </row>
    <row r="14" spans="1:31" x14ac:dyDescent="0.25">
      <c r="A14" s="2" t="s">
        <v>50</v>
      </c>
      <c r="B14" s="2" t="s">
        <v>79</v>
      </c>
      <c r="C14" s="2" t="s">
        <v>79</v>
      </c>
      <c r="D14" s="34">
        <f>SUMIFS('OB History'!C:C,'OB History'!B:B,A14)</f>
        <v>43</v>
      </c>
      <c r="E14" s="4">
        <f>AVERAGEIFS('OB History'!C:C,'OB History'!B:B,A14)</f>
        <v>14.333333333333334</v>
      </c>
      <c r="F14" s="35">
        <f t="array" ref="F14">MAX(IF('OB History'!B:B=A14, 'OB History'!C:C))</f>
        <v>17</v>
      </c>
      <c r="G14" s="34">
        <f>COUNTIFS('OB History'!B:B,A14,'OB History'!D:D, 1)</f>
        <v>0</v>
      </c>
      <c r="H14" s="2">
        <f>COUNTIFS('OB History'!B:B,A14,'OB History'!D:D, 0)</f>
        <v>3</v>
      </c>
      <c r="I14" s="88">
        <f>LOOKUP(2, 1/('OB History'!$B:$B=A14), 'OB History'!$AD:$AD)</f>
        <v>0</v>
      </c>
      <c r="J14" s="34">
        <f>SUMIFS('OB History'!F:F,'OB History'!B:B,A14)</f>
        <v>4</v>
      </c>
      <c r="K14" s="2">
        <f>SUMIFS('OB History'!E:E,'OB History'!B:B,A14)-J14</f>
        <v>9</v>
      </c>
      <c r="L14" s="88">
        <f>LOOKUP(2, 1/('OB History'!$B:$B=A14), 'OB History'!$AB:$AB)</f>
        <v>0.3</v>
      </c>
      <c r="M14" s="34">
        <f>SUMIFS('OB History'!H:H,'OB History'!B:B,'Old Bow v2'!A14)</f>
        <v>24</v>
      </c>
      <c r="N14" s="2">
        <f>SUMIFS('OB History'!G:G,'OB History'!B:B,'Old Bow v2'!A14)-M14</f>
        <v>32</v>
      </c>
      <c r="O14" s="88">
        <f>LOOKUP(2, 1/('OB History'!$B:$B=A14), 'OB History'!$AC:$AC)</f>
        <v>0.41666666666666669</v>
      </c>
      <c r="P14" s="2">
        <f>COUNTIFS('OB History'!$B:$B,$A$14,'OB History'!K:K, 1)</f>
        <v>1</v>
      </c>
      <c r="Q14" s="2">
        <f>COUNTIFS('OB History'!$B:$B,$A$14,'OB History'!L:L, 1)</f>
        <v>0</v>
      </c>
      <c r="R14" s="2">
        <f>COUNTIFS('OB History'!$B:$B,$A$14,'OB History'!M:M, 1)</f>
        <v>0</v>
      </c>
      <c r="S14" s="2">
        <f>COUNTIFS('OB History'!$B:$B,$A$14,'OB History'!N:N, 1)</f>
        <v>0</v>
      </c>
      <c r="T14" s="2">
        <f>COUNTIFS('OB History'!$B:$B,$A$14,'OB History'!O:O, 1)</f>
        <v>0</v>
      </c>
      <c r="U14" s="2">
        <f>COUNTIFS('OB History'!$B:$B,$A$14,'OB History'!P:P, 1)</f>
        <v>2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0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1</v>
      </c>
      <c r="AC14" s="2">
        <f>COUNTIFS('OB History'!$B:$B,$A$14,'OB History'!X:X, 1)</f>
        <v>0</v>
      </c>
      <c r="AD14" s="2">
        <f>COUNTIFS('OB History'!$B:$B,$A$14,'OB History'!Y:Y, 1)</f>
        <v>0</v>
      </c>
      <c r="AE14" s="2">
        <f>COUNTIFS('OB History'!$B:$B,$A$14,'OB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History'!C:C,'OB History'!B:B,A15)</f>
        <v>5</v>
      </c>
      <c r="E15" s="4">
        <f>AVERAGEIFS('OB History'!C:C,'OB History'!B:B,A15)</f>
        <v>5</v>
      </c>
      <c r="F15" s="35">
        <f t="array" ref="F15">MAX(IF('OB History'!B:B=A15, 'OB History'!C:C))</f>
        <v>5</v>
      </c>
      <c r="G15" s="34">
        <f>COUNTIFS('OB History'!B:B,A15,'OB History'!D:D, 1)</f>
        <v>0</v>
      </c>
      <c r="H15" s="2">
        <f>COUNTIFS('OB History'!B:B,A15,'OB History'!D:D, 0)</f>
        <v>1</v>
      </c>
      <c r="I15" s="88">
        <f>LOOKUP(2, 1/('OB History'!$B:$B=A15), 'OB History'!$AD:$AD)</f>
        <v>0</v>
      </c>
      <c r="J15" s="34">
        <f>SUMIFS('OB History'!F:F,'OB History'!B:B,A15)</f>
        <v>0</v>
      </c>
      <c r="K15" s="2">
        <f>SUMIFS('OB History'!E:E,'OB History'!B:B,A15)-J15</f>
        <v>3</v>
      </c>
      <c r="L15" s="88">
        <f>LOOKUP(2, 1/('OB History'!$B:$B=A15), 'OB History'!$AB:$AB)</f>
        <v>0</v>
      </c>
      <c r="M15" s="34">
        <f>SUMIFS('OB History'!H:H,'OB History'!B:B,'Old Bow v2'!A15)</f>
        <v>4</v>
      </c>
      <c r="N15" s="2">
        <f>SUMIFS('OB History'!G:G,'OB History'!B:B,'Old Bow v2'!A15)-M15</f>
        <v>9</v>
      </c>
      <c r="O15" s="88">
        <f>LOOKUP(2, 1/('OB History'!$B:$B=A15), 'OB History'!$AC:$AC)</f>
        <v>0.31</v>
      </c>
      <c r="P15" s="2">
        <f>COUNTIFS('OB History'!$B:$B,$A$15,'OB History'!K:K, 1)</f>
        <v>0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0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0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History'!C:C,'OB History'!B:B,A16)</f>
        <v>29</v>
      </c>
      <c r="E16" s="4">
        <f>AVERAGEIFS('OB History'!C:C,'OB History'!B:B,A16)</f>
        <v>14.5</v>
      </c>
      <c r="F16" s="35">
        <f t="array" ref="F16">MAX(IF('OB History'!B:B=A16, 'OB History'!C:C))</f>
        <v>17</v>
      </c>
      <c r="G16" s="34">
        <f>COUNTIFS('OB History'!B:B,A16,'OB History'!D:D, 1)</f>
        <v>2</v>
      </c>
      <c r="H16" s="2">
        <f>COUNTIFS('OB History'!B:B,A16,'OB History'!D:D, 0)</f>
        <v>0</v>
      </c>
      <c r="I16" s="88">
        <f>LOOKUP(2, 1/('OB History'!$B:$B=A16), 'OB History'!$AD:$AD)</f>
        <v>1</v>
      </c>
      <c r="J16" s="34">
        <f>SUMIFS('OB History'!F:F,'OB History'!B:B,A16)</f>
        <v>6</v>
      </c>
      <c r="K16" s="2">
        <f>SUMIFS('OB History'!E:E,'OB History'!B:B,A16)-J16</f>
        <v>2</v>
      </c>
      <c r="L16" s="88">
        <f>LOOKUP(2, 1/('OB History'!$B:$B=A16), 'OB History'!$AB:$AB)</f>
        <v>0.8</v>
      </c>
      <c r="M16" s="34">
        <f>SUMIFS('OB History'!H:H,'OB History'!B:B,'Old Bow v2'!A16)</f>
        <v>21</v>
      </c>
      <c r="N16" s="2">
        <f>SUMIFS('OB History'!G:G,'OB History'!B:B,'Old Bow v2'!A16)-M16</f>
        <v>13</v>
      </c>
      <c r="O16" s="88">
        <f>LOOKUP(2, 1/('OB History'!$B:$B=A16), 'OB History'!$AC:$AC)</f>
        <v>0.62999999999999989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1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1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2</v>
      </c>
      <c r="AD16" s="2">
        <f>COUNTIFS('OB History'!$B:$B,$A$16,'OB History'!Y:Y, 1)</f>
        <v>0</v>
      </c>
      <c r="AE16" s="2">
        <f>COUNTIFS('OB History'!$B:$B,$A$16,'OB History'!Z:Z, 1)</f>
        <v>1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History'!C:C,'OB History'!B:B,A17)</f>
        <v>246</v>
      </c>
      <c r="E17" s="4">
        <f>AVERAGEIFS('OB History'!C:C,'OB History'!B:B,A17)</f>
        <v>27.333333333333332</v>
      </c>
      <c r="F17" s="35">
        <f t="array" ref="F17">MAX(IF('OB History'!B:B=A17, 'OB History'!C:C))</f>
        <v>37</v>
      </c>
      <c r="G17" s="34">
        <f>COUNTIFS('OB History'!B:B,A17,'OB History'!D:D, 1)</f>
        <v>7</v>
      </c>
      <c r="H17" s="2">
        <f>COUNTIFS('OB History'!B:B,A17,'OB History'!D:D, 0)</f>
        <v>2</v>
      </c>
      <c r="I17" s="88">
        <f>LOOKUP(2, 1/('OB History'!$B:$B=A17), 'OB History'!$AD:$AD)</f>
        <v>0.77777777777777779</v>
      </c>
      <c r="J17" s="34">
        <f>SUMIFS('OB History'!F:F,'OB History'!B:B,A17)</f>
        <v>24</v>
      </c>
      <c r="K17" s="2">
        <f>SUMIFS('OB History'!E:E,'OB History'!B:B,A17)-J17</f>
        <v>16</v>
      </c>
      <c r="L17" s="88">
        <f>LOOKUP(2, 1/('OB History'!$B:$B=A17), 'OB History'!$AB:$AB)</f>
        <v>0.6166666666666667</v>
      </c>
      <c r="M17" s="34">
        <f>SUMIFS('OB History'!H:H,'OB History'!B:B,'Old Bow v2'!A17)</f>
        <v>92</v>
      </c>
      <c r="N17" s="2">
        <f>SUMIFS('OB History'!G:G,'OB History'!B:B,'Old Bow v2'!A17)-M17</f>
        <v>81</v>
      </c>
      <c r="O17" s="88">
        <f>LOOKUP(2, 1/('OB History'!$B:$B=A17), 'OB History'!$AC:$AC)</f>
        <v>0.54444444444444451</v>
      </c>
      <c r="P17" s="2">
        <f>COUNTIFS('OB History'!$B:$B,$A$17,'OB History'!K:K, 1)</f>
        <v>0</v>
      </c>
      <c r="Q17" s="2">
        <f>COUNTIFS('OB History'!$B:$B,$A$17,'OB History'!L:L, 1)</f>
        <v>3</v>
      </c>
      <c r="R17" s="2">
        <f>COUNTIFS('OB History'!$B:$B,$A$17,'OB History'!M:M, 1)</f>
        <v>4</v>
      </c>
      <c r="S17" s="2">
        <f>COUNTIFS('OB History'!$B:$B,$A$17,'OB History'!N:N, 1)</f>
        <v>0</v>
      </c>
      <c r="T17" s="2">
        <f>COUNTIFS('OB History'!$B:$B,$A$17,'OB History'!O:O, 1)</f>
        <v>2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2</v>
      </c>
      <c r="AC17" s="2">
        <f>COUNTIFS('OB History'!$B:$B,$A$17,'OB History'!X:X, 1)</f>
        <v>4</v>
      </c>
      <c r="AD17" s="2">
        <f>COUNTIFS('OB History'!$B:$B,$A$17,'OB History'!Y:Y, 1)</f>
        <v>2</v>
      </c>
      <c r="AE17" s="2">
        <f>COUNTIFS('OB History'!$B:$B,$A$17,'OB History'!Z:Z, 1)</f>
        <v>5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History'!C:C,'OB History'!B:B,A18)</f>
        <v>244</v>
      </c>
      <c r="E18" s="4">
        <f>AVERAGEIFS('OB History'!C:C,'OB History'!B:B,A18)</f>
        <v>9.76</v>
      </c>
      <c r="F18" s="35">
        <f t="array" ref="F18">MAX(IF('OB History'!B:B=A18, 'OB History'!C:C))</f>
        <v>21</v>
      </c>
      <c r="G18" s="34">
        <f>COUNTIFS('OB History'!B:B,A18,'OB History'!D:D, 1)</f>
        <v>13</v>
      </c>
      <c r="H18" s="2">
        <f>COUNTIFS('OB History'!B:B,A18,'OB History'!D:D, 0)</f>
        <v>12</v>
      </c>
      <c r="I18" s="88">
        <f>LOOKUP(2, 1/('OB History'!$B:$B=A18), 'OB History'!$AD:$AD)</f>
        <v>0.52</v>
      </c>
      <c r="J18" s="34">
        <f>SUMIFS('OB History'!F:F,'OB History'!B:B,A18)</f>
        <v>53</v>
      </c>
      <c r="K18" s="2">
        <f>SUMIFS('OB History'!E:E,'OB History'!B:B,A18)-J18</f>
        <v>50</v>
      </c>
      <c r="L18" s="88">
        <f>LOOKUP(2, 1/('OB History'!$B:$B=A18), 'OB History'!$AB:$AB)</f>
        <v>0.51200000000000001</v>
      </c>
      <c r="M18" s="34">
        <f>SUMIFS('OB History'!H:H,'OB History'!B:B,'Old Bow v2'!A18)</f>
        <v>221</v>
      </c>
      <c r="N18" s="2">
        <f>SUMIFS('OB History'!G:G,'OB History'!B:B,'Old Bow v2'!A18)-M18</f>
        <v>211</v>
      </c>
      <c r="O18" s="88">
        <f>LOOKUP(2, 1/('OB History'!$B:$B=A18), 'OB History'!$AC:$AC)</f>
        <v>0.51719999999999999</v>
      </c>
      <c r="P18" s="2">
        <f>COUNTIFS('OB History'!$B:$B,$A$18,'OB History'!K:K, 1)</f>
        <v>2</v>
      </c>
      <c r="Q18" s="2">
        <f>COUNTIFS('OB History'!$B:$B,$A$18,'OB History'!L:L, 1)</f>
        <v>5</v>
      </c>
      <c r="R18" s="2">
        <f>COUNTIFS('OB History'!$B:$B,$A$18,'OB History'!M:M, 1)</f>
        <v>2</v>
      </c>
      <c r="S18" s="2">
        <f>COUNTIFS('OB History'!$B:$B,$A$18,'OB History'!N:N, 1)</f>
        <v>8</v>
      </c>
      <c r="T18" s="2">
        <f>COUNTIFS('OB History'!$B:$B,$A$18,'OB History'!O:O, 1)</f>
        <v>2</v>
      </c>
      <c r="U18" s="2">
        <f>COUNTIFS('OB History'!$B:$B,$A$18,'OB History'!P:P, 1)</f>
        <v>4</v>
      </c>
      <c r="V18" s="2">
        <f>COUNTIFS('OB History'!$B:$B,$A$18,'OB History'!Q:Q, 1)</f>
        <v>1</v>
      </c>
      <c r="W18" s="2">
        <f>COUNTIFS('OB History'!$B:$B,$A$18,'OB History'!R:R, 1)</f>
        <v>0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2</v>
      </c>
      <c r="AB18" s="2">
        <f>COUNTIFS('OB History'!$B:$B,$A$18,'OB History'!W:W, 1)</f>
        <v>5</v>
      </c>
      <c r="AC18" s="2">
        <f>COUNTIFS('OB History'!$B:$B,$A$18,'OB History'!X:X, 1)</f>
        <v>10</v>
      </c>
      <c r="AD18" s="2">
        <f>COUNTIFS('OB History'!$B:$B,$A$18,'OB History'!Y:Y, 1)</f>
        <v>3</v>
      </c>
      <c r="AE18" s="2">
        <f>COUNTIFS('OB History'!$B:$B,$A$18,'OB History'!Z:Z, 1)</f>
        <v>9</v>
      </c>
    </row>
    <row r="19" spans="1:31" x14ac:dyDescent="0.25">
      <c r="A19" s="2" t="s">
        <v>46</v>
      </c>
      <c r="B19" s="2" t="s">
        <v>79</v>
      </c>
      <c r="C19" s="2" t="s">
        <v>79</v>
      </c>
      <c r="D19" s="34">
        <f>SUMIFS('OB History'!C:C,'OB History'!B:B,A19)</f>
        <v>183</v>
      </c>
      <c r="E19" s="4">
        <f>AVERAGEIFS('OB History'!C:C,'OB History'!B:B,A19)</f>
        <v>20.333333333333332</v>
      </c>
      <c r="F19" s="35">
        <f t="array" ref="F19">MAX(IF('OB History'!B:B=A19, 'OB History'!C:C))</f>
        <v>36</v>
      </c>
      <c r="G19" s="34">
        <f>COUNTIFS('OB History'!B:B,A19,'OB History'!D:D, 1)</f>
        <v>4</v>
      </c>
      <c r="H19" s="2">
        <f>COUNTIFS('OB History'!B:B,A19,'OB History'!D:D, 0)</f>
        <v>5</v>
      </c>
      <c r="I19" s="88">
        <f>LOOKUP(2, 1/('OB History'!$B:$B=A19), 'OB History'!$AD:$AD)</f>
        <v>0.44444444444444442</v>
      </c>
      <c r="J19" s="34">
        <f>SUMIFS('OB History'!F:F,'OB History'!B:B,A19)</f>
        <v>16</v>
      </c>
      <c r="K19" s="2">
        <f>SUMIFS('OB History'!E:E,'OB History'!B:B,A19)-J19</f>
        <v>20</v>
      </c>
      <c r="L19" s="88">
        <f>LOOKUP(2, 1/('OB History'!$B:$B=A19), 'OB History'!$AB:$AB)</f>
        <v>0.41666666666666669</v>
      </c>
      <c r="M19" s="34">
        <f>SUMIFS('OB History'!H:H,'OB History'!B:B,'Old Bow v2'!A19)</f>
        <v>70</v>
      </c>
      <c r="N19" s="2">
        <f>SUMIFS('OB History'!G:G,'OB History'!B:B,'Old Bow v2'!A19)-M19</f>
        <v>83</v>
      </c>
      <c r="O19" s="88">
        <f>LOOKUP(2, 1/('OB History'!$B:$B=A19), 'OB History'!$AC:$AC)</f>
        <v>0.44999999999999996</v>
      </c>
      <c r="P19" s="2">
        <f>COUNTIFS('OB History'!$B:$B,$A$19,'OB History'!K:K, 1)</f>
        <v>0</v>
      </c>
      <c r="Q19" s="2">
        <f>COUNTIFS('OB History'!$B:$B,$A$19,'OB History'!L:L, 1)</f>
        <v>1</v>
      </c>
      <c r="R19" s="2">
        <f>COUNTIFS('OB History'!$B:$B,$A$19,'OB History'!M:M, 1)</f>
        <v>1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5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0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3</v>
      </c>
      <c r="AD19" s="2">
        <f>COUNTIFS('OB History'!$B:$B,$A$19,'OB History'!Y:Y, 1)</f>
        <v>1</v>
      </c>
      <c r="AE19" s="2">
        <f>COUNTIFS('OB History'!$B:$B,$A$19,'OB History'!Z:Z, 1)</f>
        <v>2</v>
      </c>
    </row>
    <row r="20" spans="1:31" x14ac:dyDescent="0.25">
      <c r="A20" s="2" t="s">
        <v>140</v>
      </c>
      <c r="B20" s="2" t="s">
        <v>79</v>
      </c>
      <c r="C20" s="2" t="s">
        <v>79</v>
      </c>
      <c r="D20" s="34">
        <f>SUMIFS('OB History'!C:C,'OB History'!B:B,A20)</f>
        <v>54</v>
      </c>
      <c r="E20" s="4">
        <f>AVERAGEIFS('OB History'!C:C,'OB History'!B:B,A20)</f>
        <v>10.8</v>
      </c>
      <c r="F20" s="35">
        <f t="array" ref="F20">MAX(IF('OB History'!B:B=A20, 'OB History'!C:C))</f>
        <v>13</v>
      </c>
      <c r="G20" s="34">
        <f>COUNTIFS('OB History'!B:B,A20,'OB History'!D:D, 1)</f>
        <v>3</v>
      </c>
      <c r="H20" s="2">
        <f>COUNTIFS('OB History'!B:B,A20,'OB History'!D:D, 0)</f>
        <v>2</v>
      </c>
      <c r="I20" s="88">
        <f>LOOKUP(2, 1/('OB History'!$B:$B=A20), 'OB History'!$AD:$AD)</f>
        <v>0.6</v>
      </c>
      <c r="J20" s="34">
        <f>SUMIFS('OB History'!F:F,'OB History'!B:B,A20)</f>
        <v>13</v>
      </c>
      <c r="K20" s="2">
        <f>SUMIFS('OB History'!E:E,'OB History'!B:B,A20)-J20</f>
        <v>10</v>
      </c>
      <c r="L20" s="88">
        <f>LOOKUP(2, 1/('OB History'!$B:$B=A20), 'OB History'!$AB:$AB)</f>
        <v>0.6</v>
      </c>
      <c r="M20" s="34">
        <f>SUMIFS('OB History'!H:H,'OB History'!B:B,'Old Bow v2'!A20)</f>
        <v>52</v>
      </c>
      <c r="N20" s="2">
        <f>SUMIFS('OB History'!G:G,'OB History'!B:B,'Old Bow v2'!A20)-M20</f>
        <v>45</v>
      </c>
      <c r="O20" s="88">
        <f>LOOKUP(2, 1/('OB History'!$B:$B=A20), 'OB History'!$AC:$AC)</f>
        <v>0.55199999999999994</v>
      </c>
      <c r="P20" s="2">
        <f>COUNTIFS('OB History'!$B:$B,$A$20,'OB History'!K:K, 1)</f>
        <v>0</v>
      </c>
      <c r="Q20" s="2">
        <f>COUNTIFS('OB History'!$B:$B,$A$20,'OB History'!L:L, 1)</f>
        <v>0</v>
      </c>
      <c r="R20" s="2">
        <f>COUNTIFS('OB History'!$B:$B,$A$20,'OB History'!M:M, 1)</f>
        <v>1</v>
      </c>
      <c r="S20" s="2">
        <f>COUNTIFS('OB History'!$B:$B,$A$20,'OB History'!N:N, 1)</f>
        <v>1</v>
      </c>
      <c r="T20" s="2">
        <f>COUNTIFS('OB History'!$B:$B,$A$20,'OB History'!O:O, 1)</f>
        <v>0</v>
      </c>
      <c r="U20" s="2">
        <f>COUNTIFS('OB History'!$B:$B,$A$20,'OB History'!P:P, 1)</f>
        <v>1</v>
      </c>
      <c r="V20" s="2">
        <f>COUNTIFS('OB History'!$B:$B,$A$20,'OB History'!Q:Q, 1)</f>
        <v>0</v>
      </c>
      <c r="W20" s="2">
        <f>COUNTIFS('OB History'!$B:$B,$A$20,'OB History'!R:R, 1)</f>
        <v>1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0</v>
      </c>
      <c r="AC20" s="2">
        <f>COUNTIFS('OB History'!$B:$B,$A$20,'OB History'!X:X, 1)</f>
        <v>4</v>
      </c>
      <c r="AD20" s="2">
        <f>COUNTIFS('OB History'!$B:$B,$A$20,'OB History'!Y:Y, 1)</f>
        <v>2</v>
      </c>
      <c r="AE20" s="2">
        <f>COUNTIFS('OB History'!$B:$B,$A$20,'OB History'!Z:Z, 1)</f>
        <v>1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SUMIFS('OB History'!C:C,'OB History'!B:B,A21)</f>
        <v>261</v>
      </c>
      <c r="E21" s="4">
        <f>AVERAGEIFS('OB History'!C:C,'OB History'!B:B,A21)</f>
        <v>13.736842105263158</v>
      </c>
      <c r="F21" s="35">
        <f t="array" ref="F21">MAX(IF('OB History'!B:B=A21, 'OB History'!C:C))</f>
        <v>27</v>
      </c>
      <c r="G21" s="34">
        <f>COUNTIFS('OB History'!B:B,A21,'OB History'!D:D, 1)</f>
        <v>7</v>
      </c>
      <c r="H21" s="2">
        <f>COUNTIFS('OB History'!B:B,A21,'OB History'!D:D, 0)</f>
        <v>12</v>
      </c>
      <c r="I21" s="88">
        <f>LOOKUP(2, 1/('OB History'!$B:$B=A21), 'OB History'!$AD:$AD)</f>
        <v>0.36842105263157893</v>
      </c>
      <c r="J21" s="34">
        <f>SUMIFS('OB History'!F:F,'OB History'!B:B,A21)</f>
        <v>33</v>
      </c>
      <c r="K21" s="2">
        <f>SUMIFS('OB History'!E:E,'OB History'!B:B,A21)-J21</f>
        <v>47</v>
      </c>
      <c r="L21" s="88">
        <f>LOOKUP(2, 1/('OB History'!$B:$B=A21), 'OB History'!$AB:$AB)</f>
        <v>0.38157894736842107</v>
      </c>
      <c r="M21" s="34">
        <f>SUMIFS('OB History'!H:H,'OB History'!B:B,'Old Bow v2'!A21)</f>
        <v>155</v>
      </c>
      <c r="N21" s="2">
        <f>SUMIFS('OB History'!G:G,'OB History'!B:B,'Old Bow v2'!A21)-M21</f>
        <v>181</v>
      </c>
      <c r="O21" s="88">
        <f>LOOKUP(2, 1/('OB History'!$B:$B=A21), 'OB History'!$AC:$AC)</f>
        <v>0.44473684210526321</v>
      </c>
      <c r="P21" s="2">
        <f>COUNTIFS('OB History'!$B:$B,$A$21,'OB History'!K:K, 1)</f>
        <v>4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2</v>
      </c>
      <c r="T21" s="2">
        <f>COUNTIFS('OB History'!$B:$B,$A$21,'OB History'!O:O, 1)</f>
        <v>1</v>
      </c>
      <c r="U21" s="2">
        <f>COUNTIFS('OB History'!$B:$B,$A$21,'OB History'!P:P, 1)</f>
        <v>4</v>
      </c>
      <c r="V21" s="2">
        <f>COUNTIFS('OB History'!$B:$B,$A$21,'OB History'!Q:Q, 1)</f>
        <v>1</v>
      </c>
      <c r="W21" s="2">
        <f>COUNTIFS('OB History'!$B:$B,$A$21,'OB History'!R:R, 1)</f>
        <v>1</v>
      </c>
      <c r="X21" s="2">
        <f>COUNTIFS('OB History'!$B:$B,$A$21,'OB History'!S:S, 1)</f>
        <v>1</v>
      </c>
      <c r="Y21" s="2">
        <f>COUNTIFS('OB History'!$B:$B,$A$21,'OB History'!T:T, 1)</f>
        <v>0</v>
      </c>
      <c r="Z21" s="2">
        <f>COUNTIFS('OB History'!$B:$B,$A$21,'OB History'!U:U, 1)</f>
        <v>1</v>
      </c>
      <c r="AA21" s="2">
        <f>COUNTIFS('OB History'!$B:$B,$A$21,'OB History'!V:V, 1)</f>
        <v>1</v>
      </c>
      <c r="AB21" s="2">
        <f>COUNTIFS('OB History'!$B:$B,$A$21,'OB History'!W:W, 1)</f>
        <v>1</v>
      </c>
      <c r="AC21" s="2">
        <f>COUNTIFS('OB History'!$B:$B,$A$21,'OB History'!X:X, 1)</f>
        <v>4</v>
      </c>
      <c r="AD21" s="2">
        <f>COUNTIFS('OB History'!$B:$B,$A$21,'OB History'!Y:Y, 1)</f>
        <v>2</v>
      </c>
      <c r="AE21" s="2">
        <f>COUNTIFS('OB History'!$B:$B,$A$21,'OB History'!Z:Z, 1)</f>
        <v>8</v>
      </c>
    </row>
    <row r="22" spans="1:31" x14ac:dyDescent="0.25">
      <c r="A22" s="2" t="s">
        <v>53</v>
      </c>
      <c r="B22" s="6" t="s">
        <v>60</v>
      </c>
      <c r="C22" s="6" t="s">
        <v>79</v>
      </c>
      <c r="D22" s="34">
        <f>SUMIFS('OB History'!C:C,'OB History'!B:B,A22)</f>
        <v>43</v>
      </c>
      <c r="E22" s="4">
        <f>AVERAGEIFS('OB History'!C:C,'OB History'!B:B,A22)</f>
        <v>14.333333333333334</v>
      </c>
      <c r="F22" s="35">
        <f t="array" ref="F22">MAX(IF('OB History'!B:B=A22, 'OB History'!C:C))</f>
        <v>25</v>
      </c>
      <c r="G22" s="34">
        <f>COUNTIFS('OB History'!B:B,A22,'OB History'!D:D, 1)</f>
        <v>2</v>
      </c>
      <c r="H22" s="2">
        <f>COUNTIFS('OB History'!B:B,A22,'OB History'!D:D, 0)</f>
        <v>1</v>
      </c>
      <c r="I22" s="88">
        <f>LOOKUP(2, 1/('OB History'!$B:$B=A22), 'OB History'!$AD:$AD)</f>
        <v>0.66666666666666663</v>
      </c>
      <c r="J22" s="34">
        <f>SUMIFS('OB History'!F:F,'OB History'!B:B,A22)</f>
        <v>6</v>
      </c>
      <c r="K22" s="2">
        <f>SUMIFS('OB History'!E:E,'OB History'!B:B,A22)-J22</f>
        <v>7</v>
      </c>
      <c r="L22" s="88">
        <f>LOOKUP(2, 1/('OB History'!$B:$B=A22), 'OB History'!$AB:$AB)</f>
        <v>0.39999999999999997</v>
      </c>
      <c r="M22" s="34">
        <f>SUMIFS('OB History'!H:H,'OB History'!B:B,'Old Bow v2'!A22)</f>
        <v>27</v>
      </c>
      <c r="N22" s="2">
        <f>SUMIFS('OB History'!G:G,'OB History'!B:B,'Old Bow v2'!A22)-M22</f>
        <v>26</v>
      </c>
      <c r="O22" s="88">
        <f>LOOKUP(2, 1/('OB History'!$B:$B=A22), 'OB History'!$AC:$AC)</f>
        <v>0.48666666666666664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0</v>
      </c>
      <c r="S22" s="2">
        <f>COUNTIFS('OB History'!$B:$B,$A$22,'OB History'!N:N, 1)</f>
        <v>1</v>
      </c>
      <c r="T22" s="2">
        <f>COUNTIFS('OB History'!$B:$B,$A$22,'OB History'!O:O, 1)</f>
        <v>2</v>
      </c>
      <c r="U22" s="2">
        <f>COUNTIFS('OB History'!$B:$B,$A$22,'OB History'!P:P, 1)</f>
        <v>1</v>
      </c>
      <c r="V22" s="2">
        <f>COUNTIFS('OB History'!$B:$B,$A$22,'OB History'!Q:Q, 1)</f>
        <v>2</v>
      </c>
      <c r="W22" s="2">
        <f>COUNTIFS('OB History'!$B:$B,$A$22,'OB History'!R:R, 1)</f>
        <v>0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0</v>
      </c>
      <c r="AB22" s="2">
        <f>COUNTIFS('OB History'!$B:$B,$A$22,'OB History'!W:W, 1)</f>
        <v>0</v>
      </c>
      <c r="AC22" s="2">
        <f>COUNTIFS('OB History'!$B:$B,$A$22,'OB History'!X:X, 1)</f>
        <v>0</v>
      </c>
      <c r="AD22" s="2">
        <f>COUNTIFS('OB History'!$B:$B,$A$22,'OB History'!Y:Y, 1)</f>
        <v>0</v>
      </c>
      <c r="AE22" s="2">
        <f>COUNTIFS('OB History'!$B:$B,$A$22,'OB History'!Z:Z, 1)</f>
        <v>0</v>
      </c>
    </row>
    <row r="23" spans="1:31" x14ac:dyDescent="0.25">
      <c r="A23" s="2" t="s">
        <v>51</v>
      </c>
      <c r="B23" s="2" t="s">
        <v>79</v>
      </c>
      <c r="C23" s="2" t="s">
        <v>79</v>
      </c>
      <c r="D23" s="34">
        <f>SUMIFS('OB History'!C:C,'OB History'!B:B,A23)</f>
        <v>180</v>
      </c>
      <c r="E23" s="4">
        <f>AVERAGEIFS('OB History'!C:C,'OB History'!B:B,A23)</f>
        <v>13.846153846153847</v>
      </c>
      <c r="F23" s="35">
        <f t="array" ref="F23">MAX(IF('OB History'!B:B=A23, 'OB History'!C:C))</f>
        <v>22</v>
      </c>
      <c r="G23" s="34">
        <f>COUNTIFS('OB History'!B:B,A23,'OB History'!D:D, 1)</f>
        <v>7</v>
      </c>
      <c r="H23" s="2">
        <f>COUNTIFS('OB History'!B:B,A23,'OB History'!D:D, 0)</f>
        <v>6</v>
      </c>
      <c r="I23" s="88">
        <f>LOOKUP(2, 1/('OB History'!$B:$B=A23), 'OB History'!$AD:$AD)</f>
        <v>0.53846153846153844</v>
      </c>
      <c r="J23" s="34">
        <f>SUMIFS('OB History'!F:F,'OB History'!B:B,A23)</f>
        <v>29</v>
      </c>
      <c r="K23" s="2">
        <f>SUMIFS('OB History'!E:E,'OB History'!B:B,A23)-J23</f>
        <v>26</v>
      </c>
      <c r="L23" s="88">
        <f>LOOKUP(2, 1/('OB History'!$B:$B=A23), 'OB History'!$AB:$AB)</f>
        <v>0.53846153846153855</v>
      </c>
      <c r="M23" s="34">
        <f>SUMIFS('OB History'!H:H,'OB History'!B:B,'Old Bow v2'!A23)</f>
        <v>111</v>
      </c>
      <c r="N23" s="2">
        <f>SUMIFS('OB History'!G:G,'OB History'!B:B,'Old Bow v2'!A23)-M23</f>
        <v>111</v>
      </c>
      <c r="O23" s="88">
        <f>LOOKUP(2, 1/('OB History'!$B:$B=A23), 'OB History'!$AC:$AC)</f>
        <v>0.50461538461538469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0</v>
      </c>
      <c r="S23" s="2">
        <f>COUNTIFS('OB History'!$B:$B,$A$23,'OB History'!N:N, 1)</f>
        <v>3</v>
      </c>
      <c r="T23" s="2">
        <f>COUNTIFS('OB History'!$B:$B,$A$23,'OB History'!O:O, 1)</f>
        <v>0</v>
      </c>
      <c r="U23" s="2">
        <f>COUNTIFS('OB History'!$B:$B,$A$23,'OB History'!P:P, 1)</f>
        <v>3</v>
      </c>
      <c r="V23" s="2">
        <f>COUNTIFS('OB History'!$B:$B,$A$23,'OB History'!Q:Q, 1)</f>
        <v>0</v>
      </c>
      <c r="W23" s="2">
        <f>COUNTIFS('OB History'!$B:$B,$A$23,'OB History'!R:R, 1)</f>
        <v>1</v>
      </c>
      <c r="X23" s="2">
        <f>COUNTIFS('OB History'!$B:$B,$A$23,'OB History'!S:S, 1)</f>
        <v>0</v>
      </c>
      <c r="Y23" s="2">
        <f>COUNTIFS('OB History'!$B:$B,$A$23,'OB History'!T:T, 1)</f>
        <v>0</v>
      </c>
      <c r="Z23" s="2">
        <f>COUNTIFS('OB History'!$B:$B,$A$23,'OB History'!U:U, 1)</f>
        <v>0</v>
      </c>
      <c r="AA23" s="2">
        <f>COUNTIFS('OB History'!$B:$B,$A$23,'OB History'!V:V, 1)</f>
        <v>2</v>
      </c>
      <c r="AB23" s="2">
        <f>COUNTIFS('OB History'!$B:$B,$A$23,'OB History'!W:W, 1)</f>
        <v>5</v>
      </c>
      <c r="AC23" s="2">
        <f>COUNTIFS('OB History'!$B:$B,$A$23,'OB History'!X:X, 1)</f>
        <v>4</v>
      </c>
      <c r="AD23" s="2">
        <f>COUNTIFS('OB History'!$B:$B,$A$23,'OB History'!Y:Y, 1)</f>
        <v>3</v>
      </c>
      <c r="AE23" s="2">
        <f>COUNTIFS('OB History'!$B:$B,$A$23,'OB History'!Z:Z, 1)</f>
        <v>3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SUMIFS('OB History'!C:C,'OB History'!B:B,A24)</f>
        <v>341</v>
      </c>
      <c r="E24" s="4">
        <f>AVERAGEIFS('OB History'!C:C,'OB History'!B:B,A24)</f>
        <v>14.208333333333334</v>
      </c>
      <c r="F24" s="35">
        <f t="array" ref="F24">MAX(IF('OB History'!B:B=A24, 'OB History'!C:C))</f>
        <v>28</v>
      </c>
      <c r="G24" s="34">
        <f>COUNTIFS('OB History'!B:B,A24,'OB History'!D:D, 1)</f>
        <v>10</v>
      </c>
      <c r="H24" s="2">
        <f>COUNTIFS('OB History'!B:B,A24,'OB History'!D:D, 0)</f>
        <v>14</v>
      </c>
      <c r="I24" s="88">
        <f>LOOKUP(2, 1/('OB History'!$B:$B=A24), 'OB History'!$AD:$AD)</f>
        <v>0.41666666666666669</v>
      </c>
      <c r="J24" s="34">
        <f>SUMIFS('OB History'!F:F,'OB History'!B:B,A24)</f>
        <v>50</v>
      </c>
      <c r="K24" s="2">
        <f>SUMIFS('OB History'!E:E,'OB History'!B:B,A24)-J24</f>
        <v>53</v>
      </c>
      <c r="L24" s="88">
        <f>LOOKUP(2, 1/('OB History'!$B:$B=A24), 'OB History'!$AB:$AB)</f>
        <v>0.48958333333333331</v>
      </c>
      <c r="M24" s="34">
        <f>SUMIFS('OB History'!H:H,'OB History'!B:B,'Old Bow v2'!A24)</f>
        <v>215</v>
      </c>
      <c r="N24" s="2">
        <f>SUMIFS('OB History'!G:G,'OB History'!B:B,'Old Bow v2'!A24)-M24</f>
        <v>217</v>
      </c>
      <c r="O24" s="88">
        <f>LOOKUP(2, 1/('OB History'!$B:$B=A24), 'OB History'!$AC:$AC)</f>
        <v>0.49750000000000005</v>
      </c>
      <c r="P24" s="2">
        <f>COUNTIFS('OB History'!$B:$B,$A$24,'OB History'!K:K, 1)</f>
        <v>1</v>
      </c>
      <c r="Q24" s="2">
        <f>COUNTIFS('OB History'!$B:$B,$A$24,'OB History'!L:L, 1)</f>
        <v>4</v>
      </c>
      <c r="R24" s="2">
        <f>COUNTIFS('OB History'!$B:$B,$A$24,'OB History'!M:M, 1)</f>
        <v>0</v>
      </c>
      <c r="S24" s="2">
        <f>COUNTIFS('OB History'!$B:$B,$A$24,'OB History'!N:N, 1)</f>
        <v>12</v>
      </c>
      <c r="T24" s="2">
        <f>COUNTIFS('OB History'!$B:$B,$A$24,'OB History'!O:O, 1)</f>
        <v>0</v>
      </c>
      <c r="U24" s="2">
        <f>COUNTIFS('OB History'!$B:$B,$A$24,'OB History'!P:P, 1)</f>
        <v>4</v>
      </c>
      <c r="V24" s="2">
        <f>COUNTIFS('OB History'!$B:$B,$A$24,'OB History'!Q:Q, 1)</f>
        <v>2</v>
      </c>
      <c r="W24" s="2">
        <f>COUNTIFS('OB History'!$B:$B,$A$24,'OB History'!R:R, 1)</f>
        <v>2</v>
      </c>
      <c r="X24" s="2">
        <f>COUNTIFS('OB History'!$B:$B,$A$24,'OB History'!S:S, 1)</f>
        <v>0</v>
      </c>
      <c r="Y24" s="2">
        <f>COUNTIFS('OB History'!$B:$B,$A$24,'OB History'!T:T, 1)</f>
        <v>1</v>
      </c>
      <c r="Z24" s="2">
        <f>COUNTIFS('OB History'!$B:$B,$A$24,'OB History'!U:U, 1)</f>
        <v>0</v>
      </c>
      <c r="AA24" s="2">
        <f>COUNTIFS('OB History'!$B:$B,$A$24,'OB History'!V:V, 1)</f>
        <v>2</v>
      </c>
      <c r="AB24" s="2">
        <f>COUNTIFS('OB History'!$B:$B,$A$24,'OB History'!W:W, 1)</f>
        <v>8</v>
      </c>
      <c r="AC24" s="2">
        <f>COUNTIFS('OB History'!$B:$B,$A$24,'OB History'!X:X, 1)</f>
        <v>7</v>
      </c>
      <c r="AD24" s="2">
        <f>COUNTIFS('OB History'!$B:$B,$A$24,'OB History'!Y:Y, 1)</f>
        <v>2</v>
      </c>
      <c r="AE24" s="2">
        <f>COUNTIFS('OB History'!$B:$B,$A$24,'OB History'!Z:Z, 1)</f>
        <v>5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SUMIFS('OB History'!C:C,'OB History'!B:B,A25)</f>
        <v>69</v>
      </c>
      <c r="E25" s="4">
        <f>AVERAGEIFS('OB History'!C:C,'OB History'!B:B,A25)</f>
        <v>7.666666666666667</v>
      </c>
      <c r="F25" s="35">
        <f t="array" ref="F25">MAX(IF('OB History'!B:B=A25, 'OB History'!C:C))</f>
        <v>14</v>
      </c>
      <c r="G25" s="34">
        <f>COUNTIFS('OB History'!B:B,A25,'OB History'!D:D, 1)</f>
        <v>5</v>
      </c>
      <c r="H25" s="2">
        <f>COUNTIFS('OB History'!B:B,A25,'OB History'!D:D, 0)</f>
        <v>4</v>
      </c>
      <c r="I25" s="88">
        <f>LOOKUP(2, 1/('OB History'!$B:$B=A25), 'OB History'!$AD:$AD)</f>
        <v>0.55555555555555558</v>
      </c>
      <c r="J25" s="34">
        <f>SUMIFS('OB History'!F:F,'OB History'!B:B,A25)</f>
        <v>20</v>
      </c>
      <c r="K25" s="2">
        <f>SUMIFS('OB History'!E:E,'OB History'!B:B,A25)-J25</f>
        <v>19</v>
      </c>
      <c r="L25" s="88">
        <f>LOOKUP(2, 1/('OB History'!$B:$B=A25), 'OB History'!$AB:$AB)</f>
        <v>0.51111111111111107</v>
      </c>
      <c r="M25" s="34">
        <f>SUMIFS('OB History'!H:H,'OB History'!B:B,'Old Bow v2'!A25)</f>
        <v>83</v>
      </c>
      <c r="N25" s="2">
        <f>SUMIFS('OB History'!G:G,'OB History'!B:B,'Old Bow v2'!A25)-M25</f>
        <v>83</v>
      </c>
      <c r="O25" s="88">
        <f>LOOKUP(2, 1/('OB History'!$B:$B=A25), 'OB History'!$AC:$AC)</f>
        <v>0.49444444444444435</v>
      </c>
      <c r="P25" s="2">
        <f>COUNTIFS('OB History'!$B:$B,$A$25,'OB History'!K:K, 1)</f>
        <v>0</v>
      </c>
      <c r="Q25" s="2">
        <f>COUNTIFS('OB History'!$B:$B,$A$25,'OB History'!L:L, 1)</f>
        <v>1</v>
      </c>
      <c r="R25" s="2">
        <f>COUNTIFS('OB History'!$B:$B,$A$25,'OB History'!M:M, 1)</f>
        <v>1</v>
      </c>
      <c r="S25" s="2">
        <f>COUNTIFS('OB History'!$B:$B,$A$25,'OB History'!N:N, 1)</f>
        <v>4</v>
      </c>
      <c r="T25" s="2">
        <f>COUNTIFS('OB History'!$B:$B,$A$25,'OB History'!O:O, 1)</f>
        <v>1</v>
      </c>
      <c r="U25" s="2">
        <f>COUNTIFS('OB History'!$B:$B,$A$25,'OB History'!P:P, 1)</f>
        <v>2</v>
      </c>
      <c r="V25" s="2">
        <f>COUNTIFS('OB History'!$B:$B,$A$25,'OB History'!Q:Q, 1)</f>
        <v>0</v>
      </c>
      <c r="W25" s="2">
        <f>COUNTIFS('OB History'!$B:$B,$A$25,'OB History'!R:R, 1)</f>
        <v>0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1</v>
      </c>
      <c r="AB25" s="2">
        <f>COUNTIFS('OB History'!$B:$B,$A$25,'OB History'!W:W, 1)</f>
        <v>3</v>
      </c>
      <c r="AC25" s="2">
        <f>COUNTIFS('OB History'!$B:$B,$A$25,'OB History'!X:X, 1)</f>
        <v>2</v>
      </c>
      <c r="AD25" s="2">
        <f>COUNTIFS('OB History'!$B:$B,$A$25,'OB History'!Y:Y, 1)</f>
        <v>0</v>
      </c>
      <c r="AE25" s="2">
        <f>COUNTIFS('OB History'!$B:$B,$A$25,'OB History'!Z:Z, 1)</f>
        <v>5</v>
      </c>
    </row>
    <row r="26" spans="1:31" x14ac:dyDescent="0.25">
      <c r="A26" s="2" t="s">
        <v>3</v>
      </c>
      <c r="B26" s="6" t="s">
        <v>60</v>
      </c>
      <c r="C26" s="6" t="s">
        <v>60</v>
      </c>
      <c r="D26" s="34">
        <f>SUMIFS('OB History'!C:C,'OB History'!B:B,A26)</f>
        <v>230</v>
      </c>
      <c r="E26" s="4">
        <f>AVERAGEIFS('OB History'!C:C,'OB History'!B:B,A26)</f>
        <v>23</v>
      </c>
      <c r="F26" s="35">
        <f t="array" ref="F26">MAX(IF('OB History'!B:B=A26, 'OB History'!C:C))</f>
        <v>44</v>
      </c>
      <c r="G26" s="34">
        <f>COUNTIFS('OB History'!B:B,A26,'OB History'!D:D, 1)</f>
        <v>6</v>
      </c>
      <c r="H26" s="2">
        <f>COUNTIFS('OB History'!B:B,A26,'OB History'!D:D, 0)</f>
        <v>4</v>
      </c>
      <c r="I26" s="88">
        <f>LOOKUP(2, 1/('OB History'!$B:$B=A26), 'OB History'!$AD:$AD)</f>
        <v>0.6</v>
      </c>
      <c r="J26" s="34">
        <f>SUMIFS('OB History'!F:F,'OB History'!B:B,A26)</f>
        <v>22</v>
      </c>
      <c r="K26" s="2">
        <f>SUMIFS('OB History'!E:E,'OB History'!B:B,A26)-J26</f>
        <v>21</v>
      </c>
      <c r="L26" s="88">
        <f>LOOKUP(2, 1/('OB History'!$B:$B=A26), 'OB History'!$AB:$AB)</f>
        <v>0.495</v>
      </c>
      <c r="M26" s="34">
        <f>SUMIFS('OB History'!H:H,'OB History'!B:B,'Old Bow v2'!A26)</f>
        <v>87</v>
      </c>
      <c r="N26" s="2">
        <f>SUMIFS('OB History'!G:G,'OB History'!B:B,'Old Bow v2'!A26)-M26</f>
        <v>88</v>
      </c>
      <c r="O26" s="88">
        <f>LOOKUP(2, 1/('OB History'!$B:$B=A26), 'OB History'!$AC:$AC)</f>
        <v>0.48999999999999994</v>
      </c>
      <c r="P26" s="2">
        <f>COUNTIFS('OB History'!$B:$B,$A$26,'OB History'!K:K, 1)</f>
        <v>2</v>
      </c>
      <c r="Q26" s="2">
        <f>COUNTIFS('OB History'!$B:$B,$A$26,'OB History'!L:L, 1)</f>
        <v>3</v>
      </c>
      <c r="R26" s="2">
        <f>COUNTIFS('OB History'!$B:$B,$A$26,'OB History'!M:M, 1)</f>
        <v>1</v>
      </c>
      <c r="S26" s="2">
        <f>COUNTIFS('OB History'!$B:$B,$A$26,'OB History'!N:N, 1)</f>
        <v>1</v>
      </c>
      <c r="T26" s="2">
        <f>COUNTIFS('OB History'!$B:$B,$A$26,'OB History'!O:O, 1)</f>
        <v>2</v>
      </c>
      <c r="U26" s="2">
        <f>COUNTIFS('OB History'!$B:$B,$A$26,'OB History'!P:P, 1)</f>
        <v>2</v>
      </c>
      <c r="V26" s="2">
        <f>COUNTIFS('OB History'!$B:$B,$A$26,'OB History'!Q:Q, 1)</f>
        <v>3</v>
      </c>
      <c r="W26" s="2">
        <f>COUNTIFS('OB History'!$B:$B,$A$26,'OB History'!R:R, 1)</f>
        <v>0</v>
      </c>
      <c r="X26" s="2">
        <f>COUNTIFS('OB History'!$B:$B,$A$26,'OB History'!S:S, 1)</f>
        <v>0</v>
      </c>
      <c r="Y26" s="2">
        <f>COUNTIFS('OB History'!$B:$B,$A$26,'OB History'!T:T, 1)</f>
        <v>0</v>
      </c>
      <c r="Z26" s="2">
        <f>COUNTIFS('OB History'!$B:$B,$A$26,'OB History'!U:U, 1)</f>
        <v>0</v>
      </c>
      <c r="AA26" s="2">
        <f>COUNTIFS('OB History'!$B:$B,$A$26,'OB History'!V:V, 1)</f>
        <v>1</v>
      </c>
      <c r="AB26" s="2">
        <f>COUNTIFS('OB History'!$B:$B,$A$26,'OB History'!W:W, 1)</f>
        <v>1</v>
      </c>
      <c r="AC26" s="2">
        <f>COUNTIFS('OB History'!$B:$B,$A$26,'OB History'!X:X, 1)</f>
        <v>3</v>
      </c>
      <c r="AD26" s="2">
        <f>COUNTIFS('OB History'!$B:$B,$A$26,'OB History'!Y:Y, 1)</f>
        <v>2</v>
      </c>
      <c r="AE26" s="2">
        <f>COUNTIFS('OB History'!$B:$B,$A$26,'OB History'!Z:Z, 1)</f>
        <v>1</v>
      </c>
    </row>
    <row r="27" spans="1:31" x14ac:dyDescent="0.25">
      <c r="A27" s="2" t="s">
        <v>149</v>
      </c>
      <c r="B27" s="6" t="s">
        <v>79</v>
      </c>
      <c r="C27" s="6" t="s">
        <v>79</v>
      </c>
      <c r="D27" s="34">
        <f>SUMIFS('OB History'!C:C,'OB History'!B:B,A27)</f>
        <v>50</v>
      </c>
      <c r="E27" s="4">
        <f>AVERAGEIFS('OB History'!C:C,'OB History'!B:B,A27)</f>
        <v>12.5</v>
      </c>
      <c r="F27" s="35">
        <f t="array" ref="F27">MAX(IF('OB History'!B:B=A27, 'OB History'!C:C))</f>
        <v>21</v>
      </c>
      <c r="G27" s="34">
        <f>COUNTIFS('OB History'!B:B,A27,'OB History'!D:D, 1)</f>
        <v>1</v>
      </c>
      <c r="H27" s="2">
        <f>COUNTIFS('OB History'!B:B,A27,'OB History'!D:D, 0)</f>
        <v>3</v>
      </c>
      <c r="I27" s="88">
        <f>LOOKUP(2, 1/('OB History'!$B:$B=A27), 'OB History'!$AD:$AD)</f>
        <v>0.25</v>
      </c>
      <c r="J27" s="34">
        <f>SUMIFS('OB History'!F:F,'OB History'!B:B,A27)</f>
        <v>8</v>
      </c>
      <c r="K27" s="2">
        <f>SUMIFS('OB History'!E:E,'OB History'!B:B,A27)-J27</f>
        <v>11</v>
      </c>
      <c r="L27" s="88">
        <f>LOOKUP(2, 1/('OB History'!$B:$B=A27), 'OB History'!$AB:$AB)</f>
        <v>0.41249999999999998</v>
      </c>
      <c r="M27" s="34">
        <f>SUMIFS('OB History'!H:H,'OB History'!B:B,'Old Bow v2'!A27)</f>
        <v>36</v>
      </c>
      <c r="N27" s="2">
        <f>SUMIFS('OB History'!G:G,'OB History'!B:B,'Old Bow v2'!A27)-M27</f>
        <v>44</v>
      </c>
      <c r="O27" s="88">
        <f>LOOKUP(2, 1/('OB History'!$B:$B=A27), 'OB History'!$AC:$AC)</f>
        <v>0.4425</v>
      </c>
      <c r="P27" s="2">
        <f>COUNTIFS('OB History'!$B:$B,$A$27,'OB History'!K:K, 1)</f>
        <v>1</v>
      </c>
      <c r="Q27" s="2">
        <f>COUNTIFS('OB History'!$B:$B,$A$27,'OB History'!L:L, 1)</f>
        <v>0</v>
      </c>
      <c r="R27" s="2">
        <f>COUNTIFS('OB History'!$B:$B,$A$27,'OB History'!M:M, 1)</f>
        <v>0</v>
      </c>
      <c r="S27" s="2">
        <f>COUNTIFS('OB History'!$B:$B,$A$27,'OB History'!N:N, 1)</f>
        <v>1</v>
      </c>
      <c r="T27" s="2">
        <f>COUNTIFS('OB History'!$B:$B,$A$27,'OB History'!O:O, 1)</f>
        <v>0</v>
      </c>
      <c r="U27" s="2">
        <f>COUNTIFS('OB History'!$B:$B,$A$27,'OB History'!P:P, 1)</f>
        <v>1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0</v>
      </c>
      <c r="AB27" s="2">
        <f>COUNTIFS('OB History'!$B:$B,$A$27,'OB History'!W:W, 1)</f>
        <v>0</v>
      </c>
      <c r="AC27" s="2">
        <f>COUNTIFS('OB History'!$B:$B,$A$27,'OB History'!X:X, 1)</f>
        <v>3</v>
      </c>
      <c r="AD27" s="2">
        <f>COUNTIFS('OB History'!$B:$B,$A$27,'OB History'!Y:Y, 1)</f>
        <v>2</v>
      </c>
      <c r="AE27" s="2">
        <f>COUNTIFS('OB History'!$B:$B,$A$27,'OB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SUMIFS('OB History'!C:C,'OB History'!B:B,A28)</f>
        <v>581</v>
      </c>
      <c r="E28" s="4">
        <f>AVERAGEIFS('OB History'!C:C,'OB History'!B:B,A28)</f>
        <v>25.260869565217391</v>
      </c>
      <c r="F28" s="35">
        <f t="array" ref="F28">MAX(IF('OB History'!B:B=A28, 'OB History'!C:C))</f>
        <v>55</v>
      </c>
      <c r="G28" s="34">
        <f>COUNTIFS('OB History'!B:B,A28,'OB History'!D:D, 1)</f>
        <v>7</v>
      </c>
      <c r="H28" s="2">
        <f>COUNTIFS('OB History'!B:B,A28,'OB History'!D:D, 0)</f>
        <v>16</v>
      </c>
      <c r="I28" s="88">
        <f>LOOKUP(2, 1/('OB History'!$B:$B=A28), 'OB History'!$AD:$AD)</f>
        <v>0.30434782608695654</v>
      </c>
      <c r="J28" s="34">
        <f>SUMIFS('OB History'!F:F,'OB History'!B:B,A28)</f>
        <v>41</v>
      </c>
      <c r="K28" s="2">
        <f>SUMIFS('OB History'!E:E,'OB History'!B:B,A28)-J28</f>
        <v>55</v>
      </c>
      <c r="L28" s="88">
        <f>LOOKUP(2, 1/('OB History'!$B:$B=A28), 'OB History'!$AB:$AB)</f>
        <v>0.43260869565217386</v>
      </c>
      <c r="M28" s="34">
        <f>SUMIFS('OB History'!H:H,'OB History'!B:B,'Old Bow v2'!A28)</f>
        <v>188</v>
      </c>
      <c r="N28" s="2">
        <f>SUMIFS('OB History'!G:G,'OB History'!B:B,'Old Bow v2'!A28)-M28</f>
        <v>214</v>
      </c>
      <c r="O28" s="88">
        <f>LOOKUP(2, 1/('OB History'!$B:$B=A28), 'OB History'!$AC:$AC)</f>
        <v>0.47130434782608704</v>
      </c>
      <c r="P28" s="2">
        <f>COUNTIFS('OB History'!$B:$B,$A$28,'OB History'!K:K, 1)</f>
        <v>2</v>
      </c>
      <c r="Q28" s="2">
        <f>COUNTIFS('OB History'!$B:$B,$A$28,'OB History'!L:L, 1)</f>
        <v>0</v>
      </c>
      <c r="R28" s="2">
        <f>COUNTIFS('OB History'!$B:$B,$A$28,'OB History'!M:M, 1)</f>
        <v>0</v>
      </c>
      <c r="S28" s="2">
        <f>COUNTIFS('OB History'!$B:$B,$A$28,'OB History'!N:N, 1)</f>
        <v>6</v>
      </c>
      <c r="T28" s="2">
        <f>COUNTIFS('OB History'!$B:$B,$A$28,'OB History'!O:O, 1)</f>
        <v>0</v>
      </c>
      <c r="U28" s="2">
        <f>COUNTIFS('OB History'!$B:$B,$A$28,'OB History'!P:P, 1)</f>
        <v>4</v>
      </c>
      <c r="V28" s="2">
        <f>COUNTIFS('OB History'!$B:$B,$A$28,'OB History'!Q:Q, 1)</f>
        <v>1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0</v>
      </c>
      <c r="AB28" s="2">
        <f>COUNTIFS('OB History'!$B:$B,$A$28,'OB History'!W:W, 1)</f>
        <v>5</v>
      </c>
      <c r="AC28" s="2">
        <f>COUNTIFS('OB History'!$B:$B,$A$28,'OB History'!X:X, 1)</f>
        <v>12</v>
      </c>
      <c r="AD28" s="2">
        <f>COUNTIFS('OB History'!$B:$B,$A$28,'OB History'!Y:Y, 1)</f>
        <v>4</v>
      </c>
      <c r="AE28" s="2">
        <f>COUNTIFS('OB History'!$B:$B,$A$28,'OB History'!Z:Z, 1)</f>
        <v>7</v>
      </c>
    </row>
    <row r="29" spans="1:31" x14ac:dyDescent="0.25">
      <c r="A29" s="1" t="s">
        <v>43</v>
      </c>
      <c r="B29" s="2" t="s">
        <v>79</v>
      </c>
      <c r="C29" s="2" t="s">
        <v>79</v>
      </c>
      <c r="D29" s="34">
        <f>SUMIFS('OB History'!C:C,'OB History'!B:B,A29)</f>
        <v>4</v>
      </c>
      <c r="E29" s="4">
        <f>AVERAGEIFS('OB History'!C:C,'OB History'!B:B,A29)</f>
        <v>4</v>
      </c>
      <c r="F29" s="35">
        <f t="array" ref="F29">MAX(IF('OB History'!B:B=A29, 'OB History'!C:C))</f>
        <v>4</v>
      </c>
      <c r="G29" s="34">
        <f>COUNTIFS('OB History'!B:B,A29,'OB History'!D:D, 1)</f>
        <v>1</v>
      </c>
      <c r="H29" s="2">
        <f>COUNTIFS('OB History'!B:B,A29,'OB History'!D:D, 0)</f>
        <v>0</v>
      </c>
      <c r="I29" s="88">
        <f>LOOKUP(2, 1/('OB History'!$B:$B=A29), 'OB History'!$AD:$AD)</f>
        <v>1</v>
      </c>
      <c r="J29" s="34">
        <f>SUMIFS('OB History'!F:F,'OB History'!B:B,A29)</f>
        <v>3</v>
      </c>
      <c r="K29" s="2">
        <f>SUMIFS('OB History'!E:E,'OB History'!B:B,A29)-J29</f>
        <v>0</v>
      </c>
      <c r="L29" s="88">
        <f>LOOKUP(2, 1/('OB History'!$B:$B=A29), 'OB History'!$AB:$AB)</f>
        <v>1</v>
      </c>
      <c r="M29" s="34">
        <f>SUMIFS('OB History'!H:H,'OB History'!B:B,'Old Bow v2'!A29)</f>
        <v>9</v>
      </c>
      <c r="N29" s="2">
        <f>SUMIFS('OB History'!G:G,'OB History'!B:B,'Old Bow v2'!A29)-M29</f>
        <v>4</v>
      </c>
      <c r="O29" s="88">
        <f>LOOKUP(2, 1/('OB History'!$B:$B=A29), 'OB History'!$AC:$AC)</f>
        <v>0.69</v>
      </c>
      <c r="P29" s="2">
        <f>COUNTIFS('OB History'!$B:$B,$A$29,'OB History'!K:K, 1)</f>
        <v>0</v>
      </c>
      <c r="Q29" s="2">
        <f>COUNTIFS('OB History'!$B:$B,$A$29,'OB History'!L:L, 1)</f>
        <v>0</v>
      </c>
      <c r="R29" s="2">
        <f>COUNTIFS('OB History'!$B:$B,$A$29,'OB History'!M:M, 1)</f>
        <v>0</v>
      </c>
      <c r="S29" s="2">
        <f>COUNTIFS('OB History'!$B:$B,$A$29,'OB History'!N:N, 1)</f>
        <v>0</v>
      </c>
      <c r="T29" s="2">
        <f>COUNTIFS('OB History'!$B:$B,$A$29,'OB History'!O:O, 1)</f>
        <v>0</v>
      </c>
      <c r="U29" s="2">
        <f>COUNTIFS('OB History'!$B:$B,$A$29,'OB History'!P:P, 1)</f>
        <v>1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0</v>
      </c>
      <c r="Z29" s="2">
        <f>COUNTIFS('OB History'!$B:$B,$A$29,'OB History'!U:U, 1)</f>
        <v>0</v>
      </c>
      <c r="AA29" s="2">
        <f>COUNTIFS('OB History'!$B:$B,$A$29,'OB History'!V:V, 1)</f>
        <v>0</v>
      </c>
      <c r="AB29" s="2">
        <f>COUNTIFS('OB History'!$B:$B,$A$29,'OB History'!W:W, 1)</f>
        <v>0</v>
      </c>
      <c r="AC29" s="2">
        <f>COUNTIFS('OB History'!$B:$B,$A$29,'OB History'!X:X, 1)</f>
        <v>1</v>
      </c>
      <c r="AD29" s="2">
        <f>COUNTIFS('OB History'!$B:$B,$A$29,'OB History'!Y:Y, 1)</f>
        <v>0</v>
      </c>
      <c r="AE29" s="2">
        <f>COUNTIFS('OB History'!$B:$B,$A$29,'OB History'!Z:Z, 1)</f>
        <v>1</v>
      </c>
    </row>
    <row r="30" spans="1:31" x14ac:dyDescent="0.25">
      <c r="A30" s="2" t="s">
        <v>13</v>
      </c>
      <c r="B30" s="6" t="s">
        <v>124</v>
      </c>
      <c r="C30" s="6" t="s">
        <v>60</v>
      </c>
      <c r="D30" s="34">
        <f>SUMIFS('OB History'!C:C,'OB History'!B:B,A30)</f>
        <v>918</v>
      </c>
      <c r="E30" s="4">
        <f>AVERAGEIFS('OB History'!C:C,'OB History'!B:B,A30)</f>
        <v>27.818181818181817</v>
      </c>
      <c r="F30" s="35">
        <f t="array" ref="F30">MAX(IF('OB History'!B:B=A30, 'OB History'!C:C))</f>
        <v>57</v>
      </c>
      <c r="G30" s="34">
        <f>COUNTIFS('OB History'!B:B,A30,'OB History'!D:D, 1)</f>
        <v>20</v>
      </c>
      <c r="H30" s="2">
        <f>COUNTIFS('OB History'!B:B,A30,'OB History'!D:D, 0)</f>
        <v>13</v>
      </c>
      <c r="I30" s="88">
        <f>LOOKUP(2, 1/('OB History'!$B:$B=A30), 'OB History'!$AD:$AD)</f>
        <v>0.60606060606060608</v>
      </c>
      <c r="J30" s="34">
        <f>SUMIFS('OB History'!F:F,'OB History'!B:B,A30)</f>
        <v>74</v>
      </c>
      <c r="K30" s="2">
        <f>SUMIFS('OB History'!E:E,'OB History'!B:B,A30)-J30</f>
        <v>63</v>
      </c>
      <c r="L30" s="88">
        <f>LOOKUP(2, 1/('OB History'!$B:$B=A30), 'OB History'!$AB:$AB)</f>
        <v>0.53333333333333321</v>
      </c>
      <c r="M30" s="34">
        <f>SUMIFS('OB History'!H:H,'OB History'!B:B,'Old Bow v2'!A30)</f>
        <v>296</v>
      </c>
      <c r="N30" s="2">
        <f>SUMIFS('OB History'!G:G,'OB History'!B:B,'Old Bow v2'!A30)-M30</f>
        <v>267</v>
      </c>
      <c r="O30" s="88">
        <f>LOOKUP(2, 1/('OB History'!$B:$B=A30), 'OB History'!$AC:$AC)</f>
        <v>0.52363636363636346</v>
      </c>
      <c r="P30" s="2">
        <f>COUNTIFS('OB History'!$B:$B,$A$30,'OB History'!K:K, 1)</f>
        <v>3</v>
      </c>
      <c r="Q30" s="2">
        <f>COUNTIFS('OB History'!$B:$B,$A$30,'OB History'!L:L, 1)</f>
        <v>7</v>
      </c>
      <c r="R30" s="2">
        <f>COUNTIFS('OB History'!$B:$B,$A$30,'OB History'!M:M, 1)</f>
        <v>2</v>
      </c>
      <c r="S30" s="2">
        <f>COUNTIFS('OB History'!$B:$B,$A$30,'OB History'!N:N, 1)</f>
        <v>9</v>
      </c>
      <c r="T30" s="2">
        <f>COUNTIFS('OB History'!$B:$B,$A$30,'OB History'!O:O, 1)</f>
        <v>3</v>
      </c>
      <c r="U30" s="2">
        <f>COUNTIFS('OB History'!$B:$B,$A$30,'OB History'!P:P, 1)</f>
        <v>12</v>
      </c>
      <c r="V30" s="2">
        <f>COUNTIFS('OB History'!$B:$B,$A$30,'OB History'!Q:Q, 1)</f>
        <v>4</v>
      </c>
      <c r="W30" s="2">
        <f>COUNTIFS('OB History'!$B:$B,$A$30,'OB History'!R:R, 1)</f>
        <v>1</v>
      </c>
      <c r="X30" s="2">
        <f>COUNTIFS('OB History'!$B:$B,$A$30,'OB History'!S:S, 1)</f>
        <v>1</v>
      </c>
      <c r="Y30" s="2">
        <f>COUNTIFS('OB History'!$B:$B,$A$30,'OB History'!T:T, 1)</f>
        <v>1</v>
      </c>
      <c r="Z30" s="2">
        <f>COUNTIFS('OB History'!$B:$B,$A$30,'OB History'!U:U, 1)</f>
        <v>1</v>
      </c>
      <c r="AA30" s="2">
        <f>COUNTIFS('OB History'!$B:$B,$A$30,'OB History'!V:V, 1)</f>
        <v>4</v>
      </c>
      <c r="AB30" s="2">
        <f>COUNTIFS('OB History'!$B:$B,$A$30,'OB History'!W:W, 1)</f>
        <v>7</v>
      </c>
      <c r="AC30" s="2">
        <f>COUNTIFS('OB History'!$B:$B,$A$30,'OB History'!X:X, 1)</f>
        <v>8</v>
      </c>
      <c r="AD30" s="2">
        <f>COUNTIFS('OB History'!$B:$B,$A$30,'OB History'!Y:Y, 1)</f>
        <v>2</v>
      </c>
      <c r="AE30" s="2">
        <f>COUNTIFS('OB History'!$B:$B,$A$30,'OB History'!Z:Z, 1)</f>
        <v>9</v>
      </c>
    </row>
    <row r="31" spans="1:31" x14ac:dyDescent="0.25">
      <c r="A31" s="2" t="s">
        <v>2</v>
      </c>
      <c r="B31" s="6" t="s">
        <v>60</v>
      </c>
      <c r="C31" s="2" t="s">
        <v>79</v>
      </c>
      <c r="D31" s="34">
        <f>SUMIFS('OB History'!C:C,'OB History'!B:B,A31)</f>
        <v>354</v>
      </c>
      <c r="E31" s="4">
        <f>AVERAGEIFS('OB History'!C:C,'OB History'!B:B,A31)</f>
        <v>27.23076923076923</v>
      </c>
      <c r="F31" s="35">
        <f t="array" ref="F31">MAX(IF('OB History'!B:B=A31, 'OB History'!C:C))</f>
        <v>42</v>
      </c>
      <c r="G31" s="34">
        <f>COUNTIFS('OB History'!B:B,A31,'OB History'!D:D, 1)</f>
        <v>7</v>
      </c>
      <c r="H31" s="2">
        <f>COUNTIFS('OB History'!B:B,A31,'OB History'!D:D, 0)</f>
        <v>6</v>
      </c>
      <c r="I31" s="88">
        <f>LOOKUP(2, 1/('OB History'!$B:$B=A31), 'OB History'!$AD:$AD)</f>
        <v>0.53846153846153844</v>
      </c>
      <c r="J31" s="34">
        <f>SUMIFS('OB History'!F:F,'OB History'!B:B,A31)</f>
        <v>30</v>
      </c>
      <c r="K31" s="2">
        <f>SUMIFS('OB History'!E:E,'OB History'!B:B,A31)-J31</f>
        <v>26</v>
      </c>
      <c r="L31" s="88">
        <f>LOOKUP(2, 1/('OB History'!$B:$B=A31), 'OB History'!$AB:$AB)</f>
        <v>0.54230769230769227</v>
      </c>
      <c r="M31" s="34">
        <f>SUMIFS('OB History'!H:H,'OB History'!B:B,'Old Bow v2'!A31)</f>
        <v>124</v>
      </c>
      <c r="N31" s="2">
        <f>SUMIFS('OB History'!G:G,'OB History'!B:B,'Old Bow v2'!A31)-M31</f>
        <v>109</v>
      </c>
      <c r="O31" s="88">
        <f>LOOKUP(2, 1/('OB History'!$B:$B=A31), 'OB History'!$AC:$AC)</f>
        <v>0.53923076923076918</v>
      </c>
      <c r="P31" s="2">
        <f>COUNTIFS('OB History'!$B:$B,$A$31,'OB History'!K:K, 1)</f>
        <v>2</v>
      </c>
      <c r="Q31" s="2">
        <f>COUNTIFS('OB History'!$B:$B,$A$31,'OB History'!L:L, 1)</f>
        <v>2</v>
      </c>
      <c r="R31" s="2">
        <f>COUNTIFS('OB History'!$B:$B,$A$31,'OB History'!M:M, 1)</f>
        <v>2</v>
      </c>
      <c r="S31" s="2">
        <f>COUNTIFS('OB History'!$B:$B,$A$31,'OB History'!N:N, 1)</f>
        <v>6</v>
      </c>
      <c r="T31" s="2">
        <f>COUNTIFS('OB History'!$B:$B,$A$31,'OB History'!O:O, 1)</f>
        <v>0</v>
      </c>
      <c r="U31" s="2">
        <f>COUNTIFS('OB History'!$B:$B,$A$31,'OB History'!P:P, 1)</f>
        <v>3</v>
      </c>
      <c r="V31" s="2">
        <f>COUNTIFS('OB History'!$B:$B,$A$31,'OB History'!Q:Q, 1)</f>
        <v>0</v>
      </c>
      <c r="W31" s="2">
        <f>COUNTIFS('OB History'!$B:$B,$A$31,'OB History'!R:R, 1)</f>
        <v>1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5</v>
      </c>
      <c r="AC31" s="2">
        <f>COUNTIFS('OB History'!$B:$B,$A$31,'OB History'!X:X, 1)</f>
        <v>1</v>
      </c>
      <c r="AD31" s="2">
        <f>COUNTIFS('OB History'!$B:$B,$A$31,'OB History'!Y:Y, 1)</f>
        <v>4</v>
      </c>
      <c r="AE31" s="2">
        <f>COUNTIFS('OB History'!$B:$B,$A$31,'OB History'!Z:Z, 1)</f>
        <v>4</v>
      </c>
    </row>
    <row r="32" spans="1:31" x14ac:dyDescent="0.25">
      <c r="A32" s="2" t="s">
        <v>54</v>
      </c>
      <c r="B32" s="6" t="s">
        <v>60</v>
      </c>
      <c r="C32" s="6" t="s">
        <v>79</v>
      </c>
      <c r="D32" s="34">
        <f>SUMIFS('OB History'!C:C,'OB History'!B:B,A32)</f>
        <v>65</v>
      </c>
      <c r="E32" s="4">
        <f>AVERAGEIFS('OB History'!C:C,'OB History'!B:B,A32)</f>
        <v>21.666666666666668</v>
      </c>
      <c r="F32" s="35">
        <f t="array" ref="F32">MAX(IF('OB History'!B:B=A32, 'OB History'!C:C))</f>
        <v>29</v>
      </c>
      <c r="G32" s="34">
        <f>COUNTIFS('OB History'!B:B,A32,'OB History'!D:D, 1)</f>
        <v>3</v>
      </c>
      <c r="H32" s="2">
        <f>COUNTIFS('OB History'!B:B,A32,'OB History'!D:D, 0)</f>
        <v>0</v>
      </c>
      <c r="I32" s="88">
        <f>LOOKUP(2, 1/('OB History'!$B:$B=A32), 'OB History'!$AD:$AD)</f>
        <v>1</v>
      </c>
      <c r="J32" s="34">
        <f>SUMIFS('OB History'!F:F,'OB History'!B:B,A32)</f>
        <v>9</v>
      </c>
      <c r="K32" s="2">
        <f>SUMIFS('OB History'!E:E,'OB History'!B:B,A32)-J32</f>
        <v>6</v>
      </c>
      <c r="L32" s="88">
        <f>LOOKUP(2, 1/('OB History'!$B:$B=A32), 'OB History'!$AB:$AB)</f>
        <v>0.6</v>
      </c>
      <c r="M32" s="34">
        <f>SUMIFS('OB History'!H:H,'OB History'!B:B,'Old Bow v2'!A32)</f>
        <v>36</v>
      </c>
      <c r="N32" s="2">
        <f>SUMIFS('OB History'!G:G,'OB History'!B:B,'Old Bow v2'!A32)-M32</f>
        <v>26</v>
      </c>
      <c r="O32" s="88">
        <f>LOOKUP(2, 1/('OB History'!$B:$B=A32), 'OB History'!$AC:$AC)</f>
        <v>0.57999999999999996</v>
      </c>
      <c r="P32" s="2">
        <f>COUNTIFS('OB History'!$B:$B,$A$32,'OB History'!K:K, 1)</f>
        <v>0</v>
      </c>
      <c r="Q32" s="2">
        <f>COUNTIFS('OB History'!$B:$B,$A$32,'OB History'!L:L, 1)</f>
        <v>1</v>
      </c>
      <c r="R32" s="2">
        <f>COUNTIFS('OB History'!$B:$B,$A$32,'OB History'!M:M, 1)</f>
        <v>0</v>
      </c>
      <c r="S32" s="2">
        <f>COUNTIFS('OB History'!$B:$B,$A$32,'OB History'!N:N, 1)</f>
        <v>1</v>
      </c>
      <c r="T32" s="2">
        <f>COUNTIFS('OB History'!$B:$B,$A$32,'OB History'!O:O, 1)</f>
        <v>2</v>
      </c>
      <c r="U32" s="2">
        <f>COUNTIFS('OB History'!$B:$B,$A$32,'OB History'!P:P, 1)</f>
        <v>1</v>
      </c>
      <c r="V32" s="2">
        <f>COUNTIFS('OB History'!$B:$B,$A$32,'OB History'!Q:Q, 1)</f>
        <v>2</v>
      </c>
      <c r="W32" s="2">
        <f>COUNTIFS('OB History'!$B:$B,$A$32,'OB History'!R:R, 1)</f>
        <v>0</v>
      </c>
      <c r="X32" s="2">
        <f>COUNTIFS('OB History'!$B:$B,$A$32,'OB History'!S:S, 1)</f>
        <v>0</v>
      </c>
      <c r="Y32" s="2">
        <f>COUNTIFS('OB History'!$B:$B,$A$32,'OB History'!T:T, 1)</f>
        <v>0</v>
      </c>
      <c r="Z32" s="2">
        <f>COUNTIFS('OB History'!$B:$B,$A$32,'OB History'!U:U, 1)</f>
        <v>0</v>
      </c>
      <c r="AA32" s="2">
        <f>COUNTIFS('OB History'!$B:$B,$A$32,'OB History'!V:V, 1)</f>
        <v>1</v>
      </c>
      <c r="AB32" s="2">
        <f>COUNTIFS('OB History'!$B:$B,$A$32,'OB History'!W:W, 1)</f>
        <v>1</v>
      </c>
      <c r="AC32" s="2">
        <f>COUNTIFS('OB History'!$B:$B,$A$32,'OB History'!X:X, 1)</f>
        <v>0</v>
      </c>
      <c r="AD32" s="2">
        <f>COUNTIFS('OB History'!$B:$B,$A$32,'OB History'!Y:Y, 1)</f>
        <v>0</v>
      </c>
      <c r="AE32" s="2">
        <f>COUNTIFS('OB History'!$B:$B,$A$32,'OB History'!Z:Z, 1)</f>
        <v>0</v>
      </c>
    </row>
    <row r="33" spans="1:31" x14ac:dyDescent="0.25">
      <c r="A33" s="2" t="s">
        <v>5</v>
      </c>
      <c r="B33" s="6" t="s">
        <v>60</v>
      </c>
      <c r="C33" s="2" t="s">
        <v>79</v>
      </c>
      <c r="D33" s="34">
        <f>SUMIFS('OB History'!C:C,'OB History'!B:B,A33)</f>
        <v>236</v>
      </c>
      <c r="E33" s="4">
        <f>AVERAGEIFS('OB History'!C:C,'OB History'!B:B,A33)</f>
        <v>23.6</v>
      </c>
      <c r="F33" s="35">
        <f t="array" ref="F33">MAX(IF('OB History'!B:B=A33, 'OB History'!C:C))</f>
        <v>36</v>
      </c>
      <c r="G33" s="34">
        <f>COUNTIFS('OB History'!B:B,A33,'OB History'!D:D, 1)</f>
        <v>5</v>
      </c>
      <c r="H33" s="2">
        <f>COUNTIFS('OB History'!B:B,A33,'OB History'!D:D, 0)</f>
        <v>5</v>
      </c>
      <c r="I33" s="88">
        <f>LOOKUP(2, 1/('OB History'!$B:$B=A33), 'OB History'!$AD:$AD)</f>
        <v>0.5</v>
      </c>
      <c r="J33" s="34">
        <f>SUMIFS('OB History'!F:F,'OB History'!B:B,A33)</f>
        <v>21</v>
      </c>
      <c r="K33" s="2">
        <f>SUMIFS('OB History'!E:E,'OB History'!B:B,A33)-J33</f>
        <v>23</v>
      </c>
      <c r="L33" s="88">
        <f>LOOKUP(2, 1/('OB History'!$B:$B=A33), 'OB History'!$AB:$AB)</f>
        <v>0.46999999999999992</v>
      </c>
      <c r="M33" s="34">
        <f>SUMIFS('OB History'!H:H,'OB History'!B:B,'Old Bow v2'!A33)</f>
        <v>91</v>
      </c>
      <c r="N33" s="2">
        <f>SUMIFS('OB History'!G:G,'OB History'!B:B,'Old Bow v2'!A33)-M33</f>
        <v>95</v>
      </c>
      <c r="O33" s="88">
        <f>LOOKUP(2, 1/('OB History'!$B:$B=A33), 'OB History'!$AC:$AC)</f>
        <v>0.48</v>
      </c>
      <c r="P33" s="2">
        <f>COUNTIFS('OB History'!$B:$B,$A$33,'OB History'!K:K, 1)</f>
        <v>1</v>
      </c>
      <c r="Q33" s="2">
        <f>COUNTIFS('OB History'!$B:$B,$A$33,'OB History'!L:L, 1)</f>
        <v>1</v>
      </c>
      <c r="R33" s="2">
        <f>COUNTIFS('OB History'!$B:$B,$A$33,'OB History'!M:M, 1)</f>
        <v>3</v>
      </c>
      <c r="S33" s="2">
        <f>COUNTIFS('OB History'!$B:$B,$A$33,'OB History'!N:N, 1)</f>
        <v>2</v>
      </c>
      <c r="T33" s="2">
        <f>COUNTIFS('OB History'!$B:$B,$A$33,'OB History'!O:O, 1)</f>
        <v>1</v>
      </c>
      <c r="U33" s="2">
        <f>COUNTIFS('OB History'!$B:$B,$A$33,'OB History'!P:P, 1)</f>
        <v>1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1</v>
      </c>
      <c r="AC33" s="2">
        <f>COUNTIFS('OB History'!$B:$B,$A$33,'OB History'!X:X, 1)</f>
        <v>5</v>
      </c>
      <c r="AD33" s="2">
        <f>COUNTIFS('OB History'!$B:$B,$A$33,'OB History'!Y:Y, 1)</f>
        <v>3</v>
      </c>
      <c r="AE33" s="2">
        <f>COUNTIFS('OB History'!$B:$B,$A$33,'OB History'!Z:Z, 1)</f>
        <v>2</v>
      </c>
    </row>
    <row r="34" spans="1:31" x14ac:dyDescent="0.25">
      <c r="A34" s="2" t="s">
        <v>38</v>
      </c>
      <c r="B34" s="2" t="s">
        <v>79</v>
      </c>
      <c r="C34" s="2" t="s">
        <v>79</v>
      </c>
      <c r="D34" s="34">
        <f>SUMIFS('OB History'!C:C,'OB History'!B:B,A34)</f>
        <v>24</v>
      </c>
      <c r="E34" s="4">
        <f>AVERAGEIFS('OB History'!C:C,'OB History'!B:B,A34)</f>
        <v>4</v>
      </c>
      <c r="F34" s="35">
        <f t="array" ref="F34">MAX(IF('OB History'!B:B=A34, 'OB History'!C:C))</f>
        <v>7</v>
      </c>
      <c r="G34" s="34">
        <f>COUNTIFS('OB History'!B:B,A34,'OB History'!D:D, 1)</f>
        <v>2</v>
      </c>
      <c r="H34" s="2">
        <f>COUNTIFS('OB History'!B:B,A34,'OB History'!D:D, 0)</f>
        <v>4</v>
      </c>
      <c r="I34" s="88">
        <f>LOOKUP(2, 1/('OB History'!$B:$B=A34), 'OB History'!$AD:$AD)</f>
        <v>0.33333333333333331</v>
      </c>
      <c r="J34" s="34">
        <f>SUMIFS('OB History'!F:F,'OB History'!B:B,A34)</f>
        <v>8</v>
      </c>
      <c r="K34" s="2">
        <f>SUMIFS('OB History'!E:E,'OB History'!B:B,A34)-J34</f>
        <v>13</v>
      </c>
      <c r="L34" s="88">
        <f>LOOKUP(2, 1/('OB History'!$B:$B=A34), 'OB History'!$AB:$AB)</f>
        <v>0.375</v>
      </c>
      <c r="M34" s="34">
        <f>SUMIFS('OB History'!H:H,'OB History'!B:B,'Old Bow v2'!A34)</f>
        <v>35</v>
      </c>
      <c r="N34" s="2">
        <f>SUMIFS('OB History'!G:G,'OB History'!B:B,'Old Bow v2'!A34)-M34</f>
        <v>50</v>
      </c>
      <c r="O34" s="88">
        <f>LOOKUP(2, 1/('OB History'!$B:$B=A34), 'OB History'!$AC:$AC)</f>
        <v>0.41666666666666669</v>
      </c>
      <c r="P34" s="2">
        <f>COUNTIFS('OB History'!$B:$B,$A$34,'OB History'!K:K, 1)</f>
        <v>1</v>
      </c>
      <c r="Q34" s="2">
        <f>COUNTIFS('OB History'!$B:$B,$A$34,'OB History'!L:L, 1)</f>
        <v>1</v>
      </c>
      <c r="R34" s="2">
        <f>COUNTIFS('OB History'!$B:$B,$A$34,'OB History'!M:M, 1)</f>
        <v>1</v>
      </c>
      <c r="S34" s="2">
        <f>COUNTIFS('OB History'!$B:$B,$A$34,'OB History'!N:N, 1)</f>
        <v>1</v>
      </c>
      <c r="T34" s="2">
        <f>COUNTIFS('OB History'!$B:$B,$A$34,'OB History'!O:O, 1)</f>
        <v>0</v>
      </c>
      <c r="U34" s="2">
        <f>COUNTIFS('OB History'!$B:$B,$A$34,'OB History'!P:P, 1)</f>
        <v>2</v>
      </c>
      <c r="V34" s="2">
        <f>COUNTIFS('OB History'!$B:$B,$A$34,'OB History'!Q:Q, 1)</f>
        <v>0</v>
      </c>
      <c r="W34" s="2">
        <f>COUNTIFS('OB History'!$B:$B,$A$34,'OB History'!R:R, 1)</f>
        <v>1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0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150</v>
      </c>
      <c r="B35" s="2" t="s">
        <v>79</v>
      </c>
      <c r="C35" s="2" t="s">
        <v>79</v>
      </c>
      <c r="D35" s="34">
        <f>SUMIFS('OB History'!C:C,'OB History'!B:B,A35)</f>
        <v>4</v>
      </c>
      <c r="E35" s="4">
        <f>AVERAGEIFS('OB History'!C:C,'OB History'!B:B,A35)</f>
        <v>4</v>
      </c>
      <c r="F35" s="35">
        <f t="array" ref="F35">MAX(IF('OB History'!B:B=A35, 'OB History'!C:C))</f>
        <v>4</v>
      </c>
      <c r="G35" s="34">
        <f>COUNTIFS('OB History'!B:B,A35,'OB History'!D:D, 1)</f>
        <v>0</v>
      </c>
      <c r="H35" s="2">
        <f>COUNTIFS('OB History'!B:B,A35,'OB History'!D:D, 0)</f>
        <v>1</v>
      </c>
      <c r="I35" s="88">
        <f>LOOKUP(2, 1/('OB History'!$B:$B=A35), 'OB History'!$AD:$AD)</f>
        <v>0</v>
      </c>
      <c r="J35" s="34">
        <f>SUMIFS('OB History'!F:F,'OB History'!B:B,A35)</f>
        <v>2</v>
      </c>
      <c r="K35" s="2">
        <f>SUMIFS('OB History'!E:E,'OB History'!B:B,A35)-J35</f>
        <v>3</v>
      </c>
      <c r="L35" s="88">
        <f>LOOKUP(2, 1/('OB History'!$B:$B=A35), 'OB History'!$AB:$AB)</f>
        <v>0.4</v>
      </c>
      <c r="M35" s="34">
        <f>SUMIFS('OB History'!H:H,'OB History'!B:B,'Old Bow v2'!A35)</f>
        <v>8</v>
      </c>
      <c r="N35" s="2">
        <f>SUMIFS('OB History'!G:G,'OB History'!B:B,'Old Bow v2'!A35)-M35</f>
        <v>10</v>
      </c>
      <c r="O35" s="88">
        <f>LOOKUP(2, 1/('OB History'!$B:$B=A35), 'OB History'!$AC:$AC)</f>
        <v>0.44</v>
      </c>
      <c r="P35" s="2">
        <f>COUNTIFS('OB History'!$B:$B,$A$35,'OB History'!K:K, 1)</f>
        <v>1</v>
      </c>
      <c r="Q35" s="2">
        <f>COUNTIFS('OB History'!$B:$B,$A$35,'OB History'!L:L, 1)</f>
        <v>0</v>
      </c>
      <c r="R35" s="2">
        <f>COUNTIFS('OB History'!$B:$B,$A$35,'OB History'!M:M, 1)</f>
        <v>0</v>
      </c>
      <c r="S35" s="2">
        <f>COUNTIFS('OB History'!$B:$B,$A$35,'OB History'!N:N, 1)</f>
        <v>0</v>
      </c>
      <c r="T35" s="2">
        <f>COUNTIFS('OB History'!$B:$B,$A$35,'OB History'!O:O, 1)</f>
        <v>0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0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0</v>
      </c>
      <c r="AC35" s="2">
        <f>COUNTIFS('OB History'!$B:$B,$A$35,'OB History'!X:X, 1)</f>
        <v>0</v>
      </c>
      <c r="AD35" s="2">
        <f>COUNTIFS('OB History'!$B:$B,$A$35,'OB History'!Y:Y, 1)</f>
        <v>0</v>
      </c>
      <c r="AE35" s="2">
        <f>COUNTIFS('OB History'!$B:$B,$A$35,'OB History'!Z:Z, 1)</f>
        <v>0</v>
      </c>
    </row>
    <row r="36" spans="1:31" x14ac:dyDescent="0.25">
      <c r="A36" s="2" t="s">
        <v>40</v>
      </c>
      <c r="B36" s="2" t="s">
        <v>79</v>
      </c>
      <c r="C36" s="2" t="s">
        <v>79</v>
      </c>
      <c r="D36" s="34">
        <f>SUMIFS('OB History'!C:C,'OB History'!B:B,A36)</f>
        <v>65</v>
      </c>
      <c r="E36" s="4">
        <f>AVERAGEIFS('OB History'!C:C,'OB History'!B:B,A36)</f>
        <v>16.25</v>
      </c>
      <c r="F36" s="35">
        <f t="array" ref="F36">MAX(IF('OB History'!B:B=A36, 'OB History'!C:C))</f>
        <v>28</v>
      </c>
      <c r="G36" s="34">
        <f>COUNTIFS('OB History'!B:B,A36,'OB History'!D:D, 1)</f>
        <v>0</v>
      </c>
      <c r="H36" s="2">
        <f>COUNTIFS('OB History'!B:B,A36,'OB History'!D:D, 0)</f>
        <v>4</v>
      </c>
      <c r="I36" s="88">
        <f>LOOKUP(2, 1/('OB History'!$B:$B=A36), 'OB History'!$AD:$AD)</f>
        <v>0</v>
      </c>
      <c r="J36" s="34">
        <f>SUMIFS('OB History'!F:F,'OB History'!B:B,A36)</f>
        <v>4</v>
      </c>
      <c r="K36" s="2">
        <f>SUMIFS('OB History'!E:E,'OB History'!B:B,A36)-J36</f>
        <v>12</v>
      </c>
      <c r="L36" s="88">
        <f>LOOKUP(2, 1/('OB History'!$B:$B=A36), 'OB History'!$AB:$AB)</f>
        <v>0.22500000000000001</v>
      </c>
      <c r="M36" s="34">
        <f>SUMIFS('OB History'!H:H,'OB History'!B:B,'Old Bow v2'!A36)</f>
        <v>23</v>
      </c>
      <c r="N36" s="2">
        <f>SUMIFS('OB History'!G:G,'OB History'!B:B,'Old Bow v2'!A36)-M36</f>
        <v>42</v>
      </c>
      <c r="O36" s="88">
        <f>LOOKUP(2, 1/('OB History'!$B:$B=A36), 'OB History'!$AC:$AC)</f>
        <v>0.33250000000000002</v>
      </c>
      <c r="P36" s="2">
        <f>COUNTIFS('OB History'!$B:$B,$A$36,'OB History'!K:K, 1)</f>
        <v>1</v>
      </c>
      <c r="Q36" s="2">
        <f>COUNTIFS('OB History'!$B:$B,$A$36,'OB History'!L:L, 1)</f>
        <v>0</v>
      </c>
      <c r="R36" s="2">
        <f>COUNTIFS('OB History'!$B:$B,$A$36,'OB History'!M:M, 1)</f>
        <v>0</v>
      </c>
      <c r="S36" s="2">
        <f>COUNTIFS('OB History'!$B:$B,$A$36,'OB History'!N:N, 1)</f>
        <v>0</v>
      </c>
      <c r="T36" s="2">
        <f>COUNTIFS('OB History'!$B:$B,$A$36,'OB History'!O:O, 1)</f>
        <v>0</v>
      </c>
      <c r="U36" s="2">
        <f>COUNTIFS('OB History'!$B:$B,$A$36,'OB History'!P:P, 1)</f>
        <v>0</v>
      </c>
      <c r="V36" s="2">
        <f>COUNTIFS('OB History'!$B:$B,$A$36,'OB History'!Q:Q, 1)</f>
        <v>0</v>
      </c>
      <c r="W36" s="2">
        <f>COUNTIFS('OB History'!$B:$B,$A$36,'OB History'!R:R, 1)</f>
        <v>0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0</v>
      </c>
      <c r="AC36" s="2">
        <f>COUNTIFS('OB History'!$B:$B,$A$36,'OB History'!X:X, 1)</f>
        <v>1</v>
      </c>
      <c r="AD36" s="2">
        <f>COUNTIFS('OB History'!$B:$B,$A$36,'OB History'!Y:Y, 1)</f>
        <v>1</v>
      </c>
      <c r="AE36" s="2">
        <f>COUNTIFS('OB History'!$B:$B,$A$36,'OB History'!Z:Z, 1)</f>
        <v>1</v>
      </c>
    </row>
    <row r="37" spans="1:31" x14ac:dyDescent="0.25">
      <c r="A37" s="2" t="s">
        <v>148</v>
      </c>
      <c r="B37" s="2" t="s">
        <v>79</v>
      </c>
      <c r="C37" s="2" t="s">
        <v>79</v>
      </c>
      <c r="D37" s="34">
        <f>SUMIFS('OB History'!C:C,'OB History'!B:B,A37)</f>
        <v>61</v>
      </c>
      <c r="E37" s="4">
        <f>AVERAGEIFS('OB History'!C:C,'OB History'!B:B,A37)</f>
        <v>20.333333333333332</v>
      </c>
      <c r="F37" s="35">
        <f t="array" ref="F37">MAX(IF('OB History'!B:B=A37, 'OB History'!C:C))</f>
        <v>24</v>
      </c>
      <c r="G37" s="34">
        <f>COUNTIFS('OB History'!B:B,A37,'OB History'!D:D, 1)</f>
        <v>0</v>
      </c>
      <c r="H37" s="2">
        <f>COUNTIFS('OB History'!B:B,A37,'OB History'!D:D, 0)</f>
        <v>3</v>
      </c>
      <c r="I37" s="88">
        <f>LOOKUP(2, 1/('OB History'!$B:$B=A37), 'OB History'!$AD:$AD)</f>
        <v>0</v>
      </c>
      <c r="J37" s="34">
        <f>SUMIFS('OB History'!F:F,'OB History'!B:B,A37)</f>
        <v>6</v>
      </c>
      <c r="K37" s="2">
        <f>SUMIFS('OB History'!E:E,'OB History'!B:B,A37)-J37</f>
        <v>9</v>
      </c>
      <c r="L37" s="88">
        <f>LOOKUP(2, 1/('OB History'!$B:$B=A37), 'OB History'!$AB:$AB)</f>
        <v>0.40000000000000008</v>
      </c>
      <c r="M37" s="34">
        <f>SUMIFS('OB History'!H:H,'OB History'!B:B,'Old Bow v2'!A37)</f>
        <v>27</v>
      </c>
      <c r="N37" s="2">
        <f>SUMIFS('OB History'!G:G,'OB History'!B:B,'Old Bow v2'!A37)-M37</f>
        <v>32</v>
      </c>
      <c r="O37" s="88">
        <f>LOOKUP(2, 1/('OB History'!$B:$B=A37), 'OB History'!$AC:$AC)</f>
        <v>0.45333333333333337</v>
      </c>
      <c r="P37" s="2">
        <f>COUNTIFS('OB History'!$B:$B,$A$37,'OB History'!K:K, 1)</f>
        <v>2</v>
      </c>
      <c r="Q37" s="2">
        <f>COUNTIFS('OB History'!$B:$B,$A$37,'OB History'!L:L, 1)</f>
        <v>0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2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0</v>
      </c>
      <c r="AC37" s="2">
        <f>COUNTIFS('OB History'!$B:$B,$A$37,'OB History'!X:X, 1)</f>
        <v>1</v>
      </c>
      <c r="AD37" s="2">
        <f>COUNTIFS('OB History'!$B:$B,$A$37,'OB History'!Y:Y, 1)</f>
        <v>1</v>
      </c>
      <c r="AE37" s="2">
        <f>COUNTIFS('OB History'!$B:$B,$A$37,'OB History'!Z:Z, 1)</f>
        <v>0</v>
      </c>
    </row>
    <row r="38" spans="1:31" x14ac:dyDescent="0.25">
      <c r="A38" s="2" t="s">
        <v>17</v>
      </c>
      <c r="B38" s="2" t="s">
        <v>79</v>
      </c>
      <c r="C38" s="2" t="s">
        <v>79</v>
      </c>
      <c r="D38" s="34">
        <f>SUMIFS('OB History'!C:C,'OB History'!B:B,A38)</f>
        <v>832</v>
      </c>
      <c r="E38" s="4">
        <f>AVERAGEIFS('OB History'!C:C,'OB History'!B:B,A38)</f>
        <v>26.838709677419356</v>
      </c>
      <c r="F38" s="35">
        <f t="array" ref="F38">MAX(IF('OB History'!B:B=A38, 'OB History'!C:C))</f>
        <v>49</v>
      </c>
      <c r="G38" s="34">
        <f>COUNTIFS('OB History'!B:B,A38,'OB History'!D:D, 1)</f>
        <v>12</v>
      </c>
      <c r="H38" s="2">
        <f>COUNTIFS('OB History'!B:B,A38,'OB History'!D:D, 0)</f>
        <v>19</v>
      </c>
      <c r="I38" s="88">
        <f>LOOKUP(2, 1/('OB History'!$B:$B=A38), 'OB History'!$AD:$AD)</f>
        <v>0.38709677419354838</v>
      </c>
      <c r="J38" s="34">
        <f>SUMIFS('OB History'!F:F,'OB History'!B:B,A38)</f>
        <v>64</v>
      </c>
      <c r="K38" s="2">
        <f>SUMIFS('OB History'!E:E,'OB History'!B:B,A38)-J38</f>
        <v>66</v>
      </c>
      <c r="L38" s="88">
        <f>LOOKUP(2, 1/('OB History'!$B:$B=A38), 'OB History'!$AB:$AB)</f>
        <v>0.51129032258064522</v>
      </c>
      <c r="M38" s="34">
        <f>SUMIFS('OB History'!H:H,'OB History'!B:B,'Old Bow v2'!A38)</f>
        <v>272</v>
      </c>
      <c r="N38" s="2">
        <f>SUMIFS('OB History'!G:G,'OB History'!B:B,'Old Bow v2'!A38)-M38</f>
        <v>268</v>
      </c>
      <c r="O38" s="88">
        <f>LOOKUP(2, 1/('OB History'!$B:$B=A38), 'OB History'!$AC:$AC)</f>
        <v>0.51709677419354827</v>
      </c>
      <c r="P38" s="2">
        <f>COUNTIFS('OB History'!$B:$B,$A$38,'OB History'!K:K, 1)</f>
        <v>6</v>
      </c>
      <c r="Q38" s="2">
        <f>COUNTIFS('OB History'!$B:$B,$A$38,'OB History'!L:L, 1)</f>
        <v>2</v>
      </c>
      <c r="R38" s="2">
        <f>COUNTIFS('OB History'!$B:$B,$A$38,'OB History'!M:M, 1)</f>
        <v>2</v>
      </c>
      <c r="S38" s="2">
        <f>COUNTIFS('OB History'!$B:$B,$A$38,'OB History'!N:N, 1)</f>
        <v>8</v>
      </c>
      <c r="T38" s="2">
        <f>COUNTIFS('OB History'!$B:$B,$A$38,'OB History'!O:O, 1)</f>
        <v>0</v>
      </c>
      <c r="U38" s="2">
        <f>COUNTIFS('OB History'!$B:$B,$A$38,'OB History'!P:P, 1)</f>
        <v>10</v>
      </c>
      <c r="V38" s="2">
        <f>COUNTIFS('OB History'!$B:$B,$A$38,'OB History'!Q:Q, 1)</f>
        <v>2</v>
      </c>
      <c r="W38" s="2">
        <f>COUNTIFS('OB History'!$B:$B,$A$38,'OB History'!R:R, 1)</f>
        <v>0</v>
      </c>
      <c r="X38" s="2">
        <f>COUNTIFS('OB History'!$B:$B,$A$38,'OB History'!S:S, 1)</f>
        <v>1</v>
      </c>
      <c r="Y38" s="2">
        <f>COUNTIFS('OB History'!$B:$B,$A$38,'OB History'!T:T, 1)</f>
        <v>0</v>
      </c>
      <c r="Z38" s="2">
        <f>COUNTIFS('OB History'!$B:$B,$A$38,'OB History'!U:U, 1)</f>
        <v>1</v>
      </c>
      <c r="AA38" s="2">
        <f>COUNTIFS('OB History'!$B:$B,$A$38,'OB History'!V:V, 1)</f>
        <v>2</v>
      </c>
      <c r="AB38" s="2">
        <f>COUNTIFS('OB History'!$B:$B,$A$38,'OB History'!W:W, 1)</f>
        <v>6</v>
      </c>
      <c r="AC38" s="2">
        <f>COUNTIFS('OB History'!$B:$B,$A$38,'OB History'!X:X, 1)</f>
        <v>9</v>
      </c>
      <c r="AD38" s="2">
        <f>COUNTIFS('OB History'!$B:$B,$A$38,'OB History'!Y:Y, 1)</f>
        <v>5</v>
      </c>
      <c r="AE38" s="2">
        <f>COUNTIFS('OB History'!$B:$B,$A$38,'OB History'!Z:Z, 1)</f>
        <v>10</v>
      </c>
    </row>
    <row r="39" spans="1:31" x14ac:dyDescent="0.25">
      <c r="A39" s="2" t="s">
        <v>156</v>
      </c>
      <c r="B39" s="2" t="s">
        <v>79</v>
      </c>
      <c r="C39" s="2" t="s">
        <v>79</v>
      </c>
      <c r="D39" s="34">
        <f>SUMIFS('OB History'!C:C,'OB History'!B:B,A39)</f>
        <v>15</v>
      </c>
      <c r="E39" s="4">
        <f>AVERAGEIFS('OB History'!C:C,'OB History'!B:B,A39)</f>
        <v>7.5</v>
      </c>
      <c r="F39" s="35">
        <f t="array" ref="F39">MAX(IF('OB History'!B:B=A39, 'OB History'!C:C))</f>
        <v>10</v>
      </c>
      <c r="G39" s="34">
        <f>COUNTIFS('OB History'!B:B,A39,'OB History'!D:D, 1)</f>
        <v>1</v>
      </c>
      <c r="H39" s="2">
        <f>COUNTIFS('OB History'!B:B,A39,'OB History'!D:D, 0)</f>
        <v>1</v>
      </c>
      <c r="I39" s="88">
        <f>LOOKUP(2, 1/('OB History'!$B:$B=A39), 'OB History'!$AD:$AD)</f>
        <v>0.5</v>
      </c>
      <c r="J39" s="34">
        <f>SUMIFS('OB History'!F:F,'OB History'!B:B,A39)</f>
        <v>5</v>
      </c>
      <c r="K39" s="2">
        <f>SUMIFS('OB History'!E:E,'OB History'!B:B,A39)-J39</f>
        <v>4</v>
      </c>
      <c r="L39" s="88">
        <f>LOOKUP(2, 1/('OB History'!$B:$B=A39), 'OB History'!$AB:$AB)</f>
        <v>0.57499999999999996</v>
      </c>
      <c r="M39" s="34">
        <f>SUMIFS('OB History'!H:H,'OB History'!B:B,'Old Bow v2'!A39)</f>
        <v>22</v>
      </c>
      <c r="N39" s="2">
        <f>SUMIFS('OB History'!G:G,'OB History'!B:B,'Old Bow v2'!A39)-M39</f>
        <v>16</v>
      </c>
      <c r="O39" s="88">
        <f>LOOKUP(2, 1/('OB History'!$B:$B=A39), 'OB History'!$AC:$AC)</f>
        <v>0.58499999999999996</v>
      </c>
      <c r="P39" s="2">
        <f>COUNTIFS('OB History'!$B:$B,$A$39,'OB History'!K:K, 1)</f>
        <v>1</v>
      </c>
      <c r="Q39" s="2">
        <f>COUNTIFS('OB History'!$B:$B,$A$39,'OB History'!L:L, 1)</f>
        <v>1</v>
      </c>
      <c r="R39" s="2">
        <f>COUNTIFS('OB History'!$B:$B,$A$39,'OB History'!M:M, 1)</f>
        <v>0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2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0</v>
      </c>
      <c r="AD39" s="2">
        <f>COUNTIFS('OB History'!$B:$B,$A$39,'OB History'!Y:Y, 1)</f>
        <v>0</v>
      </c>
      <c r="AE39" s="2">
        <f>COUNTIFS('OB History'!$B:$B,$A$39,'OB History'!Z:Z, 1)</f>
        <v>0</v>
      </c>
    </row>
    <row r="40" spans="1:31" x14ac:dyDescent="0.25">
      <c r="A40" s="2" t="s">
        <v>6</v>
      </c>
      <c r="B40" s="2" t="s">
        <v>60</v>
      </c>
      <c r="C40" s="2" t="s">
        <v>79</v>
      </c>
      <c r="D40" s="34">
        <f>SUMIFS('OB History'!C:C,'OB History'!B:B,A40)</f>
        <v>412</v>
      </c>
      <c r="E40" s="4">
        <f>AVERAGEIFS('OB History'!C:C,'OB History'!B:B,A40)</f>
        <v>22.888888888888889</v>
      </c>
      <c r="F40" s="35">
        <f t="array" ref="F40">MAX(IF('OB History'!B:B=A40, 'OB History'!C:C))</f>
        <v>43</v>
      </c>
      <c r="G40" s="34">
        <f>COUNTIFS('OB History'!B:B,A40,'OB History'!D:D, 1)</f>
        <v>14</v>
      </c>
      <c r="H40" s="2">
        <f>COUNTIFS('OB History'!B:B,A40,'OB History'!D:D, 0)</f>
        <v>4</v>
      </c>
      <c r="I40" s="88">
        <f>LOOKUP(2, 1/('OB History'!$B:$B=A40), 'OB History'!$AD:$AD)</f>
        <v>0.77777777777777779</v>
      </c>
      <c r="J40" s="34">
        <f>SUMIFS('OB History'!F:F,'OB History'!B:B,A40)</f>
        <v>46</v>
      </c>
      <c r="K40" s="2">
        <f>SUMIFS('OB History'!E:E,'OB History'!B:B,A40)-J40</f>
        <v>27</v>
      </c>
      <c r="L40" s="88">
        <f>LOOKUP(2, 1/('OB History'!$B:$B=A40), 'OB History'!$AB:$AB)</f>
        <v>0.64722222222222214</v>
      </c>
      <c r="M40" s="34">
        <f>SUMIFS('OB History'!H:H,'OB History'!B:B,'Old Bow v2'!A40)</f>
        <v>170</v>
      </c>
      <c r="N40" s="2">
        <f>SUMIFS('OB History'!G:G,'OB History'!B:B,'Old Bow v2'!A40)-M40</f>
        <v>139</v>
      </c>
      <c r="O40" s="88">
        <f>LOOKUP(2, 1/('OB History'!$B:$B=A40), 'OB History'!$AC:$AC)</f>
        <v>0.55888888888888888</v>
      </c>
      <c r="P40" s="2">
        <f>COUNTIFS('OB History'!$B:$B,$A$40,'OB History'!K:K, 1)</f>
        <v>1</v>
      </c>
      <c r="Q40" s="2">
        <f>COUNTIFS('OB History'!$B:$B,$A$40,'OB History'!L:L, 1)</f>
        <v>5</v>
      </c>
      <c r="R40" s="2">
        <f>COUNTIFS('OB History'!$B:$B,$A$40,'OB History'!M:M, 1)</f>
        <v>3</v>
      </c>
      <c r="S40" s="2">
        <f>COUNTIFS('OB History'!$B:$B,$A$40,'OB History'!N:N, 1)</f>
        <v>2</v>
      </c>
      <c r="T40" s="2">
        <f>COUNTIFS('OB History'!$B:$B,$A$40,'OB History'!O:O, 1)</f>
        <v>1</v>
      </c>
      <c r="U40" s="2">
        <f>COUNTIFS('OB History'!$B:$B,$A$40,'OB History'!P:P, 1)</f>
        <v>7</v>
      </c>
      <c r="V40" s="2">
        <f>COUNTIFS('OB History'!$B:$B,$A$40,'OB History'!Q:Q, 1)</f>
        <v>1</v>
      </c>
      <c r="W40" s="2">
        <f>COUNTIFS('OB History'!$B:$B,$A$40,'OB History'!R:R, 1)</f>
        <v>2</v>
      </c>
      <c r="X40" s="2">
        <f>COUNTIFS('OB History'!$B:$B,$A$40,'OB History'!S:S, 1)</f>
        <v>0</v>
      </c>
      <c r="Y40" s="2">
        <f>COUNTIFS('OB History'!$B:$B,$A$40,'OB History'!T:T, 1)</f>
        <v>1</v>
      </c>
      <c r="Z40" s="2">
        <f>COUNTIFS('OB History'!$B:$B,$A$40,'OB History'!U:U, 1)</f>
        <v>0</v>
      </c>
      <c r="AA40" s="2">
        <f>COUNTIFS('OB History'!$B:$B,$A$40,'OB History'!V:V, 1)</f>
        <v>1</v>
      </c>
      <c r="AB40" s="2">
        <f>COUNTIFS('OB History'!$B:$B,$A$40,'OB History'!W:W, 1)</f>
        <v>6</v>
      </c>
      <c r="AC40" s="2">
        <f>COUNTIFS('OB History'!$B:$B,$A$40,'OB History'!X:X, 1)</f>
        <v>7</v>
      </c>
      <c r="AD40" s="2">
        <f>COUNTIFS('OB History'!$B:$B,$A$40,'OB History'!Y:Y, 1)</f>
        <v>2</v>
      </c>
      <c r="AE40" s="2">
        <f>COUNTIFS('OB History'!$B:$B,$A$40,'OB History'!Z:Z, 1)</f>
        <v>7</v>
      </c>
    </row>
    <row r="41" spans="1:31" x14ac:dyDescent="0.25">
      <c r="A41" s="2" t="s">
        <v>18</v>
      </c>
      <c r="B41" s="2" t="s">
        <v>79</v>
      </c>
      <c r="C41" s="2" t="s">
        <v>79</v>
      </c>
      <c r="D41" s="34">
        <f>SUMIFS('OB History'!C:C,'OB History'!B:B,A41)</f>
        <v>414</v>
      </c>
      <c r="E41" s="4">
        <f>AVERAGEIFS('OB History'!C:C,'OB History'!B:B,A41)</f>
        <v>25.875</v>
      </c>
      <c r="F41" s="35">
        <f t="array" ref="F41">MAX(IF('OB History'!B:B=A41, 'OB History'!C:C))</f>
        <v>41</v>
      </c>
      <c r="G41" s="34">
        <f>COUNTIFS('OB History'!B:B,A41,'OB History'!D:D, 1)</f>
        <v>6</v>
      </c>
      <c r="H41" s="2">
        <f>COUNTIFS('OB History'!B:B,A41,'OB History'!D:D, 0)</f>
        <v>10</v>
      </c>
      <c r="I41" s="88">
        <f>LOOKUP(2, 1/('OB History'!$B:$B=A41), 'OB History'!$AD:$AD)</f>
        <v>0.375</v>
      </c>
      <c r="J41" s="34">
        <f>SUMIFS('OB History'!F:F,'OB History'!B:B,A41)</f>
        <v>30</v>
      </c>
      <c r="K41" s="2">
        <f>SUMIFS('OB History'!E:E,'OB History'!B:B,A41)-J41</f>
        <v>38</v>
      </c>
      <c r="L41" s="88">
        <f>LOOKUP(2, 1/('OB History'!$B:$B=A41), 'OB History'!$AB:$AB)</f>
        <v>0.42500000000000004</v>
      </c>
      <c r="M41" s="34">
        <f>SUMIFS('OB History'!H:H,'OB History'!B:B,'Old Bow v2'!A41)</f>
        <v>133</v>
      </c>
      <c r="N41" s="2">
        <f>SUMIFS('OB History'!G:G,'OB History'!B:B,'Old Bow v2'!A41)-M41</f>
        <v>151</v>
      </c>
      <c r="O41" s="88">
        <f>LOOKUP(2, 1/('OB History'!$B:$B=A41), 'OB History'!$AC:$AC)</f>
        <v>0.45624999999999993</v>
      </c>
      <c r="P41" s="2">
        <f>COUNTIFS('OB History'!$B:$B,$A$41,'OB History'!K:K, 1)</f>
        <v>2</v>
      </c>
      <c r="Q41" s="2">
        <f>COUNTIFS('OB History'!$B:$B,$A$41,'OB History'!L:L, 1)</f>
        <v>0</v>
      </c>
      <c r="R41" s="2">
        <f>COUNTIFS('OB History'!$B:$B,$A$41,'OB History'!M:M, 1)</f>
        <v>0</v>
      </c>
      <c r="S41" s="2">
        <f>COUNTIFS('OB History'!$B:$B,$A$41,'OB History'!N:N, 1)</f>
        <v>6</v>
      </c>
      <c r="T41" s="2">
        <f>COUNTIFS('OB History'!$B:$B,$A$41,'OB History'!O:O, 1)</f>
        <v>1</v>
      </c>
      <c r="U41" s="2">
        <f>COUNTIFS('OB History'!$B:$B,$A$41,'OB History'!P:P, 1)</f>
        <v>4</v>
      </c>
      <c r="V41" s="2">
        <f>COUNTIFS('OB History'!$B:$B,$A$41,'OB History'!Q:Q, 1)</f>
        <v>2</v>
      </c>
      <c r="W41" s="2">
        <f>COUNTIFS('OB History'!$B:$B,$A$41,'OB History'!R:R, 1)</f>
        <v>2</v>
      </c>
      <c r="X41" s="2">
        <f>COUNTIFS('OB History'!$B:$B,$A$41,'OB History'!S:S, 1)</f>
        <v>0</v>
      </c>
      <c r="Y41" s="2">
        <f>COUNTIFS('OB History'!$B:$B,$A$41,'OB History'!T:T, 1)</f>
        <v>1</v>
      </c>
      <c r="Z41" s="2">
        <f>COUNTIFS('OB History'!$B:$B,$A$41,'OB History'!U:U, 1)</f>
        <v>0</v>
      </c>
      <c r="AA41" s="2">
        <f>COUNTIFS('OB History'!$B:$B,$A$41,'OB History'!V:V, 1)</f>
        <v>0</v>
      </c>
      <c r="AB41" s="2">
        <f>COUNTIFS('OB History'!$B:$B,$A$41,'OB History'!W:W, 1)</f>
        <v>4</v>
      </c>
      <c r="AC41" s="2">
        <f>COUNTIFS('OB History'!$B:$B,$A$41,'OB History'!X:X, 1)</f>
        <v>4</v>
      </c>
      <c r="AD41" s="2">
        <f>COUNTIFS('OB History'!$B:$B,$A$41,'OB History'!Y:Y, 1)</f>
        <v>0</v>
      </c>
      <c r="AE41" s="2">
        <f>COUNTIFS('OB History'!$B:$B,$A$41,'OB History'!Z:Z, 1)</f>
        <v>4</v>
      </c>
    </row>
    <row r="42" spans="1:31" x14ac:dyDescent="0.25">
      <c r="A42" s="2" t="s">
        <v>113</v>
      </c>
      <c r="B42" s="2" t="s">
        <v>79</v>
      </c>
      <c r="C42" s="2" t="s">
        <v>79</v>
      </c>
      <c r="D42" s="34">
        <f>SUMIFS('OB History'!C:C,'OB History'!B:B,A42)</f>
        <v>8</v>
      </c>
      <c r="E42" s="4">
        <f>AVERAGEIFS('OB History'!C:C,'OB History'!B:B,A42)</f>
        <v>8</v>
      </c>
      <c r="F42" s="35">
        <f t="array" ref="F42">MAX(IF('OB History'!B:B=A42, 'OB History'!C:C))</f>
        <v>8</v>
      </c>
      <c r="G42" s="34">
        <f>COUNTIFS('OB History'!B:B,A42,'OB History'!D:D, 1)</f>
        <v>1</v>
      </c>
      <c r="H42" s="2">
        <f>COUNTIFS('OB History'!B:B,A42,'OB History'!D:D, 0)</f>
        <v>0</v>
      </c>
      <c r="I42" s="88">
        <f>LOOKUP(2, 1/('OB History'!$B:$B=A42), 'OB History'!$AD:$AD)</f>
        <v>1</v>
      </c>
      <c r="J42" s="34">
        <f>SUMIFS('OB History'!F:F,'OB History'!B:B,A42)</f>
        <v>3</v>
      </c>
      <c r="K42" s="2">
        <f>SUMIFS('OB History'!E:E,'OB History'!B:B,A42)-J42</f>
        <v>2</v>
      </c>
      <c r="L42" s="88">
        <f>LOOKUP(2, 1/('OB History'!$B:$B=A42), 'OB History'!$AB:$AB)</f>
        <v>0.6</v>
      </c>
      <c r="M42" s="34">
        <f>SUMIFS('OB History'!H:H,'OB History'!B:B,'Old Bow v2'!A42)</f>
        <v>12</v>
      </c>
      <c r="N42" s="2">
        <f>SUMIFS('OB History'!G:G,'OB History'!B:B,'Old Bow v2'!A42)-M42</f>
        <v>9</v>
      </c>
      <c r="O42" s="88">
        <f>LOOKUP(2, 1/('OB History'!$B:$B=A42), 'OB History'!$AC:$AC)</f>
        <v>0.56999999999999995</v>
      </c>
      <c r="P42" s="2">
        <f>COUNTIFS('OB History'!$B:$B,$A$42,'OB History'!K:K, 1)</f>
        <v>0</v>
      </c>
      <c r="Q42" s="2">
        <f>COUNTIFS('OB History'!$B:$B,$A$42,'OB History'!L:L, 1)</f>
        <v>0</v>
      </c>
      <c r="R42" s="2">
        <f>COUNTIFS('OB History'!$B:$B,$A$42,'OB History'!M:M, 1)</f>
        <v>1</v>
      </c>
      <c r="S42" s="2">
        <f>COUNTIFS('OB History'!$B:$B,$A$42,'OB History'!N:N, 1)</f>
        <v>0</v>
      </c>
      <c r="T42" s="2">
        <f>COUNTIFS('OB History'!$B:$B,$A$42,'OB History'!O:O, 1)</f>
        <v>0</v>
      </c>
      <c r="U42" s="2">
        <f>COUNTIFS('OB History'!$B:$B,$A$42,'OB History'!P:P, 1)</f>
        <v>0</v>
      </c>
      <c r="V42" s="2">
        <f>COUNTIFS('OB History'!$B:$B,$A$42,'OB History'!Q:Q, 1)</f>
        <v>0</v>
      </c>
      <c r="W42" s="2">
        <f>COUNTIFS('OB History'!$B:$B,$A$42,'OB History'!R:R, 1)</f>
        <v>1</v>
      </c>
      <c r="X42" s="2">
        <f>COUNTIFS('OB History'!$B:$B,$A$42,'OB History'!S:S, 1)</f>
        <v>0</v>
      </c>
      <c r="Y42" s="2">
        <f>COUNTIFS('OB History'!$B:$B,$A$42,'OB History'!T:T, 1)</f>
        <v>0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0</v>
      </c>
      <c r="AE42" s="2">
        <f>COUNTIFS('OB History'!$B:$B,$A$42,'OB History'!Z:Z, 1)</f>
        <v>0</v>
      </c>
    </row>
    <row r="43" spans="1:31" x14ac:dyDescent="0.25">
      <c r="A43" s="2" t="s">
        <v>14</v>
      </c>
      <c r="B43" s="6" t="s">
        <v>124</v>
      </c>
      <c r="C43" s="6" t="s">
        <v>124</v>
      </c>
      <c r="D43" s="34">
        <f>SUMIFS('OB History'!C:C,'OB History'!B:B,A43)</f>
        <v>697</v>
      </c>
      <c r="E43" s="4">
        <f>AVERAGEIFS('OB History'!C:C,'OB History'!B:B,A43)</f>
        <v>25.814814814814813</v>
      </c>
      <c r="F43" s="35">
        <f t="array" ref="F43">MAX(IF('OB History'!B:B=A43, 'OB History'!C:C))</f>
        <v>56</v>
      </c>
      <c r="G43" s="34">
        <f>COUNTIFS('OB History'!B:B,A43,'OB History'!D:D, 1)</f>
        <v>16</v>
      </c>
      <c r="H43" s="2">
        <f>COUNTIFS('OB History'!B:B,A43,'OB History'!D:D, 0)</f>
        <v>11</v>
      </c>
      <c r="I43" s="88">
        <f>LOOKUP(2, 1/('OB History'!$B:$B=A43), 'OB History'!$AD:$AD)</f>
        <v>0.59259259259259256</v>
      </c>
      <c r="J43" s="34">
        <f>SUMIFS('OB History'!F:F,'OB History'!B:B,A43)</f>
        <v>60</v>
      </c>
      <c r="K43" s="2">
        <f>SUMIFS('OB History'!E:E,'OB History'!B:B,A43)-J43</f>
        <v>52</v>
      </c>
      <c r="L43" s="88">
        <f>LOOKUP(2, 1/('OB History'!$B:$B=A43), 'OB History'!$AB:$AB)</f>
        <v>0.54999999999999993</v>
      </c>
      <c r="M43" s="34">
        <f>SUMIFS('OB History'!H:H,'OB History'!B:B,'Old Bow v2'!A43)</f>
        <v>240</v>
      </c>
      <c r="N43" s="2">
        <f>SUMIFS('OB History'!G:G,'OB History'!B:B,'Old Bow v2'!A43)-M43</f>
        <v>229</v>
      </c>
      <c r="O43" s="88">
        <f>LOOKUP(2, 1/('OB History'!$B:$B=A43), 'OB History'!$AC:$AC)</f>
        <v>0.52074074074074073</v>
      </c>
      <c r="P43" s="2">
        <f>COUNTIFS('OB History'!$B:$B,$A$43,'OB History'!K:K, 1)</f>
        <v>3</v>
      </c>
      <c r="Q43" s="2">
        <f>COUNTIFS('OB History'!$B:$B,$A$43,'OB History'!L:L, 1)</f>
        <v>6</v>
      </c>
      <c r="R43" s="2">
        <f>COUNTIFS('OB History'!$B:$B,$A$43,'OB History'!M:M, 1)</f>
        <v>3</v>
      </c>
      <c r="S43" s="2">
        <f>COUNTIFS('OB History'!$B:$B,$A$43,'OB History'!N:N, 1)</f>
        <v>7</v>
      </c>
      <c r="T43" s="2">
        <f>COUNTIFS('OB History'!$B:$B,$A$43,'OB History'!O:O, 1)</f>
        <v>2</v>
      </c>
      <c r="U43" s="2">
        <f>COUNTIFS('OB History'!$B:$B,$A$43,'OB History'!P:P, 1)</f>
        <v>5</v>
      </c>
      <c r="V43" s="2">
        <f>COUNTIFS('OB History'!$B:$B,$A$43,'OB History'!Q:Q, 1)</f>
        <v>0</v>
      </c>
      <c r="W43" s="2">
        <f>COUNTIFS('OB History'!$B:$B,$A$43,'OB History'!R:R, 1)</f>
        <v>1</v>
      </c>
      <c r="X43" s="2">
        <f>COUNTIFS('OB History'!$B:$B,$A$43,'OB History'!S:S, 1)</f>
        <v>0</v>
      </c>
      <c r="Y43" s="2">
        <f>COUNTIFS('OB History'!$B:$B,$A$43,'OB History'!T:T, 1)</f>
        <v>0</v>
      </c>
      <c r="Z43" s="2">
        <f>COUNTIFS('OB History'!$B:$B,$A$43,'OB History'!U:U, 1)</f>
        <v>0</v>
      </c>
      <c r="AA43" s="2">
        <f>COUNTIFS('OB History'!$B:$B,$A$43,'OB History'!V:V, 1)</f>
        <v>3</v>
      </c>
      <c r="AB43" s="2">
        <f>COUNTIFS('OB History'!$B:$B,$A$43,'OB History'!W:W, 1)</f>
        <v>6</v>
      </c>
      <c r="AC43" s="2">
        <f>COUNTIFS('OB History'!$B:$B,$A$43,'OB History'!X:X, 1)</f>
        <v>14</v>
      </c>
      <c r="AD43" s="2">
        <f>COUNTIFS('OB History'!$B:$B,$A$43,'OB History'!Y:Y, 1)</f>
        <v>2</v>
      </c>
      <c r="AE43" s="2">
        <f>COUNTIFS('OB History'!$B:$B,$A$43,'OB History'!Z:Z, 1)</f>
        <v>8</v>
      </c>
    </row>
    <row r="44" spans="1:31" x14ac:dyDescent="0.25">
      <c r="A44" s="2" t="s">
        <v>70</v>
      </c>
      <c r="B44" s="6" t="s">
        <v>79</v>
      </c>
      <c r="C44" s="6" t="s">
        <v>79</v>
      </c>
      <c r="D44" s="34">
        <f>SUMIFS('OB History'!C:C,'OB History'!B:B,A44)</f>
        <v>46</v>
      </c>
      <c r="E44" s="4">
        <f>AVERAGEIFS('OB History'!C:C,'OB History'!B:B,A44)</f>
        <v>23</v>
      </c>
      <c r="F44" s="35">
        <f t="array" ref="F44">MAX(IF('OB History'!B:B=A44, 'OB History'!C:C))</f>
        <v>25</v>
      </c>
      <c r="G44" s="34">
        <f>COUNTIFS('OB History'!B:B,A44,'OB History'!D:D, 1)</f>
        <v>1</v>
      </c>
      <c r="H44" s="2">
        <f>COUNTIFS('OB History'!B:B,A44,'OB History'!D:D, 0)</f>
        <v>1</v>
      </c>
      <c r="I44" s="88">
        <f>LOOKUP(2, 1/('OB History'!$B:$B=A44), 'OB History'!$AD:$AD)</f>
        <v>0.5</v>
      </c>
      <c r="J44" s="34">
        <f>SUMIFS('OB History'!F:F,'OB History'!B:B,A44)</f>
        <v>5</v>
      </c>
      <c r="K44" s="2">
        <f>SUMIFS('OB History'!E:E,'OB History'!B:B,A44)-J44</f>
        <v>5</v>
      </c>
      <c r="L44" s="88">
        <f>LOOKUP(2, 1/('OB History'!$B:$B=A44), 'OB History'!$AB:$AB)</f>
        <v>0.5</v>
      </c>
      <c r="M44" s="34">
        <f>SUMIFS('OB History'!H:H,'OB History'!B:B,'Old Bow v2'!A44)</f>
        <v>20</v>
      </c>
      <c r="N44" s="2">
        <f>SUMIFS('OB History'!G:G,'OB History'!B:B,'Old Bow v2'!A44)-M44</f>
        <v>19</v>
      </c>
      <c r="O44" s="88">
        <f>LOOKUP(2, 1/('OB History'!$B:$B=A44), 'OB History'!$AC:$AC)</f>
        <v>0.52</v>
      </c>
      <c r="P44" s="2">
        <f>COUNTIFS('OB History'!$B:$B,$A$44,'OB History'!K:K, 1)</f>
        <v>0</v>
      </c>
      <c r="Q44" s="2">
        <f>COUNTIFS('OB History'!$B:$B,$A$44,'OB History'!L:L, 1)</f>
        <v>0</v>
      </c>
      <c r="R44" s="2">
        <f>COUNTIFS('OB History'!$B:$B,$A$44,'OB History'!M:M, 1)</f>
        <v>0</v>
      </c>
      <c r="S44" s="2">
        <f>COUNTIFS('OB History'!$B:$B,$A$44,'OB History'!N:N, 1)</f>
        <v>2</v>
      </c>
      <c r="T44" s="2">
        <f>COUNTIFS('OB History'!$B:$B,$A$44,'OB History'!O:O, 1)</f>
        <v>0</v>
      </c>
      <c r="U44" s="2">
        <f>COUNTIFS('OB History'!$B:$B,$A$44,'OB History'!P:P, 1)</f>
        <v>0</v>
      </c>
      <c r="V44" s="2">
        <f>COUNTIFS('OB History'!$B:$B,$A$44,'OB History'!Q:Q, 1)</f>
        <v>0</v>
      </c>
      <c r="W44" s="2">
        <f>COUNTIFS('OB History'!$B:$B,$A$44,'OB History'!R:R, 1)</f>
        <v>1</v>
      </c>
      <c r="X44" s="2">
        <f>COUNTIFS('OB History'!$B:$B,$A$44,'OB History'!S:S, 1)</f>
        <v>0</v>
      </c>
      <c r="Y44" s="2">
        <f>COUNTIFS('OB History'!$B:$B,$A$44,'OB History'!T:T, 1)</f>
        <v>0</v>
      </c>
      <c r="Z44" s="2">
        <f>COUNTIFS('OB History'!$B:$B,$A$44,'OB History'!U:U, 1)</f>
        <v>0</v>
      </c>
      <c r="AA44" s="2">
        <f>COUNTIFS('OB History'!$B:$B,$A$44,'OB History'!V:V, 1)</f>
        <v>1</v>
      </c>
      <c r="AB44" s="2">
        <f>COUNTIFS('OB History'!$B:$B,$A$44,'OB History'!W:W, 1)</f>
        <v>0</v>
      </c>
      <c r="AC44" s="2">
        <f>COUNTIFS('OB History'!$B:$B,$A$44,'OB History'!X:X, 1)</f>
        <v>1</v>
      </c>
      <c r="AD44" s="2">
        <f>COUNTIFS('OB History'!$B:$B,$A$44,'OB History'!Y:Y, 1)</f>
        <v>0</v>
      </c>
      <c r="AE44" s="2">
        <f>COUNTIFS('OB History'!$B:$B,$A$44,'OB History'!Z:Z, 1)</f>
        <v>0</v>
      </c>
    </row>
    <row r="45" spans="1:31" x14ac:dyDescent="0.25">
      <c r="A45" s="2" t="s">
        <v>4</v>
      </c>
      <c r="B45" s="2" t="s">
        <v>79</v>
      </c>
      <c r="C45" s="2" t="s">
        <v>79</v>
      </c>
      <c r="D45" s="34">
        <f>SUMIFS('OB History'!C:C,'OB History'!B:B,A45)</f>
        <v>70</v>
      </c>
      <c r="E45" s="4">
        <f>AVERAGEIFS('OB History'!C:C,'OB History'!B:B,A45)</f>
        <v>17.5</v>
      </c>
      <c r="F45" s="35">
        <f t="array" ref="F45">MAX(IF('OB History'!B:B=A45, 'OB History'!C:C))</f>
        <v>24</v>
      </c>
      <c r="G45" s="34">
        <f>COUNTIFS('OB History'!B:B,A45,'OB History'!D:D, 1)</f>
        <v>3</v>
      </c>
      <c r="H45" s="2">
        <f>COUNTIFS('OB History'!B:B,A45,'OB History'!D:D, 0)</f>
        <v>1</v>
      </c>
      <c r="I45" s="88">
        <f>LOOKUP(2, 1/('OB History'!$B:$B=A45), 'OB History'!$AD:$AD)</f>
        <v>0.75</v>
      </c>
      <c r="J45" s="34">
        <f>SUMIFS('OB History'!F:F,'OB History'!B:B,A45)</f>
        <v>9</v>
      </c>
      <c r="K45" s="2">
        <f>SUMIFS('OB History'!E:E,'OB History'!B:B,A45)-J45</f>
        <v>6</v>
      </c>
      <c r="L45" s="88">
        <f>LOOKUP(2, 1/('OB History'!$B:$B=A45), 'OB History'!$AB:$AB)</f>
        <v>0.58750000000000002</v>
      </c>
      <c r="M45" s="34">
        <f>SUMIFS('OB History'!H:H,'OB History'!B:B,'Old Bow v2'!A45)</f>
        <v>33</v>
      </c>
      <c r="N45" s="2">
        <f>SUMIFS('OB History'!G:G,'OB History'!B:B,'Old Bow v2'!A45)-M45</f>
        <v>27</v>
      </c>
      <c r="O45" s="88">
        <f>LOOKUP(2, 1/('OB History'!$B:$B=A45), 'OB History'!$AC:$AC)</f>
        <v>0.54</v>
      </c>
      <c r="P45" s="2">
        <f>COUNTIFS('OB History'!$B:$B,$A$45,'OB History'!K:K, 1)</f>
        <v>0</v>
      </c>
      <c r="Q45" s="2">
        <f>COUNTIFS('OB History'!$B:$B,$A$45,'OB History'!L:L, 1)</f>
        <v>2</v>
      </c>
      <c r="R45" s="2">
        <f>COUNTIFS('OB History'!$B:$B,$A$45,'OB History'!M:M, 1)</f>
        <v>2</v>
      </c>
      <c r="S45" s="2">
        <f>COUNTIFS('OB History'!$B:$B,$A$45,'OB History'!N:N, 1)</f>
        <v>0</v>
      </c>
      <c r="T45" s="2">
        <f>COUNTIFS('OB History'!$B:$B,$A$45,'OB History'!O:O, 1)</f>
        <v>1</v>
      </c>
      <c r="U45" s="2">
        <f>COUNTIFS('OB History'!$B:$B,$A$45,'OB History'!P:P, 1)</f>
        <v>2</v>
      </c>
      <c r="V45" s="2">
        <f>COUNTIFS('OB History'!$B:$B,$A$45,'OB History'!Q:Q, 1)</f>
        <v>0</v>
      </c>
      <c r="W45" s="2">
        <f>COUNTIFS('OB History'!$B:$B,$A$45,'OB History'!R:R, 1)</f>
        <v>0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0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55</v>
      </c>
      <c r="B46" s="2" t="s">
        <v>79</v>
      </c>
      <c r="C46" s="2" t="s">
        <v>79</v>
      </c>
      <c r="D46" s="34">
        <f>SUMIFS('OB History'!C:C,'OB History'!B:B,A46)</f>
        <v>91</v>
      </c>
      <c r="E46" s="4">
        <f>AVERAGEIFS('OB History'!C:C,'OB History'!B:B,A46)</f>
        <v>10.111111111111111</v>
      </c>
      <c r="F46" s="35">
        <f t="array" ref="F46">MAX(IF('OB History'!B:B=A46, 'OB History'!C:C))</f>
        <v>18</v>
      </c>
      <c r="G46" s="34">
        <f>COUNTIFS('OB History'!B:B,A46,'OB History'!D:D, 1)</f>
        <v>5</v>
      </c>
      <c r="H46" s="2">
        <f>COUNTIFS('OB History'!B:B,A46,'OB History'!D:D, 0)</f>
        <v>4</v>
      </c>
      <c r="I46" s="88">
        <f>LOOKUP(2, 1/('OB History'!$B:$B=A46), 'OB History'!$AD:$AD)</f>
        <v>0.55555555555555558</v>
      </c>
      <c r="J46" s="34">
        <f>SUMIFS('OB History'!F:F,'OB History'!B:B,A46)</f>
        <v>20</v>
      </c>
      <c r="K46" s="2">
        <f>SUMIFS('OB History'!E:E,'OB History'!B:B,A46)-J46</f>
        <v>19</v>
      </c>
      <c r="L46" s="88">
        <f>LOOKUP(2, 1/('OB History'!$B:$B=A46), 'OB History'!$AB:$AB)</f>
        <v>0.51111111111111118</v>
      </c>
      <c r="M46" s="34">
        <f>SUMIFS('OB History'!H:H,'OB History'!B:B,'Old Bow v2'!A46)</f>
        <v>80</v>
      </c>
      <c r="N46" s="2">
        <f>SUMIFS('OB History'!G:G,'OB History'!B:B,'Old Bow v2'!A46)-M46</f>
        <v>78</v>
      </c>
      <c r="O46" s="88">
        <f>LOOKUP(2, 1/('OB History'!$B:$B=A46), 'OB History'!$AC:$AC)</f>
        <v>0.49888888888888894</v>
      </c>
      <c r="P46" s="2">
        <f>COUNTIFS('OB History'!$B:$B,$A$46,'OB History'!K:K, 1)</f>
        <v>2</v>
      </c>
      <c r="Q46" s="2">
        <f>COUNTIFS('OB History'!$B:$B,$A$46,'OB History'!L:L, 1)</f>
        <v>0</v>
      </c>
      <c r="R46" s="2">
        <f>COUNTIFS('OB History'!$B:$B,$A$46,'OB History'!M:M, 1)</f>
        <v>1</v>
      </c>
      <c r="S46" s="2">
        <f>COUNTIFS('OB History'!$B:$B,$A$46,'OB History'!N:N, 1)</f>
        <v>4</v>
      </c>
      <c r="T46" s="2">
        <f>COUNTIFS('OB History'!$B:$B,$A$46,'OB History'!O:O, 1)</f>
        <v>1</v>
      </c>
      <c r="U46" s="2">
        <f>COUNTIFS('OB History'!$B:$B,$A$46,'OB History'!P:P, 1)</f>
        <v>1</v>
      </c>
      <c r="V46" s="2">
        <f>COUNTIFS('OB History'!$B:$B,$A$46,'OB History'!Q:Q, 1)</f>
        <v>1</v>
      </c>
      <c r="W46" s="2">
        <f>COUNTIFS('OB History'!$B:$B,$A$46,'OB History'!R:R, 1)</f>
        <v>0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0</v>
      </c>
      <c r="AB46" s="2">
        <f>COUNTIFS('OB History'!$B:$B,$A$46,'OB History'!W:W, 1)</f>
        <v>3</v>
      </c>
      <c r="AC46" s="2">
        <f>COUNTIFS('OB History'!$B:$B,$A$46,'OB History'!X:X, 1)</f>
        <v>4</v>
      </c>
      <c r="AD46" s="2">
        <f>COUNTIFS('OB History'!$B:$B,$A$46,'OB History'!Y:Y, 1)</f>
        <v>1</v>
      </c>
      <c r="AE46" s="2">
        <f>COUNTIFS('OB History'!$B:$B,$A$46,'OB History'!Z:Z, 1)</f>
        <v>2</v>
      </c>
    </row>
    <row r="47" spans="1:31" x14ac:dyDescent="0.25">
      <c r="D47" s="96"/>
    </row>
    <row r="52" spans="6:6" x14ac:dyDescent="0.25">
      <c r="F52" s="81"/>
    </row>
    <row r="54" spans="6:6" x14ac:dyDescent="0.25">
      <c r="F54" s="81"/>
    </row>
  </sheetData>
  <autoFilter ref="A1:AE4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86"/>
  <sheetViews>
    <sheetView workbookViewId="0">
      <pane ySplit="1" topLeftCell="A2" activePane="bottomLeft" state="frozen"/>
      <selection pane="bottomLeft" activeCell="K498" sqref="K49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</sheetData>
  <autoFilter ref="A1:AD486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B64" sqref="B6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146</v>
      </c>
      <c r="D2" s="66">
        <f>AVERAGEIFS('BA History'!C:C,'BA History'!B:B,A2)</f>
        <v>13.272727272727273</v>
      </c>
      <c r="E2" s="35">
        <f t="array" ref="E2">MAX(IF('BA History'!B:B=A2, 'BA History'!C:C))</f>
        <v>23</v>
      </c>
      <c r="F2" s="34">
        <f>COUNTIFS('BA History'!B:B,A2,'BA History'!D:D, 1)</f>
        <v>5</v>
      </c>
      <c r="G2" s="2">
        <f>COUNTIFS('BA History'!B:B,A2,'BA History'!D:D, 0)</f>
        <v>6</v>
      </c>
      <c r="H2" s="75">
        <f>LOOKUP(2, 1/('BA History'!$B:$B=A2), 'BA History'!$AJ:$AJ)</f>
        <v>0.45454545454545453</v>
      </c>
      <c r="I2" s="34">
        <f>SUMIFS('BA History'!F:F,'BA History'!B:B,A2)</f>
        <v>22</v>
      </c>
      <c r="J2" s="2">
        <f>SUMIFS('BA History'!E:E,'BA History'!B:B,A2)-I2</f>
        <v>24</v>
      </c>
      <c r="K2" s="75">
        <f>LOOKUP(2, 1/('BA History'!$B:$B=A2), 'BA History'!$AH:$AH)</f>
        <v>0.4681818181818182</v>
      </c>
      <c r="L2" s="34">
        <f>SUMIFS('BA History'!H:H,'BA History'!B:B,A2)</f>
        <v>92</v>
      </c>
      <c r="M2" s="2">
        <f>SUMIFS('BA History'!G:G,'BA History'!B:B,A2)-L2</f>
        <v>94</v>
      </c>
      <c r="N2" s="89">
        <f>LOOKUP(2, 1/('BA History'!$B:$B=A2), 'BA History'!$AI:$AI)</f>
        <v>0.47272727272727272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4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2</v>
      </c>
      <c r="AG2" s="2">
        <f>COUNTIFS('BA History'!$B:$B,$A$2,'BA History'!AC:AC, 1)</f>
        <v>0</v>
      </c>
      <c r="AH2" s="2">
        <f>COUNTIFS('BA History'!$B:$B,$A$2,'BA History'!AD:AD, 1)</f>
        <v>2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>LOOKUP(2, 1/('BA History'!$B:$B=A3), 'BA History'!$AJ:$AJ)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>LOOKUP(2, 1/('BA History'!$B:$B=A3), 'BA History'!$AH:$AH)</f>
        <v>0.51249999999999996</v>
      </c>
      <c r="L3" s="34">
        <f>SUMIFS('BA History'!H:H,'BA History'!B:B,A3)</f>
        <v>70</v>
      </c>
      <c r="M3" s="2">
        <f>SUMIFS('BA History'!G:G,'BA History'!B:B,A3)-L3</f>
        <v>71</v>
      </c>
      <c r="N3" s="89">
        <f>LOOKUP(2, 1/('BA History'!$B:$B=A3), 'BA History'!$AI:$AI)</f>
        <v>0.48375000000000001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218</v>
      </c>
      <c r="D5" s="66">
        <f>AVERAGEIFS('BA History'!C:C,'BA History'!B:B,A5)</f>
        <v>12.823529411764707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7</v>
      </c>
      <c r="H5" s="75">
        <f>LOOKUP(2, 1/('BA History'!$B:$B=A5), 'BA History'!$AJ:$AJ)</f>
        <v>0.58823529411764708</v>
      </c>
      <c r="I5" s="34">
        <f>SUMIFS('BA History'!F:F,'BA History'!B:B,A5)</f>
        <v>35</v>
      </c>
      <c r="J5" s="2">
        <f>SUMIFS('BA History'!E:E,'BA History'!B:B,A5)-I5</f>
        <v>34</v>
      </c>
      <c r="K5" s="75">
        <f>LOOKUP(2, 1/('BA History'!$B:$B=A5), 'BA History'!$AH:$AH)</f>
        <v>0.47647058823529409</v>
      </c>
      <c r="L5" s="34">
        <f>SUMIFS('BA History'!H:H,'BA History'!B:B,A5)</f>
        <v>136</v>
      </c>
      <c r="M5" s="2">
        <f>SUMIFS('BA History'!G:G,'BA History'!B:B,A5)-L5</f>
        <v>139</v>
      </c>
      <c r="N5" s="89">
        <f>LOOKUP(2, 1/('BA History'!$B:$B=A5), 'BA History'!$AI:$AI)</f>
        <v>0.47882352941176476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1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3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388</v>
      </c>
      <c r="D7" s="66">
        <f>AVERAGEIFS('BA History'!C:C,'BA History'!B:B,A7)</f>
        <v>11.085714285714285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19</v>
      </c>
      <c r="H7" s="75">
        <f>LOOKUP(2, 1/('BA History'!$B:$B=A7), 'BA History'!$AJ:$AJ)</f>
        <v>0.45714285714285713</v>
      </c>
      <c r="I7" s="34">
        <f>SUMIFS('BA History'!F:F,'BA History'!B:B,A7)</f>
        <v>70</v>
      </c>
      <c r="J7" s="2">
        <f>SUMIFS('BA History'!E:E,'BA History'!B:B,A7)-I7</f>
        <v>74</v>
      </c>
      <c r="K7" s="75">
        <f>LOOKUP(2, 1/('BA History'!$B:$B=A7), 'BA History'!$AH:$AH)</f>
        <v>0.47371428571428575</v>
      </c>
      <c r="L7" s="34">
        <f>SUMIFS('BA History'!H:H,'BA History'!B:B,A7)</f>
        <v>301</v>
      </c>
      <c r="M7" s="2">
        <f>SUMIFS('BA History'!G:G,'BA History'!B:B,A7)-L7</f>
        <v>302</v>
      </c>
      <c r="N7" s="89">
        <f>LOOKUP(2, 1/('BA History'!$B:$B=A7), 'BA History'!$AI:$AI)</f>
        <v>0.49142857142857138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530</v>
      </c>
      <c r="D9" s="66">
        <f>AVERAGEIFS('BA History'!C:C,'BA History'!B:B,A9)</f>
        <v>18.928571428571427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15</v>
      </c>
      <c r="H9" s="75">
        <f>LOOKUP(2, 1/('BA History'!$B:$B=A9), 'BA History'!$AJ:$AJ)</f>
        <v>0.4642857142857143</v>
      </c>
      <c r="I9" s="34">
        <f>SUMIFS('BA History'!F:F,'BA History'!B:B,A9)</f>
        <v>53</v>
      </c>
      <c r="J9" s="2">
        <f>SUMIFS('BA History'!E:E,'BA History'!B:B,A9)-I9</f>
        <v>63</v>
      </c>
      <c r="K9" s="75">
        <f>LOOKUP(2, 1/('BA History'!$B:$B=A9), 'BA History'!$AH:$AH)</f>
        <v>0.44642857142857134</v>
      </c>
      <c r="L9" s="34">
        <f>SUMIFS('BA History'!H:H,'BA History'!B:B,A9)</f>
        <v>221</v>
      </c>
      <c r="M9" s="2">
        <f>SUMIFS('BA History'!G:G,'BA History'!B:B,A9)-L9</f>
        <v>256</v>
      </c>
      <c r="N9" s="89">
        <f>LOOKUP(2, 1/('BA History'!$B:$B=A9), 'BA History'!$AI:$AI)</f>
        <v>0.4539285714285714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3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612</v>
      </c>
      <c r="D18" s="66">
        <f>AVERAGEIFS('BA History'!C:C,'BA History'!B:B,A18)</f>
        <v>18.545454545454547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15</v>
      </c>
      <c r="H18" s="75">
        <f>LOOKUP(2, 1/('BA History'!$B:$B=A18), 'BA History'!$AJ:$AJ)</f>
        <v>0.54545454545454541</v>
      </c>
      <c r="I18" s="34">
        <f>SUMIFS('BA History'!F:F,'BA History'!B:B,A18)</f>
        <v>70</v>
      </c>
      <c r="J18" s="2">
        <f>SUMIFS('BA History'!E:E,'BA History'!B:B,A18)-I18</f>
        <v>62</v>
      </c>
      <c r="K18" s="75">
        <f>LOOKUP(2, 1/('BA History'!$B:$B=A18), 'BA History'!$AH:$AH)</f>
        <v>0.54181818181818187</v>
      </c>
      <c r="L18" s="34">
        <f>SUMIFS('BA History'!H:H,'BA History'!B:B,A18)</f>
        <v>288</v>
      </c>
      <c r="M18" s="2">
        <f>SUMIFS('BA History'!G:G,'BA History'!B:B,A18)-L18</f>
        <v>267</v>
      </c>
      <c r="N18" s="89">
        <f>LOOKUP(2, 1/('BA History'!$B:$B=A18), 'BA History'!$AI:$AI)</f>
        <v>0.5360606060606059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447</v>
      </c>
      <c r="D20" s="66">
        <f>AVERAGEIFS('BA History'!C:C,'BA History'!B:B,A20)</f>
        <v>16.555555555555557</v>
      </c>
      <c r="E20" s="35">
        <f t="array" ref="E20">MAX(IF('BA History'!B:B=A20, 'BA History'!C:C))</f>
        <v>36</v>
      </c>
      <c r="F20" s="34">
        <f>COUNTIFS('BA History'!B:B,A20,'BA History'!D:D, 1)</f>
        <v>17</v>
      </c>
      <c r="G20" s="2">
        <f>COUNTIFS('BA History'!B:B,A20,'BA History'!D:D, 0)</f>
        <v>10</v>
      </c>
      <c r="H20" s="75">
        <f>LOOKUP(2, 1/('BA History'!$B:$B=A20), 'BA History'!$AJ:$AJ)</f>
        <v>0.62962962962962965</v>
      </c>
      <c r="I20" s="34">
        <f>SUMIFS('BA History'!F:F,'BA History'!B:B,A20)</f>
        <v>58</v>
      </c>
      <c r="J20" s="2">
        <f>SUMIFS('BA History'!E:E,'BA History'!B:B,A20)-I20</f>
        <v>51</v>
      </c>
      <c r="K20" s="75">
        <f>LOOKUP(2, 1/('BA History'!$B:$B=A20), 'BA History'!$AH:$AH)</f>
        <v>0.51481481481481473</v>
      </c>
      <c r="L20" s="34">
        <f>SUMIFS('BA History'!H:H,'BA History'!B:B,A20)</f>
        <v>239</v>
      </c>
      <c r="M20" s="2">
        <f>SUMIFS('BA History'!G:G,'BA History'!B:B,A20)-L20</f>
        <v>213</v>
      </c>
      <c r="N20" s="89">
        <f>LOOKUP(2, 1/('BA History'!$B:$B=A20), 'BA History'!$AI:$AI)</f>
        <v>0.53037037037037027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5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6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628</v>
      </c>
      <c r="D22" s="66">
        <f>AVERAGEIFS('BA History'!C:C,'BA History'!B:B,A22)</f>
        <v>27.304347826086957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12</v>
      </c>
      <c r="H22" s="75">
        <f>LOOKUP(2, 1/('BA History'!$B:$B=A22), 'BA History'!$AJ:$AJ)</f>
        <v>0.47826086956521741</v>
      </c>
      <c r="I22" s="34">
        <f>SUMIFS('BA History'!F:F,'BA History'!B:B,A22)</f>
        <v>43</v>
      </c>
      <c r="J22" s="2">
        <f>SUMIFS('BA History'!E:E,'BA History'!B:B,A22)-I22</f>
        <v>50</v>
      </c>
      <c r="K22" s="75">
        <f>LOOKUP(2, 1/('BA History'!$B:$B=A22), 'BA History'!$AH:$AH)</f>
        <v>0.44347826086956527</v>
      </c>
      <c r="L22" s="34">
        <f>SUMIFS('BA History'!H:H,'BA History'!B:B,A22)</f>
        <v>180</v>
      </c>
      <c r="M22" s="2">
        <f>SUMIFS('BA History'!G:G,'BA History'!B:B,A22)-L22</f>
        <v>202</v>
      </c>
      <c r="N22" s="89">
        <f>LOOKUP(2, 1/('BA History'!$B:$B=A22), 'BA History'!$AI:$AI)</f>
        <v>0.46043478260869564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80</v>
      </c>
      <c r="D24" s="66">
        <f>AVERAGEIFS('BA History'!C:C,'BA History'!B:B,A24)</f>
        <v>13.333333333333334</v>
      </c>
      <c r="E24" s="35">
        <f t="array" ref="E24">MAX(IF('BA History'!B:B=A24, 'BA History'!C:C))</f>
        <v>17</v>
      </c>
      <c r="F24" s="34">
        <f>COUNTIFS('BA History'!B:B,A24,'BA History'!D:D, 1)</f>
        <v>2</v>
      </c>
      <c r="G24" s="2">
        <f>COUNTIFS('BA History'!B:B,A24,'BA History'!D:D, 0)</f>
        <v>4</v>
      </c>
      <c r="H24" s="75">
        <f>LOOKUP(2, 1/('BA History'!$B:$B=A24), 'BA History'!$AJ:$AJ)</f>
        <v>0.33333333333333331</v>
      </c>
      <c r="I24" s="34">
        <f>SUMIFS('BA History'!F:F,'BA History'!B:B,A24)</f>
        <v>13</v>
      </c>
      <c r="J24" s="2">
        <f>SUMIFS('BA History'!E:E,'BA History'!B:B,A24)-I24</f>
        <v>15</v>
      </c>
      <c r="K24" s="75">
        <f>LOOKUP(2, 1/('BA History'!$B:$B=A24), 'BA History'!$AH:$AH)</f>
        <v>0.46666666666666662</v>
      </c>
      <c r="L24" s="34">
        <f>SUMIFS('BA History'!H:H,'BA History'!B:B,A24)</f>
        <v>58</v>
      </c>
      <c r="M24" s="2">
        <f>SUMIFS('BA History'!G:G,'BA History'!B:B,A24)-L24</f>
        <v>57</v>
      </c>
      <c r="N24" s="89">
        <f>LOOKUP(2, 1/('BA History'!$B:$B=A24), 'BA History'!$AI:$AI)</f>
        <v>0.505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2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425</v>
      </c>
      <c r="D25" s="66">
        <f>AVERAGEIFS('BA History'!C:C,'BA History'!B:B,A25)</f>
        <v>18.478260869565219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14</v>
      </c>
      <c r="H25" s="75">
        <f>LOOKUP(2, 1/('BA History'!$B:$B=A25), 'BA History'!$AJ:$AJ)</f>
        <v>0.39130434782608697</v>
      </c>
      <c r="I25" s="34">
        <f>SUMIFS('BA History'!F:F,'BA History'!B:B,A25)</f>
        <v>43</v>
      </c>
      <c r="J25" s="2">
        <f>SUMIFS('BA History'!E:E,'BA History'!B:B,A25)-I25</f>
        <v>55</v>
      </c>
      <c r="K25" s="75">
        <f>LOOKUP(2, 1/('BA History'!$B:$B=A25), 'BA History'!$AH:$AH)</f>
        <v>0.42391304347826081</v>
      </c>
      <c r="L25" s="34">
        <f>SUMIFS('BA History'!H:H,'BA History'!B:B,A25)</f>
        <v>190</v>
      </c>
      <c r="M25" s="2">
        <f>SUMIFS('BA History'!G:G,'BA History'!B:B,A25)-L25</f>
        <v>218</v>
      </c>
      <c r="N25" s="89">
        <f>LOOKUP(2, 1/('BA History'!$B:$B=A25), 'BA History'!$AI:$AI)</f>
        <v>0.45652173913043476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>LOOKUP(2, 1/('BA History'!$B:$B=A27), 'BA History'!$AJ:$AJ)</f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>LOOKUP(2, 1/('BA History'!$B:$B=A27), 'BA History'!$AH:$AH)</f>
        <v>0.54333333333333333</v>
      </c>
      <c r="L27" s="34">
        <f>SUMIFS('BA History'!H:H,'BA History'!B:B,A27)</f>
        <v>114</v>
      </c>
      <c r="M27" s="2">
        <f>SUMIFS('BA History'!G:G,'BA History'!B:B,A27)-L27</f>
        <v>108</v>
      </c>
      <c r="N27" s="89">
        <f>LOOKUP(2, 1/('BA History'!$B:$B=A27), 'BA History'!$AI:$AI)</f>
        <v>0.51933333333333331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146</v>
      </c>
      <c r="D34" s="66">
        <f>AVERAGEIFS('BA History'!C:C,'BA History'!B:B,A34)</f>
        <v>13.272727272727273</v>
      </c>
      <c r="E34" s="35">
        <f t="array" ref="E34">MAX(IF('BA History'!B:B=A34, 'BA History'!C:C))</f>
        <v>21</v>
      </c>
      <c r="F34" s="34">
        <f>COUNTIFS('BA History'!B:B,A34,'BA History'!D:D, 1)</f>
        <v>4</v>
      </c>
      <c r="G34" s="2">
        <f>COUNTIFS('BA History'!B:B,A34,'BA History'!D:D, 0)</f>
        <v>7</v>
      </c>
      <c r="H34" s="75">
        <f>LOOKUP(2, 1/('BA History'!$B:$B=A34), 'BA History'!$AJ:$AJ)</f>
        <v>0.36363636363636365</v>
      </c>
      <c r="I34" s="34">
        <f>SUMIFS('BA History'!F:F,'BA History'!B:B,A34)</f>
        <v>21</v>
      </c>
      <c r="J34" s="2">
        <f>SUMIFS('BA History'!E:E,'BA History'!B:B,A34)-I34</f>
        <v>23</v>
      </c>
      <c r="K34" s="75">
        <f>LOOKUP(2, 1/('BA History'!$B:$B=A34), 'BA History'!$AH:$AH)</f>
        <v>0.49545454545454548</v>
      </c>
      <c r="L34" s="34">
        <f>SUMIFS('BA History'!H:H,'BA History'!B:B,A34)</f>
        <v>89</v>
      </c>
      <c r="M34" s="2">
        <f>SUMIFS('BA History'!G:G,'BA History'!B:B,A34)-L34</f>
        <v>96</v>
      </c>
      <c r="N34" s="89">
        <f>LOOKUP(2, 1/('BA History'!$B:$B=A34), 'BA History'!$AI:$AI)</f>
        <v>0.5154545454545455</v>
      </c>
      <c r="O34" s="2">
        <f>COUNTIFS('BA History'!$B:$B,$A$34,'BA History'!K:K, 1)</f>
        <v>4</v>
      </c>
      <c r="P34" s="2">
        <f>COUNTIFS('BA History'!$B:$B,$A$34,'BA History'!L:L, 1)</f>
        <v>0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1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2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730</v>
      </c>
      <c r="D35" s="66">
        <f>AVERAGEIFS('BA History'!C:C,'BA History'!B:B,A35)</f>
        <v>24.333333333333332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13</v>
      </c>
      <c r="H35" s="75">
        <f>LOOKUP(2, 1/('BA History'!$B:$B=A35), 'BA History'!$AJ:$AJ)</f>
        <v>0.56666666666666665</v>
      </c>
      <c r="I35" s="34">
        <f>SUMIFS('BA History'!F:F,'BA History'!B:B,A35)</f>
        <v>64</v>
      </c>
      <c r="J35" s="2">
        <f>SUMIFS('BA History'!E:E,'BA History'!B:B,A35)-I35</f>
        <v>52</v>
      </c>
      <c r="K35" s="75">
        <f>LOOKUP(2, 1/('BA History'!$B:$B=A35), 'BA History'!$AH:$AH)</f>
        <v>0.56099999999999994</v>
      </c>
      <c r="L35" s="34">
        <f>SUMIFS('BA History'!H:H,'BA History'!B:B,A35)</f>
        <v>257</v>
      </c>
      <c r="M35" s="2">
        <f>SUMIFS('BA History'!G:G,'BA History'!B:B,A35)-L35</f>
        <v>221</v>
      </c>
      <c r="N35" s="89">
        <f>LOOKUP(2, 1/('BA History'!$B:$B=A35), 'BA History'!$AI:$AI)</f>
        <v>0.55266666666666675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11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1133</v>
      </c>
      <c r="D36" s="66">
        <f>AVERAGEIFS('BA History'!C:C,'BA History'!B:B,A36)</f>
        <v>24.106382978723403</v>
      </c>
      <c r="E36" s="35">
        <f t="array" ref="E36">MAX(IF('BA History'!B:B=A36, 'BA History'!C:C))</f>
        <v>37</v>
      </c>
      <c r="F36" s="34">
        <f>COUNTIFS('BA History'!B:B,A36,'BA History'!D:D, 1)</f>
        <v>26</v>
      </c>
      <c r="G36" s="2">
        <f>COUNTIFS('BA History'!B:B,A36,'BA History'!D:D, 0)</f>
        <v>21</v>
      </c>
      <c r="H36" s="75">
        <f>LOOKUP(2, 1/('BA History'!$B:$B=A36), 'BA History'!$AJ:$AJ)</f>
        <v>0.55319148936170215</v>
      </c>
      <c r="I36" s="34">
        <f>SUMIFS('BA History'!F:F,'BA History'!B:B,A36)</f>
        <v>102</v>
      </c>
      <c r="J36" s="2">
        <f>SUMIFS('BA History'!E:E,'BA History'!B:B,A36)-I36</f>
        <v>90</v>
      </c>
      <c r="K36" s="75">
        <f>LOOKUP(2, 1/('BA History'!$B:$B=A36), 'BA History'!$AH:$AH)</f>
        <v>0.53234042553191496</v>
      </c>
      <c r="L36" s="34">
        <f>SUMIFS('BA History'!H:H,'BA History'!B:B,A36)</f>
        <v>407</v>
      </c>
      <c r="M36" s="2">
        <f>SUMIFS('BA History'!G:G,'BA History'!B:B,A36)-L36</f>
        <v>391</v>
      </c>
      <c r="N36" s="89">
        <f>LOOKUP(2, 1/('BA History'!$B:$B=A36), 'BA History'!$AI:$AI)</f>
        <v>0.51085106382978718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8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82</v>
      </c>
      <c r="D39" s="66">
        <f>AVERAGEIFS('BA History'!C:C,'BA History'!B:B,A39)</f>
        <v>13.666666666666666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3</v>
      </c>
      <c r="H39" s="75">
        <f>LOOKUP(2, 1/('BA History'!$B:$B=A39), 'BA History'!$AJ:$AJ)</f>
        <v>0.5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>LOOKUP(2, 1/('BA History'!$B:$B=A39), 'BA History'!$AH:$AH)</f>
        <v>0.43333333333333335</v>
      </c>
      <c r="L39" s="34">
        <f>SUMIFS('BA History'!H:H,'BA History'!B:B,A39)</f>
        <v>45</v>
      </c>
      <c r="M39" s="2">
        <f>SUMIFS('BA History'!G:G,'BA History'!B:B,A39)-L39</f>
        <v>46</v>
      </c>
      <c r="N39" s="89">
        <f>LOOKUP(2, 1/('BA History'!$B:$B=A39), 'BA History'!$AI:$AI)</f>
        <v>0.50166666666666671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814</v>
      </c>
      <c r="D41" s="66">
        <f>AVERAGEIFS('BA History'!C:C,'BA History'!B:B,A41)</f>
        <v>18.088888888888889</v>
      </c>
      <c r="E41" s="35">
        <f t="array" ref="E41">MAX(IF('BA History'!B:B=A41, 'BA History'!C:C))</f>
        <v>35</v>
      </c>
      <c r="F41" s="34">
        <f>COUNTIFS('BA History'!B:B,A41,'BA History'!D:D, 1)</f>
        <v>19</v>
      </c>
      <c r="G41" s="2">
        <f>COUNTIFS('BA History'!B:B,A41,'BA History'!D:D, 0)</f>
        <v>26</v>
      </c>
      <c r="H41" s="75">
        <f>LOOKUP(2, 1/('BA History'!$B:$B=A41), 'BA History'!$AJ:$AJ)</f>
        <v>0.42222222222222222</v>
      </c>
      <c r="I41" s="34">
        <f>SUMIFS('BA History'!F:F,'BA History'!B:B,A41)</f>
        <v>89</v>
      </c>
      <c r="J41" s="2">
        <f>SUMIFS('BA History'!E:E,'BA History'!B:B,A41)-I41</f>
        <v>96</v>
      </c>
      <c r="K41" s="75">
        <f>LOOKUP(2, 1/('BA History'!$B:$B=A41), 'BA History'!$AH:$AH)</f>
        <v>0.48888888888888871</v>
      </c>
      <c r="L41" s="34">
        <f>SUMIFS('BA History'!H:H,'BA History'!B:B,A41)</f>
        <v>367</v>
      </c>
      <c r="M41" s="2">
        <f>SUMIFS('BA History'!G:G,'BA History'!B:B,A41)-L41</f>
        <v>391</v>
      </c>
      <c r="N41" s="89">
        <f>LOOKUP(2, 1/('BA History'!$B:$B=A41), 'BA History'!$AI:$AI)</f>
        <v>0.48244444444444456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10</v>
      </c>
      <c r="R41" s="2">
        <f>COUNTIFS('BA History'!$B:$B,$A$41,'BA History'!N:N, 1)</f>
        <v>11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3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6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12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194</v>
      </c>
      <c r="D42" s="66">
        <f>AVERAGEIFS('BA History'!C:C,'BA History'!B:B,A42)</f>
        <v>11.411764705882353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7</v>
      </c>
      <c r="H42" s="75">
        <f>LOOKUP(2, 1/('BA History'!$B:$B=A42), 'BA History'!$AJ:$AJ)</f>
        <v>0.58823529411764708</v>
      </c>
      <c r="I42" s="34">
        <f>SUMIFS('BA History'!F:F,'BA History'!B:B,A42)</f>
        <v>37</v>
      </c>
      <c r="J42" s="2">
        <f>SUMIFS('BA History'!E:E,'BA History'!B:B,A42)-I42</f>
        <v>29</v>
      </c>
      <c r="K42" s="75">
        <f>LOOKUP(2, 1/('BA History'!$B:$B=A42), 'BA History'!$AH:$AH)</f>
        <v>0.58529411764705874</v>
      </c>
      <c r="L42" s="34">
        <f>SUMIFS('BA History'!H:H,'BA History'!B:B,A42)</f>
        <v>138</v>
      </c>
      <c r="M42" s="2">
        <f>SUMIFS('BA History'!G:G,'BA History'!B:B,A42)-L42</f>
        <v>129</v>
      </c>
      <c r="N42" s="89">
        <f>LOOKUP(2, 1/('BA History'!$B:$B=A42), 'BA History'!$AI:$AI)</f>
        <v>0.53411764705882347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6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539</v>
      </c>
      <c r="D43" s="66">
        <f>AVERAGEIFS('BA History'!C:C,'BA History'!B:B,A43)</f>
        <v>20.73076923076923</v>
      </c>
      <c r="E43" s="35">
        <f t="array" ref="E43">MAX(IF('BA History'!B:B=A43, 'BA History'!C:C))</f>
        <v>32</v>
      </c>
      <c r="F43" s="34">
        <f>COUNTIFS('BA History'!B:B,A43,'BA History'!D:D, 1)</f>
        <v>12</v>
      </c>
      <c r="G43" s="2">
        <f>COUNTIFS('BA History'!B:B,A43,'BA History'!D:D, 0)</f>
        <v>14</v>
      </c>
      <c r="H43" s="75">
        <f>LOOKUP(2, 1/('BA History'!$B:$B=A43), 'BA History'!$AJ:$AJ)</f>
        <v>0.46153846153846156</v>
      </c>
      <c r="I43" s="34">
        <f>SUMIFS('BA History'!F:F,'BA History'!B:B,A43)</f>
        <v>51</v>
      </c>
      <c r="J43" s="2">
        <f>SUMIFS('BA History'!E:E,'BA History'!B:B,A43)-I43</f>
        <v>53</v>
      </c>
      <c r="K43" s="75">
        <f>LOOKUP(2, 1/('BA History'!$B:$B=A43), 'BA History'!$AH:$AH)</f>
        <v>0.495</v>
      </c>
      <c r="L43" s="34">
        <f>SUMIFS('BA History'!H:H,'BA History'!B:B,A43)</f>
        <v>210</v>
      </c>
      <c r="M43" s="2">
        <f>SUMIFS('BA History'!G:G,'BA History'!B:B,A43)-L43</f>
        <v>221</v>
      </c>
      <c r="N43" s="89">
        <f>LOOKUP(2, 1/('BA History'!$B:$B=A43), 'BA History'!$AI:$AI)</f>
        <v>0.48153846153846164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6</v>
      </c>
      <c r="AE43" s="2">
        <f>COUNTIFS('BA History'!$B:$B,$A$43,'BA History'!AA:AA, 1)</f>
        <v>1</v>
      </c>
      <c r="AF43" s="2">
        <f>COUNTIFS('BA History'!$B:$B,$A$43,'BA History'!AB:AB, 1)</f>
        <v>6</v>
      </c>
      <c r="AG43" s="2">
        <f>COUNTIFS('BA History'!$B:$B,$A$43,'BA History'!AC:AC, 1)</f>
        <v>5</v>
      </c>
      <c r="AH43" s="2">
        <f>COUNTIFS('BA History'!$B:$B,$A$43,'BA History'!AD:AD, 1)</f>
        <v>6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1024</v>
      </c>
      <c r="D47" s="66">
        <f>AVERAGEIFS('BA History'!C:C,'BA History'!B:B,A47)</f>
        <v>22.260869565217391</v>
      </c>
      <c r="E47" s="35">
        <f t="array" ref="E47">MAX(IF('BA History'!B:B=A47, 'BA History'!C:C))</f>
        <v>37</v>
      </c>
      <c r="F47" s="34">
        <f>COUNTIFS('BA History'!B:B,A47,'BA History'!D:D, 1)</f>
        <v>29</v>
      </c>
      <c r="G47" s="2">
        <f>COUNTIFS('BA History'!B:B,A47,'BA History'!D:D, 0)</f>
        <v>17</v>
      </c>
      <c r="H47" s="75">
        <f>LOOKUP(2, 1/('BA History'!$B:$B=A47), 'BA History'!$AJ:$AJ)</f>
        <v>0.63043478260869568</v>
      </c>
      <c r="I47" s="34">
        <f>SUMIFS('BA History'!F:F,'BA History'!B:B,A47)</f>
        <v>102</v>
      </c>
      <c r="J47" s="2">
        <f>SUMIFS('BA History'!E:E,'BA History'!B:B,A47)-I47</f>
        <v>83</v>
      </c>
      <c r="K47" s="75">
        <f>LOOKUP(2, 1/('BA History'!$B:$B=A47), 'BA History'!$AH:$AH)</f>
        <v>0.54739130434782612</v>
      </c>
      <c r="L47" s="34">
        <f>SUMIFS('BA History'!H:H,'BA History'!B:B,A47)</f>
        <v>409</v>
      </c>
      <c r="M47" s="2">
        <f>SUMIFS('BA History'!G:G,'BA History'!B:B,A47)-L47</f>
        <v>360</v>
      </c>
      <c r="N47" s="89">
        <f>LOOKUP(2, 1/('BA History'!$B:$B=A47), 'BA History'!$AI:$AI)</f>
        <v>0.53152173913043477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8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4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14</v>
      </c>
      <c r="AE47" s="2">
        <f>COUNTIFS('BA History'!$B:$B,$A$47,'BA History'!AA:AA, 1)</f>
        <v>1</v>
      </c>
      <c r="AF47" s="2">
        <f>COUNTIFS('BA History'!$B:$B,$A$47,'BA History'!AB:AB, 1)</f>
        <v>11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361</v>
      </c>
      <c r="D49" s="66">
        <f>AVERAGEIFS('BA History'!C:C,'BA History'!B:B,A49)</f>
        <v>16.40909090909091</v>
      </c>
      <c r="E49" s="35">
        <f t="array" ref="E49">MAX(IF('BA History'!B:B=A49, 'BA History'!C:C))</f>
        <v>28</v>
      </c>
      <c r="F49" s="34">
        <f>COUNTIFS('BA History'!B:B,A49,'BA History'!D:D, 1)</f>
        <v>11</v>
      </c>
      <c r="G49" s="2">
        <f>COUNTIFS('BA History'!B:B,A49,'BA History'!D:D, 0)</f>
        <v>11</v>
      </c>
      <c r="H49" s="75">
        <f>LOOKUP(2, 1/('BA History'!$B:$B=A49), 'BA History'!$AJ:$AJ)</f>
        <v>0.5</v>
      </c>
      <c r="I49" s="34">
        <f>SUMIFS('BA History'!F:F,'BA History'!B:B,A49)</f>
        <v>45</v>
      </c>
      <c r="J49" s="2">
        <f>SUMIFS('BA History'!E:E,'BA History'!B:B,A49)-I49</f>
        <v>41</v>
      </c>
      <c r="K49" s="75">
        <f>LOOKUP(2, 1/('BA History'!$B:$B=A49), 'BA History'!$AH:$AH)</f>
        <v>0.53181818181818186</v>
      </c>
      <c r="L49" s="34">
        <f>SUMIFS('BA History'!H:H,'BA History'!B:B,A49)</f>
        <v>173</v>
      </c>
      <c r="M49" s="2">
        <f>SUMIFS('BA History'!G:G,'BA History'!B:B,A49)-L49</f>
        <v>170</v>
      </c>
      <c r="N49" s="89">
        <f>LOOKUP(2, 1/('BA History'!$B:$B=A49), 'BA History'!$AI:$AI)</f>
        <v>0.49863636363636377</v>
      </c>
      <c r="O49" s="2">
        <f>COUNTIFS('BA History'!$B:$B,$A$49,'BA History'!K:K, 1)</f>
        <v>2</v>
      </c>
      <c r="P49" s="2">
        <f>COUNTIFS('BA History'!$B:$B,$A$49,'BA History'!L:L, 1)</f>
        <v>1</v>
      </c>
      <c r="Q49" s="2">
        <f>COUNTIFS('BA History'!$B:$B,$A$49,'BA History'!M:M, 1)</f>
        <v>9</v>
      </c>
      <c r="R49" s="2">
        <f>COUNTIFS('BA History'!$B:$B,$A$49,'BA History'!N:N, 1)</f>
        <v>5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286</v>
      </c>
      <c r="D50" s="66">
        <f>AVERAGEIFS('BA History'!C:C,'BA History'!B:B,A50)</f>
        <v>17.875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8</v>
      </c>
      <c r="H50" s="75">
        <f>LOOKUP(2, 1/('BA History'!$B:$B=A50), 'BA History'!$AJ:$AJ)</f>
        <v>0.5</v>
      </c>
      <c r="I50" s="34">
        <f>SUMIFS('BA History'!F:F,'BA History'!B:B,A50)</f>
        <v>33</v>
      </c>
      <c r="J50" s="2">
        <f>SUMIFS('BA History'!E:E,'BA History'!B:B,A50)-I50</f>
        <v>34</v>
      </c>
      <c r="K50" s="75">
        <f>LOOKUP(2, 1/('BA History'!$B:$B=A50), 'BA History'!$AH:$AH)</f>
        <v>0.50124999999999997</v>
      </c>
      <c r="L50" s="34">
        <f>SUMIFS('BA History'!H:H,'BA History'!B:B,A50)</f>
        <v>142</v>
      </c>
      <c r="M50" s="2">
        <f>SUMIFS('BA History'!G:G,'BA History'!B:B,A50)-L50</f>
        <v>134</v>
      </c>
      <c r="N50" s="89">
        <f>LOOKUP(2, 1/('BA History'!$B:$B=A50), 'BA History'!$AI:$AI)</f>
        <v>0.52375000000000005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5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547</v>
      </c>
      <c r="D52" s="66">
        <f>AVERAGEIFS('BA History'!C:C,'BA History'!B:B,A52)</f>
        <v>23.782608695652176</v>
      </c>
      <c r="E52" s="35">
        <f t="array" ref="E52">MAX(IF('BA History'!B:B=A52, 'BA History'!C:C))</f>
        <v>41</v>
      </c>
      <c r="F52" s="34">
        <f>COUNTIFS('BA History'!B:B,A52,'BA History'!D:D, 1)</f>
        <v>5</v>
      </c>
      <c r="G52" s="2">
        <f>COUNTIFS('BA History'!B:B,A52,'BA History'!D:D, 0)</f>
        <v>18</v>
      </c>
      <c r="H52" s="75">
        <f>LOOKUP(2, 1/('BA History'!$B:$B=A52), 'BA History'!$AJ:$AJ)</f>
        <v>0.21739130434782608</v>
      </c>
      <c r="I52" s="34">
        <f>SUMIFS('BA History'!F:F,'BA History'!B:B,A52)</f>
        <v>36</v>
      </c>
      <c r="J52" s="2">
        <f>SUMIFS('BA History'!E:E,'BA History'!B:B,A52)-I52</f>
        <v>58</v>
      </c>
      <c r="K52" s="75">
        <f>LOOKUP(2, 1/('BA History'!$B:$B=A52), 'BA History'!$AH:$AH)</f>
        <v>0.38043478260869568</v>
      </c>
      <c r="L52" s="34">
        <f>SUMIFS('BA History'!H:H,'BA History'!B:B,A52)</f>
        <v>168</v>
      </c>
      <c r="M52" s="2">
        <f>SUMIFS('BA History'!G:G,'BA History'!B:B,A52)-L52</f>
        <v>214</v>
      </c>
      <c r="N52" s="89">
        <f>LOOKUP(2, 1/('BA History'!$B:$B=A52), 'BA History'!$AI:$AI)</f>
        <v>0.43347826086956526</v>
      </c>
      <c r="O52" s="2">
        <f>COUNTIFS('BA History'!$B:$B,$A$52,'BA History'!K:K, 1)</f>
        <v>1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3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459</v>
      </c>
      <c r="D53" s="66">
        <f>AVERAGEIFS('BA History'!C:C,'BA History'!B:B,A53)</f>
        <v>17</v>
      </c>
      <c r="E53" s="35">
        <f t="array" ref="E53">MAX(IF('BA History'!B:B=A53, 'BA History'!C:C))</f>
        <v>35</v>
      </c>
      <c r="F53" s="34">
        <f>COUNTIFS('BA History'!B:B,A53,'BA History'!D:D, 1)</f>
        <v>16</v>
      </c>
      <c r="G53" s="2">
        <f>COUNTIFS('BA History'!B:B,A53,'BA History'!D:D, 0)</f>
        <v>11</v>
      </c>
      <c r="H53" s="75">
        <f>LOOKUP(2, 1/('BA History'!$B:$B=A53), 'BA History'!$AJ:$AJ)</f>
        <v>0.59259259259259256</v>
      </c>
      <c r="I53" s="34">
        <f>SUMIFS('BA History'!F:F,'BA History'!B:B,A53)</f>
        <v>61</v>
      </c>
      <c r="J53" s="2">
        <f>SUMIFS('BA History'!E:E,'BA History'!B:B,A53)-I53</f>
        <v>50</v>
      </c>
      <c r="K53" s="75">
        <f>LOOKUP(2, 1/('BA History'!$B:$B=A53), 'BA History'!$AH:$AH)</f>
        <v>0.55555555555555547</v>
      </c>
      <c r="L53" s="34">
        <f>SUMIFS('BA History'!H:H,'BA History'!B:B,A53)</f>
        <v>248</v>
      </c>
      <c r="M53" s="2">
        <f>SUMIFS('BA History'!G:G,'BA History'!B:B,A53)-L53</f>
        <v>213</v>
      </c>
      <c r="N53" s="89">
        <f>LOOKUP(2, 1/('BA History'!$B:$B=A53), 'BA History'!$AI:$AI)</f>
        <v>0.54074074074074086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7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4</v>
      </c>
      <c r="AG53" s="2">
        <f>COUNTIFS('BA History'!$B:$B,$A$53,'BA History'!AC:AC, 1)</f>
        <v>3</v>
      </c>
      <c r="AH53" s="2">
        <f>COUNTIFS('BA History'!$B:$B,$A$53,'BA History'!AD:AD, 1)</f>
        <v>5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05"/>
  <sheetViews>
    <sheetView tabSelected="1" workbookViewId="0">
      <pane xSplit="2" ySplit="1" topLeftCell="C673" activePane="bottomRight" state="frozen"/>
      <selection pane="topRight" activeCell="C1" sqref="C1"/>
      <selection pane="bottomLeft" activeCell="A2" sqref="A2"/>
      <selection pane="bottomRight" activeCell="U712" sqref="U71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</sheetData>
  <autoFilter ref="A1:AJ689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2026-04-01T22:27:46Z</dcterms:modified>
</cp:coreProperties>
</file>