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D25BF079-1668-4C78-9BEE-824728BC9D0E}" xr6:coauthVersionLast="47" xr6:coauthVersionMax="47" xr10:uidLastSave="{00000000-0000-0000-0000-000000000000}"/>
  <bookViews>
    <workbookView xWindow="-28920" yWindow="-120" windowWidth="29040" windowHeight="15720" activeTab="5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History'!$A$1:$AI$424</definedName>
    <definedName name="_xlnm._FilterDatabase" localSheetId="5" hidden="1">'BA v2'!$A$1:$AI$49</definedName>
    <definedName name="_xlnm._FilterDatabase" localSheetId="4" hidden="1">'OB History'!$A$1:$AC$330</definedName>
    <definedName name="_xlnm._FilterDatabase" localSheetId="1" hidden="1">'Old Bow'!$A$1:$AD$37</definedName>
    <definedName name="_xlnm._FilterDatabase" localSheetId="0" hidden="1">'Old Bow v2'!$A$1:$AD$38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0" i="12" l="1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0" i="12"/>
  <c r="I20" i="12"/>
  <c r="J20" i="12" s="1"/>
  <c r="L20" i="12"/>
  <c r="M20" i="12" s="1"/>
  <c r="F20" i="12"/>
  <c r="G20" i="12"/>
  <c r="C20" i="12"/>
  <c r="D20" i="12"/>
  <c r="E20" i="12" a="1"/>
  <c r="E20" i="12" s="1"/>
  <c r="AE39" i="12"/>
  <c r="AF39" i="12"/>
  <c r="AG39" i="12"/>
  <c r="AH39" i="12"/>
  <c r="AI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O39" i="12"/>
  <c r="I39" i="12"/>
  <c r="J39" i="12" s="1"/>
  <c r="L39" i="12"/>
  <c r="M39" i="12" s="1"/>
  <c r="F39" i="12"/>
  <c r="G39" i="12"/>
  <c r="C39" i="12"/>
  <c r="D39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O35" i="12"/>
  <c r="F35" i="12"/>
  <c r="G35" i="12"/>
  <c r="I35" i="12"/>
  <c r="J35" i="12" s="1"/>
  <c r="L35" i="12"/>
  <c r="M35" i="12" s="1"/>
  <c r="C35" i="12"/>
  <c r="D35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O19" i="12"/>
  <c r="L19" i="12"/>
  <c r="M19" i="12" s="1"/>
  <c r="I19" i="12"/>
  <c r="J19" i="12" s="1"/>
  <c r="F19" i="12"/>
  <c r="G19" i="12"/>
  <c r="C19" i="12"/>
  <c r="D19" i="12"/>
  <c r="E19" i="12" a="1"/>
  <c r="E19" i="12" s="1"/>
  <c r="E39" i="12" a="1"/>
  <c r="E39" i="12" s="1"/>
  <c r="E35" i="12" a="1"/>
  <c r="E35" i="12" s="1"/>
  <c r="AF412" i="9"/>
  <c r="AG412" i="9"/>
  <c r="AH412" i="9"/>
  <c r="AI412" i="9"/>
  <c r="AF413" i="9"/>
  <c r="AG413" i="9"/>
  <c r="AH413" i="9"/>
  <c r="AI413" i="9"/>
  <c r="AF414" i="9"/>
  <c r="AG414" i="9"/>
  <c r="AH414" i="9"/>
  <c r="AI414" i="9"/>
  <c r="AF415" i="9"/>
  <c r="AG415" i="9"/>
  <c r="AH415" i="9"/>
  <c r="AI415" i="9"/>
  <c r="AF416" i="9"/>
  <c r="AG416" i="9"/>
  <c r="AH416" i="9"/>
  <c r="AI416" i="9"/>
  <c r="AF417" i="9"/>
  <c r="AG417" i="9"/>
  <c r="AH417" i="9"/>
  <c r="AI417" i="9"/>
  <c r="AF418" i="9"/>
  <c r="AG418" i="9"/>
  <c r="AH418" i="9"/>
  <c r="AI418" i="9"/>
  <c r="AF419" i="9"/>
  <c r="AG419" i="9"/>
  <c r="AH419" i="9"/>
  <c r="AI419" i="9"/>
  <c r="AF420" i="9"/>
  <c r="AG420" i="9"/>
  <c r="AH420" i="9"/>
  <c r="AI420" i="9"/>
  <c r="AF421" i="9"/>
  <c r="AG421" i="9"/>
  <c r="AH421" i="9"/>
  <c r="AI421" i="9"/>
  <c r="AF422" i="9"/>
  <c r="AG422" i="9"/>
  <c r="AH422" i="9"/>
  <c r="AI422" i="9"/>
  <c r="AF423" i="9"/>
  <c r="AG423" i="9"/>
  <c r="AH423" i="9"/>
  <c r="AI423" i="9"/>
  <c r="AF424" i="9"/>
  <c r="AG424" i="9"/>
  <c r="AH424" i="9"/>
  <c r="AI424" i="9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P2" i="11"/>
  <c r="O2" i="11"/>
  <c r="O3" i="11"/>
  <c r="M2" i="11"/>
  <c r="N2" i="11" s="1"/>
  <c r="L2" i="11"/>
  <c r="J2" i="11"/>
  <c r="K2" i="11" s="1"/>
  <c r="I2" i="11"/>
  <c r="H2" i="11"/>
  <c r="G2" i="11"/>
  <c r="F2" i="11" a="1"/>
  <c r="F2" i="11" s="1"/>
  <c r="E2" i="11"/>
  <c r="D2" i="11"/>
  <c r="Z347" i="10"/>
  <c r="AA347" i="10"/>
  <c r="AB347" i="10"/>
  <c r="AC347" i="10"/>
  <c r="Z348" i="10"/>
  <c r="AA348" i="10"/>
  <c r="AB348" i="10"/>
  <c r="AC348" i="10"/>
  <c r="Z349" i="10"/>
  <c r="AA349" i="10"/>
  <c r="AB349" i="10"/>
  <c r="AC349" i="10"/>
  <c r="Z350" i="10"/>
  <c r="AA350" i="10"/>
  <c r="AB350" i="10"/>
  <c r="AC350" i="10"/>
  <c r="Z351" i="10"/>
  <c r="AA351" i="10"/>
  <c r="AB351" i="10"/>
  <c r="AC351" i="10"/>
  <c r="Z352" i="10"/>
  <c r="AA352" i="10"/>
  <c r="AB352" i="10"/>
  <c r="AC352" i="10"/>
  <c r="Z353" i="10"/>
  <c r="AA353" i="10"/>
  <c r="AB353" i="10"/>
  <c r="AC353" i="10"/>
  <c r="Z354" i="10"/>
  <c r="AA354" i="10"/>
  <c r="AB354" i="10"/>
  <c r="AC354" i="10"/>
  <c r="Z355" i="10"/>
  <c r="AA355" i="10"/>
  <c r="AB355" i="10"/>
  <c r="AC355" i="10"/>
  <c r="Z356" i="10"/>
  <c r="AA356" i="10"/>
  <c r="AB356" i="10"/>
  <c r="AC356" i="10"/>
  <c r="Z357" i="10"/>
  <c r="AA357" i="10"/>
  <c r="AB357" i="10"/>
  <c r="AC357" i="10"/>
  <c r="Z358" i="10"/>
  <c r="AA358" i="10"/>
  <c r="AB358" i="10"/>
  <c r="AC358" i="10"/>
  <c r="Z359" i="10"/>
  <c r="AA359" i="10"/>
  <c r="AB359" i="10"/>
  <c r="AC359" i="10"/>
  <c r="Z360" i="10"/>
  <c r="AA360" i="10"/>
  <c r="AB360" i="10"/>
  <c r="AC360" i="10"/>
  <c r="AF400" i="9"/>
  <c r="AG400" i="9"/>
  <c r="AH400" i="9"/>
  <c r="AI400" i="9"/>
  <c r="AF401" i="9"/>
  <c r="AG401" i="9"/>
  <c r="AH401" i="9"/>
  <c r="AI401" i="9"/>
  <c r="AF402" i="9"/>
  <c r="AG402" i="9"/>
  <c r="AH402" i="9"/>
  <c r="AI402" i="9"/>
  <c r="AF403" i="9"/>
  <c r="AG403" i="9"/>
  <c r="AH403" i="9"/>
  <c r="AI403" i="9"/>
  <c r="AF404" i="9"/>
  <c r="AG404" i="9"/>
  <c r="AH404" i="9"/>
  <c r="AI404" i="9"/>
  <c r="AF405" i="9"/>
  <c r="AG405" i="9"/>
  <c r="AH405" i="9"/>
  <c r="AI405" i="9"/>
  <c r="AF406" i="9"/>
  <c r="AG406" i="9"/>
  <c r="AH406" i="9"/>
  <c r="AI406" i="9"/>
  <c r="AF407" i="9"/>
  <c r="AG407" i="9"/>
  <c r="AH407" i="9"/>
  <c r="AI407" i="9"/>
  <c r="AF408" i="9"/>
  <c r="AG408" i="9"/>
  <c r="AH408" i="9"/>
  <c r="AI408" i="9"/>
  <c r="AF409" i="9"/>
  <c r="AG409" i="9"/>
  <c r="AH409" i="9"/>
  <c r="AI409" i="9"/>
  <c r="AF410" i="9"/>
  <c r="AG410" i="9"/>
  <c r="AH410" i="9"/>
  <c r="AI410" i="9"/>
  <c r="AF411" i="9"/>
  <c r="AG411" i="9"/>
  <c r="AH411" i="9"/>
  <c r="AI411" i="9"/>
  <c r="AF388" i="9"/>
  <c r="AG388" i="9"/>
  <c r="AH388" i="9"/>
  <c r="AI388" i="9"/>
  <c r="AF389" i="9"/>
  <c r="AG389" i="9"/>
  <c r="AH389" i="9"/>
  <c r="AI389" i="9"/>
  <c r="AF390" i="9"/>
  <c r="AG390" i="9"/>
  <c r="AH390" i="9"/>
  <c r="AI390" i="9"/>
  <c r="AF391" i="9"/>
  <c r="AG391" i="9"/>
  <c r="AH391" i="9"/>
  <c r="AI391" i="9"/>
  <c r="AF392" i="9"/>
  <c r="AG392" i="9"/>
  <c r="AH392" i="9"/>
  <c r="AI392" i="9"/>
  <c r="AF393" i="9"/>
  <c r="AG393" i="9"/>
  <c r="AH393" i="9"/>
  <c r="AI393" i="9"/>
  <c r="AF394" i="9"/>
  <c r="AG394" i="9"/>
  <c r="AH394" i="9"/>
  <c r="AI394" i="9"/>
  <c r="AF395" i="9"/>
  <c r="AG395" i="9"/>
  <c r="AH395" i="9"/>
  <c r="AI395" i="9"/>
  <c r="AF396" i="9"/>
  <c r="AG396" i="9"/>
  <c r="AH396" i="9"/>
  <c r="AI396" i="9"/>
  <c r="AF397" i="9"/>
  <c r="AG397" i="9"/>
  <c r="AH397" i="9"/>
  <c r="AI397" i="9"/>
  <c r="AF398" i="9"/>
  <c r="AG398" i="9"/>
  <c r="AH398" i="9"/>
  <c r="AI398" i="9"/>
  <c r="AF399" i="9"/>
  <c r="AG399" i="9"/>
  <c r="AH399" i="9"/>
  <c r="AI399" i="9"/>
  <c r="Q18" i="11"/>
  <c r="R18" i="11"/>
  <c r="S18" i="11"/>
  <c r="T18" i="11"/>
  <c r="U18" i="11"/>
  <c r="V18" i="11"/>
  <c r="W18" i="11"/>
  <c r="X18" i="11"/>
  <c r="Y18" i="11"/>
  <c r="Z18" i="11"/>
  <c r="AA18" i="11"/>
  <c r="AB18" i="11"/>
  <c r="AC18" i="11"/>
  <c r="AD18" i="11"/>
  <c r="P18" i="11"/>
  <c r="M18" i="11"/>
  <c r="N18" i="11" s="1"/>
  <c r="J18" i="11"/>
  <c r="H18" i="11"/>
  <c r="G18" i="11"/>
  <c r="E18" i="11"/>
  <c r="D18" i="11"/>
  <c r="F18" i="11" a="1"/>
  <c r="F18" i="11" s="1"/>
  <c r="Z331" i="10"/>
  <c r="AA331" i="10"/>
  <c r="AB331" i="10"/>
  <c r="AC331" i="10"/>
  <c r="Z332" i="10"/>
  <c r="AA332" i="10"/>
  <c r="AB332" i="10"/>
  <c r="AC332" i="10"/>
  <c r="Z333" i="10"/>
  <c r="AA333" i="10"/>
  <c r="AB333" i="10"/>
  <c r="AC333" i="10"/>
  <c r="Z334" i="10"/>
  <c r="AA334" i="10"/>
  <c r="AB334" i="10"/>
  <c r="AC334" i="10"/>
  <c r="Z335" i="10"/>
  <c r="AA335" i="10"/>
  <c r="AB335" i="10"/>
  <c r="AC335" i="10"/>
  <c r="Z336" i="10"/>
  <c r="AA336" i="10"/>
  <c r="AB336" i="10"/>
  <c r="AC336" i="10"/>
  <c r="Z337" i="10"/>
  <c r="AA337" i="10"/>
  <c r="AB337" i="10"/>
  <c r="AC337" i="10"/>
  <c r="Z338" i="10"/>
  <c r="AA338" i="10"/>
  <c r="AB338" i="10"/>
  <c r="AC338" i="10"/>
  <c r="Z339" i="10"/>
  <c r="AA339" i="10"/>
  <c r="AB339" i="10"/>
  <c r="AC339" i="10"/>
  <c r="Z340" i="10"/>
  <c r="AA340" i="10"/>
  <c r="AB340" i="10"/>
  <c r="AC340" i="10"/>
  <c r="Z341" i="10"/>
  <c r="AA341" i="10"/>
  <c r="AB341" i="10"/>
  <c r="AC341" i="10"/>
  <c r="Z342" i="10"/>
  <c r="AA342" i="10"/>
  <c r="AB342" i="10"/>
  <c r="AC342" i="10"/>
  <c r="Z343" i="10"/>
  <c r="AA343" i="10"/>
  <c r="AB343" i="10"/>
  <c r="AC343" i="10"/>
  <c r="Z344" i="10"/>
  <c r="AA344" i="10"/>
  <c r="AB344" i="10"/>
  <c r="AC344" i="10"/>
  <c r="Z345" i="10"/>
  <c r="AA345" i="10"/>
  <c r="AB345" i="10"/>
  <c r="AC345" i="10"/>
  <c r="Z346" i="10"/>
  <c r="AA346" i="10"/>
  <c r="AB346" i="10"/>
  <c r="AC346" i="10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49" i="12"/>
  <c r="O48" i="12"/>
  <c r="O47" i="12"/>
  <c r="O46" i="12"/>
  <c r="O45" i="12"/>
  <c r="O44" i="12"/>
  <c r="O43" i="12"/>
  <c r="O42" i="12"/>
  <c r="O41" i="12"/>
  <c r="O40" i="12"/>
  <c r="O38" i="12"/>
  <c r="O37" i="12"/>
  <c r="O36" i="12"/>
  <c r="O34" i="12"/>
  <c r="O33" i="12"/>
  <c r="O32" i="12"/>
  <c r="O31" i="12"/>
  <c r="O30" i="12"/>
  <c r="O29" i="12"/>
  <c r="O28" i="12"/>
  <c r="O27" i="12"/>
  <c r="O26" i="12"/>
  <c r="O25" i="12"/>
  <c r="O24" i="12"/>
  <c r="O23" i="12"/>
  <c r="O22" i="12"/>
  <c r="O21" i="12"/>
  <c r="O18" i="12"/>
  <c r="O17" i="12"/>
  <c r="O16" i="12"/>
  <c r="O15" i="12"/>
  <c r="O14" i="12"/>
  <c r="O13" i="12"/>
  <c r="O12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8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7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6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5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O4" i="12"/>
  <c r="O3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O2" i="12"/>
  <c r="L3" i="12"/>
  <c r="M3" i="12" s="1"/>
  <c r="N3" i="12" s="1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L10" i="12"/>
  <c r="M10" i="12" s="1"/>
  <c r="N10" i="12" s="1"/>
  <c r="L11" i="12"/>
  <c r="M11" i="12" s="1"/>
  <c r="N11" i="12" s="1"/>
  <c r="L12" i="12"/>
  <c r="M12" i="12" s="1"/>
  <c r="N12" i="12" s="1"/>
  <c r="L13" i="12"/>
  <c r="M13" i="12" s="1"/>
  <c r="N13" i="12" s="1"/>
  <c r="L14" i="12"/>
  <c r="M14" i="12" s="1"/>
  <c r="N14" i="12" s="1"/>
  <c r="L15" i="12"/>
  <c r="M15" i="12" s="1"/>
  <c r="N15" i="12" s="1"/>
  <c r="L16" i="12"/>
  <c r="M16" i="12" s="1"/>
  <c r="N16" i="12" s="1"/>
  <c r="L17" i="12"/>
  <c r="M17" i="12" s="1"/>
  <c r="L18" i="12"/>
  <c r="M18" i="12" s="1"/>
  <c r="N18" i="12" s="1"/>
  <c r="L21" i="12"/>
  <c r="M21" i="12" s="1"/>
  <c r="N21" i="12" s="1"/>
  <c r="L22" i="12"/>
  <c r="M22" i="12" s="1"/>
  <c r="N22" i="12" s="1"/>
  <c r="L23" i="12"/>
  <c r="M23" i="12" s="1"/>
  <c r="N23" i="12" s="1"/>
  <c r="L24" i="12"/>
  <c r="M24" i="12" s="1"/>
  <c r="N24" i="12" s="1"/>
  <c r="L25" i="12"/>
  <c r="M25" i="12" s="1"/>
  <c r="N25" i="12" s="1"/>
  <c r="L26" i="12"/>
  <c r="M26" i="12" s="1"/>
  <c r="L27" i="12"/>
  <c r="M27" i="12" s="1"/>
  <c r="N27" i="12" s="1"/>
  <c r="L28" i="12"/>
  <c r="M28" i="12" s="1"/>
  <c r="N28" i="12" s="1"/>
  <c r="L29" i="12"/>
  <c r="M29" i="12" s="1"/>
  <c r="N29" i="12" s="1"/>
  <c r="L30" i="12"/>
  <c r="M30" i="12" s="1"/>
  <c r="N30" i="12" s="1"/>
  <c r="L31" i="12"/>
  <c r="M31" i="12" s="1"/>
  <c r="N31" i="12" s="1"/>
  <c r="L32" i="12"/>
  <c r="M32" i="12" s="1"/>
  <c r="N32" i="12" s="1"/>
  <c r="L33" i="12"/>
  <c r="M33" i="12" s="1"/>
  <c r="N33" i="12" s="1"/>
  <c r="L34" i="12"/>
  <c r="M34" i="12" s="1"/>
  <c r="N34" i="12" s="1"/>
  <c r="L36" i="12"/>
  <c r="M36" i="12" s="1"/>
  <c r="L37" i="12"/>
  <c r="M37" i="12" s="1"/>
  <c r="L38" i="12"/>
  <c r="M38" i="12" s="1"/>
  <c r="L40" i="12"/>
  <c r="M40" i="12" s="1"/>
  <c r="N40" i="12" s="1"/>
  <c r="L41" i="12"/>
  <c r="M41" i="12" s="1"/>
  <c r="N41" i="12" s="1"/>
  <c r="L42" i="12"/>
  <c r="M42" i="12" s="1"/>
  <c r="N42" i="12" s="1"/>
  <c r="L43" i="12"/>
  <c r="M43" i="12" s="1"/>
  <c r="N43" i="12" s="1"/>
  <c r="L44" i="12"/>
  <c r="M44" i="12" s="1"/>
  <c r="L45" i="12"/>
  <c r="M45" i="12" s="1"/>
  <c r="N45" i="12" s="1"/>
  <c r="L46" i="12"/>
  <c r="M46" i="12" s="1"/>
  <c r="N46" i="12" s="1"/>
  <c r="L47" i="12"/>
  <c r="M47" i="12" s="1"/>
  <c r="L48" i="12"/>
  <c r="M48" i="12" s="1"/>
  <c r="L49" i="12"/>
  <c r="L2" i="12"/>
  <c r="M2" i="12" s="1"/>
  <c r="I3" i="12"/>
  <c r="J3" i="12" s="1"/>
  <c r="K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2" i="12"/>
  <c r="I13" i="12"/>
  <c r="J13" i="12" s="1"/>
  <c r="K13" i="12" s="1"/>
  <c r="I14" i="12"/>
  <c r="J14" i="12" s="1"/>
  <c r="K14" i="12" s="1"/>
  <c r="I15" i="12"/>
  <c r="J15" i="12" s="1"/>
  <c r="K15" i="12" s="1"/>
  <c r="I16" i="12"/>
  <c r="J16" i="12" s="1"/>
  <c r="K16" i="12" s="1"/>
  <c r="I17" i="12"/>
  <c r="J17" i="12" s="1"/>
  <c r="I18" i="12"/>
  <c r="J18" i="12" s="1"/>
  <c r="K18" i="12" s="1"/>
  <c r="I21" i="12"/>
  <c r="J21" i="12" s="1"/>
  <c r="K21" i="12" s="1"/>
  <c r="I22" i="12"/>
  <c r="J22" i="12" s="1"/>
  <c r="K22" i="12" s="1"/>
  <c r="I23" i="12"/>
  <c r="J23" i="12" s="1"/>
  <c r="K23" i="12" s="1"/>
  <c r="I24" i="12"/>
  <c r="J24" i="12" s="1"/>
  <c r="K24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0" i="12"/>
  <c r="J30" i="12" s="1"/>
  <c r="K30" i="12" s="1"/>
  <c r="I31" i="12"/>
  <c r="J31" i="12" s="1"/>
  <c r="K31" i="12" s="1"/>
  <c r="I32" i="12"/>
  <c r="J32" i="12" s="1"/>
  <c r="K32" i="12" s="1"/>
  <c r="I33" i="12"/>
  <c r="J33" i="12" s="1"/>
  <c r="K33" i="12" s="1"/>
  <c r="I34" i="12"/>
  <c r="J34" i="12" s="1"/>
  <c r="K34" i="12" s="1"/>
  <c r="I36" i="12"/>
  <c r="J36" i="12" s="1"/>
  <c r="I37" i="12"/>
  <c r="J37" i="12" s="1"/>
  <c r="I38" i="12"/>
  <c r="J38" i="12" s="1"/>
  <c r="K38" i="12" s="1"/>
  <c r="I40" i="12"/>
  <c r="J40" i="12" s="1"/>
  <c r="K40" i="12" s="1"/>
  <c r="I41" i="12"/>
  <c r="J41" i="12" s="1"/>
  <c r="K41" i="12" s="1"/>
  <c r="I42" i="12"/>
  <c r="J42" i="12" s="1"/>
  <c r="I43" i="12"/>
  <c r="J43" i="12" s="1"/>
  <c r="I44" i="12"/>
  <c r="J44" i="12" s="1"/>
  <c r="K44" i="12" s="1"/>
  <c r="I45" i="12"/>
  <c r="J45" i="12" s="1"/>
  <c r="K45" i="12" s="1"/>
  <c r="I46" i="12"/>
  <c r="J46" i="12" s="1"/>
  <c r="K46" i="12" s="1"/>
  <c r="I47" i="12"/>
  <c r="J47" i="12" s="1"/>
  <c r="K47" i="12" s="1"/>
  <c r="I48" i="12"/>
  <c r="J48" i="12" s="1"/>
  <c r="K48" i="12" s="1"/>
  <c r="I49" i="12"/>
  <c r="J49" i="12" s="1"/>
  <c r="K49" i="12" s="1"/>
  <c r="I2" i="12"/>
  <c r="J2" i="12" s="1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6" i="12"/>
  <c r="G37" i="12"/>
  <c r="G38" i="12"/>
  <c r="G40" i="12"/>
  <c r="G41" i="12"/>
  <c r="G42" i="12"/>
  <c r="G43" i="12"/>
  <c r="G44" i="12"/>
  <c r="G45" i="12"/>
  <c r="G46" i="12"/>
  <c r="G47" i="12"/>
  <c r="G48" i="12"/>
  <c r="G49" i="12"/>
  <c r="G2" i="12"/>
  <c r="F12" i="12"/>
  <c r="F13" i="12"/>
  <c r="F14" i="12"/>
  <c r="F15" i="12"/>
  <c r="F16" i="12"/>
  <c r="F17" i="12"/>
  <c r="F18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6" i="12"/>
  <c r="F37" i="12"/>
  <c r="F38" i="12"/>
  <c r="F40" i="12"/>
  <c r="F41" i="12"/>
  <c r="F42" i="12"/>
  <c r="F43" i="12"/>
  <c r="F44" i="12"/>
  <c r="F45" i="12"/>
  <c r="F46" i="12"/>
  <c r="F47" i="12"/>
  <c r="F48" i="12"/>
  <c r="F49" i="12"/>
  <c r="F3" i="12"/>
  <c r="F4" i="12"/>
  <c r="F5" i="12"/>
  <c r="F6" i="12"/>
  <c r="F7" i="12"/>
  <c r="F8" i="12"/>
  <c r="F9" i="12"/>
  <c r="H9" i="12" s="1"/>
  <c r="F10" i="12"/>
  <c r="H10" i="12" s="1"/>
  <c r="F11" i="12"/>
  <c r="F2" i="12"/>
  <c r="E3" i="12" a="1"/>
  <c r="E3" i="12" s="1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2" i="12" a="1"/>
  <c r="E12" i="12" s="1"/>
  <c r="E13" i="12" a="1"/>
  <c r="E13" i="12" s="1"/>
  <c r="E14" i="12" a="1"/>
  <c r="E14" i="12" s="1"/>
  <c r="E15" i="12" a="1"/>
  <c r="E15" i="12" s="1"/>
  <c r="E16" i="12" a="1"/>
  <c r="E16" i="12" s="1"/>
  <c r="E17" i="12" a="1"/>
  <c r="E17" i="12" s="1"/>
  <c r="E18" i="12" a="1"/>
  <c r="E18" i="12" s="1"/>
  <c r="E21" i="12" a="1"/>
  <c r="E21" i="12" s="1"/>
  <c r="E22" i="12" a="1"/>
  <c r="E22" i="12" s="1"/>
  <c r="E23" i="12" a="1"/>
  <c r="E23" i="12" s="1"/>
  <c r="E24" i="12" a="1"/>
  <c r="E24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2" i="12" a="1"/>
  <c r="E32" i="12" s="1"/>
  <c r="E33" i="12" a="1"/>
  <c r="E33" i="12" s="1"/>
  <c r="E34" i="12" a="1"/>
  <c r="E34" i="12" s="1"/>
  <c r="E36" i="12" a="1"/>
  <c r="E36" i="12" s="1"/>
  <c r="E37" i="12" a="1"/>
  <c r="E37" i="12" s="1"/>
  <c r="E38" i="12" a="1"/>
  <c r="E38" i="12" s="1"/>
  <c r="E40" i="12" a="1"/>
  <c r="E40" i="12" s="1"/>
  <c r="E41" i="12" a="1"/>
  <c r="E41" i="12" s="1"/>
  <c r="E42" i="12" a="1"/>
  <c r="E42" i="12" s="1"/>
  <c r="E43" i="12" a="1"/>
  <c r="E43" i="12" s="1"/>
  <c r="E44" i="12" a="1"/>
  <c r="E44" i="12" s="1"/>
  <c r="E45" i="12" a="1"/>
  <c r="E45" i="12" s="1"/>
  <c r="E46" i="12" a="1"/>
  <c r="E46" i="12" s="1"/>
  <c r="E47" i="12" a="1"/>
  <c r="E47" i="12" s="1"/>
  <c r="E48" i="12" a="1"/>
  <c r="E48" i="12" s="1"/>
  <c r="E49" i="12" a="1"/>
  <c r="E49" i="12" s="1"/>
  <c r="E2" i="12" a="1"/>
  <c r="E2" i="12" s="1"/>
  <c r="D12" i="12"/>
  <c r="D13" i="12"/>
  <c r="D14" i="12"/>
  <c r="D15" i="12"/>
  <c r="D16" i="12"/>
  <c r="D17" i="12"/>
  <c r="D18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6" i="12"/>
  <c r="D37" i="12"/>
  <c r="D38" i="12"/>
  <c r="D40" i="12"/>
  <c r="D41" i="12"/>
  <c r="D42" i="12"/>
  <c r="D43" i="12"/>
  <c r="D44" i="12"/>
  <c r="D45" i="12"/>
  <c r="D46" i="12"/>
  <c r="D47" i="12"/>
  <c r="D48" i="12"/>
  <c r="D49" i="12"/>
  <c r="D3" i="12"/>
  <c r="D4" i="12"/>
  <c r="D5" i="12"/>
  <c r="D6" i="12"/>
  <c r="D7" i="12"/>
  <c r="D8" i="12"/>
  <c r="D9" i="12"/>
  <c r="D10" i="12"/>
  <c r="D11" i="12"/>
  <c r="D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6" i="12"/>
  <c r="C37" i="12"/>
  <c r="C38" i="12"/>
  <c r="C40" i="12"/>
  <c r="C41" i="12"/>
  <c r="C42" i="12"/>
  <c r="C43" i="12"/>
  <c r="C44" i="12"/>
  <c r="C45" i="12"/>
  <c r="C46" i="12"/>
  <c r="C47" i="12"/>
  <c r="C48" i="12"/>
  <c r="C49" i="12"/>
  <c r="C2" i="12"/>
  <c r="N49" i="12"/>
  <c r="H29" i="12"/>
  <c r="H27" i="12"/>
  <c r="H26" i="12"/>
  <c r="H25" i="12"/>
  <c r="H24" i="12"/>
  <c r="H23" i="12"/>
  <c r="H22" i="12"/>
  <c r="H18" i="12"/>
  <c r="H17" i="12"/>
  <c r="H16" i="12"/>
  <c r="H15" i="12"/>
  <c r="H14" i="12"/>
  <c r="H13" i="12"/>
  <c r="AF376" i="9"/>
  <c r="AG376" i="9"/>
  <c r="AH376" i="9"/>
  <c r="AI376" i="9"/>
  <c r="AF377" i="9"/>
  <c r="AG377" i="9"/>
  <c r="AH377" i="9"/>
  <c r="AI377" i="9"/>
  <c r="AF378" i="9"/>
  <c r="AG378" i="9"/>
  <c r="AH378" i="9"/>
  <c r="AI378" i="9"/>
  <c r="AF379" i="9"/>
  <c r="AG379" i="9"/>
  <c r="AH379" i="9"/>
  <c r="AI379" i="9"/>
  <c r="AF380" i="9"/>
  <c r="AG380" i="9"/>
  <c r="AH380" i="9"/>
  <c r="AI380" i="9"/>
  <c r="AF381" i="9"/>
  <c r="AG381" i="9"/>
  <c r="AH381" i="9"/>
  <c r="AI381" i="9"/>
  <c r="AF382" i="9"/>
  <c r="AG382" i="9"/>
  <c r="AH382" i="9"/>
  <c r="AI382" i="9"/>
  <c r="AF383" i="9"/>
  <c r="AG383" i="9"/>
  <c r="AH383" i="9"/>
  <c r="AI383" i="9"/>
  <c r="AF384" i="9"/>
  <c r="AG384" i="9"/>
  <c r="AH384" i="9"/>
  <c r="AI384" i="9"/>
  <c r="AF385" i="9"/>
  <c r="AG385" i="9"/>
  <c r="AH385" i="9"/>
  <c r="AI385" i="9"/>
  <c r="AF386" i="9"/>
  <c r="AG386" i="9"/>
  <c r="AH386" i="9"/>
  <c r="AI386" i="9"/>
  <c r="AF387" i="9"/>
  <c r="AG387" i="9"/>
  <c r="AH387" i="9"/>
  <c r="AI387" i="9"/>
  <c r="AF360" i="9"/>
  <c r="AG360" i="9"/>
  <c r="AH360" i="9"/>
  <c r="AI360" i="9"/>
  <c r="AF361" i="9"/>
  <c r="AG361" i="9"/>
  <c r="AH361" i="9"/>
  <c r="AI361" i="9"/>
  <c r="AF362" i="9"/>
  <c r="AG362" i="9"/>
  <c r="AH362" i="9"/>
  <c r="AI362" i="9"/>
  <c r="AF363" i="9"/>
  <c r="AG363" i="9"/>
  <c r="AH363" i="9"/>
  <c r="AI363" i="9"/>
  <c r="AF364" i="9"/>
  <c r="AG364" i="9"/>
  <c r="AH364" i="9"/>
  <c r="AI364" i="9"/>
  <c r="AF365" i="9"/>
  <c r="AG365" i="9"/>
  <c r="AH365" i="9"/>
  <c r="AI365" i="9"/>
  <c r="AF366" i="9"/>
  <c r="AG366" i="9"/>
  <c r="AH366" i="9"/>
  <c r="AI366" i="9"/>
  <c r="AF367" i="9"/>
  <c r="AG367" i="9"/>
  <c r="AH367" i="9"/>
  <c r="AI367" i="9"/>
  <c r="AF368" i="9"/>
  <c r="AG368" i="9"/>
  <c r="AH368" i="9"/>
  <c r="AI368" i="9"/>
  <c r="AF369" i="9"/>
  <c r="AG369" i="9"/>
  <c r="AH369" i="9"/>
  <c r="AI369" i="9"/>
  <c r="AF370" i="9"/>
  <c r="AG370" i="9"/>
  <c r="AH370" i="9"/>
  <c r="AI370" i="9"/>
  <c r="AF371" i="9"/>
  <c r="AG371" i="9"/>
  <c r="AH371" i="9"/>
  <c r="AI371" i="9"/>
  <c r="AF372" i="9"/>
  <c r="AG372" i="9"/>
  <c r="AH372" i="9"/>
  <c r="AI372" i="9"/>
  <c r="AF373" i="9"/>
  <c r="AG373" i="9"/>
  <c r="AH373" i="9"/>
  <c r="AI373" i="9"/>
  <c r="AF374" i="9"/>
  <c r="AG374" i="9"/>
  <c r="AH374" i="9"/>
  <c r="AI374" i="9"/>
  <c r="AF375" i="9"/>
  <c r="AG375" i="9"/>
  <c r="AH375" i="9"/>
  <c r="AI375" i="9"/>
  <c r="AF350" i="9"/>
  <c r="AG350" i="9"/>
  <c r="AH350" i="9"/>
  <c r="AI350" i="9"/>
  <c r="AF351" i="9"/>
  <c r="AG351" i="9"/>
  <c r="AH351" i="9"/>
  <c r="AI351" i="9"/>
  <c r="AF352" i="9"/>
  <c r="AG352" i="9"/>
  <c r="AH352" i="9"/>
  <c r="AI352" i="9"/>
  <c r="AF353" i="9"/>
  <c r="AG353" i="9"/>
  <c r="AH353" i="9"/>
  <c r="AI353" i="9"/>
  <c r="AF354" i="9"/>
  <c r="AG354" i="9"/>
  <c r="AH354" i="9"/>
  <c r="AI354" i="9"/>
  <c r="AF355" i="9"/>
  <c r="AG355" i="9"/>
  <c r="AH355" i="9"/>
  <c r="AI355" i="9"/>
  <c r="AF356" i="9"/>
  <c r="AG356" i="9"/>
  <c r="AH356" i="9"/>
  <c r="AI356" i="9"/>
  <c r="AF357" i="9"/>
  <c r="AG357" i="9"/>
  <c r="AH357" i="9"/>
  <c r="AI357" i="9"/>
  <c r="AF358" i="9"/>
  <c r="AG358" i="9"/>
  <c r="AH358" i="9"/>
  <c r="AI358" i="9"/>
  <c r="AF359" i="9"/>
  <c r="AG359" i="9"/>
  <c r="AH359" i="9"/>
  <c r="AI359" i="9"/>
  <c r="AF338" i="9"/>
  <c r="AG338" i="9"/>
  <c r="AH338" i="9"/>
  <c r="AI338" i="9"/>
  <c r="AF339" i="9"/>
  <c r="AG339" i="9"/>
  <c r="AH339" i="9"/>
  <c r="AI339" i="9"/>
  <c r="AF340" i="9"/>
  <c r="AG340" i="9"/>
  <c r="AH340" i="9"/>
  <c r="AI340" i="9"/>
  <c r="AF341" i="9"/>
  <c r="AG341" i="9"/>
  <c r="AH341" i="9"/>
  <c r="AI341" i="9"/>
  <c r="AF342" i="9"/>
  <c r="AG342" i="9"/>
  <c r="AH342" i="9"/>
  <c r="AI342" i="9"/>
  <c r="AF343" i="9"/>
  <c r="AG343" i="9"/>
  <c r="AH343" i="9"/>
  <c r="AI343" i="9"/>
  <c r="AF344" i="9"/>
  <c r="AG344" i="9"/>
  <c r="AH344" i="9"/>
  <c r="AI344" i="9"/>
  <c r="AF345" i="9"/>
  <c r="AG345" i="9"/>
  <c r="AH345" i="9"/>
  <c r="AI345" i="9"/>
  <c r="AF346" i="9"/>
  <c r="AG346" i="9"/>
  <c r="AH346" i="9"/>
  <c r="AI346" i="9"/>
  <c r="AF347" i="9"/>
  <c r="AG347" i="9"/>
  <c r="AH347" i="9"/>
  <c r="AI347" i="9"/>
  <c r="AF348" i="9"/>
  <c r="AG348" i="9"/>
  <c r="AH348" i="9"/>
  <c r="AI348" i="9"/>
  <c r="AF349" i="9"/>
  <c r="AG349" i="9"/>
  <c r="AH349" i="9"/>
  <c r="AI349" i="9"/>
  <c r="AF326" i="9"/>
  <c r="AG326" i="9"/>
  <c r="AH326" i="9"/>
  <c r="AI326" i="9"/>
  <c r="AF327" i="9"/>
  <c r="AG327" i="9"/>
  <c r="AH327" i="9"/>
  <c r="AI327" i="9"/>
  <c r="AF328" i="9"/>
  <c r="AG328" i="9"/>
  <c r="AH328" i="9"/>
  <c r="AI328" i="9"/>
  <c r="AF329" i="9"/>
  <c r="AG329" i="9"/>
  <c r="AH329" i="9"/>
  <c r="AI329" i="9"/>
  <c r="AF330" i="9"/>
  <c r="AG330" i="9"/>
  <c r="AH330" i="9"/>
  <c r="AI330" i="9"/>
  <c r="AF331" i="9"/>
  <c r="AG331" i="9"/>
  <c r="AH331" i="9"/>
  <c r="AI331" i="9"/>
  <c r="AF332" i="9"/>
  <c r="AG332" i="9"/>
  <c r="AH332" i="9"/>
  <c r="AI332" i="9"/>
  <c r="AF333" i="9"/>
  <c r="AG333" i="9"/>
  <c r="AH333" i="9"/>
  <c r="AI333" i="9"/>
  <c r="AF334" i="9"/>
  <c r="AG334" i="9"/>
  <c r="AH334" i="9"/>
  <c r="AI334" i="9"/>
  <c r="AF335" i="9"/>
  <c r="AG335" i="9"/>
  <c r="AH335" i="9"/>
  <c r="AI335" i="9"/>
  <c r="AF336" i="9"/>
  <c r="AG336" i="9"/>
  <c r="AH336" i="9"/>
  <c r="AI336" i="9"/>
  <c r="AF337" i="9"/>
  <c r="AG337" i="9"/>
  <c r="AH337" i="9"/>
  <c r="AI337" i="9"/>
  <c r="AF312" i="9"/>
  <c r="AG312" i="9"/>
  <c r="AH312" i="9"/>
  <c r="AI312" i="9"/>
  <c r="AF313" i="9"/>
  <c r="AG313" i="9"/>
  <c r="AH313" i="9"/>
  <c r="AI313" i="9"/>
  <c r="AF314" i="9"/>
  <c r="AG314" i="9"/>
  <c r="AH314" i="9"/>
  <c r="AI314" i="9"/>
  <c r="AF315" i="9"/>
  <c r="AG315" i="9"/>
  <c r="AH315" i="9"/>
  <c r="AI315" i="9"/>
  <c r="AF316" i="9"/>
  <c r="AG316" i="9"/>
  <c r="AH316" i="9"/>
  <c r="AI316" i="9"/>
  <c r="AF317" i="9"/>
  <c r="AG317" i="9"/>
  <c r="AH317" i="9"/>
  <c r="AI317" i="9"/>
  <c r="AF318" i="9"/>
  <c r="AG318" i="9"/>
  <c r="AH318" i="9"/>
  <c r="AI318" i="9"/>
  <c r="AF319" i="9"/>
  <c r="AG319" i="9"/>
  <c r="AH319" i="9"/>
  <c r="AI319" i="9"/>
  <c r="AF320" i="9"/>
  <c r="AG320" i="9"/>
  <c r="AH320" i="9"/>
  <c r="AI320" i="9"/>
  <c r="AF321" i="9"/>
  <c r="AG321" i="9"/>
  <c r="AH321" i="9"/>
  <c r="AI321" i="9"/>
  <c r="AF322" i="9"/>
  <c r="AG322" i="9"/>
  <c r="AH322" i="9"/>
  <c r="AI322" i="9"/>
  <c r="AF323" i="9"/>
  <c r="AG323" i="9"/>
  <c r="AH323" i="9"/>
  <c r="AI323" i="9"/>
  <c r="AF324" i="9"/>
  <c r="AG324" i="9"/>
  <c r="AH324" i="9"/>
  <c r="AI324" i="9"/>
  <c r="AF325" i="9"/>
  <c r="AG325" i="9"/>
  <c r="AH325" i="9"/>
  <c r="AI325" i="9"/>
  <c r="AF300" i="9"/>
  <c r="AG300" i="9"/>
  <c r="AH300" i="9"/>
  <c r="AI300" i="9"/>
  <c r="AF301" i="9"/>
  <c r="AG301" i="9"/>
  <c r="AH301" i="9"/>
  <c r="AI301" i="9"/>
  <c r="AF302" i="9"/>
  <c r="AG302" i="9"/>
  <c r="AH302" i="9"/>
  <c r="AI302" i="9"/>
  <c r="AF303" i="9"/>
  <c r="AG303" i="9"/>
  <c r="AH303" i="9"/>
  <c r="AI303" i="9"/>
  <c r="AF304" i="9"/>
  <c r="AG304" i="9"/>
  <c r="AH304" i="9"/>
  <c r="AI304" i="9"/>
  <c r="AF305" i="9"/>
  <c r="AG305" i="9"/>
  <c r="AH305" i="9"/>
  <c r="AI305" i="9"/>
  <c r="AF306" i="9"/>
  <c r="AG306" i="9"/>
  <c r="AH306" i="9"/>
  <c r="AI306" i="9"/>
  <c r="AF307" i="9"/>
  <c r="AG307" i="9"/>
  <c r="AH307" i="9"/>
  <c r="AI307" i="9"/>
  <c r="AF308" i="9"/>
  <c r="AG308" i="9"/>
  <c r="AH308" i="9"/>
  <c r="AI308" i="9"/>
  <c r="AF309" i="9"/>
  <c r="AG309" i="9"/>
  <c r="AH309" i="9"/>
  <c r="AI309" i="9"/>
  <c r="AF310" i="9"/>
  <c r="AG310" i="9"/>
  <c r="AH310" i="9"/>
  <c r="AI310" i="9"/>
  <c r="AF311" i="9"/>
  <c r="AG311" i="9"/>
  <c r="AH311" i="9"/>
  <c r="AI311" i="9"/>
  <c r="AF293" i="9"/>
  <c r="AG293" i="9"/>
  <c r="AH293" i="9"/>
  <c r="AI293" i="9"/>
  <c r="AF294" i="9"/>
  <c r="AG294" i="9"/>
  <c r="AH294" i="9"/>
  <c r="AI294" i="9"/>
  <c r="AF295" i="9"/>
  <c r="AG295" i="9"/>
  <c r="AH295" i="9"/>
  <c r="AI295" i="9"/>
  <c r="AF296" i="9"/>
  <c r="AG296" i="9"/>
  <c r="AH296" i="9"/>
  <c r="AI296" i="9"/>
  <c r="AF297" i="9"/>
  <c r="AG297" i="9"/>
  <c r="AH297" i="9"/>
  <c r="AI297" i="9"/>
  <c r="AF298" i="9"/>
  <c r="AG298" i="9"/>
  <c r="AH298" i="9"/>
  <c r="AI298" i="9"/>
  <c r="AF299" i="9"/>
  <c r="AG299" i="9"/>
  <c r="AH299" i="9"/>
  <c r="AI299" i="9"/>
  <c r="AF281" i="9"/>
  <c r="AG281" i="9"/>
  <c r="AH281" i="9"/>
  <c r="AI281" i="9"/>
  <c r="AF282" i="9"/>
  <c r="AG282" i="9"/>
  <c r="AH282" i="9"/>
  <c r="AI282" i="9"/>
  <c r="AF283" i="9"/>
  <c r="AG283" i="9"/>
  <c r="AH283" i="9"/>
  <c r="AI283" i="9"/>
  <c r="AF284" i="9"/>
  <c r="AG284" i="9"/>
  <c r="AH284" i="9"/>
  <c r="AI284" i="9"/>
  <c r="AF285" i="9"/>
  <c r="AG285" i="9"/>
  <c r="AH285" i="9"/>
  <c r="AI285" i="9"/>
  <c r="AF286" i="9"/>
  <c r="AG286" i="9"/>
  <c r="AH286" i="9"/>
  <c r="AI286" i="9"/>
  <c r="AF287" i="9"/>
  <c r="AG287" i="9"/>
  <c r="AH287" i="9"/>
  <c r="AI287" i="9"/>
  <c r="AF288" i="9"/>
  <c r="AG288" i="9"/>
  <c r="AH288" i="9"/>
  <c r="AI288" i="9"/>
  <c r="AF289" i="9"/>
  <c r="AG289" i="9"/>
  <c r="AH289" i="9"/>
  <c r="AI289" i="9"/>
  <c r="AF290" i="9"/>
  <c r="AG290" i="9"/>
  <c r="AH290" i="9"/>
  <c r="AI290" i="9"/>
  <c r="AF291" i="9"/>
  <c r="AG291" i="9"/>
  <c r="AH291" i="9"/>
  <c r="AI291" i="9"/>
  <c r="AF292" i="9"/>
  <c r="AG292" i="9"/>
  <c r="AH292" i="9"/>
  <c r="AI292" i="9"/>
  <c r="AF269" i="9"/>
  <c r="AG269" i="9"/>
  <c r="AH269" i="9"/>
  <c r="AI269" i="9"/>
  <c r="AF270" i="9"/>
  <c r="AG270" i="9"/>
  <c r="AH270" i="9"/>
  <c r="AI270" i="9"/>
  <c r="AF271" i="9"/>
  <c r="AG271" i="9"/>
  <c r="AH271" i="9"/>
  <c r="AI271" i="9"/>
  <c r="AF272" i="9"/>
  <c r="AG272" i="9"/>
  <c r="AH272" i="9"/>
  <c r="AI272" i="9"/>
  <c r="AF273" i="9"/>
  <c r="AG273" i="9"/>
  <c r="AH273" i="9"/>
  <c r="AI273" i="9"/>
  <c r="AF274" i="9"/>
  <c r="AG274" i="9"/>
  <c r="AH274" i="9"/>
  <c r="AI274" i="9"/>
  <c r="AF275" i="9"/>
  <c r="AG275" i="9"/>
  <c r="AH275" i="9"/>
  <c r="AI275" i="9"/>
  <c r="AF276" i="9"/>
  <c r="AG276" i="9"/>
  <c r="AH276" i="9"/>
  <c r="AI276" i="9"/>
  <c r="AF277" i="9"/>
  <c r="AG277" i="9"/>
  <c r="AH277" i="9"/>
  <c r="AI277" i="9"/>
  <c r="AF278" i="9"/>
  <c r="AG278" i="9"/>
  <c r="AH278" i="9"/>
  <c r="AI278" i="9"/>
  <c r="AF279" i="9"/>
  <c r="AG279" i="9"/>
  <c r="AH279" i="9"/>
  <c r="AI279" i="9"/>
  <c r="AF280" i="9"/>
  <c r="AG280" i="9"/>
  <c r="AH280" i="9"/>
  <c r="AI280" i="9"/>
  <c r="AF268" i="9"/>
  <c r="AG268" i="9"/>
  <c r="AH268" i="9"/>
  <c r="AI268" i="9"/>
  <c r="AF255" i="9"/>
  <c r="AG255" i="9"/>
  <c r="AH255" i="9"/>
  <c r="AI255" i="9"/>
  <c r="AF256" i="9"/>
  <c r="AG256" i="9"/>
  <c r="AH256" i="9"/>
  <c r="AI256" i="9"/>
  <c r="AF257" i="9"/>
  <c r="AG257" i="9"/>
  <c r="AH257" i="9"/>
  <c r="AI257" i="9"/>
  <c r="AF258" i="9"/>
  <c r="AG258" i="9"/>
  <c r="AH258" i="9"/>
  <c r="AI258" i="9"/>
  <c r="AF259" i="9"/>
  <c r="AG259" i="9"/>
  <c r="AH259" i="9"/>
  <c r="AI259" i="9"/>
  <c r="AF260" i="9"/>
  <c r="AG260" i="9"/>
  <c r="AH260" i="9"/>
  <c r="AI260" i="9"/>
  <c r="AF261" i="9"/>
  <c r="AG261" i="9"/>
  <c r="AH261" i="9"/>
  <c r="AI261" i="9"/>
  <c r="AF262" i="9"/>
  <c r="AG262" i="9"/>
  <c r="AH262" i="9"/>
  <c r="AI262" i="9"/>
  <c r="AF263" i="9"/>
  <c r="AG263" i="9"/>
  <c r="AH263" i="9"/>
  <c r="AI263" i="9"/>
  <c r="AF264" i="9"/>
  <c r="AG264" i="9"/>
  <c r="AH264" i="9"/>
  <c r="AI264" i="9"/>
  <c r="AF265" i="9"/>
  <c r="AG265" i="9"/>
  <c r="AH265" i="9"/>
  <c r="AI265" i="9"/>
  <c r="AF266" i="9"/>
  <c r="AG266" i="9"/>
  <c r="AH266" i="9"/>
  <c r="AI266" i="9"/>
  <c r="AF267" i="9"/>
  <c r="AG267" i="9"/>
  <c r="AH267" i="9"/>
  <c r="AI267" i="9"/>
  <c r="AF241" i="9"/>
  <c r="AG241" i="9"/>
  <c r="AH241" i="9"/>
  <c r="AI241" i="9"/>
  <c r="AF242" i="9"/>
  <c r="AG242" i="9"/>
  <c r="AH242" i="9"/>
  <c r="AI242" i="9"/>
  <c r="AF243" i="9"/>
  <c r="AG243" i="9"/>
  <c r="AH243" i="9"/>
  <c r="AI243" i="9"/>
  <c r="AF244" i="9"/>
  <c r="AG244" i="9"/>
  <c r="AH244" i="9"/>
  <c r="AI244" i="9"/>
  <c r="AF245" i="9"/>
  <c r="AG245" i="9"/>
  <c r="AH245" i="9"/>
  <c r="AI245" i="9"/>
  <c r="AF246" i="9"/>
  <c r="AG246" i="9"/>
  <c r="AH246" i="9"/>
  <c r="AI246" i="9"/>
  <c r="AF247" i="9"/>
  <c r="AG247" i="9"/>
  <c r="AH247" i="9"/>
  <c r="AI247" i="9"/>
  <c r="AF248" i="9"/>
  <c r="AG248" i="9"/>
  <c r="AH248" i="9"/>
  <c r="AI248" i="9"/>
  <c r="AF249" i="9"/>
  <c r="AG249" i="9"/>
  <c r="AH249" i="9"/>
  <c r="AI249" i="9"/>
  <c r="AF250" i="9"/>
  <c r="AG250" i="9"/>
  <c r="AH250" i="9"/>
  <c r="AI250" i="9"/>
  <c r="AF251" i="9"/>
  <c r="AG251" i="9"/>
  <c r="AH251" i="9"/>
  <c r="AI251" i="9"/>
  <c r="AF252" i="9"/>
  <c r="AG252" i="9"/>
  <c r="AH252" i="9"/>
  <c r="AI252" i="9"/>
  <c r="AF253" i="9"/>
  <c r="AG253" i="9"/>
  <c r="AH253" i="9"/>
  <c r="AI253" i="9"/>
  <c r="AF254" i="9"/>
  <c r="AG254" i="9"/>
  <c r="AH254" i="9"/>
  <c r="AI254" i="9"/>
  <c r="AF231" i="9"/>
  <c r="AG231" i="9"/>
  <c r="AH231" i="9"/>
  <c r="AI231" i="9"/>
  <c r="AF232" i="9"/>
  <c r="AG232" i="9"/>
  <c r="AH232" i="9"/>
  <c r="AI232" i="9"/>
  <c r="AF233" i="9"/>
  <c r="AG233" i="9"/>
  <c r="AH233" i="9"/>
  <c r="AI233" i="9"/>
  <c r="AF234" i="9"/>
  <c r="AG234" i="9"/>
  <c r="AH234" i="9"/>
  <c r="AI234" i="9"/>
  <c r="AF235" i="9"/>
  <c r="AG235" i="9"/>
  <c r="AH235" i="9"/>
  <c r="AI235" i="9"/>
  <c r="AF236" i="9"/>
  <c r="AG236" i="9"/>
  <c r="AH236" i="9"/>
  <c r="AI236" i="9"/>
  <c r="AF237" i="9"/>
  <c r="AG237" i="9"/>
  <c r="AH237" i="9"/>
  <c r="AI237" i="9"/>
  <c r="AF238" i="9"/>
  <c r="AG238" i="9"/>
  <c r="AH238" i="9"/>
  <c r="AI238" i="9"/>
  <c r="AF239" i="9"/>
  <c r="AG239" i="9"/>
  <c r="AH239" i="9"/>
  <c r="AI239" i="9"/>
  <c r="AF240" i="9"/>
  <c r="AG240" i="9"/>
  <c r="AH240" i="9"/>
  <c r="AI240" i="9"/>
  <c r="AF215" i="9"/>
  <c r="AG215" i="9"/>
  <c r="AH215" i="9"/>
  <c r="AI215" i="9"/>
  <c r="AF216" i="9"/>
  <c r="AG216" i="9"/>
  <c r="AH216" i="9"/>
  <c r="AI216" i="9"/>
  <c r="AF217" i="9"/>
  <c r="AG217" i="9"/>
  <c r="AH217" i="9"/>
  <c r="AI217" i="9"/>
  <c r="AF218" i="9"/>
  <c r="AG218" i="9"/>
  <c r="AH218" i="9"/>
  <c r="AI218" i="9"/>
  <c r="AF219" i="9"/>
  <c r="AG219" i="9"/>
  <c r="AH219" i="9"/>
  <c r="AI219" i="9"/>
  <c r="AF220" i="9"/>
  <c r="AG220" i="9"/>
  <c r="AH220" i="9"/>
  <c r="AI220" i="9"/>
  <c r="AF221" i="9"/>
  <c r="AG221" i="9"/>
  <c r="AH221" i="9"/>
  <c r="AI221" i="9"/>
  <c r="AF222" i="9"/>
  <c r="AG222" i="9"/>
  <c r="AH222" i="9"/>
  <c r="AI222" i="9"/>
  <c r="AF223" i="9"/>
  <c r="AG223" i="9"/>
  <c r="AH223" i="9"/>
  <c r="AI223" i="9"/>
  <c r="AF224" i="9"/>
  <c r="AG224" i="9"/>
  <c r="AH224" i="9"/>
  <c r="AI224" i="9"/>
  <c r="AF225" i="9"/>
  <c r="AG225" i="9"/>
  <c r="AH225" i="9"/>
  <c r="AI225" i="9"/>
  <c r="AF226" i="9"/>
  <c r="AG226" i="9"/>
  <c r="AH226" i="9"/>
  <c r="AI226" i="9"/>
  <c r="AF227" i="9"/>
  <c r="AG227" i="9"/>
  <c r="AH227" i="9"/>
  <c r="AI227" i="9"/>
  <c r="AF228" i="9"/>
  <c r="AG228" i="9"/>
  <c r="AH228" i="9"/>
  <c r="AI228" i="9"/>
  <c r="AF229" i="9"/>
  <c r="AG229" i="9"/>
  <c r="AH229" i="9"/>
  <c r="AI229" i="9"/>
  <c r="AF230" i="9"/>
  <c r="AG230" i="9"/>
  <c r="AH230" i="9"/>
  <c r="AI230" i="9"/>
  <c r="AF205" i="9"/>
  <c r="AG205" i="9"/>
  <c r="AH205" i="9"/>
  <c r="AI205" i="9"/>
  <c r="AF206" i="9"/>
  <c r="AG206" i="9"/>
  <c r="AH206" i="9"/>
  <c r="AI206" i="9"/>
  <c r="AF207" i="9"/>
  <c r="AG207" i="9"/>
  <c r="AH207" i="9"/>
  <c r="AI207" i="9"/>
  <c r="AF208" i="9"/>
  <c r="AG208" i="9"/>
  <c r="AH208" i="9"/>
  <c r="AI208" i="9"/>
  <c r="AF209" i="9"/>
  <c r="AG209" i="9"/>
  <c r="AH209" i="9"/>
  <c r="AI209" i="9"/>
  <c r="AF210" i="9"/>
  <c r="AG210" i="9"/>
  <c r="AH210" i="9"/>
  <c r="AI210" i="9"/>
  <c r="AF211" i="9"/>
  <c r="AG211" i="9"/>
  <c r="AH211" i="9"/>
  <c r="AI211" i="9"/>
  <c r="AF212" i="9"/>
  <c r="AG212" i="9"/>
  <c r="AH212" i="9"/>
  <c r="AI212" i="9"/>
  <c r="AF213" i="9"/>
  <c r="AG213" i="9"/>
  <c r="AH213" i="9"/>
  <c r="AI213" i="9"/>
  <c r="AF214" i="9"/>
  <c r="AG214" i="9"/>
  <c r="AH214" i="9"/>
  <c r="AI214" i="9"/>
  <c r="AF191" i="9"/>
  <c r="AG191" i="9"/>
  <c r="AH191" i="9"/>
  <c r="AI191" i="9"/>
  <c r="AF192" i="9"/>
  <c r="AG192" i="9"/>
  <c r="AH192" i="9"/>
  <c r="AI192" i="9"/>
  <c r="AF193" i="9"/>
  <c r="AG193" i="9"/>
  <c r="AH193" i="9"/>
  <c r="AI193" i="9"/>
  <c r="AF194" i="9"/>
  <c r="AG194" i="9"/>
  <c r="AH194" i="9"/>
  <c r="AI194" i="9"/>
  <c r="AF195" i="9"/>
  <c r="AG195" i="9"/>
  <c r="AH195" i="9"/>
  <c r="AI195" i="9"/>
  <c r="AF196" i="9"/>
  <c r="AG196" i="9"/>
  <c r="AH196" i="9"/>
  <c r="AI196" i="9"/>
  <c r="AF197" i="9"/>
  <c r="AG197" i="9"/>
  <c r="AH197" i="9"/>
  <c r="AI197" i="9"/>
  <c r="AF198" i="9"/>
  <c r="AG198" i="9"/>
  <c r="AH198" i="9"/>
  <c r="AI198" i="9"/>
  <c r="AF199" i="9"/>
  <c r="AG199" i="9"/>
  <c r="AH199" i="9"/>
  <c r="AI199" i="9"/>
  <c r="AF200" i="9"/>
  <c r="AG200" i="9"/>
  <c r="AH200" i="9"/>
  <c r="AI200" i="9"/>
  <c r="AF201" i="9"/>
  <c r="AG201" i="9"/>
  <c r="AH201" i="9"/>
  <c r="AI201" i="9"/>
  <c r="AF202" i="9"/>
  <c r="AG202" i="9"/>
  <c r="AH202" i="9"/>
  <c r="AI202" i="9"/>
  <c r="AF203" i="9"/>
  <c r="AG203" i="9"/>
  <c r="AH203" i="9"/>
  <c r="AI203" i="9"/>
  <c r="AF204" i="9"/>
  <c r="AG204" i="9"/>
  <c r="AH204" i="9"/>
  <c r="AI204" i="9"/>
  <c r="AF179" i="9"/>
  <c r="AG179" i="9"/>
  <c r="AH179" i="9"/>
  <c r="AI179" i="9"/>
  <c r="AF180" i="9"/>
  <c r="AG180" i="9"/>
  <c r="AH180" i="9"/>
  <c r="AI180" i="9"/>
  <c r="AF181" i="9"/>
  <c r="AG181" i="9"/>
  <c r="AH181" i="9"/>
  <c r="AI181" i="9"/>
  <c r="AF182" i="9"/>
  <c r="AG182" i="9"/>
  <c r="AH182" i="9"/>
  <c r="AI182" i="9"/>
  <c r="AF183" i="9"/>
  <c r="AG183" i="9"/>
  <c r="AH183" i="9"/>
  <c r="AI183" i="9"/>
  <c r="AF184" i="9"/>
  <c r="AG184" i="9"/>
  <c r="AH184" i="9"/>
  <c r="AI184" i="9"/>
  <c r="AF185" i="9"/>
  <c r="AG185" i="9"/>
  <c r="AH185" i="9"/>
  <c r="AI185" i="9"/>
  <c r="AF186" i="9"/>
  <c r="AG186" i="9"/>
  <c r="AH186" i="9"/>
  <c r="AI186" i="9"/>
  <c r="AF187" i="9"/>
  <c r="AG187" i="9"/>
  <c r="AH187" i="9"/>
  <c r="AI187" i="9"/>
  <c r="AF188" i="9"/>
  <c r="AG188" i="9"/>
  <c r="AH188" i="9"/>
  <c r="AI188" i="9"/>
  <c r="AF189" i="9"/>
  <c r="AG189" i="9"/>
  <c r="AH189" i="9"/>
  <c r="AI189" i="9"/>
  <c r="AF190" i="9"/>
  <c r="AG190" i="9"/>
  <c r="AH190" i="9"/>
  <c r="AI190" i="9"/>
  <c r="AF167" i="9"/>
  <c r="AG167" i="9"/>
  <c r="AH167" i="9"/>
  <c r="AI167" i="9"/>
  <c r="AF168" i="9"/>
  <c r="AG168" i="9"/>
  <c r="AH168" i="9"/>
  <c r="AI168" i="9"/>
  <c r="AF169" i="9"/>
  <c r="AG169" i="9"/>
  <c r="AH169" i="9"/>
  <c r="AI169" i="9"/>
  <c r="AF170" i="9"/>
  <c r="AG170" i="9"/>
  <c r="AH170" i="9"/>
  <c r="AI170" i="9"/>
  <c r="AF171" i="9"/>
  <c r="AG171" i="9"/>
  <c r="AH171" i="9"/>
  <c r="AI171" i="9"/>
  <c r="AF172" i="9"/>
  <c r="AG172" i="9"/>
  <c r="AH172" i="9"/>
  <c r="AI172" i="9"/>
  <c r="AF173" i="9"/>
  <c r="AG173" i="9"/>
  <c r="AH173" i="9"/>
  <c r="AI173" i="9"/>
  <c r="AF174" i="9"/>
  <c r="AG174" i="9"/>
  <c r="AH174" i="9"/>
  <c r="AI174" i="9"/>
  <c r="AF175" i="9"/>
  <c r="AG175" i="9"/>
  <c r="AH175" i="9"/>
  <c r="AI175" i="9"/>
  <c r="AF176" i="9"/>
  <c r="AG176" i="9"/>
  <c r="AH176" i="9"/>
  <c r="AI176" i="9"/>
  <c r="AF177" i="9"/>
  <c r="AG177" i="9"/>
  <c r="AH177" i="9"/>
  <c r="AI177" i="9"/>
  <c r="AF178" i="9"/>
  <c r="AG178" i="9"/>
  <c r="AH178" i="9"/>
  <c r="AI178" i="9"/>
  <c r="AF155" i="9"/>
  <c r="AG155" i="9"/>
  <c r="AH155" i="9"/>
  <c r="AI155" i="9"/>
  <c r="AF156" i="9"/>
  <c r="AG156" i="9"/>
  <c r="AH156" i="9"/>
  <c r="AI156" i="9"/>
  <c r="AF157" i="9"/>
  <c r="AG157" i="9"/>
  <c r="AH157" i="9"/>
  <c r="AI157" i="9"/>
  <c r="AF158" i="9"/>
  <c r="AG158" i="9"/>
  <c r="AH158" i="9"/>
  <c r="AI158" i="9"/>
  <c r="AF159" i="9"/>
  <c r="AG159" i="9"/>
  <c r="AH159" i="9"/>
  <c r="AI159" i="9"/>
  <c r="AF160" i="9"/>
  <c r="AG160" i="9"/>
  <c r="AH160" i="9"/>
  <c r="AI160" i="9"/>
  <c r="AF161" i="9"/>
  <c r="AG161" i="9"/>
  <c r="AH161" i="9"/>
  <c r="AI161" i="9"/>
  <c r="AF162" i="9"/>
  <c r="AG162" i="9"/>
  <c r="AH162" i="9"/>
  <c r="AI162" i="9"/>
  <c r="AF163" i="9"/>
  <c r="AG163" i="9"/>
  <c r="AH163" i="9"/>
  <c r="AI163" i="9"/>
  <c r="AF164" i="9"/>
  <c r="AG164" i="9"/>
  <c r="AH164" i="9"/>
  <c r="AI164" i="9"/>
  <c r="AF165" i="9"/>
  <c r="AG165" i="9"/>
  <c r="AH165" i="9"/>
  <c r="AI165" i="9"/>
  <c r="AF166" i="9"/>
  <c r="AG166" i="9"/>
  <c r="AH166" i="9"/>
  <c r="AI166" i="9"/>
  <c r="AF143" i="9"/>
  <c r="AG143" i="9"/>
  <c r="AH143" i="9"/>
  <c r="AI143" i="9"/>
  <c r="AF144" i="9"/>
  <c r="AG144" i="9"/>
  <c r="AH144" i="9"/>
  <c r="AI144" i="9"/>
  <c r="AF145" i="9"/>
  <c r="AG145" i="9"/>
  <c r="AH145" i="9"/>
  <c r="AI145" i="9"/>
  <c r="AF146" i="9"/>
  <c r="AG146" i="9"/>
  <c r="AH146" i="9"/>
  <c r="AI146" i="9"/>
  <c r="AF147" i="9"/>
  <c r="AG147" i="9"/>
  <c r="AH147" i="9"/>
  <c r="AI147" i="9"/>
  <c r="AF148" i="9"/>
  <c r="AG148" i="9"/>
  <c r="AH148" i="9"/>
  <c r="AI148" i="9"/>
  <c r="AF149" i="9"/>
  <c r="AG149" i="9"/>
  <c r="AH149" i="9"/>
  <c r="AI149" i="9"/>
  <c r="AF150" i="9"/>
  <c r="AG150" i="9"/>
  <c r="AH150" i="9"/>
  <c r="AI150" i="9"/>
  <c r="AF151" i="9"/>
  <c r="AG151" i="9"/>
  <c r="AH151" i="9"/>
  <c r="AI151" i="9"/>
  <c r="AF152" i="9"/>
  <c r="AG152" i="9"/>
  <c r="AH152" i="9"/>
  <c r="AI152" i="9"/>
  <c r="AF153" i="9"/>
  <c r="AG153" i="9"/>
  <c r="AH153" i="9"/>
  <c r="AI153" i="9"/>
  <c r="AF154" i="9"/>
  <c r="AG154" i="9"/>
  <c r="AH154" i="9"/>
  <c r="AI154" i="9"/>
  <c r="AF131" i="9"/>
  <c r="AG131" i="9"/>
  <c r="AH131" i="9"/>
  <c r="AI131" i="9"/>
  <c r="AF132" i="9"/>
  <c r="AG132" i="9"/>
  <c r="AH132" i="9"/>
  <c r="AI132" i="9"/>
  <c r="AF133" i="9"/>
  <c r="AG133" i="9"/>
  <c r="AH133" i="9"/>
  <c r="AI133" i="9"/>
  <c r="AF134" i="9"/>
  <c r="AG134" i="9"/>
  <c r="AH134" i="9"/>
  <c r="AI134" i="9"/>
  <c r="AF135" i="9"/>
  <c r="AG135" i="9"/>
  <c r="AH135" i="9"/>
  <c r="AI135" i="9"/>
  <c r="AF136" i="9"/>
  <c r="AG136" i="9"/>
  <c r="AH136" i="9"/>
  <c r="AI136" i="9"/>
  <c r="AF137" i="9"/>
  <c r="AG137" i="9"/>
  <c r="AH137" i="9"/>
  <c r="AI137" i="9"/>
  <c r="AF138" i="9"/>
  <c r="AG138" i="9"/>
  <c r="AH138" i="9"/>
  <c r="AI138" i="9"/>
  <c r="AF139" i="9"/>
  <c r="AG139" i="9"/>
  <c r="AH139" i="9"/>
  <c r="AI139" i="9"/>
  <c r="AF140" i="9"/>
  <c r="AG140" i="9"/>
  <c r="AH140" i="9"/>
  <c r="AI140" i="9"/>
  <c r="AF141" i="9"/>
  <c r="AG141" i="9"/>
  <c r="AH141" i="9"/>
  <c r="AI141" i="9"/>
  <c r="AF142" i="9"/>
  <c r="AG142" i="9"/>
  <c r="AH142" i="9"/>
  <c r="AI142" i="9"/>
  <c r="AF121" i="9"/>
  <c r="AG121" i="9"/>
  <c r="AH121" i="9"/>
  <c r="AI121" i="9"/>
  <c r="AF122" i="9"/>
  <c r="AG122" i="9"/>
  <c r="AH122" i="9"/>
  <c r="AI122" i="9"/>
  <c r="AF123" i="9"/>
  <c r="AG123" i="9"/>
  <c r="AH123" i="9"/>
  <c r="AI123" i="9"/>
  <c r="AF124" i="9"/>
  <c r="AG124" i="9"/>
  <c r="AH124" i="9"/>
  <c r="AI124" i="9"/>
  <c r="AF125" i="9"/>
  <c r="AG125" i="9"/>
  <c r="AH125" i="9"/>
  <c r="AI125" i="9"/>
  <c r="AF126" i="9"/>
  <c r="AG126" i="9"/>
  <c r="AH126" i="9"/>
  <c r="AI126" i="9"/>
  <c r="AF127" i="9"/>
  <c r="AG127" i="9"/>
  <c r="AH127" i="9"/>
  <c r="AI127" i="9"/>
  <c r="AF128" i="9"/>
  <c r="AG128" i="9"/>
  <c r="AH128" i="9"/>
  <c r="AI128" i="9"/>
  <c r="AF129" i="9"/>
  <c r="AG129" i="9"/>
  <c r="AH129" i="9"/>
  <c r="AI129" i="9"/>
  <c r="AF130" i="9"/>
  <c r="AG130" i="9"/>
  <c r="AH130" i="9"/>
  <c r="AI130" i="9"/>
  <c r="AF111" i="9"/>
  <c r="AG111" i="9"/>
  <c r="AH111" i="9"/>
  <c r="AI111" i="9"/>
  <c r="AF112" i="9"/>
  <c r="AG112" i="9"/>
  <c r="AH112" i="9"/>
  <c r="AI112" i="9"/>
  <c r="AF113" i="9"/>
  <c r="AG113" i="9"/>
  <c r="AH113" i="9"/>
  <c r="AI113" i="9"/>
  <c r="AF114" i="9"/>
  <c r="AG114" i="9"/>
  <c r="AH114" i="9"/>
  <c r="AI114" i="9"/>
  <c r="AF115" i="9"/>
  <c r="AG115" i="9"/>
  <c r="AH115" i="9"/>
  <c r="AI115" i="9"/>
  <c r="AF116" i="9"/>
  <c r="AG116" i="9"/>
  <c r="AH116" i="9"/>
  <c r="AI116" i="9"/>
  <c r="AF117" i="9"/>
  <c r="AG117" i="9"/>
  <c r="AH117" i="9"/>
  <c r="AI117" i="9"/>
  <c r="AF118" i="9"/>
  <c r="AG118" i="9"/>
  <c r="AH118" i="9"/>
  <c r="AI118" i="9"/>
  <c r="AF119" i="9"/>
  <c r="AG119" i="9"/>
  <c r="AH119" i="9"/>
  <c r="AI119" i="9"/>
  <c r="AF120" i="9"/>
  <c r="AG120" i="9"/>
  <c r="AH120" i="9"/>
  <c r="AI120" i="9"/>
  <c r="AF101" i="9"/>
  <c r="AG101" i="9"/>
  <c r="AH101" i="9"/>
  <c r="AI101" i="9"/>
  <c r="AF102" i="9"/>
  <c r="AG102" i="9"/>
  <c r="AH102" i="9"/>
  <c r="AI102" i="9"/>
  <c r="AF103" i="9"/>
  <c r="AG103" i="9"/>
  <c r="AH103" i="9"/>
  <c r="AI103" i="9"/>
  <c r="AF104" i="9"/>
  <c r="AG104" i="9"/>
  <c r="AH104" i="9"/>
  <c r="AI104" i="9"/>
  <c r="AF105" i="9"/>
  <c r="AG105" i="9"/>
  <c r="AH105" i="9"/>
  <c r="AI105" i="9"/>
  <c r="AF106" i="9"/>
  <c r="AG106" i="9"/>
  <c r="AH106" i="9"/>
  <c r="AI106" i="9"/>
  <c r="AF107" i="9"/>
  <c r="AG107" i="9"/>
  <c r="AH107" i="9"/>
  <c r="AI107" i="9"/>
  <c r="AF108" i="9"/>
  <c r="AG108" i="9"/>
  <c r="AH108" i="9"/>
  <c r="AI108" i="9"/>
  <c r="AF109" i="9"/>
  <c r="AG109" i="9"/>
  <c r="AH109" i="9"/>
  <c r="AI109" i="9"/>
  <c r="AF110" i="9"/>
  <c r="AG110" i="9"/>
  <c r="AH110" i="9"/>
  <c r="AI110" i="9"/>
  <c r="AF89" i="9"/>
  <c r="AG89" i="9"/>
  <c r="AH89" i="9"/>
  <c r="AI89" i="9"/>
  <c r="AF90" i="9"/>
  <c r="AG90" i="9"/>
  <c r="AH90" i="9"/>
  <c r="AI90" i="9"/>
  <c r="AF91" i="9"/>
  <c r="AG91" i="9"/>
  <c r="AH91" i="9"/>
  <c r="AI91" i="9"/>
  <c r="AF92" i="9"/>
  <c r="AG92" i="9"/>
  <c r="AH92" i="9"/>
  <c r="AI92" i="9"/>
  <c r="AF93" i="9"/>
  <c r="AG93" i="9"/>
  <c r="AH93" i="9"/>
  <c r="AI93" i="9"/>
  <c r="AF94" i="9"/>
  <c r="AG94" i="9"/>
  <c r="AH94" i="9"/>
  <c r="AI94" i="9"/>
  <c r="AF95" i="9"/>
  <c r="AG95" i="9"/>
  <c r="AH95" i="9"/>
  <c r="AI95" i="9"/>
  <c r="AF96" i="9"/>
  <c r="AG96" i="9"/>
  <c r="AH96" i="9"/>
  <c r="AI96" i="9"/>
  <c r="AF97" i="9"/>
  <c r="AG97" i="9"/>
  <c r="AH97" i="9"/>
  <c r="AI97" i="9"/>
  <c r="AF98" i="9"/>
  <c r="AG98" i="9"/>
  <c r="AH98" i="9"/>
  <c r="AI98" i="9"/>
  <c r="AF99" i="9"/>
  <c r="AG99" i="9"/>
  <c r="AH99" i="9"/>
  <c r="AI99" i="9"/>
  <c r="AF100" i="9"/>
  <c r="AG100" i="9"/>
  <c r="AH100" i="9"/>
  <c r="AI100" i="9"/>
  <c r="AF77" i="9"/>
  <c r="AG77" i="9"/>
  <c r="AH77" i="9"/>
  <c r="AI77" i="9"/>
  <c r="AF78" i="9"/>
  <c r="AG78" i="9"/>
  <c r="AH78" i="9"/>
  <c r="AI78" i="9"/>
  <c r="AF79" i="9"/>
  <c r="AG79" i="9"/>
  <c r="AH79" i="9"/>
  <c r="AI79" i="9"/>
  <c r="AF80" i="9"/>
  <c r="AG80" i="9"/>
  <c r="AH80" i="9"/>
  <c r="AI80" i="9"/>
  <c r="AF81" i="9"/>
  <c r="AG81" i="9"/>
  <c r="AH81" i="9"/>
  <c r="AI81" i="9"/>
  <c r="AF82" i="9"/>
  <c r="AG82" i="9"/>
  <c r="AH82" i="9"/>
  <c r="AI82" i="9"/>
  <c r="AF83" i="9"/>
  <c r="AG83" i="9"/>
  <c r="AH83" i="9"/>
  <c r="AI83" i="9"/>
  <c r="AF84" i="9"/>
  <c r="AG84" i="9"/>
  <c r="AH84" i="9"/>
  <c r="AI84" i="9"/>
  <c r="AF85" i="9"/>
  <c r="AG85" i="9"/>
  <c r="AH85" i="9"/>
  <c r="AI85" i="9"/>
  <c r="AF86" i="9"/>
  <c r="AG86" i="9"/>
  <c r="AH86" i="9"/>
  <c r="AI86" i="9"/>
  <c r="AF87" i="9"/>
  <c r="AG87" i="9"/>
  <c r="AH87" i="9"/>
  <c r="AI87" i="9"/>
  <c r="AF88" i="9"/>
  <c r="AG88" i="9"/>
  <c r="AH88" i="9"/>
  <c r="AI88" i="9"/>
  <c r="AF65" i="9"/>
  <c r="AG65" i="9"/>
  <c r="AH65" i="9"/>
  <c r="AI65" i="9"/>
  <c r="AF66" i="9"/>
  <c r="AG66" i="9"/>
  <c r="AH66" i="9"/>
  <c r="AI66" i="9"/>
  <c r="AF67" i="9"/>
  <c r="AG67" i="9"/>
  <c r="AH67" i="9"/>
  <c r="AI67" i="9"/>
  <c r="AF68" i="9"/>
  <c r="AG68" i="9"/>
  <c r="AH68" i="9"/>
  <c r="AI68" i="9"/>
  <c r="AF69" i="9"/>
  <c r="AG69" i="9"/>
  <c r="AH69" i="9"/>
  <c r="AI69" i="9"/>
  <c r="AF70" i="9"/>
  <c r="AG70" i="9"/>
  <c r="AH70" i="9"/>
  <c r="AI70" i="9"/>
  <c r="AF71" i="9"/>
  <c r="AG71" i="9"/>
  <c r="AH71" i="9"/>
  <c r="AI71" i="9"/>
  <c r="AF72" i="9"/>
  <c r="AG72" i="9"/>
  <c r="AH72" i="9"/>
  <c r="AI72" i="9"/>
  <c r="AF73" i="9"/>
  <c r="AG73" i="9"/>
  <c r="AH73" i="9"/>
  <c r="AI73" i="9"/>
  <c r="AF74" i="9"/>
  <c r="AG74" i="9"/>
  <c r="AH74" i="9"/>
  <c r="AI74" i="9"/>
  <c r="AF75" i="9"/>
  <c r="AG75" i="9"/>
  <c r="AH75" i="9"/>
  <c r="AI75" i="9"/>
  <c r="AF76" i="9"/>
  <c r="AG76" i="9"/>
  <c r="AH76" i="9"/>
  <c r="AI76" i="9"/>
  <c r="AF53" i="9"/>
  <c r="AG53" i="9"/>
  <c r="AH53" i="9"/>
  <c r="AI53" i="9"/>
  <c r="AF54" i="9"/>
  <c r="AG54" i="9"/>
  <c r="AH54" i="9"/>
  <c r="AI54" i="9"/>
  <c r="AF55" i="9"/>
  <c r="AG55" i="9"/>
  <c r="AH55" i="9"/>
  <c r="AI55" i="9"/>
  <c r="AF56" i="9"/>
  <c r="AG56" i="9"/>
  <c r="AH56" i="9"/>
  <c r="AI56" i="9"/>
  <c r="AF57" i="9"/>
  <c r="AG57" i="9"/>
  <c r="AH57" i="9"/>
  <c r="AI57" i="9"/>
  <c r="AF58" i="9"/>
  <c r="AG58" i="9"/>
  <c r="AH58" i="9"/>
  <c r="AI58" i="9"/>
  <c r="AF59" i="9"/>
  <c r="AG59" i="9"/>
  <c r="AH59" i="9"/>
  <c r="AI59" i="9"/>
  <c r="AF60" i="9"/>
  <c r="AG60" i="9"/>
  <c r="AH60" i="9"/>
  <c r="AI60" i="9"/>
  <c r="AF61" i="9"/>
  <c r="AG61" i="9"/>
  <c r="AH61" i="9"/>
  <c r="AI61" i="9"/>
  <c r="AF62" i="9"/>
  <c r="AG62" i="9"/>
  <c r="AH62" i="9"/>
  <c r="AI62" i="9"/>
  <c r="AF63" i="9"/>
  <c r="AG63" i="9"/>
  <c r="AH63" i="9"/>
  <c r="AI63" i="9"/>
  <c r="AF64" i="9"/>
  <c r="AG64" i="9"/>
  <c r="AH64" i="9"/>
  <c r="AI64" i="9"/>
  <c r="AF41" i="9"/>
  <c r="AG41" i="9"/>
  <c r="AH41" i="9"/>
  <c r="AI41" i="9"/>
  <c r="AF42" i="9"/>
  <c r="AG42" i="9"/>
  <c r="AH42" i="9"/>
  <c r="AI42" i="9"/>
  <c r="AF43" i="9"/>
  <c r="AG43" i="9"/>
  <c r="AH43" i="9"/>
  <c r="AI43" i="9"/>
  <c r="AF44" i="9"/>
  <c r="AG44" i="9"/>
  <c r="AH44" i="9"/>
  <c r="AI44" i="9"/>
  <c r="AF45" i="9"/>
  <c r="AG45" i="9"/>
  <c r="AH45" i="9"/>
  <c r="AI45" i="9"/>
  <c r="AF46" i="9"/>
  <c r="AG46" i="9"/>
  <c r="AH46" i="9"/>
  <c r="AI46" i="9"/>
  <c r="AF47" i="9"/>
  <c r="AG47" i="9"/>
  <c r="AH47" i="9"/>
  <c r="AI47" i="9"/>
  <c r="AF48" i="9"/>
  <c r="AG48" i="9"/>
  <c r="AH48" i="9"/>
  <c r="AI48" i="9"/>
  <c r="AF49" i="9"/>
  <c r="AG49" i="9"/>
  <c r="AH49" i="9"/>
  <c r="AI49" i="9"/>
  <c r="AF50" i="9"/>
  <c r="AG50" i="9"/>
  <c r="AH50" i="9"/>
  <c r="AI50" i="9"/>
  <c r="AF51" i="9"/>
  <c r="AG51" i="9"/>
  <c r="AH51" i="9"/>
  <c r="AI51" i="9"/>
  <c r="AF52" i="9"/>
  <c r="AG52" i="9"/>
  <c r="AH52" i="9"/>
  <c r="AI52" i="9"/>
  <c r="AF29" i="9"/>
  <c r="AG29" i="9"/>
  <c r="AH29" i="9"/>
  <c r="AI29" i="9"/>
  <c r="AF30" i="9"/>
  <c r="AG30" i="9"/>
  <c r="AH30" i="9"/>
  <c r="AI30" i="9"/>
  <c r="AF31" i="9"/>
  <c r="AG31" i="9"/>
  <c r="AH31" i="9"/>
  <c r="AI31" i="9"/>
  <c r="AF32" i="9"/>
  <c r="AG32" i="9"/>
  <c r="AH32" i="9"/>
  <c r="AI32" i="9"/>
  <c r="AF33" i="9"/>
  <c r="AG33" i="9"/>
  <c r="AH33" i="9"/>
  <c r="AI33" i="9"/>
  <c r="AF34" i="9"/>
  <c r="AG34" i="9"/>
  <c r="AH34" i="9"/>
  <c r="AI34" i="9"/>
  <c r="AF35" i="9"/>
  <c r="AG35" i="9"/>
  <c r="AH35" i="9"/>
  <c r="AI35" i="9"/>
  <c r="AF36" i="9"/>
  <c r="AG36" i="9"/>
  <c r="AH36" i="9"/>
  <c r="AI36" i="9"/>
  <c r="AF37" i="9"/>
  <c r="AG37" i="9"/>
  <c r="AH37" i="9"/>
  <c r="AI37" i="9"/>
  <c r="AF38" i="9"/>
  <c r="AG38" i="9"/>
  <c r="AH38" i="9"/>
  <c r="AI38" i="9"/>
  <c r="AF39" i="9"/>
  <c r="AG39" i="9"/>
  <c r="AH39" i="9"/>
  <c r="AI39" i="9"/>
  <c r="AF40" i="9"/>
  <c r="AG40" i="9"/>
  <c r="AH40" i="9"/>
  <c r="AI40" i="9"/>
  <c r="AF14" i="9"/>
  <c r="AG14" i="9"/>
  <c r="AH14" i="9"/>
  <c r="AI14" i="9"/>
  <c r="AF15" i="9"/>
  <c r="AG15" i="9"/>
  <c r="AH15" i="9"/>
  <c r="AI15" i="9"/>
  <c r="AF16" i="9"/>
  <c r="AG16" i="9"/>
  <c r="AH16" i="9"/>
  <c r="AI16" i="9"/>
  <c r="AF17" i="9"/>
  <c r="AG17" i="9"/>
  <c r="AH17" i="9"/>
  <c r="AI17" i="9"/>
  <c r="AF18" i="9"/>
  <c r="AG18" i="9"/>
  <c r="AH18" i="9"/>
  <c r="AI18" i="9"/>
  <c r="AF19" i="9"/>
  <c r="AG19" i="9"/>
  <c r="AH19" i="9"/>
  <c r="AI19" i="9"/>
  <c r="AF20" i="9"/>
  <c r="AG20" i="9"/>
  <c r="AH20" i="9"/>
  <c r="AI20" i="9"/>
  <c r="AF21" i="9"/>
  <c r="AG21" i="9"/>
  <c r="AH21" i="9"/>
  <c r="AI21" i="9"/>
  <c r="AF22" i="9"/>
  <c r="AG22" i="9"/>
  <c r="AH22" i="9"/>
  <c r="AI22" i="9"/>
  <c r="AF23" i="9"/>
  <c r="AG23" i="9"/>
  <c r="AH23" i="9"/>
  <c r="AI23" i="9"/>
  <c r="AF24" i="9"/>
  <c r="AG24" i="9"/>
  <c r="AH24" i="9"/>
  <c r="AI24" i="9"/>
  <c r="AF25" i="9"/>
  <c r="AG25" i="9"/>
  <c r="AH25" i="9"/>
  <c r="AI25" i="9"/>
  <c r="AF26" i="9"/>
  <c r="AG26" i="9"/>
  <c r="AH26" i="9"/>
  <c r="AI26" i="9"/>
  <c r="AF27" i="9"/>
  <c r="AG27" i="9"/>
  <c r="AH27" i="9"/>
  <c r="AI27" i="9"/>
  <c r="AF28" i="9"/>
  <c r="AG28" i="9"/>
  <c r="AH28" i="9"/>
  <c r="AI28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F2" i="9"/>
  <c r="AF3" i="9"/>
  <c r="AF4" i="9"/>
  <c r="AF5" i="9"/>
  <c r="AF6" i="9"/>
  <c r="AF7" i="9"/>
  <c r="AF8" i="9"/>
  <c r="AF9" i="9"/>
  <c r="AF10" i="9"/>
  <c r="AF11" i="9"/>
  <c r="AF12" i="9"/>
  <c r="AF13" i="9"/>
  <c r="Z321" i="10"/>
  <c r="AA321" i="10"/>
  <c r="AB321" i="10"/>
  <c r="AC321" i="10"/>
  <c r="Z322" i="10"/>
  <c r="AA322" i="10"/>
  <c r="AB322" i="10"/>
  <c r="AC322" i="10"/>
  <c r="Z323" i="10"/>
  <c r="AA323" i="10"/>
  <c r="AB323" i="10"/>
  <c r="AC323" i="10"/>
  <c r="Z324" i="10"/>
  <c r="AA324" i="10"/>
  <c r="AB324" i="10"/>
  <c r="AC324" i="10"/>
  <c r="Z325" i="10"/>
  <c r="AA325" i="10"/>
  <c r="AB325" i="10"/>
  <c r="AC325" i="10"/>
  <c r="Z326" i="10"/>
  <c r="AA326" i="10"/>
  <c r="AB326" i="10"/>
  <c r="AC326" i="10"/>
  <c r="Z327" i="10"/>
  <c r="AA327" i="10"/>
  <c r="AB327" i="10"/>
  <c r="AC327" i="10"/>
  <c r="Z328" i="10"/>
  <c r="AA328" i="10"/>
  <c r="AB328" i="10"/>
  <c r="AC328" i="10"/>
  <c r="Z329" i="10"/>
  <c r="AA329" i="10"/>
  <c r="AB329" i="10"/>
  <c r="AC329" i="10"/>
  <c r="Z330" i="10"/>
  <c r="AA330" i="10"/>
  <c r="AB330" i="10"/>
  <c r="AC330" i="10"/>
  <c r="Z309" i="10"/>
  <c r="AA309" i="10"/>
  <c r="AB309" i="10"/>
  <c r="AC309" i="10"/>
  <c r="Z310" i="10"/>
  <c r="AA310" i="10"/>
  <c r="AB310" i="10"/>
  <c r="AC310" i="10"/>
  <c r="Z311" i="10"/>
  <c r="AA311" i="10"/>
  <c r="AB311" i="10"/>
  <c r="AC311" i="10"/>
  <c r="Z312" i="10"/>
  <c r="AA312" i="10"/>
  <c r="AB312" i="10"/>
  <c r="AC312" i="10"/>
  <c r="Z313" i="10"/>
  <c r="AA313" i="10"/>
  <c r="AB313" i="10"/>
  <c r="AC313" i="10"/>
  <c r="Z314" i="10"/>
  <c r="AA314" i="10"/>
  <c r="AB314" i="10"/>
  <c r="AC314" i="10"/>
  <c r="Z315" i="10"/>
  <c r="AA315" i="10"/>
  <c r="AB315" i="10"/>
  <c r="AC315" i="10"/>
  <c r="Z316" i="10"/>
  <c r="AA316" i="10"/>
  <c r="AB316" i="10"/>
  <c r="AC316" i="10"/>
  <c r="Z317" i="10"/>
  <c r="AA317" i="10"/>
  <c r="AB317" i="10"/>
  <c r="AC317" i="10"/>
  <c r="Z318" i="10"/>
  <c r="AA318" i="10"/>
  <c r="AB318" i="10"/>
  <c r="AC318" i="10"/>
  <c r="Z319" i="10"/>
  <c r="AA319" i="10"/>
  <c r="AB319" i="10"/>
  <c r="AC319" i="10"/>
  <c r="Z320" i="10"/>
  <c r="AA320" i="10"/>
  <c r="AB320" i="10"/>
  <c r="AC320" i="10"/>
  <c r="Z297" i="10"/>
  <c r="AA297" i="10"/>
  <c r="AB297" i="10"/>
  <c r="AC297" i="10"/>
  <c r="Z298" i="10"/>
  <c r="AA298" i="10"/>
  <c r="AB298" i="10"/>
  <c r="AC298" i="10"/>
  <c r="Z299" i="10"/>
  <c r="AA299" i="10"/>
  <c r="AB299" i="10"/>
  <c r="AC299" i="10"/>
  <c r="Z300" i="10"/>
  <c r="AA300" i="10"/>
  <c r="AB300" i="10"/>
  <c r="AC300" i="10"/>
  <c r="Z301" i="10"/>
  <c r="AA301" i="10"/>
  <c r="AB301" i="10"/>
  <c r="AC301" i="10"/>
  <c r="Z302" i="10"/>
  <c r="AA302" i="10"/>
  <c r="AB302" i="10"/>
  <c r="AC302" i="10"/>
  <c r="Z303" i="10"/>
  <c r="AA303" i="10"/>
  <c r="AB303" i="10"/>
  <c r="AC303" i="10"/>
  <c r="Z304" i="10"/>
  <c r="AA304" i="10"/>
  <c r="AB304" i="10"/>
  <c r="AC304" i="10"/>
  <c r="Z305" i="10"/>
  <c r="AA305" i="10"/>
  <c r="AB305" i="10"/>
  <c r="AC305" i="10"/>
  <c r="Z306" i="10"/>
  <c r="AA306" i="10"/>
  <c r="AB306" i="10"/>
  <c r="AC306" i="10"/>
  <c r="Z307" i="10"/>
  <c r="AA307" i="10"/>
  <c r="AB307" i="10"/>
  <c r="AC307" i="10"/>
  <c r="Z308" i="10"/>
  <c r="AA308" i="10"/>
  <c r="AB308" i="10"/>
  <c r="AC308" i="10"/>
  <c r="Z285" i="10"/>
  <c r="AA285" i="10"/>
  <c r="AB285" i="10"/>
  <c r="AC285" i="10"/>
  <c r="Z286" i="10"/>
  <c r="AA286" i="10"/>
  <c r="AB286" i="10"/>
  <c r="AC286" i="10"/>
  <c r="Z287" i="10"/>
  <c r="AA287" i="10"/>
  <c r="AB287" i="10"/>
  <c r="AC287" i="10"/>
  <c r="Z288" i="10"/>
  <c r="AA288" i="10"/>
  <c r="AB288" i="10"/>
  <c r="AC288" i="10"/>
  <c r="Z289" i="10"/>
  <c r="AA289" i="10"/>
  <c r="AB289" i="10"/>
  <c r="AC289" i="10"/>
  <c r="Z290" i="10"/>
  <c r="AA290" i="10"/>
  <c r="AB290" i="10"/>
  <c r="AC290" i="10"/>
  <c r="Z291" i="10"/>
  <c r="AA291" i="10"/>
  <c r="AB291" i="10"/>
  <c r="AC291" i="10"/>
  <c r="Z292" i="10"/>
  <c r="AA292" i="10"/>
  <c r="AB292" i="10"/>
  <c r="AC292" i="10"/>
  <c r="Z293" i="10"/>
  <c r="AA293" i="10"/>
  <c r="AB293" i="10"/>
  <c r="AC293" i="10"/>
  <c r="Z294" i="10"/>
  <c r="AA294" i="10"/>
  <c r="AB294" i="10"/>
  <c r="AC294" i="10"/>
  <c r="Z295" i="10"/>
  <c r="AA295" i="10"/>
  <c r="AB295" i="10"/>
  <c r="AC295" i="10"/>
  <c r="Z296" i="10"/>
  <c r="AA296" i="10"/>
  <c r="AB296" i="10"/>
  <c r="AC296" i="10"/>
  <c r="Z271" i="10"/>
  <c r="AA271" i="10"/>
  <c r="AB271" i="10"/>
  <c r="AC271" i="10"/>
  <c r="Z272" i="10"/>
  <c r="AA272" i="10"/>
  <c r="AB272" i="10"/>
  <c r="AC272" i="10"/>
  <c r="Z273" i="10"/>
  <c r="AA273" i="10"/>
  <c r="AB273" i="10"/>
  <c r="AC273" i="10"/>
  <c r="Z274" i="10"/>
  <c r="AA274" i="10"/>
  <c r="AB274" i="10"/>
  <c r="AC274" i="10"/>
  <c r="Z275" i="10"/>
  <c r="AA275" i="10"/>
  <c r="AB275" i="10"/>
  <c r="AC275" i="10"/>
  <c r="Z276" i="10"/>
  <c r="AA276" i="10"/>
  <c r="AB276" i="10"/>
  <c r="AC276" i="10"/>
  <c r="Z277" i="10"/>
  <c r="AA277" i="10"/>
  <c r="AB277" i="10"/>
  <c r="AC277" i="10"/>
  <c r="Z278" i="10"/>
  <c r="AA278" i="10"/>
  <c r="AB278" i="10"/>
  <c r="AC278" i="10"/>
  <c r="Z279" i="10"/>
  <c r="AA279" i="10"/>
  <c r="AB279" i="10"/>
  <c r="AC279" i="10"/>
  <c r="Z280" i="10"/>
  <c r="AA280" i="10"/>
  <c r="AB280" i="10"/>
  <c r="AC280" i="10"/>
  <c r="Z281" i="10"/>
  <c r="AA281" i="10"/>
  <c r="AB281" i="10"/>
  <c r="AC281" i="10"/>
  <c r="Z282" i="10"/>
  <c r="AA282" i="10"/>
  <c r="AB282" i="10"/>
  <c r="AC282" i="10"/>
  <c r="Z283" i="10"/>
  <c r="AA283" i="10"/>
  <c r="AB283" i="10"/>
  <c r="AC283" i="10"/>
  <c r="Z284" i="10"/>
  <c r="AA284" i="10"/>
  <c r="AB284" i="10"/>
  <c r="AC284" i="10"/>
  <c r="Z261" i="10"/>
  <c r="AA261" i="10"/>
  <c r="AB261" i="10"/>
  <c r="AC261" i="10"/>
  <c r="Z262" i="10"/>
  <c r="AA262" i="10"/>
  <c r="AB262" i="10"/>
  <c r="AC262" i="10"/>
  <c r="Z263" i="10"/>
  <c r="AA263" i="10"/>
  <c r="AB263" i="10"/>
  <c r="AC263" i="10"/>
  <c r="Z264" i="10"/>
  <c r="AA264" i="10"/>
  <c r="AB264" i="10"/>
  <c r="AC264" i="10"/>
  <c r="Z265" i="10"/>
  <c r="AA265" i="10"/>
  <c r="AB265" i="10"/>
  <c r="AC265" i="10"/>
  <c r="Z266" i="10"/>
  <c r="AA266" i="10"/>
  <c r="AB266" i="10"/>
  <c r="AC266" i="10"/>
  <c r="Z267" i="10"/>
  <c r="AA267" i="10"/>
  <c r="AB267" i="10"/>
  <c r="AC267" i="10"/>
  <c r="Z268" i="10"/>
  <c r="AA268" i="10"/>
  <c r="AB268" i="10"/>
  <c r="AC268" i="10"/>
  <c r="Z269" i="10"/>
  <c r="AA269" i="10"/>
  <c r="AB269" i="10"/>
  <c r="AC269" i="10"/>
  <c r="Z270" i="10"/>
  <c r="AA270" i="10"/>
  <c r="AB270" i="10"/>
  <c r="AC270" i="10"/>
  <c r="Z249" i="10"/>
  <c r="AA249" i="10"/>
  <c r="AB249" i="10"/>
  <c r="AC249" i="10"/>
  <c r="Z250" i="10"/>
  <c r="AA250" i="10"/>
  <c r="AB250" i="10"/>
  <c r="AC250" i="10"/>
  <c r="Z251" i="10"/>
  <c r="AA251" i="10"/>
  <c r="AB251" i="10"/>
  <c r="AC251" i="10"/>
  <c r="Z252" i="10"/>
  <c r="AA252" i="10"/>
  <c r="AB252" i="10"/>
  <c r="AC252" i="10"/>
  <c r="Z253" i="10"/>
  <c r="AA253" i="10"/>
  <c r="AB253" i="10"/>
  <c r="AC253" i="10"/>
  <c r="Z254" i="10"/>
  <c r="AA254" i="10"/>
  <c r="AB254" i="10"/>
  <c r="AC254" i="10"/>
  <c r="Z255" i="10"/>
  <c r="AA255" i="10"/>
  <c r="AB255" i="10"/>
  <c r="AC255" i="10"/>
  <c r="Z256" i="10"/>
  <c r="AA256" i="10"/>
  <c r="AB256" i="10"/>
  <c r="AC256" i="10"/>
  <c r="Z257" i="10"/>
  <c r="AA257" i="10"/>
  <c r="AB257" i="10"/>
  <c r="AC257" i="10"/>
  <c r="Z258" i="10"/>
  <c r="AA258" i="10"/>
  <c r="AB258" i="10"/>
  <c r="AC258" i="10"/>
  <c r="Z259" i="10"/>
  <c r="AA259" i="10"/>
  <c r="AB259" i="10"/>
  <c r="AC259" i="10"/>
  <c r="Z260" i="10"/>
  <c r="AA260" i="10"/>
  <c r="AB260" i="10"/>
  <c r="AC260" i="10"/>
  <c r="Z239" i="10"/>
  <c r="AA239" i="10"/>
  <c r="AB239" i="10"/>
  <c r="AC239" i="10"/>
  <c r="Z240" i="10"/>
  <c r="AA240" i="10"/>
  <c r="AB240" i="10"/>
  <c r="AC240" i="10"/>
  <c r="Z241" i="10"/>
  <c r="AA241" i="10"/>
  <c r="AB241" i="10"/>
  <c r="AC241" i="10"/>
  <c r="Z242" i="10"/>
  <c r="AA242" i="10"/>
  <c r="AB242" i="10"/>
  <c r="AC242" i="10"/>
  <c r="Z243" i="10"/>
  <c r="AA243" i="10"/>
  <c r="AB243" i="10"/>
  <c r="AC243" i="10"/>
  <c r="Z244" i="10"/>
  <c r="AA244" i="10"/>
  <c r="AB244" i="10"/>
  <c r="AC244" i="10"/>
  <c r="Z245" i="10"/>
  <c r="AA245" i="10"/>
  <c r="AB245" i="10"/>
  <c r="AC245" i="10"/>
  <c r="Z246" i="10"/>
  <c r="AA246" i="10"/>
  <c r="AB246" i="10"/>
  <c r="AC246" i="10"/>
  <c r="Z247" i="10"/>
  <c r="AA247" i="10"/>
  <c r="AB247" i="10"/>
  <c r="AC247" i="10"/>
  <c r="Z248" i="10"/>
  <c r="AA248" i="10"/>
  <c r="AB248" i="10"/>
  <c r="AC248" i="10"/>
  <c r="Z227" i="10"/>
  <c r="AA227" i="10"/>
  <c r="AB227" i="10"/>
  <c r="AC227" i="10"/>
  <c r="Z228" i="10"/>
  <c r="AA228" i="10"/>
  <c r="AB228" i="10"/>
  <c r="AC228" i="10"/>
  <c r="Z229" i="10"/>
  <c r="AA229" i="10"/>
  <c r="AB229" i="10"/>
  <c r="AC229" i="10"/>
  <c r="Z230" i="10"/>
  <c r="AA230" i="10"/>
  <c r="AB230" i="10"/>
  <c r="AC230" i="10"/>
  <c r="Z231" i="10"/>
  <c r="AA231" i="10"/>
  <c r="AB231" i="10"/>
  <c r="AC231" i="10"/>
  <c r="Z232" i="10"/>
  <c r="AA232" i="10"/>
  <c r="AB232" i="10"/>
  <c r="AC232" i="10"/>
  <c r="Z233" i="10"/>
  <c r="AA233" i="10"/>
  <c r="AB233" i="10"/>
  <c r="AC233" i="10"/>
  <c r="Z234" i="10"/>
  <c r="AA234" i="10"/>
  <c r="AB234" i="10"/>
  <c r="AC234" i="10"/>
  <c r="Z235" i="10"/>
  <c r="AA235" i="10"/>
  <c r="AB235" i="10"/>
  <c r="AC235" i="10"/>
  <c r="Z236" i="10"/>
  <c r="AA236" i="10"/>
  <c r="AB236" i="10"/>
  <c r="AC236" i="10"/>
  <c r="Z237" i="10"/>
  <c r="AA237" i="10"/>
  <c r="AB237" i="10"/>
  <c r="AC237" i="10"/>
  <c r="Z238" i="10"/>
  <c r="AA238" i="10"/>
  <c r="AB238" i="10"/>
  <c r="AC238" i="10"/>
  <c r="Z215" i="10"/>
  <c r="AA215" i="10"/>
  <c r="AB215" i="10"/>
  <c r="AC215" i="10"/>
  <c r="Z216" i="10"/>
  <c r="AA216" i="10"/>
  <c r="AB216" i="10"/>
  <c r="AC216" i="10"/>
  <c r="Z217" i="10"/>
  <c r="AA217" i="10"/>
  <c r="AB217" i="10"/>
  <c r="AC217" i="10"/>
  <c r="Z218" i="10"/>
  <c r="AA218" i="10"/>
  <c r="AB218" i="10"/>
  <c r="AC218" i="10"/>
  <c r="Z219" i="10"/>
  <c r="AA219" i="10"/>
  <c r="AB219" i="10"/>
  <c r="AC219" i="10"/>
  <c r="Z220" i="10"/>
  <c r="AA220" i="10"/>
  <c r="AB220" i="10"/>
  <c r="AC220" i="10"/>
  <c r="Z221" i="10"/>
  <c r="AA221" i="10"/>
  <c r="AB221" i="10"/>
  <c r="AC221" i="10"/>
  <c r="Z222" i="10"/>
  <c r="AA222" i="10"/>
  <c r="AB222" i="10"/>
  <c r="AC222" i="10"/>
  <c r="Z223" i="10"/>
  <c r="AA223" i="10"/>
  <c r="AB223" i="10"/>
  <c r="AC223" i="10"/>
  <c r="Z224" i="10"/>
  <c r="AA224" i="10"/>
  <c r="AB224" i="10"/>
  <c r="AC224" i="10"/>
  <c r="Z225" i="10"/>
  <c r="AA225" i="10"/>
  <c r="AB225" i="10"/>
  <c r="AC225" i="10"/>
  <c r="Z226" i="10"/>
  <c r="AA226" i="10"/>
  <c r="AB226" i="10"/>
  <c r="AC226" i="10"/>
  <c r="Z203" i="10"/>
  <c r="AA203" i="10"/>
  <c r="AB203" i="10"/>
  <c r="AC203" i="10"/>
  <c r="Z204" i="10"/>
  <c r="AA204" i="10"/>
  <c r="AB204" i="10"/>
  <c r="AC204" i="10"/>
  <c r="Z205" i="10"/>
  <c r="AA205" i="10"/>
  <c r="AB205" i="10"/>
  <c r="AC205" i="10"/>
  <c r="Z206" i="10"/>
  <c r="AA206" i="10"/>
  <c r="AB206" i="10"/>
  <c r="AC206" i="10"/>
  <c r="Z207" i="10"/>
  <c r="AA207" i="10"/>
  <c r="AB207" i="10"/>
  <c r="AC207" i="10"/>
  <c r="Z208" i="10"/>
  <c r="AA208" i="10"/>
  <c r="AB208" i="10"/>
  <c r="AC208" i="10"/>
  <c r="Z209" i="10"/>
  <c r="AA209" i="10"/>
  <c r="AB209" i="10"/>
  <c r="AC209" i="10"/>
  <c r="Z210" i="10"/>
  <c r="AA210" i="10"/>
  <c r="AB210" i="10"/>
  <c r="AC210" i="10"/>
  <c r="Z211" i="10"/>
  <c r="AA211" i="10"/>
  <c r="AB211" i="10"/>
  <c r="AC211" i="10"/>
  <c r="Z212" i="10"/>
  <c r="AA212" i="10"/>
  <c r="AB212" i="10"/>
  <c r="AC212" i="10"/>
  <c r="Z213" i="10"/>
  <c r="AA213" i="10"/>
  <c r="AB213" i="10"/>
  <c r="AC213" i="10"/>
  <c r="Z214" i="10"/>
  <c r="AA214" i="10"/>
  <c r="AB214" i="10"/>
  <c r="AC214" i="10"/>
  <c r="Z191" i="10"/>
  <c r="AA191" i="10"/>
  <c r="AB191" i="10"/>
  <c r="AC191" i="10"/>
  <c r="Z192" i="10"/>
  <c r="AA192" i="10"/>
  <c r="AB192" i="10"/>
  <c r="AC192" i="10"/>
  <c r="Z193" i="10"/>
  <c r="AA193" i="10"/>
  <c r="AB193" i="10"/>
  <c r="AC193" i="10"/>
  <c r="Z194" i="10"/>
  <c r="AA194" i="10"/>
  <c r="AB194" i="10"/>
  <c r="AC194" i="10"/>
  <c r="Z195" i="10"/>
  <c r="AA195" i="10"/>
  <c r="AB195" i="10"/>
  <c r="AC195" i="10"/>
  <c r="Z196" i="10"/>
  <c r="AA196" i="10"/>
  <c r="AB196" i="10"/>
  <c r="AC196" i="10"/>
  <c r="Z197" i="10"/>
  <c r="AA197" i="10"/>
  <c r="AB197" i="10"/>
  <c r="AC197" i="10"/>
  <c r="Z198" i="10"/>
  <c r="AA198" i="10"/>
  <c r="AB198" i="10"/>
  <c r="AC198" i="10"/>
  <c r="Z199" i="10"/>
  <c r="AA199" i="10"/>
  <c r="AB199" i="10"/>
  <c r="AC199" i="10"/>
  <c r="Z200" i="10"/>
  <c r="AA200" i="10"/>
  <c r="AB200" i="10"/>
  <c r="AC200" i="10"/>
  <c r="Z201" i="10"/>
  <c r="AA201" i="10"/>
  <c r="AB201" i="10"/>
  <c r="AC201" i="10"/>
  <c r="Z202" i="10"/>
  <c r="AA202" i="10"/>
  <c r="AB202" i="10"/>
  <c r="AC202" i="10"/>
  <c r="Z179" i="10"/>
  <c r="AA179" i="10"/>
  <c r="AB179" i="10"/>
  <c r="AC179" i="10"/>
  <c r="Z180" i="10"/>
  <c r="AA180" i="10"/>
  <c r="AB180" i="10"/>
  <c r="AC180" i="10"/>
  <c r="Z181" i="10"/>
  <c r="AA181" i="10"/>
  <c r="AB181" i="10"/>
  <c r="AC181" i="10"/>
  <c r="Z182" i="10"/>
  <c r="AA182" i="10"/>
  <c r="AB182" i="10"/>
  <c r="AC182" i="10"/>
  <c r="Z183" i="10"/>
  <c r="AA183" i="10"/>
  <c r="AB183" i="10"/>
  <c r="AC183" i="10"/>
  <c r="Z184" i="10"/>
  <c r="AA184" i="10"/>
  <c r="AB184" i="10"/>
  <c r="AC184" i="10"/>
  <c r="Z185" i="10"/>
  <c r="AA185" i="10"/>
  <c r="AB185" i="10"/>
  <c r="AC185" i="10"/>
  <c r="Z186" i="10"/>
  <c r="AA186" i="10"/>
  <c r="AB186" i="10"/>
  <c r="AC186" i="10"/>
  <c r="Z187" i="10"/>
  <c r="AA187" i="10"/>
  <c r="AB187" i="10"/>
  <c r="AC187" i="10"/>
  <c r="Z188" i="10"/>
  <c r="AA188" i="10"/>
  <c r="AB188" i="10"/>
  <c r="AC188" i="10"/>
  <c r="Z189" i="10"/>
  <c r="AA189" i="10"/>
  <c r="AB189" i="10"/>
  <c r="AC189" i="10"/>
  <c r="Z190" i="10"/>
  <c r="AA190" i="10"/>
  <c r="AB190" i="10"/>
  <c r="AC190" i="10"/>
  <c r="Z167" i="10"/>
  <c r="AA167" i="10"/>
  <c r="AB167" i="10"/>
  <c r="AC167" i="10"/>
  <c r="Z168" i="10"/>
  <c r="AA168" i="10"/>
  <c r="AB168" i="10"/>
  <c r="AC168" i="10"/>
  <c r="Z169" i="10"/>
  <c r="AA169" i="10"/>
  <c r="AB169" i="10"/>
  <c r="AC169" i="10"/>
  <c r="Z170" i="10"/>
  <c r="AA170" i="10"/>
  <c r="AB170" i="10"/>
  <c r="AC170" i="10"/>
  <c r="Z171" i="10"/>
  <c r="AA171" i="10"/>
  <c r="AB171" i="10"/>
  <c r="AC171" i="10"/>
  <c r="Z172" i="10"/>
  <c r="AA172" i="10"/>
  <c r="AB172" i="10"/>
  <c r="AC172" i="10"/>
  <c r="Z173" i="10"/>
  <c r="AA173" i="10"/>
  <c r="AB173" i="10"/>
  <c r="AC173" i="10"/>
  <c r="Z174" i="10"/>
  <c r="AA174" i="10"/>
  <c r="AB174" i="10"/>
  <c r="AC174" i="10"/>
  <c r="Z175" i="10"/>
  <c r="AA175" i="10"/>
  <c r="AB175" i="10"/>
  <c r="AC175" i="10"/>
  <c r="Z176" i="10"/>
  <c r="AA176" i="10"/>
  <c r="AB176" i="10"/>
  <c r="AC176" i="10"/>
  <c r="Z177" i="10"/>
  <c r="AA177" i="10"/>
  <c r="AB177" i="10"/>
  <c r="AC177" i="10"/>
  <c r="Z178" i="10"/>
  <c r="AA178" i="10"/>
  <c r="AB178" i="10"/>
  <c r="AC178" i="10"/>
  <c r="Z155" i="10"/>
  <c r="AA155" i="10"/>
  <c r="AB155" i="10"/>
  <c r="AC155" i="10"/>
  <c r="Z156" i="10"/>
  <c r="AA156" i="10"/>
  <c r="AB156" i="10"/>
  <c r="AC156" i="10"/>
  <c r="Z157" i="10"/>
  <c r="AA157" i="10"/>
  <c r="AB157" i="10"/>
  <c r="AC157" i="10"/>
  <c r="Z158" i="10"/>
  <c r="AA158" i="10"/>
  <c r="AB158" i="10"/>
  <c r="AC158" i="10"/>
  <c r="Z159" i="10"/>
  <c r="AA159" i="10"/>
  <c r="AB159" i="10"/>
  <c r="AC159" i="10"/>
  <c r="Z160" i="10"/>
  <c r="AA160" i="10"/>
  <c r="AB160" i="10"/>
  <c r="AC160" i="10"/>
  <c r="Z161" i="10"/>
  <c r="AA161" i="10"/>
  <c r="AB161" i="10"/>
  <c r="AC161" i="10"/>
  <c r="Z162" i="10"/>
  <c r="AA162" i="10"/>
  <c r="AB162" i="10"/>
  <c r="AC162" i="10"/>
  <c r="Z163" i="10"/>
  <c r="AA163" i="10"/>
  <c r="AB163" i="10"/>
  <c r="AC163" i="10"/>
  <c r="Z164" i="10"/>
  <c r="AA164" i="10"/>
  <c r="AB164" i="10"/>
  <c r="AC164" i="10"/>
  <c r="Z165" i="10"/>
  <c r="AA165" i="10"/>
  <c r="AB165" i="10"/>
  <c r="AC165" i="10"/>
  <c r="Z166" i="10"/>
  <c r="AA166" i="10"/>
  <c r="AB166" i="10"/>
  <c r="AC166" i="10"/>
  <c r="Z141" i="10"/>
  <c r="AA141" i="10"/>
  <c r="AB141" i="10"/>
  <c r="AC141" i="10"/>
  <c r="Z142" i="10"/>
  <c r="AA142" i="10"/>
  <c r="AB142" i="10"/>
  <c r="AC142" i="10"/>
  <c r="Z143" i="10"/>
  <c r="AA143" i="10"/>
  <c r="AB143" i="10"/>
  <c r="AC143" i="10"/>
  <c r="Z144" i="10"/>
  <c r="AA144" i="10"/>
  <c r="AB144" i="10"/>
  <c r="AC144" i="10"/>
  <c r="Z145" i="10"/>
  <c r="AA145" i="10"/>
  <c r="AB145" i="10"/>
  <c r="AC145" i="10"/>
  <c r="Z146" i="10"/>
  <c r="AA146" i="10"/>
  <c r="AB146" i="10"/>
  <c r="AC146" i="10"/>
  <c r="Z147" i="10"/>
  <c r="AA147" i="10"/>
  <c r="AB147" i="10"/>
  <c r="AC147" i="10"/>
  <c r="Z148" i="10"/>
  <c r="AA148" i="10"/>
  <c r="AB148" i="10"/>
  <c r="AC148" i="10"/>
  <c r="Z149" i="10"/>
  <c r="AA149" i="10"/>
  <c r="AB149" i="10"/>
  <c r="AC149" i="10"/>
  <c r="Z150" i="10"/>
  <c r="AA150" i="10"/>
  <c r="AB150" i="10"/>
  <c r="AC150" i="10"/>
  <c r="Z151" i="10"/>
  <c r="AA151" i="10"/>
  <c r="AB151" i="10"/>
  <c r="AC151" i="10"/>
  <c r="Z152" i="10"/>
  <c r="AA152" i="10"/>
  <c r="AB152" i="10"/>
  <c r="AC152" i="10"/>
  <c r="Z153" i="10"/>
  <c r="AA153" i="10"/>
  <c r="AB153" i="10"/>
  <c r="AC153" i="10"/>
  <c r="Z154" i="10"/>
  <c r="AA154" i="10"/>
  <c r="AB154" i="10"/>
  <c r="AC154" i="10"/>
  <c r="Z129" i="10"/>
  <c r="AA129" i="10"/>
  <c r="AB129" i="10"/>
  <c r="AC129" i="10"/>
  <c r="Z130" i="10"/>
  <c r="AA130" i="10"/>
  <c r="AB130" i="10"/>
  <c r="AC130" i="10"/>
  <c r="Z131" i="10"/>
  <c r="AA131" i="10"/>
  <c r="AB131" i="10"/>
  <c r="AC131" i="10"/>
  <c r="Z132" i="10"/>
  <c r="AA132" i="10"/>
  <c r="AB132" i="10"/>
  <c r="AC132" i="10"/>
  <c r="Z133" i="10"/>
  <c r="AA133" i="10"/>
  <c r="AB133" i="10"/>
  <c r="AC133" i="10"/>
  <c r="Z134" i="10"/>
  <c r="AA134" i="10"/>
  <c r="AB134" i="10"/>
  <c r="AC134" i="10"/>
  <c r="Z135" i="10"/>
  <c r="AA135" i="10"/>
  <c r="AB135" i="10"/>
  <c r="AC135" i="10"/>
  <c r="Z136" i="10"/>
  <c r="AA136" i="10"/>
  <c r="AB136" i="10"/>
  <c r="AC136" i="10"/>
  <c r="Z137" i="10"/>
  <c r="AA137" i="10"/>
  <c r="AB137" i="10"/>
  <c r="AC137" i="10"/>
  <c r="Z138" i="10"/>
  <c r="AA138" i="10"/>
  <c r="AB138" i="10"/>
  <c r="AC138" i="10"/>
  <c r="Z139" i="10"/>
  <c r="AA139" i="10"/>
  <c r="AB139" i="10"/>
  <c r="AC139" i="10"/>
  <c r="Z140" i="10"/>
  <c r="AA140" i="10"/>
  <c r="AB140" i="10"/>
  <c r="AC140" i="10"/>
  <c r="Z113" i="10"/>
  <c r="AA113" i="10"/>
  <c r="AB113" i="10"/>
  <c r="AC113" i="10"/>
  <c r="Z114" i="10"/>
  <c r="AA114" i="10"/>
  <c r="AB114" i="10"/>
  <c r="AC114" i="10"/>
  <c r="Z115" i="10"/>
  <c r="AA115" i="10"/>
  <c r="AB115" i="10"/>
  <c r="AC115" i="10"/>
  <c r="Z116" i="10"/>
  <c r="AA116" i="10"/>
  <c r="AB116" i="10"/>
  <c r="AC116" i="10"/>
  <c r="Z117" i="10"/>
  <c r="AA117" i="10"/>
  <c r="AB117" i="10"/>
  <c r="AC117" i="10"/>
  <c r="Z118" i="10"/>
  <c r="AA118" i="10"/>
  <c r="AB118" i="10"/>
  <c r="AC118" i="10"/>
  <c r="Z119" i="10"/>
  <c r="AA119" i="10"/>
  <c r="AB119" i="10"/>
  <c r="AC119" i="10"/>
  <c r="Z120" i="10"/>
  <c r="AA120" i="10"/>
  <c r="AB120" i="10"/>
  <c r="AC120" i="10"/>
  <c r="Z121" i="10"/>
  <c r="AA121" i="10"/>
  <c r="AB121" i="10"/>
  <c r="AC121" i="10"/>
  <c r="Z122" i="10"/>
  <c r="AA122" i="10"/>
  <c r="AB122" i="10"/>
  <c r="AC122" i="10"/>
  <c r="Z123" i="10"/>
  <c r="AA123" i="10"/>
  <c r="AB123" i="10"/>
  <c r="AC123" i="10"/>
  <c r="Z124" i="10"/>
  <c r="AA124" i="10"/>
  <c r="AB124" i="10"/>
  <c r="AC124" i="10"/>
  <c r="Z125" i="10"/>
  <c r="AA125" i="10"/>
  <c r="AB125" i="10"/>
  <c r="AC125" i="10"/>
  <c r="Z126" i="10"/>
  <c r="AA126" i="10"/>
  <c r="AB126" i="10"/>
  <c r="AC126" i="10"/>
  <c r="Z127" i="10"/>
  <c r="AA127" i="10"/>
  <c r="AB127" i="10"/>
  <c r="AC127" i="10"/>
  <c r="Z128" i="10"/>
  <c r="AA128" i="10"/>
  <c r="AB128" i="10"/>
  <c r="AC128" i="10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P38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P37" i="11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P36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P35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P34" i="11"/>
  <c r="Q33" i="11"/>
  <c r="R33" i="11"/>
  <c r="S33" i="11"/>
  <c r="T33" i="11"/>
  <c r="U33" i="11"/>
  <c r="V33" i="11"/>
  <c r="W33" i="11"/>
  <c r="X33" i="11"/>
  <c r="Y33" i="11"/>
  <c r="Z33" i="11"/>
  <c r="AA33" i="11"/>
  <c r="AB33" i="11"/>
  <c r="AC33" i="11"/>
  <c r="AD33" i="11"/>
  <c r="P33" i="11"/>
  <c r="Q32" i="11"/>
  <c r="R32" i="11"/>
  <c r="S32" i="11"/>
  <c r="T32" i="11"/>
  <c r="U32" i="11"/>
  <c r="V32" i="11"/>
  <c r="W32" i="11"/>
  <c r="X32" i="11"/>
  <c r="Y32" i="11"/>
  <c r="Z32" i="11"/>
  <c r="AA32" i="11"/>
  <c r="AB32" i="11"/>
  <c r="AC32" i="11"/>
  <c r="AD32" i="11"/>
  <c r="P32" i="11"/>
  <c r="Q31" i="11"/>
  <c r="R31" i="11"/>
  <c r="S31" i="11"/>
  <c r="T31" i="11"/>
  <c r="U31" i="11"/>
  <c r="V31" i="11"/>
  <c r="W31" i="11"/>
  <c r="X31" i="11"/>
  <c r="Y31" i="11"/>
  <c r="Z31" i="11"/>
  <c r="AA31" i="11"/>
  <c r="AB31" i="11"/>
  <c r="AC31" i="11"/>
  <c r="AD31" i="11"/>
  <c r="P31" i="11"/>
  <c r="Q30" i="11"/>
  <c r="R30" i="11"/>
  <c r="S30" i="11"/>
  <c r="T30" i="11"/>
  <c r="U30" i="11"/>
  <c r="V30" i="11"/>
  <c r="W30" i="11"/>
  <c r="X30" i="11"/>
  <c r="Y30" i="11"/>
  <c r="Z30" i="11"/>
  <c r="AA30" i="11"/>
  <c r="AB30" i="11"/>
  <c r="AC30" i="11"/>
  <c r="AD30" i="11"/>
  <c r="P30" i="1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P29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C28" i="11"/>
  <c r="AD28" i="11"/>
  <c r="P28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P27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P26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C25" i="11"/>
  <c r="AD25" i="11"/>
  <c r="P25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C24" i="11"/>
  <c r="AD24" i="11"/>
  <c r="P24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C23" i="11"/>
  <c r="AD23" i="11"/>
  <c r="P23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C22" i="11"/>
  <c r="AD22" i="11"/>
  <c r="P22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C21" i="11"/>
  <c r="AD21" i="11"/>
  <c r="P21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C20" i="11"/>
  <c r="AD20" i="11"/>
  <c r="P20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P19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C17" i="11"/>
  <c r="AD17" i="11"/>
  <c r="P17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C16" i="11"/>
  <c r="AD16" i="11"/>
  <c r="P16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P15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P14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P13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P12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P10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P9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P8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P7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P6" i="11"/>
  <c r="Q5" i="11"/>
  <c r="R5" i="11"/>
  <c r="S5" i="11"/>
  <c r="T5" i="11"/>
  <c r="U5" i="11"/>
  <c r="V5" i="11"/>
  <c r="W5" i="11"/>
  <c r="X5" i="11"/>
  <c r="Y5" i="11"/>
  <c r="Z5" i="11"/>
  <c r="AA5" i="11"/>
  <c r="AB5" i="11"/>
  <c r="AC5" i="11"/>
  <c r="AD5" i="11"/>
  <c r="P5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P4" i="11"/>
  <c r="Q3" i="11"/>
  <c r="R3" i="11"/>
  <c r="S3" i="11"/>
  <c r="T3" i="11"/>
  <c r="U3" i="11"/>
  <c r="V3" i="11"/>
  <c r="W3" i="11"/>
  <c r="X3" i="11"/>
  <c r="Y3" i="11"/>
  <c r="Z3" i="11"/>
  <c r="AA3" i="11"/>
  <c r="AB3" i="11"/>
  <c r="AC3" i="11"/>
  <c r="AD3" i="11"/>
  <c r="P3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P11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9" i="11"/>
  <c r="K9" i="11" s="1"/>
  <c r="J10" i="11"/>
  <c r="K10" i="11" s="1"/>
  <c r="L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J17" i="11"/>
  <c r="K17" i="11" s="1"/>
  <c r="L17" i="11" s="1"/>
  <c r="J19" i="11"/>
  <c r="K19" i="11" s="1"/>
  <c r="L19" i="11" s="1"/>
  <c r="J20" i="11"/>
  <c r="K20" i="11" s="1"/>
  <c r="J21" i="11"/>
  <c r="K21" i="11" s="1"/>
  <c r="L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J26" i="11"/>
  <c r="K26" i="11" s="1"/>
  <c r="J27" i="11"/>
  <c r="K27" i="11" s="1"/>
  <c r="L27" i="11" s="1"/>
  <c r="J28" i="11"/>
  <c r="K28" i="11" s="1"/>
  <c r="L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3" i="11"/>
  <c r="K33" i="11" s="1"/>
  <c r="J34" i="11"/>
  <c r="K34" i="11" s="1"/>
  <c r="L34" i="11" s="1"/>
  <c r="J35" i="11"/>
  <c r="K35" i="11" s="1"/>
  <c r="L35" i="11" s="1"/>
  <c r="J36" i="11"/>
  <c r="K36" i="11" s="1"/>
  <c r="J37" i="11"/>
  <c r="K37" i="11" s="1"/>
  <c r="L37" i="11" s="1"/>
  <c r="J38" i="11"/>
  <c r="K38" i="11" s="1"/>
  <c r="L38" i="11" s="1"/>
  <c r="J3" i="11"/>
  <c r="K3" i="11" s="1"/>
  <c r="L3" i="11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9" i="11"/>
  <c r="G20" i="11"/>
  <c r="I20" i="11" s="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0" i="11"/>
  <c r="N10" i="11" s="1"/>
  <c r="O10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9" i="11"/>
  <c r="N19" i="11" s="1"/>
  <c r="O19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M24" i="11"/>
  <c r="N24" i="11" s="1"/>
  <c r="M25" i="11"/>
  <c r="N25" i="11" s="1"/>
  <c r="M26" i="11"/>
  <c r="N26" i="11" s="1"/>
  <c r="M27" i="11"/>
  <c r="N27" i="11" s="1"/>
  <c r="M28" i="11"/>
  <c r="N28" i="11" s="1"/>
  <c r="M29" i="11"/>
  <c r="N29" i="11" s="1"/>
  <c r="O29" i="11" s="1"/>
  <c r="M30" i="11"/>
  <c r="N30" i="11" s="1"/>
  <c r="O30" i="11" s="1"/>
  <c r="M31" i="11"/>
  <c r="N31" i="11" s="1"/>
  <c r="O31" i="11" s="1"/>
  <c r="M32" i="11"/>
  <c r="N32" i="11" s="1"/>
  <c r="O32" i="11" s="1"/>
  <c r="M33" i="11"/>
  <c r="N33" i="11" s="1"/>
  <c r="O33" i="11" s="1"/>
  <c r="M34" i="11"/>
  <c r="N34" i="11" s="1"/>
  <c r="O34" i="11" s="1"/>
  <c r="M35" i="11"/>
  <c r="N35" i="11" s="1"/>
  <c r="O35" i="11" s="1"/>
  <c r="M36" i="11"/>
  <c r="N36" i="11" s="1"/>
  <c r="O36" i="11" s="1"/>
  <c r="M37" i="11"/>
  <c r="N37" i="11" s="1"/>
  <c r="M38" i="11"/>
  <c r="N38" i="11" s="1"/>
  <c r="O38" i="11" s="1"/>
  <c r="F10" i="11" a="1"/>
  <c r="F10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9" i="11" a="1"/>
  <c r="F19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7" i="11" a="1"/>
  <c r="F37" i="11" s="1"/>
  <c r="F38" i="11" a="1"/>
  <c r="F38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E3" i="11"/>
  <c r="E4" i="11"/>
  <c r="E5" i="11"/>
  <c r="E6" i="11"/>
  <c r="E7" i="11"/>
  <c r="E8" i="11"/>
  <c r="E10" i="11"/>
  <c r="E11" i="11"/>
  <c r="E12" i="11"/>
  <c r="E13" i="11"/>
  <c r="E14" i="11"/>
  <c r="E15" i="11"/>
  <c r="E16" i="11"/>
  <c r="E17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D9" i="11"/>
  <c r="D10" i="11"/>
  <c r="D11" i="11"/>
  <c r="D12" i="11"/>
  <c r="D13" i="11"/>
  <c r="D14" i="11"/>
  <c r="D15" i="11"/>
  <c r="D16" i="11"/>
  <c r="D17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" i="11"/>
  <c r="D4" i="11"/>
  <c r="D5" i="11"/>
  <c r="D6" i="11"/>
  <c r="D7" i="11"/>
  <c r="D8" i="11"/>
  <c r="Z101" i="10"/>
  <c r="AA101" i="10"/>
  <c r="AB101" i="10"/>
  <c r="AC101" i="10"/>
  <c r="Z102" i="10"/>
  <c r="AA102" i="10"/>
  <c r="AB102" i="10"/>
  <c r="AC102" i="10"/>
  <c r="Z103" i="10"/>
  <c r="AA103" i="10"/>
  <c r="AB103" i="10"/>
  <c r="AC103" i="10"/>
  <c r="Z104" i="10"/>
  <c r="AA104" i="10"/>
  <c r="AB104" i="10"/>
  <c r="AC104" i="10"/>
  <c r="Z105" i="10"/>
  <c r="AA105" i="10"/>
  <c r="AB105" i="10"/>
  <c r="AC105" i="10"/>
  <c r="Z106" i="10"/>
  <c r="AA106" i="10"/>
  <c r="AB106" i="10"/>
  <c r="AC106" i="10"/>
  <c r="Z107" i="10"/>
  <c r="AA107" i="10"/>
  <c r="AB107" i="10"/>
  <c r="AC107" i="10"/>
  <c r="Z108" i="10"/>
  <c r="AA108" i="10"/>
  <c r="AB108" i="10"/>
  <c r="AC108" i="10"/>
  <c r="Z109" i="10"/>
  <c r="AA109" i="10"/>
  <c r="AB109" i="10"/>
  <c r="AC109" i="10"/>
  <c r="Z110" i="10"/>
  <c r="AA110" i="10"/>
  <c r="AB110" i="10"/>
  <c r="AC110" i="10"/>
  <c r="Z111" i="10"/>
  <c r="AA111" i="10"/>
  <c r="AB111" i="10"/>
  <c r="AC111" i="10"/>
  <c r="Z112" i="10"/>
  <c r="AA112" i="10"/>
  <c r="AB112" i="10"/>
  <c r="AC112" i="10"/>
  <c r="Z89" i="10"/>
  <c r="AA89" i="10"/>
  <c r="AB89" i="10"/>
  <c r="AC89" i="10"/>
  <c r="Z90" i="10"/>
  <c r="AA90" i="10"/>
  <c r="AB90" i="10"/>
  <c r="AC90" i="10"/>
  <c r="Z91" i="10"/>
  <c r="AA91" i="10"/>
  <c r="AB91" i="10"/>
  <c r="AC91" i="10"/>
  <c r="Z92" i="10"/>
  <c r="AA92" i="10"/>
  <c r="AB92" i="10"/>
  <c r="AC92" i="10"/>
  <c r="Z93" i="10"/>
  <c r="AA93" i="10"/>
  <c r="AB93" i="10"/>
  <c r="AC93" i="10"/>
  <c r="Z94" i="10"/>
  <c r="AA94" i="10"/>
  <c r="AB94" i="10"/>
  <c r="AC94" i="10"/>
  <c r="Z95" i="10"/>
  <c r="AA95" i="10"/>
  <c r="AB95" i="10"/>
  <c r="AC95" i="10"/>
  <c r="Z96" i="10"/>
  <c r="AA96" i="10"/>
  <c r="AB96" i="10"/>
  <c r="AC96" i="10"/>
  <c r="Z97" i="10"/>
  <c r="AA97" i="10"/>
  <c r="AB97" i="10"/>
  <c r="AC97" i="10"/>
  <c r="Z98" i="10"/>
  <c r="AA98" i="10"/>
  <c r="AB98" i="10"/>
  <c r="AC98" i="10"/>
  <c r="Z99" i="10"/>
  <c r="AA99" i="10"/>
  <c r="AB99" i="10"/>
  <c r="AC99" i="10"/>
  <c r="Z100" i="10"/>
  <c r="AA100" i="10"/>
  <c r="AB100" i="10"/>
  <c r="AC100" i="10"/>
  <c r="Z77" i="10"/>
  <c r="AA77" i="10"/>
  <c r="AB77" i="10"/>
  <c r="AC77" i="10"/>
  <c r="Z78" i="10"/>
  <c r="AA78" i="10"/>
  <c r="AB78" i="10"/>
  <c r="AC78" i="10"/>
  <c r="Z79" i="10"/>
  <c r="AA79" i="10"/>
  <c r="AB79" i="10"/>
  <c r="AC79" i="10"/>
  <c r="Z80" i="10"/>
  <c r="AA80" i="10"/>
  <c r="AB80" i="10"/>
  <c r="AC80" i="10"/>
  <c r="Z81" i="10"/>
  <c r="AA81" i="10"/>
  <c r="AB81" i="10"/>
  <c r="AC81" i="10"/>
  <c r="Z82" i="10"/>
  <c r="AA82" i="10"/>
  <c r="AB82" i="10"/>
  <c r="AC82" i="10"/>
  <c r="Z83" i="10"/>
  <c r="AA83" i="10"/>
  <c r="AB83" i="10"/>
  <c r="AC83" i="10"/>
  <c r="Z84" i="10"/>
  <c r="AA84" i="10"/>
  <c r="AB84" i="10"/>
  <c r="AC84" i="10"/>
  <c r="Z85" i="10"/>
  <c r="AA85" i="10"/>
  <c r="AB85" i="10"/>
  <c r="AC85" i="10"/>
  <c r="Z86" i="10"/>
  <c r="AA86" i="10"/>
  <c r="AB86" i="10"/>
  <c r="AC86" i="10"/>
  <c r="Z87" i="10"/>
  <c r="AA87" i="10"/>
  <c r="AB87" i="10"/>
  <c r="AC87" i="10"/>
  <c r="Z88" i="10"/>
  <c r="AA88" i="10"/>
  <c r="AB88" i="10"/>
  <c r="AC88" i="10"/>
  <c r="Z65" i="10"/>
  <c r="AA65" i="10"/>
  <c r="AB65" i="10"/>
  <c r="AC65" i="10"/>
  <c r="Z66" i="10"/>
  <c r="AA66" i="10"/>
  <c r="AB66" i="10"/>
  <c r="AC66" i="10"/>
  <c r="Z67" i="10"/>
  <c r="AA67" i="10"/>
  <c r="AB67" i="10"/>
  <c r="AC67" i="10"/>
  <c r="Z68" i="10"/>
  <c r="AA68" i="10"/>
  <c r="AB68" i="10"/>
  <c r="AC68" i="10"/>
  <c r="Z69" i="10"/>
  <c r="AA69" i="10"/>
  <c r="AB69" i="10"/>
  <c r="AC69" i="10"/>
  <c r="Z70" i="10"/>
  <c r="AA70" i="10"/>
  <c r="AB70" i="10"/>
  <c r="AC70" i="10"/>
  <c r="Z71" i="10"/>
  <c r="AA71" i="10"/>
  <c r="AB71" i="10"/>
  <c r="AC71" i="10"/>
  <c r="Z72" i="10"/>
  <c r="AA72" i="10"/>
  <c r="AB72" i="10"/>
  <c r="AC72" i="10"/>
  <c r="Z73" i="10"/>
  <c r="AA73" i="10"/>
  <c r="AB73" i="10"/>
  <c r="AC73" i="10"/>
  <c r="Z74" i="10"/>
  <c r="AA74" i="10"/>
  <c r="AB74" i="10"/>
  <c r="AC74" i="10"/>
  <c r="Z75" i="10"/>
  <c r="AA75" i="10"/>
  <c r="AB75" i="10"/>
  <c r="AC75" i="10"/>
  <c r="Z76" i="10"/>
  <c r="AA76" i="10"/>
  <c r="AB76" i="10"/>
  <c r="AC76" i="10"/>
  <c r="M9" i="11"/>
  <c r="N9" i="11" s="1"/>
  <c r="E9" i="11"/>
  <c r="Z9" i="10"/>
  <c r="I19" i="11"/>
  <c r="I16" i="11"/>
  <c r="I12" i="11"/>
  <c r="Z53" i="10"/>
  <c r="AA53" i="10"/>
  <c r="AB53" i="10"/>
  <c r="AC53" i="10"/>
  <c r="Z54" i="10"/>
  <c r="AA54" i="10"/>
  <c r="AB54" i="10"/>
  <c r="AC54" i="10"/>
  <c r="Z55" i="10"/>
  <c r="AA55" i="10"/>
  <c r="AB55" i="10"/>
  <c r="AC55" i="10"/>
  <c r="Z56" i="10"/>
  <c r="AA56" i="10"/>
  <c r="AB56" i="10"/>
  <c r="AC56" i="10"/>
  <c r="Z57" i="10"/>
  <c r="AA57" i="10"/>
  <c r="AB57" i="10"/>
  <c r="AC57" i="10"/>
  <c r="Z58" i="10"/>
  <c r="AA58" i="10"/>
  <c r="AB58" i="10"/>
  <c r="AC58" i="10"/>
  <c r="Z59" i="10"/>
  <c r="AA59" i="10"/>
  <c r="AB59" i="10"/>
  <c r="AC59" i="10"/>
  <c r="Z60" i="10"/>
  <c r="AA60" i="10"/>
  <c r="AB60" i="10"/>
  <c r="AC60" i="10"/>
  <c r="Z61" i="10"/>
  <c r="AA61" i="10"/>
  <c r="AB61" i="10"/>
  <c r="AC61" i="10"/>
  <c r="Z62" i="10"/>
  <c r="AA62" i="10"/>
  <c r="AB62" i="10"/>
  <c r="AC62" i="10"/>
  <c r="Z63" i="10"/>
  <c r="AA63" i="10"/>
  <c r="AB63" i="10"/>
  <c r="AC63" i="10"/>
  <c r="Z64" i="10"/>
  <c r="AA64" i="10"/>
  <c r="AB64" i="10"/>
  <c r="AC64" i="10"/>
  <c r="Z43" i="10"/>
  <c r="AA43" i="10"/>
  <c r="AB43" i="10"/>
  <c r="AC43" i="10"/>
  <c r="Z44" i="10"/>
  <c r="AA44" i="10"/>
  <c r="AB44" i="10"/>
  <c r="AC44" i="10"/>
  <c r="Z45" i="10"/>
  <c r="AA45" i="10"/>
  <c r="AB45" i="10"/>
  <c r="AC45" i="10"/>
  <c r="Z46" i="10"/>
  <c r="AA46" i="10"/>
  <c r="AB46" i="10"/>
  <c r="AC46" i="10"/>
  <c r="Z47" i="10"/>
  <c r="AA47" i="10"/>
  <c r="AB47" i="10"/>
  <c r="AC47" i="10"/>
  <c r="Z48" i="10"/>
  <c r="AA48" i="10"/>
  <c r="AB48" i="10"/>
  <c r="AC48" i="10"/>
  <c r="Z49" i="10"/>
  <c r="AA49" i="10"/>
  <c r="AB49" i="10"/>
  <c r="AC49" i="10"/>
  <c r="Z50" i="10"/>
  <c r="AA50" i="10"/>
  <c r="AB50" i="10"/>
  <c r="AC50" i="10"/>
  <c r="Z51" i="10"/>
  <c r="AA51" i="10"/>
  <c r="AB51" i="10"/>
  <c r="AC51" i="10"/>
  <c r="Z52" i="10"/>
  <c r="AA52" i="10"/>
  <c r="AB52" i="10"/>
  <c r="AC52" i="10"/>
  <c r="Z27" i="10"/>
  <c r="AA27" i="10"/>
  <c r="AB27" i="10"/>
  <c r="AC27" i="10"/>
  <c r="Z28" i="10"/>
  <c r="AA28" i="10"/>
  <c r="AB28" i="10"/>
  <c r="AC28" i="10"/>
  <c r="Z29" i="10"/>
  <c r="AA29" i="10"/>
  <c r="AB29" i="10"/>
  <c r="AC29" i="10"/>
  <c r="Z30" i="10"/>
  <c r="AA30" i="10"/>
  <c r="AB30" i="10"/>
  <c r="AC30" i="10"/>
  <c r="Z31" i="10"/>
  <c r="AA31" i="10"/>
  <c r="AB31" i="10"/>
  <c r="AC31" i="10"/>
  <c r="Z32" i="10"/>
  <c r="AA32" i="10"/>
  <c r="AB32" i="10"/>
  <c r="AC32" i="10"/>
  <c r="Z33" i="10"/>
  <c r="AA33" i="10"/>
  <c r="AB33" i="10"/>
  <c r="AC33" i="10"/>
  <c r="Z34" i="10"/>
  <c r="AC34" i="10"/>
  <c r="Z35" i="10"/>
  <c r="AA35" i="10"/>
  <c r="AB35" i="10"/>
  <c r="AC35" i="10"/>
  <c r="Z36" i="10"/>
  <c r="AA36" i="10"/>
  <c r="AB36" i="10"/>
  <c r="AC36" i="10"/>
  <c r="Z37" i="10"/>
  <c r="AC37" i="10"/>
  <c r="Z38" i="10"/>
  <c r="AA38" i="10"/>
  <c r="AB38" i="10"/>
  <c r="AC38" i="10"/>
  <c r="Z39" i="10"/>
  <c r="AA39" i="10"/>
  <c r="AB39" i="10"/>
  <c r="AC39" i="10"/>
  <c r="Z40" i="10"/>
  <c r="AA40" i="10"/>
  <c r="AB40" i="10"/>
  <c r="AC40" i="10"/>
  <c r="Z41" i="10"/>
  <c r="AA41" i="10"/>
  <c r="AB41" i="10"/>
  <c r="AC41" i="10"/>
  <c r="Z42" i="10"/>
  <c r="AA42" i="10"/>
  <c r="AB42" i="10"/>
  <c r="AC42" i="10"/>
  <c r="Z17" i="10"/>
  <c r="AA17" i="10"/>
  <c r="AB17" i="10"/>
  <c r="AC17" i="10"/>
  <c r="Z18" i="10"/>
  <c r="AA18" i="10"/>
  <c r="AB18" i="10"/>
  <c r="AC18" i="10"/>
  <c r="Z19" i="10"/>
  <c r="AA19" i="10"/>
  <c r="AB19" i="10"/>
  <c r="AC19" i="10"/>
  <c r="Z20" i="10"/>
  <c r="AA20" i="10"/>
  <c r="AB20" i="10"/>
  <c r="AC20" i="10"/>
  <c r="Z21" i="10"/>
  <c r="AA21" i="10"/>
  <c r="AB21" i="10"/>
  <c r="AC21" i="10"/>
  <c r="Z22" i="10"/>
  <c r="AA22" i="10"/>
  <c r="AB22" i="10"/>
  <c r="AC22" i="10"/>
  <c r="Z23" i="10"/>
  <c r="AA23" i="10"/>
  <c r="AB23" i="10"/>
  <c r="AC23" i="10"/>
  <c r="Z24" i="10"/>
  <c r="AC24" i="10"/>
  <c r="Z25" i="10"/>
  <c r="AA25" i="10"/>
  <c r="AB25" i="10"/>
  <c r="AC25" i="10"/>
  <c r="Z26" i="10"/>
  <c r="AA26" i="10"/>
  <c r="AB26" i="10"/>
  <c r="AC2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Z2" i="10"/>
  <c r="Z3" i="10"/>
  <c r="Z4" i="10"/>
  <c r="Z5" i="10"/>
  <c r="Z6" i="10"/>
  <c r="Z7" i="10"/>
  <c r="Z8" i="10"/>
  <c r="Z10" i="10"/>
  <c r="Z11" i="10"/>
  <c r="Z12" i="10"/>
  <c r="Z13" i="10"/>
  <c r="Z14" i="10"/>
  <c r="Z15" i="10"/>
  <c r="Z16" i="10"/>
  <c r="AA2" i="10"/>
  <c r="AA3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H20" i="12" l="1"/>
  <c r="H5" i="12"/>
  <c r="N20" i="12"/>
  <c r="K20" i="12"/>
  <c r="H39" i="12"/>
  <c r="H11" i="12"/>
  <c r="H7" i="12"/>
  <c r="H19" i="12"/>
  <c r="H35" i="12"/>
  <c r="N39" i="12"/>
  <c r="K39" i="12"/>
  <c r="N35" i="12"/>
  <c r="K35" i="12"/>
  <c r="N19" i="12"/>
  <c r="K19" i="12"/>
  <c r="I18" i="11"/>
  <c r="O18" i="11"/>
  <c r="K18" i="11"/>
  <c r="L18" i="11" s="1"/>
  <c r="H3" i="12"/>
  <c r="H8" i="12"/>
  <c r="H4" i="12"/>
  <c r="H6" i="12"/>
  <c r="H33" i="12"/>
  <c r="H12" i="12"/>
  <c r="J12" i="12"/>
  <c r="K12" i="12" s="1"/>
  <c r="H40" i="12"/>
  <c r="K37" i="12"/>
  <c r="H38" i="12"/>
  <c r="H21" i="12"/>
  <c r="N44" i="12"/>
  <c r="N26" i="12"/>
  <c r="N9" i="12"/>
  <c r="H28" i="12"/>
  <c r="K43" i="12"/>
  <c r="K42" i="12"/>
  <c r="N38" i="12"/>
  <c r="N37" i="12"/>
  <c r="N36" i="12"/>
  <c r="N17" i="12"/>
  <c r="N48" i="12"/>
  <c r="N47" i="12"/>
  <c r="N2" i="12"/>
  <c r="K36" i="12"/>
  <c r="K17" i="12"/>
  <c r="H32" i="12"/>
  <c r="H49" i="12"/>
  <c r="H31" i="12"/>
  <c r="H48" i="12"/>
  <c r="H30" i="12"/>
  <c r="H47" i="12"/>
  <c r="H46" i="12"/>
  <c r="H45" i="12"/>
  <c r="H44" i="12"/>
  <c r="H43" i="12"/>
  <c r="H42" i="12"/>
  <c r="H41" i="12"/>
  <c r="H37" i="12"/>
  <c r="H36" i="12"/>
  <c r="H34" i="12"/>
  <c r="H2" i="12"/>
  <c r="L33" i="11"/>
  <c r="L16" i="11"/>
  <c r="L8" i="11"/>
  <c r="L36" i="11"/>
  <c r="L20" i="11"/>
  <c r="I22" i="11"/>
  <c r="I25" i="11"/>
  <c r="I23" i="11"/>
  <c r="I21" i="11"/>
  <c r="I15" i="11"/>
  <c r="I14" i="11"/>
  <c r="I13" i="11"/>
  <c r="I17" i="11"/>
  <c r="I24" i="11"/>
  <c r="L6" i="11"/>
  <c r="L5" i="11"/>
  <c r="O25" i="11"/>
  <c r="O4" i="11"/>
  <c r="I11" i="11"/>
  <c r="N23" i="11"/>
  <c r="O23" i="11" s="1"/>
  <c r="I10" i="11"/>
  <c r="I26" i="11"/>
  <c r="O24" i="11"/>
  <c r="L25" i="11"/>
  <c r="O28" i="11"/>
  <c r="O27" i="11"/>
  <c r="O37" i="11"/>
  <c r="O26" i="11"/>
  <c r="L7" i="11"/>
  <c r="L26" i="11"/>
  <c r="I4" i="11"/>
  <c r="I5" i="11"/>
  <c r="I6" i="11"/>
  <c r="I3" i="11"/>
  <c r="I8" i="11"/>
  <c r="I7" i="11"/>
  <c r="I36" i="11"/>
  <c r="I35" i="11"/>
  <c r="I34" i="11"/>
  <c r="I33" i="11"/>
  <c r="I32" i="11"/>
  <c r="I31" i="11"/>
  <c r="I30" i="11"/>
  <c r="I29" i="11"/>
  <c r="I28" i="11"/>
  <c r="I27" i="11"/>
  <c r="I38" i="11"/>
  <c r="I37" i="11"/>
  <c r="L9" i="11"/>
  <c r="O9" i="11"/>
  <c r="I9" i="11"/>
  <c r="AB34" i="10"/>
  <c r="AA34" i="10"/>
  <c r="AB37" i="10"/>
  <c r="AA37" i="10"/>
  <c r="AB24" i="10"/>
  <c r="AA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2" i="12"/>
</calcChain>
</file>

<file path=xl/sharedStrings.xml><?xml version="1.0" encoding="utf-8"?>
<sst xmlns="http://schemas.openxmlformats.org/spreadsheetml/2006/main" count="1544" uniqueCount="145">
  <si>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</si>
  <si>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</si>
  <si>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</si>
  <si>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</si>
  <si>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</si>
  <si>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</si>
  <si>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</si>
  <si>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</si>
  <si>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</si>
  <si>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</si>
  <si>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</si>
  <si>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</si>
  <si>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</si>
  <si>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</si>
  <si>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</si>
  <si>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</si>
  <si>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</si>
  <si>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</si>
  <si>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</si>
  <si>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</si>
  <si>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</si>
  <si>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</si>
  <si>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</si>
  <si>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</si>
  <si>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</si>
  <si>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</si>
  <si>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</si>
  <si>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</si>
  <si>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</si>
  <si>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</si>
  <si>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</si>
  <si>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</si>
  <si>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</si>
  <si>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</si>
  <si>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</si>
  <si>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</si>
  <si>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</si>
  <si>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</si>
  <si>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</si>
  <si>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</si>
  <si>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</si>
  <si>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</si>
  <si>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</si>
  <si>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</si>
  <si>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</si>
  <si>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</si>
  <si>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</si>
  <si>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</si>
  <si>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</si>
  <si>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</si>
  <si>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</si>
  <si>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</si>
  <si>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</si>
  <si>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</si>
  <si>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</si>
  <si>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</si>
  <si>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</si>
  <si>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</si>
  <si>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</si>
  <si>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</si>
  <si>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</si>
  <si>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</si>
  <si>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</si>
  <si>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</si>
  <si>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</si>
  <si>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</si>
  <si>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</si>
  <si>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</si>
  <si>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</si>
  <si>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</si>
  <si>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</si>
  <si>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</si>
  <si>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</si>
  <si>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</si>
  <si>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</si>
  <si>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</si>
  <si>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</si>
  <si>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</si>
  <si>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</si>
  <si>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</si>
  <si>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</si>
  <si>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</si>
  <si>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</si>
  <si>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</si>
  <si>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</si>
  <si>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</si>
  <si>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</si>
  <si>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</si>
  <si>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</si>
  <si>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</si>
  <si>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</si>
  <si>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</si>
  <si>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</si>
  <si>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</si>
  <si>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</si>
  <si>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</si>
  <si>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</si>
  <si>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</si>
  <si>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</si>
  <si>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</si>
  <si>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</si>
  <si>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</si>
  <si>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</si>
  <si>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</si>
  <si>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</si>
  <si>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</si>
  <si>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</si>
  <si>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</si>
  <si>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</si>
  <si>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</si>
  <si>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</si>
  <si>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</si>
  <si>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</si>
  <si>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</si>
  <si>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</si>
  <si>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</si>
  <si>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</si>
  <si>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</si>
  <si>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</si>
  <si>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</si>
  <si>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</si>
  <si>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</si>
  <si>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</si>
  <si>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</si>
  <si>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</si>
  <si>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</si>
  <si>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</si>
  <si>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</si>
  <si>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</si>
  <si>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</si>
  <si>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</si>
  <si>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</si>
  <si>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</si>
  <si>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</si>
  <si>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</si>
  <si>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</si>
  <si>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</si>
  <si>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</si>
  <si>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</si>
  <si>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</si>
  <si>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</si>
  <si>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</si>
  <si>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</si>
  <si>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Stevo</t>
  </si>
  <si>
    <t>Georgieo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</si>
</sst>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0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D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" sqref="B5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106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38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38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38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1</v>
      </c>
      <c r="AA2" s="92">
        <f>COUNTIFS('OB History'!$B:$B,$A$2,'OB History'!V:V, 1)</f>
        <v>0</v>
      </c>
      <c r="AB2" s="92">
        <f>COUNTIFS('OB History'!$B:$B,$A$2,'OB History'!W:W, 1)</f>
        <v>1</v>
      </c>
      <c r="AC2" s="92">
        <f>COUNTIFS('OB History'!$B:$B,$A$2,'OB History'!X:X, 1)</f>
        <v>0</v>
      </c>
      <c r="AD2" s="92">
        <f>COUNTIFS('OB History'!$B:$B,$A$2,'OB History'!Y:Y, 1)</f>
        <v>0</v>
      </c>
    </row>
    <row r="3" spans="1:30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242</v>
      </c>
      <c r="E3" s="90">
        <f>AVERAGEIFS('OB History'!C:C,'OB History'!B:B,A3)</f>
        <v>18.615384615384617</v>
      </c>
      <c r="F3" s="91">
        <f t="array" ref="F3">MAX(IF('OB History'!B:B=A3, 'OB History'!C:C))</f>
        <v>30</v>
      </c>
      <c r="G3" s="89">
        <f>COUNTIFS('OB History'!B:B,A3,'OB History'!D:D, 1)</f>
        <v>5</v>
      </c>
      <c r="H3" s="92">
        <f>COUNTIFS('OB History'!B:B,A3,'OB History'!D:D, 0)</f>
        <v>8</v>
      </c>
      <c r="I3" s="41">
        <f t="shared" si="0"/>
        <v>0.38461538461538464</v>
      </c>
      <c r="J3" s="89">
        <f>SUMIFS('OB History'!F:F,'OB History'!B:B,A3)</f>
        <v>25</v>
      </c>
      <c r="K3" s="92">
        <f>SUMIFS('OB History'!E:E,'OB History'!B:B,A3)-J3</f>
        <v>29</v>
      </c>
      <c r="L3" s="41">
        <f t="shared" si="1"/>
        <v>0.46296296296296297</v>
      </c>
      <c r="M3" s="89">
        <f>SUMIFS('OB History'!H:H,'OB History'!B:B,A3)</f>
        <v>104</v>
      </c>
      <c r="N3" s="92">
        <f>SUMIFS('OB History'!G:G,'OB History'!B:B,A3)-M3</f>
        <v>114</v>
      </c>
      <c r="O3" s="41">
        <f t="shared" si="2"/>
        <v>0.47706422018348627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0</v>
      </c>
      <c r="U3" s="92">
        <f>COUNTIFS('OB History'!$B:$B,$A$3,'OB History'!P:P, 1)</f>
        <v>3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1</v>
      </c>
      <c r="AB3" s="92">
        <f>COUNTIFS('OB History'!$B:$B,$A$3,'OB History'!W:W, 1)</f>
        <v>6</v>
      </c>
      <c r="AC3" s="92">
        <f>COUNTIFS('OB History'!$B:$B,$A$3,'OB History'!X:X, 1)</f>
        <v>1</v>
      </c>
      <c r="AD3" s="92">
        <f>COUNTIFS('OB History'!$B:$B,$A$3,'OB History'!Y:Y, 1)</f>
        <v>6</v>
      </c>
    </row>
    <row r="4" spans="1:30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1</v>
      </c>
      <c r="AB4" s="92">
        <f>COUNTIFS('OB History'!$B:$B,$A$4,'OB History'!W:W, 1)</f>
        <v>1</v>
      </c>
      <c r="AC4" s="92">
        <f>COUNTIFS('OB History'!$B:$B,$A$4,'OB History'!X:X, 1)</f>
        <v>0</v>
      </c>
      <c r="AD4" s="92">
        <f>COUNTIFS('OB History'!$B:$B,$A$4,'OB History'!Y:Y, 1)</f>
        <v>0</v>
      </c>
    </row>
    <row r="5" spans="1:30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115</v>
      </c>
      <c r="E5" s="90">
        <f>AVERAGEIFS('OB History'!C:C,'OB History'!B:B,A5)</f>
        <v>10.454545454545455</v>
      </c>
      <c r="F5" s="91">
        <f t="array" ref="F5">MAX(IF('OB History'!B:B=A5, 'OB History'!C:C))</f>
        <v>21</v>
      </c>
      <c r="G5" s="89">
        <f>COUNTIFS('OB History'!B:B,A5,'OB History'!D:D, 1)</f>
        <v>7</v>
      </c>
      <c r="H5" s="92">
        <f>COUNTIFS('OB History'!B:B,A5,'OB History'!D:D, 0)</f>
        <v>4</v>
      </c>
      <c r="I5" s="41">
        <f t="shared" si="0"/>
        <v>0.63636363636363635</v>
      </c>
      <c r="J5" s="89">
        <f>SUMIFS('OB History'!F:F,'OB History'!B:B,A5)</f>
        <v>23</v>
      </c>
      <c r="K5" s="92">
        <f>SUMIFS('OB History'!E:E,'OB History'!B:B,A5)-J5</f>
        <v>20</v>
      </c>
      <c r="L5" s="41">
        <f t="shared" si="1"/>
        <v>0.53488372093023251</v>
      </c>
      <c r="M5" s="89">
        <f>SUMIFS('OB History'!H:H,'OB History'!B:B,'Old Bow v2'!A5)</f>
        <v>93</v>
      </c>
      <c r="N5" s="92">
        <f>SUMIFS('OB History'!G:G,'OB History'!B:B,'Old Bow v2'!A5)-M5</f>
        <v>81</v>
      </c>
      <c r="O5" s="41">
        <f t="shared" si="2"/>
        <v>0.53448275862068961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0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0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4</v>
      </c>
      <c r="AB5" s="92">
        <f>COUNTIFS('OB History'!$B:$B,$A$5,'OB History'!W:W, 1)</f>
        <v>3</v>
      </c>
      <c r="AC5" s="92">
        <f>COUNTIFS('OB History'!$B:$B,$A$5,'OB History'!X:X, 1)</f>
        <v>1</v>
      </c>
      <c r="AD5" s="92">
        <f>COUNTIFS('OB History'!$B:$B,$A$5,'OB History'!Y:Y, 1)</f>
        <v>3</v>
      </c>
    </row>
    <row r="6" spans="1:30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267</v>
      </c>
      <c r="E6" s="90">
        <f>AVERAGEIFS('OB History'!C:C,'OB History'!B:B,A6)</f>
        <v>12.136363636363637</v>
      </c>
      <c r="F6" s="91">
        <f t="array" ref="F6">MAX(IF('OB History'!B:B=A6, 'OB History'!C:C))</f>
        <v>26</v>
      </c>
      <c r="G6" s="89">
        <f>COUNTIFS('OB History'!B:B,A6,'OB History'!D:D, 1)</f>
        <v>8</v>
      </c>
      <c r="H6" s="92">
        <f>COUNTIFS('OB History'!B:B,A6,'OB History'!D:D, 0)</f>
        <v>14</v>
      </c>
      <c r="I6" s="41">
        <f t="shared" si="0"/>
        <v>0.36363636363636365</v>
      </c>
      <c r="J6" s="89">
        <f>SUMIFS('OB History'!F:F,'OB History'!B:B,A6)</f>
        <v>38</v>
      </c>
      <c r="K6" s="92">
        <f>SUMIFS('OB History'!E:E,'OB History'!B:B,A6)-J6</f>
        <v>53</v>
      </c>
      <c r="L6" s="41">
        <f t="shared" si="1"/>
        <v>0.4175824175824176</v>
      </c>
      <c r="M6" s="89">
        <f>SUMIFS('OB History'!H:H,'OB History'!B:B,'Old Bow v2'!A6)</f>
        <v>173</v>
      </c>
      <c r="N6" s="92">
        <f>SUMIFS('OB History'!G:G,'OB History'!B:B,'Old Bow v2'!A6)-M6</f>
        <v>200</v>
      </c>
      <c r="O6" s="41">
        <f t="shared" si="2"/>
        <v>0.46380697050938335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3</v>
      </c>
      <c r="T6" s="92">
        <f>COUNTIFS('OB History'!$B:$B,$A$6,'OB History'!O:O, 1)</f>
        <v>0</v>
      </c>
      <c r="U6" s="92">
        <f>COUNTIFS('OB History'!$B:$B,$A$6,'OB History'!P:P, 1)</f>
        <v>6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1</v>
      </c>
      <c r="Z6" s="92">
        <f>COUNTIFS('OB History'!$B:$B,$A$6,'OB History'!U:U, 1)</f>
        <v>1</v>
      </c>
      <c r="AA6" s="92">
        <f>COUNTIFS('OB History'!$B:$B,$A$6,'OB History'!V:V, 1)</f>
        <v>4</v>
      </c>
      <c r="AB6" s="92">
        <f>COUNTIFS('OB History'!$B:$B,$A$6,'OB History'!W:W, 1)</f>
        <v>11</v>
      </c>
      <c r="AC6" s="92">
        <f>COUNTIFS('OB History'!$B:$B,$A$6,'OB History'!X:X, 1)</f>
        <v>0</v>
      </c>
      <c r="AD6" s="92">
        <f>COUNTIFS('OB History'!$B:$B,$A$6,'OB History'!Y:Y, 1)</f>
        <v>6</v>
      </c>
    </row>
    <row r="7" spans="1:30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15</v>
      </c>
      <c r="E7" s="90">
        <f>AVERAGEIFS('OB History'!C:C,'OB History'!B:B,A7)</f>
        <v>7.5</v>
      </c>
      <c r="F7" s="91">
        <f t="array" ref="F7">MAX(IF('OB History'!B:B=A7, 'OB History'!C:C))</f>
        <v>10</v>
      </c>
      <c r="G7" s="89">
        <f>COUNTIFS('OB History'!B:B,A7,'OB History'!D:D, 1)</f>
        <v>0</v>
      </c>
      <c r="H7" s="92">
        <f>COUNTIFS('OB History'!B:B,A7,'OB History'!D:D, 0)</f>
        <v>2</v>
      </c>
      <c r="I7" s="42">
        <f t="shared" si="0"/>
        <v>0</v>
      </c>
      <c r="J7" s="89">
        <f>SUMIFS('OB History'!F:F,'OB History'!B:B,A7)</f>
        <v>2</v>
      </c>
      <c r="K7" s="92">
        <f>SUMIFS('OB History'!E:E,'OB History'!B:B,A7)-J7</f>
        <v>6</v>
      </c>
      <c r="L7" s="42">
        <f t="shared" si="1"/>
        <v>0.25</v>
      </c>
      <c r="M7" s="89">
        <f>SUMIFS('OB History'!H:H,'OB History'!B:B,'Old Bow v2'!A7)</f>
        <v>9</v>
      </c>
      <c r="N7" s="92">
        <f>SUMIFS('OB History'!G:G,'OB History'!B:B,'Old Bow v2'!A7)-M7</f>
        <v>21</v>
      </c>
      <c r="O7" s="42">
        <f t="shared" si="2"/>
        <v>0.3</v>
      </c>
      <c r="P7" s="92">
        <f>COUNTIFS('OB History'!$B:$B,$A$7,'OB History'!K:K, 1)</f>
        <v>0</v>
      </c>
      <c r="Q7" s="92">
        <f>COUNTIFS('OB History'!$B:$B,$A$7,'OB History'!L:L, 1)</f>
        <v>0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0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1</v>
      </c>
      <c r="AA7" s="92">
        <f>COUNTIFS('OB History'!$B:$B,$A$7,'OB History'!V:V, 1)</f>
        <v>0</v>
      </c>
      <c r="AB7" s="92">
        <f>COUNTIFS('OB History'!$B:$B,$A$7,'OB History'!W:W, 1)</f>
        <v>0</v>
      </c>
      <c r="AC7" s="92">
        <f>COUNTIFS('OB History'!$B:$B,$A$7,'OB History'!X:X, 1)</f>
        <v>1</v>
      </c>
      <c r="AD7" s="92">
        <f>COUNTIFS('OB History'!$B:$B,$A$7,'OB History'!Y:Y, 1)</f>
        <v>0</v>
      </c>
    </row>
    <row r="8" spans="1:30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139</v>
      </c>
      <c r="E8" s="90">
        <f>AVERAGEIFS('OB History'!C:C,'OB History'!B:B,A8)</f>
        <v>15.444444444444445</v>
      </c>
      <c r="F8" s="91">
        <f t="array" ref="F8">MAX(IF('OB History'!B:B=A8, 'OB History'!C:C))</f>
        <v>22</v>
      </c>
      <c r="G8" s="89">
        <f>COUNTIFS('OB History'!B:B,A8,'OB History'!D:D, 1)</f>
        <v>5</v>
      </c>
      <c r="H8" s="92">
        <f>COUNTIFS('OB History'!B:B,A8,'OB History'!D:D, 0)</f>
        <v>4</v>
      </c>
      <c r="I8" s="41">
        <f t="shared" si="0"/>
        <v>0.55555555555555558</v>
      </c>
      <c r="J8" s="89">
        <f>SUMIFS('OB History'!F:F,'OB History'!B:B,A8)</f>
        <v>22</v>
      </c>
      <c r="K8" s="92">
        <f>SUMIFS('OB History'!E:E,'OB History'!B:B,A8)-J8</f>
        <v>15</v>
      </c>
      <c r="L8" s="41">
        <f t="shared" si="1"/>
        <v>0.59459459459459463</v>
      </c>
      <c r="M8" s="89">
        <f>SUMIFS('OB History'!H:H,'OB History'!B:B,'Old Bow v2'!A8)</f>
        <v>85</v>
      </c>
      <c r="N8" s="92">
        <f>SUMIFS('OB History'!G:G,'OB History'!B:B,'Old Bow v2'!A8)-M8</f>
        <v>69</v>
      </c>
      <c r="O8" s="41">
        <f t="shared" si="2"/>
        <v>0.55194805194805197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2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2</v>
      </c>
      <c r="W8" s="92">
        <f>COUNTIFS('OB History'!$B:$B,$A$8,'OB History'!R:R, 1)</f>
        <v>1</v>
      </c>
      <c r="X8" s="92">
        <f>COUNTIFS('OB History'!$B:$B,$A$8,'OB History'!S:S, 1)</f>
        <v>0</v>
      </c>
      <c r="Y8" s="92">
        <f>COUNTIFS('OB History'!$B:$B,$A$8,'OB History'!T:T, 1)</f>
        <v>0</v>
      </c>
      <c r="Z8" s="92">
        <f>COUNTIFS('OB History'!$B:$B,$A$8,'OB History'!U:U, 1)</f>
        <v>1</v>
      </c>
      <c r="AA8" s="92">
        <f>COUNTIFS('OB History'!$B:$B,$A$8,'OB History'!V:V, 1)</f>
        <v>2</v>
      </c>
      <c r="AB8" s="92">
        <f>COUNTIFS('OB History'!$B:$B,$A$8,'OB History'!W:W, 1)</f>
        <v>3</v>
      </c>
      <c r="AC8" s="92">
        <f>COUNTIFS('OB History'!$B:$B,$A$8,'OB History'!X:X, 1)</f>
        <v>2</v>
      </c>
      <c r="AD8" s="92">
        <f>COUNTIFS('OB History'!$B:$B,$A$8,'OB History'!Y:Y, 1)</f>
        <v>4</v>
      </c>
    </row>
    <row r="9" spans="1:30" x14ac:dyDescent="0.25">
      <c r="A9" s="2" t="s">
        <v>27</v>
      </c>
      <c r="B9" s="6" t="s">
        <v>76</v>
      </c>
      <c r="C9" s="6" t="s">
        <v>79</v>
      </c>
      <c r="D9" s="89">
        <f>SUMIFS('OB History'!C:C,'OB History'!B:B,A9)</f>
        <v>174</v>
      </c>
      <c r="E9" s="90">
        <f>AVERAGEIFS('OB History'!C:C,'OB History'!B:B,A9)</f>
        <v>13.384615384615385</v>
      </c>
      <c r="F9" s="91">
        <f t="array" ref="F9">MAX(IF('OB History'!B:B=A9, 'OB History'!C:C))</f>
        <v>24</v>
      </c>
      <c r="G9" s="89">
        <f>COUNTIFS('OB History'!B:B,A9,'OB History'!D:D, 1)</f>
        <v>6</v>
      </c>
      <c r="H9" s="92">
        <f>COUNTIFS('OB History'!B:B,A9,'OB History'!D:D, 0)</f>
        <v>7</v>
      </c>
      <c r="I9" s="88">
        <f t="shared" si="0"/>
        <v>0.46153846153846156</v>
      </c>
      <c r="J9" s="89">
        <f>SUMIFS('OB History'!F:F,'OB History'!B:B,A9)</f>
        <v>25</v>
      </c>
      <c r="K9" s="92">
        <f>SUMIFS('OB History'!E:E,'OB History'!B:B,A9)-J9</f>
        <v>29</v>
      </c>
      <c r="L9" s="88">
        <f t="shared" si="1"/>
        <v>0.46296296296296297</v>
      </c>
      <c r="M9" s="89">
        <f>SUMIFS('OB History'!H:H,'OB History'!B:B,'Old Bow v2'!A9)</f>
        <v>107</v>
      </c>
      <c r="N9" s="92">
        <f>SUMIFS('OB History'!G:G,'OB History'!B:B,'Old Bow v2'!A9)-M9</f>
        <v>120</v>
      </c>
      <c r="O9" s="88">
        <f t="shared" si="2"/>
        <v>0.47136563876651982</v>
      </c>
      <c r="P9" s="92">
        <f>COUNTIFS('OB History'!$B:$B,$A$9,'OB History'!K:K, 1)</f>
        <v>0</v>
      </c>
      <c r="Q9" s="92">
        <f>COUNTIFS('OB History'!$B:$B,$A$9,'OB History'!L:L, 1)</f>
        <v>1</v>
      </c>
      <c r="R9" s="92">
        <f>COUNTIFS('OB History'!$B:$B,$A$9,'OB History'!M:M, 1)</f>
        <v>0</v>
      </c>
      <c r="S9" s="92">
        <f>COUNTIFS('OB History'!$B:$B,$A$9,'OB History'!N:N, 1)</f>
        <v>1</v>
      </c>
      <c r="T9" s="92">
        <f>COUNTIFS('OB History'!$B:$B,$A$9,'OB History'!O:O, 1)</f>
        <v>2</v>
      </c>
      <c r="U9" s="92">
        <f>COUNTIFS('OB History'!$B:$B,$A$9,'OB History'!P:P, 1)</f>
        <v>4</v>
      </c>
      <c r="V9" s="92">
        <f>COUNTIFS('OB History'!$B:$B,$A$9,'OB History'!Q:Q, 1)</f>
        <v>1</v>
      </c>
      <c r="W9" s="92">
        <f>COUNTIFS('OB History'!$B:$B,$A$9,'OB History'!R:R, 1)</f>
        <v>0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1</v>
      </c>
      <c r="AA9" s="92">
        <f>COUNTIFS('OB History'!$B:$B,$A$9,'OB History'!V:V, 1)</f>
        <v>4</v>
      </c>
      <c r="AB9" s="92">
        <f>COUNTIFS('OB History'!$B:$B,$A$9,'OB History'!W:W, 1)</f>
        <v>4</v>
      </c>
      <c r="AC9" s="92">
        <f>COUNTIFS('OB History'!$B:$B,$A$9,'OB History'!X:X, 1)</f>
        <v>2</v>
      </c>
      <c r="AD9" s="92">
        <f>COUNTIFS('OB History'!$B:$B,$A$9,'OB History'!Y:Y, 1)</f>
        <v>3</v>
      </c>
    </row>
    <row r="10" spans="1:30" x14ac:dyDescent="0.25">
      <c r="A10" s="2" t="s">
        <v>26</v>
      </c>
      <c r="B10" s="6" t="s">
        <v>60</v>
      </c>
      <c r="C10" s="6" t="s">
        <v>79</v>
      </c>
      <c r="D10" s="89">
        <f>SUMIFS('OB History'!C:C,'OB History'!B:B,A10)</f>
        <v>213</v>
      </c>
      <c r="E10" s="90">
        <f>AVERAGEIFS('OB History'!C:C,'OB History'!B:B,A10)</f>
        <v>12.529411764705882</v>
      </c>
      <c r="F10" s="91">
        <f t="array" ref="F10">MAX(IF('OB History'!B:B=A10, 'OB History'!C:C))</f>
        <v>24</v>
      </c>
      <c r="G10" s="89">
        <f>COUNTIFS('OB History'!B:B,A10,'OB History'!D:D, 1)</f>
        <v>12</v>
      </c>
      <c r="H10" s="92">
        <f>COUNTIFS('OB History'!B:B,A10,'OB History'!D:D, 0)</f>
        <v>5</v>
      </c>
      <c r="I10" s="41">
        <f t="shared" si="0"/>
        <v>0.70588235294117652</v>
      </c>
      <c r="J10" s="89">
        <f>SUMIFS('OB History'!F:F,'OB History'!B:B,A10)</f>
        <v>44</v>
      </c>
      <c r="K10" s="92">
        <f>SUMIFS('OB History'!E:E,'OB History'!B:B,A10)-J10</f>
        <v>27</v>
      </c>
      <c r="L10" s="41">
        <f t="shared" si="1"/>
        <v>0.61971830985915488</v>
      </c>
      <c r="M10" s="89">
        <f>SUMIFS('OB History'!H:H,'OB History'!B:B,'Old Bow v2'!A10)</f>
        <v>163</v>
      </c>
      <c r="N10" s="92">
        <f>SUMIFS('OB History'!G:G,'OB History'!B:B,'Old Bow v2'!A10)-M10</f>
        <v>129</v>
      </c>
      <c r="O10" s="41">
        <f t="shared" si="2"/>
        <v>0.55821917808219179</v>
      </c>
      <c r="P10" s="92">
        <f>COUNTIFS('OB History'!$B:$B,$A$10,'OB History'!K:K, 1)</f>
        <v>1</v>
      </c>
      <c r="Q10" s="92">
        <f>COUNTIFS('OB History'!$B:$B,$A$10,'OB History'!L:L, 1)</f>
        <v>2</v>
      </c>
      <c r="R10" s="92">
        <f>COUNTIFS('OB History'!$B:$B,$A$10,'OB History'!M:M, 1)</f>
        <v>0</v>
      </c>
      <c r="S10" s="92">
        <f>COUNTIFS('OB History'!$B:$B,$A$10,'OB History'!N:N, 1)</f>
        <v>7</v>
      </c>
      <c r="T10" s="92">
        <f>COUNTIFS('OB History'!$B:$B,$A$10,'OB History'!O:O, 1)</f>
        <v>2</v>
      </c>
      <c r="U10" s="92">
        <f>COUNTIFS('OB History'!$B:$B,$A$10,'OB History'!P:P, 1)</f>
        <v>8</v>
      </c>
      <c r="V10" s="92">
        <f>COUNTIFS('OB History'!$B:$B,$A$10,'OB History'!Q:Q, 1)</f>
        <v>3</v>
      </c>
      <c r="W10" s="92">
        <f>COUNTIFS('OB History'!$B:$B,$A$10,'OB History'!R:R, 1)</f>
        <v>2</v>
      </c>
      <c r="X10" s="92">
        <f>COUNTIFS('OB History'!$B:$B,$A$10,'OB History'!S:S, 1)</f>
        <v>1</v>
      </c>
      <c r="Y10" s="92">
        <f>COUNTIFS('OB History'!$B:$B,$A$10,'OB History'!T:T, 1)</f>
        <v>1</v>
      </c>
      <c r="Z10" s="92">
        <f>COUNTIFS('OB History'!$B:$B,$A$10,'OB History'!U:U, 1)</f>
        <v>2</v>
      </c>
      <c r="AA10" s="92">
        <f>COUNTIFS('OB History'!$B:$B,$A$10,'OB History'!V:V, 1)</f>
        <v>3</v>
      </c>
      <c r="AB10" s="92">
        <f>COUNTIFS('OB History'!$B:$B,$A$10,'OB History'!W:W, 1)</f>
        <v>5</v>
      </c>
      <c r="AC10" s="92">
        <f>COUNTIFS('OB History'!$B:$B,$A$10,'OB History'!X:X, 1)</f>
        <v>2</v>
      </c>
      <c r="AD10" s="92">
        <f>COUNTIFS('OB History'!$B:$B,$A$10,'OB History'!Y:Y, 1)</f>
        <v>3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89">
        <f>SUMIFS('OB History'!C:C,'OB History'!B:B,A11)</f>
        <v>114</v>
      </c>
      <c r="E11" s="90">
        <f>AVERAGEIFS('OB History'!C:C,'OB History'!B:B,A11)</f>
        <v>10.363636363636363</v>
      </c>
      <c r="F11" s="91">
        <f t="array" ref="F11">MAX(IF('OB History'!B:B=A11, 'OB History'!C:C))</f>
        <v>17</v>
      </c>
      <c r="G11" s="89">
        <f>COUNTIFS('OB History'!B:B,A11,'OB History'!D:D, 1)</f>
        <v>5</v>
      </c>
      <c r="H11" s="92">
        <f>COUNTIFS('OB History'!B:B,A11,'OB History'!D:D, 0)</f>
        <v>6</v>
      </c>
      <c r="I11" s="42">
        <f t="shared" si="0"/>
        <v>0.45454545454545453</v>
      </c>
      <c r="J11" s="89">
        <f>SUMIFS('OB History'!F:F,'OB History'!B:B,A11)</f>
        <v>22</v>
      </c>
      <c r="K11" s="92">
        <f>SUMIFS('OB History'!E:E,'OB History'!B:B,A11)-J11</f>
        <v>23</v>
      </c>
      <c r="L11" s="42">
        <f t="shared" si="1"/>
        <v>0.48888888888888887</v>
      </c>
      <c r="M11" s="89">
        <f>SUMIFS('OB History'!H:H,'OB History'!B:B,'Old Bow v2'!A11)</f>
        <v>92</v>
      </c>
      <c r="N11" s="92">
        <f>SUMIFS('OB History'!G:G,'OB History'!B:B,'Old Bow v2'!A11)-M11</f>
        <v>90</v>
      </c>
      <c r="O11" s="42">
        <f t="shared" si="2"/>
        <v>0.50549450549450547</v>
      </c>
      <c r="P11" s="92">
        <f>COUNTIFS('OB History'!$B:$B,$A$11,'OB History'!K:K, 1)</f>
        <v>0</v>
      </c>
      <c r="Q11" s="92">
        <f>COUNTIFS('OB History'!$B:$B,$A$11,'OB History'!L:L, 1)</f>
        <v>2</v>
      </c>
      <c r="R11" s="92">
        <f>COUNTIFS('OB History'!$B:$B,$A$11,'OB History'!M:M, 1)</f>
        <v>0</v>
      </c>
      <c r="S11" s="92">
        <f>COUNTIFS('OB History'!$B:$B,$A$11,'OB History'!N:N, 1)</f>
        <v>5</v>
      </c>
      <c r="T11" s="92">
        <f>COUNTIFS('OB History'!$B:$B,$A$11,'OB History'!O:O, 1)</f>
        <v>0</v>
      </c>
      <c r="U11" s="92">
        <f>COUNTIFS('OB History'!$B:$B,$A$11,'OB History'!P:P, 1)</f>
        <v>4</v>
      </c>
      <c r="V11" s="92">
        <f>COUNTIFS('OB History'!$B:$B,$A$11,'OB History'!Q:Q, 1)</f>
        <v>0</v>
      </c>
      <c r="W11" s="92">
        <f>COUNTIFS('OB History'!$B:$B,$A$11,'OB History'!R:R, 1)</f>
        <v>0</v>
      </c>
      <c r="X11" s="92">
        <f>COUNTIFS('OB History'!$B:$B,$A$11,'OB History'!S:S, 1)</f>
        <v>0</v>
      </c>
      <c r="Y11" s="92">
        <f>COUNTIFS('OB History'!$B:$B,$A$11,'OB History'!T:T, 1)</f>
        <v>0</v>
      </c>
      <c r="Z11" s="92">
        <f>COUNTIFS('OB History'!$B:$B,$A$11,'OB History'!U:U, 1)</f>
        <v>0</v>
      </c>
      <c r="AA11" s="92">
        <f>COUNTIFS('OB History'!$B:$B,$A$11,'OB History'!V:V, 1)</f>
        <v>2</v>
      </c>
      <c r="AB11" s="92">
        <f>COUNTIFS('OB History'!$B:$B,$A$11,'OB History'!W:W, 1)</f>
        <v>4</v>
      </c>
      <c r="AC11" s="92">
        <f>COUNTIFS('OB History'!$B:$B,$A$11,'OB History'!X:X, 1)</f>
        <v>1</v>
      </c>
      <c r="AD11" s="92">
        <f>COUNTIFS('OB History'!$B:$B,$A$11,'OB History'!Y:Y, 1)</f>
        <v>4</v>
      </c>
    </row>
    <row r="12" spans="1:30" x14ac:dyDescent="0.25">
      <c r="A12" s="2" t="s">
        <v>50</v>
      </c>
      <c r="B12" s="2" t="s">
        <v>79</v>
      </c>
      <c r="C12" s="2" t="s">
        <v>79</v>
      </c>
      <c r="D12" s="89">
        <f>SUMIFS('OB History'!C:C,'OB History'!B:B,A12)</f>
        <v>26</v>
      </c>
      <c r="E12" s="90">
        <f>AVERAGEIFS('OB History'!C:C,'OB History'!B:B,A12)</f>
        <v>13</v>
      </c>
      <c r="F12" s="91">
        <f t="array" ref="F12">MAX(IF('OB History'!B:B=A12, 'OB History'!C:C))</f>
        <v>14</v>
      </c>
      <c r="G12" s="89">
        <f>COUNTIFS('OB History'!B:B,A12,'OB History'!D:D, 1)</f>
        <v>0</v>
      </c>
      <c r="H12" s="92">
        <f>COUNTIFS('OB History'!B:B,A12,'OB History'!D:D, 0)</f>
        <v>2</v>
      </c>
      <c r="I12" s="42">
        <f t="shared" si="0"/>
        <v>0</v>
      </c>
      <c r="J12" s="89">
        <f>SUMIFS('OB History'!F:F,'OB History'!B:B,A12)</f>
        <v>2</v>
      </c>
      <c r="K12" s="92">
        <f>SUMIFS('OB History'!E:E,'OB History'!B:B,A12)-J12</f>
        <v>6</v>
      </c>
      <c r="L12" s="42">
        <f t="shared" si="1"/>
        <v>0.25</v>
      </c>
      <c r="M12" s="89">
        <f>SUMIFS('OB History'!H:H,'OB History'!B:B,'Old Bow v2'!A12)</f>
        <v>13</v>
      </c>
      <c r="N12" s="92">
        <f>SUMIFS('OB History'!G:G,'OB History'!B:B,'Old Bow v2'!A12)-M12</f>
        <v>22</v>
      </c>
      <c r="O12" s="42">
        <f t="shared" si="2"/>
        <v>0.37142857142857144</v>
      </c>
      <c r="P12" s="92">
        <f>COUNTIFS('OB History'!$B:$B,$A$12,'OB History'!K:K, 1)</f>
        <v>0</v>
      </c>
      <c r="Q12" s="92">
        <f>COUNTIFS('OB History'!$B:$B,$A$12,'OB History'!L:L, 1)</f>
        <v>0</v>
      </c>
      <c r="R12" s="92">
        <f>COUNTIFS('OB History'!$B:$B,$A$12,'OB History'!M:M, 1)</f>
        <v>0</v>
      </c>
      <c r="S12" s="92">
        <f>COUNTIFS('OB History'!$B:$B,$A$12,'OB History'!N:N, 1)</f>
        <v>0</v>
      </c>
      <c r="T12" s="92">
        <f>COUNTIFS('OB History'!$B:$B,$A$12,'OB History'!O:O, 1)</f>
        <v>0</v>
      </c>
      <c r="U12" s="92">
        <f>COUNTIFS('OB History'!$B:$B,$A$12,'OB History'!P:P, 1)</f>
        <v>1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1</v>
      </c>
      <c r="AB12" s="92">
        <f>COUNTIFS('OB History'!$B:$B,$A$12,'OB History'!W:W, 1)</f>
        <v>0</v>
      </c>
      <c r="AC12" s="92">
        <f>COUNTIFS('OB History'!$B:$B,$A$12,'OB History'!X:X, 1)</f>
        <v>0</v>
      </c>
      <c r="AD12" s="92">
        <f>COUNTIFS('OB History'!$B:$B,$A$12,'OB History'!Y:Y, 1)</f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89">
        <f>SUMIFS('OB History'!C:C,'OB History'!B:B,A13)</f>
        <v>5</v>
      </c>
      <c r="E13" s="90">
        <f>AVERAGEIFS('OB History'!C:C,'OB History'!B:B,A13)</f>
        <v>5</v>
      </c>
      <c r="F13" s="91">
        <f t="array" ref="F13">MAX(IF('OB History'!B:B=A13, 'OB History'!C:C))</f>
        <v>5</v>
      </c>
      <c r="G13" s="89">
        <f>COUNTIFS('OB History'!B:B,A13,'OB History'!D:D, 1)</f>
        <v>0</v>
      </c>
      <c r="H13" s="92">
        <f>COUNTIFS('OB History'!B:B,A13,'OB History'!D:D, 0)</f>
        <v>1</v>
      </c>
      <c r="I13" s="42">
        <f t="shared" si="0"/>
        <v>0</v>
      </c>
      <c r="J13" s="89">
        <f>SUMIFS('OB History'!F:F,'OB History'!B:B,A13)</f>
        <v>0</v>
      </c>
      <c r="K13" s="92">
        <f>SUMIFS('OB History'!E:E,'OB History'!B:B,A13)-J13</f>
        <v>3</v>
      </c>
      <c r="L13" s="42">
        <f t="shared" si="1"/>
        <v>0</v>
      </c>
      <c r="M13" s="89">
        <f>SUMIFS('OB History'!H:H,'OB History'!B:B,'Old Bow v2'!A13)</f>
        <v>4</v>
      </c>
      <c r="N13" s="92">
        <f>SUMIFS('OB History'!G:G,'OB History'!B:B,'Old Bow v2'!A13)-M13</f>
        <v>9</v>
      </c>
      <c r="O13" s="42">
        <f t="shared" si="2"/>
        <v>0.30769230769230771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0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0</v>
      </c>
      <c r="AC13" s="92">
        <f>COUNTIFS('OB History'!$B:$B,$A$13,'OB History'!X:X, 1)</f>
        <v>0</v>
      </c>
      <c r="AD13" s="92">
        <f>COUNTIFS('OB History'!$B:$B,$A$13,'OB History'!Y:Y, 1)</f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89">
        <f>SUMIFS('OB History'!C:C,'OB History'!B:B,A14)</f>
        <v>12</v>
      </c>
      <c r="E14" s="90">
        <f>AVERAGEIFS('OB History'!C:C,'OB History'!B:B,A14)</f>
        <v>12</v>
      </c>
      <c r="F14" s="91">
        <f t="array" ref="F14">MAX(IF('OB History'!B:B=A14, 'OB History'!C:C))</f>
        <v>12</v>
      </c>
      <c r="G14" s="89">
        <f>COUNTIFS('OB History'!B:B,A14,'OB History'!D:D, 1)</f>
        <v>1</v>
      </c>
      <c r="H14" s="92">
        <f>COUNTIFS('OB History'!B:B,A14,'OB History'!D:D, 0)</f>
        <v>0</v>
      </c>
      <c r="I14" s="42">
        <f t="shared" si="0"/>
        <v>1</v>
      </c>
      <c r="J14" s="89">
        <f>SUMIFS('OB History'!F:F,'OB History'!B:B,A14)</f>
        <v>3</v>
      </c>
      <c r="K14" s="92">
        <f>SUMIFS('OB History'!E:E,'OB History'!B:B,A14)-J14</f>
        <v>0</v>
      </c>
      <c r="L14" s="42">
        <f t="shared" si="1"/>
        <v>1</v>
      </c>
      <c r="M14" s="89">
        <f>SUMIFS('OB History'!H:H,'OB History'!B:B,'Old Bow v2'!A14)</f>
        <v>9</v>
      </c>
      <c r="N14" s="92">
        <f>SUMIFS('OB History'!G:G,'OB History'!B:B,'Old Bow v2'!A14)-M14</f>
        <v>4</v>
      </c>
      <c r="O14" s="42">
        <f t="shared" si="2"/>
        <v>0.69230769230769229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1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1</v>
      </c>
      <c r="AC14" s="92">
        <f>COUNTIFS('OB History'!$B:$B,$A$14,'OB History'!X:X, 1)</f>
        <v>0</v>
      </c>
      <c r="AD14" s="92">
        <f>COUNTIFS('OB History'!$B:$B,$A$14,'OB History'!Y:Y, 1)</f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89">
        <f>SUMIFS('OB History'!C:C,'OB History'!B:B,A15)</f>
        <v>167</v>
      </c>
      <c r="E15" s="90">
        <f>AVERAGEIFS('OB History'!C:C,'OB History'!B:B,A15)</f>
        <v>27.833333333333332</v>
      </c>
      <c r="F15" s="91">
        <f t="array" ref="F15">MAX(IF('OB History'!B:B=A15, 'OB History'!C:C))</f>
        <v>37</v>
      </c>
      <c r="G15" s="89">
        <f>COUNTIFS('OB History'!B:B,A15,'OB History'!D:D, 1)</f>
        <v>4</v>
      </c>
      <c r="H15" s="92">
        <f>COUNTIFS('OB History'!B:B,A15,'OB History'!D:D, 0)</f>
        <v>2</v>
      </c>
      <c r="I15" s="41">
        <f t="shared" si="0"/>
        <v>0.66666666666666663</v>
      </c>
      <c r="J15" s="89">
        <f>SUMIFS('OB History'!F:F,'OB History'!B:B,A15)</f>
        <v>15</v>
      </c>
      <c r="K15" s="92">
        <f>SUMIFS('OB History'!E:E,'OB History'!B:B,A15)-J15</f>
        <v>12</v>
      </c>
      <c r="L15" s="41">
        <f t="shared" si="1"/>
        <v>0.55555555555555558</v>
      </c>
      <c r="M15" s="89">
        <f>SUMIFS('OB History'!H:H,'OB History'!B:B,'Old Bow v2'!A15)</f>
        <v>60</v>
      </c>
      <c r="N15" s="92">
        <f>SUMIFS('OB History'!G:G,'OB History'!B:B,'Old Bow v2'!A15)-M15</f>
        <v>60</v>
      </c>
      <c r="O15" s="41">
        <f t="shared" si="2"/>
        <v>0.5</v>
      </c>
      <c r="P15" s="92">
        <f>COUNTIFS('OB History'!$B:$B,$A$15,'OB History'!K:K, 1)</f>
        <v>0</v>
      </c>
      <c r="Q15" s="92">
        <f>COUNTIFS('OB History'!$B:$B,$A$15,'OB History'!L:L, 1)</f>
        <v>1</v>
      </c>
      <c r="R15" s="92">
        <f>COUNTIFS('OB History'!$B:$B,$A$15,'OB History'!M:M, 1)</f>
        <v>0</v>
      </c>
      <c r="S15" s="92">
        <f>COUNTIFS('OB History'!$B:$B,$A$15,'OB History'!N:N, 1)</f>
        <v>0</v>
      </c>
      <c r="T15" s="92">
        <f>COUNTIFS('OB History'!$B:$B,$A$15,'OB History'!O:O, 1)</f>
        <v>1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0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1</v>
      </c>
      <c r="AB15" s="92">
        <f>COUNTIFS('OB History'!$B:$B,$A$15,'OB History'!W:W, 1)</f>
        <v>3</v>
      </c>
      <c r="AC15" s="92">
        <f>COUNTIFS('OB History'!$B:$B,$A$15,'OB History'!X:X, 1)</f>
        <v>2</v>
      </c>
      <c r="AD15" s="92">
        <f>COUNTIFS('OB History'!$B:$B,$A$15,'OB History'!Y:Y, 1)</f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89">
        <f>SUMIFS('OB History'!C:C,'OB History'!B:B,A16)</f>
        <v>165</v>
      </c>
      <c r="E16" s="90">
        <f>AVERAGEIFS('OB History'!C:C,'OB History'!B:B,A16)</f>
        <v>9.7058823529411757</v>
      </c>
      <c r="F16" s="91">
        <f t="array" ref="F16">MAX(IF('OB History'!B:B=A16, 'OB History'!C:C))</f>
        <v>21</v>
      </c>
      <c r="G16" s="89">
        <f>COUNTIFS('OB History'!B:B,A16,'OB History'!D:D, 1)</f>
        <v>8</v>
      </c>
      <c r="H16" s="92">
        <f>COUNTIFS('OB History'!B:B,A16,'OB History'!D:D, 0)</f>
        <v>9</v>
      </c>
      <c r="I16" s="41">
        <f t="shared" si="0"/>
        <v>0.47058823529411764</v>
      </c>
      <c r="J16" s="89">
        <f>SUMIFS('OB History'!F:F,'OB History'!B:B,A16)</f>
        <v>33</v>
      </c>
      <c r="K16" s="92">
        <f>SUMIFS('OB History'!E:E,'OB History'!B:B,A16)-J16</f>
        <v>36</v>
      </c>
      <c r="L16" s="41">
        <f t="shared" si="1"/>
        <v>0.47826086956521741</v>
      </c>
      <c r="M16" s="89">
        <f>SUMIFS('OB History'!H:H,'OB History'!B:B,'Old Bow v2'!A16)</f>
        <v>143</v>
      </c>
      <c r="N16" s="92">
        <f>SUMIFS('OB History'!G:G,'OB History'!B:B,'Old Bow v2'!A16)-M16</f>
        <v>147</v>
      </c>
      <c r="O16" s="41">
        <f t="shared" si="2"/>
        <v>0.49310344827586206</v>
      </c>
      <c r="P16" s="92">
        <f>COUNTIFS('OB History'!$B:$B,$A$16,'OB History'!K:K, 1)</f>
        <v>2</v>
      </c>
      <c r="Q16" s="92">
        <f>COUNTIFS('OB History'!$B:$B,$A$16,'OB History'!L:L, 1)</f>
        <v>2</v>
      </c>
      <c r="R16" s="92">
        <f>COUNTIFS('OB History'!$B:$B,$A$16,'OB History'!M:M, 1)</f>
        <v>0</v>
      </c>
      <c r="S16" s="92">
        <f>COUNTIFS('OB History'!$B:$B,$A$16,'OB History'!N:N, 1)</f>
        <v>4</v>
      </c>
      <c r="T16" s="92">
        <f>COUNTIFS('OB History'!$B:$B,$A$16,'OB History'!O:O, 1)</f>
        <v>1</v>
      </c>
      <c r="U16" s="92">
        <f>COUNTIFS('OB History'!$B:$B,$A$16,'OB History'!P:P, 1)</f>
        <v>3</v>
      </c>
      <c r="V16" s="92">
        <f>COUNTIFS('OB History'!$B:$B,$A$16,'OB History'!Q:Q, 1)</f>
        <v>1</v>
      </c>
      <c r="W16" s="92">
        <f>COUNTIFS('OB History'!$B:$B,$A$16,'OB History'!R:R, 1)</f>
        <v>0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1</v>
      </c>
      <c r="AA16" s="92">
        <f>COUNTIFS('OB History'!$B:$B,$A$16,'OB History'!V:V, 1)</f>
        <v>4</v>
      </c>
      <c r="AB16" s="92">
        <f>COUNTIFS('OB History'!$B:$B,$A$16,'OB History'!W:W, 1)</f>
        <v>6</v>
      </c>
      <c r="AC16" s="92">
        <f>COUNTIFS('OB History'!$B:$B,$A$16,'OB History'!X:X, 1)</f>
        <v>2</v>
      </c>
      <c r="AD16" s="92">
        <f>COUNTIFS('OB History'!$B:$B,$A$16,'OB History'!Y:Y, 1)</f>
        <v>6</v>
      </c>
    </row>
    <row r="17" spans="1:30" x14ac:dyDescent="0.25">
      <c r="A17" s="2" t="s">
        <v>46</v>
      </c>
      <c r="B17" s="2" t="s">
        <v>79</v>
      </c>
      <c r="C17" s="2" t="s">
        <v>79</v>
      </c>
      <c r="D17" s="89">
        <f>SUMIFS('OB History'!C:C,'OB History'!B:B,A17)</f>
        <v>183</v>
      </c>
      <c r="E17" s="90">
        <f>AVERAGEIFS('OB History'!C:C,'OB History'!B:B,A17)</f>
        <v>20.333333333333332</v>
      </c>
      <c r="F17" s="91">
        <f t="array" ref="F17">MAX(IF('OB History'!B:B=A17, 'OB History'!C:C))</f>
        <v>36</v>
      </c>
      <c r="G17" s="89">
        <f>COUNTIFS('OB History'!B:B,A17,'OB History'!D:D, 1)</f>
        <v>4</v>
      </c>
      <c r="H17" s="92">
        <f>COUNTIFS('OB History'!B:B,A17,'OB History'!D:D, 0)</f>
        <v>5</v>
      </c>
      <c r="I17" s="41">
        <f t="shared" si="0"/>
        <v>0.44444444444444442</v>
      </c>
      <c r="J17" s="89">
        <f>SUMIFS('OB History'!F:F,'OB History'!B:B,A17)</f>
        <v>16</v>
      </c>
      <c r="K17" s="92">
        <f>SUMIFS('OB History'!E:E,'OB History'!B:B,A17)-J17</f>
        <v>20</v>
      </c>
      <c r="L17" s="41">
        <f t="shared" si="1"/>
        <v>0.44444444444444442</v>
      </c>
      <c r="M17" s="89">
        <f>SUMIFS('OB History'!H:H,'OB History'!B:B,'Old Bow v2'!A17)</f>
        <v>70</v>
      </c>
      <c r="N17" s="92">
        <f>SUMIFS('OB History'!G:G,'OB History'!B:B,'Old Bow v2'!A17)-M17</f>
        <v>83</v>
      </c>
      <c r="O17" s="41">
        <f t="shared" si="2"/>
        <v>0.45751633986928103</v>
      </c>
      <c r="P17" s="92">
        <f>COUNTIFS('OB History'!$B:$B,$A$17,'OB History'!K:K, 1)</f>
        <v>0</v>
      </c>
      <c r="Q17" s="92">
        <f>COUNTIFS('OB History'!$B:$B,$A$17,'OB History'!L:L, 1)</f>
        <v>1</v>
      </c>
      <c r="R17" s="92">
        <f>COUNTIFS('OB History'!$B:$B,$A$17,'OB History'!M:M, 1)</f>
        <v>0</v>
      </c>
      <c r="S17" s="92">
        <f>COUNTIFS('OB History'!$B:$B,$A$17,'OB History'!N:N, 1)</f>
        <v>1</v>
      </c>
      <c r="T17" s="92">
        <f>COUNTIFS('OB History'!$B:$B,$A$17,'OB History'!O:O, 1)</f>
        <v>0</v>
      </c>
      <c r="U17" s="92">
        <f>COUNTIFS('OB History'!$B:$B,$A$17,'OB History'!P:P, 1)</f>
        <v>5</v>
      </c>
      <c r="V17" s="92">
        <f>COUNTIFS('OB History'!$B:$B,$A$17,'OB History'!Q:Q, 1)</f>
        <v>0</v>
      </c>
      <c r="W17" s="92">
        <f>COUNTIFS('OB History'!$B:$B,$A$17,'OB History'!R:R, 1)</f>
        <v>1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1</v>
      </c>
      <c r="AB17" s="92">
        <f>COUNTIFS('OB History'!$B:$B,$A$17,'OB History'!W:W, 1)</f>
        <v>3</v>
      </c>
      <c r="AC17" s="92">
        <f>COUNTIFS('OB History'!$B:$B,$A$17,'OB History'!X:X, 1)</f>
        <v>1</v>
      </c>
      <c r="AD17" s="92">
        <f>COUNTIFS('OB History'!$B:$B,$A$17,'OB History'!Y:Y, 1)</f>
        <v>2</v>
      </c>
    </row>
    <row r="18" spans="1:30" x14ac:dyDescent="0.25">
      <c r="A18" s="2" t="s">
        <v>140</v>
      </c>
      <c r="B18" s="2" t="s">
        <v>79</v>
      </c>
      <c r="C18" s="2" t="s">
        <v>79</v>
      </c>
      <c r="D18" s="89">
        <f>SUMIFS('OB History'!C:C,'OB History'!B:B,A18)</f>
        <v>25</v>
      </c>
      <c r="E18" s="90">
        <f>AVERAGEIFS('OB History'!C:C,'OB History'!B:B,A18)</f>
        <v>12.5</v>
      </c>
      <c r="F18" s="91">
        <f t="array" ref="F18">MAX(IF('OB History'!B:B=A18, 'OB History'!C:C))</f>
        <v>13</v>
      </c>
      <c r="G18" s="89">
        <f>COUNTIFS('OB History'!B:B,A18,'OB History'!D:D, 1)</f>
        <v>1</v>
      </c>
      <c r="H18" s="92">
        <f>COUNTIFS('OB History'!B:B,A18,'OB History'!D:D, 0)</f>
        <v>1</v>
      </c>
      <c r="I18" s="41">
        <f t="shared" si="0"/>
        <v>0.5</v>
      </c>
      <c r="J18" s="89">
        <f>SUMIFS('OB History'!F:F,'OB History'!B:B,A18)</f>
        <v>5</v>
      </c>
      <c r="K18" s="92">
        <f>SUMIFS('OB History'!E:E,'OB History'!B:B,A18)-J18</f>
        <v>5</v>
      </c>
      <c r="L18" s="41">
        <f t="shared" si="1"/>
        <v>0.5</v>
      </c>
      <c r="M18" s="89">
        <f>SUMIFS('OB History'!H:H,'OB History'!B:B,'Old Bow v2'!A18)</f>
        <v>19</v>
      </c>
      <c r="N18" s="92">
        <f>SUMIFS('OB History'!G:G,'OB History'!B:B,'Old Bow v2'!A18)-M18</f>
        <v>21</v>
      </c>
      <c r="O18" s="41">
        <f t="shared" si="2"/>
        <v>0.47499999999999998</v>
      </c>
      <c r="P18" s="92">
        <f>COUNTIFS('OB History'!$B:$B,$A$18,'OB History'!K:K, 1)</f>
        <v>0</v>
      </c>
      <c r="Q18" s="92">
        <f>COUNTIFS('OB History'!$B:$B,$A$18,'OB History'!L:L, 1)</f>
        <v>0</v>
      </c>
      <c r="R18" s="92">
        <f>COUNTIFS('OB History'!$B:$B,$A$18,'OB History'!M:M, 1)</f>
        <v>0</v>
      </c>
      <c r="S18" s="92">
        <f>COUNTIFS('OB History'!$B:$B,$A$18,'OB History'!N:N, 1)</f>
        <v>0</v>
      </c>
      <c r="T18" s="92">
        <f>COUNTIFS('OB History'!$B:$B,$A$18,'OB History'!O:O, 1)</f>
        <v>0</v>
      </c>
      <c r="U18" s="92">
        <f>COUNTIFS('OB History'!$B:$B,$A$18,'OB History'!P:P, 1)</f>
        <v>1</v>
      </c>
      <c r="V18" s="92">
        <f>COUNTIFS('OB History'!$B:$B,$A$18,'OB History'!Q:Q, 1)</f>
        <v>0</v>
      </c>
      <c r="W18" s="92">
        <f>COUNTIFS('OB History'!$B:$B,$A$18,'OB History'!R:R, 1)</f>
        <v>0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2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1</v>
      </c>
      <c r="AD18" s="92">
        <f>COUNTIFS('OB History'!$B:$B,$A$18,'OB History'!Y:Y, 1)</f>
        <v>0</v>
      </c>
    </row>
    <row r="19" spans="1:30" x14ac:dyDescent="0.25">
      <c r="A19" s="2" t="s">
        <v>28</v>
      </c>
      <c r="B19" s="6" t="s">
        <v>60</v>
      </c>
      <c r="C19" s="2" t="s">
        <v>79</v>
      </c>
      <c r="D19" s="89">
        <f>SUMIFS('OB History'!C:C,'OB History'!B:B,A19)</f>
        <v>205</v>
      </c>
      <c r="E19" s="90">
        <f>AVERAGEIFS('OB History'!C:C,'OB History'!B:B,A19)</f>
        <v>13.666666666666666</v>
      </c>
      <c r="F19" s="91">
        <f t="array" ref="F19">MAX(IF('OB History'!B:B=A19, 'OB History'!C:C))</f>
        <v>27</v>
      </c>
      <c r="G19" s="89">
        <f>COUNTIFS('OB History'!B:B,A19,'OB History'!D:D, 1)</f>
        <v>6</v>
      </c>
      <c r="H19" s="92">
        <f>COUNTIFS('OB History'!B:B,A19,'OB History'!D:D, 0)</f>
        <v>9</v>
      </c>
      <c r="I19" s="41">
        <f t="shared" si="0"/>
        <v>0.4</v>
      </c>
      <c r="J19" s="89">
        <f>SUMIFS('OB History'!F:F,'OB History'!B:B,A19)</f>
        <v>26</v>
      </c>
      <c r="K19" s="92">
        <f>SUMIFS('OB History'!E:E,'OB History'!B:B,A19)-J19</f>
        <v>36</v>
      </c>
      <c r="L19" s="41">
        <f t="shared" si="1"/>
        <v>0.41935483870967744</v>
      </c>
      <c r="M19" s="89">
        <f>SUMIFS('OB History'!H:H,'OB History'!B:B,'Old Bow v2'!A19)</f>
        <v>122</v>
      </c>
      <c r="N19" s="92">
        <f>SUMIFS('OB History'!G:G,'OB History'!B:B,'Old Bow v2'!A19)-M19</f>
        <v>139</v>
      </c>
      <c r="O19" s="41">
        <f t="shared" si="2"/>
        <v>0.46743295019157088</v>
      </c>
      <c r="P19" s="92">
        <f>COUNTIFS('OB History'!$B:$B,$A$19,'OB History'!K:K, 1)</f>
        <v>3</v>
      </c>
      <c r="Q19" s="92">
        <f>COUNTIFS('OB History'!$B:$B,$A$19,'OB History'!L:L, 1)</f>
        <v>0</v>
      </c>
      <c r="R19" s="92">
        <f>COUNTIFS('OB History'!$B:$B,$A$19,'OB History'!M:M, 1)</f>
        <v>0</v>
      </c>
      <c r="S19" s="92">
        <f>COUNTIFS('OB History'!$B:$B,$A$19,'OB History'!N:N, 1)</f>
        <v>0</v>
      </c>
      <c r="T19" s="92">
        <f>COUNTIFS('OB History'!$B:$B,$A$19,'OB History'!O:O, 1)</f>
        <v>1</v>
      </c>
      <c r="U19" s="92">
        <f>COUNTIFS('OB History'!$B:$B,$A$19,'OB History'!P:P, 1)</f>
        <v>3</v>
      </c>
      <c r="V19" s="92">
        <f>COUNTIFS('OB History'!$B:$B,$A$19,'OB History'!Q:Q, 1)</f>
        <v>1</v>
      </c>
      <c r="W19" s="92">
        <f>COUNTIFS('OB History'!$B:$B,$A$19,'OB History'!R:R, 1)</f>
        <v>0</v>
      </c>
      <c r="X19" s="92">
        <f>COUNTIFS('OB History'!$B:$B,$A$19,'OB History'!S:S, 1)</f>
        <v>1</v>
      </c>
      <c r="Y19" s="92">
        <f>COUNTIFS('OB History'!$B:$B,$A$19,'OB History'!T:T, 1)</f>
        <v>1</v>
      </c>
      <c r="Z19" s="92">
        <f>COUNTIFS('OB History'!$B:$B,$A$19,'OB History'!U:U, 1)</f>
        <v>1</v>
      </c>
      <c r="AA19" s="92">
        <f>COUNTIFS('OB History'!$B:$B,$A$19,'OB History'!V:V, 1)</f>
        <v>1</v>
      </c>
      <c r="AB19" s="92">
        <f>COUNTIFS('OB History'!$B:$B,$A$19,'OB History'!W:W, 1)</f>
        <v>4</v>
      </c>
      <c r="AC19" s="92">
        <f>COUNTIFS('OB History'!$B:$B,$A$19,'OB History'!X:X, 1)</f>
        <v>2</v>
      </c>
      <c r="AD19" s="92">
        <f>COUNTIFS('OB History'!$B:$B,$A$19,'OB History'!Y:Y, 1)</f>
        <v>7</v>
      </c>
    </row>
    <row r="20" spans="1:30" x14ac:dyDescent="0.25">
      <c r="A20" s="2" t="s">
        <v>53</v>
      </c>
      <c r="B20" s="6" t="s">
        <v>60</v>
      </c>
      <c r="C20" s="6" t="s">
        <v>79</v>
      </c>
      <c r="D20" s="89">
        <f>SUMIFS('OB History'!C:C,'OB History'!B:B,A20)</f>
        <v>43</v>
      </c>
      <c r="E20" s="90">
        <f>AVERAGEIFS('OB History'!C:C,'OB History'!B:B,A20)</f>
        <v>14.333333333333334</v>
      </c>
      <c r="F20" s="91">
        <f t="array" ref="F20">MAX(IF('OB History'!B:B=A20, 'OB History'!C:C))</f>
        <v>25</v>
      </c>
      <c r="G20" s="89">
        <f>COUNTIFS('OB History'!B:B,A20,'OB History'!D:D, 1)</f>
        <v>2</v>
      </c>
      <c r="H20" s="92">
        <f>COUNTIFS('OB History'!B:B,A20,'OB History'!D:D, 0)</f>
        <v>1</v>
      </c>
      <c r="I20" s="42">
        <f t="shared" si="0"/>
        <v>0.66666666666666663</v>
      </c>
      <c r="J20" s="89">
        <f>SUMIFS('OB History'!F:F,'OB History'!B:B,A20)</f>
        <v>6</v>
      </c>
      <c r="K20" s="92">
        <f>SUMIFS('OB History'!E:E,'OB History'!B:B,A20)-J20</f>
        <v>7</v>
      </c>
      <c r="L20" s="42">
        <f t="shared" si="1"/>
        <v>0.46153846153846156</v>
      </c>
      <c r="M20" s="89">
        <f>SUMIFS('OB History'!H:H,'OB History'!B:B,'Old Bow v2'!A20)</f>
        <v>27</v>
      </c>
      <c r="N20" s="92">
        <f>SUMIFS('OB History'!G:G,'OB History'!B:B,'Old Bow v2'!A20)-M20</f>
        <v>26</v>
      </c>
      <c r="O20" s="42">
        <f t="shared" si="2"/>
        <v>0.50943396226415094</v>
      </c>
      <c r="P20" s="92">
        <f>COUNTIFS('OB History'!$B:$B,$A$20,'OB History'!K:K, 1)</f>
        <v>0</v>
      </c>
      <c r="Q20" s="92">
        <f>COUNTIFS('OB History'!$B:$B,$A$20,'OB History'!L:L, 1)</f>
        <v>0</v>
      </c>
      <c r="R20" s="92">
        <f>COUNTIFS('OB History'!$B:$B,$A$20,'OB History'!M:M, 1)</f>
        <v>0</v>
      </c>
      <c r="S20" s="92">
        <f>COUNTIFS('OB History'!$B:$B,$A$20,'OB History'!N:N, 1)</f>
        <v>1</v>
      </c>
      <c r="T20" s="92">
        <f>COUNTIFS('OB History'!$B:$B,$A$20,'OB History'!O:O, 1)</f>
        <v>2</v>
      </c>
      <c r="U20" s="92">
        <f>COUNTIFS('OB History'!$B:$B,$A$20,'OB History'!P:P, 1)</f>
        <v>1</v>
      </c>
      <c r="V20" s="92">
        <f>COUNTIFS('OB History'!$B:$B,$A$20,'OB History'!Q:Q, 1)</f>
        <v>2</v>
      </c>
      <c r="W20" s="92">
        <f>COUNTIFS('OB History'!$B:$B,$A$20,'OB History'!R:R, 1)</f>
        <v>0</v>
      </c>
      <c r="X20" s="92">
        <f>COUNTIFS('OB History'!$B:$B,$A$20,'OB History'!S:S, 1)</f>
        <v>0</v>
      </c>
      <c r="Y20" s="92">
        <f>COUNTIFS('OB History'!$B:$B,$A$20,'OB History'!T:T, 1)</f>
        <v>0</v>
      </c>
      <c r="Z20" s="92">
        <f>COUNTIFS('OB History'!$B:$B,$A$20,'OB History'!U:U, 1)</f>
        <v>0</v>
      </c>
      <c r="AA20" s="92">
        <f>COUNTIFS('OB History'!$B:$B,$A$20,'OB History'!V:V, 1)</f>
        <v>0</v>
      </c>
      <c r="AB20" s="92">
        <f>COUNTIFS('OB History'!$B:$B,$A$20,'OB History'!W:W, 1)</f>
        <v>0</v>
      </c>
      <c r="AC20" s="92">
        <f>COUNTIFS('OB History'!$B:$B,$A$20,'OB History'!X:X, 1)</f>
        <v>0</v>
      </c>
      <c r="AD20" s="92">
        <f>COUNTIFS('OB History'!$B:$B,$A$20,'OB History'!Y:Y, 1)</f>
        <v>0</v>
      </c>
    </row>
    <row r="21" spans="1:30" x14ac:dyDescent="0.25">
      <c r="A21" s="2" t="s">
        <v>51</v>
      </c>
      <c r="B21" s="2" t="s">
        <v>79</v>
      </c>
      <c r="C21" s="2" t="s">
        <v>79</v>
      </c>
      <c r="D21" s="89">
        <f>SUMIFS('OB History'!C:C,'OB History'!B:B,A21)</f>
        <v>180</v>
      </c>
      <c r="E21" s="90">
        <f>AVERAGEIFS('OB History'!C:C,'OB History'!B:B,A21)</f>
        <v>13.846153846153847</v>
      </c>
      <c r="F21" s="91">
        <f t="array" ref="F21">MAX(IF('OB History'!B:B=A21, 'OB History'!C:C))</f>
        <v>22</v>
      </c>
      <c r="G21" s="89">
        <f>COUNTIFS('OB History'!B:B,A21,'OB History'!D:D, 1)</f>
        <v>7</v>
      </c>
      <c r="H21" s="92">
        <f>COUNTIFS('OB History'!B:B,A21,'OB History'!D:D, 0)</f>
        <v>6</v>
      </c>
      <c r="I21" s="42">
        <f t="shared" si="0"/>
        <v>0.53846153846153844</v>
      </c>
      <c r="J21" s="89">
        <f>SUMIFS('OB History'!F:F,'OB History'!B:B,A21)</f>
        <v>29</v>
      </c>
      <c r="K21" s="92">
        <f>SUMIFS('OB History'!E:E,'OB History'!B:B,A21)-J21</f>
        <v>26</v>
      </c>
      <c r="L21" s="42">
        <f t="shared" si="1"/>
        <v>0.52727272727272723</v>
      </c>
      <c r="M21" s="89">
        <f>SUMIFS('OB History'!H:H,'OB History'!B:B,'Old Bow v2'!A21)</f>
        <v>111</v>
      </c>
      <c r="N21" s="92">
        <f>SUMIFS('OB History'!G:G,'OB History'!B:B,'Old Bow v2'!A21)-M21</f>
        <v>111</v>
      </c>
      <c r="O21" s="42">
        <f t="shared" si="2"/>
        <v>0.5</v>
      </c>
      <c r="P21" s="92">
        <f>COUNTIFS('OB History'!$B:$B,$A$21,'OB History'!K:K, 1)</f>
        <v>4</v>
      </c>
      <c r="Q21" s="92">
        <f>COUNTIFS('OB History'!$B:$B,$A$21,'OB History'!L:L, 1)</f>
        <v>1</v>
      </c>
      <c r="R21" s="92">
        <f>COUNTIFS('OB History'!$B:$B,$A$21,'OB History'!M:M, 1)</f>
        <v>0</v>
      </c>
      <c r="S21" s="92">
        <f>COUNTIFS('OB History'!$B:$B,$A$21,'OB History'!N:N, 1)</f>
        <v>3</v>
      </c>
      <c r="T21" s="92">
        <f>COUNTIFS('OB History'!$B:$B,$A$21,'OB History'!O:O, 1)</f>
        <v>0</v>
      </c>
      <c r="U21" s="92">
        <f>COUNTIFS('OB History'!$B:$B,$A$21,'OB History'!P:P, 1)</f>
        <v>3</v>
      </c>
      <c r="V21" s="92">
        <f>COUNTIFS('OB History'!$B:$B,$A$21,'OB History'!Q:Q, 1)</f>
        <v>0</v>
      </c>
      <c r="W21" s="92">
        <f>COUNTIFS('OB History'!$B:$B,$A$21,'OB History'!R:R, 1)</f>
        <v>1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2</v>
      </c>
      <c r="AA21" s="92">
        <f>COUNTIFS('OB History'!$B:$B,$A$21,'OB History'!V:V, 1)</f>
        <v>5</v>
      </c>
      <c r="AB21" s="92">
        <f>COUNTIFS('OB History'!$B:$B,$A$21,'OB History'!W:W, 1)</f>
        <v>4</v>
      </c>
      <c r="AC21" s="92">
        <f>COUNTIFS('OB History'!$B:$B,$A$21,'OB History'!X:X, 1)</f>
        <v>3</v>
      </c>
      <c r="AD21" s="92">
        <f>COUNTIFS('OB History'!$B:$B,$A$21,'OB History'!Y:Y, 1)</f>
        <v>3</v>
      </c>
    </row>
    <row r="22" spans="1:30" ht="15.75" x14ac:dyDescent="0.25">
      <c r="A22" s="2" t="s">
        <v>20</v>
      </c>
      <c r="B22" s="80" t="s">
        <v>60</v>
      </c>
      <c r="C22" s="2" t="s">
        <v>79</v>
      </c>
      <c r="D22" s="89">
        <f>SUMIFS('OB History'!C:C,'OB History'!B:B,A22)</f>
        <v>246</v>
      </c>
      <c r="E22" s="90">
        <f>AVERAGEIFS('OB History'!C:C,'OB History'!B:B,A22)</f>
        <v>13.666666666666666</v>
      </c>
      <c r="F22" s="91">
        <f t="array" ref="F22">MAX(IF('OB History'!B:B=A22, 'OB History'!C:C))</f>
        <v>28</v>
      </c>
      <c r="G22" s="89">
        <f>COUNTIFS('OB History'!B:B,A22,'OB History'!D:D, 1)</f>
        <v>7</v>
      </c>
      <c r="H22" s="92">
        <f>COUNTIFS('OB History'!B:B,A22,'OB History'!D:D, 0)</f>
        <v>11</v>
      </c>
      <c r="I22" s="41">
        <f t="shared" si="0"/>
        <v>0.3888888888888889</v>
      </c>
      <c r="J22" s="89">
        <f>SUMIFS('OB History'!F:F,'OB History'!B:B,A22)</f>
        <v>37</v>
      </c>
      <c r="K22" s="92">
        <f>SUMIFS('OB History'!E:E,'OB History'!B:B,A22)-J22</f>
        <v>40</v>
      </c>
      <c r="L22" s="41">
        <f t="shared" si="1"/>
        <v>0.48051948051948051</v>
      </c>
      <c r="M22" s="89">
        <f>SUMIFS('OB History'!H:H,'OB History'!B:B,'Old Bow v2'!A22)</f>
        <v>161</v>
      </c>
      <c r="N22" s="92">
        <f>SUMIFS('OB History'!G:G,'OB History'!B:B,'Old Bow v2'!A22)-M22</f>
        <v>161</v>
      </c>
      <c r="O22" s="41">
        <f t="shared" si="2"/>
        <v>0.5</v>
      </c>
      <c r="P22" s="92">
        <f>COUNTIFS('OB History'!$B:$B,$A$22,'OB History'!K:K, 1)</f>
        <v>1</v>
      </c>
      <c r="Q22" s="92">
        <f>COUNTIFS('OB History'!$B:$B,$A$22,'OB History'!L:L, 1)</f>
        <v>3</v>
      </c>
      <c r="R22" s="92">
        <f>COUNTIFS('OB History'!$B:$B,$A$22,'OB History'!M:M, 1)</f>
        <v>0</v>
      </c>
      <c r="S22" s="92">
        <f>COUNTIFS('OB History'!$B:$B,$A$22,'OB History'!N:N, 1)</f>
        <v>8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1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2</v>
      </c>
      <c r="AA22" s="92">
        <f>COUNTIFS('OB History'!$B:$B,$A$22,'OB History'!V:V, 1)</f>
        <v>7</v>
      </c>
      <c r="AB22" s="92">
        <f>COUNTIFS('OB History'!$B:$B,$A$22,'OB History'!W:W, 1)</f>
        <v>6</v>
      </c>
      <c r="AC22" s="92">
        <f>COUNTIFS('OB History'!$B:$B,$A$22,'OB History'!X:X, 1)</f>
        <v>1</v>
      </c>
      <c r="AD22" s="92">
        <f>COUNTIFS('OB History'!$B:$B,$A$22,'OB History'!Y:Y, 1)</f>
        <v>4</v>
      </c>
    </row>
    <row r="23" spans="1:30" x14ac:dyDescent="0.25">
      <c r="A23" s="1" t="s">
        <v>47</v>
      </c>
      <c r="B23" s="2" t="s">
        <v>79</v>
      </c>
      <c r="C23" s="2" t="s">
        <v>79</v>
      </c>
      <c r="D23" s="89">
        <f>SUMIFS('OB History'!C:C,'OB History'!B:B,A23)</f>
        <v>38</v>
      </c>
      <c r="E23" s="90">
        <f>AVERAGEIFS('OB History'!C:C,'OB History'!B:B,A23)</f>
        <v>7.6</v>
      </c>
      <c r="F23" s="91">
        <f t="array" ref="F23">MAX(IF('OB History'!B:B=A23, 'OB History'!C:C))</f>
        <v>13</v>
      </c>
      <c r="G23" s="89">
        <f>COUNTIFS('OB History'!B:B,A23,'OB History'!D:D, 1)</f>
        <v>2</v>
      </c>
      <c r="H23" s="92">
        <f>COUNTIFS('OB History'!B:B,A23,'OB History'!D:D, 0)</f>
        <v>3</v>
      </c>
      <c r="I23" s="42">
        <f t="shared" si="0"/>
        <v>0.4</v>
      </c>
      <c r="J23" s="89">
        <f>SUMIFS('OB History'!F:F,'OB History'!B:B,A23)</f>
        <v>11</v>
      </c>
      <c r="K23" s="92">
        <f>SUMIFS('OB History'!E:E,'OB History'!B:B,A23)-J23</f>
        <v>10</v>
      </c>
      <c r="L23" s="42">
        <f t="shared" si="1"/>
        <v>0.52380952380952384</v>
      </c>
      <c r="M23" s="89">
        <f>SUMIFS('OB History'!H:H,'OB History'!B:B,'Old Bow v2'!A23)</f>
        <v>47</v>
      </c>
      <c r="N23" s="92">
        <f>SUMIFS('OB History'!G:G,'OB History'!B:B,'Old Bow v2'!A23)-M23</f>
        <v>46</v>
      </c>
      <c r="O23" s="42">
        <f t="shared" si="2"/>
        <v>0.5053763440860215</v>
      </c>
      <c r="P23" s="92">
        <f>COUNTIFS('OB History'!$B:$B,$A$23,'OB History'!K:K, 1)</f>
        <v>0</v>
      </c>
      <c r="Q23" s="92">
        <f>COUNTIFS('OB History'!$B:$B,$A$23,'OB History'!L:L, 1)</f>
        <v>0</v>
      </c>
      <c r="R23" s="92">
        <f>COUNTIFS('OB History'!$B:$B,$A$23,'OB History'!M:M, 1)</f>
        <v>0</v>
      </c>
      <c r="S23" s="92">
        <f>COUNTIFS('OB History'!$B:$B,$A$23,'OB History'!N:N, 1)</f>
        <v>2</v>
      </c>
      <c r="T23" s="92">
        <f>COUNTIFS('OB History'!$B:$B,$A$23,'OB History'!O:O, 1)</f>
        <v>0</v>
      </c>
      <c r="U23" s="92">
        <f>COUNTIFS('OB History'!$B:$B,$A$23,'OB History'!P:P, 1)</f>
        <v>1</v>
      </c>
      <c r="V23" s="92">
        <f>COUNTIFS('OB History'!$B:$B,$A$23,'OB History'!Q:Q, 1)</f>
        <v>0</v>
      </c>
      <c r="W23" s="92">
        <f>COUNTIFS('OB History'!$B:$B,$A$23,'OB History'!R:R, 1)</f>
        <v>0</v>
      </c>
      <c r="X23" s="92">
        <f>COUNTIFS('OB History'!$B:$B,$A$23,'OB History'!S:S, 1)</f>
        <v>0</v>
      </c>
      <c r="Y23" s="92">
        <f>COUNTIFS('OB History'!$B:$B,$A$23,'OB History'!T:T, 1)</f>
        <v>0</v>
      </c>
      <c r="Z23" s="92">
        <f>COUNTIFS('OB History'!$B:$B,$A$23,'OB History'!U:U, 1)</f>
        <v>0</v>
      </c>
      <c r="AA23" s="92">
        <f>COUNTIFS('OB History'!$B:$B,$A$23,'OB History'!V:V, 1)</f>
        <v>3</v>
      </c>
      <c r="AB23" s="92">
        <f>COUNTIFS('OB History'!$B:$B,$A$23,'OB History'!W:W, 1)</f>
        <v>1</v>
      </c>
      <c r="AC23" s="92">
        <f>COUNTIFS('OB History'!$B:$B,$A$23,'OB History'!X:X, 1)</f>
        <v>0</v>
      </c>
      <c r="AD23" s="92">
        <f>COUNTIFS('OB History'!$B:$B,$A$23,'OB History'!Y:Y, 1)</f>
        <v>3</v>
      </c>
    </row>
    <row r="24" spans="1:30" x14ac:dyDescent="0.25">
      <c r="A24" s="2" t="s">
        <v>3</v>
      </c>
      <c r="B24" s="6" t="s">
        <v>60</v>
      </c>
      <c r="C24" s="6" t="s">
        <v>60</v>
      </c>
      <c r="D24" s="89">
        <f>SUMIFS('OB History'!C:C,'OB History'!B:B,A24)</f>
        <v>230</v>
      </c>
      <c r="E24" s="90">
        <f>AVERAGEIFS('OB History'!C:C,'OB History'!B:B,A24)</f>
        <v>23</v>
      </c>
      <c r="F24" s="91">
        <f t="array" ref="F24">MAX(IF('OB History'!B:B=A24, 'OB History'!C:C))</f>
        <v>44</v>
      </c>
      <c r="G24" s="89">
        <f>COUNTIFS('OB History'!B:B,A24,'OB History'!D:D, 1)</f>
        <v>6</v>
      </c>
      <c r="H24" s="92">
        <f>COUNTIFS('OB History'!B:B,A24,'OB History'!D:D, 0)</f>
        <v>4</v>
      </c>
      <c r="I24" s="41">
        <f t="shared" si="0"/>
        <v>0.6</v>
      </c>
      <c r="J24" s="89">
        <f>SUMIFS('OB History'!F:F,'OB History'!B:B,A24)</f>
        <v>22</v>
      </c>
      <c r="K24" s="92">
        <f>SUMIFS('OB History'!E:E,'OB History'!B:B,A24)-J24</f>
        <v>21</v>
      </c>
      <c r="L24" s="41">
        <f t="shared" si="1"/>
        <v>0.51162790697674421</v>
      </c>
      <c r="M24" s="89">
        <f>SUMIFS('OB History'!H:H,'OB History'!B:B,'Old Bow v2'!A24)</f>
        <v>87</v>
      </c>
      <c r="N24" s="92">
        <f>SUMIFS('OB History'!G:G,'OB History'!B:B,'Old Bow v2'!A24)-M24</f>
        <v>88</v>
      </c>
      <c r="O24" s="41">
        <f t="shared" si="2"/>
        <v>0.49714285714285716</v>
      </c>
      <c r="P24" s="92">
        <f>COUNTIFS('OB History'!$B:$B,$A$24,'OB History'!K:K, 1)</f>
        <v>2</v>
      </c>
      <c r="Q24" s="92">
        <f>COUNTIFS('OB History'!$B:$B,$A$24,'OB History'!L:L, 1)</f>
        <v>3</v>
      </c>
      <c r="R24" s="92">
        <f>COUNTIFS('OB History'!$B:$B,$A$24,'OB History'!M:M, 1)</f>
        <v>0</v>
      </c>
      <c r="S24" s="92">
        <f>COUNTIFS('OB History'!$B:$B,$A$24,'OB History'!N:N, 1)</f>
        <v>1</v>
      </c>
      <c r="T24" s="92">
        <f>COUNTIFS('OB History'!$B:$B,$A$24,'OB History'!O:O, 1)</f>
        <v>2</v>
      </c>
      <c r="U24" s="92">
        <f>COUNTIFS('OB History'!$B:$B,$A$24,'OB History'!P:P, 1)</f>
        <v>2</v>
      </c>
      <c r="V24" s="92">
        <f>COUNTIFS('OB History'!$B:$B,$A$24,'OB History'!Q:Q, 1)</f>
        <v>3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1</v>
      </c>
      <c r="AA24" s="92">
        <f>COUNTIFS('OB History'!$B:$B,$A$24,'OB History'!V:V, 1)</f>
        <v>1</v>
      </c>
      <c r="AB24" s="92">
        <f>COUNTIFS('OB History'!$B:$B,$A$24,'OB History'!W:W, 1)</f>
        <v>3</v>
      </c>
      <c r="AC24" s="92">
        <f>COUNTIFS('OB History'!$B:$B,$A$24,'OB History'!X:X, 1)</f>
        <v>2</v>
      </c>
      <c r="AD24" s="92">
        <f>COUNTIFS('OB History'!$B:$B,$A$24,'OB History'!Y:Y, 1)</f>
        <v>1</v>
      </c>
    </row>
    <row r="25" spans="1:30" x14ac:dyDescent="0.25">
      <c r="A25" s="2" t="s">
        <v>15</v>
      </c>
      <c r="B25" s="2" t="s">
        <v>79</v>
      </c>
      <c r="C25" s="2" t="s">
        <v>79</v>
      </c>
      <c r="D25" s="89">
        <f>SUMIFS('OB History'!C:C,'OB History'!B:B,A25)</f>
        <v>465</v>
      </c>
      <c r="E25" s="90">
        <f>AVERAGEIFS('OB History'!C:C,'OB History'!B:B,A25)</f>
        <v>25.833333333333332</v>
      </c>
      <c r="F25" s="91">
        <f t="array" ref="F25">MAX(IF('OB History'!B:B=A25, 'OB History'!C:C))</f>
        <v>55</v>
      </c>
      <c r="G25" s="89">
        <f>COUNTIFS('OB History'!B:B,A25,'OB History'!D:D, 1)</f>
        <v>5</v>
      </c>
      <c r="H25" s="92">
        <f>COUNTIFS('OB History'!B:B,A25,'OB History'!D:D, 0)</f>
        <v>13</v>
      </c>
      <c r="I25" s="41">
        <f t="shared" si="0"/>
        <v>0.27777777777777779</v>
      </c>
      <c r="J25" s="89">
        <f>SUMIFS('OB History'!F:F,'OB History'!B:B,A25)</f>
        <v>31</v>
      </c>
      <c r="K25" s="92">
        <f>SUMIFS('OB History'!E:E,'OB History'!B:B,A25)-J25</f>
        <v>44</v>
      </c>
      <c r="L25" s="41">
        <f t="shared" si="1"/>
        <v>0.41333333333333333</v>
      </c>
      <c r="M25" s="89">
        <f>SUMIFS('OB History'!H:H,'OB History'!B:B,'Old Bow v2'!A25)</f>
        <v>148</v>
      </c>
      <c r="N25" s="92">
        <f>SUMIFS('OB History'!G:G,'OB History'!B:B,'Old Bow v2'!A25)-M25</f>
        <v>166</v>
      </c>
      <c r="O25" s="41">
        <f t="shared" si="2"/>
        <v>0.4713375796178344</v>
      </c>
      <c r="P25" s="92">
        <f>COUNTIFS('OB History'!$B:$B,$A$25,'OB History'!K:K, 1)</f>
        <v>2</v>
      </c>
      <c r="Q25" s="92">
        <f>COUNTIFS('OB History'!$B:$B,$A$25,'OB History'!L:L, 1)</f>
        <v>0</v>
      </c>
      <c r="R25" s="92">
        <f>COUNTIFS('OB History'!$B:$B,$A$25,'OB History'!M:M, 1)</f>
        <v>0</v>
      </c>
      <c r="S25" s="92">
        <f>COUNTIFS('OB History'!$B:$B,$A$25,'OB History'!N:N, 1)</f>
        <v>4</v>
      </c>
      <c r="T25" s="92">
        <f>COUNTIFS('OB History'!$B:$B,$A$25,'OB History'!O:O, 1)</f>
        <v>0</v>
      </c>
      <c r="U25" s="92">
        <f>COUNTIFS('OB History'!$B:$B,$A$25,'OB History'!P:P, 1)</f>
        <v>4</v>
      </c>
      <c r="V25" s="92">
        <f>COUNTIFS('OB History'!$B:$B,$A$25,'OB History'!Q:Q, 1)</f>
        <v>1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5</v>
      </c>
      <c r="AB25" s="92">
        <f>COUNTIFS('OB History'!$B:$B,$A$25,'OB History'!W:W, 1)</f>
        <v>7</v>
      </c>
      <c r="AC25" s="92">
        <f>COUNTIFS('OB History'!$B:$B,$A$25,'OB History'!X:X, 1)</f>
        <v>2</v>
      </c>
      <c r="AD25" s="92">
        <f>COUNTIFS('OB History'!$B:$B,$A$25,'OB History'!Y:Y, 1)</f>
        <v>6</v>
      </c>
    </row>
    <row r="26" spans="1:30" x14ac:dyDescent="0.25">
      <c r="A26" s="1" t="s">
        <v>43</v>
      </c>
      <c r="B26" s="2" t="s">
        <v>79</v>
      </c>
      <c r="C26" s="2" t="s">
        <v>79</v>
      </c>
      <c r="D26" s="89">
        <f>SUMIFS('OB History'!C:C,'OB History'!B:B,A26)</f>
        <v>4</v>
      </c>
      <c r="E26" s="90">
        <f>AVERAGEIFS('OB History'!C:C,'OB History'!B:B,A26)</f>
        <v>4</v>
      </c>
      <c r="F26" s="91">
        <f t="array" ref="F26">MAX(IF('OB History'!B:B=A26, 'OB History'!C:C))</f>
        <v>4</v>
      </c>
      <c r="G26" s="89">
        <f>COUNTIFS('OB History'!B:B,A26,'OB History'!D:D, 1)</f>
        <v>1</v>
      </c>
      <c r="H26" s="92">
        <f>COUNTIFS('OB History'!B:B,A26,'OB History'!D:D, 0)</f>
        <v>0</v>
      </c>
      <c r="I26" s="42">
        <f t="shared" si="0"/>
        <v>1</v>
      </c>
      <c r="J26" s="89">
        <f>SUMIFS('OB History'!F:F,'OB History'!B:B,A26)</f>
        <v>3</v>
      </c>
      <c r="K26" s="92">
        <f>SUMIFS('OB History'!E:E,'OB History'!B:B,A26)-J26</f>
        <v>0</v>
      </c>
      <c r="L26" s="42">
        <f t="shared" si="1"/>
        <v>1</v>
      </c>
      <c r="M26" s="89">
        <f>SUMIFS('OB History'!H:H,'OB History'!B:B,'Old Bow v2'!A26)</f>
        <v>9</v>
      </c>
      <c r="N26" s="92">
        <f>SUMIFS('OB History'!G:G,'OB History'!B:B,'Old Bow v2'!A26)-M26</f>
        <v>4</v>
      </c>
      <c r="O26" s="42">
        <f t="shared" si="2"/>
        <v>0.69230769230769229</v>
      </c>
      <c r="P26" s="92">
        <f>COUNTIFS('OB History'!$B:$B,$A$26,'OB History'!K:K, 1)</f>
        <v>0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1</v>
      </c>
      <c r="AC26" s="92">
        <f>COUNTIFS('OB History'!$B:$B,$A$26,'OB History'!X:X, 1)</f>
        <v>0</v>
      </c>
      <c r="AD26" s="92">
        <f>COUNTIFS('OB History'!$B:$B,$A$26,'OB History'!Y:Y, 1)</f>
        <v>1</v>
      </c>
    </row>
    <row r="27" spans="1:30" x14ac:dyDescent="0.25">
      <c r="A27" s="2" t="s">
        <v>13</v>
      </c>
      <c r="B27" s="6" t="s">
        <v>124</v>
      </c>
      <c r="C27" s="6" t="s">
        <v>60</v>
      </c>
      <c r="D27" s="89">
        <f>SUMIFS('OB History'!C:C,'OB History'!B:B,A27)</f>
        <v>709</v>
      </c>
      <c r="E27" s="90">
        <f>AVERAGEIFS('OB History'!C:C,'OB History'!B:B,A27)</f>
        <v>28.36</v>
      </c>
      <c r="F27" s="91">
        <f t="array" ref="F27">MAX(IF('OB History'!B:B=A27, 'OB History'!C:C))</f>
        <v>57</v>
      </c>
      <c r="G27" s="89">
        <f>COUNTIFS('OB History'!B:B,A27,'OB History'!D:D, 1)</f>
        <v>17</v>
      </c>
      <c r="H27" s="92">
        <f>COUNTIFS('OB History'!B:B,A27,'OB History'!D:D, 0)</f>
        <v>8</v>
      </c>
      <c r="I27" s="41">
        <f t="shared" si="0"/>
        <v>0.68</v>
      </c>
      <c r="J27" s="89">
        <f>SUMIFS('OB History'!F:F,'OB History'!B:B,A27)</f>
        <v>59</v>
      </c>
      <c r="K27" s="92">
        <f>SUMIFS('OB History'!E:E,'OB History'!B:B,A27)-J27</f>
        <v>44</v>
      </c>
      <c r="L27" s="41">
        <f t="shared" si="1"/>
        <v>0.57281553398058249</v>
      </c>
      <c r="M27" s="89">
        <f>SUMIFS('OB History'!H:H,'OB History'!B:B,'Old Bow v2'!A27)</f>
        <v>228</v>
      </c>
      <c r="N27" s="92">
        <f>SUMIFS('OB History'!G:G,'OB History'!B:B,'Old Bow v2'!A27)-M27</f>
        <v>194</v>
      </c>
      <c r="O27" s="41">
        <f t="shared" si="2"/>
        <v>0.54028436018957349</v>
      </c>
      <c r="P27" s="92">
        <f>COUNTIFS('OB History'!$B:$B,$A$27,'OB History'!K:K, 1)</f>
        <v>2</v>
      </c>
      <c r="Q27" s="92">
        <f>COUNTIFS('OB History'!$B:$B,$A$27,'OB History'!L:L, 1)</f>
        <v>6</v>
      </c>
      <c r="R27" s="92">
        <f>COUNTIFS('OB History'!$B:$B,$A$27,'OB History'!M:M, 1)</f>
        <v>0</v>
      </c>
      <c r="S27" s="92">
        <f>COUNTIFS('OB History'!$B:$B,$A$27,'OB History'!N:N, 1)</f>
        <v>7</v>
      </c>
      <c r="T27" s="92">
        <f>COUNTIFS('OB History'!$B:$B,$A$27,'OB History'!O:O, 1)</f>
        <v>2</v>
      </c>
      <c r="U27" s="92">
        <f>COUNTIFS('OB History'!$B:$B,$A$27,'OB History'!P:P, 1)</f>
        <v>9</v>
      </c>
      <c r="V27" s="92">
        <f>COUNTIFS('OB History'!$B:$B,$A$27,'OB History'!Q:Q, 1)</f>
        <v>3</v>
      </c>
      <c r="W27" s="92">
        <f>COUNTIFS('OB History'!$B:$B,$A$27,'OB History'!R:R, 1)</f>
        <v>1</v>
      </c>
      <c r="X27" s="92">
        <f>COUNTIFS('OB History'!$B:$B,$A$27,'OB History'!S:S, 1)</f>
        <v>1</v>
      </c>
      <c r="Y27" s="92">
        <f>COUNTIFS('OB History'!$B:$B,$A$27,'OB History'!T:T, 1)</f>
        <v>1</v>
      </c>
      <c r="Z27" s="92">
        <f>COUNTIFS('OB History'!$B:$B,$A$27,'OB History'!U:U, 1)</f>
        <v>4</v>
      </c>
      <c r="AA27" s="92">
        <f>COUNTIFS('OB History'!$B:$B,$A$27,'OB History'!V:V, 1)</f>
        <v>6</v>
      </c>
      <c r="AB27" s="92">
        <f>COUNTIFS('OB History'!$B:$B,$A$27,'OB History'!W:W, 1)</f>
        <v>7</v>
      </c>
      <c r="AC27" s="92">
        <f>COUNTIFS('OB History'!$B:$B,$A$27,'OB History'!X:X, 1)</f>
        <v>1</v>
      </c>
      <c r="AD27" s="92">
        <f>COUNTIFS('OB History'!$B:$B,$A$27,'OB History'!Y:Y, 1)</f>
        <v>7</v>
      </c>
    </row>
    <row r="28" spans="1:30" x14ac:dyDescent="0.25">
      <c r="A28" s="2" t="s">
        <v>2</v>
      </c>
      <c r="B28" s="6" t="s">
        <v>60</v>
      </c>
      <c r="C28" s="2" t="s">
        <v>79</v>
      </c>
      <c r="D28" s="89">
        <f>SUMIFS('OB History'!C:C,'OB History'!B:B,A28)</f>
        <v>321</v>
      </c>
      <c r="E28" s="90">
        <f>AVERAGEIFS('OB History'!C:C,'OB History'!B:B,A28)</f>
        <v>26.75</v>
      </c>
      <c r="F28" s="91">
        <f t="array" ref="F28">MAX(IF('OB History'!B:B=A28, 'OB History'!C:C))</f>
        <v>42</v>
      </c>
      <c r="G28" s="89">
        <f>COUNTIFS('OB History'!B:B,A28,'OB History'!D:D, 1)</f>
        <v>7</v>
      </c>
      <c r="H28" s="92">
        <f>COUNTIFS('OB History'!B:B,A28,'OB History'!D:D, 0)</f>
        <v>5</v>
      </c>
      <c r="I28" s="41">
        <f t="shared" si="0"/>
        <v>0.58333333333333337</v>
      </c>
      <c r="J28" s="89">
        <f>SUMIFS('OB History'!F:F,'OB History'!B:B,A28)</f>
        <v>28</v>
      </c>
      <c r="K28" s="92">
        <f>SUMIFS('OB History'!E:E,'OB History'!B:B,A28)-J28</f>
        <v>23</v>
      </c>
      <c r="L28" s="41">
        <f t="shared" si="1"/>
        <v>0.5490196078431373</v>
      </c>
      <c r="M28" s="89">
        <f>SUMIFS('OB History'!H:H,'OB History'!B:B,'Old Bow v2'!A28)</f>
        <v>114</v>
      </c>
      <c r="N28" s="92">
        <f>SUMIFS('OB History'!G:G,'OB History'!B:B,'Old Bow v2'!A28)-M28</f>
        <v>98</v>
      </c>
      <c r="O28" s="41">
        <f t="shared" si="2"/>
        <v>0.53773584905660377</v>
      </c>
      <c r="P28" s="92">
        <f>COUNTIFS('OB History'!$B:$B,$A$28,'OB History'!K:K, 1)</f>
        <v>2</v>
      </c>
      <c r="Q28" s="92">
        <f>COUNTIFS('OB History'!$B:$B,$A$28,'OB History'!L:L, 1)</f>
        <v>2</v>
      </c>
      <c r="R28" s="92">
        <f>COUNTIFS('OB History'!$B:$B,$A$28,'OB History'!M:M, 1)</f>
        <v>0</v>
      </c>
      <c r="S28" s="92">
        <f>COUNTIFS('OB History'!$B:$B,$A$28,'OB History'!N:N, 1)</f>
        <v>5</v>
      </c>
      <c r="T28" s="92">
        <f>COUNTIFS('OB History'!$B:$B,$A$28,'OB History'!O:O, 1)</f>
        <v>0</v>
      </c>
      <c r="U28" s="92">
        <f>COUNTIFS('OB History'!$B:$B,$A$28,'OB History'!P:P, 1)</f>
        <v>3</v>
      </c>
      <c r="V28" s="92">
        <f>COUNTIFS('OB History'!$B:$B,$A$28,'OB History'!Q:Q, 1)</f>
        <v>0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0</v>
      </c>
      <c r="AA28" s="92">
        <f>COUNTIFS('OB History'!$B:$B,$A$28,'OB History'!V:V, 1)</f>
        <v>5</v>
      </c>
      <c r="AB28" s="92">
        <f>COUNTIFS('OB History'!$B:$B,$A$28,'OB History'!W:W, 1)</f>
        <v>1</v>
      </c>
      <c r="AC28" s="92">
        <f>COUNTIFS('OB History'!$B:$B,$A$28,'OB History'!X:X, 1)</f>
        <v>4</v>
      </c>
      <c r="AD28" s="92">
        <f>COUNTIFS('OB History'!$B:$B,$A$28,'OB History'!Y:Y, 1)</f>
        <v>4</v>
      </c>
    </row>
    <row r="29" spans="1:30" x14ac:dyDescent="0.25">
      <c r="A29" s="2" t="s">
        <v>54</v>
      </c>
      <c r="B29" s="6" t="s">
        <v>60</v>
      </c>
      <c r="C29" s="6" t="s">
        <v>79</v>
      </c>
      <c r="D29" s="89">
        <f>SUMIFS('OB History'!C:C,'OB History'!B:B,A29)</f>
        <v>65</v>
      </c>
      <c r="E29" s="90">
        <f>AVERAGEIFS('OB History'!C:C,'OB History'!B:B,A29)</f>
        <v>21.666666666666668</v>
      </c>
      <c r="F29" s="91">
        <f t="array" ref="F29">MAX(IF('OB History'!B:B=A29, 'OB History'!C:C))</f>
        <v>29</v>
      </c>
      <c r="G29" s="89">
        <f>COUNTIFS('OB History'!B:B,A29,'OB History'!D:D, 1)</f>
        <v>3</v>
      </c>
      <c r="H29" s="92">
        <f>COUNTIFS('OB History'!B:B,A29,'OB History'!D:D, 0)</f>
        <v>0</v>
      </c>
      <c r="I29" s="42">
        <f t="shared" si="0"/>
        <v>1</v>
      </c>
      <c r="J29" s="89">
        <f>SUMIFS('OB History'!F:F,'OB History'!B:B,A29)</f>
        <v>9</v>
      </c>
      <c r="K29" s="92">
        <f>SUMIFS('OB History'!E:E,'OB History'!B:B,A29)-J29</f>
        <v>6</v>
      </c>
      <c r="L29" s="42">
        <f t="shared" si="1"/>
        <v>0.6</v>
      </c>
      <c r="M29" s="89">
        <f>SUMIFS('OB History'!H:H,'OB History'!B:B,'Old Bow v2'!A29)</f>
        <v>36</v>
      </c>
      <c r="N29" s="92">
        <f>SUMIFS('OB History'!G:G,'OB History'!B:B,'Old Bow v2'!A29)-M29</f>
        <v>26</v>
      </c>
      <c r="O29" s="42">
        <f t="shared" si="2"/>
        <v>0.58064516129032262</v>
      </c>
      <c r="P29" s="92">
        <f>COUNTIFS('OB History'!$B:$B,$A$29,'OB History'!K:K, 1)</f>
        <v>0</v>
      </c>
      <c r="Q29" s="92">
        <f>COUNTIFS('OB History'!$B:$B,$A$29,'OB History'!L:L, 1)</f>
        <v>1</v>
      </c>
      <c r="R29" s="92">
        <f>COUNTIFS('OB History'!$B:$B,$A$29,'OB History'!M:M, 1)</f>
        <v>0</v>
      </c>
      <c r="S29" s="92">
        <f>COUNTIFS('OB History'!$B:$B,$A$29,'OB History'!N:N, 1)</f>
        <v>1</v>
      </c>
      <c r="T29" s="92">
        <f>COUNTIFS('OB History'!$B:$B,$A$29,'OB History'!O:O, 1)</f>
        <v>2</v>
      </c>
      <c r="U29" s="92">
        <f>COUNTIFS('OB History'!$B:$B,$A$29,'OB History'!P:P, 1)</f>
        <v>1</v>
      </c>
      <c r="V29" s="92">
        <f>COUNTIFS('OB History'!$B:$B,$A$29,'OB History'!Q:Q, 1)</f>
        <v>2</v>
      </c>
      <c r="W29" s="92">
        <f>COUNTIFS('OB History'!$B:$B,$A$29,'OB History'!R:R, 1)</f>
        <v>0</v>
      </c>
      <c r="X29" s="92">
        <f>COUNTIFS('OB History'!$B:$B,$A$29,'OB History'!S:S, 1)</f>
        <v>0</v>
      </c>
      <c r="Y29" s="92">
        <f>COUNTIFS('OB History'!$B:$B,$A$29,'OB History'!T:T, 1)</f>
        <v>0</v>
      </c>
      <c r="Z29" s="92">
        <f>COUNTIFS('OB History'!$B:$B,$A$29,'OB History'!U:U, 1)</f>
        <v>1</v>
      </c>
      <c r="AA29" s="92">
        <f>COUNTIFS('OB History'!$B:$B,$A$29,'OB History'!V:V, 1)</f>
        <v>1</v>
      </c>
      <c r="AB29" s="92">
        <f>COUNTIFS('OB History'!$B:$B,$A$29,'OB History'!W:W, 1)</f>
        <v>0</v>
      </c>
      <c r="AC29" s="92">
        <f>COUNTIFS('OB History'!$B:$B,$A$29,'OB History'!X:X, 1)</f>
        <v>0</v>
      </c>
      <c r="AD29" s="92">
        <f>COUNTIFS('OB History'!$B:$B,$A$29,'OB History'!Y:Y, 1)</f>
        <v>0</v>
      </c>
    </row>
    <row r="30" spans="1:30" x14ac:dyDescent="0.25">
      <c r="A30" s="2" t="s">
        <v>5</v>
      </c>
      <c r="B30" s="6" t="s">
        <v>60</v>
      </c>
      <c r="C30" s="2" t="s">
        <v>79</v>
      </c>
      <c r="D30" s="89">
        <f>SUMIFS('OB History'!C:C,'OB History'!B:B,A30)</f>
        <v>216</v>
      </c>
      <c r="E30" s="90">
        <f>AVERAGEIFS('OB History'!C:C,'OB History'!B:B,A30)</f>
        <v>24</v>
      </c>
      <c r="F30" s="91">
        <f t="array" ref="F30">MAX(IF('OB History'!B:B=A30, 'OB History'!C:C))</f>
        <v>36</v>
      </c>
      <c r="G30" s="89">
        <f>COUNTIFS('OB History'!B:B,A30,'OB History'!D:D, 1)</f>
        <v>4</v>
      </c>
      <c r="H30" s="92">
        <f>COUNTIFS('OB History'!B:B,A30,'OB History'!D:D, 0)</f>
        <v>5</v>
      </c>
      <c r="I30" s="41">
        <f t="shared" si="0"/>
        <v>0.44444444444444442</v>
      </c>
      <c r="J30" s="89">
        <f>SUMIFS('OB History'!F:F,'OB History'!B:B,A30)</f>
        <v>18</v>
      </c>
      <c r="K30" s="92">
        <f>SUMIFS('OB History'!E:E,'OB History'!B:B,A30)-J30</f>
        <v>21</v>
      </c>
      <c r="L30" s="41">
        <f t="shared" si="1"/>
        <v>0.46153846153846156</v>
      </c>
      <c r="M30" s="89">
        <f>SUMIFS('OB History'!H:H,'OB History'!B:B,'Old Bow v2'!A30)</f>
        <v>79</v>
      </c>
      <c r="N30" s="92">
        <f>SUMIFS('OB History'!G:G,'OB History'!B:B,'Old Bow v2'!A30)-M30</f>
        <v>86</v>
      </c>
      <c r="O30" s="41">
        <f t="shared" si="2"/>
        <v>0.47878787878787876</v>
      </c>
      <c r="P30" s="92">
        <f>COUNTIFS('OB History'!$B:$B,$A$30,'OB History'!K:K, 1)</f>
        <v>1</v>
      </c>
      <c r="Q30" s="92">
        <f>COUNTIFS('OB History'!$B:$B,$A$30,'OB History'!L:L, 1)</f>
        <v>1</v>
      </c>
      <c r="R30" s="92">
        <f>COUNTIFS('OB History'!$B:$B,$A$30,'OB History'!M:M, 1)</f>
        <v>0</v>
      </c>
      <c r="S30" s="92">
        <f>COUNTIFS('OB History'!$B:$B,$A$30,'OB History'!N:N, 1)</f>
        <v>2</v>
      </c>
      <c r="T30" s="92">
        <f>COUNTIFS('OB History'!$B:$B,$A$30,'OB History'!O:O, 1)</f>
        <v>1</v>
      </c>
      <c r="U30" s="92">
        <f>COUNTIFS('OB History'!$B:$B,$A$30,'OB History'!P:P, 1)</f>
        <v>1</v>
      </c>
      <c r="V30" s="92">
        <f>COUNTIFS('OB History'!$B:$B,$A$30,'OB History'!Q:Q, 1)</f>
        <v>0</v>
      </c>
      <c r="W30" s="92">
        <f>COUNTIFS('OB History'!$B:$B,$A$30,'OB History'!R:R, 1)</f>
        <v>0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1</v>
      </c>
      <c r="AB30" s="92">
        <f>COUNTIFS('OB History'!$B:$B,$A$30,'OB History'!W:W, 1)</f>
        <v>4</v>
      </c>
      <c r="AC30" s="92">
        <f>COUNTIFS('OB History'!$B:$B,$A$30,'OB History'!X:X, 1)</f>
        <v>3</v>
      </c>
      <c r="AD30" s="92">
        <f>COUNTIFS('OB History'!$B:$B,$A$30,'OB History'!Y:Y, 1)</f>
        <v>2</v>
      </c>
    </row>
    <row r="31" spans="1:30" x14ac:dyDescent="0.25">
      <c r="A31" s="2" t="s">
        <v>38</v>
      </c>
      <c r="B31" s="2" t="s">
        <v>79</v>
      </c>
      <c r="C31" s="2" t="s">
        <v>79</v>
      </c>
      <c r="D31" s="89">
        <f>SUMIFS('OB History'!C:C,'OB History'!B:B,A31)</f>
        <v>17</v>
      </c>
      <c r="E31" s="90">
        <f>AVERAGEIFS('OB History'!C:C,'OB History'!B:B,A31)</f>
        <v>3.4</v>
      </c>
      <c r="F31" s="91">
        <f t="array" ref="F31">MAX(IF('OB History'!B:B=A31, 'OB History'!C:C))</f>
        <v>6</v>
      </c>
      <c r="G31" s="89">
        <f>COUNTIFS('OB History'!B:B,A31,'OB History'!D:D, 1)</f>
        <v>2</v>
      </c>
      <c r="H31" s="92">
        <f>COUNTIFS('OB History'!B:B,A31,'OB History'!D:D, 0)</f>
        <v>3</v>
      </c>
      <c r="I31" s="41">
        <f t="shared" si="0"/>
        <v>0.4</v>
      </c>
      <c r="J31" s="89">
        <f>SUMIFS('OB History'!F:F,'OB History'!B:B,A31)</f>
        <v>8</v>
      </c>
      <c r="K31" s="92">
        <f>SUMIFS('OB History'!E:E,'OB History'!B:B,A31)-J31</f>
        <v>10</v>
      </c>
      <c r="L31" s="41">
        <f t="shared" si="1"/>
        <v>0.44444444444444442</v>
      </c>
      <c r="M31" s="89">
        <f>SUMIFS('OB History'!H:H,'OB History'!B:B,'Old Bow v2'!A31)</f>
        <v>32</v>
      </c>
      <c r="N31" s="92">
        <f>SUMIFS('OB History'!G:G,'OB History'!B:B,'Old Bow v2'!A31)-M31</f>
        <v>41</v>
      </c>
      <c r="O31" s="41">
        <f t="shared" si="2"/>
        <v>0.43835616438356162</v>
      </c>
      <c r="P31" s="92">
        <f>COUNTIFS('OB History'!$B:$B,$A$31,'OB History'!K:K, 1)</f>
        <v>1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1</v>
      </c>
      <c r="T31" s="92">
        <f>COUNTIFS('OB History'!$B:$B,$A$31,'OB History'!O:O, 1)</f>
        <v>0</v>
      </c>
      <c r="U31" s="92">
        <f>COUNTIFS('OB History'!$B:$B,$A$31,'OB History'!P:P, 1)</f>
        <v>2</v>
      </c>
      <c r="V31" s="92">
        <f>COUNTIFS('OB History'!$B:$B,$A$31,'OB History'!Q:Q, 1)</f>
        <v>0</v>
      </c>
      <c r="W31" s="92">
        <f>COUNTIFS('OB History'!$B:$B,$A$31,'OB History'!R:R, 1)</f>
        <v>1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1</v>
      </c>
      <c r="AB31" s="92">
        <f>COUNTIFS('OB History'!$B:$B,$A$31,'OB History'!W:W, 1)</f>
        <v>0</v>
      </c>
      <c r="AC31" s="92">
        <f>COUNTIFS('OB History'!$B:$B,$A$31,'OB History'!X:X, 1)</f>
        <v>0</v>
      </c>
      <c r="AD31" s="92">
        <f>COUNTIFS('OB History'!$B:$B,$A$31,'OB History'!Y:Y, 1)</f>
        <v>0</v>
      </c>
    </row>
    <row r="32" spans="1:30" x14ac:dyDescent="0.25">
      <c r="A32" s="2" t="s">
        <v>40</v>
      </c>
      <c r="B32" s="2" t="s">
        <v>79</v>
      </c>
      <c r="C32" s="2" t="s">
        <v>79</v>
      </c>
      <c r="D32" s="89">
        <f>SUMIFS('OB History'!C:C,'OB History'!B:B,A32)</f>
        <v>37</v>
      </c>
      <c r="E32" s="90">
        <f>AVERAGEIFS('OB History'!C:C,'OB History'!B:B,A32)</f>
        <v>12.333333333333334</v>
      </c>
      <c r="F32" s="91">
        <f t="array" ref="F32">MAX(IF('OB History'!B:B=A32, 'OB History'!C:C))</f>
        <v>16</v>
      </c>
      <c r="G32" s="89">
        <f>COUNTIFS('OB History'!B:B,A32,'OB History'!D:D, 1)</f>
        <v>0</v>
      </c>
      <c r="H32" s="92">
        <f>COUNTIFS('OB History'!B:B,A32,'OB History'!D:D, 0)</f>
        <v>3</v>
      </c>
      <c r="I32" s="42">
        <f t="shared" si="0"/>
        <v>0</v>
      </c>
      <c r="J32" s="89">
        <f>SUMIFS('OB History'!F:F,'OB History'!B:B,A32)</f>
        <v>2</v>
      </c>
      <c r="K32" s="92">
        <f>SUMIFS('OB History'!E:E,'OB History'!B:B,A32)-J32</f>
        <v>9</v>
      </c>
      <c r="L32" s="42">
        <f t="shared" si="1"/>
        <v>0.18181818181818182</v>
      </c>
      <c r="M32" s="89">
        <f>SUMIFS('OB History'!H:H,'OB History'!B:B,'Old Bow v2'!A32)</f>
        <v>15</v>
      </c>
      <c r="N32" s="92">
        <f>SUMIFS('OB History'!G:G,'OB History'!B:B,'Old Bow v2'!A32)-M32</f>
        <v>30</v>
      </c>
      <c r="O32" s="42">
        <f t="shared" si="2"/>
        <v>0.33333333333333331</v>
      </c>
      <c r="P32" s="92">
        <f>COUNTIFS('OB History'!$B:$B,$A$32,'OB History'!K:K, 1)</f>
        <v>1</v>
      </c>
      <c r="Q32" s="92">
        <f>COUNTIFS('OB History'!$B:$B,$A$32,'OB History'!L:L, 1)</f>
        <v>0</v>
      </c>
      <c r="R32" s="92">
        <f>COUNTIFS('OB History'!$B:$B,$A$32,'OB History'!M:M, 1)</f>
        <v>0</v>
      </c>
      <c r="S32" s="92">
        <f>COUNTIFS('OB History'!$B:$B,$A$32,'OB History'!N:N, 1)</f>
        <v>0</v>
      </c>
      <c r="T32" s="92">
        <f>COUNTIFS('OB History'!$B:$B,$A$32,'OB History'!O:O, 1)</f>
        <v>0</v>
      </c>
      <c r="U32" s="92">
        <f>COUNTIFS('OB History'!$B:$B,$A$32,'OB History'!P:P, 1)</f>
        <v>0</v>
      </c>
      <c r="V32" s="92">
        <f>COUNTIFS('OB History'!$B:$B,$A$32,'OB History'!Q:Q, 1)</f>
        <v>0</v>
      </c>
      <c r="W32" s="92">
        <f>COUNTIFS('OB History'!$B:$B,$A$32,'OB History'!R:R, 1)</f>
        <v>0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0</v>
      </c>
      <c r="AC32" s="92">
        <f>COUNTIFS('OB History'!$B:$B,$A$32,'OB History'!X:X, 1)</f>
        <v>0</v>
      </c>
      <c r="AD32" s="92">
        <f>COUNTIFS('OB History'!$B:$B,$A$32,'OB History'!Y:Y, 1)</f>
        <v>1</v>
      </c>
    </row>
    <row r="33" spans="1:30" x14ac:dyDescent="0.25">
      <c r="A33" s="2" t="s">
        <v>17</v>
      </c>
      <c r="B33" s="2" t="s">
        <v>79</v>
      </c>
      <c r="C33" s="2" t="s">
        <v>79</v>
      </c>
      <c r="D33" s="89">
        <f>SUMIFS('OB History'!C:C,'OB History'!B:B,A33)</f>
        <v>623</v>
      </c>
      <c r="E33" s="90">
        <f>AVERAGEIFS('OB History'!C:C,'OB History'!B:B,A33)</f>
        <v>25.958333333333332</v>
      </c>
      <c r="F33" s="91">
        <f t="array" ref="F33">MAX(IF('OB History'!B:B=A33, 'OB History'!C:C))</f>
        <v>49</v>
      </c>
      <c r="G33" s="89">
        <f>COUNTIFS('OB History'!B:B,A33,'OB History'!D:D, 1)</f>
        <v>10</v>
      </c>
      <c r="H33" s="92">
        <f>COUNTIFS('OB History'!B:B,A33,'OB History'!D:D, 0)</f>
        <v>14</v>
      </c>
      <c r="I33" s="41">
        <f t="shared" si="0"/>
        <v>0.41666666666666669</v>
      </c>
      <c r="J33" s="89">
        <f>SUMIFS('OB History'!F:F,'OB History'!B:B,A33)</f>
        <v>50</v>
      </c>
      <c r="K33" s="92">
        <f>SUMIFS('OB History'!E:E,'OB History'!B:B,A33)-J33</f>
        <v>49</v>
      </c>
      <c r="L33" s="41">
        <f t="shared" si="1"/>
        <v>0.50505050505050508</v>
      </c>
      <c r="M33" s="89">
        <f>SUMIFS('OB History'!H:H,'OB History'!B:B,'Old Bow v2'!A33)</f>
        <v>212</v>
      </c>
      <c r="N33" s="92">
        <f>SUMIFS('OB History'!G:G,'OB History'!B:B,'Old Bow v2'!A33)-M33</f>
        <v>201</v>
      </c>
      <c r="O33" s="41">
        <f t="shared" si="2"/>
        <v>0.51331719128329301</v>
      </c>
      <c r="P33" s="92">
        <f>COUNTIFS('OB History'!$B:$B,$A$33,'OB History'!K:K, 1)</f>
        <v>5</v>
      </c>
      <c r="Q33" s="92">
        <f>COUNTIFS('OB History'!$B:$B,$A$33,'OB History'!L:L, 1)</f>
        <v>2</v>
      </c>
      <c r="R33" s="92">
        <f>COUNTIFS('OB History'!$B:$B,$A$33,'OB History'!M:M, 1)</f>
        <v>0</v>
      </c>
      <c r="S33" s="92">
        <f>COUNTIFS('OB History'!$B:$B,$A$33,'OB History'!N:N, 1)</f>
        <v>5</v>
      </c>
      <c r="T33" s="92">
        <f>COUNTIFS('OB History'!$B:$B,$A$33,'OB History'!O:O, 1)</f>
        <v>0</v>
      </c>
      <c r="U33" s="92">
        <f>COUNTIFS('OB History'!$B:$B,$A$33,'OB History'!P:P, 1)</f>
        <v>9</v>
      </c>
      <c r="V33" s="92">
        <f>COUNTIFS('OB History'!$B:$B,$A$33,'OB History'!Q:Q, 1)</f>
        <v>2</v>
      </c>
      <c r="W33" s="92">
        <f>COUNTIFS('OB History'!$B:$B,$A$33,'OB History'!R:R, 1)</f>
        <v>0</v>
      </c>
      <c r="X33" s="92">
        <f>COUNTIFS('OB History'!$B:$B,$A$33,'OB History'!S:S, 1)</f>
        <v>1</v>
      </c>
      <c r="Y33" s="92">
        <f>COUNTIFS('OB History'!$B:$B,$A$33,'OB History'!T:T, 1)</f>
        <v>1</v>
      </c>
      <c r="Z33" s="92">
        <f>COUNTIFS('OB History'!$B:$B,$A$33,'OB History'!U:U, 1)</f>
        <v>1</v>
      </c>
      <c r="AA33" s="92">
        <f>COUNTIFS('OB History'!$B:$B,$A$33,'OB History'!V:V, 1)</f>
        <v>6</v>
      </c>
      <c r="AB33" s="92">
        <f>COUNTIFS('OB History'!$B:$B,$A$33,'OB History'!W:W, 1)</f>
        <v>4</v>
      </c>
      <c r="AC33" s="92">
        <f>COUNTIFS('OB History'!$B:$B,$A$33,'OB History'!X:X, 1)</f>
        <v>4</v>
      </c>
      <c r="AD33" s="92">
        <f>COUNTIFS('OB History'!$B:$B,$A$33,'OB History'!Y:Y, 1)</f>
        <v>8</v>
      </c>
    </row>
    <row r="34" spans="1:30" x14ac:dyDescent="0.25">
      <c r="A34" s="2" t="s">
        <v>6</v>
      </c>
      <c r="B34" s="2" t="s">
        <v>79</v>
      </c>
      <c r="C34" s="2" t="s">
        <v>79</v>
      </c>
      <c r="D34" s="89">
        <f>SUMIFS('OB History'!C:C,'OB History'!B:B,A34)</f>
        <v>306</v>
      </c>
      <c r="E34" s="90">
        <f>AVERAGEIFS('OB History'!C:C,'OB History'!B:B,A34)</f>
        <v>23.53846153846154</v>
      </c>
      <c r="F34" s="91">
        <f t="array" ref="F34">MAX(IF('OB History'!B:B=A34, 'OB History'!C:C))</f>
        <v>43</v>
      </c>
      <c r="G34" s="89">
        <f>COUNTIFS('OB History'!B:B,A34,'OB History'!D:D, 1)</f>
        <v>9</v>
      </c>
      <c r="H34" s="92">
        <f>COUNTIFS('OB History'!B:B,A34,'OB History'!D:D, 0)</f>
        <v>4</v>
      </c>
      <c r="I34" s="41">
        <f t="shared" si="0"/>
        <v>0.69230769230769229</v>
      </c>
      <c r="J34" s="89">
        <f>SUMIFS('OB History'!F:F,'OB History'!B:B,A34)</f>
        <v>31</v>
      </c>
      <c r="K34" s="92">
        <f>SUMIFS('OB History'!E:E,'OB History'!B:B,A34)-J34</f>
        <v>22</v>
      </c>
      <c r="L34" s="41">
        <f t="shared" si="1"/>
        <v>0.58490566037735847</v>
      </c>
      <c r="M34" s="89">
        <f>SUMIFS('OB History'!H:H,'OB History'!B:B,'Old Bow v2'!A34)</f>
        <v>118</v>
      </c>
      <c r="N34" s="92">
        <f>SUMIFS('OB History'!G:G,'OB History'!B:B,'Old Bow v2'!A34)-M34</f>
        <v>108</v>
      </c>
      <c r="O34" s="41">
        <f t="shared" si="2"/>
        <v>0.52212389380530977</v>
      </c>
      <c r="P34" s="92">
        <f>COUNTIFS('OB History'!$B:$B,$A$34,'OB History'!K:K, 1)</f>
        <v>1</v>
      </c>
      <c r="Q34" s="92">
        <f>COUNTIFS('OB History'!$B:$B,$A$34,'OB History'!L:L, 1)</f>
        <v>3</v>
      </c>
      <c r="R34" s="92">
        <f>COUNTIFS('OB History'!$B:$B,$A$34,'OB History'!M:M, 1)</f>
        <v>0</v>
      </c>
      <c r="S34" s="92">
        <f>COUNTIFS('OB History'!$B:$B,$A$34,'OB History'!N:N, 1)</f>
        <v>1</v>
      </c>
      <c r="T34" s="92">
        <f>COUNTIFS('OB History'!$B:$B,$A$34,'OB History'!O:O, 1)</f>
        <v>0</v>
      </c>
      <c r="U34" s="92">
        <f>COUNTIFS('OB History'!$B:$B,$A$34,'OB History'!P:P, 1)</f>
        <v>7</v>
      </c>
      <c r="V34" s="92">
        <f>COUNTIFS('OB History'!$B:$B,$A$34,'OB History'!Q:Q, 1)</f>
        <v>0</v>
      </c>
      <c r="W34" s="92">
        <f>COUNTIFS('OB History'!$B:$B,$A$34,'OB History'!R:R, 1)</f>
        <v>1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1</v>
      </c>
      <c r="AA34" s="92">
        <f>COUNTIFS('OB History'!$B:$B,$A$34,'OB History'!V:V, 1)</f>
        <v>4</v>
      </c>
      <c r="AB34" s="92">
        <f>COUNTIFS('OB History'!$B:$B,$A$34,'OB History'!W:W, 1)</f>
        <v>5</v>
      </c>
      <c r="AC34" s="92">
        <f>COUNTIFS('OB History'!$B:$B,$A$34,'OB History'!X:X, 1)</f>
        <v>2</v>
      </c>
      <c r="AD34" s="92">
        <f>COUNTIFS('OB History'!$B:$B,$A$34,'OB History'!Y:Y, 1)</f>
        <v>5</v>
      </c>
    </row>
    <row r="35" spans="1:30" x14ac:dyDescent="0.25">
      <c r="A35" s="2" t="s">
        <v>18</v>
      </c>
      <c r="B35" s="2" t="s">
        <v>79</v>
      </c>
      <c r="C35" s="2" t="s">
        <v>79</v>
      </c>
      <c r="D35" s="89">
        <f>SUMIFS('OB History'!C:C,'OB History'!B:B,A35)</f>
        <v>327</v>
      </c>
      <c r="E35" s="90">
        <f>AVERAGEIFS('OB History'!C:C,'OB History'!B:B,A35)</f>
        <v>27.25</v>
      </c>
      <c r="F35" s="91">
        <f t="array" ref="F35">MAX(IF('OB History'!B:B=A35, 'OB History'!C:C))</f>
        <v>41</v>
      </c>
      <c r="G35" s="89">
        <f>COUNTIFS('OB History'!B:B,A35,'OB History'!D:D, 1)</f>
        <v>4</v>
      </c>
      <c r="H35" s="92">
        <f>COUNTIFS('OB History'!B:B,A35,'OB History'!D:D, 0)</f>
        <v>8</v>
      </c>
      <c r="I35" s="41">
        <f t="shared" si="0"/>
        <v>0.33333333333333331</v>
      </c>
      <c r="J35" s="89">
        <f>SUMIFS('OB History'!F:F,'OB History'!B:B,A35)</f>
        <v>22</v>
      </c>
      <c r="K35" s="92">
        <f>SUMIFS('OB History'!E:E,'OB History'!B:B,A35)-J35</f>
        <v>29</v>
      </c>
      <c r="L35" s="41">
        <f t="shared" si="1"/>
        <v>0.43137254901960786</v>
      </c>
      <c r="M35" s="89">
        <f>SUMIFS('OB History'!H:H,'OB History'!B:B,'Old Bow v2'!A35)</f>
        <v>97</v>
      </c>
      <c r="N35" s="92">
        <f>SUMIFS('OB History'!G:G,'OB History'!B:B,'Old Bow v2'!A35)-M35</f>
        <v>116</v>
      </c>
      <c r="O35" s="41">
        <f t="shared" si="2"/>
        <v>0.45539906103286387</v>
      </c>
      <c r="P35" s="92">
        <f>COUNTIFS('OB History'!$B:$B,$A$35,'OB History'!K:K, 1)</f>
        <v>2</v>
      </c>
      <c r="Q35" s="92">
        <f>COUNTIFS('OB History'!$B:$B,$A$35,'OB History'!L:L, 1)</f>
        <v>0</v>
      </c>
      <c r="R35" s="92">
        <f>COUNTIFS('OB History'!$B:$B,$A$35,'OB History'!M:M, 1)</f>
        <v>0</v>
      </c>
      <c r="S35" s="92">
        <f>COUNTIFS('OB History'!$B:$B,$A$35,'OB History'!N:N, 1)</f>
        <v>5</v>
      </c>
      <c r="T35" s="92">
        <f>COUNTIFS('OB History'!$B:$B,$A$35,'OB History'!O:O, 1)</f>
        <v>0</v>
      </c>
      <c r="U35" s="92">
        <f>COUNTIFS('OB History'!$B:$B,$A$35,'OB History'!P:P, 1)</f>
        <v>3</v>
      </c>
      <c r="V35" s="92">
        <f>COUNTIFS('OB History'!$B:$B,$A$35,'OB History'!Q:Q, 1)</f>
        <v>1</v>
      </c>
      <c r="W35" s="92">
        <f>COUNTIFS('OB History'!$B:$B,$A$35,'OB History'!R:R, 1)</f>
        <v>1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0</v>
      </c>
      <c r="AA35" s="92">
        <f>COUNTIFS('OB History'!$B:$B,$A$35,'OB History'!V:V, 1)</f>
        <v>3</v>
      </c>
      <c r="AB35" s="92">
        <f>COUNTIFS('OB History'!$B:$B,$A$35,'OB History'!W:W, 1)</f>
        <v>4</v>
      </c>
      <c r="AC35" s="92">
        <f>COUNTIFS('OB History'!$B:$B,$A$35,'OB History'!X:X, 1)</f>
        <v>0</v>
      </c>
      <c r="AD35" s="92">
        <f>COUNTIFS('OB History'!$B:$B,$A$35,'OB History'!Y:Y, 1)</f>
        <v>3</v>
      </c>
    </row>
    <row r="36" spans="1:30" x14ac:dyDescent="0.25">
      <c r="A36" s="2" t="s">
        <v>14</v>
      </c>
      <c r="B36" s="6" t="s">
        <v>60</v>
      </c>
      <c r="C36" s="6" t="s">
        <v>60</v>
      </c>
      <c r="D36" s="89">
        <f>SUMIFS('OB History'!C:C,'OB History'!B:B,A36)</f>
        <v>545</v>
      </c>
      <c r="E36" s="90">
        <f>AVERAGEIFS('OB History'!C:C,'OB History'!B:B,A36)</f>
        <v>25.952380952380953</v>
      </c>
      <c r="F36" s="91">
        <f t="array" ref="F36">MAX(IF('OB History'!B:B=A36, 'OB History'!C:C))</f>
        <v>56</v>
      </c>
      <c r="G36" s="89">
        <f>COUNTIFS('OB History'!B:B,A36,'OB History'!D:D, 1)</f>
        <v>12</v>
      </c>
      <c r="H36" s="92">
        <f>COUNTIFS('OB History'!B:B,A36,'OB History'!D:D, 0)</f>
        <v>9</v>
      </c>
      <c r="I36" s="41">
        <f t="shared" si="0"/>
        <v>0.5714285714285714</v>
      </c>
      <c r="J36" s="89">
        <f>SUMIFS('OB History'!F:F,'OB History'!B:B,A36)</f>
        <v>45</v>
      </c>
      <c r="K36" s="92">
        <f>SUMIFS('OB History'!E:E,'OB History'!B:B,A36)-J36</f>
        <v>42</v>
      </c>
      <c r="L36" s="41">
        <f t="shared" si="1"/>
        <v>0.51724137931034486</v>
      </c>
      <c r="M36" s="89">
        <f>SUMIFS('OB History'!H:H,'OB History'!B:B,'Old Bow v2'!A36)</f>
        <v>183</v>
      </c>
      <c r="N36" s="92">
        <f>SUMIFS('OB History'!G:G,'OB History'!B:B,'Old Bow v2'!A36)-M36</f>
        <v>179</v>
      </c>
      <c r="O36" s="41">
        <f t="shared" si="2"/>
        <v>0.50552486187845302</v>
      </c>
      <c r="P36" s="92">
        <f>COUNTIFS('OB History'!$B:$B,$A$36,'OB History'!K:K, 1)</f>
        <v>3</v>
      </c>
      <c r="Q36" s="92">
        <f>COUNTIFS('OB History'!$B:$B,$A$36,'OB History'!L:L, 1)</f>
        <v>3</v>
      </c>
      <c r="R36" s="92">
        <f>COUNTIFS('OB History'!$B:$B,$A$36,'OB History'!M:M, 1)</f>
        <v>0</v>
      </c>
      <c r="S36" s="92">
        <f>COUNTIFS('OB History'!$B:$B,$A$36,'OB History'!N:N, 1)</f>
        <v>4</v>
      </c>
      <c r="T36" s="92">
        <f>COUNTIFS('OB History'!$B:$B,$A$36,'OB History'!O:O, 1)</f>
        <v>1</v>
      </c>
      <c r="U36" s="92">
        <f>COUNTIFS('OB History'!$B:$B,$A$36,'OB History'!P:P, 1)</f>
        <v>5</v>
      </c>
      <c r="V36" s="92">
        <f>COUNTIFS('OB History'!$B:$B,$A$36,'OB History'!Q:Q, 1)</f>
        <v>0</v>
      </c>
      <c r="W36" s="92">
        <f>COUNTIFS('OB History'!$B:$B,$A$36,'OB History'!R:R, 1)</f>
        <v>1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3</v>
      </c>
      <c r="AA36" s="92">
        <f>COUNTIFS('OB History'!$B:$B,$A$36,'OB History'!V:V, 1)</f>
        <v>5</v>
      </c>
      <c r="AB36" s="92">
        <f>COUNTIFS('OB History'!$B:$B,$A$36,'OB History'!W:W, 1)</f>
        <v>12</v>
      </c>
      <c r="AC36" s="92">
        <f>COUNTIFS('OB History'!$B:$B,$A$36,'OB History'!X:X, 1)</f>
        <v>2</v>
      </c>
      <c r="AD36" s="92">
        <f>COUNTIFS('OB History'!$B:$B,$A$36,'OB History'!Y:Y, 1)</f>
        <v>4</v>
      </c>
    </row>
    <row r="37" spans="1:30" x14ac:dyDescent="0.25">
      <c r="A37" s="2" t="s">
        <v>4</v>
      </c>
      <c r="B37" s="2" t="s">
        <v>79</v>
      </c>
      <c r="C37" s="2" t="s">
        <v>79</v>
      </c>
      <c r="D37" s="89">
        <f>SUMIFS('OB History'!C:C,'OB History'!B:B,A37)</f>
        <v>33</v>
      </c>
      <c r="E37" s="90">
        <f>AVERAGEIFS('OB History'!C:C,'OB History'!B:B,A37)</f>
        <v>16.5</v>
      </c>
      <c r="F37" s="91">
        <f t="array" ref="F37">MAX(IF('OB History'!B:B=A37, 'OB History'!C:C))</f>
        <v>24</v>
      </c>
      <c r="G37" s="89">
        <f>COUNTIFS('OB History'!B:B,A37,'OB History'!D:D, 1)</f>
        <v>2</v>
      </c>
      <c r="H37" s="92">
        <f>COUNTIFS('OB History'!B:B,A37,'OB History'!D:D, 0)</f>
        <v>0</v>
      </c>
      <c r="I37" s="41">
        <f t="shared" si="0"/>
        <v>1</v>
      </c>
      <c r="J37" s="89">
        <f>SUMIFS('OB History'!F:F,'OB History'!B:B,A37)</f>
        <v>6</v>
      </c>
      <c r="K37" s="92">
        <f>SUMIFS('OB History'!E:E,'OB History'!B:B,A37)-J37</f>
        <v>1</v>
      </c>
      <c r="L37" s="41">
        <f t="shared" si="1"/>
        <v>0.8571428571428571</v>
      </c>
      <c r="M37" s="89">
        <f>SUMIFS('OB History'!H:H,'OB History'!B:B,'Old Bow v2'!A37)</f>
        <v>19</v>
      </c>
      <c r="N37" s="92">
        <f>SUMIFS('OB History'!G:G,'OB History'!B:B,'Old Bow v2'!A37)-M37</f>
        <v>10</v>
      </c>
      <c r="O37" s="41">
        <f t="shared" si="2"/>
        <v>0.65517241379310343</v>
      </c>
      <c r="P37" s="92">
        <f>COUNTIFS('OB History'!$B:$B,$A$37,'OB History'!K:K, 1)</f>
        <v>0</v>
      </c>
      <c r="Q37" s="92">
        <f>COUNTIFS('OB History'!$B:$B,$A$37,'OB History'!L:L, 1)</f>
        <v>2</v>
      </c>
      <c r="R37" s="92">
        <f>COUNTIFS('OB History'!$B:$B,$A$37,'OB History'!M:M, 1)</f>
        <v>0</v>
      </c>
      <c r="S37" s="92">
        <f>COUNTIFS('OB History'!$B:$B,$A$37,'OB History'!N:N, 1)</f>
        <v>0</v>
      </c>
      <c r="T37" s="92">
        <f>COUNTIFS('OB History'!$B:$B,$A$37,'OB History'!O:O, 1)</f>
        <v>0</v>
      </c>
      <c r="U37" s="92">
        <f>COUNTIFS('OB History'!$B:$B,$A$37,'OB History'!P:P, 1)</f>
        <v>1</v>
      </c>
      <c r="V37" s="92">
        <f>COUNTIFS('OB History'!$B:$B,$A$37,'OB History'!Q:Q, 1)</f>
        <v>0</v>
      </c>
      <c r="W37" s="92">
        <f>COUNTIFS('OB History'!$B:$B,$A$37,'OB History'!R:R, 1)</f>
        <v>0</v>
      </c>
      <c r="X37" s="92">
        <f>COUNTIFS('OB History'!$B:$B,$A$37,'OB History'!S:S, 1)</f>
        <v>0</v>
      </c>
      <c r="Y37" s="92">
        <f>COUNTIFS('OB History'!$B:$B,$A$37,'OB History'!T:T, 1)</f>
        <v>0</v>
      </c>
      <c r="Z37" s="92">
        <f>COUNTIFS('OB History'!$B:$B,$A$37,'OB History'!U:U, 1)</f>
        <v>0</v>
      </c>
      <c r="AA37" s="92">
        <f>COUNTIFS('OB History'!$B:$B,$A$37,'OB History'!V:V, 1)</f>
        <v>0</v>
      </c>
      <c r="AB37" s="92">
        <f>COUNTIFS('OB History'!$B:$B,$A$37,'OB History'!W:W, 1)</f>
        <v>0</v>
      </c>
      <c r="AC37" s="92">
        <f>COUNTIFS('OB History'!$B:$B,$A$37,'OB History'!X:X, 1)</f>
        <v>1</v>
      </c>
      <c r="AD37" s="92">
        <f>COUNTIFS('OB History'!$B:$B,$A$37,'OB History'!Y:Y, 1)</f>
        <v>0</v>
      </c>
    </row>
    <row r="38" spans="1:30" ht="15.75" thickBot="1" x14ac:dyDescent="0.3">
      <c r="A38" s="2" t="s">
        <v>55</v>
      </c>
      <c r="B38" s="2" t="s">
        <v>79</v>
      </c>
      <c r="C38" s="2" t="s">
        <v>79</v>
      </c>
      <c r="D38" s="89">
        <f>SUMIFS('OB History'!C:C,'OB History'!B:B,A38)</f>
        <v>83</v>
      </c>
      <c r="E38" s="90">
        <f>AVERAGEIFS('OB History'!C:C,'OB History'!B:B,A38)</f>
        <v>10.375</v>
      </c>
      <c r="F38" s="91">
        <f t="array" ref="F38">MAX(IF('OB History'!B:B=A38, 'OB History'!C:C))</f>
        <v>18</v>
      </c>
      <c r="G38" s="89">
        <f>COUNTIFS('OB History'!B:B,A38,'OB History'!D:D, 1)</f>
        <v>5</v>
      </c>
      <c r="H38" s="92">
        <f>COUNTIFS('OB History'!B:B,A38,'OB History'!D:D, 0)</f>
        <v>3</v>
      </c>
      <c r="I38" s="45">
        <f t="shared" si="0"/>
        <v>0.625</v>
      </c>
      <c r="J38" s="89">
        <f>SUMIFS('OB History'!F:F,'OB History'!B:B,A38)</f>
        <v>18</v>
      </c>
      <c r="K38" s="92">
        <f>SUMIFS('OB History'!E:E,'OB History'!B:B,A38)-J38</f>
        <v>16</v>
      </c>
      <c r="L38" s="45">
        <f t="shared" si="1"/>
        <v>0.52941176470588236</v>
      </c>
      <c r="M38" s="89">
        <f>SUMIFS('OB History'!H:H,'OB History'!B:B,'Old Bow v2'!A38)</f>
        <v>69</v>
      </c>
      <c r="N38" s="92">
        <f>SUMIFS('OB History'!G:G,'OB History'!B:B,'Old Bow v2'!A38)-M38</f>
        <v>68</v>
      </c>
      <c r="O38" s="45">
        <f t="shared" si="2"/>
        <v>0.5036496350364964</v>
      </c>
      <c r="P38" s="92">
        <f>COUNTIFS('OB History'!$B:$B,$A$38,'OB History'!K:K, 1)</f>
        <v>1</v>
      </c>
      <c r="Q38" s="92">
        <f>COUNTIFS('OB History'!$B:$B,$A$38,'OB History'!L:L, 1)</f>
        <v>0</v>
      </c>
      <c r="R38" s="92">
        <f>COUNTIFS('OB History'!$B:$B,$A$38,'OB History'!M:M, 1)</f>
        <v>0</v>
      </c>
      <c r="S38" s="92">
        <f>COUNTIFS('OB History'!$B:$B,$A$38,'OB History'!N:N, 1)</f>
        <v>4</v>
      </c>
      <c r="T38" s="92">
        <f>COUNTIFS('OB History'!$B:$B,$A$38,'OB History'!O:O, 1)</f>
        <v>1</v>
      </c>
      <c r="U38" s="92">
        <f>COUNTIFS('OB History'!$B:$B,$A$38,'OB History'!P:P, 1)</f>
        <v>0</v>
      </c>
      <c r="V38" s="92">
        <f>COUNTIFS('OB History'!$B:$B,$A$38,'OB History'!Q:Q, 1)</f>
        <v>1</v>
      </c>
      <c r="W38" s="92">
        <f>COUNTIFS('OB History'!$B:$B,$A$38,'OB History'!R:R, 1)</f>
        <v>0</v>
      </c>
      <c r="X38" s="92">
        <f>COUNTIFS('OB History'!$B:$B,$A$38,'OB History'!S:S, 1)</f>
        <v>0</v>
      </c>
      <c r="Y38" s="92">
        <f>COUNTIFS('OB History'!$B:$B,$A$38,'OB History'!T:T, 1)</f>
        <v>0</v>
      </c>
      <c r="Z38" s="92">
        <f>COUNTIFS('OB History'!$B:$B,$A$38,'OB History'!U:U, 1)</f>
        <v>0</v>
      </c>
      <c r="AA38" s="92">
        <f>COUNTIFS('OB History'!$B:$B,$A$38,'OB History'!V:V, 1)</f>
        <v>3</v>
      </c>
      <c r="AB38" s="92">
        <f>COUNTIFS('OB History'!$B:$B,$A$38,'OB History'!W:W, 1)</f>
        <v>4</v>
      </c>
      <c r="AC38" s="92">
        <f>COUNTIFS('OB History'!$B:$B,$A$38,'OB History'!X:X, 1)</f>
        <v>1</v>
      </c>
      <c r="AD38" s="92">
        <f>COUNTIFS('OB History'!$B:$B,$A$38,'OB History'!Y:Y, 1)</f>
        <v>2</v>
      </c>
    </row>
    <row r="44" spans="1:30" x14ac:dyDescent="0.25">
      <c r="F44" s="81"/>
    </row>
    <row r="46" spans="1:30" x14ac:dyDescent="0.25">
      <c r="F46" s="81"/>
    </row>
  </sheetData>
  <autoFilter ref="A1:AD38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9" t="s">
        <v>119</v>
      </c>
      <c r="B4" s="100"/>
      <c r="C4" s="100"/>
    </row>
    <row r="5" spans="1:3" x14ac:dyDescent="0.25">
      <c r="A5" s="99" t="s">
        <v>120</v>
      </c>
      <c r="B5" s="100"/>
      <c r="C5" s="100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2" t="s">
        <v>7</v>
      </c>
      <c r="D1" s="103"/>
      <c r="E1" s="103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3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4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5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5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5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5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5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5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5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5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4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1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1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1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1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1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1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1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1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C360"/>
  <sheetViews>
    <sheetView workbookViewId="0">
      <pane ySplit="1" topLeftCell="A329" activePane="bottomLeft" state="frozen"/>
      <selection pane="bottomLeft" activeCell="G351" sqref="G351"/>
    </sheetView>
  </sheetViews>
  <sheetFormatPr defaultRowHeight="15" x14ac:dyDescent="0.25"/>
  <cols>
    <col min="1" max="1" width="10.140625" bestFit="1" customWidth="1"/>
    <col min="2" max="2" width="10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5" max="25" width="11.42578125" bestFit="1" customWidth="1"/>
  </cols>
  <sheetData>
    <row r="1" spans="1:29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83" t="s">
        <v>57</v>
      </c>
      <c r="U1" s="83" t="s">
        <v>56</v>
      </c>
      <c r="V1" s="83" t="s">
        <v>9</v>
      </c>
      <c r="W1" s="83" t="s">
        <v>30</v>
      </c>
      <c r="X1" s="83" t="s">
        <v>11</v>
      </c>
      <c r="Y1" s="83" t="s">
        <v>39</v>
      </c>
      <c r="Z1" s="83" t="s">
        <v>134</v>
      </c>
      <c r="AA1" s="83" t="s">
        <v>132</v>
      </c>
      <c r="AB1" s="83" t="s">
        <v>133</v>
      </c>
      <c r="AC1" s="84" t="s">
        <v>136</v>
      </c>
    </row>
    <row r="2" spans="1:29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X2">
        <v>1</v>
      </c>
      <c r="Y2">
        <v>0</v>
      </c>
      <c r="Z2">
        <f>AVERAGEIFS($C$2:C2, $B$2:B2, B2)</f>
        <v>30</v>
      </c>
      <c r="AA2">
        <f>AVERAGEIFS($I$2:I2, $B$2:B2, B2)</f>
        <v>0.75</v>
      </c>
      <c r="AB2">
        <f>AVERAGEIFS($J$2:J2, $B$2:B2, B2)</f>
        <v>0.63</v>
      </c>
      <c r="AC2">
        <f>AVERAGEIFS($D$2:D2, $B$2:B2, B2)</f>
        <v>1</v>
      </c>
    </row>
    <row r="3" spans="1:29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1</v>
      </c>
      <c r="Y3">
        <v>0</v>
      </c>
      <c r="Z3">
        <f>AVERAGEIFS($C$2:C3, $B$2:B3, B3)</f>
        <v>28</v>
      </c>
      <c r="AA3">
        <f>AVERAGEIFS($I$2:I3, $B$2:B3, B3)</f>
        <v>0.75</v>
      </c>
      <c r="AB3">
        <f>AVERAGEIFS($J$2:J3, $B$2:B3, B3)</f>
        <v>0.63</v>
      </c>
      <c r="AC3">
        <f>AVERAGEIFS($D$2:D3, $B$2:B3, B3)</f>
        <v>1</v>
      </c>
    </row>
    <row r="4" spans="1:29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1</v>
      </c>
      <c r="Y4">
        <v>0</v>
      </c>
      <c r="Z4">
        <f>AVERAGEIFS($C$2:C4, $B$2:B4, B4)</f>
        <v>26</v>
      </c>
      <c r="AA4">
        <f>AVERAGEIFS($I$2:I4, $B$2:B4, B4)</f>
        <v>0.75</v>
      </c>
      <c r="AB4">
        <f>AVERAGEIFS($J$2:J4, $B$2:B4, B4)</f>
        <v>0.63</v>
      </c>
      <c r="AC4">
        <f>AVERAGEIFS($D$2:D4, $B$2:B4, B4)</f>
        <v>1</v>
      </c>
    </row>
    <row r="5" spans="1:29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1</v>
      </c>
      <c r="Y5">
        <v>0</v>
      </c>
      <c r="Z5">
        <f>AVERAGEIFS($C$2:C5, $B$2:B5, B5)</f>
        <v>25</v>
      </c>
      <c r="AA5">
        <f>AVERAGEIFS($I$2:I5, $B$2:B5, B5)</f>
        <v>0.75</v>
      </c>
      <c r="AB5">
        <f>AVERAGEIFS($J$2:J5, $B$2:B5, B5)</f>
        <v>0.63</v>
      </c>
      <c r="AC5">
        <f>AVERAGEIFS($D$2:D5, $B$2:B5, B5)</f>
        <v>1</v>
      </c>
    </row>
    <row r="6" spans="1:29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1</v>
      </c>
      <c r="Y6">
        <v>0</v>
      </c>
      <c r="Z6">
        <f>AVERAGEIFS($C$2:C6, $B$2:B6, B6)</f>
        <v>21</v>
      </c>
      <c r="AA6">
        <f>AVERAGEIFS($I$2:I6, $B$2:B6, B6)</f>
        <v>0.75</v>
      </c>
      <c r="AB6">
        <f>AVERAGEIFS($J$2:J6, $B$2:B6, B6)</f>
        <v>0.63</v>
      </c>
      <c r="AC6">
        <f>AVERAGEIFS($D$2:D6, $B$2:B6, B6)</f>
        <v>1</v>
      </c>
    </row>
    <row r="7" spans="1:29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1</v>
      </c>
      <c r="Y7">
        <v>0</v>
      </c>
      <c r="Z7">
        <f>AVERAGEIFS($C$2:C7, $B$2:B7, B7)</f>
        <v>14</v>
      </c>
      <c r="AA7">
        <f>AVERAGEIFS($I$2:I7, $B$2:B7, B7)</f>
        <v>0.75</v>
      </c>
      <c r="AB7">
        <f>AVERAGEIFS($J$2:J7, $B$2:B7, B7)</f>
        <v>0.63</v>
      </c>
      <c r="AC7">
        <f>AVERAGEIFS($D$2:D7, $B$2:B7, B7)</f>
        <v>1</v>
      </c>
    </row>
    <row r="8" spans="1:29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1</v>
      </c>
      <c r="Y8">
        <v>0</v>
      </c>
      <c r="Z8">
        <f>AVERAGEIFS($C$2:C8, $B$2:B8, B8)</f>
        <v>12</v>
      </c>
      <c r="AA8">
        <f>AVERAGEIFS($I$2:I8, $B$2:B8, B8)</f>
        <v>0.75</v>
      </c>
      <c r="AB8">
        <f>AVERAGEIFS($J$2:J8, $B$2:B8, B8)</f>
        <v>0.63</v>
      </c>
      <c r="AC8">
        <f>AVERAGEIFS($D$2:D8, $B$2:B8, B8)</f>
        <v>1</v>
      </c>
    </row>
    <row r="9" spans="1:29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1</v>
      </c>
      <c r="Y9">
        <v>0</v>
      </c>
      <c r="Z9">
        <f>AVERAGEIFS($C$2:C9, $B$2:B9, B9)</f>
        <v>10</v>
      </c>
      <c r="AA9">
        <f>AVERAGEIFS($I$2:I9, $B$2:B9, B9)</f>
        <v>0.75</v>
      </c>
      <c r="AB9">
        <f>AVERAGEIFS($J$2:J9, $B$2:B9, B9)</f>
        <v>0.63</v>
      </c>
      <c r="AC9">
        <f>AVERAGEIFS($D$2:D9, $B$2:B9, B9)</f>
        <v>1</v>
      </c>
    </row>
    <row r="10" spans="1:29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f>AVERAGEIFS($C$2:C10, $B$2:B10, B10)</f>
        <v>35</v>
      </c>
      <c r="AA10">
        <f>AVERAGEIFS($I$2:I10, $B$2:B10, B10)</f>
        <v>0.25</v>
      </c>
      <c r="AB10">
        <f>AVERAGEIFS($J$2:J10, $B$2:B10, B10)</f>
        <v>0.38</v>
      </c>
      <c r="AC10">
        <f>AVERAGEIFS($D$2:D10, $B$2:B10, B10)</f>
        <v>0</v>
      </c>
    </row>
    <row r="11" spans="1:29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f>AVERAGEIFS($C$2:C11, $B$2:B11, B11)</f>
        <v>23</v>
      </c>
      <c r="AA11">
        <f>AVERAGEIFS($I$2:I11, $B$2:B11, B11)</f>
        <v>0.25</v>
      </c>
      <c r="AB11">
        <f>AVERAGEIFS($J$2:J11, $B$2:B11, B11)</f>
        <v>0.38</v>
      </c>
      <c r="AC11">
        <f>AVERAGEIFS($D$2:D11, $B$2:B11, B11)</f>
        <v>0</v>
      </c>
    </row>
    <row r="12" spans="1:29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f>AVERAGEIFS($C$2:C12, $B$2:B12, B12)</f>
        <v>20</v>
      </c>
      <c r="AA12">
        <f>AVERAGEIFS($I$2:I12, $B$2:B12, B12)</f>
        <v>0.25</v>
      </c>
      <c r="AB12">
        <f>AVERAGEIFS($J$2:J12, $B$2:B12, B12)</f>
        <v>0.38</v>
      </c>
      <c r="AC12">
        <f>AVERAGEIFS($D$2:D12, $B$2:B12, B12)</f>
        <v>0</v>
      </c>
    </row>
    <row r="13" spans="1:29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f>AVERAGEIFS($C$2:C13, $B$2:B13, B13)</f>
        <v>19</v>
      </c>
      <c r="AA13">
        <f>AVERAGEIFS($I$2:I13, $B$2:B13, B13)</f>
        <v>0.25</v>
      </c>
      <c r="AB13">
        <f>AVERAGEIFS($J$2:J13, $B$2:B13, B13)</f>
        <v>0.38</v>
      </c>
      <c r="AC13">
        <f>AVERAGEIFS($D$2:D13, $B$2:B13, B13)</f>
        <v>0</v>
      </c>
    </row>
    <row r="14" spans="1:29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f>AVERAGEIFS($C$2:C14, $B$2:B14, B14)</f>
        <v>19</v>
      </c>
      <c r="AA14">
        <f>AVERAGEIFS($I$2:I14, $B$2:B14, B14)</f>
        <v>0.25</v>
      </c>
      <c r="AB14">
        <f>AVERAGEIFS($J$2:J14, $B$2:B14, B14)</f>
        <v>0.38</v>
      </c>
      <c r="AC14">
        <f>AVERAGEIFS($D$2:D14, $B$2:B14, B14)</f>
        <v>0</v>
      </c>
    </row>
    <row r="15" spans="1:29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f>AVERAGEIFS($C$2:C15, $B$2:B15, B15)</f>
        <v>11</v>
      </c>
      <c r="AA15">
        <f>AVERAGEIFS($I$2:I15, $B$2:B15, B15)</f>
        <v>0.25</v>
      </c>
      <c r="AB15">
        <f>AVERAGEIFS($J$2:J15, $B$2:B15, B15)</f>
        <v>0.38</v>
      </c>
      <c r="AC15">
        <f>AVERAGEIFS($D$2:D15, $B$2:B15, B15)</f>
        <v>0</v>
      </c>
    </row>
    <row r="16" spans="1:29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f>AVERAGEIFS($C$2:C16, $B$2:B16, B16)</f>
        <v>6</v>
      </c>
      <c r="AA16">
        <f>AVERAGEIFS($I$2:I16, $B$2:B16, B16)</f>
        <v>0.25</v>
      </c>
      <c r="AB16">
        <f>AVERAGEIFS($J$2:J16, $B$2:B16, B16)</f>
        <v>0.38</v>
      </c>
      <c r="AC16">
        <f>AVERAGEIFS($D$2:D16, $B$2:B16, B16)</f>
        <v>0</v>
      </c>
    </row>
    <row r="17" spans="1:29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f>AVERAGEIFS($C$2:C17, $B$2:B17, B17)</f>
        <v>26</v>
      </c>
      <c r="AA17">
        <f>AVERAGEIFS($I$2:I17, $B$2:B17, B17)</f>
        <v>0.42499999999999999</v>
      </c>
      <c r="AB17">
        <f>AVERAGEIFS($J$2:J17, $B$2:B17, B17)</f>
        <v>0.45500000000000002</v>
      </c>
      <c r="AC17">
        <f>AVERAGEIFS($D$2:D17, $B$2:B17, B17)</f>
        <v>0.5</v>
      </c>
    </row>
    <row r="18" spans="1:29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f>AVERAGEIFS($C$2:C18, $B$2:B18, B18)</f>
        <v>22</v>
      </c>
      <c r="AA18">
        <f>AVERAGEIFS($I$2:I18, $B$2:B18, B18)</f>
        <v>0.67500000000000004</v>
      </c>
      <c r="AB18">
        <f>AVERAGEIFS($J$2:J18, $B$2:B18, B18)</f>
        <v>0.58000000000000007</v>
      </c>
      <c r="AC18">
        <f>AVERAGEIFS($D$2:D18, $B$2:B18, B18)</f>
        <v>1</v>
      </c>
    </row>
    <row r="19" spans="1:29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f>AVERAGEIFS($C$2:C19, $B$2:B19, B19)</f>
        <v>14</v>
      </c>
      <c r="AA19">
        <f>AVERAGEIFS($I$2:I19, $B$2:B19, B19)</f>
        <v>0.67500000000000004</v>
      </c>
      <c r="AB19">
        <f>AVERAGEIFS($J$2:J19, $B$2:B19, B19)</f>
        <v>0.58000000000000007</v>
      </c>
      <c r="AC19">
        <f>AVERAGEIFS($D$2:D19, $B$2:B19, B19)</f>
        <v>1</v>
      </c>
    </row>
    <row r="20" spans="1:29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f>AVERAGEIFS($C$2:C20, $B$2:B20, B20)</f>
        <v>15</v>
      </c>
      <c r="AA20">
        <f>AVERAGEIFS($I$2:I20, $B$2:B20, B20)</f>
        <v>0.42499999999999999</v>
      </c>
      <c r="AB20">
        <f>AVERAGEIFS($J$2:J20, $B$2:B20, B20)</f>
        <v>0.45500000000000002</v>
      </c>
      <c r="AC20">
        <f>AVERAGEIFS($D$2:D20, $B$2:B20, B20)</f>
        <v>0.5</v>
      </c>
    </row>
    <row r="21" spans="1:29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f>AVERAGEIFS($C$2:C21, $B$2:B21, B21)</f>
        <v>14.5</v>
      </c>
      <c r="AA21">
        <f>AVERAGEIFS($I$2:I21, $B$2:B21, B21)</f>
        <v>0.67500000000000004</v>
      </c>
      <c r="AB21">
        <f>AVERAGEIFS($J$2:J21, $B$2:B21, B21)</f>
        <v>0.58000000000000007</v>
      </c>
      <c r="AC21">
        <f>AVERAGEIFS($D$2:D21, $B$2:B21, B21)</f>
        <v>1</v>
      </c>
    </row>
    <row r="22" spans="1:29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f>AVERAGEIFS($C$2:C22, $B$2:B22, B22)</f>
        <v>21.5</v>
      </c>
      <c r="AA22">
        <f>AVERAGEIFS($I$2:I22, $B$2:B22, B22)</f>
        <v>0.32500000000000001</v>
      </c>
      <c r="AB22">
        <f>AVERAGEIFS($J$2:J22, $B$2:B22, B22)</f>
        <v>0.42499999999999999</v>
      </c>
      <c r="AC22">
        <f>AVERAGEIFS($D$2:D22, $B$2:B22, B22)</f>
        <v>0</v>
      </c>
    </row>
    <row r="23" spans="1:29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f>AVERAGEIFS($C$2:C23, $B$2:B23, B23)</f>
        <v>24</v>
      </c>
      <c r="AA23">
        <f>AVERAGEIFS($I$2:I23, $B$2:B23, B23)</f>
        <v>0.57499999999999996</v>
      </c>
      <c r="AB23">
        <f>AVERAGEIFS($J$2:J23, $B$2:B23, B23)</f>
        <v>0.55000000000000004</v>
      </c>
      <c r="AC23">
        <f>AVERAGEIFS($D$2:D23, $B$2:B23, B23)</f>
        <v>0.5</v>
      </c>
    </row>
    <row r="24" spans="1:29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f>AVERAGEIFS($C$2:C24, $B$2:B24, B24)</f>
        <v>14</v>
      </c>
      <c r="AA24">
        <f>AVERAGEIFS($I$2:I24, $B$2:B24, B24)</f>
        <v>0.4</v>
      </c>
      <c r="AB24">
        <f>AVERAGEIFS($J$2:J24, $B$2:B24, B24)</f>
        <v>0.47</v>
      </c>
      <c r="AC24">
        <f>AVERAGEIFS($D$2:D24, $B$2:B24, B24)</f>
        <v>0</v>
      </c>
    </row>
    <row r="25" spans="1:29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f>AVERAGEIFS($C$2:C25, $B$2:B25, B25)</f>
        <v>7.5</v>
      </c>
      <c r="AA25">
        <f>AVERAGEIFS($I$2:I25, $B$2:B25, B25)</f>
        <v>0.32500000000000001</v>
      </c>
      <c r="AB25">
        <f>AVERAGEIFS($J$2:J25, $B$2:B25, B25)</f>
        <v>0.42499999999999999</v>
      </c>
      <c r="AC25">
        <f>AVERAGEIFS($D$2:D25, $B$2:B25, B25)</f>
        <v>0</v>
      </c>
    </row>
    <row r="26" spans="1:29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1</v>
      </c>
      <c r="U26">
        <v>0</v>
      </c>
      <c r="V26">
        <v>0</v>
      </c>
      <c r="W26">
        <v>0</v>
      </c>
      <c r="X26">
        <v>0</v>
      </c>
      <c r="Y26">
        <v>0</v>
      </c>
      <c r="Z26">
        <f>AVERAGEIFS($C$2:C26, $B$2:B26, B26)</f>
        <v>10</v>
      </c>
      <c r="AA26">
        <f>AVERAGEIFS($I$2:I26, $B$2:B26, B26)</f>
        <v>0.32500000000000001</v>
      </c>
      <c r="AB26">
        <f>AVERAGEIFS($J$2:J26, $B$2:B26, B26)</f>
        <v>0.42499999999999999</v>
      </c>
      <c r="AC26">
        <f>AVERAGEIFS($D$2:D26, $B$2:B26, B26)</f>
        <v>0</v>
      </c>
    </row>
    <row r="27" spans="1:29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f>AVERAGEIFS($C$2:C27, $B$2:B27, B27)</f>
        <v>25</v>
      </c>
      <c r="AA27">
        <f>AVERAGEIFS($I$2:I27, $B$2:B27, B27)</f>
        <v>0.46666666666666662</v>
      </c>
      <c r="AB27">
        <f>AVERAGEIFS($J$2:J27, $B$2:B27, B27)</f>
        <v>0.51333333333333331</v>
      </c>
      <c r="AC27">
        <f>AVERAGEIFS($D$2:D27, $B$2:B27, B27)</f>
        <v>0.33333333333333331</v>
      </c>
    </row>
    <row r="28" spans="1:29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f>AVERAGEIFS($C$2:C28, $B$2:B28, B28)</f>
        <v>23.666666666666668</v>
      </c>
      <c r="AA28">
        <f>AVERAGEIFS($I$2:I28, $B$2:B28, B28)</f>
        <v>0.6333333333333333</v>
      </c>
      <c r="AB28">
        <f>AVERAGEIFS($J$2:J28, $B$2:B28, B28)</f>
        <v>0.59666666666666668</v>
      </c>
      <c r="AC28">
        <f>AVERAGEIFS($D$2:D28, $B$2:B28, B28)</f>
        <v>0.66666666666666663</v>
      </c>
    </row>
    <row r="29" spans="1:29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f>AVERAGEIFS($C$2:C29, $B$2:B29, B29)</f>
        <v>21</v>
      </c>
      <c r="AA29">
        <f>AVERAGEIFS($I$2:I29, $B$2:B29, B29)</f>
        <v>0.75</v>
      </c>
      <c r="AB29">
        <f>AVERAGEIFS($J$2:J29, $B$2:B29, B29)</f>
        <v>0.69</v>
      </c>
      <c r="AC29">
        <f>AVERAGEIFS($D$2:D29, $B$2:B29, B29)</f>
        <v>1</v>
      </c>
    </row>
    <row r="30" spans="1:29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f>AVERAGEIFS($C$2:C30, $B$2:B30, B30)</f>
        <v>23</v>
      </c>
      <c r="AA30">
        <f>AVERAGEIFS($I$2:I30, $B$2:B30, B30)</f>
        <v>0.75</v>
      </c>
      <c r="AB30">
        <f>AVERAGEIFS($J$2:J30, $B$2:B30, B30)</f>
        <v>0.65999999999999992</v>
      </c>
      <c r="AC30">
        <f>AVERAGEIFS($D$2:D30, $B$2:B30, B30)</f>
        <v>1</v>
      </c>
    </row>
    <row r="31" spans="1:29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f>AVERAGEIFS($C$2:C31, $B$2:B31, B31)</f>
        <v>12</v>
      </c>
      <c r="AA31">
        <f>AVERAGEIFS($I$2:I31, $B$2:B31, B31)</f>
        <v>0.46666666666666662</v>
      </c>
      <c r="AB31">
        <f>AVERAGEIFS($J$2:J31, $B$2:B31, B31)</f>
        <v>0.51333333333333331</v>
      </c>
      <c r="AC31">
        <f>AVERAGEIFS($D$2:D31, $B$2:B31, B31)</f>
        <v>0.33333333333333331</v>
      </c>
    </row>
    <row r="32" spans="1:29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f>AVERAGEIFS($C$2:C32, $B$2:B32, B32)</f>
        <v>10</v>
      </c>
      <c r="AA32">
        <f>AVERAGEIFS($I$2:I32, $B$2:B32, B32)</f>
        <v>0.46666666666666662</v>
      </c>
      <c r="AB32">
        <f>AVERAGEIFS($J$2:J32, $B$2:B32, B32)</f>
        <v>0.51333333333333331</v>
      </c>
      <c r="AC32">
        <f>AVERAGEIFS($D$2:D32, $B$2:B32, B32)</f>
        <v>0.33333333333333331</v>
      </c>
    </row>
    <row r="33" spans="1:29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f>AVERAGEIFS($C$2:C33, $B$2:B33, B33)</f>
        <v>13</v>
      </c>
      <c r="AA33">
        <f>AVERAGEIFS($I$2:I33, $B$2:B33, B33)</f>
        <v>0.75</v>
      </c>
      <c r="AB33">
        <f>AVERAGEIFS($J$2:J33, $B$2:B33, B33)</f>
        <v>0.65999999999999992</v>
      </c>
      <c r="AC33">
        <f>AVERAGEIFS($D$2:D33, $B$2:B33, B33)</f>
        <v>1</v>
      </c>
    </row>
    <row r="34" spans="1:29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f>AVERAGEIFS($C$2:C34, $B$2:B34, B34)</f>
        <v>12</v>
      </c>
      <c r="AA34">
        <f>AVERAGEIFS($I$2:I34, $B$2:B34, B34)</f>
        <v>0.57499999999999996</v>
      </c>
      <c r="AB34">
        <f>AVERAGEIFS($J$2:J34, $B$2:B34, B34)</f>
        <v>0.57999999999999996</v>
      </c>
      <c r="AC34">
        <f>AVERAGEIFS($D$2:D34, $B$2:B34, B34)</f>
        <v>0.5</v>
      </c>
    </row>
    <row r="35" spans="1:29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f>AVERAGEIFS($C$2:C35, $B$2:B35, B35)</f>
        <v>27.5</v>
      </c>
      <c r="AA35">
        <f>AVERAGEIFS($I$2:I35, $B$2:B35, B35)</f>
        <v>0.5</v>
      </c>
      <c r="AB35">
        <f>AVERAGEIFS($J$2:J35, $B$2:B35, B35)</f>
        <v>0.47</v>
      </c>
      <c r="AC35">
        <f>AVERAGEIFS($D$2:D35, $B$2:B35, B35)</f>
        <v>0.5</v>
      </c>
    </row>
    <row r="36" spans="1:29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f>AVERAGEIFS($C$2:C36, $B$2:B36, B36)</f>
        <v>29.5</v>
      </c>
      <c r="AA36">
        <f>AVERAGEIFS($I$2:I36, $B$2:B36, B36)</f>
        <v>0.25</v>
      </c>
      <c r="AB36">
        <f>AVERAGEIFS($J$2:J36, $B$2:B36, B36)</f>
        <v>0.34499999999999997</v>
      </c>
      <c r="AC36">
        <f>AVERAGEIFS($D$2:D36, $B$2:B36, B36)</f>
        <v>0</v>
      </c>
    </row>
    <row r="37" spans="1:29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f>AVERAGEIFS($C$2:C37, $B$2:B37, B37)</f>
        <v>20</v>
      </c>
      <c r="AA37">
        <f>AVERAGEIFS($I$2:I37, $B$2:B37, B37)</f>
        <v>0.25</v>
      </c>
      <c r="AB37">
        <f>AVERAGEIFS($J$2:J37, $B$2:B37, B37)</f>
        <v>0.31</v>
      </c>
      <c r="AC37">
        <f>AVERAGEIFS($D$2:D37, $B$2:B37, B37)</f>
        <v>0</v>
      </c>
    </row>
    <row r="38" spans="1:29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f>AVERAGEIFS($C$2:C38, $B$2:B38, B38)</f>
        <v>16</v>
      </c>
      <c r="AA38">
        <f>AVERAGEIFS($I$2:I38, $B$2:B38, B38)</f>
        <v>0.25</v>
      </c>
      <c r="AB38">
        <f>AVERAGEIFS($J$2:J38, $B$2:B38, B38)</f>
        <v>0.31</v>
      </c>
      <c r="AC38">
        <f>AVERAGEIFS($D$2:D38, $B$2:B38, B38)</f>
        <v>0</v>
      </c>
    </row>
    <row r="39" spans="1:29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f>AVERAGEIFS($C$2:C39, $B$2:B39, B39)</f>
        <v>15</v>
      </c>
      <c r="AA39">
        <f>AVERAGEIFS($I$2:I39, $B$2:B39, B39)</f>
        <v>0.25</v>
      </c>
      <c r="AB39">
        <f>AVERAGEIFS($J$2:J39, $B$2:B39, B39)</f>
        <v>0.31</v>
      </c>
      <c r="AC39">
        <f>AVERAGEIFS($D$2:D39, $B$2:B39, B39)</f>
        <v>0</v>
      </c>
    </row>
    <row r="40" spans="1:29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f>AVERAGEIFS($C$2:C40, $B$2:B40, B40)</f>
        <v>12</v>
      </c>
      <c r="AA40">
        <f>AVERAGEIFS($I$2:I40, $B$2:B40, B40)</f>
        <v>0.25</v>
      </c>
      <c r="AB40">
        <f>AVERAGEIFS($J$2:J40, $B$2:B40, B40)</f>
        <v>0.31</v>
      </c>
      <c r="AC40">
        <f>AVERAGEIFS($D$2:D40, $B$2:B40, B40)</f>
        <v>0</v>
      </c>
    </row>
    <row r="41" spans="1:29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f>AVERAGEIFS($C$2:C41, $B$2:B41, B41)</f>
        <v>13.333333333333334</v>
      </c>
      <c r="AA41">
        <f>AVERAGEIFS($I$2:I41, $B$2:B41, B41)</f>
        <v>0.53333333333333333</v>
      </c>
      <c r="AB41">
        <f>AVERAGEIFS($J$2:J41, $B$2:B41, B41)</f>
        <v>0.49000000000000005</v>
      </c>
      <c r="AC41">
        <f>AVERAGEIFS($D$2:D41, $B$2:B41, B41)</f>
        <v>0.66666666666666663</v>
      </c>
    </row>
    <row r="42" spans="1:29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f>AVERAGEIFS($C$2:C42, $B$2:B42, B42)</f>
        <v>8</v>
      </c>
      <c r="AA42">
        <f>AVERAGEIFS($I$2:I42, $B$2:B42, B42)</f>
        <v>0.5</v>
      </c>
      <c r="AB42">
        <f>AVERAGEIFS($J$2:J42, $B$2:B42, B42)</f>
        <v>0.47</v>
      </c>
      <c r="AC42">
        <f>AVERAGEIFS($D$2:D42, $B$2:B42, B42)</f>
        <v>0.5</v>
      </c>
    </row>
    <row r="43" spans="1:29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f>AVERAGEIFS($C$2:C43, $B$2:B43, B43)</f>
        <v>20</v>
      </c>
      <c r="AA43">
        <f>AVERAGEIFS($I$2:I43, $B$2:B43, B43)</f>
        <v>0.42499999999999999</v>
      </c>
      <c r="AB43">
        <f>AVERAGEIFS($J$2:J43, $B$2:B43, B43)</f>
        <v>0.43999999999999995</v>
      </c>
      <c r="AC43">
        <f>AVERAGEIFS($D$2:D43, $B$2:B43, B43)</f>
        <v>0.5</v>
      </c>
    </row>
    <row r="44" spans="1:29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f>AVERAGEIFS($C$2:C44, $B$2:B44, B44)</f>
        <v>22.75</v>
      </c>
      <c r="AA44">
        <f>AVERAGEIFS($I$2:I44, $B$2:B44, B44)</f>
        <v>0.625</v>
      </c>
      <c r="AB44">
        <f>AVERAGEIFS($J$2:J44, $B$2:B44, B44)</f>
        <v>0.59</v>
      </c>
      <c r="AC44">
        <f>AVERAGEIFS($D$2:D44, $B$2:B44, B44)</f>
        <v>0.75</v>
      </c>
    </row>
    <row r="45" spans="1:29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f>AVERAGEIFS($C$2:C45, $B$2:B45, B45)</f>
        <v>25.333333333333332</v>
      </c>
      <c r="AA45">
        <f>AVERAGEIFS($I$2:I45, $B$2:B45, B45)</f>
        <v>0.3666666666666667</v>
      </c>
      <c r="AB45">
        <f>AVERAGEIFS($J$2:J45, $B$2:B45, B45)</f>
        <v>0.41999999999999993</v>
      </c>
      <c r="AC45">
        <f>AVERAGEIFS($D$2:D45, $B$2:B45, B45)</f>
        <v>0.33333333333333331</v>
      </c>
    </row>
    <row r="46" spans="1:29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f>AVERAGEIFS($C$2:C46, $B$2:B46, B46)</f>
        <v>16.5</v>
      </c>
      <c r="AA46">
        <f>AVERAGEIFS($I$2:I46, $B$2:B46, B46)</f>
        <v>0.67500000000000004</v>
      </c>
      <c r="AB46">
        <f>AVERAGEIFS($J$2:J46, $B$2:B46, B46)</f>
        <v>0.62999999999999989</v>
      </c>
      <c r="AC46">
        <f>AVERAGEIFS($D$2:D46, $B$2:B46, B46)</f>
        <v>1</v>
      </c>
    </row>
    <row r="47" spans="1:29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0</v>
      </c>
      <c r="Y47">
        <v>0</v>
      </c>
      <c r="Z47">
        <f>AVERAGEIFS($C$2:C47, $B$2:B47, B47)</f>
        <v>10.25</v>
      </c>
      <c r="AA47">
        <f>AVERAGEIFS($I$2:I47, $B$2:B47, B47)</f>
        <v>0.5</v>
      </c>
      <c r="AB47">
        <f>AVERAGEIFS($J$2:J47, $B$2:B47, B47)</f>
        <v>0.52749999999999997</v>
      </c>
      <c r="AC47">
        <f>AVERAGEIFS($D$2:D47, $B$2:B47, B47)</f>
        <v>0.5</v>
      </c>
    </row>
    <row r="48" spans="1:29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f>AVERAGEIFS($C$2:C48, $B$2:B48, B48)</f>
        <v>25.5</v>
      </c>
      <c r="AA48">
        <f>AVERAGEIFS($I$2:I48, $B$2:B48, B48)</f>
        <v>0.44999999999999996</v>
      </c>
      <c r="AB48">
        <f>AVERAGEIFS($J$2:J48, $B$2:B48, B48)</f>
        <v>0.49249999999999999</v>
      </c>
      <c r="AC48">
        <f>AVERAGEIFS($D$2:D48, $B$2:B48, B48)</f>
        <v>0.25</v>
      </c>
    </row>
    <row r="49" spans="1:29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f>AVERAGEIFS($C$2:C49, $B$2:B49, B49)</f>
        <v>22</v>
      </c>
      <c r="AA49">
        <f>AVERAGEIFS($I$2:I49, $B$2:B49, B49)</f>
        <v>0.58333333333333337</v>
      </c>
      <c r="AB49">
        <f>AVERAGEIFS($J$2:J49, $B$2:B49, B49)</f>
        <v>0.53</v>
      </c>
      <c r="AC49">
        <f>AVERAGEIFS($D$2:D49, $B$2:B49, B49)</f>
        <v>0.66666666666666663</v>
      </c>
    </row>
    <row r="50" spans="1:29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0</v>
      </c>
      <c r="Y50">
        <v>0</v>
      </c>
      <c r="Z50">
        <f>AVERAGEIFS($C$2:C50, $B$2:B50, B50)</f>
        <v>22.333333333333332</v>
      </c>
      <c r="AA50">
        <f>AVERAGEIFS($I$2:I50, $B$2:B50, B50)</f>
        <v>0.6333333333333333</v>
      </c>
      <c r="AB50">
        <f>AVERAGEIFS($J$2:J50, $B$2:B50, B50)</f>
        <v>0.58333333333333326</v>
      </c>
      <c r="AC50">
        <f>AVERAGEIFS($D$2:D50, $B$2:B50, B50)</f>
        <v>0.66666666666666663</v>
      </c>
    </row>
    <row r="51" spans="1:29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0</v>
      </c>
      <c r="Y51">
        <v>0</v>
      </c>
      <c r="Z51">
        <f>AVERAGEIFS($C$2:C51, $B$2:B51, B51)</f>
        <v>10.333333333333334</v>
      </c>
      <c r="AA51">
        <f>AVERAGEIFS($I$2:I51, $B$2:B51, B51)</f>
        <v>0.6333333333333333</v>
      </c>
      <c r="AB51">
        <f>AVERAGEIFS($J$2:J51, $B$2:B51, B51)</f>
        <v>0.58333333333333326</v>
      </c>
      <c r="AC51">
        <f>AVERAGEIFS($D$2:D51, $B$2:B51, B51)</f>
        <v>0.66666666666666663</v>
      </c>
    </row>
    <row r="52" spans="1:29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</v>
      </c>
      <c r="V52">
        <v>0</v>
      </c>
      <c r="W52">
        <v>0</v>
      </c>
      <c r="X52">
        <v>0</v>
      </c>
      <c r="Y52">
        <v>0</v>
      </c>
      <c r="Z52">
        <f>AVERAGEIFS($C$2:C52, $B$2:B52, B52)</f>
        <v>10</v>
      </c>
      <c r="AA52">
        <f>AVERAGEIFS($I$2:I52, $B$2:B52, B52)</f>
        <v>0.32500000000000001</v>
      </c>
      <c r="AB52">
        <f>AVERAGEIFS($J$2:J52, $B$2:B52, B52)</f>
        <v>0.37</v>
      </c>
      <c r="AC52">
        <f>AVERAGEIFS($D$2:D52, $B$2:B52, B52)</f>
        <v>0</v>
      </c>
    </row>
    <row r="53" spans="1:29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1</v>
      </c>
      <c r="W53">
        <v>0</v>
      </c>
      <c r="X53">
        <v>0</v>
      </c>
      <c r="Y53">
        <v>0</v>
      </c>
      <c r="Z53">
        <f>AVERAGEIFS($C$2:C53, $B$2:B53, B53)</f>
        <v>24</v>
      </c>
      <c r="AA53">
        <f>AVERAGEIFS($I$2:I53, $B$2:B53, B53)</f>
        <v>0.58750000000000002</v>
      </c>
      <c r="AB53">
        <f>AVERAGEIFS($J$2:J53, $B$2:B53, B53)</f>
        <v>0.54500000000000004</v>
      </c>
      <c r="AC53">
        <f>AVERAGEIFS($D$2:D53, $B$2:B53, B53)</f>
        <v>0.75</v>
      </c>
    </row>
    <row r="54" spans="1:29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1</v>
      </c>
      <c r="W54">
        <v>0</v>
      </c>
      <c r="X54">
        <v>0</v>
      </c>
      <c r="Y54">
        <v>0</v>
      </c>
      <c r="Z54">
        <f>AVERAGEIFS($C$2:C54, $B$2:B54, B54)</f>
        <v>25.6</v>
      </c>
      <c r="AA54">
        <f>AVERAGEIFS($I$2:I54, $B$2:B54, B54)</f>
        <v>0.48</v>
      </c>
      <c r="AB54">
        <f>AVERAGEIFS($J$2:J54, $B$2:B54, B54)</f>
        <v>0.51200000000000001</v>
      </c>
      <c r="AC54">
        <f>AVERAGEIFS($D$2:D54, $B$2:B54, B54)</f>
        <v>0.4</v>
      </c>
    </row>
    <row r="55" spans="1:29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W55">
        <v>0</v>
      </c>
      <c r="X55">
        <v>0</v>
      </c>
      <c r="Y55">
        <v>0</v>
      </c>
      <c r="Z55">
        <f>AVERAGEIFS($C$2:C55, $B$2:B55, B55)</f>
        <v>12.333333333333334</v>
      </c>
      <c r="AA55">
        <f>AVERAGEIFS($I$2:I55, $B$2:B55, B55)</f>
        <v>0.41666666666666669</v>
      </c>
      <c r="AB55">
        <f>AVERAGEIFS($J$2:J55, $B$2:B55, B55)</f>
        <v>0.44333333333333336</v>
      </c>
      <c r="AC55">
        <f>AVERAGEIFS($D$2:D55, $B$2:B55, B55)</f>
        <v>0.33333333333333331</v>
      </c>
    </row>
    <row r="56" spans="1:29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1</v>
      </c>
      <c r="W56">
        <v>0</v>
      </c>
      <c r="X56">
        <v>0</v>
      </c>
      <c r="Y56">
        <v>0</v>
      </c>
      <c r="Z56">
        <f>AVERAGEIFS($C$2:C56, $B$2:B56, B56)</f>
        <v>13.5</v>
      </c>
      <c r="AA56">
        <f>AVERAGEIFS($I$2:I56, $B$2:B56, B56)</f>
        <v>0.55000000000000004</v>
      </c>
      <c r="AB56">
        <f>AVERAGEIFS($J$2:J56, $B$2:B56, B56)</f>
        <v>0.51500000000000001</v>
      </c>
      <c r="AC56">
        <f>AVERAGEIFS($D$2:D56, $B$2:B56, B56)</f>
        <v>0.75</v>
      </c>
    </row>
    <row r="57" spans="1:29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1</v>
      </c>
      <c r="W57">
        <v>0</v>
      </c>
      <c r="X57">
        <v>0</v>
      </c>
      <c r="Y57">
        <v>0</v>
      </c>
      <c r="Z57">
        <f>AVERAGEIFS($C$2:C57, $B$2:B57, B57)</f>
        <v>13</v>
      </c>
      <c r="AA57">
        <f>AVERAGEIFS($I$2:I57, $B$2:B57, B57)</f>
        <v>0.6</v>
      </c>
      <c r="AB57">
        <f>AVERAGEIFS($J$2:J57, $B$2:B57, B57)</f>
        <v>0.59</v>
      </c>
      <c r="AC57">
        <f>AVERAGEIFS($D$2:D57, $B$2:B57, B57)</f>
        <v>1</v>
      </c>
    </row>
    <row r="58" spans="1:29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0</v>
      </c>
      <c r="Z58">
        <f>AVERAGEIFS($C$2:C58, $B$2:B58, B58)</f>
        <v>12</v>
      </c>
      <c r="AA58">
        <f>AVERAGEIFS($I$2:I58, $B$2:B58, B58)</f>
        <v>0.6</v>
      </c>
      <c r="AB58">
        <f>AVERAGEIFS($J$2:J58, $B$2:B58, B58)</f>
        <v>0.59</v>
      </c>
      <c r="AC58">
        <f>AVERAGEIFS($D$2:D58, $B$2:B58, B58)</f>
        <v>1</v>
      </c>
    </row>
    <row r="59" spans="1:29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f>AVERAGEIFS($C$2:C59, $B$2:B59, B59)</f>
        <v>30</v>
      </c>
      <c r="AA59">
        <f>AVERAGEIFS($I$2:I59, $B$2:B59, B59)</f>
        <v>0.4</v>
      </c>
      <c r="AB59">
        <f>AVERAGEIFS($J$2:J59, $B$2:B59, B59)</f>
        <v>0.41</v>
      </c>
      <c r="AC59">
        <f>AVERAGEIFS($D$2:D59, $B$2:B59, B59)</f>
        <v>0</v>
      </c>
    </row>
    <row r="60" spans="1:29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f>AVERAGEIFS($C$2:C60, $B$2:B60, B60)</f>
        <v>22.8</v>
      </c>
      <c r="AA60">
        <f>AVERAGEIFS($I$2:I60, $B$2:B60, B60)</f>
        <v>0.57999999999999996</v>
      </c>
      <c r="AB60">
        <f>AVERAGEIFS($J$2:J60, $B$2:B60, B60)</f>
        <v>0.55400000000000005</v>
      </c>
      <c r="AC60">
        <f>AVERAGEIFS($D$2:D60, $B$2:B60, B60)</f>
        <v>0.6</v>
      </c>
    </row>
    <row r="61" spans="1:29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f>AVERAGEIFS($C$2:C61, $B$2:B61, B61)</f>
        <v>24.25</v>
      </c>
      <c r="AA61">
        <f>AVERAGEIFS($I$2:I61, $B$2:B61, B61)</f>
        <v>0.375</v>
      </c>
      <c r="AB61">
        <f>AVERAGEIFS($J$2:J61, $B$2:B61, B61)</f>
        <v>0.41749999999999993</v>
      </c>
      <c r="AC61">
        <f>AVERAGEIFS($D$2:D61, $B$2:B61, B61)</f>
        <v>0.25</v>
      </c>
    </row>
    <row r="62" spans="1:29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f>AVERAGEIFS($C$2:C62, $B$2:B62, B62)</f>
        <v>10.75</v>
      </c>
      <c r="AA62">
        <f>AVERAGEIFS($I$2:I62, $B$2:B62, B62)</f>
        <v>0.57499999999999996</v>
      </c>
      <c r="AB62">
        <f>AVERAGEIFS($J$2:J62, $B$2:B62, B62)</f>
        <v>0.53999999999999992</v>
      </c>
      <c r="AC62">
        <f>AVERAGEIFS($D$2:D62, $B$2:B62, B62)</f>
        <v>0.5</v>
      </c>
    </row>
    <row r="63" spans="1:29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f>AVERAGEIFS($C$2:C63, $B$2:B63, B63)</f>
        <v>9.8000000000000007</v>
      </c>
      <c r="AA63">
        <f>AVERAGEIFS($I$2:I63, $B$2:B63, B63)</f>
        <v>0.48</v>
      </c>
      <c r="AB63">
        <f>AVERAGEIFS($J$2:J63, $B$2:B63, B63)</f>
        <v>0.504</v>
      </c>
      <c r="AC63">
        <f>AVERAGEIFS($D$2:D63, $B$2:B63, B63)</f>
        <v>0.4</v>
      </c>
    </row>
    <row r="64" spans="1:29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  <c r="Z64">
        <f>AVERAGEIFS($C$2:C64, $B$2:B64, B64)</f>
        <v>8</v>
      </c>
      <c r="AA64">
        <f>AVERAGEIFS($I$2:I64, $B$2:B64, B64)</f>
        <v>0.4</v>
      </c>
      <c r="AB64">
        <f>AVERAGEIFS($J$2:J64, $B$2:B64, B64)</f>
        <v>0.41</v>
      </c>
      <c r="AC64">
        <f>AVERAGEIFS($D$2:D64, $B$2:B64, B64)</f>
        <v>0</v>
      </c>
    </row>
    <row r="65" spans="1:29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f>AVERAGEIFS($C$2:C65, $B$2:B65, B65)</f>
        <v>25</v>
      </c>
      <c r="AA65">
        <f>AVERAGEIFS($I$2:I65, $B$2:B65, B65)</f>
        <v>0.52500000000000002</v>
      </c>
      <c r="AB65">
        <f>AVERAGEIFS($J$2:J65, $B$2:B65, B65)</f>
        <v>0.53833333333333333</v>
      </c>
      <c r="AC65">
        <f>AVERAGEIFS($D$2:D65, $B$2:B65, B65)</f>
        <v>0.5</v>
      </c>
    </row>
    <row r="66" spans="1:29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f>AVERAGEIFS($C$2:C66, $B$2:B66, B66)</f>
        <v>12.25</v>
      </c>
      <c r="AA66">
        <f>AVERAGEIFS($I$2:I66, $B$2:B66, B66)</f>
        <v>0.53749999999999998</v>
      </c>
      <c r="AB66">
        <f>AVERAGEIFS($J$2:J66, $B$2:B66, B66)</f>
        <v>0.55249999999999999</v>
      </c>
      <c r="AC66">
        <f>AVERAGEIFS($D$2:D66, $B$2:B66, B66)</f>
        <v>0.5</v>
      </c>
    </row>
    <row r="67" spans="1:29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f>AVERAGEIFS($C$2:C67, $B$2:B67, B67)</f>
        <v>12</v>
      </c>
      <c r="AA67">
        <f>AVERAGEIFS($I$2:I67, $B$2:B67, B67)</f>
        <v>0.67500000000000004</v>
      </c>
      <c r="AB67">
        <f>AVERAGEIFS($J$2:J67, $B$2:B67, B67)</f>
        <v>0.63</v>
      </c>
      <c r="AC67">
        <f>AVERAGEIFS($D$2:D67, $B$2:B67, B67)</f>
        <v>1</v>
      </c>
    </row>
    <row r="68" spans="1:29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f>AVERAGEIFS($C$2:C68, $B$2:B68, B68)</f>
        <v>21.333333333333332</v>
      </c>
      <c r="AA68">
        <f>AVERAGEIFS($I$2:I68, $B$2:B68, B68)</f>
        <v>0.58333333333333337</v>
      </c>
      <c r="AB68">
        <f>AVERAGEIFS($J$2:J68, $B$2:B68, B68)</f>
        <v>0.53666666666666663</v>
      </c>
      <c r="AC68">
        <f>AVERAGEIFS($D$2:D68, $B$2:B68, B68)</f>
        <v>0.66666666666666663</v>
      </c>
    </row>
    <row r="69" spans="1:29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f>AVERAGEIFS($C$2:C69, $B$2:B69, B69)</f>
        <v>20.333333333333332</v>
      </c>
      <c r="AA69">
        <f>AVERAGEIFS($I$2:I69, $B$2:B69, B69)</f>
        <v>0.60833333333333328</v>
      </c>
      <c r="AB69">
        <f>AVERAGEIFS($J$2:J69, $B$2:B69, B69)</f>
        <v>0.57333333333333336</v>
      </c>
      <c r="AC69">
        <f>AVERAGEIFS($D$2:D69, $B$2:B69, B69)</f>
        <v>0.66666666666666663</v>
      </c>
    </row>
    <row r="70" spans="1:29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f>AVERAGEIFS($C$2:C70, $B$2:B70, B70)</f>
        <v>12.2</v>
      </c>
      <c r="AA70">
        <f>AVERAGEIFS($I$2:I70, $B$2:B70, B70)</f>
        <v>0.59000000000000008</v>
      </c>
      <c r="AB70">
        <f>AVERAGEIFS($J$2:J70, $B$2:B70, B70)</f>
        <v>0.54600000000000004</v>
      </c>
      <c r="AC70">
        <f>AVERAGEIFS($D$2:D70, $B$2:B70, B70)</f>
        <v>0.8</v>
      </c>
    </row>
    <row r="71" spans="1:29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f>AVERAGEIFS($C$2:C71, $B$2:B71, B71)</f>
        <v>22.8</v>
      </c>
      <c r="AA71">
        <f>AVERAGEIFS($I$2:I71, $B$2:B71, B71)</f>
        <v>0.35</v>
      </c>
      <c r="AB71">
        <f>AVERAGEIFS($J$2:J71, $B$2:B71, B71)</f>
        <v>0.39999999999999997</v>
      </c>
      <c r="AC71">
        <f>AVERAGEIFS($D$2:D71, $B$2:B71, B71)</f>
        <v>0.2</v>
      </c>
    </row>
    <row r="72" spans="1:29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f>AVERAGEIFS($C$2:C72, $B$2:B72, B72)</f>
        <v>22</v>
      </c>
      <c r="AA72">
        <f>AVERAGEIFS($I$2:I72, $B$2:B72, B72)</f>
        <v>0.52</v>
      </c>
      <c r="AB72">
        <f>AVERAGEIFS($J$2:J72, $B$2:B72, B72)</f>
        <v>0.502</v>
      </c>
      <c r="AC72">
        <f>AVERAGEIFS($D$2:D72, $B$2:B72, B72)</f>
        <v>0.6</v>
      </c>
    </row>
    <row r="73" spans="1:29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f>AVERAGEIFS($C$2:C73, $B$2:B73, B73)</f>
        <v>19.75</v>
      </c>
      <c r="AA73">
        <f>AVERAGEIFS($I$2:I73, $B$2:B73, B73)</f>
        <v>0.53749999999999998</v>
      </c>
      <c r="AB73">
        <f>AVERAGEIFS($J$2:J73, $B$2:B73, B73)</f>
        <v>0.51999999999999991</v>
      </c>
      <c r="AC73">
        <f>AVERAGEIFS($D$2:D73, $B$2:B73, B73)</f>
        <v>0.5</v>
      </c>
    </row>
    <row r="74" spans="1:29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0</v>
      </c>
      <c r="Z74">
        <f>AVERAGEIFS($C$2:C74, $B$2:B74, B74)</f>
        <v>9.6666666666666661</v>
      </c>
      <c r="AA74">
        <f>AVERAGEIFS($I$2:I74, $B$2:B74, B74)</f>
        <v>0.44166666666666665</v>
      </c>
      <c r="AB74">
        <f>AVERAGEIFS($J$2:J74, $B$2:B74, B74)</f>
        <v>0.47500000000000003</v>
      </c>
      <c r="AC74">
        <f>AVERAGEIFS($D$2:D74, $B$2:B74, B74)</f>
        <v>0.33333333333333331</v>
      </c>
    </row>
    <row r="75" spans="1:29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0</v>
      </c>
      <c r="Z75">
        <f>AVERAGEIFS($C$2:C75, $B$2:B75, B75)</f>
        <v>11</v>
      </c>
      <c r="AA75">
        <f>AVERAGEIFS($I$2:I75, $B$2:B75, B75)</f>
        <v>0.375</v>
      </c>
      <c r="AB75">
        <f>AVERAGEIFS($J$2:J75, $B$2:B75, B75)</f>
        <v>0.41500000000000004</v>
      </c>
      <c r="AC75">
        <f>AVERAGEIFS($D$2:D75, $B$2:B75, B75)</f>
        <v>0.25</v>
      </c>
    </row>
    <row r="76" spans="1:29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0</v>
      </c>
      <c r="Z76">
        <f>AVERAGEIFS($C$2:C76, $B$2:B76, B76)</f>
        <v>6.5</v>
      </c>
      <c r="AA76">
        <f>AVERAGEIFS($I$2:I76, $B$2:B76, B76)</f>
        <v>0.32500000000000001</v>
      </c>
      <c r="AB76">
        <f>AVERAGEIFS($J$2:J76, $B$2:B76, B76)</f>
        <v>0.37</v>
      </c>
      <c r="AC76">
        <f>AVERAGEIFS($D$2:D76, $B$2:B76, B76)</f>
        <v>0</v>
      </c>
    </row>
    <row r="77" spans="1:29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f>AVERAGEIFS($C$2:C77, $B$2:B77, B77)</f>
        <v>25</v>
      </c>
      <c r="AA77">
        <f>AVERAGEIFS($I$2:I77, $B$2:B77, B77)</f>
        <v>0.55714285714285716</v>
      </c>
      <c r="AB77">
        <f>AVERAGEIFS($J$2:J77, $B$2:B77, B77)</f>
        <v>0.53714285714285714</v>
      </c>
      <c r="AC77">
        <f>AVERAGEIFS($D$2:D77, $B$2:B77, B77)</f>
        <v>0.5714285714285714</v>
      </c>
    </row>
    <row r="78" spans="1:29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f>AVERAGEIFS($C$2:C78, $B$2:B78, B78)</f>
        <v>19.666666666666668</v>
      </c>
      <c r="AA78">
        <f>AVERAGEIFS($I$2:I78, $B$2:B78, B78)</f>
        <v>0.53333333333333333</v>
      </c>
      <c r="AB78">
        <f>AVERAGEIFS($J$2:J78, $B$2:B78, B78)</f>
        <v>0.47</v>
      </c>
      <c r="AC78">
        <f>AVERAGEIFS($D$2:D78, $B$2:B78, B78)</f>
        <v>0.66666666666666663</v>
      </c>
    </row>
    <row r="79" spans="1:29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f>AVERAGEIFS($C$2:C79, $B$2:B79, B79)</f>
        <v>9.6666666666666661</v>
      </c>
      <c r="AA79">
        <f>AVERAGEIFS($I$2:I79, $B$2:B79, B79)</f>
        <v>0.58333333333333337</v>
      </c>
      <c r="AB79">
        <f>AVERAGEIFS($J$2:J79, $B$2:B79, B79)</f>
        <v>0.49</v>
      </c>
      <c r="AC79">
        <f>AVERAGEIFS($D$2:D79, $B$2:B79, B79)</f>
        <v>0.66666666666666663</v>
      </c>
    </row>
    <row r="80" spans="1:29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f>AVERAGEIFS($C$2:C80, $B$2:B80, B80)</f>
        <v>20.333333333333332</v>
      </c>
      <c r="AA80">
        <f>AVERAGEIFS($I$2:I80, $B$2:B80, B80)</f>
        <v>0.55833333333333335</v>
      </c>
      <c r="AB80">
        <f>AVERAGEIFS($J$2:J80, $B$2:B80, B80)</f>
        <v>0.50666666666666671</v>
      </c>
      <c r="AC80">
        <f>AVERAGEIFS($D$2:D80, $B$2:B80, B80)</f>
        <v>0.66666666666666663</v>
      </c>
    </row>
    <row r="81" spans="1:29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f>AVERAGEIFS($C$2:C81, $B$2:B81, B81)</f>
        <v>10.6</v>
      </c>
      <c r="AA81">
        <f>AVERAGEIFS($I$2:I81, $B$2:B81, B81)</f>
        <v>0.61</v>
      </c>
      <c r="AB81">
        <f>AVERAGEIFS($J$2:J81, $B$2:B81, B81)</f>
        <v>0.53799999999999992</v>
      </c>
      <c r="AC81">
        <f>AVERAGEIFS($D$2:D81, $B$2:B81, B81)</f>
        <v>0.6</v>
      </c>
    </row>
    <row r="82" spans="1:29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1</v>
      </c>
      <c r="Z82">
        <f>AVERAGEIFS($C$2:C82, $B$2:B82, B82)</f>
        <v>11.333333333333334</v>
      </c>
      <c r="AA82">
        <f>AVERAGEIFS($I$2:I82, $B$2:B82, B82)</f>
        <v>0.6333333333333333</v>
      </c>
      <c r="AB82">
        <f>AVERAGEIFS($J$2:J82, $B$2:B82, B82)</f>
        <v>0.56333333333333335</v>
      </c>
      <c r="AC82">
        <f>AVERAGEIFS($D$2:D82, $B$2:B82, B82)</f>
        <v>0.66666666666666663</v>
      </c>
    </row>
    <row r="83" spans="1:29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f>AVERAGEIFS($C$2:C83, $B$2:B83, B83)</f>
        <v>22.571428571428573</v>
      </c>
      <c r="AA83">
        <f>AVERAGEIFS($I$2:I83, $B$2:B83, B83)</f>
        <v>0.55714285714285716</v>
      </c>
      <c r="AB83">
        <f>AVERAGEIFS($J$2:J83, $B$2:B83, B83)</f>
        <v>0.55857142857142861</v>
      </c>
      <c r="AC83">
        <f>AVERAGEIFS($D$2:D83, $B$2:B83, B83)</f>
        <v>0.5714285714285714</v>
      </c>
    </row>
    <row r="84" spans="1:29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f>AVERAGEIFS($C$2:C84, $B$2:B84, B84)</f>
        <v>20.5</v>
      </c>
      <c r="AA84">
        <f>AVERAGEIFS($I$2:I84, $B$2:B84, B84)</f>
        <v>0.5</v>
      </c>
      <c r="AB84">
        <f>AVERAGEIFS($J$2:J84, $B$2:B84, B84)</f>
        <v>0.52</v>
      </c>
      <c r="AC84">
        <f>AVERAGEIFS($D$2:D84, $B$2:B84, B84)</f>
        <v>0.5</v>
      </c>
    </row>
    <row r="85" spans="1:29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f>AVERAGEIFS($C$2:C85, $B$2:B85, B85)</f>
        <v>11.833333333333334</v>
      </c>
      <c r="AA85">
        <f>AVERAGEIFS($I$2:I85, $B$2:B85, B85)</f>
        <v>0.53333333333333333</v>
      </c>
      <c r="AB85">
        <f>AVERAGEIFS($J$2:J85, $B$2:B85, B85)</f>
        <v>0.53333333333333333</v>
      </c>
      <c r="AC85">
        <f>AVERAGEIFS($D$2:D85, $B$2:B85, B85)</f>
        <v>0.66666666666666663</v>
      </c>
    </row>
    <row r="86" spans="1:29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f>AVERAGEIFS($C$2:C86, $B$2:B86, B86)</f>
        <v>9.7142857142857135</v>
      </c>
      <c r="AA86">
        <f>AVERAGEIFS($I$2:I86, $B$2:B86, B86)</f>
        <v>0.41428571428571426</v>
      </c>
      <c r="AB86">
        <f>AVERAGEIFS($J$2:J86, $B$2:B86, B86)</f>
        <v>0.47428571428571431</v>
      </c>
      <c r="AC86">
        <f>AVERAGEIFS($D$2:D86, $B$2:B86, B86)</f>
        <v>0.2857142857142857</v>
      </c>
    </row>
    <row r="87" spans="1:29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f>AVERAGEIFS($C$2:C87, $B$2:B87, B87)</f>
        <v>11.333333333333334</v>
      </c>
      <c r="AA87">
        <f>AVERAGEIFS($I$2:I87, $B$2:B87, B87)</f>
        <v>0.53333333333333333</v>
      </c>
      <c r="AB87">
        <f>AVERAGEIFS($J$2:J87, $B$2:B87, B87)</f>
        <v>0.54333333333333333</v>
      </c>
      <c r="AC87">
        <f>AVERAGEIFS($D$2:D87, $B$2:B87, B87)</f>
        <v>0.66666666666666663</v>
      </c>
    </row>
    <row r="88" spans="1:29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f>AVERAGEIFS($C$2:C88, $B$2:B88, B88)</f>
        <v>12.5</v>
      </c>
      <c r="AA88">
        <f>AVERAGEIFS($I$2:I88, $B$2:B88, B88)</f>
        <v>0.25</v>
      </c>
      <c r="AB88">
        <f>AVERAGEIFS($J$2:J88, $B$2:B88, B88)</f>
        <v>0.39</v>
      </c>
      <c r="AC88">
        <f>AVERAGEIFS($D$2:D88, $B$2:B88, B88)</f>
        <v>0</v>
      </c>
    </row>
    <row r="89" spans="1:29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f>AVERAGEIFS($C$2:C89, $B$2:B89, B89)</f>
        <v>28.125</v>
      </c>
      <c r="AA89">
        <f>AVERAGEIFS($I$2:I89, $B$2:B89, B89)</f>
        <v>0.5625</v>
      </c>
      <c r="AB89">
        <f>AVERAGEIFS($J$2:J89, $B$2:B89, B89)</f>
        <v>0.54125000000000001</v>
      </c>
      <c r="AC89">
        <f>AVERAGEIFS($D$2:D89, $B$2:B89, B89)</f>
        <v>0.625</v>
      </c>
    </row>
    <row r="90" spans="1:29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f>AVERAGEIFS($C$2:C90, $B$2:B90, B90)</f>
        <v>20.5</v>
      </c>
      <c r="AA90">
        <f>AVERAGEIFS($I$2:I90, $B$2:B90, B90)</f>
        <v>0.6</v>
      </c>
      <c r="AB90">
        <f>AVERAGEIFS($J$2:J90, $B$2:B90, B90)</f>
        <v>0.57999999999999996</v>
      </c>
      <c r="AC90">
        <f>AVERAGEIFS($D$2:D90, $B$2:B90, B90)</f>
        <v>1</v>
      </c>
    </row>
    <row r="91" spans="1:29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f>AVERAGEIFS($C$2:C91, $B$2:B91, B91)</f>
        <v>21</v>
      </c>
      <c r="AA91">
        <f>AVERAGEIFS($I$2:I91, $B$2:B91, B91)</f>
        <v>0.55000000000000004</v>
      </c>
      <c r="AB91">
        <f>AVERAGEIFS($J$2:J91, $B$2:B91, B91)</f>
        <v>0.52999999999999992</v>
      </c>
      <c r="AC91">
        <f>AVERAGEIFS($D$2:D91, $B$2:B91, B91)</f>
        <v>0.6</v>
      </c>
    </row>
    <row r="92" spans="1:29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f>AVERAGEIFS($C$2:C92, $B$2:B92, B92)</f>
        <v>25</v>
      </c>
      <c r="AA92">
        <f>AVERAGEIFS($I$2:I92, $B$2:B92, B92)</f>
        <v>0.6</v>
      </c>
      <c r="AB92">
        <f>AVERAGEIFS($J$2:J92, $B$2:B92, B92)</f>
        <v>0.56999999999999995</v>
      </c>
      <c r="AC92">
        <f>AVERAGEIFS($D$2:D92, $B$2:B92, B92)</f>
        <v>1</v>
      </c>
    </row>
    <row r="93" spans="1:29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f>AVERAGEIFS($C$2:C93, $B$2:B93, B93)</f>
        <v>10.25</v>
      </c>
      <c r="AA93">
        <f>AVERAGEIFS($I$2:I93, $B$2:B93, B93)</f>
        <v>0.58750000000000002</v>
      </c>
      <c r="AB93">
        <f>AVERAGEIFS($J$2:J93, $B$2:B93, B93)</f>
        <v>0.51</v>
      </c>
      <c r="AC93">
        <f>AVERAGEIFS($D$2:D93, $B$2:B93, B93)</f>
        <v>0.75</v>
      </c>
    </row>
    <row r="94" spans="1:29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f>AVERAGEIFS($C$2:C94, $B$2:B94, B94)</f>
        <v>10.5</v>
      </c>
      <c r="AA94">
        <f>AVERAGEIFS($I$2:I94, $B$2:B94, B94)</f>
        <v>0.625</v>
      </c>
      <c r="AB94">
        <f>AVERAGEIFS($J$2:J94, $B$2:B94, B94)</f>
        <v>0.56499999999999995</v>
      </c>
      <c r="AC94">
        <f>AVERAGEIFS($D$2:D94, $B$2:B94, B94)</f>
        <v>0.75</v>
      </c>
    </row>
    <row r="95" spans="1:29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1</v>
      </c>
      <c r="Z95">
        <f>AVERAGEIFS($C$2:C95, $B$2:B95, B95)</f>
        <v>23.875</v>
      </c>
      <c r="AA95">
        <f>AVERAGEIFS($I$2:I95, $B$2:B95, B95)</f>
        <v>0.53749999999999998</v>
      </c>
      <c r="AB95">
        <f>AVERAGEIFS($J$2:J95, $B$2:B95, B95)</f>
        <v>0.54249999999999998</v>
      </c>
      <c r="AC95">
        <f>AVERAGEIFS($D$2:D95, $B$2:B95, B95)</f>
        <v>0.5</v>
      </c>
    </row>
    <row r="96" spans="1:29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1</v>
      </c>
      <c r="Z96">
        <f>AVERAGEIFS($C$2:C96, $B$2:B96, B96)</f>
        <v>22.8</v>
      </c>
      <c r="AA96">
        <f>AVERAGEIFS($I$2:I96, $B$2:B96, B96)</f>
        <v>0.48</v>
      </c>
      <c r="AB96">
        <f>AVERAGEIFS($J$2:J96, $B$2:B96, B96)</f>
        <v>0.502</v>
      </c>
      <c r="AC96">
        <f>AVERAGEIFS($D$2:D96, $B$2:B96, B96)</f>
        <v>0.4</v>
      </c>
    </row>
    <row r="97" spans="1:29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1</v>
      </c>
      <c r="Z97">
        <f>AVERAGEIFS($C$2:C97, $B$2:B97, B97)</f>
        <v>21.5</v>
      </c>
      <c r="AA97">
        <f>AVERAGEIFS($I$2:I97, $B$2:B97, B97)</f>
        <v>0.32500000000000001</v>
      </c>
      <c r="AB97">
        <f>AVERAGEIFS($J$2:J97, $B$2:B97, B97)</f>
        <v>0.40500000000000003</v>
      </c>
      <c r="AC97">
        <f>AVERAGEIFS($D$2:D97, $B$2:B97, B97)</f>
        <v>0</v>
      </c>
    </row>
    <row r="98" spans="1:29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1</v>
      </c>
      <c r="Z98">
        <f>AVERAGEIFS($C$2:C98, $B$2:B98, B98)</f>
        <v>17.666666666666668</v>
      </c>
      <c r="AA98">
        <f>AVERAGEIFS($I$2:I98, $B$2:B98, B98)</f>
        <v>0.58333333333333337</v>
      </c>
      <c r="AB98">
        <f>AVERAGEIFS($J$2:J98, $B$2:B98, B98)</f>
        <v>0.56333333333333324</v>
      </c>
      <c r="AC98">
        <f>AVERAGEIFS($D$2:D98, $B$2:B98, B98)</f>
        <v>0.66666666666666663</v>
      </c>
    </row>
    <row r="99" spans="1:29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1</v>
      </c>
      <c r="Z99">
        <f>AVERAGEIFS($C$2:C99, $B$2:B99, B99)</f>
        <v>13.2</v>
      </c>
      <c r="AA99">
        <f>AVERAGEIFS($I$2:I99, $B$2:B99, B99)</f>
        <v>0.51</v>
      </c>
      <c r="AB99">
        <f>AVERAGEIFS($J$2:J99, $B$2:B99, B99)</f>
        <v>0.52800000000000002</v>
      </c>
      <c r="AC99">
        <f>AVERAGEIFS($D$2:D99, $B$2:B99, B99)</f>
        <v>0.4</v>
      </c>
    </row>
    <row r="100" spans="1:29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1</v>
      </c>
      <c r="Z100">
        <f>AVERAGEIFS($C$2:C100, $B$2:B100, B100)</f>
        <v>10.666666666666666</v>
      </c>
      <c r="AA100">
        <f>AVERAGEIFS($I$2:I100, $B$2:B100, B100)</f>
        <v>0.3</v>
      </c>
      <c r="AB100">
        <f>AVERAGEIFS($J$2:J100, $B$2:B100, B100)</f>
        <v>0.40333333333333332</v>
      </c>
      <c r="AC100">
        <f>AVERAGEIFS($D$2:D100, $B$2:B100, B100)</f>
        <v>0</v>
      </c>
    </row>
    <row r="101" spans="1:29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f>AVERAGEIFS($C$2:C101, $B$2:B101, B101)</f>
        <v>20.75</v>
      </c>
      <c r="AA101">
        <f>AVERAGEIFS($I$2:I101, $B$2:B101, B101)</f>
        <v>0.58750000000000002</v>
      </c>
      <c r="AB101">
        <f>AVERAGEIFS($J$2:J101, $B$2:B101, B101)</f>
        <v>0.50249999999999995</v>
      </c>
      <c r="AC101">
        <f>AVERAGEIFS($D$2:D101, $B$2:B101, B101)</f>
        <v>0.75</v>
      </c>
    </row>
    <row r="102" spans="1:29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f>AVERAGEIFS($C$2:C102, $B$2:B102, B102)</f>
        <v>17</v>
      </c>
      <c r="AA102">
        <f>AVERAGEIFS($I$2:I102, $B$2:B102, B102)</f>
        <v>0.53333333333333333</v>
      </c>
      <c r="AB102">
        <f>AVERAGEIFS($J$2:J102, $B$2:B102, B102)</f>
        <v>0.5033333333333333</v>
      </c>
      <c r="AC102">
        <f>AVERAGEIFS($D$2:D102, $B$2:B102, B102)</f>
        <v>0.66666666666666663</v>
      </c>
    </row>
    <row r="103" spans="1:29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f>AVERAGEIFS($C$2:C103, $B$2:B103, B103)</f>
        <v>22.333333333333332</v>
      </c>
      <c r="AA103">
        <f>AVERAGEIFS($I$2:I103, $B$2:B103, B103)</f>
        <v>0.41666666666666669</v>
      </c>
      <c r="AB103">
        <f>AVERAGEIFS($J$2:J103, $B$2:B103, B103)</f>
        <v>0.43333333333333329</v>
      </c>
      <c r="AC103">
        <f>AVERAGEIFS($D$2:D103, $B$2:B103, B103)</f>
        <v>0.33333333333333331</v>
      </c>
    </row>
    <row r="104" spans="1:29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f>AVERAGEIFS($C$2:C104, $B$2:B104, B104)</f>
        <v>12.714285714285714</v>
      </c>
      <c r="AA104">
        <f>AVERAGEIFS($I$2:I104, $B$2:B104, B104)</f>
        <v>0.56428571428571428</v>
      </c>
      <c r="AB104">
        <f>AVERAGEIFS($J$2:J104, $B$2:B104, B104)</f>
        <v>0.54285714285714293</v>
      </c>
      <c r="AC104">
        <f>AVERAGEIFS($D$2:D104, $B$2:B104, B104)</f>
        <v>0.7142857142857143</v>
      </c>
    </row>
    <row r="105" spans="1:29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f>AVERAGEIFS($C$2:C105, $B$2:B105, B105)</f>
        <v>10.125</v>
      </c>
      <c r="AA105">
        <f>AVERAGEIFS($I$2:I105, $B$2:B105, B105)</f>
        <v>0.45624999999999999</v>
      </c>
      <c r="AB105">
        <f>AVERAGEIFS($J$2:J105, $B$2:B105, B105)</f>
        <v>0.49000000000000005</v>
      </c>
      <c r="AC105">
        <f>AVERAGEIFS($D$2:D105, $B$2:B105, B105)</f>
        <v>0.375</v>
      </c>
    </row>
    <row r="106" spans="1:29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X106">
        <v>0</v>
      </c>
      <c r="Y106">
        <v>0</v>
      </c>
      <c r="Z106">
        <f>AVERAGEIFS($C$2:C106, $B$2:B106, B106)</f>
        <v>10.199999999999999</v>
      </c>
      <c r="AA106">
        <f>AVERAGEIFS($I$2:I106, $B$2:B106, B106)</f>
        <v>0.45</v>
      </c>
      <c r="AB106">
        <f>AVERAGEIFS($J$2:J106, $B$2:B106, B106)</f>
        <v>0.45200000000000007</v>
      </c>
      <c r="AC106">
        <f>AVERAGEIFS($D$2:D106, $B$2:B106, B106)</f>
        <v>0.4</v>
      </c>
    </row>
    <row r="107" spans="1:29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AVERAGEIFS($C$2:C107, $B$2:B107, B107)</f>
        <v>20.857142857142858</v>
      </c>
      <c r="AA107">
        <f>AVERAGEIFS($I$2:I107, $B$2:B107, B107)</f>
        <v>0.51428571428571435</v>
      </c>
      <c r="AB107">
        <f>AVERAGEIFS($J$2:J107, $B$2:B107, B107)</f>
        <v>0.49142857142857144</v>
      </c>
      <c r="AC107">
        <f>AVERAGEIFS($D$2:D107, $B$2:B107, B107)</f>
        <v>0.5714285714285714</v>
      </c>
    </row>
    <row r="108" spans="1:29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f>AVERAGEIFS($C$2:C108, $B$2:B108, B108)</f>
        <v>25.333333333333332</v>
      </c>
      <c r="AA108">
        <f>AVERAGEIFS($I$2:I108, $B$2:B108, B108)</f>
        <v>0.3666666666666667</v>
      </c>
      <c r="AB108">
        <f>AVERAGEIFS($J$2:J108, $B$2:B108, B108)</f>
        <v>0.4366666666666667</v>
      </c>
      <c r="AC108">
        <f>AVERAGEIFS($D$2:D108, $B$2:B108, B108)</f>
        <v>0.33333333333333331</v>
      </c>
    </row>
    <row r="109" spans="1:29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f>AVERAGEIFS($C$2:C109, $B$2:B109, B109)</f>
        <v>23</v>
      </c>
      <c r="AA109">
        <f>AVERAGEIFS($I$2:I109, $B$2:B109, B109)</f>
        <v>0.32500000000000001</v>
      </c>
      <c r="AB109">
        <f>AVERAGEIFS($J$2:J109, $B$2:B109, B109)</f>
        <v>0.40500000000000003</v>
      </c>
      <c r="AC109">
        <f>AVERAGEIFS($D$2:D109, $B$2:B109, B109)</f>
        <v>0</v>
      </c>
    </row>
    <row r="110" spans="1:29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f>AVERAGEIFS($C$2:C110, $B$2:B110, B110)</f>
        <v>9</v>
      </c>
      <c r="AA110">
        <f>AVERAGEIFS($I$2:I110, $B$2:B110, B110)</f>
        <v>0.3</v>
      </c>
      <c r="AB110">
        <f>AVERAGEIFS($J$2:J110, $B$2:B110, B110)</f>
        <v>0.38000000000000006</v>
      </c>
      <c r="AC110">
        <f>AVERAGEIFS($D$2:D110, $B$2:B110, B110)</f>
        <v>0</v>
      </c>
    </row>
    <row r="111" spans="1:29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f>AVERAGEIFS($C$2:C111, $B$2:B111, B111)</f>
        <v>10.166666666666666</v>
      </c>
      <c r="AA111">
        <f>AVERAGEIFS($I$2:I111, $B$2:B111, B111)</f>
        <v>0.54999999999999993</v>
      </c>
      <c r="AB111">
        <f>AVERAGEIFS($J$2:J111, $B$2:B111, B111)</f>
        <v>0.5149999999999999</v>
      </c>
      <c r="AC111">
        <f>AVERAGEIFS($D$2:D111, $B$2:B111, B111)</f>
        <v>0.5</v>
      </c>
    </row>
    <row r="112" spans="1:29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f>AVERAGEIFS($C$2:C112, $B$2:B112, B112)</f>
        <v>10</v>
      </c>
      <c r="AA112">
        <f>AVERAGEIFS($I$2:I112, $B$2:B112, B112)</f>
        <v>0.46250000000000002</v>
      </c>
      <c r="AB112">
        <f>AVERAGEIFS($J$2:J112, $B$2:B112, B112)</f>
        <v>0.50750000000000006</v>
      </c>
      <c r="AC112">
        <f>AVERAGEIFS($D$2:D112, $B$2:B112, B112)</f>
        <v>0.5</v>
      </c>
    </row>
    <row r="113" spans="1:29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f>AVERAGEIFS($C$2:C113, $B$2:B113, B113)</f>
        <v>25.222222222222221</v>
      </c>
      <c r="AA113">
        <f>AVERAGEIFS($I$2:I113, $B$2:B113, B113)</f>
        <v>0.56111111111111112</v>
      </c>
      <c r="AB113">
        <f>AVERAGEIFS($J$2:J113, $B$2:B113, B113)</f>
        <v>0.5477777777777777</v>
      </c>
      <c r="AC113">
        <f>AVERAGEIFS($D$2:D113, $B$2:B113, B113)</f>
        <v>0.55555555555555558</v>
      </c>
    </row>
    <row r="114" spans="1:29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f>AVERAGEIFS($C$2:C114, $B$2:B114, B114)</f>
        <v>27.555555555555557</v>
      </c>
      <c r="AA114">
        <f>AVERAGEIFS($I$2:I114, $B$2:B114, B114)</f>
        <v>0.58333333333333337</v>
      </c>
      <c r="AB114">
        <f>AVERAGEIFS($J$2:J114, $B$2:B114, B114)</f>
        <v>0.54666666666666663</v>
      </c>
      <c r="AC114">
        <f>AVERAGEIFS($D$2:D114, $B$2:B114, B114)</f>
        <v>0.66666666666666663</v>
      </c>
    </row>
    <row r="115" spans="1:29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f>AVERAGEIFS($C$2:C115, $B$2:B115, B115)</f>
        <v>13</v>
      </c>
      <c r="AA115">
        <f>AVERAGEIFS($I$2:I115, $B$2:B115, B115)</f>
        <v>0.41249999999999998</v>
      </c>
      <c r="AB115">
        <f>AVERAGEIFS($J$2:J115, $B$2:B115, B115)</f>
        <v>0.44999999999999996</v>
      </c>
      <c r="AC115">
        <f>AVERAGEIFS($D$2:D115, $B$2:B115, B115)</f>
        <v>0.25</v>
      </c>
    </row>
    <row r="116" spans="1:29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f>AVERAGEIFS($C$2:C116, $B$2:B116, B116)</f>
        <v>11.8</v>
      </c>
      <c r="AA116">
        <f>AVERAGEIFS($I$2:I116, $B$2:B116, B116)</f>
        <v>0.62</v>
      </c>
      <c r="AB116">
        <f>AVERAGEIFS($J$2:J116, $B$2:B116, B116)</f>
        <v>0.52600000000000002</v>
      </c>
      <c r="AC116">
        <f>AVERAGEIFS($D$2:D116, $B$2:B116, B116)</f>
        <v>0.8</v>
      </c>
    </row>
    <row r="117" spans="1:29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f>AVERAGEIFS($C$2:C117, $B$2:B117, B117)</f>
        <v>21.833333333333332</v>
      </c>
      <c r="AA117">
        <f>AVERAGEIFS($I$2:I117, $B$2:B117, B117)</f>
        <v>0.52500000000000002</v>
      </c>
      <c r="AB117">
        <f>AVERAGEIFS($J$2:J117, $B$2:B117, B117)</f>
        <v>0.51666666666666672</v>
      </c>
      <c r="AC117">
        <f>AVERAGEIFS($D$2:D117, $B$2:B117, B117)</f>
        <v>0.5</v>
      </c>
    </row>
    <row r="118" spans="1:29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f>AVERAGEIFS($C$2:C118, $B$2:B118, B118)</f>
        <v>10.4</v>
      </c>
      <c r="AA118">
        <f>AVERAGEIFS($I$2:I118, $B$2:B118, B118)</f>
        <v>0.65</v>
      </c>
      <c r="AB118">
        <f>AVERAGEIFS($J$2:J118, $B$2:B118, B118)</f>
        <v>0.56999999999999995</v>
      </c>
      <c r="AC118">
        <f>AVERAGEIFS($D$2:D118, $B$2:B118, B118)</f>
        <v>0.8</v>
      </c>
    </row>
    <row r="119" spans="1:29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f>AVERAGEIFS($C$2:C119, $B$2:B119, B119)</f>
        <v>10.111111111111111</v>
      </c>
      <c r="AA119">
        <f>AVERAGEIFS($I$2:I119, $B$2:B119, B119)</f>
        <v>0.48888888888888893</v>
      </c>
      <c r="AB119">
        <f>AVERAGEIFS($J$2:J119, $B$2:B119, B119)</f>
        <v>0.50111111111111117</v>
      </c>
      <c r="AC119">
        <f>AVERAGEIFS($D$2:D119, $B$2:B119, B119)</f>
        <v>0.44444444444444442</v>
      </c>
    </row>
    <row r="120" spans="1:29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f>AVERAGEIFS($C$2:C120, $B$2:B120, B120)</f>
        <v>3</v>
      </c>
      <c r="AA120">
        <f>AVERAGEIFS($I$2:I120, $B$2:B120, B120)</f>
        <v>0.75</v>
      </c>
      <c r="AB120">
        <f>AVERAGEIFS($J$2:J120, $B$2:B120, B120)</f>
        <v>0.59</v>
      </c>
      <c r="AC120">
        <f>AVERAGEIFS($D$2:D120, $B$2:B120, B120)</f>
        <v>1</v>
      </c>
    </row>
    <row r="121" spans="1:29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f>AVERAGEIFS($C$2:C121, $B$2:B121, B121)</f>
        <v>22.571428571428573</v>
      </c>
      <c r="AA121">
        <f>AVERAGEIFS($I$2:I121, $B$2:B121, B121)</f>
        <v>0.39285714285714285</v>
      </c>
      <c r="AB121">
        <f>AVERAGEIFS($J$2:J121, $B$2:B121, B121)</f>
        <v>0.43</v>
      </c>
      <c r="AC121">
        <f>AVERAGEIFS($D$2:D121, $B$2:B121, B121)</f>
        <v>0.2857142857142857</v>
      </c>
    </row>
    <row r="122" spans="1:29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f>AVERAGEIFS($C$2:C122, $B$2:B122, B122)</f>
        <v>24.25</v>
      </c>
      <c r="AA122">
        <f>AVERAGEIFS($I$2:I122, $B$2:B122, B122)</f>
        <v>0.33750000000000002</v>
      </c>
      <c r="AB122">
        <f>AVERAGEIFS($J$2:J122, $B$2:B122, B122)</f>
        <v>0.43</v>
      </c>
      <c r="AC122">
        <f>AVERAGEIFS($D$2:D122, $B$2:B122, B122)</f>
        <v>0.25</v>
      </c>
    </row>
    <row r="123" spans="1:29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f>AVERAGEIFS($C$2:C123, $B$2:B123, B123)</f>
        <v>20.375</v>
      </c>
      <c r="AA123">
        <f>AVERAGEIFS($I$2:I123, $B$2:B123, B123)</f>
        <v>0.48125000000000001</v>
      </c>
      <c r="AB123">
        <f>AVERAGEIFS($J$2:J123, $B$2:B123, B123)</f>
        <v>0.48125000000000001</v>
      </c>
      <c r="AC123">
        <f>AVERAGEIFS($D$2:D123, $B$2:B123, B123)</f>
        <v>0.5</v>
      </c>
    </row>
    <row r="124" spans="1:29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0</v>
      </c>
      <c r="Z124">
        <f>AVERAGEIFS($C$2:C124, $B$2:B124, B124)</f>
        <v>13.666666666666666</v>
      </c>
      <c r="AA124">
        <f>AVERAGEIFS($I$2:I124, $B$2:B124, B124)</f>
        <v>0.53333333333333333</v>
      </c>
      <c r="AB124">
        <f>AVERAGEIFS($J$2:J124, $B$2:B124, B124)</f>
        <v>0.55666666666666664</v>
      </c>
      <c r="AC124">
        <f>AVERAGEIFS($D$2:D124, $B$2:B124, B124)</f>
        <v>0.66666666666666663</v>
      </c>
    </row>
    <row r="125" spans="1:29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0</v>
      </c>
      <c r="Z125">
        <f>AVERAGEIFS($C$2:C125, $B$2:B125, B125)</f>
        <v>12.625</v>
      </c>
      <c r="AA125">
        <f>AVERAGEIFS($I$2:I125, $B$2:B125, B125)</f>
        <v>0.52500000000000002</v>
      </c>
      <c r="AB125">
        <f>AVERAGEIFS($J$2:J125, $B$2:B125, B125)</f>
        <v>0.52625</v>
      </c>
      <c r="AC125">
        <f>AVERAGEIFS($D$2:D125, $B$2:B125, B125)</f>
        <v>0.625</v>
      </c>
    </row>
    <row r="126" spans="1:29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f>AVERAGEIFS($C$2:C126, $B$2:B126, B126)</f>
        <v>9.5</v>
      </c>
      <c r="AA126">
        <f>AVERAGEIFS($I$2:I126, $B$2:B126, B126)</f>
        <v>0.28749999999999998</v>
      </c>
      <c r="AB126">
        <f>AVERAGEIFS($J$2:J126, $B$2:B126, B126)</f>
        <v>0.38750000000000001</v>
      </c>
      <c r="AC126">
        <f>AVERAGEIFS($D$2:D126, $B$2:B126, B126)</f>
        <v>0</v>
      </c>
    </row>
    <row r="127" spans="1:29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f>AVERAGEIFS($C$2:C127, $B$2:B127, B127)</f>
        <v>12.5</v>
      </c>
      <c r="AA127">
        <f>AVERAGEIFS($I$2:I127, $B$2:B127, B127)</f>
        <v>0.46666666666666662</v>
      </c>
      <c r="AB127">
        <f>AVERAGEIFS($J$2:J127, $B$2:B127, B127)</f>
        <v>0.50833333333333341</v>
      </c>
      <c r="AC127">
        <f>AVERAGEIFS($D$2:D127, $B$2:B127, B127)</f>
        <v>0.33333333333333331</v>
      </c>
    </row>
    <row r="128" spans="1:29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f>AVERAGEIFS($C$2:C128, $B$2:B128, B128)</f>
        <v>9.7142857142857135</v>
      </c>
      <c r="AA128">
        <f>AVERAGEIFS($I$2:I128, $B$2:B128, B128)</f>
        <v>0.50714285714285712</v>
      </c>
      <c r="AB128">
        <f>AVERAGEIFS($J$2:J128, $B$2:B128, B128)</f>
        <v>0.49999999999999994</v>
      </c>
      <c r="AC128">
        <f>AVERAGEIFS($D$2:D128, $B$2:B128, B128)</f>
        <v>0.42857142857142855</v>
      </c>
    </row>
    <row r="129" spans="1:29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f>AVERAGEIFS($C$2:C129, $B$2:B129, B129)</f>
        <v>24.833333333333332</v>
      </c>
      <c r="AA129">
        <f>AVERAGEIFS($I$2:I129, $B$2:B129, B129)</f>
        <v>0.55833333333333335</v>
      </c>
      <c r="AB129">
        <f>AVERAGEIFS($J$2:J129, $B$2:B129, B129)</f>
        <v>0.53833333333333322</v>
      </c>
      <c r="AC129">
        <f>AVERAGEIFS($D$2:D129, $B$2:B129, B129)</f>
        <v>0.66666666666666663</v>
      </c>
    </row>
    <row r="130" spans="1:29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f>AVERAGEIFS($C$2:C130, $B$2:B130, B130)</f>
        <v>27.7</v>
      </c>
      <c r="AA130">
        <f>AVERAGEIFS($I$2:I130, $B$2:B130, B130)</f>
        <v>0.58499999999999996</v>
      </c>
      <c r="AB130">
        <f>AVERAGEIFS($J$2:J130, $B$2:B130, B130)</f>
        <v>0.55000000000000004</v>
      </c>
      <c r="AC130">
        <f>AVERAGEIFS($D$2:D130, $B$2:B130, B130)</f>
        <v>0.7</v>
      </c>
    </row>
    <row r="131" spans="1:29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f>AVERAGEIFS($C$2:C131, $B$2:B131, B131)</f>
        <v>21.666666666666668</v>
      </c>
      <c r="AA131">
        <f>AVERAGEIFS($I$2:I131, $B$2:B131, B131)</f>
        <v>0.6</v>
      </c>
      <c r="AB131">
        <f>AVERAGEIFS($J$2:J131, $B$2:B131, B131)</f>
        <v>0.57999999999999996</v>
      </c>
      <c r="AC131">
        <f>AVERAGEIFS($D$2:D131, $B$2:B131, B131)</f>
        <v>1</v>
      </c>
    </row>
    <row r="132" spans="1:29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f>AVERAGEIFS($C$2:C132, $B$2:B132, B132)</f>
        <v>11.833333333333334</v>
      </c>
      <c r="AA132">
        <f>AVERAGEIFS($I$2:I132, $B$2:B132, B132)</f>
        <v>0.64166666666666672</v>
      </c>
      <c r="AB132">
        <f>AVERAGEIFS($J$2:J132, $B$2:B132, B132)</f>
        <v>0.57166666666666666</v>
      </c>
      <c r="AC132">
        <f>AVERAGEIFS($D$2:D132, $B$2:B132, B132)</f>
        <v>0.83333333333333337</v>
      </c>
    </row>
    <row r="133" spans="1:29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f>AVERAGEIFS($C$2:C133, $B$2:B133, B133)</f>
        <v>13.8</v>
      </c>
      <c r="AA133">
        <f>AVERAGEIFS($I$2:I133, $B$2:B133, B133)</f>
        <v>0.45</v>
      </c>
      <c r="AB133">
        <f>AVERAGEIFS($J$2:J133, $B$2:B133, B133)</f>
        <v>0.47599999999999998</v>
      </c>
      <c r="AC133">
        <f>AVERAGEIFS($D$2:D133, $B$2:B133, B133)</f>
        <v>0.4</v>
      </c>
    </row>
    <row r="134" spans="1:29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AVERAGEIFS($C$2:C134, $B$2:B134, B134)</f>
        <v>18</v>
      </c>
      <c r="AA134">
        <f>AVERAGEIFS($I$2:I134, $B$2:B134, B134)</f>
        <v>0.6</v>
      </c>
      <c r="AB134">
        <f>AVERAGEIFS($J$2:J134, $B$2:B134, B134)</f>
        <v>0.57499999999999996</v>
      </c>
      <c r="AC134">
        <f>AVERAGEIFS($D$2:D134, $B$2:B134, B134)</f>
        <v>1</v>
      </c>
    </row>
    <row r="135" spans="1:29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0</v>
      </c>
      <c r="Y135">
        <v>1</v>
      </c>
      <c r="Z135">
        <f>AVERAGEIFS($C$2:C135, $B$2:B135, B135)</f>
        <v>23.6</v>
      </c>
      <c r="AA135">
        <f>AVERAGEIFS($I$2:I135, $B$2:B135, B135)</f>
        <v>0.55000000000000004</v>
      </c>
      <c r="AB135">
        <f>AVERAGEIFS($J$2:J135, $B$2:B135, B135)</f>
        <v>0.48599999999999993</v>
      </c>
      <c r="AC135">
        <f>AVERAGEIFS($D$2:D135, $B$2:B135, B135)</f>
        <v>0.6</v>
      </c>
    </row>
    <row r="136" spans="1:29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1</v>
      </c>
      <c r="Z136">
        <f>AVERAGEIFS($C$2:C136, $B$2:B136, B136)</f>
        <v>23.875</v>
      </c>
      <c r="AA136">
        <f>AVERAGEIFS($I$2:I136, $B$2:B136, B136)</f>
        <v>0.39374999999999999</v>
      </c>
      <c r="AB136">
        <f>AVERAGEIFS($J$2:J136, $B$2:B136, B136)</f>
        <v>0.42874999999999996</v>
      </c>
      <c r="AC136">
        <f>AVERAGEIFS($D$2:D136, $B$2:B136, B136)</f>
        <v>0.25</v>
      </c>
    </row>
    <row r="137" spans="1:29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1</v>
      </c>
      <c r="Z137">
        <f>AVERAGEIFS($C$2:C137, $B$2:B137, B137)</f>
        <v>13.333333333333334</v>
      </c>
      <c r="AA137">
        <f>AVERAGEIFS($I$2:I137, $B$2:B137, B137)</f>
        <v>0.51111111111111118</v>
      </c>
      <c r="AB137">
        <f>AVERAGEIFS($J$2:J137, $B$2:B137, B137)</f>
        <v>0.51444444444444448</v>
      </c>
      <c r="AC137">
        <f>AVERAGEIFS($D$2:D137, $B$2:B137, B137)</f>
        <v>0.55555555555555558</v>
      </c>
    </row>
    <row r="138" spans="1:29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1</v>
      </c>
      <c r="Z138">
        <f>AVERAGEIFS($C$2:C138, $B$2:B138, B138)</f>
        <v>17</v>
      </c>
      <c r="AA138">
        <f>AVERAGEIFS($I$2:I138, $B$2:B138, B138)</f>
        <v>0.5</v>
      </c>
      <c r="AB138">
        <f>AVERAGEIFS($J$2:J138, $B$2:B138, B138)</f>
        <v>0.48249999999999998</v>
      </c>
      <c r="AC138">
        <f>AVERAGEIFS($D$2:D138, $B$2:B138, B138)</f>
        <v>0.5</v>
      </c>
    </row>
    <row r="139" spans="1:29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1</v>
      </c>
      <c r="Z139">
        <f>AVERAGEIFS($C$2:C139, $B$2:B139, B139)</f>
        <v>11.333333333333334</v>
      </c>
      <c r="AA139">
        <f>AVERAGEIFS($I$2:I139, $B$2:B139, B139)</f>
        <v>0.44166666666666665</v>
      </c>
      <c r="AB139">
        <f>AVERAGEIFS($J$2:J139, $B$2:B139, B139)</f>
        <v>0.44666666666666671</v>
      </c>
      <c r="AC139">
        <f>AVERAGEIFS($D$2:D139, $B$2:B139, B139)</f>
        <v>0.33333333333333331</v>
      </c>
    </row>
    <row r="140" spans="1:29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1</v>
      </c>
      <c r="Z140">
        <f>AVERAGEIFS($C$2:C140, $B$2:B140, B140)</f>
        <v>10.7</v>
      </c>
      <c r="AA140">
        <f>AVERAGEIFS($I$2:I140, $B$2:B140, B140)</f>
        <v>0.48000000000000009</v>
      </c>
      <c r="AB140">
        <f>AVERAGEIFS($J$2:J140, $B$2:B140, B140)</f>
        <v>0.49300000000000005</v>
      </c>
      <c r="AC140">
        <f>AVERAGEIFS($D$2:D140, $B$2:B140, B140)</f>
        <v>0.4</v>
      </c>
    </row>
    <row r="141" spans="1:29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1</v>
      </c>
      <c r="Z141">
        <f>AVERAGEIFS($C$2:C141, $B$2:B141, B141)</f>
        <v>30.363636363636363</v>
      </c>
      <c r="AA141">
        <f>AVERAGEIFS($I$2:I141, $B$2:B141, B141)</f>
        <v>0.58636363636363631</v>
      </c>
      <c r="AB141">
        <f>AVERAGEIFS($J$2:J141, $B$2:B141, B141)</f>
        <v>0.54545454545454541</v>
      </c>
      <c r="AC141">
        <f>AVERAGEIFS($D$2:D141, $B$2:B141, B141)</f>
        <v>0.72727272727272729</v>
      </c>
    </row>
    <row r="142" spans="1:29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0</v>
      </c>
      <c r="Y142">
        <v>1</v>
      </c>
      <c r="Z142">
        <f>AVERAGEIFS($C$2:C142, $B$2:B142, B142)</f>
        <v>21</v>
      </c>
      <c r="AA142">
        <f>AVERAGEIFS($I$2:I142, $B$2:B142, B142)</f>
        <v>0.55000000000000004</v>
      </c>
      <c r="AB142">
        <f>AVERAGEIFS($J$2:J142, $B$2:B142, B142)</f>
        <v>0.54249999999999998</v>
      </c>
      <c r="AC142">
        <f>AVERAGEIFS($D$2:D142, $B$2:B142, B142)</f>
        <v>0.75</v>
      </c>
    </row>
    <row r="143" spans="1:29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1</v>
      </c>
      <c r="Z143">
        <f>AVERAGEIFS($C$2:C143, $B$2:B143, B143)</f>
        <v>22.666666666666668</v>
      </c>
      <c r="AA143">
        <f>AVERAGEIFS($I$2:I143, $B$2:B143, B143)</f>
        <v>0.49444444444444446</v>
      </c>
      <c r="AB143">
        <f>AVERAGEIFS($J$2:J143, $B$2:B143, B143)</f>
        <v>0.48333333333333328</v>
      </c>
      <c r="AC143">
        <f>AVERAGEIFS($D$2:D143, $B$2:B143, B143)</f>
        <v>0.55555555555555558</v>
      </c>
    </row>
    <row r="144" spans="1:29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1</v>
      </c>
      <c r="Z144">
        <f>AVERAGEIFS($C$2:C144, $B$2:B144, B144)</f>
        <v>26.666666666666668</v>
      </c>
      <c r="AA144">
        <f>AVERAGEIFS($I$2:I144, $B$2:B144, B144)</f>
        <v>0.41666666666666669</v>
      </c>
      <c r="AB144">
        <f>AVERAGEIFS($J$2:J144, $B$2:B144, B144)</f>
        <v>0.4366666666666667</v>
      </c>
      <c r="AC144">
        <f>AVERAGEIFS($D$2:D144, $B$2:B144, B144)</f>
        <v>0.33333333333333331</v>
      </c>
    </row>
    <row r="145" spans="1:29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1</v>
      </c>
      <c r="Z145">
        <f>AVERAGEIFS($C$2:C145, $B$2:B145, B145)</f>
        <v>13.571428571428571</v>
      </c>
      <c r="AA145">
        <f>AVERAGEIFS($I$2:I145, $B$2:B145, B145)</f>
        <v>0.48571428571428571</v>
      </c>
      <c r="AB145">
        <f>AVERAGEIFS($J$2:J145, $B$2:B145, B145)</f>
        <v>0.50714285714285723</v>
      </c>
      <c r="AC145">
        <f>AVERAGEIFS($D$2:D145, $B$2:B145, B145)</f>
        <v>0.42857142857142855</v>
      </c>
    </row>
    <row r="146" spans="1:29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1</v>
      </c>
      <c r="Z146">
        <f>AVERAGEIFS($C$2:C146, $B$2:B146, B146)</f>
        <v>22</v>
      </c>
      <c r="AA146">
        <f>AVERAGEIFS($I$2:I146, $B$2:B146, B146)</f>
        <v>0.41666666666666669</v>
      </c>
      <c r="AB146">
        <f>AVERAGEIFS($J$2:J146, $B$2:B146, B146)</f>
        <v>0.4366666666666667</v>
      </c>
      <c r="AC146">
        <f>AVERAGEIFS($D$2:D146, $B$2:B146, B146)</f>
        <v>0.33333333333333331</v>
      </c>
    </row>
    <row r="147" spans="1:29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1</v>
      </c>
      <c r="Z147">
        <f>AVERAGEIFS($C$2:C147, $B$2:B147, B147)</f>
        <v>11</v>
      </c>
      <c r="AA147">
        <f>AVERAGEIFS($I$2:I147, $B$2:B147, B147)</f>
        <v>0.49090909090909096</v>
      </c>
      <c r="AB147">
        <f>AVERAGEIFS($J$2:J147, $B$2:B147, B147)</f>
        <v>0.49363636363636371</v>
      </c>
      <c r="AC147">
        <f>AVERAGEIFS($D$2:D147, $B$2:B147, B147)</f>
        <v>0.45454545454545453</v>
      </c>
    </row>
    <row r="148" spans="1:29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f>AVERAGEIFS($C$2:C148, $B$2:B148, B148)</f>
        <v>27.6</v>
      </c>
      <c r="AA148">
        <f>AVERAGEIFS($I$2:I148, $B$2:B148, B148)</f>
        <v>0.54500000000000004</v>
      </c>
      <c r="AB148">
        <f>AVERAGEIFS($J$2:J148, $B$2:B148, B148)</f>
        <v>0.54299999999999993</v>
      </c>
      <c r="AC148">
        <f>AVERAGEIFS($D$2:D148, $B$2:B148, B148)</f>
        <v>0.5</v>
      </c>
    </row>
    <row r="149" spans="1:29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f>AVERAGEIFS($C$2:C149, $B$2:B149, B149)</f>
        <v>24.714285714285715</v>
      </c>
      <c r="AA149">
        <f>AVERAGEIFS($I$2:I149, $B$2:B149, B149)</f>
        <v>0.50714285714285712</v>
      </c>
      <c r="AB149">
        <f>AVERAGEIFS($J$2:J149, $B$2:B149, B149)</f>
        <v>0.51428571428571435</v>
      </c>
      <c r="AC149">
        <f>AVERAGEIFS($D$2:D149, $B$2:B149, B149)</f>
        <v>0.42857142857142855</v>
      </c>
    </row>
    <row r="150" spans="1:29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f>AVERAGEIFS($C$2:C150, $B$2:B150, B150)</f>
        <v>26.6</v>
      </c>
      <c r="AA150">
        <f>AVERAGEIFS($I$2:I150, $B$2:B150, B150)</f>
        <v>0.35</v>
      </c>
      <c r="AB150">
        <f>AVERAGEIFS($J$2:J150, $B$2:B150, B150)</f>
        <v>0.44399999999999995</v>
      </c>
      <c r="AC150">
        <f>AVERAGEIFS($D$2:D150, $B$2:B150, B150)</f>
        <v>0.2</v>
      </c>
    </row>
    <row r="151" spans="1:29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0</v>
      </c>
      <c r="Z151">
        <f>AVERAGEIFS($C$2:C151, $B$2:B151, B151)</f>
        <v>24.666666666666668</v>
      </c>
      <c r="AA151">
        <f>AVERAGEIFS($I$2:I151, $B$2:B151, B151)</f>
        <v>0.39444444444444443</v>
      </c>
      <c r="AB151">
        <f>AVERAGEIFS($J$2:J151, $B$2:B151, B151)</f>
        <v>0.43666666666666665</v>
      </c>
      <c r="AC151">
        <f>AVERAGEIFS($D$2:D151, $B$2:B151, B151)</f>
        <v>0.22222222222222221</v>
      </c>
    </row>
    <row r="152" spans="1:29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</v>
      </c>
      <c r="Y152">
        <v>0</v>
      </c>
      <c r="Z152">
        <f>AVERAGEIFS($C$2:C152, $B$2:B152, B152)</f>
        <v>18.600000000000001</v>
      </c>
      <c r="AA152">
        <f>AVERAGEIFS($I$2:I152, $B$2:B152, B152)</f>
        <v>0.48</v>
      </c>
      <c r="AB152">
        <f>AVERAGEIFS($J$2:J152, $B$2:B152, B152)</f>
        <v>0.48599999999999993</v>
      </c>
      <c r="AC152">
        <f>AVERAGEIFS($D$2:D152, $B$2:B152, B152)</f>
        <v>0.4</v>
      </c>
    </row>
    <row r="153" spans="1:29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f>AVERAGEIFS($C$2:C153, $B$2:B153, B153)</f>
        <v>12.571428571428571</v>
      </c>
      <c r="AA153">
        <f>AVERAGEIFS($I$2:I153, $B$2:B153, B153)</f>
        <v>0.43571428571428567</v>
      </c>
      <c r="AB153">
        <f>AVERAGEIFS($J$2:J153, $B$2:B153, B153)</f>
        <v>0.45428571428571429</v>
      </c>
      <c r="AC153">
        <f>AVERAGEIFS($D$2:D153, $B$2:B153, B153)</f>
        <v>0.2857142857142857</v>
      </c>
    </row>
    <row r="154" spans="1:29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f>AVERAGEIFS($C$2:C154, $B$2:B154, B154)</f>
        <v>12.857142857142858</v>
      </c>
      <c r="AA154">
        <f>AVERAGEIFS($I$2:I154, $B$2:B154, B154)</f>
        <v>0.6071428571428571</v>
      </c>
      <c r="AB154">
        <f>AVERAGEIFS($J$2:J154, $B$2:B154, B154)</f>
        <v>0.56142857142857139</v>
      </c>
      <c r="AC154">
        <f>AVERAGEIFS($D$2:D154, $B$2:B154, B154)</f>
        <v>0.7142857142857143</v>
      </c>
    </row>
    <row r="155" spans="1:29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1</v>
      </c>
      <c r="X155">
        <v>0</v>
      </c>
      <c r="Y155">
        <v>1</v>
      </c>
      <c r="Z155">
        <f>AVERAGEIFS($C$2:C155, $B$2:B155, B155)</f>
        <v>24.6</v>
      </c>
      <c r="AA155">
        <f>AVERAGEIFS($I$2:I155, $B$2:B155, B155)</f>
        <v>0.45499999999999996</v>
      </c>
      <c r="AB155">
        <f>AVERAGEIFS($J$2:J155, $B$2:B155, B155)</f>
        <v>0.46199999999999991</v>
      </c>
      <c r="AC155">
        <f>AVERAGEIFS($D$2:D155, $B$2:B155, B155)</f>
        <v>0.3</v>
      </c>
    </row>
    <row r="156" spans="1:29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1</v>
      </c>
      <c r="X156">
        <v>0</v>
      </c>
      <c r="Y156">
        <v>1</v>
      </c>
      <c r="Z156">
        <f>AVERAGEIFS($C$2:C156, $B$2:B156, B156)</f>
        <v>27.09090909090909</v>
      </c>
      <c r="AA156">
        <f>AVERAGEIFS($I$2:I156, $B$2:B156, B156)</f>
        <v>0.58636363636363642</v>
      </c>
      <c r="AB156">
        <f>AVERAGEIFS($J$2:J156, $B$2:B156, B156)</f>
        <v>0.55636363636363628</v>
      </c>
      <c r="AC156">
        <f>AVERAGEIFS($D$2:D156, $B$2:B156, B156)</f>
        <v>0.54545454545454541</v>
      </c>
    </row>
    <row r="157" spans="1:29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1</v>
      </c>
      <c r="X157">
        <v>0</v>
      </c>
      <c r="Y157">
        <v>1</v>
      </c>
      <c r="Z157">
        <f>AVERAGEIFS($C$2:C157, $B$2:B157, B157)</f>
        <v>20.2</v>
      </c>
      <c r="AA157">
        <f>AVERAGEIFS($I$2:I157, $B$2:B157, B157)</f>
        <v>0.64</v>
      </c>
      <c r="AB157">
        <f>AVERAGEIFS($J$2:J157, $B$2:B157, B157)</f>
        <v>0.57199999999999995</v>
      </c>
      <c r="AC157">
        <f>AVERAGEIFS($D$2:D157, $B$2:B157, B157)</f>
        <v>0.8</v>
      </c>
    </row>
    <row r="158" spans="1:29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1</v>
      </c>
      <c r="X158">
        <v>0</v>
      </c>
      <c r="Y158">
        <v>1</v>
      </c>
      <c r="Z158">
        <f>AVERAGEIFS($C$2:C158, $B$2:B158, B158)</f>
        <v>11</v>
      </c>
      <c r="AA158">
        <f>AVERAGEIFS($I$2:I158, $B$2:B158, B158)</f>
        <v>0.53333333333333333</v>
      </c>
      <c r="AB158">
        <f>AVERAGEIFS($J$2:J158, $B$2:B158, B158)</f>
        <v>0.51000000000000012</v>
      </c>
      <c r="AC158">
        <f>AVERAGEIFS($D$2:D158, $B$2:B158, B158)</f>
        <v>0.5</v>
      </c>
    </row>
    <row r="159" spans="1:29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1</v>
      </c>
      <c r="X159">
        <v>0</v>
      </c>
      <c r="Y159">
        <v>1</v>
      </c>
      <c r="Z159">
        <f>AVERAGEIFS($C$2:C159, $B$2:B159, B159)</f>
        <v>12.8</v>
      </c>
      <c r="AA159">
        <f>AVERAGEIFS($I$2:I159, $B$2:B159, B159)</f>
        <v>0.56000000000000005</v>
      </c>
      <c r="AB159">
        <f>AVERAGEIFS($J$2:J159, $B$2:B159, B159)</f>
        <v>0.53200000000000003</v>
      </c>
      <c r="AC159">
        <f>AVERAGEIFS($D$2:D159, $B$2:B159, B159)</f>
        <v>0.6</v>
      </c>
    </row>
    <row r="160" spans="1:29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1</v>
      </c>
      <c r="X160">
        <v>0</v>
      </c>
      <c r="Y160">
        <v>1</v>
      </c>
      <c r="Z160">
        <f>AVERAGEIFS($C$2:C160, $B$2:B160, B160)</f>
        <v>5</v>
      </c>
      <c r="AA160">
        <f>AVERAGEIFS($I$2:I160, $B$2:B160, B160)</f>
        <v>0.875</v>
      </c>
      <c r="AB160">
        <f>AVERAGEIFS($J$2:J160, $B$2:B160, B160)</f>
        <v>0.6399999999999999</v>
      </c>
      <c r="AC160">
        <f>AVERAGEIFS($D$2:D160, $B$2:B160, B160)</f>
        <v>1</v>
      </c>
    </row>
    <row r="161" spans="1:29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AVERAGEIFS($C$2:C161, $B$2:B161, B161)</f>
        <v>30</v>
      </c>
      <c r="AA161">
        <f>AVERAGEIFS($I$2:I161, $B$2:B161, B161)</f>
        <v>0.53749999999999998</v>
      </c>
      <c r="AB161">
        <f>AVERAGEIFS($J$2:J161, $B$2:B161, B161)</f>
        <v>0.52583333333333326</v>
      </c>
      <c r="AC161">
        <f>AVERAGEIFS($D$2:D161, $B$2:B161, B161)</f>
        <v>0.66666666666666663</v>
      </c>
    </row>
    <row r="162" spans="1:29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f>AVERAGEIFS($C$2:C162, $B$2:B162, B162)</f>
        <v>20.75</v>
      </c>
      <c r="AA162">
        <f>AVERAGEIFS($I$2:I162, $B$2:B162, B162)</f>
        <v>0.3125</v>
      </c>
      <c r="AB162">
        <f>AVERAGEIFS($J$2:J162, $B$2:B162, B162)</f>
        <v>0.40500000000000003</v>
      </c>
      <c r="AC162">
        <f>AVERAGEIFS($D$2:D162, $B$2:B162, B162)</f>
        <v>0.25</v>
      </c>
    </row>
    <row r="163" spans="1:29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f>AVERAGEIFS($C$2:C163, $B$2:B163, B163)</f>
        <v>9.6</v>
      </c>
      <c r="AA163">
        <f>AVERAGEIFS($I$2:I163, $B$2:B163, B163)</f>
        <v>0.22999999999999998</v>
      </c>
      <c r="AB163">
        <f>AVERAGEIFS($J$2:J163, $B$2:B163, B163)</f>
        <v>0.372</v>
      </c>
      <c r="AC163">
        <f>AVERAGEIFS($D$2:D163, $B$2:B163, B163)</f>
        <v>0</v>
      </c>
    </row>
    <row r="164" spans="1:29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f>AVERAGEIFS($C$2:C164, $B$2:B164, B164)</f>
        <v>14.333333333333334</v>
      </c>
      <c r="AA164">
        <f>AVERAGEIFS($I$2:I164, $B$2:B164, B164)</f>
        <v>0.39999999999999997</v>
      </c>
      <c r="AB164">
        <f>AVERAGEIFS($J$2:J164, $B$2:B164, B164)</f>
        <v>0.48666666666666664</v>
      </c>
      <c r="AC164">
        <f>AVERAGEIFS($D$2:D164, $B$2:B164, B164)</f>
        <v>0.66666666666666663</v>
      </c>
    </row>
    <row r="165" spans="1:29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f>AVERAGEIFS($C$2:C165, $B$2:B165, B165)</f>
        <v>9</v>
      </c>
      <c r="AA165">
        <f>AVERAGEIFS($I$2:I165, $B$2:B165, B165)</f>
        <v>0.37</v>
      </c>
      <c r="AB165">
        <f>AVERAGEIFS($J$2:J165, $B$2:B165, B165)</f>
        <v>0.46800000000000008</v>
      </c>
      <c r="AC165">
        <f>AVERAGEIFS($D$2:D165, $B$2:B165, B165)</f>
        <v>0.4</v>
      </c>
    </row>
    <row r="166" spans="1:29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f>AVERAGEIFS($C$2:C166, $B$2:B166, B166)</f>
        <v>5</v>
      </c>
      <c r="AA166">
        <f>AVERAGEIFS($I$2:I166, $B$2:B166, B166)</f>
        <v>0</v>
      </c>
      <c r="AB166">
        <f>AVERAGEIFS($J$2:J166, $B$2:B166, B166)</f>
        <v>0.31</v>
      </c>
      <c r="AC166">
        <f>AVERAGEIFS($D$2:D166, $B$2:B166, B166)</f>
        <v>0</v>
      </c>
    </row>
    <row r="167" spans="1:29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1</v>
      </c>
      <c r="X167">
        <v>0</v>
      </c>
      <c r="Y167">
        <v>1</v>
      </c>
      <c r="Z167">
        <f>AVERAGEIFS($C$2:C167, $B$2:B167, B167)</f>
        <v>25.1</v>
      </c>
      <c r="AA167">
        <f>AVERAGEIFS($I$2:I167, $B$2:B167, B167)</f>
        <v>0.52</v>
      </c>
      <c r="AB167">
        <f>AVERAGEIFS($J$2:J167, $B$2:B167, B167)</f>
        <v>0.49299999999999999</v>
      </c>
      <c r="AC167">
        <f>AVERAGEIFS($D$2:D167, $B$2:B167, B167)</f>
        <v>0.6</v>
      </c>
    </row>
    <row r="168" spans="1:29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1</v>
      </c>
      <c r="X168">
        <v>0</v>
      </c>
      <c r="Y168">
        <v>1</v>
      </c>
      <c r="Z168">
        <f>AVERAGEIFS($C$2:C168, $B$2:B168, B168)</f>
        <v>25.5</v>
      </c>
      <c r="AA168">
        <f>AVERAGEIFS($I$2:I168, $B$2:B168, B168)</f>
        <v>0.5</v>
      </c>
      <c r="AB168">
        <f>AVERAGEIFS($J$2:J168, $B$2:B168, B168)</f>
        <v>0.47250000000000003</v>
      </c>
      <c r="AC168">
        <f>AVERAGEIFS($D$2:D168, $B$2:B168, B168)</f>
        <v>0.5</v>
      </c>
    </row>
    <row r="169" spans="1:29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1</v>
      </c>
      <c r="X169">
        <v>0</v>
      </c>
      <c r="Y169">
        <v>1</v>
      </c>
      <c r="Z169">
        <f>AVERAGEIFS($C$2:C169, $B$2:B169, B169)</f>
        <v>25.666666666666668</v>
      </c>
      <c r="AA169">
        <f>AVERAGEIFS($I$2:I169, $B$2:B169, B169)</f>
        <v>0.41666666666666669</v>
      </c>
      <c r="AB169">
        <f>AVERAGEIFS($J$2:J169, $B$2:B169, B169)</f>
        <v>0.46666666666666662</v>
      </c>
      <c r="AC169">
        <f>AVERAGEIFS($D$2:D169, $B$2:B169, B169)</f>
        <v>0.33333333333333331</v>
      </c>
    </row>
    <row r="170" spans="1:29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1</v>
      </c>
      <c r="X170">
        <v>0</v>
      </c>
      <c r="Y170">
        <v>1</v>
      </c>
      <c r="Z170">
        <f>AVERAGEIFS($C$2:C170, $B$2:B170, B170)</f>
        <v>14.125</v>
      </c>
      <c r="AA170">
        <f>AVERAGEIFS($I$2:I170, $B$2:B170, B170)</f>
        <v>0.51875000000000004</v>
      </c>
      <c r="AB170">
        <f>AVERAGEIFS($J$2:J170, $B$2:B170, B170)</f>
        <v>0.51624999999999999</v>
      </c>
      <c r="AC170">
        <f>AVERAGEIFS($D$2:D170, $B$2:B170, B170)</f>
        <v>0.5</v>
      </c>
    </row>
    <row r="171" spans="1:29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1</v>
      </c>
      <c r="X171">
        <v>0</v>
      </c>
      <c r="Y171">
        <v>1</v>
      </c>
      <c r="Z171">
        <f>AVERAGEIFS($C$2:C171, $B$2:B171, B171)</f>
        <v>10.125</v>
      </c>
      <c r="AA171">
        <f>AVERAGEIFS($I$2:I171, $B$2:B171, B171)</f>
        <v>0.53749999999999998</v>
      </c>
      <c r="AB171">
        <f>AVERAGEIFS($J$2:J171, $B$2:B171, B171)</f>
        <v>0.5099999999999999</v>
      </c>
      <c r="AC171">
        <f>AVERAGEIFS($D$2:D171, $B$2:B171, B171)</f>
        <v>0.5</v>
      </c>
    </row>
    <row r="172" spans="1:29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1</v>
      </c>
      <c r="X172">
        <v>0</v>
      </c>
      <c r="Y172">
        <v>1</v>
      </c>
      <c r="Z172">
        <f>AVERAGEIFS($C$2:C172, $B$2:B172, B172)</f>
        <v>13.5</v>
      </c>
      <c r="AA172">
        <f>AVERAGEIFS($I$2:I172, $B$2:B172, B172)</f>
        <v>0.5</v>
      </c>
      <c r="AB172">
        <f>AVERAGEIFS($J$2:J172, $B$2:B172, B172)</f>
        <v>0.49333333333333335</v>
      </c>
      <c r="AC172">
        <f>AVERAGEIFS($D$2:D172, $B$2:B172, B172)</f>
        <v>0.5</v>
      </c>
    </row>
    <row r="173" spans="1:29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f>AVERAGEIFS($C$2:C173, $B$2:B173, B173)</f>
        <v>26.5</v>
      </c>
      <c r="AA173">
        <f>AVERAGEIFS($I$2:I173, $B$2:B173, B173)</f>
        <v>0.5</v>
      </c>
      <c r="AB173">
        <f>AVERAGEIFS($J$2:J173, $B$2:B173, B173)</f>
        <v>0.47499999999999992</v>
      </c>
      <c r="AC173">
        <f>AVERAGEIFS($D$2:D173, $B$2:B173, B173)</f>
        <v>0.5</v>
      </c>
    </row>
    <row r="174" spans="1:29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f>AVERAGEIFS($C$2:C174, $B$2:B174, B174)</f>
        <v>24.875</v>
      </c>
      <c r="AA174">
        <f>AVERAGEIFS($I$2:I174, $B$2:B174, B174)</f>
        <v>0.47499999999999998</v>
      </c>
      <c r="AB174">
        <f>AVERAGEIFS($J$2:J174, $B$2:B174, B174)</f>
        <v>0.50250000000000006</v>
      </c>
      <c r="AC174">
        <f>AVERAGEIFS($D$2:D174, $B$2:B174, B174)</f>
        <v>0.375</v>
      </c>
    </row>
    <row r="175" spans="1:29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f>AVERAGEIFS($C$2:C175, $B$2:B175, B175)</f>
        <v>19.666666666666668</v>
      </c>
      <c r="AA175">
        <f>AVERAGEIFS($I$2:I175, $B$2:B175, B175)</f>
        <v>0.44166666666666665</v>
      </c>
      <c r="AB175">
        <f>AVERAGEIFS($J$2:J175, $B$2:B175, B175)</f>
        <v>0.47499999999999992</v>
      </c>
      <c r="AC175">
        <f>AVERAGEIFS($D$2:D175, $B$2:B175, B175)</f>
        <v>0.33333333333333331</v>
      </c>
    </row>
    <row r="176" spans="1:29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f>AVERAGEIFS($C$2:C176, $B$2:B176, B176)</f>
        <v>13.25</v>
      </c>
      <c r="AA176">
        <f>AVERAGEIFS($I$2:I176, $B$2:B176, B176)</f>
        <v>0.5625</v>
      </c>
      <c r="AB176">
        <f>AVERAGEIFS($J$2:J176, $B$2:B176, B176)</f>
        <v>0.54374999999999996</v>
      </c>
      <c r="AC176">
        <f>AVERAGEIFS($D$2:D176, $B$2:B176, B176)</f>
        <v>0.625</v>
      </c>
    </row>
    <row r="177" spans="1:29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f>AVERAGEIFS($C$2:C177, $B$2:B177, B177)</f>
        <v>12.75</v>
      </c>
      <c r="AA177">
        <f>AVERAGEIFS($I$2:I177, $B$2:B177, B177)</f>
        <v>0.41249999999999998</v>
      </c>
      <c r="AB177">
        <f>AVERAGEIFS($J$2:J177, $B$2:B177, B177)</f>
        <v>0.45</v>
      </c>
      <c r="AC177">
        <f>AVERAGEIFS($D$2:D177, $B$2:B177, B177)</f>
        <v>0.25</v>
      </c>
    </row>
    <row r="178" spans="1:29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f>AVERAGEIFS($C$2:C178, $B$2:B178, B178)</f>
        <v>13</v>
      </c>
      <c r="AA178">
        <f>AVERAGEIFS($I$2:I178, $B$2:B178, B178)</f>
        <v>0.25</v>
      </c>
      <c r="AB178">
        <f>AVERAGEIFS($J$2:J178, $B$2:B178, B178)</f>
        <v>0.36499999999999999</v>
      </c>
      <c r="AC178">
        <f>AVERAGEIFS($D$2:D178, $B$2:B178, B178)</f>
        <v>0</v>
      </c>
    </row>
    <row r="179" spans="1:29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f>AVERAGEIFS($C$2:C179, $B$2:B179, B179)</f>
        <v>27.90909090909091</v>
      </c>
      <c r="AA179">
        <f>AVERAGEIFS($I$2:I179, $B$2:B179, B179)</f>
        <v>0.52727272727272723</v>
      </c>
      <c r="AB179">
        <f>AVERAGEIFS($J$2:J179, $B$2:B179, B179)</f>
        <v>0.49727272727272726</v>
      </c>
      <c r="AC179">
        <f>AVERAGEIFS($D$2:D179, $B$2:B179, B179)</f>
        <v>0.63636363636363635</v>
      </c>
    </row>
    <row r="180" spans="1:29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1</v>
      </c>
      <c r="X180">
        <v>0</v>
      </c>
      <c r="Y180">
        <v>0</v>
      </c>
      <c r="Z180">
        <f>AVERAGEIFS($C$2:C180, $B$2:B180, B180)</f>
        <v>27</v>
      </c>
      <c r="AA180">
        <f>AVERAGEIFS($I$2:I180, $B$2:B180, B180)</f>
        <v>0.52</v>
      </c>
      <c r="AB180">
        <f>AVERAGEIFS($J$2:J180, $B$2:B180, B180)</f>
        <v>0.48600000000000004</v>
      </c>
      <c r="AC180">
        <f>AVERAGEIFS($D$2:D180, $B$2:B180, B180)</f>
        <v>0.6</v>
      </c>
    </row>
    <row r="181" spans="1:29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0</v>
      </c>
      <c r="Y181">
        <v>0</v>
      </c>
      <c r="Z181">
        <f>AVERAGEIFS($C$2:C181, $B$2:B181, B181)</f>
        <v>26.714285714285715</v>
      </c>
      <c r="AA181">
        <f>AVERAGEIFS($I$2:I181, $B$2:B181, B181)</f>
        <v>0.44285714285714289</v>
      </c>
      <c r="AB181">
        <f>AVERAGEIFS($J$2:J181, $B$2:B181, B181)</f>
        <v>0.47714285714285715</v>
      </c>
      <c r="AC181">
        <f>AVERAGEIFS($D$2:D181, $B$2:B181, B181)</f>
        <v>0.42857142857142855</v>
      </c>
    </row>
    <row r="182" spans="1:29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1</v>
      </c>
      <c r="X182">
        <v>0</v>
      </c>
      <c r="Y182">
        <v>0</v>
      </c>
      <c r="Z182">
        <f>AVERAGEIFS($C$2:C182, $B$2:B182, B182)</f>
        <v>15</v>
      </c>
      <c r="AA182">
        <f>AVERAGEIFS($I$2:I182, $B$2:B182, B182)</f>
        <v>0.51428571428571435</v>
      </c>
      <c r="AB182">
        <f>AVERAGEIFS($J$2:J182, $B$2:B182, B182)</f>
        <v>0.5</v>
      </c>
      <c r="AC182">
        <f>AVERAGEIFS($D$2:D182, $B$2:B182, B182)</f>
        <v>0.5714285714285714</v>
      </c>
    </row>
    <row r="183" spans="1:29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0</v>
      </c>
      <c r="Y183">
        <v>0</v>
      </c>
      <c r="Z183">
        <f>AVERAGEIFS($C$2:C183, $B$2:B183, B183)</f>
        <v>15.111111111111111</v>
      </c>
      <c r="AA183">
        <f>AVERAGEIFS($I$2:I183, $B$2:B183, B183)</f>
        <v>0.52777777777777779</v>
      </c>
      <c r="AB183">
        <f>AVERAGEIFS($J$2:J183, $B$2:B183, B183)</f>
        <v>0.51888888888888884</v>
      </c>
      <c r="AC183">
        <f>AVERAGEIFS($D$2:D183, $B$2:B183, B183)</f>
        <v>0.55555555555555558</v>
      </c>
    </row>
    <row r="184" spans="1:29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1</v>
      </c>
      <c r="X184">
        <v>0</v>
      </c>
      <c r="Y184">
        <v>0</v>
      </c>
      <c r="Z184">
        <f>AVERAGEIFS($C$2:C184, $B$2:B184, B184)</f>
        <v>11.333333333333334</v>
      </c>
      <c r="AA184">
        <f>AVERAGEIFS($I$2:I184, $B$2:B184, B184)</f>
        <v>0.5444444444444444</v>
      </c>
      <c r="AB184">
        <f>AVERAGEIFS($J$2:J184, $B$2:B184, B184)</f>
        <v>0.5133333333333332</v>
      </c>
      <c r="AC184">
        <f>AVERAGEIFS($D$2:D184, $B$2:B184, B184)</f>
        <v>0.55555555555555558</v>
      </c>
    </row>
    <row r="185" spans="1:29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0</v>
      </c>
      <c r="Z185">
        <f>AVERAGEIFS($C$2:C185, $B$2:B185, B185)</f>
        <v>27.363636363636363</v>
      </c>
      <c r="AA185">
        <f>AVERAGEIFS($I$2:I185, $B$2:B185, B185)</f>
        <v>0.45</v>
      </c>
      <c r="AB185">
        <f>AVERAGEIFS($J$2:J185, $B$2:B185, B185)</f>
        <v>0.46181818181818174</v>
      </c>
      <c r="AC185">
        <f>AVERAGEIFS($D$2:D185, $B$2:B185, B185)</f>
        <v>0.27272727272727271</v>
      </c>
    </row>
    <row r="186" spans="1:29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f>AVERAGEIFS($C$2:C186, $B$2:B186, B186)</f>
        <v>27.833333333333332</v>
      </c>
      <c r="AA186">
        <f>AVERAGEIFS($I$2:I186, $B$2:B186, B186)</f>
        <v>0.57083333333333341</v>
      </c>
      <c r="AB186">
        <f>AVERAGEIFS($J$2:J186, $B$2:B186, B186)</f>
        <v>0.54833333333333323</v>
      </c>
      <c r="AC186">
        <f>AVERAGEIFS($D$2:D186, $B$2:B186, B186)</f>
        <v>0.5</v>
      </c>
    </row>
    <row r="187" spans="1:29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0</v>
      </c>
      <c r="Z187">
        <f>AVERAGEIFS($C$2:C187, $B$2:B187, B187)</f>
        <v>22.333333333333332</v>
      </c>
      <c r="AA187">
        <f>AVERAGEIFS($I$2:I187, $B$2:B187, B187)</f>
        <v>0.6</v>
      </c>
      <c r="AB187">
        <f>AVERAGEIFS($J$2:J187, $B$2:B187, B187)</f>
        <v>0.55333333333333334</v>
      </c>
      <c r="AC187">
        <f>AVERAGEIFS($D$2:D187, $B$2:B187, B187)</f>
        <v>0.66666666666666663</v>
      </c>
    </row>
    <row r="188" spans="1:29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f>AVERAGEIFS($C$2:C188, $B$2:B188, B188)</f>
        <v>14.444444444444445</v>
      </c>
      <c r="AA188">
        <f>AVERAGEIFS($I$2:I188, $B$2:B188, B188)</f>
        <v>0.41111111111111109</v>
      </c>
      <c r="AB188">
        <f>AVERAGEIFS($J$2:J188, $B$2:B188, B188)</f>
        <v>0.45111111111111118</v>
      </c>
      <c r="AC188">
        <f>AVERAGEIFS($D$2:D188, $B$2:B188, B188)</f>
        <v>0.22222222222222221</v>
      </c>
    </row>
    <row r="189" spans="1:29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f>AVERAGEIFS($C$2:C189, $B$2:B189, B189)</f>
        <v>12.153846153846153</v>
      </c>
      <c r="AA189">
        <f>AVERAGEIFS($I$2:I189, $B$2:B189, B189)</f>
        <v>0.52307692307692311</v>
      </c>
      <c r="AB189">
        <f>AVERAGEIFS($J$2:J189, $B$2:B189, B189)</f>
        <v>0.50615384615384618</v>
      </c>
      <c r="AC189">
        <f>AVERAGEIFS($D$2:D189, $B$2:B189, B189)</f>
        <v>0.46153846153846156</v>
      </c>
    </row>
    <row r="190" spans="1:29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f>AVERAGEIFS($C$2:C190, $B$2:B190, B190)</f>
        <v>7.666666666666667</v>
      </c>
      <c r="AA190">
        <f>AVERAGEIFS($I$2:I190, $B$2:B190, B190)</f>
        <v>0.71666666666666667</v>
      </c>
      <c r="AB190">
        <f>AVERAGEIFS($J$2:J190, $B$2:B190, B190)</f>
        <v>0.57999999999999996</v>
      </c>
      <c r="AC190">
        <f>AVERAGEIFS($D$2:D190, $B$2:B190, B190)</f>
        <v>0.66666666666666663</v>
      </c>
    </row>
    <row r="191" spans="1:29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1</v>
      </c>
      <c r="Z191">
        <f>AVERAGEIFS($C$2:C191, $B$2:B191, B191)</f>
        <v>27.615384615384617</v>
      </c>
      <c r="AA191">
        <f>AVERAGEIFS($I$2:I191, $B$2:B191, B191)</f>
        <v>0.60384615384615392</v>
      </c>
      <c r="AB191">
        <f>AVERAGEIFS($J$2:J191, $B$2:B191, B191)</f>
        <v>0.5592307692307692</v>
      </c>
      <c r="AC191">
        <f>AVERAGEIFS($D$2:D191, $B$2:B191, B191)</f>
        <v>0.53846153846153844</v>
      </c>
    </row>
    <row r="192" spans="1:29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1</v>
      </c>
      <c r="Z192">
        <f>AVERAGEIFS($C$2:C192, $B$2:B192, B192)</f>
        <v>22.285714285714285</v>
      </c>
      <c r="AA192">
        <f>AVERAGEIFS($I$2:I192, $B$2:B192, B192)</f>
        <v>0.65714285714285714</v>
      </c>
      <c r="AB192">
        <f>AVERAGEIFS($J$2:J192, $B$2:B192, B192)</f>
        <v>0.57285714285714284</v>
      </c>
      <c r="AC192">
        <f>AVERAGEIFS($D$2:D192, $B$2:B192, B192)</f>
        <v>0.7142857142857143</v>
      </c>
    </row>
    <row r="193" spans="1:29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1</v>
      </c>
      <c r="Z193">
        <f>AVERAGEIFS($C$2:C193, $B$2:B193, B193)</f>
        <v>19.428571428571427</v>
      </c>
      <c r="AA193">
        <f>AVERAGEIFS($I$2:I193, $B$2:B193, B193)</f>
        <v>0.52142857142857146</v>
      </c>
      <c r="AB193">
        <f>AVERAGEIFS($J$2:J193, $B$2:B193, B193)</f>
        <v>0.50571428571428567</v>
      </c>
      <c r="AC193">
        <f>AVERAGEIFS($D$2:D193, $B$2:B193, B193)</f>
        <v>0.42857142857142855</v>
      </c>
    </row>
    <row r="194" spans="1:29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1</v>
      </c>
      <c r="Z194">
        <f>AVERAGEIFS($C$2:C194, $B$2:B194, B194)</f>
        <v>12</v>
      </c>
      <c r="AA194">
        <f>AVERAGEIFS($I$2:I194, $B$2:B194, B194)</f>
        <v>1</v>
      </c>
      <c r="AB194">
        <f>AVERAGEIFS($J$2:J194, $B$2:B194, B194)</f>
        <v>0.69</v>
      </c>
      <c r="AC194">
        <f>AVERAGEIFS($D$2:D194, $B$2:B194, B194)</f>
        <v>1</v>
      </c>
    </row>
    <row r="195" spans="1:29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1</v>
      </c>
      <c r="Z195">
        <f>AVERAGEIFS($C$2:C195, $B$2:B195, B195)</f>
        <v>4</v>
      </c>
      <c r="AA195">
        <f>AVERAGEIFS($I$2:I195, $B$2:B195, B195)</f>
        <v>1</v>
      </c>
      <c r="AB195">
        <f>AVERAGEIFS($J$2:J195, $B$2:B195, B195)</f>
        <v>0.69</v>
      </c>
      <c r="AC195">
        <f>AVERAGEIFS($D$2:D195, $B$2:B195, B195)</f>
        <v>1</v>
      </c>
    </row>
    <row r="196" spans="1:29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1</v>
      </c>
      <c r="Z196">
        <f>AVERAGEIFS($C$2:C196, $B$2:B196, B196)</f>
        <v>8.3333333333333339</v>
      </c>
      <c r="AA196">
        <f>AVERAGEIFS($I$2:I196, $B$2:B196, B196)</f>
        <v>0.35833333333333334</v>
      </c>
      <c r="AB196">
        <f>AVERAGEIFS($J$2:J196, $B$2:B196, B196)</f>
        <v>0.42499999999999999</v>
      </c>
      <c r="AC196">
        <f>AVERAGEIFS($D$2:D196, $B$2:B196, B196)</f>
        <v>0.16666666666666666</v>
      </c>
    </row>
    <row r="197" spans="1:29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AVERAGEIFS($C$2:C197, $B$2:B197, B197)</f>
        <v>29.923076923076923</v>
      </c>
      <c r="AA197">
        <f>AVERAGEIFS($I$2:I197, $B$2:B197, B197)</f>
        <v>0.49615384615384611</v>
      </c>
      <c r="AB197">
        <f>AVERAGEIFS($J$2:J197, $B$2:B197, B197)</f>
        <v>0.50923076923076915</v>
      </c>
      <c r="AC197">
        <f>AVERAGEIFS($D$2:D197, $B$2:B197, B197)</f>
        <v>0.61538461538461542</v>
      </c>
    </row>
    <row r="198" spans="1:29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f>AVERAGEIFS($C$2:C198, $B$2:B198, B198)</f>
        <v>19.8</v>
      </c>
      <c r="AA198">
        <f>AVERAGEIFS($I$2:I198, $B$2:B198, B198)</f>
        <v>0.25</v>
      </c>
      <c r="AB198">
        <f>AVERAGEIFS($J$2:J198, $B$2:B198, B198)</f>
        <v>0.38600000000000001</v>
      </c>
      <c r="AC198">
        <f>AVERAGEIFS($D$2:D198, $B$2:B198, B198)</f>
        <v>0.2</v>
      </c>
    </row>
    <row r="199" spans="1:29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f>AVERAGEIFS($C$2:C199, $B$2:B199, B199)</f>
        <v>9.3333333333333339</v>
      </c>
      <c r="AA199">
        <f>AVERAGEIFS($I$2:I199, $B$2:B199, B199)</f>
        <v>0.30833333333333335</v>
      </c>
      <c r="AB199">
        <f>AVERAGEIFS($J$2:J199, $B$2:B199, B199)</f>
        <v>0.44166666666666671</v>
      </c>
      <c r="AC199">
        <f>AVERAGEIFS($D$2:D199, $B$2:B199, B199)</f>
        <v>0.33333333333333331</v>
      </c>
    </row>
    <row r="200" spans="1:29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f>AVERAGEIFS($C$2:C200, $B$2:B200, B200)</f>
        <v>26.416666666666668</v>
      </c>
      <c r="AA200">
        <f>AVERAGEIFS($I$2:I200, $B$2:B200, B200)</f>
        <v>0.48333333333333334</v>
      </c>
      <c r="AB200">
        <f>AVERAGEIFS($J$2:J200, $B$2:B200, B200)</f>
        <v>0.48166666666666663</v>
      </c>
      <c r="AC200">
        <f>AVERAGEIFS($D$2:D200, $B$2:B200, B200)</f>
        <v>0.58333333333333337</v>
      </c>
    </row>
    <row r="201" spans="1:29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f>AVERAGEIFS($C$2:C201, $B$2:B201, B201)</f>
        <v>10.7</v>
      </c>
      <c r="AA201">
        <f>AVERAGEIFS($I$2:I201, $B$2:B201, B201)</f>
        <v>0.48999999999999994</v>
      </c>
      <c r="AB201">
        <f>AVERAGEIFS($J$2:J201, $B$2:B201, B201)</f>
        <v>0.49299999999999988</v>
      </c>
      <c r="AC201">
        <f>AVERAGEIFS($D$2:D201, $B$2:B201, B201)</f>
        <v>0.5</v>
      </c>
    </row>
    <row r="202" spans="1:29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f>AVERAGEIFS($C$2:C202, $B$2:B202, B202)</f>
        <v>11.642857142857142</v>
      </c>
      <c r="AA202">
        <f>AVERAGEIFS($I$2:I202, $B$2:B202, B202)</f>
        <v>0.48571428571428577</v>
      </c>
      <c r="AB202">
        <f>AVERAGEIFS($J$2:J202, $B$2:B202, B202)</f>
        <v>0.49214285714285716</v>
      </c>
      <c r="AC202">
        <f>AVERAGEIFS($D$2:D202, $B$2:B202, B202)</f>
        <v>0.42857142857142855</v>
      </c>
    </row>
    <row r="203" spans="1:29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f>AVERAGEIFS($C$2:C203, $B$2:B203, B203)</f>
        <v>29.357142857142858</v>
      </c>
      <c r="AA203">
        <f>AVERAGEIFS($I$2:I203, $B$2:B203, B203)</f>
        <v>0.53214285714285714</v>
      </c>
      <c r="AB203">
        <f>AVERAGEIFS($J$2:J203, $B$2:B203, B203)</f>
        <v>0.53142857142857136</v>
      </c>
      <c r="AC203">
        <f>AVERAGEIFS($D$2:D203, $B$2:B203, B203)</f>
        <v>0.6428571428571429</v>
      </c>
    </row>
    <row r="204" spans="1:29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f>AVERAGEIFS($C$2:C204, $B$2:B204, B204)</f>
        <v>25.615384615384617</v>
      </c>
      <c r="AA204">
        <f>AVERAGEIFS($I$2:I204, $B$2:B204, B204)</f>
        <v>0.52307692307692311</v>
      </c>
      <c r="AB204">
        <f>AVERAGEIFS($J$2:J204, $B$2:B204, B204)</f>
        <v>0.50769230769230766</v>
      </c>
      <c r="AC204">
        <f>AVERAGEIFS($D$2:D204, $B$2:B204, B204)</f>
        <v>0.61538461538461542</v>
      </c>
    </row>
    <row r="205" spans="1:29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f>AVERAGEIFS($C$2:C205, $B$2:B205, B205)</f>
        <v>9</v>
      </c>
      <c r="AA205">
        <f>AVERAGEIFS($I$2:I205, $B$2:B205, B205)</f>
        <v>1</v>
      </c>
      <c r="AB205">
        <f>AVERAGEIFS($J$2:J205, $B$2:B205, B205)</f>
        <v>0.82</v>
      </c>
      <c r="AC205">
        <f>AVERAGEIFS($D$2:D205, $B$2:B205, B205)</f>
        <v>1</v>
      </c>
    </row>
    <row r="206" spans="1:29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AVERAGEIFS($C$2:C206, $B$2:B206, B206)</f>
        <v>26.285714285714285</v>
      </c>
      <c r="AA206">
        <f>AVERAGEIFS($I$2:I206, $B$2:B206, B206)</f>
        <v>0.63214285714285723</v>
      </c>
      <c r="AB206">
        <f>AVERAGEIFS($J$2:J206, $B$2:B206, B206)</f>
        <v>0.57785714285714285</v>
      </c>
      <c r="AC206">
        <f>AVERAGEIFS($D$2:D206, $B$2:B206, B206)</f>
        <v>0.5714285714285714</v>
      </c>
    </row>
    <row r="207" spans="1:29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f>AVERAGEIFS($C$2:C207, $B$2:B207, B207)</f>
        <v>12.555555555555555</v>
      </c>
      <c r="AA207">
        <f>AVERAGEIFS($I$2:I207, $B$2:B207, B207)</f>
        <v>0.61111111111111116</v>
      </c>
      <c r="AB207">
        <f>AVERAGEIFS($J$2:J207, $B$2:B207, B207)</f>
        <v>0.57444444444444442</v>
      </c>
      <c r="AC207">
        <f>AVERAGEIFS($D$2:D207, $B$2:B207, B207)</f>
        <v>0.66666666666666663</v>
      </c>
    </row>
    <row r="208" spans="1:29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f>AVERAGEIFS($C$2:C208, $B$2:B208, B208)</f>
        <v>5</v>
      </c>
      <c r="AA208">
        <f>AVERAGEIFS($I$2:I208, $B$2:B208, B208)</f>
        <v>1</v>
      </c>
      <c r="AB208">
        <f>AVERAGEIFS($J$2:J208, $B$2:B208, B208)</f>
        <v>0.82</v>
      </c>
      <c r="AC208">
        <f>AVERAGEIFS($D$2:D208, $B$2:B208, B208)</f>
        <v>1</v>
      </c>
    </row>
    <row r="209" spans="1:29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f>AVERAGEIFS($C$2:C209, $B$2:B209, B209)</f>
        <v>21.5</v>
      </c>
      <c r="AA209">
        <f>AVERAGEIFS($I$2:I209, $B$2:B209, B209)</f>
        <v>0.57499999999999996</v>
      </c>
      <c r="AB209">
        <f>AVERAGEIFS($J$2:J209, $B$2:B209, B209)</f>
        <v>0.52374999999999994</v>
      </c>
      <c r="AC209">
        <f>AVERAGEIFS($D$2:D209, $B$2:B209, B209)</f>
        <v>0.625</v>
      </c>
    </row>
    <row r="210" spans="1:29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f>AVERAGEIFS($C$2:C210, $B$2:B210, B210)</f>
        <v>18.125</v>
      </c>
      <c r="AA210">
        <f>AVERAGEIFS($I$2:I210, $B$2:B210, B210)</f>
        <v>0.45624999999999999</v>
      </c>
      <c r="AB210">
        <f>AVERAGEIFS($J$2:J210, $B$2:B210, B210)</f>
        <v>0.46499999999999997</v>
      </c>
      <c r="AC210">
        <f>AVERAGEIFS($D$2:D210, $B$2:B210, B210)</f>
        <v>0.375</v>
      </c>
    </row>
    <row r="211" spans="1:29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f>AVERAGEIFS($C$2:C211, $B$2:B211, B211)</f>
        <v>7</v>
      </c>
      <c r="AA211">
        <f>AVERAGEIFS($I$2:I211, $B$2:B211, B211)</f>
        <v>0</v>
      </c>
      <c r="AB211">
        <f>AVERAGEIFS($J$2:J211, $B$2:B211, B211)</f>
        <v>0.18</v>
      </c>
      <c r="AC211">
        <f>AVERAGEIFS($D$2:D211, $B$2:B211, B211)</f>
        <v>0</v>
      </c>
    </row>
    <row r="212" spans="1:29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f>AVERAGEIFS($C$2:C212, $B$2:B212, B212)</f>
        <v>11.266666666666667</v>
      </c>
      <c r="AA212">
        <f>AVERAGEIFS($I$2:I212, $B$2:B212, B212)</f>
        <v>0.45333333333333337</v>
      </c>
      <c r="AB212">
        <f>AVERAGEIFS($J$2:J212, $B$2:B212, B212)</f>
        <v>0.47133333333333333</v>
      </c>
      <c r="AC212">
        <f>AVERAGEIFS($D$2:D212, $B$2:B212, B212)</f>
        <v>0.4</v>
      </c>
    </row>
    <row r="213" spans="1:29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f>AVERAGEIFS($C$2:C213, $B$2:B213, B213)</f>
        <v>5</v>
      </c>
      <c r="AA213">
        <f>AVERAGEIFS($I$2:I213, $B$2:B213, B213)</f>
        <v>0</v>
      </c>
      <c r="AB213">
        <f>AVERAGEIFS($J$2:J213, $B$2:B213, B213)</f>
        <v>0.18</v>
      </c>
      <c r="AC213">
        <f>AVERAGEIFS($D$2:D213, $B$2:B213, B213)</f>
        <v>0</v>
      </c>
    </row>
    <row r="214" spans="1:29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f>AVERAGEIFS($C$2:C214, $B$2:B214, B214)</f>
        <v>14</v>
      </c>
      <c r="AA214">
        <f>AVERAGEIFS($I$2:I214, $B$2:B214, B214)</f>
        <v>0.47499999999999998</v>
      </c>
      <c r="AB214">
        <f>AVERAGEIFS($J$2:J214, $B$2:B214, B214)</f>
        <v>0.48499999999999999</v>
      </c>
      <c r="AC214">
        <f>AVERAGEIFS($D$2:D214, $B$2:B214, B214)</f>
        <v>0.5</v>
      </c>
    </row>
    <row r="215" spans="1:29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1</v>
      </c>
      <c r="Z215">
        <f>AVERAGEIFS($C$2:C215, $B$2:B215, B215)</f>
        <v>22.222222222222221</v>
      </c>
      <c r="AA215">
        <f>AVERAGEIFS($I$2:I215, $B$2:B215, B215)</f>
        <v>0.59444444444444444</v>
      </c>
      <c r="AB215">
        <f>AVERAGEIFS($J$2:J215, $B$2:B215, B215)</f>
        <v>0.54222222222222216</v>
      </c>
      <c r="AC215">
        <f>AVERAGEIFS($D$2:D215, $B$2:B215, B215)</f>
        <v>0.66666666666666663</v>
      </c>
    </row>
    <row r="216" spans="1:29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f>AVERAGEIFS($C$2:C216, $B$2:B216, B216)</f>
        <v>28.733333333333334</v>
      </c>
      <c r="AA216">
        <f>AVERAGEIFS($I$2:I216, $B$2:B216, B216)</f>
        <v>0.54666666666666663</v>
      </c>
      <c r="AB216">
        <f>AVERAGEIFS($J$2:J216, $B$2:B216, B216)</f>
        <v>0.54199999999999993</v>
      </c>
      <c r="AC216">
        <f>AVERAGEIFS($D$2:D216, $B$2:B216, B216)</f>
        <v>0.66666666666666663</v>
      </c>
    </row>
    <row r="217" spans="1:29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f>AVERAGEIFS($C$2:C217, $B$2:B217, B217)</f>
        <v>18.333333333333332</v>
      </c>
      <c r="AA217">
        <f>AVERAGEIFS($I$2:I217, $B$2:B217, B217)</f>
        <v>0.33333333333333331</v>
      </c>
      <c r="AB217">
        <f>AVERAGEIFS($J$2:J217, $B$2:B217, B217)</f>
        <v>0.4366666666666667</v>
      </c>
      <c r="AC217">
        <f>AVERAGEIFS($D$2:D217, $B$2:B217, B217)</f>
        <v>0.33333333333333331</v>
      </c>
    </row>
    <row r="218" spans="1:29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f>AVERAGEIFS($C$2:C218, $B$2:B218, B218)</f>
        <v>12.4</v>
      </c>
      <c r="AA218">
        <f>AVERAGEIFS($I$2:I218, $B$2:B218, B218)</f>
        <v>0.625</v>
      </c>
      <c r="AB218">
        <f>AVERAGEIFS($J$2:J218, $B$2:B218, B218)</f>
        <v>0.58599999999999997</v>
      </c>
      <c r="AC218">
        <f>AVERAGEIFS($D$2:D218, $B$2:B218, B218)</f>
        <v>0.7</v>
      </c>
    </row>
    <row r="219" spans="1:29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f>AVERAGEIFS($C$2:C219, $B$2:B219, B219)</f>
        <v>9.2857142857142865</v>
      </c>
      <c r="AA219">
        <f>AVERAGEIFS($I$2:I219, $B$2:B219, B219)</f>
        <v>0.37142857142857144</v>
      </c>
      <c r="AB219">
        <f>AVERAGEIFS($J$2:J219, $B$2:B219, B219)</f>
        <v>0.4771428571428572</v>
      </c>
      <c r="AC219">
        <f>AVERAGEIFS($D$2:D219, $B$2:B219, B219)</f>
        <v>0.42857142857142855</v>
      </c>
    </row>
    <row r="220" spans="1:29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f>AVERAGEIFS($C$2:C220, $B$2:B220, B220)</f>
        <v>10.454545454545455</v>
      </c>
      <c r="AA220">
        <f>AVERAGEIFS($I$2:I220, $B$2:B220, B220)</f>
        <v>0.51363636363636356</v>
      </c>
      <c r="AB220">
        <f>AVERAGEIFS($J$2:J220, $B$2:B220, B220)</f>
        <v>0.51090909090909087</v>
      </c>
      <c r="AC220">
        <f>AVERAGEIFS($D$2:D220, $B$2:B220, B220)</f>
        <v>0.54545454545454541</v>
      </c>
    </row>
    <row r="221" spans="1:29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f>AVERAGEIFS($C$2:C221, $B$2:B221, B221)</f>
        <v>26</v>
      </c>
      <c r="AA221">
        <f>AVERAGEIFS($I$2:I221, $B$2:B221, B221)</f>
        <v>0.6066666666666668</v>
      </c>
      <c r="AB221">
        <f>AVERAGEIFS($J$2:J221, $B$2:B221, B221)</f>
        <v>0.56000000000000005</v>
      </c>
      <c r="AC221">
        <f>AVERAGEIFS($D$2:D221, $B$2:B221, B221)</f>
        <v>0.53333333333333333</v>
      </c>
    </row>
    <row r="222" spans="1:29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f>AVERAGEIFS($C$2:C222, $B$2:B222, B222)</f>
        <v>25.071428571428573</v>
      </c>
      <c r="AA222">
        <f>AVERAGEIFS($I$2:I222, $B$2:B222, B222)</f>
        <v>0.50357142857142856</v>
      </c>
      <c r="AB222">
        <f>AVERAGEIFS($J$2:J222, $B$2:B222, B222)</f>
        <v>0.49357142857142849</v>
      </c>
      <c r="AC222">
        <f>AVERAGEIFS($D$2:D222, $B$2:B222, B222)</f>
        <v>0.5714285714285714</v>
      </c>
    </row>
    <row r="223" spans="1:29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f>AVERAGEIFS($C$2:C223, $B$2:B223, B223)</f>
        <v>10.5</v>
      </c>
      <c r="AA223">
        <f>AVERAGEIFS($I$2:I223, $B$2:B223, B223)</f>
        <v>0.125</v>
      </c>
      <c r="AB223">
        <f>AVERAGEIFS($J$2:J223, $B$2:B223, B223)</f>
        <v>0.245</v>
      </c>
      <c r="AC223">
        <f>AVERAGEIFS($D$2:D223, $B$2:B223, B223)</f>
        <v>0</v>
      </c>
    </row>
    <row r="224" spans="1:29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AVERAGEIFS($C$2:C224, $B$2:B224, B224)</f>
        <v>17.444444444444443</v>
      </c>
      <c r="AA224">
        <f>AVERAGEIFS($I$2:I224, $B$2:B224, B224)</f>
        <v>0.43333333333333335</v>
      </c>
      <c r="AB224">
        <f>AVERAGEIFS($J$2:J224, $B$2:B224, B224)</f>
        <v>0.44777777777777772</v>
      </c>
      <c r="AC224">
        <f>AVERAGEIFS($D$2:D224, $B$2:B224, B224)</f>
        <v>0.33333333333333331</v>
      </c>
    </row>
    <row r="225" spans="1:29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f>AVERAGEIFS($C$2:C225, $B$2:B225, B225)</f>
        <v>13.727272727272727</v>
      </c>
      <c r="AA225">
        <f>AVERAGEIFS($I$2:I225, $B$2:B225, B225)</f>
        <v>0.45454545454545453</v>
      </c>
      <c r="AB225">
        <f>AVERAGEIFS($J$2:J225, $B$2:B225, B225)</f>
        <v>0.469090909090909</v>
      </c>
      <c r="AC225">
        <f>AVERAGEIFS($D$2:D225, $B$2:B225, B225)</f>
        <v>0.45454545454545453</v>
      </c>
    </row>
    <row r="226" spans="1:29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f>AVERAGEIFS($C$2:C226, $B$2:B226, B226)</f>
        <v>3.5</v>
      </c>
      <c r="AA226">
        <f>AVERAGEIFS($I$2:I226, $B$2:B226, B226)</f>
        <v>0.625</v>
      </c>
      <c r="AB226">
        <f>AVERAGEIFS($J$2:J226, $B$2:B226, B226)</f>
        <v>0.56499999999999995</v>
      </c>
      <c r="AC226">
        <f>AVERAGEIFS($D$2:D226, $B$2:B226, B226)</f>
        <v>0.5</v>
      </c>
    </row>
    <row r="227" spans="1:29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1</v>
      </c>
      <c r="Z227">
        <f>AVERAGEIFS($C$2:C227, $B$2:B227, B227)</f>
        <v>26.916666666666668</v>
      </c>
      <c r="AA227">
        <f>AVERAGEIFS($I$2:I227, $B$2:B227, B227)</f>
        <v>0.49583333333333335</v>
      </c>
      <c r="AB227">
        <f>AVERAGEIFS($J$2:J227, $B$2:B227, B227)</f>
        <v>0.48583333333333328</v>
      </c>
      <c r="AC227">
        <f>AVERAGEIFS($D$2:D227, $B$2:B227, B227)</f>
        <v>0.33333333333333331</v>
      </c>
    </row>
    <row r="228" spans="1:29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1</v>
      </c>
      <c r="Z228">
        <f>AVERAGEIFS($C$2:C228, $B$2:B228, B228)</f>
        <v>25.625</v>
      </c>
      <c r="AA228">
        <f>AVERAGEIFS($I$2:I228, $B$2:B228, B228)</f>
        <v>0.63125000000000009</v>
      </c>
      <c r="AB228">
        <f>AVERAGEIFS($J$2:J228, $B$2:B228, B228)</f>
        <v>0.57187500000000002</v>
      </c>
      <c r="AC228">
        <f>AVERAGEIFS($D$2:D228, $B$2:B228, B228)</f>
        <v>0.5625</v>
      </c>
    </row>
    <row r="229" spans="1:29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1</v>
      </c>
      <c r="Z229">
        <f>AVERAGEIFS($C$2:C229, $B$2:B229, B229)</f>
        <v>17.5</v>
      </c>
      <c r="AA229">
        <f>AVERAGEIFS($I$2:I229, $B$2:B229, B229)</f>
        <v>0.6875</v>
      </c>
      <c r="AB229">
        <f>AVERAGEIFS($J$2:J229, $B$2:B229, B229)</f>
        <v>0.60999999999999988</v>
      </c>
      <c r="AC229">
        <f>AVERAGEIFS($D$2:D229, $B$2:B229, B229)</f>
        <v>0.75</v>
      </c>
    </row>
    <row r="230" spans="1:29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1</v>
      </c>
      <c r="Z230">
        <f>AVERAGEIFS($C$2:C230, $B$2:B230, B230)</f>
        <v>17.3</v>
      </c>
      <c r="AA230">
        <f>AVERAGEIFS($I$2:I230, $B$2:B230, B230)</f>
        <v>0.49000000000000005</v>
      </c>
      <c r="AB230">
        <f>AVERAGEIFS($J$2:J230, $B$2:B230, B230)</f>
        <v>0.47799999999999992</v>
      </c>
      <c r="AC230">
        <f>AVERAGEIFS($D$2:D230, $B$2:B230, B230)</f>
        <v>0.4</v>
      </c>
    </row>
    <row r="231" spans="1:29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1</v>
      </c>
      <c r="Z231">
        <f>AVERAGEIFS($C$2:C231, $B$2:B231, B231)</f>
        <v>9</v>
      </c>
      <c r="AA231">
        <f>AVERAGEIFS($I$2:I231, $B$2:B231, B231)</f>
        <v>0.45</v>
      </c>
      <c r="AB231">
        <f>AVERAGEIFS($J$2:J231, $B$2:B231, B231)</f>
        <v>0.51124999999999998</v>
      </c>
      <c r="AC231">
        <f>AVERAGEIFS($D$2:D231, $B$2:B231, B231)</f>
        <v>0.5</v>
      </c>
    </row>
    <row r="232" spans="1:29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  <c r="Y232">
        <v>1</v>
      </c>
      <c r="Z232">
        <f>AVERAGEIFS($C$2:C232, $B$2:B232, B232)</f>
        <v>13.875</v>
      </c>
      <c r="AA232">
        <f>AVERAGEIFS($I$2:I232, $B$2:B232, B232)</f>
        <v>0.57499999999999996</v>
      </c>
      <c r="AB232">
        <f>AVERAGEIFS($J$2:J232, $B$2:B232, B232)</f>
        <v>0.53125</v>
      </c>
      <c r="AC232">
        <f>AVERAGEIFS($D$2:D232, $B$2:B232, B232)</f>
        <v>0.625</v>
      </c>
    </row>
    <row r="233" spans="1:29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AVERAGEIFS($C$2:C233, $B$2:B233, B233)</f>
        <v>26.285714285714285</v>
      </c>
      <c r="AA233">
        <f>AVERAGEIFS($I$2:I233, $B$2:B233, B233)</f>
        <v>0.42857142857142855</v>
      </c>
      <c r="AB233">
        <f>AVERAGEIFS($J$2:J233, $B$2:B233, B233)</f>
        <v>0.44285714285714278</v>
      </c>
      <c r="AC233">
        <f>AVERAGEIFS($D$2:D233, $B$2:B233, B233)</f>
        <v>0.42857142857142855</v>
      </c>
    </row>
    <row r="234" spans="1:29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f>AVERAGEIFS($C$2:C234, $B$2:B234, B234)</f>
        <v>28.0625</v>
      </c>
      <c r="AA234">
        <f>AVERAGEIFS($I$2:I234, $B$2:B234, B234)</f>
        <v>0.51249999999999996</v>
      </c>
      <c r="AB234">
        <f>AVERAGEIFS($J$2:J234, $B$2:B234, B234)</f>
        <v>0.52374999999999994</v>
      </c>
      <c r="AC234">
        <f>AVERAGEIFS($D$2:D234, $B$2:B234, B234)</f>
        <v>0.625</v>
      </c>
    </row>
    <row r="235" spans="1:29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f>AVERAGEIFS($C$2:C235, $B$2:B235, B235)</f>
        <v>23.428571428571427</v>
      </c>
      <c r="AA235">
        <f>AVERAGEIFS($I$2:I235, $B$2:B235, B235)</f>
        <v>0.47857142857142859</v>
      </c>
      <c r="AB235">
        <f>AVERAGEIFS($J$2:J235, $B$2:B235, B235)</f>
        <v>0.49714285714285705</v>
      </c>
      <c r="AC235">
        <f>AVERAGEIFS($D$2:D235, $B$2:B235, B235)</f>
        <v>0.5714285714285714</v>
      </c>
    </row>
    <row r="236" spans="1:29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f>AVERAGEIFS($C$2:C236, $B$2:B236, B236)</f>
        <v>11.125</v>
      </c>
      <c r="AA236">
        <f>AVERAGEIFS($I$2:I236, $B$2:B236, B236)</f>
        <v>0.42500000000000004</v>
      </c>
      <c r="AB236">
        <f>AVERAGEIFS($J$2:J236, $B$2:B236, B236)</f>
        <v>0.45750000000000002</v>
      </c>
      <c r="AC236">
        <f>AVERAGEIFS($D$2:D236, $B$2:B236, B236)</f>
        <v>0.375</v>
      </c>
    </row>
    <row r="237" spans="1:29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f>AVERAGEIFS($C$2:C237, $B$2:B237, B237)</f>
        <v>13.7</v>
      </c>
      <c r="AA237">
        <f>AVERAGEIFS($I$2:I237, $B$2:B237, B237)</f>
        <v>0.37</v>
      </c>
      <c r="AB237">
        <f>AVERAGEIFS($J$2:J237, $B$2:B237, B237)</f>
        <v>0.43100000000000005</v>
      </c>
      <c r="AC237">
        <f>AVERAGEIFS($D$2:D237, $B$2:B237, B237)</f>
        <v>0.2</v>
      </c>
    </row>
    <row r="238" spans="1:29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f>AVERAGEIFS($C$2:C238, $B$2:B238, B238)</f>
        <v>2.3333333333333335</v>
      </c>
      <c r="AA238">
        <f>AVERAGEIFS($I$2:I238, $B$2:B238, B238)</f>
        <v>0.41666666666666669</v>
      </c>
      <c r="AB238">
        <f>AVERAGEIFS($J$2:J238, $B$2:B238, B238)</f>
        <v>0.45999999999999996</v>
      </c>
      <c r="AC238">
        <f>AVERAGEIFS($D$2:D238, $B$2:B238, B238)</f>
        <v>0.33333333333333331</v>
      </c>
    </row>
    <row r="239" spans="1:29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f>AVERAGEIFS($C$2:C239, $B$2:B239, B239)</f>
        <v>23</v>
      </c>
      <c r="AA239">
        <f>AVERAGEIFS($I$2:I239, $B$2:B239, B239)</f>
        <v>0.59499999999999997</v>
      </c>
      <c r="AB239">
        <f>AVERAGEIFS($J$2:J239, $B$2:B239, B239)</f>
        <v>0.53599999999999992</v>
      </c>
      <c r="AC239">
        <f>AVERAGEIFS($D$2:D239, $B$2:B239, B239)</f>
        <v>0.7</v>
      </c>
    </row>
    <row r="240" spans="1:29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f>AVERAGEIFS($C$2:C240, $B$2:B240, B240)</f>
        <v>28</v>
      </c>
      <c r="AA240">
        <f>AVERAGEIFS($I$2:I240, $B$2:B240, B240)</f>
        <v>0.51764705882352935</v>
      </c>
      <c r="AB240">
        <f>AVERAGEIFS($J$2:J240, $B$2:B240, B240)</f>
        <v>0.52117647058823524</v>
      </c>
      <c r="AC240">
        <f>AVERAGEIFS($D$2:D240, $B$2:B240, B240)</f>
        <v>0.6470588235294118</v>
      </c>
    </row>
    <row r="241" spans="1:29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f>AVERAGEIFS($C$2:C241, $B$2:B241, B241)</f>
        <v>22.875</v>
      </c>
      <c r="AA241">
        <f>AVERAGEIFS($I$2:I241, $B$2:B241, B241)</f>
        <v>0.49375000000000002</v>
      </c>
      <c r="AB241">
        <f>AVERAGEIFS($J$2:J241, $B$2:B241, B241)</f>
        <v>0.49499999999999994</v>
      </c>
      <c r="AC241">
        <f>AVERAGEIFS($D$2:D241, $B$2:B241, B241)</f>
        <v>0.625</v>
      </c>
    </row>
    <row r="242" spans="1:29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f>AVERAGEIFS($C$2:C242, $B$2:B242, B242)</f>
        <v>14.444444444444445</v>
      </c>
      <c r="AA242">
        <f>AVERAGEIFS($I$2:I242, $B$2:B242, B242)</f>
        <v>0.57777777777777772</v>
      </c>
      <c r="AB242">
        <f>AVERAGEIFS($J$2:J242, $B$2:B242, B242)</f>
        <v>0.52555555555555555</v>
      </c>
      <c r="AC242">
        <f>AVERAGEIFS($D$2:D242, $B$2:B242, B242)</f>
        <v>0.66666666666666663</v>
      </c>
    </row>
    <row r="243" spans="1:29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f>AVERAGEIFS($C$2:C243, $B$2:B243, B243)</f>
        <v>9.4444444444444446</v>
      </c>
      <c r="AA243">
        <f>AVERAGEIFS($I$2:I243, $B$2:B243, B243)</f>
        <v>0.46666666666666667</v>
      </c>
      <c r="AB243">
        <f>AVERAGEIFS($J$2:J243, $B$2:B243, B243)</f>
        <v>0.50777777777777777</v>
      </c>
      <c r="AC243">
        <f>AVERAGEIFS($D$2:D243, $B$2:B243, B243)</f>
        <v>0.55555555555555558</v>
      </c>
    </row>
    <row r="244" spans="1:29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f>AVERAGEIFS($C$2:C244, $B$2:B244, B244)</f>
        <v>26.058823529411764</v>
      </c>
      <c r="AA244">
        <f>AVERAGEIFS($I$2:I244, $B$2:B244, B244)</f>
        <v>0.61764705882352955</v>
      </c>
      <c r="AB244">
        <f>AVERAGEIFS($J$2:J244, $B$2:B244, B244)</f>
        <v>0.56882352941176473</v>
      </c>
      <c r="AC244">
        <f>AVERAGEIFS($D$2:D244, $B$2:B244, B244)</f>
        <v>0.52941176470588236</v>
      </c>
    </row>
    <row r="245" spans="1:29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f>AVERAGEIFS($C$2:C245, $B$2:B245, B245)</f>
        <v>26.5</v>
      </c>
      <c r="AA245">
        <f>AVERAGEIFS($I$2:I245, $B$2:B245, B245)</f>
        <v>0.42499999999999999</v>
      </c>
      <c r="AB245">
        <f>AVERAGEIFS($J$2:J245, $B$2:B245, B245)</f>
        <v>0.45249999999999996</v>
      </c>
      <c r="AC245">
        <f>AVERAGEIFS($D$2:D245, $B$2:B245, B245)</f>
        <v>0.375</v>
      </c>
    </row>
    <row r="246" spans="1:29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f>AVERAGEIFS($C$2:C246, $B$2:B246, B246)</f>
        <v>26.923076923076923</v>
      </c>
      <c r="AA246">
        <f>AVERAGEIFS($I$2:I246, $B$2:B246, B246)</f>
        <v>0.4884615384615385</v>
      </c>
      <c r="AB246">
        <f>AVERAGEIFS($J$2:J246, $B$2:B246, B246)</f>
        <v>0.48846153846153845</v>
      </c>
      <c r="AC246">
        <f>AVERAGEIFS($D$2:D246, $B$2:B246, B246)</f>
        <v>0.30769230769230771</v>
      </c>
    </row>
    <row r="247" spans="1:29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f>AVERAGEIFS($C$2:C247, $B$2:B247, B247)</f>
        <v>17.2</v>
      </c>
      <c r="AA247">
        <f>AVERAGEIFS($I$2:I247, $B$2:B247, B247)</f>
        <v>0.63</v>
      </c>
      <c r="AB247">
        <f>AVERAGEIFS($J$2:J247, $B$2:B247, B247)</f>
        <v>0.59199999999999986</v>
      </c>
      <c r="AC247">
        <f>AVERAGEIFS($D$2:D247, $B$2:B247, B247)</f>
        <v>0.6</v>
      </c>
    </row>
    <row r="248" spans="1:29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f>AVERAGEIFS($C$2:C248, $B$2:B248, B248)</f>
        <v>13.454545454545455</v>
      </c>
      <c r="AA248">
        <f>AVERAGEIFS($I$2:I248, $B$2:B248, B248)</f>
        <v>0.37272727272727268</v>
      </c>
      <c r="AB248">
        <f>AVERAGEIFS($J$2:J248, $B$2:B248, B248)</f>
        <v>0.43909090909090909</v>
      </c>
      <c r="AC248">
        <f>AVERAGEIFS($D$2:D248, $B$2:B248, B248)</f>
        <v>0.18181818181818182</v>
      </c>
    </row>
    <row r="249" spans="1:29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1</v>
      </c>
      <c r="X249">
        <v>0</v>
      </c>
      <c r="Y249">
        <v>0</v>
      </c>
      <c r="Z249">
        <f>AVERAGEIFS($C$2:C249, $B$2:B249, B249)</f>
        <v>25.2</v>
      </c>
      <c r="AA249">
        <f>AVERAGEIFS($I$2:I249, $B$2:B249, B249)</f>
        <v>0.53666666666666674</v>
      </c>
      <c r="AB249">
        <f>AVERAGEIFS($J$2:J249, $B$2:B249, B249)</f>
        <v>0.5106666666666666</v>
      </c>
      <c r="AC249">
        <f>AVERAGEIFS($D$2:D249, $B$2:B249, B249)</f>
        <v>0.6</v>
      </c>
    </row>
    <row r="250" spans="1:29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1</v>
      </c>
      <c r="X250">
        <v>0</v>
      </c>
      <c r="Y250">
        <v>0</v>
      </c>
      <c r="Z250">
        <f>AVERAGEIFS($C$2:C250, $B$2:B250, B250)</f>
        <v>27.111111111111111</v>
      </c>
      <c r="AA250">
        <f>AVERAGEIFS($I$2:I250, $B$2:B250, B250)</f>
        <v>0.5444444444444444</v>
      </c>
      <c r="AB250">
        <f>AVERAGEIFS($J$2:J250, $B$2:B250, B250)</f>
        <v>0.53388888888888886</v>
      </c>
      <c r="AC250">
        <f>AVERAGEIFS($D$2:D250, $B$2:B250, B250)</f>
        <v>0.66666666666666663</v>
      </c>
    </row>
    <row r="251" spans="1:29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1</v>
      </c>
      <c r="X251">
        <v>0</v>
      </c>
      <c r="Y251">
        <v>0</v>
      </c>
      <c r="Z251">
        <f>AVERAGEIFS($C$2:C251, $B$2:B251, B251)</f>
        <v>13.083333333333334</v>
      </c>
      <c r="AA251">
        <f>AVERAGEIFS($I$2:I251, $B$2:B251, B251)</f>
        <v>0.42499999999999999</v>
      </c>
      <c r="AB251">
        <f>AVERAGEIFS($J$2:J251, $B$2:B251, B251)</f>
        <v>0.46500000000000002</v>
      </c>
      <c r="AC251">
        <f>AVERAGEIFS($D$2:D251, $B$2:B251, B251)</f>
        <v>0.25</v>
      </c>
    </row>
    <row r="252" spans="1:29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1</v>
      </c>
      <c r="X252">
        <v>0</v>
      </c>
      <c r="Y252">
        <v>0</v>
      </c>
      <c r="Z252">
        <f>AVERAGEIFS($C$2:C252, $B$2:B252, B252)</f>
        <v>11.909090909090908</v>
      </c>
      <c r="AA252">
        <f>AVERAGEIFS($I$2:I252, $B$2:B252, B252)</f>
        <v>0.65909090909090906</v>
      </c>
      <c r="AB252">
        <f>AVERAGEIFS($J$2:J252, $B$2:B252, B252)</f>
        <v>0.60090909090909084</v>
      </c>
      <c r="AC252">
        <f>AVERAGEIFS($D$2:D252, $B$2:B252, B252)</f>
        <v>0.72727272727272729</v>
      </c>
    </row>
    <row r="253" spans="1:29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</v>
      </c>
      <c r="X253">
        <v>0</v>
      </c>
      <c r="Y253">
        <v>0</v>
      </c>
      <c r="Z253">
        <f>AVERAGEIFS($C$2:C253, $B$2:B253, B253)</f>
        <v>5</v>
      </c>
      <c r="AA253">
        <f>AVERAGEIFS($I$2:I253, $B$2:B253, B253)</f>
        <v>1</v>
      </c>
      <c r="AB253">
        <f>AVERAGEIFS($J$2:J253, $B$2:B253, B253)</f>
        <v>0.75</v>
      </c>
      <c r="AC253">
        <f>AVERAGEIFS($D$2:D253, $B$2:B253, B253)</f>
        <v>1</v>
      </c>
    </row>
    <row r="254" spans="1:29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</v>
      </c>
      <c r="X254">
        <v>0</v>
      </c>
      <c r="Y254">
        <v>0</v>
      </c>
      <c r="Z254">
        <f>AVERAGEIFS($C$2:C254, $B$2:B254, B254)</f>
        <v>14.833333333333334</v>
      </c>
      <c r="AA254">
        <f>AVERAGEIFS($I$2:I254, $B$2:B254, B254)</f>
        <v>0.69166666666666676</v>
      </c>
      <c r="AB254">
        <f>AVERAGEIFS($J$2:J254, $B$2:B254, B254)</f>
        <v>0.61833333333333329</v>
      </c>
      <c r="AC254">
        <f>AVERAGEIFS($D$2:D254, $B$2:B254, B254)</f>
        <v>0.66666666666666663</v>
      </c>
    </row>
    <row r="255" spans="1:29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f>AVERAGEIFS($C$2:C255, $B$2:B255, B255)</f>
        <v>25.785714285714285</v>
      </c>
      <c r="AA255">
        <f>AVERAGEIFS($I$2:I255, $B$2:B255, B255)</f>
        <v>0.45357142857142863</v>
      </c>
      <c r="AB255">
        <f>AVERAGEIFS($J$2:J255, $B$2:B255, B255)</f>
        <v>0.47142857142857142</v>
      </c>
      <c r="AC255">
        <f>AVERAGEIFS($D$2:D255, $B$2:B255, B255)</f>
        <v>0.2857142857142857</v>
      </c>
    </row>
    <row r="256" spans="1:29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f>AVERAGEIFS($C$2:C256, $B$2:B256, B256)</f>
        <v>25.222222222222221</v>
      </c>
      <c r="AA256">
        <f>AVERAGEIFS($I$2:I256, $B$2:B256, B256)</f>
        <v>0.58333333333333348</v>
      </c>
      <c r="AB256">
        <f>AVERAGEIFS($J$2:J256, $B$2:B256, B256)</f>
        <v>0.55111111111111111</v>
      </c>
      <c r="AC256">
        <f>AVERAGEIFS($D$2:D256, $B$2:B256, B256)</f>
        <v>0.5</v>
      </c>
    </row>
    <row r="257" spans="1:29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f>AVERAGEIFS($C$2:C257, $B$2:B257, B257)</f>
        <v>11</v>
      </c>
      <c r="AA257">
        <f>AVERAGEIFS($I$2:I257, $B$2:B257, B257)</f>
        <v>0.4</v>
      </c>
      <c r="AB257">
        <f>AVERAGEIFS($J$2:J257, $B$2:B257, B257)</f>
        <v>0.44529411764705884</v>
      </c>
      <c r="AC257">
        <f>AVERAGEIFS($D$2:D257, $B$2:B257, B257)</f>
        <v>0.35294117647058826</v>
      </c>
    </row>
    <row r="258" spans="1:29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f>AVERAGEIFS($C$2:C258, $B$2:B258, B258)</f>
        <v>10.083333333333334</v>
      </c>
      <c r="AA258">
        <f>AVERAGEIFS($I$2:I258, $B$2:B258, B258)</f>
        <v>0.47083333333333327</v>
      </c>
      <c r="AB258">
        <f>AVERAGEIFS($J$2:J258, $B$2:B258, B258)</f>
        <v>0.48916666666666658</v>
      </c>
      <c r="AC258">
        <f>AVERAGEIFS($D$2:D258, $B$2:B258, B258)</f>
        <v>0.5</v>
      </c>
    </row>
    <row r="259" spans="1:29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f>AVERAGEIFS($C$2:C259, $B$2:B259, B259)</f>
        <v>13.4</v>
      </c>
      <c r="AA259">
        <f>AVERAGEIFS($I$2:I259, $B$2:B259, B259)</f>
        <v>0.51999999999999991</v>
      </c>
      <c r="AB259">
        <f>AVERAGEIFS($J$2:J259, $B$2:B259, B259)</f>
        <v>0.49800000000000005</v>
      </c>
      <c r="AC259">
        <f>AVERAGEIFS($D$2:D259, $B$2:B259, B259)</f>
        <v>0.6</v>
      </c>
    </row>
    <row r="260" spans="1:29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AVERAGEIFS($C$2:C260, $B$2:B260, B260)</f>
        <v>12.916666666666666</v>
      </c>
      <c r="AA260">
        <f>AVERAGEIFS($I$2:I260, $B$2:B260, B260)</f>
        <v>0.41666666666666669</v>
      </c>
      <c r="AB260">
        <f>AVERAGEIFS($J$2:J260, $B$2:B260, B260)</f>
        <v>0.45083333333333325</v>
      </c>
      <c r="AC260">
        <f>AVERAGEIFS($D$2:D260, $B$2:B260, B260)</f>
        <v>0.41666666666666669</v>
      </c>
    </row>
    <row r="261" spans="1:29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f>AVERAGEIFS($C$2:C261, $B$2:B261, B261)</f>
        <v>26.736842105263158</v>
      </c>
      <c r="AA261">
        <f>AVERAGEIFS($I$2:I261, $B$2:B261, B261)</f>
        <v>0.56842105263157894</v>
      </c>
      <c r="AB261">
        <f>AVERAGEIFS($J$2:J261, $B$2:B261, B261)</f>
        <v>0.53947368421052633</v>
      </c>
      <c r="AC261">
        <f>AVERAGEIFS($D$2:D261, $B$2:B261, B261)</f>
        <v>0.68421052631578949</v>
      </c>
    </row>
    <row r="262" spans="1:29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f>AVERAGEIFS($C$2:C262, $B$2:B262, B262)</f>
        <v>24.5</v>
      </c>
      <c r="AA262">
        <f>AVERAGEIFS($I$2:I262, $B$2:B262, B262)</f>
        <v>0.56562500000000004</v>
      </c>
      <c r="AB262">
        <f>AVERAGEIFS($J$2:J262, $B$2:B262, B262)</f>
        <v>0.51874999999999993</v>
      </c>
      <c r="AC262">
        <f>AVERAGEIFS($D$2:D262, $B$2:B262, B262)</f>
        <v>0.625</v>
      </c>
    </row>
    <row r="263" spans="1:29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f>AVERAGEIFS($C$2:C263, $B$2:B263, B263)</f>
        <v>14.428571428571429</v>
      </c>
      <c r="AA263">
        <f>AVERAGEIFS($I$2:I263, $B$2:B263, B263)</f>
        <v>0.73571428571428577</v>
      </c>
      <c r="AB263">
        <f>AVERAGEIFS($J$2:J263, $B$2:B263, B263)</f>
        <v>0.62142857142857133</v>
      </c>
      <c r="AC263">
        <f>AVERAGEIFS($D$2:D263, $B$2:B263, B263)</f>
        <v>0.7142857142857143</v>
      </c>
    </row>
    <row r="264" spans="1:29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f>AVERAGEIFS($C$2:C264, $B$2:B264, B264)</f>
        <v>12.846153846153847</v>
      </c>
      <c r="AA264">
        <f>AVERAGEIFS($I$2:I264, $B$2:B264, B264)</f>
        <v>0.46923076923076923</v>
      </c>
      <c r="AB264">
        <f>AVERAGEIFS($J$2:J264, $B$2:B264, B264)</f>
        <v>0.47846153846153844</v>
      </c>
      <c r="AC264">
        <f>AVERAGEIFS($D$2:D264, $B$2:B264, B264)</f>
        <v>0.30769230769230771</v>
      </c>
    </row>
    <row r="265" spans="1:29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0</v>
      </c>
      <c r="Y265">
        <v>0</v>
      </c>
      <c r="Z265">
        <f>AVERAGEIFS($C$2:C265, $B$2:B265, B265)</f>
        <v>11.333333333333334</v>
      </c>
      <c r="AA265">
        <f>AVERAGEIFS($I$2:I265, $B$2:B265, B265)</f>
        <v>0.6875</v>
      </c>
      <c r="AB265">
        <f>AVERAGEIFS($J$2:J265, $B$2:B265, B265)</f>
        <v>0.60416666666666663</v>
      </c>
      <c r="AC265">
        <f>AVERAGEIFS($D$2:D265, $B$2:B265, B265)</f>
        <v>0.75</v>
      </c>
    </row>
    <row r="266" spans="1:29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f>AVERAGEIFS($C$2:C266, $B$2:B266, B266)</f>
        <v>25.266666666666666</v>
      </c>
      <c r="AA266">
        <f>AVERAGEIFS($I$2:I266, $B$2:B266, B266)</f>
        <v>0.42333333333333339</v>
      </c>
      <c r="AB266">
        <f>AVERAGEIFS($J$2:J266, $B$2:B266, B266)</f>
        <v>0.46400000000000002</v>
      </c>
      <c r="AC266">
        <f>AVERAGEIFS($D$2:D266, $B$2:B266, B266)</f>
        <v>0.26666666666666666</v>
      </c>
    </row>
    <row r="267" spans="1:29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f>AVERAGEIFS($C$2:C267, $B$2:B267, B267)</f>
        <v>24.473684210526315</v>
      </c>
      <c r="AA267">
        <f>AVERAGEIFS($I$2:I267, $B$2:B267, B267)</f>
        <v>0.55263157894736847</v>
      </c>
      <c r="AB267">
        <f>AVERAGEIFS($J$2:J267, $B$2:B267, B267)</f>
        <v>0.54105263157894734</v>
      </c>
      <c r="AC267">
        <f>AVERAGEIFS($D$2:D267, $B$2:B267, B267)</f>
        <v>0.47368421052631576</v>
      </c>
    </row>
    <row r="268" spans="1:29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f>AVERAGEIFS($C$2:C268, $B$2:B268, B268)</f>
        <v>13</v>
      </c>
      <c r="AA268">
        <f>AVERAGEIFS($I$2:I268, $B$2:B268, B268)</f>
        <v>0.47272727272727266</v>
      </c>
      <c r="AB268">
        <f>AVERAGEIFS($J$2:J268, $B$2:B268, B268)</f>
        <v>0.48545454545454553</v>
      </c>
      <c r="AC268">
        <f>AVERAGEIFS($D$2:D268, $B$2:B268, B268)</f>
        <v>0.54545454545454541</v>
      </c>
    </row>
    <row r="269" spans="1:29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AVERAGEIFS($C$2:C269, $B$2:B269, B269)</f>
        <v>12.307692307692308</v>
      </c>
      <c r="AA269">
        <f>AVERAGEIFS($I$2:I269, $B$2:B269, B269)</f>
        <v>0.38461538461538464</v>
      </c>
      <c r="AB269">
        <f>AVERAGEIFS($J$2:J269, $B$2:B269, B269)</f>
        <v>0.44384615384615383</v>
      </c>
      <c r="AC269">
        <f>AVERAGEIFS($D$2:D269, $B$2:B269, B269)</f>
        <v>0.38461538461538464</v>
      </c>
    </row>
    <row r="270" spans="1:29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f>AVERAGEIFS($C$2:C270, $B$2:B270, B270)</f>
        <v>9.4615384615384617</v>
      </c>
      <c r="AA270">
        <f>AVERAGEIFS($I$2:I270, $B$2:B270, B270)</f>
        <v>0.43461538461538457</v>
      </c>
      <c r="AB270">
        <f>AVERAGEIFS($J$2:J270, $B$2:B270, B270)</f>
        <v>0.47923076923076918</v>
      </c>
      <c r="AC270">
        <f>AVERAGEIFS($D$2:D270, $B$2:B270, B270)</f>
        <v>0.46153846153846156</v>
      </c>
    </row>
    <row r="271" spans="1:29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f>AVERAGEIFS($C$2:C271, $B$2:B271, B271)</f>
        <v>27.833333333333332</v>
      </c>
      <c r="AA271">
        <f>AVERAGEIFS($I$2:I271, $B$2:B271, B271)</f>
        <v>0.55833333333333335</v>
      </c>
      <c r="AB271">
        <f>AVERAGEIFS($J$2:J271, $B$2:B271, B271)</f>
        <v>0.49833333333333335</v>
      </c>
      <c r="AC271">
        <f>AVERAGEIFS($D$2:D271, $B$2:B271, B271)</f>
        <v>0.66666666666666663</v>
      </c>
    </row>
    <row r="272" spans="1:29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f>AVERAGEIFS($C$2:C272, $B$2:B272, B272)</f>
        <v>25.666666666666668</v>
      </c>
      <c r="AA272">
        <f>AVERAGEIFS($I$2:I272, $B$2:B272, B272)</f>
        <v>0.50555555555555554</v>
      </c>
      <c r="AB272">
        <f>AVERAGEIFS($J$2:J272, $B$2:B272, B272)</f>
        <v>0.50888888888888895</v>
      </c>
      <c r="AC272">
        <f>AVERAGEIFS($D$2:D272, $B$2:B272, B272)</f>
        <v>0.44444444444444442</v>
      </c>
    </row>
    <row r="273" spans="1:29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f>AVERAGEIFS($C$2:C273, $B$2:B273, B273)</f>
        <v>23.555555555555557</v>
      </c>
      <c r="AA273">
        <f>AVERAGEIFS($I$2:I273, $B$2:B273, B273)</f>
        <v>0.52222222222222225</v>
      </c>
      <c r="AB273">
        <f>AVERAGEIFS($J$2:J273, $B$2:B273, B273)</f>
        <v>0.50222222222222213</v>
      </c>
      <c r="AC273">
        <f>AVERAGEIFS($D$2:D273, $B$2:B273, B273)</f>
        <v>0.66666666666666663</v>
      </c>
    </row>
    <row r="274" spans="1:29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f>AVERAGEIFS($C$2:C274, $B$2:B274, B274)</f>
        <v>16.5</v>
      </c>
      <c r="AA274">
        <f>AVERAGEIFS($I$2:I274, $B$2:B274, B274)</f>
        <v>0.875</v>
      </c>
      <c r="AB274">
        <f>AVERAGEIFS($J$2:J274, $B$2:B274, B274)</f>
        <v>0.69</v>
      </c>
      <c r="AC274">
        <f>AVERAGEIFS($D$2:D274, $B$2:B274, B274)</f>
        <v>1</v>
      </c>
    </row>
    <row r="275" spans="1:29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f>AVERAGEIFS($C$2:C275, $B$2:B275, B275)</f>
        <v>26.25</v>
      </c>
      <c r="AA275">
        <f>AVERAGEIFS($I$2:I275, $B$2:B275, B275)</f>
        <v>0.48125000000000001</v>
      </c>
      <c r="AB275">
        <f>AVERAGEIFS($J$2:J275, $B$2:B275, B275)</f>
        <v>0.48749999999999999</v>
      </c>
      <c r="AC275">
        <f>AVERAGEIFS($D$2:D275, $B$2:B275, B275)</f>
        <v>0.5</v>
      </c>
    </row>
    <row r="276" spans="1:29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0</v>
      </c>
      <c r="Z276">
        <f>AVERAGEIFS($C$2:C276, $B$2:B276, B276)</f>
        <v>22.636363636363637</v>
      </c>
      <c r="AA276">
        <f>AVERAGEIFS($I$2:I276, $B$2:B276, B276)</f>
        <v>0.60909090909090902</v>
      </c>
      <c r="AB276">
        <f>AVERAGEIFS($J$2:J276, $B$2:B276, B276)</f>
        <v>0.53818181818181821</v>
      </c>
      <c r="AC276">
        <f>AVERAGEIFS($D$2:D276, $B$2:B276, B276)</f>
        <v>0.72727272727272729</v>
      </c>
    </row>
    <row r="277" spans="1:29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0</v>
      </c>
      <c r="Z277">
        <f>AVERAGEIFS($C$2:C277, $B$2:B277, B277)</f>
        <v>17.714285714285715</v>
      </c>
      <c r="AA277">
        <f>AVERAGEIFS($I$2:I277, $B$2:B277, B277)</f>
        <v>0.39285714285714285</v>
      </c>
      <c r="AB277">
        <f>AVERAGEIFS($J$2:J277, $B$2:B277, B277)</f>
        <v>0.45428571428571429</v>
      </c>
      <c r="AC277">
        <f>AVERAGEIFS($D$2:D277, $B$2:B277, B277)</f>
        <v>0.42857142857142855</v>
      </c>
    </row>
    <row r="278" spans="1:29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f>AVERAGEIFS($C$2:C278, $B$2:B278, B278)</f>
        <v>27.15</v>
      </c>
      <c r="AA278">
        <f>AVERAGEIFS($I$2:I278, $B$2:B278, B278)</f>
        <v>0.55249999999999999</v>
      </c>
      <c r="AB278">
        <f>AVERAGEIFS($J$2:J278, $B$2:B278, B278)</f>
        <v>0.53449999999999998</v>
      </c>
      <c r="AC278">
        <f>AVERAGEIFS($D$2:D278, $B$2:B278, B278)</f>
        <v>0.65</v>
      </c>
    </row>
    <row r="279" spans="1:29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f>AVERAGEIFS($C$2:C279, $B$2:B279, B279)</f>
        <v>24.941176470588236</v>
      </c>
      <c r="AA279">
        <f>AVERAGEIFS($I$2:I279, $B$2:B279, B279)</f>
        <v>0.54705882352941182</v>
      </c>
      <c r="AB279">
        <f>AVERAGEIFS($J$2:J279, $B$2:B279, B279)</f>
        <v>0.51411764705882346</v>
      </c>
      <c r="AC279">
        <f>AVERAGEIFS($D$2:D279, $B$2:B279, B279)</f>
        <v>0.58823529411764708</v>
      </c>
    </row>
    <row r="280" spans="1:29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f>AVERAGEIFS($C$2:C280, $B$2:B280, B280)</f>
        <v>25.625</v>
      </c>
      <c r="AA280">
        <f>AVERAGEIFS($I$2:I280, $B$2:B280, B280)</f>
        <v>0.41250000000000003</v>
      </c>
      <c r="AB280">
        <f>AVERAGEIFS($J$2:J280, $B$2:B280, B280)</f>
        <v>0.46250000000000002</v>
      </c>
      <c r="AC280">
        <f>AVERAGEIFS($D$2:D280, $B$2:B280, B280)</f>
        <v>0.25</v>
      </c>
    </row>
    <row r="281" spans="1:29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f>AVERAGEIFS($C$2:C281, $B$2:B281, B281)</f>
        <v>24.6</v>
      </c>
      <c r="AA281">
        <f>AVERAGEIFS($I$2:I281, $B$2:B281, B281)</f>
        <v>0.53750000000000009</v>
      </c>
      <c r="AB281">
        <f>AVERAGEIFS($J$2:J281, $B$2:B281, B281)</f>
        <v>0.53599999999999992</v>
      </c>
      <c r="AC281">
        <f>AVERAGEIFS($D$2:D281, $B$2:B281, B281)</f>
        <v>0.45</v>
      </c>
    </row>
    <row r="282" spans="1:29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f>AVERAGEIFS($C$2:C282, $B$2:B282, B282)</f>
        <v>25.777777777777779</v>
      </c>
      <c r="AA282">
        <f>AVERAGEIFS($I$2:I282, $B$2:B282, B282)</f>
        <v>0.40555555555555556</v>
      </c>
      <c r="AB282">
        <f>AVERAGEIFS($J$2:J282, $B$2:B282, B282)</f>
        <v>0.45111111111111107</v>
      </c>
      <c r="AC282">
        <f>AVERAGEIFS($D$2:D282, $B$2:B282, B282)</f>
        <v>0.33333333333333331</v>
      </c>
    </row>
    <row r="283" spans="1:29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f>AVERAGEIFS($C$2:C283, $B$2:B283, B283)</f>
        <v>11.222222222222221</v>
      </c>
      <c r="AA283">
        <f>AVERAGEIFS($I$2:I283, $B$2:B283, B283)</f>
        <v>0.39166666666666672</v>
      </c>
      <c r="AB283">
        <f>AVERAGEIFS($J$2:J283, $B$2:B283, B283)</f>
        <v>0.44500000000000001</v>
      </c>
      <c r="AC283">
        <f>AVERAGEIFS($D$2:D283, $B$2:B283, B283)</f>
        <v>0.33333333333333331</v>
      </c>
    </row>
    <row r="284" spans="1:29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f>AVERAGEIFS($C$2:C284, $B$2:B284, B284)</f>
        <v>12.928571428571429</v>
      </c>
      <c r="AA284">
        <f>AVERAGEIFS($I$2:I284, $B$2:B284, B284)</f>
        <v>0.45357142857142857</v>
      </c>
      <c r="AB284">
        <f>AVERAGEIFS($J$2:J284, $B$2:B284, B284)</f>
        <v>0.4757142857142857</v>
      </c>
      <c r="AC284">
        <f>AVERAGEIFS($D$2:D284, $B$2:B284, B284)</f>
        <v>0.2857142857142857</v>
      </c>
    </row>
    <row r="285" spans="1:29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f>AVERAGEIFS($C$2:C285, $B$2:B285, B285)</f>
        <v>26.8</v>
      </c>
      <c r="AA285">
        <f>AVERAGEIFS($I$2:I285, $B$2:B285, B285)</f>
        <v>0.44000000000000006</v>
      </c>
      <c r="AB285">
        <f>AVERAGEIFS($J$2:J285, $B$2:B285, B285)</f>
        <v>0.46199999999999991</v>
      </c>
      <c r="AC285">
        <f>AVERAGEIFS($D$2:D285, $B$2:B285, B285)</f>
        <v>0.4</v>
      </c>
    </row>
    <row r="286" spans="1:29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f>AVERAGEIFS($C$2:C286, $B$2:B286, B286)</f>
        <v>20</v>
      </c>
      <c r="AA286">
        <f>AVERAGEIFS($I$2:I286, $B$2:B286, B286)</f>
        <v>0.4375</v>
      </c>
      <c r="AB286">
        <f>AVERAGEIFS($J$2:J286, $B$2:B286, B286)</f>
        <v>0.46750000000000003</v>
      </c>
      <c r="AC286">
        <f>AVERAGEIFS($D$2:D286, $B$2:B286, B286)</f>
        <v>0.5</v>
      </c>
    </row>
    <row r="287" spans="1:29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f>AVERAGEIFS($C$2:C287, $B$2:B287, B287)</f>
        <v>22.833333333333332</v>
      </c>
      <c r="AA287">
        <f>AVERAGEIFS($I$2:I287, $B$2:B287, B287)</f>
        <v>0.62083333333333324</v>
      </c>
      <c r="AB287">
        <f>AVERAGEIFS($J$2:J287, $B$2:B287, B287)</f>
        <v>0.54</v>
      </c>
      <c r="AC287">
        <f>AVERAGEIFS($D$2:D287, $B$2:B287, B287)</f>
        <v>0.75</v>
      </c>
    </row>
    <row r="288" spans="1:29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f>AVERAGEIFS($C$2:C288, $B$2:B288, B288)</f>
        <v>13.636363636363637</v>
      </c>
      <c r="AA288">
        <f>AVERAGEIFS($I$2:I288, $B$2:B288, B288)</f>
        <v>0.57727272727272727</v>
      </c>
      <c r="AB288">
        <f>AVERAGEIFS($J$2:J288, $B$2:B288, B288)</f>
        <v>0.53454545454545466</v>
      </c>
      <c r="AC288">
        <f>AVERAGEIFS($D$2:D288, $B$2:B288, B288)</f>
        <v>0.63636363636363635</v>
      </c>
    </row>
    <row r="289" spans="1:29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f>AVERAGEIFS($C$2:C289, $B$2:B289, B289)</f>
        <v>11.76923076923077</v>
      </c>
      <c r="AA289">
        <f>AVERAGEIFS($I$2:I289, $B$2:B289, B289)</f>
        <v>0.69230769230769229</v>
      </c>
      <c r="AB289">
        <f>AVERAGEIFS($J$2:J289, $B$2:B289, B289)</f>
        <v>0.60076923076923072</v>
      </c>
      <c r="AC289">
        <f>AVERAGEIFS($D$2:D289, $B$2:B289, B289)</f>
        <v>0.76923076923076927</v>
      </c>
    </row>
    <row r="290" spans="1:29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f>AVERAGEIFS($C$2:C290, $B$2:B290, B290)</f>
        <v>3.25</v>
      </c>
      <c r="AA290">
        <f>AVERAGEIFS($I$2:I290, $B$2:B290, B290)</f>
        <v>0.5</v>
      </c>
      <c r="AB290">
        <f>AVERAGEIFS($J$2:J290, $B$2:B290, B290)</f>
        <v>0.48499999999999999</v>
      </c>
      <c r="AC290">
        <f>AVERAGEIFS($D$2:D290, $B$2:B290, B290)</f>
        <v>0.5</v>
      </c>
    </row>
    <row r="291" spans="1:29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f>AVERAGEIFS($C$2:C291, $B$2:B291, B291)</f>
        <v>25.428571428571427</v>
      </c>
      <c r="AA291">
        <f>AVERAGEIFS($I$2:I291, $B$2:B291, B291)</f>
        <v>0.52380952380952395</v>
      </c>
      <c r="AB291">
        <f>AVERAGEIFS($J$2:J291, $B$2:B291, B291)</f>
        <v>0.53142857142857136</v>
      </c>
      <c r="AC291">
        <f>AVERAGEIFS($D$2:D291, $B$2:B291, B291)</f>
        <v>0.42857142857142855</v>
      </c>
    </row>
    <row r="292" spans="1:29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f>AVERAGEIFS($C$2:C292, $B$2:B292, B292)</f>
        <v>26.176470588235293</v>
      </c>
      <c r="AA292">
        <f>AVERAGEIFS($I$2:I292, $B$2:B292, B292)</f>
        <v>0.40294117647058825</v>
      </c>
      <c r="AB292">
        <f>AVERAGEIFS($J$2:J292, $B$2:B292, B292)</f>
        <v>0.46117647058823535</v>
      </c>
      <c r="AC292">
        <f>AVERAGEIFS($D$2:D292, $B$2:B292, B292)</f>
        <v>0.23529411764705882</v>
      </c>
    </row>
    <row r="293" spans="1:29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f>AVERAGEIFS($C$2:C293, $B$2:B293, B293)</f>
        <v>12.714285714285714</v>
      </c>
      <c r="AA293">
        <f>AVERAGEIFS($I$2:I293, $B$2:B293, B293)</f>
        <v>0.375</v>
      </c>
      <c r="AB293">
        <f>AVERAGEIFS($J$2:J293, $B$2:B293, B293)</f>
        <v>0.44357142857142856</v>
      </c>
      <c r="AC293">
        <f>AVERAGEIFS($D$2:D293, $B$2:B293, B293)</f>
        <v>0.35714285714285715</v>
      </c>
    </row>
    <row r="294" spans="1:29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f>AVERAGEIFS($C$2:C294, $B$2:B294, B294)</f>
        <v>14.625</v>
      </c>
      <c r="AA294">
        <f>AVERAGEIFS($I$2:I294, $B$2:B294, B294)</f>
        <v>0.67500000000000004</v>
      </c>
      <c r="AB294">
        <f>AVERAGEIFS($J$2:J294, $B$2:B294, B294)</f>
        <v>0.59875</v>
      </c>
      <c r="AC294">
        <f>AVERAGEIFS($D$2:D294, $B$2:B294, B294)</f>
        <v>0.625</v>
      </c>
    </row>
    <row r="295" spans="1:29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f>AVERAGEIFS($C$2:C295, $B$2:B295, B295)</f>
        <v>12.333333333333334</v>
      </c>
      <c r="AA295">
        <f>AVERAGEIFS($I$2:I295, $B$2:B295, B295)</f>
        <v>0.16666666666666666</v>
      </c>
      <c r="AB295">
        <f>AVERAGEIFS($J$2:J295, $B$2:B295, B295)</f>
        <v>0.31</v>
      </c>
      <c r="AC295">
        <f>AVERAGEIFS($D$2:D295, $B$2:B295, B295)</f>
        <v>0</v>
      </c>
    </row>
    <row r="296" spans="1:29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f>AVERAGEIFS($C$2:C296, $B$2:B296, B296)</f>
        <v>9</v>
      </c>
      <c r="AA296">
        <f>AVERAGEIFS($I$2:I296, $B$2:B296, B296)</f>
        <v>0.6</v>
      </c>
      <c r="AB296">
        <f>AVERAGEIFS($J$2:J296, $B$2:B296, B296)</f>
        <v>0.54499999999999993</v>
      </c>
      <c r="AC296">
        <f>AVERAGEIFS($D$2:D296, $B$2:B296, B296)</f>
        <v>0.5</v>
      </c>
    </row>
    <row r="297" spans="1:29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f>AVERAGEIFS($C$2:C297, $B$2:B297, B297)</f>
        <v>27.666666666666668</v>
      </c>
      <c r="AA297">
        <f>AVERAGEIFS($I$2:I297, $B$2:B297, B297)</f>
        <v>0.56190476190476191</v>
      </c>
      <c r="AB297">
        <f>AVERAGEIFS($J$2:J297, $B$2:B297, B297)</f>
        <v>0.53904761904761911</v>
      </c>
      <c r="AC297">
        <f>AVERAGEIFS($D$2:D297, $B$2:B297, B297)</f>
        <v>0.66666666666666663</v>
      </c>
    </row>
    <row r="298" spans="1:29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f>AVERAGEIFS($C$2:C298, $B$2:B298, B298)</f>
        <v>26</v>
      </c>
      <c r="AA298">
        <f>AVERAGEIFS($I$2:I298, $B$2:B298, B298)</f>
        <v>0.53</v>
      </c>
      <c r="AB298">
        <f>AVERAGEIFS($J$2:J298, $B$2:B298, B298)</f>
        <v>0.52100000000000002</v>
      </c>
      <c r="AC298">
        <f>AVERAGEIFS($D$2:D298, $B$2:B298, B298)</f>
        <v>0.5</v>
      </c>
    </row>
    <row r="299" spans="1:29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f>AVERAGEIFS($C$2:C299, $B$2:B299, B299)</f>
        <v>9.5714285714285712</v>
      </c>
      <c r="AA299">
        <f>AVERAGEIFS($I$2:I299, $B$2:B299, B299)</f>
        <v>0.41428571428571426</v>
      </c>
      <c r="AB299">
        <f>AVERAGEIFS($J$2:J299, $B$2:B299, B299)</f>
        <v>0.45428571428571424</v>
      </c>
      <c r="AC299">
        <f>AVERAGEIFS($D$2:D299, $B$2:B299, B299)</f>
        <v>0.2857142857142857</v>
      </c>
    </row>
    <row r="300" spans="1:29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f>AVERAGEIFS($C$2:C300, $B$2:B300, B300)</f>
        <v>13.066666666666666</v>
      </c>
      <c r="AA300">
        <f>AVERAGEIFS($I$2:I300, $B$2:B300, B300)</f>
        <v>0.47333333333333333</v>
      </c>
      <c r="AB300">
        <f>AVERAGEIFS($J$2:J300, $B$2:B300, B300)</f>
        <v>0.48599999999999999</v>
      </c>
      <c r="AC300">
        <f>AVERAGEIFS($D$2:D300, $B$2:B300, B300)</f>
        <v>0.33333333333333331</v>
      </c>
    </row>
    <row r="301" spans="1:29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f>AVERAGEIFS($C$2:C301, $B$2:B301, B301)</f>
        <v>9.8000000000000007</v>
      </c>
      <c r="AA301">
        <f>AVERAGEIFS($I$2:I301, $B$2:B301, B301)</f>
        <v>0.495</v>
      </c>
      <c r="AB301">
        <f>AVERAGEIFS($J$2:J301, $B$2:B301, B301)</f>
        <v>0.52</v>
      </c>
      <c r="AC301">
        <f>AVERAGEIFS($D$2:D301, $B$2:B301, B301)</f>
        <v>0.6</v>
      </c>
    </row>
    <row r="302" spans="1:29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f>AVERAGEIFS($C$2:C302, $B$2:B302, B302)</f>
        <v>9.4285714285714288</v>
      </c>
      <c r="AA302">
        <f>AVERAGEIFS($I$2:I302, $B$2:B302, B302)</f>
        <v>0.45714285714285713</v>
      </c>
      <c r="AB302">
        <f>AVERAGEIFS($J$2:J302, $B$2:B302, B302)</f>
        <v>0.48999999999999994</v>
      </c>
      <c r="AC302">
        <f>AVERAGEIFS($D$2:D302, $B$2:B302, B302)</f>
        <v>0.5</v>
      </c>
    </row>
    <row r="303" spans="1:29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f>AVERAGEIFS($C$2:C303, $B$2:B303, B303)</f>
        <v>25.388888888888889</v>
      </c>
      <c r="AA303">
        <f>AVERAGEIFS($I$2:I303, $B$2:B303, B303)</f>
        <v>0.53055555555555556</v>
      </c>
      <c r="AB303">
        <f>AVERAGEIFS($J$2:J303, $B$2:B303, B303)</f>
        <v>0.5066666666666666</v>
      </c>
      <c r="AC303">
        <f>AVERAGEIFS($D$2:D303, $B$2:B303, B303)</f>
        <v>0.55555555555555558</v>
      </c>
    </row>
    <row r="304" spans="1:29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f>AVERAGEIFS($C$2:C304, $B$2:B304, B304)</f>
        <v>23</v>
      </c>
      <c r="AA304">
        <f>AVERAGEIFS($I$2:I304, $B$2:B304, B304)</f>
        <v>0.495</v>
      </c>
      <c r="AB304">
        <f>AVERAGEIFS($J$2:J304, $B$2:B304, B304)</f>
        <v>0.48999999999999994</v>
      </c>
      <c r="AC304">
        <f>AVERAGEIFS($D$2:D304, $B$2:B304, B304)</f>
        <v>0.6</v>
      </c>
    </row>
    <row r="305" spans="1:29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f>AVERAGEIFS($C$2:C305, $B$2:B305, B305)</f>
        <v>13.416666666666666</v>
      </c>
      <c r="AA305">
        <f>AVERAGEIFS($I$2:I305, $B$2:B305, B305)</f>
        <v>0.45416666666666661</v>
      </c>
      <c r="AB305">
        <f>AVERAGEIFS($J$2:J305, $B$2:B305, B305)</f>
        <v>0.47666666666666674</v>
      </c>
      <c r="AC305">
        <f>AVERAGEIFS($D$2:D305, $B$2:B305, B305)</f>
        <v>0.5</v>
      </c>
    </row>
    <row r="306" spans="1:29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f>AVERAGEIFS($C$2:C306, $B$2:B306, B306)</f>
        <v>17.272727272727273</v>
      </c>
      <c r="AA306">
        <f>AVERAGEIFS($I$2:I306, $B$2:B306, B306)</f>
        <v>0.4681818181818182</v>
      </c>
      <c r="AB306">
        <f>AVERAGEIFS($J$2:J306, $B$2:B306, B306)</f>
        <v>0.469090909090909</v>
      </c>
      <c r="AC306">
        <f>AVERAGEIFS($D$2:D306, $B$2:B306, B306)</f>
        <v>0.36363636363636365</v>
      </c>
    </row>
    <row r="307" spans="1:29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f>AVERAGEIFS($C$2:C307, $B$2:B307, B307)</f>
        <v>11.210526315789474</v>
      </c>
      <c r="AA307">
        <f>AVERAGEIFS($I$2:I307, $B$2:B307, B307)</f>
        <v>0.3842105263157895</v>
      </c>
      <c r="AB307">
        <f>AVERAGEIFS($J$2:J307, $B$2:B307, B307)</f>
        <v>0.44157894736842107</v>
      </c>
      <c r="AC307">
        <f>AVERAGEIFS($D$2:D307, $B$2:B307, B307)</f>
        <v>0.31578947368421051</v>
      </c>
    </row>
    <row r="308" spans="1:29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f>AVERAGEIFS($C$2:C308, $B$2:B308, B308)</f>
        <v>10.833333333333334</v>
      </c>
      <c r="AA308">
        <f>AVERAGEIFS($I$2:I308, $B$2:B308, B308)</f>
        <v>0.55833333333333335</v>
      </c>
      <c r="AB308">
        <f>AVERAGEIFS($J$2:J308, $B$2:B308, B308)</f>
        <v>0.50166666666666659</v>
      </c>
      <c r="AC308">
        <f>AVERAGEIFS($D$2:D308, $B$2:B308, B308)</f>
        <v>0.66666666666666663</v>
      </c>
    </row>
    <row r="309" spans="1:29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1</v>
      </c>
      <c r="Z309">
        <f>AVERAGEIFS($C$2:C309, $B$2:B309, B309)</f>
        <v>28.363636363636363</v>
      </c>
      <c r="AA309">
        <f>AVERAGEIFS($I$2:I309, $B$2:B309, B309)</f>
        <v>0.57045454545454544</v>
      </c>
      <c r="AB309">
        <f>AVERAGEIFS($J$2:J309, $B$2:B309, B309)</f>
        <v>0.5459090909090909</v>
      </c>
      <c r="AC309">
        <f>AVERAGEIFS($D$2:D309, $B$2:B309, B309)</f>
        <v>0.68181818181818177</v>
      </c>
    </row>
    <row r="310" spans="1:29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1</v>
      </c>
      <c r="Z310">
        <f>AVERAGEIFS($C$2:C310, $B$2:B310, B310)</f>
        <v>27</v>
      </c>
      <c r="AA310">
        <f>AVERAGEIFS($I$2:I310, $B$2:B310, B310)</f>
        <v>0.54999999999999993</v>
      </c>
      <c r="AB310">
        <f>AVERAGEIFS($J$2:J310, $B$2:B310, B310)</f>
        <v>0.53636363636363638</v>
      </c>
      <c r="AC310">
        <f>AVERAGEIFS($D$2:D310, $B$2:B310, B310)</f>
        <v>0.54545454545454541</v>
      </c>
    </row>
    <row r="311" spans="1:29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1</v>
      </c>
      <c r="Z311">
        <f>AVERAGEIFS($C$2:C311, $B$2:B311, B311)</f>
        <v>13.3125</v>
      </c>
      <c r="AA311">
        <f>AVERAGEIFS($I$2:I311, $B$2:B311, B311)</f>
        <v>0.49062499999999998</v>
      </c>
      <c r="AB311">
        <f>AVERAGEIFS($J$2:J311, $B$2:B311, B311)</f>
        <v>0.49875000000000003</v>
      </c>
      <c r="AC311">
        <f>AVERAGEIFS($D$2:D311, $B$2:B311, B311)</f>
        <v>0.375</v>
      </c>
    </row>
    <row r="312" spans="1:29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1</v>
      </c>
      <c r="Z312">
        <f>AVERAGEIFS($C$2:C312, $B$2:B312, B312)</f>
        <v>10.454545454545455</v>
      </c>
      <c r="AA312">
        <f>AVERAGEIFS($I$2:I312, $B$2:B312, B312)</f>
        <v>0.51818181818181819</v>
      </c>
      <c r="AB312">
        <f>AVERAGEIFS($J$2:J312, $B$2:B312, B312)</f>
        <v>0.53545454545454552</v>
      </c>
      <c r="AC312">
        <f>AVERAGEIFS($D$2:D312, $B$2:B312, B312)</f>
        <v>0.63636363636363635</v>
      </c>
    </row>
    <row r="313" spans="1:29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1</v>
      </c>
      <c r="Z313">
        <f>AVERAGEIFS($C$2:C313, $B$2:B313, B313)</f>
        <v>9.7333333333333325</v>
      </c>
      <c r="AA313">
        <f>AVERAGEIFS($I$2:I313, $B$2:B313, B313)</f>
        <v>0.47666666666666663</v>
      </c>
      <c r="AB313">
        <f>AVERAGEIFS($J$2:J313, $B$2:B313, B313)</f>
        <v>0.5033333333333333</v>
      </c>
      <c r="AC313">
        <f>AVERAGEIFS($D$2:D313, $B$2:B313, B313)</f>
        <v>0.53333333333333333</v>
      </c>
    </row>
    <row r="314" spans="1:29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1</v>
      </c>
      <c r="Z314">
        <f>AVERAGEIFS($C$2:C314, $B$2:B314, B314)</f>
        <v>10</v>
      </c>
      <c r="AA314">
        <f>AVERAGEIFS($I$2:I314, $B$2:B314, B314)</f>
        <v>0.45624999999999999</v>
      </c>
      <c r="AB314">
        <f>AVERAGEIFS($J$2:J314, $B$2:B314, B314)</f>
        <v>0.48374999999999996</v>
      </c>
      <c r="AC314">
        <f>AVERAGEIFS($D$2:D314, $B$2:B314, B314)</f>
        <v>0.375</v>
      </c>
    </row>
    <row r="315" spans="1:29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f>AVERAGEIFS($C$2:C315, $B$2:B315, B315)</f>
        <v>23.53846153846154</v>
      </c>
      <c r="AA315">
        <f>AVERAGEIFS($I$2:I315, $B$2:B315, B315)</f>
        <v>0.5923076923076922</v>
      </c>
      <c r="AB315">
        <f>AVERAGEIFS($J$2:J315, $B$2:B315, B315)</f>
        <v>0.52230769230769236</v>
      </c>
      <c r="AC315">
        <f>AVERAGEIFS($D$2:D315, $B$2:B315, B315)</f>
        <v>0.69230769230769229</v>
      </c>
    </row>
    <row r="316" spans="1:29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f>AVERAGEIFS($C$2:C316, $B$2:B316, B316)</f>
        <v>26.636363636363637</v>
      </c>
      <c r="AA316">
        <f>AVERAGEIFS($I$2:I316, $B$2:B316, B316)</f>
        <v>0.42272727272727278</v>
      </c>
      <c r="AB316">
        <f>AVERAGEIFS($J$2:J316, $B$2:B316, B316)</f>
        <v>0.44818181818181807</v>
      </c>
      <c r="AC316">
        <f>AVERAGEIFS($D$2:D316, $B$2:B316, B316)</f>
        <v>0.36363636363636365</v>
      </c>
    </row>
    <row r="317" spans="1:29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f>AVERAGEIFS($C$2:C317, $B$2:B317, B317)</f>
        <v>12.642857142857142</v>
      </c>
      <c r="AA317">
        <f>AVERAGEIFS($I$2:I317, $B$2:B317, B317)</f>
        <v>0.6607142857142857</v>
      </c>
      <c r="AB317">
        <f>AVERAGEIFS($J$2:J317, $B$2:B317, B317)</f>
        <v>0.57999999999999996</v>
      </c>
      <c r="AC317">
        <f>AVERAGEIFS($D$2:D317, $B$2:B317, B317)</f>
        <v>0.7142857142857143</v>
      </c>
    </row>
    <row r="318" spans="1:29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f>AVERAGEIFS($C$2:C318, $B$2:B318, B318)</f>
        <v>20.333333333333332</v>
      </c>
      <c r="AA318">
        <f>AVERAGEIFS($I$2:I318, $B$2:B318, B318)</f>
        <v>0.41666666666666669</v>
      </c>
      <c r="AB318">
        <f>AVERAGEIFS($J$2:J318, $B$2:B318, B318)</f>
        <v>0.44999999999999996</v>
      </c>
      <c r="AC318">
        <f>AVERAGEIFS($D$2:D318, $B$2:B318, B318)</f>
        <v>0.44444444444444442</v>
      </c>
    </row>
    <row r="319" spans="1:29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f>AVERAGEIFS($C$2:C319, $B$2:B319, B319)</f>
        <v>13.916666666666666</v>
      </c>
      <c r="AA319">
        <f>AVERAGEIFS($I$2:I319, $B$2:B319, B319)</f>
        <v>0.55000000000000004</v>
      </c>
      <c r="AB319">
        <f>AVERAGEIFS($J$2:J319, $B$2:B319, B319)</f>
        <v>0.51583333333333337</v>
      </c>
      <c r="AC319">
        <f>AVERAGEIFS($D$2:D319, $B$2:B319, B319)</f>
        <v>0.58333333333333337</v>
      </c>
    </row>
    <row r="320" spans="1:29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f>AVERAGEIFS($C$2:C320, $B$2:B320, B320)</f>
        <v>3.4</v>
      </c>
      <c r="AA320">
        <f>AVERAGEIFS($I$2:I320, $B$2:B320, B320)</f>
        <v>0.45</v>
      </c>
      <c r="AB320">
        <f>AVERAGEIFS($J$2:J320, $B$2:B320, B320)</f>
        <v>0.45</v>
      </c>
      <c r="AC320">
        <f>AVERAGEIFS($D$2:D320, $B$2:B320, B320)</f>
        <v>0.4</v>
      </c>
    </row>
    <row r="321" spans="1:29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f>AVERAGEIFS($C$2:C321, $B$2:B321, B321)</f>
        <v>25.227272727272727</v>
      </c>
      <c r="AA321">
        <f>AVERAGEIFS($I$2:I321, $B$2:B321, B321)</f>
        <v>0.53409090909090917</v>
      </c>
      <c r="AB321">
        <f>AVERAGEIFS($J$2:J321, $B$2:B321, B321)</f>
        <v>0.53772727272727261</v>
      </c>
      <c r="AC321">
        <f>AVERAGEIFS($D$2:D321, $B$2:B321, B321)</f>
        <v>0.45454545454545453</v>
      </c>
    </row>
    <row r="322" spans="1:29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AVERAGEIFS($C$2:C322, $B$2:B322, B322)</f>
        <v>27.826086956521738</v>
      </c>
      <c r="AA322">
        <f>AVERAGEIFS($I$2:I322, $B$2:B322, B322)</f>
        <v>0.57826086956521738</v>
      </c>
      <c r="AB322">
        <f>AVERAGEIFS($J$2:J322, $B$2:B322, B322)</f>
        <v>0.55130434782608695</v>
      </c>
      <c r="AC322">
        <f>AVERAGEIFS($D$2:D322, $B$2:B322, B322)</f>
        <v>0.69565217391304346</v>
      </c>
    </row>
    <row r="323" spans="1:29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f>AVERAGEIFS($C$2:C323, $B$2:B323, B323)</f>
        <v>12.533333333333333</v>
      </c>
      <c r="AA323">
        <f>AVERAGEIFS($I$2:I323, $B$2:B323, B323)</f>
        <v>0.66666666666666663</v>
      </c>
      <c r="AB323">
        <f>AVERAGEIFS($J$2:J323, $B$2:B323, B323)</f>
        <v>0.58599999999999997</v>
      </c>
      <c r="AC323">
        <f>AVERAGEIFS($D$2:D323, $B$2:B323, B323)</f>
        <v>0.73333333333333328</v>
      </c>
    </row>
    <row r="324" spans="1:29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f>AVERAGEIFS($C$2:C324, $B$2:B324, B324)</f>
        <v>9.8888888888888893</v>
      </c>
      <c r="AA324">
        <f>AVERAGEIFS($I$2:I324, $B$2:B324, B324)</f>
        <v>0.48888888888888893</v>
      </c>
      <c r="AB324">
        <f>AVERAGEIFS($J$2:J324, $B$2:B324, B324)</f>
        <v>0.50444444444444447</v>
      </c>
      <c r="AC324">
        <f>AVERAGEIFS($D$2:D324, $B$2:B324, B324)</f>
        <v>0.44444444444444442</v>
      </c>
    </row>
    <row r="325" spans="1:29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f>AVERAGEIFS($C$2:C325, $B$2:B325, B325)</f>
        <v>5.5</v>
      </c>
      <c r="AA325">
        <f>AVERAGEIFS($I$2:I325, $B$2:B325, B325)</f>
        <v>0.875</v>
      </c>
      <c r="AB325">
        <f>AVERAGEIFS($J$2:J325, $B$2:B325, B325)</f>
        <v>0.71</v>
      </c>
      <c r="AC325">
        <f>AVERAGEIFS($D$2:D325, $B$2:B325, B325)</f>
        <v>1</v>
      </c>
    </row>
    <row r="326" spans="1:29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f>AVERAGEIFS($C$2:C326, $B$2:B326, B326)</f>
        <v>25.157894736842106</v>
      </c>
      <c r="AA326">
        <f>AVERAGEIFS($I$2:I326, $B$2:B326, B326)</f>
        <v>0.51578947368421058</v>
      </c>
      <c r="AB326">
        <f>AVERAGEIFS($J$2:J326, $B$2:B326, B326)</f>
        <v>0.49736842105263152</v>
      </c>
      <c r="AC326">
        <f>AVERAGEIFS($D$2:D326, $B$2:B326, B326)</f>
        <v>0.52631578947368418</v>
      </c>
    </row>
    <row r="327" spans="1:29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f>AVERAGEIFS($C$2:C327, $B$2:B327, B327)</f>
        <v>11.5</v>
      </c>
      <c r="AA327">
        <f>AVERAGEIFS($I$2:I327, $B$2:B327, B327)</f>
        <v>0.37750000000000006</v>
      </c>
      <c r="AB327">
        <f>AVERAGEIFS($J$2:J327, $B$2:B327, B327)</f>
        <v>0.43600000000000005</v>
      </c>
      <c r="AC327">
        <f>AVERAGEIFS($D$2:D327, $B$2:B327, B327)</f>
        <v>0.3</v>
      </c>
    </row>
    <row r="328" spans="1:29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f>AVERAGEIFS($C$2:C328, $B$2:B328, B328)</f>
        <v>24</v>
      </c>
      <c r="AA328">
        <f>AVERAGEIFS($I$2:I328, $B$2:B328, B328)</f>
        <v>0.45555555555555549</v>
      </c>
      <c r="AB328">
        <f>AVERAGEIFS($J$2:J328, $B$2:B328, B328)</f>
        <v>0.47</v>
      </c>
      <c r="AC328">
        <f>AVERAGEIFS($D$2:D328, $B$2:B328, B328)</f>
        <v>0.44444444444444442</v>
      </c>
    </row>
    <row r="329" spans="1:29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f>AVERAGEIFS($C$2:C329, $B$2:B329, B329)</f>
        <v>9.5</v>
      </c>
      <c r="AA329">
        <f>AVERAGEIFS($I$2:I329, $B$2:B329, B329)</f>
        <v>0.46249999999999997</v>
      </c>
      <c r="AB329">
        <f>AVERAGEIFS($J$2:J329, $B$2:B329, B329)</f>
        <v>0.49249999999999994</v>
      </c>
      <c r="AC329">
        <f>AVERAGEIFS($D$2:D329, $B$2:B329, B329)</f>
        <v>0.5</v>
      </c>
    </row>
    <row r="330" spans="1:29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f>AVERAGEIFS($C$2:C330, $B$2:B330, B330)</f>
        <v>9.8571428571428577</v>
      </c>
      <c r="AA330">
        <f>AVERAGEIFS($I$2:I330, $B$2:B330, B330)</f>
        <v>0.51428571428571435</v>
      </c>
      <c r="AB330">
        <f>AVERAGEIFS($J$2:J330, $B$2:B330, B330)</f>
        <v>0.47714285714285715</v>
      </c>
      <c r="AC330">
        <f>AVERAGEIFS($D$2:D330, $B$2:B330, B330)</f>
        <v>0.5714285714285714</v>
      </c>
    </row>
    <row r="331" spans="1:29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1</v>
      </c>
      <c r="Y331">
        <v>0</v>
      </c>
      <c r="Z331">
        <f>AVERAGEIFS($C$2:C331, $B$2:B331, B331)</f>
        <v>7.5</v>
      </c>
      <c r="AA331">
        <f>AVERAGEIFS($I$2:I331, $B$2:B331, B331)</f>
        <v>0.2</v>
      </c>
      <c r="AB331">
        <f>AVERAGEIFS($J$2:J331, $B$2:B331, B331)</f>
        <v>0.27500000000000002</v>
      </c>
      <c r="AC331">
        <f>AVERAGEIFS($D$2:D331, $B$2:B331, B331)</f>
        <v>0</v>
      </c>
    </row>
    <row r="332" spans="1:29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1</v>
      </c>
      <c r="V332">
        <v>0</v>
      </c>
      <c r="W332">
        <v>0</v>
      </c>
      <c r="X332">
        <v>1</v>
      </c>
      <c r="Y332">
        <v>0</v>
      </c>
      <c r="Z332">
        <f>AVERAGEIFS($C$2:C332, $B$2:B332, B332)</f>
        <v>15.444444444444445</v>
      </c>
      <c r="AA332">
        <f>AVERAGEIFS($I$2:I332, $B$2:B332, B332)</f>
        <v>0.64444444444444449</v>
      </c>
      <c r="AB332">
        <f>AVERAGEIFS($J$2:J332, $B$2:B332, B332)</f>
        <v>0.57333333333333336</v>
      </c>
      <c r="AC332">
        <f>AVERAGEIFS($D$2:D332, $B$2:B332, B332)</f>
        <v>0.55555555555555558</v>
      </c>
    </row>
    <row r="333" spans="1:29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1</v>
      </c>
      <c r="V333">
        <v>0</v>
      </c>
      <c r="W333">
        <v>0</v>
      </c>
      <c r="X333">
        <v>1</v>
      </c>
      <c r="Y333">
        <v>0</v>
      </c>
      <c r="Z333">
        <f>AVERAGEIFS($C$2:C333, $B$2:B333, B333)</f>
        <v>13.384615384615385</v>
      </c>
      <c r="AA333">
        <f>AVERAGEIFS($I$2:I333, $B$2:B333, B333)</f>
        <v>0.44999999999999996</v>
      </c>
      <c r="AB333">
        <f>AVERAGEIFS($J$2:J333, $B$2:B333, B333)</f>
        <v>0.46846153846153854</v>
      </c>
      <c r="AC333">
        <f>AVERAGEIFS($D$2:D333, $B$2:B333, B333)</f>
        <v>0.46153846153846156</v>
      </c>
    </row>
    <row r="334" spans="1:29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1</v>
      </c>
      <c r="V334">
        <v>0</v>
      </c>
      <c r="W334">
        <v>0</v>
      </c>
      <c r="X334">
        <v>1</v>
      </c>
      <c r="Y334">
        <v>0</v>
      </c>
      <c r="Z334">
        <f>AVERAGEIFS($C$2:C334, $B$2:B334, B334)</f>
        <v>12</v>
      </c>
      <c r="AA334">
        <f>AVERAGEIFS($I$2:I334, $B$2:B334, B334)</f>
        <v>0.4</v>
      </c>
      <c r="AB334">
        <f>AVERAGEIFS($J$2:J334, $B$2:B334, B334)</f>
        <v>0.37</v>
      </c>
      <c r="AC334">
        <f>AVERAGEIFS($D$2:D334, $B$2:B334, B334)</f>
        <v>0</v>
      </c>
    </row>
    <row r="335" spans="1:29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1</v>
      </c>
      <c r="V335">
        <v>0</v>
      </c>
      <c r="W335">
        <v>0</v>
      </c>
      <c r="X335">
        <v>1</v>
      </c>
      <c r="Y335">
        <v>0</v>
      </c>
      <c r="Z335">
        <f>AVERAGEIFS($C$2:C335, $B$2:B335, B335)</f>
        <v>13.846153846153847</v>
      </c>
      <c r="AA335">
        <f>AVERAGEIFS($I$2:I335, $B$2:B335, B335)</f>
        <v>0.53846153846153855</v>
      </c>
      <c r="AB335">
        <f>AVERAGEIFS($J$2:J335, $B$2:B335, B335)</f>
        <v>0.50461538461538469</v>
      </c>
      <c r="AC335">
        <f>AVERAGEIFS($D$2:D335, $B$2:B335, B335)</f>
        <v>0.53846153846153844</v>
      </c>
    </row>
    <row r="336" spans="1:29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1</v>
      </c>
      <c r="V336">
        <v>0</v>
      </c>
      <c r="W336">
        <v>0</v>
      </c>
      <c r="X336">
        <v>1</v>
      </c>
      <c r="Y336">
        <v>0</v>
      </c>
      <c r="Z336">
        <f>AVERAGEIFS($C$2:C336, $B$2:B336, B336)</f>
        <v>27.958333333333332</v>
      </c>
      <c r="AA336">
        <f>AVERAGEIFS($I$2:I336, $B$2:B336, B336)</f>
        <v>0.5708333333333333</v>
      </c>
      <c r="AB336">
        <f>AVERAGEIFS($J$2:J336, $B$2:B336, B336)</f>
        <v>0.54374999999999996</v>
      </c>
      <c r="AC336">
        <f>AVERAGEIFS($D$2:D336, $B$2:B336, B336)</f>
        <v>0.66666666666666663</v>
      </c>
    </row>
    <row r="337" spans="1:29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1</v>
      </c>
      <c r="V337">
        <v>0</v>
      </c>
      <c r="W337">
        <v>0</v>
      </c>
      <c r="X337">
        <v>1</v>
      </c>
      <c r="Y337">
        <v>0</v>
      </c>
      <c r="Z337">
        <f>AVERAGEIFS($C$2:C337, $B$2:B337, B337)</f>
        <v>25.391304347826086</v>
      </c>
      <c r="AA337">
        <f>AVERAGEIFS($I$2:I337, $B$2:B337, B337)</f>
        <v>0.52826086956521745</v>
      </c>
      <c r="AB337">
        <f>AVERAGEIFS($J$2:J337, $B$2:B337, B337)</f>
        <v>0.53043478260869559</v>
      </c>
      <c r="AC337">
        <f>AVERAGEIFS($D$2:D337, $B$2:B337, B337)</f>
        <v>0.43478260869565216</v>
      </c>
    </row>
    <row r="338" spans="1:29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1</v>
      </c>
      <c r="V338">
        <v>0</v>
      </c>
      <c r="W338">
        <v>0</v>
      </c>
      <c r="X338">
        <v>1</v>
      </c>
      <c r="Y338">
        <v>0</v>
      </c>
      <c r="Z338">
        <f>AVERAGEIFS($C$2:C338, $B$2:B338, B338)</f>
        <v>12.5</v>
      </c>
      <c r="AA338">
        <f>AVERAGEIFS($I$2:I338, $B$2:B338, B338)</f>
        <v>0.65</v>
      </c>
      <c r="AB338">
        <f>AVERAGEIFS($J$2:J338, $B$2:B338, B338)</f>
        <v>0.5724999999999999</v>
      </c>
      <c r="AC338">
        <f>AVERAGEIFS($D$2:D338, $B$2:B338, B338)</f>
        <v>0.6875</v>
      </c>
    </row>
    <row r="339" spans="1:29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f>AVERAGEIFS($C$2:C339, $B$2:B339, B339)</f>
        <v>18.333333333333332</v>
      </c>
      <c r="AA339">
        <f>AVERAGEIFS($I$2:I339, $B$2:B339, B339)</f>
        <v>0.47916666666666669</v>
      </c>
      <c r="AB339">
        <f>AVERAGEIFS($J$2:J339, $B$2:B339, B339)</f>
        <v>0.48249999999999993</v>
      </c>
      <c r="AC339">
        <f>AVERAGEIFS($D$2:D339, $B$2:B339, B339)</f>
        <v>0.41666666666666669</v>
      </c>
    </row>
    <row r="340" spans="1:29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f>AVERAGEIFS($C$2:C340, $B$2:B340, B340)</f>
        <v>11.761904761904763</v>
      </c>
      <c r="AA340">
        <f>AVERAGEIFS($I$2:I340, $B$2:B340, B340)</f>
        <v>0.3880952380952381</v>
      </c>
      <c r="AB340">
        <f>AVERAGEIFS($J$2:J340, $B$2:B340, B340)</f>
        <v>0.44523809523809532</v>
      </c>
      <c r="AC340">
        <f>AVERAGEIFS($D$2:D340, $B$2:B340, B340)</f>
        <v>0.33333333333333331</v>
      </c>
    </row>
    <row r="341" spans="1:29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f>AVERAGEIFS($C$2:C341, $B$2:B341, B341)</f>
        <v>10.1</v>
      </c>
      <c r="AA341">
        <f>AVERAGEIFS($I$2:I341, $B$2:B341, B341)</f>
        <v>0.5</v>
      </c>
      <c r="AB341">
        <f>AVERAGEIFS($J$2:J341, $B$2:B341, B341)</f>
        <v>0.51700000000000002</v>
      </c>
      <c r="AC341">
        <f>AVERAGEIFS($D$2:D341, $B$2:B341, B341)</f>
        <v>0.5</v>
      </c>
    </row>
    <row r="342" spans="1:29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f>AVERAGEIFS($C$2:C342, $B$2:B342, B342)</f>
        <v>13.470588235294118</v>
      </c>
      <c r="AA342">
        <f>AVERAGEIFS($I$2:I342, $B$2:B342, B342)</f>
        <v>0.49705882352941172</v>
      </c>
      <c r="AB342">
        <f>AVERAGEIFS($J$2:J342, $B$2:B342, B342)</f>
        <v>0.50647058823529423</v>
      </c>
      <c r="AC342">
        <f>AVERAGEIFS($D$2:D342, $B$2:B342, B342)</f>
        <v>0.41176470588235292</v>
      </c>
    </row>
    <row r="343" spans="1:29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0</v>
      </c>
      <c r="Y343">
        <v>1</v>
      </c>
      <c r="Z343">
        <f>AVERAGEIFS($C$2:C343, $B$2:B343, B343)</f>
        <v>25.833333333333332</v>
      </c>
      <c r="AA343">
        <f>AVERAGEIFS($I$2:I343, $B$2:B343, B343)</f>
        <v>0.41388888888888892</v>
      </c>
      <c r="AB343">
        <f>AVERAGEIFS($J$2:J343, $B$2:B343, B343)</f>
        <v>0.47055555555555562</v>
      </c>
      <c r="AC343">
        <f>AVERAGEIFS($D$2:D343, $B$2:B343, B343)</f>
        <v>0.27777777777777779</v>
      </c>
    </row>
    <row r="344" spans="1:29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0</v>
      </c>
      <c r="Y344">
        <v>1</v>
      </c>
      <c r="Z344">
        <f>AVERAGEIFS($C$2:C344, $B$2:B344, B344)</f>
        <v>26.75</v>
      </c>
      <c r="AA344">
        <f>AVERAGEIFS($I$2:I344, $B$2:B344, B344)</f>
        <v>0.55416666666666659</v>
      </c>
      <c r="AB344">
        <f>AVERAGEIFS($J$2:J344, $B$2:B344, B344)</f>
        <v>0.54416666666666669</v>
      </c>
      <c r="AC344">
        <f>AVERAGEIFS($D$2:D344, $B$2:B344, B344)</f>
        <v>0.58333333333333337</v>
      </c>
    </row>
    <row r="345" spans="1:29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0</v>
      </c>
      <c r="Y345">
        <v>1</v>
      </c>
      <c r="Z345">
        <f>AVERAGEIFS($C$2:C345, $B$2:B345, B345)</f>
        <v>26</v>
      </c>
      <c r="AA345">
        <f>AVERAGEIFS($I$2:I345, $B$2:B345, B345)</f>
        <v>0.52</v>
      </c>
      <c r="AB345">
        <f>AVERAGEIFS($J$2:J345, $B$2:B345, B345)</f>
        <v>0.504</v>
      </c>
      <c r="AC345">
        <f>AVERAGEIFS($D$2:D345, $B$2:B345, B345)</f>
        <v>0.55000000000000004</v>
      </c>
    </row>
    <row r="346" spans="1:29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1</v>
      </c>
      <c r="X346">
        <v>0</v>
      </c>
      <c r="Y346">
        <v>1</v>
      </c>
      <c r="Z346">
        <f>AVERAGEIFS($C$2:C346, $B$2:B346, B346)</f>
        <v>10.375</v>
      </c>
      <c r="AA346">
        <f>AVERAGEIFS($I$2:I346, $B$2:B346, B346)</f>
        <v>0.52500000000000002</v>
      </c>
      <c r="AB346">
        <f>AVERAGEIFS($J$2:J346, $B$2:B346, B346)</f>
        <v>0.49624999999999997</v>
      </c>
      <c r="AC346">
        <f>AVERAGEIFS($D$2:D346, $B$2:B346, B346)</f>
        <v>0.625</v>
      </c>
    </row>
    <row r="347" spans="1:29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1</v>
      </c>
      <c r="X347">
        <v>0</v>
      </c>
      <c r="Y347">
        <v>0</v>
      </c>
      <c r="Z347">
        <f>AVERAGEIFS($C$2:C347, $B$2:B347, B347)</f>
        <v>28.36</v>
      </c>
      <c r="AA347">
        <f>AVERAGEIFS($I$2:I347, $B$2:B347, B347)</f>
        <v>0.57199999999999995</v>
      </c>
      <c r="AB347">
        <f>AVERAGEIFS($J$2:J347, $B$2:B347, B347)</f>
        <v>0.54479999999999995</v>
      </c>
      <c r="AC347">
        <f>AVERAGEIFS($D$2:D347, $B$2:B347, B347)</f>
        <v>0.68</v>
      </c>
    </row>
    <row r="348" spans="1:29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1</v>
      </c>
      <c r="X348">
        <v>0</v>
      </c>
      <c r="Y348">
        <v>0</v>
      </c>
      <c r="Z348">
        <f>AVERAGEIFS($C$2:C348, $B$2:B348, B348)</f>
        <v>13.666666666666666</v>
      </c>
      <c r="AA348">
        <f>AVERAGEIFS($I$2:I348, $B$2:B348, B348)</f>
        <v>0.38999999999999996</v>
      </c>
      <c r="AB348">
        <f>AVERAGEIFS($J$2:J348, $B$2:B348, B348)</f>
        <v>0.45200000000000001</v>
      </c>
      <c r="AC348">
        <f>AVERAGEIFS($D$2:D348, $B$2:B348, B348)</f>
        <v>0.4</v>
      </c>
    </row>
    <row r="349" spans="1:29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1</v>
      </c>
      <c r="X349">
        <v>0</v>
      </c>
      <c r="Y349">
        <v>0</v>
      </c>
      <c r="Z349">
        <f>AVERAGEIFS($C$2:C349, $B$2:B349, B349)</f>
        <v>25.952380952380953</v>
      </c>
      <c r="AA349">
        <f>AVERAGEIFS($I$2:I349, $B$2:B349, B349)</f>
        <v>0.52380952380952384</v>
      </c>
      <c r="AB349">
        <f>AVERAGEIFS($J$2:J349, $B$2:B349, B349)</f>
        <v>0.50714285714285712</v>
      </c>
      <c r="AC349">
        <f>AVERAGEIFS($D$2:D349, $B$2:B349, B349)</f>
        <v>0.5714285714285714</v>
      </c>
    </row>
    <row r="350" spans="1:29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1</v>
      </c>
      <c r="V350">
        <v>0</v>
      </c>
      <c r="W350">
        <v>1</v>
      </c>
      <c r="X350">
        <v>0</v>
      </c>
      <c r="Y350">
        <v>0</v>
      </c>
      <c r="Z350">
        <f>AVERAGEIFS($C$2:C350, $B$2:B350, B350)</f>
        <v>12.136363636363637</v>
      </c>
      <c r="AA350">
        <f>AVERAGEIFS($I$2:I350, $B$2:B350, B350)</f>
        <v>0.39772727272727271</v>
      </c>
      <c r="AB350">
        <f>AVERAGEIFS($J$2:J350, $B$2:B350, B350)</f>
        <v>0.45090909090909098</v>
      </c>
      <c r="AC350">
        <f>AVERAGEIFS($D$2:D350, $B$2:B350, B350)</f>
        <v>0.36363636363636365</v>
      </c>
    </row>
    <row r="351" spans="1:29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1</v>
      </c>
      <c r="V351">
        <v>0</v>
      </c>
      <c r="W351">
        <v>1</v>
      </c>
      <c r="X351">
        <v>0</v>
      </c>
      <c r="Y351">
        <v>0</v>
      </c>
      <c r="Z351">
        <f>AVERAGEIFS($C$2:C351, $B$2:B351, B351)</f>
        <v>12.5</v>
      </c>
      <c r="AA351">
        <f>AVERAGEIFS($I$2:I351, $B$2:B351, B351)</f>
        <v>0.5</v>
      </c>
      <c r="AB351">
        <f>AVERAGEIFS($J$2:J351, $B$2:B351, B351)</f>
        <v>0.47</v>
      </c>
      <c r="AC351">
        <f>AVERAGEIFS($D$2:D351, $B$2:B351, B351)</f>
        <v>0.5</v>
      </c>
    </row>
    <row r="352" spans="1:29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1</v>
      </c>
      <c r="V352">
        <v>0</v>
      </c>
      <c r="W352">
        <v>1</v>
      </c>
      <c r="X352">
        <v>0</v>
      </c>
      <c r="Y352">
        <v>0</v>
      </c>
      <c r="Z352">
        <f>AVERAGEIFS($C$2:C352, $B$2:B352, B352)</f>
        <v>12.529411764705882</v>
      </c>
      <c r="AA352">
        <f>AVERAGEIFS($I$2:I352, $B$2:B352, B352)</f>
        <v>0.6470588235294118</v>
      </c>
      <c r="AB352">
        <f>AVERAGEIFS($J$2:J352, $B$2:B352, B352)</f>
        <v>0.57235294117647051</v>
      </c>
      <c r="AC352">
        <f>AVERAGEIFS($D$2:D352, $B$2:B352, B352)</f>
        <v>0.70588235294117652</v>
      </c>
    </row>
    <row r="353" spans="1:29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1</v>
      </c>
      <c r="V353">
        <v>0</v>
      </c>
      <c r="W353">
        <v>1</v>
      </c>
      <c r="X353">
        <v>0</v>
      </c>
      <c r="Y353">
        <v>0</v>
      </c>
      <c r="Z353">
        <f>AVERAGEIFS($C$2:C353, $B$2:B353, B353)</f>
        <v>4</v>
      </c>
      <c r="AA353">
        <f>AVERAGEIFS($I$2:I353, $B$2:B353, B353)</f>
        <v>0.6</v>
      </c>
      <c r="AB353">
        <f>AVERAGEIFS($J$2:J353, $B$2:B353, B353)</f>
        <v>0.56999999999999995</v>
      </c>
      <c r="AC353">
        <f>AVERAGEIFS($D$2:D353, $B$2:B353, B353)</f>
        <v>1</v>
      </c>
    </row>
    <row r="354" spans="1:29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1</v>
      </c>
      <c r="Z354">
        <f>AVERAGEIFS($C$2:C354, $B$2:B354, B354)</f>
        <v>25.958333333333332</v>
      </c>
      <c r="AA354">
        <f>AVERAGEIFS($I$2:I354, $B$2:B354, B354)</f>
        <v>0.52291666666666681</v>
      </c>
      <c r="AB354">
        <f>AVERAGEIFS($J$2:J354, $B$2:B354, B354)</f>
        <v>0.52624999999999988</v>
      </c>
      <c r="AC354">
        <f>AVERAGEIFS($D$2:D354, $B$2:B354, B354)</f>
        <v>0.41666666666666669</v>
      </c>
    </row>
    <row r="355" spans="1:29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f>AVERAGEIFS($C$2:C355, $B$2:B355, B355)</f>
        <v>27.25</v>
      </c>
      <c r="AA355">
        <f>AVERAGEIFS($I$2:I355, $B$2:B355, B355)</f>
        <v>0.42083333333333339</v>
      </c>
      <c r="AB355">
        <f>AVERAGEIFS($J$2:J355, $B$2:B355, B355)</f>
        <v>0.44666666666666655</v>
      </c>
      <c r="AC355">
        <f>AVERAGEIFS($D$2:D355, $B$2:B355, B355)</f>
        <v>0.33333333333333331</v>
      </c>
    </row>
    <row r="356" spans="1:29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f>AVERAGEIFS($C$2:C356, $B$2:B356, B356)</f>
        <v>18.615384615384617</v>
      </c>
      <c r="AA356">
        <f>AVERAGEIFS($I$2:I356, $B$2:B356, B356)</f>
        <v>0.47307692307692312</v>
      </c>
      <c r="AB356">
        <f>AVERAGEIFS($J$2:J356, $B$2:B356, B356)</f>
        <v>0.47846153846153838</v>
      </c>
      <c r="AC356">
        <f>AVERAGEIFS($D$2:D356, $B$2:B356, B356)</f>
        <v>0.38461538461538464</v>
      </c>
    </row>
    <row r="357" spans="1:29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f>AVERAGEIFS($C$2:C357, $B$2:B357, B357)</f>
        <v>13.666666666666666</v>
      </c>
      <c r="AA357">
        <f>AVERAGEIFS($I$2:I357, $B$2:B357, B357)</f>
        <v>0.49166666666666664</v>
      </c>
      <c r="AB357">
        <f>AVERAGEIFS($J$2:J357, $B$2:B357, B357)</f>
        <v>0.50222222222222224</v>
      </c>
      <c r="AC357">
        <f>AVERAGEIFS($D$2:D357, $B$2:B357, B357)</f>
        <v>0.3888888888888889</v>
      </c>
    </row>
    <row r="358" spans="1:29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f>AVERAGEIFS($C$2:C358, $B$2:B358, B358)</f>
        <v>10.363636363636363</v>
      </c>
      <c r="AA358">
        <f>AVERAGEIFS($I$2:I358, $B$2:B358, B358)</f>
        <v>0.49090909090909096</v>
      </c>
      <c r="AB358">
        <f>AVERAGEIFS($J$2:J358, $B$2:B358, B358)</f>
        <v>0.50909090909090904</v>
      </c>
      <c r="AC358">
        <f>AVERAGEIFS($D$2:D358, $B$2:B358, B358)</f>
        <v>0.45454545454545453</v>
      </c>
    </row>
    <row r="359" spans="1:29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f>AVERAGEIFS($C$2:C359, $B$2:B359, B359)</f>
        <v>9.7058823529411757</v>
      </c>
      <c r="AA359">
        <f>AVERAGEIFS($I$2:I359, $B$2:B359, B359)</f>
        <v>0.45882352941176469</v>
      </c>
      <c r="AB359">
        <f>AVERAGEIFS($J$2:J359, $B$2:B359, B359)</f>
        <v>0.48882352941176466</v>
      </c>
      <c r="AC359">
        <f>AVERAGEIFS($D$2:D359, $B$2:B359, B359)</f>
        <v>0.47058823529411764</v>
      </c>
    </row>
    <row r="360" spans="1:29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f>AVERAGEIFS($C$2:C360, $B$2:B360, B360)</f>
        <v>7.6</v>
      </c>
      <c r="AA360">
        <f>AVERAGEIFS($I$2:I360, $B$2:B360, B360)</f>
        <v>0.55999999999999994</v>
      </c>
      <c r="AB360">
        <f>AVERAGEIFS($J$2:J360, $B$2:B360, B360)</f>
        <v>0.52200000000000002</v>
      </c>
      <c r="AC360">
        <f>AVERAGEIFS($D$2:D360, $B$2:B360, B360)</f>
        <v>0.4</v>
      </c>
    </row>
  </sheetData>
  <autoFilter ref="A1:AC33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I49"/>
  <sheetViews>
    <sheetView tabSelected="1" workbookViewId="0">
      <pane xSplit="1" ySplit="1" topLeftCell="B16" activePane="bottomRight" state="frozen"/>
      <selection pane="topRight" activeCell="B1" sqref="B1"/>
      <selection pane="bottomLeft" activeCell="A2" sqref="A2"/>
      <selection pane="bottomRight" activeCell="A2" sqref="A2:A49"/>
    </sheetView>
  </sheetViews>
  <sheetFormatPr defaultRowHeight="15" x14ac:dyDescent="0.25"/>
  <cols>
    <col min="1" max="1" width="11.5703125" bestFit="1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2" width="14.5703125" style="1" customWidth="1"/>
    <col min="23" max="25" width="9.140625" style="1"/>
    <col min="26" max="26" width="11.85546875" style="1" bestFit="1" customWidth="1"/>
    <col min="27" max="27" width="9.140625" style="1"/>
    <col min="28" max="28" width="13" style="1" customWidth="1"/>
    <col min="29" max="29" width="13.140625" style="1" customWidth="1"/>
    <col min="30" max="30" width="9.140625" style="1"/>
    <col min="31" max="31" width="12.85546875" style="1" customWidth="1"/>
    <col min="32" max="32" width="9.140625" style="1"/>
    <col min="33" max="33" width="12.42578125" style="1" bestFit="1" customWidth="1"/>
    <col min="34" max="34" width="12.42578125" style="1" customWidth="1"/>
    <col min="35" max="35" width="9.140625" style="1"/>
  </cols>
  <sheetData>
    <row r="1" spans="1:35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7" t="s">
        <v>62</v>
      </c>
      <c r="X1" s="96" t="s">
        <v>73</v>
      </c>
      <c r="Y1" s="96" t="s">
        <v>91</v>
      </c>
      <c r="Z1" s="97" t="s">
        <v>95</v>
      </c>
      <c r="AA1" s="96" t="s">
        <v>92</v>
      </c>
      <c r="AB1" s="97" t="s">
        <v>67</v>
      </c>
      <c r="AC1" s="97" t="s">
        <v>56</v>
      </c>
      <c r="AD1" s="96" t="s">
        <v>104</v>
      </c>
      <c r="AE1" s="96" t="s">
        <v>66</v>
      </c>
      <c r="AF1" s="96" t="s">
        <v>72</v>
      </c>
      <c r="AG1" s="97" t="s">
        <v>68</v>
      </c>
      <c r="AH1" s="97" t="s">
        <v>135</v>
      </c>
      <c r="AI1" s="98" t="s">
        <v>96</v>
      </c>
    </row>
    <row r="2" spans="1:35" x14ac:dyDescent="0.25">
      <c r="A2" s="2" t="s">
        <v>37</v>
      </c>
      <c r="B2" s="2" t="s">
        <v>79</v>
      </c>
      <c r="C2" s="34">
        <f>SUMIFS('BA History'!C:C,'BA History'!B:B,A2)</f>
        <v>95</v>
      </c>
      <c r="D2" s="66">
        <f>AVERAGEIFS('BA History'!C:C,'BA History'!B:B,A2)</f>
        <v>13.571428571428571</v>
      </c>
      <c r="E2" s="35">
        <f t="array" ref="E2">MAX(IF('BA History'!B:B=A2, 'BA History'!C:C))</f>
        <v>19</v>
      </c>
      <c r="F2" s="34">
        <f>COUNTIFS('BA History'!B:B,A2,'BA History'!D:D, 1)</f>
        <v>3</v>
      </c>
      <c r="G2" s="2">
        <f>COUNTIFS('BA History'!B:B,A2,'BA History'!D:D, 0)</f>
        <v>4</v>
      </c>
      <c r="H2" s="75">
        <f t="shared" ref="H2:H12" si="0">F2/(F2+G2)</f>
        <v>0.42857142857142855</v>
      </c>
      <c r="I2" s="34">
        <f>SUMIFS('BA History'!F:F,'BA History'!B:B,A2)</f>
        <v>17</v>
      </c>
      <c r="J2" s="2">
        <f>SUMIFS('BA History'!E:E,'BA History'!B:B,A2)-I2</f>
        <v>14</v>
      </c>
      <c r="K2" s="75">
        <f t="shared" ref="K2:K12" si="1">I2/(I2+J2)</f>
        <v>0.54838709677419351</v>
      </c>
      <c r="L2" s="34">
        <f>SUMIFS('BA History'!H:H,'BA History'!B:B,A2)</f>
        <v>69</v>
      </c>
      <c r="M2" s="2">
        <f>SUMIFS('BA History'!G:G,'BA History'!B:B,A2)-L2</f>
        <v>62</v>
      </c>
      <c r="N2" s="93">
        <f t="shared" ref="N2:N12" si="2">L2/(L2+M2)</f>
        <v>0.52671755725190839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2</v>
      </c>
      <c r="R2" s="2">
        <f>COUNTIFS('BA History'!$B:$B,$A$2,'BA History'!N:N, 1)</f>
        <v>0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2</v>
      </c>
      <c r="W2" s="2">
        <f>COUNTIFS('BA History'!$B:$B,$A$2,'BA History'!S:S, 1)</f>
        <v>0</v>
      </c>
      <c r="X2" s="2">
        <f>COUNTIFS('BA History'!$B:$B,$A$2,'BA History'!T:T, 1)</f>
        <v>0</v>
      </c>
      <c r="Y2" s="2">
        <f>COUNTIFS('BA History'!$B:$B,$A$2,'BA History'!U:U, 1)</f>
        <v>2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2</v>
      </c>
      <c r="AC2" s="2">
        <f>COUNTIFS('BA History'!$B:$B,$A$2,'BA History'!Y:Y, 1)</f>
        <v>1</v>
      </c>
      <c r="AD2" s="2">
        <f>COUNTIFS('BA History'!$B:$B,$A$2,'BA History'!Z:Z, 1)</f>
        <v>0</v>
      </c>
      <c r="AE2" s="2">
        <f>COUNTIFS('BA History'!$B:$B,$A$2,'BA History'!AA:AA, 1)</f>
        <v>1</v>
      </c>
      <c r="AF2" s="2">
        <f>COUNTIFS('BA History'!$B:$B,$A$2,'BA History'!AB:AB, 1)</f>
        <v>2</v>
      </c>
      <c r="AG2" s="2">
        <f>COUNTIFS('BA History'!$B:$B,$A$2,'BA History'!AC:AC, 1)</f>
        <v>1</v>
      </c>
      <c r="AH2" s="2">
        <f>COUNTIFS('BA History'!$B:$B,$A$2,'BA History'!AD:AD, 1)</f>
        <v>0</v>
      </c>
      <c r="AI2" s="2">
        <f>COUNTIFS('BA History'!$B:$B,$A$2,'BA History'!AE:AE, 1)</f>
        <v>2</v>
      </c>
    </row>
    <row r="3" spans="1:35" x14ac:dyDescent="0.25">
      <c r="A3" s="2" t="s">
        <v>103</v>
      </c>
      <c r="B3" s="2" t="s">
        <v>79</v>
      </c>
      <c r="C3" s="34">
        <f>SUMIFS('BA History'!C:C,'BA History'!B:B,A3)</f>
        <v>17</v>
      </c>
      <c r="D3" s="66">
        <f>AVERAGEIFS('BA History'!C:C,'BA History'!B:B,A3)</f>
        <v>8.5</v>
      </c>
      <c r="E3" s="35">
        <f t="array" ref="E3">MAX(IF('BA History'!B:B=A3, 'BA History'!C:C))</f>
        <v>9</v>
      </c>
      <c r="F3" s="34">
        <f>COUNTIFS('BA History'!B:B,A3,'BA History'!D:D, 1)</f>
        <v>0</v>
      </c>
      <c r="G3" s="2">
        <f>COUNTIFS('BA History'!B:B,A3,'BA History'!D:D, 0)</f>
        <v>2</v>
      </c>
      <c r="H3" s="75">
        <f t="shared" si="0"/>
        <v>0</v>
      </c>
      <c r="I3" s="34">
        <f>SUMIFS('BA History'!F:F,'BA History'!B:B,A3)</f>
        <v>3</v>
      </c>
      <c r="J3" s="2">
        <f>SUMIFS('BA History'!E:E,'BA History'!B:B,A3)-I3</f>
        <v>6</v>
      </c>
      <c r="K3" s="75">
        <f t="shared" si="1"/>
        <v>0.33333333333333331</v>
      </c>
      <c r="L3" s="34">
        <f>SUMIFS('BA History'!H:H,'BA History'!B:B,A3)</f>
        <v>15</v>
      </c>
      <c r="M3" s="2">
        <f>SUMIFS('BA History'!G:G,'BA History'!B:B,A3)-L3</f>
        <v>22</v>
      </c>
      <c r="N3" s="93">
        <f t="shared" si="2"/>
        <v>0.40540540540540543</v>
      </c>
      <c r="O3" s="2">
        <f>COUNTIFS('BA History'!$B:$B,$A$3,'BA History'!K:K, 1)</f>
        <v>0</v>
      </c>
      <c r="P3" s="2">
        <f>COUNTIFS('BA History'!$B:$B,$A$3,'BA History'!L:L, 1)</f>
        <v>0</v>
      </c>
      <c r="Q3" s="2">
        <f>COUNTIFS('BA History'!$B:$B,$A$3,'BA History'!M:M, 1)</f>
        <v>0</v>
      </c>
      <c r="R3" s="2">
        <f>COUNTIFS('BA History'!$B:$B,$A$3,'BA History'!N:N, 1)</f>
        <v>1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0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0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1</v>
      </c>
      <c r="AD3" s="2">
        <f>COUNTIFS('BA History'!$B:$B,$A$3,'BA History'!Z:Z, 1)</f>
        <v>0</v>
      </c>
      <c r="AE3" s="2">
        <f>COUNTIFS('BA History'!$B:$B,$A$3,'BA History'!AA:AA, 1)</f>
        <v>0</v>
      </c>
      <c r="AF3" s="2">
        <f>COUNTIFS('BA History'!$B:$B,$A$3,'BA History'!AB:AB, 1)</f>
        <v>0</v>
      </c>
      <c r="AG3" s="2">
        <f>COUNTIFS('BA History'!$B:$B,$A$3,'BA History'!AC:AC, 1)</f>
        <v>1</v>
      </c>
      <c r="AH3" s="2">
        <f>COUNTIFS('BA History'!$B:$B,$A$3,'BA History'!AD:AD, 1)</f>
        <v>0</v>
      </c>
      <c r="AI3" s="2">
        <f>COUNTIFS('BA History'!$B:$B,$A$3,'BA History'!AE:AE, 1)</f>
        <v>0</v>
      </c>
    </row>
    <row r="4" spans="1:35" x14ac:dyDescent="0.25">
      <c r="A4" s="2" t="s">
        <v>71</v>
      </c>
      <c r="B4" s="2" t="s">
        <v>79</v>
      </c>
      <c r="C4" s="34">
        <f>SUMIFS('BA History'!C:C,'BA History'!B:B,A4)</f>
        <v>89</v>
      </c>
      <c r="D4" s="66">
        <f>AVERAGEIFS('BA History'!C:C,'BA History'!B:B,A4)</f>
        <v>12.714285714285714</v>
      </c>
      <c r="E4" s="35">
        <f t="array" ref="E4">MAX(IF('BA History'!B:B=A4, 'BA History'!C:C))</f>
        <v>19</v>
      </c>
      <c r="F4" s="34">
        <f>COUNTIFS('BA History'!B:B,A4,'BA History'!D:D, 1)</f>
        <v>5</v>
      </c>
      <c r="G4" s="2">
        <f>COUNTIFS('BA History'!B:B,A4,'BA History'!D:D, 0)</f>
        <v>2</v>
      </c>
      <c r="H4" s="75">
        <f t="shared" si="0"/>
        <v>0.7142857142857143</v>
      </c>
      <c r="I4" s="34">
        <f>SUMIFS('BA History'!F:F,'BA History'!B:B,A4)</f>
        <v>16</v>
      </c>
      <c r="J4" s="2">
        <f>SUMIFS('BA History'!E:E,'BA History'!B:B,A4)-I4</f>
        <v>13</v>
      </c>
      <c r="K4" s="75">
        <f t="shared" si="1"/>
        <v>0.55172413793103448</v>
      </c>
      <c r="L4" s="34">
        <f>SUMIFS('BA History'!H:H,'BA History'!B:B,A4)</f>
        <v>59</v>
      </c>
      <c r="M4" s="2">
        <f>SUMIFS('BA History'!G:G,'BA History'!B:B,A4)-L4</f>
        <v>59</v>
      </c>
      <c r="N4" s="93">
        <f t="shared" si="2"/>
        <v>0.5</v>
      </c>
      <c r="O4" s="2">
        <f>COUNTIFS('BA History'!$B:$B,$A$4,'BA History'!K:K, 1)</f>
        <v>1</v>
      </c>
      <c r="P4" s="2">
        <f>COUNTIFS('BA History'!$B:$B,$A$4,'BA History'!L:L, 1)</f>
        <v>2</v>
      </c>
      <c r="Q4" s="2">
        <f>COUNTIFS('BA History'!$B:$B,$A$4,'BA History'!M:M, 1)</f>
        <v>2</v>
      </c>
      <c r="R4" s="2">
        <f>COUNTIFS('BA History'!$B:$B,$A$4,'BA History'!N:N, 1)</f>
        <v>0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0</v>
      </c>
      <c r="X4" s="2">
        <f>COUNTIFS('BA History'!$B:$B,$A$4,'BA History'!T:T, 1)</f>
        <v>0</v>
      </c>
      <c r="Y4" s="2">
        <f>COUNTIFS('BA History'!$B:$B,$A$4,'BA History'!U:U, 1)</f>
        <v>2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2</v>
      </c>
      <c r="AC4" s="2">
        <f>COUNTIFS('BA History'!$B:$B,$A$4,'BA History'!Y:Y, 1)</f>
        <v>1</v>
      </c>
      <c r="AD4" s="2">
        <f>COUNTIFS('BA History'!$B:$B,$A$4,'BA History'!Z:Z, 1)</f>
        <v>0</v>
      </c>
      <c r="AE4" s="2">
        <f>COUNTIFS('BA History'!$B:$B,$A$4,'BA History'!AA:AA, 1)</f>
        <v>1</v>
      </c>
      <c r="AF4" s="2">
        <f>COUNTIFS('BA History'!$B:$B,$A$4,'BA History'!AB:AB, 1)</f>
        <v>0</v>
      </c>
      <c r="AG4" s="2">
        <f>COUNTIFS('BA History'!$B:$B,$A$4,'BA History'!AC:AC, 1)</f>
        <v>3</v>
      </c>
      <c r="AH4" s="2">
        <f>COUNTIFS('BA History'!$B:$B,$A$4,'BA History'!AD:AD, 1)</f>
        <v>1</v>
      </c>
      <c r="AI4" s="2">
        <f>COUNTIFS('BA History'!$B:$B,$A$4,'BA History'!AE:AE, 1)</f>
        <v>1</v>
      </c>
    </row>
    <row r="5" spans="1:35" x14ac:dyDescent="0.25">
      <c r="A5" s="2" t="s">
        <v>114</v>
      </c>
      <c r="B5" s="2" t="s">
        <v>79</v>
      </c>
      <c r="C5" s="34">
        <f>SUMIFS('BA History'!C:C,'BA History'!B:B,A5)</f>
        <v>6</v>
      </c>
      <c r="D5" s="66">
        <f>AVERAGEIFS('BA History'!C:C,'BA History'!B:B,A5)</f>
        <v>6</v>
      </c>
      <c r="E5" s="35">
        <f t="array" ref="E5">MAX(IF('BA History'!B:B=A5, 'BA History'!C:C))</f>
        <v>6</v>
      </c>
      <c r="F5" s="34">
        <f>COUNTIFS('BA History'!B:B,A5,'BA History'!D:D, 1)</f>
        <v>0</v>
      </c>
      <c r="G5" s="2">
        <f>COUNTIFS('BA History'!B:B,A5,'BA History'!D:D, 0)</f>
        <v>1</v>
      </c>
      <c r="H5" s="75">
        <f t="shared" si="0"/>
        <v>0</v>
      </c>
      <c r="I5" s="34">
        <f>SUMIFS('BA History'!F:F,'BA History'!B:B,A5)</f>
        <v>1</v>
      </c>
      <c r="J5" s="2">
        <f>SUMIFS('BA History'!E:E,'BA History'!B:B,A5)-I5</f>
        <v>3</v>
      </c>
      <c r="K5" s="75">
        <f t="shared" si="1"/>
        <v>0.25</v>
      </c>
      <c r="L5" s="34">
        <f>SUMIFS('BA History'!H:H,'BA History'!B:B,A5)</f>
        <v>8</v>
      </c>
      <c r="M5" s="2">
        <f>SUMIFS('BA History'!G:G,'BA History'!B:B,A5)-L5</f>
        <v>11</v>
      </c>
      <c r="N5" s="93">
        <f t="shared" si="2"/>
        <v>0.42105263157894735</v>
      </c>
      <c r="O5" s="2">
        <f>COUNTIFS('BA History'!$B:$B,$A$5,'BA History'!K:K, 1)</f>
        <v>0</v>
      </c>
      <c r="P5" s="2">
        <f>COUNTIFS('BA History'!$B:$B,$A$5,'BA History'!L:L, 1)</f>
        <v>0</v>
      </c>
      <c r="Q5" s="2">
        <f>COUNTIFS('BA History'!$B:$B,$A$5,'BA History'!M:M, 1)</f>
        <v>0</v>
      </c>
      <c r="R5" s="2">
        <f>COUNTIFS('BA History'!$B:$B,$A$5,'BA History'!N:N, 1)</f>
        <v>0</v>
      </c>
      <c r="S5" s="2">
        <f>COUNTIFS('BA History'!$B:$B,$A$5,'BA History'!O:O, 1)</f>
        <v>1</v>
      </c>
      <c r="T5" s="2">
        <f>COUNTIFS('BA History'!$B:$B,$A$5,'BA History'!P:P, 1)</f>
        <v>0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0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0</v>
      </c>
      <c r="AD5" s="2">
        <f>COUNTIFS('BA History'!$B:$B,$A$5,'BA History'!Z:Z, 1)</f>
        <v>0</v>
      </c>
      <c r="AE5" s="2">
        <f>COUNTIFS('BA History'!$B:$B,$A$5,'BA History'!AA:AA, 1)</f>
        <v>0</v>
      </c>
      <c r="AF5" s="2">
        <f>COUNTIFS('BA History'!$B:$B,$A$5,'BA History'!AB:AB, 1)</f>
        <v>0</v>
      </c>
      <c r="AG5" s="2">
        <f>COUNTIFS('BA History'!$B:$B,$A$5,'BA History'!AC:AC, 1)</f>
        <v>0</v>
      </c>
      <c r="AH5" s="2">
        <f>COUNTIFS('BA History'!$B:$B,$A$5,'BA History'!AD:AD, 1)</f>
        <v>0</v>
      </c>
      <c r="AI5" s="2">
        <f>COUNTIFS('BA History'!$B:$B,$A$5,'BA History'!AE:AE, 1)</f>
        <v>0</v>
      </c>
    </row>
    <row r="6" spans="1:35" x14ac:dyDescent="0.25">
      <c r="A6" s="2" t="s">
        <v>35</v>
      </c>
      <c r="B6" s="2" t="s">
        <v>79</v>
      </c>
      <c r="C6" s="34">
        <f>SUMIFS('BA History'!C:C,'BA History'!B:B,A6)</f>
        <v>283</v>
      </c>
      <c r="D6" s="66">
        <f>AVERAGEIFS('BA History'!C:C,'BA History'!B:B,A6)</f>
        <v>11.791666666666666</v>
      </c>
      <c r="E6" s="35">
        <f t="array" ref="E6">MAX(IF('BA History'!B:B=A6, 'BA History'!C:C))</f>
        <v>20</v>
      </c>
      <c r="F6" s="34">
        <f>COUNTIFS('BA History'!B:B,A6,'BA History'!D:D, 1)</f>
        <v>9</v>
      </c>
      <c r="G6" s="2">
        <f>COUNTIFS('BA History'!B:B,A6,'BA History'!D:D, 0)</f>
        <v>15</v>
      </c>
      <c r="H6" s="75">
        <f t="shared" si="0"/>
        <v>0.375</v>
      </c>
      <c r="I6" s="34">
        <f>SUMIFS('BA History'!F:F,'BA History'!B:B,A6)</f>
        <v>45</v>
      </c>
      <c r="J6" s="2">
        <f>SUMIFS('BA History'!E:E,'BA History'!B:B,A6)-I6</f>
        <v>53</v>
      </c>
      <c r="K6" s="75">
        <f t="shared" si="1"/>
        <v>0.45918367346938777</v>
      </c>
      <c r="L6" s="34">
        <f>SUMIFS('BA History'!H:H,'BA History'!B:B,A6)</f>
        <v>200</v>
      </c>
      <c r="M6" s="2">
        <f>SUMIFS('BA History'!G:G,'BA History'!B:B,A6)-L6</f>
        <v>210</v>
      </c>
      <c r="N6" s="93">
        <f t="shared" si="2"/>
        <v>0.48780487804878048</v>
      </c>
      <c r="O6" s="2">
        <f>COUNTIFS('BA History'!$B:$B,$A$6,'BA History'!K:K, 1)</f>
        <v>2</v>
      </c>
      <c r="P6" s="2">
        <f>COUNTIFS('BA History'!$B:$B,$A$6,'BA History'!L:L, 1)</f>
        <v>2</v>
      </c>
      <c r="Q6" s="2">
        <f>COUNTIFS('BA History'!$B:$B,$A$6,'BA History'!M:M, 1)</f>
        <v>4</v>
      </c>
      <c r="R6" s="2">
        <f>COUNTIFS('BA History'!$B:$B,$A$6,'BA History'!N:N, 1)</f>
        <v>2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2</v>
      </c>
      <c r="V6" s="2">
        <f>COUNTIFS('BA History'!$B:$B,$A$6,'BA History'!R:R, 1)</f>
        <v>3</v>
      </c>
      <c r="W6" s="2">
        <f>COUNTIFS('BA History'!$B:$B,$A$6,'BA History'!S:S, 1)</f>
        <v>1</v>
      </c>
      <c r="X6" s="2">
        <f>COUNTIFS('BA History'!$B:$B,$A$6,'BA History'!T:T, 1)</f>
        <v>1</v>
      </c>
      <c r="Y6" s="2">
        <f>COUNTIFS('BA History'!$B:$B,$A$6,'BA History'!U:U, 1)</f>
        <v>3</v>
      </c>
      <c r="Z6" s="2">
        <f>COUNTIFS('BA History'!$B:$B,$A$6,'BA History'!V:V, 1)</f>
        <v>0</v>
      </c>
      <c r="AA6" s="2">
        <f>COUNTIFS('BA History'!$B:$B,$A$6,'BA History'!W:W, 1)</f>
        <v>1</v>
      </c>
      <c r="AB6" s="2">
        <f>COUNTIFS('BA History'!$B:$B,$A$6,'BA History'!X:X, 1)</f>
        <v>2</v>
      </c>
      <c r="AC6" s="2">
        <f>COUNTIFS('BA History'!$B:$B,$A$6,'BA History'!Y:Y, 1)</f>
        <v>5</v>
      </c>
      <c r="AD6" s="2">
        <f>COUNTIFS('BA History'!$B:$B,$A$6,'BA History'!Z:Z, 1)</f>
        <v>1</v>
      </c>
      <c r="AE6" s="2">
        <f>COUNTIFS('BA History'!$B:$B,$A$6,'BA History'!AA:AA, 1)</f>
        <v>5</v>
      </c>
      <c r="AF6" s="2">
        <f>COUNTIFS('BA History'!$B:$B,$A$6,'BA History'!AB:AB, 1)</f>
        <v>4</v>
      </c>
      <c r="AG6" s="2">
        <f>COUNTIFS('BA History'!$B:$B,$A$6,'BA History'!AC:AC, 1)</f>
        <v>4</v>
      </c>
      <c r="AH6" s="2">
        <f>COUNTIFS('BA History'!$B:$B,$A$6,'BA History'!AD:AD, 1)</f>
        <v>1</v>
      </c>
      <c r="AI6" s="2">
        <f>COUNTIFS('BA History'!$B:$B,$A$6,'BA History'!AE:AE, 1)</f>
        <v>1</v>
      </c>
    </row>
    <row r="7" spans="1:35" x14ac:dyDescent="0.25">
      <c r="A7" s="2" t="s">
        <v>19</v>
      </c>
      <c r="B7" s="2" t="s">
        <v>79</v>
      </c>
      <c r="C7" s="34">
        <f>SUMIFS('BA History'!C:C,'BA History'!B:B,A7)</f>
        <v>103</v>
      </c>
      <c r="D7" s="66">
        <f>AVERAGEIFS('BA History'!C:C,'BA History'!B:B,A7)</f>
        <v>7.9230769230769234</v>
      </c>
      <c r="E7" s="35">
        <f t="array" ref="E7">MAX(IF('BA History'!B:B=A7, 'BA History'!C:C))</f>
        <v>11</v>
      </c>
      <c r="F7" s="34">
        <f>COUNTIFS('BA History'!B:B,A7,'BA History'!D:D, 1)</f>
        <v>9</v>
      </c>
      <c r="G7" s="2">
        <f>COUNTIFS('BA History'!B:B,A7,'BA History'!D:D, 0)</f>
        <v>4</v>
      </c>
      <c r="H7" s="75">
        <f t="shared" si="0"/>
        <v>0.69230769230769229</v>
      </c>
      <c r="I7" s="34">
        <f>SUMIFS('BA History'!F:F,'BA History'!B:B,A7)</f>
        <v>31</v>
      </c>
      <c r="J7" s="2">
        <f>SUMIFS('BA History'!E:E,'BA History'!B:B,A7)-I7</f>
        <v>21</v>
      </c>
      <c r="K7" s="75">
        <f t="shared" si="1"/>
        <v>0.59615384615384615</v>
      </c>
      <c r="L7" s="34">
        <f>SUMIFS('BA History'!H:H,'BA History'!B:B,A7)</f>
        <v>120</v>
      </c>
      <c r="M7" s="2">
        <f>SUMIFS('BA History'!G:G,'BA History'!B:B,A7)-L7</f>
        <v>92</v>
      </c>
      <c r="N7" s="93">
        <f t="shared" si="2"/>
        <v>0.56603773584905659</v>
      </c>
      <c r="O7" s="2">
        <f>COUNTIFS('BA History'!$B:$B,$A$7,'BA History'!K:K, 1)</f>
        <v>1</v>
      </c>
      <c r="P7" s="2">
        <f>COUNTIFS('BA History'!$B:$B,$A$7,'BA History'!L:L, 1)</f>
        <v>1</v>
      </c>
      <c r="Q7" s="2">
        <f>COUNTIFS('BA History'!$B:$B,$A$7,'BA History'!M:M, 1)</f>
        <v>2</v>
      </c>
      <c r="R7" s="2">
        <f>COUNTIFS('BA History'!$B:$B,$A$7,'BA History'!N:N, 1)</f>
        <v>2</v>
      </c>
      <c r="S7" s="2">
        <f>COUNTIFS('BA History'!$B:$B,$A$7,'BA History'!O:O, 1)</f>
        <v>0</v>
      </c>
      <c r="T7" s="2">
        <f>COUNTIFS('BA History'!$B:$B,$A$7,'BA History'!P:P, 1)</f>
        <v>0</v>
      </c>
      <c r="U7" s="2">
        <f>COUNTIFS('BA History'!$B:$B,$A$7,'BA History'!Q:Q, 1)</f>
        <v>2</v>
      </c>
      <c r="V7" s="2">
        <f>COUNTIFS('BA History'!$B:$B,$A$7,'BA History'!R:R, 1)</f>
        <v>1</v>
      </c>
      <c r="W7" s="2">
        <f>COUNTIFS('BA History'!$B:$B,$A$7,'BA History'!S:S, 1)</f>
        <v>1</v>
      </c>
      <c r="X7" s="2">
        <f>COUNTIFS('BA History'!$B:$B,$A$7,'BA History'!T:T, 1)</f>
        <v>2</v>
      </c>
      <c r="Y7" s="2">
        <f>COUNTIFS('BA History'!$B:$B,$A$7,'BA History'!U:U, 1)</f>
        <v>1</v>
      </c>
      <c r="Z7" s="2">
        <f>COUNTIFS('BA History'!$B:$B,$A$7,'BA History'!V:V, 1)</f>
        <v>0</v>
      </c>
      <c r="AA7" s="2">
        <f>COUNTIFS('BA History'!$B:$B,$A$7,'BA History'!W:W, 1)</f>
        <v>1</v>
      </c>
      <c r="AB7" s="2">
        <f>COUNTIFS('BA History'!$B:$B,$A$7,'BA History'!X:X, 1)</f>
        <v>2</v>
      </c>
      <c r="AC7" s="2">
        <f>COUNTIFS('BA History'!$B:$B,$A$7,'BA History'!Y:Y, 1)</f>
        <v>3</v>
      </c>
      <c r="AD7" s="2">
        <f>COUNTIFS('BA History'!$B:$B,$A$7,'BA History'!Z:Z, 1)</f>
        <v>0</v>
      </c>
      <c r="AE7" s="2">
        <f>COUNTIFS('BA History'!$B:$B,$A$7,'BA History'!AA:AA, 1)</f>
        <v>5</v>
      </c>
      <c r="AF7" s="2">
        <f>COUNTIFS('BA History'!$B:$B,$A$7,'BA History'!AB:AB, 1)</f>
        <v>3</v>
      </c>
      <c r="AG7" s="2">
        <f>COUNTIFS('BA History'!$B:$B,$A$7,'BA History'!AC:AC, 1)</f>
        <v>3</v>
      </c>
      <c r="AH7" s="2">
        <f>COUNTIFS('BA History'!$B:$B,$A$7,'BA History'!AD:AD, 1)</f>
        <v>0</v>
      </c>
      <c r="AI7" s="2">
        <f>COUNTIFS('BA History'!$B:$B,$A$7,'BA History'!AE:AE, 1)</f>
        <v>1</v>
      </c>
    </row>
    <row r="8" spans="1:35" x14ac:dyDescent="0.25">
      <c r="A8" s="2" t="s">
        <v>42</v>
      </c>
      <c r="B8" s="2" t="s">
        <v>79</v>
      </c>
      <c r="C8" s="34">
        <f>SUMIFS('BA History'!C:C,'BA History'!B:B,A8)</f>
        <v>280</v>
      </c>
      <c r="D8" s="66">
        <f>AVERAGEIFS('BA History'!C:C,'BA History'!B:B,A8)</f>
        <v>17.5</v>
      </c>
      <c r="E8" s="35">
        <f t="array" ref="E8">MAX(IF('BA History'!B:B=A8, 'BA History'!C:C))</f>
        <v>34</v>
      </c>
      <c r="F8" s="34">
        <f>COUNTIFS('BA History'!B:B,A8,'BA History'!D:D, 1)</f>
        <v>6</v>
      </c>
      <c r="G8" s="2">
        <f>COUNTIFS('BA History'!B:B,A8,'BA History'!D:D, 0)</f>
        <v>10</v>
      </c>
      <c r="H8" s="75">
        <f t="shared" si="0"/>
        <v>0.375</v>
      </c>
      <c r="I8" s="34">
        <f>SUMIFS('BA History'!F:F,'BA History'!B:B,A8)</f>
        <v>27</v>
      </c>
      <c r="J8" s="2">
        <f>SUMIFS('BA History'!E:E,'BA History'!B:B,A8)-I8</f>
        <v>39</v>
      </c>
      <c r="K8" s="75">
        <f t="shared" si="1"/>
        <v>0.40909090909090912</v>
      </c>
      <c r="L8" s="34">
        <f>SUMIFS('BA History'!H:H,'BA History'!B:B,A8)</f>
        <v>119</v>
      </c>
      <c r="M8" s="2">
        <f>SUMIFS('BA History'!G:G,'BA History'!B:B,A8)-L8</f>
        <v>149</v>
      </c>
      <c r="N8" s="93">
        <f t="shared" si="2"/>
        <v>0.44402985074626866</v>
      </c>
      <c r="O8" s="2">
        <f>COUNTIFS('BA History'!$B:$B,$A$8,'BA History'!K:K, 1)</f>
        <v>0</v>
      </c>
      <c r="P8" s="2">
        <f>COUNTIFS('BA History'!$B:$B,$A$8,'BA History'!L:L, 1)</f>
        <v>5</v>
      </c>
      <c r="Q8" s="2">
        <f>COUNTIFS('BA History'!$B:$B,$A$8,'BA History'!M:M, 1)</f>
        <v>1</v>
      </c>
      <c r="R8" s="2">
        <f>COUNTIFS('BA History'!$B:$B,$A$8,'BA History'!N:N, 1)</f>
        <v>3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1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2</v>
      </c>
      <c r="AC8" s="2">
        <f>COUNTIFS('BA History'!$B:$B,$A$8,'BA History'!Y:Y, 1)</f>
        <v>4</v>
      </c>
      <c r="AD8" s="2">
        <f>COUNTIFS('BA History'!$B:$B,$A$8,'BA History'!Z:Z, 1)</f>
        <v>1</v>
      </c>
      <c r="AE8" s="2">
        <f>COUNTIFS('BA History'!$B:$B,$A$8,'BA History'!AA:AA, 1)</f>
        <v>0</v>
      </c>
      <c r="AF8" s="2">
        <f>COUNTIFS('BA History'!$B:$B,$A$8,'BA History'!AB:AB, 1)</f>
        <v>2</v>
      </c>
      <c r="AG8" s="2">
        <f>COUNTIFS('BA History'!$B:$B,$A$8,'BA History'!AC:AC, 1)</f>
        <v>2</v>
      </c>
      <c r="AH8" s="2">
        <f>COUNTIFS('BA History'!$B:$B,$A$8,'BA History'!AD:AD, 1)</f>
        <v>0</v>
      </c>
      <c r="AI8" s="2">
        <f>COUNTIFS('BA History'!$B:$B,$A$8,'BA History'!AE:AE, 1)</f>
        <v>1</v>
      </c>
    </row>
    <row r="9" spans="1:35" x14ac:dyDescent="0.25">
      <c r="A9" s="2" t="s">
        <v>25</v>
      </c>
      <c r="B9" s="2" t="s">
        <v>79</v>
      </c>
      <c r="C9" s="34">
        <f>SUMIFS('BA History'!C:C,'BA History'!B:B,A9)</f>
        <v>34</v>
      </c>
      <c r="D9" s="66">
        <f>AVERAGEIFS('BA History'!C:C,'BA History'!B:B,A9)</f>
        <v>8.5</v>
      </c>
      <c r="E9" s="35">
        <f t="array" ref="E9">MAX(IF('BA History'!B:B=A9, 'BA History'!C:C))</f>
        <v>12</v>
      </c>
      <c r="F9" s="34">
        <f>COUNTIFS('BA History'!B:B,A9,'BA History'!D:D, 1)</f>
        <v>3</v>
      </c>
      <c r="G9" s="2">
        <f>COUNTIFS('BA History'!B:B,A9,'BA History'!D:D, 0)</f>
        <v>1</v>
      </c>
      <c r="H9" s="75">
        <f t="shared" si="0"/>
        <v>0.75</v>
      </c>
      <c r="I9" s="34">
        <f>SUMIFS('BA History'!F:F,'BA History'!B:B,A9)</f>
        <v>10</v>
      </c>
      <c r="J9" s="2">
        <f>SUMIFS('BA History'!E:E,'BA History'!B:B,A9)-I9</f>
        <v>5</v>
      </c>
      <c r="K9" s="75">
        <f t="shared" si="1"/>
        <v>0.66666666666666663</v>
      </c>
      <c r="L9" s="34">
        <f>SUMIFS('BA History'!H:H,'BA History'!B:B,A9)</f>
        <v>36</v>
      </c>
      <c r="M9" s="2">
        <f>SUMIFS('BA History'!G:G,'BA History'!B:B,A9)-L9</f>
        <v>20</v>
      </c>
      <c r="N9" s="93">
        <f t="shared" si="2"/>
        <v>0.6428571428571429</v>
      </c>
      <c r="O9" s="2">
        <f>COUNTIFS('BA History'!$B:$B,$A$9,'BA History'!K:K, 1)</f>
        <v>2</v>
      </c>
      <c r="P9" s="2">
        <f>COUNTIFS('BA History'!$B:$B,$A$9,'BA History'!L:L, 1)</f>
        <v>0</v>
      </c>
      <c r="Q9" s="2">
        <f>COUNTIFS('BA History'!$B:$B,$A$9,'BA History'!M:M, 1)</f>
        <v>0</v>
      </c>
      <c r="R9" s="2">
        <f>COUNTIFS('BA History'!$B:$B,$A$9,'BA History'!N:N, 1)</f>
        <v>1</v>
      </c>
      <c r="S9" s="2">
        <f>COUNTIFS('BA History'!$B:$B,$A$9,'BA History'!O:O, 1)</f>
        <v>0</v>
      </c>
      <c r="T9" s="2">
        <f>COUNTIFS('BA History'!$B:$B,$A$9,'BA History'!P:P, 1)</f>
        <v>1</v>
      </c>
      <c r="U9" s="2">
        <f>COUNTIFS('BA History'!$B:$B,$A$9,'BA History'!Q:Q, 1)</f>
        <v>1</v>
      </c>
      <c r="V9" s="2">
        <f>COUNTIFS('BA History'!$B:$B,$A$9,'BA History'!R:R, 1)</f>
        <v>0</v>
      </c>
      <c r="W9" s="2">
        <f>COUNTIFS('BA History'!$B:$B,$A$9,'BA History'!S:S, 1)</f>
        <v>0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0</v>
      </c>
      <c r="AA9" s="2">
        <f>COUNTIFS('BA History'!$B:$B,$A$9,'BA History'!W:W, 1)</f>
        <v>0</v>
      </c>
      <c r="AB9" s="2">
        <f>COUNTIFS('BA History'!$B:$B,$A$9,'BA History'!X:X, 1)</f>
        <v>1</v>
      </c>
      <c r="AC9" s="2">
        <f>COUNTIFS('BA History'!$B:$B,$A$9,'BA History'!Y:Y, 1)</f>
        <v>2</v>
      </c>
      <c r="AD9" s="2">
        <f>COUNTIFS('BA History'!$B:$B,$A$9,'BA History'!Z:Z, 1)</f>
        <v>0</v>
      </c>
      <c r="AE9" s="2">
        <f>COUNTIFS('BA History'!$B:$B,$A$9,'BA History'!AA:AA, 1)</f>
        <v>1</v>
      </c>
      <c r="AF9" s="2">
        <f>COUNTIFS('BA History'!$B:$B,$A$9,'BA History'!AB:AB, 1)</f>
        <v>0</v>
      </c>
      <c r="AG9" s="2">
        <f>COUNTIFS('BA History'!$B:$B,$A$9,'BA History'!AC:AC, 1)</f>
        <v>0</v>
      </c>
      <c r="AH9" s="2">
        <f>COUNTIFS('BA History'!$B:$B,$A$9,'BA History'!AD:AD, 1)</f>
        <v>0</v>
      </c>
      <c r="AI9" s="2">
        <f>COUNTIFS('BA History'!$B:$B,$A$9,'BA History'!AE:AE, 1)</f>
        <v>0</v>
      </c>
    </row>
    <row r="10" spans="1:35" x14ac:dyDescent="0.25">
      <c r="A10" s="2" t="s">
        <v>115</v>
      </c>
      <c r="B10" s="2" t="s">
        <v>79</v>
      </c>
      <c r="C10" s="34">
        <f>SUMIFS('BA History'!C:C,'BA History'!B:B,A10)</f>
        <v>109</v>
      </c>
      <c r="D10" s="66">
        <f>AVERAGEIFS('BA History'!C:C,'BA History'!B:B,A10)</f>
        <v>13.625</v>
      </c>
      <c r="E10" s="35">
        <f t="array" ref="E10">MAX(IF('BA History'!B:B=A10, 'BA History'!C:C))</f>
        <v>23</v>
      </c>
      <c r="F10" s="34">
        <f>COUNTIFS('BA History'!B:B,A10,'BA History'!D:D, 1)</f>
        <v>3</v>
      </c>
      <c r="G10" s="2">
        <f>COUNTIFS('BA History'!B:B,A10,'BA History'!D:D, 0)</f>
        <v>5</v>
      </c>
      <c r="H10" s="75">
        <f t="shared" si="0"/>
        <v>0.375</v>
      </c>
      <c r="I10" s="34">
        <f>SUMIFS('BA History'!F:F,'BA History'!B:B,A10)</f>
        <v>16</v>
      </c>
      <c r="J10" s="2">
        <f>SUMIFS('BA History'!E:E,'BA History'!B:B,A10)-I10</f>
        <v>19</v>
      </c>
      <c r="K10" s="75">
        <f t="shared" si="1"/>
        <v>0.45714285714285713</v>
      </c>
      <c r="L10" s="34">
        <f>SUMIFS('BA History'!H:H,'BA History'!B:B,A10)</f>
        <v>66</v>
      </c>
      <c r="M10" s="2">
        <f>SUMIFS('BA History'!G:G,'BA History'!B:B,A10)-L10</f>
        <v>71</v>
      </c>
      <c r="N10" s="93">
        <f t="shared" si="2"/>
        <v>0.48175182481751827</v>
      </c>
      <c r="O10" s="2">
        <f>COUNTIFS('BA History'!$B:$B,$A$10,'BA History'!K:K, 1)</f>
        <v>1</v>
      </c>
      <c r="P10" s="2">
        <f>COUNTIFS('BA History'!$B:$B,$A$10,'BA History'!L:L, 1)</f>
        <v>2</v>
      </c>
      <c r="Q10" s="2">
        <f>COUNTIFS('BA History'!$B:$B,$A$10,'BA History'!M:M, 1)</f>
        <v>1</v>
      </c>
      <c r="R10" s="2">
        <f>COUNTIFS('BA History'!$B:$B,$A$10,'BA History'!N:N, 1)</f>
        <v>0</v>
      </c>
      <c r="S10" s="2">
        <f>COUNTIFS('BA History'!$B:$B,$A$10,'BA History'!O:O, 1)</f>
        <v>1</v>
      </c>
      <c r="T10" s="2">
        <f>COUNTIFS('BA History'!$B:$B,$A$10,'BA History'!P:P, 1)</f>
        <v>0</v>
      </c>
      <c r="U10" s="2">
        <f>COUNTIFS('BA History'!$B:$B,$A$10,'BA History'!Q:Q, 1)</f>
        <v>1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1</v>
      </c>
      <c r="Y10" s="2">
        <f>COUNTIFS('BA History'!$B:$B,$A$10,'BA History'!U:U, 1)</f>
        <v>1</v>
      </c>
      <c r="Z10" s="2">
        <f>COUNTIFS('BA History'!$B:$B,$A$10,'BA History'!V:V, 1)</f>
        <v>1</v>
      </c>
      <c r="AA10" s="2">
        <f>COUNTIFS('BA History'!$B:$B,$A$10,'BA History'!W:W, 1)</f>
        <v>1</v>
      </c>
      <c r="AB10" s="2">
        <f>COUNTIFS('BA History'!$B:$B,$A$10,'BA History'!X:X, 1)</f>
        <v>1</v>
      </c>
      <c r="AC10" s="2">
        <f>COUNTIFS('BA History'!$B:$B,$A$10,'BA History'!Y:Y, 1)</f>
        <v>1</v>
      </c>
      <c r="AD10" s="2">
        <f>COUNTIFS('BA History'!$B:$B,$A$10,'BA History'!Z:Z, 1)</f>
        <v>0</v>
      </c>
      <c r="AE10" s="2">
        <f>COUNTIFS('BA History'!$B:$B,$A$10,'BA History'!AA:AA, 1)</f>
        <v>0</v>
      </c>
      <c r="AF10" s="2">
        <f>COUNTIFS('BA History'!$B:$B,$A$10,'BA History'!AB:AB, 1)</f>
        <v>2</v>
      </c>
      <c r="AG10" s="2">
        <f>COUNTIFS('BA History'!$B:$B,$A$10,'BA History'!AC:AC, 1)</f>
        <v>1</v>
      </c>
      <c r="AH10" s="2">
        <f>COUNTIFS('BA History'!$B:$B,$A$10,'BA History'!AD:AD, 1)</f>
        <v>0</v>
      </c>
      <c r="AI10" s="2">
        <f>COUNTIFS('BA History'!$B:$B,$A$10,'BA History'!AE:AE, 1)</f>
        <v>1</v>
      </c>
    </row>
    <row r="11" spans="1:35" x14ac:dyDescent="0.25">
      <c r="A11" s="2" t="s">
        <v>27</v>
      </c>
      <c r="B11" s="2" t="s">
        <v>79</v>
      </c>
      <c r="C11" s="34">
        <f>SUMIFS('BA History'!C:C,'BA History'!B:B,A11)</f>
        <v>81</v>
      </c>
      <c r="D11" s="66">
        <f>AVERAGEIFS('BA History'!C:C,'BA History'!B:B,A11)</f>
        <v>13.5</v>
      </c>
      <c r="E11" s="35">
        <f t="array" ref="E11">MAX(IF('BA History'!B:B=A11, 'BA History'!C:C))</f>
        <v>20</v>
      </c>
      <c r="F11" s="34">
        <f>COUNTIFS('BA History'!B:B,A11,'BA History'!D:D, 1)</f>
        <v>2</v>
      </c>
      <c r="G11" s="2">
        <f>COUNTIFS('BA History'!B:B,A11,'BA History'!D:D, 0)</f>
        <v>4</v>
      </c>
      <c r="H11" s="75">
        <f t="shared" si="0"/>
        <v>0.33333333333333331</v>
      </c>
      <c r="I11" s="34">
        <f>SUMIFS('BA History'!F:F,'BA History'!B:B,A11)</f>
        <v>11</v>
      </c>
      <c r="J11" s="2">
        <f>SUMIFS('BA History'!E:E,'BA History'!B:B,A11)-I11</f>
        <v>15</v>
      </c>
      <c r="K11" s="75">
        <f t="shared" si="1"/>
        <v>0.42307692307692307</v>
      </c>
      <c r="L11" s="34">
        <f>SUMIFS('BA History'!H:H,'BA History'!B:B,A11)</f>
        <v>44</v>
      </c>
      <c r="M11" s="2">
        <f>SUMIFS('BA History'!G:G,'BA History'!B:B,A11)-L11</f>
        <v>61</v>
      </c>
      <c r="N11" s="93">
        <f t="shared" si="2"/>
        <v>0.41904761904761906</v>
      </c>
      <c r="O11" s="2">
        <f>COUNTIFS('BA History'!$B:$B,$A$11,'BA History'!K:K, 1)</f>
        <v>0</v>
      </c>
      <c r="P11" s="2">
        <f>COUNTIFS('BA History'!$B:$B,$A$11,'BA History'!L:L, 1)</f>
        <v>0</v>
      </c>
      <c r="Q11" s="2">
        <f>COUNTIFS('BA History'!$B:$B,$A$11,'BA History'!M:M, 1)</f>
        <v>1</v>
      </c>
      <c r="R11" s="2">
        <f>COUNTIFS('BA History'!$B:$B,$A$11,'BA History'!N:N, 1)</f>
        <v>2</v>
      </c>
      <c r="S11" s="2">
        <f>COUNTIFS('BA History'!$B:$B,$A$11,'BA History'!O:O, 1)</f>
        <v>0</v>
      </c>
      <c r="T11" s="2">
        <f>COUNTIFS('BA History'!$B:$B,$A$11,'BA History'!P:P, 1)</f>
        <v>0</v>
      </c>
      <c r="U11" s="2">
        <f>COUNTIFS('BA History'!$B:$B,$A$11,'BA History'!Q:Q, 1)</f>
        <v>0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1</v>
      </c>
      <c r="Y11" s="2">
        <f>COUNTIFS('BA History'!$B:$B,$A$11,'BA History'!U:U, 1)</f>
        <v>0</v>
      </c>
      <c r="Z11" s="2">
        <f>COUNTIFS('BA History'!$B:$B,$A$11,'BA History'!V:V, 1)</f>
        <v>0</v>
      </c>
      <c r="AA11" s="2">
        <f>COUNTIFS('BA History'!$B:$B,$A$11,'BA History'!W:W, 1)</f>
        <v>0</v>
      </c>
      <c r="AB11" s="2">
        <f>COUNTIFS('BA History'!$B:$B,$A$11,'BA History'!X:X, 1)</f>
        <v>1</v>
      </c>
      <c r="AC11" s="2">
        <f>COUNTIFS('BA History'!$B:$B,$A$11,'BA History'!Y:Y, 1)</f>
        <v>2</v>
      </c>
      <c r="AD11" s="2">
        <f>COUNTIFS('BA History'!$B:$B,$A$11,'BA History'!Z:Z, 1)</f>
        <v>0</v>
      </c>
      <c r="AE11" s="2">
        <f>COUNTIFS('BA History'!$B:$B,$A$11,'BA History'!AA:AA, 1)</f>
        <v>3</v>
      </c>
      <c r="AF11" s="2">
        <f>COUNTIFS('BA History'!$B:$B,$A$11,'BA History'!AB:AB, 1)</f>
        <v>1</v>
      </c>
      <c r="AG11" s="2">
        <f>COUNTIFS('BA History'!$B:$B,$A$11,'BA History'!AC:AC, 1)</f>
        <v>0</v>
      </c>
      <c r="AH11" s="2">
        <f>COUNTIFS('BA History'!$B:$B,$A$11,'BA History'!AD:AD, 1)</f>
        <v>0</v>
      </c>
      <c r="AI11" s="2">
        <f>COUNTIFS('BA History'!$B:$B,$A$11,'BA History'!AE:AE, 1)</f>
        <v>0</v>
      </c>
    </row>
    <row r="12" spans="1:35" x14ac:dyDescent="0.25">
      <c r="A12" s="2" t="s">
        <v>138</v>
      </c>
      <c r="B12" s="2" t="s">
        <v>79</v>
      </c>
      <c r="C12" s="34">
        <f>SUMIFS('BA History'!C:C,'BA History'!B:B,A12)</f>
        <v>26</v>
      </c>
      <c r="D12" s="66">
        <f>AVERAGEIFS('BA History'!C:C,'BA History'!B:B,A12)</f>
        <v>6.5</v>
      </c>
      <c r="E12" s="35">
        <f t="array" ref="E12">MAX(IF('BA History'!B:B=A12, 'BA History'!C:C))</f>
        <v>12</v>
      </c>
      <c r="F12" s="34">
        <f>COUNTIFS('BA History'!B:B,A12,'BA History'!D:D, 1)</f>
        <v>3</v>
      </c>
      <c r="G12" s="2">
        <f>COUNTIFS('BA History'!B:B,A12,'BA History'!D:D, 0)</f>
        <v>1</v>
      </c>
      <c r="H12" s="75">
        <f t="shared" si="0"/>
        <v>0.75</v>
      </c>
      <c r="I12" s="34">
        <f>SUMIFS('BA History'!F:F,'BA History'!B:B,A12)</f>
        <v>10</v>
      </c>
      <c r="J12" s="2">
        <f>SUMIFS('BA History'!E:E,'BA History'!B:B,A12)-I12</f>
        <v>6</v>
      </c>
      <c r="K12" s="75">
        <f t="shared" si="1"/>
        <v>0.625</v>
      </c>
      <c r="L12" s="34">
        <f>SUMIFS('BA History'!H:H,'BA History'!B:B,A12)</f>
        <v>37</v>
      </c>
      <c r="M12" s="2">
        <f>SUMIFS('BA History'!G:G,'BA History'!B:B,A12)-L12</f>
        <v>27</v>
      </c>
      <c r="N12" s="93">
        <f t="shared" si="2"/>
        <v>0.578125</v>
      </c>
      <c r="O12" s="2">
        <f>COUNTIFS('BA History'!$B:$B,$A$12,'BA History'!K:K, 1)</f>
        <v>0</v>
      </c>
      <c r="P12" s="2">
        <f>COUNTIFS('BA History'!$B:$B,$A$12,'BA History'!L:L, 1)</f>
        <v>1</v>
      </c>
      <c r="Q12" s="2">
        <f>COUNTIFS('BA History'!$B:$B,$A$12,'BA History'!M:M, 1)</f>
        <v>2</v>
      </c>
      <c r="R12" s="2">
        <f>COUNTIFS('BA History'!$B:$B,$A$12,'BA History'!N:N, 1)</f>
        <v>1</v>
      </c>
      <c r="S12" s="2">
        <f>COUNTIFS('BA History'!$B:$B,$A$12,'BA History'!O:O, 1)</f>
        <v>0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1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1</v>
      </c>
      <c r="AC12" s="2">
        <f>COUNTIFS('BA History'!$B:$B,$A$12,'BA History'!Y:Y, 1)</f>
        <v>1</v>
      </c>
      <c r="AD12" s="2">
        <f>COUNTIFS('BA History'!$B:$B,$A$12,'BA History'!Z:Z, 1)</f>
        <v>0</v>
      </c>
      <c r="AE12" s="2">
        <f>COUNTIFS('BA History'!$B:$B,$A$12,'BA History'!AA:AA, 1)</f>
        <v>2</v>
      </c>
      <c r="AF12" s="2">
        <f>COUNTIFS('BA History'!$B:$B,$A$12,'BA History'!AB:AB, 1)</f>
        <v>0</v>
      </c>
      <c r="AG12" s="2">
        <f>COUNTIFS('BA History'!$B:$B,$A$12,'BA History'!AC:AC, 1)</f>
        <v>0</v>
      </c>
      <c r="AH12" s="2">
        <f>COUNTIFS('BA History'!$B:$B,$A$12,'BA History'!AD:AD, 1)</f>
        <v>0</v>
      </c>
      <c r="AI12" s="2">
        <f>COUNTIFS('BA History'!$B:$B,$A$12,'BA History'!AE:AE, 1)</f>
        <v>1</v>
      </c>
    </row>
    <row r="13" spans="1:35" x14ac:dyDescent="0.25">
      <c r="A13" s="2" t="s">
        <v>74</v>
      </c>
      <c r="B13" s="2" t="s">
        <v>79</v>
      </c>
      <c r="C13" s="34">
        <f>SUMIFS('BA History'!C:C,'BA History'!B:B,A13)</f>
        <v>9</v>
      </c>
      <c r="D13" s="66">
        <f>AVERAGEIFS('BA History'!C:C,'BA History'!B:B,A13)</f>
        <v>9</v>
      </c>
      <c r="E13" s="35">
        <f t="array" ref="E13">MAX(IF('BA History'!B:B=A13, 'BA History'!C:C))</f>
        <v>9</v>
      </c>
      <c r="F13" s="34">
        <f>COUNTIFS('BA History'!B:B,A13,'BA History'!D:D, 1)</f>
        <v>0</v>
      </c>
      <c r="G13" s="2">
        <f>COUNTIFS('BA History'!B:B,A13,'BA History'!D:D, 0)</f>
        <v>1</v>
      </c>
      <c r="H13" s="75">
        <f t="shared" ref="H13:H49" si="3">F13/(F13+G13)</f>
        <v>0</v>
      </c>
      <c r="I13" s="34">
        <f>SUMIFS('BA History'!F:F,'BA History'!B:B,A13)</f>
        <v>1</v>
      </c>
      <c r="J13" s="2">
        <f>SUMIFS('BA History'!E:E,'BA History'!B:B,A13)-I13</f>
        <v>3</v>
      </c>
      <c r="K13" s="75">
        <f t="shared" ref="K13:K49" si="4">I13/(I13+J13)</f>
        <v>0.25</v>
      </c>
      <c r="L13" s="34">
        <f>SUMIFS('BA History'!H:H,'BA History'!B:B,A13)</f>
        <v>6</v>
      </c>
      <c r="M13" s="2">
        <f>SUMIFS('BA History'!G:G,'BA History'!B:B,A13)-L13</f>
        <v>9</v>
      </c>
      <c r="N13" s="93">
        <f t="shared" ref="N13:N49" si="5">L13/(L13+M13)</f>
        <v>0.4</v>
      </c>
      <c r="O13" s="2">
        <f>COUNTIFS('BA History'!$B:$B,$A$13,'BA History'!K:K, 1)</f>
        <v>0</v>
      </c>
      <c r="P13" s="2">
        <f>COUNTIFS('BA History'!$B:$B,$A$13,'BA History'!L:L, 1)</f>
        <v>0</v>
      </c>
      <c r="Q13" s="2">
        <f>COUNTIFS('BA History'!$B:$B,$A$13,'BA History'!M:M, 1)</f>
        <v>0</v>
      </c>
      <c r="R13" s="2">
        <f>COUNTIFS('BA History'!$B:$B,$A$13,'BA History'!N:N, 1)</f>
        <v>0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0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0</v>
      </c>
      <c r="AE13" s="2">
        <f>COUNTIFS('BA History'!$B:$B,$A$13,'BA History'!AA:AA, 1)</f>
        <v>0</v>
      </c>
      <c r="AF13" s="2">
        <f>COUNTIFS('BA History'!$B:$B,$A$13,'BA History'!AB:AB, 1)</f>
        <v>0</v>
      </c>
      <c r="AG13" s="2">
        <f>COUNTIFS('BA History'!$B:$B,$A$13,'BA History'!AC:AC, 1)</f>
        <v>0</v>
      </c>
      <c r="AH13" s="2">
        <f>COUNTIFS('BA History'!$B:$B,$A$13,'BA History'!AD:AD, 1)</f>
        <v>0</v>
      </c>
      <c r="AI13" s="2">
        <f>COUNTIFS('BA History'!$B:$B,$A$13,'BA History'!AE:AE, 1)</f>
        <v>0</v>
      </c>
    </row>
    <row r="14" spans="1:35" x14ac:dyDescent="0.25">
      <c r="A14" s="2" t="s">
        <v>89</v>
      </c>
      <c r="B14" s="2" t="s">
        <v>79</v>
      </c>
      <c r="C14" s="34">
        <f>SUMIFS('BA History'!C:C,'BA History'!B:B,A14)</f>
        <v>3</v>
      </c>
      <c r="D14" s="66">
        <f>AVERAGEIFS('BA History'!C:C,'BA History'!B:B,A14)</f>
        <v>3</v>
      </c>
      <c r="E14" s="35">
        <f t="array" ref="E14">MAX(IF('BA History'!B:B=A14, 'BA History'!C:C))</f>
        <v>3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 t="shared" si="3"/>
        <v>0</v>
      </c>
      <c r="I14" s="34">
        <f>SUMIFS('BA History'!F:F,'BA History'!B:B,A14)</f>
        <v>0</v>
      </c>
      <c r="J14" s="2">
        <f>SUMIFS('BA History'!E:E,'BA History'!B:B,A14)-I14</f>
        <v>3</v>
      </c>
      <c r="K14" s="75">
        <f t="shared" si="4"/>
        <v>0</v>
      </c>
      <c r="L14" s="34">
        <f>SUMIFS('BA History'!H:H,'BA History'!B:B,A14)</f>
        <v>4</v>
      </c>
      <c r="M14" s="2">
        <f>SUMIFS('BA History'!G:G,'BA History'!B:B,A14)-L14</f>
        <v>9</v>
      </c>
      <c r="N14" s="93">
        <f t="shared" si="5"/>
        <v>0.30769230769230771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0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</row>
    <row r="15" spans="1:35" x14ac:dyDescent="0.25">
      <c r="A15" s="2" t="s">
        <v>45</v>
      </c>
      <c r="B15" s="2" t="s">
        <v>79</v>
      </c>
      <c r="C15" s="34">
        <f>SUMIFS('BA History'!C:C,'BA History'!B:B,A15)</f>
        <v>45</v>
      </c>
      <c r="D15" s="66">
        <f>AVERAGEIFS('BA History'!C:C,'BA History'!B:B,A15)</f>
        <v>9</v>
      </c>
      <c r="E15" s="35">
        <f t="array" ref="E15">MAX(IF('BA History'!B:B=A15, 'BA History'!C:C))</f>
        <v>13</v>
      </c>
      <c r="F15" s="34">
        <f>COUNTIFS('BA History'!B:B,A15,'BA History'!D:D, 1)</f>
        <v>3</v>
      </c>
      <c r="G15" s="2">
        <f>COUNTIFS('BA History'!B:B,A15,'BA History'!D:D, 0)</f>
        <v>2</v>
      </c>
      <c r="H15" s="75">
        <f t="shared" si="3"/>
        <v>0.6</v>
      </c>
      <c r="I15" s="34">
        <f>SUMIFS('BA History'!F:F,'BA History'!B:B,A15)</f>
        <v>12</v>
      </c>
      <c r="J15" s="2">
        <f>SUMIFS('BA History'!E:E,'BA History'!B:B,A15)-I15</f>
        <v>9</v>
      </c>
      <c r="K15" s="75">
        <f t="shared" si="4"/>
        <v>0.5714285714285714</v>
      </c>
      <c r="L15" s="34">
        <f>SUMIFS('BA History'!H:H,'BA History'!B:B,A15)</f>
        <v>50</v>
      </c>
      <c r="M15" s="2">
        <f>SUMIFS('BA History'!G:G,'BA History'!B:B,A15)-L15</f>
        <v>46</v>
      </c>
      <c r="N15" s="93">
        <f t="shared" si="5"/>
        <v>0.52083333333333337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2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1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2</v>
      </c>
      <c r="AC15" s="2">
        <f>COUNTIFS('BA History'!$B:$B,$A$15,'BA History'!Y:Y, 1)</f>
        <v>1</v>
      </c>
      <c r="AD15" s="2">
        <f>COUNTIFS('BA History'!$B:$B,$A$15,'BA History'!Z:Z, 1)</f>
        <v>1</v>
      </c>
      <c r="AE15" s="2">
        <f>COUNTIFS('BA History'!$B:$B,$A$15,'BA History'!AA:AA, 1)</f>
        <v>2</v>
      </c>
      <c r="AF15" s="2">
        <f>COUNTIFS('BA History'!$B:$B,$A$15,'BA History'!AB:AB, 1)</f>
        <v>2</v>
      </c>
      <c r="AG15" s="2">
        <f>COUNTIFS('BA History'!$B:$B,$A$15,'BA History'!AC:AC, 1)</f>
        <v>0</v>
      </c>
      <c r="AH15" s="2">
        <f>COUNTIFS('BA History'!$B:$B,$A$15,'BA History'!AD:AD, 1)</f>
        <v>0</v>
      </c>
      <c r="AI15" s="2">
        <f>COUNTIFS('BA History'!$B:$B,$A$15,'BA History'!AE:AE, 1)</f>
        <v>0</v>
      </c>
    </row>
    <row r="16" spans="1:35" x14ac:dyDescent="0.25">
      <c r="A16" s="2" t="s">
        <v>50</v>
      </c>
      <c r="B16" s="2" t="s">
        <v>79</v>
      </c>
      <c r="C16" s="34">
        <f>SUMIFS('BA History'!C:C,'BA History'!B:B,A16)</f>
        <v>466</v>
      </c>
      <c r="D16" s="66">
        <f>AVERAGEIFS('BA History'!C:C,'BA History'!B:B,A16)</f>
        <v>19.416666666666668</v>
      </c>
      <c r="E16" s="35">
        <f t="array" ref="E16">MAX(IF('BA History'!B:B=A16, 'BA History'!C:C))</f>
        <v>31</v>
      </c>
      <c r="F16" s="34">
        <f>COUNTIFS('BA History'!B:B,A16,'BA History'!D:D, 1)</f>
        <v>14</v>
      </c>
      <c r="G16" s="2">
        <f>COUNTIFS('BA History'!B:B,A16,'BA History'!D:D, 0)</f>
        <v>10</v>
      </c>
      <c r="H16" s="75">
        <f t="shared" si="3"/>
        <v>0.58333333333333337</v>
      </c>
      <c r="I16" s="34">
        <f>SUMIFS('BA History'!F:F,'BA History'!B:B,A16)</f>
        <v>53</v>
      </c>
      <c r="J16" s="2">
        <f>SUMIFS('BA History'!E:E,'BA History'!B:B,A16)-I16</f>
        <v>44</v>
      </c>
      <c r="K16" s="75">
        <f t="shared" si="4"/>
        <v>0.54639175257731953</v>
      </c>
      <c r="L16" s="34">
        <f>SUMIFS('BA History'!H:H,'BA History'!B:B,A16)</f>
        <v>218</v>
      </c>
      <c r="M16" s="2">
        <f>SUMIFS('BA History'!G:G,'BA History'!B:B,A16)-L16</f>
        <v>195</v>
      </c>
      <c r="N16" s="93">
        <f t="shared" si="5"/>
        <v>0.52784503631961255</v>
      </c>
      <c r="O16" s="2">
        <f>COUNTIFS('BA History'!$B:$B,$A$16,'BA History'!K:K, 1)</f>
        <v>2</v>
      </c>
      <c r="P16" s="2">
        <f>COUNTIFS('BA History'!$B:$B,$A$16,'BA History'!L:L, 1)</f>
        <v>4</v>
      </c>
      <c r="Q16" s="2">
        <f>COUNTIFS('BA History'!$B:$B,$A$16,'BA History'!M:M, 1)</f>
        <v>1</v>
      </c>
      <c r="R16" s="2">
        <f>COUNTIFS('BA History'!$B:$B,$A$16,'BA History'!N:N, 1)</f>
        <v>4</v>
      </c>
      <c r="S16" s="2">
        <f>COUNTIFS('BA History'!$B:$B,$A$16,'BA History'!O:O, 1)</f>
        <v>1</v>
      </c>
      <c r="T16" s="2">
        <f>COUNTIFS('BA History'!$B:$B,$A$16,'BA History'!P:P, 1)</f>
        <v>1</v>
      </c>
      <c r="U16" s="2">
        <f>COUNTIFS('BA History'!$B:$B,$A$16,'BA History'!Q:Q, 1)</f>
        <v>3</v>
      </c>
      <c r="V16" s="2">
        <f>COUNTIFS('BA History'!$B:$B,$A$16,'BA History'!R:R, 1)</f>
        <v>1</v>
      </c>
      <c r="W16" s="2">
        <f>COUNTIFS('BA History'!$B:$B,$A$16,'BA History'!S:S, 1)</f>
        <v>1</v>
      </c>
      <c r="X16" s="2">
        <f>COUNTIFS('BA History'!$B:$B,$A$16,'BA History'!T:T, 1)</f>
        <v>0</v>
      </c>
      <c r="Y16" s="2">
        <f>COUNTIFS('BA History'!$B:$B,$A$16,'BA History'!U:U, 1)</f>
        <v>6</v>
      </c>
      <c r="Z16" s="2">
        <f>COUNTIFS('BA History'!$B:$B,$A$16,'BA History'!V:V, 1)</f>
        <v>1</v>
      </c>
      <c r="AA16" s="2">
        <f>COUNTIFS('BA History'!$B:$B,$A$16,'BA History'!W:W, 1)</f>
        <v>1</v>
      </c>
      <c r="AB16" s="2">
        <f>COUNTIFS('BA History'!$B:$B,$A$16,'BA History'!X:X, 1)</f>
        <v>2</v>
      </c>
      <c r="AC16" s="2">
        <f>COUNTIFS('BA History'!$B:$B,$A$16,'BA History'!Y:Y, 1)</f>
        <v>8</v>
      </c>
      <c r="AD16" s="2">
        <f>COUNTIFS('BA History'!$B:$B,$A$16,'BA History'!Z:Z, 1)</f>
        <v>1</v>
      </c>
      <c r="AE16" s="2">
        <f>COUNTIFS('BA History'!$B:$B,$A$16,'BA History'!AA:AA, 1)</f>
        <v>6</v>
      </c>
      <c r="AF16" s="2">
        <f>COUNTIFS('BA History'!$B:$B,$A$16,'BA History'!AB:AB, 1)</f>
        <v>1</v>
      </c>
      <c r="AG16" s="2">
        <f>COUNTIFS('BA History'!$B:$B,$A$16,'BA History'!AC:AC, 1)</f>
        <v>7</v>
      </c>
      <c r="AH16" s="2">
        <f>COUNTIFS('BA History'!$B:$B,$A$16,'BA History'!AD:AD, 1)</f>
        <v>1</v>
      </c>
      <c r="AI16" s="2">
        <f>COUNTIFS('BA History'!$B:$B,$A$16,'BA History'!AE:AE, 1)</f>
        <v>1</v>
      </c>
    </row>
    <row r="17" spans="1:35" x14ac:dyDescent="0.25">
      <c r="A17" s="2" t="s">
        <v>52</v>
      </c>
      <c r="B17" s="2" t="s">
        <v>79</v>
      </c>
      <c r="C17" s="34">
        <f>SUMIFS('BA History'!C:C,'BA History'!B:B,A17)</f>
        <v>125</v>
      </c>
      <c r="D17" s="66">
        <f>AVERAGEIFS('BA History'!C:C,'BA History'!B:B,A17)</f>
        <v>13.888888888888889</v>
      </c>
      <c r="E17" s="35">
        <f t="array" ref="E17">MAX(IF('BA History'!B:B=A17, 'BA History'!C:C))</f>
        <v>19</v>
      </c>
      <c r="F17" s="34">
        <f>COUNTIFS('BA History'!B:B,A17,'BA History'!D:D, 1)</f>
        <v>2</v>
      </c>
      <c r="G17" s="2">
        <f>COUNTIFS('BA History'!B:B,A17,'BA History'!D:D, 0)</f>
        <v>7</v>
      </c>
      <c r="H17" s="75">
        <f t="shared" si="3"/>
        <v>0.22222222222222221</v>
      </c>
      <c r="I17" s="34">
        <f>SUMIFS('BA History'!F:F,'BA History'!B:B,A17)</f>
        <v>15</v>
      </c>
      <c r="J17" s="2">
        <f>SUMIFS('BA History'!E:E,'BA History'!B:B,A17)-I17</f>
        <v>24</v>
      </c>
      <c r="K17" s="75">
        <f t="shared" si="4"/>
        <v>0.38461538461538464</v>
      </c>
      <c r="L17" s="34">
        <f>SUMIFS('BA History'!H:H,'BA History'!B:B,A17)</f>
        <v>65</v>
      </c>
      <c r="M17" s="2">
        <f>SUMIFS('BA History'!G:G,'BA History'!B:B,A17)-L17</f>
        <v>88</v>
      </c>
      <c r="N17" s="93">
        <f t="shared" si="5"/>
        <v>0.42483660130718953</v>
      </c>
      <c r="O17" s="2">
        <f>COUNTIFS('BA History'!$B:$B,$A$17,'BA History'!K:K, 1)</f>
        <v>0</v>
      </c>
      <c r="P17" s="2">
        <f>COUNTIFS('BA History'!$B:$B,$A$17,'BA History'!L:L, 1)</f>
        <v>2</v>
      </c>
      <c r="Q17" s="2">
        <f>COUNTIFS('BA History'!$B:$B,$A$17,'BA History'!M:M, 1)</f>
        <v>0</v>
      </c>
      <c r="R17" s="2">
        <f>COUNTIFS('BA History'!$B:$B,$A$17,'BA History'!N:N, 1)</f>
        <v>2</v>
      </c>
      <c r="S17" s="2">
        <f>COUNTIFS('BA History'!$B:$B,$A$17,'BA History'!O:O, 1)</f>
        <v>0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3</v>
      </c>
      <c r="Y17" s="2">
        <f>COUNTIFS('BA History'!$B:$B,$A$17,'BA History'!U:U, 1)</f>
        <v>0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0</v>
      </c>
      <c r="AE17" s="2">
        <f>COUNTIFS('BA History'!$B:$B,$A$17,'BA History'!AA:AA, 1)</f>
        <v>3</v>
      </c>
      <c r="AF17" s="2">
        <f>COUNTIFS('BA History'!$B:$B,$A$17,'BA History'!AB:AB, 1)</f>
        <v>2</v>
      </c>
      <c r="AG17" s="2">
        <f>COUNTIFS('BA History'!$B:$B,$A$17,'BA History'!AC:AC, 1)</f>
        <v>1</v>
      </c>
      <c r="AH17" s="2">
        <f>COUNTIFS('BA History'!$B:$B,$A$17,'BA History'!AD:AD, 1)</f>
        <v>0</v>
      </c>
      <c r="AI17" s="2">
        <f>COUNTIFS('BA History'!$B:$B,$A$17,'BA History'!AE:AE, 1)</f>
        <v>0</v>
      </c>
    </row>
    <row r="18" spans="1:35" x14ac:dyDescent="0.25">
      <c r="A18" s="2" t="s">
        <v>44</v>
      </c>
      <c r="B18" s="2" t="s">
        <v>79</v>
      </c>
      <c r="C18" s="34">
        <f>SUMIFS('BA History'!C:C,'BA History'!B:B,A18)</f>
        <v>250</v>
      </c>
      <c r="D18" s="66">
        <f>AVERAGEIFS('BA History'!C:C,'BA History'!B:B,A18)</f>
        <v>17.857142857142858</v>
      </c>
      <c r="E18" s="35">
        <f t="array" ref="E18">MAX(IF('BA History'!B:B=A18, 'BA History'!C:C))</f>
        <v>31</v>
      </c>
      <c r="F18" s="34">
        <f>COUNTIFS('BA History'!B:B,A18,'BA History'!D:D, 1)</f>
        <v>9</v>
      </c>
      <c r="G18" s="2">
        <f>COUNTIFS('BA History'!B:B,A18,'BA History'!D:D, 0)</f>
        <v>5</v>
      </c>
      <c r="H18" s="75">
        <f t="shared" si="3"/>
        <v>0.6428571428571429</v>
      </c>
      <c r="I18" s="34">
        <f>SUMIFS('BA History'!F:F,'BA History'!B:B,A18)</f>
        <v>31</v>
      </c>
      <c r="J18" s="2">
        <f>SUMIFS('BA History'!E:E,'BA History'!B:B,A18)-I18</f>
        <v>26</v>
      </c>
      <c r="K18" s="75">
        <f t="shared" si="4"/>
        <v>0.54385964912280704</v>
      </c>
      <c r="L18" s="34">
        <f>SUMIFS('BA History'!H:H,'BA History'!B:B,A18)</f>
        <v>122</v>
      </c>
      <c r="M18" s="2">
        <f>SUMIFS('BA History'!G:G,'BA History'!B:B,A18)-L18</f>
        <v>108</v>
      </c>
      <c r="N18" s="93">
        <f t="shared" si="5"/>
        <v>0.5304347826086957</v>
      </c>
      <c r="O18" s="2">
        <f>COUNTIFS('BA History'!$B:$B,$A$18,'BA History'!K:K, 1)</f>
        <v>3</v>
      </c>
      <c r="P18" s="2">
        <f>COUNTIFS('BA History'!$B:$B,$A$18,'BA History'!L:L, 1)</f>
        <v>1</v>
      </c>
      <c r="Q18" s="2">
        <f>COUNTIFS('BA History'!$B:$B,$A$18,'BA History'!M:M, 1)</f>
        <v>3</v>
      </c>
      <c r="R18" s="2">
        <f>COUNTIFS('BA History'!$B:$B,$A$18,'BA History'!N:N, 1)</f>
        <v>1</v>
      </c>
      <c r="S18" s="2">
        <f>COUNTIFS('BA History'!$B:$B,$A$18,'BA History'!O:O, 1)</f>
        <v>0</v>
      </c>
      <c r="T18" s="2">
        <f>COUNTIFS('BA History'!$B:$B,$A$18,'BA History'!P:P, 1)</f>
        <v>0</v>
      </c>
      <c r="U18" s="2">
        <f>COUNTIFS('BA History'!$B:$B,$A$18,'BA History'!Q:Q, 1)</f>
        <v>1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0</v>
      </c>
      <c r="Y18" s="2">
        <f>COUNTIFS('BA History'!$B:$B,$A$18,'BA History'!U:U, 1)</f>
        <v>2</v>
      </c>
      <c r="Z18" s="2">
        <f>COUNTIFS('BA History'!$B:$B,$A$18,'BA History'!V:V, 1)</f>
        <v>3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1</v>
      </c>
      <c r="AE18" s="2">
        <f>COUNTIFS('BA History'!$B:$B,$A$18,'BA History'!AA:AA, 1)</f>
        <v>1</v>
      </c>
      <c r="AF18" s="2">
        <f>COUNTIFS('BA History'!$B:$B,$A$18,'BA History'!AB:AB, 1)</f>
        <v>2</v>
      </c>
      <c r="AG18" s="2">
        <f>COUNTIFS('BA History'!$B:$B,$A$18,'BA History'!AC:AC, 1)</f>
        <v>2</v>
      </c>
      <c r="AH18" s="2">
        <f>COUNTIFS('BA History'!$B:$B,$A$18,'BA History'!AD:AD, 1)</f>
        <v>1</v>
      </c>
      <c r="AI18" s="2">
        <f>COUNTIFS('BA History'!$B:$B,$A$18,'BA History'!AE:AE, 1)</f>
        <v>3</v>
      </c>
    </row>
    <row r="19" spans="1:35" x14ac:dyDescent="0.25">
      <c r="A19" s="2" t="s">
        <v>144</v>
      </c>
      <c r="B19" s="2" t="s">
        <v>79</v>
      </c>
      <c r="C19" s="34">
        <f>SUMIFS('BA History'!C:C,'BA History'!B:B,A19)</f>
        <v>12</v>
      </c>
      <c r="D19" s="66">
        <f>AVERAGEIFS('BA History'!C:C,'BA History'!B:B,A19)</f>
        <v>12</v>
      </c>
      <c r="E19" s="35">
        <f t="array" ref="E19">MAX(IF('BA History'!B:B=A19, 'BA History'!C:C))</f>
        <v>12</v>
      </c>
      <c r="F19" s="34">
        <f>COUNTIFS('BA History'!B:B,A19,'BA History'!D:D, 1)</f>
        <v>0</v>
      </c>
      <c r="G19" s="2">
        <f>COUNTIFS('BA History'!B:B,A19,'BA History'!D:D, 0)</f>
        <v>1</v>
      </c>
      <c r="H19" s="75">
        <f t="shared" ref="H19" si="6">F19/(F19+G19)</f>
        <v>0</v>
      </c>
      <c r="I19" s="34">
        <f>SUMIFS('BA History'!F:F,'BA History'!B:B,A19)</f>
        <v>1</v>
      </c>
      <c r="J19" s="2">
        <f>SUMIFS('BA History'!E:E,'BA History'!B:B,A19)-I19</f>
        <v>3</v>
      </c>
      <c r="K19" s="75">
        <f t="shared" ref="K19" si="7">I19/(I19+J19)</f>
        <v>0.25</v>
      </c>
      <c r="L19" s="34">
        <f>SUMIFS('BA History'!H:H,'BA History'!B:B,A19)</f>
        <v>5</v>
      </c>
      <c r="M19" s="2">
        <f>SUMIFS('BA History'!G:G,'BA History'!B:B,A19)-L19</f>
        <v>9</v>
      </c>
      <c r="N19" s="93">
        <f t="shared" ref="N19" si="8">L19/(L19+M19)</f>
        <v>0.35714285714285715</v>
      </c>
      <c r="O19" s="2">
        <f>COUNTIFS('BA History'!$B:$B,$A$19,'BA History'!K:K, 1)</f>
        <v>0</v>
      </c>
      <c r="P19" s="2">
        <f>COUNTIFS('BA History'!$B:$B,$A$19,'BA History'!L:L, 1)</f>
        <v>0</v>
      </c>
      <c r="Q19" s="2">
        <f>COUNTIFS('BA History'!$B:$B,$A$19,'BA History'!M:M, 1)</f>
        <v>0</v>
      </c>
      <c r="R19" s="2">
        <f>COUNTIFS('BA History'!$B:$B,$A$19,'BA History'!N:N, 1)</f>
        <v>1</v>
      </c>
      <c r="S19" s="2">
        <f>COUNTIFS('BA History'!$B:$B,$A$19,'BA History'!O:O, 1)</f>
        <v>0</v>
      </c>
      <c r="T19" s="2">
        <f>COUNTIFS('BA History'!$B:$B,$A$19,'BA History'!P:P, 1)</f>
        <v>0</v>
      </c>
      <c r="U19" s="2">
        <f>COUNTIFS('BA History'!$B:$B,$A$19,'BA History'!Q:Q, 1)</f>
        <v>0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0</v>
      </c>
      <c r="Z19" s="2">
        <f>COUNTIFS('BA History'!$B:$B,$A$19,'BA History'!V:V, 1)</f>
        <v>0</v>
      </c>
      <c r="AA19" s="2">
        <f>COUNTIFS('BA History'!$B:$B,$A$19,'BA History'!W:W, 1)</f>
        <v>0</v>
      </c>
      <c r="AB19" s="2">
        <f>COUNTIFS('BA History'!$B:$B,$A$19,'BA History'!X:X, 1)</f>
        <v>0</v>
      </c>
      <c r="AC19" s="2">
        <f>COUNTIFS('BA History'!$B:$B,$A$19,'BA History'!Y:Y, 1)</f>
        <v>0</v>
      </c>
      <c r="AD19" s="2">
        <f>COUNTIFS('BA History'!$B:$B,$A$19,'BA History'!Z:Z, 1)</f>
        <v>0</v>
      </c>
      <c r="AE19" s="2">
        <f>COUNTIFS('BA History'!$B:$B,$A$19,'BA History'!AA:AA, 1)</f>
        <v>0</v>
      </c>
      <c r="AF19" s="2">
        <f>COUNTIFS('BA History'!$B:$B,$A$19,'BA History'!AB:AB, 1)</f>
        <v>0</v>
      </c>
      <c r="AG19" s="2">
        <f>COUNTIFS('BA History'!$B:$B,$A$19,'BA History'!AC:AC, 1)</f>
        <v>0</v>
      </c>
      <c r="AH19" s="2">
        <f>COUNTIFS('BA History'!$B:$B,$A$19,'BA History'!AD:AD, 1)</f>
        <v>0</v>
      </c>
      <c r="AI19" s="2">
        <f>COUNTIFS('BA History'!$B:$B,$A$19,'BA History'!AE:AE, 1)</f>
        <v>0</v>
      </c>
    </row>
    <row r="20" spans="1:35" x14ac:dyDescent="0.25">
      <c r="A20" s="2" t="s">
        <v>139</v>
      </c>
      <c r="B20" s="2" t="s">
        <v>79</v>
      </c>
      <c r="C20" s="34">
        <f>SUMIFS('BA History'!C:C,'BA History'!B:B,A20)</f>
        <v>10</v>
      </c>
      <c r="D20" s="66">
        <f>AVERAGEIFS('BA History'!C:C,'BA History'!B:B,A20)</f>
        <v>10</v>
      </c>
      <c r="E20" s="35">
        <f t="array" ref="E20">MAX(IF('BA History'!B:B=A20, 'BA History'!C:C))</f>
        <v>10</v>
      </c>
      <c r="F20" s="34">
        <f>COUNTIFS('BA History'!B:B,A20,'BA History'!D:D, 1)</f>
        <v>0</v>
      </c>
      <c r="G20" s="2">
        <f>COUNTIFS('BA History'!B:B,A20,'BA History'!D:D, 0)</f>
        <v>1</v>
      </c>
      <c r="H20" s="75">
        <f t="shared" ref="H20" si="9">F20/(F20+G20)</f>
        <v>0</v>
      </c>
      <c r="I20" s="34">
        <f>SUMIFS('BA History'!F:F,'BA History'!B:B,A20)</f>
        <v>2</v>
      </c>
      <c r="J20" s="2">
        <f>SUMIFS('BA History'!E:E,'BA History'!B:B,A20)-I20</f>
        <v>3</v>
      </c>
      <c r="K20" s="75">
        <f t="shared" ref="K20" si="10">I20/(I20+J20)</f>
        <v>0.4</v>
      </c>
      <c r="L20" s="34">
        <f>SUMIFS('BA History'!H:H,'BA History'!B:B,A20)</f>
        <v>10</v>
      </c>
      <c r="M20" s="2">
        <f>SUMIFS('BA History'!G:G,'BA History'!B:B,A20)-L20</f>
        <v>12</v>
      </c>
      <c r="N20" s="93">
        <f t="shared" ref="N20" si="11">L20/(L20+M20)</f>
        <v>0.45454545454545453</v>
      </c>
      <c r="O20" s="2">
        <f>COUNTIFS('BA History'!$B:$B,$A$20,'BA History'!K:K, 1)</f>
        <v>0</v>
      </c>
      <c r="P20" s="2">
        <f>COUNTIFS('BA History'!$B:$B,$A$20,'BA History'!L:L, 1)</f>
        <v>0</v>
      </c>
      <c r="Q20" s="2">
        <f>COUNTIFS('BA History'!$B:$B,$A$20,'BA History'!M:M, 1)</f>
        <v>0</v>
      </c>
      <c r="R20" s="2">
        <f>COUNTIFS('BA History'!$B:$B,$A$20,'BA History'!N:N, 1)</f>
        <v>0</v>
      </c>
      <c r="S20" s="2">
        <f>COUNTIFS('BA History'!$B:$B,$A$20,'BA History'!O:O, 1)</f>
        <v>0</v>
      </c>
      <c r="T20" s="2">
        <f>COUNTIFS('BA History'!$B:$B,$A$20,'BA History'!P:P, 1)</f>
        <v>0</v>
      </c>
      <c r="U20" s="2">
        <f>COUNTIFS('BA History'!$B:$B,$A$20,'BA History'!Q:Q, 1)</f>
        <v>0</v>
      </c>
      <c r="V20" s="2">
        <f>COUNTIFS('BA History'!$B:$B,$A$20,'BA History'!R:R, 1)</f>
        <v>0</v>
      </c>
      <c r="W20" s="2">
        <f>COUNTIFS('BA History'!$B:$B,$A$20,'BA History'!S:S, 1)</f>
        <v>0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0</v>
      </c>
      <c r="AA20" s="2">
        <f>COUNTIFS('BA History'!$B:$B,$A$20,'BA History'!W:W, 1)</f>
        <v>0</v>
      </c>
      <c r="AB20" s="2">
        <f>COUNTIFS('BA History'!$B:$B,$A$20,'BA History'!X:X, 1)</f>
        <v>0</v>
      </c>
      <c r="AC20" s="2">
        <f>COUNTIFS('BA History'!$B:$B,$A$20,'BA History'!Y:Y, 1)</f>
        <v>0</v>
      </c>
      <c r="AD20" s="2">
        <f>COUNTIFS('BA History'!$B:$B,$A$20,'BA History'!Z:Z, 1)</f>
        <v>1</v>
      </c>
      <c r="AE20" s="2">
        <f>COUNTIFS('BA History'!$B:$B,$A$20,'BA History'!AA:AA, 1)</f>
        <v>1</v>
      </c>
      <c r="AF20" s="2">
        <f>COUNTIFS('BA History'!$B:$B,$A$20,'BA History'!AB:AB, 1)</f>
        <v>0</v>
      </c>
      <c r="AG20" s="2">
        <f>COUNTIFS('BA History'!$B:$B,$A$20,'BA History'!AC:AC, 1)</f>
        <v>0</v>
      </c>
      <c r="AH20" s="2">
        <f>COUNTIFS('BA History'!$B:$B,$A$20,'BA History'!AD:AD, 1)</f>
        <v>0</v>
      </c>
      <c r="AI20" s="2">
        <f>COUNTIFS('BA History'!$B:$B,$A$20,'BA History'!AE:AE, 1)</f>
        <v>0</v>
      </c>
    </row>
    <row r="21" spans="1:35" ht="15.75" x14ac:dyDescent="0.25">
      <c r="A21" s="2" t="s">
        <v>1</v>
      </c>
      <c r="B21" s="80" t="s">
        <v>60</v>
      </c>
      <c r="C21" s="34">
        <f>SUMIFS('BA History'!C:C,'BA History'!B:B,A21)</f>
        <v>373</v>
      </c>
      <c r="D21" s="66">
        <f>AVERAGEIFS('BA History'!C:C,'BA History'!B:B,A21)</f>
        <v>28.692307692307693</v>
      </c>
      <c r="E21" s="35">
        <f t="array" ref="E21">MAX(IF('BA History'!B:B=A21, 'BA History'!C:C))</f>
        <v>50</v>
      </c>
      <c r="F21" s="34">
        <f>COUNTIFS('BA History'!B:B,A21,'BA History'!D:D, 1)</f>
        <v>6</v>
      </c>
      <c r="G21" s="2">
        <f>COUNTIFS('BA History'!B:B,A21,'BA History'!D:D, 0)</f>
        <v>7</v>
      </c>
      <c r="H21" s="75">
        <f t="shared" si="3"/>
        <v>0.46153846153846156</v>
      </c>
      <c r="I21" s="34">
        <f>SUMIFS('BA History'!F:F,'BA History'!B:B,A21)</f>
        <v>23</v>
      </c>
      <c r="J21" s="2">
        <f>SUMIFS('BA History'!E:E,'BA History'!B:B,A21)-I21</f>
        <v>30</v>
      </c>
      <c r="K21" s="75">
        <f t="shared" si="4"/>
        <v>0.43396226415094341</v>
      </c>
      <c r="L21" s="34">
        <f>SUMIFS('BA History'!H:H,'BA History'!B:B,A21)</f>
        <v>102</v>
      </c>
      <c r="M21" s="2">
        <f>SUMIFS('BA History'!G:G,'BA History'!B:B,A21)-L21</f>
        <v>121</v>
      </c>
      <c r="N21" s="93">
        <f t="shared" si="5"/>
        <v>0.45739910313901344</v>
      </c>
      <c r="O21" s="2">
        <f>COUNTIFS('BA History'!$B:$B,$A$21,'BA History'!K:K, 1)</f>
        <v>1</v>
      </c>
      <c r="P21" s="2">
        <f>COUNTIFS('BA History'!$B:$B,$A$21,'BA History'!L:L, 1)</f>
        <v>3</v>
      </c>
      <c r="Q21" s="2">
        <f>COUNTIFS('BA History'!$B:$B,$A$21,'BA History'!M:M, 1)</f>
        <v>1</v>
      </c>
      <c r="R21" s="2">
        <f>COUNTIFS('BA History'!$B:$B,$A$21,'BA History'!N:N, 1)</f>
        <v>1</v>
      </c>
      <c r="S21" s="2">
        <f>COUNTIFS('BA History'!$B:$B,$A$21,'BA History'!O:O, 1)</f>
        <v>1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3</v>
      </c>
      <c r="Z21" s="2">
        <f>COUNTIFS('BA History'!$B:$B,$A$21,'BA History'!V:V, 1)</f>
        <v>1</v>
      </c>
      <c r="AA21" s="2">
        <f>COUNTIFS('BA History'!$B:$B,$A$21,'BA History'!W:W, 1)</f>
        <v>0</v>
      </c>
      <c r="AB21" s="2">
        <f>COUNTIFS('BA History'!$B:$B,$A$21,'BA History'!X:X, 1)</f>
        <v>2</v>
      </c>
      <c r="AC21" s="2">
        <f>COUNTIFS('BA History'!$B:$B,$A$21,'BA History'!Y:Y, 1)</f>
        <v>1</v>
      </c>
      <c r="AD21" s="2">
        <f>COUNTIFS('BA History'!$B:$B,$A$21,'BA History'!Z:Z, 1)</f>
        <v>1</v>
      </c>
      <c r="AE21" s="2">
        <f>COUNTIFS('BA History'!$B:$B,$A$21,'BA History'!AA:AA, 1)</f>
        <v>2</v>
      </c>
      <c r="AF21" s="2">
        <f>COUNTIFS('BA History'!$B:$B,$A$21,'BA History'!AB:AB, 1)</f>
        <v>2</v>
      </c>
      <c r="AG21" s="2">
        <f>COUNTIFS('BA History'!$B:$B,$A$21,'BA History'!AC:AC, 1)</f>
        <v>3</v>
      </c>
      <c r="AH21" s="2">
        <f>COUNTIFS('BA History'!$B:$B,$A$21,'BA History'!AD:AD, 1)</f>
        <v>1</v>
      </c>
      <c r="AI21" s="2">
        <f>COUNTIFS('BA History'!$B:$B,$A$21,'BA History'!AE:AE, 1)</f>
        <v>0</v>
      </c>
    </row>
    <row r="22" spans="1:35" ht="15.75" x14ac:dyDescent="0.25">
      <c r="A22" s="2" t="s">
        <v>46</v>
      </c>
      <c r="B22" s="80" t="s">
        <v>60</v>
      </c>
      <c r="C22" s="34">
        <f>SUMIFS('BA History'!C:C,'BA History'!B:B,A22)</f>
        <v>331</v>
      </c>
      <c r="D22" s="66">
        <f>AVERAGEIFS('BA History'!C:C,'BA History'!B:B,A22)</f>
        <v>19.470588235294116</v>
      </c>
      <c r="E22" s="35">
        <f t="array" ref="E22">MAX(IF('BA History'!B:B=A22, 'BA History'!C:C))</f>
        <v>27</v>
      </c>
      <c r="F22" s="34">
        <f>COUNTIFS('BA History'!B:B,A22,'BA History'!D:D, 1)</f>
        <v>7</v>
      </c>
      <c r="G22" s="2">
        <f>COUNTIFS('BA History'!B:B,A22,'BA History'!D:D, 0)</f>
        <v>10</v>
      </c>
      <c r="H22" s="75">
        <f t="shared" si="3"/>
        <v>0.41176470588235292</v>
      </c>
      <c r="I22" s="34">
        <f>SUMIFS('BA History'!F:F,'BA History'!B:B,A22)</f>
        <v>36</v>
      </c>
      <c r="J22" s="2">
        <f>SUMIFS('BA History'!E:E,'BA History'!B:B,A22)-I22</f>
        <v>39</v>
      </c>
      <c r="K22" s="75">
        <f t="shared" si="4"/>
        <v>0.48</v>
      </c>
      <c r="L22" s="34">
        <f>SUMIFS('BA History'!H:H,'BA History'!B:B,A22)</f>
        <v>154</v>
      </c>
      <c r="M22" s="2">
        <f>SUMIFS('BA History'!G:G,'BA History'!B:B,A22)-L22</f>
        <v>162</v>
      </c>
      <c r="N22" s="93">
        <f t="shared" si="5"/>
        <v>0.48734177215189872</v>
      </c>
      <c r="O22" s="2">
        <f>COUNTIFS('BA History'!$B:$B,$A$22,'BA History'!K:K, 1)</f>
        <v>4</v>
      </c>
      <c r="P22" s="2">
        <f>COUNTIFS('BA History'!$B:$B,$A$22,'BA History'!L:L, 1)</f>
        <v>1</v>
      </c>
      <c r="Q22" s="2">
        <f>COUNTIFS('BA History'!$B:$B,$A$22,'BA History'!M:M, 1)</f>
        <v>2</v>
      </c>
      <c r="R22" s="2">
        <f>COUNTIFS('BA History'!$B:$B,$A$22,'BA History'!N:N, 1)</f>
        <v>3</v>
      </c>
      <c r="S22" s="2">
        <f>COUNTIFS('BA History'!$B:$B,$A$22,'BA History'!O:O, 1)</f>
        <v>1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1</v>
      </c>
      <c r="W22" s="2">
        <f>COUNTIFS('BA History'!$B:$B,$A$22,'BA History'!S:S, 1)</f>
        <v>0</v>
      </c>
      <c r="X22" s="2">
        <f>COUNTIFS('BA History'!$B:$B,$A$22,'BA History'!T:T, 1)</f>
        <v>1</v>
      </c>
      <c r="Y22" s="2">
        <f>COUNTIFS('BA History'!$B:$B,$A$22,'BA History'!U:U, 1)</f>
        <v>1</v>
      </c>
      <c r="Z22" s="2">
        <f>COUNTIFS('BA History'!$B:$B,$A$22,'BA History'!V:V, 1)</f>
        <v>2</v>
      </c>
      <c r="AA22" s="2">
        <f>COUNTIFS('BA History'!$B:$B,$A$22,'BA History'!W:W, 1)</f>
        <v>1</v>
      </c>
      <c r="AB22" s="2">
        <f>COUNTIFS('BA History'!$B:$B,$A$22,'BA History'!X:X, 1)</f>
        <v>0</v>
      </c>
      <c r="AC22" s="2">
        <f>COUNTIFS('BA History'!$B:$B,$A$22,'BA History'!Y:Y, 1)</f>
        <v>6</v>
      </c>
      <c r="AD22" s="2">
        <f>COUNTIFS('BA History'!$B:$B,$A$22,'BA History'!Z:Z, 1)</f>
        <v>1</v>
      </c>
      <c r="AE22" s="2">
        <f>COUNTIFS('BA History'!$B:$B,$A$22,'BA History'!AA:AA, 1)</f>
        <v>5</v>
      </c>
      <c r="AF22" s="2">
        <f>COUNTIFS('BA History'!$B:$B,$A$22,'BA History'!AB:AB, 1)</f>
        <v>0</v>
      </c>
      <c r="AG22" s="2">
        <f>COUNTIFS('BA History'!$B:$B,$A$22,'BA History'!AC:AC, 1)</f>
        <v>3</v>
      </c>
      <c r="AH22" s="2">
        <f>COUNTIFS('BA History'!$B:$B,$A$22,'BA History'!AD:AD, 1)</f>
        <v>2</v>
      </c>
      <c r="AI22" s="2">
        <f>COUNTIFS('BA History'!$B:$B,$A$22,'BA History'!AE:AE, 1)</f>
        <v>2</v>
      </c>
    </row>
    <row r="23" spans="1:35" x14ac:dyDescent="0.25">
      <c r="A23" s="2" t="s">
        <v>28</v>
      </c>
      <c r="B23" s="2" t="s">
        <v>79</v>
      </c>
      <c r="C23" s="34">
        <f>SUMIFS('BA History'!C:C,'BA History'!B:B,A23)</f>
        <v>253</v>
      </c>
      <c r="D23" s="66">
        <f>AVERAGEIFS('BA History'!C:C,'BA History'!B:B,A23)</f>
        <v>15.8125</v>
      </c>
      <c r="E23" s="35">
        <f t="array" ref="E23">MAX(IF('BA History'!B:B=A23, 'BA History'!C:C))</f>
        <v>25</v>
      </c>
      <c r="F23" s="34">
        <f>COUNTIFS('BA History'!B:B,A23,'BA History'!D:D, 1)</f>
        <v>5</v>
      </c>
      <c r="G23" s="2">
        <f>COUNTIFS('BA History'!B:B,A23,'BA History'!D:D, 0)</f>
        <v>11</v>
      </c>
      <c r="H23" s="75">
        <f t="shared" si="3"/>
        <v>0.3125</v>
      </c>
      <c r="I23" s="34">
        <f>SUMIFS('BA History'!F:F,'BA History'!B:B,A23)</f>
        <v>24</v>
      </c>
      <c r="J23" s="2">
        <f>SUMIFS('BA History'!E:E,'BA History'!B:B,A23)-I23</f>
        <v>37</v>
      </c>
      <c r="K23" s="75">
        <f t="shared" si="4"/>
        <v>0.39344262295081966</v>
      </c>
      <c r="L23" s="34">
        <f>SUMIFS('BA History'!H:H,'BA History'!B:B,A23)</f>
        <v>118</v>
      </c>
      <c r="M23" s="2">
        <f>SUMIFS('BA History'!G:G,'BA History'!B:B,A23)-L23</f>
        <v>136</v>
      </c>
      <c r="N23" s="93">
        <f t="shared" si="5"/>
        <v>0.46456692913385828</v>
      </c>
      <c r="O23" s="2">
        <f>COUNTIFS('BA History'!$B:$B,$A$23,'BA History'!K:K, 1)</f>
        <v>0</v>
      </c>
      <c r="P23" s="2">
        <f>COUNTIFS('BA History'!$B:$B,$A$23,'BA History'!L:L, 1)</f>
        <v>2</v>
      </c>
      <c r="Q23" s="2">
        <f>COUNTIFS('BA History'!$B:$B,$A$23,'BA History'!M:M, 1)</f>
        <v>1</v>
      </c>
      <c r="R23" s="2">
        <f>COUNTIFS('BA History'!$B:$B,$A$23,'BA History'!N:N, 1)</f>
        <v>2</v>
      </c>
      <c r="S23" s="2">
        <f>COUNTIFS('BA History'!$B:$B,$A$23,'BA History'!O:O, 1)</f>
        <v>1</v>
      </c>
      <c r="T23" s="2">
        <f>COUNTIFS('BA History'!$B:$B,$A$23,'BA History'!P:P, 1)</f>
        <v>0</v>
      </c>
      <c r="U23" s="2">
        <f>COUNTIFS('BA History'!$B:$B,$A$23,'BA History'!Q:Q, 1)</f>
        <v>2</v>
      </c>
      <c r="V23" s="2">
        <f>COUNTIFS('BA History'!$B:$B,$A$23,'BA History'!R:R, 1)</f>
        <v>1</v>
      </c>
      <c r="W23" s="2">
        <f>COUNTIFS('BA History'!$B:$B,$A$23,'BA History'!S:S, 1)</f>
        <v>1</v>
      </c>
      <c r="X23" s="2">
        <f>COUNTIFS('BA History'!$B:$B,$A$23,'BA History'!T:T, 1)</f>
        <v>2</v>
      </c>
      <c r="Y23" s="2">
        <f>COUNTIFS('BA History'!$B:$B,$A$23,'BA History'!U:U, 1)</f>
        <v>1</v>
      </c>
      <c r="Z23" s="2">
        <f>COUNTIFS('BA History'!$B:$B,$A$23,'BA History'!V:V, 1)</f>
        <v>0</v>
      </c>
      <c r="AA23" s="2">
        <f>COUNTIFS('BA History'!$B:$B,$A$23,'BA History'!W:W, 1)</f>
        <v>1</v>
      </c>
      <c r="AB23" s="2">
        <f>COUNTIFS('BA History'!$B:$B,$A$23,'BA History'!X:X, 1)</f>
        <v>1</v>
      </c>
      <c r="AC23" s="2">
        <f>COUNTIFS('BA History'!$B:$B,$A$23,'BA History'!Y:Y, 1)</f>
        <v>3</v>
      </c>
      <c r="AD23" s="2">
        <f>COUNTIFS('BA History'!$B:$B,$A$23,'BA History'!Z:Z, 1)</f>
        <v>0</v>
      </c>
      <c r="AE23" s="2">
        <f>COUNTIFS('BA History'!$B:$B,$A$23,'BA History'!AA:AA, 1)</f>
        <v>3</v>
      </c>
      <c r="AF23" s="2">
        <f>COUNTIFS('BA History'!$B:$B,$A$23,'BA History'!AB:AB, 1)</f>
        <v>1</v>
      </c>
      <c r="AG23" s="2">
        <f>COUNTIFS('BA History'!$B:$B,$A$23,'BA History'!AC:AC, 1)</f>
        <v>2</v>
      </c>
      <c r="AH23" s="2">
        <f>COUNTIFS('BA History'!$B:$B,$A$23,'BA History'!AD:AD, 1)</f>
        <v>0</v>
      </c>
      <c r="AI23" s="2">
        <f>COUNTIFS('BA History'!$B:$B,$A$23,'BA History'!AE:AE, 1)</f>
        <v>0</v>
      </c>
    </row>
    <row r="24" spans="1:35" x14ac:dyDescent="0.25">
      <c r="A24" s="2" t="s">
        <v>53</v>
      </c>
      <c r="B24" s="2" t="s">
        <v>79</v>
      </c>
      <c r="C24" s="34">
        <f>SUMIFS('BA History'!C:C,'BA History'!B:B,A24)</f>
        <v>210</v>
      </c>
      <c r="D24" s="66">
        <f>AVERAGEIFS('BA History'!C:C,'BA History'!B:B,A24)</f>
        <v>17.5</v>
      </c>
      <c r="E24" s="35">
        <f t="array" ref="E24">MAX(IF('BA History'!B:B=A24, 'BA History'!C:C))</f>
        <v>36</v>
      </c>
      <c r="F24" s="34">
        <f>COUNTIFS('BA History'!B:B,A24,'BA History'!D:D, 1)</f>
        <v>6</v>
      </c>
      <c r="G24" s="2">
        <f>COUNTIFS('BA History'!B:B,A24,'BA History'!D:D, 0)</f>
        <v>6</v>
      </c>
      <c r="H24" s="75">
        <f t="shared" si="3"/>
        <v>0.5</v>
      </c>
      <c r="I24" s="34">
        <f>SUMIFS('BA History'!F:F,'BA History'!B:B,A24)</f>
        <v>24</v>
      </c>
      <c r="J24" s="2">
        <f>SUMIFS('BA History'!E:E,'BA History'!B:B,A24)-I24</f>
        <v>22</v>
      </c>
      <c r="K24" s="75">
        <f t="shared" si="4"/>
        <v>0.52173913043478259</v>
      </c>
      <c r="L24" s="34">
        <f>SUMIFS('BA History'!H:H,'BA History'!B:B,A24)</f>
        <v>94</v>
      </c>
      <c r="M24" s="2">
        <f>SUMIFS('BA History'!G:G,'BA History'!B:B,A24)-L24</f>
        <v>92</v>
      </c>
      <c r="N24" s="93">
        <f t="shared" si="5"/>
        <v>0.5053763440860215</v>
      </c>
      <c r="O24" s="2">
        <f>COUNTIFS('BA History'!$B:$B,$A$24,'BA History'!K:K, 1)</f>
        <v>1</v>
      </c>
      <c r="P24" s="2">
        <f>COUNTIFS('BA History'!$B:$B,$A$24,'BA History'!L:L, 1)</f>
        <v>1</v>
      </c>
      <c r="Q24" s="2">
        <f>COUNTIFS('BA History'!$B:$B,$A$24,'BA History'!M:M, 1)</f>
        <v>0</v>
      </c>
      <c r="R24" s="2">
        <f>COUNTIFS('BA History'!$B:$B,$A$24,'BA History'!N:N, 1)</f>
        <v>4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2</v>
      </c>
      <c r="Z24" s="2">
        <f>COUNTIFS('BA History'!$B:$B,$A$24,'BA History'!V:V, 1)</f>
        <v>1</v>
      </c>
      <c r="AA24" s="2">
        <f>COUNTIFS('BA History'!$B:$B,$A$24,'BA History'!W:W, 1)</f>
        <v>1</v>
      </c>
      <c r="AB24" s="2">
        <f>COUNTIFS('BA History'!$B:$B,$A$24,'BA History'!X:X, 1)</f>
        <v>0</v>
      </c>
      <c r="AC24" s="2">
        <f>COUNTIFS('BA History'!$B:$B,$A$24,'BA History'!Y:Y, 1)</f>
        <v>5</v>
      </c>
      <c r="AD24" s="2">
        <f>COUNTIFS('BA History'!$B:$B,$A$24,'BA History'!Z:Z, 1)</f>
        <v>0</v>
      </c>
      <c r="AE24" s="2">
        <f>COUNTIFS('BA History'!$B:$B,$A$24,'BA History'!AA:AA, 1)</f>
        <v>4</v>
      </c>
      <c r="AF24" s="2">
        <f>COUNTIFS('BA History'!$B:$B,$A$24,'BA History'!AB:AB, 1)</f>
        <v>1</v>
      </c>
      <c r="AG24" s="2">
        <f>COUNTIFS('BA History'!$B:$B,$A$24,'BA History'!AC:AC, 1)</f>
        <v>2</v>
      </c>
      <c r="AH24" s="2">
        <f>COUNTIFS('BA History'!$B:$B,$A$24,'BA History'!AD:AD, 1)</f>
        <v>0</v>
      </c>
      <c r="AI24" s="2">
        <f>COUNTIFS('BA History'!$B:$B,$A$24,'BA History'!AE:AE, 1)</f>
        <v>0</v>
      </c>
    </row>
    <row r="25" spans="1:35" x14ac:dyDescent="0.25">
      <c r="A25" s="2" t="s">
        <v>51</v>
      </c>
      <c r="B25" s="2" t="s">
        <v>79</v>
      </c>
      <c r="C25" s="34">
        <f>SUMIFS('BA History'!C:C,'BA History'!B:B,A25)</f>
        <v>21</v>
      </c>
      <c r="D25" s="66">
        <f>AVERAGEIFS('BA History'!C:C,'BA History'!B:B,A25)</f>
        <v>10.5</v>
      </c>
      <c r="E25" s="35">
        <f t="array" ref="E25">MAX(IF('BA History'!B:B=A25, 'BA History'!C:C))</f>
        <v>16</v>
      </c>
      <c r="F25" s="34">
        <f>COUNTIFS('BA History'!B:B,A25,'BA History'!D:D, 1)</f>
        <v>1</v>
      </c>
      <c r="G25" s="2">
        <f>COUNTIFS('BA History'!B:B,A25,'BA History'!D:D, 0)</f>
        <v>1</v>
      </c>
      <c r="H25" s="75">
        <f t="shared" si="3"/>
        <v>0.5</v>
      </c>
      <c r="I25" s="34">
        <f>SUMIFS('BA History'!F:F,'BA History'!B:B,A25)</f>
        <v>2</v>
      </c>
      <c r="J25" s="2">
        <f>SUMIFS('BA History'!E:E,'BA History'!B:B,A25)-I25</f>
        <v>4</v>
      </c>
      <c r="K25" s="75">
        <f t="shared" si="4"/>
        <v>0.33333333333333331</v>
      </c>
      <c r="L25" s="34">
        <f>SUMIFS('BA History'!H:H,'BA History'!B:B,A25)</f>
        <v>10</v>
      </c>
      <c r="M25" s="2">
        <f>SUMIFS('BA History'!G:G,'BA History'!B:B,A25)-L25</f>
        <v>16</v>
      </c>
      <c r="N25" s="93">
        <f t="shared" si="5"/>
        <v>0.38461538461538464</v>
      </c>
      <c r="O25" s="2">
        <f>COUNTIFS('BA History'!$B:$B,$A$25,'BA History'!K:K, 1)</f>
        <v>0</v>
      </c>
      <c r="P25" s="2">
        <f>COUNTIFS('BA History'!$B:$B,$A$25,'BA History'!L:L, 1)</f>
        <v>0</v>
      </c>
      <c r="Q25" s="2">
        <f>COUNTIFS('BA History'!$B:$B,$A$25,'BA History'!M:M, 1)</f>
        <v>0</v>
      </c>
      <c r="R25" s="2">
        <f>COUNTIFS('BA History'!$B:$B,$A$25,'BA History'!N:N, 1)</f>
        <v>0</v>
      </c>
      <c r="S25" s="2">
        <f>COUNTIFS('BA History'!$B:$B,$A$25,'BA History'!O:O, 1)</f>
        <v>0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0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0</v>
      </c>
      <c r="Z25" s="2">
        <f>COUNTIFS('BA History'!$B:$B,$A$25,'BA History'!V:V, 1)</f>
        <v>0</v>
      </c>
      <c r="AA25" s="2">
        <f>COUNTIFS('BA History'!$B:$B,$A$25,'BA History'!W:W, 1)</f>
        <v>0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0</v>
      </c>
      <c r="AE25" s="2">
        <f>COUNTIFS('BA History'!$B:$B,$A$25,'BA History'!AA:AA, 1)</f>
        <v>0</v>
      </c>
      <c r="AF25" s="2">
        <f>COUNTIFS('BA History'!$B:$B,$A$25,'BA History'!AB:AB, 1)</f>
        <v>1</v>
      </c>
      <c r="AG25" s="2">
        <f>COUNTIFS('BA History'!$B:$B,$A$25,'BA History'!AC:AC, 1)</f>
        <v>0</v>
      </c>
      <c r="AH25" s="2">
        <f>COUNTIFS('BA History'!$B:$B,$A$25,'BA History'!AD:AD, 1)</f>
        <v>0</v>
      </c>
      <c r="AI25" s="2">
        <f>COUNTIFS('BA History'!$B:$B,$A$25,'BA History'!AE:AE, 1)</f>
        <v>0</v>
      </c>
    </row>
    <row r="26" spans="1:35" x14ac:dyDescent="0.25">
      <c r="A26" s="2" t="s">
        <v>47</v>
      </c>
      <c r="B26" s="2" t="s">
        <v>79</v>
      </c>
      <c r="C26" s="34">
        <f>SUMIFS('BA History'!C:C,'BA History'!B:B,A26)</f>
        <v>21</v>
      </c>
      <c r="D26" s="66">
        <f>AVERAGEIFS('BA History'!C:C,'BA History'!B:B,A26)</f>
        <v>5.25</v>
      </c>
      <c r="E26" s="35">
        <f t="array" ref="E26">MAX(IF('BA History'!B:B=A26, 'BA History'!C:C))</f>
        <v>8</v>
      </c>
      <c r="F26" s="34">
        <f>COUNTIFS('BA History'!B:B,A26,'BA History'!D:D, 1)</f>
        <v>1</v>
      </c>
      <c r="G26" s="2">
        <f>COUNTIFS('BA History'!B:B,A26,'BA History'!D:D, 0)</f>
        <v>3</v>
      </c>
      <c r="H26" s="75">
        <f t="shared" si="3"/>
        <v>0.25</v>
      </c>
      <c r="I26" s="34">
        <f>SUMIFS('BA History'!F:F,'BA History'!B:B,A26)</f>
        <v>8</v>
      </c>
      <c r="J26" s="2">
        <f>SUMIFS('BA History'!E:E,'BA History'!B:B,A26)-I26</f>
        <v>11</v>
      </c>
      <c r="K26" s="75">
        <f t="shared" si="4"/>
        <v>0.42105263157894735</v>
      </c>
      <c r="L26" s="34">
        <f>SUMIFS('BA History'!H:H,'BA History'!B:B,A26)</f>
        <v>31</v>
      </c>
      <c r="M26" s="2">
        <f>SUMIFS('BA History'!G:G,'BA History'!B:B,A26)-L26</f>
        <v>41</v>
      </c>
      <c r="N26" s="93">
        <f t="shared" si="5"/>
        <v>0.43055555555555558</v>
      </c>
      <c r="O26" s="2">
        <f>COUNTIFS('BA History'!$B:$B,$A$26,'BA History'!K:K, 1)</f>
        <v>1</v>
      </c>
      <c r="P26" s="2">
        <f>COUNTIFS('BA History'!$B:$B,$A$26,'BA History'!L:L, 1)</f>
        <v>1</v>
      </c>
      <c r="Q26" s="2">
        <f>COUNTIFS('BA History'!$B:$B,$A$26,'BA History'!M:M, 1)</f>
        <v>0</v>
      </c>
      <c r="R26" s="2">
        <f>COUNTIFS('BA History'!$B:$B,$A$26,'BA History'!N:N, 1)</f>
        <v>1</v>
      </c>
      <c r="S26" s="2">
        <f>COUNTIFS('BA History'!$B:$B,$A$26,'BA History'!O:O, 1)</f>
        <v>0</v>
      </c>
      <c r="T26" s="2">
        <f>COUNTIFS('BA History'!$B:$B,$A$26,'BA History'!P:P, 1)</f>
        <v>0</v>
      </c>
      <c r="U26" s="2">
        <f>COUNTIFS('BA History'!$B:$B,$A$26,'BA History'!Q:Q, 1)</f>
        <v>0</v>
      </c>
      <c r="V26" s="2">
        <f>COUNTIFS('BA History'!$B:$B,$A$26,'BA History'!R:R, 1)</f>
        <v>0</v>
      </c>
      <c r="W26" s="2">
        <f>COUNTIFS('BA History'!$B:$B,$A$26,'BA History'!S:S, 1)</f>
        <v>0</v>
      </c>
      <c r="X26" s="2">
        <f>COUNTIFS('BA History'!$B:$B,$A$26,'BA History'!T:T, 1)</f>
        <v>0</v>
      </c>
      <c r="Y26" s="2">
        <f>COUNTIFS('BA History'!$B:$B,$A$26,'BA History'!U:U, 1)</f>
        <v>0</v>
      </c>
      <c r="Z26" s="2">
        <f>COUNTIFS('BA History'!$B:$B,$A$26,'BA History'!V:V, 1)</f>
        <v>1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1</v>
      </c>
      <c r="AD26" s="2">
        <f>COUNTIFS('BA History'!$B:$B,$A$26,'BA History'!Z:Z, 1)</f>
        <v>0</v>
      </c>
      <c r="AE26" s="2">
        <f>COUNTIFS('BA History'!$B:$B,$A$26,'BA History'!AA:AA, 1)</f>
        <v>0</v>
      </c>
      <c r="AF26" s="2">
        <f>COUNTIFS('BA History'!$B:$B,$A$26,'BA History'!AB:AB, 1)</f>
        <v>0</v>
      </c>
      <c r="AG26" s="2">
        <f>COUNTIFS('BA History'!$B:$B,$A$26,'BA History'!AC:AC, 1)</f>
        <v>1</v>
      </c>
      <c r="AH26" s="2">
        <f>COUNTIFS('BA History'!$B:$B,$A$26,'BA History'!AD:AD, 1)</f>
        <v>0</v>
      </c>
      <c r="AI26" s="2">
        <f>COUNTIFS('BA History'!$B:$B,$A$26,'BA History'!AE:AE, 1)</f>
        <v>1</v>
      </c>
    </row>
    <row r="27" spans="1:35" ht="15.75" x14ac:dyDescent="0.25">
      <c r="A27" s="2" t="s">
        <v>3</v>
      </c>
      <c r="B27" s="80" t="s">
        <v>60</v>
      </c>
      <c r="C27" s="34">
        <f>SUMIFS('BA History'!C:C,'BA History'!B:B,A27)</f>
        <v>157</v>
      </c>
      <c r="D27" s="66">
        <f>AVERAGEIFS('BA History'!C:C,'BA History'!B:B,A27)</f>
        <v>19.625</v>
      </c>
      <c r="E27" s="35">
        <f t="array" ref="E27">MAX(IF('BA History'!B:B=A27, 'BA History'!C:C))</f>
        <v>27</v>
      </c>
      <c r="F27" s="34">
        <f>COUNTIFS('BA History'!B:B,A27,'BA History'!D:D, 1)</f>
        <v>3</v>
      </c>
      <c r="G27" s="2">
        <f>COUNTIFS('BA History'!B:B,A27,'BA History'!D:D, 0)</f>
        <v>5</v>
      </c>
      <c r="H27" s="75">
        <f t="shared" si="3"/>
        <v>0.375</v>
      </c>
      <c r="I27" s="34">
        <f>SUMIFS('BA History'!F:F,'BA History'!B:B,A27)</f>
        <v>16</v>
      </c>
      <c r="J27" s="2">
        <f>SUMIFS('BA History'!E:E,'BA History'!B:B,A27)-I27</f>
        <v>20</v>
      </c>
      <c r="K27" s="75">
        <f t="shared" si="4"/>
        <v>0.44444444444444442</v>
      </c>
      <c r="L27" s="34">
        <f>SUMIFS('BA History'!H:H,'BA History'!B:B,A27)</f>
        <v>74</v>
      </c>
      <c r="M27" s="2">
        <f>SUMIFS('BA History'!G:G,'BA History'!B:B,A27)-L27</f>
        <v>83</v>
      </c>
      <c r="N27" s="93">
        <f t="shared" si="5"/>
        <v>0.4713375796178344</v>
      </c>
      <c r="O27" s="2">
        <f>COUNTIFS('BA History'!$B:$B,$A$27,'BA History'!K:K, 1)</f>
        <v>0</v>
      </c>
      <c r="P27" s="2">
        <f>COUNTIFS('BA History'!$B:$B,$A$27,'BA History'!L:L, 1)</f>
        <v>2</v>
      </c>
      <c r="Q27" s="2">
        <f>COUNTIFS('BA History'!$B:$B,$A$27,'BA History'!M:M, 1)</f>
        <v>2</v>
      </c>
      <c r="R27" s="2">
        <f>COUNTIFS('BA History'!$B:$B,$A$27,'BA History'!N:N, 1)</f>
        <v>1</v>
      </c>
      <c r="S27" s="2">
        <f>COUNTIFS('BA History'!$B:$B,$A$27,'BA History'!O:O, 1)</f>
        <v>0</v>
      </c>
      <c r="T27" s="2">
        <f>COUNTIFS('BA History'!$B:$B,$A$27,'BA History'!P:P, 1)</f>
        <v>1</v>
      </c>
      <c r="U27" s="2">
        <f>COUNTIFS('BA History'!$B:$B,$A$27,'BA History'!Q:Q, 1)</f>
        <v>0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1</v>
      </c>
      <c r="Y27" s="2">
        <f>COUNTIFS('BA History'!$B:$B,$A$27,'BA History'!U:U, 1)</f>
        <v>0</v>
      </c>
      <c r="Z27" s="2">
        <f>COUNTIFS('BA History'!$B:$B,$A$27,'BA History'!V:V, 1)</f>
        <v>0</v>
      </c>
      <c r="AA27" s="2">
        <f>COUNTIFS('BA History'!$B:$B,$A$27,'BA History'!W:W, 1)</f>
        <v>0</v>
      </c>
      <c r="AB27" s="2">
        <f>COUNTIFS('BA History'!$B:$B,$A$27,'BA History'!X:X, 1)</f>
        <v>2</v>
      </c>
      <c r="AC27" s="2">
        <f>COUNTIFS('BA History'!$B:$B,$A$27,'BA History'!Y:Y, 1)</f>
        <v>1</v>
      </c>
      <c r="AD27" s="2">
        <f>COUNTIFS('BA History'!$B:$B,$A$27,'BA History'!Z:Z, 1)</f>
        <v>0</v>
      </c>
      <c r="AE27" s="2">
        <f>COUNTIFS('BA History'!$B:$B,$A$27,'BA History'!AA:AA, 1)</f>
        <v>1</v>
      </c>
      <c r="AF27" s="2">
        <f>COUNTIFS('BA History'!$B:$B,$A$27,'BA History'!AB:AB, 1)</f>
        <v>3</v>
      </c>
      <c r="AG27" s="2">
        <f>COUNTIFS('BA History'!$B:$B,$A$27,'BA History'!AC:AC, 1)</f>
        <v>2</v>
      </c>
      <c r="AH27" s="2">
        <f>COUNTIFS('BA History'!$B:$B,$A$27,'BA History'!AD:AD, 1)</f>
        <v>0</v>
      </c>
      <c r="AI27" s="2">
        <f>COUNTIFS('BA History'!$B:$B,$A$27,'BA History'!AE:AE, 1)</f>
        <v>0</v>
      </c>
    </row>
    <row r="28" spans="1:35" x14ac:dyDescent="0.25">
      <c r="A28" s="2" t="s">
        <v>15</v>
      </c>
      <c r="B28" s="2" t="s">
        <v>79</v>
      </c>
      <c r="C28" s="34">
        <f>SUMIFS('BA History'!C:C,'BA History'!B:B,A28)</f>
        <v>4</v>
      </c>
      <c r="D28" s="66">
        <f>AVERAGEIFS('BA History'!C:C,'BA History'!B:B,A28)</f>
        <v>4</v>
      </c>
      <c r="E28" s="35">
        <f t="array" ref="E28">MAX(IF('BA History'!B:B=A28, 'BA History'!C:C))</f>
        <v>4</v>
      </c>
      <c r="F28" s="34">
        <f>COUNTIFS('BA History'!B:B,A28,'BA History'!D:D, 1)</f>
        <v>0</v>
      </c>
      <c r="G28" s="2">
        <f>COUNTIFS('BA History'!B:B,A28,'BA History'!D:D, 0)</f>
        <v>1</v>
      </c>
      <c r="H28" s="75">
        <f t="shared" si="3"/>
        <v>0</v>
      </c>
      <c r="I28" s="34">
        <f>SUMIFS('BA History'!F:F,'BA History'!B:B,A28)</f>
        <v>0</v>
      </c>
      <c r="J28" s="2">
        <f>SUMIFS('BA History'!E:E,'BA History'!B:B,A28)-I28</f>
        <v>3</v>
      </c>
      <c r="K28" s="75">
        <f t="shared" si="4"/>
        <v>0</v>
      </c>
      <c r="L28" s="34">
        <f>SUMIFS('BA History'!H:H,'BA History'!B:B,A28)</f>
        <v>1</v>
      </c>
      <c r="M28" s="2">
        <f>SUMIFS('BA History'!G:G,'BA History'!B:B,A28)-L28</f>
        <v>9</v>
      </c>
      <c r="N28" s="93">
        <f t="shared" si="5"/>
        <v>0.1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0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0</v>
      </c>
      <c r="AH28" s="2">
        <f>COUNTIFS('BA History'!$B:$B,$A$28,'BA History'!AD:AD, 1)</f>
        <v>0</v>
      </c>
      <c r="AI28" s="2">
        <f>COUNTIFS('BA History'!$B:$B,$A$28,'BA History'!AE:AE, 1)</f>
        <v>0</v>
      </c>
    </row>
    <row r="29" spans="1:35" x14ac:dyDescent="0.25">
      <c r="A29" s="2" t="s">
        <v>90</v>
      </c>
      <c r="B29" s="2" t="s">
        <v>79</v>
      </c>
      <c r="C29" s="34">
        <f>SUMIFS('BA History'!C:C,'BA History'!B:B,A29)</f>
        <v>3</v>
      </c>
      <c r="D29" s="66">
        <f>AVERAGEIFS('BA History'!C:C,'BA History'!B:B,A29)</f>
        <v>3</v>
      </c>
      <c r="E29" s="35">
        <f t="array" ref="E29">MAX(IF('BA History'!B:B=A29, 'BA History'!C:C))</f>
        <v>3</v>
      </c>
      <c r="F29" s="34">
        <f>COUNTIFS('BA History'!B:B,A29,'BA History'!D:D, 1)</f>
        <v>1</v>
      </c>
      <c r="G29" s="2">
        <f>COUNTIFS('BA History'!B:B,A29,'BA History'!D:D, 0)</f>
        <v>0</v>
      </c>
      <c r="H29" s="75">
        <f t="shared" si="3"/>
        <v>1</v>
      </c>
      <c r="I29" s="34">
        <f>SUMIFS('BA History'!F:F,'BA History'!B:B,A29)</f>
        <v>3</v>
      </c>
      <c r="J29" s="2">
        <f>SUMIFS('BA History'!E:E,'BA History'!B:B,A29)-I29</f>
        <v>0</v>
      </c>
      <c r="K29" s="75">
        <f t="shared" si="4"/>
        <v>1</v>
      </c>
      <c r="L29" s="34">
        <f>SUMIFS('BA History'!H:H,'BA History'!B:B,A29)</f>
        <v>9</v>
      </c>
      <c r="M29" s="2">
        <f>SUMIFS('BA History'!G:G,'BA History'!B:B,A29)-L29</f>
        <v>5</v>
      </c>
      <c r="N29" s="93">
        <f t="shared" si="5"/>
        <v>0.6428571428571429</v>
      </c>
      <c r="O29" s="2">
        <f>COUNTIFS('BA History'!$B:$B,$A$29,'BA History'!K:K, 1)</f>
        <v>0</v>
      </c>
      <c r="P29" s="2">
        <f>COUNTIFS('BA History'!$B:$B,$A$29,'BA History'!L:L, 1)</f>
        <v>0</v>
      </c>
      <c r="Q29" s="2">
        <f>COUNTIFS('BA History'!$B:$B,$A$29,'BA History'!M:M, 1)</f>
        <v>0</v>
      </c>
      <c r="R29" s="2">
        <f>COUNTIFS('BA History'!$B:$B,$A$29,'BA History'!N:N, 1)</f>
        <v>0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1</v>
      </c>
      <c r="Z29" s="2">
        <f>COUNTIFS('BA History'!$B:$B,$A$29,'BA History'!V:V, 1)</f>
        <v>0</v>
      </c>
      <c r="AA29" s="2">
        <f>COUNTIFS('BA History'!$B:$B,$A$29,'BA History'!W:W, 1)</f>
        <v>0</v>
      </c>
      <c r="AB29" s="2">
        <f>COUNTIFS('BA History'!$B:$B,$A$29,'BA History'!X:X, 1)</f>
        <v>0</v>
      </c>
      <c r="AC29" s="2">
        <f>COUNTIFS('BA History'!$B:$B,$A$29,'BA History'!Y:Y, 1)</f>
        <v>0</v>
      </c>
      <c r="AD29" s="2">
        <f>COUNTIFS('BA History'!$B:$B,$A$29,'BA History'!Z:Z, 1)</f>
        <v>0</v>
      </c>
      <c r="AE29" s="2">
        <f>COUNTIFS('BA History'!$B:$B,$A$29,'BA History'!AA:AA, 1)</f>
        <v>1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0</v>
      </c>
      <c r="AI29" s="2">
        <f>COUNTIFS('BA History'!$B:$B,$A$29,'BA History'!AE:AE, 1)</f>
        <v>0</v>
      </c>
    </row>
    <row r="30" spans="1:35" x14ac:dyDescent="0.25">
      <c r="A30" s="2" t="s">
        <v>13</v>
      </c>
      <c r="B30" s="2" t="s">
        <v>79</v>
      </c>
      <c r="C30" s="34">
        <f>SUMIFS('BA History'!C:C,'BA History'!B:B,A30)</f>
        <v>34</v>
      </c>
      <c r="D30" s="66">
        <f>AVERAGEIFS('BA History'!C:C,'BA History'!B:B,A30)</f>
        <v>8.5</v>
      </c>
      <c r="E30" s="35">
        <f t="array" ref="E30">MAX(IF('BA History'!B:B=A30, 'BA History'!C:C))</f>
        <v>12</v>
      </c>
      <c r="F30" s="34">
        <f>COUNTIFS('BA History'!B:B,A30,'BA History'!D:D, 1)</f>
        <v>2</v>
      </c>
      <c r="G30" s="2">
        <f>COUNTIFS('BA History'!B:B,A30,'BA History'!D:D, 0)</f>
        <v>2</v>
      </c>
      <c r="H30" s="75">
        <f t="shared" si="3"/>
        <v>0.5</v>
      </c>
      <c r="I30" s="34">
        <f>SUMIFS('BA History'!F:F,'BA History'!B:B,A30)</f>
        <v>10</v>
      </c>
      <c r="J30" s="2">
        <f>SUMIFS('BA History'!E:E,'BA History'!B:B,A30)-I30</f>
        <v>8</v>
      </c>
      <c r="K30" s="75">
        <f t="shared" si="4"/>
        <v>0.55555555555555558</v>
      </c>
      <c r="L30" s="34">
        <f>SUMIFS('BA History'!H:H,'BA History'!B:B,A30)</f>
        <v>36</v>
      </c>
      <c r="M30" s="2">
        <f>SUMIFS('BA History'!G:G,'BA History'!B:B,A30)-L30</f>
        <v>37</v>
      </c>
      <c r="N30" s="93">
        <f t="shared" si="5"/>
        <v>0.49315068493150682</v>
      </c>
      <c r="O30" s="2">
        <f>COUNTIFS('BA History'!$B:$B,$A$30,'BA History'!K:K, 1)</f>
        <v>1</v>
      </c>
      <c r="P30" s="2">
        <f>COUNTIFS('BA History'!$B:$B,$A$30,'BA History'!L:L, 1)</f>
        <v>0</v>
      </c>
      <c r="Q30" s="2">
        <f>COUNTIFS('BA History'!$B:$B,$A$30,'BA History'!M:M, 1)</f>
        <v>1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0</v>
      </c>
      <c r="U30" s="2">
        <f>COUNTIFS('BA History'!$B:$B,$A$30,'BA History'!Q:Q, 1)</f>
        <v>1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0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2</v>
      </c>
      <c r="AC30" s="2">
        <f>COUNTIFS('BA History'!$B:$B,$A$30,'BA History'!Y:Y, 1)</f>
        <v>2</v>
      </c>
      <c r="AD30" s="2">
        <f>COUNTIFS('BA History'!$B:$B,$A$30,'BA History'!Z:Z, 1)</f>
        <v>0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1</v>
      </c>
      <c r="AH30" s="2">
        <f>COUNTIFS('BA History'!$B:$B,$A$30,'BA History'!AD:AD, 1)</f>
        <v>0</v>
      </c>
      <c r="AI30" s="2">
        <f>COUNTIFS('BA History'!$B:$B,$A$30,'BA History'!AE:AE, 1)</f>
        <v>0</v>
      </c>
    </row>
    <row r="31" spans="1:35" ht="15.75" x14ac:dyDescent="0.25">
      <c r="A31" s="2" t="s">
        <v>2</v>
      </c>
      <c r="B31" s="80" t="s">
        <v>60</v>
      </c>
      <c r="C31" s="34">
        <f>SUMIFS('BA History'!C:C,'BA History'!B:B,A31)</f>
        <v>529</v>
      </c>
      <c r="D31" s="66">
        <f>AVERAGEIFS('BA History'!C:C,'BA History'!B:B,A31)</f>
        <v>24.045454545454547</v>
      </c>
      <c r="E31" s="35">
        <f t="array" ref="E31">MAX(IF('BA History'!B:B=A31, 'BA History'!C:C))</f>
        <v>35</v>
      </c>
      <c r="F31" s="34">
        <f>COUNTIFS('BA History'!B:B,A31,'BA History'!D:D, 1)</f>
        <v>11</v>
      </c>
      <c r="G31" s="2">
        <f>COUNTIFS('BA History'!B:B,A31,'BA History'!D:D, 0)</f>
        <v>11</v>
      </c>
      <c r="H31" s="75">
        <f t="shared" si="3"/>
        <v>0.5</v>
      </c>
      <c r="I31" s="34">
        <f>SUMIFS('BA History'!F:F,'BA History'!B:B,A31)</f>
        <v>45</v>
      </c>
      <c r="J31" s="2">
        <f>SUMIFS('BA History'!E:E,'BA History'!B:B,A31)-I31</f>
        <v>43</v>
      </c>
      <c r="K31" s="75">
        <f t="shared" si="4"/>
        <v>0.51136363636363635</v>
      </c>
      <c r="L31" s="34">
        <f>SUMIFS('BA History'!H:H,'BA History'!B:B,A31)</f>
        <v>189</v>
      </c>
      <c r="M31" s="2">
        <f>SUMIFS('BA History'!G:G,'BA History'!B:B,A31)-L31</f>
        <v>174</v>
      </c>
      <c r="N31" s="93">
        <f t="shared" si="5"/>
        <v>0.52066115702479343</v>
      </c>
      <c r="O31" s="2">
        <f>COUNTIFS('BA History'!$B:$B,$A$31,'BA History'!K:K, 1)</f>
        <v>2</v>
      </c>
      <c r="P31" s="2">
        <f>COUNTIFS('BA History'!$B:$B,$A$31,'BA History'!L:L, 1)</f>
        <v>1</v>
      </c>
      <c r="Q31" s="2">
        <f>COUNTIFS('BA History'!$B:$B,$A$31,'BA History'!M:M, 1)</f>
        <v>4</v>
      </c>
      <c r="R31" s="2">
        <f>COUNTIFS('BA History'!$B:$B,$A$31,'BA History'!N:N, 1)</f>
        <v>5</v>
      </c>
      <c r="S31" s="2">
        <f>COUNTIFS('BA History'!$B:$B,$A$31,'BA History'!O:O, 1)</f>
        <v>1</v>
      </c>
      <c r="T31" s="2">
        <f>COUNTIFS('BA History'!$B:$B,$A$31,'BA History'!P:P, 1)</f>
        <v>1</v>
      </c>
      <c r="U31" s="2">
        <f>COUNTIFS('BA History'!$B:$B,$A$31,'BA History'!Q:Q, 1)</f>
        <v>1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2</v>
      </c>
      <c r="Y31" s="2">
        <f>COUNTIFS('BA History'!$B:$B,$A$31,'BA History'!U:U, 1)</f>
        <v>2</v>
      </c>
      <c r="Z31" s="2">
        <f>COUNTIFS('BA History'!$B:$B,$A$31,'BA History'!V:V, 1)</f>
        <v>1</v>
      </c>
      <c r="AA31" s="2">
        <f>COUNTIFS('BA History'!$B:$B,$A$31,'BA History'!W:W, 1)</f>
        <v>1</v>
      </c>
      <c r="AB31" s="2">
        <f>COUNTIFS('BA History'!$B:$B,$A$31,'BA History'!X:X, 1)</f>
        <v>4</v>
      </c>
      <c r="AC31" s="2">
        <f>COUNTIFS('BA History'!$B:$B,$A$31,'BA History'!Y:Y, 1)</f>
        <v>6</v>
      </c>
      <c r="AD31" s="2">
        <f>COUNTIFS('BA History'!$B:$B,$A$31,'BA History'!Z:Z, 1)</f>
        <v>0</v>
      </c>
      <c r="AE31" s="2">
        <f>COUNTIFS('BA History'!$B:$B,$A$31,'BA History'!AA:AA, 1)</f>
        <v>7</v>
      </c>
      <c r="AF31" s="2">
        <f>COUNTIFS('BA History'!$B:$B,$A$31,'BA History'!AB:AB, 1)</f>
        <v>3</v>
      </c>
      <c r="AG31" s="2">
        <f>COUNTIFS('BA History'!$B:$B,$A$31,'BA History'!AC:AC, 1)</f>
        <v>2</v>
      </c>
      <c r="AH31" s="2">
        <f>COUNTIFS('BA History'!$B:$B,$A$31,'BA History'!AD:AD, 1)</f>
        <v>0</v>
      </c>
      <c r="AI31" s="2">
        <f>COUNTIFS('BA History'!$B:$B,$A$31,'BA History'!AE:AE, 1)</f>
        <v>2</v>
      </c>
    </row>
    <row r="32" spans="1:35" x14ac:dyDescent="0.25">
      <c r="A32" s="2" t="s">
        <v>54</v>
      </c>
      <c r="B32" s="2" t="s">
        <v>79</v>
      </c>
      <c r="C32" s="34">
        <f>SUMIFS('BA History'!C:C,'BA History'!B:B,A32)</f>
        <v>693</v>
      </c>
      <c r="D32" s="66">
        <f>AVERAGEIFS('BA History'!C:C,'BA History'!B:B,A32)</f>
        <v>24.75</v>
      </c>
      <c r="E32" s="35">
        <f t="array" ref="E32">MAX(IF('BA History'!B:B=A32, 'BA History'!C:C))</f>
        <v>37</v>
      </c>
      <c r="F32" s="34">
        <f>COUNTIFS('BA History'!B:B,A32,'BA History'!D:D, 1)</f>
        <v>14</v>
      </c>
      <c r="G32" s="2">
        <f>COUNTIFS('BA History'!B:B,A32,'BA History'!D:D, 0)</f>
        <v>14</v>
      </c>
      <c r="H32" s="75">
        <f t="shared" si="3"/>
        <v>0.5</v>
      </c>
      <c r="I32" s="34">
        <f>SUMIFS('BA History'!F:F,'BA History'!B:B,A32)</f>
        <v>60</v>
      </c>
      <c r="J32" s="2">
        <f>SUMIFS('BA History'!E:E,'BA History'!B:B,A32)-I32</f>
        <v>57</v>
      </c>
      <c r="K32" s="75">
        <f t="shared" si="4"/>
        <v>0.51282051282051277</v>
      </c>
      <c r="L32" s="34">
        <f>SUMIFS('BA History'!H:H,'BA History'!B:B,A32)</f>
        <v>241</v>
      </c>
      <c r="M32" s="2">
        <f>SUMIFS('BA History'!G:G,'BA History'!B:B,A32)-L32</f>
        <v>246</v>
      </c>
      <c r="N32" s="93">
        <f t="shared" si="5"/>
        <v>0.49486652977412732</v>
      </c>
      <c r="O32" s="2">
        <f>COUNTIFS('BA History'!$B:$B,$A$32,'BA History'!K:K, 1)</f>
        <v>3</v>
      </c>
      <c r="P32" s="2">
        <f>COUNTIFS('BA History'!$B:$B,$A$32,'BA History'!L:L, 1)</f>
        <v>6</v>
      </c>
      <c r="Q32" s="2">
        <f>COUNTIFS('BA History'!$B:$B,$A$32,'BA History'!M:M, 1)</f>
        <v>5</v>
      </c>
      <c r="R32" s="2">
        <f>COUNTIFS('BA History'!$B:$B,$A$32,'BA History'!N:N, 1)</f>
        <v>1</v>
      </c>
      <c r="S32" s="2">
        <f>COUNTIFS('BA History'!$B:$B,$A$32,'BA History'!O:O, 1)</f>
        <v>1</v>
      </c>
      <c r="T32" s="2">
        <f>COUNTIFS('BA History'!$B:$B,$A$32,'BA History'!P:P, 1)</f>
        <v>0</v>
      </c>
      <c r="U32" s="2">
        <f>COUNTIFS('BA History'!$B:$B,$A$32,'BA History'!Q:Q, 1)</f>
        <v>2</v>
      </c>
      <c r="V32" s="2">
        <f>COUNTIFS('BA History'!$B:$B,$A$32,'BA History'!R:R, 1)</f>
        <v>2</v>
      </c>
      <c r="W32" s="2">
        <f>COUNTIFS('BA History'!$B:$B,$A$32,'BA History'!S:S, 1)</f>
        <v>1</v>
      </c>
      <c r="X32" s="2">
        <f>COUNTIFS('BA History'!$B:$B,$A$32,'BA History'!T:T, 1)</f>
        <v>3</v>
      </c>
      <c r="Y32" s="2">
        <f>COUNTIFS('BA History'!$B:$B,$A$32,'BA History'!U:U, 1)</f>
        <v>5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4</v>
      </c>
      <c r="AC32" s="2">
        <f>COUNTIFS('BA History'!$B:$B,$A$32,'BA History'!Y:Y, 1)</f>
        <v>5</v>
      </c>
      <c r="AD32" s="2">
        <f>COUNTIFS('BA History'!$B:$B,$A$32,'BA History'!Z:Z, 1)</f>
        <v>1</v>
      </c>
      <c r="AE32" s="2">
        <f>COUNTIFS('BA History'!$B:$B,$A$32,'BA History'!AA:AA, 1)</f>
        <v>7</v>
      </c>
      <c r="AF32" s="2">
        <f>COUNTIFS('BA History'!$B:$B,$A$32,'BA History'!AB:AB, 1)</f>
        <v>6</v>
      </c>
      <c r="AG32" s="2">
        <f>COUNTIFS('BA History'!$B:$B,$A$32,'BA History'!AC:AC, 1)</f>
        <v>4</v>
      </c>
      <c r="AH32" s="2">
        <f>COUNTIFS('BA History'!$B:$B,$A$32,'BA History'!AD:AD, 1)</f>
        <v>2</v>
      </c>
      <c r="AI32" s="2">
        <f>COUNTIFS('BA History'!$B:$B,$A$32,'BA History'!AE:AE, 1)</f>
        <v>2</v>
      </c>
    </row>
    <row r="33" spans="1:35" ht="15.75" x14ac:dyDescent="0.25">
      <c r="A33" s="2" t="s">
        <v>5</v>
      </c>
      <c r="B33" s="80" t="s">
        <v>60</v>
      </c>
      <c r="C33" s="34">
        <f>SUMIFS('BA History'!C:C,'BA History'!B:B,A33)</f>
        <v>242</v>
      </c>
      <c r="D33" s="66">
        <f>AVERAGEIFS('BA History'!C:C,'BA History'!B:B,A33)</f>
        <v>22</v>
      </c>
      <c r="E33" s="35">
        <f t="array" ref="E33">MAX(IF('BA History'!B:B=A33, 'BA History'!C:C))</f>
        <v>36</v>
      </c>
      <c r="F33" s="34">
        <f>COUNTIFS('BA History'!B:B,A33,'BA History'!D:D, 1)</f>
        <v>8</v>
      </c>
      <c r="G33" s="2">
        <f>COUNTIFS('BA History'!B:B,A33,'BA History'!D:D, 0)</f>
        <v>3</v>
      </c>
      <c r="H33" s="75">
        <f t="shared" si="3"/>
        <v>0.72727272727272729</v>
      </c>
      <c r="I33" s="34">
        <f>SUMIFS('BA History'!F:F,'BA History'!B:B,A33)</f>
        <v>25</v>
      </c>
      <c r="J33" s="2">
        <f>SUMIFS('BA History'!E:E,'BA History'!B:B,A33)-I33</f>
        <v>16</v>
      </c>
      <c r="K33" s="75">
        <f t="shared" si="4"/>
        <v>0.6097560975609756</v>
      </c>
      <c r="L33" s="34">
        <f>SUMIFS('BA History'!H:H,'BA History'!B:B,A33)</f>
        <v>98</v>
      </c>
      <c r="M33" s="2">
        <f>SUMIFS('BA History'!G:G,'BA History'!B:B,A33)-L33</f>
        <v>78</v>
      </c>
      <c r="N33" s="93">
        <f t="shared" si="5"/>
        <v>0.55681818181818177</v>
      </c>
      <c r="O33" s="2">
        <f>COUNTIFS('BA History'!$B:$B,$A$33,'BA History'!K:K, 1)</f>
        <v>1</v>
      </c>
      <c r="P33" s="2">
        <f>COUNTIFS('BA History'!$B:$B,$A$33,'BA History'!L:L, 1)</f>
        <v>2</v>
      </c>
      <c r="Q33" s="2">
        <f>COUNTIFS('BA History'!$B:$B,$A$33,'BA History'!M:M, 1)</f>
        <v>1</v>
      </c>
      <c r="R33" s="2">
        <f>COUNTIFS('BA History'!$B:$B,$A$33,'BA History'!N:N, 1)</f>
        <v>2</v>
      </c>
      <c r="S33" s="2">
        <f>COUNTIFS('BA History'!$B:$B,$A$33,'BA History'!O:O, 1)</f>
        <v>1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1</v>
      </c>
      <c r="Y33" s="2">
        <f>COUNTIFS('BA History'!$B:$B,$A$33,'BA History'!U:U, 1)</f>
        <v>2</v>
      </c>
      <c r="Z33" s="2">
        <f>COUNTIFS('BA History'!$B:$B,$A$33,'BA History'!V:V, 1)</f>
        <v>1</v>
      </c>
      <c r="AA33" s="2">
        <f>COUNTIFS('BA History'!$B:$B,$A$33,'BA History'!W:W, 1)</f>
        <v>1</v>
      </c>
      <c r="AB33" s="2">
        <f>COUNTIFS('BA History'!$B:$B,$A$33,'BA History'!X:X, 1)</f>
        <v>1</v>
      </c>
      <c r="AC33" s="2">
        <f>COUNTIFS('BA History'!$B:$B,$A$33,'BA History'!Y:Y, 1)</f>
        <v>1</v>
      </c>
      <c r="AD33" s="2">
        <f>COUNTIFS('BA History'!$B:$B,$A$33,'BA History'!Z:Z, 1)</f>
        <v>1</v>
      </c>
      <c r="AE33" s="2">
        <f>COUNTIFS('BA History'!$B:$B,$A$33,'BA History'!AA:AA, 1)</f>
        <v>3</v>
      </c>
      <c r="AF33" s="2">
        <f>COUNTIFS('BA History'!$B:$B,$A$33,'BA History'!AB:AB, 1)</f>
        <v>4</v>
      </c>
      <c r="AG33" s="2">
        <f>COUNTIFS('BA History'!$B:$B,$A$33,'BA History'!AC:AC, 1)</f>
        <v>2</v>
      </c>
      <c r="AH33" s="2">
        <f>COUNTIFS('BA History'!$B:$B,$A$33,'BA History'!AD:AD, 1)</f>
        <v>0</v>
      </c>
      <c r="AI33" s="2">
        <f>COUNTIFS('BA History'!$B:$B,$A$33,'BA History'!AE:AE, 1)</f>
        <v>1</v>
      </c>
    </row>
    <row r="34" spans="1:35" x14ac:dyDescent="0.25">
      <c r="A34" s="2" t="s">
        <v>38</v>
      </c>
      <c r="B34" s="2" t="s">
        <v>79</v>
      </c>
      <c r="C34" s="34">
        <f>SUMIFS('BA History'!C:C,'BA History'!B:B,A34)</f>
        <v>12</v>
      </c>
      <c r="D34" s="66">
        <f>AVERAGEIFS('BA History'!C:C,'BA History'!B:B,A34)</f>
        <v>3</v>
      </c>
      <c r="E34" s="35">
        <f t="array" ref="E34">MAX(IF('BA History'!B:B=A34, 'BA History'!C:C))</f>
        <v>4</v>
      </c>
      <c r="F34" s="34">
        <f>COUNTIFS('BA History'!B:B,A34,'BA History'!D:D, 1)</f>
        <v>2</v>
      </c>
      <c r="G34" s="2">
        <f>COUNTIFS('BA History'!B:B,A34,'BA History'!D:D, 0)</f>
        <v>2</v>
      </c>
      <c r="H34" s="75">
        <f t="shared" si="3"/>
        <v>0.5</v>
      </c>
      <c r="I34" s="34">
        <f>SUMIFS('BA History'!F:F,'BA History'!B:B,A34)</f>
        <v>8</v>
      </c>
      <c r="J34" s="2">
        <f>SUMIFS('BA History'!E:E,'BA History'!B:B,A34)-I34</f>
        <v>9</v>
      </c>
      <c r="K34" s="75">
        <f t="shared" si="4"/>
        <v>0.47058823529411764</v>
      </c>
      <c r="L34" s="34">
        <f>SUMIFS('BA History'!H:H,'BA History'!B:B,A34)</f>
        <v>32</v>
      </c>
      <c r="M34" s="2">
        <f>SUMIFS('BA History'!G:G,'BA History'!B:B,A34)-L34</f>
        <v>38</v>
      </c>
      <c r="N34" s="93">
        <f t="shared" si="5"/>
        <v>0.45714285714285713</v>
      </c>
      <c r="O34" s="2">
        <f>COUNTIFS('BA History'!$B:$B,$A$34,'BA History'!K:K, 1)</f>
        <v>1</v>
      </c>
      <c r="P34" s="2">
        <f>COUNTIFS('BA History'!$B:$B,$A$34,'BA History'!L:L, 1)</f>
        <v>1</v>
      </c>
      <c r="Q34" s="2">
        <f>COUNTIFS('BA History'!$B:$B,$A$34,'BA History'!M:M, 1)</f>
        <v>1</v>
      </c>
      <c r="R34" s="2">
        <f>COUNTIFS('BA History'!$B:$B,$A$34,'BA History'!N:N, 1)</f>
        <v>0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0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2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1</v>
      </c>
      <c r="AC34" s="2">
        <f>COUNTIFS('BA History'!$B:$B,$A$34,'BA History'!Y:Y, 1)</f>
        <v>0</v>
      </c>
      <c r="AD34" s="2">
        <f>COUNTIFS('BA History'!$B:$B,$A$34,'BA History'!Z:Z, 1)</f>
        <v>0</v>
      </c>
      <c r="AE34" s="2">
        <f>COUNTIFS('BA History'!$B:$B,$A$34,'BA History'!AA:AA, 1)</f>
        <v>1</v>
      </c>
      <c r="AF34" s="2">
        <f>COUNTIFS('BA History'!$B:$B,$A$34,'BA History'!AB:AB, 1)</f>
        <v>0</v>
      </c>
      <c r="AG34" s="2">
        <f>COUNTIFS('BA History'!$B:$B,$A$34,'BA History'!AC:AC, 1)</f>
        <v>1</v>
      </c>
      <c r="AH34" s="2">
        <f>COUNTIFS('BA History'!$B:$B,$A$34,'BA History'!AD:AD, 1)</f>
        <v>0</v>
      </c>
      <c r="AI34" s="2">
        <f>COUNTIFS('BA History'!$B:$B,$A$34,'BA History'!AE:AE, 1)</f>
        <v>0</v>
      </c>
    </row>
    <row r="35" spans="1:35" x14ac:dyDescent="0.25">
      <c r="A35" s="2" t="s">
        <v>142</v>
      </c>
      <c r="B35" s="2" t="s">
        <v>79</v>
      </c>
      <c r="C35" s="34">
        <f>SUMIFS('BA History'!C:C,'BA History'!B:B,A35)</f>
        <v>4</v>
      </c>
      <c r="D35" s="66">
        <f>AVERAGEIFS('BA History'!C:C,'BA History'!B:B,A35)</f>
        <v>4</v>
      </c>
      <c r="E35" s="35">
        <f t="array" ref="E35">MAX(IF('BA History'!B:B=A35, 'BA History'!C:C))</f>
        <v>4</v>
      </c>
      <c r="F35" s="34">
        <f>COUNTIFS('BA History'!B:B,A35,'BA History'!D:D, 1)</f>
        <v>1</v>
      </c>
      <c r="G35" s="2">
        <f>COUNTIFS('BA History'!B:B,A35,'BA History'!D:D, 0)</f>
        <v>0</v>
      </c>
      <c r="H35" s="75">
        <f t="shared" ref="H35" si="12">F35/(F35+G35)</f>
        <v>1</v>
      </c>
      <c r="I35" s="34">
        <f>SUMIFS('BA History'!F:F,'BA History'!B:B,A35)</f>
        <v>3</v>
      </c>
      <c r="J35" s="2">
        <f>SUMIFS('BA History'!E:E,'BA History'!B:B,A35)-I35</f>
        <v>1</v>
      </c>
      <c r="K35" s="75">
        <f t="shared" ref="K35" si="13">I35/(I35+J35)</f>
        <v>0.75</v>
      </c>
      <c r="L35" s="34">
        <f>SUMIFS('BA History'!H:H,'BA History'!B:B,A35)</f>
        <v>9</v>
      </c>
      <c r="M35" s="2">
        <f>SUMIFS('BA History'!G:G,'BA History'!B:B,A35)-L35</f>
        <v>5</v>
      </c>
      <c r="N35" s="93">
        <f t="shared" ref="N35" si="14">L35/(L35+M35)</f>
        <v>0.6428571428571429</v>
      </c>
      <c r="O35" s="2">
        <f>COUNTIFS('BA History'!$B:$B,$A$35,'BA History'!K:K, 1)</f>
        <v>0</v>
      </c>
      <c r="P35" s="2">
        <f>COUNTIFS('BA History'!$B:$B,$A$35,'BA History'!L:L, 1)</f>
        <v>1</v>
      </c>
      <c r="Q35" s="2">
        <f>COUNTIFS('BA History'!$B:$B,$A$35,'BA History'!M:M, 1)</f>
        <v>0</v>
      </c>
      <c r="R35" s="2">
        <f>COUNTIFS('BA History'!$B:$B,$A$35,'BA History'!N:N, 1)</f>
        <v>0</v>
      </c>
      <c r="S35" s="2">
        <f>COUNTIFS('BA History'!$B:$B,$A$35,'BA History'!O:O, 1)</f>
        <v>0</v>
      </c>
      <c r="T35" s="2">
        <f>COUNTIFS('BA History'!$B:$B,$A$35,'BA History'!P:P, 1)</f>
        <v>0</v>
      </c>
      <c r="U35" s="2">
        <f>COUNTIFS('BA History'!$B:$B,$A$35,'BA History'!Q:Q, 1)</f>
        <v>0</v>
      </c>
      <c r="V35" s="2">
        <f>COUNTIFS('BA History'!$B:$B,$A$35,'BA History'!R:R, 1)</f>
        <v>0</v>
      </c>
      <c r="W35" s="2">
        <f>COUNTIFS('BA History'!$B:$B,$A$35,'BA History'!S:S, 1)</f>
        <v>0</v>
      </c>
      <c r="X35" s="2">
        <f>COUNTIFS('BA History'!$B:$B,$A$35,'BA History'!T:T, 1)</f>
        <v>0</v>
      </c>
      <c r="Y35" s="2">
        <f>COUNTIFS('BA History'!$B:$B,$A$35,'BA History'!U:U, 1)</f>
        <v>1</v>
      </c>
      <c r="Z35" s="2">
        <f>COUNTIFS('BA History'!$B:$B,$A$35,'BA History'!V:V, 1)</f>
        <v>0</v>
      </c>
      <c r="AA35" s="2">
        <f>COUNTIFS('BA History'!$B:$B,$A$35,'BA History'!W:W, 1)</f>
        <v>0</v>
      </c>
      <c r="AB35" s="2">
        <f>COUNTIFS('BA History'!$B:$B,$A$35,'BA History'!X:X, 1)</f>
        <v>0</v>
      </c>
      <c r="AC35" s="2">
        <f>COUNTIFS('BA History'!$B:$B,$A$35,'BA History'!Y:Y, 1)</f>
        <v>0</v>
      </c>
      <c r="AD35" s="2">
        <f>COUNTIFS('BA History'!$B:$B,$A$35,'BA History'!Z:Z, 1)</f>
        <v>0</v>
      </c>
      <c r="AE35" s="2">
        <f>COUNTIFS('BA History'!$B:$B,$A$35,'BA History'!AA:AA, 1)</f>
        <v>1</v>
      </c>
      <c r="AF35" s="2">
        <f>COUNTIFS('BA History'!$B:$B,$A$35,'BA History'!AB:AB, 1)</f>
        <v>0</v>
      </c>
      <c r="AG35" s="2">
        <f>COUNTIFS('BA History'!$B:$B,$A$35,'BA History'!AC:AC, 1)</f>
        <v>0</v>
      </c>
      <c r="AH35" s="2">
        <f>COUNTIFS('BA History'!$B:$B,$A$35,'BA History'!AD:AD, 1)</f>
        <v>0</v>
      </c>
      <c r="AI35" s="2">
        <f>COUNTIFS('BA History'!$B:$B,$A$35,'BA History'!AE:AE, 1)</f>
        <v>0</v>
      </c>
    </row>
    <row r="36" spans="1:35" x14ac:dyDescent="0.25">
      <c r="A36" s="2" t="s">
        <v>40</v>
      </c>
      <c r="B36" s="2" t="s">
        <v>79</v>
      </c>
      <c r="C36" s="34">
        <f>SUMIFS('BA History'!C:C,'BA History'!B:B,A36)</f>
        <v>431</v>
      </c>
      <c r="D36" s="66">
        <f>AVERAGEIFS('BA History'!C:C,'BA History'!B:B,A36)</f>
        <v>17.958333333333332</v>
      </c>
      <c r="E36" s="35">
        <f t="array" ref="E36">MAX(IF('BA History'!B:B=A36, 'BA History'!C:C))</f>
        <v>29</v>
      </c>
      <c r="F36" s="34">
        <f>COUNTIFS('BA History'!B:B,A36,'BA History'!D:D, 1)</f>
        <v>11</v>
      </c>
      <c r="G36" s="2">
        <f>COUNTIFS('BA History'!B:B,A36,'BA History'!D:D, 0)</f>
        <v>13</v>
      </c>
      <c r="H36" s="75">
        <f t="shared" si="3"/>
        <v>0.45833333333333331</v>
      </c>
      <c r="I36" s="34">
        <f>SUMIFS('BA History'!F:F,'BA History'!B:B,A36)</f>
        <v>49</v>
      </c>
      <c r="J36" s="2">
        <f>SUMIFS('BA History'!E:E,'BA History'!B:B,A36)-I36</f>
        <v>53</v>
      </c>
      <c r="K36" s="75">
        <f t="shared" si="4"/>
        <v>0.48039215686274511</v>
      </c>
      <c r="L36" s="34">
        <f>SUMIFS('BA History'!H:H,'BA History'!B:B,A36)</f>
        <v>206</v>
      </c>
      <c r="M36" s="2">
        <f>SUMIFS('BA History'!G:G,'BA History'!B:B,A36)-L36</f>
        <v>210</v>
      </c>
      <c r="N36" s="93">
        <f t="shared" si="5"/>
        <v>0.49519230769230771</v>
      </c>
      <c r="O36" s="2">
        <f>COUNTIFS('BA History'!$B:$B,$A$36,'BA History'!K:K, 1)</f>
        <v>0</v>
      </c>
      <c r="P36" s="2">
        <f>COUNTIFS('BA History'!$B:$B,$A$36,'BA History'!L:L, 1)</f>
        <v>5</v>
      </c>
      <c r="Q36" s="2">
        <f>COUNTIFS('BA History'!$B:$B,$A$36,'BA History'!M:M, 1)</f>
        <v>5</v>
      </c>
      <c r="R36" s="2">
        <f>COUNTIFS('BA History'!$B:$B,$A$36,'BA History'!N:N, 1)</f>
        <v>8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1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2</v>
      </c>
      <c r="Y36" s="2">
        <f>COUNTIFS('BA History'!$B:$B,$A$36,'BA History'!U:U, 1)</f>
        <v>4</v>
      </c>
      <c r="Z36" s="2">
        <f>COUNTIFS('BA History'!$B:$B,$A$36,'BA History'!V:V, 1)</f>
        <v>1</v>
      </c>
      <c r="AA36" s="2">
        <f>COUNTIFS('BA History'!$B:$B,$A$36,'BA History'!W:W, 1)</f>
        <v>1</v>
      </c>
      <c r="AB36" s="2">
        <f>COUNTIFS('BA History'!$B:$B,$A$36,'BA History'!X:X, 1)</f>
        <v>2</v>
      </c>
      <c r="AC36" s="2">
        <f>COUNTIFS('BA History'!$B:$B,$A$36,'BA History'!Y:Y, 1)</f>
        <v>3</v>
      </c>
      <c r="AD36" s="2">
        <f>COUNTIFS('BA History'!$B:$B,$A$36,'BA History'!Z:Z, 1)</f>
        <v>0</v>
      </c>
      <c r="AE36" s="2">
        <f>COUNTIFS('BA History'!$B:$B,$A$36,'BA History'!AA:AA, 1)</f>
        <v>2</v>
      </c>
      <c r="AF36" s="2">
        <f>COUNTIFS('BA History'!$B:$B,$A$36,'BA History'!AB:AB, 1)</f>
        <v>3</v>
      </c>
      <c r="AG36" s="2">
        <f>COUNTIFS('BA History'!$B:$B,$A$36,'BA History'!AC:AC, 1)</f>
        <v>6</v>
      </c>
      <c r="AH36" s="2">
        <f>COUNTIFS('BA History'!$B:$B,$A$36,'BA History'!AD:AD, 1)</f>
        <v>0</v>
      </c>
      <c r="AI36" s="2">
        <f>COUNTIFS('BA History'!$B:$B,$A$36,'BA History'!AE:AE, 1)</f>
        <v>2</v>
      </c>
    </row>
    <row r="37" spans="1:35" x14ac:dyDescent="0.25">
      <c r="A37" s="2" t="s">
        <v>17</v>
      </c>
      <c r="B37" s="2" t="s">
        <v>79</v>
      </c>
      <c r="C37" s="34">
        <f>SUMIFS('BA History'!C:C,'BA History'!B:B,A37)</f>
        <v>420</v>
      </c>
      <c r="D37" s="66">
        <f>AVERAGEIFS('BA History'!C:C,'BA History'!B:B,A37)</f>
        <v>21</v>
      </c>
      <c r="E37" s="35">
        <f t="array" ref="E37">MAX(IF('BA History'!B:B=A37, 'BA History'!C:C))</f>
        <v>32</v>
      </c>
      <c r="F37" s="34">
        <f>COUNTIFS('BA History'!B:B,A37,'BA History'!D:D, 1)</f>
        <v>7</v>
      </c>
      <c r="G37" s="2">
        <f>COUNTIFS('BA History'!B:B,A37,'BA History'!D:D, 0)</f>
        <v>13</v>
      </c>
      <c r="H37" s="75">
        <f t="shared" si="3"/>
        <v>0.35</v>
      </c>
      <c r="I37" s="34">
        <f>SUMIFS('BA History'!F:F,'BA History'!B:B,A37)</f>
        <v>36</v>
      </c>
      <c r="J37" s="2">
        <f>SUMIFS('BA History'!E:E,'BA History'!B:B,A37)-I37</f>
        <v>46</v>
      </c>
      <c r="K37" s="75">
        <f t="shared" si="4"/>
        <v>0.43902439024390244</v>
      </c>
      <c r="L37" s="34">
        <f>SUMIFS('BA History'!H:H,'BA History'!B:B,A37)</f>
        <v>154</v>
      </c>
      <c r="M37" s="2">
        <f>SUMIFS('BA History'!G:G,'BA History'!B:B,A37)-L37</f>
        <v>179</v>
      </c>
      <c r="N37" s="93">
        <f t="shared" si="5"/>
        <v>0.46246246246246248</v>
      </c>
      <c r="O37" s="2">
        <f>COUNTIFS('BA History'!$B:$B,$A$37,'BA History'!K:K, 1)</f>
        <v>3</v>
      </c>
      <c r="P37" s="2">
        <f>COUNTIFS('BA History'!$B:$B,$A$37,'BA History'!L:L, 1)</f>
        <v>1</v>
      </c>
      <c r="Q37" s="2">
        <f>COUNTIFS('BA History'!$B:$B,$A$37,'BA History'!M:M, 1)</f>
        <v>3</v>
      </c>
      <c r="R37" s="2">
        <f>COUNTIFS('BA History'!$B:$B,$A$37,'BA History'!N:N, 1)</f>
        <v>4</v>
      </c>
      <c r="S37" s="2">
        <f>COUNTIFS('BA History'!$B:$B,$A$37,'BA History'!O:O, 1)</f>
        <v>0</v>
      </c>
      <c r="T37" s="2">
        <f>COUNTIFS('BA History'!$B:$B,$A$37,'BA History'!P:P, 1)</f>
        <v>0</v>
      </c>
      <c r="U37" s="2">
        <f>COUNTIFS('BA History'!$B:$B,$A$37,'BA History'!Q:Q, 1)</f>
        <v>0</v>
      </c>
      <c r="V37" s="2">
        <f>COUNTIFS('BA History'!$B:$B,$A$37,'BA History'!R:R, 1)</f>
        <v>1</v>
      </c>
      <c r="W37" s="2">
        <f>COUNTIFS('BA History'!$B:$B,$A$37,'BA History'!S:S, 1)</f>
        <v>0</v>
      </c>
      <c r="X37" s="2">
        <f>COUNTIFS('BA History'!$B:$B,$A$37,'BA History'!T:T, 1)</f>
        <v>2</v>
      </c>
      <c r="Y37" s="2">
        <f>COUNTIFS('BA History'!$B:$B,$A$37,'BA History'!U:U, 1)</f>
        <v>2</v>
      </c>
      <c r="Z37" s="2">
        <f>COUNTIFS('BA History'!$B:$B,$A$37,'BA History'!V:V, 1)</f>
        <v>0</v>
      </c>
      <c r="AA37" s="2">
        <f>COUNTIFS('BA History'!$B:$B,$A$37,'BA History'!W:W, 1)</f>
        <v>0</v>
      </c>
      <c r="AB37" s="2">
        <f>COUNTIFS('BA History'!$B:$B,$A$37,'BA History'!X:X, 1)</f>
        <v>1</v>
      </c>
      <c r="AC37" s="2">
        <f>COUNTIFS('BA History'!$B:$B,$A$37,'BA History'!Y:Y, 1)</f>
        <v>5</v>
      </c>
      <c r="AD37" s="2">
        <f>COUNTIFS('BA History'!$B:$B,$A$37,'BA History'!Z:Z, 1)</f>
        <v>0</v>
      </c>
      <c r="AE37" s="2">
        <f>COUNTIFS('BA History'!$B:$B,$A$37,'BA History'!AA:AA, 1)</f>
        <v>4</v>
      </c>
      <c r="AF37" s="2">
        <f>COUNTIFS('BA History'!$B:$B,$A$37,'BA History'!AB:AB, 1)</f>
        <v>5</v>
      </c>
      <c r="AG37" s="2">
        <f>COUNTIFS('BA History'!$B:$B,$A$37,'BA History'!AC:AC, 1)</f>
        <v>3</v>
      </c>
      <c r="AH37" s="2">
        <f>COUNTIFS('BA History'!$B:$B,$A$37,'BA History'!AD:AD, 1)</f>
        <v>1</v>
      </c>
      <c r="AI37" s="2">
        <f>COUNTIFS('BA History'!$B:$B,$A$37,'BA History'!AE:AE, 1)</f>
        <v>1</v>
      </c>
    </row>
    <row r="38" spans="1:35" ht="14.25" customHeight="1" x14ac:dyDescent="0.25">
      <c r="A38" s="1" t="s">
        <v>105</v>
      </c>
      <c r="B38" s="2" t="s">
        <v>79</v>
      </c>
      <c r="C38" s="34">
        <f>SUMIFS('BA History'!C:C,'BA History'!B:B,A38)</f>
        <v>12</v>
      </c>
      <c r="D38" s="66">
        <f>AVERAGEIFS('BA History'!C:C,'BA History'!B:B,A38)</f>
        <v>12</v>
      </c>
      <c r="E38" s="35">
        <f t="array" ref="E38">MAX(IF('BA History'!B:B=A38, 'BA History'!C:C))</f>
        <v>12</v>
      </c>
      <c r="F38" s="34">
        <f>COUNTIFS('BA History'!B:B,A38,'BA History'!D:D, 1)</f>
        <v>1</v>
      </c>
      <c r="G38" s="2">
        <f>COUNTIFS('BA History'!B:B,A38,'BA History'!D:D, 0)</f>
        <v>0</v>
      </c>
      <c r="H38" s="75">
        <f t="shared" si="3"/>
        <v>1</v>
      </c>
      <c r="I38" s="34">
        <f>SUMIFS('BA History'!F:F,'BA History'!B:B,A38)</f>
        <v>3</v>
      </c>
      <c r="J38" s="2">
        <f>SUMIFS('BA History'!E:E,'BA History'!B:B,A38)-I38</f>
        <v>2</v>
      </c>
      <c r="K38" s="75">
        <f t="shared" si="4"/>
        <v>0.6</v>
      </c>
      <c r="L38" s="34">
        <f>SUMIFS('BA History'!H:H,'BA History'!B:B,A38)</f>
        <v>9</v>
      </c>
      <c r="M38" s="2">
        <f>SUMIFS('BA History'!G:G,'BA History'!B:B,A38)-L38</f>
        <v>10</v>
      </c>
      <c r="N38" s="93">
        <f t="shared" si="5"/>
        <v>0.47368421052631576</v>
      </c>
      <c r="O38" s="2">
        <f>COUNTIFS('BA History'!$B:$B,$A$38,'BA History'!K:K, 1)</f>
        <v>0</v>
      </c>
      <c r="P38" s="2">
        <f>COUNTIFS('BA History'!$B:$B,$A$38,'BA History'!L:L, 1)</f>
        <v>0</v>
      </c>
      <c r="Q38" s="2">
        <f>COUNTIFS('BA History'!$B:$B,$A$38,'BA History'!M:M, 1)</f>
        <v>0</v>
      </c>
      <c r="R38" s="2">
        <f>COUNTIFS('BA History'!$B:$B,$A$38,'BA History'!N:N, 1)</f>
        <v>0</v>
      </c>
      <c r="S38" s="2">
        <f>COUNTIFS('BA History'!$B:$B,$A$38,'BA History'!O:O, 1)</f>
        <v>0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1</v>
      </c>
      <c r="Y38" s="2">
        <f>COUNTIFS('BA History'!$B:$B,$A$38,'BA History'!U:U, 1)</f>
        <v>0</v>
      </c>
      <c r="Z38" s="2">
        <f>COUNTIFS('BA History'!$B:$B,$A$38,'BA History'!V:V, 1)</f>
        <v>0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0</v>
      </c>
      <c r="AD38" s="2">
        <f>COUNTIFS('BA History'!$B:$B,$A$38,'BA History'!Z:Z, 1)</f>
        <v>0</v>
      </c>
      <c r="AE38" s="2">
        <f>COUNTIFS('BA History'!$B:$B,$A$38,'BA History'!AA:AA, 1)</f>
        <v>1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0</v>
      </c>
      <c r="AI38" s="2">
        <f>COUNTIFS('BA History'!$B:$B,$A$38,'BA History'!AE:AE, 1)</f>
        <v>0</v>
      </c>
    </row>
    <row r="39" spans="1:35" ht="14.25" customHeight="1" x14ac:dyDescent="0.25">
      <c r="A39" s="1" t="s">
        <v>143</v>
      </c>
      <c r="B39" s="2" t="s">
        <v>79</v>
      </c>
      <c r="C39" s="34">
        <f>SUMIFS('BA History'!C:C,'BA History'!B:B,A39)</f>
        <v>9</v>
      </c>
      <c r="D39" s="66">
        <f>AVERAGEIFS('BA History'!C:C,'BA History'!B:B,A39)</f>
        <v>9</v>
      </c>
      <c r="E39" s="35">
        <f t="array" ref="E39">MAX(IF('BA History'!B:B=A39, 'BA History'!C:C))</f>
        <v>9</v>
      </c>
      <c r="F39" s="34">
        <f>COUNTIFS('BA History'!B:B,A39,'BA History'!D:D, 1)</f>
        <v>1</v>
      </c>
      <c r="G39" s="2">
        <f>COUNTIFS('BA History'!B:B,A39,'BA History'!D:D, 0)</f>
        <v>0</v>
      </c>
      <c r="H39" s="75">
        <f t="shared" si="3"/>
        <v>1</v>
      </c>
      <c r="I39" s="34">
        <f>SUMIFS('BA History'!F:F,'BA History'!B:B,A39)</f>
        <v>3</v>
      </c>
      <c r="J39" s="2">
        <f>SUMIFS('BA History'!E:E,'BA History'!B:B,A39)-I39</f>
        <v>1</v>
      </c>
      <c r="K39" s="75">
        <f t="shared" ref="K39" si="15">I39/(I39+J39)</f>
        <v>0.75</v>
      </c>
      <c r="L39" s="34">
        <f>SUMIFS('BA History'!H:H,'BA History'!B:B,A39)</f>
        <v>9</v>
      </c>
      <c r="M39" s="2">
        <f>SUMIFS('BA History'!G:G,'BA History'!B:B,A39)-L39</f>
        <v>5</v>
      </c>
      <c r="N39" s="93">
        <f t="shared" ref="N39" si="16">L39/(L39+M39)</f>
        <v>0.6428571428571429</v>
      </c>
      <c r="O39" s="2">
        <f>COUNTIFS('BA History'!$B:$B,$A$39,'BA History'!K:K, 1)</f>
        <v>0</v>
      </c>
      <c r="P39" s="2">
        <f>COUNTIFS('BA History'!$B:$B,$A$39,'BA History'!L:L, 1)</f>
        <v>1</v>
      </c>
      <c r="Q39" s="2">
        <f>COUNTIFS('BA History'!$B:$B,$A$39,'BA History'!M:M, 1)</f>
        <v>0</v>
      </c>
      <c r="R39" s="2">
        <f>COUNTIFS('BA History'!$B:$B,$A$39,'BA History'!N:N, 1)</f>
        <v>0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0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1</v>
      </c>
      <c r="Z39" s="2">
        <f>COUNTIFS('BA History'!$B:$B,$A$39,'BA History'!V:V, 1)</f>
        <v>0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1</v>
      </c>
      <c r="AF39" s="2">
        <f>COUNTIFS('BA History'!$B:$B,$A$39,'BA History'!AB:AB, 1)</f>
        <v>0</v>
      </c>
      <c r="AG39" s="2">
        <f>COUNTIFS('BA History'!$B:$B,$A$39,'BA History'!AC:AC, 1)</f>
        <v>0</v>
      </c>
      <c r="AH39" s="2">
        <f>COUNTIFS('BA History'!$B:$B,$A$39,'BA History'!AD:AD, 1)</f>
        <v>0</v>
      </c>
      <c r="AI39" s="2">
        <f>COUNTIFS('BA History'!$B:$B,$A$39,'BA History'!AE:AE, 1)</f>
        <v>0</v>
      </c>
    </row>
    <row r="40" spans="1:35" x14ac:dyDescent="0.25">
      <c r="A40" s="1" t="s">
        <v>118</v>
      </c>
      <c r="B40" s="2" t="s">
        <v>79</v>
      </c>
      <c r="C40" s="34">
        <f>SUMIFS('BA History'!C:C,'BA History'!B:B,A40)</f>
        <v>10</v>
      </c>
      <c r="D40" s="66">
        <f>AVERAGEIFS('BA History'!C:C,'BA History'!B:B,A40)</f>
        <v>10</v>
      </c>
      <c r="E40" s="35">
        <f t="array" ref="E40">MAX(IF('BA History'!B:B=A40, 'BA History'!C:C))</f>
        <v>10</v>
      </c>
      <c r="F40" s="34">
        <f>COUNTIFS('BA History'!B:B,A40,'BA History'!D:D, 1)</f>
        <v>1</v>
      </c>
      <c r="G40" s="2">
        <f>COUNTIFS('BA History'!B:B,A40,'BA History'!D:D, 0)</f>
        <v>0</v>
      </c>
      <c r="H40" s="75">
        <f t="shared" si="3"/>
        <v>1</v>
      </c>
      <c r="I40" s="34">
        <f>SUMIFS('BA History'!F:F,'BA History'!B:B,A40)</f>
        <v>3</v>
      </c>
      <c r="J40" s="2">
        <f>SUMIFS('BA History'!E:E,'BA History'!B:B,A40)-I40</f>
        <v>1</v>
      </c>
      <c r="K40" s="75">
        <f t="shared" si="4"/>
        <v>0.75</v>
      </c>
      <c r="L40" s="34">
        <f>SUMIFS('BA History'!H:H,'BA History'!B:B,A40)</f>
        <v>9</v>
      </c>
      <c r="M40" s="2">
        <f>SUMIFS('BA History'!G:G,'BA History'!B:B,A40)-L40</f>
        <v>5</v>
      </c>
      <c r="N40" s="93">
        <f t="shared" si="5"/>
        <v>0.6428571428571429</v>
      </c>
      <c r="O40" s="2">
        <f>COUNTIFS('BA History'!$B:$B,$A$40,'BA History'!K:K, 1)</f>
        <v>0</v>
      </c>
      <c r="P40" s="2">
        <f>COUNTIFS('BA History'!$B:$B,$A$40,'BA History'!L:L, 1)</f>
        <v>0</v>
      </c>
      <c r="Q40" s="2">
        <f>COUNTIFS('BA History'!$B:$B,$A$40,'BA History'!M:M, 1)</f>
        <v>0</v>
      </c>
      <c r="R40" s="2">
        <f>COUNTIFS('BA History'!$B:$B,$A$40,'BA History'!N:N, 1)</f>
        <v>0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0</v>
      </c>
      <c r="X40" s="2">
        <f>COUNTIFS('BA History'!$B:$B,$A$40,'BA History'!T:T, 1)</f>
        <v>0</v>
      </c>
      <c r="Y40" s="2">
        <f>COUNTIFS('BA History'!$B:$B,$A$40,'BA History'!U:U, 1)</f>
        <v>1</v>
      </c>
      <c r="Z40" s="2">
        <f>COUNTIFS('BA History'!$B:$B,$A$40,'BA History'!V:V, 1)</f>
        <v>0</v>
      </c>
      <c r="AA40" s="2">
        <f>COUNTIFS('BA History'!$B:$B,$A$40,'BA History'!W:W, 1)</f>
        <v>0</v>
      </c>
      <c r="AB40" s="2">
        <f>COUNTIFS('BA History'!$B:$B,$A$40,'BA History'!X:X, 1)</f>
        <v>0</v>
      </c>
      <c r="AC40" s="2">
        <f>COUNTIFS('BA History'!$B:$B,$A$40,'BA History'!Y:Y, 1)</f>
        <v>1</v>
      </c>
      <c r="AD40" s="2">
        <f>COUNTIFS('BA History'!$B:$B,$A$40,'BA History'!Z:Z, 1)</f>
        <v>0</v>
      </c>
      <c r="AE40" s="2">
        <f>COUNTIFS('BA History'!$B:$B,$A$40,'BA History'!AA:AA, 1)</f>
        <v>0</v>
      </c>
      <c r="AF40" s="2">
        <f>COUNTIFS('BA History'!$B:$B,$A$40,'BA History'!AB:AB, 1)</f>
        <v>1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</row>
    <row r="41" spans="1:35" ht="15.75" x14ac:dyDescent="0.25">
      <c r="A41" s="2" t="s">
        <v>6</v>
      </c>
      <c r="B41" s="80" t="s">
        <v>60</v>
      </c>
      <c r="C41" s="34">
        <f>SUMIFS('BA History'!C:C,'BA History'!B:B,A41)</f>
        <v>660</v>
      </c>
      <c r="D41" s="66">
        <f>AVERAGEIFS('BA History'!C:C,'BA History'!B:B,A41)</f>
        <v>22.758620689655171</v>
      </c>
      <c r="E41" s="35">
        <f t="array" ref="E41">MAX(IF('BA History'!B:B=A41, 'BA History'!C:C))</f>
        <v>37</v>
      </c>
      <c r="F41" s="34">
        <f>COUNTIFS('BA History'!B:B,A41,'BA History'!D:D, 1)</f>
        <v>22</v>
      </c>
      <c r="G41" s="2">
        <f>COUNTIFS('BA History'!B:B,A41,'BA History'!D:D, 0)</f>
        <v>7</v>
      </c>
      <c r="H41" s="75">
        <f t="shared" si="3"/>
        <v>0.75862068965517238</v>
      </c>
      <c r="I41" s="34">
        <f>SUMIFS('BA History'!F:F,'BA History'!B:B,A41)</f>
        <v>74</v>
      </c>
      <c r="J41" s="2">
        <f>SUMIFS('BA History'!E:E,'BA History'!B:B,A41)-I41</f>
        <v>44</v>
      </c>
      <c r="K41" s="75">
        <f t="shared" si="4"/>
        <v>0.6271186440677966</v>
      </c>
      <c r="L41" s="34">
        <f>SUMIFS('BA History'!H:H,'BA History'!B:B,A41)</f>
        <v>275</v>
      </c>
      <c r="M41" s="2">
        <f>SUMIFS('BA History'!G:G,'BA History'!B:B,A41)-L41</f>
        <v>213</v>
      </c>
      <c r="N41" s="93">
        <f t="shared" si="5"/>
        <v>0.56352459016393441</v>
      </c>
      <c r="O41" s="2">
        <f>COUNTIFS('BA History'!$B:$B,$A$41,'BA History'!K:K, 1)</f>
        <v>5</v>
      </c>
      <c r="P41" s="2">
        <f>COUNTIFS('BA History'!$B:$B,$A$41,'BA History'!L:L, 1)</f>
        <v>2</v>
      </c>
      <c r="Q41" s="2">
        <f>COUNTIFS('BA History'!$B:$B,$A$41,'BA History'!M:M, 1)</f>
        <v>5</v>
      </c>
      <c r="R41" s="2">
        <f>COUNTIFS('BA History'!$B:$B,$A$41,'BA History'!N:N, 1)</f>
        <v>5</v>
      </c>
      <c r="S41" s="2">
        <f>COUNTIFS('BA History'!$B:$B,$A$41,'BA History'!O:O, 1)</f>
        <v>1</v>
      </c>
      <c r="T41" s="2">
        <f>COUNTIFS('BA History'!$B:$B,$A$41,'BA History'!P:P, 1)</f>
        <v>0</v>
      </c>
      <c r="U41" s="2">
        <f>COUNTIFS('BA History'!$B:$B,$A$41,'BA History'!Q:Q, 1)</f>
        <v>2</v>
      </c>
      <c r="V41" s="2">
        <f>COUNTIFS('BA History'!$B:$B,$A$41,'BA History'!R:R, 1)</f>
        <v>3</v>
      </c>
      <c r="W41" s="2">
        <f>COUNTIFS('BA History'!$B:$B,$A$41,'BA History'!S:S, 1)</f>
        <v>0</v>
      </c>
      <c r="X41" s="2">
        <f>COUNTIFS('BA History'!$B:$B,$A$41,'BA History'!T:T, 1)</f>
        <v>2</v>
      </c>
      <c r="Y41" s="2">
        <f>COUNTIFS('BA History'!$B:$B,$A$41,'BA History'!U:U, 1)</f>
        <v>7</v>
      </c>
      <c r="Z41" s="2">
        <f>COUNTIFS('BA History'!$B:$B,$A$41,'BA History'!V:V, 1)</f>
        <v>3</v>
      </c>
      <c r="AA41" s="2">
        <f>COUNTIFS('BA History'!$B:$B,$A$41,'BA History'!W:W, 1)</f>
        <v>2</v>
      </c>
      <c r="AB41" s="2">
        <f>COUNTIFS('BA History'!$B:$B,$A$41,'BA History'!X:X, 1)</f>
        <v>2</v>
      </c>
      <c r="AC41" s="2">
        <f>COUNTIFS('BA History'!$B:$B,$A$41,'BA History'!Y:Y, 1)</f>
        <v>10</v>
      </c>
      <c r="AD41" s="2">
        <f>COUNTIFS('BA History'!$B:$B,$A$41,'BA History'!Z:Z, 1)</f>
        <v>1</v>
      </c>
      <c r="AE41" s="2">
        <f>COUNTIFS('BA History'!$B:$B,$A$41,'BA History'!AA:AA, 1)</f>
        <v>7</v>
      </c>
      <c r="AF41" s="2">
        <f>COUNTIFS('BA History'!$B:$B,$A$41,'BA History'!AB:AB, 1)</f>
        <v>4</v>
      </c>
      <c r="AG41" s="2">
        <f>COUNTIFS('BA History'!$B:$B,$A$41,'BA History'!AC:AC, 1)</f>
        <v>7</v>
      </c>
      <c r="AH41" s="2">
        <f>COUNTIFS('BA History'!$B:$B,$A$41,'BA History'!AD:AD, 1)</f>
        <v>1</v>
      </c>
      <c r="AI41" s="2">
        <f>COUNTIFS('BA History'!$B:$B,$A$41,'BA History'!AE:AE, 1)</f>
        <v>5</v>
      </c>
    </row>
    <row r="42" spans="1:35" x14ac:dyDescent="0.25">
      <c r="A42" s="2" t="s">
        <v>18</v>
      </c>
      <c r="B42" s="2" t="s">
        <v>79</v>
      </c>
      <c r="C42" s="34">
        <f>SUMIFS('BA History'!C:C,'BA History'!B:B,A42)</f>
        <v>55</v>
      </c>
      <c r="D42" s="66">
        <f>AVERAGEIFS('BA History'!C:C,'BA History'!B:B,A42)</f>
        <v>18.333333333333332</v>
      </c>
      <c r="E42" s="35">
        <f t="array" ref="E42">MAX(IF('BA History'!B:B=A42, 'BA History'!C:C))</f>
        <v>24</v>
      </c>
      <c r="F42" s="34">
        <f>COUNTIFS('BA History'!B:B,A42,'BA History'!D:D, 1)</f>
        <v>2</v>
      </c>
      <c r="G42" s="2">
        <f>COUNTIFS('BA History'!B:B,A42,'BA History'!D:D, 0)</f>
        <v>1</v>
      </c>
      <c r="H42" s="75">
        <f t="shared" si="3"/>
        <v>0.66666666666666663</v>
      </c>
      <c r="I42" s="34">
        <f>SUMIFS('BA History'!F:F,'BA History'!B:B,A42)</f>
        <v>7</v>
      </c>
      <c r="J42" s="2">
        <f>SUMIFS('BA History'!E:E,'BA History'!B:B,A42)-I42</f>
        <v>5</v>
      </c>
      <c r="K42" s="75">
        <f t="shared" si="4"/>
        <v>0.58333333333333337</v>
      </c>
      <c r="L42" s="34">
        <f>SUMIFS('BA History'!H:H,'BA History'!B:B,A42)</f>
        <v>26</v>
      </c>
      <c r="M42" s="2">
        <f>SUMIFS('BA History'!G:G,'BA History'!B:B,A42)-L42</f>
        <v>23</v>
      </c>
      <c r="N42" s="93">
        <f t="shared" si="5"/>
        <v>0.53061224489795922</v>
      </c>
      <c r="O42" s="2">
        <f>COUNTIFS('BA History'!$B:$B,$A$42,'BA History'!K:K, 1)</f>
        <v>0</v>
      </c>
      <c r="P42" s="2">
        <f>COUNTIFS('BA History'!$B:$B,$A$42,'BA History'!L:L, 1)</f>
        <v>2</v>
      </c>
      <c r="Q42" s="2">
        <f>COUNTIFS('BA History'!$B:$B,$A$42,'BA History'!M:M, 1)</f>
        <v>0</v>
      </c>
      <c r="R42" s="2">
        <f>COUNTIFS('BA History'!$B:$B,$A$42,'BA History'!N:N, 1)</f>
        <v>1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0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1</v>
      </c>
      <c r="AA42" s="2">
        <f>COUNTIFS('BA History'!$B:$B,$A$42,'BA History'!W:W, 1)</f>
        <v>1</v>
      </c>
      <c r="AB42" s="2">
        <f>COUNTIFS('BA History'!$B:$B,$A$42,'BA History'!X:X, 1)</f>
        <v>0</v>
      </c>
      <c r="AC42" s="2">
        <f>COUNTIFS('BA History'!$B:$B,$A$42,'BA History'!Y:Y, 1)</f>
        <v>1</v>
      </c>
      <c r="AD42" s="2">
        <f>COUNTIFS('BA History'!$B:$B,$A$42,'BA History'!Z:Z, 1)</f>
        <v>0</v>
      </c>
      <c r="AE42" s="2">
        <f>COUNTIFS('BA History'!$B:$B,$A$42,'BA History'!AA:AA, 1)</f>
        <v>0</v>
      </c>
      <c r="AF42" s="2">
        <f>COUNTIFS('BA History'!$B:$B,$A$42,'BA History'!AB:AB, 1)</f>
        <v>0</v>
      </c>
      <c r="AG42" s="2">
        <f>COUNTIFS('BA History'!$B:$B,$A$42,'BA History'!AC:AC, 1)</f>
        <v>1</v>
      </c>
      <c r="AH42" s="2">
        <f>COUNTIFS('BA History'!$B:$B,$A$42,'BA History'!AD:AD, 1)</f>
        <v>0</v>
      </c>
      <c r="AI42" s="2">
        <f>COUNTIFS('BA History'!$B:$B,$A$42,'BA History'!AE:AE, 1)</f>
        <v>0</v>
      </c>
    </row>
    <row r="43" spans="1:35" x14ac:dyDescent="0.25">
      <c r="A43" s="2" t="s">
        <v>113</v>
      </c>
      <c r="B43" s="2" t="s">
        <v>79</v>
      </c>
      <c r="C43" s="34">
        <f>SUMIFS('BA History'!C:C,'BA History'!B:B,A43)</f>
        <v>146</v>
      </c>
      <c r="D43" s="66">
        <f>AVERAGEIFS('BA History'!C:C,'BA History'!B:B,A43)</f>
        <v>18.25</v>
      </c>
      <c r="E43" s="35">
        <f t="array" ref="E43">MAX(IF('BA History'!B:B=A43, 'BA History'!C:C))</f>
        <v>28</v>
      </c>
      <c r="F43" s="34">
        <f>COUNTIFS('BA History'!B:B,A43,'BA History'!D:D, 1)</f>
        <v>4</v>
      </c>
      <c r="G43" s="2">
        <f>COUNTIFS('BA History'!B:B,A43,'BA History'!D:D, 0)</f>
        <v>4</v>
      </c>
      <c r="H43" s="75">
        <f t="shared" si="3"/>
        <v>0.5</v>
      </c>
      <c r="I43" s="34">
        <f>SUMIFS('BA History'!F:F,'BA History'!B:B,A43)</f>
        <v>18</v>
      </c>
      <c r="J43" s="2">
        <f>SUMIFS('BA History'!E:E,'BA History'!B:B,A43)-I43</f>
        <v>17</v>
      </c>
      <c r="K43" s="75">
        <f t="shared" si="4"/>
        <v>0.51428571428571423</v>
      </c>
      <c r="L43" s="34">
        <f>SUMIFS('BA History'!H:H,'BA History'!B:B,A43)</f>
        <v>69</v>
      </c>
      <c r="M43" s="2">
        <f>SUMIFS('BA History'!G:G,'BA History'!B:B,A43)-L43</f>
        <v>72</v>
      </c>
      <c r="N43" s="93">
        <f t="shared" si="5"/>
        <v>0.48936170212765956</v>
      </c>
      <c r="O43" s="2">
        <f>COUNTIFS('BA History'!$B:$B,$A$43,'BA History'!K:K, 1)</f>
        <v>0</v>
      </c>
      <c r="P43" s="2">
        <f>COUNTIFS('BA History'!$B:$B,$A$43,'BA History'!L:L, 1)</f>
        <v>1</v>
      </c>
      <c r="Q43" s="2">
        <f>COUNTIFS('BA History'!$B:$B,$A$43,'BA History'!M:M, 1)</f>
        <v>4</v>
      </c>
      <c r="R43" s="2">
        <f>COUNTIFS('BA History'!$B:$B,$A$43,'BA History'!N:N, 1)</f>
        <v>2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1</v>
      </c>
      <c r="V43" s="2">
        <f>COUNTIFS('BA History'!$B:$B,$A$43,'BA History'!R:R, 1)</f>
        <v>0</v>
      </c>
      <c r="W43" s="2">
        <f>COUNTIFS('BA History'!$B:$B,$A$43,'BA History'!S:S, 1)</f>
        <v>0</v>
      </c>
      <c r="X43" s="2">
        <f>COUNTIFS('BA History'!$B:$B,$A$43,'BA History'!T:T, 1)</f>
        <v>1</v>
      </c>
      <c r="Y43" s="2">
        <f>COUNTIFS('BA History'!$B:$B,$A$43,'BA History'!U:U, 1)</f>
        <v>1</v>
      </c>
      <c r="Z43" s="2">
        <f>COUNTIFS('BA History'!$B:$B,$A$43,'BA History'!V:V, 1)</f>
        <v>0</v>
      </c>
      <c r="AA43" s="2">
        <f>COUNTIFS('BA History'!$B:$B,$A$43,'BA History'!W:W, 1)</f>
        <v>0</v>
      </c>
      <c r="AB43" s="2">
        <f>COUNTIFS('BA History'!$B:$B,$A$43,'BA History'!X:X, 1)</f>
        <v>3</v>
      </c>
      <c r="AC43" s="2">
        <f>COUNTIFS('BA History'!$B:$B,$A$43,'BA History'!Y:Y, 1)</f>
        <v>0</v>
      </c>
      <c r="AD43" s="2">
        <f>COUNTIFS('BA History'!$B:$B,$A$43,'BA History'!Z:Z, 1)</f>
        <v>0</v>
      </c>
      <c r="AE43" s="2">
        <f>COUNTIFS('BA History'!$B:$B,$A$43,'BA History'!AA:AA, 1)</f>
        <v>2</v>
      </c>
      <c r="AF43" s="2">
        <f>COUNTIFS('BA History'!$B:$B,$A$43,'BA History'!AB:AB, 1)</f>
        <v>2</v>
      </c>
      <c r="AG43" s="2">
        <f>COUNTIFS('BA History'!$B:$B,$A$43,'BA History'!AC:AC, 1)</f>
        <v>1</v>
      </c>
      <c r="AH43" s="2">
        <f>COUNTIFS('BA History'!$B:$B,$A$43,'BA History'!AD:AD, 1)</f>
        <v>0</v>
      </c>
      <c r="AI43" s="2">
        <f>COUNTIFS('BA History'!$B:$B,$A$43,'BA History'!AE:AE, 1)</f>
        <v>0</v>
      </c>
    </row>
    <row r="44" spans="1:35" x14ac:dyDescent="0.25">
      <c r="A44" s="2" t="s">
        <v>14</v>
      </c>
      <c r="B44" s="2" t="s">
        <v>79</v>
      </c>
      <c r="C44" s="34">
        <f>SUMIFS('BA History'!C:C,'BA History'!B:B,A44)</f>
        <v>200</v>
      </c>
      <c r="D44" s="66">
        <f>AVERAGEIFS('BA History'!C:C,'BA History'!B:B,A44)</f>
        <v>16.666666666666668</v>
      </c>
      <c r="E44" s="35">
        <f t="array" ref="E44">MAX(IF('BA History'!B:B=A44, 'BA History'!C:C))</f>
        <v>27</v>
      </c>
      <c r="F44" s="34">
        <f>COUNTIFS('BA History'!B:B,A44,'BA History'!D:D, 1)</f>
        <v>6</v>
      </c>
      <c r="G44" s="2">
        <f>COUNTIFS('BA History'!B:B,A44,'BA History'!D:D, 0)</f>
        <v>6</v>
      </c>
      <c r="H44" s="75">
        <f t="shared" si="3"/>
        <v>0.5</v>
      </c>
      <c r="I44" s="34">
        <f>SUMIFS('BA History'!F:F,'BA History'!B:B,A44)</f>
        <v>24</v>
      </c>
      <c r="J44" s="2">
        <f>SUMIFS('BA History'!E:E,'BA History'!B:B,A44)-I44</f>
        <v>27</v>
      </c>
      <c r="K44" s="75">
        <f t="shared" si="4"/>
        <v>0.47058823529411764</v>
      </c>
      <c r="L44" s="34">
        <f>SUMIFS('BA History'!H:H,'BA History'!B:B,A44)</f>
        <v>103</v>
      </c>
      <c r="M44" s="2">
        <f>SUMIFS('BA History'!G:G,'BA History'!B:B,A44)-L44</f>
        <v>103</v>
      </c>
      <c r="N44" s="93">
        <f t="shared" si="5"/>
        <v>0.5</v>
      </c>
      <c r="O44" s="2">
        <f>COUNTIFS('BA History'!$B:$B,$A$44,'BA History'!K:K, 1)</f>
        <v>1</v>
      </c>
      <c r="P44" s="2">
        <f>COUNTIFS('BA History'!$B:$B,$A$44,'BA History'!L:L, 1)</f>
        <v>1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2</v>
      </c>
      <c r="V44" s="2">
        <f>COUNTIFS('BA History'!$B:$B,$A$44,'BA History'!R:R, 1)</f>
        <v>1</v>
      </c>
      <c r="W44" s="2">
        <f>COUNTIFS('BA History'!$B:$B,$A$44,'BA History'!S:S, 1)</f>
        <v>1</v>
      </c>
      <c r="X44" s="2">
        <f>COUNTIFS('BA History'!$B:$B,$A$44,'BA History'!T:T, 1)</f>
        <v>1</v>
      </c>
      <c r="Y44" s="2">
        <f>COUNTIFS('BA History'!$B:$B,$A$44,'BA History'!U:U, 1)</f>
        <v>0</v>
      </c>
      <c r="Z44" s="2">
        <f>COUNTIFS('BA History'!$B:$B,$A$44,'BA History'!V:V, 1)</f>
        <v>2</v>
      </c>
      <c r="AA44" s="2">
        <f>COUNTIFS('BA History'!$B:$B,$A$44,'BA History'!W:W, 1)</f>
        <v>1</v>
      </c>
      <c r="AB44" s="2">
        <f>COUNTIFS('BA History'!$B:$B,$A$44,'BA History'!X:X, 1)</f>
        <v>2</v>
      </c>
      <c r="AC44" s="2">
        <f>COUNTIFS('BA History'!$B:$B,$A$44,'BA History'!Y:Y, 1)</f>
        <v>5</v>
      </c>
      <c r="AD44" s="2">
        <f>COUNTIFS('BA History'!$B:$B,$A$44,'BA History'!Z:Z, 1)</f>
        <v>1</v>
      </c>
      <c r="AE44" s="2">
        <f>COUNTIFS('BA History'!$B:$B,$A$44,'BA History'!AA:AA, 1)</f>
        <v>3</v>
      </c>
      <c r="AF44" s="2">
        <f>COUNTIFS('BA History'!$B:$B,$A$44,'BA History'!AB:AB, 1)</f>
        <v>3</v>
      </c>
      <c r="AG44" s="2">
        <f>COUNTIFS('BA History'!$B:$B,$A$44,'BA History'!AC:AC, 1)</f>
        <v>0</v>
      </c>
      <c r="AH44" s="2">
        <f>COUNTIFS('BA History'!$B:$B,$A$44,'BA History'!AD:AD, 1)</f>
        <v>0</v>
      </c>
      <c r="AI44" s="2">
        <f>COUNTIFS('BA History'!$B:$B,$A$44,'BA History'!AE:AE, 1)</f>
        <v>0</v>
      </c>
    </row>
    <row r="45" spans="1:35" x14ac:dyDescent="0.25">
      <c r="A45" s="2" t="s">
        <v>70</v>
      </c>
      <c r="B45" s="2" t="s">
        <v>79</v>
      </c>
      <c r="C45" s="34">
        <f>SUMIFS('BA History'!C:C,'BA History'!B:B,A45)</f>
        <v>63</v>
      </c>
      <c r="D45" s="66">
        <f>AVERAGEIFS('BA History'!C:C,'BA History'!B:B,A45)</f>
        <v>12.6</v>
      </c>
      <c r="E45" s="35">
        <f t="array" ref="E45">MAX(IF('BA History'!B:B=A45, 'BA History'!C:C))</f>
        <v>19</v>
      </c>
      <c r="F45" s="34">
        <f>COUNTIFS('BA History'!B:B,A45,'BA History'!D:D, 1)</f>
        <v>5</v>
      </c>
      <c r="G45" s="2">
        <f>COUNTIFS('BA History'!B:B,A45,'BA History'!D:D, 0)</f>
        <v>0</v>
      </c>
      <c r="H45" s="75">
        <f t="shared" si="3"/>
        <v>1</v>
      </c>
      <c r="I45" s="34">
        <f>SUMIFS('BA History'!F:F,'BA History'!B:B,A45)</f>
        <v>15</v>
      </c>
      <c r="J45" s="2">
        <f>SUMIFS('BA History'!E:E,'BA History'!B:B,A45)-I45</f>
        <v>7</v>
      </c>
      <c r="K45" s="75">
        <f t="shared" si="4"/>
        <v>0.68181818181818177</v>
      </c>
      <c r="L45" s="34">
        <f>SUMIFS('BA History'!H:H,'BA History'!B:B,A45)</f>
        <v>52</v>
      </c>
      <c r="M45" s="2">
        <f>SUMIFS('BA History'!G:G,'BA History'!B:B,A45)-L45</f>
        <v>40</v>
      </c>
      <c r="N45" s="93">
        <f t="shared" si="5"/>
        <v>0.56521739130434778</v>
      </c>
      <c r="O45" s="2">
        <f>COUNTIFS('BA History'!$B:$B,$A$45,'BA History'!K:K, 1)</f>
        <v>1</v>
      </c>
      <c r="P45" s="2">
        <f>COUNTIFS('BA History'!$B:$B,$A$45,'BA History'!L:L, 1)</f>
        <v>1</v>
      </c>
      <c r="Q45" s="2">
        <f>COUNTIFS('BA History'!$B:$B,$A$45,'BA History'!M:M, 1)</f>
        <v>2</v>
      </c>
      <c r="R45" s="2">
        <f>COUNTIFS('BA History'!$B:$B,$A$45,'BA History'!N:N, 1)</f>
        <v>2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1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1</v>
      </c>
      <c r="Z45" s="2">
        <f>COUNTIFS('BA History'!$B:$B,$A$45,'BA History'!V:V, 1)</f>
        <v>1</v>
      </c>
      <c r="AA45" s="2">
        <f>COUNTIFS('BA History'!$B:$B,$A$45,'BA History'!W:W, 1)</f>
        <v>0</v>
      </c>
      <c r="AB45" s="2">
        <f>COUNTIFS('BA History'!$B:$B,$A$45,'BA History'!X:X, 1)</f>
        <v>1</v>
      </c>
      <c r="AC45" s="2">
        <f>COUNTIFS('BA History'!$B:$B,$A$45,'BA History'!Y:Y, 1)</f>
        <v>0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3</v>
      </c>
      <c r="AH45" s="2">
        <f>COUNTIFS('BA History'!$B:$B,$A$45,'BA History'!AD:AD, 1)</f>
        <v>0</v>
      </c>
      <c r="AI45" s="2">
        <f>COUNTIFS('BA History'!$B:$B,$A$45,'BA History'!AE:AE, 1)</f>
        <v>2</v>
      </c>
    </row>
    <row r="46" spans="1:35" ht="15.75" x14ac:dyDescent="0.25">
      <c r="A46" s="2" t="s">
        <v>4</v>
      </c>
      <c r="B46" s="80" t="s">
        <v>60</v>
      </c>
      <c r="C46" s="34">
        <f>SUMIFS('BA History'!C:C,'BA History'!B:B,A46)</f>
        <v>354</v>
      </c>
      <c r="D46" s="66">
        <f>AVERAGEIFS('BA History'!C:C,'BA History'!B:B,A46)</f>
        <v>25.285714285714285</v>
      </c>
      <c r="E46" s="35">
        <f t="array" ref="E46">MAX(IF('BA History'!B:B=A46, 'BA History'!C:C))</f>
        <v>41</v>
      </c>
      <c r="F46" s="34">
        <f>COUNTIFS('BA History'!B:B,A46,'BA History'!D:D, 1)</f>
        <v>3</v>
      </c>
      <c r="G46" s="2">
        <f>COUNTIFS('BA History'!B:B,A46,'BA History'!D:D, 0)</f>
        <v>11</v>
      </c>
      <c r="H46" s="75">
        <f t="shared" si="3"/>
        <v>0.21428571428571427</v>
      </c>
      <c r="I46" s="34">
        <f>SUMIFS('BA History'!F:F,'BA History'!B:B,A46)</f>
        <v>23</v>
      </c>
      <c r="J46" s="2">
        <f>SUMIFS('BA History'!E:E,'BA History'!B:B,A46)-I46</f>
        <v>37</v>
      </c>
      <c r="K46" s="75">
        <f t="shared" si="4"/>
        <v>0.38333333333333336</v>
      </c>
      <c r="L46" s="34">
        <f>SUMIFS('BA History'!H:H,'BA History'!B:B,A46)</f>
        <v>107</v>
      </c>
      <c r="M46" s="2">
        <f>SUMIFS('BA History'!G:G,'BA History'!B:B,A46)-L46</f>
        <v>136</v>
      </c>
      <c r="N46" s="93">
        <f t="shared" si="5"/>
        <v>0.44032921810699588</v>
      </c>
      <c r="O46" s="2">
        <f>COUNTIFS('BA History'!$B:$B,$A$46,'BA History'!K:K, 1)</f>
        <v>0</v>
      </c>
      <c r="P46" s="2">
        <f>COUNTIFS('BA History'!$B:$B,$A$46,'BA History'!L:L, 1)</f>
        <v>4</v>
      </c>
      <c r="Q46" s="2">
        <f>COUNTIFS('BA History'!$B:$B,$A$46,'BA History'!M:M, 1)</f>
        <v>3</v>
      </c>
      <c r="R46" s="2">
        <f>COUNTIFS('BA History'!$B:$B,$A$46,'BA History'!N:N, 1)</f>
        <v>4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1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1</v>
      </c>
      <c r="Y46" s="2">
        <f>COUNTIFS('BA History'!$B:$B,$A$46,'BA History'!U:U, 1)</f>
        <v>0</v>
      </c>
      <c r="Z46" s="2">
        <f>COUNTIFS('BA History'!$B:$B,$A$46,'BA History'!V:V, 1)</f>
        <v>0</v>
      </c>
      <c r="AA46" s="2">
        <f>COUNTIFS('BA History'!$B:$B,$A$46,'BA History'!W:W, 1)</f>
        <v>0</v>
      </c>
      <c r="AB46" s="2">
        <f>COUNTIFS('BA History'!$B:$B,$A$46,'BA History'!X:X, 1)</f>
        <v>4</v>
      </c>
      <c r="AC46" s="2">
        <f>COUNTIFS('BA History'!$B:$B,$A$46,'BA History'!Y:Y, 1)</f>
        <v>1</v>
      </c>
      <c r="AD46" s="2">
        <f>COUNTIFS('BA History'!$B:$B,$A$46,'BA History'!Z:Z, 1)</f>
        <v>0</v>
      </c>
      <c r="AE46" s="2">
        <f>COUNTIFS('BA History'!$B:$B,$A$46,'BA History'!AA:AA, 1)</f>
        <v>1</v>
      </c>
      <c r="AF46" s="2">
        <f>COUNTIFS('BA History'!$B:$B,$A$46,'BA History'!AB:AB, 1)</f>
        <v>3</v>
      </c>
      <c r="AG46" s="2">
        <f>COUNTIFS('BA History'!$B:$B,$A$46,'BA History'!AC:AC, 1)</f>
        <v>1</v>
      </c>
      <c r="AH46" s="2">
        <f>COUNTIFS('BA History'!$B:$B,$A$46,'BA History'!AD:AD, 1)</f>
        <v>0</v>
      </c>
      <c r="AI46" s="2">
        <f>COUNTIFS('BA History'!$B:$B,$A$46,'BA History'!AE:AE, 1)</f>
        <v>0</v>
      </c>
    </row>
    <row r="47" spans="1:35" x14ac:dyDescent="0.25">
      <c r="A47" s="1" t="s">
        <v>107</v>
      </c>
      <c r="B47" s="2" t="s">
        <v>79</v>
      </c>
      <c r="C47" s="34">
        <f>SUMIFS('BA History'!C:C,'BA History'!B:B,A47)</f>
        <v>166</v>
      </c>
      <c r="D47" s="66">
        <f>AVERAGEIFS('BA History'!C:C,'BA History'!B:B,A47)</f>
        <v>15.090909090909092</v>
      </c>
      <c r="E47" s="35">
        <f t="array" ref="E47">MAX(IF('BA History'!B:B=A47, 'BA History'!C:C))</f>
        <v>24</v>
      </c>
      <c r="F47" s="34">
        <f>COUNTIFS('BA History'!B:B,A47,'BA History'!D:D, 1)</f>
        <v>6</v>
      </c>
      <c r="G47" s="2">
        <f>COUNTIFS('BA History'!B:B,A47,'BA History'!D:D, 0)</f>
        <v>5</v>
      </c>
      <c r="H47" s="75">
        <f t="shared" si="3"/>
        <v>0.54545454545454541</v>
      </c>
      <c r="I47" s="34">
        <f>SUMIFS('BA History'!F:F,'BA History'!B:B,A47)</f>
        <v>26</v>
      </c>
      <c r="J47" s="2">
        <f>SUMIFS('BA History'!E:E,'BA History'!B:B,A47)-I47</f>
        <v>23</v>
      </c>
      <c r="K47" s="75">
        <f t="shared" si="4"/>
        <v>0.53061224489795922</v>
      </c>
      <c r="L47" s="34">
        <f>SUMIFS('BA History'!H:H,'BA History'!B:B,A47)</f>
        <v>109</v>
      </c>
      <c r="M47" s="2">
        <f>SUMIFS('BA History'!G:G,'BA History'!B:B,A47)-L47</f>
        <v>101</v>
      </c>
      <c r="N47" s="93">
        <f t="shared" si="5"/>
        <v>0.51904761904761909</v>
      </c>
      <c r="O47" s="2">
        <f>COUNTIFS('BA History'!$B:$B,$A$47,'BA History'!K:K, 1)</f>
        <v>0</v>
      </c>
      <c r="P47" s="2">
        <f>COUNTIFS('BA History'!$B:$B,$A$47,'BA History'!L:L, 1)</f>
        <v>0</v>
      </c>
      <c r="Q47" s="2">
        <f>COUNTIFS('BA History'!$B:$B,$A$47,'BA History'!M:M, 1)</f>
        <v>2</v>
      </c>
      <c r="R47" s="2">
        <f>COUNTIFS('BA History'!$B:$B,$A$47,'BA History'!N:N, 1)</f>
        <v>7</v>
      </c>
      <c r="S47" s="2">
        <f>COUNTIFS('BA History'!$B:$B,$A$47,'BA History'!O:O, 1)</f>
        <v>1</v>
      </c>
      <c r="T47" s="2">
        <f>COUNTIFS('BA History'!$B:$B,$A$47,'BA History'!P:P, 1)</f>
        <v>0</v>
      </c>
      <c r="U47" s="2">
        <f>COUNTIFS('BA History'!$B:$B,$A$47,'BA History'!Q:Q, 1)</f>
        <v>0</v>
      </c>
      <c r="V47" s="2">
        <f>COUNTIFS('BA History'!$B:$B,$A$47,'BA History'!R:R, 1)</f>
        <v>1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0</v>
      </c>
      <c r="AA47" s="2">
        <f>COUNTIFS('BA History'!$B:$B,$A$47,'BA History'!W:W, 1)</f>
        <v>0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0</v>
      </c>
      <c r="AE47" s="2">
        <f>COUNTIFS('BA History'!$B:$B,$A$47,'BA History'!AA:AA, 1)</f>
        <v>0</v>
      </c>
      <c r="AF47" s="2">
        <f>COUNTIFS('BA History'!$B:$B,$A$47,'BA History'!AB:AB, 1)</f>
        <v>2</v>
      </c>
      <c r="AG47" s="2">
        <f>COUNTIFS('BA History'!$B:$B,$A$47,'BA History'!AC:AC, 1)</f>
        <v>2</v>
      </c>
      <c r="AH47" s="2">
        <f>COUNTIFS('BA History'!$B:$B,$A$47,'BA History'!AD:AD, 1)</f>
        <v>0</v>
      </c>
      <c r="AI47" s="2">
        <f>COUNTIFS('BA History'!$B:$B,$A$47,'BA History'!AE:AE, 1)</f>
        <v>2</v>
      </c>
    </row>
    <row r="48" spans="1:35" x14ac:dyDescent="0.25">
      <c r="A48" s="2" t="s">
        <v>94</v>
      </c>
      <c r="B48" s="2" t="s">
        <v>79</v>
      </c>
      <c r="C48" s="34">
        <f>SUMIFS('BA History'!C:C,'BA History'!B:B,A48)</f>
        <v>18</v>
      </c>
      <c r="D48" s="66">
        <f>AVERAGEIFS('BA History'!C:C,'BA History'!B:B,A48)</f>
        <v>18</v>
      </c>
      <c r="E48" s="35">
        <f t="array" ref="E48">MAX(IF('BA History'!B:B=A48, 'BA History'!C:C))</f>
        <v>18</v>
      </c>
      <c r="F48" s="34">
        <f>COUNTIFS('BA History'!B:B,A48,'BA History'!D:D, 1)</f>
        <v>1</v>
      </c>
      <c r="G48" s="2">
        <f>COUNTIFS('BA History'!B:B,A48,'BA History'!D:D, 0)</f>
        <v>0</v>
      </c>
      <c r="H48" s="75">
        <f t="shared" si="3"/>
        <v>1</v>
      </c>
      <c r="I48" s="34">
        <f>SUMIFS('BA History'!F:F,'BA History'!B:B,A48)</f>
        <v>3</v>
      </c>
      <c r="J48" s="2">
        <f>SUMIFS('BA History'!E:E,'BA History'!B:B,A48)-I48</f>
        <v>2</v>
      </c>
      <c r="K48" s="75">
        <f t="shared" si="4"/>
        <v>0.6</v>
      </c>
      <c r="L48" s="34">
        <f>SUMIFS('BA History'!H:H,'BA History'!B:B,A48)</f>
        <v>11</v>
      </c>
      <c r="M48" s="2">
        <f>SUMIFS('BA History'!G:G,'BA History'!B:B,A48)-L48</f>
        <v>10</v>
      </c>
      <c r="N48" s="93">
        <f t="shared" si="5"/>
        <v>0.52380952380952384</v>
      </c>
      <c r="O48" s="2">
        <f>COUNTIFS('BA History'!$B:$B,$A$48,'BA History'!K:K, 1)</f>
        <v>0</v>
      </c>
      <c r="P48" s="2">
        <f>COUNTIFS('BA History'!$B:$B,$A$48,'BA History'!L:L, 1)</f>
        <v>0</v>
      </c>
      <c r="Q48" s="2">
        <f>COUNTIFS('BA History'!$B:$B,$A$48,'BA History'!M:M, 1)</f>
        <v>0</v>
      </c>
      <c r="R48" s="2">
        <f>COUNTIFS('BA History'!$B:$B,$A$48,'BA History'!N:N, 1)</f>
        <v>0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0</v>
      </c>
      <c r="V48" s="2">
        <f>COUNTIFS('BA History'!$B:$B,$A$48,'BA History'!R:R, 1)</f>
        <v>0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0</v>
      </c>
      <c r="AC48" s="2">
        <f>COUNTIFS('BA History'!$B:$B,$A$48,'BA History'!Y:Y, 1)</f>
        <v>1</v>
      </c>
      <c r="AD48" s="2">
        <f>COUNTIFS('BA History'!$B:$B,$A$48,'BA History'!Z:Z, 1)</f>
        <v>0</v>
      </c>
      <c r="AE48" s="2">
        <f>COUNTIFS('BA History'!$B:$B,$A$48,'BA History'!AA:AA, 1)</f>
        <v>0</v>
      </c>
      <c r="AF48" s="2">
        <f>COUNTIFS('BA History'!$B:$B,$A$48,'BA History'!AB:AB, 1)</f>
        <v>0</v>
      </c>
      <c r="AG48" s="2">
        <f>COUNTIFS('BA History'!$B:$B,$A$48,'BA History'!AC:AC, 1)</f>
        <v>0</v>
      </c>
      <c r="AH48" s="2">
        <f>COUNTIFS('BA History'!$B:$B,$A$48,'BA History'!AD:AD, 1)</f>
        <v>0</v>
      </c>
      <c r="AI48" s="2">
        <f>COUNTIFS('BA History'!$B:$B,$A$48,'BA History'!AE:AE, 1)</f>
        <v>0</v>
      </c>
    </row>
    <row r="49" spans="1:35" ht="15.75" thickBot="1" x14ac:dyDescent="0.3">
      <c r="A49" s="2" t="s">
        <v>55</v>
      </c>
      <c r="B49" s="2" t="s">
        <v>79</v>
      </c>
      <c r="C49" s="34">
        <f>SUMIFS('BA History'!C:C,'BA History'!B:B,A49)</f>
        <v>2</v>
      </c>
      <c r="D49" s="66">
        <f>AVERAGEIFS('BA History'!C:C,'BA History'!B:B,A49)</f>
        <v>2</v>
      </c>
      <c r="E49" s="35">
        <f t="array" ref="E49">MAX(IF('BA History'!B:B=A49, 'BA History'!C:C))</f>
        <v>2</v>
      </c>
      <c r="F49" s="34">
        <f>COUNTIFS('BA History'!B:B,A49,'BA History'!D:D, 1)</f>
        <v>0</v>
      </c>
      <c r="G49" s="2">
        <f>COUNTIFS('BA History'!B:B,A49,'BA History'!D:D, 0)</f>
        <v>1</v>
      </c>
      <c r="H49" s="76">
        <f t="shared" si="3"/>
        <v>0</v>
      </c>
      <c r="I49" s="34">
        <f>SUMIFS('BA History'!F:F,'BA History'!B:B,A49)</f>
        <v>0</v>
      </c>
      <c r="J49" s="2">
        <f>SUMIFS('BA History'!E:E,'BA History'!B:B,A49)-I49</f>
        <v>3</v>
      </c>
      <c r="K49" s="76">
        <f t="shared" si="4"/>
        <v>0</v>
      </c>
      <c r="L49" s="34">
        <f>SUMIFS('BA History'!H:H,'BA History'!B:B,A49)</f>
        <v>4</v>
      </c>
      <c r="M49" s="48">
        <v>9</v>
      </c>
      <c r="N49" s="94">
        <f t="shared" si="5"/>
        <v>0.30769230769230771</v>
      </c>
      <c r="O49" s="2">
        <f>COUNTIFS('BA History'!$B:$B,$A$49,'BA History'!K:K, 1)</f>
        <v>0</v>
      </c>
      <c r="P49" s="2">
        <f>COUNTIFS('BA History'!$B:$B,$A$49,'BA History'!L:L, 1)</f>
        <v>0</v>
      </c>
      <c r="Q49" s="2">
        <f>COUNTIFS('BA History'!$B:$B,$A$49,'BA History'!M:M, 1)</f>
        <v>0</v>
      </c>
      <c r="R49" s="2">
        <f>COUNTIFS('BA History'!$B:$B,$A$49,'BA History'!N:N, 1)</f>
        <v>0</v>
      </c>
      <c r="S49" s="2">
        <f>COUNTIFS('BA History'!$B:$B,$A$49,'BA History'!O:O, 1)</f>
        <v>0</v>
      </c>
      <c r="T49" s="2">
        <f>COUNTIFS('BA History'!$B:$B,$A$49,'BA History'!P:P, 1)</f>
        <v>0</v>
      </c>
      <c r="U49" s="2">
        <f>COUNTIFS('BA History'!$B:$B,$A$49,'BA History'!Q:Q, 1)</f>
        <v>0</v>
      </c>
      <c r="V49" s="2">
        <f>COUNTIFS('BA History'!$B:$B,$A$49,'BA History'!R:R, 1)</f>
        <v>0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0</v>
      </c>
      <c r="Z49" s="2">
        <f>COUNTIFS('BA History'!$B:$B,$A$49,'BA History'!V:V, 1)</f>
        <v>0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0</v>
      </c>
      <c r="AD49" s="2">
        <f>COUNTIFS('BA History'!$B:$B,$A$49,'BA History'!Z:Z, 1)</f>
        <v>0</v>
      </c>
      <c r="AE49" s="2">
        <f>COUNTIFS('BA History'!$B:$B,$A$49,'BA History'!AA:AA, 1)</f>
        <v>0</v>
      </c>
      <c r="AF49" s="2">
        <f>COUNTIFS('BA History'!$B:$B,$A$49,'BA History'!AB:AB, 1)</f>
        <v>0</v>
      </c>
      <c r="AG49" s="2">
        <f>COUNTIFS('BA History'!$B:$B,$A$49,'BA History'!AC:AC, 1)</f>
        <v>0</v>
      </c>
      <c r="AH49" s="2">
        <f>COUNTIFS('BA History'!$B:$B,$A$49,'BA History'!AD:AD, 1)</f>
        <v>0</v>
      </c>
      <c r="AI49" s="2">
        <f>COUNTIFS('BA History'!$B:$B,$A$49,'BA History'!AE:AE, 1)</f>
        <v>0</v>
      </c>
    </row>
  </sheetData>
  <autoFilter ref="A1:AI49" xr:uid="{DA548192-1F03-46EA-8AB8-115EB9A7CE5D}">
    <sortState xmlns:xlrd2="http://schemas.microsoft.com/office/spreadsheetml/2017/richdata2" ref="A2:AI49">
      <sortCondition ref="A1:A49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I424"/>
  <sheetViews>
    <sheetView workbookViewId="0">
      <pane xSplit="2" ySplit="1" topLeftCell="C227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5" x14ac:dyDescent="0.25"/>
  <cols>
    <col min="1" max="1" width="10.140625" bestFit="1" customWidth="1"/>
    <col min="2" max="2" width="11.570312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2" max="32" width="14.140625" bestFit="1" customWidth="1"/>
    <col min="33" max="33" width="16" bestFit="1" customWidth="1"/>
    <col min="34" max="34" width="12" bestFit="1" customWidth="1"/>
    <col min="35" max="35" width="16.42578125" bestFit="1" customWidth="1"/>
  </cols>
  <sheetData>
    <row r="1" spans="1:35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70" t="s">
        <v>62</v>
      </c>
      <c r="T1" s="69" t="s">
        <v>73</v>
      </c>
      <c r="U1" s="69" t="s">
        <v>91</v>
      </c>
      <c r="V1" s="70" t="s">
        <v>95</v>
      </c>
      <c r="W1" s="69" t="s">
        <v>92</v>
      </c>
      <c r="X1" s="70" t="s">
        <v>67</v>
      </c>
      <c r="Y1" s="70" t="s">
        <v>56</v>
      </c>
      <c r="Z1" s="69" t="s">
        <v>104</v>
      </c>
      <c r="AA1" s="69" t="s">
        <v>66</v>
      </c>
      <c r="AB1" s="69" t="s">
        <v>72</v>
      </c>
      <c r="AC1" s="70" t="s">
        <v>68</v>
      </c>
      <c r="AD1" s="70" t="s">
        <v>135</v>
      </c>
      <c r="AE1" s="71" t="s">
        <v>96</v>
      </c>
      <c r="AF1" s="83" t="s">
        <v>134</v>
      </c>
      <c r="AG1" s="83" t="s">
        <v>132</v>
      </c>
      <c r="AH1" s="83" t="s">
        <v>133</v>
      </c>
      <c r="AI1" s="83" t="s">
        <v>136</v>
      </c>
    </row>
    <row r="2" spans="1:35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f>AVERAGEIFS($C$2:C2, $B$2:B2, B2)</f>
        <v>25</v>
      </c>
      <c r="AG2">
        <f>AVERAGEIFS($I$2:I2, $B$2:B2, B2)</f>
        <v>0.6</v>
      </c>
      <c r="AH2">
        <f>AVERAGEIFS($I$2:J2, $B$2:C2, C2)</f>
        <v>0.67</v>
      </c>
      <c r="AI2">
        <f>AVERAGEIFS($D$2:D2, $B$2:B2, B2)</f>
        <v>1</v>
      </c>
    </row>
    <row r="3" spans="1:35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f>AVERAGEIFS($C$2:C3, $B$2:B3, B3)</f>
        <v>25</v>
      </c>
      <c r="AG3">
        <f>AVERAGEIFS($I$2:I3, $B$2:B3, B3)</f>
        <v>0.6</v>
      </c>
      <c r="AH3">
        <f>AVERAGEIFS($I$2:J3, $B$2:C3, C3)</f>
        <v>0.67</v>
      </c>
      <c r="AI3">
        <f>AVERAGEIFS($D$2:D3, $B$2:B3, B3)</f>
        <v>1</v>
      </c>
    </row>
    <row r="4" spans="1:35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f>AVERAGEIFS($C$2:C4, $B$2:B4, B4)</f>
        <v>24</v>
      </c>
      <c r="AG4">
        <f>AVERAGEIFS($I$2:I4, $B$2:B4, B4)</f>
        <v>0.6</v>
      </c>
      <c r="AH4">
        <f>AVERAGEIFS($I$2:J4, $B$2:C4, C4)</f>
        <v>0.67</v>
      </c>
      <c r="AI4">
        <f>AVERAGEIFS($D$2:D4, $B$2:B4, B4)</f>
        <v>1</v>
      </c>
    </row>
    <row r="5" spans="1:35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f>AVERAGEIFS($C$2:C5, $B$2:B5, B5)</f>
        <v>16</v>
      </c>
      <c r="AG5">
        <f>AVERAGEIFS($I$2:I5, $B$2:B5, B5)</f>
        <v>0.6</v>
      </c>
      <c r="AH5">
        <f>AVERAGEIFS($I$2:J5, $B$2:C5, C5)</f>
        <v>0.67</v>
      </c>
      <c r="AI5">
        <f>AVERAGEIFS($D$2:D5, $B$2:B5, B5)</f>
        <v>1</v>
      </c>
    </row>
    <row r="6" spans="1:35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f>AVERAGEIFS($C$2:C6, $B$2:B6, B6)</f>
        <v>11</v>
      </c>
      <c r="AG6">
        <f>AVERAGEIFS($I$2:I6, $B$2:B6, B6)</f>
        <v>0.6</v>
      </c>
      <c r="AH6">
        <f>AVERAGEIFS($I$2:J6, $B$2:C6, C6)</f>
        <v>0.67</v>
      </c>
      <c r="AI6">
        <f>AVERAGEIFS($D$2:D6, $B$2:B6, B6)</f>
        <v>1</v>
      </c>
    </row>
    <row r="7" spans="1:35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f>AVERAGEIFS($C$2:C7, $B$2:B7, B7)</f>
        <v>7</v>
      </c>
      <c r="AG7">
        <f>AVERAGEIFS($I$2:I7, $B$2:B7, B7)</f>
        <v>0.6</v>
      </c>
      <c r="AH7">
        <f>AVERAGEIFS($I$2:J7, $B$2:C7, C7)</f>
        <v>0.67</v>
      </c>
      <c r="AI7">
        <f>AVERAGEIFS($D$2:D7, $B$2:B7, B7)</f>
        <v>1</v>
      </c>
    </row>
    <row r="8" spans="1:35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f>AVERAGEIFS($C$2:C8, $B$2:B8, B8)</f>
        <v>36</v>
      </c>
      <c r="AG8">
        <f>AVERAGEIFS($I$2:I8, $B$2:B8, B8)</f>
        <v>0.4</v>
      </c>
      <c r="AH8">
        <f>AVERAGEIFS($I$2:J8, $B$2:C8, C8)</f>
        <v>0.33</v>
      </c>
      <c r="AI8">
        <f>AVERAGEIFS($D$2:D8, $B$2:B8, B8)</f>
        <v>0</v>
      </c>
    </row>
    <row r="9" spans="1:35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f>AVERAGEIFS($C$2:C9, $B$2:B9, B9)</f>
        <v>28</v>
      </c>
      <c r="AG9">
        <f>AVERAGEIFS($I$2:I9, $B$2:B9, B9)</f>
        <v>0.4</v>
      </c>
      <c r="AH9">
        <f>AVERAGEIFS($I$2:J9, $B$2:C9, C9)</f>
        <v>0.33</v>
      </c>
      <c r="AI9">
        <f>AVERAGEIFS($D$2:D9, $B$2:B9, B9)</f>
        <v>0</v>
      </c>
    </row>
    <row r="10" spans="1:35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f>AVERAGEIFS($C$2:C10, $B$2:B10, B10)</f>
        <v>17</v>
      </c>
      <c r="AG10">
        <f>AVERAGEIFS($I$2:I10, $B$2:B10, B10)</f>
        <v>0.4</v>
      </c>
      <c r="AH10">
        <f>AVERAGEIFS($I$2:J10, $B$2:C10, C10)</f>
        <v>0.33</v>
      </c>
      <c r="AI10">
        <f>AVERAGEIFS($D$2:D10, $B$2:B10, B10)</f>
        <v>0</v>
      </c>
    </row>
    <row r="11" spans="1:35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f>AVERAGEIFS($C$2:C11, $B$2:B11, B11)</f>
        <v>12</v>
      </c>
      <c r="AG11">
        <f>AVERAGEIFS($I$2:I11, $B$2:B11, B11)</f>
        <v>0.4</v>
      </c>
      <c r="AH11">
        <f>AVERAGEIFS($I$2:J11, $B$2:C11, C11)</f>
        <v>0.33</v>
      </c>
      <c r="AI11">
        <f>AVERAGEIFS($D$2:D11, $B$2:B11, B11)</f>
        <v>0</v>
      </c>
    </row>
    <row r="12" spans="1:35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f>AVERAGEIFS($C$2:C12, $B$2:B12, B12)</f>
        <v>9</v>
      </c>
      <c r="AG12">
        <f>AVERAGEIFS($I$2:I12, $B$2:B12, B12)</f>
        <v>0.4</v>
      </c>
      <c r="AH12">
        <f>AVERAGEIFS($I$2:J12, $B$2:C12, C12)</f>
        <v>0.33</v>
      </c>
      <c r="AI12">
        <f>AVERAGEIFS($D$2:D12, $B$2:B12, B12)</f>
        <v>0</v>
      </c>
    </row>
    <row r="13" spans="1:35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f>AVERAGEIFS($C$2:C13, $B$2:B13, B13)</f>
        <v>3</v>
      </c>
      <c r="AG13">
        <f>AVERAGEIFS($I$2:I13, $B$2:B13, B13)</f>
        <v>0.4</v>
      </c>
      <c r="AH13">
        <f>AVERAGEIFS($I$2:J13, $B$2:C13, C13)</f>
        <v>0.33</v>
      </c>
      <c r="AI13">
        <f>AVERAGEIFS($D$2:D13, $B$2:B13, B13)</f>
        <v>0</v>
      </c>
    </row>
    <row r="14" spans="1:35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f>AVERAGEIFS($C$2:C14, $B$2:B14, B14)</f>
        <v>9.5</v>
      </c>
      <c r="AG14">
        <f>AVERAGEIFS($I$2:I14, $B$2:B14, B14)</f>
        <v>0.6</v>
      </c>
      <c r="AH14">
        <f>AVERAGEIFS($I$2:J14, $B$2:C14, C14)</f>
        <v>0.48</v>
      </c>
      <c r="AI14">
        <f>AVERAGEIFS($D$2:D14, $B$2:B14, B14)</f>
        <v>1</v>
      </c>
    </row>
    <row r="15" spans="1:35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>
        <f>AVERAGEIFS($C$2:C15, $B$2:B15, B15)</f>
        <v>27.5</v>
      </c>
      <c r="AG15">
        <f>AVERAGEIFS($I$2:I15, $B$2:B15, B15)</f>
        <v>0.6</v>
      </c>
      <c r="AH15">
        <f>AVERAGEIFS($I$2:J15, $B$2:C15, C15)</f>
        <v>0.48</v>
      </c>
      <c r="AI15">
        <f>AVERAGEIFS($D$2:D15, $B$2:B15, B15)</f>
        <v>1</v>
      </c>
    </row>
    <row r="16" spans="1:35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f>AVERAGEIFS($C$2:C16, $B$2:B16, B16)</f>
        <v>24</v>
      </c>
      <c r="AG16">
        <f>AVERAGEIFS($I$2:I16, $B$2:B16, B16)</f>
        <v>0.6</v>
      </c>
      <c r="AH16">
        <f>AVERAGEIFS($I$2:J16, $B$2:C16, C16)</f>
        <v>0.57499999999999996</v>
      </c>
      <c r="AI16">
        <f>AVERAGEIFS($D$2:D16, $B$2:B16, B16)</f>
        <v>1</v>
      </c>
    </row>
    <row r="17" spans="1:35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f>AVERAGEIFS($C$2:C17, $B$2:B17, B17)</f>
        <v>13</v>
      </c>
      <c r="AG17">
        <f>AVERAGEIFS($I$2:I17, $B$2:B17, B17)</f>
        <v>0.6</v>
      </c>
      <c r="AH17">
        <f>AVERAGEIFS($I$2:J17, $B$2:C17, C17)</f>
        <v>0.48</v>
      </c>
      <c r="AI17">
        <f>AVERAGEIFS($D$2:D17, $B$2:B17, B17)</f>
        <v>1</v>
      </c>
    </row>
    <row r="18" spans="1:35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f>AVERAGEIFS($C$2:C18, $B$2:B18, B18)</f>
        <v>8.5</v>
      </c>
      <c r="AG18">
        <f>AVERAGEIFS($I$2:I18, $B$2:B18, B18)</f>
        <v>0.5</v>
      </c>
      <c r="AH18">
        <f>AVERAGEIFS($I$2:J18, $B$2:C18, C18)</f>
        <v>0.48</v>
      </c>
      <c r="AI18">
        <f>AVERAGEIFS($D$2:D18, $B$2:B18, B18)</f>
        <v>0.5</v>
      </c>
    </row>
    <row r="19" spans="1:35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f>AVERAGEIFS($C$2:C19, $B$2:B19, B19)</f>
        <v>6</v>
      </c>
      <c r="AG19">
        <f>AVERAGEIFS($I$2:I19, $B$2:B19, B19)</f>
        <v>0.6</v>
      </c>
      <c r="AH19">
        <f>AVERAGEIFS($I$2:J19, $B$2:C19, C19)</f>
        <v>0.48</v>
      </c>
      <c r="AI19">
        <f>AVERAGEIFS($D$2:D19, $B$2:B19, B19)</f>
        <v>1</v>
      </c>
    </row>
    <row r="20" spans="1:35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f>AVERAGEIFS($C$2:C20, $B$2:B20, B20)</f>
        <v>32</v>
      </c>
      <c r="AG20">
        <f>AVERAGEIFS($I$2:I20, $B$2:B20, B20)</f>
        <v>0.6</v>
      </c>
      <c r="AH20">
        <f>AVERAGEIFS($I$2:J20, $B$2:C20, C20)</f>
        <v>0.48</v>
      </c>
      <c r="AI20">
        <f>AVERAGEIFS($D$2:D20, $B$2:B20, B20)</f>
        <v>1</v>
      </c>
    </row>
    <row r="21" spans="1:35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f>AVERAGEIFS($C$2:C21, $B$2:B21, B21)</f>
        <v>15</v>
      </c>
      <c r="AG21">
        <f>AVERAGEIFS($I$2:I21, $B$2:B21, B21)</f>
        <v>0.6</v>
      </c>
      <c r="AH21">
        <f>AVERAGEIFS($I$2:J21, $B$2:C21, C21)</f>
        <v>0.48</v>
      </c>
      <c r="AI21">
        <f>AVERAGEIFS($D$2:D21, $B$2:B21, B21)</f>
        <v>1</v>
      </c>
    </row>
    <row r="22" spans="1:35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0</v>
      </c>
      <c r="AF22">
        <f>AVERAGEIFS($C$2:C22, $B$2:B22, B22)</f>
        <v>31</v>
      </c>
      <c r="AG22">
        <f>AVERAGEIFS($I$2:I22, $B$2:B22, B22)</f>
        <v>0.5</v>
      </c>
      <c r="AH22">
        <f>AVERAGEIFS($I$2:J22, $B$2:C22, C22)</f>
        <v>0.52</v>
      </c>
      <c r="AI22">
        <f>AVERAGEIFS($D$2:D22, $B$2:B22, B22)</f>
        <v>0.5</v>
      </c>
    </row>
    <row r="23" spans="1:35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1</v>
      </c>
      <c r="AB23">
        <v>0</v>
      </c>
      <c r="AC23">
        <v>0</v>
      </c>
      <c r="AD23">
        <v>0</v>
      </c>
      <c r="AE23">
        <v>0</v>
      </c>
      <c r="AF23">
        <f>AVERAGEIFS($C$2:C23, $B$2:B23, B23)</f>
        <v>17</v>
      </c>
      <c r="AG23">
        <f>AVERAGEIFS($I$2:I23, $B$2:B23, B23)</f>
        <v>0.5</v>
      </c>
      <c r="AH23">
        <f>AVERAGEIFS($I$2:J23, $B$2:C23, C23)</f>
        <v>0.52</v>
      </c>
      <c r="AI23">
        <f>AVERAGEIFS($D$2:D23, $B$2:B23, B23)</f>
        <v>0.5</v>
      </c>
    </row>
    <row r="24" spans="1:35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0</v>
      </c>
      <c r="AF24">
        <f>AVERAGEIFS($C$2:C24, $B$2:B24, B24)</f>
        <v>21.5</v>
      </c>
      <c r="AG24">
        <f>AVERAGEIFS($I$2:I24, $B$2:B24, B24)</f>
        <v>0.4</v>
      </c>
      <c r="AH24">
        <f>AVERAGEIFS($I$2:J24, $B$2:C24, C24)</f>
        <v>0.52</v>
      </c>
      <c r="AI24">
        <f>AVERAGEIFS($D$2:D24, $B$2:B24, B24)</f>
        <v>0</v>
      </c>
    </row>
    <row r="25" spans="1:35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f>AVERAGEIFS($C$2:C25, $B$2:B25, B25)</f>
        <v>14.5</v>
      </c>
      <c r="AG25">
        <f>AVERAGEIFS($I$2:I25, $B$2:B25, B25)</f>
        <v>0.4</v>
      </c>
      <c r="AH25">
        <f>AVERAGEIFS($I$2:J25, $B$2:C25, C25)</f>
        <v>0.52</v>
      </c>
      <c r="AI25">
        <f>AVERAGEIFS($D$2:D25, $B$2:B25, B25)</f>
        <v>0</v>
      </c>
    </row>
    <row r="26" spans="1:35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f>AVERAGEIFS($C$2:C26, $B$2:B26, B26)</f>
        <v>11.5</v>
      </c>
      <c r="AG26">
        <f>AVERAGEIFS($I$2:I26, $B$2:B26, B26)</f>
        <v>0.5</v>
      </c>
      <c r="AH26">
        <f>AVERAGEIFS($I$2:J26, $B$2:C26, C26)</f>
        <v>0.59499999999999997</v>
      </c>
      <c r="AI26">
        <f>AVERAGEIFS($D$2:D26, $B$2:B26, B26)</f>
        <v>0.5</v>
      </c>
    </row>
    <row r="27" spans="1:35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0</v>
      </c>
      <c r="AF27">
        <f>AVERAGEIFS($C$2:C27, $B$2:B27, B27)</f>
        <v>26.5</v>
      </c>
      <c r="AG27">
        <f>AVERAGEIFS($I$2:I27, $B$2:B27, B27)</f>
        <v>0.4</v>
      </c>
      <c r="AH27">
        <f>AVERAGEIFS($I$2:J27, $B$2:C27, C27)</f>
        <v>0.42500000000000004</v>
      </c>
      <c r="AI27">
        <f>AVERAGEIFS($D$2:D27, $B$2:B27, B27)</f>
        <v>0</v>
      </c>
    </row>
    <row r="28" spans="1:35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1</v>
      </c>
      <c r="AB28">
        <v>0</v>
      </c>
      <c r="AC28">
        <v>0</v>
      </c>
      <c r="AD28">
        <v>0</v>
      </c>
      <c r="AE28">
        <v>0</v>
      </c>
      <c r="AF28">
        <f>AVERAGEIFS($C$2:C28, $B$2:B28, B28)</f>
        <v>28.5</v>
      </c>
      <c r="AG28">
        <f>AVERAGEIFS($I$2:I28, $B$2:B28, B28)</f>
        <v>0.4</v>
      </c>
      <c r="AH28">
        <f>AVERAGEIFS($I$2:J28, $B$2:C28, C28)</f>
        <v>0.52</v>
      </c>
      <c r="AI28">
        <f>AVERAGEIFS($D$2:D28, $B$2:B28, B28)</f>
        <v>0</v>
      </c>
    </row>
    <row r="29" spans="1:35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1</v>
      </c>
      <c r="AC29">
        <v>0</v>
      </c>
      <c r="AD29">
        <v>0</v>
      </c>
      <c r="AE29">
        <v>0</v>
      </c>
      <c r="AF29">
        <f>AVERAGEIFS($C$2:C29, $B$2:B29, B29)</f>
        <v>28.666666666666668</v>
      </c>
      <c r="AG29">
        <f>AVERAGEIFS($I$2:I29, $B$2:B29, B29)</f>
        <v>0.58333333333333337</v>
      </c>
      <c r="AH29">
        <f>AVERAGEIFS($I$2:J29, $B$2:C29, C29)</f>
        <v>0.58333333333333337</v>
      </c>
      <c r="AI29">
        <f>AVERAGEIFS($D$2:D29, $B$2:B29, B29)</f>
        <v>0.66666666666666663</v>
      </c>
    </row>
    <row r="30" spans="1:35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1</v>
      </c>
      <c r="AB30">
        <v>1</v>
      </c>
      <c r="AC30">
        <v>0</v>
      </c>
      <c r="AD30">
        <v>0</v>
      </c>
      <c r="AE30">
        <v>0</v>
      </c>
      <c r="AF30">
        <f>AVERAGEIFS($C$2:C30, $B$2:B30, B30)</f>
        <v>23</v>
      </c>
      <c r="AG30">
        <f>AVERAGEIFS($I$2:I30, $B$2:B30, B30)</f>
        <v>0.75</v>
      </c>
      <c r="AH30">
        <f>AVERAGEIFS($I$2:J30, $B$2:C30, C30)</f>
        <v>0.6</v>
      </c>
      <c r="AI30">
        <f>AVERAGEIFS($D$2:D30, $B$2:B30, B30)</f>
        <v>1</v>
      </c>
    </row>
    <row r="31" spans="1:35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1</v>
      </c>
      <c r="AC31">
        <v>0</v>
      </c>
      <c r="AD31">
        <v>0</v>
      </c>
      <c r="AE31">
        <v>0</v>
      </c>
      <c r="AF31">
        <f>AVERAGEIFS($C$2:C31, $B$2:B31, B31)</f>
        <v>22.5</v>
      </c>
      <c r="AG31">
        <f>AVERAGEIFS($I$2:I31, $B$2:B31, B31)</f>
        <v>0.67500000000000004</v>
      </c>
      <c r="AH31">
        <f>AVERAGEIFS($I$2:J31, $B$2:C31, C31)</f>
        <v>0.6</v>
      </c>
      <c r="AI31">
        <f>AVERAGEIFS($D$2:D31, $B$2:B31, B31)</f>
        <v>1</v>
      </c>
    </row>
    <row r="32" spans="1:35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</v>
      </c>
      <c r="AB32">
        <v>1</v>
      </c>
      <c r="AC32">
        <v>0</v>
      </c>
      <c r="AD32">
        <v>0</v>
      </c>
      <c r="AE32">
        <v>0</v>
      </c>
      <c r="AF32">
        <f>AVERAGEIFS($C$2:C32, $B$2:B32, B32)</f>
        <v>18</v>
      </c>
      <c r="AG32">
        <f>AVERAGEIFS($I$2:I32, $B$2:B32, B32)</f>
        <v>0.67500000000000004</v>
      </c>
      <c r="AH32">
        <f>AVERAGEIFS($I$2:J32, $B$2:C32, C32)</f>
        <v>0.6</v>
      </c>
      <c r="AI32">
        <f>AVERAGEIFS($D$2:D32, $B$2:B32, B32)</f>
        <v>1</v>
      </c>
    </row>
    <row r="33" spans="1:35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</v>
      </c>
      <c r="AB33">
        <v>1</v>
      </c>
      <c r="AC33">
        <v>0</v>
      </c>
      <c r="AD33">
        <v>0</v>
      </c>
      <c r="AE33">
        <v>0</v>
      </c>
      <c r="AF33">
        <f>AVERAGEIFS($C$2:C33, $B$2:B33, B33)</f>
        <v>12.333333333333334</v>
      </c>
      <c r="AG33">
        <f>AVERAGEIFS($I$2:I33, $B$2:B33, B33)</f>
        <v>0.58333333333333337</v>
      </c>
      <c r="AH33">
        <f>AVERAGEIFS($I$2:J33, $B$2:C33, C33)</f>
        <v>0.6</v>
      </c>
      <c r="AI33">
        <f>AVERAGEIFS($D$2:D33, $B$2:B33, B33)</f>
        <v>0.66666666666666663</v>
      </c>
    </row>
    <row r="34" spans="1:35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1</v>
      </c>
      <c r="AB34">
        <v>1</v>
      </c>
      <c r="AC34">
        <v>0</v>
      </c>
      <c r="AD34">
        <v>0</v>
      </c>
      <c r="AE34">
        <v>0</v>
      </c>
      <c r="AF34">
        <f>AVERAGEIFS($C$2:C34, $B$2:B34, B34)</f>
        <v>11</v>
      </c>
      <c r="AG34">
        <f>AVERAGEIFS($I$2:I34, $B$2:B34, B34)</f>
        <v>0.75</v>
      </c>
      <c r="AH34">
        <f>AVERAGEIFS($I$2:J34, $B$2:C34, C34)</f>
        <v>0.63500000000000001</v>
      </c>
      <c r="AI34">
        <f>AVERAGEIFS($D$2:D34, $B$2:B34, B34)</f>
        <v>1</v>
      </c>
    </row>
    <row r="35" spans="1:35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f>AVERAGEIFS($C$2:C35, $B$2:B35, B35)</f>
        <v>20.333333333333332</v>
      </c>
      <c r="AG35">
        <f>AVERAGEIFS($I$2:I35, $B$2:B35, B35)</f>
        <v>0.41666666666666669</v>
      </c>
      <c r="AH35">
        <f>AVERAGEIFS($I$2:J35, $B$2:C35, C35)</f>
        <v>0.4</v>
      </c>
      <c r="AI35">
        <f>AVERAGEIFS($D$2:D35, $B$2:B35, B35)</f>
        <v>0.33333333333333331</v>
      </c>
    </row>
    <row r="36" spans="1:35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f>AVERAGEIFS($C$2:C36, $B$2:B36, B36)</f>
        <v>25.333333333333332</v>
      </c>
      <c r="AG36">
        <f>AVERAGEIFS($I$2:I36, $B$2:B36, B36)</f>
        <v>0.48333333333333334</v>
      </c>
      <c r="AH36">
        <f>AVERAGEIFS($I$2:J36, $B$2:C36, C36)</f>
        <v>0.53333333333333333</v>
      </c>
      <c r="AI36">
        <f>AVERAGEIFS($D$2:D36, $B$2:B36, B36)</f>
        <v>0.66666666666666663</v>
      </c>
    </row>
    <row r="37" spans="1:35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f>AVERAGEIFS($C$2:C37, $B$2:B37, B37)</f>
        <v>20.666666666666668</v>
      </c>
      <c r="AG37">
        <f>AVERAGEIFS($I$2:I37, $B$2:B37, B37)</f>
        <v>0.35000000000000003</v>
      </c>
      <c r="AH37">
        <f>AVERAGEIFS($I$2:J37, $B$2:C37, C37)</f>
        <v>0.4</v>
      </c>
      <c r="AI37">
        <f>AVERAGEIFS($D$2:D37, $B$2:B37, B37)</f>
        <v>0</v>
      </c>
    </row>
    <row r="38" spans="1:35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f>AVERAGEIFS($C$2:C38, $B$2:B38, B38)</f>
        <v>13.5</v>
      </c>
      <c r="AG38">
        <f>AVERAGEIFS($I$2:I38, $B$2:B38, B38)</f>
        <v>0.42499999999999999</v>
      </c>
      <c r="AH38">
        <f>AVERAGEIFS($I$2:J38, $B$2:C38, C38)</f>
        <v>0.55666666666666664</v>
      </c>
      <c r="AI38">
        <f>AVERAGEIFS($D$2:D38, $B$2:B38, B38)</f>
        <v>0.5</v>
      </c>
    </row>
    <row r="39" spans="1:35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f>AVERAGEIFS($C$2:C39, $B$2:B39, B39)</f>
        <v>9</v>
      </c>
      <c r="AG39">
        <f>AVERAGEIFS($I$2:I39, $B$2:B39, B39)</f>
        <v>0.25</v>
      </c>
      <c r="AH39">
        <f>AVERAGEIFS($I$2:J39, $B$2:C39, C39)</f>
        <v>0.36499999999999999</v>
      </c>
      <c r="AI39">
        <f>AVERAGEIFS($D$2:D39, $B$2:B39, B39)</f>
        <v>0</v>
      </c>
    </row>
    <row r="40" spans="1:35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f>AVERAGEIFS($C$2:C40, $B$2:B40, B40)</f>
        <v>23</v>
      </c>
      <c r="AG40">
        <f>AVERAGEIFS($I$2:I40, $B$2:B40, B40)</f>
        <v>0.35000000000000003</v>
      </c>
      <c r="AH40">
        <f>AVERAGEIFS($I$2:J40, $B$2:C40, C40)</f>
        <v>0.36499999999999999</v>
      </c>
      <c r="AI40">
        <f>AVERAGEIFS($D$2:D40, $B$2:B40, B40)</f>
        <v>0</v>
      </c>
    </row>
    <row r="41" spans="1:35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0</v>
      </c>
      <c r="AE41">
        <v>0</v>
      </c>
      <c r="AF41">
        <f>AVERAGEIFS($C$2:C41, $B$2:B41, B41)</f>
        <v>24</v>
      </c>
      <c r="AG41">
        <f>AVERAGEIFS($I$2:I41, $B$2:B41, B41)</f>
        <v>1</v>
      </c>
      <c r="AH41">
        <f>AVERAGEIFS($I$2:J41, $B$2:C41, C41)</f>
        <v>0.61</v>
      </c>
      <c r="AI41">
        <f>AVERAGEIFS($D$2:D41, $B$2:B41, B41)</f>
        <v>1</v>
      </c>
    </row>
    <row r="42" spans="1:35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</v>
      </c>
      <c r="AD42">
        <v>0</v>
      </c>
      <c r="AE42">
        <v>0</v>
      </c>
      <c r="AF42">
        <f>AVERAGEIFS($C$2:C42, $B$2:B42, B42)</f>
        <v>23</v>
      </c>
      <c r="AG42">
        <f>AVERAGEIFS($I$2:I42, $B$2:B42, B42)</f>
        <v>0.875</v>
      </c>
      <c r="AH42">
        <f>AVERAGEIFS($I$2:J42, $B$2:C42, C42)</f>
        <v>0.64500000000000002</v>
      </c>
      <c r="AI42">
        <f>AVERAGEIFS($D$2:D42, $B$2:B42, B42)</f>
        <v>1</v>
      </c>
    </row>
    <row r="43" spans="1:35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1</v>
      </c>
      <c r="AD43">
        <v>0</v>
      </c>
      <c r="AE43">
        <v>0</v>
      </c>
      <c r="AF43">
        <f>AVERAGEIFS($C$2:C43, $B$2:B43, B43)</f>
        <v>23.666666666666668</v>
      </c>
      <c r="AG43">
        <f>AVERAGEIFS($I$2:I43, $B$2:B43, B43)</f>
        <v>0.6</v>
      </c>
      <c r="AH43">
        <f>AVERAGEIFS($I$2:J43, $B$2:C43, C43)</f>
        <v>0.69</v>
      </c>
      <c r="AI43">
        <f>AVERAGEIFS($D$2:D43, $B$2:B43, B43)</f>
        <v>0.33333333333333331</v>
      </c>
    </row>
    <row r="44" spans="1:35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1</v>
      </c>
      <c r="AD44">
        <v>0</v>
      </c>
      <c r="AE44">
        <v>0</v>
      </c>
      <c r="AF44">
        <f>AVERAGEIFS($C$2:C44, $B$2:B44, B44)</f>
        <v>23</v>
      </c>
      <c r="AG44">
        <f>AVERAGEIFS($I$2:I44, $B$2:B44, B44)</f>
        <v>0.61250000000000004</v>
      </c>
      <c r="AH44">
        <f>AVERAGEIFS($I$2:J44, $B$2:C44, C44)</f>
        <v>0.62666666666666659</v>
      </c>
      <c r="AI44">
        <f>AVERAGEIFS($D$2:D44, $B$2:B44, B44)</f>
        <v>0.75</v>
      </c>
    </row>
    <row r="45" spans="1:35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1</v>
      </c>
      <c r="AD45">
        <v>0</v>
      </c>
      <c r="AE45">
        <v>0</v>
      </c>
      <c r="AF45">
        <f>AVERAGEIFS($C$2:C45, $B$2:B45, B45)</f>
        <v>12.5</v>
      </c>
      <c r="AG45">
        <f>AVERAGEIFS($I$2:I45, $B$2:B45, B45)</f>
        <v>0.8</v>
      </c>
      <c r="AH45">
        <f>AVERAGEIFS($I$2:J45, $B$2:C45, C45)</f>
        <v>0.47333333333333333</v>
      </c>
      <c r="AI45">
        <f>AVERAGEIFS($D$2:D45, $B$2:B45, B45)</f>
        <v>1</v>
      </c>
    </row>
    <row r="46" spans="1:35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1</v>
      </c>
      <c r="AD46">
        <v>0</v>
      </c>
      <c r="AE46">
        <v>0</v>
      </c>
      <c r="AF46">
        <f>AVERAGEIFS($C$2:C46, $B$2:B46, B46)</f>
        <v>9</v>
      </c>
      <c r="AG46">
        <f>AVERAGEIFS($I$2:I46, $B$2:B46, B46)</f>
        <v>0.73333333333333339</v>
      </c>
      <c r="AH46">
        <f>AVERAGEIFS($I$2:J46, $B$2:C46, C46)</f>
        <v>0.58499999999999996</v>
      </c>
      <c r="AI46">
        <f>AVERAGEIFS($D$2:D46, $B$2:B46, B46)</f>
        <v>1</v>
      </c>
    </row>
    <row r="47" spans="1:35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f>AVERAGEIFS($C$2:C47, $B$2:B47, B47)</f>
        <v>27.75</v>
      </c>
      <c r="AG47">
        <f>AVERAGEIFS($I$2:I47, $B$2:B47, B47)</f>
        <v>0.4375</v>
      </c>
      <c r="AH47">
        <f>AVERAGEIFS($I$2:J47, $B$2:C47, C47)</f>
        <v>0.55000000000000004</v>
      </c>
      <c r="AI47">
        <f>AVERAGEIFS($D$2:D47, $B$2:B47, B47)</f>
        <v>0.5</v>
      </c>
    </row>
    <row r="48" spans="1:35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f>AVERAGEIFS($C$2:C48, $B$2:B48, B48)</f>
        <v>22</v>
      </c>
      <c r="AG48">
        <f>AVERAGEIFS($I$2:I48, $B$2:B48, B48)</f>
        <v>0.26250000000000001</v>
      </c>
      <c r="AH48">
        <f>AVERAGEIFS($I$2:J48, $B$2:C48, C48)</f>
        <v>0.35499999999999998</v>
      </c>
      <c r="AI48">
        <f>AVERAGEIFS($D$2:D48, $B$2:B48, B48)</f>
        <v>0</v>
      </c>
    </row>
    <row r="49" spans="1:35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f>AVERAGEIFS($C$2:C49, $B$2:B49, B49)</f>
        <v>17.666666666666668</v>
      </c>
      <c r="AG49">
        <f>AVERAGEIFS($I$2:I49, $B$2:B49, B49)</f>
        <v>0.45</v>
      </c>
      <c r="AH49">
        <f>AVERAGEIFS($I$2:J49, $B$2:C49, C49)</f>
        <v>0.38666666666666671</v>
      </c>
      <c r="AI49">
        <f>AVERAGEIFS($D$2:D49, $B$2:B49, B49)</f>
        <v>0.66666666666666663</v>
      </c>
    </row>
    <row r="50" spans="1:35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f>AVERAGEIFS($C$2:C50, $B$2:B50, B50)</f>
        <v>11.75</v>
      </c>
      <c r="AG50">
        <f>AVERAGEIFS($I$2:I50, $B$2:B50, B50)</f>
        <v>0.4375</v>
      </c>
      <c r="AH50">
        <f>AVERAGEIFS($I$2:J50, $B$2:C50, C50)</f>
        <v>0.41500000000000004</v>
      </c>
      <c r="AI50">
        <f>AVERAGEIFS($D$2:D50, $B$2:B50, B50)</f>
        <v>0.5</v>
      </c>
    </row>
    <row r="51" spans="1:35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f>AVERAGEIFS($C$2:C51, $B$2:B51, B51)</f>
        <v>3</v>
      </c>
      <c r="AG51">
        <f>AVERAGEIFS($I$2:I51, $B$2:B51, B51)</f>
        <v>0</v>
      </c>
      <c r="AH51">
        <f>AVERAGEIFS($I$2:J51, $B$2:C51, C51)</f>
        <v>0.32</v>
      </c>
      <c r="AI51">
        <f>AVERAGEIFS($D$2:D51, $B$2:B51, B51)</f>
        <v>0</v>
      </c>
    </row>
    <row r="52" spans="1:35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f>AVERAGEIFS($C$2:C52, $B$2:B52, B52)</f>
        <v>2</v>
      </c>
      <c r="AG52">
        <f>AVERAGEIFS($I$2:I52, $B$2:B52, B52)</f>
        <v>0</v>
      </c>
      <c r="AH52">
        <f>AVERAGEIFS($I$2:J52, $B$2:C52, C52)</f>
        <v>0.31</v>
      </c>
      <c r="AI52">
        <f>AVERAGEIFS($D$2:D52, $B$2:B52, B52)</f>
        <v>0</v>
      </c>
    </row>
    <row r="53" spans="1:35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0</v>
      </c>
      <c r="AA53">
        <v>1</v>
      </c>
      <c r="AB53">
        <v>1</v>
      </c>
      <c r="AC53">
        <v>0</v>
      </c>
      <c r="AD53">
        <v>0</v>
      </c>
      <c r="AE53">
        <v>0</v>
      </c>
      <c r="AF53">
        <f>AVERAGEIFS($C$2:C53, $B$2:B53, B53)</f>
        <v>22</v>
      </c>
      <c r="AG53">
        <f>AVERAGEIFS($I$2:I53, $B$2:B53, B53)</f>
        <v>0.58750000000000002</v>
      </c>
      <c r="AH53">
        <f>AVERAGEIFS($I$2:J53, $B$2:C53, C53)</f>
        <v>0.64</v>
      </c>
      <c r="AI53">
        <f>AVERAGEIFS($D$2:D53, $B$2:B53, B53)</f>
        <v>0.75</v>
      </c>
    </row>
    <row r="54" spans="1:35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0</v>
      </c>
      <c r="W54">
        <v>0</v>
      </c>
      <c r="X54">
        <v>0</v>
      </c>
      <c r="Y54">
        <v>0</v>
      </c>
      <c r="Z54">
        <v>0</v>
      </c>
      <c r="AA54">
        <v>1</v>
      </c>
      <c r="AB54">
        <v>1</v>
      </c>
      <c r="AC54">
        <v>0</v>
      </c>
      <c r="AD54">
        <v>0</v>
      </c>
      <c r="AE54">
        <v>0</v>
      </c>
      <c r="AF54">
        <f>AVERAGEIFS($C$2:C54, $B$2:B54, B54)</f>
        <v>27</v>
      </c>
      <c r="AG54">
        <f>AVERAGEIFS($I$2:I54, $B$2:B54, B54)</f>
        <v>0.55000000000000004</v>
      </c>
      <c r="AH54">
        <f>AVERAGEIFS($I$2:J54, $B$2:C54, C54)</f>
        <v>0.61599999999999999</v>
      </c>
      <c r="AI54">
        <f>AVERAGEIFS($D$2:D54, $B$2:B54, B54)</f>
        <v>0.6</v>
      </c>
    </row>
    <row r="55" spans="1:35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0</v>
      </c>
      <c r="W55">
        <v>0</v>
      </c>
      <c r="X55">
        <v>0</v>
      </c>
      <c r="Y55">
        <v>0</v>
      </c>
      <c r="Z55">
        <v>0</v>
      </c>
      <c r="AA55">
        <v>1</v>
      </c>
      <c r="AB55">
        <v>1</v>
      </c>
      <c r="AC55">
        <v>0</v>
      </c>
      <c r="AD55">
        <v>0</v>
      </c>
      <c r="AE55">
        <v>0</v>
      </c>
      <c r="AF55">
        <f>AVERAGEIFS($C$2:C55, $B$2:B55, B55)</f>
        <v>23</v>
      </c>
      <c r="AG55">
        <f>AVERAGEIFS($I$2:I55, $B$2:B55, B55)</f>
        <v>0.91666666666666663</v>
      </c>
      <c r="AH55">
        <f>AVERAGEIFS($I$2:J55, $B$2:C55, C55)</f>
        <v>0.64333333333333342</v>
      </c>
      <c r="AI55">
        <f>AVERAGEIFS($D$2:D55, $B$2:B55, B55)</f>
        <v>1</v>
      </c>
    </row>
    <row r="56" spans="1:35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0</v>
      </c>
      <c r="Z56">
        <v>0</v>
      </c>
      <c r="AA56">
        <v>1</v>
      </c>
      <c r="AB56">
        <v>1</v>
      </c>
      <c r="AC56">
        <v>0</v>
      </c>
      <c r="AD56">
        <v>0</v>
      </c>
      <c r="AE56">
        <v>0</v>
      </c>
      <c r="AF56">
        <f>AVERAGEIFS($C$2:C56, $B$2:B56, B56)</f>
        <v>23.25</v>
      </c>
      <c r="AG56">
        <f>AVERAGEIFS($I$2:I56, $B$2:B56, B56)</f>
        <v>0.7</v>
      </c>
      <c r="AH56">
        <f>AVERAGEIFS($I$2:J56, $B$2:C56, C56)</f>
        <v>0.64</v>
      </c>
      <c r="AI56">
        <f>AVERAGEIFS($D$2:D56, $B$2:B56, B56)</f>
        <v>0.5</v>
      </c>
    </row>
    <row r="57" spans="1:35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1</v>
      </c>
      <c r="AC57">
        <v>0</v>
      </c>
      <c r="AD57">
        <v>0</v>
      </c>
      <c r="AE57">
        <v>0</v>
      </c>
      <c r="AF57">
        <f>AVERAGEIFS($C$2:C57, $B$2:B57, B57)</f>
        <v>12</v>
      </c>
      <c r="AG57">
        <f>AVERAGEIFS($I$2:I57, $B$2:B57, B57)</f>
        <v>1</v>
      </c>
      <c r="AH57">
        <f>AVERAGEIFS($I$2:J57, $B$2:C57, C57)</f>
        <v>0.51500000000000001</v>
      </c>
      <c r="AI57">
        <f>AVERAGEIFS($D$2:D57, $B$2:B57, B57)</f>
        <v>1</v>
      </c>
    </row>
    <row r="58" spans="1:35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0</v>
      </c>
      <c r="Z58">
        <v>0</v>
      </c>
      <c r="AA58">
        <v>1</v>
      </c>
      <c r="AB58">
        <v>1</v>
      </c>
      <c r="AC58">
        <v>0</v>
      </c>
      <c r="AD58">
        <v>0</v>
      </c>
      <c r="AE58">
        <v>0</v>
      </c>
      <c r="AF58">
        <f>AVERAGEIFS($C$2:C58, $B$2:B58, B58)</f>
        <v>3</v>
      </c>
      <c r="AG58">
        <f>AVERAGEIFS($I$2:I58, $B$2:B58, B58)</f>
        <v>1</v>
      </c>
      <c r="AH58">
        <f>AVERAGEIFS($I$2:J58, $B$2:C58, C58)</f>
        <v>0.42666666666666669</v>
      </c>
      <c r="AI58">
        <f>AVERAGEIFS($D$2:D58, $B$2:B58, B58)</f>
        <v>1</v>
      </c>
    </row>
    <row r="59" spans="1:35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f>AVERAGEIFS($C$2:C59, $B$2:B59, B59)</f>
        <v>28.5</v>
      </c>
      <c r="AG59">
        <f>AVERAGEIFS($I$2:I59, $B$2:B59, B59)</f>
        <v>0.3</v>
      </c>
      <c r="AH59">
        <f>AVERAGEIFS($I$2:J59, $B$2:C59, C59)</f>
        <v>0.50250000000000006</v>
      </c>
      <c r="AI59">
        <f>AVERAGEIFS($D$2:D59, $B$2:B59, B59)</f>
        <v>0.5</v>
      </c>
    </row>
    <row r="60" spans="1:35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f>AVERAGEIFS($C$2:C60, $B$2:B60, B60)</f>
        <v>15.333333333333334</v>
      </c>
      <c r="AG60">
        <f>AVERAGEIFS($I$2:I60, $B$2:B60, B60)</f>
        <v>0.28333333333333333</v>
      </c>
      <c r="AH60">
        <f>AVERAGEIFS($I$2:J60, $B$2:C60, C60)</f>
        <v>0.35666666666666663</v>
      </c>
      <c r="AI60">
        <f>AVERAGEIFS($D$2:D60, $B$2:B60, B60)</f>
        <v>0.33333333333333331</v>
      </c>
    </row>
    <row r="61" spans="1:35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f>AVERAGEIFS($C$2:C61, $B$2:B61, B61)</f>
        <v>12.8</v>
      </c>
      <c r="AG61">
        <f>AVERAGEIFS($I$2:I61, $B$2:B61, B61)</f>
        <v>0.35</v>
      </c>
      <c r="AH61">
        <f>AVERAGEIFS($I$2:J61, $B$2:C61, C61)</f>
        <v>0.38</v>
      </c>
      <c r="AI61">
        <f>AVERAGEIFS($D$2:D61, $B$2:B61, B61)</f>
        <v>0.4</v>
      </c>
    </row>
    <row r="62" spans="1:35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f>AVERAGEIFS($C$2:C62, $B$2:B62, B62)</f>
        <v>21.6</v>
      </c>
      <c r="AG62">
        <f>AVERAGEIFS($I$2:I62, $B$2:B62, B62)</f>
        <v>0.49000000000000005</v>
      </c>
      <c r="AH62">
        <f>AVERAGEIFS($I$2:J62, $B$2:C62, C62)</f>
        <v>0.55999999999999994</v>
      </c>
      <c r="AI62">
        <f>AVERAGEIFS($D$2:D62, $B$2:B62, B62)</f>
        <v>0.6</v>
      </c>
    </row>
    <row r="63" spans="1:35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f>AVERAGEIFS($C$2:C63, $B$2:B63, B63)</f>
        <v>15</v>
      </c>
      <c r="AG63">
        <f>AVERAGEIFS($I$2:I63, $B$2:B63, B63)</f>
        <v>0</v>
      </c>
      <c r="AH63">
        <f>AVERAGEIFS($I$2:J63, $B$2:C63, C63)</f>
        <v>0.42</v>
      </c>
      <c r="AI63">
        <f>AVERAGEIFS($D$2:D63, $B$2:B63, B63)</f>
        <v>0</v>
      </c>
    </row>
    <row r="64" spans="1:35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f>AVERAGEIFS($C$2:C64, $B$2:B64, B64)</f>
        <v>17.333333333333332</v>
      </c>
      <c r="AG64">
        <f>AVERAGEIFS($I$2:I64, $B$2:B64, B64)</f>
        <v>0.45</v>
      </c>
      <c r="AH64">
        <f>AVERAGEIFS($I$2:J64, $B$2:C64, C64)</f>
        <v>0.51500000000000001</v>
      </c>
      <c r="AI64">
        <f>AVERAGEIFS($D$2:D64, $B$2:B64, B64)</f>
        <v>0.66666666666666663</v>
      </c>
    </row>
    <row r="65" spans="1:35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1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0</v>
      </c>
      <c r="AF65">
        <f>AVERAGEIFS($C$2:C65, $B$2:B65, B65)</f>
        <v>18.5</v>
      </c>
      <c r="AG65">
        <f>AVERAGEIFS($I$2:I65, $B$2:B65, B65)</f>
        <v>0.5</v>
      </c>
      <c r="AH65">
        <f>AVERAGEIFS($I$2:J65, $B$2:C65, C65)</f>
        <v>0.73</v>
      </c>
      <c r="AI65">
        <f>AVERAGEIFS($D$2:D65, $B$2:B65, B65)</f>
        <v>0.5</v>
      </c>
    </row>
    <row r="66" spans="1:35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1</v>
      </c>
      <c r="X66">
        <v>0</v>
      </c>
      <c r="Y66">
        <v>1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0</v>
      </c>
      <c r="AF66">
        <f>AVERAGEIFS($C$2:C66, $B$2:B66, B66)</f>
        <v>21.4</v>
      </c>
      <c r="AG66">
        <f>AVERAGEIFS($I$2:I66, $B$2:B66, B66)</f>
        <v>0.67</v>
      </c>
      <c r="AH66">
        <f>AVERAGEIFS($I$2:J66, $B$2:C66, C66)</f>
        <v>0.47249999999999992</v>
      </c>
      <c r="AI66">
        <f>AVERAGEIFS($D$2:D66, $B$2:B66, B66)</f>
        <v>0.8</v>
      </c>
    </row>
    <row r="67" spans="1:35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F67">
        <f>AVERAGEIFS($C$2:C67, $B$2:B67, B67)</f>
        <v>9.5</v>
      </c>
      <c r="AG67">
        <f>AVERAGEIFS($I$2:I67, $B$2:B67, B67)</f>
        <v>0.8</v>
      </c>
      <c r="AH67">
        <f>AVERAGEIFS($I$2:J67, $B$2:C67, C67)</f>
        <v>0.62249999999999994</v>
      </c>
      <c r="AI67">
        <f>AVERAGEIFS($D$2:D67, $B$2:B67, B67)</f>
        <v>1</v>
      </c>
    </row>
    <row r="68" spans="1:35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1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F68">
        <f>AVERAGEIFS($C$2:C68, $B$2:B68, B68)</f>
        <v>19.833333333333332</v>
      </c>
      <c r="AG68">
        <f>AVERAGEIFS($I$2:I68, $B$2:B68, B68)</f>
        <v>0.57500000000000007</v>
      </c>
      <c r="AH68">
        <f>AVERAGEIFS($I$2:J68, $B$2:C68, C68)</f>
        <v>0.66199999999999992</v>
      </c>
      <c r="AI68">
        <f>AVERAGEIFS($D$2:D68, $B$2:B68, B68)</f>
        <v>0.66666666666666663</v>
      </c>
    </row>
    <row r="69" spans="1:35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1</v>
      </c>
      <c r="Z69">
        <v>0</v>
      </c>
      <c r="AA69">
        <v>1</v>
      </c>
      <c r="AB69">
        <v>0</v>
      </c>
      <c r="AC69">
        <v>0</v>
      </c>
      <c r="AD69">
        <v>0</v>
      </c>
      <c r="AE69">
        <v>0</v>
      </c>
      <c r="AF69">
        <f>AVERAGEIFS($C$2:C69, $B$2:B69, B69)</f>
        <v>13.25</v>
      </c>
      <c r="AG69">
        <f>AVERAGEIFS($I$2:I69, $B$2:B69, B69)</f>
        <v>0.46250000000000002</v>
      </c>
      <c r="AH69">
        <f>AVERAGEIFS($I$2:J69, $B$2:C69, C69)</f>
        <v>0.6166666666666667</v>
      </c>
      <c r="AI69">
        <f>AVERAGEIFS($D$2:D69, $B$2:B69, B69)</f>
        <v>0.5</v>
      </c>
    </row>
    <row r="70" spans="1:35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1</v>
      </c>
      <c r="Z70">
        <v>0</v>
      </c>
      <c r="AA70">
        <v>1</v>
      </c>
      <c r="AB70">
        <v>0</v>
      </c>
      <c r="AC70">
        <v>0</v>
      </c>
      <c r="AD70">
        <v>0</v>
      </c>
      <c r="AE70">
        <v>0</v>
      </c>
      <c r="AF70">
        <f>AVERAGEIFS($C$2:C70, $B$2:B70, B70)</f>
        <v>11.666666666666666</v>
      </c>
      <c r="AG70">
        <f>AVERAGEIFS($I$2:I70, $B$2:B70, B70)</f>
        <v>0.45833333333333331</v>
      </c>
      <c r="AH70">
        <f>AVERAGEIFS($I$2:J70, $B$2:C70, C70)</f>
        <v>0.64999999999999991</v>
      </c>
      <c r="AI70">
        <f>AVERAGEIFS($D$2:D70, $B$2:B70, B70)</f>
        <v>0.5</v>
      </c>
    </row>
    <row r="71" spans="1:35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f>AVERAGEIFS($C$2:C71, $B$2:B71, B71)</f>
        <v>21.6</v>
      </c>
      <c r="AG71">
        <f>AVERAGEIFS($I$2:I71, $B$2:B71, B71)</f>
        <v>0.21000000000000002</v>
      </c>
      <c r="AH71">
        <f>AVERAGEIFS($I$2:J71, $B$2:C71, C71)</f>
        <v>0.35</v>
      </c>
      <c r="AI71">
        <f>AVERAGEIFS($D$2:D71, $B$2:B71, B71)</f>
        <v>0</v>
      </c>
    </row>
    <row r="72" spans="1:35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f>AVERAGEIFS($C$2:C72, $B$2:B72, B72)</f>
        <v>25.333333333333332</v>
      </c>
      <c r="AG72">
        <f>AVERAGEIFS($I$2:I72, $B$2:B72, B72)</f>
        <v>0.45833333333333331</v>
      </c>
      <c r="AH72">
        <f>AVERAGEIFS($I$2:J72, $B$2:C72, C72)</f>
        <v>0.33999999999999997</v>
      </c>
      <c r="AI72">
        <f>AVERAGEIFS($D$2:D72, $B$2:B72, B72)</f>
        <v>0.5</v>
      </c>
    </row>
    <row r="73" spans="1:35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f>AVERAGEIFS($C$2:C73, $B$2:B73, B73)</f>
        <v>17.5</v>
      </c>
      <c r="AG73">
        <f>AVERAGEIFS($I$2:I73, $B$2:B73, B73)</f>
        <v>0.3125</v>
      </c>
      <c r="AH73">
        <f>AVERAGEIFS($I$2:J73, $B$2:C73, C73)</f>
        <v>0.30333333333333329</v>
      </c>
      <c r="AI73">
        <f>AVERAGEIFS($D$2:D73, $B$2:B73, B73)</f>
        <v>0.25</v>
      </c>
    </row>
    <row r="74" spans="1:35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f>AVERAGEIFS($C$2:C74, $B$2:B74, B74)</f>
        <v>18.75</v>
      </c>
      <c r="AG74">
        <f>AVERAGEIFS($I$2:I74, $B$2:B74, B74)</f>
        <v>0.6875</v>
      </c>
      <c r="AH74">
        <f>AVERAGEIFS($I$2:J74, $B$2:C74, C74)</f>
        <v>0.49333333333333323</v>
      </c>
      <c r="AI74">
        <f>AVERAGEIFS($D$2:D74, $B$2:B74, B74)</f>
        <v>0.75</v>
      </c>
    </row>
    <row r="75" spans="1:35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f>AVERAGEIFS($C$2:C75, $B$2:B75, B75)</f>
        <v>5</v>
      </c>
      <c r="AG75">
        <f>AVERAGEIFS($I$2:I75, $B$2:B75, B75)</f>
        <v>0</v>
      </c>
      <c r="AH75">
        <f>AVERAGEIFS($I$2:J75, $B$2:C75, C75)</f>
        <v>0.32999999999999996</v>
      </c>
      <c r="AI75">
        <f>AVERAGEIFS($D$2:D75, $B$2:B75, B75)</f>
        <v>0</v>
      </c>
    </row>
    <row r="76" spans="1:35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f>AVERAGEIFS($C$2:C76, $B$2:B76, B76)</f>
        <v>2</v>
      </c>
      <c r="AG76">
        <f>AVERAGEIFS($I$2:I76, $B$2:B76, B76)</f>
        <v>0</v>
      </c>
      <c r="AH76">
        <f>AVERAGEIFS($I$2:J76, $B$2:C76, C76)</f>
        <v>0.245</v>
      </c>
      <c r="AI76">
        <f>AVERAGEIFS($D$2:D76, $B$2:B76, B76)</f>
        <v>0</v>
      </c>
    </row>
    <row r="77" spans="1:35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0</v>
      </c>
      <c r="AE77">
        <v>0</v>
      </c>
      <c r="AF77">
        <f>AVERAGEIFS($C$2:C77, $B$2:B77, B77)</f>
        <v>26.142857142857142</v>
      </c>
      <c r="AG77">
        <f>AVERAGEIFS($I$2:I77, $B$2:B77, B77)</f>
        <v>0.48857142857142855</v>
      </c>
      <c r="AH77">
        <f>AVERAGEIFS($I$2:J77, $B$2:C77, C77)</f>
        <v>0.53</v>
      </c>
      <c r="AI77">
        <f>AVERAGEIFS($D$2:D77, $B$2:B77, B77)</f>
        <v>0.5714285714285714</v>
      </c>
    </row>
    <row r="78" spans="1:35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f>AVERAGEIFS($C$2:C78, $B$2:B78, B78)</f>
        <v>22</v>
      </c>
      <c r="AG78">
        <f>AVERAGEIFS($I$2:I78, $B$2:B78, B78)</f>
        <v>0.28666666666666668</v>
      </c>
      <c r="AH78">
        <f>AVERAGEIFS($I$2:J78, $B$2:C78, C78)</f>
        <v>0.60166666666666668</v>
      </c>
      <c r="AI78">
        <f>AVERAGEIFS($D$2:D78, $B$2:B78, B78)</f>
        <v>0.16666666666666666</v>
      </c>
    </row>
    <row r="79" spans="1:35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f>AVERAGEIFS($C$2:C79, $B$2:B79, B79)</f>
        <v>18.600000000000001</v>
      </c>
      <c r="AG79">
        <f>AVERAGEIFS($I$2:I79, $B$2:B79, B79)</f>
        <v>0.38400000000000001</v>
      </c>
      <c r="AH79">
        <f>AVERAGEIFS($I$2:J79, $B$2:C79, C79)</f>
        <v>0.61499999999999999</v>
      </c>
      <c r="AI79">
        <f>AVERAGEIFS($D$2:D79, $B$2:B79, B79)</f>
        <v>0.4</v>
      </c>
    </row>
    <row r="80" spans="1:35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f>AVERAGEIFS($C$2:C80, $B$2:B80, B80)</f>
        <v>19.399999999999999</v>
      </c>
      <c r="AG80">
        <f>AVERAGEIFS($I$2:I80, $B$2:B80, B80)</f>
        <v>0.68399999999999994</v>
      </c>
      <c r="AH80">
        <f>AVERAGEIFS($I$2:J80, $B$2:C80, C80)</f>
        <v>0.66333333333333333</v>
      </c>
      <c r="AI80">
        <f>AVERAGEIFS($D$2:D80, $B$2:B80, B80)</f>
        <v>0.8</v>
      </c>
    </row>
    <row r="81" spans="1:35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f>AVERAGEIFS($C$2:C81, $B$2:B81, B81)</f>
        <v>10.5</v>
      </c>
      <c r="AG81">
        <f>AVERAGEIFS($I$2:I81, $B$2:B81, B81)</f>
        <v>0.33500000000000002</v>
      </c>
      <c r="AH81">
        <f>AVERAGEIFS($I$2:J81, $B$2:C81, C81)</f>
        <v>0.55399999999999994</v>
      </c>
      <c r="AI81">
        <f>AVERAGEIFS($D$2:D81, $B$2:B81, B81)</f>
        <v>0.5</v>
      </c>
    </row>
    <row r="82" spans="1:35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f>AVERAGEIFS($C$2:C82, $B$2:B82, B82)</f>
        <v>7</v>
      </c>
      <c r="AG82">
        <f>AVERAGEIFS($I$2:I82, $B$2:B82, B82)</f>
        <v>0.71</v>
      </c>
      <c r="AH82">
        <f>AVERAGEIFS($I$2:J82, $B$2:C82, C82)</f>
        <v>0.45250000000000001</v>
      </c>
      <c r="AI82">
        <f>AVERAGEIFS($D$2:D82, $B$2:B82, B82)</f>
        <v>1</v>
      </c>
    </row>
    <row r="83" spans="1:35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f>AVERAGEIFS($C$2:C83, $B$2:B83, B83)</f>
        <v>21.333333333333332</v>
      </c>
      <c r="AG83">
        <f>AVERAGEIFS($I$2:I83, $B$2:B83, B83)</f>
        <v>0.44333333333333336</v>
      </c>
      <c r="AH83">
        <f>AVERAGEIFS($I$2:J83, $B$2:C83, C83)</f>
        <v>0.435</v>
      </c>
      <c r="AI83">
        <f>AVERAGEIFS($D$2:D83, $B$2:B83, B83)</f>
        <v>0.33333333333333331</v>
      </c>
    </row>
    <row r="84" spans="1:35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f>AVERAGEIFS($C$2:C84, $B$2:B84, B84)</f>
        <v>15.6</v>
      </c>
      <c r="AG84">
        <f>AVERAGEIFS($I$2:I84, $B$2:B84, B84)</f>
        <v>0.43600000000000005</v>
      </c>
      <c r="AH84">
        <f>AVERAGEIFS($I$2:J84, $B$2:C84, C84)</f>
        <v>0.49600000000000011</v>
      </c>
      <c r="AI84">
        <f>AVERAGEIFS($D$2:D84, $B$2:B84, B84)</f>
        <v>0.4</v>
      </c>
    </row>
    <row r="85" spans="1:35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f>AVERAGEIFS($C$2:C85, $B$2:B85, B85)</f>
        <v>21.5</v>
      </c>
      <c r="AG85">
        <f>AVERAGEIFS($I$2:I85, $B$2:B85, B85)</f>
        <v>0.6133333333333334</v>
      </c>
      <c r="AH85">
        <f>AVERAGEIFS($I$2:J85, $B$2:C85, C85)</f>
        <v>0.61499999999999999</v>
      </c>
      <c r="AI85">
        <f>AVERAGEIFS($D$2:D85, $B$2:B85, B85)</f>
        <v>0.66666666666666663</v>
      </c>
    </row>
    <row r="86" spans="1:35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f>AVERAGEIFS($C$2:C86, $B$2:B86, B86)</f>
        <v>19.285714285714285</v>
      </c>
      <c r="AG86">
        <f>AVERAGEIFS($I$2:I86, $B$2:B86, B86)</f>
        <v>0.54</v>
      </c>
      <c r="AH86">
        <f>AVERAGEIFS($I$2:J86, $B$2:C86, C86)</f>
        <v>0.53999999999999992</v>
      </c>
      <c r="AI86">
        <f>AVERAGEIFS($D$2:D86, $B$2:B86, B86)</f>
        <v>0.5714285714285714</v>
      </c>
    </row>
    <row r="87" spans="1:35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f>AVERAGEIFS($C$2:C87, $B$2:B87, B87)</f>
        <v>12</v>
      </c>
      <c r="AG87">
        <f>AVERAGEIFS($I$2:I87, $B$2:B87, B87)</f>
        <v>0.44</v>
      </c>
      <c r="AH87">
        <f>AVERAGEIFS($I$2:J87, $B$2:C87, C87)</f>
        <v>0.53499999999999992</v>
      </c>
      <c r="AI87">
        <f>AVERAGEIFS($D$2:D87, $B$2:B87, B87)</f>
        <v>0.42857142857142855</v>
      </c>
    </row>
    <row r="88" spans="1:35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f>AVERAGEIFS($C$2:C88, $B$2:B88, B88)</f>
        <v>9.1999999999999993</v>
      </c>
      <c r="AG88">
        <f>AVERAGEIFS($I$2:I88, $B$2:B88, B88)</f>
        <v>0.70600000000000007</v>
      </c>
      <c r="AH88">
        <f>AVERAGEIFS($I$2:J88, $B$2:C88, C88)</f>
        <v>0.54666666666666663</v>
      </c>
      <c r="AI88">
        <f>AVERAGEIFS($D$2:D88, $B$2:B88, B88)</f>
        <v>0.8</v>
      </c>
    </row>
    <row r="89" spans="1:35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f>AVERAGEIFS($C$2:C89, $B$2:B89, B89)</f>
        <v>26.666666666666668</v>
      </c>
      <c r="AG89">
        <f>AVERAGEIFS($I$2:I89, $B$2:B89, B89)</f>
        <v>0.45</v>
      </c>
      <c r="AH89">
        <f>AVERAGEIFS($I$2:J89, $B$2:C89, C89)</f>
        <v>0.61199999999999999</v>
      </c>
      <c r="AI89">
        <f>AVERAGEIFS($D$2:D89, $B$2:B89, B89)</f>
        <v>0.66666666666666663</v>
      </c>
    </row>
    <row r="90" spans="1:35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1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f>AVERAGEIFS($C$2:C90, $B$2:B90, B90)</f>
        <v>19.625</v>
      </c>
      <c r="AG90">
        <f>AVERAGEIFS($I$2:I90, $B$2:B90, B90)</f>
        <v>0.56625000000000003</v>
      </c>
      <c r="AH90">
        <f>AVERAGEIFS($I$2:J90, $B$2:C90, C90)</f>
        <v>0.61199999999999999</v>
      </c>
      <c r="AI90">
        <f>AVERAGEIFS($D$2:D90, $B$2:B90, B90)</f>
        <v>0.625</v>
      </c>
    </row>
    <row r="91" spans="1:35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f>AVERAGEIFS($C$2:C91, $B$2:B91, B91)</f>
        <v>15.5</v>
      </c>
      <c r="AG91">
        <f>AVERAGEIFS($I$2:I91, $B$2:B91, B91)</f>
        <v>0.875</v>
      </c>
      <c r="AH91">
        <f>AVERAGEIFS($I$2:J91, $B$2:C91, C91)</f>
        <v>0.49799999999999994</v>
      </c>
      <c r="AI91">
        <f>AVERAGEIFS($D$2:D91, $B$2:B91, B91)</f>
        <v>1</v>
      </c>
    </row>
    <row r="92" spans="1:35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f>AVERAGEIFS($C$2:C92, $B$2:B92, B92)</f>
        <v>21</v>
      </c>
      <c r="AG92">
        <f>AVERAGEIFS($I$2:I92, $B$2:B92, B92)</f>
        <v>0.35285714285714287</v>
      </c>
      <c r="AH92">
        <f>AVERAGEIFS($I$2:J92, $B$2:C92, C92)</f>
        <v>0.48</v>
      </c>
      <c r="AI92">
        <f>AVERAGEIFS($D$2:D92, $B$2:B92, B92)</f>
        <v>0.2857142857142857</v>
      </c>
    </row>
    <row r="93" spans="1:35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f>AVERAGEIFS($C$2:C93, $B$2:B93, B93)</f>
        <v>24.625</v>
      </c>
      <c r="AG93">
        <f>AVERAGEIFS($I$2:I93, $B$2:B93, B93)</f>
        <v>0.52124999999999999</v>
      </c>
      <c r="AH93">
        <f>AVERAGEIFS($I$2:J93, $B$2:C93, C93)</f>
        <v>0.55666666666666664</v>
      </c>
      <c r="AI93">
        <f>AVERAGEIFS($D$2:D93, $B$2:B93, B93)</f>
        <v>0.625</v>
      </c>
    </row>
    <row r="94" spans="1:35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f>AVERAGEIFS($C$2:C94, $B$2:B94, B94)</f>
        <v>2.5</v>
      </c>
      <c r="AG94">
        <f>AVERAGEIFS($I$2:I94, $B$2:B94, B94)</f>
        <v>0.375</v>
      </c>
      <c r="AH94">
        <f>AVERAGEIFS($I$2:J94, $B$2:C94, C94)</f>
        <v>0.48200000000000004</v>
      </c>
      <c r="AI94">
        <f>AVERAGEIFS($D$2:D94, $B$2:B94, B94)</f>
        <v>0.5</v>
      </c>
    </row>
    <row r="95" spans="1:35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0</v>
      </c>
      <c r="AC95">
        <v>0</v>
      </c>
      <c r="AD95">
        <v>0</v>
      </c>
      <c r="AE95">
        <v>0</v>
      </c>
      <c r="AF95">
        <f>AVERAGEIFS($C$2:C95, $B$2:B95, B95)</f>
        <v>22.25</v>
      </c>
      <c r="AG95">
        <f>AVERAGEIFS($I$2:I95, $B$2:B95, B95)</f>
        <v>0.39500000000000002</v>
      </c>
      <c r="AH95">
        <f>AVERAGEIFS($I$2:J95, $B$2:C95, C95)</f>
        <v>0.48000000000000004</v>
      </c>
      <c r="AI95">
        <f>AVERAGEIFS($D$2:D95, $B$2:B95, B95)</f>
        <v>0.25</v>
      </c>
    </row>
    <row r="96" spans="1:35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>
        <v>0</v>
      </c>
      <c r="AD96">
        <v>0</v>
      </c>
      <c r="AE96">
        <v>0</v>
      </c>
      <c r="AF96">
        <f>AVERAGEIFS($C$2:C96, $B$2:B96, B96)</f>
        <v>20</v>
      </c>
      <c r="AG96">
        <f>AVERAGEIFS($I$2:I96, $B$2:B96, B96)</f>
        <v>0.32500000000000001</v>
      </c>
      <c r="AH96">
        <f>AVERAGEIFS($I$2:J96, $B$2:C96, C96)</f>
        <v>0.54499999999999993</v>
      </c>
      <c r="AI96">
        <f>AVERAGEIFS($D$2:D96, $B$2:B96, B96)</f>
        <v>0</v>
      </c>
    </row>
    <row r="97" spans="1:35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0</v>
      </c>
      <c r="AE97">
        <v>0</v>
      </c>
      <c r="AF97">
        <f>AVERAGEIFS($C$2:C97, $B$2:B97, B97)</f>
        <v>22.2</v>
      </c>
      <c r="AG97">
        <f>AVERAGEIFS($I$2:I97, $B$2:B97, B97)</f>
        <v>0.61</v>
      </c>
      <c r="AH97">
        <f>AVERAGEIFS($I$2:J97, $B$2:C97, C97)</f>
        <v>0.49666666666666659</v>
      </c>
      <c r="AI97">
        <f>AVERAGEIFS($D$2:D97, $B$2:B97, B97)</f>
        <v>0.4</v>
      </c>
    </row>
    <row r="98" spans="1:35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1</v>
      </c>
      <c r="AB98">
        <v>0</v>
      </c>
      <c r="AC98">
        <v>0</v>
      </c>
      <c r="AD98">
        <v>0</v>
      </c>
      <c r="AE98">
        <v>0</v>
      </c>
      <c r="AF98">
        <f>AVERAGEIFS($C$2:C98, $B$2:B98, B98)</f>
        <v>17.666666666666668</v>
      </c>
      <c r="AG98">
        <f>AVERAGEIFS($I$2:I98, $B$2:B98, B98)</f>
        <v>0.36166666666666664</v>
      </c>
      <c r="AH98">
        <f>AVERAGEIFS($I$2:J98, $B$2:C98, C98)</f>
        <v>0.44</v>
      </c>
      <c r="AI98">
        <f>AVERAGEIFS($D$2:D98, $B$2:B98, B98)</f>
        <v>0.33333333333333331</v>
      </c>
    </row>
    <row r="99" spans="1:35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1</v>
      </c>
      <c r="AB99">
        <v>0</v>
      </c>
      <c r="AC99">
        <v>0</v>
      </c>
      <c r="AD99">
        <v>0</v>
      </c>
      <c r="AE99">
        <v>0</v>
      </c>
      <c r="AF99">
        <f>AVERAGEIFS($C$2:C99, $B$2:B99, B99)</f>
        <v>12</v>
      </c>
      <c r="AG99">
        <f>AVERAGEIFS($I$2:I99, $B$2:B99, B99)</f>
        <v>0.25</v>
      </c>
      <c r="AH99">
        <f>AVERAGEIFS($I$2:J99, $B$2:C99, C99)</f>
        <v>0.49199999999999999</v>
      </c>
      <c r="AI99">
        <f>AVERAGEIFS($D$2:D99, $B$2:B99, B99)</f>
        <v>0</v>
      </c>
    </row>
    <row r="100" spans="1:35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1</v>
      </c>
      <c r="AB100">
        <v>0</v>
      </c>
      <c r="AC100">
        <v>0</v>
      </c>
      <c r="AD100">
        <v>0</v>
      </c>
      <c r="AE100">
        <v>0</v>
      </c>
      <c r="AF100">
        <f>AVERAGEIFS($C$2:C100, $B$2:B100, B100)</f>
        <v>9.1666666666666661</v>
      </c>
      <c r="AG100">
        <f>AVERAGEIFS($I$2:I100, $B$2:B100, B100)</f>
        <v>0.63</v>
      </c>
      <c r="AH100">
        <f>AVERAGEIFS($I$2:J100, $B$2:C100, C100)</f>
        <v>0.32750000000000001</v>
      </c>
      <c r="AI100">
        <f>AVERAGEIFS($D$2:D100, $B$2:B100, B100)</f>
        <v>0.66666666666666663</v>
      </c>
    </row>
    <row r="101" spans="1:35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1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f>AVERAGEIFS($C$2:C101, $B$2:B101, B101)</f>
        <v>20.399999999999999</v>
      </c>
      <c r="AG101">
        <f>AVERAGEIFS($I$2:I101, $B$2:B101, B101)</f>
        <v>0.38</v>
      </c>
      <c r="AH101">
        <f>AVERAGEIFS($I$2:J101, $B$2:C101, C101)</f>
        <v>0.59666666666666668</v>
      </c>
      <c r="AI101">
        <f>AVERAGEIFS($D$2:D101, $B$2:B101, B101)</f>
        <v>0.2</v>
      </c>
    </row>
    <row r="102" spans="1:35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1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f>AVERAGEIFS($C$2:C102, $B$2:B102, B102)</f>
        <v>18</v>
      </c>
      <c r="AG102">
        <f>AVERAGEIFS($I$2:I102, $B$2:B102, B102)</f>
        <v>0.6</v>
      </c>
      <c r="AH102">
        <f>AVERAGEIFS($I$2:J102, $B$2:C102, C102)</f>
        <v>0.50249999999999995</v>
      </c>
      <c r="AI102">
        <f>AVERAGEIFS($D$2:D102, $B$2:B102, B102)</f>
        <v>1</v>
      </c>
    </row>
    <row r="103" spans="1:35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1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f>AVERAGEIFS($C$2:C103, $B$2:B103, B103)</f>
        <v>19</v>
      </c>
      <c r="AG103">
        <f>AVERAGEIFS($I$2:I103, $B$2:B103, B103)</f>
        <v>0.8</v>
      </c>
      <c r="AH103">
        <f>AVERAGEIFS($I$2:J103, $B$2:C103, C103)</f>
        <v>0.54749999999999999</v>
      </c>
      <c r="AI103">
        <f>AVERAGEIFS($D$2:D103, $B$2:B103, B103)</f>
        <v>1</v>
      </c>
    </row>
    <row r="104" spans="1:35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1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f>AVERAGEIFS($C$2:C104, $B$2:B104, B104)</f>
        <v>17</v>
      </c>
      <c r="AG104">
        <f>AVERAGEIFS($I$2:I104, $B$2:B104, B104)</f>
        <v>0.39571428571428574</v>
      </c>
      <c r="AH104">
        <f>AVERAGEIFS($I$2:J104, $B$2:C104, C104)</f>
        <v>0.46666666666666662</v>
      </c>
      <c r="AI104">
        <f>AVERAGEIFS($D$2:D104, $B$2:B104, B104)</f>
        <v>0.42857142857142855</v>
      </c>
    </row>
    <row r="105" spans="1:35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1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f>AVERAGEIFS($C$2:C105, $B$2:B105, B105)</f>
        <v>20.5</v>
      </c>
      <c r="AG105">
        <f>AVERAGEIFS($I$2:I105, $B$2:B105, B105)</f>
        <v>0.60833333333333328</v>
      </c>
      <c r="AH105">
        <f>AVERAGEIFS($I$2:J105, $B$2:C105, C105)</f>
        <v>0.49666666666666665</v>
      </c>
      <c r="AI105">
        <f>AVERAGEIFS($D$2:D105, $B$2:B105, B105)</f>
        <v>0.5</v>
      </c>
    </row>
    <row r="106" spans="1:35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1</v>
      </c>
      <c r="AD106">
        <v>0</v>
      </c>
      <c r="AE106">
        <v>1</v>
      </c>
      <c r="AF106">
        <f>AVERAGEIFS($C$2:C106, $B$2:B106, B106)</f>
        <v>24.666666666666668</v>
      </c>
      <c r="AG106">
        <f>AVERAGEIFS($I$2:I106, $B$2:B106, B106)</f>
        <v>0.50777777777777777</v>
      </c>
      <c r="AH106">
        <f>AVERAGEIFS($I$2:J106, $B$2:C106, C106)</f>
        <v>0.48000000000000004</v>
      </c>
      <c r="AI106">
        <f>AVERAGEIFS($D$2:D106, $B$2:B106, B106)</f>
        <v>0.55555555555555558</v>
      </c>
    </row>
    <row r="107" spans="1:35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1</v>
      </c>
      <c r="AF107">
        <f>AVERAGEIFS($C$2:C107, $B$2:B107, B107)</f>
        <v>20.875</v>
      </c>
      <c r="AG107">
        <f>AVERAGEIFS($I$2:I107, $B$2:B107, B107)</f>
        <v>0.35875000000000001</v>
      </c>
      <c r="AH107">
        <f>AVERAGEIFS($I$2:J107, $B$2:C107, C107)</f>
        <v>0.39333333333333331</v>
      </c>
      <c r="AI107">
        <f>AVERAGEIFS($D$2:D107, $B$2:B107, B107)</f>
        <v>0.25</v>
      </c>
    </row>
    <row r="108" spans="1:35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1</v>
      </c>
      <c r="AF108">
        <f>AVERAGEIFS($C$2:C108, $B$2:B108, B108)</f>
        <v>18.888888888888889</v>
      </c>
      <c r="AG108">
        <f>AVERAGEIFS($I$2:I108, $B$2:B108, B108)</f>
        <v>0.54777777777777781</v>
      </c>
      <c r="AH108">
        <f>AVERAGEIFS($I$2:J108, $B$2:C108, C108)</f>
        <v>0.47</v>
      </c>
      <c r="AI108">
        <f>AVERAGEIFS($D$2:D108, $B$2:B108, B108)</f>
        <v>0.55555555555555558</v>
      </c>
    </row>
    <row r="109" spans="1:35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1</v>
      </c>
      <c r="AD109">
        <v>0</v>
      </c>
      <c r="AE109">
        <v>1</v>
      </c>
      <c r="AF109">
        <f>AVERAGEIFS($C$2:C109, $B$2:B109, B109)</f>
        <v>9.2857142857142865</v>
      </c>
      <c r="AG109">
        <f>AVERAGEIFS($I$2:I109, $B$2:B109, B109)</f>
        <v>0.5971428571428572</v>
      </c>
      <c r="AH109">
        <f>AVERAGEIFS($I$2:J109, $B$2:C109, C109)</f>
        <v>0.4366666666666667</v>
      </c>
      <c r="AI109">
        <f>AVERAGEIFS($D$2:D109, $B$2:B109, B109)</f>
        <v>0.5714285714285714</v>
      </c>
    </row>
    <row r="110" spans="1:35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1</v>
      </c>
      <c r="AF110">
        <f>AVERAGEIFS($C$2:C110, $B$2:B110, B110)</f>
        <v>13.333333333333334</v>
      </c>
      <c r="AG110">
        <f>AVERAGEIFS($I$2:I110, $B$2:B110, B110)</f>
        <v>0.71666666666666667</v>
      </c>
      <c r="AH110">
        <f>AVERAGEIFS($I$2:J110, $B$2:C110, C110)</f>
        <v>0.35799999999999998</v>
      </c>
      <c r="AI110">
        <f>AVERAGEIFS($D$2:D110, $B$2:B110, B110)</f>
        <v>0.66666666666666663</v>
      </c>
    </row>
    <row r="111" spans="1:35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f>AVERAGEIFS($C$2:C111, $B$2:B111, B111)</f>
        <v>22</v>
      </c>
      <c r="AG111">
        <f>AVERAGEIFS($I$2:I111, $B$2:B111, B111)</f>
        <v>0.66857142857142848</v>
      </c>
      <c r="AH111">
        <f>AVERAGEIFS($I$2:J111, $B$2:C111, C111)</f>
        <v>0.49125000000000002</v>
      </c>
      <c r="AI111">
        <f>AVERAGEIFS($D$2:D111, $B$2:B111, B111)</f>
        <v>0.7142857142857143</v>
      </c>
    </row>
    <row r="112" spans="1:35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1</v>
      </c>
      <c r="AE112">
        <v>0</v>
      </c>
      <c r="AF112">
        <f>AVERAGEIFS($C$2:C112, $B$2:B112, B112)</f>
        <v>23.9</v>
      </c>
      <c r="AG112">
        <f>AVERAGEIFS($I$2:I112, $B$2:B112, B112)</f>
        <v>0.55700000000000005</v>
      </c>
      <c r="AH112">
        <f>AVERAGEIFS($I$2:J112, $B$2:C112, C112)</f>
        <v>0.37833333333333335</v>
      </c>
      <c r="AI112">
        <f>AVERAGEIFS($D$2:D112, $B$2:B112, B112)</f>
        <v>0.6</v>
      </c>
    </row>
    <row r="113" spans="1:35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f>AVERAGEIFS($C$2:C113, $B$2:B113, B113)</f>
        <v>19.666666666666668</v>
      </c>
      <c r="AG113">
        <f>AVERAGEIFS($I$2:I113, $B$2:B113, B113)</f>
        <v>0.48333333333333334</v>
      </c>
      <c r="AH113">
        <f>AVERAGEIFS($I$2:J113, $B$2:C113, C113)</f>
        <v>0.54428571428571415</v>
      </c>
      <c r="AI113">
        <f>AVERAGEIFS($D$2:D113, $B$2:B113, B113)</f>
        <v>0.33333333333333331</v>
      </c>
    </row>
    <row r="114" spans="1:35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</v>
      </c>
      <c r="AE114">
        <v>0</v>
      </c>
      <c r="AF114">
        <f>AVERAGEIFS($C$2:C114, $B$2:B114, B114)</f>
        <v>20</v>
      </c>
      <c r="AG114">
        <f>AVERAGEIFS($I$2:I114, $B$2:B114, B114)</f>
        <v>0.43</v>
      </c>
      <c r="AH114">
        <f>AVERAGEIFS($I$2:J114, $B$2:C114, C114)</f>
        <v>0.48999999999999994</v>
      </c>
      <c r="AI114">
        <f>AVERAGEIFS($D$2:D114, $B$2:B114, B114)</f>
        <v>0.33333333333333331</v>
      </c>
    </row>
    <row r="115" spans="1:35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f>AVERAGEIFS($C$2:C115, $B$2:B115, B115)</f>
        <v>11.5</v>
      </c>
      <c r="AG115">
        <f>AVERAGEIFS($I$2:I115, $B$2:B115, B115)</f>
        <v>0.51</v>
      </c>
      <c r="AH115">
        <f>AVERAGEIFS($I$2:J115, $B$2:C115, C115)</f>
        <v>0.55249999999999999</v>
      </c>
      <c r="AI115">
        <f>AVERAGEIFS($D$2:D115, $B$2:B115, B115)</f>
        <v>0.5</v>
      </c>
    </row>
    <row r="116" spans="1:35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f>AVERAGEIFS($C$2:C116, $B$2:B116, B116)</f>
        <v>21.6</v>
      </c>
      <c r="AG116">
        <f>AVERAGEIFS($I$2:I116, $B$2:B116, B116)</f>
        <v>0.316</v>
      </c>
      <c r="AH116">
        <f>AVERAGEIFS($I$2:J116, $B$2:C116, C116)</f>
        <v>0.48666666666666664</v>
      </c>
      <c r="AI116">
        <f>AVERAGEIFS($D$2:D116, $B$2:B116, B116)</f>
        <v>0.2</v>
      </c>
    </row>
    <row r="117" spans="1:35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f>AVERAGEIFS($C$2:C117, $B$2:B117, B117)</f>
        <v>17</v>
      </c>
      <c r="AG117">
        <f>AVERAGEIFS($I$2:I117, $B$2:B117, B117)</f>
        <v>0</v>
      </c>
      <c r="AH117">
        <f>AVERAGEIFS($I$2:J117, $B$2:C117, C117)</f>
        <v>0.38571428571428573</v>
      </c>
      <c r="AI117">
        <f>AVERAGEIFS($D$2:D117, $B$2:B117, B117)</f>
        <v>0</v>
      </c>
    </row>
    <row r="118" spans="1:35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f>AVERAGEIFS($C$2:C118, $B$2:B118, B118)</f>
        <v>18.666666666666668</v>
      </c>
      <c r="AG118">
        <f>AVERAGEIFS($I$2:I118, $B$2:B118, B118)</f>
        <v>0.56999999999999995</v>
      </c>
      <c r="AH118">
        <f>AVERAGEIFS($I$2:J118, $B$2:C118, C118)</f>
        <v>0.46749999999999997</v>
      </c>
      <c r="AI118">
        <f>AVERAGEIFS($D$2:D118, $B$2:B118, B118)</f>
        <v>0.66666666666666663</v>
      </c>
    </row>
    <row r="119" spans="1:35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f>AVERAGEIFS($C$2:C119, $B$2:B119, B119)</f>
        <v>9</v>
      </c>
      <c r="AG119">
        <f>AVERAGEIFS($I$2:I119, $B$2:B119, B119)</f>
        <v>0.52250000000000008</v>
      </c>
      <c r="AH119">
        <f>AVERAGEIFS($I$2:J119, $B$2:C119, C119)</f>
        <v>0.57000000000000006</v>
      </c>
      <c r="AI119">
        <f>AVERAGEIFS($D$2:D119, $B$2:B119, B119)</f>
        <v>0.5</v>
      </c>
    </row>
    <row r="120" spans="1:35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f>AVERAGEIFS($C$2:C120, $B$2:B120, B120)</f>
        <v>17.7</v>
      </c>
      <c r="AG120">
        <f>AVERAGEIFS($I$2:I120, $B$2:B120, B120)</f>
        <v>0.49300000000000005</v>
      </c>
      <c r="AH120">
        <f>AVERAGEIFS($I$2:J120, $B$2:C120, C120)</f>
        <v>0.54200000000000004</v>
      </c>
      <c r="AI120">
        <f>AVERAGEIFS($D$2:D120, $B$2:B120, B120)</f>
        <v>0.5</v>
      </c>
    </row>
    <row r="121" spans="1:35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1</v>
      </c>
      <c r="AC121">
        <v>0</v>
      </c>
      <c r="AD121">
        <v>0</v>
      </c>
      <c r="AE121">
        <v>0</v>
      </c>
      <c r="AF121">
        <f>AVERAGEIFS($C$2:C121, $B$2:B121, B121)</f>
        <v>17</v>
      </c>
      <c r="AG121">
        <f>AVERAGEIFS($I$2:I121, $B$2:B121, B121)</f>
        <v>0.6</v>
      </c>
      <c r="AH121">
        <f>AVERAGEIFS($I$2:J121, $B$2:C121, C121)</f>
        <v>0.40500000000000003</v>
      </c>
      <c r="AI121">
        <f>AVERAGEIFS($D$2:D121, $B$2:B121, B121)</f>
        <v>1</v>
      </c>
    </row>
    <row r="122" spans="1:35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f>AVERAGEIFS($C$2:C122, $B$2:B122, B122)</f>
        <v>17</v>
      </c>
      <c r="AG122">
        <f>AVERAGEIFS($I$2:I122, $B$2:B122, B122)</f>
        <v>0.6</v>
      </c>
      <c r="AH122">
        <f>AVERAGEIFS($I$2:J122, $B$2:C122, C122)</f>
        <v>0.42000000000000004</v>
      </c>
      <c r="AI122">
        <f>AVERAGEIFS($D$2:D122, $B$2:B122, B122)</f>
        <v>1</v>
      </c>
    </row>
    <row r="123" spans="1:35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1</v>
      </c>
      <c r="AC123">
        <v>0</v>
      </c>
      <c r="AD123">
        <v>0</v>
      </c>
      <c r="AE123">
        <v>0</v>
      </c>
      <c r="AF123">
        <f>AVERAGEIFS($C$2:C123, $B$2:B123, B123)</f>
        <v>21.142857142857142</v>
      </c>
      <c r="AG123">
        <f>AVERAGEIFS($I$2:I123, $B$2:B123, B123)</f>
        <v>0.57428571428571418</v>
      </c>
      <c r="AH123">
        <f>AVERAGEIFS($I$2:J123, $B$2:C123, C123)</f>
        <v>0.43500000000000005</v>
      </c>
      <c r="AI123">
        <f>AVERAGEIFS($D$2:D123, $B$2:B123, B123)</f>
        <v>0.7142857142857143</v>
      </c>
    </row>
    <row r="124" spans="1:35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1</v>
      </c>
      <c r="AC124">
        <v>0</v>
      </c>
      <c r="AD124">
        <v>0</v>
      </c>
      <c r="AE124">
        <v>0</v>
      </c>
      <c r="AF124">
        <f>AVERAGEIFS($C$2:C124, $B$2:B124, B124)</f>
        <v>24.181818181818183</v>
      </c>
      <c r="AG124">
        <f>AVERAGEIFS($I$2:I124, $B$2:B124, B124)</f>
        <v>0.56090909090909091</v>
      </c>
      <c r="AH124">
        <f>AVERAGEIFS($I$2:J124, $B$2:C124, C124)</f>
        <v>0.47000000000000003</v>
      </c>
      <c r="AI124">
        <f>AVERAGEIFS($D$2:D124, $B$2:B124, B124)</f>
        <v>0.63636363636363635</v>
      </c>
    </row>
    <row r="125" spans="1:35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1</v>
      </c>
      <c r="AC125">
        <v>0</v>
      </c>
      <c r="AD125">
        <v>0</v>
      </c>
      <c r="AE125">
        <v>0</v>
      </c>
      <c r="AF125">
        <f>AVERAGEIFS($C$2:C125, $B$2:B125, B125)</f>
        <v>16.5</v>
      </c>
      <c r="AG125">
        <f>AVERAGEIFS($I$2:I125, $B$2:B125, B125)</f>
        <v>0.48750000000000004</v>
      </c>
      <c r="AH125">
        <f>AVERAGEIFS($I$2:J125, $B$2:C125, C125)</f>
        <v>0.54600000000000004</v>
      </c>
      <c r="AI125">
        <f>AVERAGEIFS($D$2:D125, $B$2:B125, B125)</f>
        <v>0.75</v>
      </c>
    </row>
    <row r="126" spans="1:35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1</v>
      </c>
      <c r="AB126">
        <v>0</v>
      </c>
      <c r="AC126">
        <v>0</v>
      </c>
      <c r="AD126">
        <v>0</v>
      </c>
      <c r="AE126">
        <v>0</v>
      </c>
      <c r="AF126">
        <f>AVERAGEIFS($C$2:C126, $B$2:B126, B126)</f>
        <v>18</v>
      </c>
      <c r="AG126">
        <f>AVERAGEIFS($I$2:I126, $B$2:B126, B126)</f>
        <v>0.48454545454545461</v>
      </c>
      <c r="AH126">
        <f>AVERAGEIFS($I$2:J126, $B$2:C126, C126)</f>
        <v>0.51500000000000001</v>
      </c>
      <c r="AI126">
        <f>AVERAGEIFS($D$2:D126, $B$2:B126, B126)</f>
        <v>0.45454545454545453</v>
      </c>
    </row>
    <row r="127" spans="1:35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F127">
        <f>AVERAGEIFS($C$2:C127, $B$2:B127, B127)</f>
        <v>21.625</v>
      </c>
      <c r="AG127">
        <f>AVERAGEIFS($I$2:I127, $B$2:B127, B127)</f>
        <v>0.63500000000000001</v>
      </c>
      <c r="AH127">
        <f>AVERAGEIFS($I$2:J127, $B$2:C127, C127)</f>
        <v>0.48285714285714282</v>
      </c>
      <c r="AI127">
        <f>AVERAGEIFS($D$2:D127, $B$2:B127, B127)</f>
        <v>0.625</v>
      </c>
    </row>
    <row r="128" spans="1:35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1</v>
      </c>
      <c r="AB128">
        <v>0</v>
      </c>
      <c r="AC128">
        <v>0</v>
      </c>
      <c r="AD128">
        <v>0</v>
      </c>
      <c r="AE128">
        <v>0</v>
      </c>
      <c r="AF128">
        <f>AVERAGEIFS($C$2:C128, $B$2:B128, B128)</f>
        <v>15.5</v>
      </c>
      <c r="AG128">
        <f>AVERAGEIFS($I$2:I128, $B$2:B128, B128)</f>
        <v>0.32500000000000001</v>
      </c>
      <c r="AH128">
        <f>AVERAGEIFS($I$2:J128, $B$2:C128, C128)</f>
        <v>0.48</v>
      </c>
      <c r="AI128">
        <f>AVERAGEIFS($D$2:D128, $B$2:B128, B128)</f>
        <v>0</v>
      </c>
    </row>
    <row r="129" spans="1:35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F129">
        <f>AVERAGEIFS($C$2:C129, $B$2:B129, B129)</f>
        <v>18.714285714285715</v>
      </c>
      <c r="AG129">
        <f>AVERAGEIFS($I$2:I129, $B$2:B129, B129)</f>
        <v>0.47142857142857142</v>
      </c>
      <c r="AH129">
        <f>AVERAGEIFS($I$2:J129, $B$2:C129, C129)</f>
        <v>0.48499999999999993</v>
      </c>
      <c r="AI129">
        <f>AVERAGEIFS($D$2:D129, $B$2:B129, B129)</f>
        <v>0.2857142857142857</v>
      </c>
    </row>
    <row r="130" spans="1:35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F130">
        <f>AVERAGEIFS($C$2:C130, $B$2:B130, B130)</f>
        <v>27</v>
      </c>
      <c r="AG130">
        <f>AVERAGEIFS($I$2:I130, $B$2:B130, B130)</f>
        <v>0.4</v>
      </c>
      <c r="AH130">
        <f>AVERAGEIFS($I$2:J130, $B$2:C130, C130)</f>
        <v>0.46750000000000003</v>
      </c>
      <c r="AI130">
        <f>AVERAGEIFS($D$2:D130, $B$2:B130, B130)</f>
        <v>0</v>
      </c>
    </row>
    <row r="131" spans="1:35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1</v>
      </c>
      <c r="AB131">
        <v>0</v>
      </c>
      <c r="AC131">
        <v>0</v>
      </c>
      <c r="AD131">
        <v>0</v>
      </c>
      <c r="AE131">
        <v>0</v>
      </c>
      <c r="AF131">
        <f>AVERAGEIFS($C$2:C131, $B$2:B131, B131)</f>
        <v>21.166666666666668</v>
      </c>
      <c r="AG131">
        <f>AVERAGEIFS($I$2:I131, $B$2:B131, B131)</f>
        <v>0.38833333333333336</v>
      </c>
      <c r="AH131">
        <f>AVERAGEIFS($I$2:J131, $B$2:C131, C131)</f>
        <v>0.51444444444444448</v>
      </c>
      <c r="AI131">
        <f>AVERAGEIFS($D$2:D131, $B$2:B131, B131)</f>
        <v>0.33333333333333331</v>
      </c>
    </row>
    <row r="132" spans="1:35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</v>
      </c>
      <c r="AB132">
        <v>0</v>
      </c>
      <c r="AC132">
        <v>0</v>
      </c>
      <c r="AD132">
        <v>0</v>
      </c>
      <c r="AE132">
        <v>0</v>
      </c>
      <c r="AF132">
        <f>AVERAGEIFS($C$2:C132, $B$2:B132, B132)</f>
        <v>18.5</v>
      </c>
      <c r="AG132">
        <f>AVERAGEIFS($I$2:I132, $B$2:B132, B132)</f>
        <v>0.50624999999999998</v>
      </c>
      <c r="AH132">
        <f>AVERAGEIFS($I$2:J132, $B$2:C132, C132)</f>
        <v>0.45700000000000002</v>
      </c>
      <c r="AI132">
        <f>AVERAGEIFS($D$2:D132, $B$2:B132, B132)</f>
        <v>0.375</v>
      </c>
    </row>
    <row r="133" spans="1:35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1</v>
      </c>
      <c r="AB133">
        <v>0</v>
      </c>
      <c r="AC133">
        <v>0</v>
      </c>
      <c r="AD133">
        <v>0</v>
      </c>
      <c r="AE133">
        <v>0</v>
      </c>
      <c r="AF133">
        <f>AVERAGEIFS($C$2:C133, $B$2:B133, B133)</f>
        <v>19.3</v>
      </c>
      <c r="AG133">
        <f>AVERAGEIFS($I$2:I133, $B$2:B133, B133)</f>
        <v>0.46200000000000002</v>
      </c>
      <c r="AH133">
        <f>AVERAGEIFS($I$2:J133, $B$2:C133, C133)</f>
        <v>0.52857142857142858</v>
      </c>
      <c r="AI133">
        <f>AVERAGEIFS($D$2:D133, $B$2:B133, B133)</f>
        <v>0.4</v>
      </c>
    </row>
    <row r="134" spans="1:35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f>AVERAGEIFS($C$2:C134, $B$2:B134, B134)</f>
        <v>20.555555555555557</v>
      </c>
      <c r="AG134">
        <f>AVERAGEIFS($I$2:I134, $B$2:B134, B134)</f>
        <v>0.64777777777777779</v>
      </c>
      <c r="AH134">
        <f>AVERAGEIFS($I$2:J134, $B$2:C134, C134)</f>
        <v>0.53857142857142859</v>
      </c>
      <c r="AI134">
        <f>AVERAGEIFS($D$2:D134, $B$2:B134, B134)</f>
        <v>0.66666666666666663</v>
      </c>
    </row>
    <row r="135" spans="1:35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f>AVERAGEIFS($C$2:C135, $B$2:B135, B135)</f>
        <v>10</v>
      </c>
      <c r="AG135">
        <f>AVERAGEIFS($I$2:I135, $B$2:B135, B135)</f>
        <v>0.75</v>
      </c>
      <c r="AH135">
        <f>AVERAGEIFS($I$2:J135, $B$2:C135, C135)</f>
        <v>0.52500000000000002</v>
      </c>
      <c r="AI135">
        <f>AVERAGEIFS($D$2:D135, $B$2:B135, B135)</f>
        <v>1</v>
      </c>
    </row>
    <row r="136" spans="1:35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</v>
      </c>
      <c r="AB136">
        <v>0</v>
      </c>
      <c r="AC136">
        <v>0</v>
      </c>
      <c r="AD136">
        <v>0</v>
      </c>
      <c r="AE136">
        <v>0</v>
      </c>
      <c r="AF136">
        <f>AVERAGEIFS($C$2:C136, $B$2:B136, B136)</f>
        <v>8.3333333333333339</v>
      </c>
      <c r="AG136">
        <f>AVERAGEIFS($I$2:I136, $B$2:B136, B136)</f>
        <v>0.54777777777777781</v>
      </c>
      <c r="AH136">
        <f>AVERAGEIFS($I$2:J136, $B$2:C136, C136)</f>
        <v>0.53333333333333333</v>
      </c>
      <c r="AI136">
        <f>AVERAGEIFS($D$2:D136, $B$2:B136, B136)</f>
        <v>0.55555555555555558</v>
      </c>
    </row>
    <row r="137" spans="1:35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f>AVERAGEIFS($C$2:C137, $B$2:B137, B137)</f>
        <v>23.75</v>
      </c>
      <c r="AG137">
        <f>AVERAGEIFS($I$2:I137, $B$2:B137, B137)</f>
        <v>0.53500000000000003</v>
      </c>
      <c r="AH137">
        <f>AVERAGEIFS($I$2:J137, $B$2:C137, C137)</f>
        <v>0.48399999999999999</v>
      </c>
      <c r="AI137">
        <f>AVERAGEIFS($D$2:D137, $B$2:B137, B137)</f>
        <v>0.58333333333333337</v>
      </c>
    </row>
    <row r="138" spans="1:35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f>AVERAGEIFS($C$2:C138, $B$2:B138, B138)</f>
        <v>19.5</v>
      </c>
      <c r="AG138">
        <f>AVERAGEIFS($I$2:I138, $B$2:B138, B138)</f>
        <v>0.32500000000000001</v>
      </c>
      <c r="AH138">
        <f>AVERAGEIFS($I$2:J138, $B$2:C138, C138)</f>
        <v>0.4975</v>
      </c>
      <c r="AI138">
        <f>AVERAGEIFS($D$2:D138, $B$2:B138, B138)</f>
        <v>0</v>
      </c>
    </row>
    <row r="139" spans="1:35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f>AVERAGEIFS($C$2:C139, $B$2:B139, B139)</f>
        <v>11.444444444444445</v>
      </c>
      <c r="AG139">
        <f>AVERAGEIFS($I$2:I139, $B$2:B139, B139)</f>
        <v>0.4811111111111111</v>
      </c>
      <c r="AH139">
        <f>AVERAGEIFS($I$2:J139, $B$2:C139, C139)</f>
        <v>0.58666666666666656</v>
      </c>
      <c r="AI139">
        <f>AVERAGEIFS($D$2:D139, $B$2:B139, B139)</f>
        <v>0.44444444444444442</v>
      </c>
    </row>
    <row r="140" spans="1:35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f>AVERAGEIFS($C$2:C140, $B$2:B140, B140)</f>
        <v>14</v>
      </c>
      <c r="AG140">
        <f>AVERAGEIFS($I$2:I140, $B$2:B140, B140)</f>
        <v>0.42499999999999999</v>
      </c>
      <c r="AH140">
        <f>AVERAGEIFS($I$2:J140, $B$2:C140, C140)</f>
        <v>0.53285714285714281</v>
      </c>
      <c r="AI140">
        <f>AVERAGEIFS($D$2:D140, $B$2:B140, B140)</f>
        <v>0.5</v>
      </c>
    </row>
    <row r="141" spans="1:35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f>AVERAGEIFS($C$2:C141, $B$2:B141, B141)</f>
        <v>12</v>
      </c>
      <c r="AG141">
        <f>AVERAGEIFS($I$2:I141, $B$2:B141, B141)</f>
        <v>0.3</v>
      </c>
      <c r="AH141">
        <f>AVERAGEIFS($I$2:J141, $B$2:C141, C141)</f>
        <v>0.28999999999999998</v>
      </c>
      <c r="AI141">
        <f>AVERAGEIFS($D$2:D141, $B$2:B141, B141)</f>
        <v>0</v>
      </c>
    </row>
    <row r="142" spans="1:35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f>AVERAGEIFS($C$2:C142, $B$2:B142, B142)</f>
        <v>11</v>
      </c>
      <c r="AG142">
        <f>AVERAGEIFS($I$2:I142, $B$2:B142, B142)</f>
        <v>0.42499999999999999</v>
      </c>
      <c r="AH142">
        <f>AVERAGEIFS($I$2:J142, $B$2:C142, C142)</f>
        <v>0.26999999999999996</v>
      </c>
      <c r="AI142">
        <f>AVERAGEIFS($D$2:D142, $B$2:B142, B142)</f>
        <v>0.5</v>
      </c>
    </row>
    <row r="143" spans="1:35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0</v>
      </c>
      <c r="W143">
        <v>0</v>
      </c>
      <c r="X143">
        <v>1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f>AVERAGEIFS($C$2:C143, $B$2:B143, B143)</f>
        <v>18.916666666666668</v>
      </c>
      <c r="AG143">
        <f>AVERAGEIFS($I$2:I143, $B$2:B143, B143)</f>
        <v>0.50666666666666671</v>
      </c>
      <c r="AH143">
        <f>AVERAGEIFS($I$2:J143, $B$2:C143, C143)</f>
        <v>0.58000000000000007</v>
      </c>
      <c r="AI143">
        <f>AVERAGEIFS($D$2:D143, $B$2:B143, B143)</f>
        <v>0.5</v>
      </c>
    </row>
    <row r="144" spans="1:35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1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f>AVERAGEIFS($C$2:C144, $B$2:B144, B144)</f>
        <v>20.8</v>
      </c>
      <c r="AG144">
        <f>AVERAGEIFS($I$2:I144, $B$2:B144, B144)</f>
        <v>0.65800000000000003</v>
      </c>
      <c r="AH144">
        <f>AVERAGEIFS($I$2:J144, $B$2:C144, C144)</f>
        <v>0.6166666666666667</v>
      </c>
      <c r="AI144">
        <f>AVERAGEIFS($D$2:D144, $B$2:B144, B144)</f>
        <v>0.7</v>
      </c>
    </row>
    <row r="145" spans="1:35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1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f>AVERAGEIFS($C$2:C145, $B$2:B145, B145)</f>
        <v>21</v>
      </c>
      <c r="AG145">
        <f>AVERAGEIFS($I$2:I145, $B$2:B145, B145)</f>
        <v>0.44</v>
      </c>
      <c r="AH145">
        <f>AVERAGEIFS($I$2:J145, $B$2:C145, C145)</f>
        <v>0.45499999999999996</v>
      </c>
      <c r="AI145">
        <f>AVERAGEIFS($D$2:D145, $B$2:B145, B145)</f>
        <v>0.42857142857142855</v>
      </c>
    </row>
    <row r="146" spans="1:35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0</v>
      </c>
      <c r="W146">
        <v>0</v>
      </c>
      <c r="X146">
        <v>1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f>AVERAGEIFS($C$2:C146, $B$2:B146, B146)</f>
        <v>11</v>
      </c>
      <c r="AG146">
        <f>AVERAGEIFS($I$2:I146, $B$2:B146, B146)</f>
        <v>0.75</v>
      </c>
      <c r="AH146">
        <f>AVERAGEIFS($I$2:J146, $B$2:C146, C146)</f>
        <v>0.51333333333333331</v>
      </c>
      <c r="AI146">
        <f>AVERAGEIFS($D$2:D146, $B$2:B146, B146)</f>
        <v>1</v>
      </c>
    </row>
    <row r="147" spans="1:35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1</v>
      </c>
      <c r="V147">
        <v>0</v>
      </c>
      <c r="W147">
        <v>0</v>
      </c>
      <c r="X147">
        <v>1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f>AVERAGEIFS($C$2:C147, $B$2:B147, B147)</f>
        <v>11.333333333333334</v>
      </c>
      <c r="AG147">
        <f>AVERAGEIFS($I$2:I147, $B$2:B147, B147)</f>
        <v>0.53333333333333333</v>
      </c>
      <c r="AH147">
        <f>AVERAGEIFS($I$2:J147, $B$2:C147, C147)</f>
        <v>0.52999999999999992</v>
      </c>
      <c r="AI147">
        <f>AVERAGEIFS($D$2:D147, $B$2:B147, B147)</f>
        <v>0.66666666666666663</v>
      </c>
    </row>
    <row r="148" spans="1:35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1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f>AVERAGEIFS($C$2:C148, $B$2:B148, B148)</f>
        <v>8</v>
      </c>
      <c r="AG148">
        <f>AVERAGEIFS($I$2:I148, $B$2:B148, B148)</f>
        <v>0.56800000000000006</v>
      </c>
      <c r="AH148">
        <f>AVERAGEIFS($I$2:J148, $B$2:C148, C148)</f>
        <v>0.34399999999999997</v>
      </c>
      <c r="AI148">
        <f>AVERAGEIFS($D$2:D148, $B$2:B148, B148)</f>
        <v>0.6</v>
      </c>
    </row>
    <row r="149" spans="1:35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f>AVERAGEIFS($C$2:C149, $B$2:B149, B149)</f>
        <v>24.384615384615383</v>
      </c>
      <c r="AG149">
        <f>AVERAGEIFS($I$2:I149, $B$2:B149, B149)</f>
        <v>0.5130769230769231</v>
      </c>
      <c r="AH149">
        <f>AVERAGEIFS($I$2:J149, $B$2:C149, C149)</f>
        <v>0.42</v>
      </c>
      <c r="AI149">
        <f>AVERAGEIFS($D$2:D149, $B$2:B149, B149)</f>
        <v>0.53846153846153844</v>
      </c>
    </row>
    <row r="150" spans="1:35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f>AVERAGEIFS($C$2:C150, $B$2:B150, B150)</f>
        <v>19.181818181818183</v>
      </c>
      <c r="AG150">
        <f>AVERAGEIFS($I$2:I150, $B$2:B150, B150)</f>
        <v>0.44272727272727275</v>
      </c>
      <c r="AH150">
        <f>AVERAGEIFS($I$2:J150, $B$2:C150, C150)</f>
        <v>0.47399999999999992</v>
      </c>
      <c r="AI150">
        <f>AVERAGEIFS($D$2:D150, $B$2:B150, B150)</f>
        <v>0.36363636363636365</v>
      </c>
    </row>
    <row r="151" spans="1:35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f>AVERAGEIFS($C$2:C151, $B$2:B151, B151)</f>
        <v>18.333333333333332</v>
      </c>
      <c r="AG151">
        <f>AVERAGEIFS($I$2:I151, $B$2:B151, B151)</f>
        <v>0.47777777777777775</v>
      </c>
      <c r="AH151">
        <f>AVERAGEIFS($I$2:J151, $B$2:C151, C151)</f>
        <v>0.44818181818181824</v>
      </c>
      <c r="AI151">
        <f>AVERAGEIFS($D$2:D151, $B$2:B151, B151)</f>
        <v>0.33333333333333331</v>
      </c>
    </row>
    <row r="152" spans="1:35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1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f>AVERAGEIFS($C$2:C152, $B$2:B152, B152)</f>
        <v>12.5</v>
      </c>
      <c r="AG152">
        <f>AVERAGEIFS($I$2:I152, $B$2:B152, B152)</f>
        <v>0.28749999999999998</v>
      </c>
      <c r="AH152">
        <f>AVERAGEIFS($I$2:J152, $B$2:C152, C152)</f>
        <v>0.51500000000000001</v>
      </c>
      <c r="AI152">
        <f>AVERAGEIFS($D$2:D152, $B$2:B152, B152)</f>
        <v>0</v>
      </c>
    </row>
    <row r="153" spans="1:35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f>AVERAGEIFS($C$2:C153, $B$2:B153, B153)</f>
        <v>15</v>
      </c>
      <c r="AG153">
        <f>AVERAGEIFS($I$2:I153, $B$2:B153, B153)</f>
        <v>0.40500000000000003</v>
      </c>
      <c r="AH153">
        <f>AVERAGEIFS($I$2:J153, $B$2:C153, C153)</f>
        <v>0.49800000000000005</v>
      </c>
      <c r="AI153">
        <f>AVERAGEIFS($D$2:D153, $B$2:B153, B153)</f>
        <v>0.33333333333333331</v>
      </c>
    </row>
    <row r="154" spans="1:35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f>AVERAGEIFS($C$2:C154, $B$2:B154, B154)</f>
        <v>8</v>
      </c>
      <c r="AG154">
        <f>AVERAGEIFS($I$2:I154, $B$2:B154, B154)</f>
        <v>0.3666666666666667</v>
      </c>
      <c r="AH154">
        <f>AVERAGEIFS($I$2:J154, $B$2:C154, C154)</f>
        <v>0.28333333333333333</v>
      </c>
      <c r="AI154">
        <f>AVERAGEIFS($D$2:D154, $B$2:B154, B154)</f>
        <v>0.33333333333333331</v>
      </c>
    </row>
    <row r="155" spans="1:35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1</v>
      </c>
      <c r="AB155">
        <v>1</v>
      </c>
      <c r="AC155">
        <v>0</v>
      </c>
      <c r="AD155">
        <v>0</v>
      </c>
      <c r="AE155">
        <v>0</v>
      </c>
      <c r="AF155">
        <f>AVERAGEIFS($C$2:C155, $B$2:B155, B155)</f>
        <v>21.625</v>
      </c>
      <c r="AG155">
        <f>AVERAGEIFS($I$2:I155, $B$2:B155, B155)</f>
        <v>0.51</v>
      </c>
      <c r="AH155">
        <f>AVERAGEIFS($I$2:J155, $B$2:C155, C155)</f>
        <v>0.56000000000000005</v>
      </c>
      <c r="AI155">
        <f>AVERAGEIFS($D$2:D155, $B$2:B155, B155)</f>
        <v>0.5</v>
      </c>
    </row>
    <row r="156" spans="1:35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1</v>
      </c>
      <c r="AB156">
        <v>1</v>
      </c>
      <c r="AC156">
        <v>0</v>
      </c>
      <c r="AD156">
        <v>0</v>
      </c>
      <c r="AE156">
        <v>0</v>
      </c>
      <c r="AF156">
        <f>AVERAGEIFS($C$2:C156, $B$2:B156, B156)</f>
        <v>19.23076923076923</v>
      </c>
      <c r="AG156">
        <f>AVERAGEIFS($I$2:I156, $B$2:B156, B156)</f>
        <v>0.54461538461538472</v>
      </c>
      <c r="AH156">
        <f>AVERAGEIFS($I$2:J156, $B$2:C156, C156)</f>
        <v>0.61428571428571421</v>
      </c>
      <c r="AI156">
        <f>AVERAGEIFS($D$2:D156, $B$2:B156, B156)</f>
        <v>0.53846153846153844</v>
      </c>
    </row>
    <row r="157" spans="1:35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1</v>
      </c>
      <c r="AB157">
        <v>1</v>
      </c>
      <c r="AC157">
        <v>0</v>
      </c>
      <c r="AD157">
        <v>0</v>
      </c>
      <c r="AE157">
        <v>0</v>
      </c>
      <c r="AF157">
        <f>AVERAGEIFS($C$2:C157, $B$2:B157, B157)</f>
        <v>20.818181818181817</v>
      </c>
      <c r="AG157">
        <f>AVERAGEIFS($I$2:I157, $B$2:B157, B157)</f>
        <v>0.68909090909090909</v>
      </c>
      <c r="AH157">
        <f>AVERAGEIFS($I$2:J157, $B$2:C157, C157)</f>
        <v>0.53200000000000003</v>
      </c>
      <c r="AI157">
        <f>AVERAGEIFS($D$2:D157, $B$2:B157, B157)</f>
        <v>0.72727272727272729</v>
      </c>
    </row>
    <row r="158" spans="1:35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1</v>
      </c>
      <c r="AB158">
        <v>1</v>
      </c>
      <c r="AC158">
        <v>0</v>
      </c>
      <c r="AD158">
        <v>0</v>
      </c>
      <c r="AE158">
        <v>0</v>
      </c>
      <c r="AF158">
        <f>AVERAGEIFS($C$2:C158, $B$2:B158, B158)</f>
        <v>18.833333333333332</v>
      </c>
      <c r="AG158">
        <f>AVERAGEIFS($I$2:I158, $B$2:B158, B158)</f>
        <v>0.48916666666666669</v>
      </c>
      <c r="AH158">
        <f>AVERAGEIFS($I$2:J158, $B$2:C158, C158)</f>
        <v>0.49399999999999994</v>
      </c>
      <c r="AI158">
        <f>AVERAGEIFS($D$2:D158, $B$2:B158, B158)</f>
        <v>0.41666666666666669</v>
      </c>
    </row>
    <row r="159" spans="1:35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1</v>
      </c>
      <c r="AB159">
        <v>1</v>
      </c>
      <c r="AC159">
        <v>0</v>
      </c>
      <c r="AD159">
        <v>0</v>
      </c>
      <c r="AE159">
        <v>0</v>
      </c>
      <c r="AF159">
        <f>AVERAGEIFS($C$2:C159, $B$2:B159, B159)</f>
        <v>15</v>
      </c>
      <c r="AG159">
        <f>AVERAGEIFS($I$2:I159, $B$2:B159, B159)</f>
        <v>0.49000000000000005</v>
      </c>
      <c r="AH159">
        <f>AVERAGEIFS($I$2:J159, $B$2:C159, C159)</f>
        <v>0.5116666666666666</v>
      </c>
      <c r="AI159">
        <f>AVERAGEIFS($D$2:D159, $B$2:B159, B159)</f>
        <v>0.42857142857142855</v>
      </c>
    </row>
    <row r="160" spans="1:35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1</v>
      </c>
      <c r="AB160">
        <v>1</v>
      </c>
      <c r="AC160">
        <v>0</v>
      </c>
      <c r="AD160">
        <v>0</v>
      </c>
      <c r="AE160">
        <v>0</v>
      </c>
      <c r="AF160">
        <f>AVERAGEIFS($C$2:C160, $B$2:B160, B160)</f>
        <v>8.1818181818181817</v>
      </c>
      <c r="AG160">
        <f>AVERAGEIFS($I$2:I160, $B$2:B160, B160)</f>
        <v>0.6072727272727273</v>
      </c>
      <c r="AH160">
        <f>AVERAGEIFS($I$2:J160, $B$2:C160, C160)</f>
        <v>0.54</v>
      </c>
      <c r="AI160">
        <f>AVERAGEIFS($D$2:D160, $B$2:B160, B160)</f>
        <v>0.63636363636363635</v>
      </c>
    </row>
    <row r="161" spans="1:35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f>AVERAGEIFS($C$2:C161, $B$2:B161, B161)</f>
        <v>11.5</v>
      </c>
      <c r="AG161">
        <f>AVERAGEIFS($I$2:I161, $B$2:B161, B161)</f>
        <v>0.27500000000000002</v>
      </c>
      <c r="AH161">
        <f>AVERAGEIFS($I$2:J161, $B$2:C161, C161)</f>
        <v>0.56857142857142862</v>
      </c>
      <c r="AI161">
        <f>AVERAGEIFS($D$2:D161, $B$2:B161, B161)</f>
        <v>0.25</v>
      </c>
    </row>
    <row r="162" spans="1:35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f>AVERAGEIFS($C$2:C162, $B$2:B162, B162)</f>
        <v>18.666666666666668</v>
      </c>
      <c r="AG162">
        <f>AVERAGEIFS($I$2:I162, $B$2:B162, B162)</f>
        <v>0.21666666666666667</v>
      </c>
      <c r="AH162">
        <f>AVERAGEIFS($I$2:J162, $B$2:C162, C162)</f>
        <v>0.44416666666666677</v>
      </c>
      <c r="AI162">
        <f>AVERAGEIFS($D$2:D162, $B$2:B162, B162)</f>
        <v>0</v>
      </c>
    </row>
    <row r="163" spans="1:35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f>AVERAGEIFS($C$2:C163, $B$2:B163, B163)</f>
        <v>12.5</v>
      </c>
      <c r="AG163">
        <f>AVERAGEIFS($I$2:I163, $B$2:B163, B163)</f>
        <v>0.4</v>
      </c>
      <c r="AH163">
        <f>AVERAGEIFS($I$2:J163, $B$2:C163, C163)</f>
        <v>0.52624999999999988</v>
      </c>
      <c r="AI163">
        <f>AVERAGEIFS($D$2:D163, $B$2:B163, B163)</f>
        <v>0.5</v>
      </c>
    </row>
    <row r="164" spans="1:35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f>AVERAGEIFS($C$2:C164, $B$2:B164, B164)</f>
        <v>24</v>
      </c>
      <c r="AG164">
        <f>AVERAGEIFS($I$2:I164, $B$2:B164, B164)</f>
        <v>0.33750000000000002</v>
      </c>
      <c r="AH164">
        <f>AVERAGEIFS($I$2:J164, $B$2:C164, C164)</f>
        <v>0.51222222222222213</v>
      </c>
      <c r="AI164">
        <f>AVERAGEIFS($D$2:D164, $B$2:B164, B164)</f>
        <v>0.5</v>
      </c>
    </row>
    <row r="165" spans="1:35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f>AVERAGEIFS($C$2:C165, $B$2:B165, B165)</f>
        <v>11.4</v>
      </c>
      <c r="AG165">
        <f>AVERAGEIFS($I$2:I165, $B$2:B165, B165)</f>
        <v>0.433</v>
      </c>
      <c r="AH165">
        <f>AVERAGEIFS($I$2:J165, $B$2:C165, C165)</f>
        <v>0.51624999999999999</v>
      </c>
      <c r="AI165">
        <f>AVERAGEIFS($D$2:D165, $B$2:B165, B165)</f>
        <v>0.4</v>
      </c>
    </row>
    <row r="166" spans="1:35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f>AVERAGEIFS($C$2:C166, $B$2:B166, B166)</f>
        <v>19.142857142857142</v>
      </c>
      <c r="AG166">
        <f>AVERAGEIFS($I$2:I166, $B$2:B166, B166)</f>
        <v>0.52142857142857146</v>
      </c>
      <c r="AH166">
        <f>AVERAGEIFS($I$2:J166, $B$2:C166, C166)</f>
        <v>0.50333333333333341</v>
      </c>
      <c r="AI166">
        <f>AVERAGEIFS($D$2:D166, $B$2:B166, B166)</f>
        <v>0.42857142857142855</v>
      </c>
    </row>
    <row r="167" spans="1:35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0</v>
      </c>
      <c r="X167">
        <v>0</v>
      </c>
      <c r="Y167">
        <v>1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f>AVERAGEIFS($C$2:C167, $B$2:B167, B167)</f>
        <v>24.6</v>
      </c>
      <c r="AG167">
        <f>AVERAGEIFS($I$2:I167, $B$2:B167, B167)</f>
        <v>0.39</v>
      </c>
      <c r="AH167">
        <f>AVERAGEIFS($I$2:J167, $B$2:C167, C167)</f>
        <v>0.47400000000000003</v>
      </c>
      <c r="AI167">
        <f>AVERAGEIFS($D$2:D167, $B$2:B167, B167)</f>
        <v>0.6</v>
      </c>
    </row>
    <row r="168" spans="1:35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0</v>
      </c>
      <c r="X168">
        <v>0</v>
      </c>
      <c r="Y168">
        <v>1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f>AVERAGEIFS($C$2:C168, $B$2:B168, B168)</f>
        <v>21.166666666666668</v>
      </c>
      <c r="AG168">
        <f>AVERAGEIFS($I$2:I168, $B$2:B168, B168)</f>
        <v>0.68166666666666664</v>
      </c>
      <c r="AH168">
        <f>AVERAGEIFS($I$2:J168, $B$2:C168, C168)</f>
        <v>0.49222222222222217</v>
      </c>
      <c r="AI168">
        <f>AVERAGEIFS($D$2:D168, $B$2:B168, B168)</f>
        <v>0.75</v>
      </c>
    </row>
    <row r="169" spans="1:35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0</v>
      </c>
      <c r="X169">
        <v>0</v>
      </c>
      <c r="Y169">
        <v>1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f>AVERAGEIFS($C$2:C169, $B$2:B169, B169)</f>
        <v>17.5</v>
      </c>
      <c r="AG169">
        <f>AVERAGEIFS($I$2:I169, $B$2:B169, B169)</f>
        <v>0.42125000000000001</v>
      </c>
      <c r="AH169">
        <f>AVERAGEIFS($I$2:J169, $B$2:C169, C169)</f>
        <v>0.52666666666666673</v>
      </c>
      <c r="AI169">
        <f>AVERAGEIFS($D$2:D169, $B$2:B169, B169)</f>
        <v>0.5</v>
      </c>
    </row>
    <row r="170" spans="1:35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1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f>AVERAGEIFS($C$2:C170, $B$2:B170, B170)</f>
        <v>19.285714285714285</v>
      </c>
      <c r="AG170">
        <f>AVERAGEIFS($I$2:I170, $B$2:B170, B170)</f>
        <v>0.5485714285714286</v>
      </c>
      <c r="AH170">
        <f>AVERAGEIFS($I$2:J170, $B$2:C170, C170)</f>
        <v>0.46399999999999997</v>
      </c>
      <c r="AI170">
        <f>AVERAGEIFS($D$2:D170, $B$2:B170, B170)</f>
        <v>0.5714285714285714</v>
      </c>
    </row>
    <row r="171" spans="1:35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0</v>
      </c>
      <c r="Y171">
        <v>1</v>
      </c>
      <c r="Z171">
        <v>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f>AVERAGEIFS($C$2:C171, $B$2:B171, B171)</f>
        <v>16</v>
      </c>
      <c r="AG171">
        <f>AVERAGEIFS($I$2:I171, $B$2:B171, B171)</f>
        <v>0.3</v>
      </c>
      <c r="AH171">
        <f>AVERAGEIFS($I$2:J171, $B$2:C171, C171)</f>
        <v>0.51</v>
      </c>
      <c r="AI171">
        <f>AVERAGEIFS($D$2:D171, $B$2:B171, B171)</f>
        <v>0.5</v>
      </c>
    </row>
    <row r="172" spans="1:35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  <c r="Y172">
        <v>1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f>AVERAGEIFS($C$2:C172, $B$2:B172, B172)</f>
        <v>12.6</v>
      </c>
      <c r="AG172">
        <f>AVERAGEIFS($I$2:I172, $B$2:B172, B172)</f>
        <v>0.44000000000000006</v>
      </c>
      <c r="AH172">
        <f>AVERAGEIFS($I$2:J172, $B$2:C172, C172)</f>
        <v>0.52499999999999991</v>
      </c>
      <c r="AI172">
        <f>AVERAGEIFS($D$2:D172, $B$2:B172, B172)</f>
        <v>0.6</v>
      </c>
    </row>
    <row r="173" spans="1:35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0</v>
      </c>
      <c r="AE173">
        <v>0</v>
      </c>
      <c r="AF173">
        <f>AVERAGEIFS($C$2:C173, $B$2:B173, B173)</f>
        <v>19.846153846153847</v>
      </c>
      <c r="AG173">
        <f>AVERAGEIFS($I$2:I173, $B$2:B173, B173)</f>
        <v>0.48230769230769233</v>
      </c>
      <c r="AH173">
        <f>AVERAGEIFS($I$2:J173, $B$2:C173, C173)</f>
        <v>0.4466666666666666</v>
      </c>
      <c r="AI173">
        <f>AVERAGEIFS($D$2:D173, $B$2:B173, B173)</f>
        <v>0.38461538461538464</v>
      </c>
    </row>
    <row r="174" spans="1:35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0</v>
      </c>
      <c r="AF174">
        <f>AVERAGEIFS($C$2:C174, $B$2:B174, B174)</f>
        <v>19.2</v>
      </c>
      <c r="AG174">
        <f>AVERAGEIFS($I$2:I174, $B$2:B174, B174)</f>
        <v>0.47000000000000003</v>
      </c>
      <c r="AH174">
        <f>AVERAGEIFS($I$2:J174, $B$2:C174, C174)</f>
        <v>0.47833333333333333</v>
      </c>
      <c r="AI174">
        <f>AVERAGEIFS($D$2:D174, $B$2:B174, B174)</f>
        <v>0.3</v>
      </c>
    </row>
    <row r="175" spans="1:35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0</v>
      </c>
      <c r="AF175">
        <f>AVERAGEIFS($C$2:C175, $B$2:B175, B175)</f>
        <v>22</v>
      </c>
      <c r="AG175">
        <f>AVERAGEIFS($I$2:I175, $B$2:B175, B175)</f>
        <v>0.49777777777777782</v>
      </c>
      <c r="AH175">
        <f>AVERAGEIFS($I$2:J175, $B$2:C175, C175)</f>
        <v>0.49299999999999999</v>
      </c>
      <c r="AI175">
        <f>AVERAGEIFS($D$2:D175, $B$2:B175, B175)</f>
        <v>0.44444444444444442</v>
      </c>
    </row>
    <row r="176" spans="1:35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0</v>
      </c>
      <c r="AF176">
        <f>AVERAGEIFS($C$2:C176, $B$2:B176, B176)</f>
        <v>12.8</v>
      </c>
      <c r="AG176">
        <f>AVERAGEIFS($I$2:I176, $B$2:B176, B176)</f>
        <v>0.3</v>
      </c>
      <c r="AH176">
        <f>AVERAGEIFS($I$2:J176, $B$2:C176, C176)</f>
        <v>0.47833333333333328</v>
      </c>
      <c r="AI176">
        <f>AVERAGEIFS($D$2:D176, $B$2:B176, B176)</f>
        <v>0.2</v>
      </c>
    </row>
    <row r="177" spans="1:35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0</v>
      </c>
      <c r="AF177">
        <f>AVERAGEIFS($C$2:C177, $B$2:B177, B177)</f>
        <v>9</v>
      </c>
      <c r="AG177">
        <f>AVERAGEIFS($I$2:I177, $B$2:B177, B177)</f>
        <v>0.4</v>
      </c>
      <c r="AH177">
        <f>AVERAGEIFS($I$2:J177, $B$2:C177, C177)</f>
        <v>0.38166666666666665</v>
      </c>
      <c r="AI177">
        <f>AVERAGEIFS($D$2:D177, $B$2:B177, B177)</f>
        <v>0</v>
      </c>
    </row>
    <row r="178" spans="1:35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0</v>
      </c>
      <c r="AF178">
        <f>AVERAGEIFS($C$2:C178, $B$2:B178, B178)</f>
        <v>10.909090909090908</v>
      </c>
      <c r="AG178">
        <f>AVERAGEIFS($I$2:I178, $B$2:B178, B178)</f>
        <v>0.43000000000000005</v>
      </c>
      <c r="AH178">
        <f>AVERAGEIFS($I$2:J178, $B$2:C178, C178)</f>
        <v>0.52399999999999991</v>
      </c>
      <c r="AI178">
        <f>AVERAGEIFS($D$2:D178, $B$2:B178, B178)</f>
        <v>0.36363636363636365</v>
      </c>
    </row>
    <row r="179" spans="1:35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1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1</v>
      </c>
      <c r="AB179">
        <v>1</v>
      </c>
      <c r="AC179">
        <v>0</v>
      </c>
      <c r="AD179">
        <v>0</v>
      </c>
      <c r="AE179">
        <v>0</v>
      </c>
      <c r="AF179">
        <f>AVERAGEIFS($C$2:C179, $B$2:B179, B179)</f>
        <v>23.2</v>
      </c>
      <c r="AG179">
        <f>AVERAGEIFS($I$2:I179, $B$2:B179, B179)</f>
        <v>0.50800000000000001</v>
      </c>
      <c r="AH179">
        <f>AVERAGEIFS($I$2:J179, $B$2:C179, C179)</f>
        <v>0.47</v>
      </c>
      <c r="AI179">
        <f>AVERAGEIFS($D$2:D179, $B$2:B179, B179)</f>
        <v>0.5</v>
      </c>
    </row>
    <row r="180" spans="1:35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  <c r="AB180">
        <v>1</v>
      </c>
      <c r="AC180">
        <v>0</v>
      </c>
      <c r="AD180">
        <v>0</v>
      </c>
      <c r="AE180">
        <v>0</v>
      </c>
      <c r="AF180">
        <f>AVERAGEIFS($C$2:C180, $B$2:B180, B180)</f>
        <v>18.333333333333332</v>
      </c>
      <c r="AG180">
        <f>AVERAGEIFS($I$2:I180, $B$2:B180, B180)</f>
        <v>0.44111111111111112</v>
      </c>
      <c r="AH180">
        <f>AVERAGEIFS($I$2:J180, $B$2:C180, C180)</f>
        <v>0.49090909090909085</v>
      </c>
      <c r="AI180">
        <f>AVERAGEIFS($D$2:D180, $B$2:B180, B180)</f>
        <v>0.55555555555555558</v>
      </c>
    </row>
    <row r="181" spans="1:35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1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1</v>
      </c>
      <c r="AB181">
        <v>1</v>
      </c>
      <c r="AC181">
        <v>0</v>
      </c>
      <c r="AD181">
        <v>0</v>
      </c>
      <c r="AE181">
        <v>0</v>
      </c>
      <c r="AF181">
        <f>AVERAGEIFS($C$2:C181, $B$2:B181, B181)</f>
        <v>13.6</v>
      </c>
      <c r="AG181">
        <f>AVERAGEIFS($I$2:I181, $B$2:B181, B181)</f>
        <v>0.35</v>
      </c>
      <c r="AH181">
        <f>AVERAGEIFS($I$2:J181, $B$2:C181, C181)</f>
        <v>0.47714285714285715</v>
      </c>
      <c r="AI181">
        <f>AVERAGEIFS($D$2:D181, $B$2:B181, B181)</f>
        <v>0.2</v>
      </c>
    </row>
    <row r="182" spans="1:35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</v>
      </c>
      <c r="AB182">
        <v>1</v>
      </c>
      <c r="AC182">
        <v>0</v>
      </c>
      <c r="AD182">
        <v>0</v>
      </c>
      <c r="AE182">
        <v>0</v>
      </c>
      <c r="AF182">
        <f>AVERAGEIFS($C$2:C182, $B$2:B182, B182)</f>
        <v>14.666666666666666</v>
      </c>
      <c r="AG182">
        <f>AVERAGEIFS($I$2:I182, $B$2:B182, B182)</f>
        <v>0.46666666666666662</v>
      </c>
      <c r="AH182">
        <f>AVERAGEIFS($I$2:J182, $B$2:C182, C182)</f>
        <v>0.505</v>
      </c>
      <c r="AI182">
        <f>AVERAGEIFS($D$2:D182, $B$2:B182, B182)</f>
        <v>0.33333333333333331</v>
      </c>
    </row>
    <row r="183" spans="1:35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</v>
      </c>
      <c r="AB183">
        <v>1</v>
      </c>
      <c r="AC183">
        <v>0</v>
      </c>
      <c r="AD183">
        <v>0</v>
      </c>
      <c r="AE183">
        <v>0</v>
      </c>
      <c r="AF183">
        <f>AVERAGEIFS($C$2:C183, $B$2:B183, B183)</f>
        <v>12</v>
      </c>
      <c r="AG183">
        <f>AVERAGEIFS($I$2:I183, $B$2:B183, B183)</f>
        <v>0.6</v>
      </c>
      <c r="AH183">
        <f>AVERAGEIFS($I$2:J183, $B$2:C183, C183)</f>
        <v>0.49545454545454548</v>
      </c>
      <c r="AI183">
        <f>AVERAGEIFS($D$2:D183, $B$2:B183, B183)</f>
        <v>1</v>
      </c>
    </row>
    <row r="184" spans="1:35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1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</v>
      </c>
      <c r="AB184">
        <v>1</v>
      </c>
      <c r="AC184">
        <v>0</v>
      </c>
      <c r="AD184">
        <v>0</v>
      </c>
      <c r="AE184">
        <v>0</v>
      </c>
      <c r="AF184">
        <f>AVERAGEIFS($C$2:C184, $B$2:B184, B184)</f>
        <v>8.0833333333333339</v>
      </c>
      <c r="AG184">
        <f>AVERAGEIFS($I$2:I184, $B$2:B184, B184)</f>
        <v>0.60666666666666669</v>
      </c>
      <c r="AH184">
        <f>AVERAGEIFS($I$2:J184, $B$2:C184, C184)</f>
        <v>0.53000000000000014</v>
      </c>
      <c r="AI184">
        <f>AVERAGEIFS($D$2:D184, $B$2:B184, B184)</f>
        <v>0.66666666666666663</v>
      </c>
    </row>
    <row r="185" spans="1:35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f>AVERAGEIFS($C$2:C185, $B$2:B185, B185)</f>
        <v>21.46153846153846</v>
      </c>
      <c r="AG185">
        <f>AVERAGEIFS($I$2:I185, $B$2:B185, B185)</f>
        <v>0.66</v>
      </c>
      <c r="AH185">
        <f>AVERAGEIFS($I$2:J185, $B$2:C185, C185)</f>
        <v>0.49416666666666664</v>
      </c>
      <c r="AI185">
        <f>AVERAGEIFS($D$2:D185, $B$2:B185, B185)</f>
        <v>0.69230769230769229</v>
      </c>
    </row>
    <row r="186" spans="1:35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f>AVERAGEIFS($C$2:C186, $B$2:B186, B186)</f>
        <v>20.142857142857142</v>
      </c>
      <c r="AG186">
        <f>AVERAGEIFS($I$2:I186, $B$2:B186, B186)</f>
        <v>0.47642857142857148</v>
      </c>
      <c r="AH186">
        <f>AVERAGEIFS($I$2:J186, $B$2:C186, C186)</f>
        <v>0.59142857142857153</v>
      </c>
      <c r="AI186">
        <f>AVERAGEIFS($D$2:D186, $B$2:B186, B186)</f>
        <v>0.35714285714285715</v>
      </c>
    </row>
    <row r="187" spans="1:35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f>AVERAGEIFS($C$2:C187, $B$2:B187, B187)</f>
        <v>14.5</v>
      </c>
      <c r="AG187">
        <f>AVERAGEIFS($I$2:I187, $B$2:B187, B187)</f>
        <v>0.31666666666666665</v>
      </c>
      <c r="AH187">
        <f>AVERAGEIFS($I$2:J187, $B$2:C187, C187)</f>
        <v>0.60375000000000001</v>
      </c>
      <c r="AI187">
        <f>AVERAGEIFS($D$2:D187, $B$2:B187, B187)</f>
        <v>0.16666666666666666</v>
      </c>
    </row>
    <row r="188" spans="1:35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f>AVERAGEIFS($C$2:C188, $B$2:B188, B188)</f>
        <v>15.333333333333334</v>
      </c>
      <c r="AG188">
        <f>AVERAGEIFS($I$2:I188, $B$2:B188, B188)</f>
        <v>0.33333333333333331</v>
      </c>
      <c r="AH188">
        <f>AVERAGEIFS($I$2:J188, $B$2:C188, C188)</f>
        <v>0.51714285714285713</v>
      </c>
      <c r="AI188">
        <f>AVERAGEIFS($D$2:D188, $B$2:B188, B188)</f>
        <v>0.33333333333333331</v>
      </c>
    </row>
    <row r="189" spans="1:35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f>AVERAGEIFS($C$2:C189, $B$2:B189, B189)</f>
        <v>14</v>
      </c>
      <c r="AG189">
        <f>AVERAGEIFS($I$2:I189, $B$2:B189, B189)</f>
        <v>0.63749999999999996</v>
      </c>
      <c r="AH189">
        <f>AVERAGEIFS($I$2:J189, $B$2:C189, C189)</f>
        <v>0.51400000000000001</v>
      </c>
      <c r="AI189">
        <f>AVERAGEIFS($D$2:D189, $B$2:B189, B189)</f>
        <v>0.5</v>
      </c>
    </row>
    <row r="190" spans="1:35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f>AVERAGEIFS($C$2:C190, $B$2:B190, B190)</f>
        <v>10.583333333333334</v>
      </c>
      <c r="AG190">
        <f>AVERAGEIFS($I$2:I190, $B$2:B190, B190)</f>
        <v>0.42750000000000005</v>
      </c>
      <c r="AH190">
        <f>AVERAGEIFS($I$2:J190, $B$2:C190, C190)</f>
        <v>0.53000000000000014</v>
      </c>
      <c r="AI190">
        <f>AVERAGEIFS($D$2:D190, $B$2:B190, B190)</f>
        <v>0.33333333333333331</v>
      </c>
    </row>
    <row r="191" spans="1:35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f>AVERAGEIFS($C$2:C191, $B$2:B191, B191)</f>
        <v>20.066666666666666</v>
      </c>
      <c r="AG191">
        <f>AVERAGEIFS($I$2:I191, $B$2:B191, B191)</f>
        <v>0.55200000000000005</v>
      </c>
      <c r="AH191">
        <f>AVERAGEIFS($I$2:J191, $B$2:C191, C191)</f>
        <v>0.55000000000000004</v>
      </c>
      <c r="AI191">
        <f>AVERAGEIFS($D$2:D191, $B$2:B191, B191)</f>
        <v>0.6</v>
      </c>
    </row>
    <row r="192" spans="1:35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f>AVERAGEIFS($C$2:C192, $B$2:B192, B192)</f>
        <v>22.142857142857142</v>
      </c>
      <c r="AG192">
        <f>AVERAGEIFS($I$2:I192, $B$2:B192, B192)</f>
        <v>0.65571428571428569</v>
      </c>
      <c r="AH192">
        <f>AVERAGEIFS($I$2:J192, $B$2:C192, C192)</f>
        <v>0.55666666666666664</v>
      </c>
      <c r="AI192">
        <f>AVERAGEIFS($D$2:D192, $B$2:B192, B192)</f>
        <v>0.7142857142857143</v>
      </c>
    </row>
    <row r="193" spans="1:35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1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f>AVERAGEIFS($C$2:C193, $B$2:B193, B193)</f>
        <v>15.714285714285714</v>
      </c>
      <c r="AG193">
        <f>AVERAGEIFS($I$2:I193, $B$2:B193, B193)</f>
        <v>0.35714285714285715</v>
      </c>
      <c r="AH193">
        <f>AVERAGEIFS($I$2:J193, $B$2:C193, C193)</f>
        <v>0.60000000000000009</v>
      </c>
      <c r="AI193">
        <f>AVERAGEIFS($D$2:D193, $B$2:B193, B193)</f>
        <v>0.2857142857142857</v>
      </c>
    </row>
    <row r="194" spans="1:35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f>AVERAGEIFS($C$2:C194, $B$2:B194, B194)</f>
        <v>26.166666666666668</v>
      </c>
      <c r="AG194">
        <f>AVERAGEIFS($I$2:I194, $B$2:B194, B194)</f>
        <v>0.42500000000000004</v>
      </c>
      <c r="AH194">
        <f>AVERAGEIFS($I$2:J194, $B$2:C194, C194)</f>
        <v>0.52</v>
      </c>
      <c r="AI194">
        <f>AVERAGEIFS($D$2:D194, $B$2:B194, B194)</f>
        <v>0.66666666666666663</v>
      </c>
    </row>
    <row r="195" spans="1:35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f>AVERAGEIFS($C$2:C195, $B$2:B195, B195)</f>
        <v>11.307692307692308</v>
      </c>
      <c r="AG195">
        <f>AVERAGEIFS($I$2:I195, $B$2:B195, B195)</f>
        <v>0.4407692307692308</v>
      </c>
      <c r="AH195">
        <f>AVERAGEIFS($I$2:J195, $B$2:C195, C195)</f>
        <v>0.48166666666666663</v>
      </c>
      <c r="AI195">
        <f>AVERAGEIFS($D$2:D195, $B$2:B195, B195)</f>
        <v>0.38461538461538464</v>
      </c>
    </row>
    <row r="196" spans="1:35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f>AVERAGEIFS($C$2:C196, $B$2:B196, B196)</f>
        <v>15.666666666666666</v>
      </c>
      <c r="AG196">
        <f>AVERAGEIFS($I$2:I196, $B$2:B196, B196)</f>
        <v>0.46666666666666673</v>
      </c>
      <c r="AH196">
        <f>AVERAGEIFS($I$2:J196, $B$2:C196, C196)</f>
        <v>0.55999999999999994</v>
      </c>
      <c r="AI196">
        <f>AVERAGEIFS($D$2:D196, $B$2:B196, B196)</f>
        <v>0.66666666666666663</v>
      </c>
    </row>
    <row r="197" spans="1:35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1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f>AVERAGEIFS($C$2:C197, $B$2:B197, B197)</f>
        <v>9</v>
      </c>
      <c r="AG197">
        <f>AVERAGEIFS($I$2:I197, $B$2:B197, B197)</f>
        <v>0.6</v>
      </c>
      <c r="AH197">
        <f>AVERAGEIFS($I$2:J197, $B$2:C197, C197)</f>
        <v>0.40857142857142853</v>
      </c>
      <c r="AI197">
        <f>AVERAGEIFS($D$2:D197, $B$2:B197, B197)</f>
        <v>1</v>
      </c>
    </row>
    <row r="198" spans="1:35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f>AVERAGEIFS($C$2:C198, $B$2:B198, B198)</f>
        <v>2.6666666666666665</v>
      </c>
      <c r="AG198">
        <f>AVERAGEIFS($I$2:I198, $B$2:B198, B198)</f>
        <v>0.3833333333333333</v>
      </c>
      <c r="AH198">
        <f>AVERAGEIFS($I$2:J198, $B$2:C198, C198)</f>
        <v>0.51857142857142857</v>
      </c>
      <c r="AI198">
        <f>AVERAGEIFS($D$2:D198, $B$2:B198, B198)</f>
        <v>0.33333333333333331</v>
      </c>
    </row>
    <row r="199" spans="1:35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f>AVERAGEIFS($C$2:C199, $B$2:B199, B199)</f>
        <v>24.785714285714285</v>
      </c>
      <c r="AG199">
        <f>AVERAGEIFS($I$2:I199, $B$2:B199, B199)</f>
        <v>0.505</v>
      </c>
      <c r="AH199">
        <f>AVERAGEIFS($I$2:J199, $B$2:C199, C199)</f>
        <v>0.45499999999999996</v>
      </c>
      <c r="AI199">
        <f>AVERAGEIFS($D$2:D199, $B$2:B199, B199)</f>
        <v>0.5</v>
      </c>
    </row>
    <row r="200" spans="1:35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f>AVERAGEIFS($C$2:C200, $B$2:B200, B200)</f>
        <v>24.272727272727273</v>
      </c>
      <c r="AG200">
        <f>AVERAGEIFS($I$2:I200, $B$2:B200, B200)</f>
        <v>0.49818181818181823</v>
      </c>
      <c r="AH200">
        <f>AVERAGEIFS($I$2:J200, $B$2:C200, C200)</f>
        <v>0.53500000000000003</v>
      </c>
      <c r="AI200">
        <f>AVERAGEIFS($D$2:D200, $B$2:B200, B200)</f>
        <v>0.45454545454545453</v>
      </c>
    </row>
    <row r="201" spans="1:35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f>AVERAGEIFS($C$2:C201, $B$2:B201, B201)</f>
        <v>22</v>
      </c>
      <c r="AG201">
        <f>AVERAGEIFS($I$2:I201, $B$2:B201, B201)</f>
        <v>0.26250000000000001</v>
      </c>
      <c r="AH201">
        <f>AVERAGEIFS($I$2:J201, $B$2:C201, C201)</f>
        <v>0.44249999999999995</v>
      </c>
      <c r="AI201">
        <f>AVERAGEIFS($D$2:D201, $B$2:B201, B201)</f>
        <v>0</v>
      </c>
    </row>
    <row r="202" spans="1:35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f>AVERAGEIFS($C$2:C202, $B$2:B202, B202)</f>
        <v>13.6</v>
      </c>
      <c r="AG202">
        <f>AVERAGEIFS($I$2:I202, $B$2:B202, B202)</f>
        <v>0.59</v>
      </c>
      <c r="AH202">
        <f>AVERAGEIFS($I$2:J202, $B$2:C202, C202)</f>
        <v>0.49</v>
      </c>
      <c r="AI202">
        <f>AVERAGEIFS($D$2:D202, $B$2:B202, B202)</f>
        <v>0.4</v>
      </c>
    </row>
    <row r="203" spans="1:35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f>AVERAGEIFS($C$2:C203, $B$2:B203, B203)</f>
        <v>15.375</v>
      </c>
      <c r="AG203">
        <f>AVERAGEIFS($I$2:I203, $B$2:B203, B203)</f>
        <v>0.47875000000000001</v>
      </c>
      <c r="AH203">
        <f>AVERAGEIFS($I$2:J203, $B$2:C203, C203)</f>
        <v>0.47125</v>
      </c>
      <c r="AI203">
        <f>AVERAGEIFS($D$2:D203, $B$2:B203, B203)</f>
        <v>0.375</v>
      </c>
    </row>
    <row r="204" spans="1:35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f>AVERAGEIFS($C$2:C204, $B$2:B204, B204)</f>
        <v>18</v>
      </c>
      <c r="AG204">
        <f>AVERAGEIFS($I$2:I204, $B$2:B204, B204)</f>
        <v>0.4</v>
      </c>
      <c r="AH204">
        <f>AVERAGEIFS($I$2:J204, $B$2:C204, C204)</f>
        <v>0.46666666666666667</v>
      </c>
      <c r="AI204">
        <f>AVERAGEIFS($D$2:D204, $B$2:B204, B204)</f>
        <v>0</v>
      </c>
    </row>
    <row r="205" spans="1:35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>
        <f>AVERAGEIFS($C$2:C205, $B$2:B205, B205)</f>
        <v>14.857142857142858</v>
      </c>
      <c r="AG205">
        <f>AVERAGEIFS($I$2:I205, $B$2:B205, B205)</f>
        <v>0.50714285714285723</v>
      </c>
      <c r="AH205">
        <f>AVERAGEIFS($I$2:J205, $B$2:C205, C205)</f>
        <v>0.55166666666666664</v>
      </c>
      <c r="AI205">
        <f>AVERAGEIFS($D$2:D205, $B$2:B205, B205)</f>
        <v>0.7142857142857143</v>
      </c>
    </row>
    <row r="206" spans="1:35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f>AVERAGEIFS($C$2:C206, $B$2:B206, B206)</f>
        <v>24.533333333333335</v>
      </c>
      <c r="AG206">
        <f>AVERAGEIFS($I$2:I206, $B$2:B206, B206)</f>
        <v>0.52133333333333332</v>
      </c>
      <c r="AH206">
        <f>AVERAGEIFS($I$2:J206, $B$2:C206, C206)</f>
        <v>0.53857142857142859</v>
      </c>
      <c r="AI206">
        <f>AVERAGEIFS($D$2:D206, $B$2:B206, B206)</f>
        <v>0.53333333333333333</v>
      </c>
    </row>
    <row r="207" spans="1:35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1</v>
      </c>
      <c r="AF207">
        <f>AVERAGEIFS($C$2:C207, $B$2:B207, B207)</f>
        <v>22.066666666666666</v>
      </c>
      <c r="AG207">
        <f>AVERAGEIFS($I$2:I207, $B$2:B207, B207)</f>
        <v>0.66200000000000003</v>
      </c>
      <c r="AH207">
        <f>AVERAGEIFS($I$2:J207, $B$2:C207, C207)</f>
        <v>0.54749999999999999</v>
      </c>
      <c r="AI207">
        <f>AVERAGEIFS($D$2:D207, $B$2:B207, B207)</f>
        <v>0.73333333333333328</v>
      </c>
    </row>
    <row r="208" spans="1:35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</v>
      </c>
      <c r="AF208">
        <f>AVERAGEIFS($C$2:C208, $B$2:B208, B208)</f>
        <v>13.5</v>
      </c>
      <c r="AG208">
        <f>AVERAGEIFS($I$2:I208, $B$2:B208, B208)</f>
        <v>0.61666666666666659</v>
      </c>
      <c r="AH208">
        <f>AVERAGEIFS($I$2:J208, $B$2:C208, C208)</f>
        <v>0.53444444444444439</v>
      </c>
      <c r="AI208">
        <f>AVERAGEIFS($D$2:D208, $B$2:B208, B208)</f>
        <v>0.5</v>
      </c>
    </row>
    <row r="209" spans="1:35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f>AVERAGEIFS($C$2:C209, $B$2:B209, B209)</f>
        <v>12.5</v>
      </c>
      <c r="AG209">
        <f>AVERAGEIFS($I$2:I209, $B$2:B209, B209)</f>
        <v>0.67500000000000004</v>
      </c>
      <c r="AH209">
        <f>AVERAGEIFS($I$2:J209, $B$2:C209, C209)</f>
        <v>0.52272727272727271</v>
      </c>
      <c r="AI209">
        <f>AVERAGEIFS($D$2:D209, $B$2:B209, B209)</f>
        <v>1</v>
      </c>
    </row>
    <row r="210" spans="1:35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f>AVERAGEIFS($C$2:C210, $B$2:B210, B210)</f>
        <v>16</v>
      </c>
      <c r="AG210">
        <f>AVERAGEIFS($I$2:I210, $B$2:B210, B210)</f>
        <v>0.34375</v>
      </c>
      <c r="AH210">
        <f>AVERAGEIFS($I$2:J210, $B$2:C210, C210)</f>
        <v>0.45899999999999996</v>
      </c>
      <c r="AI210">
        <f>AVERAGEIFS($D$2:D210, $B$2:B210, B210)</f>
        <v>0.25</v>
      </c>
    </row>
    <row r="211" spans="1:35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f>AVERAGEIFS($C$2:C211, $B$2:B211, B211)</f>
        <v>24.083333333333332</v>
      </c>
      <c r="AG211">
        <f>AVERAGEIFS($I$2:I211, $B$2:B211, B211)</f>
        <v>0.47750000000000004</v>
      </c>
      <c r="AH211">
        <f>AVERAGEIFS($I$2:J211, $B$2:C211, C211)</f>
        <v>0.54625000000000001</v>
      </c>
      <c r="AI211">
        <f>AVERAGEIFS($D$2:D211, $B$2:B211, B211)</f>
        <v>0.41666666666666669</v>
      </c>
    </row>
    <row r="212" spans="1:35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f>AVERAGEIFS($C$2:C212, $B$2:B212, B212)</f>
        <v>20.1875</v>
      </c>
      <c r="AG212">
        <f>AVERAGEIFS($I$2:I212, $B$2:B212, B212)</f>
        <v>0.53312500000000007</v>
      </c>
      <c r="AH212">
        <f>AVERAGEIFS($I$2:J212, $B$2:C212, C212)</f>
        <v>0.52888888888888885</v>
      </c>
      <c r="AI212">
        <f>AVERAGEIFS($D$2:D212, $B$2:B212, B212)</f>
        <v>0.5625</v>
      </c>
    </row>
    <row r="213" spans="1:35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f>AVERAGEIFS($C$2:C213, $B$2:B213, B213)</f>
        <v>16.8</v>
      </c>
      <c r="AG213">
        <f>AVERAGEIFS($I$2:I213, $B$2:B213, B213)</f>
        <v>0.44000000000000006</v>
      </c>
      <c r="AH213">
        <f>AVERAGEIFS($I$2:J213, $B$2:C213, C213)</f>
        <v>0.4527272727272727</v>
      </c>
      <c r="AI213">
        <f>AVERAGEIFS($D$2:D213, $B$2:B213, B213)</f>
        <v>0.6</v>
      </c>
    </row>
    <row r="214" spans="1:35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f>AVERAGEIFS($C$2:C214, $B$2:B214, B214)</f>
        <v>8</v>
      </c>
      <c r="AG214">
        <f>AVERAGEIFS($I$2:I214, $B$2:B214, B214)</f>
        <v>0.58333333333333337</v>
      </c>
      <c r="AH214">
        <f>AVERAGEIFS($I$2:J214, $B$2:C214, C214)</f>
        <v>0.31</v>
      </c>
      <c r="AI214">
        <f>AVERAGEIFS($D$2:D214, $B$2:B214, B214)</f>
        <v>0.66666666666666663</v>
      </c>
    </row>
    <row r="215" spans="1:35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1</v>
      </c>
      <c r="AB215">
        <v>0</v>
      </c>
      <c r="AC215">
        <v>1</v>
      </c>
      <c r="AD215">
        <v>0</v>
      </c>
      <c r="AE215">
        <v>0</v>
      </c>
      <c r="AF215">
        <f>AVERAGEIFS($C$2:C215, $B$2:B215, B215)</f>
        <v>20.733333333333334</v>
      </c>
      <c r="AG215">
        <f>AVERAGEIFS($I$2:I215, $B$2:B215, B215)</f>
        <v>0.48466666666666669</v>
      </c>
      <c r="AH215">
        <f>AVERAGEIFS($I$2:J215, $B$2:C215, C215)</f>
        <v>0.56000000000000005</v>
      </c>
      <c r="AI215">
        <f>AVERAGEIFS($D$2:D215, $B$2:B215, B215)</f>
        <v>0.4</v>
      </c>
    </row>
    <row r="216" spans="1:35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>
        <v>1</v>
      </c>
      <c r="AD216">
        <v>0</v>
      </c>
      <c r="AE216">
        <v>0</v>
      </c>
      <c r="AF216">
        <f>AVERAGEIFS($C$2:C216, $B$2:B216, B216)</f>
        <v>23</v>
      </c>
      <c r="AG216">
        <f>AVERAGEIFS($I$2:I216, $B$2:B216, B216)</f>
        <v>0.5</v>
      </c>
      <c r="AH216">
        <f>AVERAGEIFS($I$2:J216, $B$2:C216, C216)</f>
        <v>0.42500000000000004</v>
      </c>
      <c r="AI216">
        <f>AVERAGEIFS($D$2:D216, $B$2:B216, B216)</f>
        <v>0.5</v>
      </c>
    </row>
    <row r="217" spans="1:35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1</v>
      </c>
      <c r="AB217">
        <v>0</v>
      </c>
      <c r="AC217">
        <v>1</v>
      </c>
      <c r="AD217">
        <v>0</v>
      </c>
      <c r="AE217">
        <v>0</v>
      </c>
      <c r="AF217">
        <f>AVERAGEIFS($C$2:C217, $B$2:B217, B217)</f>
        <v>24.5625</v>
      </c>
      <c r="AG217">
        <f>AVERAGEIFS($I$2:I217, $B$2:B217, B217)</f>
        <v>0.52625</v>
      </c>
      <c r="AH217">
        <f>AVERAGEIFS($I$2:J217, $B$2:C217, C217)</f>
        <v>0.49615384615384611</v>
      </c>
      <c r="AI217">
        <f>AVERAGEIFS($D$2:D217, $B$2:B217, B217)</f>
        <v>0.5625</v>
      </c>
    </row>
    <row r="218" spans="1:35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1</v>
      </c>
      <c r="AB218">
        <v>0</v>
      </c>
      <c r="AC218">
        <v>1</v>
      </c>
      <c r="AD218">
        <v>0</v>
      </c>
      <c r="AE218">
        <v>0</v>
      </c>
      <c r="AF218">
        <f>AVERAGEIFS($C$2:C218, $B$2:B218, B218)</f>
        <v>22.1875</v>
      </c>
      <c r="AG218">
        <f>AVERAGEIFS($I$2:I218, $B$2:B218, B218)</f>
        <v>0.65812499999999996</v>
      </c>
      <c r="AH218">
        <f>AVERAGEIFS($I$2:J218, $B$2:C218, C218)</f>
        <v>0.58250000000000002</v>
      </c>
      <c r="AI218">
        <f>AVERAGEIFS($D$2:D218, $B$2:B218, B218)</f>
        <v>0.75</v>
      </c>
    </row>
    <row r="219" spans="1:35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1</v>
      </c>
      <c r="AB219">
        <v>0</v>
      </c>
      <c r="AC219">
        <v>1</v>
      </c>
      <c r="AD219">
        <v>0</v>
      </c>
      <c r="AE219">
        <v>0</v>
      </c>
      <c r="AF219">
        <f>AVERAGEIFS($C$2:C219, $B$2:B219, B219)</f>
        <v>20.294117647058822</v>
      </c>
      <c r="AG219">
        <f>AVERAGEIFS($I$2:I219, $B$2:B219, B219)</f>
        <v>0.53705882352941181</v>
      </c>
      <c r="AH219">
        <f>AVERAGEIFS($I$2:J219, $B$2:C219, C219)</f>
        <v>0.52799999999999991</v>
      </c>
      <c r="AI219">
        <f>AVERAGEIFS($D$2:D219, $B$2:B219, B219)</f>
        <v>0.58823529411764708</v>
      </c>
    </row>
    <row r="220" spans="1:35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</v>
      </c>
      <c r="AB220">
        <v>0</v>
      </c>
      <c r="AC220">
        <v>1</v>
      </c>
      <c r="AD220">
        <v>0</v>
      </c>
      <c r="AE220">
        <v>0</v>
      </c>
      <c r="AF220">
        <f>AVERAGEIFS($C$2:C220, $B$2:B220, B220)</f>
        <v>16.111111111111111</v>
      </c>
      <c r="AG220">
        <f>AVERAGEIFS($I$2:I220, $B$2:B220, B220)</f>
        <v>0.49222222222222217</v>
      </c>
      <c r="AH220">
        <f>AVERAGEIFS($I$2:J220, $B$2:C220, C220)</f>
        <v>0.52727272727272723</v>
      </c>
      <c r="AI220">
        <f>AVERAGEIFS($D$2:D220, $B$2:B220, B220)</f>
        <v>0.44444444444444442</v>
      </c>
    </row>
    <row r="221" spans="1:35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1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</v>
      </c>
      <c r="AB221">
        <v>0</v>
      </c>
      <c r="AC221">
        <v>1</v>
      </c>
      <c r="AD221">
        <v>0</v>
      </c>
      <c r="AE221">
        <v>0</v>
      </c>
      <c r="AF221">
        <f>AVERAGEIFS($C$2:C221, $B$2:B221, B221)</f>
        <v>16.222222222222221</v>
      </c>
      <c r="AG221">
        <f>AVERAGEIFS($I$2:I221, $B$2:B221, B221)</f>
        <v>0.37222222222222223</v>
      </c>
      <c r="AH221">
        <f>AVERAGEIFS($I$2:J221, $B$2:C221, C221)</f>
        <v>0.45833333333333331</v>
      </c>
      <c r="AI221">
        <f>AVERAGEIFS($D$2:D221, $B$2:B221, B221)</f>
        <v>0.33333333333333331</v>
      </c>
    </row>
    <row r="222" spans="1:35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1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</v>
      </c>
      <c r="AB222">
        <v>0</v>
      </c>
      <c r="AC222">
        <v>1</v>
      </c>
      <c r="AD222">
        <v>0</v>
      </c>
      <c r="AE222">
        <v>0</v>
      </c>
      <c r="AF222">
        <f>AVERAGEIFS($C$2:C222, $B$2:B222, B222)</f>
        <v>3</v>
      </c>
      <c r="AG222">
        <f>AVERAGEIFS($I$2:I222, $B$2:B222, B222)</f>
        <v>0.4375</v>
      </c>
      <c r="AH222">
        <f>AVERAGEIFS($I$2:J222, $B$2:C222, C222)</f>
        <v>0.52</v>
      </c>
      <c r="AI222">
        <f>AVERAGEIFS($D$2:D222, $B$2:B222, B222)</f>
        <v>0.5</v>
      </c>
    </row>
    <row r="223" spans="1:35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  <c r="AB223">
        <v>1</v>
      </c>
      <c r="AC223">
        <v>0</v>
      </c>
      <c r="AD223">
        <v>0</v>
      </c>
      <c r="AE223">
        <v>0</v>
      </c>
      <c r="AF223">
        <f>AVERAGEIFS($C$2:C223, $B$2:B223, B223)</f>
        <v>25.8</v>
      </c>
      <c r="AG223">
        <f>AVERAGEIFS($I$2:I223, $B$2:B223, B223)</f>
        <v>0.29000000000000004</v>
      </c>
      <c r="AH223">
        <f>AVERAGEIFS($I$2:J223, $B$2:C223, C223)</f>
        <v>0.48</v>
      </c>
      <c r="AI223">
        <f>AVERAGEIFS($D$2:D223, $B$2:B223, B223)</f>
        <v>0</v>
      </c>
    </row>
    <row r="224" spans="1:35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1</v>
      </c>
      <c r="AC224">
        <v>0</v>
      </c>
      <c r="AD224">
        <v>0</v>
      </c>
      <c r="AE224">
        <v>0</v>
      </c>
      <c r="AF224">
        <f>AVERAGEIFS($C$2:C224, $B$2:B224, B224)</f>
        <v>27.857142857142858</v>
      </c>
      <c r="AG224">
        <f>AVERAGEIFS($I$2:I224, $B$2:B224, B224)</f>
        <v>0.42142857142857143</v>
      </c>
      <c r="AH224">
        <f>AVERAGEIFS($I$2:J224, $B$2:C224, C224)</f>
        <v>0.48</v>
      </c>
      <c r="AI224">
        <f>AVERAGEIFS($D$2:D224, $B$2:B224, B224)</f>
        <v>0.5714285714285714</v>
      </c>
    </row>
    <row r="225" spans="1:35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0</v>
      </c>
      <c r="Z225">
        <v>0</v>
      </c>
      <c r="AA225">
        <v>0</v>
      </c>
      <c r="AB225">
        <v>1</v>
      </c>
      <c r="AC225">
        <v>0</v>
      </c>
      <c r="AD225">
        <v>0</v>
      </c>
      <c r="AE225">
        <v>0</v>
      </c>
      <c r="AF225">
        <f>AVERAGEIFS($C$2:C225, $B$2:B225, B225)</f>
        <v>18.5</v>
      </c>
      <c r="AG225">
        <f>AVERAGEIFS($I$2:I225, $B$2:B225, B225)</f>
        <v>0.43333333333333335</v>
      </c>
      <c r="AH225">
        <f>AVERAGEIFS($I$2:J225, $B$2:C225, C225)</f>
        <v>0.47857142857142859</v>
      </c>
      <c r="AI225">
        <f>AVERAGEIFS($D$2:D225, $B$2:B225, B225)</f>
        <v>0.5</v>
      </c>
    </row>
    <row r="226" spans="1:35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f>AVERAGEIFS($C$2:C226, $B$2:B226, B226)</f>
        <v>13.571428571428571</v>
      </c>
      <c r="AG226">
        <f>AVERAGEIFS($I$2:I226, $B$2:B226, B226)</f>
        <v>0.58571428571428563</v>
      </c>
      <c r="AH226">
        <f>AVERAGEIFS($I$2:J226, $B$2:C226, C226)</f>
        <v>0.51249999999999996</v>
      </c>
      <c r="AI226">
        <f>AVERAGEIFS($D$2:D226, $B$2:B226, B226)</f>
        <v>0.42857142857142855</v>
      </c>
    </row>
    <row r="227" spans="1:35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f>AVERAGEIFS($C$2:C227, $B$2:B227, B227)</f>
        <v>13</v>
      </c>
      <c r="AG227">
        <f>AVERAGEIFS($I$2:I227, $B$2:B227, B227)</f>
        <v>0.58333333333333337</v>
      </c>
      <c r="AH227">
        <f>AVERAGEIFS($I$2:J227, $B$2:C227, C227)</f>
        <v>0.50888888888888895</v>
      </c>
      <c r="AI227">
        <f>AVERAGEIFS($D$2:D227, $B$2:B227, B227)</f>
        <v>0.66666666666666663</v>
      </c>
    </row>
    <row r="228" spans="1:35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>
        <v>0</v>
      </c>
      <c r="AB228">
        <v>1</v>
      </c>
      <c r="AC228">
        <v>0</v>
      </c>
      <c r="AD228">
        <v>0</v>
      </c>
      <c r="AE228">
        <v>0</v>
      </c>
      <c r="AF228">
        <f>AVERAGEIFS($C$2:C228, $B$2:B228, B228)</f>
        <v>9.3333333333333339</v>
      </c>
      <c r="AG228">
        <f>AVERAGEIFS($I$2:I228, $B$2:B228, B228)</f>
        <v>0.46666666666666662</v>
      </c>
      <c r="AH228">
        <f>AVERAGEIFS($I$2:J228, $B$2:C228, C228)</f>
        <v>0.501</v>
      </c>
      <c r="AI228">
        <f>AVERAGEIFS($D$2:D228, $B$2:B228, B228)</f>
        <v>0.33333333333333331</v>
      </c>
    </row>
    <row r="229" spans="1:35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>
        <v>0</v>
      </c>
      <c r="AB229">
        <v>1</v>
      </c>
      <c r="AC229">
        <v>0</v>
      </c>
      <c r="AD229">
        <v>0</v>
      </c>
      <c r="AE229">
        <v>0</v>
      </c>
      <c r="AF229">
        <f>AVERAGEIFS($C$2:C229, $B$2:B229, B229)</f>
        <v>17.5</v>
      </c>
      <c r="AG229">
        <f>AVERAGEIFS($I$2:I229, $B$2:B229, B229)</f>
        <v>0.437</v>
      </c>
      <c r="AH229">
        <f>AVERAGEIFS($I$2:J229, $B$2:C229, C229)</f>
        <v>0.54142857142857148</v>
      </c>
      <c r="AI229">
        <f>AVERAGEIFS($D$2:D229, $B$2:B229, B229)</f>
        <v>0.5</v>
      </c>
    </row>
    <row r="230" spans="1:35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>
        <v>0</v>
      </c>
      <c r="AB230">
        <v>1</v>
      </c>
      <c r="AC230">
        <v>0</v>
      </c>
      <c r="AD230">
        <v>0</v>
      </c>
      <c r="AE230">
        <v>0</v>
      </c>
      <c r="AF230">
        <f>AVERAGEIFS($C$2:C230, $B$2:B230, B230)</f>
        <v>11.142857142857142</v>
      </c>
      <c r="AG230">
        <f>AVERAGEIFS($I$2:I230, $B$2:B230, B230)</f>
        <v>0.43785714285714289</v>
      </c>
      <c r="AH230">
        <f>AVERAGEIFS($I$2:J230, $B$2:C230, C230)</f>
        <v>0.41749999999999998</v>
      </c>
      <c r="AI230">
        <f>AVERAGEIFS($D$2:D230, $B$2:B230, B230)</f>
        <v>0.35714285714285715</v>
      </c>
    </row>
    <row r="231" spans="1:35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f>AVERAGEIFS($C$2:C231, $B$2:B231, B231)</f>
        <v>20.277777777777779</v>
      </c>
      <c r="AG231">
        <f>AVERAGEIFS($I$2:I231, $B$2:B231, B231)</f>
        <v>0.5294444444444445</v>
      </c>
      <c r="AH231">
        <f>AVERAGEIFS($I$2:J231, $B$2:C231, C231)</f>
        <v>0.48142857142857137</v>
      </c>
      <c r="AI231">
        <f>AVERAGEIFS($D$2:D231, $B$2:B231, B231)</f>
        <v>0.55555555555555558</v>
      </c>
    </row>
    <row r="232" spans="1:35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f>AVERAGEIFS($C$2:C232, $B$2:B232, B232)</f>
        <v>24.294117647058822</v>
      </c>
      <c r="AG232">
        <f>AVERAGEIFS($I$2:I232, $B$2:B232, B232)</f>
        <v>0.51882352941176468</v>
      </c>
      <c r="AH232">
        <f>AVERAGEIFS($I$2:J232, $B$2:C232, C232)</f>
        <v>0.48124999999999996</v>
      </c>
      <c r="AI232">
        <f>AVERAGEIFS($D$2:D232, $B$2:B232, B232)</f>
        <v>0.52941176470588236</v>
      </c>
    </row>
    <row r="233" spans="1:35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f>AVERAGEIFS($C$2:C233, $B$2:B233, B233)</f>
        <v>19</v>
      </c>
      <c r="AG233">
        <f>AVERAGEIFS($I$2:I233, $B$2:B233, B233)</f>
        <v>0.42857142857142855</v>
      </c>
      <c r="AH233">
        <f>AVERAGEIFS($I$2:J233, $B$2:C233, C233)</f>
        <v>0.52333333333333332</v>
      </c>
      <c r="AI233">
        <f>AVERAGEIFS($D$2:D233, $B$2:B233, B233)</f>
        <v>0.42857142857142855</v>
      </c>
    </row>
    <row r="234" spans="1:35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f>AVERAGEIFS($C$2:C234, $B$2:B234, B234)</f>
        <v>13.75</v>
      </c>
      <c r="AG234">
        <f>AVERAGEIFS($I$2:I234, $B$2:B234, B234)</f>
        <v>0.53749999999999998</v>
      </c>
      <c r="AH234">
        <f>AVERAGEIFS($I$2:J234, $B$2:C234, C234)</f>
        <v>0.51916666666666667</v>
      </c>
      <c r="AI234">
        <f>AVERAGEIFS($D$2:D234, $B$2:B234, B234)</f>
        <v>0.5</v>
      </c>
    </row>
    <row r="235" spans="1:35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1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f>AVERAGEIFS($C$2:C235, $B$2:B235, B235)</f>
        <v>7</v>
      </c>
      <c r="AG235">
        <f>AVERAGEIFS($I$2:I235, $B$2:B235, B235)</f>
        <v>0.60666666666666658</v>
      </c>
      <c r="AH235">
        <f>AVERAGEIFS($I$2:J235, $B$2:C235, C235)</f>
        <v>0.52375000000000016</v>
      </c>
      <c r="AI235">
        <f>AVERAGEIFS($D$2:D235, $B$2:B235, B235)</f>
        <v>0.66666666666666663</v>
      </c>
    </row>
    <row r="236" spans="1:35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1</v>
      </c>
      <c r="AF236">
        <f>AVERAGEIFS($C$2:C236, $B$2:B236, B236)</f>
        <v>22.058823529411764</v>
      </c>
      <c r="AG236">
        <f>AVERAGEIFS($I$2:I236, $B$2:B236, B236)</f>
        <v>0.65470588235294114</v>
      </c>
      <c r="AH236">
        <f>AVERAGEIFS($I$2:J236, $B$2:C236, C236)</f>
        <v>0.48555555555555546</v>
      </c>
      <c r="AI236">
        <f>AVERAGEIFS($D$2:D236, $B$2:B236, B236)</f>
        <v>0.76470588235294112</v>
      </c>
    </row>
    <row r="237" spans="1:35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f>AVERAGEIFS($C$2:C237, $B$2:B237, B237)</f>
        <v>19.818181818181817</v>
      </c>
      <c r="AG237">
        <f>AVERAGEIFS($I$2:I237, $B$2:B237, B237)</f>
        <v>0.48181818181818181</v>
      </c>
      <c r="AH237">
        <f>AVERAGEIFS($I$2:J237, $B$2:C237, C237)</f>
        <v>0.54666666666666675</v>
      </c>
      <c r="AI237">
        <f>AVERAGEIFS($D$2:D237, $B$2:B237, B237)</f>
        <v>0.36363636363636365</v>
      </c>
    </row>
    <row r="238" spans="1:35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f>AVERAGEIFS($C$2:C238, $B$2:B238, B238)</f>
        <v>11</v>
      </c>
      <c r="AG238">
        <f>AVERAGEIFS($I$2:I238, $B$2:B238, B238)</f>
        <v>0.73333333333333339</v>
      </c>
      <c r="AH238">
        <f>AVERAGEIFS($I$2:J238, $B$2:C238, C238)</f>
        <v>0.54600000000000004</v>
      </c>
      <c r="AI238">
        <f>AVERAGEIFS($D$2:D238, $B$2:B238, B238)</f>
        <v>1</v>
      </c>
    </row>
    <row r="239" spans="1:35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1</v>
      </c>
      <c r="AF239">
        <f>AVERAGEIFS($C$2:C239, $B$2:B239, B239)</f>
        <v>17</v>
      </c>
      <c r="AG239">
        <f>AVERAGEIFS($I$2:I239, $B$2:B239, B239)</f>
        <v>0.39500000000000002</v>
      </c>
      <c r="AH239">
        <f>AVERAGEIFS($I$2:J239, $B$2:C239, C239)</f>
        <v>0.57555555555555549</v>
      </c>
      <c r="AI239">
        <f>AVERAGEIFS($D$2:D239, $B$2:B239, B239)</f>
        <v>0.4</v>
      </c>
    </row>
    <row r="240" spans="1:35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f>AVERAGEIFS($C$2:C240, $B$2:B240, B240)</f>
        <v>11.466666666666667</v>
      </c>
      <c r="AG240">
        <f>AVERAGEIFS($I$2:I240, $B$2:B240, B240)</f>
        <v>0.44866666666666671</v>
      </c>
      <c r="AH240">
        <f>AVERAGEIFS($I$2:J240, $B$2:C240, C240)</f>
        <v>0.51923076923076927</v>
      </c>
      <c r="AI240">
        <f>AVERAGEIFS($D$2:D240, $B$2:B240, B240)</f>
        <v>0.4</v>
      </c>
    </row>
    <row r="241" spans="1:35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f>AVERAGEIFS($C$2:C241, $B$2:B241, B241)</f>
        <v>26.333333333333332</v>
      </c>
      <c r="AG241">
        <f>AVERAGEIFS($I$2:I241, $B$2:B241, B241)</f>
        <v>0.3666666666666667</v>
      </c>
      <c r="AH241">
        <f>AVERAGEIFS($I$2:J241, $B$2:C241, C241)</f>
        <v>0.56500000000000006</v>
      </c>
      <c r="AI241">
        <f>AVERAGEIFS($D$2:D241, $B$2:B241, B241)</f>
        <v>0.16666666666666666</v>
      </c>
    </row>
    <row r="242" spans="1:35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f>AVERAGEIFS($C$2:C242, $B$2:B242, B242)</f>
        <v>24.76923076923077</v>
      </c>
      <c r="AG242">
        <f>AVERAGEIFS($I$2:I242, $B$2:B242, B242)</f>
        <v>0.49846153846153851</v>
      </c>
      <c r="AH242">
        <f>AVERAGEIFS($I$2:J242, $B$2:C242, C242)</f>
        <v>0.57999999999999996</v>
      </c>
      <c r="AI242">
        <f>AVERAGEIFS($D$2:D242, $B$2:B242, B242)</f>
        <v>0.46153846153846156</v>
      </c>
    </row>
    <row r="243" spans="1:35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f>AVERAGEIFS($C$2:C243, $B$2:B243, B243)</f>
        <v>18.09090909090909</v>
      </c>
      <c r="AG243">
        <f>AVERAGEIFS($I$2:I243, $B$2:B243, B243)</f>
        <v>0.4272727272727273</v>
      </c>
      <c r="AH243">
        <f>AVERAGEIFS($I$2:J243, $B$2:C243, C243)</f>
        <v>0.56800000000000006</v>
      </c>
      <c r="AI243">
        <f>AVERAGEIFS($D$2:D243, $B$2:B243, B243)</f>
        <v>0.45454545454545453</v>
      </c>
    </row>
    <row r="244" spans="1:35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f>AVERAGEIFS($C$2:C244, $B$2:B244, B244)</f>
        <v>19.25</v>
      </c>
      <c r="AG244">
        <f>AVERAGEIFS($I$2:I244, $B$2:B244, B244)</f>
        <v>0.4375</v>
      </c>
      <c r="AH244">
        <f>AVERAGEIFS($I$2:J244, $B$2:C244, C244)</f>
        <v>0.56399999999999995</v>
      </c>
      <c r="AI244">
        <f>AVERAGEIFS($D$2:D244, $B$2:B244, B244)</f>
        <v>0.5</v>
      </c>
    </row>
    <row r="245" spans="1:35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f>AVERAGEIFS($C$2:C245, $B$2:B245, B245)</f>
        <v>15.8</v>
      </c>
      <c r="AG245">
        <f>AVERAGEIFS($I$2:I245, $B$2:B245, B245)</f>
        <v>0.57999999999999996</v>
      </c>
      <c r="AH245">
        <f>AVERAGEIFS($I$2:J245, $B$2:C245, C245)</f>
        <v>0.57599999999999996</v>
      </c>
      <c r="AI245">
        <f>AVERAGEIFS($D$2:D245, $B$2:B245, B245)</f>
        <v>0.6</v>
      </c>
    </row>
    <row r="246" spans="1:35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f>AVERAGEIFS($C$2:C246, $B$2:B246, B246)</f>
        <v>15.25</v>
      </c>
      <c r="AG246">
        <f>AVERAGEIFS($I$2:I246, $B$2:B246, B246)</f>
        <v>0.53749999999999998</v>
      </c>
      <c r="AH246">
        <f>AVERAGEIFS($I$2:J246, $B$2:C246, C246)</f>
        <v>0.4546153846153847</v>
      </c>
      <c r="AI246">
        <f>AVERAGEIFS($D$2:D246, $B$2:B246, B246)</f>
        <v>0.5</v>
      </c>
    </row>
    <row r="247" spans="1:35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f>AVERAGEIFS($C$2:C247, $B$2:B247, B247)</f>
        <v>8.5</v>
      </c>
      <c r="AG247">
        <f>AVERAGEIFS($I$2:I247, $B$2:B247, B247)</f>
        <v>0.64249999999999996</v>
      </c>
      <c r="AH247">
        <f>AVERAGEIFS($I$2:J247, $B$2:C247, C247)</f>
        <v>0.53899999999999992</v>
      </c>
      <c r="AI247">
        <f>AVERAGEIFS($D$2:D247, $B$2:B247, B247)</f>
        <v>0.75</v>
      </c>
    </row>
    <row r="248" spans="1:35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f>AVERAGEIFS($C$2:C248, $B$2:B248, B248)</f>
        <v>21.333333333333332</v>
      </c>
      <c r="AG248">
        <f>AVERAGEIFS($I$2:I248, $B$2:B248, B248)</f>
        <v>0.58333333333333337</v>
      </c>
      <c r="AH248">
        <f>AVERAGEIFS($I$2:J248, $B$2:C248, C248)</f>
        <v>0.46769230769230768</v>
      </c>
      <c r="AI248">
        <f>AVERAGEIFS($D$2:D248, $B$2:B248, B248)</f>
        <v>0.66666666666666663</v>
      </c>
    </row>
    <row r="249" spans="1:35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f>AVERAGEIFS($C$2:C249, $B$2:B249, B249)</f>
        <v>29.875</v>
      </c>
      <c r="AG249">
        <f>AVERAGEIFS($I$2:I249, $B$2:B249, B249)</f>
        <v>0.4</v>
      </c>
      <c r="AH249">
        <f>AVERAGEIFS($I$2:J249, $B$2:C249, C249)</f>
        <v>0.42</v>
      </c>
      <c r="AI249">
        <f>AVERAGEIFS($D$2:D249, $B$2:B249, B249)</f>
        <v>0.5</v>
      </c>
    </row>
    <row r="250" spans="1:35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f>AVERAGEIFS($C$2:C250, $B$2:B250, B250)</f>
        <v>24.944444444444443</v>
      </c>
      <c r="AG250">
        <f>AVERAGEIFS($I$2:I250, $B$2:B250, B250)</f>
        <v>0.50388888888888894</v>
      </c>
      <c r="AH250">
        <f>AVERAGEIFS($I$2:J250, $B$2:C250, C250)</f>
        <v>0.43</v>
      </c>
      <c r="AI250">
        <f>AVERAGEIFS($D$2:D250, $B$2:B250, B250)</f>
        <v>0.5</v>
      </c>
    </row>
    <row r="251" spans="1:35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f>AVERAGEIFS($C$2:C251, $B$2:B251, B251)</f>
        <v>20.684210526315791</v>
      </c>
      <c r="AG251">
        <f>AVERAGEIFS($I$2:I251, $B$2:B251, B251)</f>
        <v>0.51473684210526327</v>
      </c>
      <c r="AH251">
        <f>AVERAGEIFS($I$2:J251, $B$2:C251, C251)</f>
        <v>0.42333333333333334</v>
      </c>
      <c r="AI251">
        <f>AVERAGEIFS($D$2:D251, $B$2:B251, B251)</f>
        <v>0.52631578947368418</v>
      </c>
    </row>
    <row r="252" spans="1:35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f>AVERAGEIFS($C$2:C252, $B$2:B252, B252)</f>
        <v>16.600000000000001</v>
      </c>
      <c r="AG252">
        <f>AVERAGEIFS($I$2:I252, $B$2:B252, B252)</f>
        <v>0.46799999999999997</v>
      </c>
      <c r="AH252">
        <f>AVERAGEIFS($I$2:J252, $B$2:C252, C252)</f>
        <v>0.53333333333333333</v>
      </c>
      <c r="AI252">
        <f>AVERAGEIFS($D$2:D252, $B$2:B252, B252)</f>
        <v>0.4</v>
      </c>
    </row>
    <row r="253" spans="1:35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f>AVERAGEIFS($C$2:C253, $B$2:B253, B253)</f>
        <v>6</v>
      </c>
      <c r="AG253">
        <f>AVERAGEIFS($I$2:I253, $B$2:B253, B253)</f>
        <v>0.25</v>
      </c>
      <c r="AH253">
        <f>AVERAGEIFS($I$2:J253, $B$2:C253, C253)</f>
        <v>0.5066666666666666</v>
      </c>
      <c r="AI253">
        <f>AVERAGEIFS($D$2:D253, $B$2:B253, B253)</f>
        <v>0</v>
      </c>
    </row>
    <row r="254" spans="1:35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f>AVERAGEIFS($C$2:C254, $B$2:B254, B254)</f>
        <v>11.5</v>
      </c>
      <c r="AG254">
        <f>AVERAGEIFS($I$2:I254, $B$2:B254, B254)</f>
        <v>0.43625000000000003</v>
      </c>
      <c r="AH254">
        <f>AVERAGEIFS($I$2:J254, $B$2:C254, C254)</f>
        <v>0.48461538461538461</v>
      </c>
      <c r="AI254">
        <f>AVERAGEIFS($D$2:D254, $B$2:B254, B254)</f>
        <v>0.375</v>
      </c>
    </row>
    <row r="255" spans="1:35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f>AVERAGEIFS($C$2:C255, $B$2:B255, B255)</f>
        <v>14</v>
      </c>
      <c r="AG255">
        <f>AVERAGEIFS($I$2:I255, $B$2:B255, B255)</f>
        <v>0.25</v>
      </c>
      <c r="AH255">
        <f>AVERAGEIFS($I$2:J255, $B$2:C255, C255)</f>
        <v>0.5</v>
      </c>
      <c r="AI255">
        <f>AVERAGEIFS($D$2:D255, $B$2:B255, B255)</f>
        <v>0</v>
      </c>
    </row>
    <row r="256" spans="1:35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f>AVERAGEIFS($C$2:C256, $B$2:B256, B256)</f>
        <v>20.166666666666668</v>
      </c>
      <c r="AG256">
        <f>AVERAGEIFS($I$2:I256, $B$2:B256, B256)</f>
        <v>0.46249999999999997</v>
      </c>
      <c r="AH256">
        <f>AVERAGEIFS($I$2:J256, $B$2:C256, C256)</f>
        <v>0.56181818181818177</v>
      </c>
      <c r="AI256">
        <f>AVERAGEIFS($D$2:D256, $B$2:B256, B256)</f>
        <v>0.33333333333333331</v>
      </c>
    </row>
    <row r="257" spans="1:35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1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f>AVERAGEIFS($C$2:C257, $B$2:B257, B257)</f>
        <v>28.142857142857142</v>
      </c>
      <c r="AG257">
        <f>AVERAGEIFS($I$2:I257, $B$2:B257, B257)</f>
        <v>0.4</v>
      </c>
      <c r="AH257">
        <f>AVERAGEIFS($I$2:J257, $B$2:C257, C257)</f>
        <v>0.57999999999999996</v>
      </c>
      <c r="AI257">
        <f>AVERAGEIFS($D$2:D257, $B$2:B257, B257)</f>
        <v>0.2857142857142857</v>
      </c>
    </row>
    <row r="258" spans="1:35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f>AVERAGEIFS($C$2:C258, $B$2:B258, B258)</f>
        <v>25.421052631578949</v>
      </c>
      <c r="AG258">
        <f>AVERAGEIFS($I$2:I258, $B$2:B258, B258)</f>
        <v>0.50894736842105259</v>
      </c>
      <c r="AH258">
        <f>AVERAGEIFS($I$2:J258, $B$2:C258, C258)</f>
        <v>0.54</v>
      </c>
      <c r="AI258">
        <f>AVERAGEIFS($D$2:D258, $B$2:B258, B258)</f>
        <v>0.52631578947368418</v>
      </c>
    </row>
    <row r="259" spans="1:35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1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f>AVERAGEIFS($C$2:C259, $B$2:B259, B259)</f>
        <v>7.9230769230769234</v>
      </c>
      <c r="AG259">
        <f>AVERAGEIFS($I$2:I259, $B$2:B259, B259)</f>
        <v>0.60615384615384615</v>
      </c>
      <c r="AH259">
        <f>AVERAGEIFS($I$2:J259, $B$2:C259, C259)</f>
        <v>0.51714285714285713</v>
      </c>
      <c r="AI259">
        <f>AVERAGEIFS($D$2:D259, $B$2:B259, B259)</f>
        <v>0.69230769230769229</v>
      </c>
    </row>
    <row r="260" spans="1:35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f>AVERAGEIFS($C$2:C260, $B$2:B260, B260)</f>
        <v>21.75</v>
      </c>
      <c r="AG260">
        <f>AVERAGEIFS($I$2:I260, $B$2:B260, B260)</f>
        <v>0.58750000000000002</v>
      </c>
      <c r="AH260">
        <f>AVERAGEIFS($I$2:J260, $B$2:C260, C260)</f>
        <v>0.59800000000000009</v>
      </c>
      <c r="AI260">
        <f>AVERAGEIFS($D$2:D260, $B$2:B260, B260)</f>
        <v>0.75</v>
      </c>
    </row>
    <row r="261" spans="1:35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f>AVERAGEIFS($C$2:C261, $B$2:B261, B261)</f>
        <v>11.5</v>
      </c>
      <c r="AG261">
        <f>AVERAGEIFS($I$2:I261, $B$2:B261, B261)</f>
        <v>0.42499999999999999</v>
      </c>
      <c r="AH261">
        <f>AVERAGEIFS($I$2:J261, $B$2:C261, C261)</f>
        <v>0.43555555555555553</v>
      </c>
      <c r="AI261">
        <f>AVERAGEIFS($D$2:D261, $B$2:B261, B261)</f>
        <v>0.5</v>
      </c>
    </row>
    <row r="262" spans="1:35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f>AVERAGEIFS($C$2:C262, $B$2:B262, B262)</f>
        <v>21.1875</v>
      </c>
      <c r="AG262">
        <f>AVERAGEIFS($I$2:I262, $B$2:B262, B262)</f>
        <v>0.49187500000000001</v>
      </c>
      <c r="AH262">
        <f>AVERAGEIFS($I$2:J262, $B$2:C262, C262)</f>
        <v>0.46250000000000002</v>
      </c>
      <c r="AI262">
        <f>AVERAGEIFS($D$2:D262, $B$2:B262, B262)</f>
        <v>0.4375</v>
      </c>
    </row>
    <row r="263" spans="1:35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1</v>
      </c>
      <c r="AD263">
        <v>0</v>
      </c>
      <c r="AE263">
        <v>0</v>
      </c>
      <c r="AF263">
        <f>AVERAGEIFS($C$2:C263, $B$2:B263, B263)</f>
        <v>12</v>
      </c>
      <c r="AG263">
        <f>AVERAGEIFS($I$2:I263, $B$2:B263, B263)</f>
        <v>0.43411764705882355</v>
      </c>
      <c r="AH263">
        <f>AVERAGEIFS($I$2:J263, $B$2:C263, C263)</f>
        <v>0.47899999999999993</v>
      </c>
      <c r="AI263">
        <f>AVERAGEIFS($D$2:D263, $B$2:B263, B263)</f>
        <v>0.35294117647058826</v>
      </c>
    </row>
    <row r="264" spans="1:35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1</v>
      </c>
      <c r="AD264">
        <v>0</v>
      </c>
      <c r="AE264">
        <v>0</v>
      </c>
      <c r="AF264">
        <f>AVERAGEIFS($C$2:C264, $B$2:B264, B264)</f>
        <v>22.888888888888889</v>
      </c>
      <c r="AG264">
        <f>AVERAGEIFS($I$2:I264, $B$2:B264, B264)</f>
        <v>0.64055555555555554</v>
      </c>
      <c r="AH264">
        <f>AVERAGEIFS($I$2:J264, $B$2:C264, C264)</f>
        <v>0.47</v>
      </c>
      <c r="AI264">
        <f>AVERAGEIFS($D$2:D264, $B$2:B264, B264)</f>
        <v>0.72222222222222221</v>
      </c>
    </row>
    <row r="265" spans="1:35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1</v>
      </c>
      <c r="AD265">
        <v>0</v>
      </c>
      <c r="AE265">
        <v>0</v>
      </c>
      <c r="AF265">
        <f>AVERAGEIFS($C$2:C265, $B$2:B265, B265)</f>
        <v>24.714285714285715</v>
      </c>
      <c r="AG265">
        <f>AVERAGEIFS($I$2:I265, $B$2:B265, B265)</f>
        <v>0.49142857142857149</v>
      </c>
      <c r="AH265">
        <f>AVERAGEIFS($I$2:J265, $B$2:C265, C265)</f>
        <v>0.54999999999999993</v>
      </c>
      <c r="AI265">
        <f>AVERAGEIFS($D$2:D265, $B$2:B265, B265)</f>
        <v>0.42857142857142855</v>
      </c>
    </row>
    <row r="266" spans="1:35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1</v>
      </c>
      <c r="AD266">
        <v>0</v>
      </c>
      <c r="AE266">
        <v>0</v>
      </c>
      <c r="AF266">
        <f>AVERAGEIFS($C$2:C266, $B$2:B266, B266)</f>
        <v>19.625</v>
      </c>
      <c r="AG266">
        <f>AVERAGEIFS($I$2:I266, $B$2:B266, B266)</f>
        <v>0.42499999999999999</v>
      </c>
      <c r="AH266">
        <f>AVERAGEIFS($I$2:J266, $B$2:C266, C266)</f>
        <v>0.53999999999999992</v>
      </c>
      <c r="AI266">
        <f>AVERAGEIFS($D$2:D266, $B$2:B266, B266)</f>
        <v>0.375</v>
      </c>
    </row>
    <row r="267" spans="1:35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1</v>
      </c>
      <c r="AD267">
        <v>0</v>
      </c>
      <c r="AE267">
        <v>0</v>
      </c>
      <c r="AF267">
        <f>AVERAGEIFS($C$2:C267, $B$2:B267, B267)</f>
        <v>5.5</v>
      </c>
      <c r="AG267">
        <f>AVERAGEIFS($I$2:I267, $B$2:B267, B267)</f>
        <v>0.4</v>
      </c>
      <c r="AH267">
        <f>AVERAGEIFS($I$2:J267, $B$2:C267, C267)</f>
        <v>0.52500000000000002</v>
      </c>
      <c r="AI267">
        <f>AVERAGEIFS($D$2:D267, $B$2:B267, B267)</f>
        <v>0</v>
      </c>
    </row>
    <row r="268" spans="1:35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f>AVERAGEIFS($C$2:C268, $B$2:B268, B268)</f>
        <v>18.583333333333332</v>
      </c>
      <c r="AG268">
        <f>AVERAGEIFS($I$2:I268, $B$2:B268, B268)</f>
        <v>0.42500000000000004</v>
      </c>
      <c r="AH268">
        <f>AVERAGEIFS($I$2:J268, $B$2:C268, C268)</f>
        <v>0.53142857142857136</v>
      </c>
      <c r="AI268">
        <f>AVERAGEIFS($D$2:D268, $B$2:B268, B268)</f>
        <v>0.41666666666666669</v>
      </c>
    </row>
    <row r="269" spans="1:35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f>AVERAGEIFS($C$2:C269, $B$2:B269, B269)</f>
        <v>26.75</v>
      </c>
      <c r="AG269">
        <f>AVERAGEIFS($I$2:I269, $B$2:B269, B269)</f>
        <v>0.38125000000000003</v>
      </c>
      <c r="AH269">
        <f>AVERAGEIFS($I$2:J269, $B$2:C269, C269)</f>
        <v>0.44785714285714295</v>
      </c>
      <c r="AI269">
        <f>AVERAGEIFS($D$2:D269, $B$2:B269, B269)</f>
        <v>0.25</v>
      </c>
    </row>
    <row r="270" spans="1:35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f>AVERAGEIFS($C$2:C270, $B$2:B270, B270)</f>
        <v>24.85</v>
      </c>
      <c r="AG270">
        <f>AVERAGEIFS($I$2:I270, $B$2:B270, B270)</f>
        <v>0.496</v>
      </c>
      <c r="AH270">
        <f>AVERAGEIFS($I$2:J270, $B$2:C270, C270)</f>
        <v>0.4872727272727273</v>
      </c>
      <c r="AI270">
        <f>AVERAGEIFS($D$2:D270, $B$2:B270, B270)</f>
        <v>0.5</v>
      </c>
    </row>
    <row r="271" spans="1:35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f>AVERAGEIFS($C$2:C271, $B$2:B271, B271)</f>
        <v>15</v>
      </c>
      <c r="AG271">
        <f>AVERAGEIFS($I$2:I271, $B$2:B271, B271)</f>
        <v>0.47500000000000003</v>
      </c>
      <c r="AH271">
        <f>AVERAGEIFS($I$2:J271, $B$2:C271, C271)</f>
        <v>0.5078571428571429</v>
      </c>
      <c r="AI271">
        <f>AVERAGEIFS($D$2:D271, $B$2:B271, B271)</f>
        <v>0.625</v>
      </c>
    </row>
    <row r="272" spans="1:35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f>AVERAGEIFS($C$2:C272, $B$2:B272, B272)</f>
        <v>9.5</v>
      </c>
      <c r="AG272">
        <f>AVERAGEIFS($I$2:I272, $B$2:B272, B272)</f>
        <v>0.42499999999999999</v>
      </c>
      <c r="AH272">
        <f>AVERAGEIFS($I$2:J272, $B$2:C272, C272)</f>
        <v>0.52272727272727271</v>
      </c>
      <c r="AI272">
        <f>AVERAGEIFS($D$2:D272, $B$2:B272, B272)</f>
        <v>0.5</v>
      </c>
    </row>
    <row r="273" spans="1:35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f>AVERAGEIFS($C$2:C273, $B$2:B273, B273)</f>
        <v>10.333333333333334</v>
      </c>
      <c r="AG273">
        <f>AVERAGEIFS($I$2:I273, $B$2:B273, B273)</f>
        <v>0.3666666666666667</v>
      </c>
      <c r="AH273">
        <f>AVERAGEIFS($I$2:J273, $B$2:C273, C273)</f>
        <v>0.50142857142857145</v>
      </c>
      <c r="AI273">
        <f>AVERAGEIFS($D$2:D273, $B$2:B273, B273)</f>
        <v>0.33333333333333331</v>
      </c>
    </row>
    <row r="274" spans="1:35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f>AVERAGEIFS($C$2:C274, $B$2:B274, B274)</f>
        <v>4.666666666666667</v>
      </c>
      <c r="AG274">
        <f>AVERAGEIFS($I$2:I274, $B$2:B274, B274)</f>
        <v>0.35000000000000003</v>
      </c>
      <c r="AH274">
        <f>AVERAGEIFS($I$2:J274, $B$2:C274, C274)</f>
        <v>0.49875000000000003</v>
      </c>
      <c r="AI274">
        <f>AVERAGEIFS($D$2:D274, $B$2:B274, B274)</f>
        <v>0</v>
      </c>
    </row>
    <row r="275" spans="1:35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1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f>AVERAGEIFS($C$2:C275, $B$2:B275, B275)</f>
        <v>12.055555555555555</v>
      </c>
      <c r="AG275">
        <f>AVERAGEIFS($I$2:I275, $B$2:B275, B275)</f>
        <v>0.45166666666666672</v>
      </c>
      <c r="AH275">
        <f>AVERAGEIFS($I$2:J275, $B$2:C275, C275)</f>
        <v>0.53249999999999997</v>
      </c>
      <c r="AI275">
        <f>AVERAGEIFS($D$2:D275, $B$2:B275, B275)</f>
        <v>0.3888888888888889</v>
      </c>
    </row>
    <row r="276" spans="1:35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1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1</v>
      </c>
      <c r="AC276">
        <v>0</v>
      </c>
      <c r="AD276">
        <v>0</v>
      </c>
      <c r="AE276">
        <v>0</v>
      </c>
      <c r="AF276">
        <f>AVERAGEIFS($C$2:C276, $B$2:B276, B276)</f>
        <v>17.8</v>
      </c>
      <c r="AG276">
        <f>AVERAGEIFS($I$2:I276, $B$2:B276, B276)</f>
        <v>0.5</v>
      </c>
      <c r="AH276">
        <f>AVERAGEIFS($I$2:J276, $B$2:C276, C276)</f>
        <v>0.49571428571428566</v>
      </c>
      <c r="AI276">
        <f>AVERAGEIFS($D$2:D276, $B$2:B276, B276)</f>
        <v>0.6</v>
      </c>
    </row>
    <row r="277" spans="1:35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1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1</v>
      </c>
      <c r="AC277">
        <v>0</v>
      </c>
      <c r="AD277">
        <v>0</v>
      </c>
      <c r="AE277">
        <v>0</v>
      </c>
      <c r="AF277">
        <f>AVERAGEIFS($C$2:C277, $B$2:B277, B277)</f>
        <v>24.6</v>
      </c>
      <c r="AG277">
        <f>AVERAGEIFS($I$2:I277, $B$2:B277, B277)</f>
        <v>0.50866666666666671</v>
      </c>
      <c r="AH277">
        <f>AVERAGEIFS($I$2:J277, $B$2:C277, C277)</f>
        <v>0.60181818181818181</v>
      </c>
      <c r="AI277">
        <f>AVERAGEIFS($D$2:D277, $B$2:B277, B277)</f>
        <v>0.46666666666666667</v>
      </c>
    </row>
    <row r="278" spans="1:35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1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1</v>
      </c>
      <c r="AC278">
        <v>0</v>
      </c>
      <c r="AD278">
        <v>0</v>
      </c>
      <c r="AE278">
        <v>0</v>
      </c>
      <c r="AF278">
        <f>AVERAGEIFS($C$2:C278, $B$2:B278, B278)</f>
        <v>17.692307692307693</v>
      </c>
      <c r="AG278">
        <f>AVERAGEIFS($I$2:I278, $B$2:B278, B278)</f>
        <v>0.45000000000000007</v>
      </c>
      <c r="AH278">
        <f>AVERAGEIFS($I$2:J278, $B$2:C278, C278)</f>
        <v>0.53666666666666674</v>
      </c>
      <c r="AI278">
        <f>AVERAGEIFS($D$2:D278, $B$2:B278, B278)</f>
        <v>0.46153846153846156</v>
      </c>
    </row>
    <row r="279" spans="1:35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1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1</v>
      </c>
      <c r="AC279">
        <v>0</v>
      </c>
      <c r="AD279">
        <v>0</v>
      </c>
      <c r="AE279">
        <v>0</v>
      </c>
      <c r="AF279">
        <f>AVERAGEIFS($C$2:C279, $B$2:B279, B279)</f>
        <v>22.894736842105264</v>
      </c>
      <c r="AG279">
        <f>AVERAGEIFS($I$2:I279, $B$2:B279, B279)</f>
        <v>0.64631578947368418</v>
      </c>
      <c r="AH279">
        <f>AVERAGEIFS($I$2:J279, $B$2:C279, C279)</f>
        <v>0.60499999999999998</v>
      </c>
      <c r="AI279">
        <f>AVERAGEIFS($D$2:D279, $B$2:B279, B279)</f>
        <v>0.73684210526315785</v>
      </c>
    </row>
    <row r="280" spans="1:35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1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f>AVERAGEIFS($C$2:C280, $B$2:B280, B280)</f>
        <v>10</v>
      </c>
      <c r="AG280">
        <f>AVERAGEIFS($I$2:I280, $B$2:B280, B280)</f>
        <v>0.75</v>
      </c>
      <c r="AH280">
        <f>AVERAGEIFS($I$2:J280, $B$2:C280, C280)</f>
        <v>0.55374999999999996</v>
      </c>
      <c r="AI280">
        <f>AVERAGEIFS($D$2:D280, $B$2:B280, B280)</f>
        <v>1</v>
      </c>
    </row>
    <row r="281" spans="1:35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f>AVERAGEIFS($C$2:C281, $B$2:B281, B281)</f>
        <v>15.888888888888889</v>
      </c>
      <c r="AG281">
        <f>AVERAGEIFS($I$2:I281, $B$2:B281, B281)</f>
        <v>0.46666666666666667</v>
      </c>
      <c r="AH281">
        <f>AVERAGEIFS($I$2:J281, $B$2:C281, C281)</f>
        <v>0.58846153846153837</v>
      </c>
      <c r="AI281">
        <f>AVERAGEIFS($D$2:D281, $B$2:B281, B281)</f>
        <v>0.55555555555555558</v>
      </c>
    </row>
    <row r="282" spans="1:35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f>AVERAGEIFS($C$2:C282, $B$2:B282, B282)</f>
        <v>26.444444444444443</v>
      </c>
      <c r="AG282">
        <f>AVERAGEIFS($I$2:I282, $B$2:B282, B282)</f>
        <v>0.38333333333333336</v>
      </c>
      <c r="AH282">
        <f>AVERAGEIFS($I$2:J282, $B$2:C282, C282)</f>
        <v>0.52199999999999991</v>
      </c>
      <c r="AI282">
        <f>AVERAGEIFS($D$2:D282, $B$2:B282, B282)</f>
        <v>0.22222222222222221</v>
      </c>
    </row>
    <row r="283" spans="1:35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f>AVERAGEIFS($C$2:C283, $B$2:B283, B283)</f>
        <v>25</v>
      </c>
      <c r="AG283">
        <f>AVERAGEIFS($I$2:I283, $B$2:B283, B283)</f>
        <v>0.49142857142857144</v>
      </c>
      <c r="AH283">
        <f>AVERAGEIFS($I$2:J283, $B$2:C283, C283)</f>
        <v>0.44800000000000006</v>
      </c>
      <c r="AI283">
        <f>AVERAGEIFS($D$2:D283, $B$2:B283, B283)</f>
        <v>0.47619047619047616</v>
      </c>
    </row>
    <row r="284" spans="1:35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f>AVERAGEIFS($C$2:C284, $B$2:B284, B284)</f>
        <v>17.857142857142858</v>
      </c>
      <c r="AG284">
        <f>AVERAGEIFS($I$2:I284, $B$2:B284, B284)</f>
        <v>0.44642857142857151</v>
      </c>
      <c r="AH284">
        <f>AVERAGEIFS($I$2:J284, $B$2:C284, C284)</f>
        <v>0.47090909090909078</v>
      </c>
      <c r="AI284">
        <f>AVERAGEIFS($D$2:D284, $B$2:B284, B284)</f>
        <v>0.42857142857142855</v>
      </c>
    </row>
    <row r="285" spans="1:35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f>AVERAGEIFS($C$2:C285, $B$2:B285, B285)</f>
        <v>11</v>
      </c>
      <c r="AG285">
        <f>AVERAGEIFS($I$2:I285, $B$2:B285, B285)</f>
        <v>0.375</v>
      </c>
      <c r="AH285">
        <f>AVERAGEIFS($I$2:J285, $B$2:C285, C285)</f>
        <v>0.52153846153846151</v>
      </c>
      <c r="AI285">
        <f>AVERAGEIFS($D$2:D285, $B$2:B285, B285)</f>
        <v>0.25</v>
      </c>
    </row>
    <row r="286" spans="1:35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f>AVERAGEIFS($C$2:C286, $B$2:B286, B286)</f>
        <v>20</v>
      </c>
      <c r="AG286">
        <f>AVERAGEIFS($I$2:I286, $B$2:B286, B286)</f>
        <v>0.55000000000000004</v>
      </c>
      <c r="AH286">
        <f>AVERAGEIFS($I$2:J286, $B$2:C286, C286)</f>
        <v>0.51214285714285712</v>
      </c>
      <c r="AI286">
        <f>AVERAGEIFS($D$2:D286, $B$2:B286, B286)</f>
        <v>0.6</v>
      </c>
    </row>
    <row r="287" spans="1:35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1</v>
      </c>
      <c r="AF287">
        <f>AVERAGEIFS($C$2:C287, $B$2:B287, B287)</f>
        <v>23.55</v>
      </c>
      <c r="AG287">
        <f>AVERAGEIFS($I$2:I287, $B$2:B287, B287)</f>
        <v>0.64399999999999991</v>
      </c>
      <c r="AH287">
        <f>AVERAGEIFS($I$2:J287, $B$2:C287, C287)</f>
        <v>0.47499999999999998</v>
      </c>
      <c r="AI287">
        <f>AVERAGEIFS($D$2:D287, $B$2:B287, B287)</f>
        <v>0.75</v>
      </c>
    </row>
    <row r="288" spans="1:35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1</v>
      </c>
      <c r="AF288">
        <f>AVERAGEIFS($C$2:C288, $B$2:B288, B288)</f>
        <v>24.5625</v>
      </c>
      <c r="AG288">
        <f>AVERAGEIFS($I$2:I288, $B$2:B288, B288)</f>
        <v>0.51437500000000003</v>
      </c>
      <c r="AH288">
        <f>AVERAGEIFS($I$2:J288, $B$2:C288, C288)</f>
        <v>0.52749999999999997</v>
      </c>
      <c r="AI288">
        <f>AVERAGEIFS($D$2:D288, $B$2:B288, B288)</f>
        <v>0.5</v>
      </c>
    </row>
    <row r="289" spans="1:35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1</v>
      </c>
      <c r="AF289">
        <f>AVERAGEIFS($C$2:C289, $B$2:B289, B289)</f>
        <v>18.5</v>
      </c>
      <c r="AG289">
        <f>AVERAGEIFS($I$2:I289, $B$2:B289, B289)</f>
        <v>0.51666666666666672</v>
      </c>
      <c r="AH289">
        <f>AVERAGEIFS($I$2:J289, $B$2:C289, C289)</f>
        <v>0.53</v>
      </c>
      <c r="AI289">
        <f>AVERAGEIFS($D$2:D289, $B$2:B289, B289)</f>
        <v>0.66666666666666663</v>
      </c>
    </row>
    <row r="290" spans="1:35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1</v>
      </c>
      <c r="AF290">
        <f>AVERAGEIFS($C$2:C290, $B$2:B290, B290)</f>
        <v>20</v>
      </c>
      <c r="AG290">
        <f>AVERAGEIFS($I$2:I290, $B$2:B290, B290)</f>
        <v>0.47307692307692306</v>
      </c>
      <c r="AH290">
        <f>AVERAGEIFS($I$2:J290, $B$2:C290, C290)</f>
        <v>0.47785714285714287</v>
      </c>
      <c r="AI290">
        <f>AVERAGEIFS($D$2:D290, $B$2:B290, B290)</f>
        <v>0.38461538461538464</v>
      </c>
    </row>
    <row r="291" spans="1:35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1</v>
      </c>
      <c r="AF291">
        <f>AVERAGEIFS($C$2:C291, $B$2:B291, B291)</f>
        <v>5.25</v>
      </c>
      <c r="AG291">
        <f>AVERAGEIFS($I$2:I291, $B$2:B291, B291)</f>
        <v>0.41249999999999998</v>
      </c>
      <c r="AH291">
        <f>AVERAGEIFS($I$2:J291, $B$2:C291, C291)</f>
        <v>0.54400000000000015</v>
      </c>
      <c r="AI291">
        <f>AVERAGEIFS($D$2:D291, $B$2:B291, B291)</f>
        <v>0.25</v>
      </c>
    </row>
    <row r="292" spans="1:35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1</v>
      </c>
      <c r="AF292">
        <f>AVERAGEIFS($C$2:C292, $B$2:B292, B292)</f>
        <v>11</v>
      </c>
      <c r="AG292">
        <f>AVERAGEIFS($I$2:I292, $B$2:B292, B292)</f>
        <v>0.70000000000000007</v>
      </c>
      <c r="AH292">
        <f>AVERAGEIFS($I$2:J292, $B$2:C292, C292)</f>
        <v>0.51090909090909087</v>
      </c>
      <c r="AI292">
        <f>AVERAGEIFS($D$2:D292, $B$2:B292, B292)</f>
        <v>1</v>
      </c>
    </row>
    <row r="293" spans="1:35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f>AVERAGEIFS($C$2:C293, $B$2:B293, B293)</f>
        <v>21.411764705882351</v>
      </c>
      <c r="AG293">
        <f>AVERAGEIFS($I$2:I293, $B$2:B293, B293)</f>
        <v>0.4864705882352941</v>
      </c>
      <c r="AH293">
        <f>AVERAGEIFS($I$2:J293, $B$2:C293, C293)</f>
        <v>0.48928571428571427</v>
      </c>
      <c r="AI293">
        <f>AVERAGEIFS($D$2:D293, $B$2:B293, B293)</f>
        <v>0.41176470588235292</v>
      </c>
    </row>
    <row r="294" spans="1:35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>
        <v>0</v>
      </c>
      <c r="AB294">
        <v>1</v>
      </c>
      <c r="AC294">
        <v>0</v>
      </c>
      <c r="AD294">
        <v>0</v>
      </c>
      <c r="AE294">
        <v>0</v>
      </c>
      <c r="AF294">
        <f>AVERAGEIFS($C$2:C294, $B$2:B294, B294)</f>
        <v>24.954545454545453</v>
      </c>
      <c r="AG294">
        <f>AVERAGEIFS($I$2:I294, $B$2:B294, B294)</f>
        <v>0.4872727272727273</v>
      </c>
      <c r="AH294">
        <f>AVERAGEIFS($I$2:J294, $B$2:C294, C294)</f>
        <v>0.52</v>
      </c>
      <c r="AI294">
        <f>AVERAGEIFS($D$2:D294, $B$2:B294, B294)</f>
        <v>0.45454545454545453</v>
      </c>
    </row>
    <row r="295" spans="1:35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>
        <v>0</v>
      </c>
      <c r="AB295">
        <v>1</v>
      </c>
      <c r="AC295">
        <v>0</v>
      </c>
      <c r="AD295">
        <v>0</v>
      </c>
      <c r="AE295">
        <v>0</v>
      </c>
      <c r="AF295">
        <f>AVERAGEIFS($C$2:C295, $B$2:B295, B295)</f>
        <v>13.4</v>
      </c>
      <c r="AG295">
        <f>AVERAGEIFS($I$2:I295, $B$2:B295, B295)</f>
        <v>0.38</v>
      </c>
      <c r="AH295">
        <f>AVERAGEIFS($I$2:J295, $B$2:C295, C295)</f>
        <v>0.57499999999999996</v>
      </c>
      <c r="AI295">
        <f>AVERAGEIFS($D$2:D295, $B$2:B295, B295)</f>
        <v>0.2</v>
      </c>
    </row>
    <row r="296" spans="1:35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1</v>
      </c>
      <c r="AC296">
        <v>0</v>
      </c>
      <c r="AD296">
        <v>0</v>
      </c>
      <c r="AE296">
        <v>0</v>
      </c>
      <c r="AF296">
        <f>AVERAGEIFS($C$2:C296, $B$2:B296, B296)</f>
        <v>15.833333333333334</v>
      </c>
      <c r="AG296">
        <f>AVERAGEIFS($I$2:I296, $B$2:B296, B296)</f>
        <v>0.54999999999999993</v>
      </c>
      <c r="AH296">
        <f>AVERAGEIFS($I$2:J296, $B$2:C296, C296)</f>
        <v>0.5006666666666667</v>
      </c>
      <c r="AI296">
        <f>AVERAGEIFS($D$2:D296, $B$2:B296, B296)</f>
        <v>0.5</v>
      </c>
    </row>
    <row r="297" spans="1:35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>
        <v>0</v>
      </c>
      <c r="AB297">
        <v>1</v>
      </c>
      <c r="AC297">
        <v>0</v>
      </c>
      <c r="AD297">
        <v>0</v>
      </c>
      <c r="AE297">
        <v>0</v>
      </c>
      <c r="AF297">
        <f>AVERAGEIFS($C$2:C297, $B$2:B297, B297)</f>
        <v>14</v>
      </c>
      <c r="AG297">
        <f>AVERAGEIFS($I$2:I297, $B$2:B297, B297)</f>
        <v>0.35833333333333334</v>
      </c>
      <c r="AH297">
        <f>AVERAGEIFS($I$2:J297, $B$2:C297, C297)</f>
        <v>0.49437500000000006</v>
      </c>
      <c r="AI297">
        <f>AVERAGEIFS($D$2:D297, $B$2:B297, B297)</f>
        <v>0.16666666666666666</v>
      </c>
    </row>
    <row r="298" spans="1:35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f>AVERAGEIFS($C$2:C298, $B$2:B298, B298)</f>
        <v>17.666666666666668</v>
      </c>
      <c r="AG298">
        <f>AVERAGEIFS($I$2:I298, $B$2:B298, B298)</f>
        <v>0.44333333333333341</v>
      </c>
      <c r="AH298">
        <f>AVERAGEIFS($I$2:J298, $B$2:C298, C298)</f>
        <v>0.4933333333333334</v>
      </c>
      <c r="AI298">
        <f>AVERAGEIFS($D$2:D298, $B$2:B298, B298)</f>
        <v>0.4</v>
      </c>
    </row>
    <row r="299" spans="1:35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f>AVERAGEIFS($C$2:C299, $B$2:B299, B299)</f>
        <v>11.842105263157896</v>
      </c>
      <c r="AG299">
        <f>AVERAGEIFS($I$2:I299, $B$2:B299, B299)</f>
        <v>0.44894736842105271</v>
      </c>
      <c r="AH299">
        <f>AVERAGEIFS($I$2:J299, $B$2:C299, C299)</f>
        <v>0.48874999999999996</v>
      </c>
      <c r="AI299">
        <f>AVERAGEIFS($D$2:D299, $B$2:B299, B299)</f>
        <v>0.36842105263157893</v>
      </c>
    </row>
    <row r="300" spans="1:35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1</v>
      </c>
      <c r="AB300">
        <v>0</v>
      </c>
      <c r="AC300">
        <v>0</v>
      </c>
      <c r="AD300">
        <v>0</v>
      </c>
      <c r="AE300">
        <v>0</v>
      </c>
      <c r="AF300">
        <f>AVERAGEIFS($C$2:C300, $B$2:B300, B300)</f>
        <v>20.149999999999999</v>
      </c>
      <c r="AG300">
        <f>AVERAGEIFS($I$2:I300, $B$2:B300, B300)</f>
        <v>0.50150000000000006</v>
      </c>
      <c r="AH300">
        <f>AVERAGEIFS($I$2:J300, $B$2:C300, C300)</f>
        <v>0.52444444444444438</v>
      </c>
      <c r="AI300">
        <f>AVERAGEIFS($D$2:D300, $B$2:B300, B300)</f>
        <v>0.5</v>
      </c>
    </row>
    <row r="301" spans="1:35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1</v>
      </c>
      <c r="AB301">
        <v>0</v>
      </c>
      <c r="AC301">
        <v>0</v>
      </c>
      <c r="AD301">
        <v>0</v>
      </c>
      <c r="AE301">
        <v>0</v>
      </c>
      <c r="AF301">
        <f>AVERAGEIFS($C$2:C301, $B$2:B301, B301)</f>
        <v>24.176470588235293</v>
      </c>
      <c r="AG301">
        <f>AVERAGEIFS($I$2:I301, $B$2:B301, B301)</f>
        <v>0.49882352941176472</v>
      </c>
      <c r="AH301">
        <f>AVERAGEIFS($I$2:J301, $B$2:C301, C301)</f>
        <v>0.46533333333333338</v>
      </c>
      <c r="AI301">
        <f>AVERAGEIFS($D$2:D301, $B$2:B301, B301)</f>
        <v>0.47058823529411764</v>
      </c>
    </row>
    <row r="302" spans="1:35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1</v>
      </c>
      <c r="AB302">
        <v>0</v>
      </c>
      <c r="AC302">
        <v>0</v>
      </c>
      <c r="AD302">
        <v>0</v>
      </c>
      <c r="AE302">
        <v>0</v>
      </c>
      <c r="AF302">
        <f>AVERAGEIFS($C$2:C302, $B$2:B302, B302)</f>
        <v>29.111111111111111</v>
      </c>
      <c r="AG302">
        <f>AVERAGEIFS($I$2:I302, $B$2:B302, B302)</f>
        <v>0.38333333333333336</v>
      </c>
      <c r="AH302">
        <f>AVERAGEIFS($I$2:J302, $B$2:C302, C302)</f>
        <v>0.55599999999999983</v>
      </c>
      <c r="AI302">
        <f>AVERAGEIFS($D$2:D302, $B$2:B302, B302)</f>
        <v>0.44444444444444442</v>
      </c>
    </row>
    <row r="303" spans="1:35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1</v>
      </c>
      <c r="AB303">
        <v>0</v>
      </c>
      <c r="AC303">
        <v>0</v>
      </c>
      <c r="AD303">
        <v>0</v>
      </c>
      <c r="AE303">
        <v>0</v>
      </c>
      <c r="AF303">
        <f>AVERAGEIFS($C$2:C303, $B$2:B303, B303)</f>
        <v>18.875</v>
      </c>
      <c r="AG303">
        <f>AVERAGEIFS($I$2:I303, $B$2:B303, B303)</f>
        <v>0.48749999999999999</v>
      </c>
      <c r="AH303">
        <f>AVERAGEIFS($I$2:J303, $B$2:C303, C303)</f>
        <v>0.43733333333333341</v>
      </c>
      <c r="AI303">
        <f>AVERAGEIFS($D$2:D303, $B$2:B303, B303)</f>
        <v>0.375</v>
      </c>
    </row>
    <row r="304" spans="1:35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v>0</v>
      </c>
      <c r="AE304">
        <v>0</v>
      </c>
      <c r="AF304">
        <f>AVERAGEIFS($C$2:C304, $B$2:B304, B304)</f>
        <v>17.428571428571427</v>
      </c>
      <c r="AG304">
        <f>AVERAGEIFS($I$2:I304, $B$2:B304, B304)</f>
        <v>0.47857142857142859</v>
      </c>
      <c r="AH304">
        <f>AVERAGEIFS($I$2:J304, $B$2:C304, C304)</f>
        <v>0.49249999999999999</v>
      </c>
      <c r="AI304">
        <f>AVERAGEIFS($D$2:D304, $B$2:B304, B304)</f>
        <v>0.5714285714285714</v>
      </c>
    </row>
    <row r="305" spans="1:35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1</v>
      </c>
      <c r="AB305">
        <v>0</v>
      </c>
      <c r="AC305">
        <v>0</v>
      </c>
      <c r="AD305">
        <v>0</v>
      </c>
      <c r="AE305">
        <v>0</v>
      </c>
      <c r="AF305">
        <f>AVERAGEIFS($C$2:C305, $B$2:B305, B305)</f>
        <v>14.2</v>
      </c>
      <c r="AG305">
        <f>AVERAGEIFS($I$2:I305, $B$2:B305, B305)</f>
        <v>0.48</v>
      </c>
      <c r="AH305">
        <f>AVERAGEIFS($I$2:J305, $B$2:C305, C305)</f>
        <v>0.501</v>
      </c>
      <c r="AI305">
        <f>AVERAGEIFS($D$2:D305, $B$2:B305, B305)</f>
        <v>0.4</v>
      </c>
    </row>
    <row r="306" spans="1:35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f>AVERAGEIFS($C$2:C306, $B$2:B306, B306)</f>
        <v>23.19047619047619</v>
      </c>
      <c r="AG306">
        <f>AVERAGEIFS($I$2:I306, $B$2:B306, B306)</f>
        <v>0.64904761904761898</v>
      </c>
      <c r="AH306">
        <f>AVERAGEIFS($I$2:J306, $B$2:C306, C306)</f>
        <v>0.50705882352941178</v>
      </c>
      <c r="AI306">
        <f>AVERAGEIFS($D$2:D306, $B$2:B306, B306)</f>
        <v>0.76190476190476186</v>
      </c>
    </row>
    <row r="307" spans="1:35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1</v>
      </c>
      <c r="AD307">
        <v>0</v>
      </c>
      <c r="AE307">
        <v>0</v>
      </c>
      <c r="AF307">
        <f>AVERAGEIFS($C$2:C307, $B$2:B307, B307)</f>
        <v>25.6</v>
      </c>
      <c r="AG307">
        <f>AVERAGEIFS($I$2:I307, $B$2:B307, B307)</f>
        <v>0.42000000000000004</v>
      </c>
      <c r="AH307">
        <f>AVERAGEIFS($I$2:J307, $B$2:C307, C307)</f>
        <v>0.48062500000000002</v>
      </c>
      <c r="AI307">
        <f>AVERAGEIFS($D$2:D307, $B$2:B307, B307)</f>
        <v>0.3</v>
      </c>
    </row>
    <row r="308" spans="1:35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0</v>
      </c>
      <c r="AF308">
        <f>AVERAGEIFS($C$2:C308, $B$2:B308, B308)</f>
        <v>13.857142857142858</v>
      </c>
      <c r="AG308">
        <f>AVERAGEIFS($I$2:I308, $B$2:B308, B308)</f>
        <v>0.41428571428571426</v>
      </c>
      <c r="AH308">
        <f>AVERAGEIFS($I$2:J308, $B$2:C308, C308)</f>
        <v>0.52533333333333332</v>
      </c>
      <c r="AI308">
        <f>AVERAGEIFS($D$2:D308, $B$2:B308, B308)</f>
        <v>0.2857142857142857</v>
      </c>
    </row>
    <row r="309" spans="1:35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1</v>
      </c>
      <c r="AD309">
        <v>0</v>
      </c>
      <c r="AE309">
        <v>0</v>
      </c>
      <c r="AF309">
        <f>AVERAGEIFS($C$2:C309, $B$2:B309, B309)</f>
        <v>17.6875</v>
      </c>
      <c r="AG309">
        <f>AVERAGEIFS($I$2:I309, $B$2:B309, B309)</f>
        <v>0.46250000000000008</v>
      </c>
      <c r="AH309">
        <f>AVERAGEIFS($I$2:J309, $B$2:C309, C309)</f>
        <v>0.49411764705882355</v>
      </c>
      <c r="AI309">
        <f>AVERAGEIFS($D$2:D309, $B$2:B309, B309)</f>
        <v>0.4375</v>
      </c>
    </row>
    <row r="310" spans="1:35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1</v>
      </c>
      <c r="AD310">
        <v>0</v>
      </c>
      <c r="AE310">
        <v>0</v>
      </c>
      <c r="AF310">
        <f>AVERAGEIFS($C$2:C310, $B$2:B310, B310)</f>
        <v>17.100000000000001</v>
      </c>
      <c r="AG310">
        <f>AVERAGEIFS($I$2:I310, $B$2:B310, B310)</f>
        <v>0.495</v>
      </c>
      <c r="AH310">
        <f>AVERAGEIFS($I$2:J310, $B$2:C310, C310)</f>
        <v>0.4916666666666667</v>
      </c>
      <c r="AI310">
        <f>AVERAGEIFS($D$2:D310, $B$2:B310, B310)</f>
        <v>0.6</v>
      </c>
    </row>
    <row r="311" spans="1:35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1</v>
      </c>
      <c r="AD311">
        <v>0</v>
      </c>
      <c r="AE311">
        <v>0</v>
      </c>
      <c r="AF311">
        <f>AVERAGEIFS($C$2:C311, $B$2:B311, B311)</f>
        <v>17</v>
      </c>
      <c r="AG311">
        <f>AVERAGEIFS($I$2:I311, $B$2:B311, B311)</f>
        <v>0.4936363636363636</v>
      </c>
      <c r="AH311">
        <f>AVERAGEIFS($I$2:J311, $B$2:C311, C311)</f>
        <v>0.55099999999999993</v>
      </c>
      <c r="AI311">
        <f>AVERAGEIFS($D$2:D311, $B$2:B311, B311)</f>
        <v>0.45454545454545453</v>
      </c>
    </row>
    <row r="312" spans="1:35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f>AVERAGEIFS($C$2:C312, $B$2:B312, B312)</f>
        <v>17.875</v>
      </c>
      <c r="AG312">
        <f>AVERAGEIFS($I$2:I312, $B$2:B312, B312)</f>
        <v>0.54374999999999996</v>
      </c>
      <c r="AH312">
        <f>AVERAGEIFS($I$2:J312, $B$2:C312, C312)</f>
        <v>0.58272727272727276</v>
      </c>
      <c r="AI312">
        <f>AVERAGEIFS($D$2:D312, $B$2:B312, B312)</f>
        <v>0.625</v>
      </c>
    </row>
    <row r="313" spans="1:35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f>AVERAGEIFS($C$2:C313, $B$2:B313, B313)</f>
        <v>23</v>
      </c>
      <c r="AG313">
        <f>AVERAGEIFS($I$2:I313, $B$2:B313, B313)</f>
        <v>0.66499999999999992</v>
      </c>
      <c r="AH313">
        <f>AVERAGEIFS($I$2:J313, $B$2:C313, C313)</f>
        <v>0.52181818181818185</v>
      </c>
      <c r="AI313">
        <f>AVERAGEIFS($D$2:D313, $B$2:B313, B313)</f>
        <v>0.77272727272727271</v>
      </c>
    </row>
    <row r="314" spans="1:35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f>AVERAGEIFS($C$2:C314, $B$2:B314, B314)</f>
        <v>16.90909090909091</v>
      </c>
      <c r="AG314">
        <f>AVERAGEIFS($I$2:I314, $B$2:B314, B314)</f>
        <v>0.48818181818181822</v>
      </c>
      <c r="AH314">
        <f>AVERAGEIFS($I$2:J314, $B$2:C314, C314)</f>
        <v>0.52384615384615385</v>
      </c>
      <c r="AI314">
        <f>AVERAGEIFS($D$2:D314, $B$2:B314, B314)</f>
        <v>0.54545454545454541</v>
      </c>
    </row>
    <row r="315" spans="1:35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f>AVERAGEIFS($C$2:C315, $B$2:B315, B315)</f>
        <v>8.5</v>
      </c>
      <c r="AG315">
        <f>AVERAGEIFS($I$2:I315, $B$2:B315, B315)</f>
        <v>0.6875</v>
      </c>
      <c r="AH315">
        <f>AVERAGEIFS($I$2:J315, $B$2:C315, C315)</f>
        <v>0.53727272727272724</v>
      </c>
      <c r="AI315">
        <f>AVERAGEIFS($D$2:D315, $B$2:B315, B315)</f>
        <v>0.75</v>
      </c>
    </row>
    <row r="316" spans="1:35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f>AVERAGEIFS($C$2:C316, $B$2:B316, B316)</f>
        <v>19.666666666666668</v>
      </c>
      <c r="AG316">
        <f>AVERAGEIFS($I$2:I316, $B$2:B316, B316)</f>
        <v>0.52523809523809528</v>
      </c>
      <c r="AH316">
        <f>AVERAGEIFS($I$2:J316, $B$2:C316, C316)</f>
        <v>0.5675</v>
      </c>
      <c r="AI316">
        <f>AVERAGEIFS($D$2:D316, $B$2:B316, B316)</f>
        <v>0.52380952380952384</v>
      </c>
    </row>
    <row r="317" spans="1:35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f>AVERAGEIFS($C$2:C317, $B$2:B317, B317)</f>
        <v>17.888888888888889</v>
      </c>
      <c r="AG317">
        <f>AVERAGEIFS($I$2:I317, $B$2:B317, B317)</f>
        <v>0.54444444444444451</v>
      </c>
      <c r="AH317">
        <f>AVERAGEIFS($I$2:J317, $B$2:C317, C317)</f>
        <v>0.59307692307692317</v>
      </c>
      <c r="AI317">
        <f>AVERAGEIFS($D$2:D317, $B$2:B317, B317)</f>
        <v>0.44444444444444442</v>
      </c>
    </row>
    <row r="318" spans="1:35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f>AVERAGEIFS($C$2:C318, $B$2:B318, B318)</f>
        <v>8.5</v>
      </c>
      <c r="AG318">
        <f>AVERAGEIFS($I$2:I318, $B$2:B318, B318)</f>
        <v>0.6</v>
      </c>
      <c r="AH318">
        <f>AVERAGEIFS($I$2:J318, $B$2:C318, C318)</f>
        <v>0.56499999999999995</v>
      </c>
      <c r="AI318">
        <f>AVERAGEIFS($D$2:D318, $B$2:B318, B318)</f>
        <v>0.5</v>
      </c>
    </row>
    <row r="319" spans="1:35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f>AVERAGEIFS($C$2:C319, $B$2:B319, B319)</f>
        <v>21.055555555555557</v>
      </c>
      <c r="AG319">
        <f>AVERAGEIFS($I$2:I319, $B$2:B319, B319)</f>
        <v>0.45944444444444443</v>
      </c>
      <c r="AH319">
        <f>AVERAGEIFS($I$2:J319, $B$2:C319, C319)</f>
        <v>0.45400000000000001</v>
      </c>
      <c r="AI319">
        <f>AVERAGEIFS($D$2:D319, $B$2:B319, B319)</f>
        <v>0.3888888888888889</v>
      </c>
    </row>
    <row r="320" spans="1:35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f>AVERAGEIFS($C$2:C320, $B$2:B320, B320)</f>
        <v>27.5</v>
      </c>
      <c r="AG320">
        <f>AVERAGEIFS($I$2:I320, $B$2:B320, B320)</f>
        <v>0.34500000000000003</v>
      </c>
      <c r="AH320">
        <f>AVERAGEIFS($I$2:J320, $B$2:C320, C320)</f>
        <v>0.49874999999999992</v>
      </c>
      <c r="AI320">
        <f>AVERAGEIFS($D$2:D320, $B$2:B320, B320)</f>
        <v>0.4</v>
      </c>
    </row>
    <row r="321" spans="1:35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f>AVERAGEIFS($C$2:C321, $B$2:B321, B321)</f>
        <v>16.416666666666668</v>
      </c>
      <c r="AG321">
        <f>AVERAGEIFS($I$2:I321, $B$2:B321, B321)</f>
        <v>0.45249999999999996</v>
      </c>
      <c r="AH321">
        <f>AVERAGEIFS($I$2:J321, $B$2:C321, C321)</f>
        <v>0.55785714285714294</v>
      </c>
      <c r="AI321">
        <f>AVERAGEIFS($D$2:D321, $B$2:B321, B321)</f>
        <v>0.41666666666666669</v>
      </c>
    </row>
    <row r="322" spans="1:35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f>AVERAGEIFS($C$2:C322, $B$2:B322, B322)</f>
        <v>17.176470588235293</v>
      </c>
      <c r="AG322">
        <f>AVERAGEIFS($I$2:I322, $B$2:B322, B322)</f>
        <v>0.43529411764705889</v>
      </c>
      <c r="AH322">
        <f>AVERAGEIFS($I$2:J322, $B$2:C322, C322)</f>
        <v>0.40199999999999997</v>
      </c>
      <c r="AI322">
        <f>AVERAGEIFS($D$2:D322, $B$2:B322, B322)</f>
        <v>0.41176470588235292</v>
      </c>
    </row>
    <row r="323" spans="1:35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f>AVERAGEIFS($C$2:C323, $B$2:B323, B323)</f>
        <v>11.65</v>
      </c>
      <c r="AG323">
        <f>AVERAGEIFS($I$2:I323, $B$2:B323, B323)</f>
        <v>0.42650000000000005</v>
      </c>
      <c r="AH323">
        <f>AVERAGEIFS($I$2:J323, $B$2:C323, C323)</f>
        <v>0.44555555555555554</v>
      </c>
      <c r="AI323">
        <f>AVERAGEIFS($D$2:D323, $B$2:B323, B323)</f>
        <v>0.35</v>
      </c>
    </row>
    <row r="324" spans="1:35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f>AVERAGEIFS($C$2:C324, $B$2:B324, B324)</f>
        <v>16.09090909090909</v>
      </c>
      <c r="AG324">
        <f>AVERAGEIFS($I$2:I324, $B$2:B324, B324)</f>
        <v>0.45</v>
      </c>
      <c r="AH324">
        <f>AVERAGEIFS($I$2:J324, $B$2:C324, C324)</f>
        <v>0.5133333333333332</v>
      </c>
      <c r="AI324">
        <f>AVERAGEIFS($D$2:D324, $B$2:B324, B324)</f>
        <v>0.54545454545454541</v>
      </c>
    </row>
    <row r="325" spans="1:35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f>AVERAGEIFS($C$2:C325, $B$2:B325, B325)</f>
        <v>4</v>
      </c>
      <c r="AG325">
        <f>AVERAGEIFS($I$2:I325, $B$2:B325, B325)</f>
        <v>0</v>
      </c>
      <c r="AH325">
        <f>AVERAGEIFS($I$2:J325, $B$2:C325, C325)</f>
        <v>0.31</v>
      </c>
      <c r="AI325">
        <f>AVERAGEIFS($D$2:D325, $B$2:B325, B325)</f>
        <v>0</v>
      </c>
    </row>
    <row r="326" spans="1:35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1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f>AVERAGEIFS($C$2:C326, $B$2:B326, B326)</f>
        <v>22.913043478260871</v>
      </c>
      <c r="AG326">
        <f>AVERAGEIFS($I$2:I326, $B$2:B326, B326)</f>
        <v>0.66869565217391302</v>
      </c>
      <c r="AH326">
        <f>AVERAGEIFS($I$2:J326, $B$2:C326, C326)</f>
        <v>0.58416666666666661</v>
      </c>
      <c r="AI326">
        <f>AVERAGEIFS($D$2:D326, $B$2:B326, B326)</f>
        <v>0.78260869565217395</v>
      </c>
    </row>
    <row r="327" spans="1:35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1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f>AVERAGEIFS($C$2:C327, $B$2:B327, B327)</f>
        <v>19.681818181818183</v>
      </c>
      <c r="AG327">
        <f>AVERAGEIFS($I$2:I327, $B$2:B327, B327)</f>
        <v>0.53545454545454552</v>
      </c>
      <c r="AH327">
        <f>AVERAGEIFS($I$2:J327, $B$2:C327, C327)</f>
        <v>0.48166666666666652</v>
      </c>
      <c r="AI327">
        <f>AVERAGEIFS($D$2:D327, $B$2:B327, B327)</f>
        <v>0.54545454545454541</v>
      </c>
    </row>
    <row r="328" spans="1:35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1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f>AVERAGEIFS($C$2:C328, $B$2:B328, B328)</f>
        <v>17.277777777777779</v>
      </c>
      <c r="AG328">
        <f>AVERAGEIFS($I$2:I328, $B$2:B328, B328)</f>
        <v>0.45277777777777789</v>
      </c>
      <c r="AH328">
        <f>AVERAGEIFS($I$2:J328, $B$2:C328, C328)</f>
        <v>0.52833333333333332</v>
      </c>
      <c r="AI328">
        <f>AVERAGEIFS($D$2:D328, $B$2:B328, B328)</f>
        <v>0.44444444444444442</v>
      </c>
    </row>
    <row r="329" spans="1:35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1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f>AVERAGEIFS($C$2:C329, $B$2:B329, B329)</f>
        <v>12.6</v>
      </c>
      <c r="AG329">
        <f>AVERAGEIFS($I$2:I329, $B$2:B329, B329)</f>
        <v>0.71000000000000008</v>
      </c>
      <c r="AH329">
        <f>AVERAGEIFS($I$2:J329, $B$2:C329, C329)</f>
        <v>0.53384615384615386</v>
      </c>
      <c r="AI329">
        <f>AVERAGEIFS($D$2:D329, $B$2:B329, B329)</f>
        <v>1</v>
      </c>
    </row>
    <row r="330" spans="1:35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1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f>AVERAGEIFS($C$2:C330, $B$2:B330, B330)</f>
        <v>16.142857142857142</v>
      </c>
      <c r="AG330">
        <f>AVERAGEIFS($I$2:I330, $B$2:B330, B330)</f>
        <v>0.57857142857142851</v>
      </c>
      <c r="AH330">
        <f>AVERAGEIFS($I$2:J330, $B$2:C330, C330)</f>
        <v>0.5</v>
      </c>
      <c r="AI330">
        <f>AVERAGEIFS($D$2:D330, $B$2:B330, B330)</f>
        <v>0.5714285714285714</v>
      </c>
    </row>
    <row r="331" spans="1:35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f>AVERAGEIFS($C$2:C331, $B$2:B331, B331)</f>
        <v>17.8</v>
      </c>
      <c r="AG331">
        <f>AVERAGEIFS($I$2:I331, $B$2:B331, B331)</f>
        <v>0.56500000000000006</v>
      </c>
      <c r="AH331">
        <f>AVERAGEIFS($I$2:J331, $B$2:C331, C331)</f>
        <v>0.44750000000000006</v>
      </c>
      <c r="AI331">
        <f>AVERAGEIFS($D$2:D331, $B$2:B331, B331)</f>
        <v>0.5</v>
      </c>
    </row>
    <row r="332" spans="1:35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f>AVERAGEIFS($C$2:C332, $B$2:B332, B332)</f>
        <v>25.727272727272727</v>
      </c>
      <c r="AG332">
        <f>AVERAGEIFS($I$2:I332, $B$2:B332, B332)</f>
        <v>0.40454545454545454</v>
      </c>
      <c r="AH332">
        <f>AVERAGEIFS($I$2:J332, $B$2:C332, C332)</f>
        <v>0.46875</v>
      </c>
      <c r="AI332">
        <f>AVERAGEIFS($D$2:D332, $B$2:B332, B332)</f>
        <v>0.27272727272727271</v>
      </c>
    </row>
    <row r="333" spans="1:35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f>AVERAGEIFS($C$2:C333, $B$2:B333, B333)</f>
        <v>18.333333333333332</v>
      </c>
      <c r="AG333">
        <f>AVERAGEIFS($I$2:I333, $B$2:B333, B333)</f>
        <v>0.6166666666666667</v>
      </c>
      <c r="AH333">
        <f>AVERAGEIFS($I$2:J333, $B$2:C333, C333)</f>
        <v>0.44470588235294128</v>
      </c>
      <c r="AI333">
        <f>AVERAGEIFS($D$2:D333, $B$2:B333, B333)</f>
        <v>0.66666666666666663</v>
      </c>
    </row>
    <row r="334" spans="1:35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f>AVERAGEIFS($C$2:C334, $B$2:B334, B334)</f>
        <v>16.46153846153846</v>
      </c>
      <c r="AG334">
        <f>AVERAGEIFS($I$2:I334, $B$2:B334, B334)</f>
        <v>0.43692307692307691</v>
      </c>
      <c r="AH334">
        <f>AVERAGEIFS($I$2:J334, $B$2:C334, C334)</f>
        <v>0.44222222222222229</v>
      </c>
      <c r="AI334">
        <f>AVERAGEIFS($D$2:D334, $B$2:B334, B334)</f>
        <v>0.38461538461538464</v>
      </c>
    </row>
    <row r="335" spans="1:35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f>AVERAGEIFS($C$2:C335, $B$2:B335, B335)</f>
        <v>16.083333333333332</v>
      </c>
      <c r="AG335">
        <f>AVERAGEIFS($I$2:I335, $B$2:B335, B335)</f>
        <v>0.43333333333333335</v>
      </c>
      <c r="AH335">
        <f>AVERAGEIFS($I$2:J335, $B$2:C335, C335)</f>
        <v>0.50111111111111117</v>
      </c>
      <c r="AI335">
        <f>AVERAGEIFS($D$2:D335, $B$2:B335, B335)</f>
        <v>0.5</v>
      </c>
    </row>
    <row r="336" spans="1:35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f>AVERAGEIFS($C$2:C336, $B$2:B336, B336)</f>
        <v>16.666666666666668</v>
      </c>
      <c r="AG336">
        <f>AVERAGEIFS($I$2:I336, $B$2:B336, B336)</f>
        <v>0.46833333333333332</v>
      </c>
      <c r="AH336">
        <f>AVERAGEIFS($I$2:J336, $B$2:C336, C336)</f>
        <v>0.48000000000000004</v>
      </c>
      <c r="AI336">
        <f>AVERAGEIFS($D$2:D336, $B$2:B336, B336)</f>
        <v>0.5</v>
      </c>
    </row>
    <row r="337" spans="1:35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f>AVERAGEIFS($C$2:C337, $B$2:B337, B337)</f>
        <v>13</v>
      </c>
      <c r="AG337">
        <f>AVERAGEIFS($I$2:I337, $B$2:B337, B337)</f>
        <v>0.35833333333333334</v>
      </c>
      <c r="AH337">
        <f>AVERAGEIFS($I$2:J337, $B$2:C337, C337)</f>
        <v>0.51500000000000001</v>
      </c>
      <c r="AI337">
        <f>AVERAGEIFS($D$2:D337, $B$2:B337, B337)</f>
        <v>0.16666666666666666</v>
      </c>
    </row>
    <row r="338" spans="1:35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1</v>
      </c>
      <c r="AD338">
        <v>1</v>
      </c>
      <c r="AE338">
        <v>0</v>
      </c>
      <c r="AF338">
        <f>AVERAGEIFS($C$2:C338, $B$2:B338, B338)</f>
        <v>29.545454545454547</v>
      </c>
      <c r="AG338">
        <f>AVERAGEIFS($I$2:I338, $B$2:B338, B338)</f>
        <v>0.38181818181818183</v>
      </c>
      <c r="AH338">
        <f>AVERAGEIFS($I$2:J338, $B$2:C338, C338)</f>
        <v>0.57999999999999996</v>
      </c>
      <c r="AI338">
        <f>AVERAGEIFS($D$2:D338, $B$2:B338, B338)</f>
        <v>0.45454545454545453</v>
      </c>
    </row>
    <row r="339" spans="1:35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1</v>
      </c>
      <c r="AD339">
        <v>1</v>
      </c>
      <c r="AE339">
        <v>0</v>
      </c>
      <c r="AF339">
        <f>AVERAGEIFS($C$2:C339, $B$2:B339, B339)</f>
        <v>24.869565217391305</v>
      </c>
      <c r="AG339">
        <f>AVERAGEIFS($I$2:I339, $B$2:B339, B339)</f>
        <v>0.4986956521739131</v>
      </c>
      <c r="AH339">
        <f>AVERAGEIFS($I$2:J339, $B$2:C339, C339)</f>
        <v>0.55749999999999988</v>
      </c>
      <c r="AI339">
        <f>AVERAGEIFS($D$2:D339, $B$2:B339, B339)</f>
        <v>0.47826086956521741</v>
      </c>
    </row>
    <row r="340" spans="1:35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1</v>
      </c>
      <c r="AD340">
        <v>1</v>
      </c>
      <c r="AE340">
        <v>0</v>
      </c>
      <c r="AF340">
        <f>AVERAGEIFS($C$2:C340, $B$2:B340, B340)</f>
        <v>12.333333333333334</v>
      </c>
      <c r="AG340">
        <f>AVERAGEIFS($I$2:I340, $B$2:B340, B340)</f>
        <v>0.53333333333333333</v>
      </c>
      <c r="AH340">
        <f>AVERAGEIFS($I$2:J340, $B$2:C340, C340)</f>
        <v>0.50421052631578944</v>
      </c>
      <c r="AI340">
        <f>AVERAGEIFS($D$2:D340, $B$2:B340, B340)</f>
        <v>0.66666666666666663</v>
      </c>
    </row>
    <row r="341" spans="1:35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1</v>
      </c>
      <c r="AE341">
        <v>0</v>
      </c>
      <c r="AF341">
        <f>AVERAGEIFS($C$2:C341, $B$2:B341, B341)</f>
        <v>19.857142857142858</v>
      </c>
      <c r="AG341">
        <f>AVERAGEIFS($I$2:I341, $B$2:B341, B341)</f>
        <v>0.49285714285714283</v>
      </c>
      <c r="AH341">
        <f>AVERAGEIFS($I$2:J341, $B$2:C341, C341)</f>
        <v>0.50800000000000001</v>
      </c>
      <c r="AI341">
        <f>AVERAGEIFS($D$2:D341, $B$2:B341, B341)</f>
        <v>0.42857142857142855</v>
      </c>
    </row>
    <row r="342" spans="1:35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1</v>
      </c>
      <c r="AD342">
        <v>1</v>
      </c>
      <c r="AE342">
        <v>0</v>
      </c>
      <c r="AF342">
        <f>AVERAGEIFS($C$2:C342, $B$2:B342, B342)</f>
        <v>19.608695652173914</v>
      </c>
      <c r="AG342">
        <f>AVERAGEIFS($I$2:I342, $B$2:B342, B342)</f>
        <v>0.5447826086956522</v>
      </c>
      <c r="AH342">
        <f>AVERAGEIFS($I$2:J342, $B$2:C342, C342)</f>
        <v>0.51142857142857145</v>
      </c>
      <c r="AI342">
        <f>AVERAGEIFS($D$2:D342, $B$2:B342, B342)</f>
        <v>0.56521739130434778</v>
      </c>
    </row>
    <row r="343" spans="1:35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1</v>
      </c>
      <c r="AD343">
        <v>1</v>
      </c>
      <c r="AE343">
        <v>0</v>
      </c>
      <c r="AF343">
        <f>AVERAGEIFS($C$2:C343, $B$2:B343, B343)</f>
        <v>17.555555555555557</v>
      </c>
      <c r="AG343">
        <f>AVERAGEIFS($I$2:I343, $B$2:B343, B343)</f>
        <v>0.56666666666666665</v>
      </c>
      <c r="AH343">
        <f>AVERAGEIFS($I$2:J343, $B$2:C343, C343)</f>
        <v>0.46545454545454545</v>
      </c>
      <c r="AI343">
        <f>AVERAGEIFS($D$2:D343, $B$2:B343, B343)</f>
        <v>0.66666666666666663</v>
      </c>
    </row>
    <row r="344" spans="1:35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f>AVERAGEIFS($C$2:C344, $B$2:B344, B344)</f>
        <v>24.388888888888889</v>
      </c>
      <c r="AG344">
        <f>AVERAGEIFS($I$2:I344, $B$2:B344, B344)</f>
        <v>0.48500000000000004</v>
      </c>
      <c r="AH344">
        <f>AVERAGEIFS($I$2:J344, $B$2:C344, C344)</f>
        <v>0.48142857142857143</v>
      </c>
      <c r="AI344">
        <f>AVERAGEIFS($D$2:D344, $B$2:B344, B344)</f>
        <v>0.44444444444444442</v>
      </c>
    </row>
    <row r="345" spans="1:35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f>AVERAGEIFS($C$2:C345, $B$2:B345, B345)</f>
        <v>17.684210526315791</v>
      </c>
      <c r="AG345">
        <f>AVERAGEIFS($I$2:I345, $B$2:B345, B345)</f>
        <v>0.44210526315789483</v>
      </c>
      <c r="AH345">
        <f>AVERAGEIFS($I$2:J345, $B$2:C345, C345)</f>
        <v>0.48466666666666663</v>
      </c>
      <c r="AI345">
        <f>AVERAGEIFS($D$2:D345, $B$2:B345, B345)</f>
        <v>0.42105263157894735</v>
      </c>
    </row>
    <row r="346" spans="1:35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f>AVERAGEIFS($C$2:C346, $B$2:B346, B346)</f>
        <v>22.875</v>
      </c>
      <c r="AG346">
        <f>AVERAGEIFS($I$2:I346, $B$2:B346, B346)</f>
        <v>0.65125</v>
      </c>
      <c r="AH346">
        <f>AVERAGEIFS($I$2:J346, $B$2:C346, C346)</f>
        <v>0.52214285714285713</v>
      </c>
      <c r="AI346">
        <f>AVERAGEIFS($D$2:D346, $B$2:B346, B346)</f>
        <v>0.75</v>
      </c>
    </row>
    <row r="347" spans="1:35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f>AVERAGEIFS($C$2:C347, $B$2:B347, B347)</f>
        <v>16.46153846153846</v>
      </c>
      <c r="AG347">
        <f>AVERAGEIFS($I$2:I347, $B$2:B347, B347)</f>
        <v>0.41923076923076924</v>
      </c>
      <c r="AH347">
        <f>AVERAGEIFS($I$2:J347, $B$2:C347, C347)</f>
        <v>0.57153846153846155</v>
      </c>
      <c r="AI347">
        <f>AVERAGEIFS($D$2:D347, $B$2:B347, B347)</f>
        <v>0.46153846153846156</v>
      </c>
    </row>
    <row r="348" spans="1:35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1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f>AVERAGEIFS($C$2:C348, $B$2:B348, B348)</f>
        <v>16.428571428571427</v>
      </c>
      <c r="AG348">
        <f>AVERAGEIFS($I$2:I348, $B$2:B348, B348)</f>
        <v>0.42357142857142854</v>
      </c>
      <c r="AH348">
        <f>AVERAGEIFS($I$2:J348, $B$2:C348, C348)</f>
        <v>0.49684210526315797</v>
      </c>
      <c r="AI348">
        <f>AVERAGEIFS($D$2:D348, $B$2:B348, B348)</f>
        <v>0.35714285714285715</v>
      </c>
    </row>
    <row r="349" spans="1:35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f>AVERAGEIFS($C$2:C349, $B$2:B349, B349)</f>
        <v>13.5</v>
      </c>
      <c r="AG349">
        <f>AVERAGEIFS($I$2:I349, $B$2:B349, B349)</f>
        <v>0.39374999999999999</v>
      </c>
      <c r="AH349">
        <f>AVERAGEIFS($I$2:J349, $B$2:C349, C349)</f>
        <v>0.50866666666666671</v>
      </c>
      <c r="AI349">
        <f>AVERAGEIFS($D$2:D349, $B$2:B349, B349)</f>
        <v>0.25</v>
      </c>
    </row>
    <row r="350" spans="1:35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1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f>AVERAGEIFS($C$2:C350, $B$2:B350, B350)</f>
        <v>23</v>
      </c>
      <c r="AG350">
        <f>AVERAGEIFS($I$2:I350, $B$2:B350, B350)</f>
        <v>0.6552</v>
      </c>
      <c r="AH350">
        <f>AVERAGEIFS($I$2:J350, $B$2:C350, C350)</f>
        <v>0.59250000000000003</v>
      </c>
      <c r="AI350">
        <f>AVERAGEIFS($D$2:D350, $B$2:B350, B350)</f>
        <v>0.76</v>
      </c>
    </row>
    <row r="351" spans="1:35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1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f>AVERAGEIFS($C$2:C351, $B$2:B351, B351)</f>
        <v>17.850000000000001</v>
      </c>
      <c r="AG351">
        <f>AVERAGEIFS($I$2:I351, $B$2:B351, B351)</f>
        <v>0.45750000000000013</v>
      </c>
      <c r="AH351">
        <f>AVERAGEIFS($I$2:J351, $B$2:C351, C351)</f>
        <v>0.58285714285714285</v>
      </c>
      <c r="AI351">
        <f>AVERAGEIFS($D$2:D351, $B$2:B351, B351)</f>
        <v>0.45</v>
      </c>
    </row>
    <row r="352" spans="1:35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1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f>AVERAGEIFS($C$2:C352, $B$2:B352, B352)</f>
        <v>20.625</v>
      </c>
      <c r="AG352">
        <f>AVERAGEIFS($I$2:I352, $B$2:B352, B352)</f>
        <v>0.59624999999999995</v>
      </c>
      <c r="AH352">
        <f>AVERAGEIFS($I$2:J352, $B$2:C352, C352)</f>
        <v>0.45736842105263165</v>
      </c>
      <c r="AI352">
        <f>AVERAGEIFS($D$2:D352, $B$2:B352, B352)</f>
        <v>0.75</v>
      </c>
    </row>
    <row r="353" spans="1:35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1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</v>
      </c>
      <c r="AF353">
        <f>AVERAGEIFS($C$2:C353, $B$2:B353, B353)</f>
        <v>17.5</v>
      </c>
      <c r="AG353">
        <f>AVERAGEIFS($I$2:I353, $B$2:B353, B353)</f>
        <v>0.58499999999999996</v>
      </c>
      <c r="AH353">
        <f>AVERAGEIFS($I$2:J353, $B$2:C353, C353)</f>
        <v>0.47100000000000009</v>
      </c>
      <c r="AI353">
        <f>AVERAGEIFS($D$2:D353, $B$2:B353, B353)</f>
        <v>0.7</v>
      </c>
    </row>
    <row r="354" spans="1:35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1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1</v>
      </c>
      <c r="AF354">
        <f>AVERAGEIFS($C$2:C354, $B$2:B354, B354)</f>
        <v>12.571428571428571</v>
      </c>
      <c r="AG354">
        <f>AVERAGEIFS($I$2:I354, $B$2:B354, B354)</f>
        <v>0.41428571428571426</v>
      </c>
      <c r="AH354">
        <f>AVERAGEIFS($I$2:J354, $B$2:C354, C354)</f>
        <v>0.56933333333333336</v>
      </c>
      <c r="AI354">
        <f>AVERAGEIFS($D$2:D354, $B$2:B354, B354)</f>
        <v>0.2857142857142857</v>
      </c>
    </row>
    <row r="355" spans="1:35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f>AVERAGEIFS($C$2:C355, $B$2:B355, B355)</f>
        <v>16.642857142857142</v>
      </c>
      <c r="AG355">
        <f>AVERAGEIFS($I$2:I355, $B$2:B355, B355)</f>
        <v>0.40714285714285714</v>
      </c>
      <c r="AH355">
        <f>AVERAGEIFS($I$2:J355, $B$2:C355, C355)</f>
        <v>0.5149999999999999</v>
      </c>
      <c r="AI355">
        <f>AVERAGEIFS($D$2:D355, $B$2:B355, B355)</f>
        <v>0.42857142857142855</v>
      </c>
    </row>
    <row r="356" spans="1:35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f>AVERAGEIFS($C$2:C356, $B$2:B356, B356)</f>
        <v>19.8</v>
      </c>
      <c r="AG356">
        <f>AVERAGEIFS($I$2:I356, $B$2:B356, B356)</f>
        <v>0.47666666666666663</v>
      </c>
      <c r="AH356">
        <f>AVERAGEIFS($I$2:J356, $B$2:C356, C356)</f>
        <v>0.49866666666666659</v>
      </c>
      <c r="AI356">
        <f>AVERAGEIFS($D$2:D356, $B$2:B356, B356)</f>
        <v>0.4</v>
      </c>
    </row>
    <row r="357" spans="1:35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f>AVERAGEIFS($C$2:C357, $B$2:B357, B357)</f>
        <v>24.416666666666668</v>
      </c>
      <c r="AG357">
        <f>AVERAGEIFS($I$2:I357, $B$2:B357, B357)</f>
        <v>0.48833333333333334</v>
      </c>
      <c r="AH357">
        <f>AVERAGEIFS($I$2:J357, $B$2:C357, C357)</f>
        <v>0.46384615384615391</v>
      </c>
      <c r="AI357">
        <f>AVERAGEIFS($D$2:D357, $B$2:B357, B357)</f>
        <v>0.45833333333333331</v>
      </c>
    </row>
    <row r="358" spans="1:35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f>AVERAGEIFS($C$2:C358, $B$2:B358, B358)</f>
        <v>11.571428571428571</v>
      </c>
      <c r="AG358">
        <f>AVERAGEIFS($I$2:I358, $B$2:B358, B358)</f>
        <v>0.41809523809523813</v>
      </c>
      <c r="AH358">
        <f>AVERAGEIFS($I$2:J358, $B$2:C358, C358)</f>
        <v>0.55062500000000003</v>
      </c>
      <c r="AI358">
        <f>AVERAGEIFS($D$2:D358, $B$2:B358, B358)</f>
        <v>0.33333333333333331</v>
      </c>
    </row>
    <row r="359" spans="1:35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f>AVERAGEIFS($C$2:C359, $B$2:B359, B359)</f>
        <v>8.5</v>
      </c>
      <c r="AG359">
        <f>AVERAGEIFS($I$2:I359, $B$2:B359, B359)</f>
        <v>0.32500000000000001</v>
      </c>
      <c r="AH359">
        <f>AVERAGEIFS($I$2:J359, $B$2:C359, C359)</f>
        <v>0.42799999999999994</v>
      </c>
      <c r="AI359">
        <f>AVERAGEIFS($D$2:D359, $B$2:B359, B359)</f>
        <v>0</v>
      </c>
    </row>
    <row r="360" spans="1:35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1</v>
      </c>
      <c r="AD360">
        <v>0</v>
      </c>
      <c r="AE360">
        <v>0</v>
      </c>
      <c r="AF360">
        <f>AVERAGEIFS($C$2:C360, $B$2:B360, B360)</f>
        <v>24.84</v>
      </c>
      <c r="AG360">
        <f>AVERAGEIFS($I$2:I360, $B$2:B360, B360)</f>
        <v>0.49880000000000002</v>
      </c>
      <c r="AH360">
        <f>AVERAGEIFS($I$2:J360, $B$2:C360, C360)</f>
        <v>0.55333333333333334</v>
      </c>
      <c r="AI360">
        <f>AVERAGEIFS($D$2:D360, $B$2:B360, B360)</f>
        <v>0.48</v>
      </c>
    </row>
    <row r="361" spans="1:35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1</v>
      </c>
      <c r="AD361">
        <v>0</v>
      </c>
      <c r="AE361">
        <v>0</v>
      </c>
      <c r="AF361">
        <f>AVERAGEIFS($C$2:C361, $B$2:B361, B361)</f>
        <v>18.363636363636363</v>
      </c>
      <c r="AG361">
        <f>AVERAGEIFS($I$2:I361, $B$2:B361, B361)</f>
        <v>0.6</v>
      </c>
      <c r="AH361">
        <f>AVERAGEIFS($I$2:J361, $B$2:C361, C361)</f>
        <v>0.48222222222222222</v>
      </c>
      <c r="AI361">
        <f>AVERAGEIFS($D$2:D361, $B$2:B361, B361)</f>
        <v>0.72727272727272729</v>
      </c>
    </row>
    <row r="362" spans="1:35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1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1</v>
      </c>
      <c r="AD362">
        <v>0</v>
      </c>
      <c r="AE362">
        <v>0</v>
      </c>
      <c r="AF362">
        <f>AVERAGEIFS($C$2:C362, $B$2:B362, B362)</f>
        <v>23.115384615384617</v>
      </c>
      <c r="AG362">
        <f>AVERAGEIFS($I$2:I362, $B$2:B362, B362)</f>
        <v>0.65884615384615386</v>
      </c>
      <c r="AH362">
        <f>AVERAGEIFS($I$2:J362, $B$2:C362, C362)</f>
        <v>0.59199999999999997</v>
      </c>
      <c r="AI362">
        <f>AVERAGEIFS($D$2:D362, $B$2:B362, B362)</f>
        <v>0.76923076923076927</v>
      </c>
    </row>
    <row r="363" spans="1:35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1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1</v>
      </c>
      <c r="AD363">
        <v>0</v>
      </c>
      <c r="AE363">
        <v>0</v>
      </c>
      <c r="AF363">
        <f>AVERAGEIFS($C$2:C363, $B$2:B363, B363)</f>
        <v>20.888888888888889</v>
      </c>
      <c r="AG363">
        <f>AVERAGEIFS($I$2:I363, $B$2:B363, B363)</f>
        <v>0.61333333333333329</v>
      </c>
      <c r="AH363">
        <f>AVERAGEIFS($I$2:J363, $B$2:C363, C363)</f>
        <v>0.55941176470588228</v>
      </c>
      <c r="AI363">
        <f>AVERAGEIFS($D$2:D363, $B$2:B363, B363)</f>
        <v>0.77777777777777779</v>
      </c>
    </row>
    <row r="364" spans="1:35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1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0</v>
      </c>
      <c r="AE364">
        <v>0</v>
      </c>
      <c r="AF364">
        <f>AVERAGEIFS($C$2:C364, $B$2:B364, B364)</f>
        <v>13.625</v>
      </c>
      <c r="AG364">
        <f>AVERAGEIFS($I$2:I364, $B$2:B364, B364)</f>
        <v>0.45624999999999999</v>
      </c>
      <c r="AH364">
        <f>AVERAGEIFS($I$2:J364, $B$2:C364, C364)</f>
        <v>0.58333333333333337</v>
      </c>
      <c r="AI364">
        <f>AVERAGEIFS($D$2:D364, $B$2:B364, B364)</f>
        <v>0.375</v>
      </c>
    </row>
    <row r="365" spans="1:35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f>AVERAGEIFS($C$2:C365, $B$2:B365, B365)</f>
        <v>19.8125</v>
      </c>
      <c r="AG365">
        <f>AVERAGEIFS($I$2:I365, $B$2:B365, B365)</f>
        <v>0.49374999999999997</v>
      </c>
      <c r="AH365">
        <f>AVERAGEIFS($I$2:J365, $B$2:C365, C365)</f>
        <v>0.48999999999999988</v>
      </c>
      <c r="AI365">
        <f>AVERAGEIFS($D$2:D365, $B$2:B365, B365)</f>
        <v>0.4375</v>
      </c>
    </row>
    <row r="366" spans="1:35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f>AVERAGEIFS($C$2:C366, $B$2:B366, B366)</f>
        <v>14</v>
      </c>
      <c r="AG366">
        <f>AVERAGEIFS($I$2:I366, $B$2:B366, B366)</f>
        <v>0.58750000000000002</v>
      </c>
      <c r="AH366">
        <f>AVERAGEIFS($I$2:J366, $B$2:C366, C366)</f>
        <v>0.50437499999999991</v>
      </c>
      <c r="AI366">
        <f>AVERAGEIFS($D$2:D366, $B$2:B366, B366)</f>
        <v>0.75</v>
      </c>
    </row>
    <row r="367" spans="1:35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1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f>AVERAGEIFS($C$2:C367, $B$2:B367, B367)</f>
        <v>11.772727272727273</v>
      </c>
      <c r="AG367">
        <f>AVERAGEIFS($I$2:I367, $B$2:B367, B367)</f>
        <v>0.43318181818181822</v>
      </c>
      <c r="AH367">
        <f>AVERAGEIFS($I$2:J367, $B$2:C367, C367)</f>
        <v>0.50150000000000006</v>
      </c>
      <c r="AI367">
        <f>AVERAGEIFS($D$2:D367, $B$2:B367, B367)</f>
        <v>0.36363636363636365</v>
      </c>
    </row>
    <row r="368" spans="1:35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f>AVERAGEIFS($C$2:C368, $B$2:B368, B368)</f>
        <v>17.8</v>
      </c>
      <c r="AG368">
        <f>AVERAGEIFS($I$2:I368, $B$2:B368, B368)</f>
        <v>0.39666666666666667</v>
      </c>
      <c r="AH368">
        <f>AVERAGEIFS($I$2:J368, $B$2:C368, C368)</f>
        <v>0.50750000000000006</v>
      </c>
      <c r="AI368">
        <f>AVERAGEIFS($D$2:D368, $B$2:B368, B368)</f>
        <v>0.4</v>
      </c>
    </row>
    <row r="369" spans="1:35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f>AVERAGEIFS($C$2:C369, $B$2:B369, B369)</f>
        <v>24.631578947368421</v>
      </c>
      <c r="AG369">
        <f>AVERAGEIFS($I$2:I369, $B$2:B369, B369)</f>
        <v>0.47263157894736846</v>
      </c>
      <c r="AH369">
        <f>AVERAGEIFS($I$2:J369, $B$2:C369, C369)</f>
        <v>0.54166666666666674</v>
      </c>
      <c r="AI369">
        <f>AVERAGEIFS($D$2:D369, $B$2:B369, B369)</f>
        <v>0.42105263157894735</v>
      </c>
    </row>
    <row r="370" spans="1:35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f>AVERAGEIFS($C$2:C370, $B$2:B370, B370)</f>
        <v>25.666666666666668</v>
      </c>
      <c r="AG370">
        <f>AVERAGEIFS($I$2:I370, $B$2:B370, B370)</f>
        <v>0.39166666666666666</v>
      </c>
      <c r="AH370">
        <f>AVERAGEIFS($I$2:J370, $B$2:C370, C370)</f>
        <v>0.48</v>
      </c>
      <c r="AI370">
        <f>AVERAGEIFS($D$2:D370, $B$2:B370, B370)</f>
        <v>0.25</v>
      </c>
    </row>
    <row r="371" spans="1:35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f>AVERAGEIFS($C$2:C371, $B$2:B371, B371)</f>
        <v>21.157894736842106</v>
      </c>
      <c r="AG371">
        <f>AVERAGEIFS($I$2:I371, $B$2:B371, B371)</f>
        <v>0.44842105263157894</v>
      </c>
      <c r="AH371">
        <f>AVERAGEIFS($I$2:J371, $B$2:C371, C371)</f>
        <v>0.551111111111111</v>
      </c>
      <c r="AI371">
        <f>AVERAGEIFS($D$2:D371, $B$2:B371, B371)</f>
        <v>0.36842105263157893</v>
      </c>
    </row>
    <row r="372" spans="1:35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f>AVERAGEIFS($C$2:C372, $B$2:B372, B372)</f>
        <v>16.5</v>
      </c>
      <c r="AG372">
        <f>AVERAGEIFS($I$2:I372, $B$2:B372, B372)</f>
        <v>0.53749999999999998</v>
      </c>
      <c r="AH372">
        <f>AVERAGEIFS($I$2:J372, $B$2:C372, C372)</f>
        <v>0.49882352941176461</v>
      </c>
      <c r="AI372">
        <f>AVERAGEIFS($D$2:D372, $B$2:B372, B372)</f>
        <v>0.5</v>
      </c>
    </row>
    <row r="373" spans="1:35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f>AVERAGEIFS($C$2:C373, $B$2:B373, B373)</f>
        <v>16.533333333333335</v>
      </c>
      <c r="AG373">
        <f>AVERAGEIFS($I$2:I373, $B$2:B373, B373)</f>
        <v>0.41199999999999998</v>
      </c>
      <c r="AH373">
        <f>AVERAGEIFS($I$2:J373, $B$2:C373, C373)</f>
        <v>0.50681818181818183</v>
      </c>
      <c r="AI373">
        <f>AVERAGEIFS($D$2:D373, $B$2:B373, B373)</f>
        <v>0.33333333333333331</v>
      </c>
    </row>
    <row r="374" spans="1:35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f>AVERAGEIFS($C$2:C374, $B$2:B374, B374)</f>
        <v>17.857142857142858</v>
      </c>
      <c r="AG374">
        <f>AVERAGEIFS($I$2:I374, $B$2:B374, B374)</f>
        <v>0.44761904761904769</v>
      </c>
      <c r="AH374">
        <f>AVERAGEIFS($I$2:J374, $B$2:C374, C374)</f>
        <v>0.50260869565217392</v>
      </c>
      <c r="AI374">
        <f>AVERAGEIFS($D$2:D374, $B$2:B374, B374)</f>
        <v>0.42857142857142855</v>
      </c>
    </row>
    <row r="375" spans="1:35" x14ac:dyDescent="0.25">
      <c r="A375" s="85">
        <v>46089</v>
      </c>
      <c r="B375" t="s">
        <v>138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f>AVERAGEIFS($C$2:C375, $B$2:B375, B375)</f>
        <v>12</v>
      </c>
      <c r="AG375">
        <f>AVERAGEIFS($I$2:I375, $B$2:B375, B375)</f>
        <v>0.25</v>
      </c>
      <c r="AH375">
        <f>AVERAGEIFS($I$2:J375, $B$2:C375, C375)</f>
        <v>0.49</v>
      </c>
      <c r="AI375">
        <f>AVERAGEIFS($D$2:D375, $B$2:B375, B375)</f>
        <v>0</v>
      </c>
    </row>
    <row r="376" spans="1:35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1</v>
      </c>
      <c r="AB376">
        <v>0</v>
      </c>
      <c r="AC376">
        <v>0</v>
      </c>
      <c r="AD376">
        <v>0</v>
      </c>
      <c r="AE376">
        <v>0</v>
      </c>
      <c r="AF376">
        <f>AVERAGEIFS($C$2:C376, $B$2:B376, B376)</f>
        <v>11.913043478260869</v>
      </c>
      <c r="AG376">
        <f>AVERAGEIFS($I$2:I376, $B$2:B376, B376)</f>
        <v>0.43173913043478268</v>
      </c>
      <c r="AH376">
        <f>AVERAGEIFS($I$2:J376, $B$2:C376, C376)</f>
        <v>0.46416666666666667</v>
      </c>
      <c r="AI376">
        <f>AVERAGEIFS($D$2:D376, $B$2:B376, B376)</f>
        <v>0.34782608695652173</v>
      </c>
    </row>
    <row r="377" spans="1:35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1</v>
      </c>
      <c r="AB377">
        <v>0</v>
      </c>
      <c r="AC377">
        <v>0</v>
      </c>
      <c r="AD377">
        <v>0</v>
      </c>
      <c r="AE377">
        <v>0</v>
      </c>
      <c r="AF377">
        <f>AVERAGEIFS($C$2:C377, $B$2:B377, B377)</f>
        <v>24.807692307692307</v>
      </c>
      <c r="AG377">
        <f>AVERAGEIFS($I$2:I377, $B$2:B377, B377)</f>
        <v>0.49500000000000005</v>
      </c>
      <c r="AH377">
        <f>AVERAGEIFS($I$2:J377, $B$2:C377, C377)</f>
        <v>0.51611111111111108</v>
      </c>
      <c r="AI377">
        <f>AVERAGEIFS($D$2:D377, $B$2:B377, B377)</f>
        <v>0.46153846153846156</v>
      </c>
    </row>
    <row r="378" spans="1:35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1</v>
      </c>
      <c r="AA378">
        <v>1</v>
      </c>
      <c r="AB378">
        <v>0</v>
      </c>
      <c r="AC378">
        <v>0</v>
      </c>
      <c r="AD378">
        <v>0</v>
      </c>
      <c r="AE378">
        <v>0</v>
      </c>
      <c r="AF378">
        <f>AVERAGEIFS($C$2:C378, $B$2:B378, B378)</f>
        <v>20.7</v>
      </c>
      <c r="AG378">
        <f>AVERAGEIFS($I$2:I378, $B$2:B378, B378)</f>
        <v>0.59199999999999997</v>
      </c>
      <c r="AH378">
        <f>AVERAGEIFS($I$2:J378, $B$2:C378, C378)</f>
        <v>0.496111111111111</v>
      </c>
      <c r="AI378">
        <f>AVERAGEIFS($D$2:D378, $B$2:B378, B378)</f>
        <v>0.7</v>
      </c>
    </row>
    <row r="379" spans="1:35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1</v>
      </c>
      <c r="AA379">
        <v>1</v>
      </c>
      <c r="AB379">
        <v>0</v>
      </c>
      <c r="AC379">
        <v>0</v>
      </c>
      <c r="AD379">
        <v>0</v>
      </c>
      <c r="AE379">
        <v>0</v>
      </c>
      <c r="AF379">
        <f>AVERAGEIFS($C$2:C379, $B$2:B379, B379)</f>
        <v>19.470588235294116</v>
      </c>
      <c r="AG379">
        <f>AVERAGEIFS($I$2:I379, $B$2:B379, B379)</f>
        <v>0.48823529411764699</v>
      </c>
      <c r="AH379">
        <f>AVERAGEIFS($I$2:J379, $B$2:C379, C379)</f>
        <v>0.46285714285714297</v>
      </c>
      <c r="AI379">
        <f>AVERAGEIFS($D$2:D379, $B$2:B379, B379)</f>
        <v>0.41176470588235292</v>
      </c>
    </row>
    <row r="380" spans="1:35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1</v>
      </c>
      <c r="AA380">
        <v>1</v>
      </c>
      <c r="AB380">
        <v>0</v>
      </c>
      <c r="AC380">
        <v>0</v>
      </c>
      <c r="AD380">
        <v>0</v>
      </c>
      <c r="AE380">
        <v>0</v>
      </c>
      <c r="AF380">
        <f>AVERAGEIFS($C$2:C380, $B$2:B380, B380)</f>
        <v>9</v>
      </c>
      <c r="AG380">
        <f>AVERAGEIFS($I$2:I380, $B$2:B380, B380)</f>
        <v>0.59399999999999997</v>
      </c>
      <c r="AH380">
        <f>AVERAGEIFS($I$2:J380, $B$2:C380, C380)</f>
        <v>0.505</v>
      </c>
      <c r="AI380">
        <f>AVERAGEIFS($D$2:D380, $B$2:B380, B380)</f>
        <v>0.6</v>
      </c>
    </row>
    <row r="381" spans="1:35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1</v>
      </c>
      <c r="AA381">
        <v>1</v>
      </c>
      <c r="AB381">
        <v>0</v>
      </c>
      <c r="AC381">
        <v>0</v>
      </c>
      <c r="AD381">
        <v>0</v>
      </c>
      <c r="AE381">
        <v>0</v>
      </c>
      <c r="AF381">
        <f>AVERAGEIFS($C$2:C381, $B$2:B381, B381)</f>
        <v>10</v>
      </c>
      <c r="AG381">
        <f>AVERAGEIFS($I$2:I381, $B$2:B381, B381)</f>
        <v>0.4</v>
      </c>
      <c r="AH381">
        <f>AVERAGEIFS($I$2:J381, $B$2:C381, C381)</f>
        <v>0.54470588235294115</v>
      </c>
      <c r="AI381">
        <f>AVERAGEIFS($D$2:D381, $B$2:B381, B381)</f>
        <v>0</v>
      </c>
    </row>
    <row r="382" spans="1:35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1</v>
      </c>
      <c r="AF382">
        <f>AVERAGEIFS($C$2:C382, $B$2:B382, B382)</f>
        <v>15</v>
      </c>
      <c r="AG382">
        <f>AVERAGEIFS($I$2:I382, $B$2:B382, B382)</f>
        <v>0.59000000000000008</v>
      </c>
      <c r="AH382">
        <f>AVERAGEIFS($I$2:J382, $B$2:C382, C382)</f>
        <v>0.49894736842105258</v>
      </c>
      <c r="AI382">
        <f>AVERAGEIFS($D$2:D382, $B$2:B382, B382)</f>
        <v>0.8</v>
      </c>
    </row>
    <row r="383" spans="1:35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f>AVERAGEIFS($C$2:C383, $B$2:B383, B383)</f>
        <v>18.333333333333332</v>
      </c>
      <c r="AG383">
        <f>AVERAGEIFS($I$2:I383, $B$2:B383, B383)</f>
        <v>0.6</v>
      </c>
      <c r="AH383">
        <f>AVERAGEIFS($I$2:J383, $B$2:C383, C383)</f>
        <v>0.50458333333333338</v>
      </c>
      <c r="AI383">
        <f>AVERAGEIFS($D$2:D383, $B$2:B383, B383)</f>
        <v>0.75</v>
      </c>
    </row>
    <row r="384" spans="1:35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f>AVERAGEIFS($C$2:C384, $B$2:B384, B384)</f>
        <v>24.5</v>
      </c>
      <c r="AG384">
        <f>AVERAGEIFS($I$2:I384, $B$2:B384, B384)</f>
        <v>0.47899999999999998</v>
      </c>
      <c r="AH384">
        <f>AVERAGEIFS($I$2:J384, $B$2:C384, C384)</f>
        <v>0.52399999999999991</v>
      </c>
      <c r="AI384">
        <f>AVERAGEIFS($D$2:D384, $B$2:B384, B384)</f>
        <v>0.45</v>
      </c>
    </row>
    <row r="385" spans="1:35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1</v>
      </c>
      <c r="AF385">
        <f>AVERAGEIFS($C$2:C385, $B$2:B385, B385)</f>
        <v>22.814814814814813</v>
      </c>
      <c r="AG385">
        <f>AVERAGEIFS($I$2:I385, $B$2:B385, B385)</f>
        <v>0.65666666666666673</v>
      </c>
      <c r="AH385">
        <f>AVERAGEIFS($I$2:J385, $B$2:C385, C385)</f>
        <v>0.47076923076923077</v>
      </c>
      <c r="AI385">
        <f>AVERAGEIFS($D$2:D385, $B$2:B385, B385)</f>
        <v>0.77777777777777779</v>
      </c>
    </row>
    <row r="386" spans="1:35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1</v>
      </c>
      <c r="AF386">
        <f>AVERAGEIFS($C$2:C386, $B$2:B386, B386)</f>
        <v>16.444444444444443</v>
      </c>
      <c r="AG386">
        <f>AVERAGEIFS($I$2:I386, $B$2:B386, B386)</f>
        <v>0.5444444444444444</v>
      </c>
      <c r="AH386">
        <f>AVERAGEIFS($I$2:J386, $B$2:C386, C386)</f>
        <v>0.50380952380952393</v>
      </c>
      <c r="AI386">
        <f>AVERAGEIFS($D$2:D386, $B$2:B386, B386)</f>
        <v>0.55555555555555558</v>
      </c>
    </row>
    <row r="387" spans="1:35" x14ac:dyDescent="0.25">
      <c r="A387" s="85">
        <v>46090</v>
      </c>
      <c r="B387" t="s">
        <v>138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1</v>
      </c>
      <c r="AF387">
        <f>AVERAGEIFS($C$2:C387, $B$2:B387, B387)</f>
        <v>10</v>
      </c>
      <c r="AG387">
        <f>AVERAGEIFS($I$2:I387, $B$2:B387, B387)</f>
        <v>0.42499999999999999</v>
      </c>
      <c r="AH387">
        <f>AVERAGEIFS($I$2:J387, $B$2:C387, C387)</f>
        <v>0.43909090909090903</v>
      </c>
      <c r="AI387">
        <f>AVERAGEIFS($D$2:D387, $B$2:B387, B387)</f>
        <v>0.5</v>
      </c>
    </row>
    <row r="388" spans="1:35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f>AVERAGEIFS($C$2:C388, $B$2:B388, B388)</f>
        <v>22</v>
      </c>
      <c r="AG388">
        <f>AVERAGEIFS($I$2:I388, $B$2:B388, B388)</f>
        <v>0.60636363636363633</v>
      </c>
      <c r="AH388">
        <f>AVERAGEIFS($I$2:J388, $B$2:C388, C388)</f>
        <v>0.58750000000000002</v>
      </c>
      <c r="AI388">
        <f>AVERAGEIFS($D$2:D388, $B$2:B388, B388)</f>
        <v>0.72727272727272729</v>
      </c>
    </row>
    <row r="389" spans="1:35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f>AVERAGEIFS($C$2:C389, $B$2:B389, B389)</f>
        <v>18.318181818181817</v>
      </c>
      <c r="AG389">
        <f>AVERAGEIFS($I$2:I389, $B$2:B389, B389)</f>
        <v>0.46136363636363648</v>
      </c>
      <c r="AH389">
        <f>AVERAGEIFS($I$2:J389, $B$2:C389, C389)</f>
        <v>0.50750000000000006</v>
      </c>
      <c r="AI389">
        <f>AVERAGEIFS($D$2:D389, $B$2:B389, B389)</f>
        <v>0.45454545454545453</v>
      </c>
    </row>
    <row r="390" spans="1:35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f>AVERAGEIFS($C$2:C390, $B$2:B390, B390)</f>
        <v>22.964285714285715</v>
      </c>
      <c r="AG390">
        <f>AVERAGEIFS($I$2:I390, $B$2:B390, B390)</f>
        <v>0.66</v>
      </c>
      <c r="AH390">
        <f>AVERAGEIFS($I$2:J390, $B$2:C390, C390)</f>
        <v>0.50299999999999989</v>
      </c>
      <c r="AI390">
        <f>AVERAGEIFS($D$2:D390, $B$2:B390, B390)</f>
        <v>0.7857142857142857</v>
      </c>
    </row>
    <row r="391" spans="1:35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f>AVERAGEIFS($C$2:C391, $B$2:B391, B391)</f>
        <v>18.181818181818183</v>
      </c>
      <c r="AG391">
        <f>AVERAGEIFS($I$2:I391, $B$2:B391, B391)</f>
        <v>0.5818181818181819</v>
      </c>
      <c r="AH391">
        <f>AVERAGEIFS($I$2:J391, $B$2:C391, C391)</f>
        <v>0.53437499999999993</v>
      </c>
      <c r="AI391">
        <f>AVERAGEIFS($D$2:D391, $B$2:B391, B391)</f>
        <v>0.54545454545454541</v>
      </c>
    </row>
    <row r="392" spans="1:35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1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f>AVERAGEIFS($C$2:C392, $B$2:B392, B392)</f>
        <v>24.38095238095238</v>
      </c>
      <c r="AG392">
        <f>AVERAGEIFS($I$2:I392, $B$2:B392, B392)</f>
        <v>0.4919047619047619</v>
      </c>
      <c r="AH392">
        <f>AVERAGEIFS($I$2:J392, $B$2:C392, C392)</f>
        <v>0.54352941176470582</v>
      </c>
      <c r="AI392">
        <f>AVERAGEIFS($D$2:D392, $B$2:B392, B392)</f>
        <v>0.47619047619047616</v>
      </c>
    </row>
    <row r="393" spans="1:35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f>AVERAGEIFS($C$2:C393, $B$2:B393, B393)</f>
        <v>16.100000000000001</v>
      </c>
      <c r="AG393">
        <f>AVERAGEIFS($I$2:I393, $B$2:B393, B393)</f>
        <v>0.56499999999999995</v>
      </c>
      <c r="AH393">
        <f>AVERAGEIFS($I$2:J393, $B$2:C393, C393)</f>
        <v>0.5099999999999999</v>
      </c>
      <c r="AI393">
        <f>AVERAGEIFS($D$2:D393, $B$2:B393, B393)</f>
        <v>0.6</v>
      </c>
    </row>
    <row r="394" spans="1:35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1</v>
      </c>
      <c r="AC394">
        <v>0</v>
      </c>
      <c r="AD394">
        <v>0</v>
      </c>
      <c r="AE394">
        <v>0</v>
      </c>
      <c r="AF394">
        <f>AVERAGEIFS($C$2:C394, $B$2:B394, B394)</f>
        <v>26</v>
      </c>
      <c r="AG394">
        <f>AVERAGEIFS($I$2:I394, $B$2:B394, B394)</f>
        <v>0.3807692307692308</v>
      </c>
      <c r="AH394">
        <f>AVERAGEIFS($I$2:J394, $B$2:C394, C394)</f>
        <v>0.40666666666666668</v>
      </c>
      <c r="AI394">
        <f>AVERAGEIFS($D$2:D394, $B$2:B394, B394)</f>
        <v>0.23076923076923078</v>
      </c>
    </row>
    <row r="395" spans="1:35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1</v>
      </c>
      <c r="AC395">
        <v>0</v>
      </c>
      <c r="AD395">
        <v>0</v>
      </c>
      <c r="AE395">
        <v>0</v>
      </c>
      <c r="AF395">
        <f>AVERAGEIFS($C$2:C395, $B$2:B395, B395)</f>
        <v>29.166666666666668</v>
      </c>
      <c r="AG395">
        <f>AVERAGEIFS($I$2:I395, $B$2:B395, B395)</f>
        <v>0.37083333333333335</v>
      </c>
      <c r="AH395">
        <f>AVERAGEIFS($I$2:J395, $B$2:C395, C395)</f>
        <v>0.47</v>
      </c>
      <c r="AI395">
        <f>AVERAGEIFS($D$2:D395, $B$2:B395, B395)</f>
        <v>0.41666666666666669</v>
      </c>
    </row>
    <row r="396" spans="1:35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1</v>
      </c>
      <c r="AC396">
        <v>0</v>
      </c>
      <c r="AD396">
        <v>0</v>
      </c>
      <c r="AE396">
        <v>0</v>
      </c>
      <c r="AF396">
        <f>AVERAGEIFS($C$2:C396, $B$2:B396, B396)</f>
        <v>18.46153846153846</v>
      </c>
      <c r="AG396">
        <f>AVERAGEIFS($I$2:I396, $B$2:B396, B396)</f>
        <v>0.57307692307692304</v>
      </c>
      <c r="AH396">
        <f>AVERAGEIFS($I$2:J396, $B$2:C396, C396)</f>
        <v>0.47714285714285698</v>
      </c>
      <c r="AI396">
        <f>AVERAGEIFS($D$2:D396, $B$2:B396, B396)</f>
        <v>0.69230769230769229</v>
      </c>
    </row>
    <row r="397" spans="1:35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1</v>
      </c>
      <c r="AC397">
        <v>0</v>
      </c>
      <c r="AD397">
        <v>0</v>
      </c>
      <c r="AE397">
        <v>0</v>
      </c>
      <c r="AF397">
        <f>AVERAGEIFS($C$2:C397, $B$2:B397, B397)</f>
        <v>21</v>
      </c>
      <c r="AG397">
        <f>AVERAGEIFS($I$2:I397, $B$2:B397, B397)</f>
        <v>0.4385</v>
      </c>
      <c r="AH397">
        <f>AVERAGEIFS($I$2:J397, $B$2:C397, C397)</f>
        <v>0.49680000000000007</v>
      </c>
      <c r="AI397">
        <f>AVERAGEIFS($D$2:D397, $B$2:B397, B397)</f>
        <v>0.35</v>
      </c>
    </row>
    <row r="398" spans="1:35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1</v>
      </c>
      <c r="AC398">
        <v>0</v>
      </c>
      <c r="AD398">
        <v>0</v>
      </c>
      <c r="AE398">
        <v>0</v>
      </c>
      <c r="AF398">
        <f>AVERAGEIFS($C$2:C398, $B$2:B398, B398)</f>
        <v>19.166666666666668</v>
      </c>
      <c r="AG398">
        <f>AVERAGEIFS($I$2:I398, $B$2:B398, B398)</f>
        <v>0.5</v>
      </c>
      <c r="AH398">
        <f>AVERAGEIFS($I$2:J398, $B$2:C398, C398)</f>
        <v>0.45928571428571424</v>
      </c>
      <c r="AI398">
        <f>AVERAGEIFS($D$2:D398, $B$2:B398, B398)</f>
        <v>0.5</v>
      </c>
    </row>
    <row r="399" spans="1:35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1</v>
      </c>
      <c r="AC399">
        <v>0</v>
      </c>
      <c r="AD399">
        <v>0</v>
      </c>
      <c r="AE399">
        <v>0</v>
      </c>
      <c r="AF399">
        <f>AVERAGEIFS($C$2:C399, $B$2:B399, B399)</f>
        <v>17.5</v>
      </c>
      <c r="AG399">
        <f>AVERAGEIFS($I$2:I399, $B$2:B399, B399)</f>
        <v>0.38750000000000001</v>
      </c>
      <c r="AH399">
        <f>AVERAGEIFS($I$2:J399, $B$2:C399, C399)</f>
        <v>0.49888888888888883</v>
      </c>
      <c r="AI399">
        <f>AVERAGEIFS($D$2:D399, $B$2:B399, B399)</f>
        <v>0.375</v>
      </c>
    </row>
    <row r="400" spans="1:35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1</v>
      </c>
      <c r="Y400">
        <v>0</v>
      </c>
      <c r="Z400">
        <v>0</v>
      </c>
      <c r="AA400">
        <v>1</v>
      </c>
      <c r="AB400">
        <v>0</v>
      </c>
      <c r="AC400">
        <v>0</v>
      </c>
      <c r="AD400">
        <v>0</v>
      </c>
      <c r="AE400">
        <v>0</v>
      </c>
      <c r="AF400">
        <f>AVERAGEIFS($C$2:C400, $B$2:B400, B400)</f>
        <v>18.347826086956523</v>
      </c>
      <c r="AG400">
        <f>AVERAGEIFS($I$2:I400, $B$2:B400, B400)</f>
        <v>0.48478260869565226</v>
      </c>
      <c r="AH400">
        <f>AVERAGEIFS($I$2:J400, $B$2:C400, C400)</f>
        <v>0.5149999999999999</v>
      </c>
      <c r="AI400">
        <f>AVERAGEIFS($D$2:D400, $B$2:B400, B400)</f>
        <v>0.47826086956521741</v>
      </c>
    </row>
    <row r="401" spans="1:35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1</v>
      </c>
      <c r="Y401">
        <v>0</v>
      </c>
      <c r="Z401">
        <v>0</v>
      </c>
      <c r="AA401">
        <v>1</v>
      </c>
      <c r="AB401">
        <v>0</v>
      </c>
      <c r="AC401">
        <v>0</v>
      </c>
      <c r="AD401">
        <v>0</v>
      </c>
      <c r="AE401">
        <v>0</v>
      </c>
      <c r="AF401">
        <f>AVERAGEIFS($C$2:C401, $B$2:B401, B401)</f>
        <v>24.777777777777779</v>
      </c>
      <c r="AG401">
        <f>AVERAGEIFS($I$2:I401, $B$2:B401, B401)</f>
        <v>0.51370370370370377</v>
      </c>
      <c r="AH401">
        <f>AVERAGEIFS($I$2:J401, $B$2:C401, C401)</f>
        <v>0.53210526315789475</v>
      </c>
      <c r="AI401">
        <f>AVERAGEIFS($D$2:D401, $B$2:B401, B401)</f>
        <v>0.48148148148148145</v>
      </c>
    </row>
    <row r="402" spans="1:35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1</v>
      </c>
      <c r="Y402">
        <v>0</v>
      </c>
      <c r="Z402">
        <v>0</v>
      </c>
      <c r="AA402">
        <v>1</v>
      </c>
      <c r="AB402">
        <v>0</v>
      </c>
      <c r="AC402">
        <v>0</v>
      </c>
      <c r="AD402">
        <v>0</v>
      </c>
      <c r="AE402">
        <v>0</v>
      </c>
      <c r="AF402">
        <f>AVERAGEIFS($C$2:C402, $B$2:B402, B402)</f>
        <v>24.045454545454547</v>
      </c>
      <c r="AG402">
        <f>AVERAGEIFS($I$2:I402, $B$2:B402, B402)</f>
        <v>0.51500000000000001</v>
      </c>
      <c r="AH402">
        <f>AVERAGEIFS($I$2:J402, $B$2:C402, C402)</f>
        <v>0.48761904761904773</v>
      </c>
      <c r="AI402">
        <f>AVERAGEIFS($D$2:D402, $B$2:B402, B402)</f>
        <v>0.5</v>
      </c>
    </row>
    <row r="403" spans="1:35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1</v>
      </c>
      <c r="Y403">
        <v>0</v>
      </c>
      <c r="Z403">
        <v>0</v>
      </c>
      <c r="AA403">
        <v>1</v>
      </c>
      <c r="AB403">
        <v>0</v>
      </c>
      <c r="AC403">
        <v>0</v>
      </c>
      <c r="AD403">
        <v>0</v>
      </c>
      <c r="AE403">
        <v>0</v>
      </c>
      <c r="AF403">
        <f>AVERAGEIFS($C$2:C403, $B$2:B403, B403)</f>
        <v>18.714285714285715</v>
      </c>
      <c r="AG403">
        <f>AVERAGEIFS($I$2:I403, $B$2:B403, B403)</f>
        <v>0.5714285714285714</v>
      </c>
      <c r="AH403">
        <f>AVERAGEIFS($I$2:J403, $B$2:C403, C403)</f>
        <v>0.5181818181818183</v>
      </c>
      <c r="AI403">
        <f>AVERAGEIFS($D$2:D403, $B$2:B403, B403)</f>
        <v>0.5714285714285714</v>
      </c>
    </row>
    <row r="404" spans="1:35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1</v>
      </c>
      <c r="Y404">
        <v>0</v>
      </c>
      <c r="Z404">
        <v>0</v>
      </c>
      <c r="AA404">
        <v>1</v>
      </c>
      <c r="AB404">
        <v>0</v>
      </c>
      <c r="AC404">
        <v>0</v>
      </c>
      <c r="AD404">
        <v>0</v>
      </c>
      <c r="AE404">
        <v>0</v>
      </c>
      <c r="AF404">
        <f>AVERAGEIFS($C$2:C404, $B$2:B404, B404)</f>
        <v>11.791666666666666</v>
      </c>
      <c r="AG404">
        <f>AVERAGEIFS($I$2:I404, $B$2:B404, B404)</f>
        <v>0.45541666666666675</v>
      </c>
      <c r="AH404">
        <f>AVERAGEIFS($I$2:J404, $B$2:C404, C404)</f>
        <v>0.44</v>
      </c>
      <c r="AI404">
        <f>AVERAGEIFS($D$2:D404, $B$2:B404, B404)</f>
        <v>0.375</v>
      </c>
    </row>
    <row r="405" spans="1:35" x14ac:dyDescent="0.25">
      <c r="A405" s="85">
        <v>46092</v>
      </c>
      <c r="B405" t="s">
        <v>138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1</v>
      </c>
      <c r="Y405">
        <v>0</v>
      </c>
      <c r="Z405">
        <v>0</v>
      </c>
      <c r="AA405">
        <v>1</v>
      </c>
      <c r="AB405">
        <v>0</v>
      </c>
      <c r="AC405">
        <v>0</v>
      </c>
      <c r="AD405">
        <v>0</v>
      </c>
      <c r="AE405">
        <v>0</v>
      </c>
      <c r="AF405">
        <f>AVERAGEIFS($C$2:C405, $B$2:B405, B405)</f>
        <v>7.666666666666667</v>
      </c>
      <c r="AG405">
        <f>AVERAGEIFS($I$2:I405, $B$2:B405, B405)</f>
        <v>0.6166666666666667</v>
      </c>
      <c r="AH405">
        <f>AVERAGEIFS($I$2:J405, $B$2:C405, C405)</f>
        <v>0.5344444444444445</v>
      </c>
      <c r="AI405">
        <f>AVERAGEIFS($D$2:D405, $B$2:B405, B405)</f>
        <v>0.66666666666666663</v>
      </c>
    </row>
    <row r="406" spans="1:35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f>AVERAGEIFS($C$2:C406, $B$2:B406, B406)</f>
        <v>17.857142857142858</v>
      </c>
      <c r="AG406">
        <f>AVERAGEIFS($I$2:I406, $B$2:B406, B406)</f>
        <v>0.53214285714285714</v>
      </c>
      <c r="AH406">
        <f>AVERAGEIFS($I$2:J406, $B$2:C406, C406)</f>
        <v>0.52444444444444438</v>
      </c>
      <c r="AI406">
        <f>AVERAGEIFS($D$2:D406, $B$2:B406, B406)</f>
        <v>0.6428571428571429</v>
      </c>
    </row>
    <row r="407" spans="1:35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f>AVERAGEIFS($C$2:C407, $B$2:B407, B407)</f>
        <v>22.758620689655171</v>
      </c>
      <c r="AG407">
        <f>AVERAGEIFS($I$2:I407, $B$2:B407, B407)</f>
        <v>0.63724137931034486</v>
      </c>
      <c r="AH407">
        <f>AVERAGEIFS($I$2:J407, $B$2:C407, C407)</f>
        <v>0.47363636363636369</v>
      </c>
      <c r="AI407">
        <f>AVERAGEIFS($D$2:D407, $B$2:B407, B407)</f>
        <v>0.75862068965517238</v>
      </c>
    </row>
    <row r="408" spans="1:35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f>AVERAGEIFS($C$2:C408, $B$2:B408, B408)</f>
        <v>14.666666666666666</v>
      </c>
      <c r="AG408">
        <f>AVERAGEIFS($I$2:I408, $B$2:B408, B408)</f>
        <v>0.4916666666666667</v>
      </c>
      <c r="AH408">
        <f>AVERAGEIFS($I$2:J408, $B$2:C408, C408)</f>
        <v>0.48210526315789465</v>
      </c>
      <c r="AI408">
        <f>AVERAGEIFS($D$2:D408, $B$2:B408, B408)</f>
        <v>0.66666666666666663</v>
      </c>
    </row>
    <row r="409" spans="1:35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f>AVERAGEIFS($C$2:C409, $B$2:B409, B409)</f>
        <v>17.5</v>
      </c>
      <c r="AG409">
        <f>AVERAGEIFS($I$2:I409, $B$2:B409, B409)</f>
        <v>0.53333333333333333</v>
      </c>
      <c r="AH409">
        <f>AVERAGEIFS($I$2:J409, $B$2:C409, C409)</f>
        <v>0.50631578947368416</v>
      </c>
      <c r="AI409">
        <f>AVERAGEIFS($D$2:D409, $B$2:B409, B409)</f>
        <v>0.5</v>
      </c>
    </row>
    <row r="410" spans="1:35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f>AVERAGEIFS($C$2:C410, $B$2:B410, B410)</f>
        <v>15.8125</v>
      </c>
      <c r="AG410">
        <f>AVERAGEIFS($I$2:I410, $B$2:B410, B410)</f>
        <v>0.38624999999999998</v>
      </c>
      <c r="AH410">
        <f>AVERAGEIFS($I$2:J410, $B$2:C410, C410)</f>
        <v>0.3166666666666666</v>
      </c>
      <c r="AI410">
        <f>AVERAGEIFS($D$2:D410, $B$2:B410, B410)</f>
        <v>0.3125</v>
      </c>
    </row>
    <row r="411" spans="1:35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f>AVERAGEIFS($C$2:C411, $B$2:B411, B411)</f>
        <v>13.5</v>
      </c>
      <c r="AG411">
        <f>AVERAGEIFS($I$2:I411, $B$2:B411, B411)</f>
        <v>0.39999999999999997</v>
      </c>
      <c r="AH411">
        <f>AVERAGEIFS($I$2:J411, $B$2:C411, C411)</f>
        <v>0.48999999999999994</v>
      </c>
      <c r="AI411">
        <f>AVERAGEIFS($D$2:D411, $B$2:B411, B411)</f>
        <v>0.33333333333333331</v>
      </c>
    </row>
    <row r="412" spans="1:35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1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1</v>
      </c>
      <c r="AB412">
        <v>0</v>
      </c>
      <c r="AC412">
        <v>0</v>
      </c>
      <c r="AD412">
        <v>0</v>
      </c>
      <c r="AE412">
        <v>0</v>
      </c>
      <c r="AF412">
        <f>AVERAGEIFS($C$2:C412, $B$2:B412, B412)</f>
        <v>4</v>
      </c>
      <c r="AG412">
        <f>AVERAGEIFS($I$2:I412, $B$2:B412, B412)</f>
        <v>0.75</v>
      </c>
      <c r="AH412">
        <f>AVERAGEIFS($I$2:J412, $B$2:C412, C412)</f>
        <v>0.42</v>
      </c>
      <c r="AI412">
        <f>AVERAGEIFS($D$2:D412, $B$2:B412, B412)</f>
        <v>1</v>
      </c>
    </row>
    <row r="413" spans="1:35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1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1</v>
      </c>
      <c r="AB413">
        <v>0</v>
      </c>
      <c r="AC413">
        <v>0</v>
      </c>
      <c r="AD413">
        <v>0</v>
      </c>
      <c r="AE413">
        <v>0</v>
      </c>
      <c r="AF413">
        <f>AVERAGEIFS($C$2:C413, $B$2:B413, B413)</f>
        <v>28.692307692307693</v>
      </c>
      <c r="AG413">
        <f>AVERAGEIFS($I$2:I413, $B$2:B413, B413)</f>
        <v>0.4</v>
      </c>
      <c r="AH413">
        <f>AVERAGEIFS($I$2:J413, $B$2:C413, C413)</f>
        <v>0.5557894736842105</v>
      </c>
      <c r="AI413">
        <f>AVERAGEIFS($D$2:D413, $B$2:B413, B413)</f>
        <v>0.46153846153846156</v>
      </c>
    </row>
    <row r="414" spans="1:35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1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1</v>
      </c>
      <c r="AB414">
        <v>0</v>
      </c>
      <c r="AC414">
        <v>0</v>
      </c>
      <c r="AD414">
        <v>0</v>
      </c>
      <c r="AE414">
        <v>0</v>
      </c>
      <c r="AF414">
        <f>AVERAGEIFS($C$2:C414, $B$2:B414, B414)</f>
        <v>24.75</v>
      </c>
      <c r="AG414">
        <f>AVERAGEIFS($I$2:I414, $B$2:B414, B414)</f>
        <v>0.52214285714285713</v>
      </c>
      <c r="AH414">
        <f>AVERAGEIFS($I$2:J414, $B$2:C414, C414)</f>
        <v>0.53749999999999998</v>
      </c>
      <c r="AI414">
        <f>AVERAGEIFS($D$2:D414, $B$2:B414, B414)</f>
        <v>0.5</v>
      </c>
    </row>
    <row r="415" spans="1:35" x14ac:dyDescent="0.25">
      <c r="A415" s="85">
        <v>46093</v>
      </c>
      <c r="B415" t="s">
        <v>143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1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1</v>
      </c>
      <c r="AB415">
        <v>0</v>
      </c>
      <c r="AC415">
        <v>0</v>
      </c>
      <c r="AD415">
        <v>0</v>
      </c>
      <c r="AE415">
        <v>0</v>
      </c>
      <c r="AF415">
        <f>AVERAGEIFS($C$2:C415, $B$2:B415, B415)</f>
        <v>9</v>
      </c>
      <c r="AG415">
        <f>AVERAGEIFS($I$2:I415, $B$2:B415, B415)</f>
        <v>0.75</v>
      </c>
      <c r="AH415">
        <f>AVERAGEIFS($I$2:J415, $B$2:C415, C415)</f>
        <v>0.45666666666666661</v>
      </c>
      <c r="AI415">
        <f>AVERAGEIFS($D$2:D415, $B$2:B415, B415)</f>
        <v>1</v>
      </c>
    </row>
    <row r="416" spans="1:35" x14ac:dyDescent="0.25">
      <c r="A416" s="85">
        <v>46093</v>
      </c>
      <c r="B416" t="s">
        <v>138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1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1</v>
      </c>
      <c r="AB416">
        <v>0</v>
      </c>
      <c r="AC416">
        <v>0</v>
      </c>
      <c r="AD416">
        <v>0</v>
      </c>
      <c r="AE416">
        <v>0</v>
      </c>
      <c r="AF416">
        <f>AVERAGEIFS($C$2:C416, $B$2:B416, B416)</f>
        <v>6.5</v>
      </c>
      <c r="AG416">
        <f>AVERAGEIFS($I$2:I416, $B$2:B416, B416)</f>
        <v>0.65</v>
      </c>
      <c r="AH416">
        <f>AVERAGEIFS($I$2:J416, $B$2:C416, C416)</f>
        <v>0.54500000000000004</v>
      </c>
      <c r="AI416">
        <f>AVERAGEIFS($D$2:D416, $B$2:B416, B416)</f>
        <v>0.75</v>
      </c>
    </row>
    <row r="417" spans="1:35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1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1</v>
      </c>
      <c r="AB417">
        <v>0</v>
      </c>
      <c r="AC417">
        <v>0</v>
      </c>
      <c r="AD417">
        <v>0</v>
      </c>
      <c r="AE417">
        <v>0</v>
      </c>
      <c r="AF417">
        <f>AVERAGEIFS($C$2:C417, $B$2:B417, B417)</f>
        <v>19.416666666666668</v>
      </c>
      <c r="AG417">
        <f>AVERAGEIFS($I$2:I417, $B$2:B417, B417)</f>
        <v>0.55333333333333334</v>
      </c>
      <c r="AH417">
        <f>AVERAGEIFS($I$2:J417, $B$2:C417, C417)</f>
        <v>0.47133333333333327</v>
      </c>
      <c r="AI417">
        <f>AVERAGEIFS($D$2:D417, $B$2:B417, B417)</f>
        <v>0.58333333333333337</v>
      </c>
    </row>
    <row r="418" spans="1:35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1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1</v>
      </c>
      <c r="AB418">
        <v>0</v>
      </c>
      <c r="AC418">
        <v>0</v>
      </c>
      <c r="AD418">
        <v>0</v>
      </c>
      <c r="AE418">
        <v>0</v>
      </c>
      <c r="AF418">
        <f>AVERAGEIFS($C$2:C418, $B$2:B418, B418)</f>
        <v>12.714285714285714</v>
      </c>
      <c r="AG418">
        <f>AVERAGEIFS($I$2:I418, $B$2:B418, B418)</f>
        <v>0.52857142857142858</v>
      </c>
      <c r="AH418">
        <f>AVERAGEIFS($I$2:J418, $B$2:C418, C418)</f>
        <v>0.64</v>
      </c>
      <c r="AI418">
        <f>AVERAGEIFS($D$2:D418, $B$2:B418, B418)</f>
        <v>0.7142857142857143</v>
      </c>
    </row>
    <row r="419" spans="1:35" x14ac:dyDescent="0.25">
      <c r="A419" s="85">
        <v>46093</v>
      </c>
      <c r="B419" t="s">
        <v>144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f>AVERAGEIFS($C$2:C419, $B$2:B419, B419)</f>
        <v>12</v>
      </c>
      <c r="AG419">
        <f>AVERAGEIFS($I$2:I419, $B$2:B419, B419)</f>
        <v>0.25</v>
      </c>
      <c r="AH419">
        <f>AVERAGEIFS($I$2:J419, $B$2:C419, C419)</f>
        <v>0.481875</v>
      </c>
      <c r="AI419">
        <f>AVERAGEIFS($D$2:D419, $B$2:B419, B419)</f>
        <v>0</v>
      </c>
    </row>
    <row r="420" spans="1:35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f>AVERAGEIFS($C$2:C420, $B$2:B420, B420)</f>
        <v>18.25</v>
      </c>
      <c r="AG420">
        <f>AVERAGEIFS($I$2:I420, $B$2:B420, B420)</f>
        <v>0.53125</v>
      </c>
      <c r="AH420">
        <f>AVERAGEIFS($I$2:J420, $B$2:C420, C420)</f>
        <v>0.46437499999999998</v>
      </c>
      <c r="AI420">
        <f>AVERAGEIFS($D$2:D420, $B$2:B420, B420)</f>
        <v>0.5</v>
      </c>
    </row>
    <row r="421" spans="1:35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f>AVERAGEIFS($C$2:C421, $B$2:B421, B421)</f>
        <v>13.888888888888889</v>
      </c>
      <c r="AG421">
        <f>AVERAGEIFS($I$2:I421, $B$2:B421, B421)</f>
        <v>0.37777777777777777</v>
      </c>
      <c r="AH421">
        <f>AVERAGEIFS($I$2:J421, $B$2:C421, C421)</f>
        <v>0.46869565217391307</v>
      </c>
      <c r="AI421">
        <f>AVERAGEIFS($D$2:D421, $B$2:B421, B421)</f>
        <v>0.22222222222222221</v>
      </c>
    </row>
    <row r="422" spans="1:35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f>AVERAGEIFS($C$2:C422, $B$2:B422, B422)</f>
        <v>17.958333333333332</v>
      </c>
      <c r="AG422">
        <f>AVERAGEIFS($I$2:I422, $B$2:B422, B422)</f>
        <v>0.47500000000000009</v>
      </c>
      <c r="AH422">
        <f>AVERAGEIFS($I$2:J422, $B$2:C422, C422)</f>
        <v>0.44923076923076921</v>
      </c>
      <c r="AI422">
        <f>AVERAGEIFS($D$2:D422, $B$2:B422, B422)</f>
        <v>0.45833333333333331</v>
      </c>
    </row>
    <row r="423" spans="1:35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f>AVERAGEIFS($C$2:C423, $B$2:B423, B423)</f>
        <v>25.285714285714285</v>
      </c>
      <c r="AG423">
        <f>AVERAGEIFS($I$2:I423, $B$2:B423, B423)</f>
        <v>0.37142857142857144</v>
      </c>
      <c r="AH423">
        <f>AVERAGEIFS($I$2:J423, $B$2:C423, C423)</f>
        <v>0.51130434782608702</v>
      </c>
      <c r="AI423">
        <f>AVERAGEIFS($D$2:D423, $B$2:B423, B423)</f>
        <v>0.21428571428571427</v>
      </c>
    </row>
    <row r="424" spans="1:35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f>AVERAGEIFS($C$2:C424, $B$2:B424, B424)</f>
        <v>15.090909090909092</v>
      </c>
      <c r="AG424">
        <f>AVERAGEIFS($I$2:I424, $B$2:B424, B424)</f>
        <v>0.53636363636363626</v>
      </c>
      <c r="AH424">
        <f>AVERAGEIFS($I$2:J424, $B$2:C424, C424)</f>
        <v>0.32285714285714284</v>
      </c>
      <c r="AI424">
        <f>AVERAGEIFS($D$2:D424, $B$2:B424, B424)</f>
        <v>0.54545454545454541</v>
      </c>
    </row>
  </sheetData>
  <autoFilter ref="A1:AI424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2" t="s">
        <v>7</v>
      </c>
      <c r="D1" s="103"/>
      <c r="E1" s="104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2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5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5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5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5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5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5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5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5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1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1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1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1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1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1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1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1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2026-03-13T23:04:53Z</dcterms:modified>
</cp:coreProperties>
</file>