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8248C527-18A9-44A2-8997-1047E3F0E4B9}" xr6:coauthVersionLast="47" xr6:coauthVersionMax="47" xr10:uidLastSave="{00000000-0000-0000-0000-000000000000}"/>
  <bookViews>
    <workbookView xWindow="-120" yWindow="-120" windowWidth="38640" windowHeight="21120" firstSheet="1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S2'!$A$1:$AN$41</definedName>
    <definedName name="_xlnm._FilterDatabase" localSheetId="7" hidden="1">'BA v2'!$A$1:$AN$62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2'!$A$1:$AI$49</definedName>
    <definedName name="_xlnm._FilterDatabase" localSheetId="4" hidden="1">'Old Bow'!$A$1:$AD$37</definedName>
    <definedName name="_xlnm._FilterDatabase" localSheetId="0" hidden="1">'Old Bow v2'!$A$1:$AI$56</definedName>
    <definedName name="_xlnm._FilterDatabase" localSheetId="12" hidden="1">'Tourney History'!$A$1:$AD$159</definedName>
    <definedName name="_xlnm._FilterDatabase" localSheetId="13" hidden="1">'Tourney Stats'!$A$1:$AE$41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433" i="17" l="1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R28" i="16"/>
  <c r="F28" i="16"/>
  <c r="G28" i="16"/>
  <c r="H28" i="16" a="1"/>
  <c r="H28" i="16" s="1"/>
  <c r="I28" i="16"/>
  <c r="J28" i="16"/>
  <c r="K28" i="16"/>
  <c r="L28" i="16"/>
  <c r="M28" i="16" s="1"/>
  <c r="N28" i="16"/>
  <c r="O28" i="16"/>
  <c r="P28" i="16" s="1"/>
  <c r="Q28" i="16"/>
  <c r="AN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F43" i="12"/>
  <c r="G43" i="12"/>
  <c r="H43" i="12" a="1"/>
  <c r="H43" i="12" s="1"/>
  <c r="I43" i="12"/>
  <c r="J43" i="12"/>
  <c r="K43" i="12"/>
  <c r="L43" i="12"/>
  <c r="M43" i="12" s="1"/>
  <c r="N43" i="12"/>
  <c r="O43" i="12"/>
  <c r="P43" i="12" s="1"/>
  <c r="Q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R8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H11" i="12"/>
  <c r="AI11" i="12"/>
  <c r="AJ11" i="12"/>
  <c r="AK11" i="12"/>
  <c r="AL11" i="12"/>
  <c r="AM11" i="12"/>
  <c r="AN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R11" i="12"/>
  <c r="F11" i="12"/>
  <c r="G11" i="12"/>
  <c r="H11" i="12" a="1"/>
  <c r="H11" i="12" s="1"/>
  <c r="I11" i="12"/>
  <c r="J11" i="12"/>
  <c r="K11" i="12"/>
  <c r="L11" i="12"/>
  <c r="M11" i="12" s="1"/>
  <c r="N11" i="12"/>
  <c r="O11" i="12"/>
  <c r="P11" i="12" s="1"/>
  <c r="Q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2" i="16"/>
  <c r="AH3" i="12"/>
  <c r="AH4" i="12"/>
  <c r="AH5" i="12"/>
  <c r="AH6" i="12"/>
  <c r="AH7" i="12"/>
  <c r="AH8" i="12"/>
  <c r="AH9" i="12"/>
  <c r="AH10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62" i="12"/>
  <c r="AH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P11" i="11"/>
  <c r="Q11" i="11"/>
  <c r="R11" i="11" s="1"/>
  <c r="S11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M11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T18" i="11"/>
  <c r="H18" i="11"/>
  <c r="I18" i="11"/>
  <c r="J18" i="11" a="1"/>
  <c r="J18" i="11" s="1"/>
  <c r="K18" i="11"/>
  <c r="L18" i="11"/>
  <c r="M18" i="11"/>
  <c r="N18" i="11"/>
  <c r="O18" i="11" s="1"/>
  <c r="P18" i="11"/>
  <c r="Q18" i="11"/>
  <c r="R18" i="11" s="1"/>
  <c r="S18" i="11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T18" i="13"/>
  <c r="H18" i="13"/>
  <c r="I18" i="13"/>
  <c r="J18" i="13" a="1"/>
  <c r="J18" i="13" s="1"/>
  <c r="K18" i="13"/>
  <c r="L18" i="13"/>
  <c r="N18" i="13"/>
  <c r="O18" i="13" s="1"/>
  <c r="Q18" i="13"/>
  <c r="R18" i="13" s="1"/>
  <c r="S18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8" i="13" s="1"/>
  <c r="AC473" i="15"/>
  <c r="AD473" i="15"/>
  <c r="M18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R35" i="16"/>
  <c r="F35" i="16"/>
  <c r="G35" i="16"/>
  <c r="H35" i="16" a="1"/>
  <c r="H35" i="16" s="1"/>
  <c r="I35" i="16"/>
  <c r="J35" i="16"/>
  <c r="K35" i="16"/>
  <c r="L35" i="16"/>
  <c r="M35" i="16" s="1"/>
  <c r="O35" i="16"/>
  <c r="P35" i="16" s="1"/>
  <c r="Q35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I10" i="12"/>
  <c r="AJ10" i="12"/>
  <c r="AK10" i="12"/>
  <c r="AL10" i="12"/>
  <c r="AM10" i="12"/>
  <c r="AN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5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3" i="13" s="1"/>
  <c r="AC378" i="15"/>
  <c r="S33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S36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1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R36" i="16"/>
  <c r="F36" i="16"/>
  <c r="G36" i="16"/>
  <c r="H36" i="16" a="1"/>
  <c r="H36" i="16" s="1"/>
  <c r="I36" i="16"/>
  <c r="J36" i="16"/>
  <c r="K36" i="16"/>
  <c r="L36" i="16"/>
  <c r="M36" i="16" s="1"/>
  <c r="N36" i="16"/>
  <c r="O36" i="16"/>
  <c r="P36" i="16" s="1"/>
  <c r="Q36" i="16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I55" i="12"/>
  <c r="AJ55" i="12"/>
  <c r="AK55" i="12"/>
  <c r="AL55" i="12"/>
  <c r="AM55" i="12"/>
  <c r="AN55" i="12"/>
  <c r="R55" i="12"/>
  <c r="F55" i="12"/>
  <c r="G55" i="12"/>
  <c r="H55" i="12" a="1"/>
  <c r="H55" i="12" s="1"/>
  <c r="I55" i="12"/>
  <c r="J55" i="12"/>
  <c r="K55" i="12"/>
  <c r="L55" i="12"/>
  <c r="M55" i="12" s="1"/>
  <c r="N55" i="12"/>
  <c r="O55" i="12"/>
  <c r="P55" i="12" s="1"/>
  <c r="Q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1" i="16" s="1"/>
  <c r="AJ241" i="17"/>
  <c r="AK241" i="17"/>
  <c r="K31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48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T33" i="13"/>
  <c r="H33" i="13"/>
  <c r="I33" i="13"/>
  <c r="J33" i="13" a="1"/>
  <c r="J33" i="13" s="1"/>
  <c r="K33" i="13"/>
  <c r="L33" i="13"/>
  <c r="M33" i="13"/>
  <c r="N33" i="13"/>
  <c r="O33" i="13" s="1"/>
  <c r="Q33" i="13"/>
  <c r="R33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T36" i="11"/>
  <c r="H36" i="11"/>
  <c r="I36" i="11"/>
  <c r="J36" i="11" a="1"/>
  <c r="J36" i="11" s="1"/>
  <c r="K36" i="11"/>
  <c r="L36" i="11"/>
  <c r="M36" i="11"/>
  <c r="N36" i="11"/>
  <c r="O36" i="11" s="1"/>
  <c r="P36" i="11"/>
  <c r="Q36" i="11"/>
  <c r="R36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H46" i="13"/>
  <c r="I46" i="13"/>
  <c r="J46" i="13" a="1"/>
  <c r="J46" i="13" s="1"/>
  <c r="K46" i="13"/>
  <c r="L46" i="13"/>
  <c r="N46" i="13"/>
  <c r="O46" i="13" s="1"/>
  <c r="Q46" i="13"/>
  <c r="R46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N16" i="13"/>
  <c r="O16" i="13" s="1"/>
  <c r="Q16" i="13"/>
  <c r="R16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T52" i="11"/>
  <c r="H52" i="11"/>
  <c r="I52" i="11"/>
  <c r="J52" i="11" a="1"/>
  <c r="J52" i="11" s="1"/>
  <c r="K52" i="11"/>
  <c r="L52" i="11"/>
  <c r="N52" i="11"/>
  <c r="O52" i="11" s="1"/>
  <c r="Q52" i="11"/>
  <c r="R52" i="11" s="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P16" i="11"/>
  <c r="Q16" i="11"/>
  <c r="R16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N2" i="11"/>
  <c r="O2" i="11" s="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6" i="13" s="1"/>
  <c r="AC306" i="15"/>
  <c r="S16" i="13" s="1"/>
  <c r="AD306" i="15"/>
  <c r="M16" i="13" s="1"/>
  <c r="AA307" i="15"/>
  <c r="AB307" i="15"/>
  <c r="AC307" i="15"/>
  <c r="AD307" i="15"/>
  <c r="AA308" i="15"/>
  <c r="AB308" i="15"/>
  <c r="AC308" i="15"/>
  <c r="AD308" i="15"/>
  <c r="AA309" i="15"/>
  <c r="AB309" i="15"/>
  <c r="P46" i="13" s="1"/>
  <c r="AC309" i="15"/>
  <c r="S46" i="13" s="1"/>
  <c r="AD309" i="15"/>
  <c r="M46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P2" i="11" s="1"/>
  <c r="AC786" i="10"/>
  <c r="AD786" i="10"/>
  <c r="M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6" i="11" s="1"/>
  <c r="AD791" i="10"/>
  <c r="M16" i="11" s="1"/>
  <c r="AA792" i="10"/>
  <c r="AB792" i="10"/>
  <c r="AC792" i="10"/>
  <c r="AD792" i="10"/>
  <c r="AA793" i="10"/>
  <c r="AB793" i="10"/>
  <c r="AC793" i="10"/>
  <c r="AD793" i="10"/>
  <c r="AA794" i="10"/>
  <c r="AB794" i="10"/>
  <c r="P52" i="11" s="1"/>
  <c r="AC794" i="10"/>
  <c r="S52" i="11" s="1"/>
  <c r="AD794" i="10"/>
  <c r="M52" i="11" s="1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D34" i="19"/>
  <c r="E34" i="19"/>
  <c r="F34" i="19" a="1"/>
  <c r="F34" i="19" s="1"/>
  <c r="G34" i="19"/>
  <c r="H34" i="19"/>
  <c r="I34" i="19"/>
  <c r="J34" i="19"/>
  <c r="K34" i="19" s="1"/>
  <c r="L34" i="19"/>
  <c r="M34" i="19"/>
  <c r="N34" i="19" s="1"/>
  <c r="O34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T36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T37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L31" i="16"/>
  <c r="M31" i="16" s="1"/>
  <c r="O31" i="16"/>
  <c r="P31" i="16" s="1"/>
  <c r="Q31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I47" i="12"/>
  <c r="AJ47" i="12"/>
  <c r="AK47" i="12"/>
  <c r="AL47" i="12"/>
  <c r="AM47" i="12"/>
  <c r="AN47" i="12"/>
  <c r="R47" i="12"/>
  <c r="F47" i="12"/>
  <c r="G47" i="12"/>
  <c r="H47" i="12" a="1"/>
  <c r="H47" i="12" s="1"/>
  <c r="I47" i="12"/>
  <c r="J47" i="12"/>
  <c r="K47" i="12"/>
  <c r="L47" i="12"/>
  <c r="M47" i="12" s="1"/>
  <c r="N47" i="12"/>
  <c r="O47" i="12"/>
  <c r="P47" i="12" s="1"/>
  <c r="Q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T48" i="13"/>
  <c r="H48" i="13"/>
  <c r="I48" i="13"/>
  <c r="J48" i="13" a="1"/>
  <c r="J48" i="13" s="1"/>
  <c r="K48" i="13"/>
  <c r="L48" i="13"/>
  <c r="N48" i="13"/>
  <c r="O48" i="13" s="1"/>
  <c r="P48" i="13"/>
  <c r="Q48" i="13"/>
  <c r="R48" i="13" s="1"/>
  <c r="S48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39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4" i="16" s="1"/>
  <c r="AJ128" i="17"/>
  <c r="Q14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L38" i="16"/>
  <c r="R38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AK2" i="17"/>
  <c r="AI2" i="17"/>
  <c r="AH2" i="17"/>
  <c r="F39" i="16"/>
  <c r="G39" i="16"/>
  <c r="H39" i="16" a="1"/>
  <c r="H39" i="16" s="1"/>
  <c r="I39" i="16"/>
  <c r="J39" i="16"/>
  <c r="L39" i="16"/>
  <c r="M39" i="16" s="1"/>
  <c r="O39" i="16"/>
  <c r="P39" i="16" s="1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R16" i="16"/>
  <c r="F16" i="16"/>
  <c r="G16" i="16"/>
  <c r="H16" i="16" a="1"/>
  <c r="H16" i="16" s="1"/>
  <c r="I16" i="16"/>
  <c r="J16" i="16"/>
  <c r="K16" i="16"/>
  <c r="L16" i="16"/>
  <c r="M16" i="16" s="1"/>
  <c r="N16" i="16"/>
  <c r="O16" i="16"/>
  <c r="P16" i="16" s="1"/>
  <c r="Q16" i="16"/>
  <c r="N39" i="16"/>
  <c r="K39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R14" i="16"/>
  <c r="F14" i="16"/>
  <c r="G14" i="16"/>
  <c r="H14" i="16" a="1"/>
  <c r="H14" i="16" s="1"/>
  <c r="I14" i="16"/>
  <c r="J14" i="16"/>
  <c r="K14" i="16"/>
  <c r="L14" i="16"/>
  <c r="M14" i="16" s="1"/>
  <c r="O14" i="16"/>
  <c r="P14" i="16" s="1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I33" i="12"/>
  <c r="AJ33" i="12"/>
  <c r="AK33" i="12"/>
  <c r="AL33" i="12"/>
  <c r="AM33" i="12"/>
  <c r="AN33" i="12"/>
  <c r="R33" i="12"/>
  <c r="F33" i="12"/>
  <c r="G33" i="12"/>
  <c r="H33" i="12" a="1"/>
  <c r="H33" i="12" s="1"/>
  <c r="I33" i="12"/>
  <c r="J33" i="12"/>
  <c r="K33" i="12"/>
  <c r="L33" i="12"/>
  <c r="M33" i="12" s="1"/>
  <c r="N33" i="12"/>
  <c r="O33" i="12"/>
  <c r="P33" i="12" s="1"/>
  <c r="Q33" i="12"/>
  <c r="K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R22" i="16"/>
  <c r="Q21" i="16"/>
  <c r="F22" i="16"/>
  <c r="G22" i="16"/>
  <c r="H22" i="16" a="1"/>
  <c r="H22" i="16" s="1"/>
  <c r="I22" i="16"/>
  <c r="J22" i="16"/>
  <c r="L22" i="16"/>
  <c r="M22" i="16" s="1"/>
  <c r="N22" i="16"/>
  <c r="O22" i="16"/>
  <c r="P22" i="16" s="1"/>
  <c r="Q22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I23" i="16"/>
  <c r="AJ23" i="16"/>
  <c r="AK23" i="16"/>
  <c r="AL23" i="16"/>
  <c r="AM23" i="16"/>
  <c r="AN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I34" i="12"/>
  <c r="AJ34" i="12"/>
  <c r="AK34" i="12"/>
  <c r="AL34" i="12"/>
  <c r="AM34" i="12"/>
  <c r="AN34" i="12"/>
  <c r="R34" i="12"/>
  <c r="O34" i="12"/>
  <c r="P34" i="12" s="1"/>
  <c r="Q34" i="12"/>
  <c r="O32" i="12"/>
  <c r="F34" i="12"/>
  <c r="G34" i="12"/>
  <c r="H34" i="12" a="1"/>
  <c r="H34" i="12" s="1"/>
  <c r="I34" i="12"/>
  <c r="J34" i="12"/>
  <c r="K34" i="12"/>
  <c r="L34" i="12"/>
  <c r="M34" i="12" s="1"/>
  <c r="N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T23" i="13"/>
  <c r="T22" i="13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R20" i="16"/>
  <c r="F20" i="16"/>
  <c r="G20" i="16"/>
  <c r="H20" i="16" a="1"/>
  <c r="H20" i="16" s="1"/>
  <c r="I20" i="16"/>
  <c r="J20" i="16"/>
  <c r="L20" i="16"/>
  <c r="M20" i="16" s="1"/>
  <c r="O20" i="16"/>
  <c r="P20" i="16" s="1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I10" i="16"/>
  <c r="AJ10" i="16"/>
  <c r="AK10" i="16"/>
  <c r="AL10" i="16"/>
  <c r="AM10" i="16"/>
  <c r="AN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Q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0" i="16"/>
  <c r="Q20" i="16"/>
  <c r="K20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9" i="19"/>
  <c r="R39" i="19"/>
  <c r="S39" i="19"/>
  <c r="T39" i="19"/>
  <c r="U39" i="19"/>
  <c r="V39" i="19"/>
  <c r="W39" i="19"/>
  <c r="X39" i="19"/>
  <c r="Y39" i="19"/>
  <c r="Z39" i="19"/>
  <c r="AA39" i="19"/>
  <c r="AB39" i="19"/>
  <c r="AC39" i="19"/>
  <c r="AD39" i="19"/>
  <c r="AE39" i="19"/>
  <c r="P39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J20" i="19"/>
  <c r="K20" i="19" s="1"/>
  <c r="M20" i="19"/>
  <c r="N20" i="19" s="1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I22" i="19"/>
  <c r="J22" i="19"/>
  <c r="K22" i="19" s="1"/>
  <c r="L22" i="19"/>
  <c r="M22" i="19"/>
  <c r="N22" i="19" s="1"/>
  <c r="O22" i="19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 s="1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O30" i="19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D33" i="19"/>
  <c r="E33" i="19"/>
  <c r="F33" i="19" a="1"/>
  <c r="F33" i="19" s="1"/>
  <c r="G33" i="19"/>
  <c r="H33" i="19"/>
  <c r="J33" i="19"/>
  <c r="K33" i="19" s="1"/>
  <c r="M33" i="19"/>
  <c r="N33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J36" i="19"/>
  <c r="K36" i="19" s="1"/>
  <c r="L36" i="19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7" i="19"/>
  <c r="O27" i="19"/>
  <c r="I27" i="19"/>
  <c r="O36" i="19"/>
  <c r="I36" i="19"/>
  <c r="L8" i="19"/>
  <c r="O8" i="19"/>
  <c r="I8" i="19"/>
  <c r="O39" i="19"/>
  <c r="I39" i="19"/>
  <c r="L5" i="19"/>
  <c r="O5" i="19"/>
  <c r="I5" i="19"/>
  <c r="L18" i="19"/>
  <c r="O18" i="19"/>
  <c r="I18" i="19"/>
  <c r="L21" i="19"/>
  <c r="O21" i="19"/>
  <c r="I21" i="19"/>
  <c r="L30" i="19"/>
  <c r="I30" i="19"/>
  <c r="L31" i="19"/>
  <c r="O31" i="19"/>
  <c r="I31" i="19"/>
  <c r="L33" i="19"/>
  <c r="O33" i="19"/>
  <c r="I33" i="19"/>
  <c r="L32" i="19"/>
  <c r="O32" i="19"/>
  <c r="I32" i="19"/>
  <c r="L12" i="19"/>
  <c r="O12" i="19"/>
  <c r="I12" i="19"/>
  <c r="L9" i="19"/>
  <c r="O9" i="19"/>
  <c r="I9" i="19"/>
  <c r="L25" i="19"/>
  <c r="O25" i="19"/>
  <c r="I25" i="19"/>
  <c r="L24" i="19"/>
  <c r="O24" i="19"/>
  <c r="I24" i="19"/>
  <c r="L29" i="19"/>
  <c r="O29" i="19"/>
  <c r="I29" i="19"/>
  <c r="L20" i="19"/>
  <c r="O20" i="19"/>
  <c r="I20" i="19"/>
  <c r="L14" i="19"/>
  <c r="O14" i="19"/>
  <c r="I14" i="19"/>
  <c r="L13" i="19"/>
  <c r="O13" i="19"/>
  <c r="I13" i="19"/>
  <c r="L28" i="19"/>
  <c r="O28" i="19"/>
  <c r="I28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T24" i="11"/>
  <c r="H24" i="11"/>
  <c r="I24" i="11"/>
  <c r="J24" i="11" a="1"/>
  <c r="J24" i="11" s="1"/>
  <c r="K24" i="11"/>
  <c r="L24" i="11"/>
  <c r="M24" i="11"/>
  <c r="N24" i="11"/>
  <c r="O24" i="11" s="1"/>
  <c r="P24" i="11"/>
  <c r="Q24" i="11"/>
  <c r="R24" i="11" s="1"/>
  <c r="S24" i="11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9" i="13"/>
  <c r="I19" i="13"/>
  <c r="J19" i="13" a="1"/>
  <c r="J19" i="13" s="1"/>
  <c r="K19" i="13"/>
  <c r="L19" i="13"/>
  <c r="M19" i="13"/>
  <c r="N19" i="13"/>
  <c r="O19" i="13" s="1"/>
  <c r="P19" i="13"/>
  <c r="Q19" i="13"/>
  <c r="R19" i="13" s="1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0" i="13"/>
  <c r="I20" i="13"/>
  <c r="J20" i="13" a="1"/>
  <c r="J20" i="13" s="1"/>
  <c r="K20" i="13"/>
  <c r="L20" i="13"/>
  <c r="N20" i="13"/>
  <c r="O20" i="13" s="1"/>
  <c r="Q20" i="13"/>
  <c r="R20" i="13" s="1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2" i="13"/>
  <c r="I22" i="13"/>
  <c r="J22" i="13" a="1"/>
  <c r="J22" i="13" s="1"/>
  <c r="K22" i="13"/>
  <c r="L22" i="13"/>
  <c r="N22" i="13"/>
  <c r="O22" i="13" s="1"/>
  <c r="Q22" i="13"/>
  <c r="R22" i="13" s="1"/>
  <c r="H29" i="13"/>
  <c r="I29" i="13"/>
  <c r="J29" i="13" a="1"/>
  <c r="J29" i="13" s="1"/>
  <c r="K29" i="13"/>
  <c r="L29" i="13"/>
  <c r="N29" i="13"/>
  <c r="O29" i="13" s="1"/>
  <c r="Q29" i="13"/>
  <c r="R29" i="13" s="1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8" i="13"/>
  <c r="I38" i="13"/>
  <c r="J38" i="13" a="1"/>
  <c r="J38" i="13" s="1"/>
  <c r="K38" i="13"/>
  <c r="L38" i="13"/>
  <c r="N38" i="13"/>
  <c r="O38" i="13" s="1"/>
  <c r="Q38" i="13"/>
  <c r="R38" i="13" s="1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H39" i="13"/>
  <c r="I39" i="13"/>
  <c r="J39" i="13" a="1"/>
  <c r="J39" i="13" s="1"/>
  <c r="K39" i="13"/>
  <c r="L39" i="13"/>
  <c r="N39" i="13"/>
  <c r="O39" i="13" s="1"/>
  <c r="Q39" i="13"/>
  <c r="R39" i="13" s="1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H40" i="13"/>
  <c r="I40" i="13"/>
  <c r="J40" i="13" a="1"/>
  <c r="J40" i="13" s="1"/>
  <c r="K40" i="13"/>
  <c r="L40" i="13"/>
  <c r="N40" i="13"/>
  <c r="O40" i="13" s="1"/>
  <c r="Q40" i="13"/>
  <c r="R40" i="13" s="1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H41" i="13"/>
  <c r="I41" i="13"/>
  <c r="J41" i="13" a="1"/>
  <c r="J41" i="13" s="1"/>
  <c r="K41" i="13"/>
  <c r="L41" i="13"/>
  <c r="M41" i="13"/>
  <c r="N41" i="13"/>
  <c r="O41" i="13" s="1"/>
  <c r="P41" i="13"/>
  <c r="Q41" i="13"/>
  <c r="R41" i="13" s="1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0" i="13"/>
  <c r="I50" i="13"/>
  <c r="J50" i="13" a="1"/>
  <c r="J50" i="13" s="1"/>
  <c r="K50" i="13"/>
  <c r="L50" i="13"/>
  <c r="M50" i="13"/>
  <c r="N50" i="13"/>
  <c r="O50" i="13" s="1"/>
  <c r="P50" i="13"/>
  <c r="Q50" i="13"/>
  <c r="R50" i="13" s="1"/>
  <c r="S50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2" i="13" s="1"/>
  <c r="AC52" i="15"/>
  <c r="S22" i="13" s="1"/>
  <c r="AD52" i="15"/>
  <c r="M22" i="13" s="1"/>
  <c r="AA53" i="15"/>
  <c r="AB53" i="15"/>
  <c r="P39" i="13" s="1"/>
  <c r="AC53" i="15"/>
  <c r="S39" i="13" s="1"/>
  <c r="AD53" i="15"/>
  <c r="M39" i="13" s="1"/>
  <c r="AA54" i="15"/>
  <c r="AB54" i="15"/>
  <c r="P40" i="13" s="1"/>
  <c r="AC54" i="15"/>
  <c r="S40" i="13" s="1"/>
  <c r="AD54" i="15"/>
  <c r="M40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T17" i="11"/>
  <c r="H17" i="11"/>
  <c r="I17" i="11"/>
  <c r="J17" i="11" a="1"/>
  <c r="J17" i="11" s="1"/>
  <c r="K17" i="11"/>
  <c r="L17" i="11"/>
  <c r="N17" i="11"/>
  <c r="O17" i="11" s="1"/>
  <c r="Q17" i="11"/>
  <c r="R17" i="11" s="1"/>
  <c r="S17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M43" i="11"/>
  <c r="N43" i="11"/>
  <c r="O43" i="11" s="1"/>
  <c r="P43" i="11"/>
  <c r="Q43" i="11"/>
  <c r="R43" i="11" s="1"/>
  <c r="AF17" i="13"/>
  <c r="AG17" i="13"/>
  <c r="AH17" i="13"/>
  <c r="AI17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N13" i="13"/>
  <c r="O13" i="13" s="1"/>
  <c r="Q13" i="13"/>
  <c r="R13" i="13" s="1"/>
  <c r="AF38" i="13"/>
  <c r="AG38" i="13"/>
  <c r="AH38" i="13"/>
  <c r="AI38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Q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8" i="13" s="1"/>
  <c r="AC31" i="15"/>
  <c r="S38" i="13" s="1"/>
  <c r="AD31" i="15"/>
  <c r="M3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9" i="13" s="1"/>
  <c r="AC37" i="15"/>
  <c r="S29" i="13" s="1"/>
  <c r="AD37" i="15"/>
  <c r="M29" i="13" s="1"/>
  <c r="AA38" i="15"/>
  <c r="AB38" i="15"/>
  <c r="AC38" i="15"/>
  <c r="AD38" i="15"/>
  <c r="AA39" i="15"/>
  <c r="AB39" i="15"/>
  <c r="AC39" i="15"/>
  <c r="AD39" i="15"/>
  <c r="AA40" i="15"/>
  <c r="AB40" i="15"/>
  <c r="P13" i="13" s="1"/>
  <c r="AC40" i="15"/>
  <c r="S13" i="13" s="1"/>
  <c r="AD40" i="15"/>
  <c r="M13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3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0" i="13" s="1"/>
  <c r="AC23" i="15"/>
  <c r="S20" i="13" s="1"/>
  <c r="AD23" i="15"/>
  <c r="M20" i="13" s="1"/>
  <c r="AA24" i="15"/>
  <c r="AB24" i="15"/>
  <c r="AC24" i="15"/>
  <c r="AD24" i="15"/>
  <c r="AA25" i="15"/>
  <c r="AB25" i="15"/>
  <c r="P17" i="13" s="1"/>
  <c r="AC25" i="15"/>
  <c r="S17" i="13" s="1"/>
  <c r="AD25" i="15"/>
  <c r="M17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7" i="11" s="1"/>
  <c r="AC510" i="10"/>
  <c r="AD510" i="10"/>
  <c r="M17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1" i="13" s="1"/>
  <c r="AC6" i="15"/>
  <c r="S21" i="13" s="1"/>
  <c r="AD6" i="15"/>
  <c r="M21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0" i="13" s="1"/>
  <c r="AC11" i="15"/>
  <c r="S30" i="13" s="1"/>
  <c r="AD11" i="15"/>
  <c r="M30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I25" i="16"/>
  <c r="AJ25" i="16"/>
  <c r="AK25" i="16"/>
  <c r="AL25" i="16"/>
  <c r="AM25" i="16"/>
  <c r="AN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R41" i="16"/>
  <c r="R40" i="16"/>
  <c r="R37" i="16"/>
  <c r="R34" i="16"/>
  <c r="R33" i="16"/>
  <c r="R32" i="16"/>
  <c r="R30" i="16"/>
  <c r="R29" i="16"/>
  <c r="R26" i="16"/>
  <c r="R25" i="16"/>
  <c r="R24" i="16"/>
  <c r="R21" i="16"/>
  <c r="R19" i="16"/>
  <c r="R18" i="16"/>
  <c r="R17" i="16"/>
  <c r="R15" i="16"/>
  <c r="R13" i="16"/>
  <c r="R6" i="16"/>
  <c r="R5" i="16"/>
  <c r="R4" i="16"/>
  <c r="R3" i="16"/>
  <c r="R2" i="16"/>
  <c r="Q3" i="16"/>
  <c r="Q4" i="16"/>
  <c r="Q5" i="16"/>
  <c r="Q6" i="16"/>
  <c r="Q15" i="16"/>
  <c r="Q17" i="16"/>
  <c r="Q18" i="16"/>
  <c r="Q19" i="16"/>
  <c r="Q24" i="16"/>
  <c r="Q25" i="16"/>
  <c r="Q26" i="16"/>
  <c r="Q29" i="16"/>
  <c r="Q30" i="16"/>
  <c r="Q32" i="16"/>
  <c r="Q33" i="16"/>
  <c r="Q34" i="16"/>
  <c r="Q37" i="16"/>
  <c r="Q38" i="16"/>
  <c r="Q40" i="16"/>
  <c r="Q41" i="16"/>
  <c r="Q2" i="16"/>
  <c r="O3" i="16"/>
  <c r="P3" i="16" s="1"/>
  <c r="O4" i="16"/>
  <c r="P4" i="16" s="1"/>
  <c r="O5" i="16"/>
  <c r="P5" i="16" s="1"/>
  <c r="O6" i="16"/>
  <c r="P6" i="16" s="1"/>
  <c r="O13" i="16"/>
  <c r="P13" i="16" s="1"/>
  <c r="O15" i="16"/>
  <c r="P15" i="16" s="1"/>
  <c r="O17" i="16"/>
  <c r="P17" i="16" s="1"/>
  <c r="O18" i="16"/>
  <c r="P18" i="16" s="1"/>
  <c r="O19" i="16"/>
  <c r="P19" i="16" s="1"/>
  <c r="O21" i="16"/>
  <c r="P21" i="16" s="1"/>
  <c r="O24" i="16"/>
  <c r="P24" i="16" s="1"/>
  <c r="O25" i="16"/>
  <c r="P25" i="16" s="1"/>
  <c r="O26" i="16"/>
  <c r="P26" i="16" s="1"/>
  <c r="O29" i="16"/>
  <c r="P29" i="16" s="1"/>
  <c r="O30" i="16"/>
  <c r="P30" i="16" s="1"/>
  <c r="O32" i="16"/>
  <c r="P32" i="16" s="1"/>
  <c r="O33" i="16"/>
  <c r="P33" i="16" s="1"/>
  <c r="O34" i="16"/>
  <c r="P34" i="16" s="1"/>
  <c r="O37" i="16"/>
  <c r="P37" i="16" s="1"/>
  <c r="O38" i="16"/>
  <c r="P38" i="16" s="1"/>
  <c r="O40" i="16"/>
  <c r="P40" i="16" s="1"/>
  <c r="O41" i="16"/>
  <c r="P41" i="16" s="1"/>
  <c r="O2" i="16"/>
  <c r="P2" i="16" s="1"/>
  <c r="N3" i="16"/>
  <c r="N4" i="16"/>
  <c r="N5" i="16"/>
  <c r="N6" i="16"/>
  <c r="N15" i="16"/>
  <c r="N17" i="16"/>
  <c r="N18" i="16"/>
  <c r="N19" i="16"/>
  <c r="N21" i="16"/>
  <c r="N24" i="16"/>
  <c r="N25" i="16"/>
  <c r="N26" i="16"/>
  <c r="N29" i="16"/>
  <c r="N30" i="16"/>
  <c r="N32" i="16"/>
  <c r="N33" i="16"/>
  <c r="N34" i="16"/>
  <c r="N37" i="16"/>
  <c r="N38" i="16"/>
  <c r="N40" i="16"/>
  <c r="N41" i="16"/>
  <c r="N2" i="16"/>
  <c r="L3" i="16"/>
  <c r="M3" i="16" s="1"/>
  <c r="L4" i="16"/>
  <c r="M4" i="16" s="1"/>
  <c r="L5" i="16"/>
  <c r="M5" i="16" s="1"/>
  <c r="L6" i="16"/>
  <c r="M6" i="16" s="1"/>
  <c r="L13" i="16"/>
  <c r="M13" i="16" s="1"/>
  <c r="L15" i="16"/>
  <c r="M15" i="16" s="1"/>
  <c r="L17" i="16"/>
  <c r="M17" i="16" s="1"/>
  <c r="L18" i="16"/>
  <c r="M18" i="16" s="1"/>
  <c r="L19" i="16"/>
  <c r="M19" i="16" s="1"/>
  <c r="L21" i="16"/>
  <c r="M21" i="16" s="1"/>
  <c r="L24" i="16"/>
  <c r="M24" i="16" s="1"/>
  <c r="L25" i="16"/>
  <c r="M25" i="16" s="1"/>
  <c r="L26" i="16"/>
  <c r="M26" i="16" s="1"/>
  <c r="L29" i="16"/>
  <c r="M29" i="16" s="1"/>
  <c r="L30" i="16"/>
  <c r="M30" i="16" s="1"/>
  <c r="L32" i="16"/>
  <c r="M32" i="16" s="1"/>
  <c r="L33" i="16"/>
  <c r="M33" i="16" s="1"/>
  <c r="L34" i="16"/>
  <c r="M34" i="16" s="1"/>
  <c r="L37" i="16"/>
  <c r="M37" i="16" s="1"/>
  <c r="M38" i="16"/>
  <c r="L40" i="16"/>
  <c r="M40" i="16" s="1"/>
  <c r="L41" i="16"/>
  <c r="M41" i="16" s="1"/>
  <c r="L2" i="16"/>
  <c r="M2" i="16" s="1"/>
  <c r="K3" i="16"/>
  <c r="K4" i="16"/>
  <c r="K5" i="16"/>
  <c r="K6" i="16"/>
  <c r="K15" i="16"/>
  <c r="K17" i="16"/>
  <c r="K18" i="16"/>
  <c r="K19" i="16"/>
  <c r="K21" i="16"/>
  <c r="K24" i="16"/>
  <c r="K25" i="16"/>
  <c r="K26" i="16"/>
  <c r="K29" i="16"/>
  <c r="K30" i="16"/>
  <c r="K32" i="16"/>
  <c r="K33" i="16"/>
  <c r="K34" i="16"/>
  <c r="K37" i="16"/>
  <c r="K38" i="16"/>
  <c r="K40" i="16"/>
  <c r="K41" i="16"/>
  <c r="J3" i="16"/>
  <c r="J4" i="16"/>
  <c r="J5" i="16"/>
  <c r="J6" i="16"/>
  <c r="J13" i="16"/>
  <c r="J15" i="16"/>
  <c r="J17" i="16"/>
  <c r="J18" i="16"/>
  <c r="J19" i="16"/>
  <c r="J21" i="16"/>
  <c r="J24" i="16"/>
  <c r="J25" i="16"/>
  <c r="J26" i="16"/>
  <c r="J29" i="16"/>
  <c r="J30" i="16"/>
  <c r="J32" i="16"/>
  <c r="J33" i="16"/>
  <c r="J34" i="16"/>
  <c r="J37" i="16"/>
  <c r="J38" i="16"/>
  <c r="J40" i="16"/>
  <c r="J41" i="16"/>
  <c r="J2" i="16"/>
  <c r="I3" i="16"/>
  <c r="I4" i="16"/>
  <c r="I5" i="16"/>
  <c r="I6" i="16"/>
  <c r="I13" i="16"/>
  <c r="I15" i="16"/>
  <c r="I17" i="16"/>
  <c r="I18" i="16"/>
  <c r="I19" i="16"/>
  <c r="I21" i="16"/>
  <c r="I24" i="16"/>
  <c r="I25" i="16"/>
  <c r="I26" i="16"/>
  <c r="I29" i="16"/>
  <c r="I30" i="16"/>
  <c r="I32" i="16"/>
  <c r="I33" i="16"/>
  <c r="I34" i="16"/>
  <c r="I37" i="16"/>
  <c r="I38" i="16"/>
  <c r="I40" i="16"/>
  <c r="I41" i="16"/>
  <c r="I2" i="16"/>
  <c r="H3" i="16" a="1"/>
  <c r="H3" i="16" s="1"/>
  <c r="H4" i="16" a="1"/>
  <c r="H4" i="16" s="1"/>
  <c r="H5" i="16" a="1"/>
  <c r="H5" i="16" s="1"/>
  <c r="H6" i="16" a="1"/>
  <c r="H6" i="16" s="1"/>
  <c r="H13" i="16" a="1"/>
  <c r="H13" i="16" s="1"/>
  <c r="H15" i="16" a="1"/>
  <c r="H15" i="16" s="1"/>
  <c r="H17" i="16" a="1"/>
  <c r="H17" i="16" s="1"/>
  <c r="H18" i="16" a="1"/>
  <c r="H18" i="16" s="1"/>
  <c r="H19" i="16" a="1"/>
  <c r="H19" i="16" s="1"/>
  <c r="H21" i="16" a="1"/>
  <c r="H21" i="16" s="1"/>
  <c r="H24" i="16" a="1"/>
  <c r="H24" i="16" s="1"/>
  <c r="H25" i="16" a="1"/>
  <c r="H25" i="16" s="1"/>
  <c r="H26" i="16" a="1"/>
  <c r="H26" i="16" s="1"/>
  <c r="H29" i="16" a="1"/>
  <c r="H29" i="16" s="1"/>
  <c r="H30" i="16" a="1"/>
  <c r="H30" i="16" s="1"/>
  <c r="H32" i="16" a="1"/>
  <c r="H32" i="16" s="1"/>
  <c r="H33" i="16" a="1"/>
  <c r="H33" i="16" s="1"/>
  <c r="H34" i="16" a="1"/>
  <c r="H34" i="16" s="1"/>
  <c r="H37" i="16" a="1"/>
  <c r="H37" i="16" s="1"/>
  <c r="H38" i="16" a="1"/>
  <c r="H38" i="16" s="1"/>
  <c r="H40" i="16" a="1"/>
  <c r="H40" i="16" s="1"/>
  <c r="H41" i="16" a="1"/>
  <c r="H41" i="16" s="1"/>
  <c r="H2" i="16" a="1"/>
  <c r="H2" i="16" s="1"/>
  <c r="G3" i="16"/>
  <c r="G4" i="16"/>
  <c r="G5" i="16"/>
  <c r="G6" i="16"/>
  <c r="G13" i="16"/>
  <c r="G15" i="16"/>
  <c r="G17" i="16"/>
  <c r="G18" i="16"/>
  <c r="G19" i="16"/>
  <c r="G21" i="16"/>
  <c r="G24" i="16"/>
  <c r="G25" i="16"/>
  <c r="G26" i="16"/>
  <c r="G29" i="16"/>
  <c r="G30" i="16"/>
  <c r="G32" i="16"/>
  <c r="G33" i="16"/>
  <c r="G34" i="16"/>
  <c r="G37" i="16"/>
  <c r="G38" i="16"/>
  <c r="G40" i="16"/>
  <c r="G41" i="16"/>
  <c r="G2" i="16"/>
  <c r="F3" i="16"/>
  <c r="F4" i="16"/>
  <c r="F5" i="16"/>
  <c r="F6" i="16"/>
  <c r="F13" i="16"/>
  <c r="F15" i="16"/>
  <c r="F17" i="16"/>
  <c r="F18" i="16"/>
  <c r="F19" i="16"/>
  <c r="F21" i="16"/>
  <c r="F24" i="16"/>
  <c r="F25" i="16"/>
  <c r="F26" i="16"/>
  <c r="F29" i="16"/>
  <c r="F30" i="16"/>
  <c r="F32" i="16"/>
  <c r="F33" i="16"/>
  <c r="F34" i="16"/>
  <c r="F37" i="16"/>
  <c r="F38" i="16"/>
  <c r="F40" i="16"/>
  <c r="F41" i="16"/>
  <c r="F2" i="16"/>
  <c r="K13" i="16"/>
  <c r="Q13" i="16"/>
  <c r="N13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9" i="13"/>
  <c r="AG19" i="13"/>
  <c r="AH19" i="13"/>
  <c r="AI19" i="13"/>
  <c r="AF20" i="13"/>
  <c r="AG20" i="13"/>
  <c r="AH20" i="13"/>
  <c r="AI20" i="13"/>
  <c r="AF21" i="13"/>
  <c r="AG21" i="13"/>
  <c r="AH21" i="13"/>
  <c r="AI21" i="13"/>
  <c r="AF29" i="13"/>
  <c r="AG29" i="13"/>
  <c r="AH29" i="13"/>
  <c r="AI29" i="13"/>
  <c r="AF30" i="13"/>
  <c r="AG30" i="13"/>
  <c r="AH30" i="13"/>
  <c r="AI30" i="13"/>
  <c r="AF31" i="13"/>
  <c r="AG31" i="13"/>
  <c r="AH31" i="13"/>
  <c r="AI31" i="13"/>
  <c r="AF32" i="13"/>
  <c r="AG32" i="13"/>
  <c r="AH32" i="13"/>
  <c r="AI32" i="13"/>
  <c r="AF34" i="13"/>
  <c r="AG34" i="13"/>
  <c r="AH34" i="13"/>
  <c r="AI34" i="13"/>
  <c r="AF39" i="13"/>
  <c r="AG39" i="13"/>
  <c r="AH39" i="13"/>
  <c r="AI39" i="13"/>
  <c r="AF40" i="13"/>
  <c r="AG40" i="13"/>
  <c r="AH40" i="13"/>
  <c r="AI40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T45" i="13"/>
  <c r="T44" i="13"/>
  <c r="T43" i="13"/>
  <c r="T42" i="13"/>
  <c r="T9" i="13"/>
  <c r="T7" i="13"/>
  <c r="T6" i="13"/>
  <c r="T5" i="13"/>
  <c r="S9" i="13"/>
  <c r="S42" i="13"/>
  <c r="S44" i="13"/>
  <c r="S45" i="13"/>
  <c r="Q5" i="13"/>
  <c r="R5" i="13" s="1"/>
  <c r="Q6" i="13"/>
  <c r="R6" i="13" s="1"/>
  <c r="Q7" i="13"/>
  <c r="R7" i="13" s="1"/>
  <c r="Q9" i="13"/>
  <c r="R9" i="13" s="1"/>
  <c r="Q42" i="13"/>
  <c r="R42" i="13" s="1"/>
  <c r="Q43" i="13"/>
  <c r="R43" i="13" s="1"/>
  <c r="Q44" i="13"/>
  <c r="R44" i="13" s="1"/>
  <c r="Q45" i="13"/>
  <c r="R45" i="13" s="1"/>
  <c r="Q47" i="13"/>
  <c r="R47" i="13" s="1"/>
  <c r="Q49" i="13"/>
  <c r="R49" i="13" s="1"/>
  <c r="N5" i="13"/>
  <c r="O5" i="13" s="1"/>
  <c r="N6" i="13"/>
  <c r="O6" i="13" s="1"/>
  <c r="N7" i="13"/>
  <c r="O7" i="13" s="1"/>
  <c r="N9" i="13"/>
  <c r="O9" i="13" s="1"/>
  <c r="N42" i="13"/>
  <c r="O42" i="13" s="1"/>
  <c r="N43" i="13"/>
  <c r="O43" i="13" s="1"/>
  <c r="N44" i="13"/>
  <c r="O44" i="13" s="1"/>
  <c r="N45" i="13"/>
  <c r="O45" i="13" s="1"/>
  <c r="N47" i="13"/>
  <c r="O47" i="13" s="1"/>
  <c r="N49" i="13"/>
  <c r="O49" i="13" s="1"/>
  <c r="M49" i="13"/>
  <c r="L5" i="13"/>
  <c r="L6" i="13"/>
  <c r="L7" i="13"/>
  <c r="L9" i="13"/>
  <c r="L42" i="13"/>
  <c r="L43" i="13"/>
  <c r="L44" i="13"/>
  <c r="L45" i="13"/>
  <c r="L47" i="13"/>
  <c r="L49" i="13"/>
  <c r="K5" i="13"/>
  <c r="K6" i="13"/>
  <c r="K7" i="13"/>
  <c r="K9" i="13"/>
  <c r="K42" i="13"/>
  <c r="K43" i="13"/>
  <c r="K44" i="13"/>
  <c r="K45" i="13"/>
  <c r="K47" i="13"/>
  <c r="K49" i="13"/>
  <c r="J5" i="13" a="1"/>
  <c r="J5" i="13" s="1"/>
  <c r="J6" i="13" a="1"/>
  <c r="J6" i="13" s="1"/>
  <c r="J7" i="13" a="1"/>
  <c r="J7" i="13" s="1"/>
  <c r="J9" i="13" a="1"/>
  <c r="J9" i="13" s="1"/>
  <c r="J42" i="13" a="1"/>
  <c r="J42" i="13" s="1"/>
  <c r="J43" i="13" a="1"/>
  <c r="J43" i="13" s="1"/>
  <c r="J44" i="13" a="1"/>
  <c r="J44" i="13" s="1"/>
  <c r="J45" i="13" a="1"/>
  <c r="J45" i="13" s="1"/>
  <c r="J47" i="13" a="1"/>
  <c r="J47" i="13" s="1"/>
  <c r="J49" i="13" a="1"/>
  <c r="J49" i="13" s="1"/>
  <c r="I5" i="13"/>
  <c r="I6" i="13"/>
  <c r="I7" i="13"/>
  <c r="I9" i="13"/>
  <c r="I42" i="13"/>
  <c r="I43" i="13"/>
  <c r="I44" i="13"/>
  <c r="I45" i="13"/>
  <c r="I47" i="13"/>
  <c r="I49" i="13"/>
  <c r="H5" i="13"/>
  <c r="H6" i="13"/>
  <c r="H7" i="13"/>
  <c r="H9" i="13"/>
  <c r="H42" i="13"/>
  <c r="H43" i="13"/>
  <c r="H44" i="13"/>
  <c r="H45" i="13"/>
  <c r="H47" i="13"/>
  <c r="H49" i="13"/>
  <c r="S6" i="13"/>
  <c r="P45" i="13"/>
  <c r="M45" i="13"/>
  <c r="P44" i="13"/>
  <c r="M44" i="13"/>
  <c r="P7" i="13"/>
  <c r="S7" i="13"/>
  <c r="M7" i="13"/>
  <c r="P47" i="13"/>
  <c r="S47" i="13"/>
  <c r="M47" i="13"/>
  <c r="P43" i="13"/>
  <c r="S43" i="13"/>
  <c r="M43" i="13"/>
  <c r="P9" i="13"/>
  <c r="P49" i="13"/>
  <c r="S49" i="13"/>
  <c r="P5" i="13"/>
  <c r="S5" i="13"/>
  <c r="M5" i="13"/>
  <c r="P42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Q45" i="12" s="1"/>
  <c r="AK705" i="9"/>
  <c r="Q9" i="12"/>
  <c r="Q22" i="12"/>
  <c r="Q24" i="12"/>
  <c r="Q39" i="12"/>
  <c r="Q40" i="12"/>
  <c r="Q46" i="12"/>
  <c r="Q48" i="12"/>
  <c r="Q49" i="12"/>
  <c r="Q53" i="12"/>
  <c r="Q56" i="12"/>
  <c r="Q57" i="12"/>
  <c r="Q59" i="12"/>
  <c r="Q60" i="12"/>
  <c r="N7" i="12"/>
  <c r="N9" i="12"/>
  <c r="N20" i="12"/>
  <c r="N22" i="12"/>
  <c r="N24" i="12"/>
  <c r="N39" i="12"/>
  <c r="N40" i="12"/>
  <c r="N45" i="12"/>
  <c r="N46" i="12"/>
  <c r="N48" i="12"/>
  <c r="N49" i="12"/>
  <c r="N53" i="12"/>
  <c r="N56" i="12"/>
  <c r="N57" i="12"/>
  <c r="N59" i="12"/>
  <c r="N60" i="12"/>
  <c r="K7" i="12"/>
  <c r="K9" i="12"/>
  <c r="K20" i="12"/>
  <c r="K22" i="12"/>
  <c r="K24" i="12"/>
  <c r="K39" i="12"/>
  <c r="K40" i="12"/>
  <c r="K45" i="12"/>
  <c r="K46" i="12"/>
  <c r="K48" i="12"/>
  <c r="K49" i="12"/>
  <c r="K53" i="12"/>
  <c r="K56" i="12"/>
  <c r="K57" i="12"/>
  <c r="K59" i="12"/>
  <c r="K60" i="12"/>
  <c r="K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N16" i="12" s="1"/>
  <c r="AJ39" i="9"/>
  <c r="Q16" i="12" s="1"/>
  <c r="AK39" i="9"/>
  <c r="K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N18" i="12" s="1"/>
  <c r="AJ51" i="9"/>
  <c r="Q18" i="12" s="1"/>
  <c r="AK51" i="9"/>
  <c r="K18" i="12" s="1"/>
  <c r="AH52" i="9"/>
  <c r="AI52" i="9"/>
  <c r="N62" i="12" s="1"/>
  <c r="AJ52" i="9"/>
  <c r="Q62" i="12" s="1"/>
  <c r="AK52" i="9"/>
  <c r="K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N37" i="12" s="1"/>
  <c r="AJ58" i="9"/>
  <c r="Q37" i="12" s="1"/>
  <c r="AK58" i="9"/>
  <c r="K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N30" i="12" s="1"/>
  <c r="AJ81" i="9"/>
  <c r="Q30" i="12" s="1"/>
  <c r="AK81" i="9"/>
  <c r="K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N61" i="12" s="1"/>
  <c r="AJ102" i="9"/>
  <c r="Q61" i="12" s="1"/>
  <c r="AK102" i="9"/>
  <c r="K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N50" i="12" s="1"/>
  <c r="AJ183" i="9"/>
  <c r="Q50" i="12" s="1"/>
  <c r="AK183" i="9"/>
  <c r="K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N6" i="12" s="1"/>
  <c r="AJ253" i="9"/>
  <c r="Q6" i="12" s="1"/>
  <c r="AK253" i="9"/>
  <c r="K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N8" i="12" s="1"/>
  <c r="AJ259" i="9"/>
  <c r="Q8" i="12" s="1"/>
  <c r="AK259" i="9"/>
  <c r="K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N32" i="12" s="1"/>
  <c r="AJ266" i="9"/>
  <c r="Q32" i="12" s="1"/>
  <c r="AK266" i="9"/>
  <c r="K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N35" i="12" s="1"/>
  <c r="AJ325" i="9"/>
  <c r="Q35" i="12" s="1"/>
  <c r="AK325" i="9"/>
  <c r="K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N13" i="12" s="1"/>
  <c r="AJ364" i="9"/>
  <c r="Q13" i="12" s="1"/>
  <c r="AK364" i="9"/>
  <c r="K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N23" i="12" s="1"/>
  <c r="AJ381" i="9"/>
  <c r="Q23" i="12" s="1"/>
  <c r="AK381" i="9"/>
  <c r="K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N52" i="12" s="1"/>
  <c r="AJ436" i="9"/>
  <c r="Q52" i="12" s="1"/>
  <c r="AK436" i="9"/>
  <c r="K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N36" i="12" s="1"/>
  <c r="AJ467" i="9"/>
  <c r="Q36" i="12" s="1"/>
  <c r="AK467" i="9"/>
  <c r="K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N51" i="12" s="1"/>
  <c r="AJ476" i="9"/>
  <c r="Q51" i="12" s="1"/>
  <c r="AK476" i="9"/>
  <c r="K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N4" i="12" s="1"/>
  <c r="AJ481" i="9"/>
  <c r="Q4" i="12" s="1"/>
  <c r="AK481" i="9"/>
  <c r="K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N29" i="12" s="1"/>
  <c r="AJ497" i="9"/>
  <c r="Q29" i="12" s="1"/>
  <c r="AK497" i="9"/>
  <c r="K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N3" i="12" s="1"/>
  <c r="AJ502" i="9"/>
  <c r="Q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N12" i="12" s="1"/>
  <c r="AJ515" i="9"/>
  <c r="Q12" i="12" s="1"/>
  <c r="AK515" i="9"/>
  <c r="K12" i="12" s="1"/>
  <c r="AH516" i="9"/>
  <c r="AI516" i="9"/>
  <c r="N19" i="12" s="1"/>
  <c r="AJ516" i="9"/>
  <c r="Q19" i="12" s="1"/>
  <c r="AK516" i="9"/>
  <c r="K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N42" i="12" s="1"/>
  <c r="AJ527" i="9"/>
  <c r="Q42" i="12" s="1"/>
  <c r="AK527" i="9"/>
  <c r="K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N58" i="12" s="1"/>
  <c r="AJ564" i="9"/>
  <c r="Q58" i="12" s="1"/>
  <c r="AK564" i="9"/>
  <c r="K58" i="12" s="1"/>
  <c r="AH565" i="9"/>
  <c r="AI565" i="9"/>
  <c r="N14" i="12" s="1"/>
  <c r="AJ565" i="9"/>
  <c r="Q14" i="12" s="1"/>
  <c r="AK565" i="9"/>
  <c r="K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N25" i="12" s="1"/>
  <c r="AJ571" i="9"/>
  <c r="Q25" i="12" s="1"/>
  <c r="AK571" i="9"/>
  <c r="K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N17" i="12" s="1"/>
  <c r="AJ575" i="9"/>
  <c r="Q17" i="12" s="1"/>
  <c r="AK575" i="9"/>
  <c r="K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N15" i="12" s="1"/>
  <c r="AJ593" i="9"/>
  <c r="Q15" i="12" s="1"/>
  <c r="AK593" i="9"/>
  <c r="K15" i="12" s="1"/>
  <c r="AH594" i="9"/>
  <c r="AI594" i="9"/>
  <c r="N41" i="12" s="1"/>
  <c r="AJ594" i="9"/>
  <c r="Q41" i="12" s="1"/>
  <c r="AK594" i="9"/>
  <c r="K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N21" i="12" s="1"/>
  <c r="AJ621" i="9"/>
  <c r="Q21" i="12" s="1"/>
  <c r="AK621" i="9"/>
  <c r="K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N28" i="12" s="1"/>
  <c r="AJ648" i="9"/>
  <c r="Q28" i="12" s="1"/>
  <c r="AK648" i="9"/>
  <c r="K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N26" i="12" s="1"/>
  <c r="AJ652" i="9"/>
  <c r="Q26" i="12" s="1"/>
  <c r="AK652" i="9"/>
  <c r="K26" i="12" s="1"/>
  <c r="AH653" i="9"/>
  <c r="AI653" i="9"/>
  <c r="AJ653" i="9"/>
  <c r="AK653" i="9"/>
  <c r="AH654" i="9"/>
  <c r="AI654" i="9"/>
  <c r="N31" i="12" s="1"/>
  <c r="AJ654" i="9"/>
  <c r="Q31" i="12" s="1"/>
  <c r="AK654" i="9"/>
  <c r="K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N27" i="12" s="1"/>
  <c r="AJ668" i="9"/>
  <c r="Q27" i="12" s="1"/>
  <c r="AK668" i="9"/>
  <c r="K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N54" i="12" s="1"/>
  <c r="AJ678" i="9"/>
  <c r="Q54" i="12" s="1"/>
  <c r="AK678" i="9"/>
  <c r="K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N2" i="12" s="1"/>
  <c r="AJ683" i="9"/>
  <c r="Q2" i="12" s="1"/>
  <c r="AK683" i="9"/>
  <c r="K2" i="12" s="1"/>
  <c r="AH684" i="9"/>
  <c r="AI684" i="9"/>
  <c r="AJ684" i="9"/>
  <c r="AK684" i="9"/>
  <c r="AH685" i="9"/>
  <c r="AI685" i="9"/>
  <c r="AJ685" i="9"/>
  <c r="AK685" i="9"/>
  <c r="AH686" i="9"/>
  <c r="AI686" i="9"/>
  <c r="N5" i="12" s="1"/>
  <c r="AJ686" i="9"/>
  <c r="Q5" i="12" s="1"/>
  <c r="AK686" i="9"/>
  <c r="K5" i="12" s="1"/>
  <c r="AH687" i="9"/>
  <c r="AI687" i="9"/>
  <c r="AJ687" i="9"/>
  <c r="AK687" i="9"/>
  <c r="AH688" i="9"/>
  <c r="AI688" i="9"/>
  <c r="N44" i="12" s="1"/>
  <c r="AJ688" i="9"/>
  <c r="Q44" i="12" s="1"/>
  <c r="AK688" i="9"/>
  <c r="K44" i="12" s="1"/>
  <c r="AH689" i="9"/>
  <c r="AI689" i="9"/>
  <c r="N38" i="12" s="1"/>
  <c r="AJ689" i="9"/>
  <c r="Q38" i="12" s="1"/>
  <c r="AK689" i="9"/>
  <c r="K38" i="12" s="1"/>
  <c r="AJ2" i="9"/>
  <c r="AI2" i="9"/>
  <c r="AA475" i="10"/>
  <c r="AB475" i="10"/>
  <c r="P38" i="11" s="1"/>
  <c r="AC475" i="10"/>
  <c r="S38" i="11" s="1"/>
  <c r="AD475" i="10"/>
  <c r="M38" i="11" s="1"/>
  <c r="AA476" i="10"/>
  <c r="AB476" i="10"/>
  <c r="P4" i="11" s="1"/>
  <c r="AC476" i="10"/>
  <c r="S4" i="11" s="1"/>
  <c r="AD476" i="10"/>
  <c r="M4" i="11" s="1"/>
  <c r="AA477" i="10"/>
  <c r="AB477" i="10"/>
  <c r="P31" i="11" s="1"/>
  <c r="AC477" i="10"/>
  <c r="AD477" i="10"/>
  <c r="M31" i="11" s="1"/>
  <c r="AA478" i="10"/>
  <c r="AB478" i="10"/>
  <c r="P15" i="11" s="1"/>
  <c r="AC478" i="10"/>
  <c r="S15" i="11" s="1"/>
  <c r="AD478" i="10"/>
  <c r="M15" i="11" s="1"/>
  <c r="AA479" i="10"/>
  <c r="AB479" i="10"/>
  <c r="P25" i="11" s="1"/>
  <c r="AC479" i="10"/>
  <c r="S25" i="11" s="1"/>
  <c r="AD479" i="10"/>
  <c r="M25" i="11" s="1"/>
  <c r="AA480" i="10"/>
  <c r="AB480" i="10"/>
  <c r="P48" i="11" s="1"/>
  <c r="AC480" i="10"/>
  <c r="S48" i="11" s="1"/>
  <c r="AD480" i="10"/>
  <c r="M48" i="11" s="1"/>
  <c r="AA481" i="10"/>
  <c r="AB481" i="10"/>
  <c r="P35" i="11" s="1"/>
  <c r="AC481" i="10"/>
  <c r="AD481" i="10"/>
  <c r="M35" i="11" s="1"/>
  <c r="AA482" i="10"/>
  <c r="AB482" i="10"/>
  <c r="P47" i="11" s="1"/>
  <c r="AC482" i="10"/>
  <c r="S47" i="11" s="1"/>
  <c r="AD482" i="10"/>
  <c r="M47" i="11" s="1"/>
  <c r="AA483" i="10"/>
  <c r="AB483" i="10"/>
  <c r="P12" i="11" s="1"/>
  <c r="AC483" i="10"/>
  <c r="S12" i="11" s="1"/>
  <c r="AD483" i="10"/>
  <c r="M12" i="11" s="1"/>
  <c r="AA484" i="10"/>
  <c r="AB484" i="10"/>
  <c r="P13" i="11" s="1"/>
  <c r="AC484" i="10"/>
  <c r="S13" i="11" s="1"/>
  <c r="AD484" i="10"/>
  <c r="M13" i="11" s="1"/>
  <c r="AA485" i="10"/>
  <c r="AB485" i="10"/>
  <c r="P34" i="11" s="1"/>
  <c r="AC485" i="10"/>
  <c r="AD485" i="10"/>
  <c r="M34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T48" i="11"/>
  <c r="H48" i="11"/>
  <c r="I48" i="11"/>
  <c r="J48" i="11" a="1"/>
  <c r="J48" i="11" s="1"/>
  <c r="K48" i="11"/>
  <c r="L48" i="11"/>
  <c r="N48" i="11"/>
  <c r="O48" i="11" s="1"/>
  <c r="Q48" i="11"/>
  <c r="R48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20" i="11" s="1"/>
  <c r="AC471" i="10"/>
  <c r="S20" i="11" s="1"/>
  <c r="AD471" i="10"/>
  <c r="M20" i="11" s="1"/>
  <c r="AA472" i="10"/>
  <c r="AB472" i="10"/>
  <c r="AC472" i="10"/>
  <c r="AD472" i="10"/>
  <c r="AA473" i="10"/>
  <c r="AB473" i="10"/>
  <c r="AC473" i="10"/>
  <c r="AD473" i="10"/>
  <c r="AA474" i="10"/>
  <c r="AB474" i="10"/>
  <c r="P56" i="11" s="1"/>
  <c r="AC474" i="10"/>
  <c r="S56" i="11" s="1"/>
  <c r="AD474" i="10"/>
  <c r="M56" i="11" s="1"/>
  <c r="AA451" i="10"/>
  <c r="AB451" i="10"/>
  <c r="P53" i="11" s="1"/>
  <c r="AC451" i="10"/>
  <c r="S53" i="11" s="1"/>
  <c r="AD451" i="10"/>
  <c r="M53" i="11" s="1"/>
  <c r="AA452" i="10"/>
  <c r="AB452" i="10"/>
  <c r="P23" i="11" s="1"/>
  <c r="AC452" i="10"/>
  <c r="S23" i="11" s="1"/>
  <c r="AD452" i="10"/>
  <c r="M23" i="11" s="1"/>
  <c r="AA453" i="10"/>
  <c r="AB453" i="10"/>
  <c r="P49" i="11" s="1"/>
  <c r="AC453" i="10"/>
  <c r="S49" i="11" s="1"/>
  <c r="AD453" i="10"/>
  <c r="M49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5" i="11" s="1"/>
  <c r="AC457" i="10"/>
  <c r="S55" i="11" s="1"/>
  <c r="AD457" i="10"/>
  <c r="M55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4" i="11" s="1"/>
  <c r="AC461" i="10"/>
  <c r="S14" i="11" s="1"/>
  <c r="AD461" i="10"/>
  <c r="M14" i="11" s="1"/>
  <c r="AA462" i="10"/>
  <c r="AB462" i="10"/>
  <c r="P32" i="11" s="1"/>
  <c r="AC462" i="10"/>
  <c r="S32" i="11" s="1"/>
  <c r="AD462" i="10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I45" i="12"/>
  <c r="AJ45" i="12"/>
  <c r="AK45" i="12"/>
  <c r="AL45" i="12"/>
  <c r="AM45" i="12"/>
  <c r="AN45" i="12"/>
  <c r="R45" i="12"/>
  <c r="F45" i="12"/>
  <c r="G45" i="12"/>
  <c r="H45" i="12" a="1"/>
  <c r="H45" i="12" s="1"/>
  <c r="I45" i="12"/>
  <c r="J45" i="12"/>
  <c r="L45" i="12"/>
  <c r="M45" i="12" s="1"/>
  <c r="O45" i="12"/>
  <c r="P45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8" i="11" s="1"/>
  <c r="AC445" i="10"/>
  <c r="S28" i="11" s="1"/>
  <c r="AD445" i="10"/>
  <c r="M28" i="11" s="1"/>
  <c r="AA446" i="10"/>
  <c r="AB446" i="10"/>
  <c r="AC446" i="10"/>
  <c r="AD446" i="10"/>
  <c r="AA447" i="10"/>
  <c r="AB447" i="10"/>
  <c r="P19" i="11" s="1"/>
  <c r="AC447" i="10"/>
  <c r="S19" i="11" s="1"/>
  <c r="AD447" i="10"/>
  <c r="M19" i="11" s="1"/>
  <c r="AA448" i="10"/>
  <c r="AB448" i="10"/>
  <c r="AC448" i="10"/>
  <c r="AD448" i="10"/>
  <c r="AA449" i="10"/>
  <c r="AB449" i="10"/>
  <c r="AC449" i="10"/>
  <c r="AD449" i="10"/>
  <c r="AA450" i="10"/>
  <c r="AB450" i="10"/>
  <c r="P27" i="11" s="1"/>
  <c r="AC450" i="10"/>
  <c r="S27" i="11" s="1"/>
  <c r="AD450" i="10"/>
  <c r="M27" i="11" s="1"/>
  <c r="H54" i="11"/>
  <c r="I54" i="11"/>
  <c r="J54" i="11" a="1"/>
  <c r="J54" i="11" s="1"/>
  <c r="K54" i="11"/>
  <c r="L54" i="11"/>
  <c r="N54" i="11"/>
  <c r="O54" i="11" s="1"/>
  <c r="Q54" i="11"/>
  <c r="R54" i="11" s="1"/>
  <c r="H44" i="11"/>
  <c r="I44" i="11"/>
  <c r="J44" i="11" a="1"/>
  <c r="J44" i="11" s="1"/>
  <c r="K44" i="11"/>
  <c r="L44" i="11"/>
  <c r="N44" i="11"/>
  <c r="O44" i="11" s="1"/>
  <c r="Q44" i="11"/>
  <c r="R44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I25" i="12"/>
  <c r="AJ25" i="12"/>
  <c r="AK25" i="12"/>
  <c r="AL25" i="12"/>
  <c r="AM25" i="12"/>
  <c r="AN25" i="12"/>
  <c r="R25" i="12"/>
  <c r="F25" i="12"/>
  <c r="G25" i="12"/>
  <c r="H25" i="12" a="1"/>
  <c r="H25" i="12" s="1"/>
  <c r="I25" i="12"/>
  <c r="J25" i="12"/>
  <c r="L25" i="12"/>
  <c r="M25" i="12" s="1"/>
  <c r="O25" i="12"/>
  <c r="P25" i="12" s="1"/>
  <c r="O2" i="12"/>
  <c r="R7" i="12"/>
  <c r="R6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I62" i="12"/>
  <c r="AJ62" i="12"/>
  <c r="AK62" i="12"/>
  <c r="AL62" i="12"/>
  <c r="AM62" i="12"/>
  <c r="AN62" i="12"/>
  <c r="R62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I61" i="12"/>
  <c r="AJ61" i="12"/>
  <c r="AK61" i="12"/>
  <c r="AL61" i="12"/>
  <c r="AM61" i="12"/>
  <c r="AN61" i="12"/>
  <c r="R61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I60" i="12"/>
  <c r="AJ60" i="12"/>
  <c r="AK60" i="12"/>
  <c r="AL60" i="12"/>
  <c r="AM60" i="12"/>
  <c r="AN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I59" i="12"/>
  <c r="AJ59" i="12"/>
  <c r="AK59" i="12"/>
  <c r="AL59" i="12"/>
  <c r="AM59" i="12"/>
  <c r="AN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I58" i="12"/>
  <c r="AJ58" i="12"/>
  <c r="AK58" i="12"/>
  <c r="AL58" i="12"/>
  <c r="AM58" i="12"/>
  <c r="AN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I57" i="12"/>
  <c r="AJ57" i="12"/>
  <c r="AK57" i="12"/>
  <c r="AL57" i="12"/>
  <c r="AM57" i="12"/>
  <c r="AN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I56" i="12"/>
  <c r="AJ56" i="12"/>
  <c r="AK56" i="12"/>
  <c r="AL56" i="12"/>
  <c r="AM56" i="12"/>
  <c r="AN56" i="12"/>
  <c r="R56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I54" i="12"/>
  <c r="AJ54" i="12"/>
  <c r="AK54" i="12"/>
  <c r="AL54" i="12"/>
  <c r="AM54" i="12"/>
  <c r="AN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I53" i="12"/>
  <c r="AJ53" i="12"/>
  <c r="AK53" i="12"/>
  <c r="AL53" i="12"/>
  <c r="AM53" i="12"/>
  <c r="AN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I52" i="12"/>
  <c r="AJ52" i="12"/>
  <c r="AK52" i="12"/>
  <c r="AL52" i="12"/>
  <c r="AM52" i="12"/>
  <c r="AN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I51" i="12"/>
  <c r="AJ51" i="12"/>
  <c r="AK51" i="12"/>
  <c r="AL51" i="12"/>
  <c r="AM51" i="12"/>
  <c r="AN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I50" i="12"/>
  <c r="AJ50" i="12"/>
  <c r="AK50" i="12"/>
  <c r="AL50" i="12"/>
  <c r="AM50" i="12"/>
  <c r="AN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I49" i="12"/>
  <c r="AJ49" i="12"/>
  <c r="AK49" i="12"/>
  <c r="AL49" i="12"/>
  <c r="AM49" i="12"/>
  <c r="AN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I48" i="12"/>
  <c r="AJ48" i="12"/>
  <c r="AK48" i="12"/>
  <c r="AL48" i="12"/>
  <c r="AM48" i="12"/>
  <c r="AN48" i="12"/>
  <c r="R48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I46" i="12"/>
  <c r="AJ46" i="12"/>
  <c r="AK46" i="12"/>
  <c r="AL46" i="12"/>
  <c r="AM46" i="12"/>
  <c r="AN46" i="12"/>
  <c r="R46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I44" i="12"/>
  <c r="AJ44" i="12"/>
  <c r="AK44" i="12"/>
  <c r="AL44" i="12"/>
  <c r="AM44" i="12"/>
  <c r="AN44" i="12"/>
  <c r="R44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I42" i="12"/>
  <c r="AJ42" i="12"/>
  <c r="AK42" i="12"/>
  <c r="AL42" i="12"/>
  <c r="AM42" i="12"/>
  <c r="AN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I41" i="12"/>
  <c r="AJ41" i="12"/>
  <c r="AK41" i="12"/>
  <c r="AL41" i="12"/>
  <c r="AM41" i="12"/>
  <c r="AN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I40" i="12"/>
  <c r="AJ40" i="12"/>
  <c r="AK40" i="12"/>
  <c r="AL40" i="12"/>
  <c r="AM40" i="12"/>
  <c r="AN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I39" i="12"/>
  <c r="AJ39" i="12"/>
  <c r="AK39" i="12"/>
  <c r="AL39" i="12"/>
  <c r="AM39" i="12"/>
  <c r="AN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I38" i="12"/>
  <c r="AJ38" i="12"/>
  <c r="AK38" i="12"/>
  <c r="AL38" i="12"/>
  <c r="AM38" i="12"/>
  <c r="AN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I37" i="12"/>
  <c r="AJ37" i="12"/>
  <c r="AK37" i="12"/>
  <c r="AL37" i="12"/>
  <c r="AM37" i="12"/>
  <c r="AN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I36" i="12"/>
  <c r="AJ36" i="12"/>
  <c r="AK36" i="12"/>
  <c r="AL36" i="12"/>
  <c r="AM36" i="12"/>
  <c r="AN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I35" i="12"/>
  <c r="AJ35" i="12"/>
  <c r="AK35" i="12"/>
  <c r="AL35" i="12"/>
  <c r="AM35" i="12"/>
  <c r="AN35" i="12"/>
  <c r="R35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I32" i="12"/>
  <c r="AJ32" i="12"/>
  <c r="AK32" i="12"/>
  <c r="AL32" i="12"/>
  <c r="AM32" i="12"/>
  <c r="AN32" i="12"/>
  <c r="R32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I31" i="12"/>
  <c r="AJ31" i="12"/>
  <c r="AK31" i="12"/>
  <c r="AL31" i="12"/>
  <c r="AM31" i="12"/>
  <c r="AN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I30" i="12"/>
  <c r="AJ30" i="12"/>
  <c r="AK30" i="12"/>
  <c r="AL30" i="12"/>
  <c r="AM30" i="12"/>
  <c r="AN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I29" i="12"/>
  <c r="AJ29" i="12"/>
  <c r="AK29" i="12"/>
  <c r="AL29" i="12"/>
  <c r="AM29" i="12"/>
  <c r="AN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I28" i="12"/>
  <c r="AJ28" i="12"/>
  <c r="AK28" i="12"/>
  <c r="AL28" i="12"/>
  <c r="AM28" i="12"/>
  <c r="AN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I27" i="12"/>
  <c r="AJ27" i="12"/>
  <c r="AK27" i="12"/>
  <c r="AL27" i="12"/>
  <c r="AM27" i="12"/>
  <c r="AN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I26" i="12"/>
  <c r="AJ26" i="12"/>
  <c r="AK26" i="12"/>
  <c r="AL26" i="12"/>
  <c r="AM26" i="12"/>
  <c r="AN26" i="12"/>
  <c r="R26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I24" i="12"/>
  <c r="AJ24" i="12"/>
  <c r="AK24" i="12"/>
  <c r="AL24" i="12"/>
  <c r="AM24" i="12"/>
  <c r="AN24" i="12"/>
  <c r="R24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I23" i="12"/>
  <c r="AJ23" i="12"/>
  <c r="AK23" i="12"/>
  <c r="AL23" i="12"/>
  <c r="AM23" i="12"/>
  <c r="AN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I22" i="12"/>
  <c r="AJ22" i="12"/>
  <c r="AK22" i="12"/>
  <c r="AL22" i="12"/>
  <c r="AM22" i="12"/>
  <c r="AN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I21" i="12"/>
  <c r="AJ21" i="12"/>
  <c r="AK21" i="12"/>
  <c r="AL21" i="12"/>
  <c r="AM21" i="12"/>
  <c r="AN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I20" i="12"/>
  <c r="AJ20" i="12"/>
  <c r="AK20" i="12"/>
  <c r="AL20" i="12"/>
  <c r="AM20" i="12"/>
  <c r="AN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I19" i="12"/>
  <c r="AJ19" i="12"/>
  <c r="AK19" i="12"/>
  <c r="AL19" i="12"/>
  <c r="AM19" i="12"/>
  <c r="AN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I17" i="12"/>
  <c r="AJ17" i="12"/>
  <c r="AK17" i="12"/>
  <c r="AL17" i="12"/>
  <c r="AM17" i="12"/>
  <c r="AN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I16" i="12"/>
  <c r="AJ16" i="12"/>
  <c r="AK16" i="12"/>
  <c r="AL16" i="12"/>
  <c r="AM16" i="12"/>
  <c r="AN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I15" i="12"/>
  <c r="AJ15" i="12"/>
  <c r="AK15" i="12"/>
  <c r="AL15" i="12"/>
  <c r="AM15" i="12"/>
  <c r="AN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I14" i="12"/>
  <c r="AJ14" i="12"/>
  <c r="AK14" i="12"/>
  <c r="AL14" i="12"/>
  <c r="AM14" i="12"/>
  <c r="AN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I13" i="12"/>
  <c r="AJ13" i="12"/>
  <c r="AK13" i="12"/>
  <c r="AL13" i="12"/>
  <c r="AM13" i="12"/>
  <c r="AN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I12" i="12"/>
  <c r="AJ12" i="12"/>
  <c r="AK12" i="12"/>
  <c r="AL12" i="12"/>
  <c r="AM12" i="12"/>
  <c r="AN12" i="12"/>
  <c r="R12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I9" i="12"/>
  <c r="AJ9" i="12"/>
  <c r="AK9" i="12"/>
  <c r="AL9" i="12"/>
  <c r="AM9" i="12"/>
  <c r="AN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I8" i="12"/>
  <c r="AJ8" i="12"/>
  <c r="AK8" i="12"/>
  <c r="AL8" i="12"/>
  <c r="AM8" i="12"/>
  <c r="AN8" i="12"/>
  <c r="R8" i="12"/>
  <c r="F17" i="12"/>
  <c r="G17" i="12"/>
  <c r="H17" i="12" a="1"/>
  <c r="H17" i="12" s="1"/>
  <c r="I17" i="12"/>
  <c r="J17" i="12"/>
  <c r="L17" i="12"/>
  <c r="M17" i="12" s="1"/>
  <c r="O17" i="12"/>
  <c r="P17" i="12" s="1"/>
  <c r="AA415" i="10"/>
  <c r="AB415" i="10"/>
  <c r="P45" i="11" s="1"/>
  <c r="AC415" i="10"/>
  <c r="S45" i="11" s="1"/>
  <c r="AD415" i="10"/>
  <c r="M45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9" i="11" s="1"/>
  <c r="AC435" i="10"/>
  <c r="S39" i="11" s="1"/>
  <c r="AD435" i="10"/>
  <c r="M39" i="11" s="1"/>
  <c r="AA436" i="10"/>
  <c r="AB436" i="10"/>
  <c r="P50" i="11" s="1"/>
  <c r="AC436" i="10"/>
  <c r="S50" i="11" s="1"/>
  <c r="AD436" i="10"/>
  <c r="M50" i="11" s="1"/>
  <c r="AA437" i="10"/>
  <c r="AB437" i="10"/>
  <c r="AC437" i="10"/>
  <c r="AD437" i="10"/>
  <c r="AA438" i="10"/>
  <c r="AB438" i="10"/>
  <c r="P54" i="11" s="1"/>
  <c r="AC438" i="10"/>
  <c r="S54" i="11" s="1"/>
  <c r="AD438" i="10"/>
  <c r="M54" i="11" s="1"/>
  <c r="AA439" i="10"/>
  <c r="AB439" i="10"/>
  <c r="AC439" i="10"/>
  <c r="AD439" i="10"/>
  <c r="AA440" i="10"/>
  <c r="AB440" i="10"/>
  <c r="AC440" i="10"/>
  <c r="AD440" i="10"/>
  <c r="T42" i="11"/>
  <c r="F26" i="12"/>
  <c r="G26" i="12"/>
  <c r="H26" i="12" a="1"/>
  <c r="H26" i="12" s="1"/>
  <c r="I26" i="12"/>
  <c r="J26" i="12"/>
  <c r="L26" i="12"/>
  <c r="M26" i="12" s="1"/>
  <c r="O26" i="12"/>
  <c r="P26" i="12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N34" i="11"/>
  <c r="O34" i="11" s="1"/>
  <c r="Q34" i="11"/>
  <c r="R34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4" i="11" s="1"/>
  <c r="AC414" i="10"/>
  <c r="S44" i="11" s="1"/>
  <c r="AD414" i="10"/>
  <c r="M44" i="11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N51" i="11"/>
  <c r="O51" i="11" s="1"/>
  <c r="Q51" i="11"/>
  <c r="R51" i="11" s="1"/>
  <c r="AA390" i="10"/>
  <c r="AB390" i="10"/>
  <c r="AC390" i="10"/>
  <c r="AD390" i="10"/>
  <c r="AA391" i="10"/>
  <c r="AB391" i="10"/>
  <c r="AC391" i="10"/>
  <c r="AD391" i="10"/>
  <c r="AA392" i="10"/>
  <c r="AB392" i="10"/>
  <c r="P41" i="11" s="1"/>
  <c r="AC392" i="10"/>
  <c r="S41" i="11" s="1"/>
  <c r="AD392" i="10"/>
  <c r="M41" i="11" s="1"/>
  <c r="AA393" i="10"/>
  <c r="AB393" i="10"/>
  <c r="P22" i="11" s="1"/>
  <c r="AC393" i="10"/>
  <c r="S22" i="11" s="1"/>
  <c r="AD393" i="10"/>
  <c r="M22" i="11" s="1"/>
  <c r="AA394" i="10"/>
  <c r="AB394" i="10"/>
  <c r="AC394" i="10"/>
  <c r="AD394" i="10"/>
  <c r="AA395" i="10"/>
  <c r="AB395" i="10"/>
  <c r="AC395" i="10"/>
  <c r="AD395" i="10"/>
  <c r="AA396" i="10"/>
  <c r="AB396" i="10"/>
  <c r="P51" i="11" s="1"/>
  <c r="AC396" i="10"/>
  <c r="S51" i="11" s="1"/>
  <c r="AD396" i="10"/>
  <c r="M51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T13" i="11"/>
  <c r="H13" i="11"/>
  <c r="I13" i="11"/>
  <c r="J13" i="11" a="1"/>
  <c r="J13" i="11" s="1"/>
  <c r="K13" i="11"/>
  <c r="L13" i="11"/>
  <c r="N13" i="11"/>
  <c r="O13" i="11" s="1"/>
  <c r="Q13" i="11"/>
  <c r="R13" i="11" s="1"/>
  <c r="F14" i="12"/>
  <c r="G14" i="12"/>
  <c r="H14" i="12" a="1"/>
  <c r="H14" i="12" s="1"/>
  <c r="I14" i="12"/>
  <c r="J14" i="12"/>
  <c r="L14" i="12"/>
  <c r="M14" i="12" s="1"/>
  <c r="O14" i="12"/>
  <c r="P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2" i="11"/>
  <c r="AC14" i="11"/>
  <c r="AC15" i="11"/>
  <c r="AC19" i="11"/>
  <c r="AC20" i="11"/>
  <c r="AC21" i="11"/>
  <c r="AC22" i="11"/>
  <c r="AC23" i="11"/>
  <c r="AC25" i="11"/>
  <c r="AC26" i="11"/>
  <c r="AC27" i="11"/>
  <c r="AC28" i="11"/>
  <c r="AC29" i="11"/>
  <c r="AC30" i="11"/>
  <c r="AC31" i="11"/>
  <c r="AC32" i="11"/>
  <c r="AC33" i="11"/>
  <c r="AC35" i="11"/>
  <c r="AC37" i="11"/>
  <c r="AC38" i="11"/>
  <c r="AC39" i="11"/>
  <c r="AC40" i="11"/>
  <c r="AC41" i="11"/>
  <c r="AC42" i="11"/>
  <c r="AC45" i="11"/>
  <c r="AC47" i="11"/>
  <c r="AC49" i="11"/>
  <c r="AC50" i="11"/>
  <c r="AC53" i="11"/>
  <c r="AC54" i="11"/>
  <c r="AC55" i="11"/>
  <c r="AC56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I2" i="12"/>
  <c r="AJ2" i="12"/>
  <c r="AK2" i="12"/>
  <c r="AL2" i="12"/>
  <c r="AM2" i="12"/>
  <c r="AN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51" i="12"/>
  <c r="M51" i="12" s="1"/>
  <c r="O51" i="12"/>
  <c r="P51" i="12" s="1"/>
  <c r="I51" i="12"/>
  <c r="J51" i="12"/>
  <c r="F51" i="12"/>
  <c r="G51" i="12"/>
  <c r="H51" i="12" a="1"/>
  <c r="H51" i="12" s="1"/>
  <c r="AA377" i="10"/>
  <c r="AB377" i="10"/>
  <c r="AC377" i="10"/>
  <c r="AD377" i="10"/>
  <c r="AA361" i="10"/>
  <c r="AB361" i="10"/>
  <c r="P42" i="11" s="1"/>
  <c r="AC361" i="10"/>
  <c r="S42" i="11" s="1"/>
  <c r="AD361" i="10"/>
  <c r="M42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F36" i="12"/>
  <c r="G36" i="12"/>
  <c r="H36" i="12" a="1"/>
  <c r="H36" i="12" s="1"/>
  <c r="I36" i="12"/>
  <c r="J36" i="12"/>
  <c r="L36" i="12"/>
  <c r="O36" i="12"/>
  <c r="P36" i="12" s="1"/>
  <c r="F37" i="12"/>
  <c r="G37" i="12"/>
  <c r="H37" i="12" a="1"/>
  <c r="H37" i="12" s="1"/>
  <c r="I37" i="12"/>
  <c r="J37" i="12"/>
  <c r="L37" i="12"/>
  <c r="M37" i="12" s="1"/>
  <c r="O37" i="12"/>
  <c r="P37" i="12" s="1"/>
  <c r="M32" i="11" l="1"/>
  <c r="M46" i="11"/>
  <c r="P46" i="11"/>
  <c r="S46" i="11"/>
  <c r="S34" i="11"/>
  <c r="S35" i="11"/>
  <c r="S31" i="11"/>
  <c r="P2" i="12"/>
  <c r="M36" i="12"/>
  <c r="L23" i="12"/>
  <c r="M23" i="12" s="1"/>
  <c r="O23" i="12"/>
  <c r="P23" i="12" s="1"/>
  <c r="I23" i="12"/>
  <c r="J23" i="12"/>
  <c r="F23" i="12"/>
  <c r="G23" i="12"/>
  <c r="H23" i="12" a="1"/>
  <c r="H23" i="12" s="1"/>
  <c r="I44" i="12"/>
  <c r="J44" i="12"/>
  <c r="L44" i="12"/>
  <c r="M44" i="12" s="1"/>
  <c r="O44" i="12"/>
  <c r="P44" i="12" s="1"/>
  <c r="F44" i="12"/>
  <c r="G44" i="12"/>
  <c r="H44" i="12" a="1"/>
  <c r="H44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Q27" i="11"/>
  <c r="R27" i="11" s="1"/>
  <c r="N27" i="11"/>
  <c r="L27" i="11"/>
  <c r="K27" i="11"/>
  <c r="I27" i="11"/>
  <c r="H27" i="11"/>
  <c r="J27" i="11" a="1"/>
  <c r="J27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N18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I7" i="12"/>
  <c r="AJ7" i="12"/>
  <c r="AK7" i="12"/>
  <c r="AL7" i="12"/>
  <c r="AM7" i="12"/>
  <c r="AN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I6" i="12"/>
  <c r="AJ6" i="12"/>
  <c r="AK6" i="12"/>
  <c r="AL6" i="12"/>
  <c r="AM6" i="12"/>
  <c r="AN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I5" i="12"/>
  <c r="AJ5" i="12"/>
  <c r="AK5" i="12"/>
  <c r="AL5" i="12"/>
  <c r="AM5" i="12"/>
  <c r="AN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I4" i="12"/>
  <c r="AJ4" i="12"/>
  <c r="AK4" i="12"/>
  <c r="AL4" i="12"/>
  <c r="AM4" i="12"/>
  <c r="AN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I3" i="12"/>
  <c r="AJ3" i="12"/>
  <c r="AK3" i="12"/>
  <c r="AL3" i="12"/>
  <c r="AM3" i="12"/>
  <c r="AN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2" i="12"/>
  <c r="P12" i="12" s="1"/>
  <c r="O13" i="12"/>
  <c r="P13" i="12" s="1"/>
  <c r="O15" i="12"/>
  <c r="P15" i="12" s="1"/>
  <c r="O48" i="12"/>
  <c r="P48" i="12" s="1"/>
  <c r="O16" i="12"/>
  <c r="P16" i="12" s="1"/>
  <c r="O18" i="12"/>
  <c r="P18" i="12" s="1"/>
  <c r="O19" i="12"/>
  <c r="P19" i="12" s="1"/>
  <c r="O20" i="12"/>
  <c r="P20" i="12" s="1"/>
  <c r="O21" i="12"/>
  <c r="P21" i="12" s="1"/>
  <c r="O22" i="12"/>
  <c r="P22" i="12" s="1"/>
  <c r="O24" i="12"/>
  <c r="P24" i="12" s="1"/>
  <c r="O27" i="12"/>
  <c r="P27" i="12" s="1"/>
  <c r="O28" i="12"/>
  <c r="P28" i="12" s="1"/>
  <c r="O29" i="12"/>
  <c r="P29" i="12" s="1"/>
  <c r="O30" i="12"/>
  <c r="P30" i="12" s="1"/>
  <c r="O31" i="12"/>
  <c r="P31" i="12" s="1"/>
  <c r="P32" i="12"/>
  <c r="O35" i="12"/>
  <c r="P35" i="12" s="1"/>
  <c r="O38" i="12"/>
  <c r="P38" i="12" s="1"/>
  <c r="O39" i="12"/>
  <c r="P39" i="12" s="1"/>
  <c r="O40" i="12"/>
  <c r="P40" i="12" s="1"/>
  <c r="O41" i="12"/>
  <c r="P41" i="12" s="1"/>
  <c r="O42" i="12"/>
  <c r="P42" i="12" s="1"/>
  <c r="O46" i="12"/>
  <c r="P46" i="12" s="1"/>
  <c r="O49" i="12"/>
  <c r="P49" i="12" s="1"/>
  <c r="O50" i="12"/>
  <c r="P50" i="12" s="1"/>
  <c r="O52" i="12"/>
  <c r="P52" i="12" s="1"/>
  <c r="O53" i="12"/>
  <c r="P53" i="12" s="1"/>
  <c r="O54" i="12"/>
  <c r="P54" i="12" s="1"/>
  <c r="O56" i="12"/>
  <c r="P56" i="12" s="1"/>
  <c r="O57" i="12"/>
  <c r="P57" i="12" s="1"/>
  <c r="O58" i="12"/>
  <c r="P58" i="12" s="1"/>
  <c r="O59" i="12"/>
  <c r="P59" i="12" s="1"/>
  <c r="O60" i="12"/>
  <c r="P60" i="12" s="1"/>
  <c r="O61" i="12"/>
  <c r="P61" i="12" s="1"/>
  <c r="O62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2" i="12"/>
  <c r="M12" i="12" s="1"/>
  <c r="L13" i="12"/>
  <c r="M13" i="12" s="1"/>
  <c r="L15" i="12"/>
  <c r="M15" i="12" s="1"/>
  <c r="L48" i="12"/>
  <c r="L16" i="12"/>
  <c r="M16" i="12" s="1"/>
  <c r="L18" i="12"/>
  <c r="M18" i="12" s="1"/>
  <c r="L19" i="12"/>
  <c r="M19" i="12" s="1"/>
  <c r="L20" i="12"/>
  <c r="M20" i="12" s="1"/>
  <c r="L21" i="12"/>
  <c r="M21" i="12" s="1"/>
  <c r="L22" i="12"/>
  <c r="M22" i="12" s="1"/>
  <c r="L24" i="12"/>
  <c r="M24" i="12" s="1"/>
  <c r="L27" i="12"/>
  <c r="M27" i="12" s="1"/>
  <c r="L28" i="12"/>
  <c r="M28" i="12" s="1"/>
  <c r="L29" i="12"/>
  <c r="M29" i="12" s="1"/>
  <c r="L30" i="12"/>
  <c r="M30" i="12" s="1"/>
  <c r="L31" i="12"/>
  <c r="M31" i="12" s="1"/>
  <c r="L32" i="12"/>
  <c r="M32" i="12" s="1"/>
  <c r="L35" i="12"/>
  <c r="M35" i="12" s="1"/>
  <c r="L38" i="12"/>
  <c r="M38" i="12" s="1"/>
  <c r="L39" i="12"/>
  <c r="M39" i="12" s="1"/>
  <c r="L40" i="12"/>
  <c r="M40" i="12" s="1"/>
  <c r="L41" i="12"/>
  <c r="M41" i="12" s="1"/>
  <c r="L42" i="12"/>
  <c r="M42" i="12" s="1"/>
  <c r="L46" i="12"/>
  <c r="M46" i="12" s="1"/>
  <c r="L49" i="12"/>
  <c r="M49" i="12" s="1"/>
  <c r="L50" i="12"/>
  <c r="M50" i="12" s="1"/>
  <c r="L52" i="12"/>
  <c r="M52" i="12" s="1"/>
  <c r="L53" i="12"/>
  <c r="M53" i="12" s="1"/>
  <c r="L54" i="12"/>
  <c r="M54" i="12" s="1"/>
  <c r="L56" i="12"/>
  <c r="M56" i="12" s="1"/>
  <c r="L57" i="12"/>
  <c r="M57" i="12" s="1"/>
  <c r="L58" i="12"/>
  <c r="M58" i="12" s="1"/>
  <c r="L59" i="12"/>
  <c r="M59" i="12" s="1"/>
  <c r="L60" i="12"/>
  <c r="M60" i="12" s="1"/>
  <c r="L61" i="12"/>
  <c r="M61" i="12" s="1"/>
  <c r="L62" i="12"/>
  <c r="M62" i="12" s="1"/>
  <c r="L3" i="12"/>
  <c r="M3" i="12" s="1"/>
  <c r="J4" i="12"/>
  <c r="J5" i="12"/>
  <c r="J6" i="12"/>
  <c r="J7" i="12"/>
  <c r="J8" i="12"/>
  <c r="J9" i="12"/>
  <c r="J12" i="12"/>
  <c r="J13" i="12"/>
  <c r="J15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3" i="12"/>
  <c r="I48" i="12"/>
  <c r="I16" i="12"/>
  <c r="I18" i="12"/>
  <c r="I19" i="12"/>
  <c r="I20" i="12"/>
  <c r="I21" i="12"/>
  <c r="I22" i="12"/>
  <c r="I24" i="12"/>
  <c r="I27" i="12"/>
  <c r="I28" i="12"/>
  <c r="I29" i="12"/>
  <c r="I30" i="12"/>
  <c r="I31" i="12"/>
  <c r="I32" i="12"/>
  <c r="I35" i="12"/>
  <c r="I38" i="12"/>
  <c r="I39" i="12"/>
  <c r="I40" i="12"/>
  <c r="I41" i="12"/>
  <c r="I42" i="12"/>
  <c r="I46" i="12"/>
  <c r="I49" i="12"/>
  <c r="I50" i="12"/>
  <c r="I52" i="12"/>
  <c r="I53" i="12"/>
  <c r="I54" i="12"/>
  <c r="I56" i="12"/>
  <c r="I57" i="12"/>
  <c r="I58" i="12"/>
  <c r="I59" i="12"/>
  <c r="I60" i="12"/>
  <c r="I61" i="12"/>
  <c r="I62" i="12"/>
  <c r="I4" i="12"/>
  <c r="I5" i="12"/>
  <c r="I6" i="12"/>
  <c r="I7" i="12"/>
  <c r="I8" i="12"/>
  <c r="I9" i="12"/>
  <c r="I12" i="12"/>
  <c r="I13" i="12"/>
  <c r="I15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2" i="12" a="1"/>
  <c r="H12" i="12" s="1"/>
  <c r="H13" i="12" a="1"/>
  <c r="H13" i="12" s="1"/>
  <c r="H15" i="12" a="1"/>
  <c r="H15" i="12" s="1"/>
  <c r="H48" i="12" a="1"/>
  <c r="H48" i="12" s="1"/>
  <c r="H16" i="12" a="1"/>
  <c r="H16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4" i="12" a="1"/>
  <c r="H24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5" i="12" a="1"/>
  <c r="H35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6" i="12" a="1"/>
  <c r="H46" i="12" s="1"/>
  <c r="H49" i="12" a="1"/>
  <c r="H49" i="12" s="1"/>
  <c r="H50" i="12" a="1"/>
  <c r="H50" i="12" s="1"/>
  <c r="H52" i="12" a="1"/>
  <c r="H52" i="12" s="1"/>
  <c r="H53" i="12" a="1"/>
  <c r="H53" i="12" s="1"/>
  <c r="H54" i="12" a="1"/>
  <c r="H54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3" i="12" a="1"/>
  <c r="H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6" i="11"/>
  <c r="V56" i="11"/>
  <c r="W56" i="11"/>
  <c r="X56" i="11"/>
  <c r="Y56" i="11"/>
  <c r="Z56" i="11"/>
  <c r="AA56" i="11"/>
  <c r="AB56" i="11"/>
  <c r="AD56" i="11"/>
  <c r="AE56" i="11"/>
  <c r="AF56" i="11"/>
  <c r="AG56" i="11"/>
  <c r="AH56" i="11"/>
  <c r="AI56" i="11"/>
  <c r="T56" i="11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T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5" i="11"/>
  <c r="V15" i="11"/>
  <c r="W15" i="11"/>
  <c r="X15" i="11"/>
  <c r="Y15" i="11"/>
  <c r="Z15" i="11"/>
  <c r="AA15" i="11"/>
  <c r="AB15" i="11"/>
  <c r="AD15" i="11"/>
  <c r="AE15" i="11"/>
  <c r="AF15" i="11"/>
  <c r="AG15" i="11"/>
  <c r="AH15" i="11"/>
  <c r="AI15" i="11"/>
  <c r="T15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Q5" i="11"/>
  <c r="R5" i="11" s="1"/>
  <c r="N6" i="11"/>
  <c r="O6" i="11" s="1"/>
  <c r="N7" i="11"/>
  <c r="O7" i="11" s="1"/>
  <c r="N8" i="11"/>
  <c r="O8" i="11" s="1"/>
  <c r="N9" i="11"/>
  <c r="O9" i="11" s="1"/>
  <c r="N12" i="11"/>
  <c r="O12" i="11" s="1"/>
  <c r="N14" i="11"/>
  <c r="O14" i="11" s="1"/>
  <c r="N15" i="11"/>
  <c r="O15" i="11" s="1"/>
  <c r="N19" i="11"/>
  <c r="O19" i="11" s="1"/>
  <c r="N20" i="11"/>
  <c r="O20" i="11" s="1"/>
  <c r="N21" i="11"/>
  <c r="O21" i="11" s="1"/>
  <c r="N22" i="11"/>
  <c r="O22" i="11" s="1"/>
  <c r="N23" i="11"/>
  <c r="O23" i="11" s="1"/>
  <c r="N25" i="11"/>
  <c r="O25" i="11" s="1"/>
  <c r="N26" i="11"/>
  <c r="O26" i="11" s="1"/>
  <c r="N28" i="11"/>
  <c r="O28" i="11" s="1"/>
  <c r="N29" i="11"/>
  <c r="O29" i="11" s="1"/>
  <c r="N30" i="11"/>
  <c r="O30" i="11" s="1"/>
  <c r="N31" i="11"/>
  <c r="O31" i="11" s="1"/>
  <c r="N32" i="11"/>
  <c r="O32" i="11" s="1"/>
  <c r="N33" i="11"/>
  <c r="O33" i="11" s="1"/>
  <c r="N35" i="11"/>
  <c r="O35" i="11" s="1"/>
  <c r="N37" i="11"/>
  <c r="O37" i="11" s="1"/>
  <c r="N38" i="11"/>
  <c r="O38" i="11" s="1"/>
  <c r="N39" i="11"/>
  <c r="O39" i="11" s="1"/>
  <c r="N40" i="11"/>
  <c r="O40" i="11" s="1"/>
  <c r="N41" i="11"/>
  <c r="O41" i="11" s="1"/>
  <c r="N42" i="11"/>
  <c r="O42" i="11" s="1"/>
  <c r="N45" i="11"/>
  <c r="O45" i="11" s="1"/>
  <c r="N47" i="11"/>
  <c r="O47" i="11" s="1"/>
  <c r="N49" i="11"/>
  <c r="O49" i="11" s="1"/>
  <c r="N50" i="11"/>
  <c r="O50" i="11" s="1"/>
  <c r="N53" i="11"/>
  <c r="O53" i="11" s="1"/>
  <c r="N55" i="11"/>
  <c r="O55" i="11" s="1"/>
  <c r="N56" i="11"/>
  <c r="O56" i="11" s="1"/>
  <c r="N5" i="11"/>
  <c r="O5" i="11" s="1"/>
  <c r="L6" i="11"/>
  <c r="L7" i="11"/>
  <c r="L8" i="11"/>
  <c r="L9" i="11"/>
  <c r="L12" i="11"/>
  <c r="L14" i="11"/>
  <c r="L15" i="11"/>
  <c r="L19" i="11"/>
  <c r="L20" i="11"/>
  <c r="L21" i="11"/>
  <c r="L22" i="11"/>
  <c r="L23" i="11"/>
  <c r="L25" i="11"/>
  <c r="L26" i="11"/>
  <c r="L28" i="11"/>
  <c r="L29" i="11"/>
  <c r="L30" i="11"/>
  <c r="L31" i="11"/>
  <c r="L32" i="11"/>
  <c r="L33" i="11"/>
  <c r="L35" i="11"/>
  <c r="L37" i="11"/>
  <c r="L38" i="11"/>
  <c r="L39" i="11"/>
  <c r="L40" i="11"/>
  <c r="L41" i="11"/>
  <c r="L42" i="11"/>
  <c r="L45" i="11"/>
  <c r="L47" i="11"/>
  <c r="L49" i="11"/>
  <c r="L50" i="11"/>
  <c r="L53" i="11"/>
  <c r="L55" i="11"/>
  <c r="L56" i="11"/>
  <c r="L5" i="11"/>
  <c r="K6" i="11"/>
  <c r="K7" i="11"/>
  <c r="K8" i="11"/>
  <c r="K9" i="11"/>
  <c r="K12" i="11"/>
  <c r="K14" i="11"/>
  <c r="K15" i="11"/>
  <c r="K19" i="11"/>
  <c r="K20" i="11"/>
  <c r="K21" i="11"/>
  <c r="K22" i="11"/>
  <c r="K23" i="11"/>
  <c r="K25" i="11"/>
  <c r="K26" i="11"/>
  <c r="K28" i="11"/>
  <c r="K29" i="11"/>
  <c r="K30" i="11"/>
  <c r="K31" i="11"/>
  <c r="K32" i="11"/>
  <c r="K33" i="11"/>
  <c r="K35" i="11"/>
  <c r="K37" i="11"/>
  <c r="K38" i="11"/>
  <c r="K39" i="11"/>
  <c r="K40" i="11"/>
  <c r="K41" i="11"/>
  <c r="K42" i="11"/>
  <c r="K45" i="11"/>
  <c r="K47" i="11"/>
  <c r="K49" i="11"/>
  <c r="K50" i="11"/>
  <c r="K53" i="11"/>
  <c r="K55" i="11"/>
  <c r="K56" i="11"/>
  <c r="K5" i="11"/>
  <c r="Q6" i="11"/>
  <c r="R6" i="11" s="1"/>
  <c r="Q7" i="11"/>
  <c r="R7" i="11" s="1"/>
  <c r="Q8" i="11"/>
  <c r="R8" i="11" s="1"/>
  <c r="Q9" i="11"/>
  <c r="R9" i="11" s="1"/>
  <c r="Q12" i="11"/>
  <c r="R12" i="11" s="1"/>
  <c r="Q15" i="11"/>
  <c r="R15" i="11" s="1"/>
  <c r="Q19" i="11"/>
  <c r="R19" i="11" s="1"/>
  <c r="Q20" i="11"/>
  <c r="R20" i="11" s="1"/>
  <c r="Q21" i="11"/>
  <c r="R21" i="11" s="1"/>
  <c r="Q22" i="11"/>
  <c r="R22" i="11" s="1"/>
  <c r="Q23" i="11"/>
  <c r="R23" i="11" s="1"/>
  <c r="Q25" i="11"/>
  <c r="R25" i="11" s="1"/>
  <c r="Q26" i="11"/>
  <c r="R26" i="11" s="1"/>
  <c r="Q28" i="11"/>
  <c r="R28" i="11" s="1"/>
  <c r="Q29" i="11"/>
  <c r="R29" i="11" s="1"/>
  <c r="Q30" i="11"/>
  <c r="R30" i="11" s="1"/>
  <c r="Q31" i="11"/>
  <c r="R31" i="11" s="1"/>
  <c r="Q32" i="11"/>
  <c r="Q33" i="11"/>
  <c r="R33" i="11" s="1"/>
  <c r="Q35" i="11"/>
  <c r="R35" i="11" s="1"/>
  <c r="Q37" i="11"/>
  <c r="R37" i="11" s="1"/>
  <c r="Q38" i="11"/>
  <c r="R38" i="11" s="1"/>
  <c r="Q39" i="11"/>
  <c r="R39" i="11" s="1"/>
  <c r="Q40" i="11"/>
  <c r="R40" i="11" s="1"/>
  <c r="Q41" i="11"/>
  <c r="R41" i="11" s="1"/>
  <c r="Q42" i="11"/>
  <c r="R42" i="11" s="1"/>
  <c r="Q45" i="11"/>
  <c r="R45" i="11" s="1"/>
  <c r="Q47" i="11"/>
  <c r="R47" i="11" s="1"/>
  <c r="Q49" i="11"/>
  <c r="R49" i="11" s="1"/>
  <c r="Q50" i="11"/>
  <c r="R50" i="11" s="1"/>
  <c r="Q53" i="11"/>
  <c r="R53" i="11" s="1"/>
  <c r="Q55" i="11"/>
  <c r="R55" i="11" s="1"/>
  <c r="Q56" i="11"/>
  <c r="R56" i="11" s="1"/>
  <c r="J15" i="11" a="1"/>
  <c r="J15" i="11" s="1"/>
  <c r="J19" i="11" a="1"/>
  <c r="J19" i="11" s="1"/>
  <c r="J20" i="11" a="1"/>
  <c r="J20" i="11" s="1"/>
  <c r="J21" i="11" a="1"/>
  <c r="J21" i="11" s="1"/>
  <c r="J22" i="11" a="1"/>
  <c r="J22" i="11" s="1"/>
  <c r="J23" i="11" a="1"/>
  <c r="J23" i="11" s="1"/>
  <c r="J25" i="11" a="1"/>
  <c r="J25" i="11" s="1"/>
  <c r="J26" i="11" a="1"/>
  <c r="J26" i="11" s="1"/>
  <c r="J28" i="11" a="1"/>
  <c r="J28" i="11" s="1"/>
  <c r="J29" i="11" a="1"/>
  <c r="J29" i="11" s="1"/>
  <c r="J30" i="11" a="1"/>
  <c r="J30" i="11" s="1"/>
  <c r="J31" i="11" a="1"/>
  <c r="J31" i="11" s="1"/>
  <c r="J32" i="11" a="1"/>
  <c r="J32" i="11" s="1"/>
  <c r="J33" i="11" a="1"/>
  <c r="J33" i="11" s="1"/>
  <c r="J35" i="11" a="1"/>
  <c r="J35" i="11" s="1"/>
  <c r="J37" i="11" a="1"/>
  <c r="J37" i="11" s="1"/>
  <c r="J38" i="11" a="1"/>
  <c r="J38" i="11" s="1"/>
  <c r="J39" i="11" a="1"/>
  <c r="J39" i="11" s="1"/>
  <c r="J40" i="11" a="1"/>
  <c r="J40" i="11" s="1"/>
  <c r="J41" i="11" a="1"/>
  <c r="J41" i="11" s="1"/>
  <c r="J42" i="11" a="1"/>
  <c r="J42" i="11" s="1"/>
  <c r="J45" i="11" a="1"/>
  <c r="J45" i="11" s="1"/>
  <c r="J47" i="11" a="1"/>
  <c r="J47" i="11" s="1"/>
  <c r="J49" i="11" a="1"/>
  <c r="J49" i="11" s="1"/>
  <c r="J50" i="11" a="1"/>
  <c r="J50" i="11" s="1"/>
  <c r="J53" i="11" a="1"/>
  <c r="J53" i="11" s="1"/>
  <c r="J55" i="11" a="1"/>
  <c r="J55" i="11" s="1"/>
  <c r="J56" i="11" a="1"/>
  <c r="J56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2" i="11" a="1"/>
  <c r="J12" i="11" s="1"/>
  <c r="J14" i="11" a="1"/>
  <c r="J14" i="11" s="1"/>
  <c r="I5" i="11"/>
  <c r="I6" i="11"/>
  <c r="I7" i="11"/>
  <c r="I8" i="11"/>
  <c r="I9" i="11"/>
  <c r="I12" i="11"/>
  <c r="I15" i="11"/>
  <c r="I19" i="11"/>
  <c r="I20" i="11"/>
  <c r="I21" i="11"/>
  <c r="I22" i="11"/>
  <c r="I23" i="11"/>
  <c r="I25" i="11"/>
  <c r="I26" i="11"/>
  <c r="I28" i="11"/>
  <c r="I29" i="11"/>
  <c r="I30" i="11"/>
  <c r="I31" i="11"/>
  <c r="I32" i="11"/>
  <c r="I33" i="11"/>
  <c r="I35" i="11"/>
  <c r="I37" i="11"/>
  <c r="I38" i="11"/>
  <c r="I39" i="11"/>
  <c r="I40" i="11"/>
  <c r="I41" i="11"/>
  <c r="I42" i="11"/>
  <c r="I45" i="11"/>
  <c r="I47" i="11"/>
  <c r="I49" i="11"/>
  <c r="I50" i="11"/>
  <c r="I53" i="11"/>
  <c r="I55" i="11"/>
  <c r="I56" i="11"/>
  <c r="H14" i="11"/>
  <c r="H15" i="11"/>
  <c r="H19" i="11"/>
  <c r="H20" i="11"/>
  <c r="H21" i="11"/>
  <c r="H22" i="11"/>
  <c r="H23" i="11"/>
  <c r="H25" i="11"/>
  <c r="H26" i="11"/>
  <c r="H28" i="11"/>
  <c r="H29" i="11"/>
  <c r="H30" i="11"/>
  <c r="H31" i="11"/>
  <c r="H32" i="11"/>
  <c r="H33" i="11"/>
  <c r="H35" i="11"/>
  <c r="H37" i="11"/>
  <c r="H38" i="11"/>
  <c r="H39" i="11"/>
  <c r="H40" i="11"/>
  <c r="H41" i="11"/>
  <c r="H42" i="11"/>
  <c r="H45" i="11"/>
  <c r="H47" i="11"/>
  <c r="H49" i="11"/>
  <c r="H50" i="11"/>
  <c r="H53" i="11"/>
  <c r="H55" i="11"/>
  <c r="H56" i="11"/>
  <c r="H5" i="11"/>
  <c r="H6" i="11"/>
  <c r="H7" i="11"/>
  <c r="H8" i="11"/>
  <c r="H9" i="11"/>
  <c r="H12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4" i="11"/>
  <c r="R14" i="11" s="1"/>
  <c r="I14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40" i="11" l="1"/>
  <c r="S40" i="11"/>
  <c r="P40" i="11"/>
  <c r="M21" i="11"/>
  <c r="S21" i="11"/>
  <c r="P21" i="11"/>
  <c r="M29" i="11"/>
  <c r="S29" i="11"/>
  <c r="P29" i="11"/>
  <c r="M37" i="11"/>
  <c r="S37" i="11"/>
  <c r="P37" i="11"/>
  <c r="M33" i="11"/>
  <c r="S33" i="11"/>
  <c r="P33" i="11"/>
  <c r="M26" i="11"/>
  <c r="S26" i="11"/>
  <c r="P26" i="11"/>
  <c r="M6" i="11"/>
  <c r="S6" i="11"/>
  <c r="P6" i="11"/>
  <c r="M30" i="11"/>
  <c r="S30" i="11"/>
  <c r="P30" i="11"/>
  <c r="O27" i="11"/>
  <c r="M48" i="12"/>
  <c r="R32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<sst xmlns="http://schemas.openxmlformats.org/spreadsheetml/2006/main" count="4883" uniqueCount="227">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</sst>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29" sqref="B29:C2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160</v>
      </c>
      <c r="I3" s="4">
        <f>AVERAGEIFS('OB History'!C:C,'OB History'!B:B,A3)</f>
        <v>13.333333333333334</v>
      </c>
      <c r="J3" s="35">
        <f t="array" ref="J3">MAX(IF('OB History'!B:B=A3, 'OB History'!C:C))</f>
        <v>35</v>
      </c>
      <c r="K3" s="34">
        <f>COUNTIFS('OB History'!B:B,A3,'OB History'!D:D, 1)</f>
        <v>7</v>
      </c>
      <c r="L3" s="2">
        <f>COUNTIFS('OB History'!B:B,A3,'OB History'!D:D, 0)</f>
        <v>5</v>
      </c>
      <c r="M3" s="88">
        <f>LOOKUP(2, 1/('OB History'!$B:$B=A3), 'OB History'!$AD:$AD)</f>
        <v>0.58333333333333337</v>
      </c>
      <c r="N3" s="34">
        <f>SUMIFS('OB History'!F:F,'OB History'!B:B,A3)</f>
        <v>25</v>
      </c>
      <c r="O3" s="2">
        <f>SUMIFS('OB History'!E:E,'OB History'!B:B,A3)-N3</f>
        <v>23</v>
      </c>
      <c r="P3" s="88">
        <f>LOOKUP(2, 1/('OB History'!$B:$B=A3), 'OB History'!$AB:$AB)</f>
        <v>0.51666666666666672</v>
      </c>
      <c r="Q3" s="34">
        <f>SUMIFS('OB History'!H:H,'OB History'!B:B,A3)</f>
        <v>100</v>
      </c>
      <c r="R3" s="2">
        <f>SUMIFS('OB History'!G:G,'OB History'!B:B,A3)-Q3</f>
        <v>99</v>
      </c>
      <c r="S3" s="88">
        <f>LOOKUP(2, 1/('OB History'!$B:$B=A3), 'OB History'!$AC:$AC)</f>
        <v>0.51249999999999984</v>
      </c>
      <c r="T3" s="2">
        <f>COUNTIFS('OB History'!$B:$B,$A$3,'OB History'!K:K, 1)</f>
        <v>1</v>
      </c>
      <c r="U3" s="2">
        <f>COUNTIFS('OB History'!$B:$B,$A$3,'OB History'!L:L, 1)</f>
        <v>3</v>
      </c>
      <c r="V3" s="2">
        <f>COUNTIFS('OB History'!$B:$B,$A$3,'OB History'!M:M, 1)</f>
        <v>1</v>
      </c>
      <c r="W3" s="2">
        <f>COUNTIFS('OB History'!$B:$B,$A$3,'OB History'!N:N, 1)</f>
        <v>4</v>
      </c>
      <c r="X3" s="2">
        <f>COUNTIFS('OB History'!$B:$B,$A$3,'OB History'!O:O, 1)</f>
        <v>1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210</v>
      </c>
      <c r="I4" s="4">
        <f>AVERAGEIFS('OB History'!C:C,'OB History'!B:B,A4)</f>
        <v>9.1304347826086953</v>
      </c>
      <c r="J4" s="35">
        <f t="array" ref="J4">MAX(IF('OB History'!B:B=A4, 'OB History'!C:C))</f>
        <v>19</v>
      </c>
      <c r="K4" s="34">
        <f>COUNTIFS('OB History'!B:B,A4,'OB History'!D:D, 1)</f>
        <v>10</v>
      </c>
      <c r="L4" s="2">
        <f>COUNTIFS('OB History'!B:B,A4,'OB History'!D:D, 0)</f>
        <v>13</v>
      </c>
      <c r="M4" s="88">
        <f>LOOKUP(2, 1/('OB History'!$B:$B=A4), 'OB History'!$AD:$AD)</f>
        <v>0.43478260869565216</v>
      </c>
      <c r="N4" s="34">
        <f>SUMIFS('OB History'!F:F,'OB History'!B:B,A4)</f>
        <v>38</v>
      </c>
      <c r="O4" s="2">
        <f>SUMIFS('OB History'!E:E,'OB History'!B:B,A4)-N4</f>
        <v>50</v>
      </c>
      <c r="P4" s="88">
        <f>LOOKUP(2, 1/('OB History'!$B:$B=A4), 'OB History'!$AB:$AB)</f>
        <v>0.42826086956521747</v>
      </c>
      <c r="Q4" s="34">
        <f>SUMIFS('OB History'!H:H,'OB History'!B:B,A4)</f>
        <v>176</v>
      </c>
      <c r="R4" s="2">
        <f>SUMIFS('OB History'!G:G,'OB History'!B:B,A4)-Q4</f>
        <v>195</v>
      </c>
      <c r="S4" s="88">
        <f>LOOKUP(2, 1/('OB History'!$B:$B=A4), 'OB History'!$AC:$AC)</f>
        <v>0.47086956521739115</v>
      </c>
      <c r="T4" s="2">
        <f>COUNTIFS('OB History'!$B:$B,$A$4,'OB History'!K:K, 1)</f>
        <v>2</v>
      </c>
      <c r="U4" s="2">
        <f>COUNTIFS('OB History'!$B:$B,$A$4,'OB History'!L:L, 1)</f>
        <v>2</v>
      </c>
      <c r="V4" s="2">
        <f>COUNTIFS('OB History'!$B:$B,$A$4,'OB History'!M:M, 1)</f>
        <v>1</v>
      </c>
      <c r="W4" s="2">
        <f>COUNTIFS('OB History'!$B:$B,$A$4,'OB History'!N:N, 1)</f>
        <v>5</v>
      </c>
      <c r="X4" s="2">
        <f>COUNTIFS('OB History'!$B:$B,$A$4,'OB History'!O:O, 1)</f>
        <v>0</v>
      </c>
      <c r="Y4" s="2">
        <f>COUNTIFS('OB History'!$B:$B,$A$4,'OB History'!P:P, 1)</f>
        <v>5</v>
      </c>
      <c r="Z4" s="2">
        <f>COUNTIFS('OB History'!$B:$B,$A$4,'OB History'!Q:Q, 1)</f>
        <v>2</v>
      </c>
      <c r="AA4" s="2">
        <f>COUNTIFS('OB History'!$B:$B,$A$4,'OB History'!R:R, 1)</f>
        <v>1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6</v>
      </c>
      <c r="AH4" s="2">
        <f>COUNTIFS('OB History'!$B:$B,$A$4,'OB History'!Y:Y, 1)</f>
        <v>6</v>
      </c>
      <c r="AI4" s="2">
        <f>COUNTIFS('OB History'!$B:$B,$A$4,'OB History'!Z:Z,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606</v>
      </c>
      <c r="I5" s="4">
        <f>AVERAGEIFS('OB History'!C:C,'OB History'!B:B,A5)</f>
        <v>19.548387096774192</v>
      </c>
      <c r="J5" s="35">
        <f t="array" ref="J5">MAX(IF('OB History'!B:B=A5, 'OB History'!C:C))</f>
        <v>36</v>
      </c>
      <c r="K5" s="34">
        <f>COUNTIFS('OB History'!B:B,A5,'OB History'!D:D, 1)</f>
        <v>13</v>
      </c>
      <c r="L5" s="2">
        <f>COUNTIFS('OB History'!B:B,A5,'OB History'!D:D, 0)</f>
        <v>18</v>
      </c>
      <c r="M5" s="88">
        <f>LOOKUP(2, 1/('OB History'!$B:$B=A5), 'OB History'!$AD:$AD)</f>
        <v>0.41935483870967744</v>
      </c>
      <c r="N5" s="34">
        <f>SUMIFS('OB History'!F:F,'OB History'!B:B,A5)</f>
        <v>53</v>
      </c>
      <c r="O5" s="2">
        <f>SUMIFS('OB History'!E:E,'OB History'!B:B,A5)-N5</f>
        <v>70</v>
      </c>
      <c r="P5" s="88">
        <f>LOOKUP(2, 1/('OB History'!$B:$B=A5), 'OB History'!$AB:$AB)</f>
        <v>0.41290322580645156</v>
      </c>
      <c r="Q5" s="34">
        <f>SUMIFS('OB History'!H:H,'OB History'!B:B,A5)</f>
        <v>231</v>
      </c>
      <c r="R5" s="2">
        <f>SUMIFS('OB History'!G:G,'OB History'!B:B,A5)-Q5</f>
        <v>273</v>
      </c>
      <c r="S5" s="88">
        <f>LOOKUP(2, 1/('OB History'!$B:$B=A5), 'OB History'!$AC:$AC)</f>
        <v>0.44870967741935486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6</v>
      </c>
      <c r="AI5" s="2">
        <f>COUNTIFS('OB History'!$B:$B,$A$5,'OB History'!Z:Z, 1)</f>
        <v>12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425</v>
      </c>
      <c r="I7" s="4">
        <f>AVERAGEIFS('OB History'!C:C,'OB History'!B:B,A7)</f>
        <v>12.142857142857142</v>
      </c>
      <c r="J7" s="35">
        <f t="array" ref="J7">MAX(IF('OB History'!B:B=A7, 'OB History'!C:C))</f>
        <v>32</v>
      </c>
      <c r="K7" s="34">
        <f>COUNTIFS('OB History'!B:B,A7,'OB History'!D:D, 1)</f>
        <v>21</v>
      </c>
      <c r="L7" s="2">
        <f>COUNTIFS('OB History'!B:B,A7,'OB History'!D:D, 0)</f>
        <v>14</v>
      </c>
      <c r="M7" s="88">
        <f>LOOKUP(2, 1/('OB History'!$B:$B=A7), 'OB History'!$AD:$AD)</f>
        <v>0.6</v>
      </c>
      <c r="N7" s="34">
        <f>SUMIFS('OB History'!F:F,'OB History'!B:B,A7)</f>
        <v>73</v>
      </c>
      <c r="O7" s="2">
        <f>SUMIFS('OB History'!E:E,'OB History'!B:B,A7)-N7</f>
        <v>66</v>
      </c>
      <c r="P7" s="88">
        <f>LOOKUP(2, 1/('OB History'!$B:$B=A7), 'OB History'!$AB:$AB)</f>
        <v>0.51285714285714279</v>
      </c>
      <c r="Q7" s="34">
        <f>SUMIFS('OB History'!H:H,'OB History'!B:B,'Old Bow v2'!A7)</f>
        <v>289</v>
      </c>
      <c r="R7" s="2">
        <f>SUMIFS('OB History'!G:G,'OB History'!B:B,'Old Bow v2'!A7)-Q7</f>
        <v>278</v>
      </c>
      <c r="S7" s="88">
        <f>LOOKUP(2, 1/('OB History'!$B:$B=A7), 'OB History'!$AC:$AC)</f>
        <v>0.50428571428571434</v>
      </c>
      <c r="T7" s="2">
        <f>COUNTIFS('OB History'!$B:$B,$A$7,'OB History'!K:K, 1)</f>
        <v>6</v>
      </c>
      <c r="U7" s="2">
        <f>COUNTIFS('OB History'!$B:$B,$A$7,'OB History'!L:L, 1)</f>
        <v>8</v>
      </c>
      <c r="V7" s="2">
        <f>COUNTIFS('OB History'!$B:$B,$A$7,'OB History'!M:M, 1)</f>
        <v>1</v>
      </c>
      <c r="W7" s="2">
        <f>COUNTIFS('OB History'!$B:$B,$A$7,'OB History'!N:N, 1)</f>
        <v>10</v>
      </c>
      <c r="X7" s="2">
        <f>COUNTIFS('OB History'!$B:$B,$A$7,'OB History'!O:O, 1)</f>
        <v>3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3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8</v>
      </c>
      <c r="AG7" s="2">
        <f>COUNTIFS('OB History'!$B:$B,$A$7,'OB History'!X:X, 1)</f>
        <v>11</v>
      </c>
      <c r="AH7" s="2">
        <f>COUNTIFS('OB History'!$B:$B,$A$7,'OB History'!Y:Y, 1)</f>
        <v>5</v>
      </c>
      <c r="AI7" s="2">
        <f>COUNTIFS('OB History'!$B:$B,$A$7,'OB History'!Z:Z, 1)</f>
        <v>9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420</v>
      </c>
      <c r="I8" s="4">
        <f>AVERAGEIFS('OB History'!C:C,'OB History'!B:B,A8)</f>
        <v>12</v>
      </c>
      <c r="J8" s="35">
        <f t="array" ref="J8">MAX(IF('OB History'!B:B=A8, 'OB History'!C:C))</f>
        <v>26</v>
      </c>
      <c r="K8" s="34">
        <f>COUNTIFS('OB History'!B:B,A8,'OB History'!D:D, 1)</f>
        <v>14</v>
      </c>
      <c r="L8" s="2">
        <f>COUNTIFS('OB History'!B:B,A8,'OB History'!D:D, 0)</f>
        <v>21</v>
      </c>
      <c r="M8" s="88">
        <f>LOOKUP(2, 1/('OB History'!$B:$B=A8), 'OB History'!$AD:$AD)</f>
        <v>0.4</v>
      </c>
      <c r="N8" s="34">
        <f>SUMIFS('OB History'!F:F,'OB History'!B:B,A8)</f>
        <v>64</v>
      </c>
      <c r="O8" s="2">
        <f>SUMIFS('OB History'!E:E,'OB History'!B:B,A8)-N8</f>
        <v>80</v>
      </c>
      <c r="P8" s="88">
        <f>LOOKUP(2, 1/('OB History'!$B:$B=A8), 'OB History'!$AB:$AB)</f>
        <v>0.43285714285714288</v>
      </c>
      <c r="Q8" s="34">
        <f>SUMIFS('OB History'!H:H,'OB History'!B:B,'Old Bow v2'!A8)</f>
        <v>279</v>
      </c>
      <c r="R8" s="2">
        <f>SUMIFS('OB History'!G:G,'OB History'!B:B,'Old Bow v2'!A8)-Q8</f>
        <v>312</v>
      </c>
      <c r="S8" s="88">
        <f>LOOKUP(2, 1/('OB History'!$B:$B=A8), 'OB History'!$AC:$AC)</f>
        <v>0.46057142857142858</v>
      </c>
      <c r="T8" s="2">
        <f>COUNTIFS('OB History'!$B:$B,$A$8,'OB History'!K:K, 1)</f>
        <v>5</v>
      </c>
      <c r="U8" s="2">
        <f>COUNTIFS('OB History'!$B:$B,$A$8,'OB History'!L:L, 1)</f>
        <v>3</v>
      </c>
      <c r="V8" s="2">
        <f>COUNTIFS('OB History'!$B:$B,$A$8,'OB History'!M:M, 1)</f>
        <v>1</v>
      </c>
      <c r="W8" s="2">
        <f>COUNTIFS('OB History'!$B:$B,$A$8,'OB History'!N:N, 1)</f>
        <v>7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4</v>
      </c>
      <c r="AI8" s="2">
        <f>COUNTIFS('OB History'!$B:$B,$A$8,'OB History'!Z:Z, 1)</f>
        <v>13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86</v>
      </c>
      <c r="I9" s="4">
        <f>AVERAGEIFS('OB History'!C:C,'OB History'!B:B,A9)</f>
        <v>10.75</v>
      </c>
      <c r="J9" s="35">
        <f t="array" ref="J9">MAX(IF('OB History'!B:B=A9, 'OB History'!C:C))</f>
        <v>29</v>
      </c>
      <c r="K9" s="34">
        <f>COUNTIFS('OB History'!B:B,A9,'OB History'!D:D, 1)</f>
        <v>3</v>
      </c>
      <c r="L9" s="2">
        <f>COUNTIFS('OB History'!B:B,A9,'OB History'!D:D, 0)</f>
        <v>5</v>
      </c>
      <c r="M9" s="88">
        <f>LOOKUP(2, 1/('OB History'!$B:$B=A9), 'OB History'!$AD:$AD)</f>
        <v>0.375</v>
      </c>
      <c r="N9" s="34">
        <f>SUMIFS('OB History'!F:F,'OB History'!B:B,A9)</f>
        <v>13</v>
      </c>
      <c r="O9" s="2">
        <f>SUMIFS('OB History'!E:E,'OB History'!B:B,A9)-N9</f>
        <v>18</v>
      </c>
      <c r="P9" s="88">
        <f>LOOKUP(2, 1/('OB History'!$B:$B=A9), 'OB History'!$AB:$AB)</f>
        <v>0.39374999999999999</v>
      </c>
      <c r="Q9" s="34">
        <f>SUMIFS('OB History'!H:H,'OB History'!B:B,'Old Bow v2'!A9)</f>
        <v>54</v>
      </c>
      <c r="R9" s="2">
        <f>SUMIFS('OB History'!G:G,'OB History'!B:B,'Old Bow v2'!A9)-Q9</f>
        <v>68</v>
      </c>
      <c r="S9" s="88">
        <f>LOOKUP(2, 1/('OB History'!$B:$B=A9), 'OB History'!$AC:$AC)</f>
        <v>0.43250000000000005</v>
      </c>
      <c r="T9" s="2">
        <f>COUNTIFS('OB History'!$B:$B,$A$9,'OB History'!K:K, 1)</f>
        <v>2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3</v>
      </c>
      <c r="AG9" s="2">
        <f>COUNTIFS('OB History'!$B:$B,$A$9,'OB History'!X:X, 1)</f>
        <v>1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179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98</v>
      </c>
      <c r="I10" s="4">
        <f>AVERAGEIFS('OB History'!C:C,'OB History'!B:B,A10)</f>
        <v>14</v>
      </c>
      <c r="J10" s="35">
        <f t="array" ref="J10">MAX(IF('OB History'!B:B=A10, 'OB History'!C:C))</f>
        <v>22</v>
      </c>
      <c r="K10" s="34">
        <f>COUNTIFS('OB History'!B:B,A10,'OB History'!D:D, 1)</f>
        <v>6</v>
      </c>
      <c r="L10" s="2">
        <f>COUNTIFS('OB History'!B:B,A10,'OB History'!D:D, 0)</f>
        <v>1</v>
      </c>
      <c r="M10" s="88">
        <f>LOOKUP(2, 1/('OB History'!$B:$B=A10), 'OB History'!$AD:$AD)</f>
        <v>0.8571428571428571</v>
      </c>
      <c r="N10" s="34">
        <f>SUMIFS('OB History'!F:F,'OB History'!B:B,A10)</f>
        <v>20</v>
      </c>
      <c r="O10" s="2">
        <f>SUMIFS('OB History'!E:E,'OB History'!B:B,A10)-N10</f>
        <v>4</v>
      </c>
      <c r="P10" s="88">
        <f>LOOKUP(2, 1/('OB History'!$B:$B=A10), 'OB History'!$AB:$AB)</f>
        <v>0.8571428571428571</v>
      </c>
      <c r="Q10" s="34">
        <f>SUMIFS('OB History'!H:H,'OB History'!B:B,'Old Bow v2'!A10)</f>
        <v>62</v>
      </c>
      <c r="R10" s="2">
        <f>SUMIFS('OB History'!G:G,'OB History'!B:B,'Old Bow v2'!A10)-Q10</f>
        <v>40</v>
      </c>
      <c r="S10" s="88">
        <f>LOOKUP(2, 1/('OB History'!$B:$B=A10), 'OB History'!$AC:$AC)</f>
        <v>0.61857142857142855</v>
      </c>
      <c r="T10" s="2">
        <f>COUNTIFS('OB History'!$B:$B,$A$10,'OB History'!K:K, 1)</f>
        <v>1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3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1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1</v>
      </c>
      <c r="AG10" s="2">
        <f>COUNTIFS('OB History'!$B:$B,$A$10,'OB History'!X:X, 1)</f>
        <v>4</v>
      </c>
      <c r="AH10" s="2">
        <f>COUNTIFS('OB History'!$B:$B,$A$10,'OB History'!Y:Y, 1)</f>
        <v>2</v>
      </c>
      <c r="AI10" s="2">
        <f>COUNTIFS('OB History'!$B:$B,$A$10,'OB History'!Z:Z,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</v>
      </c>
      <c r="I11" s="4">
        <f>AVERAGEIFS('OB History'!C:C,'OB History'!B:B,A11)</f>
        <v>11</v>
      </c>
      <c r="J11" s="35">
        <f t="array" ref="J11">MAX(IF('OB History'!B:B=A11, 'OB History'!C:C))</f>
        <v>11</v>
      </c>
      <c r="K11" s="34">
        <f>COUNTIFS('OB History'!B:B,A11,'OB History'!D:D, 1)</f>
        <v>1</v>
      </c>
      <c r="L11" s="2">
        <f>COUNTIFS('OB History'!B:B,A11,'OB History'!D:D, 0)</f>
        <v>0</v>
      </c>
      <c r="M11" s="88">
        <f>LOOKUP(2, 1/('OB History'!$B:$B=A11), 'OB History'!$AD:$AD)</f>
        <v>1</v>
      </c>
      <c r="N11" s="34">
        <f>SUMIFS('OB History'!F:F,'OB History'!B:B,A11)</f>
        <v>4</v>
      </c>
      <c r="O11" s="2">
        <f>SUMIFS('OB History'!E:E,'OB History'!B:B,A11)-N11</f>
        <v>0</v>
      </c>
      <c r="P11" s="88">
        <f>LOOKUP(2, 1/('OB History'!$B:$B=A11), 'OB History'!$AB:$AB)</f>
        <v>1</v>
      </c>
      <c r="Q11" s="34">
        <f>SUMIFS('OB History'!H:H,'OB History'!B:B,'Old Bow v2'!A11)</f>
        <v>12</v>
      </c>
      <c r="R11" s="2">
        <f>SUMIFS('OB History'!G:G,'OB History'!B:B,'Old Bow v2'!A11)-Q11</f>
        <v>5</v>
      </c>
      <c r="S11" s="88">
        <f>LOOKUP(2, 1/('OB History'!$B:$B=A11), 'OB History'!$AC:$AC)</f>
        <v>0.71</v>
      </c>
      <c r="T11" s="2">
        <f>COUNTIFS('OB History'!$B:$B,$A$11,'OB History'!K:K, 1)</f>
        <v>0</v>
      </c>
      <c r="U11" s="2">
        <f>COUNTIFS('OB History'!$B:$B,$A$11,'OB History'!L:L, 1)</f>
        <v>0</v>
      </c>
      <c r="V11" s="2">
        <f>COUNTIFS('OB History'!$B:$B,$A$11,'OB History'!M:M, 1)</f>
        <v>0</v>
      </c>
      <c r="W11" s="2">
        <f>COUNTIFS('OB History'!$B:$B,$A$11,'OB History'!N:N, 1)</f>
        <v>1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0</v>
      </c>
      <c r="AA11" s="2">
        <f>COUNTIFS('OB History'!$B:$B,$A$11,'OB History'!R:R, 1)</f>
        <v>0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0</v>
      </c>
      <c r="AF11" s="2">
        <f>COUNTIFS('OB History'!$B:$B,$A$11,'OB History'!W:W, 1)</f>
        <v>0</v>
      </c>
      <c r="AG11" s="2">
        <f>COUNTIFS('OB History'!$B:$B,$A$11,'OB History'!X:X, 1)</f>
        <v>1</v>
      </c>
      <c r="AH11" s="2">
        <f>COUNTIFS('OB History'!$B:$B,$A$11,'OB History'!Y:Y, 1)</f>
        <v>1</v>
      </c>
      <c r="AI11" s="2">
        <f>COUNTIFS('OB History'!$B:$B,$A$11,'OB History'!Z:Z, 1)</f>
        <v>0</v>
      </c>
    </row>
    <row r="12" spans="1:35" x14ac:dyDescent="0.25">
      <c r="A12" s="2" t="s">
        <v>25</v>
      </c>
      <c r="B12" s="2" t="s">
        <v>79</v>
      </c>
      <c r="C12" s="2" t="s">
        <v>79</v>
      </c>
      <c r="D12" s="3">
        <v>2</v>
      </c>
      <c r="E12" s="3"/>
      <c r="F12" s="3"/>
      <c r="G12" s="3"/>
      <c r="H12" s="34">
        <f>SUMIFS('OB History'!C:C,'OB History'!B:B,A12)</f>
        <v>557</v>
      </c>
      <c r="I12" s="4">
        <f>AVERAGEIFS('OB History'!C:C,'OB History'!B:B,A12)</f>
        <v>18.566666666666666</v>
      </c>
      <c r="J12" s="35">
        <f t="array" ref="J12">MAX(IF('OB History'!B:B=A12, 'OB History'!C:C))</f>
        <v>50</v>
      </c>
      <c r="K12" s="34">
        <f>COUNTIFS('OB History'!B:B,A12,'OB History'!D:D, 1)</f>
        <v>17</v>
      </c>
      <c r="L12" s="2">
        <f>COUNTIFS('OB History'!B:B,A12,'OB History'!D:D, 0)</f>
        <v>13</v>
      </c>
      <c r="M12" s="88">
        <f>LOOKUP(2, 1/('OB History'!$B:$B=A12), 'OB History'!$AD:$AD)</f>
        <v>0.56666666666666665</v>
      </c>
      <c r="N12" s="34">
        <f>SUMIFS('OB History'!F:F,'OB History'!B:B,A12)</f>
        <v>69</v>
      </c>
      <c r="O12" s="2">
        <f>SUMIFS('OB History'!E:E,'OB History'!B:B,A12)-N12</f>
        <v>57</v>
      </c>
      <c r="P12" s="88">
        <f>LOOKUP(2, 1/('OB History'!$B:$B=A12), 'OB History'!$AB:$AB)</f>
        <v>0.56333333333333324</v>
      </c>
      <c r="Q12" s="34">
        <f>SUMIFS('OB History'!H:H,'OB History'!B:B,'Old Bow v2'!A12)</f>
        <v>269</v>
      </c>
      <c r="R12" s="2">
        <f>SUMIFS('OB History'!G:G,'OB History'!B:B,'Old Bow v2'!A12)-Q12</f>
        <v>256</v>
      </c>
      <c r="S12" s="88">
        <f>LOOKUP(2, 1/('OB History'!$B:$B=A12), 'OB History'!$AC:$AC)</f>
        <v>0.52333333333333332</v>
      </c>
      <c r="T12" s="2">
        <f>COUNTIFS('OB History'!$B:$B,$A$12,'OB History'!K:K, 1)</f>
        <v>4</v>
      </c>
      <c r="U12" s="2">
        <f>COUNTIFS('OB History'!$B:$B,$A$12,'OB History'!L:L, 1)</f>
        <v>2</v>
      </c>
      <c r="V12" s="2">
        <f>COUNTIFS('OB History'!$B:$B,$A$12,'OB History'!M:M, 1)</f>
        <v>1</v>
      </c>
      <c r="W12" s="2">
        <f>COUNTIFS('OB History'!$B:$B,$A$12,'OB History'!N:N, 1)</f>
        <v>7</v>
      </c>
      <c r="X12" s="2">
        <f>COUNTIFS('OB History'!$B:$B,$A$12,'OB History'!O:O, 1)</f>
        <v>1</v>
      </c>
      <c r="Y12" s="2">
        <f>COUNTIFS('OB History'!$B:$B,$A$12,'OB History'!P:P, 1)</f>
        <v>6</v>
      </c>
      <c r="Z12" s="2">
        <f>COUNTIFS('OB History'!$B:$B,$A$12,'OB History'!Q:Q, 1)</f>
        <v>6</v>
      </c>
      <c r="AA12" s="2">
        <f>COUNTIFS('OB History'!$B:$B,$A$12,'OB History'!R:R, 1)</f>
        <v>4</v>
      </c>
      <c r="AB12" s="2">
        <f>COUNTIFS('OB History'!$B:$B,$A$12,'OB History'!S:S, 1)</f>
        <v>2</v>
      </c>
      <c r="AC12" s="2">
        <f>COUNTIFS('OB History'!$B:$B,$A$12,'OB History'!T:T, 1)</f>
        <v>1</v>
      </c>
      <c r="AD12" s="2">
        <f>COUNTIFS('OB History'!$B:$B,$A$12,'OB History'!U:U, 1)</f>
        <v>0</v>
      </c>
      <c r="AE12" s="2">
        <f>COUNTIFS('OB History'!$B:$B,$A$12,'OB History'!V:V, 1)</f>
        <v>2</v>
      </c>
      <c r="AF12" s="2">
        <f>COUNTIFS('OB History'!$B:$B,$A$12,'OB History'!W:W, 1)</f>
        <v>5</v>
      </c>
      <c r="AG12" s="2">
        <f>COUNTIFS('OB History'!$B:$B,$A$12,'OB History'!X:X, 1)</f>
        <v>11</v>
      </c>
      <c r="AH12" s="2">
        <f>COUNTIFS('OB History'!$B:$B,$A$12,'OB History'!Y:Y, 1)</f>
        <v>6</v>
      </c>
      <c r="AI12" s="2">
        <f>COUNTIFS('OB History'!$B:$B,$A$12,'OB History'!Z:Z, 1)</f>
        <v>11</v>
      </c>
    </row>
    <row r="13" spans="1:35" x14ac:dyDescent="0.25">
      <c r="A13" s="2" t="s">
        <v>146</v>
      </c>
      <c r="B13" s="2" t="s">
        <v>79</v>
      </c>
      <c r="C13" s="2" t="s">
        <v>79</v>
      </c>
      <c r="D13" s="3"/>
      <c r="E13" s="3"/>
      <c r="F13" s="3"/>
      <c r="G13" s="3"/>
      <c r="H13" s="34">
        <f>SUMIFS('OB History'!C:C,'OB History'!B:B,A13)</f>
        <v>224</v>
      </c>
      <c r="I13" s="4">
        <f>AVERAGEIFS('OB History'!C:C,'OB History'!B:B,A13)</f>
        <v>13.176470588235293</v>
      </c>
      <c r="J13" s="35">
        <f t="array" ref="J13">MAX(IF('OB History'!B:B=A13, 'OB History'!C:C))</f>
        <v>27</v>
      </c>
      <c r="K13" s="34">
        <f>COUNTIFS('OB History'!B:B,A13,'OB History'!D:D, 1)</f>
        <v>6</v>
      </c>
      <c r="L13" s="2">
        <f>COUNTIFS('OB History'!B:B,A13,'OB History'!D:D, 0)</f>
        <v>11</v>
      </c>
      <c r="M13" s="88">
        <f>LOOKUP(2, 1/('OB History'!$B:$B=A13), 'OB History'!$AD:$AD)</f>
        <v>0.35294117647058826</v>
      </c>
      <c r="N13" s="34">
        <f>SUMIFS('OB History'!F:F,'OB History'!B:B,A13)</f>
        <v>30</v>
      </c>
      <c r="O13" s="2">
        <f>SUMIFS('OB History'!E:E,'OB History'!B:B,A13)-N13</f>
        <v>41</v>
      </c>
      <c r="P13" s="88">
        <f>LOOKUP(2, 1/('OB History'!$B:$B=A13), 'OB History'!$AB:$AB)</f>
        <v>0.40588235294117642</v>
      </c>
      <c r="Q13" s="34">
        <f>SUMIFS('OB History'!H:H,'OB History'!B:B,'Old Bow v2'!A13)</f>
        <v>142</v>
      </c>
      <c r="R13" s="2">
        <f>SUMIFS('OB History'!G:G,'OB History'!B:B,'Old Bow v2'!A13)-Q13</f>
        <v>158</v>
      </c>
      <c r="S13" s="88">
        <f>LOOKUP(2, 1/('OB History'!$B:$B=A13), 'OB History'!$AC:$AC)</f>
        <v>0.46941176470588225</v>
      </c>
      <c r="T13" s="2">
        <f>COUNTIFS('OB History'!$B:$B,$A$13,'OB History'!K:K, 1)</f>
        <v>2</v>
      </c>
      <c r="U13" s="2">
        <f>COUNTIFS('OB History'!$B:$B,$A$13,'OB History'!L:L, 1)</f>
        <v>3</v>
      </c>
      <c r="V13" s="2">
        <f>COUNTIFS('OB History'!$B:$B,$A$13,'OB History'!M:M, 1)</f>
        <v>3</v>
      </c>
      <c r="W13" s="2">
        <f>COUNTIFS('OB History'!$B:$B,$A$13,'OB History'!N:N, 1)</f>
        <v>5</v>
      </c>
      <c r="X13" s="2">
        <f>COUNTIFS('OB History'!$B:$B,$A$13,'OB History'!O:O, 1)</f>
        <v>2</v>
      </c>
      <c r="Y13" s="2">
        <f>COUNTIFS('OB History'!$B:$B,$A$13,'OB History'!P:P, 1)</f>
        <v>1</v>
      </c>
      <c r="Z13" s="2">
        <f>COUNTIFS('OB History'!$B:$B,$A$13,'OB History'!Q:Q, 1)</f>
        <v>2</v>
      </c>
      <c r="AA13" s="2">
        <f>COUNTIFS('OB History'!$B:$B,$A$13,'OB History'!R:R, 1)</f>
        <v>1</v>
      </c>
      <c r="AB13" s="2">
        <f>COUNTIFS('OB History'!$B:$B,$A$13,'OB History'!S:S, 1)</f>
        <v>0</v>
      </c>
      <c r="AC13" s="2">
        <f>COUNTIFS('OB History'!$B:$B,$A$13,'OB History'!T:T, 1)</f>
        <v>0</v>
      </c>
      <c r="AD13" s="2">
        <f>COUNTIFS('OB History'!$B:$B,$A$13,'OB History'!U:U, 1)</f>
        <v>0</v>
      </c>
      <c r="AE13" s="2">
        <f>COUNTIFS('OB History'!$B:$B,$A$13,'OB History'!V:V, 1)</f>
        <v>1</v>
      </c>
      <c r="AF13" s="2">
        <f>COUNTIFS('OB History'!$B:$B,$A$13,'OB History'!W:W, 1)</f>
        <v>2</v>
      </c>
      <c r="AG13" s="2">
        <f>COUNTIFS('OB History'!$B:$B,$A$13,'OB History'!X:X, 1)</f>
        <v>6</v>
      </c>
      <c r="AH13" s="2">
        <f>COUNTIFS('OB History'!$B:$B,$A$13,'OB History'!Y:Y, 1)</f>
        <v>2</v>
      </c>
      <c r="AI13" s="2">
        <f>COUNTIFS('OB History'!$B:$B,$A$13,'OB History'!Z:Z, 1)</f>
        <v>0</v>
      </c>
    </row>
    <row r="14" spans="1:35" x14ac:dyDescent="0.25">
      <c r="A14" s="2" t="s">
        <v>27</v>
      </c>
      <c r="B14" s="6" t="s">
        <v>76</v>
      </c>
      <c r="C14" s="6" t="s">
        <v>79</v>
      </c>
      <c r="D14" s="3">
        <v>2</v>
      </c>
      <c r="E14" s="3"/>
      <c r="F14" s="3"/>
      <c r="G14" s="3"/>
      <c r="H14" s="34">
        <f>SUMIFS('OB History'!C:C,'OB History'!B:B,A14)</f>
        <v>431</v>
      </c>
      <c r="I14" s="4">
        <f>AVERAGEIFS('OB History'!C:C,'OB History'!B:B,A14)</f>
        <v>14.862068965517242</v>
      </c>
      <c r="J14" s="35">
        <f t="array" ref="J14">MAX(IF('OB History'!B:B=A14, 'OB History'!C:C))</f>
        <v>44</v>
      </c>
      <c r="K14" s="34">
        <f>COUNTIFS('OB History'!B:B,A14,'OB History'!D:D, 1)</f>
        <v>16</v>
      </c>
      <c r="L14" s="2">
        <f>COUNTIFS('OB History'!B:B,A14,'OB History'!D:D, 0)</f>
        <v>13</v>
      </c>
      <c r="M14" s="88">
        <f>LOOKUP(2, 1/('OB History'!$B:$B=A14), 'OB History'!$AD:$AD)</f>
        <v>0.55172413793103448</v>
      </c>
      <c r="N14" s="34">
        <f>SUMIFS('OB History'!F:F,'OB History'!B:B,A14)</f>
        <v>60</v>
      </c>
      <c r="O14" s="2">
        <f>SUMIFS('OB History'!E:E,'OB History'!B:B,A14)-N14</f>
        <v>57</v>
      </c>
      <c r="P14" s="88">
        <f>LOOKUP(2, 1/('OB History'!$B:$B=A14), 'OB History'!$AB:$AB)</f>
        <v>0.50689655172413794</v>
      </c>
      <c r="Q14" s="34">
        <f>SUMIFS('OB History'!H:H,'OB History'!B:B,'Old Bow v2'!A14)</f>
        <v>241</v>
      </c>
      <c r="R14" s="2">
        <f>SUMIFS('OB History'!G:G,'OB History'!B:B,'Old Bow v2'!A14)-Q14</f>
        <v>238</v>
      </c>
      <c r="S14" s="88">
        <f>LOOKUP(2, 1/('OB History'!$B:$B=A14), 'OB History'!$AC:$AC)</f>
        <v>0.50310344827586218</v>
      </c>
      <c r="T14" s="2">
        <f>COUNTIFS('OB History'!$B:$B,$A$14,'OB History'!K:K, 1)</f>
        <v>1</v>
      </c>
      <c r="U14" s="2">
        <f>COUNTIFS('OB History'!$B:$B,$A$14,'OB History'!L:L, 1)</f>
        <v>4</v>
      </c>
      <c r="V14" s="2">
        <f>COUNTIFS('OB History'!$B:$B,$A$14,'OB History'!M:M, 1)</f>
        <v>3</v>
      </c>
      <c r="W14" s="2">
        <f>COUNTIFS('OB History'!$B:$B,$A$14,'OB History'!N:N, 1)</f>
        <v>4</v>
      </c>
      <c r="X14" s="2">
        <f>COUNTIFS('OB History'!$B:$B,$A$14,'OB History'!O:O, 1)</f>
        <v>3</v>
      </c>
      <c r="Y14" s="2">
        <f>COUNTIFS('OB History'!$B:$B,$A$14,'OB History'!P:P, 1)</f>
        <v>7</v>
      </c>
      <c r="Z14" s="2">
        <f>COUNTIFS('OB History'!$B:$B,$A$14,'OB History'!Q:Q, 1)</f>
        <v>4</v>
      </c>
      <c r="AA14" s="2">
        <f>COUNTIFS('OB History'!$B:$B,$A$14,'OB History'!R:R, 1)</f>
        <v>3</v>
      </c>
      <c r="AB14" s="2">
        <f>COUNTIFS('OB History'!$B:$B,$A$14,'OB History'!S:S, 1)</f>
        <v>0</v>
      </c>
      <c r="AC14" s="2">
        <f>COUNTIFS('OB History'!$B:$B,$A$14,'OB History'!T:T, 1)</f>
        <v>1</v>
      </c>
      <c r="AD14" s="2">
        <f>COUNTIFS('OB History'!$B:$B,$A$14,'OB History'!U:U, 1)</f>
        <v>1</v>
      </c>
      <c r="AE14" s="2">
        <f>COUNTIFS('OB History'!$B:$B,$A$14,'OB History'!V:V, 1)</f>
        <v>1</v>
      </c>
      <c r="AF14" s="2">
        <f>COUNTIFS('OB History'!$B:$B,$A$14,'OB History'!W:W, 1)</f>
        <v>6</v>
      </c>
      <c r="AG14" s="2">
        <f>COUNTIFS('OB History'!$B:$B,$A$14,'OB History'!X:X, 1)</f>
        <v>10</v>
      </c>
      <c r="AH14" s="2">
        <f>COUNTIFS('OB History'!$B:$B,$A$14,'OB History'!Y:Y, 1)</f>
        <v>5</v>
      </c>
      <c r="AI14" s="2">
        <f>COUNTIFS('OB History'!$B:$B,$A$14,'OB History'!Z:Z, 1)</f>
        <v>7</v>
      </c>
    </row>
    <row r="15" spans="1:35" x14ac:dyDescent="0.25">
      <c r="A15" s="2" t="s">
        <v>26</v>
      </c>
      <c r="B15" s="6" t="s">
        <v>124</v>
      </c>
      <c r="C15" s="6" t="s">
        <v>79</v>
      </c>
      <c r="D15" s="3"/>
      <c r="E15" s="3"/>
      <c r="F15" s="3"/>
      <c r="G15" s="3"/>
      <c r="H15" s="34">
        <f>SUMIFS('OB History'!C:C,'OB History'!B:B,A15)</f>
        <v>514</v>
      </c>
      <c r="I15" s="4">
        <f>AVERAGEIFS('OB History'!C:C,'OB History'!B:B,A15)</f>
        <v>13.526315789473685</v>
      </c>
      <c r="J15" s="35">
        <f t="array" ref="J15">MAX(IF('OB History'!B:B=A15, 'OB History'!C:C))</f>
        <v>41</v>
      </c>
      <c r="K15" s="34">
        <f>COUNTIFS('OB History'!B:B,A15,'OB History'!D:D, 1)</f>
        <v>26</v>
      </c>
      <c r="L15" s="2">
        <f>COUNTIFS('OB History'!B:B,A15,'OB History'!D:D, 0)</f>
        <v>12</v>
      </c>
      <c r="M15" s="88">
        <f>LOOKUP(2, 1/('OB History'!$B:$B=A15), 'OB History'!$AD:$AD)</f>
        <v>0.68421052631578949</v>
      </c>
      <c r="N15" s="34">
        <f>SUMIFS('OB History'!F:F,'OB History'!B:B,A15)</f>
        <v>93</v>
      </c>
      <c r="O15" s="2">
        <f>SUMIFS('OB History'!E:E,'OB History'!B:B,A15)-N15</f>
        <v>60</v>
      </c>
      <c r="P15" s="88">
        <f>LOOKUP(2, 1/('OB History'!$B:$B=A15), 'OB History'!$AB:$AB)</f>
        <v>0.62763157894736832</v>
      </c>
      <c r="Q15" s="34">
        <f>SUMIFS('OB History'!H:H,'OB History'!B:B,'Old Bow v2'!A15)</f>
        <v>348</v>
      </c>
      <c r="R15" s="2">
        <f>SUMIFS('OB History'!G:G,'OB History'!B:B,'Old Bow v2'!A15)-Q15</f>
        <v>289</v>
      </c>
      <c r="S15" s="88">
        <f>LOOKUP(2, 1/('OB History'!$B:$B=A15), 'OB History'!$AC:$AC)</f>
        <v>0.55342105263157892</v>
      </c>
      <c r="T15" s="2">
        <f>COUNTIFS('OB History'!$B:$B,$A$15,'OB History'!K:K, 1)</f>
        <v>4</v>
      </c>
      <c r="U15" s="2">
        <f>COUNTIFS('OB History'!$B:$B,$A$15,'OB History'!L:L, 1)</f>
        <v>6</v>
      </c>
      <c r="V15" s="2">
        <f>COUNTIFS('OB History'!$B:$B,$A$15,'OB History'!M:M, 1)</f>
        <v>4</v>
      </c>
      <c r="W15" s="2">
        <f>COUNTIFS('OB History'!$B:$B,$A$15,'OB History'!N:N, 1)</f>
        <v>11</v>
      </c>
      <c r="X15" s="2">
        <f>COUNTIFS('OB History'!$B:$B,$A$15,'OB History'!O:O, 1)</f>
        <v>4</v>
      </c>
      <c r="Y15" s="2">
        <f>COUNTIFS('OB History'!$B:$B,$A$15,'OB History'!P:P, 1)</f>
        <v>13</v>
      </c>
      <c r="Z15" s="2">
        <f>COUNTIFS('OB History'!$B:$B,$A$15,'OB History'!Q:Q, 1)</f>
        <v>6</v>
      </c>
      <c r="AA15" s="2">
        <f>COUNTIFS('OB History'!$B:$B,$A$15,'OB History'!R:R, 1)</f>
        <v>4</v>
      </c>
      <c r="AB15" s="2">
        <f>COUNTIFS('OB History'!$B:$B,$A$15,'OB History'!S:S, 1)</f>
        <v>2</v>
      </c>
      <c r="AC15" s="2">
        <f>COUNTIFS('OB History'!$B:$B,$A$15,'OB History'!T:T, 1)</f>
        <v>2</v>
      </c>
      <c r="AD15" s="2">
        <f>COUNTIFS('OB History'!$B:$B,$A$15,'OB History'!U:U, 1)</f>
        <v>1</v>
      </c>
      <c r="AE15" s="2">
        <f>COUNTIFS('OB History'!$B:$B,$A$15,'OB History'!V:V, 1)</f>
        <v>3</v>
      </c>
      <c r="AF15" s="2">
        <f>COUNTIFS('OB History'!$B:$B,$A$15,'OB History'!W:W, 1)</f>
        <v>6</v>
      </c>
      <c r="AG15" s="2">
        <f>COUNTIFS('OB History'!$B:$B,$A$15,'OB History'!X:X, 1)</f>
        <v>10</v>
      </c>
      <c r="AH15" s="2">
        <f>COUNTIFS('OB History'!$B:$B,$A$15,'OB History'!Y:Y, 1)</f>
        <v>7</v>
      </c>
      <c r="AI15" s="2">
        <f>COUNTIFS('OB History'!$B:$B,$A$15,'OB History'!Z:Z, 1)</f>
        <v>10</v>
      </c>
    </row>
    <row r="16" spans="1:35" x14ac:dyDescent="0.25">
      <c r="A16" s="2" t="s">
        <v>74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10</v>
      </c>
      <c r="I16" s="4">
        <f>AVERAGEIFS('OB History'!C:C,'OB History'!B:B,A16)</f>
        <v>10</v>
      </c>
      <c r="J16" s="35">
        <f t="array" ref="J16">MAX(IF('OB History'!B:B=A16, 'OB History'!C:C))</f>
        <v>10</v>
      </c>
      <c r="K16" s="34">
        <f>COUNTIFS('OB History'!B:B,A16,'OB History'!D:D, 1)</f>
        <v>0</v>
      </c>
      <c r="L16" s="2">
        <f>COUNTIFS('OB History'!B:B,A16,'OB History'!D:D, 0)</f>
        <v>1</v>
      </c>
      <c r="M16" s="88">
        <f>LOOKUP(2, 1/('OB History'!$B:$B=A16), 'OB History'!$AD:$AD)</f>
        <v>0</v>
      </c>
      <c r="N16" s="34">
        <f>SUMIFS('OB History'!F:F,'OB History'!B:B,A16)</f>
        <v>2</v>
      </c>
      <c r="O16" s="2">
        <f>SUMIFS('OB History'!E:E,'OB History'!B:B,A16)-N16</f>
        <v>3</v>
      </c>
      <c r="P16" s="88">
        <f>LOOKUP(2, 1/('OB History'!$B:$B=A16), 'OB History'!$AB:$AB)</f>
        <v>0.4</v>
      </c>
      <c r="Q16" s="34">
        <f>SUMIFS('OB History'!H:H,'OB History'!B:B,'Old Bow v2'!A16)</f>
        <v>6</v>
      </c>
      <c r="R16" s="2">
        <f>SUMIFS('OB History'!G:G,'OB History'!B:B,'Old Bow v2'!A16)-Q16</f>
        <v>14</v>
      </c>
      <c r="S16" s="88">
        <f>LOOKUP(2, 1/('OB History'!$B:$B=A16), 'OB History'!$AC:$AC)</f>
        <v>0.3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0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0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1</v>
      </c>
      <c r="AG16" s="2">
        <f>COUNTIFS('OB History'!$B:$B,$A$16,'OB History'!X:X, 1)</f>
        <v>0</v>
      </c>
      <c r="AH16" s="2">
        <f>COUNTIFS('OB History'!$B:$B,$A$16,'OB History'!Y:Y, 1)</f>
        <v>1</v>
      </c>
      <c r="AI16" s="2">
        <f>COUNTIFS('OB History'!$B:$B,$A$16,'OB History'!Z:Z, 1)</f>
        <v>0</v>
      </c>
    </row>
    <row r="17" spans="1:35" x14ac:dyDescent="0.25">
      <c r="A17" s="2" t="s">
        <v>152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154</v>
      </c>
      <c r="I17" s="4">
        <f>AVERAGEIFS('OB History'!C:C,'OB History'!B:B,A17)</f>
        <v>14</v>
      </c>
      <c r="J17" s="35">
        <f t="array" ref="J17">MAX(IF('OB History'!B:B=A17, 'OB History'!C:C))</f>
        <v>19</v>
      </c>
      <c r="K17" s="34">
        <f>COUNTIFS('OB History'!B:B,A17,'OB History'!D:D, 1)</f>
        <v>2</v>
      </c>
      <c r="L17" s="2">
        <f>COUNTIFS('OB History'!B:B,A17,'OB History'!D:D, 0)</f>
        <v>9</v>
      </c>
      <c r="M17" s="88">
        <f>LOOKUP(2, 1/('OB History'!$B:$B=A17), 'OB History'!$AD:$AD)</f>
        <v>0.18181818181818182</v>
      </c>
      <c r="N17" s="34">
        <f>SUMIFS('OB History'!F:F,'OB History'!B:B,A17)</f>
        <v>12</v>
      </c>
      <c r="O17" s="2">
        <f>SUMIFS('OB History'!E:E,'OB History'!B:B,A17)-N17</f>
        <v>30</v>
      </c>
      <c r="P17" s="88">
        <f>LOOKUP(2, 1/('OB History'!$B:$B=A17), 'OB History'!$AB:$AB)</f>
        <v>0.25454545454545452</v>
      </c>
      <c r="Q17" s="34">
        <f>SUMIFS('OB History'!H:H,'OB History'!B:B,'Old Bow v2'!A17)</f>
        <v>67</v>
      </c>
      <c r="R17" s="2">
        <f>SUMIFS('OB History'!G:G,'OB History'!B:B,'Old Bow v2'!A17)-Q17</f>
        <v>111</v>
      </c>
      <c r="S17" s="88">
        <f>LOOKUP(2, 1/('OB History'!$B:$B=A17), 'OB History'!$AC:$AC)</f>
        <v>0.3572727272727273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2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2</v>
      </c>
      <c r="AA17" s="2">
        <f>COUNTIFS('OB History'!$B:$B,$A$17,'OB History'!R:R, 1)</f>
        <v>1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0</v>
      </c>
      <c r="AG17" s="2">
        <f>COUNTIFS('OB History'!$B:$B,$A$17,'OB History'!X:X, 1)</f>
        <v>3</v>
      </c>
      <c r="AH17" s="2">
        <f>COUNTIFS('OB History'!$B:$B,$A$17,'OB History'!Y:Y, 1)</f>
        <v>0</v>
      </c>
      <c r="AI17" s="2">
        <f>COUNTIFS('OB History'!$B:$B,$A$17,'OB History'!Z:Z, 1)</f>
        <v>1</v>
      </c>
    </row>
    <row r="18" spans="1:35" x14ac:dyDescent="0.25">
      <c r="A18" s="2" t="s">
        <v>215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0</v>
      </c>
      <c r="I18" s="4">
        <f>AVERAGEIFS('OB History'!C:C,'OB History'!B:B,A18)</f>
        <v>0</v>
      </c>
      <c r="J18" s="35">
        <f t="array" ref="J18">MAX(IF('OB History'!B:B=A18, 'OB History'!C:C))</f>
        <v>0</v>
      </c>
      <c r="K18" s="34">
        <f>COUNTIFS('OB History'!B:B,A18,'OB History'!D:D, 1)</f>
        <v>0</v>
      </c>
      <c r="L18" s="2">
        <f>COUNTIFS('OB History'!B:B,A18,'OB History'!D:D, 0)</f>
        <v>1</v>
      </c>
      <c r="M18" s="88">
        <f>LOOKUP(2, 1/('OB History'!$B:$B=A18), 'OB History'!$AD:$AD)</f>
        <v>0</v>
      </c>
      <c r="N18" s="34">
        <f>SUMIFS('OB History'!F:F,'OB History'!B:B,A18)</f>
        <v>0</v>
      </c>
      <c r="O18" s="2">
        <f>SUMIFS('OB History'!E:E,'OB History'!B:B,A18)-N18</f>
        <v>3</v>
      </c>
      <c r="P18" s="88">
        <f>LOOKUP(2, 1/('OB History'!$B:$B=A18), 'OB History'!$AB:$AB)</f>
        <v>0</v>
      </c>
      <c r="Q18" s="34">
        <f>SUMIFS('OB History'!H:H,'OB History'!B:B,'Old Bow v2'!A18)</f>
        <v>3</v>
      </c>
      <c r="R18" s="2">
        <f>SUMIFS('OB History'!G:G,'OB History'!B:B,'Old Bow v2'!A18)-Q18</f>
        <v>9</v>
      </c>
      <c r="S18" s="88">
        <f>LOOKUP(2, 1/('OB History'!$B:$B=A18), 'OB History'!$AC:$AC)</f>
        <v>0.25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0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3"/>
      <c r="E19" s="3"/>
      <c r="F19" s="3"/>
      <c r="G19" s="3"/>
      <c r="H19" s="34">
        <f>SUMIFS('OB History'!C:C,'OB History'!B:B,A19)</f>
        <v>321</v>
      </c>
      <c r="I19" s="4">
        <f>AVERAGEIFS('OB History'!C:C,'OB History'!B:B,A19)</f>
        <v>13.375</v>
      </c>
      <c r="J19" s="35">
        <f t="array" ref="J19">MAX(IF('OB History'!B:B=A19, 'OB History'!C:C))</f>
        <v>29</v>
      </c>
      <c r="K19" s="34">
        <f>COUNTIFS('OB History'!B:B,A19,'OB History'!D:D, 1)</f>
        <v>9</v>
      </c>
      <c r="L19" s="2">
        <f>COUNTIFS('OB History'!B:B,A19,'OB History'!D:D, 0)</f>
        <v>15</v>
      </c>
      <c r="M19" s="88">
        <f>LOOKUP(2, 1/('OB History'!$B:$B=A19), 'OB History'!$AD:$AD)</f>
        <v>0.375</v>
      </c>
      <c r="N19" s="34">
        <f>SUMIFS('OB History'!F:F,'OB History'!B:B,A19)</f>
        <v>47</v>
      </c>
      <c r="O19" s="2">
        <f>SUMIFS('OB History'!E:E,'OB History'!B:B,A19)-N19</f>
        <v>56</v>
      </c>
      <c r="P19" s="88">
        <f>LOOKUP(2, 1/('OB History'!$B:$B=A19), 'OB History'!$AB:$AB)</f>
        <v>0.45208333333333339</v>
      </c>
      <c r="Q19" s="34">
        <f>SUMIFS('OB History'!H:H,'OB History'!B:B,'Old Bow v2'!A19)</f>
        <v>201</v>
      </c>
      <c r="R19" s="2">
        <f>SUMIFS('OB History'!G:G,'OB History'!B:B,'Old Bow v2'!A19)-Q19</f>
        <v>216</v>
      </c>
      <c r="S19" s="88">
        <f>LOOKUP(2, 1/('OB History'!$B:$B=A19), 'OB History'!$AC:$AC)</f>
        <v>0.48208333333333342</v>
      </c>
      <c r="T19" s="2">
        <f>COUNTIFS('OB History'!$B:$B,$A$19,'OB History'!K:K, 1)</f>
        <v>1</v>
      </c>
      <c r="U19" s="2">
        <f>COUNTIFS('OB History'!$B:$B,$A$19,'OB History'!L:L, 1)</f>
        <v>3</v>
      </c>
      <c r="V19" s="2">
        <f>COUNTIFS('OB History'!$B:$B,$A$19,'OB History'!M:M, 1)</f>
        <v>2</v>
      </c>
      <c r="W19" s="2">
        <f>COUNTIFS('OB History'!$B:$B,$A$19,'OB History'!N:N, 1)</f>
        <v>7</v>
      </c>
      <c r="X19" s="2">
        <f>COUNTIFS('OB History'!$B:$B,$A$19,'OB History'!O:O, 1)</f>
        <v>0</v>
      </c>
      <c r="Y19" s="2">
        <f>COUNTIFS('OB History'!$B:$B,$A$19,'OB History'!P:P, 1)</f>
        <v>6</v>
      </c>
      <c r="Z19" s="2">
        <f>COUNTIFS('OB History'!$B:$B,$A$19,'OB History'!Q:Q, 1)</f>
        <v>0</v>
      </c>
      <c r="AA19" s="2">
        <f>COUNTIFS('OB History'!$B:$B,$A$19,'OB History'!R:R, 1)</f>
        <v>1</v>
      </c>
      <c r="AB19" s="2">
        <f>COUNTIFS('OB History'!$B:$B,$A$19,'OB History'!S:S, 1)</f>
        <v>1</v>
      </c>
      <c r="AC19" s="2">
        <f>COUNTIFS('OB History'!$B:$B,$A$19,'OB History'!T:T, 1)</f>
        <v>1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3</v>
      </c>
      <c r="AG19" s="2">
        <f>COUNTIFS('OB History'!$B:$B,$A$19,'OB History'!X:X, 1)</f>
        <v>8</v>
      </c>
      <c r="AH19" s="2">
        <f>COUNTIFS('OB History'!$B:$B,$A$19,'OB History'!Y:Y, 1)</f>
        <v>6</v>
      </c>
      <c r="AI19" s="2">
        <f>COUNTIFS('OB History'!$B:$B,$A$19,'OB History'!Z:Z, 1)</f>
        <v>8</v>
      </c>
    </row>
    <row r="20" spans="1:35" x14ac:dyDescent="0.25">
      <c r="A20" s="2" t="s">
        <v>50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59</v>
      </c>
      <c r="I20" s="4">
        <f>AVERAGEIFS('OB History'!C:C,'OB History'!B:B,A20)</f>
        <v>14.75</v>
      </c>
      <c r="J20" s="35">
        <f t="array" ref="J20">MAX(IF('OB History'!B:B=A20, 'OB History'!C:C))</f>
        <v>17</v>
      </c>
      <c r="K20" s="34">
        <f>COUNTIFS('OB History'!B:B,A20,'OB History'!D:D, 1)</f>
        <v>0</v>
      </c>
      <c r="L20" s="2">
        <f>COUNTIFS('OB History'!B:B,A20,'OB History'!D:D, 0)</f>
        <v>4</v>
      </c>
      <c r="M20" s="88">
        <f>LOOKUP(2, 1/('OB History'!$B:$B=A20), 'OB History'!$AD:$AD)</f>
        <v>0</v>
      </c>
      <c r="N20" s="34">
        <f>SUMIFS('OB History'!F:F,'OB History'!B:B,A20)</f>
        <v>5</v>
      </c>
      <c r="O20" s="2">
        <f>SUMIFS('OB History'!E:E,'OB History'!B:B,A20)-N20</f>
        <v>12</v>
      </c>
      <c r="P20" s="88">
        <f>LOOKUP(2, 1/('OB History'!$B:$B=A20), 'OB History'!$AB:$AB)</f>
        <v>0.28749999999999998</v>
      </c>
      <c r="Q20" s="34">
        <f>SUMIFS('OB History'!H:H,'OB History'!B:B,'Old Bow v2'!A20)</f>
        <v>33</v>
      </c>
      <c r="R20" s="2">
        <f>SUMIFS('OB History'!G:G,'OB History'!B:B,'Old Bow v2'!A20)-Q20</f>
        <v>41</v>
      </c>
      <c r="S20" s="88">
        <f>LOOKUP(2, 1/('OB History'!$B:$B=A20), 'OB History'!$AC:$AC)</f>
        <v>0.4375</v>
      </c>
      <c r="T20" s="2">
        <f>COUNTIFS('OB History'!$B:$B,$A$20,'OB History'!K:K, 1)</f>
        <v>1</v>
      </c>
      <c r="U20" s="2">
        <f>COUNTIFS('OB History'!$B:$B,$A$20,'OB History'!L:L, 1)</f>
        <v>0</v>
      </c>
      <c r="V20" s="2">
        <f>COUNTIFS('OB History'!$B:$B,$A$20,'OB History'!M:M, 1)</f>
        <v>0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0</v>
      </c>
      <c r="AH20" s="2">
        <f>COUNTIFS('OB History'!$B:$B,$A$20,'OB History'!Y:Y, 1)</f>
        <v>0</v>
      </c>
      <c r="AI20" s="2">
        <f>COUNTIFS('OB History'!$B:$B,$A$20,'OB History'!Z:Z, 1)</f>
        <v>0</v>
      </c>
    </row>
    <row r="21" spans="1:35" x14ac:dyDescent="0.25">
      <c r="A21" s="2" t="s">
        <v>52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39</v>
      </c>
      <c r="I21" s="4">
        <f>AVERAGEIFS('OB History'!C:C,'OB History'!B:B,A21)</f>
        <v>19.5</v>
      </c>
      <c r="J21" s="35">
        <f t="array" ref="J21">MAX(IF('OB History'!B:B=A21, 'OB History'!C:C))</f>
        <v>34</v>
      </c>
      <c r="K21" s="34">
        <f>COUNTIFS('OB History'!B:B,A21,'OB History'!D:D, 1)</f>
        <v>0</v>
      </c>
      <c r="L21" s="2">
        <f>COUNTIFS('OB History'!B:B,A21,'OB History'!D:D, 0)</f>
        <v>2</v>
      </c>
      <c r="M21" s="88">
        <f>LOOKUP(2, 1/('OB History'!$B:$B=A21), 'OB History'!$AD:$AD)</f>
        <v>0</v>
      </c>
      <c r="N21" s="34">
        <f>SUMIFS('OB History'!F:F,'OB History'!B:B,A21)</f>
        <v>2</v>
      </c>
      <c r="O21" s="2">
        <f>SUMIFS('OB History'!E:E,'OB History'!B:B,A21)-N21</f>
        <v>6</v>
      </c>
      <c r="P21" s="88">
        <f>LOOKUP(2, 1/('OB History'!$B:$B=A21), 'OB History'!$AB:$AB)</f>
        <v>0.2</v>
      </c>
      <c r="Q21" s="34">
        <f>SUMIFS('OB History'!H:H,'OB History'!B:B,'Old Bow v2'!A21)</f>
        <v>12</v>
      </c>
      <c r="R21" s="2">
        <f>SUMIFS('OB History'!G:G,'OB History'!B:B,'Old Bow v2'!A21)-Q21</f>
        <v>22</v>
      </c>
      <c r="S21" s="88">
        <f>LOOKUP(2, 1/('OB History'!$B:$B=A21), 'OB History'!$AC:$AC)</f>
        <v>0.34499999999999997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0</v>
      </c>
      <c r="W21" s="2">
        <f>COUNTIFS('OB History'!$B:$B,$A$21,'OB History'!N:N, 1)</f>
        <v>0</v>
      </c>
      <c r="X21" s="2">
        <f>COUNTIFS('OB History'!$B:$B,$A$21,'OB History'!O:O, 1)</f>
        <v>0</v>
      </c>
      <c r="Y21" s="2">
        <f>COUNTIFS('OB History'!$B:$B,$A$21,'OB History'!P:P, 1)</f>
        <v>1</v>
      </c>
      <c r="Z21" s="2">
        <f>COUNTIFS('OB History'!$B:$B,$A$21,'OB History'!Q:Q, 1)</f>
        <v>0</v>
      </c>
      <c r="AA21" s="2">
        <f>COUNTIFS('OB History'!$B:$B,$A$21,'OB History'!R:R, 1)</f>
        <v>0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0</v>
      </c>
      <c r="AG21" s="2">
        <f>COUNTIFS('OB History'!$B:$B,$A$21,'OB History'!X:X, 1)</f>
        <v>1</v>
      </c>
      <c r="AH21" s="2">
        <f>COUNTIFS('OB History'!$B:$B,$A$21,'OB History'!Y:Y, 1)</f>
        <v>0</v>
      </c>
      <c r="AI21" s="2">
        <f>COUNTIFS('OB History'!$B:$B,$A$21,'OB History'!Z:Z,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103</v>
      </c>
      <c r="I22" s="4">
        <f>AVERAGEIFS('OB History'!C:C,'OB History'!B:B,A22)</f>
        <v>14.714285714285714</v>
      </c>
      <c r="J22" s="35">
        <f t="array" ref="J22">MAX(IF('OB History'!B:B=A22, 'OB History'!C:C))</f>
        <v>28</v>
      </c>
      <c r="K22" s="34">
        <f>COUNTIFS('OB History'!B:B,A22,'OB History'!D:D, 1)</f>
        <v>7</v>
      </c>
      <c r="L22" s="2">
        <f>COUNTIFS('OB History'!B:B,A22,'OB History'!D:D, 0)</f>
        <v>0</v>
      </c>
      <c r="M22" s="88">
        <f>LOOKUP(2, 1/('OB History'!$B:$B=A22), 'OB History'!$AD:$AD)</f>
        <v>1</v>
      </c>
      <c r="N22" s="34">
        <f>SUMIFS('OB History'!F:F,'OB History'!B:B,A22)</f>
        <v>21</v>
      </c>
      <c r="O22" s="2">
        <f>SUMIFS('OB History'!E:E,'OB History'!B:B,A22)-N22</f>
        <v>5</v>
      </c>
      <c r="P22" s="88">
        <f>LOOKUP(2, 1/('OB History'!$B:$B=A22), 'OB History'!$AB:$AB)</f>
        <v>0.85</v>
      </c>
      <c r="Q22" s="34">
        <f>SUMIFS('OB History'!H:H,'OB History'!B:B,'Old Bow v2'!A22)</f>
        <v>70</v>
      </c>
      <c r="R22" s="2">
        <f>SUMIFS('OB History'!G:G,'OB History'!B:B,'Old Bow v2'!A22)-Q22</f>
        <v>39</v>
      </c>
      <c r="S22" s="88">
        <f>LOOKUP(2, 1/('OB History'!$B:$B=A22), 'OB History'!$AC:$AC)</f>
        <v>0.65857142857142847</v>
      </c>
      <c r="T22" s="2">
        <f>COUNTIFS('OB History'!$B:$B,$A$22,'OB History'!K:K, 1)</f>
        <v>0</v>
      </c>
      <c r="U22" s="2">
        <f>COUNTIFS('OB History'!$B:$B,$A$22,'OB History'!L:L, 1)</f>
        <v>2</v>
      </c>
      <c r="V22" s="2">
        <f>COUNTIFS('OB History'!$B:$B,$A$22,'OB History'!M:M, 1)</f>
        <v>2</v>
      </c>
      <c r="W22" s="2">
        <f>COUNTIFS('OB History'!$B:$B,$A$22,'OB History'!N:N, 1)</f>
        <v>0</v>
      </c>
      <c r="X22" s="2">
        <f>COUNTIFS('OB History'!$B:$B,$A$22,'OB History'!O:O, 1)</f>
        <v>0</v>
      </c>
      <c r="Y22" s="2">
        <f>COUNTIFS('OB History'!$B:$B,$A$22,'OB History'!P:P, 1)</f>
        <v>2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0</v>
      </c>
      <c r="AF22" s="2">
        <f>COUNTIFS('OB History'!$B:$B,$A$22,'OB History'!W:W, 1)</f>
        <v>2</v>
      </c>
      <c r="AG22" s="2">
        <f>COUNTIFS('OB History'!$B:$B,$A$22,'OB History'!X:X, 1)</f>
        <v>5</v>
      </c>
      <c r="AH22" s="2">
        <f>COUNTIFS('OB History'!$B:$B,$A$22,'OB History'!Y:Y, 1)</f>
        <v>4</v>
      </c>
      <c r="AI22" s="2">
        <f>COUNTIFS('OB History'!$B:$B,$A$22,'OB History'!Z:Z,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3"/>
      <c r="E23" s="3"/>
      <c r="F23" s="3"/>
      <c r="G23" s="3"/>
      <c r="H23" s="34">
        <f>SUMIFS('OB History'!C:C,'OB History'!B:B,A23)</f>
        <v>309</v>
      </c>
      <c r="I23" s="4">
        <f>AVERAGEIFS('OB History'!C:C,'OB History'!B:B,A23)</f>
        <v>23.76923076923077</v>
      </c>
      <c r="J23" s="35">
        <f t="array" ref="J23">MAX(IF('OB History'!B:B=A23, 'OB History'!C:C))</f>
        <v>37</v>
      </c>
      <c r="K23" s="34">
        <f>COUNTIFS('OB History'!B:B,A23,'OB History'!D:D, 1)</f>
        <v>8</v>
      </c>
      <c r="L23" s="2">
        <f>COUNTIFS('OB History'!B:B,A23,'OB History'!D:D, 0)</f>
        <v>5</v>
      </c>
      <c r="M23" s="88">
        <f>LOOKUP(2, 1/('OB History'!$B:$B=A23), 'OB History'!$AD:$AD)</f>
        <v>0.61538461538461542</v>
      </c>
      <c r="N23" s="34">
        <f>SUMIFS('OB History'!F:F,'OB History'!B:B,A23)</f>
        <v>30</v>
      </c>
      <c r="O23" s="2">
        <f>SUMIFS('OB History'!E:E,'OB History'!B:B,A23)-N23</f>
        <v>26</v>
      </c>
      <c r="P23" s="88">
        <f>LOOKUP(2, 1/('OB History'!$B:$B=A23), 'OB History'!$AB:$AB)</f>
        <v>0.5346153846153846</v>
      </c>
      <c r="Q23" s="34">
        <f>SUMIFS('OB History'!H:H,'OB History'!B:B,'Old Bow v2'!A23)</f>
        <v>116</v>
      </c>
      <c r="R23" s="2">
        <f>SUMIFS('OB History'!G:G,'OB History'!B:B,'Old Bow v2'!A23)-Q23</f>
        <v>117</v>
      </c>
      <c r="S23" s="88">
        <f>LOOKUP(2, 1/('OB History'!$B:$B=A23), 'OB History'!$AC:$AC)</f>
        <v>0.49230769230769234</v>
      </c>
      <c r="T23" s="2">
        <f>COUNTIFS('OB History'!$B:$B,$A$23,'OB History'!K:K, 1)</f>
        <v>0</v>
      </c>
      <c r="U23" s="2">
        <f>COUNTIFS('OB History'!$B:$B,$A$23,'OB History'!L:L, 1)</f>
        <v>3</v>
      </c>
      <c r="V23" s="2">
        <f>COUNTIFS('OB History'!$B:$B,$A$23,'OB History'!M:M, 1)</f>
        <v>4</v>
      </c>
      <c r="W23" s="2">
        <f>COUNTIFS('OB History'!$B:$B,$A$23,'OB History'!N:N, 1)</f>
        <v>1</v>
      </c>
      <c r="X23" s="2">
        <f>COUNTIFS('OB History'!$B:$B,$A$23,'OB History'!O:O, 1)</f>
        <v>2</v>
      </c>
      <c r="Y23" s="2">
        <f>COUNTIFS('OB History'!$B:$B,$A$23,'OB History'!P:P, 1)</f>
        <v>2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4</v>
      </c>
      <c r="AG23" s="2">
        <f>COUNTIFS('OB History'!$B:$B,$A$23,'OB History'!X:X, 1)</f>
        <v>4</v>
      </c>
      <c r="AH23" s="2">
        <f>COUNTIFS('OB History'!$B:$B,$A$23,'OB History'!Y:Y, 1)</f>
        <v>4</v>
      </c>
      <c r="AI23" s="2">
        <f>COUNTIFS('OB History'!$B:$B,$A$23,'OB History'!Z:Z, 1)</f>
        <v>5</v>
      </c>
    </row>
    <row r="24" spans="1:35" x14ac:dyDescent="0.25">
      <c r="A24" s="2" t="s">
        <v>150</v>
      </c>
      <c r="B24" s="6" t="s">
        <v>79</v>
      </c>
      <c r="C24" s="2" t="s">
        <v>79</v>
      </c>
      <c r="D24" s="3">
        <v>2</v>
      </c>
      <c r="E24" s="3"/>
      <c r="F24" s="3"/>
      <c r="G24" s="3"/>
      <c r="H24" s="34">
        <f>SUMIFS('OB History'!C:C,'OB History'!B:B,A24)</f>
        <v>300</v>
      </c>
      <c r="I24" s="4">
        <f>AVERAGEIFS('OB History'!C:C,'OB History'!B:B,A24)</f>
        <v>18.75</v>
      </c>
      <c r="J24" s="35">
        <f t="array" ref="J24">MAX(IF('OB History'!B:B=A24, 'OB History'!C:C))</f>
        <v>41</v>
      </c>
      <c r="K24" s="34">
        <f>COUNTIFS('OB History'!B:B,A24,'OB History'!D:D, 1)</f>
        <v>12</v>
      </c>
      <c r="L24" s="2">
        <f>COUNTIFS('OB History'!B:B,A24,'OB History'!D:D, 0)</f>
        <v>4</v>
      </c>
      <c r="M24" s="88">
        <f>LOOKUP(2, 1/('OB History'!$B:$B=A24), 'OB History'!$AD:$AD)</f>
        <v>0.75</v>
      </c>
      <c r="N24" s="34">
        <f>SUMIFS('OB History'!F:F,'OB History'!B:B,A24)</f>
        <v>41</v>
      </c>
      <c r="O24" s="2">
        <f>SUMIFS('OB History'!E:E,'OB History'!B:B,A24)-N24</f>
        <v>22</v>
      </c>
      <c r="P24" s="88">
        <f>LOOKUP(2, 1/('OB History'!$B:$B=A24), 'OB History'!$AB:$AB)</f>
        <v>0.6875</v>
      </c>
      <c r="Q24" s="34">
        <f>SUMIFS('OB History'!H:H,'OB History'!B:B,'Old Bow v2'!A24)</f>
        <v>152</v>
      </c>
      <c r="R24" s="2">
        <f>SUMIFS('OB History'!G:G,'OB History'!B:B,'Old Bow v2'!A24)-Q24</f>
        <v>106</v>
      </c>
      <c r="S24" s="88">
        <f>LOOKUP(2, 1/('OB History'!$B:$B=A24), 'OB History'!$AC:$AC)</f>
        <v>0.60187499999999983</v>
      </c>
      <c r="T24" s="2">
        <f>COUNTIFS('OB History'!$B:$B,$A$24,'OB History'!K:K, 1)</f>
        <v>2</v>
      </c>
      <c r="U24" s="2">
        <f>COUNTIFS('OB History'!$B:$B,$A$24,'OB History'!L:L, 1)</f>
        <v>2</v>
      </c>
      <c r="V24" s="2">
        <f>COUNTIFS('OB History'!$B:$B,$A$24,'OB History'!M:M, 1)</f>
        <v>3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4</v>
      </c>
      <c r="Z24" s="2">
        <f>COUNTIFS('OB History'!$B:$B,$A$24,'OB History'!Q:Q, 1)</f>
        <v>1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1</v>
      </c>
      <c r="AE24" s="2">
        <f>COUNTIFS('OB History'!$B:$B,$A$24,'OB History'!V:V, 1)</f>
        <v>0</v>
      </c>
      <c r="AF24" s="2">
        <f>COUNTIFS('OB History'!$B:$B,$A$24,'OB History'!W:W, 1)</f>
        <v>4</v>
      </c>
      <c r="AG24" s="2">
        <f>COUNTIFS('OB History'!$B:$B,$A$24,'OB History'!X:X, 1)</f>
        <v>7</v>
      </c>
      <c r="AH24" s="2">
        <f>COUNTIFS('OB History'!$B:$B,$A$24,'OB History'!Y:Y, 1)</f>
        <v>8</v>
      </c>
      <c r="AI24" s="2">
        <f>COUNTIFS('OB History'!$B:$B,$A$24,'OB History'!Z:Z, 1)</f>
        <v>4</v>
      </c>
    </row>
    <row r="25" spans="1:35" x14ac:dyDescent="0.25">
      <c r="A25" s="2" t="s">
        <v>29</v>
      </c>
      <c r="B25" s="6" t="s">
        <v>171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543</v>
      </c>
      <c r="I25" s="4">
        <f>AVERAGEIFS('OB History'!C:C,'OB History'!B:B,A25)</f>
        <v>10.647058823529411</v>
      </c>
      <c r="J25" s="35">
        <f t="array" ref="J25">MAX(IF('OB History'!B:B=A25, 'OB History'!C:C))</f>
        <v>21</v>
      </c>
      <c r="K25" s="34">
        <f>COUNTIFS('OB History'!B:B,A25,'OB History'!D:D, 1)</f>
        <v>23</v>
      </c>
      <c r="L25" s="2">
        <f>COUNTIFS('OB History'!B:B,A25,'OB History'!D:D, 0)</f>
        <v>28</v>
      </c>
      <c r="M25" s="88">
        <f>LOOKUP(2, 1/('OB History'!$B:$B=A25), 'OB History'!$AD:$AD)</f>
        <v>0.45098039215686275</v>
      </c>
      <c r="N25" s="34">
        <f>SUMIFS('OB History'!F:F,'OB History'!B:B,A25)</f>
        <v>100</v>
      </c>
      <c r="O25" s="2">
        <f>SUMIFS('OB History'!E:E,'OB History'!B:B,A25)-N25</f>
        <v>105</v>
      </c>
      <c r="P25" s="88">
        <f>LOOKUP(2, 1/('OB History'!$B:$B=A25), 'OB History'!$AB:$AB)</f>
        <v>0.4823529411764706</v>
      </c>
      <c r="Q25" s="34">
        <f>SUMIFS('OB History'!H:H,'OB History'!B:B,'Old Bow v2'!A25)</f>
        <v>424</v>
      </c>
      <c r="R25" s="2">
        <f>SUMIFS('OB History'!G:G,'OB History'!B:B,'Old Bow v2'!A25)-Q25</f>
        <v>428</v>
      </c>
      <c r="S25" s="88">
        <f>LOOKUP(2, 1/('OB History'!$B:$B=A25), 'OB History'!$AC:$AC)</f>
        <v>0.50176470588235289</v>
      </c>
      <c r="T25" s="2">
        <f>COUNTIFS('OB History'!$B:$B,$A$25,'OB History'!K:K, 1)</f>
        <v>6</v>
      </c>
      <c r="U25" s="2">
        <f>COUNTIFS('OB History'!$B:$B,$A$25,'OB History'!L:L, 1)</f>
        <v>8</v>
      </c>
      <c r="V25" s="2">
        <f>COUNTIFS('OB History'!$B:$B,$A$25,'OB History'!M:M, 1)</f>
        <v>2</v>
      </c>
      <c r="W25" s="2">
        <f>COUNTIFS('OB History'!$B:$B,$A$25,'OB History'!N:N, 1)</f>
        <v>13</v>
      </c>
      <c r="X25" s="2">
        <f>COUNTIFS('OB History'!$B:$B,$A$25,'OB History'!O:O, 1)</f>
        <v>4</v>
      </c>
      <c r="Y25" s="2">
        <f>COUNTIFS('OB History'!$B:$B,$A$25,'OB History'!P:P, 1)</f>
        <v>10</v>
      </c>
      <c r="Z25" s="2">
        <f>COUNTIFS('OB History'!$B:$B,$A$25,'OB History'!Q:Q, 1)</f>
        <v>1</v>
      </c>
      <c r="AA25" s="2">
        <f>COUNTIFS('OB History'!$B:$B,$A$25,'OB History'!R:R, 1)</f>
        <v>1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3</v>
      </c>
      <c r="AF25" s="2">
        <f>COUNTIFS('OB History'!$B:$B,$A$25,'OB History'!W:W, 1)</f>
        <v>14</v>
      </c>
      <c r="AG25" s="2">
        <f>COUNTIFS('OB History'!$B:$B,$A$25,'OB History'!X:X, 1)</f>
        <v>17</v>
      </c>
      <c r="AH25" s="2">
        <f>COUNTIFS('OB History'!$B:$B,$A$25,'OB History'!Y:Y, 1)</f>
        <v>11</v>
      </c>
      <c r="AI25" s="2">
        <f>COUNTIFS('OB History'!$B:$B,$A$25,'OB History'!Z:Z, 1)</f>
        <v>10</v>
      </c>
    </row>
    <row r="26" spans="1:35" x14ac:dyDescent="0.25">
      <c r="A26" s="2" t="s">
        <v>46</v>
      </c>
      <c r="B26" s="2" t="s">
        <v>79</v>
      </c>
      <c r="C26" s="2" t="s">
        <v>79</v>
      </c>
      <c r="D26" s="3"/>
      <c r="E26" s="3"/>
      <c r="F26" s="3"/>
      <c r="G26" s="3"/>
      <c r="H26" s="34">
        <f>SUMIFS('OB History'!C:C,'OB History'!B:B,A26)</f>
        <v>202</v>
      </c>
      <c r="I26" s="4">
        <f>AVERAGEIFS('OB History'!C:C,'OB History'!B:B,A26)</f>
        <v>20.2</v>
      </c>
      <c r="J26" s="35">
        <f t="array" ref="J26">MAX(IF('OB History'!B:B=A26, 'OB History'!C:C))</f>
        <v>36</v>
      </c>
      <c r="K26" s="34">
        <f>COUNTIFS('OB History'!B:B,A26,'OB History'!D:D, 1)</f>
        <v>4</v>
      </c>
      <c r="L26" s="2">
        <f>COUNTIFS('OB History'!B:B,A26,'OB History'!D:D, 0)</f>
        <v>6</v>
      </c>
      <c r="M26" s="88">
        <f>LOOKUP(2, 1/('OB History'!$B:$B=A26), 'OB History'!$AD:$AD)</f>
        <v>0.4</v>
      </c>
      <c r="N26" s="34">
        <f>SUMIFS('OB History'!F:F,'OB History'!B:B,A26)</f>
        <v>17</v>
      </c>
      <c r="O26" s="2">
        <f>SUMIFS('OB History'!E:E,'OB History'!B:B,A26)-N26</f>
        <v>23</v>
      </c>
      <c r="P26" s="88">
        <f>LOOKUP(2, 1/('OB History'!$B:$B=A26), 'OB History'!$AB:$AB)</f>
        <v>0.4</v>
      </c>
      <c r="Q26" s="34">
        <f>SUMIFS('OB History'!H:H,'OB History'!B:B,'Old Bow v2'!A26)</f>
        <v>74</v>
      </c>
      <c r="R26" s="2">
        <f>SUMIFS('OB History'!G:G,'OB History'!B:B,'Old Bow v2'!A26)-Q26</f>
        <v>94</v>
      </c>
      <c r="S26" s="88">
        <f>LOOKUP(2, 1/('OB History'!$B:$B=A26), 'OB History'!$AC:$AC)</f>
        <v>0.43200000000000005</v>
      </c>
      <c r="T26" s="2">
        <f>COUNTIFS('OB History'!$B:$B,$A$26,'OB History'!K:K, 1)</f>
        <v>0</v>
      </c>
      <c r="U26" s="2">
        <f>COUNTIFS('OB History'!$B:$B,$A$26,'OB History'!L:L, 1)</f>
        <v>1</v>
      </c>
      <c r="V26" s="2">
        <f>COUNTIFS('OB History'!$B:$B,$A$26,'OB History'!M:M, 1)</f>
        <v>1</v>
      </c>
      <c r="W26" s="2">
        <f>COUNTIFS('OB History'!$B:$B,$A$26,'OB History'!N:N, 1)</f>
        <v>1</v>
      </c>
      <c r="X26" s="2">
        <f>COUNTIFS('OB History'!$B:$B,$A$26,'OB History'!O:O, 1)</f>
        <v>0</v>
      </c>
      <c r="Y26" s="2">
        <f>COUNTIFS('OB History'!$B:$B,$A$26,'OB History'!P:P, 1)</f>
        <v>5</v>
      </c>
      <c r="Z26" s="2">
        <f>COUNTIFS('OB History'!$B:$B,$A$26,'OB History'!Q:Q, 1)</f>
        <v>0</v>
      </c>
      <c r="AA26" s="2">
        <f>COUNTIFS('OB History'!$B:$B,$A$26,'OB History'!R:R, 1)</f>
        <v>1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1</v>
      </c>
      <c r="AG26" s="2">
        <f>COUNTIFS('OB History'!$B:$B,$A$26,'OB History'!X:X, 1)</f>
        <v>4</v>
      </c>
      <c r="AH26" s="2">
        <f>COUNTIFS('OB History'!$B:$B,$A$26,'OB History'!Y:Y, 1)</f>
        <v>1</v>
      </c>
      <c r="AI26" s="2">
        <f>COUNTIFS('OB History'!$B:$B,$A$26,'OB History'!Z:Z, 1)</f>
        <v>2</v>
      </c>
    </row>
    <row r="27" spans="1:35" x14ac:dyDescent="0.25">
      <c r="A27" s="2" t="s">
        <v>139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221</v>
      </c>
      <c r="I27" s="4">
        <f>AVERAGEIFS('OB History'!C:C,'OB History'!B:B,A27)</f>
        <v>10.523809523809524</v>
      </c>
      <c r="J27" s="35">
        <f t="array" ref="J27">MAX(IF('OB History'!B:B=A27, 'OB History'!C:C))</f>
        <v>17</v>
      </c>
      <c r="K27" s="34">
        <f>COUNTIFS('OB History'!B:B,A27,'OB History'!D:D, 1)</f>
        <v>11</v>
      </c>
      <c r="L27" s="2">
        <f>COUNTIFS('OB History'!B:B,A27,'OB History'!D:D, 0)</f>
        <v>10</v>
      </c>
      <c r="M27" s="88">
        <f>LOOKUP(2, 1/('OB History'!$B:$B=A27), 'OB History'!$AD:$AD)</f>
        <v>0.52380952380952384</v>
      </c>
      <c r="N27" s="34">
        <f>SUMIFS('OB History'!F:F,'OB History'!B:B,A27)</f>
        <v>41</v>
      </c>
      <c r="O27" s="2">
        <f>SUMIFS('OB History'!E:E,'OB History'!B:B,A27)-N27</f>
        <v>46</v>
      </c>
      <c r="P27" s="88">
        <f>LOOKUP(2, 1/('OB History'!$B:$B=A27), 'OB History'!$AB:$AB)</f>
        <v>0.4547619047619047</v>
      </c>
      <c r="Q27" s="34">
        <f>SUMIFS('OB History'!H:H,'OB History'!B:B,'Old Bow v2'!A27)</f>
        <v>180</v>
      </c>
      <c r="R27" s="2">
        <f>SUMIFS('OB History'!G:G,'OB History'!B:B,'Old Bow v2'!A27)-Q27</f>
        <v>178</v>
      </c>
      <c r="S27" s="88">
        <f>LOOKUP(2, 1/('OB History'!$B:$B=A27), 'OB History'!$AC:$AC)</f>
        <v>0.49999999999999989</v>
      </c>
      <c r="T27" s="2">
        <f>COUNTIFS('OB History'!$B:$B,$A$27,'OB History'!K:K, 1)</f>
        <v>1</v>
      </c>
      <c r="U27" s="2">
        <f>COUNTIFS('OB History'!$B:$B,$A$27,'OB History'!L:L, 1)</f>
        <v>4</v>
      </c>
      <c r="V27" s="2">
        <f>COUNTIFS('OB History'!$B:$B,$A$27,'OB History'!M:M, 1)</f>
        <v>1</v>
      </c>
      <c r="W27" s="2">
        <f>COUNTIFS('OB History'!$B:$B,$A$27,'OB History'!N:N, 1)</f>
        <v>4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2</v>
      </c>
      <c r="AA27" s="2">
        <f>COUNTIFS('OB History'!$B:$B,$A$27,'OB History'!R:R, 1)</f>
        <v>4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0</v>
      </c>
      <c r="AG27" s="2">
        <f>COUNTIFS('OB History'!$B:$B,$A$27,'OB History'!X:X, 1)</f>
        <v>10</v>
      </c>
      <c r="AH27" s="2">
        <f>COUNTIFS('OB History'!$B:$B,$A$27,'OB History'!Y:Y, 1)</f>
        <v>4</v>
      </c>
      <c r="AI27" s="2">
        <f>COUNTIFS('OB History'!$B:$B,$A$27,'OB History'!Z:Z, 1)</f>
        <v>6</v>
      </c>
    </row>
    <row r="28" spans="1:35" x14ac:dyDescent="0.25">
      <c r="A28" s="2" t="s">
        <v>28</v>
      </c>
      <c r="B28" s="6" t="s">
        <v>60</v>
      </c>
      <c r="C28" s="2" t="s">
        <v>79</v>
      </c>
      <c r="D28" s="3">
        <v>1</v>
      </c>
      <c r="E28" s="3"/>
      <c r="F28" s="3"/>
      <c r="G28" s="3"/>
      <c r="H28" s="34">
        <f>SUMIFS('OB History'!C:C,'OB History'!B:B,A28)</f>
        <v>355</v>
      </c>
      <c r="I28" s="4">
        <f>AVERAGEIFS('OB History'!C:C,'OB History'!B:B,A28)</f>
        <v>15.434782608695652</v>
      </c>
      <c r="J28" s="35">
        <f t="array" ref="J28">MAX(IF('OB History'!B:B=A28, 'OB History'!C:C))</f>
        <v>43</v>
      </c>
      <c r="K28" s="34">
        <f>COUNTIFS('OB History'!B:B,A28,'OB History'!D:D, 1)</f>
        <v>9</v>
      </c>
      <c r="L28" s="2">
        <f>COUNTIFS('OB History'!B:B,A28,'OB History'!D:D, 0)</f>
        <v>14</v>
      </c>
      <c r="M28" s="88">
        <f>LOOKUP(2, 1/('OB History'!$B:$B=A28), 'OB History'!$AD:$AD)</f>
        <v>0.39130434782608697</v>
      </c>
      <c r="N28" s="34">
        <f>SUMIFS('OB History'!F:F,'OB History'!B:B,A28)</f>
        <v>42</v>
      </c>
      <c r="O28" s="2">
        <f>SUMIFS('OB History'!E:E,'OB History'!B:B,A28)-N28</f>
        <v>56</v>
      </c>
      <c r="P28" s="88">
        <f>LOOKUP(2, 1/('OB History'!$B:$B=A28), 'OB History'!$AB:$AB)</f>
        <v>0.40217391304347827</v>
      </c>
      <c r="Q28" s="34">
        <f>SUMIFS('OB History'!H:H,'OB History'!B:B,'Old Bow v2'!A28)</f>
        <v>192</v>
      </c>
      <c r="R28" s="2">
        <f>SUMIFS('OB History'!G:G,'OB History'!B:B,'Old Bow v2'!A28)-Q28</f>
        <v>218</v>
      </c>
      <c r="S28" s="88">
        <f>LOOKUP(2, 1/('OB History'!$B:$B=A28), 'OB History'!$AC:$AC)</f>
        <v>0.45521739130434791</v>
      </c>
      <c r="T28" s="2">
        <f>COUNTIFS('OB History'!$B:$B,$A$28,'OB History'!K:K, 1)</f>
        <v>5</v>
      </c>
      <c r="U28" s="2">
        <f>COUNTIFS('OB History'!$B:$B,$A$28,'OB History'!L:L, 1)</f>
        <v>2</v>
      </c>
      <c r="V28" s="2">
        <f>COUNTIFS('OB History'!$B:$B,$A$28,'OB History'!M:M, 1)</f>
        <v>1</v>
      </c>
      <c r="W28" s="2">
        <f>COUNTIFS('OB History'!$B:$B,$A$28,'OB History'!N:N, 1)</f>
        <v>2</v>
      </c>
      <c r="X28" s="2">
        <f>COUNTIFS('OB History'!$B:$B,$A$28,'OB History'!O:O, 1)</f>
        <v>2</v>
      </c>
      <c r="Y28" s="2">
        <f>COUNTIFS('OB History'!$B:$B,$A$28,'OB History'!P:P, 1)</f>
        <v>4</v>
      </c>
      <c r="Z28" s="2">
        <f>COUNTIFS('OB History'!$B:$B,$A$28,'OB History'!Q:Q, 1)</f>
        <v>2</v>
      </c>
      <c r="AA28" s="2">
        <f>COUNTIFS('OB History'!$B:$B,$A$28,'OB History'!R:R, 1)</f>
        <v>1</v>
      </c>
      <c r="AB28" s="2">
        <f>COUNTIFS('OB History'!$B:$B,$A$28,'OB History'!S:S, 1)</f>
        <v>1</v>
      </c>
      <c r="AC28" s="2">
        <f>COUNTIFS('OB History'!$B:$B,$A$28,'OB History'!T:T, 1)</f>
        <v>0</v>
      </c>
      <c r="AD28" s="2">
        <f>COUNTIFS('OB History'!$B:$B,$A$28,'OB History'!U:U, 1)</f>
        <v>1</v>
      </c>
      <c r="AE28" s="2">
        <f>COUNTIFS('OB History'!$B:$B,$A$28,'OB History'!V:V, 1)</f>
        <v>1</v>
      </c>
      <c r="AF28" s="2">
        <f>COUNTIFS('OB History'!$B:$B,$A$28,'OB History'!W:W, 1)</f>
        <v>1</v>
      </c>
      <c r="AG28" s="2">
        <f>COUNTIFS('OB History'!$B:$B,$A$28,'OB History'!X:X, 1)</f>
        <v>8</v>
      </c>
      <c r="AH28" s="2">
        <f>COUNTIFS('OB History'!$B:$B,$A$28,'OB History'!Y:Y, 1)</f>
        <v>2</v>
      </c>
      <c r="AI28" s="2">
        <f>COUNTIFS('OB History'!$B:$B,$A$28,'OB History'!Z:Z,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3"/>
      <c r="E29" s="3"/>
      <c r="F29" s="3"/>
      <c r="G29" s="3"/>
      <c r="H29" s="34">
        <f>SUMIFS('OB History'!C:C,'OB History'!B:B,A29)</f>
        <v>92</v>
      </c>
      <c r="I29" s="4">
        <f>AVERAGEIFS('OB History'!C:C,'OB History'!B:B,A29)</f>
        <v>15.333333333333334</v>
      </c>
      <c r="J29" s="35">
        <f t="array" ref="J29">MAX(IF('OB History'!B:B=A29, 'OB History'!C:C))</f>
        <v>25</v>
      </c>
      <c r="K29" s="34">
        <f>COUNTIFS('OB History'!B:B,A29,'OB History'!D:D, 1)</f>
        <v>4</v>
      </c>
      <c r="L29" s="2">
        <f>COUNTIFS('OB History'!B:B,A29,'OB History'!D:D, 0)</f>
        <v>2</v>
      </c>
      <c r="M29" s="88">
        <f>LOOKUP(2, 1/('OB History'!$B:$B=A29), 'OB History'!$AD:$AD)</f>
        <v>0.66666666666666663</v>
      </c>
      <c r="N29" s="34">
        <f>SUMIFS('OB History'!F:F,'OB History'!B:B,A29)</f>
        <v>13</v>
      </c>
      <c r="O29" s="2">
        <f>SUMIFS('OB History'!E:E,'OB History'!B:B,A29)-N29</f>
        <v>12</v>
      </c>
      <c r="P29" s="88">
        <f>LOOKUP(2, 1/('OB History'!$B:$B=A29), 'OB History'!$AB:$AB)</f>
        <v>0.4916666666666667</v>
      </c>
      <c r="Q29" s="34">
        <f>SUMIFS('OB History'!H:H,'OB History'!B:B,'Old Bow v2'!A29)</f>
        <v>54</v>
      </c>
      <c r="R29" s="2">
        <f>SUMIFS('OB History'!G:G,'OB History'!B:B,'Old Bow v2'!A29)-Q29</f>
        <v>47</v>
      </c>
      <c r="S29" s="88">
        <f>LOOKUP(2, 1/('OB History'!$B:$B=A29), 'OB History'!$AC:$AC)</f>
        <v>0.53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0</v>
      </c>
      <c r="W29" s="2">
        <f>COUNTIFS('OB History'!$B:$B,$A$29,'OB History'!N:N, 1)</f>
        <v>2</v>
      </c>
      <c r="X29" s="2">
        <f>COUNTIFS('OB History'!$B:$B,$A$29,'OB History'!O:O, 1)</f>
        <v>3</v>
      </c>
      <c r="Y29" s="2">
        <f>COUNTIFS('OB History'!$B:$B,$A$29,'OB History'!P:P, 1)</f>
        <v>2</v>
      </c>
      <c r="Z29" s="2">
        <f>COUNTIFS('OB History'!$B:$B,$A$29,'OB History'!Q:Q, 1)</f>
        <v>2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0</v>
      </c>
      <c r="AF29" s="2">
        <f>COUNTIFS('OB History'!$B:$B,$A$29,'OB History'!W:W, 1)</f>
        <v>1</v>
      </c>
      <c r="AG29" s="2">
        <f>COUNTIFS('OB History'!$B:$B,$A$29,'OB History'!X:X, 1)</f>
        <v>1</v>
      </c>
      <c r="AH29" s="2">
        <f>COUNTIFS('OB History'!$B:$B,$A$29,'OB History'!Y:Y, 1)</f>
        <v>0</v>
      </c>
      <c r="AI29" s="2">
        <f>COUNTIFS('OB History'!$B:$B,$A$29,'OB History'!Z:Z, 1)</f>
        <v>0</v>
      </c>
    </row>
    <row r="30" spans="1:35" x14ac:dyDescent="0.25">
      <c r="A30" s="2" t="s">
        <v>51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180</v>
      </c>
      <c r="I30" s="4">
        <f>AVERAGEIFS('OB History'!C:C,'OB History'!B:B,A30)</f>
        <v>13.846153846153847</v>
      </c>
      <c r="J30" s="35">
        <f t="array" ref="J30">MAX(IF('OB History'!B:B=A30, 'OB History'!C:C))</f>
        <v>22</v>
      </c>
      <c r="K30" s="34">
        <f>COUNTIFS('OB History'!B:B,A30,'OB History'!D:D, 1)</f>
        <v>7</v>
      </c>
      <c r="L30" s="2">
        <f>COUNTIFS('OB History'!B:B,A30,'OB History'!D:D, 0)</f>
        <v>6</v>
      </c>
      <c r="M30" s="88">
        <f>LOOKUP(2, 1/('OB History'!$B:$B=A30), 'OB History'!$AD:$AD)</f>
        <v>0.53846153846153844</v>
      </c>
      <c r="N30" s="34">
        <f>SUMIFS('OB History'!F:F,'OB History'!B:B,A30)</f>
        <v>29</v>
      </c>
      <c r="O30" s="2">
        <f>SUMIFS('OB History'!E:E,'OB History'!B:B,A30)-N30</f>
        <v>26</v>
      </c>
      <c r="P30" s="88">
        <f>LOOKUP(2, 1/('OB History'!$B:$B=A30), 'OB History'!$AB:$AB)</f>
        <v>0.53846153846153855</v>
      </c>
      <c r="Q30" s="34">
        <f>SUMIFS('OB History'!H:H,'OB History'!B:B,'Old Bow v2'!A30)</f>
        <v>111</v>
      </c>
      <c r="R30" s="2">
        <f>SUMIFS('OB History'!G:G,'OB History'!B:B,'Old Bow v2'!A30)-Q30</f>
        <v>111</v>
      </c>
      <c r="S30" s="88">
        <f>LOOKUP(2, 1/('OB History'!$B:$B=A30), 'OB History'!$AC:$AC)</f>
        <v>0.50461538461538469</v>
      </c>
      <c r="T30" s="2">
        <f>COUNTIFS('OB History'!$B:$B,$A$30,'OB History'!K:K, 1)</f>
        <v>4</v>
      </c>
      <c r="U30" s="2">
        <f>COUNTIFS('OB History'!$B:$B,$A$30,'OB History'!L:L, 1)</f>
        <v>1</v>
      </c>
      <c r="V30" s="2">
        <f>COUNTIFS('OB History'!$B:$B,$A$30,'OB History'!M:M, 1)</f>
        <v>0</v>
      </c>
      <c r="W30" s="2">
        <f>COUNTIFS('OB History'!$B:$B,$A$30,'OB History'!N:N, 1)</f>
        <v>3</v>
      </c>
      <c r="X30" s="2">
        <f>COUNTIFS('OB History'!$B:$B,$A$30,'OB History'!O:O, 1)</f>
        <v>0</v>
      </c>
      <c r="Y30" s="2">
        <f>COUNTIFS('OB History'!$B:$B,$A$30,'OB History'!P:P, 1)</f>
        <v>3</v>
      </c>
      <c r="Z30" s="2">
        <f>COUNTIFS('OB History'!$B:$B,$A$30,'OB History'!Q:Q, 1)</f>
        <v>0</v>
      </c>
      <c r="AA30" s="2">
        <f>COUNTIFS('OB History'!$B:$B,$A$30,'OB History'!R:R, 1)</f>
        <v>1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2</v>
      </c>
      <c r="AF30" s="2">
        <f>COUNTIFS('OB History'!$B:$B,$A$30,'OB History'!W:W, 1)</f>
        <v>5</v>
      </c>
      <c r="AG30" s="2">
        <f>COUNTIFS('OB History'!$B:$B,$A$30,'OB History'!X:X, 1)</f>
        <v>4</v>
      </c>
      <c r="AH30" s="2">
        <f>COUNTIFS('OB History'!$B:$B,$A$30,'OB History'!Y:Y, 1)</f>
        <v>3</v>
      </c>
      <c r="AI30" s="2">
        <f>COUNTIFS('OB History'!$B:$B,$A$30,'OB History'!Z:Z, 1)</f>
        <v>3</v>
      </c>
    </row>
    <row r="31" spans="1:35" ht="15.75" x14ac:dyDescent="0.25">
      <c r="A31" s="2" t="s">
        <v>20</v>
      </c>
      <c r="B31" s="80" t="s">
        <v>60</v>
      </c>
      <c r="C31" s="2" t="s">
        <v>79</v>
      </c>
      <c r="D31" s="3"/>
      <c r="E31" s="3"/>
      <c r="F31" s="3"/>
      <c r="G31" s="3"/>
      <c r="H31" s="34">
        <f>SUMIFS('OB History'!C:C,'OB History'!B:B,A31)</f>
        <v>482</v>
      </c>
      <c r="I31" s="4">
        <f>AVERAGEIFS('OB History'!C:C,'OB History'!B:B,A31)</f>
        <v>14.606060606060606</v>
      </c>
      <c r="J31" s="35">
        <f t="array" ref="J31">MAX(IF('OB History'!B:B=A31, 'OB History'!C:C))</f>
        <v>37</v>
      </c>
      <c r="K31" s="34">
        <f>COUNTIFS('OB History'!B:B,A31,'OB History'!D:D, 1)</f>
        <v>14</v>
      </c>
      <c r="L31" s="2">
        <f>COUNTIFS('OB History'!B:B,A31,'OB History'!D:D, 0)</f>
        <v>19</v>
      </c>
      <c r="M31" s="88">
        <f>LOOKUP(2, 1/('OB History'!$B:$B=A31), 'OB History'!$AD:$AD)</f>
        <v>0.42424242424242425</v>
      </c>
      <c r="N31" s="34">
        <f>SUMIFS('OB History'!F:F,'OB History'!B:B,A31)</f>
        <v>69</v>
      </c>
      <c r="O31" s="2">
        <f>SUMIFS('OB History'!E:E,'OB History'!B:B,A31)-N31</f>
        <v>71</v>
      </c>
      <c r="P31" s="88">
        <f>LOOKUP(2, 1/('OB History'!$B:$B=A31), 'OB History'!$AB:$AB)</f>
        <v>0.49848484848484859</v>
      </c>
      <c r="Q31" s="34">
        <f>SUMIFS('OB History'!H:H,'OB History'!B:B,'Old Bow v2'!A31)</f>
        <v>294</v>
      </c>
      <c r="R31" s="2">
        <f>SUMIFS('OB History'!G:G,'OB History'!B:B,'Old Bow v2'!A31)-Q31</f>
        <v>291</v>
      </c>
      <c r="S31" s="88">
        <f>LOOKUP(2, 1/('OB History'!$B:$B=A31), 'OB History'!$AC:$AC)</f>
        <v>0.50333333333333352</v>
      </c>
      <c r="T31" s="2">
        <f>COUNTIFS('OB History'!$B:$B,$A$31,'OB History'!K:K, 1)</f>
        <v>4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14</v>
      </c>
      <c r="X31" s="2">
        <f>COUNTIFS('OB History'!$B:$B,$A$31,'OB History'!O:O, 1)</f>
        <v>0</v>
      </c>
      <c r="Y31" s="2">
        <f>COUNTIFS('OB History'!$B:$B,$A$31,'OB History'!P:P, 1)</f>
        <v>7</v>
      </c>
      <c r="Z31" s="2">
        <f>COUNTIFS('OB History'!$B:$B,$A$31,'OB History'!Q:Q, 1)</f>
        <v>2</v>
      </c>
      <c r="AA31" s="2">
        <f>COUNTIFS('OB History'!$B:$B,$A$31,'OB History'!R:R, 1)</f>
        <v>3</v>
      </c>
      <c r="AB31" s="2">
        <f>COUNTIFS('OB History'!$B:$B,$A$31,'OB History'!S:S, 1)</f>
        <v>0</v>
      </c>
      <c r="AC31" s="2">
        <f>COUNTIFS('OB History'!$B:$B,$A$31,'OB History'!T:T, 1)</f>
        <v>1</v>
      </c>
      <c r="AD31" s="2">
        <f>COUNTIFS('OB History'!$B:$B,$A$31,'OB History'!U:U, 1)</f>
        <v>0</v>
      </c>
      <c r="AE31" s="2">
        <f>COUNTIFS('OB History'!$B:$B,$A$31,'OB History'!V:V, 1)</f>
        <v>2</v>
      </c>
      <c r="AF31" s="2">
        <f>COUNTIFS('OB History'!$B:$B,$A$31,'OB History'!W:W, 1)</f>
        <v>9</v>
      </c>
      <c r="AG31" s="2">
        <f>COUNTIFS('OB History'!$B:$B,$A$31,'OB History'!X:X, 1)</f>
        <v>9</v>
      </c>
      <c r="AH31" s="2">
        <f>COUNTIFS('OB History'!$B:$B,$A$31,'OB History'!Y:Y, 1)</f>
        <v>5</v>
      </c>
      <c r="AI31" s="2">
        <f>COUNTIFS('OB History'!$B:$B,$A$31,'OB History'!Z:Z, 1)</f>
        <v>7</v>
      </c>
    </row>
    <row r="32" spans="1:35" x14ac:dyDescent="0.25">
      <c r="A32" s="1" t="s">
        <v>47</v>
      </c>
      <c r="B32" s="2" t="s">
        <v>79</v>
      </c>
      <c r="C32" s="2" t="s">
        <v>79</v>
      </c>
      <c r="D32" s="3"/>
      <c r="E32" s="3"/>
      <c r="F32" s="3"/>
      <c r="G32" s="3"/>
      <c r="H32" s="34">
        <f>SUMIFS('OB History'!C:C,'OB History'!B:B,A32)</f>
        <v>101</v>
      </c>
      <c r="I32" s="4">
        <f>AVERAGEIFS('OB History'!C:C,'OB History'!B:B,A32)</f>
        <v>8.4166666666666661</v>
      </c>
      <c r="J32" s="35">
        <f t="array" ref="J32">MAX(IF('OB History'!B:B=A32, 'OB History'!C:C))</f>
        <v>14</v>
      </c>
      <c r="K32" s="34">
        <f>COUNTIFS('OB History'!B:B,A32,'OB History'!D:D, 1)</f>
        <v>6</v>
      </c>
      <c r="L32" s="2">
        <f>COUNTIFS('OB History'!B:B,A32,'OB History'!D:D, 0)</f>
        <v>6</v>
      </c>
      <c r="M32" s="88">
        <f>LOOKUP(2, 1/('OB History'!$B:$B=A32), 'OB History'!$AD:$AD)</f>
        <v>0.5</v>
      </c>
      <c r="N32" s="34">
        <f>SUMIFS('OB History'!F:F,'OB History'!B:B,A32)</f>
        <v>26</v>
      </c>
      <c r="O32" s="2">
        <f>SUMIFS('OB History'!E:E,'OB History'!B:B,A32)-N32</f>
        <v>26</v>
      </c>
      <c r="P32" s="88">
        <f>LOOKUP(2, 1/('OB History'!$B:$B=A32), 'OB History'!$AB:$AB)</f>
        <v>0.5</v>
      </c>
      <c r="Q32" s="34">
        <f>SUMIFS('OB History'!H:H,'OB History'!B:B,'Old Bow v2'!A32)</f>
        <v>106</v>
      </c>
      <c r="R32" s="2">
        <f>SUMIFS('OB History'!G:G,'OB History'!B:B,'Old Bow v2'!A32)-Q32</f>
        <v>111</v>
      </c>
      <c r="S32" s="88">
        <f>LOOKUP(2, 1/('OB History'!$B:$B=A32), 'OB History'!$AC:$AC)</f>
        <v>0.48333333333333323</v>
      </c>
      <c r="T32" s="2">
        <f>COUNTIFS('OB History'!$B:$B,$A$32,'OB History'!K:K, 1)</f>
        <v>2</v>
      </c>
      <c r="U32" s="2">
        <f>COUNTIFS('OB History'!$B:$B,$A$32,'OB History'!L:L, 1)</f>
        <v>1</v>
      </c>
      <c r="V32" s="2">
        <f>COUNTIFS('OB History'!$B:$B,$A$32,'OB History'!M:M, 1)</f>
        <v>1</v>
      </c>
      <c r="W32" s="2">
        <f>COUNTIFS('OB History'!$B:$B,$A$32,'OB History'!N:N, 1)</f>
        <v>4</v>
      </c>
      <c r="X32" s="2">
        <f>COUNTIFS('OB History'!$B:$B,$A$32,'OB History'!O:O, 1)</f>
        <v>1</v>
      </c>
      <c r="Y32" s="2">
        <f>COUNTIFS('OB History'!$B:$B,$A$32,'OB History'!P:P, 1)</f>
        <v>2</v>
      </c>
      <c r="Z32" s="2">
        <f>COUNTIFS('OB History'!$B:$B,$A$32,'OB History'!Q:Q, 1)</f>
        <v>0</v>
      </c>
      <c r="AA32" s="2">
        <f>COUNTIFS('OB History'!$B:$B,$A$32,'OB History'!R:R, 1)</f>
        <v>0</v>
      </c>
      <c r="AB32" s="2">
        <f>COUNTIFS('OB History'!$B:$B,$A$32,'OB History'!S:S, 1)</f>
        <v>0</v>
      </c>
      <c r="AC32" s="2">
        <f>COUNTIFS('OB History'!$B:$B,$A$32,'OB History'!T:T, 1)</f>
        <v>0</v>
      </c>
      <c r="AD32" s="2">
        <f>COUNTIFS('OB History'!$B:$B,$A$32,'OB History'!U:U, 1)</f>
        <v>0</v>
      </c>
      <c r="AE32" s="2">
        <f>COUNTIFS('OB History'!$B:$B,$A$32,'OB History'!V:V, 1)</f>
        <v>1</v>
      </c>
      <c r="AF32" s="2">
        <f>COUNTIFS('OB History'!$B:$B,$A$32,'OB History'!W:W, 1)</f>
        <v>5</v>
      </c>
      <c r="AG32" s="2">
        <f>COUNTIFS('OB History'!$B:$B,$A$32,'OB History'!X:X, 1)</f>
        <v>4</v>
      </c>
      <c r="AH32" s="2">
        <f>COUNTIFS('OB History'!$B:$B,$A$32,'OB History'!Y:Y, 1)</f>
        <v>0</v>
      </c>
      <c r="AI32" s="2">
        <f>COUNTIFS('OB History'!$B:$B,$A$32,'OB History'!Z:Z, 1)</f>
        <v>5</v>
      </c>
    </row>
    <row r="33" spans="1:35" x14ac:dyDescent="0.25">
      <c r="A33" s="2" t="s">
        <v>3</v>
      </c>
      <c r="B33" s="6" t="s">
        <v>60</v>
      </c>
      <c r="C33" s="1" t="s">
        <v>159</v>
      </c>
      <c r="D33" s="3"/>
      <c r="E33" s="3"/>
      <c r="F33" s="3"/>
      <c r="G33" s="3"/>
      <c r="H33" s="34">
        <f>SUMIFS('OB History'!C:C,'OB History'!B:B,A33)</f>
        <v>230</v>
      </c>
      <c r="I33" s="4">
        <f>AVERAGEIFS('OB History'!C:C,'OB History'!B:B,A33)</f>
        <v>23</v>
      </c>
      <c r="J33" s="35">
        <f t="array" ref="J33">MAX(IF('OB History'!B:B=A33, 'OB History'!C:C))</f>
        <v>44</v>
      </c>
      <c r="K33" s="34">
        <f>COUNTIFS('OB History'!B:B,A33,'OB History'!D:D, 1)</f>
        <v>6</v>
      </c>
      <c r="L33" s="2">
        <f>COUNTIFS('OB History'!B:B,A33,'OB History'!D:D, 0)</f>
        <v>4</v>
      </c>
      <c r="M33" s="88">
        <f>LOOKUP(2, 1/('OB History'!$B:$B=A33), 'OB History'!$AD:$AD)</f>
        <v>0.6</v>
      </c>
      <c r="N33" s="34">
        <f>SUMIFS('OB History'!F:F,'OB History'!B:B,A33)</f>
        <v>22</v>
      </c>
      <c r="O33" s="2">
        <f>SUMIFS('OB History'!E:E,'OB History'!B:B,A33)-N33</f>
        <v>21</v>
      </c>
      <c r="P33" s="88">
        <f>LOOKUP(2, 1/('OB History'!$B:$B=A33), 'OB History'!$AB:$AB)</f>
        <v>0.495</v>
      </c>
      <c r="Q33" s="34">
        <f>SUMIFS('OB History'!H:H,'OB History'!B:B,'Old Bow v2'!A33)</f>
        <v>87</v>
      </c>
      <c r="R33" s="2">
        <f>SUMIFS('OB History'!G:G,'OB History'!B:B,'Old Bow v2'!A33)-Q33</f>
        <v>88</v>
      </c>
      <c r="S33" s="88">
        <f>LOOKUP(2, 1/('OB History'!$B:$B=A33), 'OB History'!$AC:$AC)</f>
        <v>0.48999999999999994</v>
      </c>
      <c r="T33" s="2">
        <f>COUNTIFS('OB History'!$B:$B,$A$33,'OB History'!K:K, 1)</f>
        <v>2</v>
      </c>
      <c r="U33" s="2">
        <f>COUNTIFS('OB History'!$B:$B,$A$33,'OB History'!L:L, 1)</f>
        <v>3</v>
      </c>
      <c r="V33" s="2">
        <f>COUNTIFS('OB History'!$B:$B,$A$33,'OB History'!M:M, 1)</f>
        <v>1</v>
      </c>
      <c r="W33" s="2">
        <f>COUNTIFS('OB History'!$B:$B,$A$33,'OB History'!N:N, 1)</f>
        <v>1</v>
      </c>
      <c r="X33" s="2">
        <f>COUNTIFS('OB History'!$B:$B,$A$33,'OB History'!O:O, 1)</f>
        <v>2</v>
      </c>
      <c r="Y33" s="2">
        <f>COUNTIFS('OB History'!$B:$B,$A$33,'OB History'!P:P, 1)</f>
        <v>2</v>
      </c>
      <c r="Z33" s="2">
        <f>COUNTIFS('OB History'!$B:$B,$A$33,'OB History'!Q:Q, 1)</f>
        <v>3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1</v>
      </c>
      <c r="AF33" s="2">
        <f>COUNTIFS('OB History'!$B:$B,$A$33,'OB History'!W:W, 1)</f>
        <v>1</v>
      </c>
      <c r="AG33" s="2">
        <f>COUNTIFS('OB History'!$B:$B,$A$33,'OB History'!X:X, 1)</f>
        <v>3</v>
      </c>
      <c r="AH33" s="2">
        <f>COUNTIFS('OB History'!$B:$B,$A$33,'OB History'!Y:Y, 1)</f>
        <v>2</v>
      </c>
      <c r="AI33" s="2">
        <f>COUNTIFS('OB History'!$B:$B,$A$33,'OB History'!Z:Z, 1)</f>
        <v>1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3">
        <v>1</v>
      </c>
      <c r="F34" s="3"/>
      <c r="G34" s="3"/>
      <c r="H34" s="34">
        <f>SUMIFS('OB History'!C:C,'OB History'!B:B,A34)</f>
        <v>433</v>
      </c>
      <c r="I34" s="4">
        <f>AVERAGEIFS('OB History'!C:C,'OB History'!B:B,A34)</f>
        <v>12.735294117647058</v>
      </c>
      <c r="J34" s="35">
        <f t="array" ref="J34">MAX(IF('OB History'!B:B=A34, 'OB History'!C:C))</f>
        <v>23</v>
      </c>
      <c r="K34" s="34">
        <f>COUNTIFS('OB History'!B:B,A34,'OB History'!D:D, 1)</f>
        <v>19</v>
      </c>
      <c r="L34" s="2">
        <f>COUNTIFS('OB History'!B:B,A34,'OB History'!D:D, 0)</f>
        <v>15</v>
      </c>
      <c r="M34" s="88">
        <f>LOOKUP(2, 1/('OB History'!$B:$B=A34), 'OB History'!$AD:$AD)</f>
        <v>0.55882352941176472</v>
      </c>
      <c r="N34" s="34">
        <f>SUMIFS('OB History'!F:F,'OB History'!B:B,A34)</f>
        <v>71</v>
      </c>
      <c r="O34" s="2">
        <f>SUMIFS('OB History'!E:E,'OB History'!B:B,A34)-N34</f>
        <v>64</v>
      </c>
      <c r="P34" s="88">
        <f>LOOKUP(2, 1/('OB History'!$B:$B=A34), 'OB History'!$AB:$AB)</f>
        <v>0.5338235294117647</v>
      </c>
      <c r="Q34" s="34">
        <f>SUMIFS('OB History'!H:H,'OB History'!B:B,'Old Bow v2'!A34)</f>
        <v>284</v>
      </c>
      <c r="R34" s="2">
        <f>SUMIFS('OB History'!G:G,'OB History'!B:B,'Old Bow v2'!A34)-Q34</f>
        <v>271</v>
      </c>
      <c r="S34" s="88">
        <f>LOOKUP(2, 1/('OB History'!$B:$B=A34), 'OB History'!$AC:$AC)</f>
        <v>0.51647058823529413</v>
      </c>
      <c r="T34" s="2">
        <f>COUNTIFS('OB History'!$B:$B,$A$34,'OB History'!K:K, 1)</f>
        <v>2</v>
      </c>
      <c r="U34" s="2">
        <f>COUNTIFS('OB History'!$B:$B,$A$34,'OB History'!L:L, 1)</f>
        <v>6</v>
      </c>
      <c r="V34" s="2">
        <f>COUNTIFS('OB History'!$B:$B,$A$34,'OB History'!M:M, 1)</f>
        <v>2</v>
      </c>
      <c r="W34" s="2">
        <f>COUNTIFS('OB History'!$B:$B,$A$34,'OB History'!N:N, 1)</f>
        <v>7</v>
      </c>
      <c r="X34" s="2">
        <f>COUNTIFS('OB History'!$B:$B,$A$34,'OB History'!O:O, 1)</f>
        <v>0</v>
      </c>
      <c r="Y34" s="2">
        <f>COUNTIFS('OB History'!$B:$B,$A$34,'OB History'!P:P, 1)</f>
        <v>4</v>
      </c>
      <c r="Z34" s="2">
        <f>COUNTIFS('OB History'!$B:$B,$A$34,'OB History'!Q:Q, 1)</f>
        <v>2</v>
      </c>
      <c r="AA34" s="2">
        <f>COUNTIFS('OB History'!$B:$B,$A$34,'OB History'!R:R, 1)</f>
        <v>4</v>
      </c>
      <c r="AB34" s="2">
        <f>COUNTIFS('OB History'!$B:$B,$A$34,'OB History'!S:S, 1)</f>
        <v>2</v>
      </c>
      <c r="AC34" s="2">
        <f>COUNTIFS('OB History'!$B:$B,$A$34,'OB History'!T:T, 1)</f>
        <v>2</v>
      </c>
      <c r="AD34" s="2">
        <f>COUNTIFS('OB History'!$B:$B,$A$34,'OB History'!U:U, 1)</f>
        <v>1</v>
      </c>
      <c r="AE34" s="2">
        <f>COUNTIFS('OB History'!$B:$B,$A$34,'OB History'!V:V, 1)</f>
        <v>1</v>
      </c>
      <c r="AF34" s="2">
        <f>COUNTIFS('OB History'!$B:$B,$A$34,'OB History'!W:W, 1)</f>
        <v>4</v>
      </c>
      <c r="AG34" s="2">
        <f>COUNTIFS('OB History'!$B:$B,$A$34,'OB History'!X:X, 1)</f>
        <v>15</v>
      </c>
      <c r="AH34" s="2">
        <f>COUNTIFS('OB History'!$B:$B,$A$34,'OB History'!Y:Y, 1)</f>
        <v>9</v>
      </c>
      <c r="AI34" s="2">
        <f>COUNTIFS('OB History'!$B:$B,$A$34,'OB History'!Z:Z, 1)</f>
        <v>10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3">
        <v>1</v>
      </c>
      <c r="F35" s="3"/>
      <c r="G35" s="3"/>
      <c r="H35" s="34">
        <f>SUMIFS('OB History'!C:C,'OB History'!B:B,A35)</f>
        <v>1025</v>
      </c>
      <c r="I35" s="4">
        <f>AVERAGEIFS('OB History'!C:C,'OB History'!B:B,A35)</f>
        <v>22.777777777777779</v>
      </c>
      <c r="J35" s="35">
        <f t="array" ref="J35">MAX(IF('OB History'!B:B=A35, 'OB History'!C:C))</f>
        <v>55</v>
      </c>
      <c r="K35" s="34">
        <f>COUNTIFS('OB History'!B:B,A35,'OB History'!D:D, 1)</f>
        <v>17</v>
      </c>
      <c r="L35" s="2">
        <f>COUNTIFS('OB History'!B:B,A35,'OB History'!D:D, 0)</f>
        <v>28</v>
      </c>
      <c r="M35" s="88">
        <f>LOOKUP(2, 1/('OB History'!$B:$B=A35), 'OB History'!$AD:$AD)</f>
        <v>0.37777777777777777</v>
      </c>
      <c r="N35" s="34">
        <f>SUMIFS('OB History'!F:F,'OB History'!B:B,A35)</f>
        <v>81</v>
      </c>
      <c r="O35" s="2">
        <f>SUMIFS('OB History'!E:E,'OB History'!B:B,A35)-N35</f>
        <v>101</v>
      </c>
      <c r="P35" s="88">
        <f>LOOKUP(2, 1/('OB History'!$B:$B=A35), 'OB History'!$AB:$AB)</f>
        <v>0.44666666666666671</v>
      </c>
      <c r="Q35" s="34">
        <f>SUMIFS('OB History'!H:H,'OB History'!B:B,'Old Bow v2'!A35)</f>
        <v>365</v>
      </c>
      <c r="R35" s="2">
        <f>SUMIFS('OB History'!G:G,'OB History'!B:B,'Old Bow v2'!A35)-Q35</f>
        <v>392</v>
      </c>
      <c r="S35" s="88">
        <f>LOOKUP(2, 1/('OB History'!$B:$B=A35), 'OB History'!$AC:$AC)</f>
        <v>0.4844444444444444</v>
      </c>
      <c r="T35" s="2">
        <f>COUNTIFS('OB History'!$B:$B,$A$35,'OB History'!K:K, 1)</f>
        <v>5</v>
      </c>
      <c r="U35" s="2">
        <f>COUNTIFS('OB History'!$B:$B,$A$35,'OB History'!L:L, 1)</f>
        <v>5</v>
      </c>
      <c r="V35" s="2">
        <f>COUNTIFS('OB History'!$B:$B,$A$35,'OB History'!M:M, 1)</f>
        <v>0</v>
      </c>
      <c r="W35" s="2">
        <f>COUNTIFS('OB History'!$B:$B,$A$35,'OB History'!N:N, 1)</f>
        <v>12</v>
      </c>
      <c r="X35" s="2">
        <f>COUNTIFS('OB History'!$B:$B,$A$35,'OB History'!O:O, 1)</f>
        <v>1</v>
      </c>
      <c r="Y35" s="2">
        <f>COUNTIFS('OB History'!$B:$B,$A$35,'OB History'!P:P, 1)</f>
        <v>8</v>
      </c>
      <c r="Z35" s="2">
        <f>COUNTIFS('OB History'!$B:$B,$A$35,'OB History'!Q:Q, 1)</f>
        <v>4</v>
      </c>
      <c r="AA35" s="2">
        <f>COUNTIFS('OB History'!$B:$B,$A$35,'OB History'!R:R, 1)</f>
        <v>1</v>
      </c>
      <c r="AB35" s="2">
        <f>COUNTIFS('OB History'!$B:$B,$A$35,'OB History'!S:S, 1)</f>
        <v>1</v>
      </c>
      <c r="AC35" s="2">
        <f>COUNTIFS('OB History'!$B:$B,$A$35,'OB History'!T:T, 1)</f>
        <v>1</v>
      </c>
      <c r="AD35" s="2">
        <f>COUNTIFS('OB History'!$B:$B,$A$35,'OB History'!U:U, 1)</f>
        <v>1</v>
      </c>
      <c r="AE35" s="2">
        <f>COUNTIFS('OB History'!$B:$B,$A$35,'OB History'!V:V, 1)</f>
        <v>1</v>
      </c>
      <c r="AF35" s="2">
        <f>COUNTIFS('OB History'!$B:$B,$A$35,'OB History'!W:W, 1)</f>
        <v>7</v>
      </c>
      <c r="AG35" s="2">
        <f>COUNTIFS('OB History'!$B:$B,$A$35,'OB History'!X:X, 1)</f>
        <v>17</v>
      </c>
      <c r="AH35" s="2">
        <f>COUNTIFS('OB History'!$B:$B,$A$35,'OB History'!Y:Y, 1)</f>
        <v>7</v>
      </c>
      <c r="AI35" s="2">
        <f>COUNTIFS('OB History'!$B:$B,$A$35,'OB History'!Z:Z, 1)</f>
        <v>10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3"/>
      <c r="F36" s="3"/>
      <c r="G36" s="3"/>
      <c r="H36" s="34">
        <f>SUMIFS('OB History'!C:C,'OB History'!B:B,A36)</f>
        <v>31</v>
      </c>
      <c r="I36" s="4">
        <f>AVERAGEIFS('OB History'!C:C,'OB History'!B:B,A36)</f>
        <v>15.5</v>
      </c>
      <c r="J36" s="35">
        <f t="array" ref="J36">MAX(IF('OB History'!B:B=A36, 'OB History'!C:C))</f>
        <v>16</v>
      </c>
      <c r="K36" s="34">
        <f>COUNTIFS('OB History'!B:B,A36,'OB History'!D:D, 1)</f>
        <v>0</v>
      </c>
      <c r="L36" s="2">
        <f>COUNTIFS('OB History'!B:B,A36,'OB History'!D:D, 0)</f>
        <v>2</v>
      </c>
      <c r="M36" s="88">
        <f>LOOKUP(2, 1/('OB History'!$B:$B=A36), 'OB History'!$AD:$AD)</f>
        <v>0</v>
      </c>
      <c r="N36" s="34">
        <f>SUMIFS('OB History'!F:F,'OB History'!B:B,A36)</f>
        <v>2</v>
      </c>
      <c r="O36" s="2">
        <f>SUMIFS('OB History'!E:E,'OB History'!B:B,A36)-N36</f>
        <v>6</v>
      </c>
      <c r="P36" s="88">
        <f>LOOKUP(2, 1/('OB History'!$B:$B=A36), 'OB History'!$AB:$AB)</f>
        <v>0.25</v>
      </c>
      <c r="Q36" s="34">
        <f>SUMIFS('OB History'!H:H,'OB History'!B:B,'Old Bow v2'!A36)</f>
        <v>16</v>
      </c>
      <c r="R36" s="2">
        <f>SUMIFS('OB History'!G:G,'OB History'!B:B,'Old Bow v2'!A36)-Q36</f>
        <v>22</v>
      </c>
      <c r="S36" s="88">
        <f>LOOKUP(2, 1/('OB History'!$B:$B=A36), 'OB History'!$AC:$AC)</f>
        <v>0.42</v>
      </c>
      <c r="T36" s="2">
        <f>COUNTIFS('OB History'!$B:$B,$A$36,'OB History'!K:K, 1)</f>
        <v>0</v>
      </c>
      <c r="U36" s="2">
        <f>COUNTIFS('OB History'!$B:$B,$A$36,'OB History'!L:L, 1)</f>
        <v>0</v>
      </c>
      <c r="V36" s="2">
        <f>COUNTIFS('OB History'!$B:$B,$A$36,'OB History'!M:M, 1)</f>
        <v>0</v>
      </c>
      <c r="W36" s="2">
        <f>COUNTIFS('OB History'!$B:$B,$A$36,'OB History'!N:N, 1)</f>
        <v>0</v>
      </c>
      <c r="X36" s="2">
        <f>COUNTIFS('OB History'!$B:$B,$A$36,'OB History'!O:O, 1)</f>
        <v>0</v>
      </c>
      <c r="Y36" s="2">
        <f>COUNTIFS('OB History'!$B:$B,$A$36,'OB History'!P:P, 1)</f>
        <v>0</v>
      </c>
      <c r="Z36" s="2">
        <f>COUNTIFS('OB History'!$B:$B,$A$36,'OB History'!Q:Q, 1)</f>
        <v>0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1</v>
      </c>
      <c r="AG36" s="2">
        <f>COUNTIFS('OB History'!$B:$B,$A$36,'OB History'!X:X, 1)</f>
        <v>0</v>
      </c>
      <c r="AH36" s="2">
        <f>COUNTIFS('OB History'!$B:$B,$A$36,'OB History'!Y:Y, 1)</f>
        <v>1</v>
      </c>
      <c r="AI36" s="2">
        <f>COUNTIFS('OB History'!$B:$B,$A$36,'OB History'!Z:Z, 1)</f>
        <v>0</v>
      </c>
    </row>
    <row r="37" spans="1:35" x14ac:dyDescent="0.25">
      <c r="A37" s="1" t="s">
        <v>43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4</v>
      </c>
      <c r="I37" s="4">
        <f>AVERAGEIFS('OB History'!C:C,'OB History'!B:B,A37)</f>
        <v>4</v>
      </c>
      <c r="J37" s="35">
        <f t="array" ref="J37">MAX(IF('OB History'!B:B=A37, 'OB History'!C:C))</f>
        <v>4</v>
      </c>
      <c r="K37" s="34">
        <f>COUNTIFS('OB History'!B:B,A37,'OB History'!D:D, 1)</f>
        <v>1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3</v>
      </c>
      <c r="O37" s="2">
        <f>SUMIFS('OB History'!E:E,'OB History'!B:B,A37)-N37</f>
        <v>0</v>
      </c>
      <c r="P37" s="88">
        <f>LOOKUP(2, 1/('OB History'!$B:$B=A37), 'OB History'!$AB:$AB)</f>
        <v>1</v>
      </c>
      <c r="Q37" s="34">
        <f>SUMIFS('OB History'!H:H,'OB History'!B:B,'Old Bow v2'!A37)</f>
        <v>9</v>
      </c>
      <c r="R37" s="2">
        <f>SUMIFS('OB History'!G:G,'OB History'!B:B,'Old Bow v2'!A37)-Q37</f>
        <v>4</v>
      </c>
      <c r="S37" s="88">
        <f>LOOKUP(2, 1/('OB History'!$B:$B=A37), 'OB History'!$AC:$AC)</f>
        <v>0.69</v>
      </c>
      <c r="T37" s="2">
        <f>COUNTIFS('OB History'!$B:$B,$A$37,'OB History'!K:K, 1)</f>
        <v>0</v>
      </c>
      <c r="U37" s="2">
        <f>COUNTIFS('OB History'!$B:$B,$A$37,'OB History'!L:L, 1)</f>
        <v>0</v>
      </c>
      <c r="V37" s="2">
        <f>COUNTIFS('OB History'!$B:$B,$A$37,'OB History'!M:M, 1)</f>
        <v>0</v>
      </c>
      <c r="W37" s="2">
        <f>COUNTIFS('OB History'!$B:$B,$A$37,'OB History'!N:N, 1)</f>
        <v>0</v>
      </c>
      <c r="X37" s="2">
        <f>COUNTIFS('OB History'!$B:$B,$A$37,'OB History'!O:O, 1)</f>
        <v>0</v>
      </c>
      <c r="Y37" s="2">
        <f>COUNTIFS('OB History'!$B:$B,$A$37,'OB History'!P:P, 1)</f>
        <v>1</v>
      </c>
      <c r="Z37" s="2">
        <f>COUNTIFS('OB History'!$B:$B,$A$37,'OB History'!Q:Q, 1)</f>
        <v>0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0</v>
      </c>
      <c r="AG37" s="2">
        <f>COUNTIFS('OB History'!$B:$B,$A$37,'OB History'!X:X, 1)</f>
        <v>1</v>
      </c>
      <c r="AH37" s="2">
        <f>COUNTIFS('OB History'!$B:$B,$A$37,'OB History'!Y:Y, 1)</f>
        <v>0</v>
      </c>
      <c r="AI37" s="2">
        <f>COUNTIFS('OB History'!$B:$B,$A$37,'OB History'!Z:Z, 1)</f>
        <v>1</v>
      </c>
    </row>
    <row r="38" spans="1:35" x14ac:dyDescent="0.25">
      <c r="A38" s="2" t="s">
        <v>13</v>
      </c>
      <c r="B38" s="6" t="s">
        <v>124</v>
      </c>
      <c r="C38" s="1" t="s">
        <v>159</v>
      </c>
      <c r="D38" s="3">
        <v>7</v>
      </c>
      <c r="E38" s="3">
        <v>2</v>
      </c>
      <c r="F38" s="3">
        <v>1</v>
      </c>
      <c r="G38" s="3"/>
      <c r="H38" s="34">
        <f>SUMIFS('OB History'!C:C,'OB History'!B:B,A38)</f>
        <v>1745</v>
      </c>
      <c r="I38" s="4">
        <f>AVERAGEIFS('OB History'!C:C,'OB History'!B:B,A38)</f>
        <v>26.044776119402986</v>
      </c>
      <c r="J38" s="35">
        <f t="array" ref="J38">MAX(IF('OB History'!B:B=A38, 'OB History'!C:C))</f>
        <v>58</v>
      </c>
      <c r="K38" s="34">
        <f>COUNTIFS('OB History'!B:B,A38,'OB History'!D:D, 1)</f>
        <v>42</v>
      </c>
      <c r="L38" s="2">
        <f>COUNTIFS('OB History'!B:B,A38,'OB History'!D:D, 0)</f>
        <v>25</v>
      </c>
      <c r="M38" s="88">
        <f>LOOKUP(2, 1/('OB History'!$B:$B=A38), 'OB History'!$AD:$AD)</f>
        <v>0.62686567164179108</v>
      </c>
      <c r="N38" s="34">
        <f>SUMIFS('OB History'!F:F,'OB History'!B:B,A38)</f>
        <v>154</v>
      </c>
      <c r="O38" s="2">
        <f>SUMIFS('OB History'!E:E,'OB History'!B:B,A38)-N38</f>
        <v>115</v>
      </c>
      <c r="P38" s="88">
        <f>LOOKUP(2, 1/('OB History'!$B:$B=A38), 'OB History'!$AB:$AB)</f>
        <v>0.57611940298507469</v>
      </c>
      <c r="Q38" s="34">
        <f>SUMIFS('OB History'!H:H,'OB History'!B:B,'Old Bow v2'!A38)</f>
        <v>600</v>
      </c>
      <c r="R38" s="2">
        <f>SUMIFS('OB History'!G:G,'OB History'!B:B,'Old Bow v2'!A38)-Q38</f>
        <v>504</v>
      </c>
      <c r="S38" s="88">
        <f>LOOKUP(2, 1/('OB History'!$B:$B=A38), 'OB History'!$AC:$AC)</f>
        <v>0.54567164179104477</v>
      </c>
      <c r="T38" s="2">
        <f>COUNTIFS('OB History'!$B:$B,$A$38,'OB History'!K:K, 1)</f>
        <v>9</v>
      </c>
      <c r="U38" s="2">
        <f>COUNTIFS('OB History'!$B:$B,$A$38,'OB History'!L:L, 1)</f>
        <v>12</v>
      </c>
      <c r="V38" s="2">
        <f>COUNTIFS('OB History'!$B:$B,$A$38,'OB History'!M:M, 1)</f>
        <v>4</v>
      </c>
      <c r="W38" s="2">
        <f>COUNTIFS('OB History'!$B:$B,$A$38,'OB History'!N:N, 1)</f>
        <v>18</v>
      </c>
      <c r="X38" s="2">
        <f>COUNTIFS('OB History'!$B:$B,$A$38,'OB History'!O:O, 1)</f>
        <v>3</v>
      </c>
      <c r="Y38" s="2">
        <f>COUNTIFS('OB History'!$B:$B,$A$38,'OB History'!P:P, 1)</f>
        <v>19</v>
      </c>
      <c r="Z38" s="2">
        <f>COUNTIFS('OB History'!$B:$B,$A$38,'OB History'!Q:Q, 1)</f>
        <v>5</v>
      </c>
      <c r="AA38" s="2">
        <f>COUNTIFS('OB History'!$B:$B,$A$38,'OB History'!R:R, 1)</f>
        <v>5</v>
      </c>
      <c r="AB38" s="2">
        <f>COUNTIFS('OB History'!$B:$B,$A$38,'OB History'!S:S, 1)</f>
        <v>2</v>
      </c>
      <c r="AC38" s="2">
        <f>COUNTIFS('OB History'!$B:$B,$A$38,'OB History'!T:T, 1)</f>
        <v>4</v>
      </c>
      <c r="AD38" s="2">
        <f>COUNTIFS('OB History'!$B:$B,$A$38,'OB History'!U:U, 1)</f>
        <v>2</v>
      </c>
      <c r="AE38" s="2">
        <f>COUNTIFS('OB History'!$B:$B,$A$38,'OB History'!V:V, 1)</f>
        <v>5</v>
      </c>
      <c r="AF38" s="2">
        <f>COUNTIFS('OB History'!$B:$B,$A$38,'OB History'!W:W, 1)</f>
        <v>14</v>
      </c>
      <c r="AG38" s="2">
        <f>COUNTIFS('OB History'!$B:$B,$A$38,'OB History'!X:X, 1)</f>
        <v>19</v>
      </c>
      <c r="AH38" s="2">
        <f>COUNTIFS('OB History'!$B:$B,$A$38,'OB History'!Y:Y, 1)</f>
        <v>15</v>
      </c>
      <c r="AI38" s="2">
        <f>COUNTIFS('OB History'!$B:$B,$A$38,'OB History'!Z:Z, 1)</f>
        <v>18</v>
      </c>
    </row>
    <row r="39" spans="1:35" x14ac:dyDescent="0.25">
      <c r="A39" s="2" t="s">
        <v>2</v>
      </c>
      <c r="B39" s="6" t="s">
        <v>60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548</v>
      </c>
      <c r="I39" s="4">
        <f>AVERAGEIFS('OB History'!C:C,'OB History'!B:B,A39)</f>
        <v>28.842105263157894</v>
      </c>
      <c r="J39" s="35">
        <f t="array" ref="J39">MAX(IF('OB History'!B:B=A39, 'OB History'!C:C))</f>
        <v>68</v>
      </c>
      <c r="K39" s="34">
        <f>COUNTIFS('OB History'!B:B,A39,'OB History'!D:D, 1)</f>
        <v>11</v>
      </c>
      <c r="L39" s="2">
        <f>COUNTIFS('OB History'!B:B,A39,'OB History'!D:D, 0)</f>
        <v>8</v>
      </c>
      <c r="M39" s="88">
        <f>LOOKUP(2, 1/('OB History'!$B:$B=A39), 'OB History'!$AD:$AD)</f>
        <v>0.57894736842105265</v>
      </c>
      <c r="N39" s="34">
        <f>SUMIFS('OB History'!F:F,'OB History'!B:B,A39)</f>
        <v>46</v>
      </c>
      <c r="O39" s="2">
        <f>SUMIFS('OB History'!E:E,'OB History'!B:B,A39)-N39</f>
        <v>32</v>
      </c>
      <c r="P39" s="88">
        <f>LOOKUP(2, 1/('OB History'!$B:$B=A39), 'OB History'!$AB:$AB)</f>
        <v>0.62368421052631584</v>
      </c>
      <c r="Q39" s="34">
        <f>SUMIFS('OB History'!H:H,'OB History'!B:B,'Old Bow v2'!A39)</f>
        <v>180</v>
      </c>
      <c r="R39" s="2">
        <f>SUMIFS('OB History'!G:G,'OB History'!B:B,'Old Bow v2'!A39)-Q39</f>
        <v>150</v>
      </c>
      <c r="S39" s="88">
        <f>LOOKUP(2, 1/('OB History'!$B:$B=A39), 'OB History'!$AC:$AC)</f>
        <v>0.55947368421052623</v>
      </c>
      <c r="T39" s="2">
        <f>COUNTIFS('OB History'!$B:$B,$A$39,'OB History'!K:K, 1)</f>
        <v>3</v>
      </c>
      <c r="U39" s="2">
        <f>COUNTIFS('OB History'!$B:$B,$A$39,'OB History'!L:L, 1)</f>
        <v>4</v>
      </c>
      <c r="V39" s="2">
        <f>COUNTIFS('OB History'!$B:$B,$A$39,'OB History'!M:M, 1)</f>
        <v>2</v>
      </c>
      <c r="W39" s="2">
        <f>COUNTIFS('OB History'!$B:$B,$A$39,'OB History'!N:N, 1)</f>
        <v>9</v>
      </c>
      <c r="X39" s="2">
        <f>COUNTIFS('OB History'!$B:$B,$A$39,'OB History'!O:O, 1)</f>
        <v>0</v>
      </c>
      <c r="Y39" s="2">
        <f>COUNTIFS('OB History'!$B:$B,$A$39,'OB History'!P:P, 1)</f>
        <v>4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5</v>
      </c>
      <c r="AG39" s="2">
        <f>COUNTIFS('OB History'!$B:$B,$A$39,'OB History'!X:X, 1)</f>
        <v>4</v>
      </c>
      <c r="AH39" s="2">
        <f>COUNTIFS('OB History'!$B:$B,$A$39,'OB History'!Y:Y, 1)</f>
        <v>6</v>
      </c>
      <c r="AI39" s="2">
        <f>COUNTIFS('OB History'!$B:$B,$A$39,'OB History'!Z:Z, 1)</f>
        <v>8</v>
      </c>
    </row>
    <row r="40" spans="1:35" x14ac:dyDescent="0.25">
      <c r="A40" s="2" t="s">
        <v>54</v>
      </c>
      <c r="B40" s="6" t="s">
        <v>60</v>
      </c>
      <c r="C40" s="6" t="s">
        <v>79</v>
      </c>
      <c r="D40" s="3"/>
      <c r="E40" s="3"/>
      <c r="F40" s="3"/>
      <c r="G40" s="3"/>
      <c r="H40" s="34">
        <f>SUMIFS('OB History'!C:C,'OB History'!B:B,A40)</f>
        <v>65</v>
      </c>
      <c r="I40" s="4">
        <f>AVERAGEIFS('OB History'!C:C,'OB History'!B:B,A40)</f>
        <v>21.666666666666668</v>
      </c>
      <c r="J40" s="35">
        <f t="array" ref="J40">MAX(IF('OB History'!B:B=A40, 'OB History'!C:C))</f>
        <v>29</v>
      </c>
      <c r="K40" s="34">
        <f>COUNTIFS('OB History'!B:B,A40,'OB History'!D:D, 1)</f>
        <v>3</v>
      </c>
      <c r="L40" s="2">
        <f>COUNTIFS('OB History'!B:B,A40,'OB History'!D:D, 0)</f>
        <v>0</v>
      </c>
      <c r="M40" s="88">
        <f>LOOKUP(2, 1/('OB History'!$B:$B=A40), 'OB History'!$AD:$AD)</f>
        <v>1</v>
      </c>
      <c r="N40" s="34">
        <f>SUMIFS('OB History'!F:F,'OB History'!B:B,A40)</f>
        <v>9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36</v>
      </c>
      <c r="R40" s="2">
        <f>SUMIFS('OB History'!G:G,'OB History'!B:B,'Old Bow v2'!A40)-Q40</f>
        <v>26</v>
      </c>
      <c r="S40" s="88">
        <f>LOOKUP(2, 1/('OB History'!$B:$B=A40), 'OB History'!$AC:$AC)</f>
        <v>0.57999999999999996</v>
      </c>
      <c r="T40" s="2">
        <f>COUNTIFS('OB History'!$B:$B,$A$40,'OB History'!K:K, 1)</f>
        <v>0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1</v>
      </c>
      <c r="X40" s="2">
        <f>COUNTIFS('OB History'!$B:$B,$A$40,'OB History'!O:O, 1)</f>
        <v>2</v>
      </c>
      <c r="Y40" s="2">
        <f>COUNTIFS('OB History'!$B:$B,$A$40,'OB History'!P:P, 1)</f>
        <v>1</v>
      </c>
      <c r="Z40" s="2">
        <f>COUNTIFS('OB History'!$B:$B,$A$40,'OB History'!Q:Q, 1)</f>
        <v>2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1</v>
      </c>
      <c r="AF40" s="2">
        <f>COUNTIFS('OB History'!$B:$B,$A$40,'OB History'!W:W, 1)</f>
        <v>1</v>
      </c>
      <c r="AG40" s="2">
        <f>COUNTIFS('OB History'!$B:$B,$A$40,'OB History'!X:X, 1)</f>
        <v>0</v>
      </c>
      <c r="AH40" s="2">
        <f>COUNTIFS('OB History'!$B:$B,$A$40,'OB History'!Y:Y, 1)</f>
        <v>0</v>
      </c>
      <c r="AI40" s="2">
        <f>COUNTIFS('OB History'!$B:$B,$A$40,'OB History'!Z:Z, 1)</f>
        <v>0</v>
      </c>
    </row>
    <row r="41" spans="1:35" x14ac:dyDescent="0.25">
      <c r="A41" s="2" t="s">
        <v>5</v>
      </c>
      <c r="B41" s="6" t="s">
        <v>124</v>
      </c>
      <c r="C41" s="1" t="s">
        <v>159</v>
      </c>
      <c r="D41" s="3">
        <v>3</v>
      </c>
      <c r="E41" s="3"/>
      <c r="F41" s="3"/>
      <c r="G41" s="3"/>
      <c r="H41" s="34">
        <f>SUMIFS('OB History'!C:C,'OB History'!B:B,A41)</f>
        <v>530</v>
      </c>
      <c r="I41" s="4">
        <f>AVERAGEIFS('OB History'!C:C,'OB History'!B:B,A41)</f>
        <v>23.043478260869566</v>
      </c>
      <c r="J41" s="35">
        <f t="array" ref="J41">MAX(IF('OB History'!B:B=A41, 'OB History'!C:C))</f>
        <v>51</v>
      </c>
      <c r="K41" s="34">
        <f>COUNTIFS('OB History'!B:B,A41,'OB History'!D:D, 1)</f>
        <v>11</v>
      </c>
      <c r="L41" s="2">
        <f>COUNTIFS('OB History'!B:B,A41,'OB History'!D:D, 0)</f>
        <v>12</v>
      </c>
      <c r="M41" s="88">
        <f>LOOKUP(2, 1/('OB History'!$B:$B=A41), 'OB History'!$AD:$AD)</f>
        <v>0.47826086956521741</v>
      </c>
      <c r="N41" s="34">
        <f>SUMIFS('OB History'!F:F,'OB History'!B:B,A41)</f>
        <v>46</v>
      </c>
      <c r="O41" s="2">
        <f>SUMIFS('OB History'!E:E,'OB History'!B:B,A41)-N41</f>
        <v>50</v>
      </c>
      <c r="P41" s="88">
        <f>LOOKUP(2, 1/('OB History'!$B:$B=A41), 'OB History'!$AB:$AB)</f>
        <v>0.4804347826086956</v>
      </c>
      <c r="Q41" s="34">
        <f>SUMIFS('OB History'!H:H,'OB History'!B:B,'Old Bow v2'!A41)</f>
        <v>196</v>
      </c>
      <c r="R41" s="2">
        <f>SUMIFS('OB History'!G:G,'OB History'!B:B,'Old Bow v2'!A41)-Q41</f>
        <v>203</v>
      </c>
      <c r="S41" s="88">
        <f>LOOKUP(2, 1/('OB History'!$B:$B=A41), 'OB History'!$AC:$AC)</f>
        <v>0.48652173913043478</v>
      </c>
      <c r="T41" s="2">
        <f>COUNTIFS('OB History'!$B:$B,$A$41,'OB History'!K:K, 1)</f>
        <v>4</v>
      </c>
      <c r="U41" s="2">
        <f>COUNTIFS('OB History'!$B:$B,$A$41,'OB History'!L:L, 1)</f>
        <v>5</v>
      </c>
      <c r="V41" s="2">
        <f>COUNTIFS('OB History'!$B:$B,$A$41,'OB History'!M:M, 1)</f>
        <v>4</v>
      </c>
      <c r="W41" s="2">
        <f>COUNTIFS('OB History'!$B:$B,$A$41,'OB History'!N:N, 1)</f>
        <v>4</v>
      </c>
      <c r="X41" s="2">
        <f>COUNTIFS('OB History'!$B:$B,$A$41,'OB History'!O:O, 1)</f>
        <v>3</v>
      </c>
      <c r="Y41" s="2">
        <f>COUNTIFS('OB History'!$B:$B,$A$41,'OB History'!P:P, 1)</f>
        <v>4</v>
      </c>
      <c r="Z41" s="2">
        <f>COUNTIFS('OB History'!$B:$B,$A$41,'OB History'!Q:Q, 1)</f>
        <v>0</v>
      </c>
      <c r="AA41" s="2">
        <f>COUNTIFS('OB History'!$B:$B,$A$41,'OB History'!R:R, 1)</f>
        <v>2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3</v>
      </c>
      <c r="AG41" s="2">
        <f>COUNTIFS('OB History'!$B:$B,$A$41,'OB History'!X:X, 1)</f>
        <v>8</v>
      </c>
      <c r="AH41" s="2">
        <f>COUNTIFS('OB History'!$B:$B,$A$41,'OB History'!Y:Y, 1)</f>
        <v>5</v>
      </c>
      <c r="AI41" s="2">
        <f>COUNTIFS('OB History'!$B:$B,$A$41,'OB History'!Z:Z, 1)</f>
        <v>4</v>
      </c>
    </row>
    <row r="42" spans="1:35" x14ac:dyDescent="0.25">
      <c r="A42" s="2" t="s">
        <v>38</v>
      </c>
      <c r="B42" s="2" t="s">
        <v>79</v>
      </c>
      <c r="C42" s="2" t="s">
        <v>79</v>
      </c>
      <c r="D42" s="3">
        <v>1</v>
      </c>
      <c r="E42" s="3"/>
      <c r="F42" s="3"/>
      <c r="G42" s="3"/>
      <c r="H42" s="34">
        <f>SUMIFS('OB History'!C:C,'OB History'!B:B,A42)</f>
        <v>120</v>
      </c>
      <c r="I42" s="4">
        <f>AVERAGEIFS('OB History'!C:C,'OB History'!B:B,A42)</f>
        <v>8</v>
      </c>
      <c r="J42" s="35">
        <f t="array" ref="J42">MAX(IF('OB History'!B:B=A42, 'OB History'!C:C))</f>
        <v>28</v>
      </c>
      <c r="K42" s="34">
        <f>COUNTIFS('OB History'!B:B,A42,'OB History'!D:D, 1)</f>
        <v>7</v>
      </c>
      <c r="L42" s="2">
        <f>COUNTIFS('OB History'!B:B,A42,'OB History'!D:D, 0)</f>
        <v>8</v>
      </c>
      <c r="M42" s="88">
        <f>LOOKUP(2, 1/('OB History'!$B:$B=A42), 'OB History'!$AD:$AD)</f>
        <v>0.46666666666666667</v>
      </c>
      <c r="N42" s="34">
        <f>SUMIFS('OB History'!F:F,'OB History'!B:B,A42)</f>
        <v>27</v>
      </c>
      <c r="O42" s="2">
        <f>SUMIFS('OB History'!E:E,'OB History'!B:B,A42)-N42</f>
        <v>31</v>
      </c>
      <c r="P42" s="88">
        <f>LOOKUP(2, 1/('OB History'!$B:$B=A42), 'OB History'!$AB:$AB)</f>
        <v>0.44000000000000006</v>
      </c>
      <c r="Q42" s="34">
        <f>SUMIFS('OB History'!H:H,'OB History'!B:B,'Old Bow v2'!A42)</f>
        <v>112</v>
      </c>
      <c r="R42" s="2">
        <f>SUMIFS('OB History'!G:G,'OB History'!B:B,'Old Bow v2'!A42)-Q42</f>
        <v>126</v>
      </c>
      <c r="S42" s="88">
        <f>LOOKUP(2, 1/('OB History'!$B:$B=A42), 'OB History'!$AC:$AC)</f>
        <v>0.46133333333333332</v>
      </c>
      <c r="T42" s="2">
        <f>COUNTIFS('OB History'!$B:$B,$A$42,'OB History'!K:K, 1)</f>
        <v>1</v>
      </c>
      <c r="U42" s="2">
        <f>COUNTIFS('OB History'!$B:$B,$A$42,'OB History'!L:L, 1)</f>
        <v>1</v>
      </c>
      <c r="V42" s="2">
        <f>COUNTIFS('OB History'!$B:$B,$A$42,'OB History'!M:M, 1)</f>
        <v>1</v>
      </c>
      <c r="W42" s="2">
        <f>COUNTIFS('OB History'!$B:$B,$A$42,'OB History'!N:N, 1)</f>
        <v>4</v>
      </c>
      <c r="X42" s="2">
        <f>COUNTIFS('OB History'!$B:$B,$A$42,'OB History'!O:O, 1)</f>
        <v>0</v>
      </c>
      <c r="Y42" s="2">
        <f>COUNTIFS('OB History'!$B:$B,$A$42,'OB History'!P:P, 1)</f>
        <v>4</v>
      </c>
      <c r="Z42" s="2">
        <f>COUNTIFS('OB History'!$B:$B,$A$42,'OB History'!Q:Q, 1)</f>
        <v>1</v>
      </c>
      <c r="AA42" s="2">
        <f>COUNTIFS('OB History'!$B:$B,$A$42,'OB History'!R:R, 1)</f>
        <v>3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2</v>
      </c>
      <c r="AG42" s="2">
        <f>COUNTIFS('OB History'!$B:$B,$A$42,'OB History'!X:X, 1)</f>
        <v>4</v>
      </c>
      <c r="AH42" s="2">
        <f>COUNTIFS('OB History'!$B:$B,$A$42,'OB History'!Y:Y, 1)</f>
        <v>3</v>
      </c>
      <c r="AI42" s="2">
        <f>COUNTIFS('OB History'!$B:$B,$A$42,'OB History'!Z:Z, 1)</f>
        <v>3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222</v>
      </c>
      <c r="I43" s="4">
        <f>AVERAGEIFS('OB History'!C:C,'OB History'!B:B,A43)</f>
        <v>17.076923076923077</v>
      </c>
      <c r="J43" s="35">
        <f t="array" ref="J43">MAX(IF('OB History'!B:B=A43, 'OB History'!C:C))</f>
        <v>33</v>
      </c>
      <c r="K43" s="34">
        <f>COUNTIFS('OB History'!B:B,A43,'OB History'!D:D, 1)</f>
        <v>5</v>
      </c>
      <c r="L43" s="2">
        <f>COUNTIFS('OB History'!B:B,A43,'OB History'!D:D, 0)</f>
        <v>8</v>
      </c>
      <c r="M43" s="88">
        <f>LOOKUP(2, 1/('OB History'!$B:$B=A43), 'OB History'!$AD:$AD)</f>
        <v>0.38461538461538464</v>
      </c>
      <c r="N43" s="34">
        <f>SUMIFS('OB History'!F:F,'OB History'!B:B,A43)</f>
        <v>22</v>
      </c>
      <c r="O43" s="2">
        <f>SUMIFS('OB History'!E:E,'OB History'!B:B,A43)-N43</f>
        <v>28</v>
      </c>
      <c r="P43" s="88">
        <f>LOOKUP(2, 1/('OB History'!$B:$B=A43), 'OB History'!$AB:$AB)</f>
        <v>0.44615384615384612</v>
      </c>
      <c r="Q43" s="34">
        <f>SUMIFS('OB History'!H:H,'OB History'!B:B,'Old Bow v2'!A43)</f>
        <v>101</v>
      </c>
      <c r="R43" s="2">
        <f>SUMIFS('OB History'!G:G,'OB History'!B:B,'Old Bow v2'!A43)-Q43</f>
        <v>110</v>
      </c>
      <c r="S43" s="88">
        <f>LOOKUP(2, 1/('OB History'!$B:$B=A43), 'OB History'!$AC:$AC)</f>
        <v>0.48076923076923078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0</v>
      </c>
      <c r="W43" s="2">
        <f>COUNTIFS('OB History'!$B:$B,$A$43,'OB History'!N:N, 1)</f>
        <v>3</v>
      </c>
      <c r="X43" s="2">
        <f>COUNTIFS('OB History'!$B:$B,$A$43,'OB History'!O:O, 1)</f>
        <v>1</v>
      </c>
      <c r="Y43" s="2">
        <f>COUNTIFS('OB History'!$B:$B,$A$43,'OB History'!P:P, 1)</f>
        <v>1</v>
      </c>
      <c r="Z43" s="2">
        <f>COUNTIFS('OB History'!$B:$B,$A$43,'OB History'!Q:Q, 1)</f>
        <v>2</v>
      </c>
      <c r="AA43" s="2">
        <f>COUNTIFS('OB History'!$B:$B,$A$43,'OB History'!R:R, 1)</f>
        <v>1</v>
      </c>
      <c r="AB43" s="2">
        <f>COUNTIFS('OB History'!$B:$B,$A$43,'OB History'!S:S, 1)</f>
        <v>0</v>
      </c>
      <c r="AC43" s="2">
        <f>COUNTIFS('OB History'!$B:$B,$A$43,'OB History'!T:T, 1)</f>
        <v>1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2</v>
      </c>
      <c r="AG43" s="2">
        <f>COUNTIFS('OB History'!$B:$B,$A$43,'OB History'!X:X, 1)</f>
        <v>2</v>
      </c>
      <c r="AH43" s="2">
        <f>COUNTIFS('OB History'!$B:$B,$A$43,'OB History'!Y:Y, 1)</f>
        <v>2</v>
      </c>
      <c r="AI43" s="2">
        <f>COUNTIFS('OB History'!$B:$B,$A$43,'OB History'!Z:Z, 1)</f>
        <v>2</v>
      </c>
    </row>
    <row r="44" spans="1:35" x14ac:dyDescent="0.25">
      <c r="A44" s="2" t="s">
        <v>149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4</v>
      </c>
      <c r="I44" s="4">
        <f>AVERAGEIFS('OB History'!C:C,'OB History'!B:B,A44)</f>
        <v>4</v>
      </c>
      <c r="J44" s="35">
        <f t="array" ref="J44">MAX(IF('OB History'!B:B=A44, 'OB History'!C:C))</f>
        <v>4</v>
      </c>
      <c r="K44" s="34">
        <f>COUNTIFS('OB History'!B:B,A44,'OB History'!D:D, 1)</f>
        <v>0</v>
      </c>
      <c r="L44" s="2">
        <f>COUNTIFS('OB History'!B:B,A44,'OB History'!D:D, 0)</f>
        <v>1</v>
      </c>
      <c r="M44" s="88">
        <f>LOOKUP(2, 1/('OB History'!$B:$B=A44), 'OB History'!$AD:$AD)</f>
        <v>0</v>
      </c>
      <c r="N44" s="34">
        <f>SUMIFS('OB History'!F:F,'OB History'!B:B,A44)</f>
        <v>2</v>
      </c>
      <c r="O44" s="2">
        <f>SUMIFS('OB History'!E:E,'OB History'!B:B,A44)-N44</f>
        <v>3</v>
      </c>
      <c r="P44" s="88">
        <f>LOOKUP(2, 1/('OB History'!$B:$B=A44), 'OB History'!$AB:$AB)</f>
        <v>0.4</v>
      </c>
      <c r="Q44" s="34">
        <f>SUMIFS('OB History'!H:H,'OB History'!B:B,'Old Bow v2'!A44)</f>
        <v>8</v>
      </c>
      <c r="R44" s="2">
        <f>SUMIFS('OB History'!G:G,'OB History'!B:B,'Old Bow v2'!A44)-Q44</f>
        <v>10</v>
      </c>
      <c r="S44" s="88">
        <f>LOOKUP(2, 1/('OB History'!$B:$B=A44), 'OB History'!$AC:$AC)</f>
        <v>0.44</v>
      </c>
      <c r="T44" s="2">
        <f>COUNTIFS('OB History'!$B:$B,$A$44,'OB History'!K:K, 1)</f>
        <v>1</v>
      </c>
      <c r="U44" s="2">
        <f>COUNTIFS('OB History'!$B:$B,$A$44,'OB History'!L:L, 1)</f>
        <v>0</v>
      </c>
      <c r="V44" s="2">
        <f>COUNTIFS('OB History'!$B:$B,$A$44,'OB History'!M:M, 1)</f>
        <v>0</v>
      </c>
      <c r="W44" s="2">
        <f>COUNTIFS('OB History'!$B:$B,$A$44,'OB History'!N:N, 1)</f>
        <v>0</v>
      </c>
      <c r="X44" s="2">
        <f>COUNTIFS('OB History'!$B:$B,$A$44,'OB History'!O:O, 1)</f>
        <v>0</v>
      </c>
      <c r="Y44" s="2">
        <f>COUNTIFS('OB History'!$B:$B,$A$44,'OB History'!P:P, 1)</f>
        <v>1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0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0</v>
      </c>
      <c r="AH44" s="2">
        <f>COUNTIFS('OB History'!$B:$B,$A$44,'OB History'!Y:Y, 1)</f>
        <v>0</v>
      </c>
      <c r="AI44" s="2">
        <f>COUNTIFS('OB History'!$B:$B,$A$44,'OB History'!Z:Z, 1)</f>
        <v>0</v>
      </c>
    </row>
    <row r="45" spans="1:35" x14ac:dyDescent="0.25">
      <c r="A45" s="2" t="s">
        <v>40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342</v>
      </c>
      <c r="I45" s="4">
        <f>AVERAGEIFS('OB History'!C:C,'OB History'!B:B,A45)</f>
        <v>19</v>
      </c>
      <c r="J45" s="35">
        <f t="array" ref="J45">MAX(IF('OB History'!B:B=A45, 'OB History'!C:C))</f>
        <v>40</v>
      </c>
      <c r="K45" s="34">
        <f>COUNTIFS('OB History'!B:B,A45,'OB History'!D:D, 1)</f>
        <v>8</v>
      </c>
      <c r="L45" s="2">
        <f>COUNTIFS('OB History'!B:B,A45,'OB History'!D:D, 0)</f>
        <v>10</v>
      </c>
      <c r="M45" s="88">
        <f>LOOKUP(2, 1/('OB History'!$B:$B=A45), 'OB History'!$AD:$AD)</f>
        <v>0.44444444444444442</v>
      </c>
      <c r="N45" s="34">
        <f>SUMIFS('OB History'!F:F,'OB History'!B:B,A45)</f>
        <v>37</v>
      </c>
      <c r="O45" s="2">
        <f>SUMIFS('OB History'!E:E,'OB History'!B:B,A45)-N45</f>
        <v>38</v>
      </c>
      <c r="P45" s="88">
        <f>LOOKUP(2, 1/('OB History'!$B:$B=A45), 'OB History'!$AB:$AB)</f>
        <v>0.50277777777777777</v>
      </c>
      <c r="Q45" s="34">
        <f>SUMIFS('OB History'!H:H,'OB History'!B:B,'Old Bow v2'!A45)</f>
        <v>146</v>
      </c>
      <c r="R45" s="2">
        <f>SUMIFS('OB History'!G:G,'OB History'!B:B,'Old Bow v2'!A45)-Q45</f>
        <v>162</v>
      </c>
      <c r="S45" s="88">
        <f>LOOKUP(2, 1/('OB History'!$B:$B=A45), 'OB History'!$AC:$AC)</f>
        <v>0.47</v>
      </c>
      <c r="T45" s="2">
        <f>COUNTIFS('OB History'!$B:$B,$A$45,'OB History'!K:K, 1)</f>
        <v>4</v>
      </c>
      <c r="U45" s="2">
        <f>COUNTIFS('OB History'!$B:$B,$A$45,'OB History'!L:L, 1)</f>
        <v>2</v>
      </c>
      <c r="V45" s="2">
        <f>COUNTIFS('OB History'!$B:$B,$A$45,'OB History'!M:M, 1)</f>
        <v>4</v>
      </c>
      <c r="W45" s="2">
        <f>COUNTIFS('OB History'!$B:$B,$A$45,'OB History'!N:N, 1)</f>
        <v>3</v>
      </c>
      <c r="X45" s="2">
        <f>COUNTIFS('OB History'!$B:$B,$A$45,'OB History'!O:O, 1)</f>
        <v>2</v>
      </c>
      <c r="Y45" s="2">
        <f>COUNTIFS('OB History'!$B:$B,$A$45,'OB History'!P:P, 1)</f>
        <v>2</v>
      </c>
      <c r="Z45" s="2">
        <f>COUNTIFS('OB History'!$B:$B,$A$45,'OB History'!Q:Q, 1)</f>
        <v>2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1</v>
      </c>
      <c r="AG45" s="2">
        <f>COUNTIFS('OB History'!$B:$B,$A$45,'OB History'!X:X, 1)</f>
        <v>6</v>
      </c>
      <c r="AH45" s="2">
        <f>COUNTIFS('OB History'!$B:$B,$A$45,'OB History'!Y:Y, 1)</f>
        <v>5</v>
      </c>
      <c r="AI45" s="2">
        <f>COUNTIFS('OB History'!$B:$B,$A$45,'OB History'!Z:Z, 1)</f>
        <v>5</v>
      </c>
    </row>
    <row r="46" spans="1:35" x14ac:dyDescent="0.25">
      <c r="A46" s="2" t="s">
        <v>147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217</v>
      </c>
      <c r="I46" s="4">
        <f>AVERAGEIFS('OB History'!C:C,'OB History'!B:B,A46)</f>
        <v>18.083333333333332</v>
      </c>
      <c r="J46" s="35">
        <f t="array" ref="J46">MAX(IF('OB History'!B:B=A46, 'OB History'!C:C))</f>
        <v>35</v>
      </c>
      <c r="K46" s="34">
        <f>COUNTIFS('OB History'!B:B,A46,'OB History'!D:D, 1)</f>
        <v>4</v>
      </c>
      <c r="L46" s="2">
        <f>COUNTIFS('OB History'!B:B,A46,'OB History'!D:D, 0)</f>
        <v>8</v>
      </c>
      <c r="M46" s="88">
        <f>LOOKUP(2, 1/('OB History'!$B:$B=A46), 'OB History'!$AD:$AD)</f>
        <v>0.33333333333333331</v>
      </c>
      <c r="N46" s="34">
        <f>SUMIFS('OB History'!F:F,'OB History'!B:B,A46)</f>
        <v>20</v>
      </c>
      <c r="O46" s="2">
        <f>SUMIFS('OB History'!E:E,'OB History'!B:B,A46)-N46</f>
        <v>28</v>
      </c>
      <c r="P46" s="88">
        <f>LOOKUP(2, 1/('OB History'!$B:$B=A46), 'OB History'!$AB:$AB)</f>
        <v>0.39166666666666666</v>
      </c>
      <c r="Q46" s="34">
        <f>SUMIFS('OB History'!H:H,'OB History'!B:B,'Old Bow v2'!A46)</f>
        <v>92</v>
      </c>
      <c r="R46" s="2">
        <f>SUMIFS('OB History'!G:G,'OB History'!B:B,'Old Bow v2'!A46)-Q46</f>
        <v>106</v>
      </c>
      <c r="S46" s="88">
        <f>LOOKUP(2, 1/('OB History'!$B:$B=A46), 'OB History'!$AC:$AC)</f>
        <v>0.45083333333333342</v>
      </c>
      <c r="T46" s="2">
        <f>COUNTIFS('OB History'!$B:$B,$A$46,'OB History'!K:K, 1)</f>
        <v>4</v>
      </c>
      <c r="U46" s="2">
        <f>COUNTIFS('OB History'!$B:$B,$A$46,'OB History'!L:L, 1)</f>
        <v>1</v>
      </c>
      <c r="V46" s="2">
        <f>COUNTIFS('OB History'!$B:$B,$A$46,'OB History'!M:M, 1)</f>
        <v>2</v>
      </c>
      <c r="W46" s="2">
        <f>COUNTIFS('OB History'!$B:$B,$A$46,'OB History'!N:N, 1)</f>
        <v>2</v>
      </c>
      <c r="X46" s="2">
        <f>COUNTIFS('OB History'!$B:$B,$A$46,'OB History'!O:O, 1)</f>
        <v>1</v>
      </c>
      <c r="Y46" s="2">
        <f>COUNTIFS('OB History'!$B:$B,$A$46,'OB History'!P:P, 1)</f>
        <v>3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2</v>
      </c>
      <c r="AH46" s="2">
        <f>COUNTIFS('OB History'!$B:$B,$A$46,'OB History'!Y:Y, 1)</f>
        <v>2</v>
      </c>
      <c r="AI46" s="2">
        <f>COUNTIFS('OB History'!$B:$B,$A$46,'OB History'!Z:Z, 1)</f>
        <v>1</v>
      </c>
    </row>
    <row r="47" spans="1:35" ht="14.25" customHeight="1" x14ac:dyDescent="0.25">
      <c r="A47" s="2" t="s">
        <v>17</v>
      </c>
      <c r="B47" s="2" t="s">
        <v>79</v>
      </c>
      <c r="C47" s="2" t="s">
        <v>79</v>
      </c>
      <c r="D47" s="3">
        <v>13</v>
      </c>
      <c r="E47" s="3">
        <v>3</v>
      </c>
      <c r="F47" s="3"/>
      <c r="G47" s="3"/>
      <c r="H47" s="34">
        <f>SUMIFS('OB History'!C:C,'OB History'!B:B,A47)</f>
        <v>1464</v>
      </c>
      <c r="I47" s="4">
        <f>AVERAGEIFS('OB History'!C:C,'OB History'!B:B,A47)</f>
        <v>24.8135593220339</v>
      </c>
      <c r="J47" s="35">
        <f t="array" ref="J47">MAX(IF('OB History'!B:B=A47, 'OB History'!C:C))</f>
        <v>58</v>
      </c>
      <c r="K47" s="34">
        <f>COUNTIFS('OB History'!B:B,A47,'OB History'!D:D, 1)</f>
        <v>24</v>
      </c>
      <c r="L47" s="2">
        <f>COUNTIFS('OB History'!B:B,A47,'OB History'!D:D, 0)</f>
        <v>35</v>
      </c>
      <c r="M47" s="88">
        <f>LOOKUP(2, 1/('OB History'!$B:$B=A47), 'OB History'!$AD:$AD)</f>
        <v>0.40677966101694918</v>
      </c>
      <c r="N47" s="34">
        <f>SUMIFS('OB History'!F:F,'OB History'!B:B,A47)</f>
        <v>110</v>
      </c>
      <c r="O47" s="2">
        <f>SUMIFS('OB History'!E:E,'OB History'!B:B,A47)-N47</f>
        <v>128</v>
      </c>
      <c r="P47" s="88">
        <f>LOOKUP(2, 1/('OB History'!$B:$B=A47), 'OB History'!$AB:$AB)</f>
        <v>0.46186440677966112</v>
      </c>
      <c r="Q47" s="34">
        <f>SUMIFS('OB History'!H:H,'OB History'!B:B,'Old Bow v2'!A47)</f>
        <v>485</v>
      </c>
      <c r="R47" s="2">
        <f>SUMIFS('OB History'!G:G,'OB History'!B:B,'Old Bow v2'!A47)-Q47</f>
        <v>501</v>
      </c>
      <c r="S47" s="88">
        <f>LOOKUP(2, 1/('OB History'!$B:$B=A47), 'OB History'!$AC:$AC)</f>
        <v>0.49576271186440651</v>
      </c>
      <c r="T47" s="2">
        <f>COUNTIFS('OB History'!$B:$B,$A$47,'OB History'!K:K, 1)</f>
        <v>7</v>
      </c>
      <c r="U47" s="2">
        <f>COUNTIFS('OB History'!$B:$B,$A$47,'OB History'!L:L, 1)</f>
        <v>7</v>
      </c>
      <c r="V47" s="2">
        <f>COUNTIFS('OB History'!$B:$B,$A$47,'OB History'!M:M, 1)</f>
        <v>3</v>
      </c>
      <c r="W47" s="2">
        <f>COUNTIFS('OB History'!$B:$B,$A$47,'OB History'!N:N, 1)</f>
        <v>11</v>
      </c>
      <c r="X47" s="2">
        <f>COUNTIFS('OB History'!$B:$B,$A$47,'OB History'!O:O, 1)</f>
        <v>1</v>
      </c>
      <c r="Y47" s="2">
        <f>COUNTIFS('OB History'!$B:$B,$A$47,'OB History'!P:P, 1)</f>
        <v>10</v>
      </c>
      <c r="Z47" s="2">
        <f>COUNTIFS('OB History'!$B:$B,$A$47,'OB History'!Q:Q, 1)</f>
        <v>5</v>
      </c>
      <c r="AA47" s="2">
        <f>COUNTIFS('OB History'!$B:$B,$A$47,'OB History'!R:R, 1)</f>
        <v>6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1</v>
      </c>
      <c r="AE47" s="2">
        <f>COUNTIFS('OB History'!$B:$B,$A$47,'OB History'!V:V, 1)</f>
        <v>3</v>
      </c>
      <c r="AF47" s="2">
        <f>COUNTIFS('OB History'!$B:$B,$A$47,'OB History'!W:W, 1)</f>
        <v>7</v>
      </c>
      <c r="AG47" s="2">
        <f>COUNTIFS('OB History'!$B:$B,$A$47,'OB History'!X:X, 1)</f>
        <v>21</v>
      </c>
      <c r="AH47" s="2">
        <f>COUNTIFS('OB History'!$B:$B,$A$47,'OB History'!Y:Y, 1)</f>
        <v>8</v>
      </c>
      <c r="AI47" s="2">
        <f>COUNTIFS('OB History'!$B:$B,$A$47,'OB History'!Z:Z, 1)</f>
        <v>17</v>
      </c>
    </row>
    <row r="48" spans="1:35" x14ac:dyDescent="0.25">
      <c r="A48" s="2" t="s">
        <v>155</v>
      </c>
      <c r="B48" s="6" t="s">
        <v>60</v>
      </c>
      <c r="C48" s="2" t="s">
        <v>79</v>
      </c>
      <c r="D48" s="3">
        <v>8</v>
      </c>
      <c r="E48" s="3">
        <v>1</v>
      </c>
      <c r="F48" s="3"/>
      <c r="G48" s="3"/>
      <c r="H48" s="34">
        <f>SUMIFS('OB History'!C:C,'OB History'!B:B,A48)</f>
        <v>540</v>
      </c>
      <c r="I48" s="4">
        <f>AVERAGEIFS('OB History'!C:C,'OB History'!B:B,A48)</f>
        <v>17.419354838709676</v>
      </c>
      <c r="J48" s="35">
        <f t="array" ref="J48">MAX(IF('OB History'!B:B=A48, 'OB History'!C:C))</f>
        <v>43</v>
      </c>
      <c r="K48" s="34">
        <f>COUNTIFS('OB History'!B:B,A48,'OB History'!D:D, 1)</f>
        <v>10</v>
      </c>
      <c r="L48" s="2">
        <f>COUNTIFS('OB History'!B:B,A48,'OB History'!D:D, 0)</f>
        <v>21</v>
      </c>
      <c r="M48" s="88">
        <f>LOOKUP(2, 1/('OB History'!$B:$B=A48), 'OB History'!$AD:$AD)</f>
        <v>0.32258064516129031</v>
      </c>
      <c r="N48" s="34">
        <f>SUMIFS('OB History'!F:F,'OB History'!B:B,A48)</f>
        <v>52</v>
      </c>
      <c r="O48" s="2">
        <f>SUMIFS('OB History'!E:E,'OB History'!B:B,A48)-N48</f>
        <v>76</v>
      </c>
      <c r="P48" s="88">
        <f>LOOKUP(2, 1/('OB History'!$B:$B=A48), 'OB History'!$AB:$AB)</f>
        <v>0.38709677419354838</v>
      </c>
      <c r="Q48" s="34">
        <f>SUMIFS('OB History'!H:H,'OB History'!B:B,'Old Bow v2'!A48)</f>
        <v>250</v>
      </c>
      <c r="R48" s="2">
        <f>SUMIFS('OB History'!G:G,'OB History'!B:B,'Old Bow v2'!A48)-Q48</f>
        <v>274</v>
      </c>
      <c r="S48" s="88">
        <f>LOOKUP(2, 1/('OB History'!$B:$B=A48), 'OB History'!$AC:$AC)</f>
        <v>0.46580645161290329</v>
      </c>
      <c r="T48" s="2">
        <f>COUNTIFS('OB History'!$B:$B,$A$48,'OB History'!K:K, 1)</f>
        <v>4</v>
      </c>
      <c r="U48" s="2">
        <f>COUNTIFS('OB History'!$B:$B,$A$48,'OB History'!L:L, 1)</f>
        <v>4</v>
      </c>
      <c r="V48" s="2">
        <f>COUNTIFS('OB History'!$B:$B,$A$48,'OB History'!M:M, 1)</f>
        <v>2</v>
      </c>
      <c r="W48" s="2">
        <f>COUNTIFS('OB History'!$B:$B,$A$48,'OB History'!N:N, 1)</f>
        <v>9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1</v>
      </c>
      <c r="AA48" s="2">
        <f>COUNTIFS('OB History'!$B:$B,$A$48,'OB History'!R:R, 1)</f>
        <v>1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3</v>
      </c>
      <c r="AG48" s="2">
        <f>COUNTIFS('OB History'!$B:$B,$A$48,'OB History'!X:X, 1)</f>
        <v>5</v>
      </c>
      <c r="AH48" s="2">
        <f>COUNTIFS('OB History'!$B:$B,$A$48,'OB History'!Y:Y, 1)</f>
        <v>5</v>
      </c>
      <c r="AI48" s="2">
        <f>COUNTIFS('OB History'!$B:$B,$A$48,'OB History'!Z:Z, 1)</f>
        <v>3</v>
      </c>
    </row>
    <row r="49" spans="1:35" x14ac:dyDescent="0.25">
      <c r="A49" s="2" t="s">
        <v>6</v>
      </c>
      <c r="B49" s="2" t="s">
        <v>60</v>
      </c>
      <c r="C49" s="2" t="s">
        <v>79</v>
      </c>
      <c r="D49" s="3">
        <v>1</v>
      </c>
      <c r="E49" s="3">
        <v>1</v>
      </c>
      <c r="F49" s="3"/>
      <c r="G49" s="3"/>
      <c r="H49" s="34">
        <f>SUMIFS('OB History'!C:C,'OB History'!B:B,A49)</f>
        <v>777</v>
      </c>
      <c r="I49" s="4">
        <f>AVERAGEIFS('OB History'!C:C,'OB History'!B:B,A49)</f>
        <v>24.28125</v>
      </c>
      <c r="J49" s="35">
        <f t="array" ref="J49">MAX(IF('OB History'!B:B=A49, 'OB History'!C:C))</f>
        <v>66</v>
      </c>
      <c r="K49" s="34">
        <f>COUNTIFS('OB History'!B:B,A49,'OB History'!D:D, 1)</f>
        <v>23</v>
      </c>
      <c r="L49" s="2">
        <f>COUNTIFS('OB History'!B:B,A49,'OB History'!D:D, 0)</f>
        <v>9</v>
      </c>
      <c r="M49" s="88">
        <f>LOOKUP(2, 1/('OB History'!$B:$B=A49), 'OB History'!$AD:$AD)</f>
        <v>0.71875</v>
      </c>
      <c r="N49" s="34">
        <f>SUMIFS('OB History'!F:F,'OB History'!B:B,A49)</f>
        <v>80</v>
      </c>
      <c r="O49" s="2">
        <f>SUMIFS('OB History'!E:E,'OB History'!B:B,A49)-N49</f>
        <v>49</v>
      </c>
      <c r="P49" s="88">
        <f>LOOKUP(2, 1/('OB History'!$B:$B=A49), 'OB History'!$AB:$AB)</f>
        <v>0.64218750000000002</v>
      </c>
      <c r="Q49" s="34">
        <f>SUMIFS('OB History'!H:H,'OB History'!B:B,'Old Bow v2'!A49)</f>
        <v>303</v>
      </c>
      <c r="R49" s="2">
        <f>SUMIFS('OB History'!G:G,'OB History'!B:B,'Old Bow v2'!A49)-Q49</f>
        <v>241</v>
      </c>
      <c r="S49" s="88">
        <f>LOOKUP(2, 1/('OB History'!$B:$B=A49), 'OB History'!$AC:$AC)</f>
        <v>0.56718749999999996</v>
      </c>
      <c r="T49" s="2">
        <f>COUNTIFS('OB History'!$B:$B,$A$49,'OB History'!K:K, 1)</f>
        <v>3</v>
      </c>
      <c r="U49" s="2">
        <f>COUNTIFS('OB History'!$B:$B,$A$49,'OB History'!L:L, 1)</f>
        <v>8</v>
      </c>
      <c r="V49" s="2">
        <f>COUNTIFS('OB History'!$B:$B,$A$49,'OB History'!M:M, 1)</f>
        <v>8</v>
      </c>
      <c r="W49" s="2">
        <f>COUNTIFS('OB History'!$B:$B,$A$49,'OB History'!N:N, 1)</f>
        <v>6</v>
      </c>
      <c r="X49" s="2">
        <f>COUNTIFS('OB History'!$B:$B,$A$49,'OB History'!O:O, 1)</f>
        <v>3</v>
      </c>
      <c r="Y49" s="2">
        <f>COUNTIFS('OB History'!$B:$B,$A$49,'OB History'!P:P, 1)</f>
        <v>9</v>
      </c>
      <c r="Z49" s="2">
        <f>COUNTIFS('OB History'!$B:$B,$A$49,'OB History'!Q:Q, 1)</f>
        <v>4</v>
      </c>
      <c r="AA49" s="2">
        <f>COUNTIFS('OB History'!$B:$B,$A$49,'OB History'!R:R, 1)</f>
        <v>2</v>
      </c>
      <c r="AB49" s="2">
        <f>COUNTIFS('OB History'!$B:$B,$A$49,'OB History'!S:S, 1)</f>
        <v>1</v>
      </c>
      <c r="AC49" s="2">
        <f>COUNTIFS('OB History'!$B:$B,$A$49,'OB History'!T:T, 1)</f>
        <v>3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7</v>
      </c>
      <c r="AG49" s="2">
        <f>COUNTIFS('OB History'!$B:$B,$A$49,'OB History'!X:X, 1)</f>
        <v>9</v>
      </c>
      <c r="AH49" s="2">
        <f>COUNTIFS('OB History'!$B:$B,$A$49,'OB History'!Y:Y, 1)</f>
        <v>6</v>
      </c>
      <c r="AI49" s="2">
        <f>COUNTIFS('OB History'!$B:$B,$A$49,'OB History'!Z:Z, 1)</f>
        <v>10</v>
      </c>
    </row>
    <row r="50" spans="1:35" x14ac:dyDescent="0.25">
      <c r="A50" s="2" t="s">
        <v>18</v>
      </c>
      <c r="B50" s="6" t="s">
        <v>60</v>
      </c>
      <c r="C50" s="2" t="s">
        <v>79</v>
      </c>
      <c r="D50" s="3">
        <v>6</v>
      </c>
      <c r="E50" s="3">
        <v>3</v>
      </c>
      <c r="F50" s="3"/>
      <c r="G50" s="3">
        <v>1</v>
      </c>
      <c r="H50" s="34">
        <f>SUMIFS('OB History'!C:C,'OB History'!B:B,A50)</f>
        <v>904</v>
      </c>
      <c r="I50" s="4">
        <f>AVERAGEIFS('OB History'!C:C,'OB History'!B:B,A50)</f>
        <v>27.393939393939394</v>
      </c>
      <c r="J50" s="35">
        <f t="array" ref="J50">MAX(IF('OB History'!B:B=A50, 'OB History'!C:C))</f>
        <v>58</v>
      </c>
      <c r="K50" s="34">
        <f>COUNTIFS('OB History'!B:B,A50,'OB History'!D:D, 1)</f>
        <v>16</v>
      </c>
      <c r="L50" s="2">
        <f>COUNTIFS('OB History'!B:B,A50,'OB History'!D:D, 0)</f>
        <v>17</v>
      </c>
      <c r="M50" s="88">
        <f>LOOKUP(2, 1/('OB History'!$B:$B=A50), 'OB History'!$AD:$AD)</f>
        <v>0.48484848484848486</v>
      </c>
      <c r="N50" s="34">
        <f>SUMIFS('OB History'!F:F,'OB History'!B:B,A50)</f>
        <v>67</v>
      </c>
      <c r="O50" s="2">
        <f>SUMIFS('OB History'!E:E,'OB History'!B:B,A50)-N50</f>
        <v>69</v>
      </c>
      <c r="P50" s="88">
        <f>LOOKUP(2, 1/('OB History'!$B:$B=A50), 'OB History'!$AB:$AB)</f>
        <v>0.48636363636363639</v>
      </c>
      <c r="Q50" s="34">
        <f>SUMIFS('OB History'!H:H,'OB History'!B:B,'Old Bow v2'!A50)</f>
        <v>279</v>
      </c>
      <c r="R50" s="2">
        <f>SUMIFS('OB History'!G:G,'OB History'!B:B,'Old Bow v2'!A50)-Q50</f>
        <v>286</v>
      </c>
      <c r="S50" s="88">
        <f>LOOKUP(2, 1/('OB History'!$B:$B=A50), 'OB History'!$AC:$AC)</f>
        <v>0.49212121212121218</v>
      </c>
      <c r="T50" s="2">
        <f>COUNTIFS('OB History'!$B:$B,$A$50,'OB History'!K:K, 1)</f>
        <v>5</v>
      </c>
      <c r="U50" s="2">
        <f>COUNTIFS('OB History'!$B:$B,$A$50,'OB History'!L:L, 1)</f>
        <v>3</v>
      </c>
      <c r="V50" s="2">
        <f>COUNTIFS('OB History'!$B:$B,$A$50,'OB History'!M:M, 1)</f>
        <v>1</v>
      </c>
      <c r="W50" s="2">
        <f>COUNTIFS('OB History'!$B:$B,$A$50,'OB History'!N:N, 1)</f>
        <v>11</v>
      </c>
      <c r="X50" s="2">
        <f>COUNTIFS('OB History'!$B:$B,$A$50,'OB History'!O:O, 1)</f>
        <v>3</v>
      </c>
      <c r="Y50" s="2">
        <f>COUNTIFS('OB History'!$B:$B,$A$50,'OB History'!P:P, 1)</f>
        <v>8</v>
      </c>
      <c r="Z50" s="2">
        <f>COUNTIFS('OB History'!$B:$B,$A$50,'OB History'!Q:Q, 1)</f>
        <v>4</v>
      </c>
      <c r="AA50" s="2">
        <f>COUNTIFS('OB History'!$B:$B,$A$50,'OB History'!R:R, 1)</f>
        <v>3</v>
      </c>
      <c r="AB50" s="2">
        <f>COUNTIFS('OB History'!$B:$B,$A$50,'OB History'!S:S, 1)</f>
        <v>0</v>
      </c>
      <c r="AC50" s="2">
        <f>COUNTIFS('OB History'!$B:$B,$A$50,'OB History'!T:T, 1)</f>
        <v>1</v>
      </c>
      <c r="AD50" s="2">
        <f>COUNTIFS('OB History'!$B:$B,$A$50,'OB History'!U:U, 1)</f>
        <v>1</v>
      </c>
      <c r="AE50" s="2">
        <f>COUNTIFS('OB History'!$B:$B,$A$50,'OB History'!V:V, 1)</f>
        <v>0</v>
      </c>
      <c r="AF50" s="2">
        <f>COUNTIFS('OB History'!$B:$B,$A$50,'OB History'!W:W, 1)</f>
        <v>7</v>
      </c>
      <c r="AG50" s="2">
        <f>COUNTIFS('OB History'!$B:$B,$A$50,'OB History'!X:X, 1)</f>
        <v>8</v>
      </c>
      <c r="AH50" s="2">
        <f>COUNTIFS('OB History'!$B:$B,$A$50,'OB History'!Y:Y, 1)</f>
        <v>4</v>
      </c>
      <c r="AI50" s="2">
        <f>COUNTIFS('OB History'!$B:$B,$A$50,'OB History'!Z:Z, 1)</f>
        <v>8</v>
      </c>
    </row>
    <row r="51" spans="1:35" x14ac:dyDescent="0.25">
      <c r="A51" s="2" t="s">
        <v>113</v>
      </c>
      <c r="B51" s="2" t="s">
        <v>79</v>
      </c>
      <c r="C51" s="2" t="s">
        <v>79</v>
      </c>
      <c r="D51" s="3">
        <v>1</v>
      </c>
      <c r="E51" s="3"/>
      <c r="F51" s="3"/>
      <c r="G51" s="3"/>
      <c r="H51" s="34">
        <f>SUMIFS('OB History'!C:C,'OB History'!B:B,A51)</f>
        <v>305</v>
      </c>
      <c r="I51" s="4">
        <f>AVERAGEIFS('OB History'!C:C,'OB History'!B:B,A51)</f>
        <v>20.333333333333332</v>
      </c>
      <c r="J51" s="35">
        <f t="array" ref="J51">MAX(IF('OB History'!B:B=A51, 'OB History'!C:C))</f>
        <v>50</v>
      </c>
      <c r="K51" s="34">
        <f>COUNTIFS('OB History'!B:B,A51,'OB History'!D:D, 1)</f>
        <v>10</v>
      </c>
      <c r="L51" s="2">
        <f>COUNTIFS('OB History'!B:B,A51,'OB History'!D:D, 0)</f>
        <v>5</v>
      </c>
      <c r="M51" s="88">
        <f>LOOKUP(2, 1/('OB History'!$B:$B=A51), 'OB History'!$AD:$AD)</f>
        <v>0.66666666666666663</v>
      </c>
      <c r="N51" s="34">
        <f>SUMIFS('OB History'!F:F,'OB History'!B:B,A51)</f>
        <v>33</v>
      </c>
      <c r="O51" s="2">
        <f>SUMIFS('OB History'!E:E,'OB History'!B:B,A51)-N51</f>
        <v>24</v>
      </c>
      <c r="P51" s="88">
        <f>LOOKUP(2, 1/('OB History'!$B:$B=A51), 'OB History'!$AB:$AB)</f>
        <v>0.58000000000000007</v>
      </c>
      <c r="Q51" s="34">
        <f>SUMIFS('OB History'!H:H,'OB History'!B:B,'Old Bow v2'!A51)</f>
        <v>126</v>
      </c>
      <c r="R51" s="2">
        <f>SUMIFS('OB History'!G:G,'OB History'!B:B,'Old Bow v2'!A51)-Q51</f>
        <v>112</v>
      </c>
      <c r="S51" s="88">
        <f>LOOKUP(2, 1/('OB History'!$B:$B=A51), 'OB History'!$AC:$AC)</f>
        <v>0.5246666666666665</v>
      </c>
      <c r="T51" s="2">
        <f>COUNTIFS('OB History'!$B:$B,$A$51,'OB History'!K:K, 1)</f>
        <v>0</v>
      </c>
      <c r="U51" s="2">
        <f>COUNTIFS('OB History'!$B:$B,$A$51,'OB History'!L:L, 1)</f>
        <v>6</v>
      </c>
      <c r="V51" s="2">
        <f>COUNTIFS('OB History'!$B:$B,$A$51,'OB History'!M:M, 1)</f>
        <v>3</v>
      </c>
      <c r="W51" s="2">
        <f>COUNTIFS('OB History'!$B:$B,$A$51,'OB History'!N:N, 1)</f>
        <v>3</v>
      </c>
      <c r="X51" s="2">
        <f>COUNTIFS('OB History'!$B:$B,$A$51,'OB History'!O:O, 1)</f>
        <v>1</v>
      </c>
      <c r="Y51" s="2">
        <f>COUNTIFS('OB History'!$B:$B,$A$51,'OB History'!P:P, 1)</f>
        <v>2</v>
      </c>
      <c r="Z51" s="2">
        <f>COUNTIFS('OB History'!$B:$B,$A$51,'OB History'!Q:Q, 1)</f>
        <v>2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1</v>
      </c>
      <c r="AF51" s="2">
        <f>COUNTIFS('OB History'!$B:$B,$A$51,'OB History'!W:W, 1)</f>
        <v>2</v>
      </c>
      <c r="AG51" s="2">
        <f>COUNTIFS('OB History'!$B:$B,$A$51,'OB History'!X:X, 1)</f>
        <v>5</v>
      </c>
      <c r="AH51" s="2">
        <f>COUNTIFS('OB History'!$B:$B,$A$51,'OB History'!Y:Y, 1)</f>
        <v>3</v>
      </c>
      <c r="AI51" s="2">
        <f>COUNTIFS('OB History'!$B:$B,$A$51,'OB History'!Z:Z, 1)</f>
        <v>4</v>
      </c>
    </row>
    <row r="52" spans="1:35" x14ac:dyDescent="0.25">
      <c r="A52" s="2" t="s">
        <v>169</v>
      </c>
      <c r="B52" s="2" t="s">
        <v>79</v>
      </c>
      <c r="C52" s="2" t="s">
        <v>79</v>
      </c>
      <c r="D52" s="3"/>
      <c r="E52" s="3"/>
      <c r="F52" s="3"/>
      <c r="G52" s="3"/>
      <c r="H52" s="34">
        <f>SUMIFS('OB History'!C:C,'OB History'!B:B,A52)</f>
        <v>2</v>
      </c>
      <c r="I52" s="4">
        <f>AVERAGEIFS('OB History'!C:C,'OB History'!B:B,A52)</f>
        <v>2</v>
      </c>
      <c r="J52" s="35">
        <f t="array" ref="J52">MAX(IF('OB History'!B:B=A52, 'OB History'!C:C))</f>
        <v>2</v>
      </c>
      <c r="K52" s="34">
        <f>COUNTIFS('OB History'!B:B,A52,'OB History'!D:D, 1)</f>
        <v>0</v>
      </c>
      <c r="L52" s="2">
        <f>COUNTIFS('OB History'!B:B,A52,'OB History'!D:D, 0)</f>
        <v>1</v>
      </c>
      <c r="M52" s="88">
        <f>LOOKUP(2, 1/('OB History'!$B:$B=A52), 'OB History'!$AD:$AD)</f>
        <v>0</v>
      </c>
      <c r="N52" s="34">
        <f>SUMIFS('OB History'!F:F,'OB History'!B:B,A52)</f>
        <v>2</v>
      </c>
      <c r="O52" s="2">
        <f>SUMIFS('OB History'!E:E,'OB History'!B:B,A52)-N52</f>
        <v>3</v>
      </c>
      <c r="P52" s="88">
        <f>LOOKUP(2, 1/('OB History'!$B:$B=A52), 'OB History'!$AB:$AB)</f>
        <v>0.4</v>
      </c>
      <c r="Q52" s="34">
        <f>SUMIFS('OB History'!H:H,'OB History'!B:B,'Old Bow v2'!A52)</f>
        <v>6</v>
      </c>
      <c r="R52" s="2">
        <f>SUMIFS('OB History'!G:G,'OB History'!B:B,'Old Bow v2'!A52)-Q52</f>
        <v>14</v>
      </c>
      <c r="S52" s="88">
        <f>LOOKUP(2, 1/('OB History'!$B:$B=A52), 'OB History'!$AC:$AC)</f>
        <v>0.3</v>
      </c>
      <c r="T52" s="2">
        <f>COUNTIFS('OB History'!$B:$B,$A$52,'OB History'!K:K, 1)</f>
        <v>0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0</v>
      </c>
      <c r="X52" s="2">
        <f>COUNTIFS('OB History'!$B:$B,$A$52,'OB History'!O:O, 1)</f>
        <v>0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0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0</v>
      </c>
      <c r="AF52" s="2">
        <f>COUNTIFS('OB History'!$B:$B,$A$52,'OB History'!W:W, 1)</f>
        <v>1</v>
      </c>
      <c r="AG52" s="2">
        <f>COUNTIFS('OB History'!$B:$B,$A$52,'OB History'!X:X, 1)</f>
        <v>0</v>
      </c>
      <c r="AH52" s="2">
        <f>COUNTIFS('OB History'!$B:$B,$A$52,'OB History'!Y:Y, 1)</f>
        <v>1</v>
      </c>
      <c r="AI52" s="2">
        <f>COUNTIFS('OB History'!$B:$B,$A$52,'OB History'!Z:Z, 1)</f>
        <v>0</v>
      </c>
    </row>
    <row r="53" spans="1:35" x14ac:dyDescent="0.25">
      <c r="A53" s="2" t="s">
        <v>14</v>
      </c>
      <c r="B53" s="6" t="s">
        <v>124</v>
      </c>
      <c r="C53" s="1" t="s">
        <v>160</v>
      </c>
      <c r="D53" s="3">
        <v>4</v>
      </c>
      <c r="E53" s="3">
        <v>1</v>
      </c>
      <c r="F53" s="3"/>
      <c r="G53" s="3"/>
      <c r="H53" s="34">
        <f>SUMIFS('OB History'!C:C,'OB History'!B:B,A53)</f>
        <v>1157</v>
      </c>
      <c r="I53" s="4">
        <f>AVERAGEIFS('OB History'!C:C,'OB History'!B:B,A53)</f>
        <v>24.104166666666668</v>
      </c>
      <c r="J53" s="35">
        <f t="array" ref="J53">MAX(IF('OB History'!B:B=A53, 'OB History'!C:C))</f>
        <v>56</v>
      </c>
      <c r="K53" s="34">
        <f>COUNTIFS('OB History'!B:B,A53,'OB History'!D:D, 1)</f>
        <v>22</v>
      </c>
      <c r="L53" s="2">
        <f>COUNTIFS('OB History'!B:B,A53,'OB History'!D:D, 0)</f>
        <v>26</v>
      </c>
      <c r="M53" s="88">
        <f>LOOKUP(2, 1/('OB History'!$B:$B=A53), 'OB History'!$AD:$AD)</f>
        <v>0.45833333333333331</v>
      </c>
      <c r="N53" s="34">
        <f>SUMIFS('OB History'!F:F,'OB History'!B:B,A53)</f>
        <v>92</v>
      </c>
      <c r="O53" s="2">
        <f>SUMIFS('OB History'!E:E,'OB History'!B:B,A53)-N53</f>
        <v>103</v>
      </c>
      <c r="P53" s="88">
        <f>LOOKUP(2, 1/('OB History'!$B:$B=A53), 'OB History'!$AB:$AB)</f>
        <v>0.47187499999999999</v>
      </c>
      <c r="Q53" s="34">
        <f>SUMIFS('OB History'!H:H,'OB History'!B:B,'Old Bow v2'!A53)</f>
        <v>387</v>
      </c>
      <c r="R53" s="2">
        <f>SUMIFS('OB History'!G:G,'OB History'!B:B,'Old Bow v2'!A53)-Q53</f>
        <v>422</v>
      </c>
      <c r="S53" s="88">
        <f>LOOKUP(2, 1/('OB History'!$B:$B=A53), 'OB History'!$AC:$AC)</f>
        <v>0.48312500000000003</v>
      </c>
      <c r="T53" s="2">
        <f>COUNTIFS('OB History'!$B:$B,$A$53,'OB History'!K:K, 1)</f>
        <v>6</v>
      </c>
      <c r="U53" s="2">
        <f>COUNTIFS('OB History'!$B:$B,$A$53,'OB History'!L:L, 1)</f>
        <v>10</v>
      </c>
      <c r="V53" s="2">
        <f>COUNTIFS('OB History'!$B:$B,$A$53,'OB History'!M:M, 1)</f>
        <v>4</v>
      </c>
      <c r="W53" s="2">
        <f>COUNTIFS('OB History'!$B:$B,$A$53,'OB History'!N:N, 1)</f>
        <v>8</v>
      </c>
      <c r="X53" s="2">
        <f>COUNTIFS('OB History'!$B:$B,$A$53,'OB History'!O:O, 1)</f>
        <v>3</v>
      </c>
      <c r="Y53" s="2">
        <f>COUNTIFS('OB History'!$B:$B,$A$53,'OB History'!P:P, 1)</f>
        <v>6</v>
      </c>
      <c r="Z53" s="2">
        <f>COUNTIFS('OB History'!$B:$B,$A$53,'OB History'!Q:Q, 1)</f>
        <v>2</v>
      </c>
      <c r="AA53" s="2">
        <f>COUNTIFS('OB History'!$B:$B,$A$53,'OB History'!R:R, 1)</f>
        <v>1</v>
      </c>
      <c r="AB53" s="2">
        <f>COUNTIFS('OB History'!$B:$B,$A$53,'OB History'!S:S, 1)</f>
        <v>1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3</v>
      </c>
      <c r="AF53" s="2">
        <f>COUNTIFS('OB History'!$B:$B,$A$53,'OB History'!W:W, 1)</f>
        <v>9</v>
      </c>
      <c r="AG53" s="2">
        <f>COUNTIFS('OB History'!$B:$B,$A$53,'OB History'!X:X, 1)</f>
        <v>23</v>
      </c>
      <c r="AH53" s="2">
        <f>COUNTIFS('OB History'!$B:$B,$A$53,'OB History'!Y:Y, 1)</f>
        <v>5</v>
      </c>
      <c r="AI53" s="2">
        <f>COUNTIFS('OB History'!$B:$B,$A$53,'OB History'!Z:Z, 1)</f>
        <v>11</v>
      </c>
    </row>
    <row r="54" spans="1:35" x14ac:dyDescent="0.25">
      <c r="A54" s="2" t="s">
        <v>70</v>
      </c>
      <c r="B54" s="6" t="s">
        <v>79</v>
      </c>
      <c r="C54" s="6" t="s">
        <v>79</v>
      </c>
      <c r="D54" s="3"/>
      <c r="E54" s="3"/>
      <c r="F54" s="3"/>
      <c r="G54" s="3"/>
      <c r="H54" s="34">
        <f>SUMIFS('OB History'!C:C,'OB History'!B:B,A54)</f>
        <v>99</v>
      </c>
      <c r="I54" s="4">
        <f>AVERAGEIFS('OB History'!C:C,'OB History'!B:B,A54)</f>
        <v>19.8</v>
      </c>
      <c r="J54" s="35">
        <f t="array" ref="J54">MAX(IF('OB History'!B:B=A54, 'OB History'!C:C))</f>
        <v>27</v>
      </c>
      <c r="K54" s="34">
        <f>COUNTIFS('OB History'!B:B,A54,'OB History'!D:D, 1)</f>
        <v>3</v>
      </c>
      <c r="L54" s="2">
        <f>COUNTIFS('OB History'!B:B,A54,'OB History'!D:D, 0)</f>
        <v>2</v>
      </c>
      <c r="M54" s="88">
        <f>LOOKUP(2, 1/('OB History'!$B:$B=A54), 'OB History'!$AD:$AD)</f>
        <v>0.6</v>
      </c>
      <c r="N54" s="34">
        <f>SUMIFS('OB History'!F:F,'OB History'!B:B,A54)</f>
        <v>13</v>
      </c>
      <c r="O54" s="2">
        <f>SUMIFS('OB History'!E:E,'OB History'!B:B,A54)-N54</f>
        <v>10</v>
      </c>
      <c r="P54" s="88">
        <f>LOOKUP(2, 1/('OB History'!$B:$B=A54), 'OB History'!$AB:$AB)</f>
        <v>0.6</v>
      </c>
      <c r="Q54" s="34">
        <f>SUMIFS('OB History'!H:H,'OB History'!B:B,'Old Bow v2'!A54)</f>
        <v>51</v>
      </c>
      <c r="R54" s="2">
        <f>SUMIFS('OB History'!G:G,'OB History'!B:B,'Old Bow v2'!A54)-Q54</f>
        <v>46</v>
      </c>
      <c r="S54" s="88">
        <f>LOOKUP(2, 1/('OB History'!$B:$B=A54), 'OB History'!$AC:$AC)</f>
        <v>0.53600000000000003</v>
      </c>
      <c r="T54" s="2">
        <f>COUNTIFS('OB History'!$B:$B,$A$54,'OB History'!K:K, 1)</f>
        <v>1</v>
      </c>
      <c r="U54" s="2">
        <f>COUNTIFS('OB History'!$B:$B,$A$54,'OB History'!L:L, 1)</f>
        <v>0</v>
      </c>
      <c r="V54" s="2">
        <f>COUNTIFS('OB History'!$B:$B,$A$54,'OB History'!M:M, 1)</f>
        <v>0</v>
      </c>
      <c r="W54" s="2">
        <f>COUNTIFS('OB History'!$B:$B,$A$54,'OB History'!N:N, 1)</f>
        <v>2</v>
      </c>
      <c r="X54" s="2">
        <f>COUNTIFS('OB History'!$B:$B,$A$54,'OB History'!O:O, 1)</f>
        <v>1</v>
      </c>
      <c r="Y54" s="2">
        <f>COUNTIFS('OB History'!$B:$B,$A$54,'OB History'!P:P, 1)</f>
        <v>0</v>
      </c>
      <c r="Z54" s="2">
        <f>COUNTIFS('OB History'!$B:$B,$A$54,'OB History'!Q:Q, 1)</f>
        <v>0</v>
      </c>
      <c r="AA54" s="2">
        <f>COUNTIFS('OB History'!$B:$B,$A$54,'OB History'!R:R, 1)</f>
        <v>2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1</v>
      </c>
      <c r="AF54" s="2">
        <f>COUNTIFS('OB History'!$B:$B,$A$54,'OB History'!W:W, 1)</f>
        <v>0</v>
      </c>
      <c r="AG54" s="2">
        <f>COUNTIFS('OB History'!$B:$B,$A$54,'OB History'!X:X, 1)</f>
        <v>4</v>
      </c>
      <c r="AH54" s="2">
        <f>COUNTIFS('OB History'!$B:$B,$A$54,'OB History'!Y:Y, 1)</f>
        <v>0</v>
      </c>
      <c r="AI54" s="2">
        <f>COUNTIFS('OB History'!$B:$B,$A$54,'OB History'!Z:Z, 1)</f>
        <v>2</v>
      </c>
    </row>
    <row r="55" spans="1:35" x14ac:dyDescent="0.25">
      <c r="A55" s="2" t="s">
        <v>4</v>
      </c>
      <c r="B55" s="6" t="s">
        <v>60</v>
      </c>
      <c r="C55" s="2" t="s">
        <v>79</v>
      </c>
      <c r="D55" s="3">
        <v>2</v>
      </c>
      <c r="E55" s="3"/>
      <c r="F55" s="3"/>
      <c r="G55" s="3"/>
      <c r="H55" s="34">
        <f>SUMIFS('OB History'!C:C,'OB History'!B:B,A55)</f>
        <v>317</v>
      </c>
      <c r="I55" s="4">
        <f>AVERAGEIFS('OB History'!C:C,'OB History'!B:B,A55)</f>
        <v>21.133333333333333</v>
      </c>
      <c r="J55" s="35">
        <f t="array" ref="J55">MAX(IF('OB History'!B:B=A55, 'OB History'!C:C))</f>
        <v>46</v>
      </c>
      <c r="K55" s="34">
        <f>COUNTIFS('OB History'!B:B,A55,'OB History'!D:D, 1)</f>
        <v>9</v>
      </c>
      <c r="L55" s="2">
        <f>COUNTIFS('OB History'!B:B,A55,'OB History'!D:D, 0)</f>
        <v>6</v>
      </c>
      <c r="M55" s="88">
        <f>LOOKUP(2, 1/('OB History'!$B:$B=A55), 'OB History'!$AD:$AD)</f>
        <v>0.6</v>
      </c>
      <c r="N55" s="34">
        <f>SUMIFS('OB History'!F:F,'OB History'!B:B,A55)</f>
        <v>30</v>
      </c>
      <c r="O55" s="2">
        <f>SUMIFS('OB History'!E:E,'OB History'!B:B,A55)-N55</f>
        <v>29</v>
      </c>
      <c r="P55" s="88">
        <f>LOOKUP(2, 1/('OB History'!$B:$B=A55), 'OB History'!$AB:$AB)</f>
        <v>0.5033333333333333</v>
      </c>
      <c r="Q55" s="34">
        <f>SUMIFS('OB History'!H:H,'OB History'!B:B,'Old Bow v2'!A55)</f>
        <v>121</v>
      </c>
      <c r="R55" s="2">
        <f>SUMIFS('OB History'!G:G,'OB History'!B:B,'Old Bow v2'!A55)-Q55</f>
        <v>120</v>
      </c>
      <c r="S55" s="88">
        <f>LOOKUP(2, 1/('OB History'!$B:$B=A55), 'OB History'!$AC:$AC)</f>
        <v>0.49266666666666664</v>
      </c>
      <c r="T55" s="2">
        <f>COUNTIFS('OB History'!$B:$B,$A$55,'OB History'!K:K, 1)</f>
        <v>2</v>
      </c>
      <c r="U55" s="2">
        <f>COUNTIFS('OB History'!$B:$B,$A$55,'OB History'!L:L, 1)</f>
        <v>6</v>
      </c>
      <c r="V55" s="2">
        <f>COUNTIFS('OB History'!$B:$B,$A$55,'OB History'!M:M, 1)</f>
        <v>3</v>
      </c>
      <c r="W55" s="2">
        <f>COUNTIFS('OB History'!$B:$B,$A$55,'OB History'!N:N, 1)</f>
        <v>1</v>
      </c>
      <c r="X55" s="2">
        <f>COUNTIFS('OB History'!$B:$B,$A$55,'OB History'!O:O, 1)</f>
        <v>3</v>
      </c>
      <c r="Y55" s="2">
        <f>COUNTIFS('OB History'!$B:$B,$A$55,'OB History'!P:P, 1)</f>
        <v>3</v>
      </c>
      <c r="Z55" s="2">
        <f>COUNTIFS('OB History'!$B:$B,$A$55,'OB History'!Q:Q, 1)</f>
        <v>1</v>
      </c>
      <c r="AA55" s="2">
        <f>COUNTIFS('OB History'!$B:$B,$A$55,'OB History'!R:R, 1)</f>
        <v>0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0</v>
      </c>
      <c r="AE55" s="2">
        <f>COUNTIFS('OB History'!$B:$B,$A$55,'OB History'!V:V, 1)</f>
        <v>0</v>
      </c>
      <c r="AF55" s="2">
        <f>COUNTIFS('OB History'!$B:$B,$A$55,'OB History'!W:W, 1)</f>
        <v>2</v>
      </c>
      <c r="AG55" s="2">
        <f>COUNTIFS('OB History'!$B:$B,$A$55,'OB History'!X:X, 1)</f>
        <v>4</v>
      </c>
      <c r="AH55" s="2">
        <f>COUNTIFS('OB History'!$B:$B,$A$55,'OB History'!Y:Y, 1)</f>
        <v>3</v>
      </c>
      <c r="AI55" s="2">
        <f>COUNTIFS('OB History'!$B:$B,$A$55,'OB History'!Z:Z, 1)</f>
        <v>2</v>
      </c>
    </row>
    <row r="56" spans="1:35" x14ac:dyDescent="0.25">
      <c r="A56" s="2" t="s">
        <v>55</v>
      </c>
      <c r="B56" s="2" t="s">
        <v>79</v>
      </c>
      <c r="C56" s="2" t="s">
        <v>79</v>
      </c>
      <c r="D56" s="3"/>
      <c r="E56" s="3"/>
      <c r="F56" s="3"/>
      <c r="G56" s="3"/>
      <c r="H56" s="34">
        <f>SUMIFS('OB History'!C:C,'OB History'!B:B,A56)</f>
        <v>156</v>
      </c>
      <c r="I56" s="4">
        <f>AVERAGEIFS('OB History'!C:C,'OB History'!B:B,A56)</f>
        <v>10.4</v>
      </c>
      <c r="J56" s="35">
        <f t="array" ref="J56">MAX(IF('OB History'!B:B=A56, 'OB History'!C:C))</f>
        <v>20</v>
      </c>
      <c r="K56" s="34">
        <f>COUNTIFS('OB History'!B:B,A56,'OB History'!D:D, 1)</f>
        <v>9</v>
      </c>
      <c r="L56" s="2">
        <f>COUNTIFS('OB History'!B:B,A56,'OB History'!D:D, 0)</f>
        <v>6</v>
      </c>
      <c r="M56" s="88">
        <f>LOOKUP(2, 1/('OB History'!$B:$B=A56), 'OB History'!$AD:$AD)</f>
        <v>0.6</v>
      </c>
      <c r="N56" s="34">
        <f>SUMIFS('OB History'!F:F,'OB History'!B:B,A56)</f>
        <v>35</v>
      </c>
      <c r="O56" s="2">
        <f>SUMIFS('OB History'!E:E,'OB History'!B:B,A56)-N56</f>
        <v>27</v>
      </c>
      <c r="P56" s="88">
        <f>LOOKUP(2, 1/('OB History'!$B:$B=A56), 'OB History'!$AB:$AB)</f>
        <v>0.58333333333333337</v>
      </c>
      <c r="Q56" s="34">
        <f>SUMIFS('OB History'!H:H,'OB History'!B:B,'Old Bow v2'!A56)</f>
        <v>137</v>
      </c>
      <c r="R56" s="2">
        <f>SUMIFS('OB History'!G:G,'OB History'!B:B,'Old Bow v2'!A56)-Q56</f>
        <v>116</v>
      </c>
      <c r="S56" s="88">
        <f>LOOKUP(2, 1/('OB History'!$B:$B=A56), 'OB History'!$AC:$AC)</f>
        <v>0.54600000000000004</v>
      </c>
      <c r="T56" s="2">
        <f>COUNTIFS('OB History'!$B:$B,$A$56,'OB History'!K:K, 1)</f>
        <v>3</v>
      </c>
      <c r="U56" s="2">
        <f>COUNTIFS('OB History'!$B:$B,$A$56,'OB History'!L:L, 1)</f>
        <v>1</v>
      </c>
      <c r="V56" s="2">
        <f>COUNTIFS('OB History'!$B:$B,$A$56,'OB History'!M:M, 1)</f>
        <v>1</v>
      </c>
      <c r="W56" s="2">
        <f>COUNTIFS('OB History'!$B:$B,$A$56,'OB History'!N:N, 1)</f>
        <v>6</v>
      </c>
      <c r="X56" s="2">
        <f>COUNTIFS('OB History'!$B:$B,$A$56,'OB History'!O:O, 1)</f>
        <v>1</v>
      </c>
      <c r="Y56" s="2">
        <f>COUNTIFS('OB History'!$B:$B,$A$56,'OB History'!P:P, 1)</f>
        <v>1</v>
      </c>
      <c r="Z56" s="2">
        <f>COUNTIFS('OB History'!$B:$B,$A$56,'OB History'!Q:Q, 1)</f>
        <v>2</v>
      </c>
      <c r="AA56" s="2">
        <f>COUNTIFS('OB History'!$B:$B,$A$56,'OB History'!R:R, 1)</f>
        <v>1</v>
      </c>
      <c r="AB56" s="2">
        <f>COUNTIFS('OB History'!$B:$B,$A$56,'OB History'!S:S, 1)</f>
        <v>0</v>
      </c>
      <c r="AC56" s="2">
        <f>COUNTIFS('OB History'!$B:$B,$A$56,'OB History'!T:T, 1)</f>
        <v>0</v>
      </c>
      <c r="AD56" s="2">
        <f>COUNTIFS('OB History'!$B:$B,$A$56,'OB History'!U:U, 1)</f>
        <v>1</v>
      </c>
      <c r="AE56" s="2">
        <f>COUNTIFS('OB History'!$B:$B,$A$56,'OB History'!V:V, 1)</f>
        <v>0</v>
      </c>
      <c r="AF56" s="2">
        <f>COUNTIFS('OB History'!$B:$B,$A$56,'OB History'!W:W, 1)</f>
        <v>3</v>
      </c>
      <c r="AG56" s="2">
        <f>COUNTIFS('OB History'!$B:$B,$A$56,'OB History'!X:X, 1)</f>
        <v>8</v>
      </c>
      <c r="AH56" s="2">
        <f>COUNTIFS('OB History'!$B:$B,$A$56,'OB History'!Y:Y, 1)</f>
        <v>3</v>
      </c>
      <c r="AI56" s="2">
        <f>COUNTIFS('OB History'!$B:$B,$A$56,'OB History'!Z:Z, 1)</f>
        <v>4</v>
      </c>
    </row>
  </sheetData>
  <autoFilter ref="A1:AI5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042"/>
  <sheetViews>
    <sheetView workbookViewId="0">
      <pane ySplit="1" topLeftCell="A1015" activePane="bottomLeft" state="frozen"/>
      <selection pane="bottomLeft" activeCell="Z1031" sqref="A1031:Z104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214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215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216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217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218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219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221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222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0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T28" sqref="T28:AI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131</v>
      </c>
      <c r="I3" s="4">
        <f>AVERAGEIFS('OB History S2'!C:C,'OB History S2'!B:B,A3)</f>
        <v>13.1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4</v>
      </c>
      <c r="M3" s="88">
        <f>LOOKUP(2, 1/('OB History S2'!$B:$B=A3), 'OB History S2'!$AD:$AD)</f>
        <v>0.6</v>
      </c>
      <c r="N3" s="34">
        <f>SUMIFS('OB History S2'!F:F,'OB History S2'!B:B,A3)</f>
        <v>21</v>
      </c>
      <c r="O3" s="2">
        <f>SUMIFS('OB History S2'!E:E,'OB History S2'!B:B,A3)-N3</f>
        <v>18</v>
      </c>
      <c r="P3" s="88">
        <f>LOOKUP(2, 1/('OB History S2'!$B:$B=A3), 'OB History S2'!$AB:$AB)</f>
        <v>0.53499999999999992</v>
      </c>
      <c r="Q3" s="34">
        <f>SUMIFS('OB History S2'!H:H,'OB History S2'!B:B,A3)</f>
        <v>84</v>
      </c>
      <c r="R3" s="2">
        <f>SUMIFS('OB History S2'!G:G,'OB History S2'!B:B,A3)-Q3</f>
        <v>77</v>
      </c>
      <c r="S3" s="88">
        <f>LOOKUP(2, 1/('OB History S2'!$B:$B=A3), 'OB History S2'!$AC:$AC)</f>
        <v>0.53200000000000003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170</v>
      </c>
      <c r="I4" s="4">
        <f>AVERAGEIFS('OB History S2'!C:C,'OB History S2'!B:B,A4)</f>
        <v>8.5</v>
      </c>
      <c r="J4" s="35">
        <f t="array" ref="J4">MAX(IF('OB History S2'!B:B=A4, 'OB History S2'!C:C))</f>
        <v>18</v>
      </c>
      <c r="K4" s="34">
        <f>COUNTIFS('OB History S2'!B:B,A4,'OB History S2'!D:D, 1)</f>
        <v>7</v>
      </c>
      <c r="L4" s="2">
        <f>COUNTIFS('OB History S2'!B:B,A4,'OB History S2'!D:D, 0)</f>
        <v>13</v>
      </c>
      <c r="M4" s="88">
        <f>LOOKUP(2, 1/('OB History S2'!$B:$B=A4), 'OB History S2'!$AD:$AD)</f>
        <v>0.35</v>
      </c>
      <c r="N4" s="34">
        <f>SUMIFS('OB History S2'!F:F,'OB History S2'!B:B,A4)</f>
        <v>29</v>
      </c>
      <c r="O4" s="2">
        <f>SUMIFS('OB History S2'!E:E,'OB History S2'!B:B,A4)-N4</f>
        <v>45</v>
      </c>
      <c r="P4" s="88">
        <f>LOOKUP(2, 1/('OB History S2'!$B:$B=A4), 'OB History S2'!$AB:$AB)</f>
        <v>0.39500000000000002</v>
      </c>
      <c r="Q4" s="34">
        <f>SUMIFS('OB History S2'!H:H,'OB History S2'!B:B,A4)</f>
        <v>143</v>
      </c>
      <c r="R4" s="2">
        <f>SUMIFS('OB History S2'!G:G,'OB History S2'!B:B,A4)-Q4</f>
        <v>169</v>
      </c>
      <c r="S4" s="88">
        <f>LOOKUP(2, 1/('OB History S2'!$B:$B=A4), 'OB History S2'!$AC:$AC)</f>
        <v>0.45649999999999996</v>
      </c>
      <c r="T4" s="2">
        <f>COUNTIFS('OB History S2'!$B:$B,$A$4,'OB History S2'!K:K, 1)</f>
        <v>2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2</v>
      </c>
      <c r="AA4" s="2">
        <f>COUNTIFS('OB History S2'!$B:$B,$A$4,'OB History S2'!R:R, 1)</f>
        <v>1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4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300</v>
      </c>
      <c r="I5" s="4">
        <f>AVERAGEIFS('OB History S2'!C:C,'OB History S2'!B:B,A5)</f>
        <v>20</v>
      </c>
      <c r="J5" s="35">
        <f t="array" ref="J5">MAX(IF('OB History S2'!B:B=A5, 'OB History S2'!C:C))</f>
        <v>36</v>
      </c>
      <c r="K5" s="34">
        <f>COUNTIFS('OB History S2'!B:B,A5,'OB History S2'!D:D, 1)</f>
        <v>7</v>
      </c>
      <c r="L5" s="2">
        <f>COUNTIFS('OB History S2'!B:B,A5,'OB History S2'!D:D, 0)</f>
        <v>8</v>
      </c>
      <c r="M5" s="88">
        <f>LOOKUP(2, 1/('OB History S2'!$B:$B=A5), 'OB History S2'!$AD:$AD)</f>
        <v>0.46666666666666667</v>
      </c>
      <c r="N5" s="34">
        <f>SUMIFS('OB History S2'!F:F,'OB History S2'!B:B,A5)</f>
        <v>25</v>
      </c>
      <c r="O5" s="2">
        <f>SUMIFS('OB History S2'!E:E,'OB History S2'!B:B,A5)-N5</f>
        <v>33</v>
      </c>
      <c r="P5" s="88">
        <f>LOOKUP(2, 1/('OB History S2'!$B:$B=A5), 'OB History S2'!$AB:$AB)</f>
        <v>0.40333333333333332</v>
      </c>
      <c r="Q5" s="34">
        <f>SUMIFS('OB History S2'!H:H,'OB History S2'!B:B,A5)</f>
        <v>110</v>
      </c>
      <c r="R5" s="2">
        <f>SUMIFS('OB History S2'!G:G,'OB History S2'!B:B,A5)-Q5</f>
        <v>133</v>
      </c>
      <c r="S5" s="88">
        <f>LOOKUP(2, 1/('OB History S2'!$B:$B=A5), 'OB History S2'!$AC:$AC)</f>
        <v>0.44399999999999989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5</v>
      </c>
      <c r="AI5" s="2">
        <f>COUNTIFS('OB History S2'!$B:$B,$A$5,'OB History S2'!Z:Z, 1)</f>
        <v>5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280</v>
      </c>
      <c r="I7" s="4">
        <f>AVERAGEIFS('OB History S2'!C:C,'OB History S2'!B:B,A7)</f>
        <v>12.727272727272727</v>
      </c>
      <c r="J7" s="35">
        <f t="array" ref="J7">MAX(IF('OB History S2'!B:B=A7, 'OB History S2'!C:C))</f>
        <v>32</v>
      </c>
      <c r="K7" s="34">
        <f>COUNTIFS('OB History S2'!B:B,A7,'OB History S2'!D:D, 1)</f>
        <v>12</v>
      </c>
      <c r="L7" s="2">
        <f>COUNTIFS('OB History S2'!B:B,A7,'OB History S2'!D:D, 0)</f>
        <v>10</v>
      </c>
      <c r="M7" s="88">
        <f>LOOKUP(2, 1/('OB History S2'!$B:$B=A7), 'OB History S2'!$AD:$AD)</f>
        <v>0.54545454545454541</v>
      </c>
      <c r="N7" s="34">
        <f>SUMIFS('OB History S2'!F:F,'OB History S2'!B:B,A7)</f>
        <v>44</v>
      </c>
      <c r="O7" s="2">
        <f>SUMIFS('OB History S2'!E:E,'OB History S2'!B:B,A7)-N7</f>
        <v>42</v>
      </c>
      <c r="P7" s="88">
        <f>LOOKUP(2, 1/('OB History S2'!$B:$B=A7), 'OB History S2'!$AB:$AB)</f>
        <v>0.5022727272727272</v>
      </c>
      <c r="Q7" s="34">
        <f>SUMIFS('OB History S2'!H:H,'OB History S2'!B:B,A7)</f>
        <v>172</v>
      </c>
      <c r="R7" s="2">
        <f>SUMIFS('OB History S2'!G:G,'OB History S2'!B:B,A7)-Q7</f>
        <v>176</v>
      </c>
      <c r="S7" s="88">
        <f>LOOKUP(2, 1/('OB History S2'!$B:$B=A7), 'OB History S2'!$AC:$AC)</f>
        <v>0.48590909090909096</v>
      </c>
      <c r="T7" s="2">
        <f>COUNTIFS('OB History S2'!$B:$B,$A$7,'OB History S2'!K:K, 1)</f>
        <v>4</v>
      </c>
      <c r="U7" s="2">
        <f>COUNTIFS('OB History S2'!$B:$B,$A$7,'OB History S2'!L:L, 1)</f>
        <v>5</v>
      </c>
      <c r="V7" s="2">
        <f>COUNTIFS('OB History S2'!$B:$B,$A$7,'OB History S2'!M:M, 1)</f>
        <v>0</v>
      </c>
      <c r="W7" s="2">
        <f>COUNTIFS('OB History S2'!$B:$B,$A$7,'OB History S2'!N:N, 1)</f>
        <v>6</v>
      </c>
      <c r="X7" s="2">
        <f>COUNTIFS('OB History S2'!$B:$B,$A$7,'OB History S2'!O:O, 1)</f>
        <v>3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2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4</v>
      </c>
      <c r="AG7" s="2">
        <f>COUNTIFS('OB History S2'!$B:$B,$A$7,'OB History S2'!X:X, 1)</f>
        <v>7</v>
      </c>
      <c r="AH7" s="2">
        <f>COUNTIFS('OB History S2'!$B:$B,$A$7,'OB History S2'!Y:Y, 1)</f>
        <v>4</v>
      </c>
      <c r="AI7" s="2">
        <f>COUNTIFS('OB History S2'!$B:$B,$A$7,'OB History S2'!Z:Z, 1)</f>
        <v>5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97</v>
      </c>
      <c r="I8" s="4">
        <f>AVERAGEIFS('OB History S2'!C:C,'OB History S2'!B:B,A8)</f>
        <v>12.125</v>
      </c>
      <c r="J8" s="35">
        <f t="array" ref="J8">MAX(IF('OB History S2'!B:B=A8, 'OB History S2'!C:C))</f>
        <v>24</v>
      </c>
      <c r="K8" s="34">
        <f>COUNTIFS('OB History S2'!B:B,A8,'OB History S2'!D:D, 1)</f>
        <v>4</v>
      </c>
      <c r="L8" s="2">
        <f>COUNTIFS('OB History S2'!B:B,A8,'OB History S2'!D:D, 0)</f>
        <v>4</v>
      </c>
      <c r="M8" s="88">
        <f>LOOKUP(2, 1/('OB History S2'!$B:$B=A8), 'OB History S2'!$AD:$AD)</f>
        <v>0.5</v>
      </c>
      <c r="N8" s="34">
        <f>SUMIFS('OB History S2'!F:F,'OB History S2'!B:B,A8)</f>
        <v>18</v>
      </c>
      <c r="O8" s="2">
        <f>SUMIFS('OB History S2'!E:E,'OB History S2'!B:B,A8)-N8</f>
        <v>14</v>
      </c>
      <c r="P8" s="88">
        <f>LOOKUP(2, 1/('OB History S2'!$B:$B=A8), 'OB History S2'!$AB:$AB)</f>
        <v>0.6</v>
      </c>
      <c r="Q8" s="34">
        <f>SUMIFS('OB History S2'!H:H,'OB History S2'!B:B,A8)</f>
        <v>68</v>
      </c>
      <c r="R8" s="2">
        <f>SUMIFS('OB History S2'!G:G,'OB History S2'!B:B,A8)-Q8</f>
        <v>62</v>
      </c>
      <c r="S8" s="88">
        <f>LOOKUP(2, 1/('OB History S2'!$B:$B=A8), 'OB History S2'!$AC:$AC)</f>
        <v>0.53</v>
      </c>
      <c r="T8" s="2">
        <f>COUNTIFS('OB History S2'!$B:$B,$A$8,'OB History S2'!K:K, 1)</f>
        <v>2</v>
      </c>
      <c r="U8" s="2">
        <f>COUNTIFS('OB History S2'!$B:$B,$A$8,'OB History S2'!L:L, 1)</f>
        <v>2</v>
      </c>
      <c r="V8" s="2">
        <f>COUNTIFS('OB History S2'!$B:$B,$A$8,'OB History S2'!M:M, 1)</f>
        <v>0</v>
      </c>
      <c r="W8" s="2">
        <f>COUNTIFS('OB History S2'!$B:$B,$A$8,'OB History S2'!N:N, 1)</f>
        <v>2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4</v>
      </c>
      <c r="AI8" s="2">
        <f>COUNTIFS('OB History S2'!$B:$B,$A$8,'OB History S2'!Z:Z, 1)</f>
        <v>4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53</v>
      </c>
      <c r="I9" s="4">
        <f>AVERAGEIFS('OB History S2'!C:C,'OB History S2'!B:B,A9)</f>
        <v>13.25</v>
      </c>
      <c r="J9" s="35">
        <f t="array" ref="J9">MAX(IF('OB History S2'!B:B=A9, 'OB History S2'!C:C))</f>
        <v>29</v>
      </c>
      <c r="K9" s="34">
        <f>COUNTIFS('OB History S2'!B:B,A9,'OB History S2'!D:D, 1)</f>
        <v>1</v>
      </c>
      <c r="L9" s="2">
        <f>COUNTIFS('OB History S2'!B:B,A9,'OB History S2'!D:D, 0)</f>
        <v>3</v>
      </c>
      <c r="M9" s="88">
        <f>LOOKUP(2, 1/('OB History S2'!$B:$B=A9), 'OB History S2'!$AD:$AD)</f>
        <v>0.25</v>
      </c>
      <c r="N9" s="34">
        <f>SUMIFS('OB History S2'!F:F,'OB History S2'!B:B,A9)</f>
        <v>5</v>
      </c>
      <c r="O9" s="2">
        <f>SUMIFS('OB History S2'!E:E,'OB History S2'!B:B,A9)-N9</f>
        <v>10</v>
      </c>
      <c r="P9" s="88">
        <f>LOOKUP(2, 1/('OB History S2'!$B:$B=A9), 'OB History S2'!$AB:$AB)</f>
        <v>0.28749999999999998</v>
      </c>
      <c r="Q9" s="34">
        <f>SUMIFS('OB History S2'!H:H,'OB History S2'!B:B,A9)</f>
        <v>25</v>
      </c>
      <c r="R9" s="2">
        <f>SUMIFS('OB History S2'!G:G,'OB History S2'!B:B,A9)-Q9</f>
        <v>35</v>
      </c>
      <c r="S9" s="88">
        <f>LOOKUP(2, 1/('OB History S2'!$B:$B=A9), 'OB History S2'!$AC:$AC)</f>
        <v>0.39249999999999996</v>
      </c>
      <c r="T9" s="2">
        <f>COUNTIFS('OB History S2'!$B:$B,$A$9,'OB History S2'!K:K, 1)</f>
        <v>2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1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179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98</v>
      </c>
      <c r="I10" s="4">
        <f>AVERAGEIFS('OB History S2'!C:C,'OB History S2'!B:B,A10)</f>
        <v>14</v>
      </c>
      <c r="J10" s="35">
        <f t="array" ref="J10">MAX(IF('OB History S2'!B:B=A10, 'OB History S2'!C:C))</f>
        <v>22</v>
      </c>
      <c r="K10" s="34">
        <f>COUNTIFS('OB History S2'!B:B,A10,'OB History S2'!D:D, 1)</f>
        <v>6</v>
      </c>
      <c r="L10" s="2">
        <f>COUNTIFS('OB History S2'!B:B,A10,'OB History S2'!D:D, 0)</f>
        <v>1</v>
      </c>
      <c r="M10" s="88">
        <f>LOOKUP(2, 1/('OB History S2'!$B:$B=A10), 'OB History S2'!$AD:$AD)</f>
        <v>0.8571428571428571</v>
      </c>
      <c r="N10" s="34">
        <f>SUMIFS('OB History S2'!F:F,'OB History S2'!B:B,A10)</f>
        <v>20</v>
      </c>
      <c r="O10" s="2">
        <f>SUMIFS('OB History S2'!E:E,'OB History S2'!B:B,A10)-N10</f>
        <v>4</v>
      </c>
      <c r="P10" s="88">
        <f>LOOKUP(2, 1/('OB History S2'!$B:$B=A10), 'OB History S2'!$AB:$AB)</f>
        <v>0.8571428571428571</v>
      </c>
      <c r="Q10" s="34">
        <f>SUMIFS('OB History S2'!H:H,'OB History S2'!B:B,A10)</f>
        <v>62</v>
      </c>
      <c r="R10" s="2">
        <f>SUMIFS('OB History S2'!G:G,'OB History S2'!B:B,A10)-Q10</f>
        <v>40</v>
      </c>
      <c r="S10" s="88">
        <f>LOOKUP(2, 1/('OB History S2'!$B:$B=A10), 'OB History S2'!$AC:$AC)</f>
        <v>0.61857142857142855</v>
      </c>
      <c r="T10" s="2">
        <f>COUNTIFS('OB History S2'!$B:$B,$A$10,'OB History S2'!K:K, 1)</f>
        <v>1</v>
      </c>
      <c r="U10" s="2">
        <f>COUNTIFS('OB History S2'!$B:$B,$A$10,'OB History S2'!L:L, 1)</f>
        <v>2</v>
      </c>
      <c r="V10" s="2">
        <f>COUNTIFS('OB History S2'!$B:$B,$A$10,'OB History S2'!M:M, 1)</f>
        <v>1</v>
      </c>
      <c r="W10" s="2">
        <f>COUNTIFS('OB History S2'!$B:$B,$A$10,'OB History S2'!N:N, 1)</f>
        <v>3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1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1</v>
      </c>
      <c r="AG10" s="2">
        <f>COUNTIFS('OB History S2'!$B:$B,$A$10,'OB History S2'!X:X, 1)</f>
        <v>4</v>
      </c>
      <c r="AH10" s="2">
        <f>COUNTIFS('OB History S2'!$B:$B,$A$10,'OB History S2'!Y:Y, 1)</f>
        <v>2</v>
      </c>
      <c r="AI10" s="2">
        <f>COUNTIFS('OB History S2'!$B:$B,$A$10,'OB History S2'!Z:Z,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</v>
      </c>
      <c r="I11" s="4">
        <f>AVERAGEIFS('OB History S2'!C:C,'OB History S2'!B:B,A11)</f>
        <v>11</v>
      </c>
      <c r="J11" s="35">
        <f t="array" ref="J11">MAX(IF('OB History S2'!B:B=A11, 'OB History S2'!C:C))</f>
        <v>11</v>
      </c>
      <c r="K11" s="34">
        <f>COUNTIFS('OB History S2'!B:B,A11,'OB History S2'!D:D, 1)</f>
        <v>1</v>
      </c>
      <c r="L11" s="2">
        <f>COUNTIFS('OB History S2'!B:B,A11,'OB History S2'!D:D, 0)</f>
        <v>0</v>
      </c>
      <c r="M11" s="88">
        <f>LOOKUP(2, 1/('OB History S2'!$B:$B=A11), 'OB History S2'!$AD:$AD)</f>
        <v>1</v>
      </c>
      <c r="N11" s="34">
        <f>SUMIFS('OB History S2'!F:F,'OB History S2'!B:B,A11)</f>
        <v>4</v>
      </c>
      <c r="O11" s="2">
        <f>SUMIFS('OB History S2'!E:E,'OB History S2'!B:B,A11)-N11</f>
        <v>0</v>
      </c>
      <c r="P11" s="88">
        <f>LOOKUP(2, 1/('OB History S2'!$B:$B=A11), 'OB History S2'!$AB:$AB)</f>
        <v>1</v>
      </c>
      <c r="Q11" s="34">
        <f>SUMIFS('OB History S2'!H:H,'OB History S2'!B:B,A11)</f>
        <v>12</v>
      </c>
      <c r="R11" s="2">
        <f>SUMIFS('OB History S2'!G:G,'OB History S2'!B:B,A11)-Q11</f>
        <v>5</v>
      </c>
      <c r="S11" s="88">
        <f>LOOKUP(2, 1/('OB History S2'!$B:$B=A11), 'OB History S2'!$AC:$AC)</f>
        <v>0.71</v>
      </c>
      <c r="T11" s="2">
        <f>COUNTIFS('OB History S2'!$B:$B,$A$11,'OB History S2'!K:K, 1)</f>
        <v>0</v>
      </c>
      <c r="U11" s="2">
        <f>COUNTIFS('OB History S2'!$B:$B,$A$11,'OB History S2'!L:L, 1)</f>
        <v>0</v>
      </c>
      <c r="V11" s="2">
        <f>COUNTIFS('OB History S2'!$B:$B,$A$11,'OB History S2'!M:M, 1)</f>
        <v>0</v>
      </c>
      <c r="W11" s="2">
        <f>COUNTIFS('OB History S2'!$B:$B,$A$11,'OB History S2'!N:N, 1)</f>
        <v>1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0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0</v>
      </c>
      <c r="AG11" s="2">
        <f>COUNTIFS('OB History S2'!$B:$B,$A$11,'OB History S2'!X:X, 1)</f>
        <v>1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25</v>
      </c>
      <c r="B12" s="6" t="s">
        <v>79</v>
      </c>
      <c r="C12" s="2" t="s">
        <v>79</v>
      </c>
      <c r="D12" s="2">
        <v>2</v>
      </c>
      <c r="E12" s="2"/>
      <c r="F12" s="2"/>
      <c r="G12" s="2"/>
      <c r="H12" s="34">
        <f>SUMIFS('OB History S2'!C:C,'OB History S2'!B:B,A12)</f>
        <v>334</v>
      </c>
      <c r="I12" s="4">
        <f>AVERAGEIFS('OB History S2'!C:C,'OB History S2'!B:B,A12)</f>
        <v>20.875</v>
      </c>
      <c r="J12" s="35">
        <f t="array" ref="J12">MAX(IF('OB History S2'!B:B=A12, 'OB History S2'!C:C))</f>
        <v>50</v>
      </c>
      <c r="K12" s="34">
        <f>COUNTIFS('OB History S2'!B:B,A12,'OB History S2'!D:D, 1)</f>
        <v>9</v>
      </c>
      <c r="L12" s="2">
        <f>COUNTIFS('OB History S2'!B:B,A12,'OB History S2'!D:D, 0)</f>
        <v>7</v>
      </c>
      <c r="M12" s="88">
        <f>LOOKUP(2, 1/('OB History S2'!$B:$B=A12), 'OB History S2'!$AD:$AD)</f>
        <v>0.5625</v>
      </c>
      <c r="N12" s="34">
        <f>SUMIFS('OB History S2'!F:F,'OB History S2'!B:B,A12)</f>
        <v>35</v>
      </c>
      <c r="O12" s="2">
        <f>SUMIFS('OB History S2'!E:E,'OB History S2'!B:B,A12)-N12</f>
        <v>33</v>
      </c>
      <c r="P12" s="88">
        <f>LOOKUP(2, 1/('OB History S2'!$B:$B=A12), 'OB History S2'!$AB:$AB)</f>
        <v>0.50624999999999998</v>
      </c>
      <c r="Q12" s="34">
        <f>SUMIFS('OB History S2'!H:H,'OB History S2'!B:B,A12)</f>
        <v>138</v>
      </c>
      <c r="R12" s="2">
        <f>SUMIFS('OB History S2'!G:G,'OB History S2'!B:B,A12)-Q12</f>
        <v>144</v>
      </c>
      <c r="S12" s="88">
        <f>LOOKUP(2, 1/('OB History S2'!$B:$B=A12), 'OB History S2'!$AC:$AC)</f>
        <v>0.49187499999999995</v>
      </c>
      <c r="T12" s="2">
        <f>COUNTIFS('OB History S2'!$B:$B,$A$12,'OB History S2'!K:K, 1)</f>
        <v>2</v>
      </c>
      <c r="U12" s="2">
        <f>COUNTIFS('OB History S2'!$B:$B,$A$12,'OB History S2'!L:L, 1)</f>
        <v>2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1</v>
      </c>
      <c r="Y12" s="2">
        <f>COUNTIFS('OB History S2'!$B:$B,$A$12,'OB History S2'!P:P, 1)</f>
        <v>3</v>
      </c>
      <c r="Z12" s="2">
        <f>COUNTIFS('OB History S2'!$B:$B,$A$12,'OB History S2'!Q:Q, 1)</f>
        <v>3</v>
      </c>
      <c r="AA12" s="2">
        <f>COUNTIFS('OB History S2'!$B:$B,$A$12,'OB History S2'!R:R, 1)</f>
        <v>2</v>
      </c>
      <c r="AB12" s="2">
        <f>COUNTIFS('OB History S2'!$B:$B,$A$12,'OB History S2'!S:S, 1)</f>
        <v>2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1</v>
      </c>
      <c r="AF12" s="2">
        <f>COUNTIFS('OB History S2'!$B:$B,$A$12,'OB History S2'!W:W, 1)</f>
        <v>2</v>
      </c>
      <c r="AG12" s="2">
        <f>COUNTIFS('OB History S2'!$B:$B,$A$12,'OB History S2'!X:X, 1)</f>
        <v>5</v>
      </c>
      <c r="AH12" s="2">
        <f>COUNTIFS('OB History S2'!$B:$B,$A$12,'OB History S2'!Y:Y, 1)</f>
        <v>3</v>
      </c>
      <c r="AI12" s="2">
        <f>COUNTIFS('OB History S2'!$B:$B,$A$12,'OB History S2'!Z:Z, 1)</f>
        <v>6</v>
      </c>
    </row>
    <row r="13" spans="1:35" x14ac:dyDescent="0.25">
      <c r="A13" s="1" t="s">
        <v>146</v>
      </c>
      <c r="B13" s="6" t="s">
        <v>79</v>
      </c>
      <c r="C13" s="2" t="s">
        <v>79</v>
      </c>
      <c r="D13" s="2"/>
      <c r="E13" s="2"/>
      <c r="F13" s="2"/>
      <c r="G13" s="2"/>
      <c r="H13" s="34">
        <f>SUMIFS('OB History S2'!C:C,'OB History S2'!B:B,A13)</f>
        <v>142</v>
      </c>
      <c r="I13" s="4">
        <f>AVERAGEIFS('OB History S2'!C:C,'OB History S2'!B:B,A13)</f>
        <v>12.909090909090908</v>
      </c>
      <c r="J13" s="35">
        <f t="array" ref="J13">MAX(IF('OB History S2'!B:B=A13, 'OB History S2'!C:C))</f>
        <v>27</v>
      </c>
      <c r="K13" s="34">
        <f>COUNTIFS('OB History S2'!B:B,A13,'OB History S2'!D:D, 1)</f>
        <v>4</v>
      </c>
      <c r="L13" s="2">
        <f>COUNTIFS('OB History S2'!B:B,A13,'OB History S2'!D:D, 0)</f>
        <v>7</v>
      </c>
      <c r="M13" s="88">
        <f>LOOKUP(2, 1/('OB History S2'!$B:$B=A13), 'OB History S2'!$AD:$AD)</f>
        <v>0.36363636363636365</v>
      </c>
      <c r="N13" s="34">
        <f>SUMIFS('OB History S2'!F:F,'OB History S2'!B:B,A13)</f>
        <v>18</v>
      </c>
      <c r="O13" s="2">
        <f>SUMIFS('OB History S2'!E:E,'OB History S2'!B:B,A13)-N13</f>
        <v>25</v>
      </c>
      <c r="P13" s="88">
        <f>LOOKUP(2, 1/('OB History S2'!$B:$B=A13), 'OB History S2'!$AB:$AB)</f>
        <v>0.4</v>
      </c>
      <c r="Q13" s="34">
        <f>SUMIFS('OB History S2'!H:H,'OB History S2'!B:B,A13)</f>
        <v>88</v>
      </c>
      <c r="R13" s="2">
        <f>SUMIFS('OB History S2'!G:G,'OB History S2'!B:B,A13)-Q13</f>
        <v>97</v>
      </c>
      <c r="S13" s="88">
        <f>LOOKUP(2, 1/('OB History S2'!$B:$B=A13), 'OB History S2'!$AC:$AC)</f>
        <v>0.47181818181818175</v>
      </c>
      <c r="T13" s="2">
        <f>COUNTIFS('OB History S2'!$B:$B,$A$13,'OB History S2'!K:K, 1)</f>
        <v>1</v>
      </c>
      <c r="U13" s="2">
        <f>COUNTIFS('OB History S2'!$B:$B,$A$13,'OB History S2'!L:L, 1)</f>
        <v>3</v>
      </c>
      <c r="V13" s="2">
        <f>COUNTIFS('OB History S2'!$B:$B,$A$13,'OB History S2'!M:M, 1)</f>
        <v>2</v>
      </c>
      <c r="W13" s="2">
        <f>COUNTIFS('OB History S2'!$B:$B,$A$13,'OB History S2'!N:N, 1)</f>
        <v>4</v>
      </c>
      <c r="X13" s="2">
        <f>COUNTIFS('OB History S2'!$B:$B,$A$13,'OB History S2'!O:O, 1)</f>
        <v>2</v>
      </c>
      <c r="Y13" s="2">
        <f>COUNTIFS('OB History S2'!$B:$B,$A$13,'OB History S2'!P:P, 1)</f>
        <v>0</v>
      </c>
      <c r="Z13" s="2">
        <f>COUNTIFS('OB History S2'!$B:$B,$A$13,'OB History S2'!Q:Q, 1)</f>
        <v>2</v>
      </c>
      <c r="AA13" s="2">
        <f>COUNTIFS('OB History S2'!$B:$B,$A$13,'OB History S2'!R:R, 1)</f>
        <v>0</v>
      </c>
      <c r="AB13" s="2">
        <f>COUNTIFS('OB History S2'!$B:$B,$A$13,'OB History S2'!S:S, 1)</f>
        <v>0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1</v>
      </c>
      <c r="AH13" s="2">
        <f>COUNTIFS('OB History S2'!$B:$B,$A$13,'OB History S2'!Y:Y, 1)</f>
        <v>1</v>
      </c>
      <c r="AI13" s="2">
        <f>COUNTIFS('OB History S2'!$B:$B,$A$13,'OB History S2'!Z:Z, 1)</f>
        <v>0</v>
      </c>
    </row>
    <row r="14" spans="1:35" x14ac:dyDescent="0.25">
      <c r="A14" s="1" t="s">
        <v>27</v>
      </c>
      <c r="B14" s="6" t="s">
        <v>76</v>
      </c>
      <c r="C14" s="6" t="s">
        <v>79</v>
      </c>
      <c r="D14" s="6">
        <v>2</v>
      </c>
      <c r="E14" s="6"/>
      <c r="F14" s="6"/>
      <c r="G14" s="6"/>
      <c r="H14" s="34">
        <f>SUMIFS('OB History S2'!C:C,'OB History S2'!B:B,A14)</f>
        <v>195</v>
      </c>
      <c r="I14" s="4">
        <f>AVERAGEIFS('OB History S2'!C:C,'OB History S2'!B:B,A14)</f>
        <v>16.25</v>
      </c>
      <c r="J14" s="35">
        <f t="array" ref="J14">MAX(IF('OB History S2'!B:B=A14, 'OB History S2'!C:C))</f>
        <v>44</v>
      </c>
      <c r="K14" s="34">
        <f>COUNTIFS('OB History S2'!B:B,A14,'OB History S2'!D:D, 1)</f>
        <v>8</v>
      </c>
      <c r="L14" s="2">
        <f>COUNTIFS('OB History S2'!B:B,A14,'OB History S2'!D:D, 0)</f>
        <v>4</v>
      </c>
      <c r="M14" s="88">
        <f>LOOKUP(2, 1/('OB History S2'!$B:$B=A14), 'OB History S2'!$AD:$AD)</f>
        <v>0.66666666666666663</v>
      </c>
      <c r="N14" s="34">
        <f>SUMIFS('OB History S2'!F:F,'OB History S2'!B:B,A14)</f>
        <v>28</v>
      </c>
      <c r="O14" s="2">
        <f>SUMIFS('OB History S2'!E:E,'OB History S2'!B:B,A14)-N14</f>
        <v>20</v>
      </c>
      <c r="P14" s="88">
        <f>LOOKUP(2, 1/('OB History S2'!$B:$B=A14), 'OB History S2'!$AB:$AB)</f>
        <v>0.58333333333333337</v>
      </c>
      <c r="Q14" s="34">
        <f>SUMIFS('OB History S2'!H:H,'OB History S2'!B:B,A14)</f>
        <v>104</v>
      </c>
      <c r="R14" s="2">
        <f>SUMIFS('OB History S2'!G:G,'OB History S2'!B:B,A14)-Q14</f>
        <v>87</v>
      </c>
      <c r="S14" s="88">
        <f>LOOKUP(2, 1/('OB History S2'!$B:$B=A14), 'OB History S2'!$AC:$AC)</f>
        <v>0.54833333333333345</v>
      </c>
      <c r="T14" s="2">
        <f>COUNTIFS('OB History S2'!$B:$B,$A$14,'OB History S2'!K:K, 1)</f>
        <v>1</v>
      </c>
      <c r="U14" s="2">
        <f>COUNTIFS('OB History S2'!$B:$B,$A$14,'OB History S2'!L:L, 1)</f>
        <v>3</v>
      </c>
      <c r="V14" s="2">
        <f>COUNTIFS('OB History S2'!$B:$B,$A$14,'OB History S2'!M:M, 1)</f>
        <v>1</v>
      </c>
      <c r="W14" s="2">
        <f>COUNTIFS('OB History S2'!$B:$B,$A$14,'OB History S2'!N:N, 1)</f>
        <v>2</v>
      </c>
      <c r="X14" s="2">
        <f>COUNTIFS('OB History S2'!$B:$B,$A$14,'OB History S2'!O:O, 1)</f>
        <v>0</v>
      </c>
      <c r="Y14" s="2">
        <f>COUNTIFS('OB History S2'!$B:$B,$A$14,'OB History S2'!P:P, 1)</f>
        <v>2</v>
      </c>
      <c r="Z14" s="2">
        <f>COUNTIFS('OB History S2'!$B:$B,$A$14,'OB History S2'!Q:Q, 1)</f>
        <v>3</v>
      </c>
      <c r="AA14" s="2">
        <f>COUNTIFS('OB History S2'!$B:$B,$A$14,'OB History S2'!R:R, 1)</f>
        <v>3</v>
      </c>
      <c r="AB14" s="2">
        <f>COUNTIFS('OB History S2'!$B:$B,$A$14,'OB History S2'!S:S, 1)</f>
        <v>0</v>
      </c>
      <c r="AC14" s="2">
        <f>COUNTIFS('OB History S2'!$B:$B,$A$14,'OB History S2'!T:T, 1)</f>
        <v>1</v>
      </c>
      <c r="AD14" s="2">
        <f>COUNTIFS('OB History S2'!$B:$B,$A$14,'OB History S2'!U:U, 1)</f>
        <v>1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4</v>
      </c>
      <c r="AH14" s="2">
        <f>COUNTIFS('OB History S2'!$B:$B,$A$14,'OB History S2'!Y:Y, 1)</f>
        <v>3</v>
      </c>
      <c r="AI14" s="2">
        <f>COUNTIFS('OB History S2'!$B:$B,$A$14,'OB History S2'!Z:Z, 1)</f>
        <v>2</v>
      </c>
    </row>
    <row r="15" spans="1:35" x14ac:dyDescent="0.25">
      <c r="A15" s="1" t="s">
        <v>26</v>
      </c>
      <c r="B15" s="6" t="s">
        <v>124</v>
      </c>
      <c r="C15" s="6" t="s">
        <v>79</v>
      </c>
      <c r="D15" s="6"/>
      <c r="E15" s="6"/>
      <c r="F15" s="6"/>
      <c r="G15" s="6"/>
      <c r="H15" s="34">
        <f>SUMIFS('OB History S2'!C:C,'OB History S2'!B:B,A15)</f>
        <v>237</v>
      </c>
      <c r="I15" s="4">
        <f>AVERAGEIFS('OB History S2'!C:C,'OB History S2'!B:B,A15)</f>
        <v>15.8</v>
      </c>
      <c r="J15" s="35">
        <f t="array" ref="J15">MAX(IF('OB History S2'!B:B=A15, 'OB History S2'!C:C))</f>
        <v>41</v>
      </c>
      <c r="K15" s="34">
        <f>COUNTIFS('OB History S2'!B:B,A15,'OB History S2'!D:D, 1)</f>
        <v>8</v>
      </c>
      <c r="L15" s="2">
        <f>COUNTIFS('OB History S2'!B:B,A15,'OB History S2'!D:D, 0)</f>
        <v>7</v>
      </c>
      <c r="M15" s="88">
        <f>LOOKUP(2, 1/('OB History S2'!$B:$B=A15), 'OB History S2'!$AD:$AD)</f>
        <v>0.53333333333333333</v>
      </c>
      <c r="N15" s="34">
        <f>SUMIFS('OB History S2'!F:F,'OB History S2'!B:B,A15)</f>
        <v>31</v>
      </c>
      <c r="O15" s="2">
        <f>SUMIFS('OB History S2'!E:E,'OB History S2'!B:B,A15)-N15</f>
        <v>27</v>
      </c>
      <c r="P15" s="88">
        <f>LOOKUP(2, 1/('OB History S2'!$B:$B=A15), 'OB History S2'!$AB:$AB)</f>
        <v>0.54333333333333333</v>
      </c>
      <c r="Q15" s="34">
        <f>SUMIFS('OB History S2'!H:H,'OB History S2'!B:B,A15)</f>
        <v>122</v>
      </c>
      <c r="R15" s="2">
        <f>SUMIFS('OB History S2'!G:G,'OB History S2'!B:B,A15)-Q15</f>
        <v>124</v>
      </c>
      <c r="S15" s="88">
        <f>LOOKUP(2, 1/('OB History S2'!$B:$B=A15), 'OB History S2'!$AC:$AC)</f>
        <v>0.49000000000000005</v>
      </c>
      <c r="T15" s="2">
        <f>COUNTIFS('OB History S2'!$B:$B,$A$15,'OB History S2'!K:K, 1)</f>
        <v>3</v>
      </c>
      <c r="U15" s="2">
        <f>COUNTIFS('OB History S2'!$B:$B,$A$15,'OB History S2'!L:L, 1)</f>
        <v>1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0</v>
      </c>
      <c r="Y15" s="2">
        <f>COUNTIFS('OB History S2'!$B:$B,$A$15,'OB History S2'!P:P, 1)</f>
        <v>3</v>
      </c>
      <c r="Z15" s="2">
        <f>COUNTIFS('OB History S2'!$B:$B,$A$15,'OB History S2'!Q:Q, 1)</f>
        <v>2</v>
      </c>
      <c r="AA15" s="2">
        <f>COUNTIFS('OB History S2'!$B:$B,$A$15,'OB History S2'!R:R, 1)</f>
        <v>2</v>
      </c>
      <c r="AB15" s="2">
        <f>COUNTIFS('OB History S2'!$B:$B,$A$15,'OB History S2'!S:S, 1)</f>
        <v>1</v>
      </c>
      <c r="AC15" s="2">
        <f>COUNTIFS('OB History S2'!$B:$B,$A$15,'OB History S2'!T:T, 1)</f>
        <v>1</v>
      </c>
      <c r="AD15" s="2">
        <f>COUNTIFS('OB History S2'!$B:$B,$A$15,'OB History S2'!U:U, 1)</f>
        <v>0</v>
      </c>
      <c r="AE15" s="2">
        <f>COUNTIFS('OB History S2'!$B:$B,$A$15,'OB History S2'!V:V, 1)</f>
        <v>1</v>
      </c>
      <c r="AF15" s="2">
        <f>COUNTIFS('OB History S2'!$B:$B,$A$15,'OB History S2'!W:W, 1)</f>
        <v>1</v>
      </c>
      <c r="AG15" s="2">
        <f>COUNTIFS('OB History S2'!$B:$B,$A$15,'OB History S2'!X:X, 1)</f>
        <v>4</v>
      </c>
      <c r="AH15" s="2">
        <f>COUNTIFS('OB History S2'!$B:$B,$A$15,'OB History S2'!Y:Y, 1)</f>
        <v>5</v>
      </c>
      <c r="AI15" s="2">
        <f>COUNTIFS('OB History S2'!$B:$B,$A$15,'OB History S2'!Z:Z, 1)</f>
        <v>4</v>
      </c>
    </row>
    <row r="16" spans="1:35" x14ac:dyDescent="0.25">
      <c r="A16" s="1" t="s">
        <v>74</v>
      </c>
      <c r="B16" s="6" t="s">
        <v>79</v>
      </c>
      <c r="C16" s="6" t="s">
        <v>79</v>
      </c>
      <c r="D16" s="6"/>
      <c r="E16" s="6"/>
      <c r="F16" s="6"/>
      <c r="G16" s="6"/>
      <c r="H16" s="34">
        <f>SUMIFS('OB History S2'!C:C,'OB History S2'!B:B,A16)</f>
        <v>10</v>
      </c>
      <c r="I16" s="4">
        <f>AVERAGEIFS('OB History S2'!C:C,'OB History S2'!B:B,A16)</f>
        <v>10</v>
      </c>
      <c r="J16" s="35">
        <f t="array" ref="J16">MAX(IF('OB History S2'!B:B=A16, 'OB History S2'!C:C))</f>
        <v>10</v>
      </c>
      <c r="K16" s="34">
        <f>COUNTIFS('OB History S2'!B:B,A16,'OB History S2'!D:D, 1)</f>
        <v>0</v>
      </c>
      <c r="L16" s="2">
        <f>COUNTIFS('OB History S2'!B:B,A16,'OB History S2'!D:D, 0)</f>
        <v>1</v>
      </c>
      <c r="M16" s="88">
        <f>LOOKUP(2, 1/('OB History S2'!$B:$B=A16), 'OB History S2'!$AD:$AD)</f>
        <v>0</v>
      </c>
      <c r="N16" s="34">
        <f>SUMIFS('OB History S2'!F:F,'OB History S2'!B:B,A16)</f>
        <v>2</v>
      </c>
      <c r="O16" s="2">
        <f>SUMIFS('OB History S2'!E:E,'OB History S2'!B:B,A16)-N16</f>
        <v>3</v>
      </c>
      <c r="P16" s="88">
        <f>LOOKUP(2, 1/('OB History S2'!$B:$B=A16), 'OB History S2'!$AB:$AB)</f>
        <v>0.4</v>
      </c>
      <c r="Q16" s="34">
        <f>SUMIFS('OB History S2'!H:H,'OB History S2'!B:B,A16)</f>
        <v>6</v>
      </c>
      <c r="R16" s="2">
        <f>SUMIFS('OB History S2'!G:G,'OB History S2'!B:B,A16)-Q16</f>
        <v>14</v>
      </c>
      <c r="S16" s="88">
        <f>LOOKUP(2, 1/('OB History S2'!$B:$B=A16), 'OB History S2'!$AC:$AC)</f>
        <v>0.3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0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0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0</v>
      </c>
      <c r="AH16" s="2">
        <f>COUNTIFS('OB History S2'!$B:$B,$A$16,'OB History S2'!Y:Y, 1)</f>
        <v>1</v>
      </c>
      <c r="AI16" s="2">
        <f>COUNTIFS('OB History S2'!$B:$B,$A$16,'OB History S2'!Z:Z, 1)</f>
        <v>0</v>
      </c>
    </row>
    <row r="17" spans="1:35" x14ac:dyDescent="0.25">
      <c r="A17" s="1" t="s">
        <v>152</v>
      </c>
      <c r="B17" s="6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154</v>
      </c>
      <c r="I17" s="4">
        <f>AVERAGEIFS('OB History S2'!C:C,'OB History S2'!B:B,A17)</f>
        <v>14</v>
      </c>
      <c r="J17" s="35">
        <f t="array" ref="J17">MAX(IF('OB History S2'!B:B=A17, 'OB History S2'!C:C))</f>
        <v>19</v>
      </c>
      <c r="K17" s="34">
        <f>COUNTIFS('OB History S2'!B:B,A17,'OB History S2'!D:D, 1)</f>
        <v>2</v>
      </c>
      <c r="L17" s="2">
        <f>COUNTIFS('OB History S2'!B:B,A17,'OB History S2'!D:D, 0)</f>
        <v>9</v>
      </c>
      <c r="M17" s="88">
        <f>LOOKUP(2, 1/('OB History S2'!$B:$B=A17), 'OB History S2'!$AD:$AD)</f>
        <v>0.18181818181818182</v>
      </c>
      <c r="N17" s="34">
        <f>SUMIFS('OB History S2'!F:F,'OB History S2'!B:B,A17)</f>
        <v>12</v>
      </c>
      <c r="O17" s="2">
        <f>SUMIFS('OB History S2'!E:E,'OB History S2'!B:B,A17)-N17</f>
        <v>30</v>
      </c>
      <c r="P17" s="88">
        <f>LOOKUP(2, 1/('OB History S2'!$B:$B=A17), 'OB History S2'!$AB:$AB)</f>
        <v>0.25454545454545452</v>
      </c>
      <c r="Q17" s="34">
        <f>SUMIFS('OB History S2'!H:H,'OB History S2'!B:B,A17)</f>
        <v>67</v>
      </c>
      <c r="R17" s="2">
        <f>SUMIFS('OB History S2'!G:G,'OB History S2'!B:B,A17)-Q17</f>
        <v>111</v>
      </c>
      <c r="S17" s="88">
        <f>LOOKUP(2, 1/('OB History S2'!$B:$B=A17), 'OB History S2'!$AC:$AC)</f>
        <v>0.3572727272727273</v>
      </c>
      <c r="T17" s="2">
        <f>COUNTIFS('OB History S2'!$B:$B,$A$17,'OB History S2'!K:K, 1)</f>
        <v>1</v>
      </c>
      <c r="U17" s="2">
        <f>COUNTIFS('OB History S2'!$B:$B,$A$17,'OB History S2'!L:L, 1)</f>
        <v>0</v>
      </c>
      <c r="V17" s="2">
        <f>COUNTIFS('OB History S2'!$B:$B,$A$17,'OB History S2'!M:M, 1)</f>
        <v>2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2</v>
      </c>
      <c r="Z17" s="2">
        <f>COUNTIFS('OB History S2'!$B:$B,$A$17,'OB History S2'!Q:Q, 1)</f>
        <v>2</v>
      </c>
      <c r="AA17" s="2">
        <f>COUNTIFS('OB History S2'!$B:$B,$A$17,'OB History S2'!R:R, 1)</f>
        <v>1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3</v>
      </c>
      <c r="AH17" s="2">
        <f>COUNTIFS('OB History S2'!$B:$B,$A$17,'OB History S2'!Y:Y, 1)</f>
        <v>0</v>
      </c>
      <c r="AI17" s="2">
        <f>COUNTIFS('OB History S2'!$B:$B,$A$17,'OB History S2'!Z:Z, 1)</f>
        <v>1</v>
      </c>
    </row>
    <row r="18" spans="1:35" x14ac:dyDescent="0.25">
      <c r="A18" s="1" t="s">
        <v>215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0</v>
      </c>
      <c r="I18" s="4">
        <f>AVERAGEIFS('OB History S2'!C:C,'OB History S2'!B:B,A18)</f>
        <v>0</v>
      </c>
      <c r="J18" s="35">
        <f t="array" ref="J18">MAX(IF('OB History S2'!B:B=A18, 'OB History S2'!C:C))</f>
        <v>0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0</v>
      </c>
      <c r="O18" s="2">
        <f>SUMIFS('OB History S2'!E:E,'OB History S2'!B:B,A18)-N18</f>
        <v>3</v>
      </c>
      <c r="P18" s="88">
        <f>LOOKUP(2, 1/('OB History S2'!$B:$B=A18), 'OB History S2'!$AB:$AB)</f>
        <v>0</v>
      </c>
      <c r="Q18" s="34">
        <f>SUMIFS('OB History S2'!H:H,'OB History S2'!B:B,A18)</f>
        <v>3</v>
      </c>
      <c r="R18" s="2">
        <f>SUMIFS('OB History S2'!G:G,'OB History S2'!B:B,A18)-Q18</f>
        <v>9</v>
      </c>
      <c r="S18" s="88">
        <f>LOOKUP(2, 1/('OB History S2'!$B:$B=A18), 'OB History S2'!$AC:$AC)</f>
        <v>0.25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0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2"/>
      <c r="E19" s="2"/>
      <c r="F19" s="2"/>
      <c r="G19" s="2"/>
      <c r="H19" s="34">
        <f>SUMIFS('OB History S2'!C:C,'OB History S2'!B:B,A19)</f>
        <v>138</v>
      </c>
      <c r="I19" s="4">
        <f>AVERAGEIFS('OB History S2'!C:C,'OB History S2'!B:B,A19)</f>
        <v>15.333333333333334</v>
      </c>
      <c r="J19" s="35">
        <f t="array" ref="J19">MAX(IF('OB History S2'!B:B=A19, 'OB History S2'!C:C))</f>
        <v>29</v>
      </c>
      <c r="K19" s="34">
        <f>COUNTIFS('OB History S2'!B:B,A19,'OB History S2'!D:D, 1)</f>
        <v>4</v>
      </c>
      <c r="L19" s="2">
        <f>COUNTIFS('OB History S2'!B:B,A19,'OB History S2'!D:D, 0)</f>
        <v>5</v>
      </c>
      <c r="M19" s="88">
        <f>LOOKUP(2, 1/('OB History S2'!$B:$B=A19), 'OB History S2'!$AD:$AD)</f>
        <v>0.44444444444444442</v>
      </c>
      <c r="N19" s="34">
        <f>SUMIFS('OB History S2'!F:F,'OB History S2'!B:B,A19)</f>
        <v>19</v>
      </c>
      <c r="O19" s="2">
        <f>SUMIFS('OB History S2'!E:E,'OB History S2'!B:B,A19)-N19</f>
        <v>21</v>
      </c>
      <c r="P19" s="88">
        <f>LOOKUP(2, 1/('OB History S2'!$B:$B=A19), 'OB History S2'!$AB:$AB)</f>
        <v>0.47222222222222221</v>
      </c>
      <c r="Q19" s="34">
        <f>SUMIFS('OB History S2'!H:H,'OB History S2'!B:B,A19)</f>
        <v>77</v>
      </c>
      <c r="R19" s="2">
        <f>SUMIFS('OB History S2'!G:G,'OB History S2'!B:B,A19)-Q19</f>
        <v>81</v>
      </c>
      <c r="S19" s="88">
        <f>LOOKUP(2, 1/('OB History S2'!$B:$B=A19), 'OB History S2'!$AC:$AC)</f>
        <v>0.48777777777777775</v>
      </c>
      <c r="T19" s="2">
        <f>COUNTIFS('OB History S2'!$B:$B,$A$19,'OB History S2'!K:K, 1)</f>
        <v>1</v>
      </c>
      <c r="U19" s="2">
        <f>COUNTIFS('OB History S2'!$B:$B,$A$19,'OB History S2'!L:L, 1)</f>
        <v>1</v>
      </c>
      <c r="V19" s="2">
        <f>COUNTIFS('OB History S2'!$B:$B,$A$19,'OB History S2'!M:M, 1)</f>
        <v>2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2</v>
      </c>
      <c r="Z19" s="2">
        <f>COUNTIFS('OB History S2'!$B:$B,$A$19,'OB History S2'!Q:Q, 1)</f>
        <v>0</v>
      </c>
      <c r="AA19" s="2">
        <f>COUNTIFS('OB History S2'!$B:$B,$A$19,'OB History S2'!R:R, 1)</f>
        <v>1</v>
      </c>
      <c r="AB19" s="2">
        <f>COUNTIFS('OB History S2'!$B:$B,$A$19,'OB History S2'!S:S, 1)</f>
        <v>1</v>
      </c>
      <c r="AC19" s="2">
        <f>COUNTIFS('OB History S2'!$B:$B,$A$19,'OB History S2'!T:T, 1)</f>
        <v>1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3</v>
      </c>
    </row>
    <row r="20" spans="1:35" x14ac:dyDescent="0.25">
      <c r="A20" s="2" t="s">
        <v>52</v>
      </c>
      <c r="B20" s="2" t="s">
        <v>79</v>
      </c>
      <c r="C20" s="2" t="s">
        <v>79</v>
      </c>
      <c r="D20" s="2"/>
      <c r="E20" s="2"/>
      <c r="F20" s="2"/>
      <c r="G20" s="2"/>
      <c r="H20" s="34">
        <f>SUMIFS('OB History S2'!C:C,'OB History S2'!B:B,A20)</f>
        <v>34</v>
      </c>
      <c r="I20" s="4">
        <f>AVERAGEIFS('OB History S2'!C:C,'OB History S2'!B:B,A20)</f>
        <v>34</v>
      </c>
      <c r="J20" s="35">
        <f t="array" ref="J20">MAX(IF('OB History S2'!B:B=A20, 'OB History S2'!C:C))</f>
        <v>34</v>
      </c>
      <c r="K20" s="34">
        <f>COUNTIFS('OB History S2'!B:B,A20,'OB History S2'!D:D, 1)</f>
        <v>0</v>
      </c>
      <c r="L20" s="2">
        <f>COUNTIFS('OB History S2'!B:B,A20,'OB History S2'!D:D, 0)</f>
        <v>1</v>
      </c>
      <c r="M20" s="88">
        <f>LOOKUP(2, 1/('OB History S2'!$B:$B=A20), 'OB History S2'!$AD:$AD)</f>
        <v>0</v>
      </c>
      <c r="N20" s="34">
        <f>SUMIFS('OB History S2'!F:F,'OB History S2'!B:B,A20)</f>
        <v>2</v>
      </c>
      <c r="O20" s="2">
        <f>SUMIFS('OB History S2'!E:E,'OB History S2'!B:B,A20)-N20</f>
        <v>3</v>
      </c>
      <c r="P20" s="88">
        <f>LOOKUP(2, 1/('OB History S2'!$B:$B=A20), 'OB History S2'!$AB:$AB)</f>
        <v>0.4</v>
      </c>
      <c r="Q20" s="34">
        <f>SUMIFS('OB History S2'!H:H,'OB History S2'!B:B,A20)</f>
        <v>8</v>
      </c>
      <c r="R20" s="2">
        <f>SUMIFS('OB History S2'!G:G,'OB History S2'!B:B,A20)-Q20</f>
        <v>13</v>
      </c>
      <c r="S20" s="88">
        <f>LOOKUP(2, 1/('OB History S2'!$B:$B=A20), 'OB History S2'!$AC:$AC)</f>
        <v>0.38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0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0</v>
      </c>
      <c r="AG20" s="2">
        <f>COUNTIFS('OB History S2'!$B:$B,$A$20,'OB History S2'!X:X, 1)</f>
        <v>1</v>
      </c>
      <c r="AH20" s="2">
        <f>COUNTIFS('OB History S2'!$B:$B,$A$20,'OB History S2'!Y:Y, 1)</f>
        <v>0</v>
      </c>
      <c r="AI20" s="2">
        <f>COUNTIFS('OB History S2'!$B:$B,$A$20,'OB History S2'!Z:Z, 1)</f>
        <v>0</v>
      </c>
    </row>
    <row r="21" spans="1:35" x14ac:dyDescent="0.25">
      <c r="A21" s="1" t="s">
        <v>44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74</v>
      </c>
      <c r="I21" s="4">
        <f>AVERAGEIFS('OB History S2'!C:C,'OB History S2'!B:B,A21)</f>
        <v>14.8</v>
      </c>
      <c r="J21" s="35">
        <f t="array" ref="J21">MAX(IF('OB History S2'!B:B=A21, 'OB History S2'!C:C))</f>
        <v>28</v>
      </c>
      <c r="K21" s="34">
        <f>COUNTIFS('OB History S2'!B:B,A21,'OB History S2'!D:D, 1)</f>
        <v>5</v>
      </c>
      <c r="L21" s="2">
        <f>COUNTIFS('OB History S2'!B:B,A21,'OB History S2'!D:D, 0)</f>
        <v>0</v>
      </c>
      <c r="M21" s="88">
        <f>LOOKUP(2, 1/('OB History S2'!$B:$B=A21), 'OB History S2'!$AD:$AD)</f>
        <v>1</v>
      </c>
      <c r="N21" s="34">
        <f>SUMIFS('OB History S2'!F:F,'OB History S2'!B:B,A21)</f>
        <v>15</v>
      </c>
      <c r="O21" s="2">
        <f>SUMIFS('OB History S2'!E:E,'OB History S2'!B:B,A21)-N21</f>
        <v>3</v>
      </c>
      <c r="P21" s="88">
        <f>LOOKUP(2, 1/('OB History S2'!$B:$B=A21), 'OB History S2'!$AB:$AB)</f>
        <v>0.86999999999999988</v>
      </c>
      <c r="Q21" s="34">
        <f>SUMIFS('OB History S2'!H:H,'OB History S2'!B:B,A21)</f>
        <v>49</v>
      </c>
      <c r="R21" s="2">
        <f>SUMIFS('OB History S2'!G:G,'OB History S2'!B:B,A21)-Q21</f>
        <v>26</v>
      </c>
      <c r="S21" s="88">
        <f>LOOKUP(2, 1/('OB History S2'!$B:$B=A21), 'OB History S2'!$AC:$AC)</f>
        <v>0.67</v>
      </c>
      <c r="T21" s="2">
        <f>COUNTIFS('OB History S2'!$B:$B,$A$21,'OB History S2'!K:K, 1)</f>
        <v>0</v>
      </c>
      <c r="U21" s="2">
        <f>COUNTIFS('OB History S2'!$B:$B,$A$21,'OB History S2'!L:L, 1)</f>
        <v>2</v>
      </c>
      <c r="V21" s="2">
        <f>COUNTIFS('OB History S2'!$B:$B,$A$21,'OB History S2'!M:M, 1)</f>
        <v>1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1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2</v>
      </c>
      <c r="AG21" s="2">
        <f>COUNTIFS('OB History S2'!$B:$B,$A$21,'OB History S2'!X:X, 1)</f>
        <v>3</v>
      </c>
      <c r="AH21" s="2">
        <f>COUNTIFS('OB History S2'!$B:$B,$A$21,'OB History S2'!Y:Y, 1)</f>
        <v>4</v>
      </c>
      <c r="AI21" s="2">
        <f>COUNTIFS('OB History S2'!$B:$B,$A$21,'OB History S2'!Z:Z, 1)</f>
        <v>1</v>
      </c>
    </row>
    <row r="22" spans="1:35" x14ac:dyDescent="0.25">
      <c r="A22" s="2" t="s">
        <v>1</v>
      </c>
      <c r="B22" s="6" t="s">
        <v>124</v>
      </c>
      <c r="C22" s="2" t="s">
        <v>79</v>
      </c>
      <c r="D22" s="2"/>
      <c r="E22" s="2"/>
      <c r="F22" s="2"/>
      <c r="G22" s="2"/>
      <c r="H22" s="34">
        <f>SUMIFS('OB History S2'!C:C,'OB History S2'!B:B,A22)</f>
        <v>63</v>
      </c>
      <c r="I22" s="4">
        <f>AVERAGEIFS('OB History S2'!C:C,'OB History S2'!B:B,A22)</f>
        <v>15.75</v>
      </c>
      <c r="J22" s="35">
        <f t="array" ref="J22">MAX(IF('OB History S2'!B:B=A22, 'OB History S2'!C:C))</f>
        <v>24</v>
      </c>
      <c r="K22" s="34">
        <f>COUNTIFS('OB History S2'!B:B,A22,'OB History S2'!D:D, 1)</f>
        <v>1</v>
      </c>
      <c r="L22" s="2">
        <f>COUNTIFS('OB History S2'!B:B,A22,'OB History S2'!D:D, 0)</f>
        <v>3</v>
      </c>
      <c r="M22" s="88">
        <f>LOOKUP(2, 1/('OB History S2'!$B:$B=A22), 'OB History S2'!$AD:$AD)</f>
        <v>0.25</v>
      </c>
      <c r="N22" s="34">
        <f>SUMIFS('OB History S2'!F:F,'OB History S2'!B:B,A22)</f>
        <v>6</v>
      </c>
      <c r="O22" s="2">
        <f>SUMIFS('OB History S2'!E:E,'OB History S2'!B:B,A22)-N22</f>
        <v>10</v>
      </c>
      <c r="P22" s="88">
        <f>LOOKUP(2, 1/('OB History S2'!$B:$B=A22), 'OB History S2'!$AB:$AB)</f>
        <v>0.35</v>
      </c>
      <c r="Q22" s="34">
        <f>SUMIFS('OB History S2'!H:H,'OB History S2'!B:B,A22)</f>
        <v>24</v>
      </c>
      <c r="R22" s="2">
        <f>SUMIFS('OB History S2'!G:G,'OB History S2'!B:B,A22)-Q22</f>
        <v>36</v>
      </c>
      <c r="S22" s="88">
        <f>LOOKUP(2, 1/('OB History S2'!$B:$B=A22), 'OB History S2'!$AC:$AC)</f>
        <v>0.375</v>
      </c>
      <c r="T22" s="2">
        <f>COUNTIFS('OB History S2'!$B:$B,$A$22,'OB History S2'!K:K, 1)</f>
        <v>0</v>
      </c>
      <c r="U22" s="2">
        <f>COUNTIFS('OB History S2'!$B:$B,$A$22,'OB History S2'!L:L, 1)</f>
        <v>0</v>
      </c>
      <c r="V22" s="2">
        <f>COUNTIFS('OB History S2'!$B:$B,$A$22,'OB History S2'!M:M, 1)</f>
        <v>0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0</v>
      </c>
      <c r="AH22" s="2">
        <f>COUNTIFS('OB History S2'!$B:$B,$A$22,'OB History S2'!Y:Y, 1)</f>
        <v>2</v>
      </c>
      <c r="AI22" s="2">
        <f>COUNTIFS('OB History S2'!$B:$B,$A$22,'OB History S2'!Z:Z, 1)</f>
        <v>0</v>
      </c>
    </row>
    <row r="23" spans="1:35" x14ac:dyDescent="0.25">
      <c r="A23" s="1" t="s">
        <v>150</v>
      </c>
      <c r="B23" s="2" t="s">
        <v>79</v>
      </c>
      <c r="C23" s="2" t="s">
        <v>79</v>
      </c>
      <c r="D23" s="2">
        <v>2</v>
      </c>
      <c r="E23" s="2"/>
      <c r="F23" s="2"/>
      <c r="G23" s="2"/>
      <c r="H23" s="34">
        <f>SUMIFS('OB History S2'!C:C,'OB History S2'!B:B,A23)</f>
        <v>300</v>
      </c>
      <c r="I23" s="4">
        <f>AVERAGEIFS('OB History S2'!C:C,'OB History S2'!B:B,A23)</f>
        <v>18.75</v>
      </c>
      <c r="J23" s="35">
        <f t="array" ref="J23">MAX(IF('OB History S2'!B:B=A23, 'OB History S2'!C:C))</f>
        <v>41</v>
      </c>
      <c r="K23" s="34">
        <f>COUNTIFS('OB History S2'!B:B,A23,'OB History S2'!D:D, 1)</f>
        <v>12</v>
      </c>
      <c r="L23" s="2">
        <f>COUNTIFS('OB History S2'!B:B,A23,'OB History S2'!D:D, 0)</f>
        <v>4</v>
      </c>
      <c r="M23" s="88">
        <f>LOOKUP(2, 1/('OB History S2'!$B:$B=A23), 'OB History S2'!$AD:$AD)</f>
        <v>0.75</v>
      </c>
      <c r="N23" s="34">
        <f>SUMIFS('OB History S2'!F:F,'OB History S2'!B:B,A23)</f>
        <v>41</v>
      </c>
      <c r="O23" s="2">
        <f>SUMIFS('OB History S2'!E:E,'OB History S2'!B:B,A23)-N23</f>
        <v>22</v>
      </c>
      <c r="P23" s="88">
        <f>LOOKUP(2, 1/('OB History S2'!$B:$B=A23), 'OB History S2'!$AB:$AB)</f>
        <v>0.6875</v>
      </c>
      <c r="Q23" s="34">
        <f>SUMIFS('OB History S2'!H:H,'OB History S2'!B:B,A23)</f>
        <v>152</v>
      </c>
      <c r="R23" s="2">
        <f>SUMIFS('OB History S2'!G:G,'OB History S2'!B:B,A23)-Q23</f>
        <v>106</v>
      </c>
      <c r="S23" s="88">
        <f>LOOKUP(2, 1/('OB History S2'!$B:$B=A23), 'OB History S2'!$AC:$AC)</f>
        <v>0.60187499999999983</v>
      </c>
      <c r="T23" s="2">
        <f>COUNTIFS('OB History S2'!$B:$B,$A$23,'OB History S2'!K:K, 1)</f>
        <v>2</v>
      </c>
      <c r="U23" s="2">
        <f>COUNTIFS('OB History S2'!$B:$B,$A$23,'OB History S2'!L:L, 1)</f>
        <v>2</v>
      </c>
      <c r="V23" s="2">
        <f>COUNTIFS('OB History S2'!$B:$B,$A$23,'OB History S2'!M:M, 1)</f>
        <v>3</v>
      </c>
      <c r="W23" s="2">
        <f>COUNTIFS('OB History S2'!$B:$B,$A$23,'OB History S2'!N:N, 1)</f>
        <v>4</v>
      </c>
      <c r="X23" s="2">
        <f>COUNTIFS('OB History S2'!$B:$B,$A$23,'OB History S2'!O:O, 1)</f>
        <v>0</v>
      </c>
      <c r="Y23" s="2">
        <f>COUNTIFS('OB History S2'!$B:$B,$A$23,'OB History S2'!P:P, 1)</f>
        <v>4</v>
      </c>
      <c r="Z23" s="2">
        <f>COUNTIFS('OB History S2'!$B:$B,$A$23,'OB History S2'!Q:Q, 1)</f>
        <v>1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1</v>
      </c>
      <c r="AE23" s="2">
        <f>COUNTIFS('OB History S2'!$B:$B,$A$23,'OB History S2'!V:V, 1)</f>
        <v>0</v>
      </c>
      <c r="AF23" s="2">
        <f>COUNTIFS('OB History S2'!$B:$B,$A$23,'OB History S2'!W:W, 1)</f>
        <v>4</v>
      </c>
      <c r="AG23" s="2">
        <f>COUNTIFS('OB History S2'!$B:$B,$A$23,'OB History S2'!X:X, 1)</f>
        <v>7</v>
      </c>
      <c r="AH23" s="2">
        <f>COUNTIFS('OB History S2'!$B:$B,$A$23,'OB History S2'!Y:Y, 1)</f>
        <v>8</v>
      </c>
      <c r="AI23" s="2">
        <f>COUNTIFS('OB History S2'!$B:$B,$A$23,'OB History S2'!Z:Z, 1)</f>
        <v>4</v>
      </c>
    </row>
    <row r="24" spans="1:35" x14ac:dyDescent="0.25">
      <c r="A24" s="2" t="s">
        <v>29</v>
      </c>
      <c r="B24" s="6" t="s">
        <v>172</v>
      </c>
      <c r="C24" s="2" t="s">
        <v>79</v>
      </c>
      <c r="D24" s="2">
        <v>1</v>
      </c>
      <c r="E24" s="2"/>
      <c r="F24" s="2"/>
      <c r="G24" s="2"/>
      <c r="H24" s="34">
        <f>SUMIFS('OB History S2'!C:C,'OB History S2'!B:B,A24)</f>
        <v>299</v>
      </c>
      <c r="I24" s="4">
        <f>AVERAGEIFS('OB History S2'!C:C,'OB History S2'!B:B,A24)</f>
        <v>11.5</v>
      </c>
      <c r="J24" s="35">
        <f t="array" ref="J24">MAX(IF('OB History S2'!B:B=A24, 'OB History S2'!C:C))</f>
        <v>21</v>
      </c>
      <c r="K24" s="34">
        <f>COUNTIFS('OB History S2'!B:B,A24,'OB History S2'!D:D, 1)</f>
        <v>10</v>
      </c>
      <c r="L24" s="2">
        <f>COUNTIFS('OB History S2'!B:B,A24,'OB History S2'!D:D, 0)</f>
        <v>16</v>
      </c>
      <c r="M24" s="88">
        <f>LOOKUP(2, 1/('OB History S2'!$B:$B=A24), 'OB History S2'!$AD:$AD)</f>
        <v>0.38461538461538464</v>
      </c>
      <c r="N24" s="34">
        <f>SUMIFS('OB History S2'!F:F,'OB History S2'!B:B,A24)</f>
        <v>47</v>
      </c>
      <c r="O24" s="2">
        <f>SUMIFS('OB History S2'!E:E,'OB History S2'!B:B,A24)-N24</f>
        <v>55</v>
      </c>
      <c r="P24" s="88">
        <f>LOOKUP(2, 1/('OB History S2'!$B:$B=A24), 'OB History S2'!$AB:$AB)</f>
        <v>0.45384615384615379</v>
      </c>
      <c r="Q24" s="34">
        <f>SUMIFS('OB History S2'!H:H,'OB History S2'!B:B,A24)</f>
        <v>203</v>
      </c>
      <c r="R24" s="2">
        <f>SUMIFS('OB History S2'!G:G,'OB History S2'!B:B,A24)-Q24</f>
        <v>217</v>
      </c>
      <c r="S24" s="88">
        <f>LOOKUP(2, 1/('OB History S2'!$B:$B=A24), 'OB History S2'!$AC:$AC)</f>
        <v>0.4869230769230769</v>
      </c>
      <c r="T24" s="2">
        <f>COUNTIFS('OB History S2'!$B:$B,$A$24,'OB History S2'!K:K, 1)</f>
        <v>4</v>
      </c>
      <c r="U24" s="2">
        <f>COUNTIFS('OB History S2'!$B:$B,$A$24,'OB History S2'!L:L, 1)</f>
        <v>3</v>
      </c>
      <c r="V24" s="2">
        <f>COUNTIFS('OB History S2'!$B:$B,$A$24,'OB History S2'!M:M, 1)</f>
        <v>0</v>
      </c>
      <c r="W24" s="2">
        <f>COUNTIFS('OB History S2'!$B:$B,$A$24,'OB History S2'!N:N, 1)</f>
        <v>5</v>
      </c>
      <c r="X24" s="2">
        <f>COUNTIFS('OB History S2'!$B:$B,$A$24,'OB History S2'!O:O, 1)</f>
        <v>2</v>
      </c>
      <c r="Y24" s="2">
        <f>COUNTIFS('OB History S2'!$B:$B,$A$24,'OB History S2'!P:P, 1)</f>
        <v>6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1</v>
      </c>
      <c r="AF24" s="2">
        <f>COUNTIFS('OB History S2'!$B:$B,$A$24,'OB History S2'!W:W, 1)</f>
        <v>9</v>
      </c>
      <c r="AG24" s="2">
        <f>COUNTIFS('OB History S2'!$B:$B,$A$24,'OB History S2'!X:X, 1)</f>
        <v>7</v>
      </c>
      <c r="AH24" s="2">
        <f>COUNTIFS('OB History S2'!$B:$B,$A$24,'OB History S2'!Y:Y, 1)</f>
        <v>8</v>
      </c>
      <c r="AI24" s="2">
        <f>COUNTIFS('OB History S2'!$B:$B,$A$24,'OB History S2'!Z:Z, 1)</f>
        <v>1</v>
      </c>
    </row>
    <row r="25" spans="1:35" x14ac:dyDescent="0.25">
      <c r="A25" s="2" t="s">
        <v>46</v>
      </c>
      <c r="B25" s="6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19</v>
      </c>
      <c r="I25" s="4">
        <f>AVERAGEIFS('OB History S2'!C:C,'OB History S2'!B:B,A25)</f>
        <v>19</v>
      </c>
      <c r="J25" s="35">
        <f t="array" ref="J25">MAX(IF('OB History S2'!B:B=A25, 'OB History S2'!C:C))</f>
        <v>19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1</v>
      </c>
      <c r="O25" s="2">
        <f>SUMIFS('OB History S2'!E:E,'OB History S2'!B:B,A25)-N25</f>
        <v>3</v>
      </c>
      <c r="P25" s="88">
        <f>LOOKUP(2, 1/('OB History S2'!$B:$B=A25), 'OB History S2'!$AB:$AB)</f>
        <v>0.25</v>
      </c>
      <c r="Q25" s="34">
        <f>SUMIFS('OB History S2'!H:H,'OB History S2'!B:B,A25)</f>
        <v>4</v>
      </c>
      <c r="R25" s="2">
        <f>SUMIFS('OB History S2'!G:G,'OB History S2'!B:B,A25)-Q25</f>
        <v>11</v>
      </c>
      <c r="S25" s="88">
        <f>LOOKUP(2, 1/('OB History S2'!$B:$B=A25), 'OB History S2'!$AC:$AC)</f>
        <v>0.27</v>
      </c>
      <c r="T25" s="2">
        <f>COUNTIFS('OB History S2'!$B:$B,$A$25,'OB History S2'!K:K, 1)</f>
        <v>0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28</v>
      </c>
      <c r="B26" s="6" t="s">
        <v>60</v>
      </c>
      <c r="C26" s="2" t="s">
        <v>79</v>
      </c>
      <c r="D26" s="2"/>
      <c r="E26" s="2"/>
      <c r="F26" s="2"/>
      <c r="G26" s="2"/>
      <c r="H26" s="34">
        <f>SUMIFS('OB History S2'!C:C,'OB History S2'!B:B,A26)</f>
        <v>94</v>
      </c>
      <c r="I26" s="4">
        <f>AVERAGEIFS('OB History S2'!C:C,'OB History S2'!B:B,A26)</f>
        <v>23.5</v>
      </c>
      <c r="J26" s="35">
        <f t="array" ref="J26">MAX(IF('OB History S2'!B:B=A26, 'OB History S2'!C:C))</f>
        <v>43</v>
      </c>
      <c r="K26" s="34">
        <f>COUNTIFS('OB History S2'!B:B,A26,'OB History S2'!D:D, 1)</f>
        <v>2</v>
      </c>
      <c r="L26" s="2">
        <f>COUNTIFS('OB History S2'!B:B,A26,'OB History S2'!D:D, 0)</f>
        <v>2</v>
      </c>
      <c r="M26" s="88">
        <f>LOOKUP(2, 1/('OB History S2'!$B:$B=A26), 'OB History S2'!$AD:$AD)</f>
        <v>0.5</v>
      </c>
      <c r="N26" s="34">
        <f>SUMIFS('OB History S2'!F:F,'OB History S2'!B:B,A26)</f>
        <v>9</v>
      </c>
      <c r="O26" s="2">
        <f>SUMIFS('OB History S2'!E:E,'OB History S2'!B:B,A26)-N26</f>
        <v>9</v>
      </c>
      <c r="P26" s="88">
        <f>LOOKUP(2, 1/('OB History S2'!$B:$B=A26), 'OB History S2'!$AB:$AB)</f>
        <v>0.5</v>
      </c>
      <c r="Q26" s="34">
        <f>SUMIFS('OB History S2'!H:H,'OB History S2'!B:B,A26)</f>
        <v>37</v>
      </c>
      <c r="R26" s="2">
        <f>SUMIFS('OB History S2'!G:G,'OB History S2'!B:B,A26)-Q26</f>
        <v>37</v>
      </c>
      <c r="S26" s="88">
        <f>LOOKUP(2, 1/('OB History S2'!$B:$B=A26), 'OB History S2'!$AC:$AC)</f>
        <v>0.505</v>
      </c>
      <c r="T26" s="2">
        <f>COUNTIFS('OB History S2'!$B:$B,$A$26,'OB History S2'!K:K, 1)</f>
        <v>1</v>
      </c>
      <c r="U26" s="2">
        <f>COUNTIFS('OB History S2'!$B:$B,$A$26,'OB History S2'!L:L, 1)</f>
        <v>1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1</v>
      </c>
      <c r="Y26" s="2">
        <f>COUNTIFS('OB History S2'!$B:$B,$A$26,'OB History S2'!P:P, 1)</f>
        <v>0</v>
      </c>
      <c r="Z26" s="2">
        <f>COUNTIFS('OB History S2'!$B:$B,$A$26,'OB History S2'!Q:Q, 1)</f>
        <v>1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4</v>
      </c>
      <c r="AH26" s="2">
        <f>COUNTIFS('OB History S2'!$B:$B,$A$26,'OB History S2'!Y:Y, 1)</f>
        <v>0</v>
      </c>
      <c r="AI26" s="2">
        <f>COUNTIFS('OB History S2'!$B:$B,$A$26,'OB History S2'!Z:Z, 1)</f>
        <v>1</v>
      </c>
    </row>
    <row r="27" spans="1:35" x14ac:dyDescent="0.25">
      <c r="A27" s="2" t="s">
        <v>139</v>
      </c>
      <c r="B27" s="6" t="s">
        <v>79</v>
      </c>
      <c r="C27" s="2" t="s">
        <v>79</v>
      </c>
      <c r="D27" s="2"/>
      <c r="E27" s="2"/>
      <c r="F27" s="2"/>
      <c r="G27" s="2"/>
      <c r="H27" s="34">
        <f>SUMIFS('OB History S2'!C:C,'OB History S2'!B:B,A27)</f>
        <v>167</v>
      </c>
      <c r="I27" s="4">
        <f>AVERAGEIFS('OB History S2'!C:C,'OB History S2'!B:B,A27)</f>
        <v>10.4375</v>
      </c>
      <c r="J27" s="35">
        <f t="array" ref="J27">MAX(IF('OB History S2'!B:B=A27, 'OB History S2'!C:C))</f>
        <v>17</v>
      </c>
      <c r="K27" s="34">
        <f>COUNTIFS('OB History S2'!B:B,A27,'OB History S2'!D:D, 1)</f>
        <v>8</v>
      </c>
      <c r="L27" s="2">
        <f>COUNTIFS('OB History S2'!B:B,A27,'OB History S2'!D:D, 0)</f>
        <v>8</v>
      </c>
      <c r="M27" s="88">
        <f>LOOKUP(2, 1/('OB History S2'!$B:$B=A27), 'OB History S2'!$AD:$AD)</f>
        <v>0.5</v>
      </c>
      <c r="N27" s="34">
        <f>SUMIFS('OB History S2'!F:F,'OB History S2'!B:B,A27)</f>
        <v>28</v>
      </c>
      <c r="O27" s="2">
        <f>SUMIFS('OB History S2'!E:E,'OB History S2'!B:B,A27)-N27</f>
        <v>36</v>
      </c>
      <c r="P27" s="88">
        <f>LOOKUP(2, 1/('OB History S2'!$B:$B=A27), 'OB History S2'!$AB:$AB)</f>
        <v>0.40937499999999999</v>
      </c>
      <c r="Q27" s="34">
        <f>SUMIFS('OB History S2'!H:H,'OB History S2'!B:B,A27)</f>
        <v>128</v>
      </c>
      <c r="R27" s="2">
        <f>SUMIFS('OB History S2'!G:G,'OB History S2'!B:B,A27)-Q27</f>
        <v>133</v>
      </c>
      <c r="S27" s="88">
        <f>LOOKUP(2, 1/('OB History S2'!$B:$B=A27), 'OB History S2'!$AC:$AC)</f>
        <v>0.48374999999999996</v>
      </c>
      <c r="T27" s="2">
        <f>COUNTIFS('OB History S2'!$B:$B,$A$27,'OB History S2'!K:K, 1)</f>
        <v>1</v>
      </c>
      <c r="U27" s="2">
        <f>COUNTIFS('OB History S2'!$B:$B,$A$27,'OB History S2'!L:L, 1)</f>
        <v>4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2</v>
      </c>
      <c r="Z27" s="2">
        <f>COUNTIFS('OB History S2'!$B:$B,$A$27,'OB History S2'!Q:Q, 1)</f>
        <v>2</v>
      </c>
      <c r="AA27" s="2">
        <f>COUNTIFS('OB History S2'!$B:$B,$A$27,'OB History S2'!R:R, 1)</f>
        <v>3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6</v>
      </c>
      <c r="AH27" s="2">
        <f>COUNTIFS('OB History S2'!$B:$B,$A$27,'OB History S2'!Y:Y, 1)</f>
        <v>2</v>
      </c>
      <c r="AI27" s="2">
        <f>COUNTIFS('OB History S2'!$B:$B,$A$27,'OB History S2'!Z:Z, 1)</f>
        <v>5</v>
      </c>
    </row>
    <row r="28" spans="1:35" x14ac:dyDescent="0.25">
      <c r="A28" s="2" t="s">
        <v>53</v>
      </c>
      <c r="B28" s="6" t="s">
        <v>60</v>
      </c>
      <c r="C28" s="6" t="s">
        <v>79</v>
      </c>
      <c r="D28" s="2"/>
      <c r="E28" s="2"/>
      <c r="F28" s="2"/>
      <c r="G28" s="2"/>
      <c r="H28" s="34">
        <f>SUMIFS('OB History S2'!C:C,'OB History S2'!B:B,A28)</f>
        <v>49</v>
      </c>
      <c r="I28" s="4">
        <f>AVERAGEIFS('OB History S2'!C:C,'OB History S2'!B:B,A28)</f>
        <v>16.333333333333332</v>
      </c>
      <c r="J28" s="35">
        <f t="array" ref="J28">MAX(IF('OB History S2'!B:B=A28, 'OB History S2'!C:C))</f>
        <v>25</v>
      </c>
      <c r="K28" s="34">
        <f>COUNTIFS('OB History S2'!B:B,A28,'OB History S2'!D:D, 1)</f>
        <v>2</v>
      </c>
      <c r="L28" s="2">
        <f>COUNTIFS('OB History S2'!B:B,A28,'OB History S2'!D:D, 0)</f>
        <v>1</v>
      </c>
      <c r="M28" s="88">
        <f>LOOKUP(2, 1/('OB History S2'!$B:$B=A28), 'OB History S2'!$AD:$AD)</f>
        <v>0.66666666666666663</v>
      </c>
      <c r="N28" s="34">
        <f>SUMIFS('OB History S2'!F:F,'OB History S2'!B:B,A28)</f>
        <v>7</v>
      </c>
      <c r="O28" s="2">
        <f>SUMIFS('OB History S2'!E:E,'OB History S2'!B:B,A28)-N28</f>
        <v>5</v>
      </c>
      <c r="P28" s="88">
        <f>LOOKUP(2, 1/('OB History S2'!$B:$B=A28), 'OB History S2'!$AB:$AB)</f>
        <v>0.58333333333333337</v>
      </c>
      <c r="Q28" s="34">
        <f>SUMIFS('OB History S2'!H:H,'OB History S2'!B:B,A28)</f>
        <v>27</v>
      </c>
      <c r="R28" s="2">
        <f>SUMIFS('OB History S2'!G:G,'OB History S2'!B:B,A28)-Q28</f>
        <v>21</v>
      </c>
      <c r="S28" s="88">
        <f>LOOKUP(2, 1/('OB History S2'!$B:$B=A28), 'OB History S2'!$AC:$AC)</f>
        <v>0.57333333333333336</v>
      </c>
      <c r="T28" s="2">
        <f>COUNTIFS('OB History S2'!$B:$B,$A$28,'OB History S2'!K:K, 1)</f>
        <v>1</v>
      </c>
      <c r="U28" s="2">
        <f>COUNTIFS('OB History S2'!$B:$B,$A$28,'OB History S2'!L:L, 1)</f>
        <v>1</v>
      </c>
      <c r="V28" s="2">
        <f>COUNTIFS('OB History S2'!$B:$B,$A$28,'OB History S2'!M:M, 1)</f>
        <v>0</v>
      </c>
      <c r="W28" s="2">
        <f>COUNTIFS('OB History S2'!$B:$B,$A$28,'OB History S2'!N:N, 1)</f>
        <v>1</v>
      </c>
      <c r="X28" s="2">
        <f>COUNTIFS('OB History S2'!$B:$B,$A$28,'OB History S2'!O:O, 1)</f>
        <v>1</v>
      </c>
      <c r="Y28" s="2">
        <f>COUNTIFS('OB History S2'!$B:$B,$A$28,'OB History S2'!P:P, 1)</f>
        <v>1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1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ht="15.75" x14ac:dyDescent="0.25">
      <c r="A29" s="2" t="s">
        <v>20</v>
      </c>
      <c r="B29" s="80" t="s">
        <v>60</v>
      </c>
      <c r="C29" s="2" t="s">
        <v>79</v>
      </c>
      <c r="D29" s="2"/>
      <c r="E29" s="2"/>
      <c r="F29" s="2"/>
      <c r="G29" s="2"/>
      <c r="H29" s="34">
        <f>SUMIFS('OB History S2'!C:C,'OB History S2'!B:B,A29)</f>
        <v>141</v>
      </c>
      <c r="I29" s="4">
        <f>AVERAGEIFS('OB History S2'!C:C,'OB History S2'!B:B,A29)</f>
        <v>15.666666666666666</v>
      </c>
      <c r="J29" s="35">
        <f t="array" ref="J29">MAX(IF('OB History S2'!B:B=A29, 'OB History S2'!C:C))</f>
        <v>37</v>
      </c>
      <c r="K29" s="34">
        <f>COUNTIFS('OB History S2'!B:B,A29,'OB History S2'!D:D, 1)</f>
        <v>4</v>
      </c>
      <c r="L29" s="2">
        <f>COUNTIFS('OB History S2'!B:B,A29,'OB History S2'!D:D, 0)</f>
        <v>5</v>
      </c>
      <c r="M29" s="88">
        <f>LOOKUP(2, 1/('OB History S2'!$B:$B=A29), 'OB History S2'!$AD:$AD)</f>
        <v>0.44444444444444442</v>
      </c>
      <c r="N29" s="34">
        <f>SUMIFS('OB History S2'!F:F,'OB History S2'!B:B,A29)</f>
        <v>19</v>
      </c>
      <c r="O29" s="2">
        <f>SUMIFS('OB History S2'!E:E,'OB History S2'!B:B,A29)-N29</f>
        <v>18</v>
      </c>
      <c r="P29" s="88">
        <f>LOOKUP(2, 1/('OB History S2'!$B:$B=A29), 'OB History S2'!$AB:$AB)</f>
        <v>0.52222222222222214</v>
      </c>
      <c r="Q29" s="34">
        <f>SUMIFS('OB History S2'!H:H,'OB History S2'!B:B,A29)</f>
        <v>79</v>
      </c>
      <c r="R29" s="2">
        <f>SUMIFS('OB History S2'!G:G,'OB History S2'!B:B,A29)-Q29</f>
        <v>74</v>
      </c>
      <c r="S29" s="88">
        <f>LOOKUP(2, 1/('OB History S2'!$B:$B=A29), 'OB History S2'!$AC:$AC)</f>
        <v>0.51888888888888884</v>
      </c>
      <c r="T29" s="2">
        <f>COUNTIFS('OB History S2'!$B:$B,$A$29,'OB History S2'!K:K, 1)</f>
        <v>3</v>
      </c>
      <c r="U29" s="2">
        <f>COUNTIFS('OB History S2'!$B:$B,$A$29,'OB History S2'!L:L, 1)</f>
        <v>1</v>
      </c>
      <c r="V29" s="2">
        <f>COUNTIFS('OB History S2'!$B:$B,$A$29,'OB History S2'!M:M, 1)</f>
        <v>1</v>
      </c>
      <c r="W29" s="2">
        <f>COUNTIFS('OB History S2'!$B:$B,$A$29,'OB History S2'!N:N, 1)</f>
        <v>2</v>
      </c>
      <c r="X29" s="2">
        <f>COUNTIFS('OB History S2'!$B:$B,$A$29,'OB History S2'!O:O, 1)</f>
        <v>0</v>
      </c>
      <c r="Y29" s="2">
        <f>COUNTIFS('OB History S2'!$B:$B,$A$29,'OB History S2'!P:P, 1)</f>
        <v>3</v>
      </c>
      <c r="Z29" s="2">
        <f>COUNTIFS('OB History S2'!$B:$B,$A$29,'OB History S2'!Q:Q, 1)</f>
        <v>0</v>
      </c>
      <c r="AA29" s="2">
        <f>COUNTIFS('OB History S2'!$B:$B,$A$29,'OB History S2'!R:R, 1)</f>
        <v>1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2</v>
      </c>
      <c r="AH29" s="2">
        <f>COUNTIFS('OB History S2'!$B:$B,$A$29,'OB History S2'!Y:Y, 1)</f>
        <v>3</v>
      </c>
      <c r="AI29" s="2">
        <f>COUNTIFS('OB History S2'!$B:$B,$A$29,'OB History S2'!Z:Z, 1)</f>
        <v>2</v>
      </c>
    </row>
    <row r="30" spans="1:35" x14ac:dyDescent="0.25">
      <c r="A30" s="1" t="s">
        <v>47</v>
      </c>
      <c r="B30" s="2" t="s">
        <v>79</v>
      </c>
      <c r="C30" s="2" t="s">
        <v>79</v>
      </c>
      <c r="D30" s="2"/>
      <c r="E30" s="2"/>
      <c r="F30" s="2"/>
      <c r="G30" s="2"/>
      <c r="H30" s="34">
        <f>SUMIFS('OB History S2'!C:C,'OB History S2'!B:B,A30)</f>
        <v>32</v>
      </c>
      <c r="I30" s="4">
        <f>AVERAGEIFS('OB History S2'!C:C,'OB History S2'!B:B,A30)</f>
        <v>10.666666666666666</v>
      </c>
      <c r="J30" s="35">
        <f t="array" ref="J30">MAX(IF('OB History S2'!B:B=A30, 'OB History S2'!C:C))</f>
        <v>14</v>
      </c>
      <c r="K30" s="34">
        <f>COUNTIFS('OB History S2'!B:B,A30,'OB History S2'!D:D, 1)</f>
        <v>1</v>
      </c>
      <c r="L30" s="2">
        <f>COUNTIFS('OB History S2'!B:B,A30,'OB History S2'!D:D, 0)</f>
        <v>2</v>
      </c>
      <c r="M30" s="88">
        <f>LOOKUP(2, 1/('OB History S2'!$B:$B=A30), 'OB History S2'!$AD:$AD)</f>
        <v>0.33333333333333331</v>
      </c>
      <c r="N30" s="34">
        <f>SUMIFS('OB History S2'!F:F,'OB History S2'!B:B,A30)</f>
        <v>6</v>
      </c>
      <c r="O30" s="2">
        <f>SUMIFS('OB History S2'!E:E,'OB History S2'!B:B,A30)-N30</f>
        <v>7</v>
      </c>
      <c r="P30" s="88">
        <f>LOOKUP(2, 1/('OB History S2'!$B:$B=A30), 'OB History S2'!$AB:$AB)</f>
        <v>0.46666666666666662</v>
      </c>
      <c r="Q30" s="34">
        <f>SUMIFS('OB History S2'!H:H,'OB History S2'!B:B,A30)</f>
        <v>23</v>
      </c>
      <c r="R30" s="2">
        <f>SUMIFS('OB History S2'!G:G,'OB History S2'!B:B,A30)-Q30</f>
        <v>28</v>
      </c>
      <c r="S30" s="88">
        <f>LOOKUP(2, 1/('OB History S2'!$B:$B=A30), 'OB History S2'!$AC:$AC)</f>
        <v>0.45</v>
      </c>
      <c r="T30" s="2">
        <f>COUNTIFS('OB History S2'!$B:$B,$A$30,'OB History S2'!K:K, 1)</f>
        <v>2</v>
      </c>
      <c r="U30" s="2">
        <f>COUNTIFS('OB History S2'!$B:$B,$A$30,'OB History S2'!L:L, 1)</f>
        <v>0</v>
      </c>
      <c r="V30" s="2">
        <f>COUNTIFS('OB History S2'!$B:$B,$A$30,'OB History S2'!M:M, 1)</f>
        <v>0</v>
      </c>
      <c r="W30" s="2">
        <f>COUNTIFS('OB History S2'!$B:$B,$A$30,'OB History S2'!N:N, 1)</f>
        <v>0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2</v>
      </c>
      <c r="AG30" s="2">
        <f>COUNTIFS('OB History S2'!$B:$B,$A$30,'OB History S2'!X:X, 1)</f>
        <v>2</v>
      </c>
      <c r="AH30" s="2">
        <f>COUNTIFS('OB History S2'!$B:$B,$A$30,'OB History S2'!Y:Y, 1)</f>
        <v>0</v>
      </c>
      <c r="AI30" s="2">
        <f>COUNTIFS('OB History S2'!$B:$B,$A$30,'OB History S2'!Z:Z, 1)</f>
        <v>0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4</v>
      </c>
      <c r="E31" s="6">
        <v>1</v>
      </c>
      <c r="F31" s="6"/>
      <c r="G31" s="6"/>
      <c r="H31" s="34">
        <f>SUMIFS('OB History S2'!C:C,'OB History S2'!B:B,A31)</f>
        <v>383</v>
      </c>
      <c r="I31" s="4">
        <f>AVERAGEIFS('OB History S2'!C:C,'OB History S2'!B:B,A31)</f>
        <v>12.766666666666667</v>
      </c>
      <c r="J31" s="35">
        <f t="array" ref="J31">MAX(IF('OB History S2'!B:B=A31, 'OB History S2'!C:C))</f>
        <v>23</v>
      </c>
      <c r="K31" s="34">
        <f>COUNTIFS('OB History S2'!B:B,A31,'OB History S2'!D:D, 1)</f>
        <v>18</v>
      </c>
      <c r="L31" s="2">
        <f>COUNTIFS('OB History S2'!B:B,A31,'OB History S2'!D:D, 0)</f>
        <v>12</v>
      </c>
      <c r="M31" s="88">
        <f>LOOKUP(2, 1/('OB History S2'!$B:$B=A31), 'OB History S2'!$AD:$AD)</f>
        <v>0.6</v>
      </c>
      <c r="N31" s="34">
        <f>SUMIFS('OB History S2'!F:F,'OB History S2'!B:B,A31)</f>
        <v>63</v>
      </c>
      <c r="O31" s="2">
        <f>SUMIFS('OB History S2'!E:E,'OB History S2'!B:B,A31)-N31</f>
        <v>53</v>
      </c>
      <c r="P31" s="88">
        <f>LOOKUP(2, 1/('OB History S2'!$B:$B=A31), 'OB History S2'!$AB:$AB)</f>
        <v>0.55000000000000004</v>
      </c>
      <c r="Q31" s="34">
        <f>SUMIFS('OB History S2'!H:H,'OB History S2'!B:B,A31)</f>
        <v>248</v>
      </c>
      <c r="R31" s="2">
        <f>SUMIFS('OB History S2'!G:G,'OB History S2'!B:B,A31)-Q31</f>
        <v>227</v>
      </c>
      <c r="S31" s="88">
        <f>LOOKUP(2, 1/('OB History S2'!$B:$B=A31), 'OB History S2'!$AC:$AC)</f>
        <v>0.52633333333333332</v>
      </c>
      <c r="T31" s="2">
        <f>COUNTIFS('OB History S2'!$B:$B,$A$31,'OB History S2'!K:K, 1)</f>
        <v>1</v>
      </c>
      <c r="U31" s="2">
        <f>COUNTIFS('OB History S2'!$B:$B,$A$31,'OB History S2'!L:L, 1)</f>
        <v>6</v>
      </c>
      <c r="V31" s="2">
        <f>COUNTIFS('OB History S2'!$B:$B,$A$31,'OB History S2'!M:M, 1)</f>
        <v>2</v>
      </c>
      <c r="W31" s="2">
        <f>COUNTIFS('OB History S2'!$B:$B,$A$31,'OB History S2'!N:N, 1)</f>
        <v>6</v>
      </c>
      <c r="X31" s="2">
        <f>COUNTIFS('OB History S2'!$B:$B,$A$31,'OB History S2'!O:O, 1)</f>
        <v>0</v>
      </c>
      <c r="Y31" s="2">
        <f>COUNTIFS('OB History S2'!$B:$B,$A$31,'OB History S2'!P:P, 1)</f>
        <v>3</v>
      </c>
      <c r="Z31" s="2">
        <f>COUNTIFS('OB History S2'!$B:$B,$A$31,'OB History S2'!Q:Q, 1)</f>
        <v>2</v>
      </c>
      <c r="AA31" s="2">
        <f>COUNTIFS('OB History S2'!$B:$B,$A$31,'OB History S2'!R:R, 1)</f>
        <v>4</v>
      </c>
      <c r="AB31" s="2">
        <f>COUNTIFS('OB History S2'!$B:$B,$A$31,'OB History S2'!S:S, 1)</f>
        <v>2</v>
      </c>
      <c r="AC31" s="2">
        <f>COUNTIFS('OB History S2'!$B:$B,$A$31,'OB History S2'!T:T, 1)</f>
        <v>2</v>
      </c>
      <c r="AD31" s="2">
        <f>COUNTIFS('OB History S2'!$B:$B,$A$31,'OB History S2'!U:U, 1)</f>
        <v>1</v>
      </c>
      <c r="AE31" s="2">
        <f>COUNTIFS('OB History S2'!$B:$B,$A$31,'OB History S2'!V:V, 1)</f>
        <v>1</v>
      </c>
      <c r="AF31" s="2">
        <f>COUNTIFS('OB History S2'!$B:$B,$A$31,'OB History S2'!W:W, 1)</f>
        <v>4</v>
      </c>
      <c r="AG31" s="2">
        <f>COUNTIFS('OB History S2'!$B:$B,$A$31,'OB History S2'!X:X, 1)</f>
        <v>12</v>
      </c>
      <c r="AH31" s="2">
        <f>COUNTIFS('OB History S2'!$B:$B,$A$31,'OB History S2'!Y:Y, 1)</f>
        <v>7</v>
      </c>
      <c r="AI31" s="2">
        <f>COUNTIFS('OB History S2'!$B:$B,$A$31,'OB History S2'!Z:Z, 1)</f>
        <v>10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3</v>
      </c>
      <c r="E32" s="2">
        <v>1</v>
      </c>
      <c r="F32" s="2"/>
      <c r="G32" s="2"/>
      <c r="H32" s="34">
        <f>SUMIFS('OB History S2'!C:C,'OB History S2'!B:B,A32)</f>
        <v>444</v>
      </c>
      <c r="I32" s="4">
        <f>AVERAGEIFS('OB History S2'!C:C,'OB History S2'!B:B,A32)</f>
        <v>20.181818181818183</v>
      </c>
      <c r="J32" s="35">
        <f t="array" ref="J32">MAX(IF('OB History S2'!B:B=A32, 'OB History S2'!C:C))</f>
        <v>39</v>
      </c>
      <c r="K32" s="34">
        <f>COUNTIFS('OB History S2'!B:B,A32,'OB History S2'!D:D, 1)</f>
        <v>10</v>
      </c>
      <c r="L32" s="2">
        <f>COUNTIFS('OB History S2'!B:B,A32,'OB History S2'!D:D, 0)</f>
        <v>12</v>
      </c>
      <c r="M32" s="88">
        <f>LOOKUP(2, 1/('OB History S2'!$B:$B=A32), 'OB History S2'!$AD:$AD)</f>
        <v>0.45454545454545453</v>
      </c>
      <c r="N32" s="34">
        <f>SUMIFS('OB History S2'!F:F,'OB History S2'!B:B,A32)</f>
        <v>40</v>
      </c>
      <c r="O32" s="2">
        <f>SUMIFS('OB History S2'!E:E,'OB History S2'!B:B,A32)-N32</f>
        <v>46</v>
      </c>
      <c r="P32" s="88">
        <f>LOOKUP(2, 1/('OB History S2'!$B:$B=A32), 'OB History S2'!$AB:$AB)</f>
        <v>0.46136363636363631</v>
      </c>
      <c r="Q32" s="34">
        <f>SUMIFS('OB History S2'!H:H,'OB History S2'!B:B,A32)</f>
        <v>177</v>
      </c>
      <c r="R32" s="2">
        <f>SUMIFS('OB History S2'!G:G,'OB History S2'!B:B,A32)-Q32</f>
        <v>178</v>
      </c>
      <c r="S32" s="88">
        <f>LOOKUP(2, 1/('OB History S2'!$B:$B=A32), 'OB History S2'!$AC:$AC)</f>
        <v>0.49818181818181823</v>
      </c>
      <c r="T32" s="2">
        <f>COUNTIFS('OB History S2'!$B:$B,$A$32,'OB History S2'!K:K, 1)</f>
        <v>3</v>
      </c>
      <c r="U32" s="2">
        <f>COUNTIFS('OB History S2'!$B:$B,$A$32,'OB History S2'!L:L, 1)</f>
        <v>5</v>
      </c>
      <c r="V32" s="2">
        <f>COUNTIFS('OB History S2'!$B:$B,$A$32,'OB History S2'!M:M, 1)</f>
        <v>0</v>
      </c>
      <c r="W32" s="2">
        <f>COUNTIFS('OB History S2'!$B:$B,$A$32,'OB History S2'!N:N, 1)</f>
        <v>6</v>
      </c>
      <c r="X32" s="2">
        <f>COUNTIFS('OB History S2'!$B:$B,$A$32,'OB History S2'!O:O, 1)</f>
        <v>1</v>
      </c>
      <c r="Y32" s="2">
        <f>COUNTIFS('OB History S2'!$B:$B,$A$32,'OB History S2'!P:P, 1)</f>
        <v>4</v>
      </c>
      <c r="Z32" s="2">
        <f>COUNTIFS('OB History S2'!$B:$B,$A$32,'OB History S2'!Q:Q, 1)</f>
        <v>3</v>
      </c>
      <c r="AA32" s="2">
        <f>COUNTIFS('OB History S2'!$B:$B,$A$32,'OB History S2'!R:R, 1)</f>
        <v>1</v>
      </c>
      <c r="AB32" s="2">
        <f>COUNTIFS('OB History S2'!$B:$B,$A$32,'OB History S2'!S:S, 1)</f>
        <v>1</v>
      </c>
      <c r="AC32" s="2">
        <f>COUNTIFS('OB History S2'!$B:$B,$A$32,'OB History S2'!T:T, 1)</f>
        <v>1</v>
      </c>
      <c r="AD32" s="2">
        <f>COUNTIFS('OB History S2'!$B:$B,$A$32,'OB History S2'!U:U, 1)</f>
        <v>1</v>
      </c>
      <c r="AE32" s="2">
        <f>COUNTIFS('OB History S2'!$B:$B,$A$32,'OB History S2'!V:V, 1)</f>
        <v>1</v>
      </c>
      <c r="AF32" s="2">
        <f>COUNTIFS('OB History S2'!$B:$B,$A$32,'OB History S2'!W:W, 1)</f>
        <v>2</v>
      </c>
      <c r="AG32" s="2">
        <f>COUNTIFS('OB History S2'!$B:$B,$A$32,'OB History S2'!X:X, 1)</f>
        <v>5</v>
      </c>
      <c r="AH32" s="2">
        <f>COUNTIFS('OB History S2'!$B:$B,$A$32,'OB History S2'!Y:Y, 1)</f>
        <v>3</v>
      </c>
      <c r="AI32" s="2">
        <f>COUNTIFS('OB History S2'!$B:$B,$A$32,'OB History S2'!Z:Z, 1)</f>
        <v>3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31</v>
      </c>
      <c r="I33" s="4">
        <f>AVERAGEIFS('OB History S2'!C:C,'OB History S2'!B:B,A33)</f>
        <v>15.5</v>
      </c>
      <c r="J33" s="35">
        <f t="array" ref="J33">MAX(IF('OB History S2'!B:B=A33, 'OB History S2'!C:C))</f>
        <v>16</v>
      </c>
      <c r="K33" s="34">
        <f>COUNTIFS('OB History S2'!B:B,A33,'OB History S2'!D:D, 1)</f>
        <v>0</v>
      </c>
      <c r="L33" s="2">
        <f>COUNTIFS('OB History S2'!B:B,A33,'OB History S2'!D:D, 0)</f>
        <v>2</v>
      </c>
      <c r="M33" s="88">
        <f>LOOKUP(2, 1/('OB History S2'!$B:$B=A33), 'OB History S2'!$AD:$AD)</f>
        <v>0</v>
      </c>
      <c r="N33" s="34">
        <f>SUMIFS('OB History S2'!F:F,'OB History S2'!B:B,A33)</f>
        <v>2</v>
      </c>
      <c r="O33" s="2">
        <f>SUMIFS('OB History S2'!E:E,'OB History S2'!B:B,A33)-N33</f>
        <v>6</v>
      </c>
      <c r="P33" s="88">
        <f>LOOKUP(2, 1/('OB History S2'!$B:$B=A33), 'OB History S2'!$AB:$AB)</f>
        <v>0.25</v>
      </c>
      <c r="Q33" s="34">
        <f>SUMIFS('OB History S2'!H:H,'OB History S2'!B:B,A33)</f>
        <v>16</v>
      </c>
      <c r="R33" s="2">
        <f>SUMIFS('OB History S2'!G:G,'OB History S2'!B:B,A33)-Q33</f>
        <v>22</v>
      </c>
      <c r="S33" s="88">
        <f>LOOKUP(2, 1/('OB History S2'!$B:$B=A33), 'OB History S2'!$AC:$AC)</f>
        <v>0.42</v>
      </c>
      <c r="T33" s="2">
        <f>COUNTIFS('OB History S2'!$B:$B,$A$33,'OB History S2'!K:K, 1)</f>
        <v>0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0</v>
      </c>
      <c r="Z33" s="2">
        <f>COUNTIFS('OB History S2'!$B:$B,$A$33,'OB History S2'!Q:Q, 1)</f>
        <v>0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0</v>
      </c>
      <c r="AH33" s="2">
        <f>COUNTIFS('OB History S2'!$B:$B,$A$33,'OB History S2'!Y:Y, 1)</f>
        <v>1</v>
      </c>
      <c r="AI33" s="2">
        <f>COUNTIFS('OB History S2'!$B:$B,$A$33,'OB History S2'!Z:Z, 1)</f>
        <v>0</v>
      </c>
    </row>
    <row r="34" spans="1:35" x14ac:dyDescent="0.25">
      <c r="A34" s="2" t="s">
        <v>13</v>
      </c>
      <c r="B34" s="6" t="s">
        <v>124</v>
      </c>
      <c r="C34" s="6" t="s">
        <v>60</v>
      </c>
      <c r="D34" s="3">
        <v>7</v>
      </c>
      <c r="E34" s="6">
        <v>2</v>
      </c>
      <c r="F34" s="6">
        <v>1</v>
      </c>
      <c r="G34" s="6"/>
      <c r="H34" s="34">
        <f>SUMIFS('OB History S2'!C:C,'OB History S2'!B:B,A34)</f>
        <v>827</v>
      </c>
      <c r="I34" s="4">
        <f>AVERAGEIFS('OB History S2'!C:C,'OB History S2'!B:B,A34)</f>
        <v>24.323529411764707</v>
      </c>
      <c r="J34" s="35">
        <f t="array" ref="J34">MAX(IF('OB History S2'!B:B=A34, 'OB History S2'!C:C))</f>
        <v>58</v>
      </c>
      <c r="K34" s="34">
        <f>COUNTIFS('OB History S2'!B:B,A34,'OB History S2'!D:D, 1)</f>
        <v>22</v>
      </c>
      <c r="L34" s="2">
        <f>COUNTIFS('OB History S2'!B:B,A34,'OB History S2'!D:D, 0)</f>
        <v>12</v>
      </c>
      <c r="M34" s="88">
        <f>LOOKUP(2, 1/('OB History S2'!$B:$B=A34), 'OB History S2'!$AD:$AD)</f>
        <v>0.6470588235294118</v>
      </c>
      <c r="N34" s="34">
        <f>SUMIFS('OB History S2'!F:F,'OB History S2'!B:B,A34)</f>
        <v>80</v>
      </c>
      <c r="O34" s="2">
        <f>SUMIFS('OB History S2'!E:E,'OB History S2'!B:B,A34)-N34</f>
        <v>52</v>
      </c>
      <c r="P34" s="88">
        <f>LOOKUP(2, 1/('OB History S2'!$B:$B=A34), 'OB History S2'!$AB:$AB)</f>
        <v>0.61764705882352944</v>
      </c>
      <c r="Q34" s="34">
        <f>SUMIFS('OB History S2'!H:H,'OB History S2'!B:B,A34)</f>
        <v>304</v>
      </c>
      <c r="R34" s="2">
        <f>SUMIFS('OB History S2'!G:G,'OB History S2'!B:B,A34)-Q34</f>
        <v>237</v>
      </c>
      <c r="S34" s="88">
        <f>LOOKUP(2, 1/('OB History S2'!$B:$B=A34), 'OB History S2'!$AC:$AC)</f>
        <v>0.56705882352941173</v>
      </c>
      <c r="T34" s="2">
        <f>COUNTIFS('OB History S2'!$B:$B,$A$34,'OB History S2'!K:K, 1)</f>
        <v>6</v>
      </c>
      <c r="U34" s="2">
        <f>COUNTIFS('OB History S2'!$B:$B,$A$34,'OB History S2'!L:L, 1)</f>
        <v>5</v>
      </c>
      <c r="V34" s="2">
        <f>COUNTIFS('OB History S2'!$B:$B,$A$34,'OB History S2'!M:M, 1)</f>
        <v>2</v>
      </c>
      <c r="W34" s="2">
        <f>COUNTIFS('OB History S2'!$B:$B,$A$34,'OB History S2'!N:N, 1)</f>
        <v>9</v>
      </c>
      <c r="X34" s="2">
        <f>COUNTIFS('OB History S2'!$B:$B,$A$34,'OB History S2'!O:O, 1)</f>
        <v>0</v>
      </c>
      <c r="Y34" s="2">
        <f>COUNTIFS('OB History S2'!$B:$B,$A$34,'OB History S2'!P:P, 1)</f>
        <v>7</v>
      </c>
      <c r="Z34" s="2">
        <f>COUNTIFS('OB History S2'!$B:$B,$A$34,'OB History S2'!Q:Q, 1)</f>
        <v>1</v>
      </c>
      <c r="AA34" s="2">
        <f>COUNTIFS('OB History S2'!$B:$B,$A$34,'OB History S2'!R:R, 1)</f>
        <v>4</v>
      </c>
      <c r="AB34" s="2">
        <f>COUNTIFS('OB History S2'!$B:$B,$A$34,'OB History S2'!S:S, 1)</f>
        <v>1</v>
      </c>
      <c r="AC34" s="2">
        <f>COUNTIFS('OB History S2'!$B:$B,$A$34,'OB History S2'!T:T, 1)</f>
        <v>3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7</v>
      </c>
      <c r="AG34" s="2">
        <f>COUNTIFS('OB History S2'!$B:$B,$A$34,'OB History S2'!X:X, 1)</f>
        <v>11</v>
      </c>
      <c r="AH34" s="2">
        <f>COUNTIFS('OB History S2'!$B:$B,$A$34,'OB History S2'!Y:Y, 1)</f>
        <v>13</v>
      </c>
      <c r="AI34" s="2">
        <f>COUNTIFS('OB History S2'!$B:$B,$A$34,'OB History S2'!Z:Z, 1)</f>
        <v>9</v>
      </c>
    </row>
    <row r="35" spans="1:35" x14ac:dyDescent="0.25">
      <c r="A35" s="2" t="s">
        <v>2</v>
      </c>
      <c r="B35" s="6" t="s">
        <v>60</v>
      </c>
      <c r="C35" s="6" t="s">
        <v>79</v>
      </c>
      <c r="D35" s="3">
        <v>1</v>
      </c>
      <c r="E35" s="6"/>
      <c r="F35" s="6"/>
      <c r="G35" s="6"/>
      <c r="H35" s="34">
        <f>SUMIFS('OB History S2'!C:C,'OB History S2'!B:B,A35)</f>
        <v>194</v>
      </c>
      <c r="I35" s="4">
        <f>AVERAGEIFS('OB History S2'!C:C,'OB History S2'!B:B,A35)</f>
        <v>32.333333333333336</v>
      </c>
      <c r="J35" s="35">
        <f t="array" ref="J35">MAX(IF('OB History S2'!B:B=A35, 'OB History S2'!C:C))</f>
        <v>68</v>
      </c>
      <c r="K35" s="34">
        <f>COUNTIFS('OB History S2'!B:B,A35,'OB History S2'!D:D, 1)</f>
        <v>4</v>
      </c>
      <c r="L35" s="2">
        <f>COUNTIFS('OB History S2'!B:B,A35,'OB History S2'!D:D, 0)</f>
        <v>2</v>
      </c>
      <c r="M35" s="88">
        <f>LOOKUP(2, 1/('OB History S2'!$B:$B=A35), 'OB History S2'!$AD:$AD)</f>
        <v>0.66666666666666663</v>
      </c>
      <c r="N35" s="34">
        <f>SUMIFS('OB History S2'!F:F,'OB History S2'!B:B,A35)</f>
        <v>16</v>
      </c>
      <c r="O35" s="2">
        <f>SUMIFS('OB History S2'!E:E,'OB History S2'!B:B,A35)-N35</f>
        <v>6</v>
      </c>
      <c r="P35" s="88">
        <f>LOOKUP(2, 1/('OB History S2'!$B:$B=A35), 'OB History S2'!$AB:$AB)</f>
        <v>0.79999999999999993</v>
      </c>
      <c r="Q35" s="34">
        <f>SUMIFS('OB History S2'!H:H,'OB History S2'!B:B,A35)</f>
        <v>56</v>
      </c>
      <c r="R35" s="2">
        <f>SUMIFS('OB History S2'!G:G,'OB History S2'!B:B,A35)-Q35</f>
        <v>41</v>
      </c>
      <c r="S35" s="88">
        <f>LOOKUP(2, 1/('OB History S2'!$B:$B=A35), 'OB History S2'!$AC:$AC)</f>
        <v>0.60333333333333328</v>
      </c>
      <c r="T35" s="2">
        <f>COUNTIFS('OB History S2'!$B:$B,$A$35,'OB History S2'!K:K, 1)</f>
        <v>1</v>
      </c>
      <c r="U35" s="2">
        <f>COUNTIFS('OB History S2'!$B:$B,$A$35,'OB History S2'!L:L, 1)</f>
        <v>2</v>
      </c>
      <c r="V35" s="2">
        <f>COUNTIFS('OB History S2'!$B:$B,$A$35,'OB History S2'!M:M, 1)</f>
        <v>0</v>
      </c>
      <c r="W35" s="2">
        <f>COUNTIFS('OB History S2'!$B:$B,$A$35,'OB History S2'!N:N, 1)</f>
        <v>3</v>
      </c>
      <c r="X35" s="2">
        <f>COUNTIFS('OB History S2'!$B:$B,$A$35,'OB History S2'!O:O, 1)</f>
        <v>0</v>
      </c>
      <c r="Y35" s="2">
        <f>COUNTIFS('OB History S2'!$B:$B,$A$35,'OB History S2'!P:P, 1)</f>
        <v>1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3</v>
      </c>
      <c r="AH35" s="2">
        <f>COUNTIFS('OB History S2'!$B:$B,$A$35,'OB History S2'!Y:Y, 1)</f>
        <v>2</v>
      </c>
      <c r="AI35" s="2">
        <f>COUNTIFS('OB History S2'!$B:$B,$A$35,'OB History S2'!Z:Z, 1)</f>
        <v>4</v>
      </c>
    </row>
    <row r="36" spans="1:35" x14ac:dyDescent="0.25">
      <c r="A36" s="2" t="s">
        <v>5</v>
      </c>
      <c r="B36" s="6" t="s">
        <v>124</v>
      </c>
      <c r="C36" s="1" t="s">
        <v>159</v>
      </c>
      <c r="D36" s="3">
        <v>1</v>
      </c>
      <c r="E36" s="6"/>
      <c r="F36" s="6"/>
      <c r="G36" s="6"/>
      <c r="H36" s="34">
        <f>SUMIFS('OB History S2'!C:C,'OB History S2'!B:B,A36)</f>
        <v>294</v>
      </c>
      <c r="I36" s="4">
        <f>AVERAGEIFS('OB History S2'!C:C,'OB History S2'!B:B,A36)</f>
        <v>22.615384615384617</v>
      </c>
      <c r="J36" s="35">
        <f t="array" ref="J36">MAX(IF('OB History S2'!B:B=A36, 'OB History S2'!C:C))</f>
        <v>51</v>
      </c>
      <c r="K36" s="34">
        <f>COUNTIFS('OB History S2'!B:B,A36,'OB History S2'!D:D, 1)</f>
        <v>6</v>
      </c>
      <c r="L36" s="2">
        <f>COUNTIFS('OB History S2'!B:B,A36,'OB History S2'!D:D, 0)</f>
        <v>7</v>
      </c>
      <c r="M36" s="88">
        <f>LOOKUP(2, 1/('OB History S2'!$B:$B=A36), 'OB History S2'!$AD:$AD)</f>
        <v>0.46153846153846156</v>
      </c>
      <c r="N36" s="34">
        <f>SUMIFS('OB History S2'!F:F,'OB History S2'!B:B,A36)</f>
        <v>25</v>
      </c>
      <c r="O36" s="2">
        <f>SUMIFS('OB History S2'!E:E,'OB History S2'!B:B,A36)-N36</f>
        <v>27</v>
      </c>
      <c r="P36" s="88">
        <f>LOOKUP(2, 1/('OB History S2'!$B:$B=A36), 'OB History S2'!$AB:$AB)</f>
        <v>0.48846153846153845</v>
      </c>
      <c r="Q36" s="34">
        <f>SUMIFS('OB History S2'!H:H,'OB History S2'!B:B,A36)</f>
        <v>105</v>
      </c>
      <c r="R36" s="2">
        <f>SUMIFS('OB History S2'!G:G,'OB History S2'!B:B,A36)-Q36</f>
        <v>108</v>
      </c>
      <c r="S36" s="88">
        <f>LOOKUP(2, 1/('OB History S2'!$B:$B=A36), 'OB History S2'!$AC:$AC)</f>
        <v>0.49153846153846142</v>
      </c>
      <c r="T36" s="2">
        <f>COUNTIFS('OB History S2'!$B:$B,$A$36,'OB History S2'!K:K, 1)</f>
        <v>3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2</v>
      </c>
      <c r="Y36" s="2">
        <f>COUNTIFS('OB History S2'!$B:$B,$A$36,'OB History S2'!P:P, 1)</f>
        <v>3</v>
      </c>
      <c r="Z36" s="2">
        <f>COUNTIFS('OB History S2'!$B:$B,$A$36,'OB History S2'!Q:Q, 1)</f>
        <v>0</v>
      </c>
      <c r="AA36" s="2">
        <f>COUNTIFS('OB History S2'!$B:$B,$A$36,'OB History S2'!R:R, 1)</f>
        <v>1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2</v>
      </c>
      <c r="AG36" s="2">
        <f>COUNTIFS('OB History S2'!$B:$B,$A$36,'OB History S2'!X:X, 1)</f>
        <v>3</v>
      </c>
      <c r="AH36" s="2">
        <f>COUNTIFS('OB History S2'!$B:$B,$A$36,'OB History S2'!Y:Y, 1)</f>
        <v>2</v>
      </c>
      <c r="AI36" s="2">
        <f>COUNTIFS('OB History S2'!$B:$B,$A$36,'OB History S2'!Z:Z, 1)</f>
        <v>2</v>
      </c>
    </row>
    <row r="37" spans="1:35" x14ac:dyDescent="0.25">
      <c r="A37" s="2" t="s">
        <v>38</v>
      </c>
      <c r="B37" s="6" t="s">
        <v>79</v>
      </c>
      <c r="C37" s="6" t="s">
        <v>79</v>
      </c>
      <c r="D37" s="3">
        <v>1</v>
      </c>
      <c r="E37" s="6"/>
      <c r="F37" s="6"/>
      <c r="G37" s="6"/>
      <c r="H37" s="34">
        <f>SUMIFS('OB History S2'!C:C,'OB History S2'!B:B,A37)</f>
        <v>96</v>
      </c>
      <c r="I37" s="4">
        <f>AVERAGEIFS('OB History S2'!C:C,'OB History S2'!B:B,A37)</f>
        <v>10.666666666666666</v>
      </c>
      <c r="J37" s="35">
        <f t="array" ref="J37">MAX(IF('OB History S2'!B:B=A37, 'OB History S2'!C:C))</f>
        <v>28</v>
      </c>
      <c r="K37" s="34">
        <f>COUNTIFS('OB History S2'!B:B,A37,'OB History S2'!D:D, 1)</f>
        <v>5</v>
      </c>
      <c r="L37" s="2">
        <f>COUNTIFS('OB History S2'!B:B,A37,'OB History S2'!D:D, 0)</f>
        <v>4</v>
      </c>
      <c r="M37" s="88">
        <f>LOOKUP(2, 1/('OB History S2'!$B:$B=A37), 'OB History S2'!$AD:$AD)</f>
        <v>0.55555555555555558</v>
      </c>
      <c r="N37" s="34">
        <f>SUMIFS('OB History S2'!F:F,'OB History S2'!B:B,A37)</f>
        <v>19</v>
      </c>
      <c r="O37" s="2">
        <f>SUMIFS('OB History S2'!E:E,'OB History S2'!B:B,A37)-N37</f>
        <v>18</v>
      </c>
      <c r="P37" s="88">
        <f>LOOKUP(2, 1/('OB History S2'!$B:$B=A37), 'OB History S2'!$AB:$AB)</f>
        <v>0.48333333333333328</v>
      </c>
      <c r="Q37" s="34">
        <f>SUMIFS('OB History S2'!H:H,'OB History S2'!B:B,A37)</f>
        <v>77</v>
      </c>
      <c r="R37" s="2">
        <f>SUMIFS('OB History S2'!G:G,'OB History S2'!B:B,A37)-Q37</f>
        <v>76</v>
      </c>
      <c r="S37" s="88">
        <f>LOOKUP(2, 1/('OB History S2'!$B:$B=A37), 'OB History S2'!$AC:$AC)</f>
        <v>0.491111111111111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3</v>
      </c>
      <c r="X37" s="2">
        <f>COUNTIFS('OB History S2'!$B:$B,$A$37,'OB History S2'!O:O, 1)</f>
        <v>0</v>
      </c>
      <c r="Y37" s="2">
        <f>COUNTIFS('OB History S2'!$B:$B,$A$37,'OB History S2'!P:P, 1)</f>
        <v>2</v>
      </c>
      <c r="Z37" s="2">
        <f>COUNTIFS('OB History S2'!$B:$B,$A$37,'OB History S2'!Q:Q, 1)</f>
        <v>1</v>
      </c>
      <c r="AA37" s="2">
        <f>COUNTIFS('OB History S2'!$B:$B,$A$37,'OB History S2'!R:R, 1)</f>
        <v>2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1</v>
      </c>
      <c r="AG37" s="2">
        <f>COUNTIFS('OB History S2'!$B:$B,$A$37,'OB History S2'!X:X, 1)</f>
        <v>4</v>
      </c>
      <c r="AH37" s="2">
        <f>COUNTIFS('OB History S2'!$B:$B,$A$37,'OB History S2'!Y:Y, 1)</f>
        <v>3</v>
      </c>
      <c r="AI37" s="2">
        <f>COUNTIFS('OB History S2'!$B:$B,$A$37,'OB History S2'!Z:Z, 1)</f>
        <v>3</v>
      </c>
    </row>
    <row r="38" spans="1:35" x14ac:dyDescent="0.25">
      <c r="A38" s="2" t="s">
        <v>141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222</v>
      </c>
      <c r="I38" s="4">
        <f>AVERAGEIFS('OB History S2'!C:C,'OB History S2'!B:B,A38)</f>
        <v>17.076923076923077</v>
      </c>
      <c r="J38" s="35">
        <f t="array" ref="J38">MAX(IF('OB History S2'!B:B=A38, 'OB History S2'!C:C))</f>
        <v>33</v>
      </c>
      <c r="K38" s="34">
        <f>COUNTIFS('OB History S2'!B:B,A38,'OB History S2'!D:D, 1)</f>
        <v>5</v>
      </c>
      <c r="L38" s="2">
        <f>COUNTIFS('OB History S2'!B:B,A38,'OB History S2'!D:D, 0)</f>
        <v>8</v>
      </c>
      <c r="M38" s="88">
        <f>LOOKUP(2, 1/('OB History S2'!$B:$B=A38), 'OB History S2'!$AD:$AD)</f>
        <v>0.38461538461538464</v>
      </c>
      <c r="N38" s="34">
        <f>SUMIFS('OB History S2'!F:F,'OB History S2'!B:B,A38)</f>
        <v>22</v>
      </c>
      <c r="O38" s="2">
        <f>SUMIFS('OB History S2'!E:E,'OB History S2'!B:B,A38)-N38</f>
        <v>28</v>
      </c>
      <c r="P38" s="88">
        <f>LOOKUP(2, 1/('OB History S2'!$B:$B=A38), 'OB History S2'!$AB:$AB)</f>
        <v>0.44615384615384612</v>
      </c>
      <c r="Q38" s="34">
        <f>SUMIFS('OB History S2'!H:H,'OB History S2'!B:B,A38)</f>
        <v>101</v>
      </c>
      <c r="R38" s="2">
        <f>SUMIFS('OB History S2'!G:G,'OB History S2'!B:B,A38)-Q38</f>
        <v>110</v>
      </c>
      <c r="S38" s="88">
        <f>LOOKUP(2, 1/('OB History S2'!$B:$B=A38), 'OB History S2'!$AC:$AC)</f>
        <v>0.48076923076923078</v>
      </c>
      <c r="T38" s="2">
        <f>COUNTIFS('OB History S2'!$B:$B,$A$38,'OB History S2'!K:K, 1)</f>
        <v>3</v>
      </c>
      <c r="U38" s="2">
        <f>COUNTIFS('OB History S2'!$B:$B,$A$38,'OB History S2'!L:L, 1)</f>
        <v>2</v>
      </c>
      <c r="V38" s="2">
        <f>COUNTIFS('OB History S2'!$B:$B,$A$38,'OB History S2'!M:M, 1)</f>
        <v>0</v>
      </c>
      <c r="W38" s="2">
        <f>COUNTIFS('OB History S2'!$B:$B,$A$38,'OB History S2'!N:N, 1)</f>
        <v>3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2</v>
      </c>
      <c r="AA38" s="2">
        <f>COUNTIFS('OB History S2'!$B:$B,$A$38,'OB History S2'!R:R, 1)</f>
        <v>1</v>
      </c>
      <c r="AB38" s="2">
        <f>COUNTIFS('OB History S2'!$B:$B,$A$38,'OB History S2'!S:S, 1)</f>
        <v>0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2</v>
      </c>
      <c r="AG38" s="2">
        <f>COUNTIFS('OB History S2'!$B:$B,$A$38,'OB History S2'!X:X, 1)</f>
        <v>2</v>
      </c>
      <c r="AH38" s="2">
        <f>COUNTIFS('OB History S2'!$B:$B,$A$38,'OB History S2'!Y:Y, 1)</f>
        <v>2</v>
      </c>
      <c r="AI38" s="2">
        <f>COUNTIFS('OB History S2'!$B:$B,$A$38,'OB History S2'!Z:Z, 1)</f>
        <v>2</v>
      </c>
    </row>
    <row r="39" spans="1:35" x14ac:dyDescent="0.25">
      <c r="A39" s="2" t="s">
        <v>40</v>
      </c>
      <c r="B39" s="2" t="s">
        <v>79</v>
      </c>
      <c r="C39" s="2" t="s">
        <v>79</v>
      </c>
      <c r="D39" s="3">
        <v>1</v>
      </c>
      <c r="E39" s="2"/>
      <c r="F39" s="2"/>
      <c r="G39" s="2"/>
      <c r="H39" s="34">
        <f>SUMIFS('OB History S2'!C:C,'OB History S2'!B:B,A39)</f>
        <v>277</v>
      </c>
      <c r="I39" s="4">
        <f>AVERAGEIFS('OB History S2'!C:C,'OB History S2'!B:B,A39)</f>
        <v>19.785714285714285</v>
      </c>
      <c r="J39" s="35">
        <f t="array" ref="J39">MAX(IF('OB History S2'!B:B=A39, 'OB History S2'!C:C))</f>
        <v>40</v>
      </c>
      <c r="K39" s="34">
        <f>COUNTIFS('OB History S2'!B:B,A39,'OB History S2'!D:D, 1)</f>
        <v>8</v>
      </c>
      <c r="L39" s="2">
        <f>COUNTIFS('OB History S2'!B:B,A39,'OB History S2'!D:D, 0)</f>
        <v>6</v>
      </c>
      <c r="M39" s="88">
        <f>LOOKUP(2, 1/('OB History S2'!$B:$B=A39), 'OB History S2'!$AD:$AD)</f>
        <v>0.5714285714285714</v>
      </c>
      <c r="N39" s="34">
        <f>SUMIFS('OB History S2'!F:F,'OB History S2'!B:B,A39)</f>
        <v>33</v>
      </c>
      <c r="O39" s="2">
        <f>SUMIFS('OB History S2'!E:E,'OB History S2'!B:B,A39)-N39</f>
        <v>26</v>
      </c>
      <c r="P39" s="88">
        <f>LOOKUP(2, 1/('OB History S2'!$B:$B=A39), 'OB History S2'!$AB:$AB)</f>
        <v>0.58214285714285707</v>
      </c>
      <c r="Q39" s="34">
        <f>SUMIFS('OB History S2'!H:H,'OB History S2'!B:B,A39)</f>
        <v>123</v>
      </c>
      <c r="R39" s="2">
        <f>SUMIFS('OB History S2'!G:G,'OB History S2'!B:B,A39)-Q39</f>
        <v>120</v>
      </c>
      <c r="S39" s="88">
        <f>LOOKUP(2, 1/('OB History S2'!$B:$B=A39), 'OB History S2'!$AC:$AC)</f>
        <v>0.50928571428571423</v>
      </c>
      <c r="T39" s="2">
        <f>COUNTIFS('OB History S2'!$B:$B,$A$39,'OB History S2'!K:K, 1)</f>
        <v>3</v>
      </c>
      <c r="U39" s="2">
        <f>COUNTIFS('OB History S2'!$B:$B,$A$39,'OB History S2'!L:L, 1)</f>
        <v>2</v>
      </c>
      <c r="V39" s="2">
        <f>COUNTIFS('OB History S2'!$B:$B,$A$39,'OB History S2'!M:M, 1)</f>
        <v>4</v>
      </c>
      <c r="W39" s="2">
        <f>COUNTIFS('OB History S2'!$B:$B,$A$39,'OB History S2'!N:N, 1)</f>
        <v>3</v>
      </c>
      <c r="X39" s="2">
        <f>COUNTIFS('OB History S2'!$B:$B,$A$39,'OB History S2'!O:O, 1)</f>
        <v>2</v>
      </c>
      <c r="Y39" s="2">
        <f>COUNTIFS('OB History S2'!$B:$B,$A$39,'OB History S2'!P:P, 1)</f>
        <v>2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5</v>
      </c>
      <c r="AH39" s="2">
        <f>COUNTIFS('OB History S2'!$B:$B,$A$39,'OB History S2'!Y:Y, 1)</f>
        <v>4</v>
      </c>
      <c r="AI39" s="2">
        <f>COUNTIFS('OB History S2'!$B:$B,$A$39,'OB History S2'!Z:Z, 1)</f>
        <v>4</v>
      </c>
    </row>
    <row r="40" spans="1:35" x14ac:dyDescent="0.25">
      <c r="A40" s="2" t="s">
        <v>147</v>
      </c>
      <c r="B40" s="2" t="s">
        <v>79</v>
      </c>
      <c r="C40" s="2" t="s">
        <v>79</v>
      </c>
      <c r="D40" s="3"/>
      <c r="E40" s="2"/>
      <c r="F40" s="2"/>
      <c r="G40" s="2"/>
      <c r="H40" s="34">
        <f>SUMIFS('OB History S2'!C:C,'OB History S2'!B:B,A40)</f>
        <v>156</v>
      </c>
      <c r="I40" s="4">
        <f>AVERAGEIFS('OB History S2'!C:C,'OB History S2'!B:B,A40)</f>
        <v>17.333333333333332</v>
      </c>
      <c r="J40" s="35">
        <f t="array" ref="J40">MAX(IF('OB History S2'!B:B=A40, 'OB History S2'!C:C))</f>
        <v>35</v>
      </c>
      <c r="K40" s="34">
        <f>COUNTIFS('OB History S2'!B:B,A40,'OB History S2'!D:D, 1)</f>
        <v>4</v>
      </c>
      <c r="L40" s="2">
        <f>COUNTIFS('OB History S2'!B:B,A40,'OB History S2'!D:D, 0)</f>
        <v>5</v>
      </c>
      <c r="M40" s="88">
        <f>LOOKUP(2, 1/('OB History S2'!$B:$B=A40), 'OB History S2'!$AD:$AD)</f>
        <v>0.44444444444444442</v>
      </c>
      <c r="N40" s="34">
        <f>SUMIFS('OB History S2'!F:F,'OB History S2'!B:B,A40)</f>
        <v>14</v>
      </c>
      <c r="O40" s="2">
        <f>SUMIFS('OB History S2'!E:E,'OB History S2'!B:B,A40)-N40</f>
        <v>19</v>
      </c>
      <c r="P40" s="88">
        <f>LOOKUP(2, 1/('OB History S2'!$B:$B=A40), 'OB History S2'!$AB:$AB)</f>
        <v>0.3888888888888889</v>
      </c>
      <c r="Q40" s="34">
        <f>SUMIFS('OB History S2'!H:H,'OB History S2'!B:B,A40)</f>
        <v>65</v>
      </c>
      <c r="R40" s="2">
        <f>SUMIFS('OB History S2'!G:G,'OB History S2'!B:B,A40)-Q40</f>
        <v>74</v>
      </c>
      <c r="S40" s="88">
        <f>LOOKUP(2, 1/('OB History S2'!$B:$B=A40), 'OB History S2'!$AC:$AC)</f>
        <v>0.44999999999999996</v>
      </c>
      <c r="T40" s="2">
        <f>COUNTIFS('OB History S2'!$B:$B,$A$40,'OB History S2'!K:K, 1)</f>
        <v>2</v>
      </c>
      <c r="U40" s="2">
        <f>COUNTIFS('OB History S2'!$B:$B,$A$40,'OB History S2'!L:L, 1)</f>
        <v>1</v>
      </c>
      <c r="V40" s="2">
        <f>COUNTIFS('OB History S2'!$B:$B,$A$40,'OB History S2'!M:M, 1)</f>
        <v>2</v>
      </c>
      <c r="W40" s="2">
        <f>COUNTIFS('OB History S2'!$B:$B,$A$40,'OB History S2'!N:N, 1)</f>
        <v>2</v>
      </c>
      <c r="X40" s="2">
        <f>COUNTIFS('OB History S2'!$B:$B,$A$40,'OB History S2'!O:O, 1)</f>
        <v>1</v>
      </c>
      <c r="Y40" s="2">
        <f>COUNTIFS('OB History S2'!$B:$B,$A$40,'OB History S2'!P:P, 1)</f>
        <v>1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0</v>
      </c>
      <c r="AG40" s="2">
        <f>COUNTIFS('OB History S2'!$B:$B,$A$40,'OB History S2'!X:X, 1)</f>
        <v>1</v>
      </c>
      <c r="AH40" s="2">
        <f>COUNTIFS('OB History S2'!$B:$B,$A$40,'OB History S2'!Y:Y, 1)</f>
        <v>1</v>
      </c>
      <c r="AI40" s="2">
        <f>COUNTIFS('OB History S2'!$B:$B,$A$40,'OB History S2'!Z:Z, 1)</f>
        <v>1</v>
      </c>
    </row>
    <row r="41" spans="1:35" x14ac:dyDescent="0.25">
      <c r="A41" s="2" t="s">
        <v>17</v>
      </c>
      <c r="B41" s="2" t="s">
        <v>79</v>
      </c>
      <c r="C41" s="2" t="s">
        <v>79</v>
      </c>
      <c r="D41" s="3">
        <v>13</v>
      </c>
      <c r="E41" s="2">
        <v>3</v>
      </c>
      <c r="F41" s="2"/>
      <c r="G41" s="2"/>
      <c r="H41" s="34">
        <f>SUMIFS('OB History S2'!C:C,'OB History S2'!B:B,A41)</f>
        <v>632</v>
      </c>
      <c r="I41" s="4">
        <f>AVERAGEIFS('OB History S2'!C:C,'OB History S2'!B:B,A41)</f>
        <v>22.571428571428573</v>
      </c>
      <c r="J41" s="35">
        <f t="array" ref="J41">MAX(IF('OB History S2'!B:B=A41, 'OB History S2'!C:C))</f>
        <v>58</v>
      </c>
      <c r="K41" s="34">
        <f>COUNTIFS('OB History S2'!B:B,A41,'OB History S2'!D:D, 1)</f>
        <v>12</v>
      </c>
      <c r="L41" s="2">
        <f>COUNTIFS('OB History S2'!B:B,A41,'OB History S2'!D:D, 0)</f>
        <v>16</v>
      </c>
      <c r="M41" s="88">
        <f>LOOKUP(2, 1/('OB History S2'!$B:$B=A41), 'OB History S2'!$AD:$AD)</f>
        <v>0.42857142857142855</v>
      </c>
      <c r="N41" s="34">
        <f>SUMIFS('OB History S2'!F:F,'OB History S2'!B:B,A41)</f>
        <v>46</v>
      </c>
      <c r="O41" s="2">
        <f>SUMIFS('OB History S2'!E:E,'OB History S2'!B:B,A41)-N41</f>
        <v>62</v>
      </c>
      <c r="P41" s="88">
        <f>LOOKUP(2, 1/('OB History S2'!$B:$B=A41), 'OB History S2'!$AB:$AB)</f>
        <v>0.40714285714285714</v>
      </c>
      <c r="Q41" s="34">
        <f>SUMIFS('OB History S2'!H:H,'OB History S2'!B:B,A41)</f>
        <v>213</v>
      </c>
      <c r="R41" s="2">
        <f>SUMIFS('OB History S2'!G:G,'OB History S2'!B:B,A41)-Q41</f>
        <v>233</v>
      </c>
      <c r="S41" s="88">
        <f>LOOKUP(2, 1/('OB History S2'!$B:$B=A41), 'OB History S2'!$AC:$AC)</f>
        <v>0.47214285714285703</v>
      </c>
      <c r="T41" s="2">
        <f>COUNTIFS('OB History S2'!$B:$B,$A$41,'OB History S2'!K:K, 1)</f>
        <v>1</v>
      </c>
      <c r="U41" s="2">
        <f>COUNTIFS('OB History S2'!$B:$B,$A$41,'OB History S2'!L:L, 1)</f>
        <v>5</v>
      </c>
      <c r="V41" s="2">
        <f>COUNTIFS('OB History S2'!$B:$B,$A$41,'OB History S2'!M:M, 1)</f>
        <v>1</v>
      </c>
      <c r="W41" s="2">
        <f>COUNTIFS('OB History S2'!$B:$B,$A$41,'OB History S2'!N:N, 1)</f>
        <v>3</v>
      </c>
      <c r="X41" s="2">
        <f>COUNTIFS('OB History S2'!$B:$B,$A$41,'OB History S2'!O:O, 1)</f>
        <v>1</v>
      </c>
      <c r="Y41" s="2">
        <f>COUNTIFS('OB History S2'!$B:$B,$A$41,'OB History S2'!P:P, 1)</f>
        <v>0</v>
      </c>
      <c r="Z41" s="2">
        <f>COUNTIFS('OB History S2'!$B:$B,$A$41,'OB History S2'!Q:Q, 1)</f>
        <v>3</v>
      </c>
      <c r="AA41" s="2">
        <f>COUNTIFS('OB History S2'!$B:$B,$A$41,'OB History S2'!R:R, 1)</f>
        <v>6</v>
      </c>
      <c r="AB41" s="2">
        <f>COUNTIFS('OB History S2'!$B:$B,$A$41,'OB History S2'!S:S, 1)</f>
        <v>0</v>
      </c>
      <c r="AC41" s="2">
        <f>COUNTIFS('OB History S2'!$B:$B,$A$41,'OB History S2'!T:T, 1)</f>
        <v>2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1</v>
      </c>
      <c r="AG41" s="2">
        <f>COUNTIFS('OB History S2'!$B:$B,$A$41,'OB History S2'!X:X, 1)</f>
        <v>12</v>
      </c>
      <c r="AH41" s="2">
        <f>COUNTIFS('OB History S2'!$B:$B,$A$41,'OB History S2'!Y:Y, 1)</f>
        <v>3</v>
      </c>
      <c r="AI41" s="2">
        <f>COUNTIFS('OB History S2'!$B:$B,$A$41,'OB History S2'!Z:Z, 1)</f>
        <v>7</v>
      </c>
    </row>
    <row r="42" spans="1:35" x14ac:dyDescent="0.25">
      <c r="A42" s="2" t="s">
        <v>155</v>
      </c>
      <c r="B42" s="2" t="s">
        <v>60</v>
      </c>
      <c r="C42" s="2" t="s">
        <v>79</v>
      </c>
      <c r="D42" s="3">
        <v>8</v>
      </c>
      <c r="E42" s="3">
        <v>1</v>
      </c>
      <c r="F42" s="3"/>
      <c r="G42" s="3"/>
      <c r="H42" s="34">
        <f>SUMIFS('OB History S2'!C:C,'OB History S2'!B:B,A42)</f>
        <v>525</v>
      </c>
      <c r="I42" s="4">
        <f>AVERAGEIFS('OB History S2'!C:C,'OB History S2'!B:B,A42)</f>
        <v>18.103448275862068</v>
      </c>
      <c r="J42" s="35">
        <f t="array" ref="J42">MAX(IF('OB History S2'!B:B=A42, 'OB History S2'!C:C))</f>
        <v>43</v>
      </c>
      <c r="K42" s="34">
        <f>COUNTIFS('OB History S2'!B:B,A42,'OB History S2'!D:D, 1)</f>
        <v>9</v>
      </c>
      <c r="L42" s="2">
        <f>COUNTIFS('OB History S2'!B:B,A42,'OB History S2'!D:D, 0)</f>
        <v>20</v>
      </c>
      <c r="M42" s="88">
        <f>LOOKUP(2, 1/('OB History S2'!$B:$B=A42), 'OB History S2'!$AD:$AD)</f>
        <v>0.31034482758620691</v>
      </c>
      <c r="N42" s="34">
        <f>SUMIFS('OB History S2'!F:F,'OB History S2'!B:B,A42)</f>
        <v>47</v>
      </c>
      <c r="O42" s="2">
        <f>SUMIFS('OB History S2'!E:E,'OB History S2'!B:B,A42)-N42</f>
        <v>72</v>
      </c>
      <c r="P42" s="88">
        <f>LOOKUP(2, 1/('OB History S2'!$B:$B=A42), 'OB History S2'!$AB:$AB)</f>
        <v>0.37413793103448273</v>
      </c>
      <c r="Q42" s="34">
        <f>SUMIFS('OB History S2'!H:H,'OB History S2'!B:B,A42)</f>
        <v>228</v>
      </c>
      <c r="R42" s="2">
        <f>SUMIFS('OB History S2'!G:G,'OB History S2'!B:B,A42)-Q42</f>
        <v>258</v>
      </c>
      <c r="S42" s="88">
        <f>LOOKUP(2, 1/('OB History S2'!$B:$B=A42), 'OB History S2'!$AC:$AC)</f>
        <v>0.45758620689655183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2</v>
      </c>
      <c r="W42" s="2">
        <f>COUNTIFS('OB History S2'!$B:$B,$A$42,'OB History S2'!N:N, 1)</f>
        <v>8</v>
      </c>
      <c r="X42" s="2">
        <f>COUNTIFS('OB History S2'!$B:$B,$A$42,'OB History S2'!O:O, 1)</f>
        <v>3</v>
      </c>
      <c r="Y42" s="2">
        <f>COUNTIFS('OB History S2'!$B:$B,$A$42,'OB History S2'!P:P, 1)</f>
        <v>5</v>
      </c>
      <c r="Z42" s="2">
        <f>COUNTIFS('OB History S2'!$B:$B,$A$42,'OB History S2'!Q:Q, 1)</f>
        <v>1</v>
      </c>
      <c r="AA42" s="2">
        <f>COUNTIFS('OB History S2'!$B:$B,$A$42,'OB History S2'!R:R, 1)</f>
        <v>1</v>
      </c>
      <c r="AB42" s="2">
        <f>COUNTIFS('OB History S2'!$B:$B,$A$42,'OB History S2'!S:S, 1)</f>
        <v>1</v>
      </c>
      <c r="AC42" s="2">
        <f>COUNTIFS('OB History S2'!$B:$B,$A$42,'OB History S2'!T:T, 1)</f>
        <v>3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3</v>
      </c>
      <c r="AG42" s="2">
        <f>COUNTIFS('OB History S2'!$B:$B,$A$42,'OB History S2'!X:X, 1)</f>
        <v>5</v>
      </c>
      <c r="AH42" s="2">
        <f>COUNTIFS('OB History S2'!$B:$B,$A$42,'OB History S2'!Y:Y, 1)</f>
        <v>5</v>
      </c>
      <c r="AI42" s="2">
        <f>COUNTIFS('OB History S2'!$B:$B,$A$42,'OB History S2'!Z:Z, 1)</f>
        <v>3</v>
      </c>
    </row>
    <row r="43" spans="1:35" x14ac:dyDescent="0.25">
      <c r="A43" s="2" t="s">
        <v>6</v>
      </c>
      <c r="B43" s="2" t="s">
        <v>60</v>
      </c>
      <c r="C43" s="2" t="s">
        <v>79</v>
      </c>
      <c r="D43" s="3">
        <v>1</v>
      </c>
      <c r="E43" s="2">
        <v>1</v>
      </c>
      <c r="F43" s="2"/>
      <c r="G43" s="2"/>
      <c r="H43" s="34">
        <f>SUMIFS('OB History S2'!C:C,'OB History S2'!B:B,A43)</f>
        <v>365</v>
      </c>
      <c r="I43" s="4">
        <f>AVERAGEIFS('OB History S2'!C:C,'OB History S2'!B:B,A43)</f>
        <v>26.071428571428573</v>
      </c>
      <c r="J43" s="35">
        <f t="array" ref="J43">MAX(IF('OB History S2'!B:B=A43, 'OB History S2'!C:C))</f>
        <v>66</v>
      </c>
      <c r="K43" s="34">
        <f>COUNTIFS('OB History S2'!B:B,A43,'OB History S2'!D:D, 1)</f>
        <v>9</v>
      </c>
      <c r="L43" s="2">
        <f>COUNTIFS('OB History S2'!B:B,A43,'OB History S2'!D:D, 0)</f>
        <v>5</v>
      </c>
      <c r="M43" s="88">
        <f>LOOKUP(2, 1/('OB History S2'!$B:$B=A43), 'OB History S2'!$AD:$AD)</f>
        <v>0.6428571428571429</v>
      </c>
      <c r="N43" s="34">
        <f>SUMIFS('OB History S2'!F:F,'OB History S2'!B:B,A43)</f>
        <v>34</v>
      </c>
      <c r="O43" s="2">
        <f>SUMIFS('OB History S2'!E:E,'OB History S2'!B:B,A43)-N43</f>
        <v>22</v>
      </c>
      <c r="P43" s="88">
        <f>LOOKUP(2, 1/('OB History S2'!$B:$B=A43), 'OB History S2'!$AB:$AB)</f>
        <v>0.63571428571428557</v>
      </c>
      <c r="Q43" s="34">
        <f>SUMIFS('OB History S2'!H:H,'OB History S2'!B:B,A43)</f>
        <v>133</v>
      </c>
      <c r="R43" s="2">
        <f>SUMIFS('OB History S2'!G:G,'OB History S2'!B:B,A43)-Q43</f>
        <v>102</v>
      </c>
      <c r="S43" s="88">
        <f>LOOKUP(2, 1/('OB History S2'!$B:$B=A43), 'OB History S2'!$AC:$AC)</f>
        <v>0.57785714285714285</v>
      </c>
      <c r="T43" s="2">
        <f>COUNTIFS('OB History S2'!$B:$B,$A$43,'OB History S2'!K:K, 1)</f>
        <v>2</v>
      </c>
      <c r="U43" s="2">
        <f>COUNTIFS('OB History S2'!$B:$B,$A$43,'OB History S2'!L:L, 1)</f>
        <v>3</v>
      </c>
      <c r="V43" s="2">
        <f>COUNTIFS('OB History S2'!$B:$B,$A$43,'OB History S2'!M:M, 1)</f>
        <v>5</v>
      </c>
      <c r="W43" s="2">
        <f>COUNTIFS('OB History S2'!$B:$B,$A$43,'OB History S2'!N:N, 1)</f>
        <v>4</v>
      </c>
      <c r="X43" s="2">
        <f>COUNTIFS('OB History S2'!$B:$B,$A$43,'OB History S2'!O:O, 1)</f>
        <v>2</v>
      </c>
      <c r="Y43" s="2">
        <f>COUNTIFS('OB History S2'!$B:$B,$A$43,'OB History S2'!P:P, 1)</f>
        <v>2</v>
      </c>
      <c r="Z43" s="2">
        <f>COUNTIFS('OB History S2'!$B:$B,$A$43,'OB History S2'!Q:Q, 1)</f>
        <v>3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2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2</v>
      </c>
      <c r="AH43" s="2">
        <f>COUNTIFS('OB History S2'!$B:$B,$A$43,'OB History S2'!Y:Y, 1)</f>
        <v>4</v>
      </c>
      <c r="AI43" s="2">
        <f>COUNTIFS('OB History S2'!$B:$B,$A$43,'OB History S2'!Z:Z, 1)</f>
        <v>3</v>
      </c>
    </row>
    <row r="44" spans="1:35" x14ac:dyDescent="0.25">
      <c r="A44" s="2" t="s">
        <v>18</v>
      </c>
      <c r="B44" s="2" t="s">
        <v>60</v>
      </c>
      <c r="C44" s="2" t="s">
        <v>79</v>
      </c>
      <c r="D44" s="3">
        <v>6</v>
      </c>
      <c r="E44" s="2">
        <v>4</v>
      </c>
      <c r="F44" s="2"/>
      <c r="G44" s="2">
        <v>1</v>
      </c>
      <c r="H44" s="34">
        <f>SUMIFS('OB History S2'!C:C,'OB History S2'!B:B,A44)</f>
        <v>490</v>
      </c>
      <c r="I44" s="4">
        <f>AVERAGEIFS('OB History S2'!C:C,'OB History S2'!B:B,A44)</f>
        <v>28.823529411764707</v>
      </c>
      <c r="J44" s="35">
        <f t="array" ref="J44">MAX(IF('OB History S2'!B:B=A44, 'OB History S2'!C:C))</f>
        <v>58</v>
      </c>
      <c r="K44" s="34">
        <f>COUNTIFS('OB History S2'!B:B,A44,'OB History S2'!D:D, 1)</f>
        <v>10</v>
      </c>
      <c r="L44" s="2">
        <f>COUNTIFS('OB History S2'!B:B,A44,'OB History S2'!D:D, 0)</f>
        <v>7</v>
      </c>
      <c r="M44" s="88">
        <f>LOOKUP(2, 1/('OB History S2'!$B:$B=A44), 'OB History S2'!$AD:$AD)</f>
        <v>0.58823529411764708</v>
      </c>
      <c r="N44" s="34">
        <f>SUMIFS('OB History S2'!F:F,'OB History S2'!B:B,A44)</f>
        <v>37</v>
      </c>
      <c r="O44" s="2">
        <f>SUMIFS('OB History S2'!E:E,'OB History S2'!B:B,A44)-N44</f>
        <v>31</v>
      </c>
      <c r="P44" s="88">
        <f>LOOKUP(2, 1/('OB History S2'!$B:$B=A44), 'OB History S2'!$AB:$AB)</f>
        <v>0.54411764705882348</v>
      </c>
      <c r="Q44" s="34">
        <f>SUMIFS('OB History S2'!H:H,'OB History S2'!B:B,A44)</f>
        <v>146</v>
      </c>
      <c r="R44" s="2">
        <f>SUMIFS('OB History S2'!G:G,'OB History S2'!B:B,A44)-Q44</f>
        <v>135</v>
      </c>
      <c r="S44" s="88">
        <f>LOOKUP(2, 1/('OB History S2'!$B:$B=A44), 'OB History S2'!$AC:$AC)</f>
        <v>0.52588235294117658</v>
      </c>
      <c r="T44" s="2">
        <f>COUNTIFS('OB History S2'!$B:$B,$A$44,'OB History S2'!K:K, 1)</f>
        <v>3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5</v>
      </c>
      <c r="X44" s="2">
        <f>COUNTIFS('OB History S2'!$B:$B,$A$44,'OB History S2'!O:O, 1)</f>
        <v>2</v>
      </c>
      <c r="Y44" s="2">
        <f>COUNTIFS('OB History S2'!$B:$B,$A$44,'OB History S2'!P:P, 1)</f>
        <v>4</v>
      </c>
      <c r="Z44" s="2">
        <f>COUNTIFS('OB History S2'!$B:$B,$A$44,'OB History S2'!Q:Q, 1)</f>
        <v>2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1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4</v>
      </c>
      <c r="AH44" s="2">
        <f>COUNTIFS('OB History S2'!$B:$B,$A$44,'OB History S2'!Y:Y, 1)</f>
        <v>4</v>
      </c>
      <c r="AI44" s="2">
        <f>COUNTIFS('OB History S2'!$B:$B,$A$44,'OB History S2'!Z:Z, 1)</f>
        <v>4</v>
      </c>
    </row>
    <row r="45" spans="1:35" x14ac:dyDescent="0.25">
      <c r="A45" s="2" t="s">
        <v>113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297</v>
      </c>
      <c r="I45" s="4">
        <f>AVERAGEIFS('OB History S2'!C:C,'OB History S2'!B:B,A45)</f>
        <v>21.214285714285715</v>
      </c>
      <c r="J45" s="35">
        <f t="array" ref="J45">MAX(IF('OB History S2'!B:B=A45, 'OB History S2'!C:C))</f>
        <v>50</v>
      </c>
      <c r="K45" s="34">
        <f>COUNTIFS('OB History S2'!B:B,A45,'OB History S2'!D:D, 1)</f>
        <v>9</v>
      </c>
      <c r="L45" s="2">
        <f>COUNTIFS('OB History S2'!B:B,A45,'OB History S2'!D:D, 0)</f>
        <v>5</v>
      </c>
      <c r="M45" s="88">
        <f>LOOKUP(2, 1/('OB History S2'!$B:$B=A45), 'OB History S2'!$AD:$AD)</f>
        <v>0.6428571428571429</v>
      </c>
      <c r="N45" s="34">
        <f>SUMIFS('OB History S2'!F:F,'OB History S2'!B:B,A45)</f>
        <v>30</v>
      </c>
      <c r="O45" s="2">
        <f>SUMIFS('OB History S2'!E:E,'OB History S2'!B:B,A45)-N45</f>
        <v>22</v>
      </c>
      <c r="P45" s="88">
        <f>LOOKUP(2, 1/('OB History S2'!$B:$B=A45), 'OB History S2'!$AB:$AB)</f>
        <v>0.57857142857142851</v>
      </c>
      <c r="Q45" s="34">
        <f>SUMIFS('OB History S2'!H:H,'OB History S2'!B:B,A45)</f>
        <v>114</v>
      </c>
      <c r="R45" s="2">
        <f>SUMIFS('OB History S2'!G:G,'OB History S2'!B:B,A45)-Q45</f>
        <v>103</v>
      </c>
      <c r="S45" s="88">
        <f>LOOKUP(2, 1/('OB History S2'!$B:$B=A45), 'OB History S2'!$AC:$AC)</f>
        <v>0.52142857142857135</v>
      </c>
      <c r="T45" s="2">
        <f>COUNTIFS('OB History S2'!$B:$B,$A$45,'OB History S2'!K:K, 1)</f>
        <v>0</v>
      </c>
      <c r="U45" s="2">
        <f>COUNTIFS('OB History S2'!$B:$B,$A$45,'OB History S2'!L:L, 1)</f>
        <v>6</v>
      </c>
      <c r="V45" s="2">
        <f>COUNTIFS('OB History S2'!$B:$B,$A$45,'OB History S2'!M:M, 1)</f>
        <v>2</v>
      </c>
      <c r="W45" s="2">
        <f>COUNTIFS('OB History S2'!$B:$B,$A$45,'OB History S2'!N:N, 1)</f>
        <v>3</v>
      </c>
      <c r="X45" s="2">
        <f>COUNTIFS('OB History S2'!$B:$B,$A$45,'OB History S2'!O:O, 1)</f>
        <v>1</v>
      </c>
      <c r="Y45" s="2">
        <f>COUNTIFS('OB History S2'!$B:$B,$A$45,'OB History S2'!P:P, 1)</f>
        <v>2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2</v>
      </c>
      <c r="AG45" s="2">
        <f>COUNTIFS('OB History S2'!$B:$B,$A$45,'OB History S2'!X:X, 1)</f>
        <v>4</v>
      </c>
      <c r="AH45" s="2">
        <f>COUNTIFS('OB History S2'!$B:$B,$A$45,'OB History S2'!Y:Y, 1)</f>
        <v>3</v>
      </c>
      <c r="AI45" s="2">
        <f>COUNTIFS('OB History S2'!$B:$B,$A$45,'OB History S2'!Z:Z, 1)</f>
        <v>4</v>
      </c>
    </row>
    <row r="46" spans="1:35" x14ac:dyDescent="0.25">
      <c r="A46" s="2" t="s">
        <v>169</v>
      </c>
      <c r="B46" s="2" t="s">
        <v>79</v>
      </c>
      <c r="C46" s="2" t="s">
        <v>79</v>
      </c>
      <c r="D46" s="3"/>
      <c r="E46" s="2"/>
      <c r="F46" s="2"/>
      <c r="G46" s="2"/>
      <c r="H46" s="34">
        <f>SUMIFS('OB History S2'!C:C,'OB History S2'!B:B,A46)</f>
        <v>2</v>
      </c>
      <c r="I46" s="4">
        <f>AVERAGEIFS('OB History S2'!C:C,'OB History S2'!B:B,A46)</f>
        <v>2</v>
      </c>
      <c r="J46" s="35">
        <f t="array" ref="J46">MAX(IF('OB History S2'!B:B=A46, 'OB History S2'!C:C))</f>
        <v>2</v>
      </c>
      <c r="K46" s="34">
        <f>COUNTIFS('OB History S2'!B:B,A46,'OB History S2'!D:D, 1)</f>
        <v>0</v>
      </c>
      <c r="L46" s="2">
        <f>COUNTIFS('OB History S2'!B:B,A46,'OB History S2'!D:D, 0)</f>
        <v>1</v>
      </c>
      <c r="M46" s="88">
        <f>LOOKUP(2, 1/('OB History S2'!$B:$B=A46), 'OB History S2'!$AD:$AD)</f>
        <v>0</v>
      </c>
      <c r="N46" s="34">
        <f>SUMIFS('OB History S2'!F:F,'OB History S2'!B:B,A46)</f>
        <v>2</v>
      </c>
      <c r="O46" s="2">
        <f>SUMIFS('OB History S2'!E:E,'OB History S2'!B:B,A46)-N46</f>
        <v>3</v>
      </c>
      <c r="P46" s="88">
        <f>LOOKUP(2, 1/('OB History S2'!$B:$B=A46), 'OB History S2'!$AB:$AB)</f>
        <v>0.4</v>
      </c>
      <c r="Q46" s="34">
        <f>SUMIFS('OB History S2'!H:H,'OB History S2'!B:B,A46)</f>
        <v>6</v>
      </c>
      <c r="R46" s="2">
        <f>SUMIFS('OB History S2'!G:G,'OB History S2'!B:B,A46)-Q46</f>
        <v>14</v>
      </c>
      <c r="S46" s="88">
        <f>LOOKUP(2, 1/('OB History S2'!$B:$B=A46), 'OB History S2'!$AC:$AC)</f>
        <v>0.3</v>
      </c>
      <c r="T46" s="2">
        <f>COUNTIFS('OB History S2'!$B:$B,$A$46,'OB History S2'!K:K, 1)</f>
        <v>0</v>
      </c>
      <c r="U46" s="2">
        <f>COUNTIFS('OB History S2'!$B:$B,$A$46,'OB History S2'!L:L, 1)</f>
        <v>0</v>
      </c>
      <c r="V46" s="2">
        <f>COUNTIFS('OB History S2'!$B:$B,$A$46,'OB History S2'!M:M, 1)</f>
        <v>0</v>
      </c>
      <c r="W46" s="2">
        <f>COUNTIFS('OB History S2'!$B:$B,$A$46,'OB History S2'!N:N, 1)</f>
        <v>0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0</v>
      </c>
      <c r="AH46" s="2">
        <f>COUNTIFS('OB History S2'!$B:$B,$A$46,'OB History S2'!Y:Y, 1)</f>
        <v>1</v>
      </c>
      <c r="AI46" s="2">
        <f>COUNTIFS('OB History S2'!$B:$B,$A$46,'OB History S2'!Z:Z, 1)</f>
        <v>0</v>
      </c>
    </row>
    <row r="47" spans="1:35" x14ac:dyDescent="0.25">
      <c r="A47" s="2" t="s">
        <v>14</v>
      </c>
      <c r="B47" s="6" t="s">
        <v>124</v>
      </c>
      <c r="C47" s="6" t="s">
        <v>124</v>
      </c>
      <c r="D47" s="3">
        <v>4</v>
      </c>
      <c r="E47" s="6">
        <v>1</v>
      </c>
      <c r="F47" s="6"/>
      <c r="G47" s="6"/>
      <c r="H47" s="34">
        <f>SUMIFS('OB History S2'!C:C,'OB History S2'!B:B,A47)</f>
        <v>460</v>
      </c>
      <c r="I47" s="4">
        <f>AVERAGEIFS('OB History S2'!C:C,'OB History S2'!B:B,A47)</f>
        <v>21.904761904761905</v>
      </c>
      <c r="J47" s="35">
        <f t="array" ref="J47">MAX(IF('OB History S2'!B:B=A47, 'OB History S2'!C:C))</f>
        <v>51</v>
      </c>
      <c r="K47" s="34">
        <f>COUNTIFS('OB History S2'!B:B,A47,'OB History S2'!D:D, 1)</f>
        <v>6</v>
      </c>
      <c r="L47" s="2">
        <f>COUNTIFS('OB History S2'!B:B,A47,'OB History S2'!D:D, 0)</f>
        <v>15</v>
      </c>
      <c r="M47" s="88">
        <f>LOOKUP(2, 1/('OB History S2'!$B:$B=A47), 'OB History S2'!$AD:$AD)</f>
        <v>0.2857142857142857</v>
      </c>
      <c r="N47" s="34">
        <f>SUMIFS('OB History S2'!F:F,'OB History S2'!B:B,A47)</f>
        <v>32</v>
      </c>
      <c r="O47" s="2">
        <f>SUMIFS('OB History S2'!E:E,'OB History S2'!B:B,A47)-N47</f>
        <v>51</v>
      </c>
      <c r="P47" s="88">
        <f>LOOKUP(2, 1/('OB History S2'!$B:$B=A47), 'OB History S2'!$AB:$AB)</f>
        <v>0.37142857142857144</v>
      </c>
      <c r="Q47" s="34">
        <f>SUMIFS('OB History S2'!H:H,'OB History S2'!B:B,A47)</f>
        <v>147</v>
      </c>
      <c r="R47" s="2">
        <f>SUMIFS('OB History S2'!G:G,'OB History S2'!B:B,A47)-Q47</f>
        <v>193</v>
      </c>
      <c r="S47" s="88">
        <f>LOOKUP(2, 1/('OB History S2'!$B:$B=A47), 'OB History S2'!$AC:$AC)</f>
        <v>0.43476190476190474</v>
      </c>
      <c r="T47" s="2">
        <f>COUNTIFS('OB History S2'!$B:$B,$A$47,'OB History S2'!K:K, 1)</f>
        <v>3</v>
      </c>
      <c r="U47" s="2">
        <f>COUNTIFS('OB History S2'!$B:$B,$A$47,'OB History S2'!L:L, 1)</f>
        <v>4</v>
      </c>
      <c r="V47" s="2">
        <f>COUNTIFS('OB History S2'!$B:$B,$A$47,'OB History S2'!M:M, 1)</f>
        <v>1</v>
      </c>
      <c r="W47" s="2">
        <f>COUNTIFS('OB History S2'!$B:$B,$A$47,'OB History S2'!N:N, 1)</f>
        <v>1</v>
      </c>
      <c r="X47" s="2">
        <f>COUNTIFS('OB History S2'!$B:$B,$A$47,'OB History S2'!O:O, 1)</f>
        <v>1</v>
      </c>
      <c r="Y47" s="2">
        <f>COUNTIFS('OB History S2'!$B:$B,$A$47,'OB History S2'!P:P, 1)</f>
        <v>1</v>
      </c>
      <c r="Z47" s="2">
        <f>COUNTIFS('OB History S2'!$B:$B,$A$47,'OB History S2'!Q:Q, 1)</f>
        <v>2</v>
      </c>
      <c r="AA47" s="2">
        <f>COUNTIFS('OB History S2'!$B:$B,$A$47,'OB History S2'!R:R, 1)</f>
        <v>0</v>
      </c>
      <c r="AB47" s="2">
        <f>COUNTIFS('OB History S2'!$B:$B,$A$47,'OB History S2'!S:S, 1)</f>
        <v>1</v>
      </c>
      <c r="AC47" s="2">
        <f>COUNTIFS('OB History S2'!$B:$B,$A$47,'OB History S2'!T:T, 1)</f>
        <v>0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3</v>
      </c>
      <c r="AG47" s="2">
        <f>COUNTIFS('OB History S2'!$B:$B,$A$47,'OB History S2'!X:X, 1)</f>
        <v>9</v>
      </c>
      <c r="AH47" s="2">
        <f>COUNTIFS('OB History S2'!$B:$B,$A$47,'OB History S2'!Y:Y, 1)</f>
        <v>3</v>
      </c>
      <c r="AI47" s="2">
        <f>COUNTIFS('OB History S2'!$B:$B,$A$47,'OB History S2'!Z:Z, 1)</f>
        <v>3</v>
      </c>
    </row>
    <row r="48" spans="1:35" x14ac:dyDescent="0.25">
      <c r="A48" s="2" t="s">
        <v>70</v>
      </c>
      <c r="B48" s="6" t="s">
        <v>79</v>
      </c>
      <c r="C48" s="6" t="s">
        <v>79</v>
      </c>
      <c r="D48" s="3"/>
      <c r="E48" s="6"/>
      <c r="F48" s="6"/>
      <c r="G48" s="6"/>
      <c r="H48" s="34">
        <f>SUMIFS('OB History S2'!C:C,'OB History S2'!B:B,A48)</f>
        <v>53</v>
      </c>
      <c r="I48" s="4">
        <f>AVERAGEIFS('OB History S2'!C:C,'OB History S2'!B:B,A48)</f>
        <v>17.666666666666668</v>
      </c>
      <c r="J48" s="35">
        <f t="array" ref="J48">MAX(IF('OB History S2'!B:B=A48, 'OB History S2'!C:C))</f>
        <v>27</v>
      </c>
      <c r="K48" s="34">
        <f>COUNTIFS('OB History S2'!B:B,A48,'OB History S2'!D:D, 1)</f>
        <v>2</v>
      </c>
      <c r="L48" s="2">
        <f>COUNTIFS('OB History S2'!B:B,A48,'OB History S2'!D:D, 0)</f>
        <v>1</v>
      </c>
      <c r="M48" s="88">
        <f>LOOKUP(2, 1/('OB History S2'!$B:$B=A48), 'OB History S2'!$AD:$AD)</f>
        <v>0.66666666666666663</v>
      </c>
      <c r="N48" s="34">
        <f>SUMIFS('OB History S2'!F:F,'OB History S2'!B:B,A48)</f>
        <v>8</v>
      </c>
      <c r="O48" s="2">
        <f>SUMIFS('OB History S2'!E:E,'OB History S2'!B:B,A48)-N48</f>
        <v>5</v>
      </c>
      <c r="P48" s="88">
        <f>LOOKUP(2, 1/('OB History S2'!$B:$B=A48), 'OB History S2'!$AB:$AB)</f>
        <v>0.66666666666666663</v>
      </c>
      <c r="Q48" s="34">
        <f>SUMIFS('OB History S2'!H:H,'OB History S2'!B:B,A48)</f>
        <v>31</v>
      </c>
      <c r="R48" s="2">
        <f>SUMIFS('OB History S2'!G:G,'OB History S2'!B:B,A48)-Q48</f>
        <v>27</v>
      </c>
      <c r="S48" s="88">
        <f>LOOKUP(2, 1/('OB History S2'!$B:$B=A48), 'OB History S2'!$AC:$AC)</f>
        <v>0.54666666666666663</v>
      </c>
      <c r="T48" s="2">
        <f>COUNTIFS('OB History S2'!$B:$B,$A$48,'OB History S2'!K:K, 1)</f>
        <v>1</v>
      </c>
      <c r="U48" s="2">
        <f>COUNTIFS('OB History S2'!$B:$B,$A$48,'OB History S2'!L:L, 1)</f>
        <v>0</v>
      </c>
      <c r="V48" s="2">
        <f>COUNTIFS('OB History S2'!$B:$B,$A$48,'OB History S2'!M:M, 1)</f>
        <v>0</v>
      </c>
      <c r="W48" s="2">
        <f>COUNTIFS('OB History S2'!$B:$B,$A$48,'OB History S2'!N:N, 1)</f>
        <v>0</v>
      </c>
      <c r="X48" s="2">
        <f>COUNTIFS('OB History S2'!$B:$B,$A$48,'OB History S2'!O:O, 1)</f>
        <v>1</v>
      </c>
      <c r="Y48" s="2">
        <f>COUNTIFS('OB History S2'!$B:$B,$A$48,'OB History S2'!P:P, 1)</f>
        <v>0</v>
      </c>
      <c r="Z48" s="2">
        <f>COUNTIFS('OB History S2'!$B:$B,$A$48,'OB History S2'!Q:Q, 1)</f>
        <v>0</v>
      </c>
      <c r="AA48" s="2">
        <f>COUNTIFS('OB History S2'!$B:$B,$A$48,'OB History S2'!R:R, 1)</f>
        <v>1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0</v>
      </c>
      <c r="AG48" s="2">
        <f>COUNTIFS('OB History S2'!$B:$B,$A$48,'OB History S2'!X:X, 1)</f>
        <v>3</v>
      </c>
      <c r="AH48" s="2">
        <f>COUNTIFS('OB History S2'!$B:$B,$A$48,'OB History S2'!Y:Y, 1)</f>
        <v>0</v>
      </c>
      <c r="AI48" s="2">
        <f>COUNTIFS('OB History S2'!$B:$B,$A$48,'OB History S2'!Z:Z, 1)</f>
        <v>2</v>
      </c>
    </row>
    <row r="49" spans="1:35" x14ac:dyDescent="0.25">
      <c r="A49" s="2" t="s">
        <v>4</v>
      </c>
      <c r="B49" s="2" t="s">
        <v>79</v>
      </c>
      <c r="C49" s="2" t="s">
        <v>79</v>
      </c>
      <c r="D49" s="3">
        <v>1</v>
      </c>
      <c r="E49" s="2"/>
      <c r="F49" s="2"/>
      <c r="G49" s="2"/>
      <c r="H49" s="34">
        <f>SUMIFS('OB History S2'!C:C,'OB History S2'!B:B,A49)</f>
        <v>247</v>
      </c>
      <c r="I49" s="4">
        <f>AVERAGEIFS('OB History S2'!C:C,'OB History S2'!B:B,A49)</f>
        <v>22.454545454545453</v>
      </c>
      <c r="J49" s="35">
        <f t="array" ref="J49">MAX(IF('OB History S2'!B:B=A49, 'OB History S2'!C:C))</f>
        <v>46</v>
      </c>
      <c r="K49" s="34">
        <f>COUNTIFS('OB History S2'!B:B,A49,'OB History S2'!D:D, 1)</f>
        <v>6</v>
      </c>
      <c r="L49" s="2">
        <f>COUNTIFS('OB History S2'!B:B,A49,'OB History S2'!D:D, 0)</f>
        <v>5</v>
      </c>
      <c r="M49" s="88">
        <f>LOOKUP(2, 1/('OB History S2'!$B:$B=A49), 'OB History S2'!$AD:$AD)</f>
        <v>0.54545454545454541</v>
      </c>
      <c r="N49" s="34">
        <f>SUMIFS('OB History S2'!F:F,'OB History S2'!B:B,A49)</f>
        <v>21</v>
      </c>
      <c r="O49" s="2">
        <f>SUMIFS('OB History S2'!E:E,'OB History S2'!B:B,A49)-N49</f>
        <v>23</v>
      </c>
      <c r="P49" s="88">
        <f>LOOKUP(2, 1/('OB History S2'!$B:$B=A49), 'OB History S2'!$AB:$AB)</f>
        <v>0.47272727272727272</v>
      </c>
      <c r="Q49" s="34">
        <f>SUMIFS('OB History S2'!H:H,'OB History S2'!B:B,A49)</f>
        <v>88</v>
      </c>
      <c r="R49" s="2">
        <f>SUMIFS('OB History S2'!G:G,'OB History S2'!B:B,A49)-Q49</f>
        <v>93</v>
      </c>
      <c r="S49" s="88">
        <f>LOOKUP(2, 1/('OB History S2'!$B:$B=A49), 'OB History S2'!$AC:$AC)</f>
        <v>0.47545454545454541</v>
      </c>
      <c r="T49" s="2">
        <f>COUNTIFS('OB History S2'!$B:$B,$A$49,'OB History S2'!K:K, 1)</f>
        <v>2</v>
      </c>
      <c r="U49" s="2">
        <f>COUNTIFS('OB History S2'!$B:$B,$A$49,'OB History S2'!L:L, 1)</f>
        <v>4</v>
      </c>
      <c r="V49" s="2">
        <f>COUNTIFS('OB History S2'!$B:$B,$A$49,'OB History S2'!M:M, 1)</f>
        <v>1</v>
      </c>
      <c r="W49" s="2">
        <f>COUNTIFS('OB History S2'!$B:$B,$A$49,'OB History S2'!N:N, 1)</f>
        <v>1</v>
      </c>
      <c r="X49" s="2">
        <f>COUNTIFS('OB History S2'!$B:$B,$A$49,'OB History S2'!O:O, 1)</f>
        <v>2</v>
      </c>
      <c r="Y49" s="2">
        <f>COUNTIFS('OB History S2'!$B:$B,$A$49,'OB History S2'!P:P, 1)</f>
        <v>1</v>
      </c>
      <c r="Z49" s="2">
        <f>COUNTIFS('OB History S2'!$B:$B,$A$49,'OB History S2'!Q:Q, 1)</f>
        <v>1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2</v>
      </c>
      <c r="AG49" s="2">
        <f>COUNTIFS('OB History S2'!$B:$B,$A$49,'OB History S2'!X:X, 1)</f>
        <v>4</v>
      </c>
      <c r="AH49" s="2">
        <f>COUNTIFS('OB History S2'!$B:$B,$A$49,'OB History S2'!Y:Y, 1)</f>
        <v>2</v>
      </c>
      <c r="AI49" s="2">
        <f>COUNTIFS('OB History S2'!$B:$B,$A$49,'OB History S2'!Z:Z, 1)</f>
        <v>1</v>
      </c>
    </row>
    <row r="50" spans="1:35" x14ac:dyDescent="0.25">
      <c r="A50" s="2" t="s">
        <v>55</v>
      </c>
      <c r="B50" s="2" t="s">
        <v>79</v>
      </c>
      <c r="C50" s="2" t="s">
        <v>79</v>
      </c>
      <c r="D50" s="2"/>
      <c r="E50" s="2"/>
      <c r="F50" s="2"/>
      <c r="G50" s="2"/>
      <c r="H50" s="34">
        <f>SUMIFS('OB History S2'!C:C,'OB History S2'!B:B,A50)</f>
        <v>65</v>
      </c>
      <c r="I50" s="4">
        <f>AVERAGEIFS('OB History S2'!C:C,'OB History S2'!B:B,A50)</f>
        <v>10.833333333333334</v>
      </c>
      <c r="J50" s="35">
        <f t="array" ref="J50">MAX(IF('OB History S2'!B:B=A50, 'OB History S2'!C:C))</f>
        <v>20</v>
      </c>
      <c r="K50" s="34">
        <f>COUNTIFS('OB History S2'!B:B,A50,'OB History S2'!D:D, 1)</f>
        <v>4</v>
      </c>
      <c r="L50" s="2">
        <f>COUNTIFS('OB History S2'!B:B,A50,'OB History S2'!D:D, 0)</f>
        <v>2</v>
      </c>
      <c r="M50" s="88">
        <f>LOOKUP(2, 1/('OB History S2'!$B:$B=A50), 'OB History S2'!$AD:$AD)</f>
        <v>0.66666666666666663</v>
      </c>
      <c r="N50" s="34">
        <f>SUMIFS('OB History S2'!F:F,'OB History S2'!B:B,A50)</f>
        <v>15</v>
      </c>
      <c r="O50" s="2">
        <f>SUMIFS('OB History S2'!E:E,'OB History S2'!B:B,A50)-N50</f>
        <v>8</v>
      </c>
      <c r="P50" s="88">
        <f>LOOKUP(2, 1/('OB History S2'!$B:$B=A50), 'OB History S2'!$AB:$AB)</f>
        <v>0.69166666666666676</v>
      </c>
      <c r="Q50" s="34">
        <f>SUMIFS('OB History S2'!H:H,'OB History S2'!B:B,A50)</f>
        <v>57</v>
      </c>
      <c r="R50" s="2">
        <f>SUMIFS('OB History S2'!G:G,'OB History S2'!B:B,A50)-Q50</f>
        <v>38</v>
      </c>
      <c r="S50" s="88">
        <f>LOOKUP(2, 1/('OB History S2'!$B:$B=A50), 'OB History S2'!$AC:$AC)</f>
        <v>0.61666666666666659</v>
      </c>
      <c r="T50" s="2">
        <f>COUNTIFS('OB History S2'!$B:$B,$A$50,'OB History S2'!K:K, 1)</f>
        <v>1</v>
      </c>
      <c r="U50" s="2">
        <f>COUNTIFS('OB History S2'!$B:$B,$A$50,'OB History S2'!L:L, 1)</f>
        <v>1</v>
      </c>
      <c r="V50" s="2">
        <f>COUNTIFS('OB History S2'!$B:$B,$A$50,'OB History S2'!M:M, 1)</f>
        <v>0</v>
      </c>
      <c r="W50" s="2">
        <f>COUNTIFS('OB History S2'!$B:$B,$A$50,'OB History S2'!N:N, 1)</f>
        <v>2</v>
      </c>
      <c r="X50" s="2">
        <f>COUNTIFS('OB History S2'!$B:$B,$A$50,'OB History S2'!O:O, 1)</f>
        <v>0</v>
      </c>
      <c r="Y50" s="2">
        <f>COUNTIFS('OB History S2'!$B:$B,$A$50,'OB History S2'!P:P, 1)</f>
        <v>0</v>
      </c>
      <c r="Z50" s="2">
        <f>COUNTIFS('OB History S2'!$B:$B,$A$50,'OB History S2'!Q:Q, 1)</f>
        <v>1</v>
      </c>
      <c r="AA50" s="2">
        <f>COUNTIFS('OB History S2'!$B:$B,$A$50,'OB History S2'!R:R, 1)</f>
        <v>1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1</v>
      </c>
      <c r="AE50" s="2">
        <f>COUNTIFS('OB History S2'!$B:$B,$A$50,'OB History S2'!V:V, 1)</f>
        <v>0</v>
      </c>
      <c r="AF50" s="2">
        <f>COUNTIFS('OB History S2'!$B:$B,$A$50,'OB History S2'!W:W, 1)</f>
        <v>0</v>
      </c>
      <c r="AG50" s="2">
        <f>COUNTIFS('OB History S2'!$B:$B,$A$50,'OB History S2'!X:X, 1)</f>
        <v>4</v>
      </c>
      <c r="AH50" s="2">
        <f>COUNTIFS('OB History S2'!$B:$B,$A$50,'OB History S2'!Y:Y, 1)</f>
        <v>2</v>
      </c>
      <c r="AI50" s="2">
        <f>COUNTIFS('OB History S2'!$B:$B,$A$50,'OB History S2'!Z:Z, 1)</f>
        <v>2</v>
      </c>
    </row>
  </sheetData>
  <autoFilter ref="A1:AI49" xr:uid="{EEC03B8F-669F-4FC0-BA62-50F3D395660C}">
    <sortState xmlns:xlrd2="http://schemas.microsoft.com/office/spreadsheetml/2017/richdata2" ref="A2:AI50">
      <sortCondition ref="A1:A49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554"/>
  <sheetViews>
    <sheetView workbookViewId="0">
      <pane ySplit="1" topLeftCell="A525" activePane="bottomLeft" state="frozen"/>
      <selection pane="bottomLeft" activeCell="A543" sqref="A543:Z55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214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215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216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221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222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N62"/>
  <sheetViews>
    <sheetView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C20" sqref="C2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245</v>
      </c>
      <c r="G2" s="66">
        <f>AVERAGEIFS('BA History'!C:C,'BA History'!B:B,A2)</f>
        <v>12.894736842105264</v>
      </c>
      <c r="H2" s="35">
        <f t="array" ref="H2">MAX(IF('BA History'!B:B=A2, 'BA History'!C:C))</f>
        <v>23</v>
      </c>
      <c r="I2" s="34">
        <f>COUNTIFS('BA History'!B:B,A2,'BA History'!D:D, 1)</f>
        <v>10</v>
      </c>
      <c r="J2" s="2">
        <f>COUNTIFS('BA History'!B:B,A2,'BA History'!D:D, 0)</f>
        <v>9</v>
      </c>
      <c r="K2" s="75">
        <f>LOOKUP(2, 1/('BA History'!$B:$B=A2), 'BA History'!$AK:$AK)</f>
        <v>0.52631578947368418</v>
      </c>
      <c r="L2" s="34">
        <f>SUMIFS('BA History'!F:F,'BA History'!B:B,A2)</f>
        <v>41</v>
      </c>
      <c r="M2" s="2">
        <f>SUMIFS('BA History'!E:E,'BA History'!B:B,A2)-L2</f>
        <v>37</v>
      </c>
      <c r="N2" s="75">
        <f>LOOKUP(2, 1/('BA History'!$B:$B=A2), 'BA History'!$AI:$AI)</f>
        <v>0.52894736842105272</v>
      </c>
      <c r="O2" s="34">
        <f>SUMIFS('BA History'!H:H,'BA History'!B:B,A2)</f>
        <v>164</v>
      </c>
      <c r="P2" s="2">
        <f>SUMIFS('BA History'!G:G,'BA History'!B:B,A2)-O2</f>
        <v>156</v>
      </c>
      <c r="Q2" s="89">
        <f>LOOKUP(2, 1/('BA History'!$B:$B=A2), 'BA History'!$AJ:$AJ)</f>
        <v>0.50736842105263147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7</v>
      </c>
      <c r="U2" s="2">
        <f>COUNTIFS('BA History'!$B:$B,$A$2,'BA History'!N:N, 1)</f>
        <v>6</v>
      </c>
      <c r="V2" s="2">
        <f>COUNTIFS('BA History'!$B:$B,$A$2,'BA History'!O:O, 1)</f>
        <v>1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1</v>
      </c>
      <c r="AG2" s="2">
        <f>COUNTIFS('BA History'!$B:$B,$A$2,'BA History'!Z:Z, 1)</f>
        <v>5</v>
      </c>
      <c r="AH2" s="2">
        <f>COUNTIFS('BA History'!$B:$B,$A2,'BA History'!AA:AA, 1)</f>
        <v>0</v>
      </c>
      <c r="AI2" s="2">
        <f>COUNTIFS('BA History'!$B:$B,$A$2,'BA History'!AB:AB, 1)</f>
        <v>0</v>
      </c>
      <c r="AJ2" s="2">
        <f>COUNTIFS('BA History'!$B:$B,$A$2,'BA History'!AC:AC, 1)</f>
        <v>4</v>
      </c>
      <c r="AK2" s="2">
        <f>COUNTIFS('BA History'!$B:$B,$A$2,'BA History'!AD:AD, 1)</f>
        <v>0</v>
      </c>
      <c r="AL2" s="2">
        <f>COUNTIFS('BA History'!$B:$B,$A$2,'BA History'!AE:AE, 1)</f>
        <v>4</v>
      </c>
      <c r="AM2" s="2">
        <f>COUNTIFS('BA History'!$B:$B,$A$2,'BA History'!AF:AF, 1)</f>
        <v>0</v>
      </c>
      <c r="AN2" s="2">
        <f>COUNTIFS('BA History'!$B:$B,$A$2,'BA History'!AG:AG, 1)</f>
        <v>4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161</v>
      </c>
      <c r="G3" s="66">
        <f>AVERAGEIFS('BA History'!C:C,'BA History'!B:B,A3)</f>
        <v>14.636363636363637</v>
      </c>
      <c r="H3" s="35">
        <f t="array" ref="H3">MAX(IF('BA History'!B:B=A3, 'BA History'!C:C))</f>
        <v>27</v>
      </c>
      <c r="I3" s="34">
        <f>COUNTIFS('BA History'!B:B,A3,'BA History'!D:D, 1)</f>
        <v>6</v>
      </c>
      <c r="J3" s="2">
        <f>COUNTIFS('BA History'!B:B,A3,'BA History'!D:D, 0)</f>
        <v>5</v>
      </c>
      <c r="K3" s="75">
        <f>LOOKUP(2, 1/('BA History'!$B:$B=A3), 'BA History'!$AK:$AK)</f>
        <v>0.54545454545454541</v>
      </c>
      <c r="L3" s="34">
        <f>SUMIFS('BA History'!F:F,'BA History'!B:B,A3)</f>
        <v>26</v>
      </c>
      <c r="M3" s="2">
        <f>SUMIFS('BA History'!E:E,'BA History'!B:B,A3)-L3</f>
        <v>19</v>
      </c>
      <c r="N3" s="75">
        <f>LOOKUP(2, 1/('BA History'!$B:$B=A3), 'BA History'!$AI:$AI)</f>
        <v>0.6</v>
      </c>
      <c r="O3" s="34">
        <f>SUMIFS('BA History'!H:H,'BA History'!B:B,A3)</f>
        <v>100</v>
      </c>
      <c r="P3" s="2">
        <f>SUMIFS('BA History'!G:G,'BA History'!B:B,A3)-O3</f>
        <v>91</v>
      </c>
      <c r="Q3" s="89">
        <f>LOOKUP(2, 1/('BA History'!$B:$B=A3), 'BA History'!$AJ:$AJ)</f>
        <v>0.51636363636363636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4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3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3</v>
      </c>
      <c r="AH3" s="2">
        <f>COUNTIFS('BA History'!$B:$B,$A3,'BA History'!AA:AA, 1)</f>
        <v>0</v>
      </c>
      <c r="AI3" s="2">
        <f>COUNTIFS('BA History'!$B:$B,$A$3,'BA History'!AB:AB, 1)</f>
        <v>0</v>
      </c>
      <c r="AJ3" s="2">
        <f>COUNTIFS('BA History'!$B:$B,$A$3,'BA History'!AC:AC, 1)</f>
        <v>3</v>
      </c>
      <c r="AK3" s="2">
        <f>COUNTIFS('BA History'!$B:$B,$A$3,'BA History'!AD:AD, 1)</f>
        <v>2</v>
      </c>
      <c r="AL3" s="2">
        <f>COUNTIFS('BA History'!$B:$B,$A$3,'BA History'!AE:AE, 1)</f>
        <v>1</v>
      </c>
      <c r="AM3" s="2">
        <f>COUNTIFS('BA History'!$B:$B,$A$3,'BA History'!AF:AF, 1)</f>
        <v>0</v>
      </c>
      <c r="AN3" s="2">
        <f>COUNTIFS('BA History'!$B:$B,$A$3,'BA History'!AG:AG, 1)</f>
        <v>3</v>
      </c>
    </row>
    <row r="4" spans="1:40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History'!$AK:$AK)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History'!$AI:$AI)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History'!$AJ:$AJ)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0</v>
      </c>
      <c r="AL4" s="2">
        <f>COUNTIFS('BA History'!$B:$B,$A$4,'BA History'!AE:AE, 1)</f>
        <v>2</v>
      </c>
      <c r="AM4" s="2">
        <f>COUNTIFS('BA History'!$B:$B,$A$4,'BA History'!AF:AF, 1)</f>
        <v>0</v>
      </c>
      <c r="AN4" s="2">
        <f>COUNTIFS('BA History'!$B:$B,$A$4,'BA History'!AG:AG, 1)</f>
        <v>0</v>
      </c>
    </row>
    <row r="5" spans="1:40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421</v>
      </c>
      <c r="G5" s="66">
        <f>AVERAGEIFS('BA History'!C:C,'BA History'!B:B,A5)</f>
        <v>13.15625</v>
      </c>
      <c r="H5" s="35">
        <f t="array" ref="H5">MAX(IF('BA History'!B:B=A5, 'BA History'!C:C))</f>
        <v>29</v>
      </c>
      <c r="I5" s="34">
        <f>COUNTIFS('BA History'!B:B,A5,'BA History'!D:D, 1)</f>
        <v>15</v>
      </c>
      <c r="J5" s="2">
        <f>COUNTIFS('BA History'!B:B,A5,'BA History'!D:D, 0)</f>
        <v>17</v>
      </c>
      <c r="K5" s="75">
        <f>LOOKUP(2, 1/('BA History'!$B:$B=A5), 'BA History'!$AK:$AK)</f>
        <v>0.46875</v>
      </c>
      <c r="L5" s="34">
        <f>SUMIFS('BA History'!F:F,'BA History'!B:B,A5)</f>
        <v>62</v>
      </c>
      <c r="M5" s="2">
        <f>SUMIFS('BA History'!E:E,'BA History'!B:B,A5)-L5</f>
        <v>70</v>
      </c>
      <c r="N5" s="75">
        <f>LOOKUP(2, 1/('BA History'!$B:$B=A5), 'BA History'!$AI:$AI)</f>
        <v>0.44687500000000002</v>
      </c>
      <c r="O5" s="34">
        <f>SUMIFS('BA History'!H:H,'BA History'!B:B,A5)</f>
        <v>263</v>
      </c>
      <c r="P5" s="2">
        <f>SUMIFS('BA History'!G:G,'BA History'!B:B,A5)-O5</f>
        <v>285</v>
      </c>
      <c r="Q5" s="89">
        <f>LOOKUP(2, 1/('BA History'!$B:$B=A5), 'BA History'!$AJ:$AJ)</f>
        <v>0.46874999999999994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5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History'!$B:$B,$A5,'BA History'!AA:AA, 1)</f>
        <v>0</v>
      </c>
      <c r="AI5" s="2">
        <f>COUNTIFS('BA History'!$B:$B,$A$5,'BA History'!AB:AB, 1)</f>
        <v>2</v>
      </c>
      <c r="AJ5" s="2">
        <f>COUNTIFS('BA History'!$B:$B,$A$5,'BA History'!AC:AC, 1)</f>
        <v>7</v>
      </c>
      <c r="AK5" s="2">
        <f>COUNTIFS('BA History'!$B:$B,$A$5,'BA History'!AD:AD, 1)</f>
        <v>3</v>
      </c>
      <c r="AL5" s="2">
        <f>COUNTIFS('BA History'!$B:$B,$A$5,'BA History'!AE:AE, 1)</f>
        <v>5</v>
      </c>
      <c r="AM5" s="2">
        <f>COUNTIFS('BA History'!$B:$B,$A$5,'BA History'!AF:AF, 1)</f>
        <v>1</v>
      </c>
      <c r="AN5" s="2">
        <f>COUNTIFS('BA History'!$B:$B,$A$5,'BA History'!AG:AG, 1)</f>
        <v>3</v>
      </c>
    </row>
    <row r="6" spans="1:40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History'!$AK:$AK)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History'!$AI:$AI)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History'!$AJ:$AJ)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  <c r="AN6" s="2">
        <f>COUNTIFS('BA History'!$B:$B,$A$6,'BA History'!AG:AG, 1)</f>
        <v>0</v>
      </c>
    </row>
    <row r="7" spans="1:40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447</v>
      </c>
      <c r="G7" s="66">
        <f>AVERAGEIFS('BA History'!C:C,'BA History'!B:B,A7)</f>
        <v>10.395348837209303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25</v>
      </c>
      <c r="K7" s="75">
        <f>LOOKUP(2, 1/('BA History'!$B:$B=A7), 'BA History'!$AK:$AK)</f>
        <v>0.41860465116279072</v>
      </c>
      <c r="L7" s="34">
        <f>SUMIFS('BA History'!F:F,'BA History'!B:B,A7)</f>
        <v>81</v>
      </c>
      <c r="M7" s="2">
        <f>SUMIFS('BA History'!E:E,'BA History'!B:B,A7)-L7</f>
        <v>94</v>
      </c>
      <c r="N7" s="75">
        <f>LOOKUP(2, 1/('BA History'!$B:$B=A7), 'BA History'!$AI:$AI)</f>
        <v>0.44953488372093026</v>
      </c>
      <c r="O7" s="34">
        <f>SUMIFS('BA History'!H:H,'BA History'!B:B,A7)</f>
        <v>353</v>
      </c>
      <c r="P7" s="2">
        <f>SUMIFS('BA History'!G:G,'BA History'!B:B,A7)-O7</f>
        <v>374</v>
      </c>
      <c r="Q7" s="89">
        <f>LOOKUP(2, 1/('BA History'!$B:$B=A7), 'BA History'!$AJ:$AJ)</f>
        <v>0.48069767441860461</v>
      </c>
      <c r="R7" s="2">
        <f>COUNTIFS('BA History'!$B:$B,$A$7,'BA History'!K:K, 1)</f>
        <v>4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History'!$B:$B,$A7,'BA History'!AA:AA, 1)</f>
        <v>0</v>
      </c>
      <c r="AI7" s="2">
        <f>COUNTIFS('BA History'!$B:$B,$A$7,'BA History'!AB:AB, 1)</f>
        <v>2</v>
      </c>
      <c r="AJ7" s="2">
        <f>COUNTIFS('BA History'!$B:$B,$A$7,'BA History'!AC:AC, 1)</f>
        <v>8</v>
      </c>
      <c r="AK7" s="2">
        <f>COUNTIFS('BA History'!$B:$B,$A$7,'BA History'!AD:AD, 1)</f>
        <v>6</v>
      </c>
      <c r="AL7" s="2">
        <f>COUNTIFS('BA History'!$B:$B,$A$7,'BA History'!AE:AE, 1)</f>
        <v>8</v>
      </c>
      <c r="AM7" s="2">
        <f>COUNTIFS('BA History'!$B:$B,$A$7,'BA History'!AF:AF, 1)</f>
        <v>1</v>
      </c>
      <c r="AN7" s="2">
        <f>COUNTIFS('BA History'!$B:$B,$A$7,'BA History'!AG:AG, 1)</f>
        <v>3</v>
      </c>
    </row>
    <row r="8" spans="1:40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History'!$AK:$AK)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History'!$AI:$AI)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History'!$AJ:$AJ)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History'!$B:$B,$A8,'BA History'!AA:AA, 1)</f>
        <v>0</v>
      </c>
      <c r="AI8" s="2">
        <f>COUNTIFS('BA History'!$B:$B,$A$8,'BA History'!AB:AB, 1)</f>
        <v>0</v>
      </c>
      <c r="AJ8" s="2">
        <f>COUNTIFS('BA History'!$B:$B,$A$8,'BA History'!AC:AC, 1)</f>
        <v>5</v>
      </c>
      <c r="AK8" s="2">
        <f>COUNTIFS('BA History'!$B:$B,$A$8,'BA History'!AD:AD, 1)</f>
        <v>3</v>
      </c>
      <c r="AL8" s="2">
        <f>COUNTIFS('BA History'!$B:$B,$A$8,'BA History'!AE:AE, 1)</f>
        <v>3</v>
      </c>
      <c r="AM8" s="2">
        <f>COUNTIFS('BA History'!$B:$B,$A$8,'BA History'!AF:AF, 1)</f>
        <v>0</v>
      </c>
      <c r="AN8" s="2">
        <f>COUNTIFS('BA History'!$B:$B,$A$8,'BA History'!AG:AG, 1)</f>
        <v>1</v>
      </c>
    </row>
    <row r="9" spans="1:40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911</v>
      </c>
      <c r="G9" s="66">
        <f>AVERAGEIFS('BA History'!C:C,'BA History'!B:B,A9)</f>
        <v>17.862745098039216</v>
      </c>
      <c r="H9" s="35">
        <f t="array" ref="H9">MAX(IF('BA History'!B:B=A9, 'BA History'!C:C))</f>
        <v>40</v>
      </c>
      <c r="I9" s="34">
        <f>COUNTIFS('BA History'!B:B,A9,'BA History'!D:D, 1)</f>
        <v>25</v>
      </c>
      <c r="J9" s="2">
        <f>COUNTIFS('BA History'!B:B,A9,'BA History'!D:D, 0)</f>
        <v>26</v>
      </c>
      <c r="K9" s="75">
        <f>LOOKUP(2, 1/('BA History'!$B:$B=A9), 'BA History'!$AK:$AK)</f>
        <v>0.49019607843137253</v>
      </c>
      <c r="L9" s="34">
        <f>SUMIFS('BA History'!F:F,'BA History'!B:B,A9)</f>
        <v>98</v>
      </c>
      <c r="M9" s="2">
        <f>SUMIFS('BA History'!E:E,'BA History'!B:B,A9)-L9</f>
        <v>109</v>
      </c>
      <c r="N9" s="75">
        <f>LOOKUP(2, 1/('BA History'!$B:$B=A9), 'BA History'!$AI:$AI)</f>
        <v>0.46666666666666673</v>
      </c>
      <c r="O9" s="34">
        <f>SUMIFS('BA History'!H:H,'BA History'!B:B,A9)</f>
        <v>403</v>
      </c>
      <c r="P9" s="2">
        <f>SUMIFS('BA History'!G:G,'BA History'!B:B,A9)-O9</f>
        <v>453</v>
      </c>
      <c r="Q9" s="89">
        <f>LOOKUP(2, 1/('BA History'!$B:$B=A9), 'BA History'!$AJ:$AJ)</f>
        <v>0.46156862745098026</v>
      </c>
      <c r="R9" s="2">
        <f>COUNTIFS('BA History'!$B:$B,$A$9,'BA History'!K:K, 1)</f>
        <v>6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4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9</v>
      </c>
      <c r="AG9" s="2">
        <f>COUNTIFS('BA History'!$B:$B,$A$9,'BA History'!Z:Z, 1)</f>
        <v>11</v>
      </c>
      <c r="AH9" s="2">
        <f>COUNTIFS('BA History'!$B:$B,$A9,'BA History'!AA:AA, 1)</f>
        <v>0</v>
      </c>
      <c r="AI9" s="2">
        <f>COUNTIFS('BA History'!$B:$B,$A$9,'BA History'!AB:AB, 1)</f>
        <v>3</v>
      </c>
      <c r="AJ9" s="2">
        <f>COUNTIFS('BA History'!$B:$B,$A$9,'BA History'!AC:AC, 1)</f>
        <v>13</v>
      </c>
      <c r="AK9" s="2">
        <f>COUNTIFS('BA History'!$B:$B,$A$9,'BA History'!AD:AD, 1)</f>
        <v>5</v>
      </c>
      <c r="AL9" s="2">
        <f>COUNTIFS('BA History'!$B:$B,$A$9,'BA History'!AE:AE, 1)</f>
        <v>10</v>
      </c>
      <c r="AM9" s="2">
        <f>COUNTIFS('BA History'!$B:$B,$A$9,'BA History'!AF:AF, 1)</f>
        <v>0</v>
      </c>
      <c r="AN9" s="2">
        <f>COUNTIFS('BA History'!$B:$B,$A$9,'BA History'!AG:AG, 1)</f>
        <v>4</v>
      </c>
    </row>
    <row r="10" spans="1:40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125</v>
      </c>
      <c r="G10" s="66">
        <f>AVERAGEIFS('BA History'!C:C,'BA History'!B:B,A10)</f>
        <v>17.857142857142858</v>
      </c>
      <c r="H10" s="35">
        <f t="array" ref="H10">MAX(IF('BA History'!B:B=A10, 'BA History'!C:C))</f>
        <v>26</v>
      </c>
      <c r="I10" s="34">
        <f>COUNTIFS('BA History'!B:B,A10,'BA History'!D:D, 1)</f>
        <v>2</v>
      </c>
      <c r="J10" s="2">
        <f>COUNTIFS('BA History'!B:B,A10,'BA History'!D:D, 0)</f>
        <v>5</v>
      </c>
      <c r="K10" s="75">
        <f>LOOKUP(2, 1/('BA History'!$B:$B=A10), 'BA History'!$AK:$AK)</f>
        <v>0.2857142857142857</v>
      </c>
      <c r="L10" s="34">
        <f>SUMIFS('BA History'!F:F,'BA History'!B:B,A10)</f>
        <v>14</v>
      </c>
      <c r="M10" s="2">
        <f>SUMIFS('BA History'!E:E,'BA History'!B:B,A10)-L10</f>
        <v>16</v>
      </c>
      <c r="N10" s="75">
        <f>LOOKUP(2, 1/('BA History'!$B:$B=A10), 'BA History'!$AI:$AI)</f>
        <v>0.47857142857142854</v>
      </c>
      <c r="O10" s="34">
        <f>SUMIFS('BA History'!H:H,'BA History'!B:B,A10)</f>
        <v>60</v>
      </c>
      <c r="P10" s="2">
        <f>SUMIFS('BA History'!G:G,'BA History'!B:B,A10)-O10</f>
        <v>62</v>
      </c>
      <c r="Q10" s="89">
        <f>LOOKUP(2, 1/('BA History'!$B:$B=A10), 'BA History'!$AJ:$AJ)</f>
        <v>0.50571428571428567</v>
      </c>
      <c r="R10" s="2">
        <f>COUNTIFS('BA History'!$B:$B,$A$10,'BA History'!K:K, 1)</f>
        <v>2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2</v>
      </c>
      <c r="V10" s="2">
        <f>COUNTIFS('BA History'!$B:$B,$A$10,'BA History'!O:O, 1)</f>
        <v>1</v>
      </c>
      <c r="W10" s="2">
        <f>COUNTIFS('BA History'!$B:$B,$A$10,'BA History'!P:P, 1)</f>
        <v>0</v>
      </c>
      <c r="X10" s="2">
        <f>COUNTIFS('BA History'!$B:$B,$A$10,'BA History'!Q:Q, 1)</f>
        <v>1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1</v>
      </c>
      <c r="AH10" s="2">
        <f>COUNTIFS('BA History'!$B:$B,$A10,'BA History'!AA:AA, 1)</f>
        <v>0</v>
      </c>
      <c r="AI10" s="2">
        <f>COUNTIFS('BA History'!$B:$B,$A$10,'BA History'!AB:AB, 1)</f>
        <v>0</v>
      </c>
      <c r="AJ10" s="2">
        <f>COUNTIFS('BA History'!$B:$B,$A$10,'BA History'!AC:AC, 1)</f>
        <v>3</v>
      </c>
      <c r="AK10" s="2">
        <f>COUNTIFS('BA History'!$B:$B,$A$10,'BA History'!AD:AD, 1)</f>
        <v>0</v>
      </c>
      <c r="AL10" s="2">
        <f>COUNTIFS('BA History'!$B:$B,$A$10,'BA History'!AE:AE, 1)</f>
        <v>1</v>
      </c>
      <c r="AM10" s="2">
        <f>COUNTIFS('BA History'!$B:$B,$A$10,'BA History'!AF:AF, 1)</f>
        <v>0</v>
      </c>
      <c r="AN10" s="2">
        <f>COUNTIFS('BA History'!$B:$B,$A$10,'BA History'!AG:AG, 1)</f>
        <v>2</v>
      </c>
    </row>
    <row r="11" spans="1:40" x14ac:dyDescent="0.25">
      <c r="A11" s="2" t="s">
        <v>216</v>
      </c>
      <c r="B11" s="2" t="s">
        <v>79</v>
      </c>
      <c r="C11" s="2"/>
      <c r="D11" s="2"/>
      <c r="E11" s="2"/>
      <c r="F11" s="34">
        <f>SUMIFS('BA History'!C:C,'BA History'!B:B,A11)</f>
        <v>1</v>
      </c>
      <c r="G11" s="66">
        <f>AVERAGEIFS('BA History'!C:C,'BA History'!B:B,A11)</f>
        <v>1</v>
      </c>
      <c r="H11" s="35">
        <f t="array" ref="H11">MAX(IF('BA History'!B:B=A11, 'BA History'!C:C))</f>
        <v>1</v>
      </c>
      <c r="I11" s="34">
        <f>COUNTIFS('BA History'!B:B,A11,'BA History'!D:D, 1)</f>
        <v>1</v>
      </c>
      <c r="J11" s="2">
        <f>COUNTIFS('BA History'!B:B,A11,'BA History'!D:D, 0)</f>
        <v>0</v>
      </c>
      <c r="K11" s="75">
        <f>LOOKUP(2, 1/('BA History'!$B:$B=A11), 'BA History'!$AK:$AK)</f>
        <v>1</v>
      </c>
      <c r="L11" s="34">
        <f>SUMIFS('BA History'!F:F,'BA History'!B:B,A11)</f>
        <v>3</v>
      </c>
      <c r="M11" s="2">
        <f>SUMIFS('BA History'!E:E,'BA History'!B:B,A11)-L11</f>
        <v>0</v>
      </c>
      <c r="N11" s="75">
        <f>LOOKUP(2, 1/('BA History'!$B:$B=A11), 'BA History'!$AI:$AI)</f>
        <v>1</v>
      </c>
      <c r="O11" s="34">
        <f>SUMIFS('BA History'!H:H,'BA History'!B:B,A11)</f>
        <v>9</v>
      </c>
      <c r="P11" s="2">
        <f>SUMIFS('BA History'!G:G,'BA History'!B:B,A11)-O11</f>
        <v>3</v>
      </c>
      <c r="Q11" s="89">
        <f>LOOKUP(2, 1/('BA History'!$B:$B=A11), 'BA History'!$AJ:$AJ)</f>
        <v>0.75</v>
      </c>
      <c r="R11" s="2">
        <f>COUNTIFS('BA History'!$B:$B,$A$11,'BA History'!K:K, 1)</f>
        <v>0</v>
      </c>
      <c r="S11" s="2">
        <f>COUNTIFS('BA History'!$B:$B,$A$11,'BA History'!L:L, 1)</f>
        <v>0</v>
      </c>
      <c r="T11" s="2">
        <f>COUNTIFS('BA History'!$B:$B,$A$11,'BA History'!M:M, 1)</f>
        <v>0</v>
      </c>
      <c r="U11" s="2">
        <f>COUNTIFS('BA History'!$B:$B,$A$11,'BA History'!N:N, 1)</f>
        <v>1</v>
      </c>
      <c r="V11" s="2">
        <f>COUNTIFS('BA History'!$B:$B,$A$11,'BA History'!O:O, 1)</f>
        <v>0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0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0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  <c r="AN11" s="2">
        <f>COUNTIFS('BA History'!$B:$B,$A$11,'BA History'!AG:AG, 1)</f>
        <v>0</v>
      </c>
    </row>
    <row r="12" spans="1:40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58</v>
      </c>
      <c r="G12" s="66">
        <f>AVERAGEIFS('BA History'!C:C,'BA History'!B:B,A12)</f>
        <v>9.6666666666666661</v>
      </c>
      <c r="H12" s="35">
        <f t="array" ref="H12">MAX(IF('BA History'!B:B=A12, 'BA History'!C:C))</f>
        <v>15</v>
      </c>
      <c r="I12" s="34">
        <f>COUNTIFS('BA History'!B:B,A12,'BA History'!D:D, 1)</f>
        <v>4</v>
      </c>
      <c r="J12" s="2">
        <f>COUNTIFS('BA History'!B:B,A12,'BA History'!D:D, 0)</f>
        <v>2</v>
      </c>
      <c r="K12" s="75">
        <f>LOOKUP(2, 1/('BA History'!$B:$B=A12), 'BA History'!$AK:$AK)</f>
        <v>0.66666666666666663</v>
      </c>
      <c r="L12" s="34">
        <f>SUMIFS('BA History'!F:F,'BA History'!B:B,A12)</f>
        <v>14</v>
      </c>
      <c r="M12" s="2">
        <f>SUMIFS('BA History'!E:E,'BA History'!B:B,A12)-L12</f>
        <v>8</v>
      </c>
      <c r="N12" s="75">
        <f>LOOKUP(2, 1/('BA History'!$B:$B=A12), 'BA History'!$AI:$AI)</f>
        <v>0.66666666666666663</v>
      </c>
      <c r="O12" s="34">
        <f>SUMIFS('BA History'!H:H,'BA History'!B:B,A12)</f>
        <v>53</v>
      </c>
      <c r="P12" s="2">
        <f>SUMIFS('BA History'!G:G,'BA History'!B:B,A12)-O12</f>
        <v>35</v>
      </c>
      <c r="Q12" s="89">
        <f>LOOKUP(2, 1/('BA History'!$B:$B=A12), 'BA History'!$AJ:$AJ)</f>
        <v>0.63833333333333331</v>
      </c>
      <c r="R12" s="2">
        <f>COUNTIFS('BA History'!$B:$B,$A$12,'BA History'!K:K, 1)</f>
        <v>2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1</v>
      </c>
      <c r="W12" s="2">
        <f>COUNTIFS('BA History'!$B:$B,$A$12,'BA History'!P:P, 1)</f>
        <v>1</v>
      </c>
      <c r="X12" s="2">
        <f>COUNTIFS('BA History'!$B:$B,$A$12,'BA History'!Q:Q, 1)</f>
        <v>2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1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2</v>
      </c>
      <c r="AG12" s="2">
        <f>COUNTIFS('BA History'!$B:$B,$A$12,'BA History'!Z:Z, 1)</f>
        <v>2</v>
      </c>
      <c r="AH12" s="2">
        <f>COUNTIFS('BA History'!$B:$B,$A12,'BA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0</v>
      </c>
      <c r="AL12" s="2">
        <f>COUNTIFS('BA History'!$B:$B,$A$12,'BA History'!AE:AE, 1)</f>
        <v>0</v>
      </c>
      <c r="AM12" s="2">
        <f>COUNTIFS('BA History'!$B:$B,$A$12,'BA History'!AF:AF, 1)</f>
        <v>0</v>
      </c>
      <c r="AN12" s="2">
        <f>COUNTIFS('BA History'!$B:$B,$A$12,'BA History'!AG:AG, 1)</f>
        <v>0</v>
      </c>
    </row>
    <row r="13" spans="1:40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152</v>
      </c>
      <c r="G13" s="66">
        <f>AVERAGEIFS('BA History'!C:C,'BA History'!B:B,A13)</f>
        <v>13.818181818181818</v>
      </c>
      <c r="H13" s="35">
        <f t="array" ref="H13">MAX(IF('BA History'!B:B=A13, 'BA History'!C:C))</f>
        <v>24</v>
      </c>
      <c r="I13" s="34">
        <f>COUNTIFS('BA History'!B:B,A13,'BA History'!D:D, 1)</f>
        <v>4</v>
      </c>
      <c r="J13" s="2">
        <f>COUNTIFS('BA History'!B:B,A13,'BA History'!D:D, 0)</f>
        <v>7</v>
      </c>
      <c r="K13" s="75">
        <f>LOOKUP(2, 1/('BA History'!$B:$B=A13), 'BA History'!$AK:$AK)</f>
        <v>0.36363636363636365</v>
      </c>
      <c r="L13" s="34">
        <f>SUMIFS('BA History'!F:F,'BA History'!B:B,A13)</f>
        <v>21</v>
      </c>
      <c r="M13" s="2">
        <f>SUMIFS('BA History'!E:E,'BA History'!B:B,A13)-L13</f>
        <v>27</v>
      </c>
      <c r="N13" s="75">
        <f>LOOKUP(2, 1/('BA History'!$B:$B=A13), 'BA History'!$AI:$AI)</f>
        <v>0.42272727272727267</v>
      </c>
      <c r="O13" s="34">
        <f>SUMIFS('BA History'!H:H,'BA History'!B:B,A13)</f>
        <v>90</v>
      </c>
      <c r="P13" s="2">
        <f>SUMIFS('BA History'!G:G,'BA History'!B:B,A13)-O13</f>
        <v>102</v>
      </c>
      <c r="Q13" s="89">
        <f>LOOKUP(2, 1/('BA History'!$B:$B=A13), 'BA History'!$AJ:$AJ)</f>
        <v>0.46636363636363626</v>
      </c>
      <c r="R13" s="2">
        <f>COUNTIFS('BA History'!$B:$B,$A$13,'BA History'!K:K, 1)</f>
        <v>2</v>
      </c>
      <c r="S13" s="2">
        <f>COUNTIFS('BA History'!$B:$B,$A$13,'BA History'!L:L, 1)</f>
        <v>2</v>
      </c>
      <c r="T13" s="2">
        <f>COUNTIFS('BA History'!$B:$B,$A$13,'BA History'!M:M, 1)</f>
        <v>1</v>
      </c>
      <c r="U13" s="2">
        <f>COUNTIFS('BA History'!$B:$B,$A$13,'BA History'!N:N, 1)</f>
        <v>1</v>
      </c>
      <c r="V13" s="2">
        <f>COUNTIFS('BA History'!$B:$B,$A$13,'BA History'!O:O, 1)</f>
        <v>1</v>
      </c>
      <c r="W13" s="2">
        <f>COUNTIFS('BA History'!$B:$B,$A$13,'BA History'!P:P, 1)</f>
        <v>0</v>
      </c>
      <c r="X13" s="2">
        <f>COUNTIFS('BA History'!$B:$B,$A$13,'BA History'!Q:Q, 1)</f>
        <v>1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1</v>
      </c>
      <c r="AE13" s="2">
        <f>COUNTIFS('BA History'!$B:$B,$A$13,'BA History'!X:X, 1)</f>
        <v>1</v>
      </c>
      <c r="AF13" s="2">
        <f>COUNTIFS('BA History'!$B:$B,$A$13,'BA History'!Y:Y, 1)</f>
        <v>2</v>
      </c>
      <c r="AG13" s="2">
        <f>COUNTIFS('BA History'!$B:$B,$A$13,'BA History'!Z:Z, 1)</f>
        <v>1</v>
      </c>
      <c r="AH13" s="2">
        <f>COUNTIFS('BA History'!$B:$B,$A13,'BA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0</v>
      </c>
      <c r="AK13" s="2">
        <f>COUNTIFS('BA History'!$B:$B,$A$13,'BA History'!AD:AD, 1)</f>
        <v>2</v>
      </c>
      <c r="AL13" s="2">
        <f>COUNTIFS('BA History'!$B:$B,$A$13,'BA History'!AE:AE, 1)</f>
        <v>2</v>
      </c>
      <c r="AM13" s="2">
        <f>COUNTIFS('BA History'!$B:$B,$A$13,'BA History'!AF:AF, 1)</f>
        <v>0</v>
      </c>
      <c r="AN13" s="2">
        <f>COUNTIFS('BA History'!$B:$B,$A$13,'BA History'!AG:AG, 1)</f>
        <v>2</v>
      </c>
    </row>
    <row r="14" spans="1:40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110</v>
      </c>
      <c r="G14" s="66">
        <f>AVERAGEIFS('BA History'!C:C,'BA History'!B:B,A14)</f>
        <v>11</v>
      </c>
      <c r="H14" s="35">
        <f t="array" ref="H14">MAX(IF('BA History'!B:B=A14, 'BA History'!C:C))</f>
        <v>21</v>
      </c>
      <c r="I14" s="34">
        <f>COUNTIFS('BA History'!B:B,A14,'BA History'!D:D, 1)</f>
        <v>3</v>
      </c>
      <c r="J14" s="2">
        <f>COUNTIFS('BA History'!B:B,A14,'BA History'!D:D, 0)</f>
        <v>7</v>
      </c>
      <c r="K14" s="75">
        <f>LOOKUP(2, 1/('BA History'!$B:$B=A14), 'BA History'!$AK:$AK)</f>
        <v>0.3</v>
      </c>
      <c r="L14" s="34">
        <f>SUMIFS('BA History'!F:F,'BA History'!B:B,A14)</f>
        <v>12</v>
      </c>
      <c r="M14" s="2">
        <f>SUMIFS('BA History'!E:E,'BA History'!B:B,A14)-L14</f>
        <v>25</v>
      </c>
      <c r="N14" s="75">
        <f>LOOKUP(2, 1/('BA History'!$B:$B=A14), 'BA History'!$AI:$AI)</f>
        <v>0.29500000000000004</v>
      </c>
      <c r="O14" s="34">
        <f>SUMIFS('BA History'!H:H,'BA History'!B:B,A14)</f>
        <v>63</v>
      </c>
      <c r="P14" s="2">
        <f>SUMIFS('BA History'!G:G,'BA History'!B:B,A14)-O14</f>
        <v>90</v>
      </c>
      <c r="Q14" s="89">
        <f>LOOKUP(2, 1/('BA History'!$B:$B=A14), 'BA History'!$AJ:$AJ)</f>
        <v>0.38</v>
      </c>
      <c r="R14" s="2">
        <f>COUNTIFS('BA History'!$B:$B,$A$14,'BA History'!K:K, 1)</f>
        <v>2</v>
      </c>
      <c r="S14" s="2">
        <f>COUNTIFS('BA History'!$B:$B,$A$14,'BA History'!L:L, 1)</f>
        <v>0</v>
      </c>
      <c r="T14" s="2">
        <f>COUNTIFS('BA History'!$B:$B,$A$14,'BA History'!M:M, 1)</f>
        <v>1</v>
      </c>
      <c r="U14" s="2">
        <f>COUNTIFS('BA History'!$B:$B,$A$14,'BA History'!N:N, 1)</f>
        <v>1</v>
      </c>
      <c r="V14" s="2">
        <f>COUNTIFS('BA History'!$B:$B,$A$14,'BA History'!O:O, 1)</f>
        <v>2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1</v>
      </c>
      <c r="AG14" s="2">
        <f>COUNTIFS('BA History'!$B:$B,$A$14,'BA History'!Z:Z, 1)</f>
        <v>0</v>
      </c>
      <c r="AH14" s="2">
        <f>COUNTIFS('BA History'!$B:$B,$A14,'BA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1</v>
      </c>
      <c r="AK14" s="2">
        <f>COUNTIFS('BA History'!$B:$B,$A$14,'BA History'!AD:AD, 1)</f>
        <v>2</v>
      </c>
      <c r="AL14" s="2">
        <f>COUNTIFS('BA History'!$B:$B,$A$14,'BA History'!AE:AE, 1)</f>
        <v>2</v>
      </c>
      <c r="AM14" s="2">
        <f>COUNTIFS('BA History'!$B:$B,$A$14,'BA History'!AF:AF, 1)</f>
        <v>0</v>
      </c>
      <c r="AN14" s="2">
        <f>COUNTIFS('BA History'!$B:$B,$A$14,'BA History'!AG:AG, 1)</f>
        <v>0</v>
      </c>
    </row>
    <row r="15" spans="1:40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114</v>
      </c>
      <c r="G15" s="66">
        <f>AVERAGEIFS('BA History'!C:C,'BA History'!B:B,A15)</f>
        <v>11.4</v>
      </c>
      <c r="H15" s="35">
        <f t="array" ref="H15">MAX(IF('BA History'!B:B=A15, 'BA History'!C:C))</f>
        <v>20</v>
      </c>
      <c r="I15" s="34">
        <f>COUNTIFS('BA History'!B:B,A15,'BA History'!D:D, 1)</f>
        <v>3</v>
      </c>
      <c r="J15" s="2">
        <f>COUNTIFS('BA History'!B:B,A15,'BA History'!D:D, 0)</f>
        <v>7</v>
      </c>
      <c r="K15" s="75">
        <f>LOOKUP(2, 1/('BA History'!$B:$B=A15), 'BA History'!$AK:$AK)</f>
        <v>0.3</v>
      </c>
      <c r="L15" s="34">
        <f>SUMIFS('BA History'!F:F,'BA History'!B:B,A15)</f>
        <v>17</v>
      </c>
      <c r="M15" s="2">
        <f>SUMIFS('BA History'!E:E,'BA History'!B:B,A15)-L15</f>
        <v>25</v>
      </c>
      <c r="N15" s="75">
        <f>LOOKUP(2, 1/('BA History'!$B:$B=A15), 'BA History'!$AI:$AI)</f>
        <v>0.4</v>
      </c>
      <c r="O15" s="34">
        <f>SUMIFS('BA History'!H:H,'BA History'!B:B,A15)</f>
        <v>72</v>
      </c>
      <c r="P15" s="2">
        <f>SUMIFS('BA History'!G:G,'BA History'!B:B,A15)-O15</f>
        <v>102</v>
      </c>
      <c r="Q15" s="89">
        <f>LOOKUP(2, 1/('BA History'!$B:$B=A15), 'BA History'!$AJ:$AJ)</f>
        <v>0.39800000000000002</v>
      </c>
      <c r="R15" s="2">
        <f>COUNTIFS('BA History'!$B:$B,$A$15,'BA History'!K:K, 1)</f>
        <v>0</v>
      </c>
      <c r="S15" s="2">
        <f>COUNTIFS('BA History'!$B:$B,$A$15,'BA History'!L:L, 1)</f>
        <v>1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1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1</v>
      </c>
      <c r="AG15" s="2">
        <f>COUNTIFS('BA History'!$B:$B,$A$15,'BA History'!Z:Z, 1)</f>
        <v>2</v>
      </c>
      <c r="AH15" s="2">
        <f>COUNTIFS('BA History'!$B:$B,$A15,'BA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4</v>
      </c>
      <c r="AK15" s="2">
        <f>COUNTIFS('BA History'!$B:$B,$A$15,'BA History'!AD:AD, 1)</f>
        <v>2</v>
      </c>
      <c r="AL15" s="2">
        <f>COUNTIFS('BA History'!$B:$B,$A$15,'BA History'!AE:AE, 1)</f>
        <v>0</v>
      </c>
      <c r="AM15" s="2">
        <f>COUNTIFS('BA History'!$B:$B,$A$15,'BA History'!AF:AF, 1)</f>
        <v>0</v>
      </c>
      <c r="AN15" s="2">
        <f>COUNTIFS('BA History'!$B:$B,$A$15,'BA History'!AG:AG, 1)</f>
        <v>1</v>
      </c>
    </row>
    <row r="16" spans="1:40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35">
        <f t="array" ref="H16">MAX(IF('BA History'!B:B=A16, 'BA History'!C:C))</f>
        <v>9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History'!$AK:$AK)</f>
        <v>0</v>
      </c>
      <c r="L16" s="34">
        <f>SUMIFS('BA History'!F:F,'BA History'!B:B,A16)</f>
        <v>1</v>
      </c>
      <c r="M16" s="2">
        <f>SUMIFS('BA History'!E:E,'BA History'!B:B,A16)-L16</f>
        <v>3</v>
      </c>
      <c r="N16" s="75">
        <f>LOOKUP(2, 1/('BA History'!$B:$B=A16), 'BA History'!$AI:$AI)</f>
        <v>0.25</v>
      </c>
      <c r="O16" s="34">
        <f>SUMIFS('BA History'!H:H,'BA History'!B:B,A16)</f>
        <v>6</v>
      </c>
      <c r="P16" s="2">
        <f>SUMIFS('BA History'!G:G,'BA History'!B:B,A16)-O16</f>
        <v>9</v>
      </c>
      <c r="Q16" s="89">
        <f>LOOKUP(2, 1/('BA History'!$B:$B=A16), 'BA History'!$AJ:$AJ)</f>
        <v>0.4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1</v>
      </c>
      <c r="AH16" s="2">
        <f>COUNTIFS('BA History'!$B:$B,$A16,'BA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  <c r="AN16" s="2">
        <f>COUNTIFS('BA History'!$B:$B,$A$16,'BA History'!AG:AG, 1)</f>
        <v>0</v>
      </c>
    </row>
    <row r="17" spans="1:40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106</v>
      </c>
      <c r="G17" s="66">
        <f>AVERAGEIFS('BA History'!C:C,'BA History'!B:B,A17)</f>
        <v>11.777777777777779</v>
      </c>
      <c r="H17" s="35">
        <f t="array" ref="H17">MAX(IF('BA History'!B:B=A17, 'BA History'!C:C))</f>
        <v>19</v>
      </c>
      <c r="I17" s="34">
        <f>COUNTIFS('BA History'!B:B,A17,'BA History'!D:D, 1)</f>
        <v>3</v>
      </c>
      <c r="J17" s="2">
        <f>COUNTIFS('BA History'!B:B,A17,'BA History'!D:D, 0)</f>
        <v>6</v>
      </c>
      <c r="K17" s="75">
        <f>LOOKUP(2, 1/('BA History'!$B:$B=A17), 'BA History'!$AK:$AK)</f>
        <v>0.33333333333333331</v>
      </c>
      <c r="L17" s="34">
        <f>SUMIFS('BA History'!F:F,'BA History'!B:B,A17)</f>
        <v>16</v>
      </c>
      <c r="M17" s="2">
        <f>SUMIFS('BA History'!E:E,'BA History'!B:B,A17)-L17</f>
        <v>22</v>
      </c>
      <c r="N17" s="75">
        <f>LOOKUP(2, 1/('BA History'!$B:$B=A17), 'BA History'!$AI:$AI)</f>
        <v>0.38333333333333336</v>
      </c>
      <c r="O17" s="34">
        <f>SUMIFS('BA History'!H:H,'BA History'!B:B,A17)</f>
        <v>76</v>
      </c>
      <c r="P17" s="2">
        <f>SUMIFS('BA History'!G:G,'BA History'!B:B,A17)-O17</f>
        <v>81</v>
      </c>
      <c r="Q17" s="89">
        <f>LOOKUP(2, 1/('BA History'!$B:$B=A17), 'BA History'!$AJ:$AJ)</f>
        <v>0.47111111111111115</v>
      </c>
      <c r="R17" s="2">
        <f>COUNTIFS('BA History'!$B:$B,$A$17,'BA History'!K:K, 1)</f>
        <v>1</v>
      </c>
      <c r="S17" s="2">
        <f>COUNTIFS('BA History'!$B:$B,$A$17,'BA History'!L:L, 1)</f>
        <v>0</v>
      </c>
      <c r="T17" s="2">
        <f>COUNTIFS('BA History'!$B:$B,$A$17,'BA History'!M:M, 1)</f>
        <v>2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1</v>
      </c>
      <c r="AD17" s="2">
        <f>COUNTIFS('BA History'!$B:$B,$A$17,'BA History'!W:W, 1)</f>
        <v>1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History'!$B:$B,$A17,'BA History'!AA:AA, 1)</f>
        <v>1</v>
      </c>
      <c r="AI17" s="2">
        <f>COUNTIFS('BA History'!$B:$B,$A$17,'BA History'!AB:AB, 1)</f>
        <v>0</v>
      </c>
      <c r="AJ17" s="2">
        <f>COUNTIFS('BA History'!$B:$B,$A$17,'BA History'!AC:AC, 1)</f>
        <v>4</v>
      </c>
      <c r="AK17" s="2">
        <f>COUNTIFS('BA History'!$B:$B,$A$17,'BA History'!AD:AD, 1)</f>
        <v>2</v>
      </c>
      <c r="AL17" s="2">
        <f>COUNTIFS('BA History'!$B:$B,$A$17,'BA History'!AE:AE, 1)</f>
        <v>0</v>
      </c>
      <c r="AM17" s="2">
        <f>COUNTIFS('BA History'!$B:$B,$A$17,'BA History'!AF:AF, 1)</f>
        <v>0</v>
      </c>
      <c r="AN17" s="2">
        <f>COUNTIFS('BA History'!$B:$B,$A$17,'BA History'!AG:AG, 1)</f>
        <v>0</v>
      </c>
    </row>
    <row r="18" spans="1:40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35">
        <f t="array" ref="H18">MAX(IF('BA History'!B:B=A18, 'BA History'!C:C))</f>
        <v>3</v>
      </c>
      <c r="I18" s="34">
        <f>COUNTIFS('BA History'!B:B,A18,'BA History'!D:D, 1)</f>
        <v>0</v>
      </c>
      <c r="J18" s="2">
        <f>COUNTIFS('BA History'!B:B,A18,'BA History'!D:D, 0)</f>
        <v>1</v>
      </c>
      <c r="K18" s="75">
        <f>LOOKUP(2, 1/('BA History'!$B:$B=A18), 'BA History'!$AK:$AK)</f>
        <v>0</v>
      </c>
      <c r="L18" s="34">
        <f>SUMIFS('BA History'!F:F,'BA History'!B:B,A18)</f>
        <v>0</v>
      </c>
      <c r="M18" s="2">
        <f>SUMIFS('BA History'!E:E,'BA History'!B:B,A18)-L18</f>
        <v>3</v>
      </c>
      <c r="N18" s="75">
        <f>LOOKUP(2, 1/('BA History'!$B:$B=A18), 'BA History'!$AI:$AI)</f>
        <v>0</v>
      </c>
      <c r="O18" s="34">
        <f>SUMIFS('BA History'!H:H,'BA History'!B:B,A18)</f>
        <v>4</v>
      </c>
      <c r="P18" s="2">
        <f>SUMIFS('BA History'!G:G,'BA History'!B:B,A18)-O18</f>
        <v>9</v>
      </c>
      <c r="Q18" s="89">
        <f>LOOKUP(2, 1/('BA History'!$B:$B=A18), 'BA History'!$AJ:$AJ)</f>
        <v>0.31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0</v>
      </c>
      <c r="U18" s="2">
        <f>COUNTIFS('BA History'!$B:$B,$A$18,'BA History'!N:N, 1)</f>
        <v>0</v>
      </c>
      <c r="V18" s="2">
        <f>COUNTIFS('BA History'!$B:$B,$A$18,'BA History'!O:O, 1)</f>
        <v>0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0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0</v>
      </c>
      <c r="AG18" s="2">
        <f>COUNTIFS('BA History'!$B:$B,$A$18,'BA History'!Z:Z, 1)</f>
        <v>0</v>
      </c>
      <c r="AH18" s="2">
        <f>COUNTIFS('BA History'!$B:$B,$A18,'BA History'!AA:AA, 1)</f>
        <v>0</v>
      </c>
      <c r="AI18" s="2">
        <f>COUNTIFS('BA History'!$B:$B,$A$18,'BA History'!AB:AB, 1)</f>
        <v>0</v>
      </c>
      <c r="AJ18" s="2">
        <f>COUNTIFS('BA History'!$B:$B,$A$18,'BA History'!AC:AC, 1)</f>
        <v>0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  <c r="AN18" s="2">
        <f>COUNTIFS('BA History'!$B:$B,$A$19,'BA History'!AG:AG, 1)</f>
        <v>0</v>
      </c>
    </row>
    <row r="19" spans="1:40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35">
        <f t="array" ref="H19">MAX(IF('BA History'!B:B=A19, 'BA History'!C:C))</f>
        <v>14</v>
      </c>
      <c r="I19" s="34">
        <f>COUNTIFS('BA History'!B:B,A19,'BA History'!D:D, 1)</f>
        <v>3</v>
      </c>
      <c r="J19" s="2">
        <f>COUNTIFS('BA History'!B:B,A19,'BA History'!D:D, 0)</f>
        <v>4</v>
      </c>
      <c r="K19" s="75">
        <f>LOOKUP(2, 1/('BA History'!$B:$B=A19), 'BA History'!$AK:$AK)</f>
        <v>0.42857142857142855</v>
      </c>
      <c r="L19" s="34">
        <f>SUMIFS('BA History'!F:F,'BA History'!B:B,A19)</f>
        <v>13</v>
      </c>
      <c r="M19" s="2">
        <f>SUMIFS('BA History'!E:E,'BA History'!B:B,A19)-L19</f>
        <v>15</v>
      </c>
      <c r="N19" s="75">
        <f>LOOKUP(2, 1/('BA History'!$B:$B=A19), 'BA History'!$AI:$AI)</f>
        <v>0.45999999999999996</v>
      </c>
      <c r="O19" s="34">
        <f>SUMIFS('BA History'!H:H,'BA History'!B:B,A19)</f>
        <v>62</v>
      </c>
      <c r="P19" s="2">
        <f>SUMIFS('BA History'!G:G,'BA History'!B:B,A19)-O19</f>
        <v>66</v>
      </c>
      <c r="Q19" s="89">
        <f>LOOKUP(2, 1/('BA History'!$B:$B=A19), 'BA History'!$AJ:$AJ)</f>
        <v>0.48142857142857143</v>
      </c>
      <c r="R19" s="2">
        <f>COUNTIFS('BA History'!$B:$B,$A$19,'BA History'!K:K, 1)</f>
        <v>0</v>
      </c>
      <c r="S19" s="2">
        <f>COUNTIFS('BA History'!$B:$B,$A$19,'BA History'!L:L, 1)</f>
        <v>0</v>
      </c>
      <c r="T19" s="2">
        <f>COUNTIFS('BA History'!$B:$B,$A$19,'BA History'!M:M, 1)</f>
        <v>1</v>
      </c>
      <c r="U19" s="2">
        <f>COUNTIFS('BA History'!$B:$B,$A$19,'BA History'!N:N, 1)</f>
        <v>2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0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1</v>
      </c>
      <c r="AC19" s="2">
        <f>COUNTIFS('BA History'!$B:$B,$A$19,'BA History'!V:V, 1)</f>
        <v>0</v>
      </c>
      <c r="AD19" s="2">
        <f>COUNTIFS('BA History'!$B:$B,$A$19,'BA History'!W:W, 1)</f>
        <v>0</v>
      </c>
      <c r="AE19" s="2">
        <f>COUNTIFS('BA History'!$B:$B,$A$19,'BA History'!X:X, 1)</f>
        <v>0</v>
      </c>
      <c r="AF19" s="2">
        <f>COUNTIFS('BA History'!$B:$B,$A$19,'BA History'!Y:Y, 1)</f>
        <v>2</v>
      </c>
      <c r="AG19" s="2">
        <f>COUNTIFS('BA History'!$B:$B,$A$19,'BA History'!Z:Z, 1)</f>
        <v>1</v>
      </c>
      <c r="AH19" s="2">
        <f>COUNTIFS('BA History'!$B:$B,$A19,'BA History'!AA:AA, 1)</f>
        <v>0</v>
      </c>
      <c r="AI19" s="2">
        <f>COUNTIFS('BA History'!$B:$B,$A$19,'BA History'!AB:AB, 1)</f>
        <v>1</v>
      </c>
      <c r="AJ19" s="2">
        <f>COUNTIFS('BA History'!$B:$B,$A$19,'BA History'!AC:AC, 1)</f>
        <v>2</v>
      </c>
      <c r="AK19" s="2">
        <f>COUNTIFS('BA History'!$B:$B,$A$19,'BA History'!AD:AD, 1)</f>
        <v>2</v>
      </c>
      <c r="AL19" s="2">
        <f>COUNTIFS('BA History'!$B:$B,$A$19,'BA History'!AE:AE, 1)</f>
        <v>0</v>
      </c>
      <c r="AM19" s="2">
        <f>COUNTIFS('BA History'!$B:$B,$A$19,'BA History'!AF:AF, 1)</f>
        <v>0</v>
      </c>
      <c r="AN19" s="2">
        <f>COUNTIFS('BA History'!$B:$B,$A$19,'BA History'!AG:AG, 1)</f>
        <v>0</v>
      </c>
    </row>
    <row r="20" spans="1:40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848</v>
      </c>
      <c r="G20" s="66">
        <f>AVERAGEIFS('BA History'!C:C,'BA History'!B:B,A20)</f>
        <v>18.042553191489361</v>
      </c>
      <c r="H20" s="35">
        <f t="array" ref="H20">MAX(IF('BA History'!B:B=A20, 'BA History'!C:C))</f>
        <v>31</v>
      </c>
      <c r="I20" s="34">
        <f>COUNTIFS('BA History'!B:B,A20,'BA History'!D:D, 1)</f>
        <v>23</v>
      </c>
      <c r="J20" s="2">
        <f>COUNTIFS('BA History'!B:B,A20,'BA History'!D:D, 0)</f>
        <v>24</v>
      </c>
      <c r="K20" s="75">
        <f>LOOKUP(2, 1/('BA History'!$B:$B=A20), 'BA History'!$AK:$AK)</f>
        <v>0.48936170212765956</v>
      </c>
      <c r="L20" s="34">
        <f>SUMIFS('BA History'!F:F,'BA History'!B:B,A20)</f>
        <v>93</v>
      </c>
      <c r="M20" s="2">
        <f>SUMIFS('BA History'!E:E,'BA History'!B:B,A20)-L20</f>
        <v>95</v>
      </c>
      <c r="N20" s="75">
        <f>LOOKUP(2, 1/('BA History'!$B:$B=A20), 'BA History'!$AI:$AI)</f>
        <v>0.49744680851063833</v>
      </c>
      <c r="O20" s="34">
        <f>SUMIFS('BA History'!H:H,'BA History'!B:B,A20)</f>
        <v>397</v>
      </c>
      <c r="P20" s="2">
        <f>SUMIFS('BA History'!G:G,'BA History'!B:B,A20)-O20</f>
        <v>395</v>
      </c>
      <c r="Q20" s="89">
        <f>LOOKUP(2, 1/('BA History'!$B:$B=A20), 'BA History'!$AJ:$AJ)</f>
        <v>0.50914893617021273</v>
      </c>
      <c r="R20" s="2">
        <f>COUNTIFS('BA History'!$B:$B,$A$20,'BA History'!K:K, 1)</f>
        <v>3</v>
      </c>
      <c r="S20" s="2">
        <f>COUNTIFS('BA History'!$B:$B,$A$20,'BA History'!L:L, 1)</f>
        <v>7</v>
      </c>
      <c r="T20" s="2">
        <f>COUNTIFS('BA History'!$B:$B,$A$20,'BA History'!M:M, 1)</f>
        <v>6</v>
      </c>
      <c r="U20" s="2">
        <f>COUNTIFS('BA History'!$B:$B,$A$20,'BA History'!N:N, 1)</f>
        <v>8</v>
      </c>
      <c r="V20" s="2">
        <f>COUNTIFS('BA History'!$B:$B,$A$20,'BA History'!O:O, 1)</f>
        <v>3</v>
      </c>
      <c r="W20" s="2">
        <f>COUNTIFS('BA History'!$B:$B,$A$20,'BA History'!P:P, 1)</f>
        <v>1</v>
      </c>
      <c r="X20" s="2">
        <f>COUNTIFS('BA History'!$B:$B,$A$20,'BA History'!Q:Q, 1)</f>
        <v>4</v>
      </c>
      <c r="Y20" s="2">
        <f>COUNTIFS('BA History'!$B:$B,$A$20,'BA History'!R:R, 1)</f>
        <v>2</v>
      </c>
      <c r="Z20" s="2">
        <f>COUNTIFS('BA History'!$B:$B,$A$20,'BA History'!S:S, 1)</f>
        <v>0</v>
      </c>
      <c r="AA20" s="2">
        <f>COUNTIFS('BA History'!$B:$B,$A$20,'BA History'!T:T, 1)</f>
        <v>1</v>
      </c>
      <c r="AB20" s="2">
        <f>COUNTIFS('BA History'!$B:$B,$A$20,'BA History'!U:U, 1)</f>
        <v>0</v>
      </c>
      <c r="AC20" s="2">
        <f>COUNTIFS('BA History'!$B:$B,$A$20,'BA History'!V:V, 1)</f>
        <v>9</v>
      </c>
      <c r="AD20" s="2">
        <f>COUNTIFS('BA History'!$B:$B,$A$20,'BA History'!W:W, 1)</f>
        <v>2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10</v>
      </c>
      <c r="AH20" s="2">
        <f>COUNTIFS('BA History'!$B:$B,$A20,'BA History'!AA:AA, 1)</f>
        <v>0</v>
      </c>
      <c r="AI20" s="2">
        <f>COUNTIFS('BA History'!$B:$B,$A$20,'BA History'!AB:AB, 1)</f>
        <v>1</v>
      </c>
      <c r="AJ20" s="2">
        <f>COUNTIFS('BA History'!$B:$B,$A$20,'BA History'!AC:AC, 1)</f>
        <v>14</v>
      </c>
      <c r="AK20" s="2">
        <f>COUNTIFS('BA History'!$B:$B,$A$20,'BA History'!AD:AD, 1)</f>
        <v>2</v>
      </c>
      <c r="AL20" s="2">
        <f>COUNTIFS('BA History'!$B:$B,$A$20,'BA History'!AE:AE, 1)</f>
        <v>9</v>
      </c>
      <c r="AM20" s="2">
        <f>COUNTIFS('BA History'!$B:$B,$A$20,'BA History'!AF:AF, 1)</f>
        <v>2</v>
      </c>
      <c r="AN20" s="2">
        <f>COUNTIFS('BA History'!$B:$B,$A$20,'BA History'!AG:AG, 1)</f>
        <v>4</v>
      </c>
    </row>
    <row r="21" spans="1:40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35">
        <f t="array" ref="H21">MAX(IF('BA History'!B:B=A21, 'BA History'!C:C))</f>
        <v>31</v>
      </c>
      <c r="I21" s="34">
        <f>COUNTIFS('BA History'!B:B,A21,'BA History'!D:D, 1)</f>
        <v>5</v>
      </c>
      <c r="J21" s="2">
        <f>COUNTIFS('BA History'!B:B,A21,'BA History'!D:D, 0)</f>
        <v>10</v>
      </c>
      <c r="K21" s="75">
        <f>LOOKUP(2, 1/('BA History'!$B:$B=A21), 'BA History'!$AK:$AK)</f>
        <v>0.33333333333333331</v>
      </c>
      <c r="L21" s="34">
        <f>SUMIFS('BA History'!F:F,'BA History'!B:B,A21)</f>
        <v>29</v>
      </c>
      <c r="M21" s="2">
        <f>SUMIFS('BA History'!E:E,'BA History'!B:B,A21)-L21</f>
        <v>35</v>
      </c>
      <c r="N21" s="75">
        <f>LOOKUP(2, 1/('BA History'!$B:$B=A21), 'BA History'!$AI:$AI)</f>
        <v>0.47000000000000003</v>
      </c>
      <c r="O21" s="34">
        <f>SUMIFS('BA History'!H:H,'BA History'!B:B,A21)</f>
        <v>121</v>
      </c>
      <c r="P21" s="2">
        <f>SUMIFS('BA History'!G:G,'BA History'!B:B,A21)-O21</f>
        <v>134</v>
      </c>
      <c r="Q21" s="89">
        <f>LOOKUP(2, 1/('BA History'!$B:$B=A21), 'BA History'!$AJ:$AJ)</f>
        <v>0.48600000000000004</v>
      </c>
      <c r="R21" s="2">
        <f>COUNTIFS('BA History'!$B:$B,$A$21,'BA History'!K:K, 1)</f>
        <v>1</v>
      </c>
      <c r="S21" s="2">
        <f>COUNTIFS('BA History'!$B:$B,$A$21,'BA History'!L:L, 1)</f>
        <v>2</v>
      </c>
      <c r="T21" s="2">
        <f>COUNTIFS('BA History'!$B:$B,$A$21,'BA History'!M:M, 1)</f>
        <v>2</v>
      </c>
      <c r="U21" s="2">
        <f>COUNTIFS('BA History'!$B:$B,$A$21,'BA History'!N:N, 1)</f>
        <v>3</v>
      </c>
      <c r="V21" s="2">
        <f>COUNTIFS('BA History'!$B:$B,$A$21,'BA History'!O:O, 1)</f>
        <v>1</v>
      </c>
      <c r="W21" s="2">
        <f>COUNTIFS('BA History'!$B:$B,$A$21,'BA History'!P:P, 1)</f>
        <v>0</v>
      </c>
      <c r="X21" s="2">
        <f>COUNTIFS('BA History'!$B:$B,$A$21,'BA History'!Q:Q, 1)</f>
        <v>1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4</v>
      </c>
      <c r="AC21" s="2">
        <f>COUNTIFS('BA History'!$B:$B,$A$21,'BA History'!V:V, 1)</f>
        <v>0</v>
      </c>
      <c r="AD21" s="2">
        <f>COUNTIFS('BA History'!$B:$B,$A$21,'BA History'!W:W, 1)</f>
        <v>1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4</v>
      </c>
      <c r="AH21" s="2">
        <f>COUNTIFS('BA History'!$B:$B,$A21,'BA History'!AA:AA, 1)</f>
        <v>0</v>
      </c>
      <c r="AI21" s="2">
        <f>COUNTIFS('BA History'!$B:$B,$A$21,'BA History'!AB:AB, 1)</f>
        <v>0</v>
      </c>
      <c r="AJ21" s="2">
        <f>COUNTIFS('BA History'!$B:$B,$A$21,'BA History'!AC:AC, 1)</f>
        <v>5</v>
      </c>
      <c r="AK21" s="2">
        <f>COUNTIFS('BA History'!$B:$B,$A$21,'BA History'!AD:AD, 1)</f>
        <v>3</v>
      </c>
      <c r="AL21" s="2">
        <f>COUNTIFS('BA History'!$B:$B,$A$21,'BA History'!AE:AE, 1)</f>
        <v>1</v>
      </c>
      <c r="AM21" s="2">
        <f>COUNTIFS('BA History'!$B:$B,$A$21,'BA History'!AF:AF, 1)</f>
        <v>0</v>
      </c>
      <c r="AN21" s="2">
        <f>COUNTIFS('BA History'!$B:$B,$A$21,'BA History'!AG:AG, 1)</f>
        <v>0</v>
      </c>
    </row>
    <row r="22" spans="1:40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836</v>
      </c>
      <c r="G22" s="66">
        <f>AVERAGEIFS('BA History'!C:C,'BA History'!B:B,A22)</f>
        <v>16.392156862745097</v>
      </c>
      <c r="H22" s="35">
        <f t="array" ref="H22">MAX(IF('BA History'!B:B=A22, 'BA History'!C:C))</f>
        <v>36</v>
      </c>
      <c r="I22" s="34">
        <f>COUNTIFS('BA History'!B:B,A22,'BA History'!D:D, 1)</f>
        <v>31</v>
      </c>
      <c r="J22" s="2">
        <f>COUNTIFS('BA History'!B:B,A22,'BA History'!D:D, 0)</f>
        <v>20</v>
      </c>
      <c r="K22" s="75">
        <f>LOOKUP(2, 1/('BA History'!$B:$B=A22), 'BA History'!$AK:$AK)</f>
        <v>0.60784313725490191</v>
      </c>
      <c r="L22" s="34">
        <f>SUMIFS('BA History'!F:F,'BA History'!B:B,A22)</f>
        <v>111</v>
      </c>
      <c r="M22" s="2">
        <f>SUMIFS('BA History'!E:E,'BA History'!B:B,A22)-L22</f>
        <v>93</v>
      </c>
      <c r="N22" s="75">
        <f>LOOKUP(2, 1/('BA History'!$B:$B=A22), 'BA History'!$AI:$AI)</f>
        <v>0.54411764705882348</v>
      </c>
      <c r="O22" s="34">
        <f>SUMIFS('BA History'!H:H,'BA History'!B:B,A22)</f>
        <v>448</v>
      </c>
      <c r="P22" s="2">
        <f>SUMIFS('BA History'!G:G,'BA History'!B:B,A22)-O22</f>
        <v>404</v>
      </c>
      <c r="Q22" s="89">
        <f>LOOKUP(2, 1/('BA History'!$B:$B=A22), 'BA History'!$AJ:$AJ)</f>
        <v>0.53274509803921577</v>
      </c>
      <c r="R22" s="2">
        <f>COUNTIFS('BA History'!$B:$B,$A$22,'BA History'!K:K, 1)</f>
        <v>6</v>
      </c>
      <c r="S22" s="2">
        <f>COUNTIFS('BA History'!$B:$B,$A$22,'BA History'!L:L, 1)</f>
        <v>4</v>
      </c>
      <c r="T22" s="2">
        <f>COUNTIFS('BA History'!$B:$B,$A$22,'BA History'!M:M, 1)</f>
        <v>13</v>
      </c>
      <c r="U22" s="2">
        <f>COUNTIFS('BA History'!$B:$B,$A$22,'BA History'!N:N, 1)</f>
        <v>10</v>
      </c>
      <c r="V22" s="2">
        <f>COUNTIFS('BA History'!$B:$B,$A$22,'BA History'!O:O, 1)</f>
        <v>2</v>
      </c>
      <c r="W22" s="2">
        <f>COUNTIFS('BA History'!$B:$B,$A$22,'BA History'!P:P, 1)</f>
        <v>0</v>
      </c>
      <c r="X22" s="2">
        <f>COUNTIFS('BA History'!$B:$B,$A$22,'BA History'!Q:Q, 1)</f>
        <v>3</v>
      </c>
      <c r="Y22" s="2">
        <f>COUNTIFS('BA History'!$B:$B,$A$22,'BA History'!R:R, 1)</f>
        <v>2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5</v>
      </c>
      <c r="AD22" s="2">
        <f>COUNTIFS('BA History'!$B:$B,$A$22,'BA History'!W:W, 1)</f>
        <v>4</v>
      </c>
      <c r="AE22" s="2">
        <f>COUNTIFS('BA History'!$B:$B,$A$22,'BA History'!X:X, 1)</f>
        <v>1</v>
      </c>
      <c r="AF22" s="2">
        <f>COUNTIFS('BA History'!$B:$B,$A$22,'BA History'!Y:Y, 1)</f>
        <v>6</v>
      </c>
      <c r="AG22" s="2">
        <f>COUNTIFS('BA History'!$B:$B,$A$22,'BA History'!Z:Z, 1)</f>
        <v>10</v>
      </c>
      <c r="AH22" s="2">
        <f>COUNTIFS('BA History'!$B:$B,$A22,'BA History'!AA:AA, 1)</f>
        <v>0</v>
      </c>
      <c r="AI22" s="2">
        <f>COUNTIFS('BA History'!$B:$B,$A$22,'BA History'!AB:AB, 1)</f>
        <v>4</v>
      </c>
      <c r="AJ22" s="2">
        <f>COUNTIFS('BA History'!$B:$B,$A$22,'BA History'!AC:AC, 1)</f>
        <v>13</v>
      </c>
      <c r="AK22" s="2">
        <f>COUNTIFS('BA History'!$B:$B,$A$22,'BA History'!AD:AD, 1)</f>
        <v>6</v>
      </c>
      <c r="AL22" s="2">
        <f>COUNTIFS('BA History'!$B:$B,$A$22,'BA History'!AE:AE, 1)</f>
        <v>8</v>
      </c>
      <c r="AM22" s="2">
        <f>COUNTIFS('BA History'!$B:$B,$A$22,'BA History'!AF:AF, 1)</f>
        <v>1</v>
      </c>
      <c r="AN22" s="2">
        <f>COUNTIFS('BA History'!$B:$B,$A$22,'BA History'!AG:AG, 1)</f>
        <v>11</v>
      </c>
    </row>
    <row r="23" spans="1:40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35">
        <f t="array" ref="H23">MAX(IF('BA History'!B:B=A23, 'BA History'!C:C))</f>
        <v>14</v>
      </c>
      <c r="I23" s="34">
        <f>COUNTIFS('BA History'!B:B,A23,'BA History'!D:D, 1)</f>
        <v>1</v>
      </c>
      <c r="J23" s="2">
        <f>COUNTIFS('BA History'!B:B,A23,'BA History'!D:D, 0)</f>
        <v>2</v>
      </c>
      <c r="K23" s="75">
        <f>LOOKUP(2, 1/('BA History'!$B:$B=A23), 'BA History'!$AK:$AK)</f>
        <v>0.33333333333333331</v>
      </c>
      <c r="L23" s="34">
        <f>SUMIFS('BA History'!F:F,'BA History'!B:B,A23)</f>
        <v>6</v>
      </c>
      <c r="M23" s="2">
        <f>SUMIFS('BA History'!E:E,'BA History'!B:B,A23)-L23</f>
        <v>7</v>
      </c>
      <c r="N23" s="75">
        <f>LOOKUP(2, 1/('BA History'!$B:$B=A23), 'BA History'!$AI:$AI)</f>
        <v>0.46666666666666662</v>
      </c>
      <c r="O23" s="34">
        <f>SUMIFS('BA History'!H:H,'BA History'!B:B,A23)</f>
        <v>27</v>
      </c>
      <c r="P23" s="2">
        <f>SUMIFS('BA History'!G:G,'BA History'!B:B,A23)-O23</f>
        <v>29</v>
      </c>
      <c r="Q23" s="89">
        <f>LOOKUP(2, 1/('BA History'!$B:$B=A23), 'BA History'!$AJ:$AJ)</f>
        <v>0.48333333333333334</v>
      </c>
      <c r="R23" s="2">
        <f>COUNTIFS('BA History'!$B:$B,$A$23,'BA History'!K:K, 1)</f>
        <v>0</v>
      </c>
      <c r="S23" s="2">
        <f>COUNTIFS('BA History'!$B:$B,$A$23,'BA History'!L:L, 1)</f>
        <v>0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1</v>
      </c>
      <c r="AG23" s="2">
        <f>COUNTIFS('BA History'!$B:$B,$A$23,'BA History'!Z:Z, 1)</f>
        <v>1</v>
      </c>
      <c r="AH23" s="2">
        <f>COUNTIFS('BA History'!$B:$B,$A23,'BA History'!AA:AA, 1)</f>
        <v>0</v>
      </c>
      <c r="AI23" s="2">
        <f>COUNTIFS('BA History'!$B:$B,$A$23,'BA History'!AB:AB, 1)</f>
        <v>1</v>
      </c>
      <c r="AJ23" s="2">
        <f>COUNTIFS('BA History'!$B:$B,$A$23,'BA History'!AC:AC, 1)</f>
        <v>3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  <c r="AN23" s="2">
        <f>COUNTIFS('BA History'!$B:$B,$A$23,'BA History'!AG:AG, 1)</f>
        <v>0</v>
      </c>
    </row>
    <row r="24" spans="1:40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1090</v>
      </c>
      <c r="G24" s="66">
        <f>AVERAGEIFS('BA History'!C:C,'BA History'!B:B,A24)</f>
        <v>27.25</v>
      </c>
      <c r="H24" s="35">
        <f t="array" ref="H24">MAX(IF('BA History'!B:B=A24, 'BA History'!C:C))</f>
        <v>50</v>
      </c>
      <c r="I24" s="34">
        <f>COUNTIFS('BA History'!B:B,A24,'BA History'!D:D, 1)</f>
        <v>21</v>
      </c>
      <c r="J24" s="2">
        <f>COUNTIFS('BA History'!B:B,A24,'BA History'!D:D, 0)</f>
        <v>19</v>
      </c>
      <c r="K24" s="75">
        <f>LOOKUP(2, 1/('BA History'!$B:$B=A24), 'BA History'!$AK:$AK)</f>
        <v>0.52500000000000002</v>
      </c>
      <c r="L24" s="34">
        <f>SUMIFS('BA History'!F:F,'BA History'!B:B,A24)</f>
        <v>81</v>
      </c>
      <c r="M24" s="2">
        <f>SUMIFS('BA History'!E:E,'BA History'!B:B,A24)-L24</f>
        <v>79</v>
      </c>
      <c r="N24" s="75">
        <f>LOOKUP(2, 1/('BA History'!$B:$B=A24), 'BA History'!$AI:$AI)</f>
        <v>0.50250000000000006</v>
      </c>
      <c r="O24" s="34">
        <f>SUMIFS('BA History'!H:H,'BA History'!B:B,A24)</f>
        <v>330</v>
      </c>
      <c r="P24" s="2">
        <f>SUMIFS('BA History'!G:G,'BA History'!B:B,A24)-O24</f>
        <v>330</v>
      </c>
      <c r="Q24" s="89">
        <f>LOOKUP(2, 1/('BA History'!$B:$B=A24), 'BA History'!$AJ:$AJ)</f>
        <v>0.50225000000000009</v>
      </c>
      <c r="R24" s="2">
        <f>COUNTIFS('BA History'!$B:$B,$A$24,'BA History'!K:K, 1)</f>
        <v>4</v>
      </c>
      <c r="S24" s="2">
        <f>COUNTIFS('BA History'!$B:$B,$A$24,'BA History'!L:L, 1)</f>
        <v>7</v>
      </c>
      <c r="T24" s="2">
        <f>COUNTIFS('BA History'!$B:$B,$A$24,'BA History'!M:M, 1)</f>
        <v>6</v>
      </c>
      <c r="U24" s="2">
        <f>COUNTIFS('BA History'!$B:$B,$A$24,'BA History'!N:N, 1)</f>
        <v>6</v>
      </c>
      <c r="V24" s="2">
        <f>COUNTIFS('BA History'!$B:$B,$A$24,'BA History'!O:O, 1)</f>
        <v>4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2</v>
      </c>
      <c r="Z24" s="2">
        <f>COUNTIFS('BA History'!$B:$B,$A$24,'BA History'!S:S, 1)</f>
        <v>2</v>
      </c>
      <c r="AA24" s="2">
        <f>COUNTIFS('BA History'!$B:$B,$A$24,'BA History'!T:T, 1)</f>
        <v>0</v>
      </c>
      <c r="AB24" s="2">
        <f>COUNTIFS('BA History'!$B:$B,$A$24,'BA History'!U:U, 1)</f>
        <v>2</v>
      </c>
      <c r="AC24" s="2">
        <f>COUNTIFS('BA History'!$B:$B,$A$24,'BA History'!V:V, 1)</f>
        <v>6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5</v>
      </c>
      <c r="AG24" s="2">
        <f>COUNTIFS('BA History'!$B:$B,$A$24,'BA History'!Z:Z, 1)</f>
        <v>7</v>
      </c>
      <c r="AH24" s="2">
        <f>COUNTIFS('BA History'!$B:$B,$A24,'BA History'!AA:AA, 1)</f>
        <v>0</v>
      </c>
      <c r="AI24" s="2">
        <f>COUNTIFS('BA History'!$B:$B,$A$24,'BA History'!AB:AB, 1)</f>
        <v>1</v>
      </c>
      <c r="AJ24" s="2">
        <f>COUNTIFS('BA History'!$B:$B,$A$24,'BA History'!AC:AC, 1)</f>
        <v>7</v>
      </c>
      <c r="AK24" s="2">
        <f>COUNTIFS('BA History'!$B:$B,$A$24,'BA History'!AD:AD, 1)</f>
        <v>5</v>
      </c>
      <c r="AL24" s="2">
        <f>COUNTIFS('BA History'!$B:$B,$A$24,'BA History'!AE:AE, 1)</f>
        <v>9</v>
      </c>
      <c r="AM24" s="2">
        <f>COUNTIFS('BA History'!$B:$B,$A$24,'BA History'!AF:AF, 1)</f>
        <v>1</v>
      </c>
      <c r="AN24" s="2">
        <f>COUNTIFS('BA History'!$B:$B,$A$24,'BA History'!AG:AG, 1)</f>
        <v>5</v>
      </c>
    </row>
    <row r="25" spans="1:40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35">
        <f t="array" ref="H25">MAX(IF('BA History'!B:B=A25, 'BA History'!C:C))</f>
        <v>7</v>
      </c>
      <c r="I25" s="34">
        <f>COUNTIFS('BA History'!B:B,A25,'BA History'!D:D, 1)</f>
        <v>0</v>
      </c>
      <c r="J25" s="2">
        <f>COUNTIFS('BA History'!B:B,A25,'BA History'!D:D, 0)</f>
        <v>1</v>
      </c>
      <c r="K25" s="75">
        <f>LOOKUP(2, 1/('BA History'!$B:$B=A25), 'BA History'!$AK:$AK)</f>
        <v>0</v>
      </c>
      <c r="L25" s="34">
        <f>SUMIFS('BA History'!F:F,'BA History'!B:B,A25)</f>
        <v>1</v>
      </c>
      <c r="M25" s="2">
        <f>SUMIFS('BA History'!E:E,'BA History'!B:B,A25)-L25</f>
        <v>4</v>
      </c>
      <c r="N25" s="75">
        <f>LOOKUP(2, 1/('BA History'!$B:$B=A25), 'BA History'!$AI:$AI)</f>
        <v>0.2</v>
      </c>
      <c r="O25" s="34">
        <f>SUMIFS('BA History'!H:H,'BA History'!B:B,A25)</f>
        <v>5</v>
      </c>
      <c r="P25" s="2">
        <f>SUMIFS('BA History'!G:G,'BA History'!B:B,A25)-O25</f>
        <v>14</v>
      </c>
      <c r="Q25" s="89">
        <f>LOOKUP(2, 1/('BA History'!$B:$B=A25), 'BA History'!$AJ:$AJ)</f>
        <v>0.26</v>
      </c>
      <c r="R25" s="2">
        <f>COUNTIFS('BA History'!$B:$B,$A$25,'BA History'!K:K, 1)</f>
        <v>0</v>
      </c>
      <c r="S25" s="2">
        <f>COUNTIFS('BA History'!$B:$B,$A$25,'BA History'!L:L, 1)</f>
        <v>1</v>
      </c>
      <c r="T25" s="2">
        <f>COUNTIFS('BA History'!$B:$B,$A$25,'BA History'!M:M, 1)</f>
        <v>0</v>
      </c>
      <c r="U25" s="2">
        <f>COUNTIFS('BA History'!$B:$B,$A$25,'BA History'!N:N, 1)</f>
        <v>0</v>
      </c>
      <c r="V25" s="2">
        <f>COUNTIFS('BA History'!$B:$B,$A$25,'BA History'!O:O, 1)</f>
        <v>0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0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0</v>
      </c>
      <c r="AD25" s="2">
        <f>COUNTIFS('BA History'!$B:$B,$A$25,'BA History'!W:W, 1)</f>
        <v>0</v>
      </c>
      <c r="AE25" s="2">
        <f>COUNTIFS('BA History'!$B:$B,$A$25,'BA History'!X:X, 1)</f>
        <v>0</v>
      </c>
      <c r="AF25" s="2">
        <f>COUNTIFS('BA History'!$B:$B,$A$25,'BA History'!Y:Y, 1)</f>
        <v>0</v>
      </c>
      <c r="AG25" s="2">
        <f>COUNTIFS('BA History'!$B:$B,$A$25,'BA History'!Z:Z, 1)</f>
        <v>0</v>
      </c>
      <c r="AH25" s="2">
        <f>COUNTIFS('BA History'!$B:$B,$A25,'BA History'!AA:AA, 1)</f>
        <v>0</v>
      </c>
      <c r="AI25" s="2">
        <f>COUNTIFS('BA History'!$B:$B,$A$25,'BA History'!AB:AB, 1)</f>
        <v>0</v>
      </c>
      <c r="AJ25" s="2">
        <f>COUNTIFS('BA History'!$B:$B,$A$25,'BA History'!AC:AC, 1)</f>
        <v>0</v>
      </c>
      <c r="AK25" s="2">
        <f>COUNTIFS('BA History'!$B:$B,$A$25,'BA History'!AD:AD, 1)</f>
        <v>0</v>
      </c>
      <c r="AL25" s="2">
        <f>COUNTIFS('BA History'!$B:$B,$A$25,'BA History'!AE:AE, 1)</f>
        <v>0</v>
      </c>
      <c r="AM25" s="2">
        <f>COUNTIFS('BA History'!$B:$B,$A$25,'BA History'!AF:AF, 1)</f>
        <v>0</v>
      </c>
      <c r="AN25" s="2">
        <f>COUNTIFS('BA History'!$B:$B,$A$25,'BA History'!AG:AG, 1)</f>
        <v>0</v>
      </c>
    </row>
    <row r="26" spans="1:40" ht="15.75" x14ac:dyDescent="0.25">
      <c r="A26" s="2" t="s">
        <v>150</v>
      </c>
      <c r="B26" s="95" t="s">
        <v>79</v>
      </c>
      <c r="C26" s="95">
        <v>2</v>
      </c>
      <c r="D26" s="95"/>
      <c r="E26" s="95"/>
      <c r="F26" s="34">
        <f>SUMIFS('BA History'!C:C,'BA History'!B:B,A26)</f>
        <v>456</v>
      </c>
      <c r="G26" s="66">
        <f>AVERAGEIFS('BA History'!C:C,'BA History'!B:B,A26)</f>
        <v>18.239999999999998</v>
      </c>
      <c r="H26" s="35">
        <f t="array" ref="H26">MAX(IF('BA History'!B:B=A26, 'BA History'!C:C))</f>
        <v>30</v>
      </c>
      <c r="I26" s="34">
        <f>COUNTIFS('BA History'!B:B,A26,'BA History'!D:D, 1)</f>
        <v>15</v>
      </c>
      <c r="J26" s="2">
        <f>COUNTIFS('BA History'!B:B,A26,'BA History'!D:D, 0)</f>
        <v>10</v>
      </c>
      <c r="K26" s="75">
        <f>LOOKUP(2, 1/('BA History'!$B:$B=A26), 'BA History'!$AK:$AK)</f>
        <v>0.6</v>
      </c>
      <c r="L26" s="34">
        <f>SUMIFS('BA History'!F:F,'BA History'!B:B,A26)</f>
        <v>58</v>
      </c>
      <c r="M26" s="2">
        <f>SUMIFS('BA History'!E:E,'BA History'!B:B,A26)-L26</f>
        <v>44</v>
      </c>
      <c r="N26" s="75">
        <f>LOOKUP(2, 1/('BA History'!$B:$B=A26), 'BA History'!$AI:$AI)</f>
        <v>0.58199999999999996</v>
      </c>
      <c r="O26" s="34">
        <f>SUMIFS('BA History'!H:H,'BA History'!B:B,A26)</f>
        <v>226</v>
      </c>
      <c r="P26" s="2">
        <f>SUMIFS('BA History'!G:G,'BA History'!B:B,A26)-O26</f>
        <v>187</v>
      </c>
      <c r="Q26" s="89">
        <f>LOOKUP(2, 1/('BA History'!$B:$B=A26), 'BA History'!$AJ:$AJ)</f>
        <v>0.56440000000000001</v>
      </c>
      <c r="R26" s="2">
        <f>COUNTIFS('BA History'!$B:$B,$A$26,'BA History'!K:K, 1)</f>
        <v>1</v>
      </c>
      <c r="S26" s="2">
        <f>COUNTIFS('BA History'!$B:$B,$A$26,'BA History'!L:L, 1)</f>
        <v>2</v>
      </c>
      <c r="T26" s="2">
        <f>COUNTIFS('BA History'!$B:$B,$A$26,'BA History'!M:M, 1)</f>
        <v>6</v>
      </c>
      <c r="U26" s="2">
        <f>COUNTIFS('BA History'!$B:$B,$A$26,'BA History'!N:N, 1)</f>
        <v>7</v>
      </c>
      <c r="V26" s="2">
        <f>COUNTIFS('BA History'!$B:$B,$A$26,'BA History'!O:O, 1)</f>
        <v>1</v>
      </c>
      <c r="W26" s="2">
        <f>COUNTIFS('BA History'!$B:$B,$A$26,'BA History'!P:P, 1)</f>
        <v>1</v>
      </c>
      <c r="X26" s="2">
        <f>COUNTIFS('BA History'!$B:$B,$A$26,'BA History'!Q:Q, 1)</f>
        <v>3</v>
      </c>
      <c r="Y26" s="2">
        <f>COUNTIFS('BA History'!$B:$B,$A$26,'BA History'!R:R, 1)</f>
        <v>0</v>
      </c>
      <c r="Z26" s="2">
        <f>COUNTIFS('BA History'!$B:$B,$A$26,'BA History'!S:S, 1)</f>
        <v>1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2</v>
      </c>
      <c r="AD26" s="2">
        <f>COUNTIFS('BA History'!$B:$B,$A$26,'BA History'!W:W, 1)</f>
        <v>3</v>
      </c>
      <c r="AE26" s="2">
        <f>COUNTIFS('BA History'!$B:$B,$A$26,'BA History'!X:X, 1)</f>
        <v>0</v>
      </c>
      <c r="AF26" s="2">
        <f>COUNTIFS('BA History'!$B:$B,$A$26,'BA History'!Y:Y, 1)</f>
        <v>4</v>
      </c>
      <c r="AG26" s="2">
        <f>COUNTIFS('BA History'!$B:$B,$A$26,'BA History'!Z:Z, 1)</f>
        <v>9</v>
      </c>
      <c r="AH26" s="2">
        <f>COUNTIFS('BA History'!$B:$B,$A26,'BA History'!AA:AA, 1)</f>
        <v>1</v>
      </c>
      <c r="AI26" s="2">
        <f>COUNTIFS('BA History'!$B:$B,$A$26,'BA History'!AB:AB, 1)</f>
        <v>0</v>
      </c>
      <c r="AJ26" s="2">
        <f>COUNTIFS('BA History'!$B:$B,$A$26,'BA History'!AC:AC, 1)</f>
        <v>7</v>
      </c>
      <c r="AK26" s="2">
        <f>COUNTIFS('BA History'!$B:$B,$A$26,'BA History'!AD:AD, 1)</f>
        <v>1</v>
      </c>
      <c r="AL26" s="2">
        <f>COUNTIFS('BA History'!$B:$B,$A$26,'BA History'!AE:AE, 1)</f>
        <v>4</v>
      </c>
      <c r="AM26" s="2">
        <f>COUNTIFS('BA History'!$B:$B,$A$26,'BA History'!AF:AF, 1)</f>
        <v>0</v>
      </c>
      <c r="AN26" s="2">
        <f>COUNTIFS('BA History'!$B:$B,$A$26,'BA History'!AG:AG, 1)</f>
        <v>4</v>
      </c>
    </row>
    <row r="27" spans="1:40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521</v>
      </c>
      <c r="G27" s="66">
        <f>AVERAGEIFS('BA History'!C:C,'BA History'!B:B,A27)</f>
        <v>17.96551724137931</v>
      </c>
      <c r="H27" s="35">
        <f t="array" ref="H27">MAX(IF('BA History'!B:B=A27, 'BA History'!C:C))</f>
        <v>34</v>
      </c>
      <c r="I27" s="34">
        <f>COUNTIFS('BA History'!B:B,A27,'BA History'!D:D, 1)</f>
        <v>10</v>
      </c>
      <c r="J27" s="2">
        <f>COUNTIFS('BA History'!B:B,A27,'BA History'!D:D, 0)</f>
        <v>19</v>
      </c>
      <c r="K27" s="75">
        <f>LOOKUP(2, 1/('BA History'!$B:$B=A27), 'BA History'!$AK:$AK)</f>
        <v>0.34482758620689657</v>
      </c>
      <c r="L27" s="34">
        <f>SUMIFS('BA History'!F:F,'BA History'!B:B,A27)</f>
        <v>51</v>
      </c>
      <c r="M27" s="2">
        <f>SUMIFS('BA History'!E:E,'BA History'!B:B,A27)-L27</f>
        <v>72</v>
      </c>
      <c r="N27" s="75">
        <f>LOOKUP(2, 1/('BA History'!$B:$B=A27), 'BA History'!$AI:$AI)</f>
        <v>0.39310344827586202</v>
      </c>
      <c r="O27" s="34">
        <f>SUMIFS('BA History'!H:H,'BA History'!B:B,A27)</f>
        <v>231</v>
      </c>
      <c r="P27" s="2">
        <f>SUMIFS('BA History'!G:G,'BA History'!B:B,A27)-O27</f>
        <v>280</v>
      </c>
      <c r="Q27" s="89">
        <f>LOOKUP(2, 1/('BA History'!$B:$B=A27), 'BA History'!$AJ:$AJ)</f>
        <v>0.43551724137931036</v>
      </c>
      <c r="R27" s="2">
        <f>COUNTIFS('BA History'!$B:$B,$A$27,'BA History'!K:K, 1)</f>
        <v>6</v>
      </c>
      <c r="S27" s="2">
        <f>COUNTIFS('BA History'!$B:$B,$A$27,'BA History'!L:L, 1)</f>
        <v>4</v>
      </c>
      <c r="T27" s="2">
        <f>COUNTIFS('BA History'!$B:$B,$A$27,'BA History'!M:M, 1)</f>
        <v>3</v>
      </c>
      <c r="U27" s="2">
        <f>COUNTIFS('BA History'!$B:$B,$A$27,'BA History'!N:N, 1)</f>
        <v>4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0</v>
      </c>
      <c r="Y27" s="2">
        <f>COUNTIFS('BA History'!$B:$B,$A$27,'BA History'!R:R, 1)</f>
        <v>1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1</v>
      </c>
      <c r="AC27" s="2">
        <f>COUNTIFS('BA History'!$B:$B,$A$27,'BA History'!V:V, 1)</f>
        <v>1</v>
      </c>
      <c r="AD27" s="2">
        <f>COUNTIFS('BA History'!$B:$B,$A$27,'BA History'!W:W, 1)</f>
        <v>3</v>
      </c>
      <c r="AE27" s="2">
        <f>COUNTIFS('BA History'!$B:$B,$A$27,'BA History'!X:X, 1)</f>
        <v>1</v>
      </c>
      <c r="AF27" s="2">
        <f>COUNTIFS('BA History'!$B:$B,$A$27,'BA History'!Y:Y, 1)</f>
        <v>1</v>
      </c>
      <c r="AG27" s="2">
        <f>COUNTIFS('BA History'!$B:$B,$A$27,'BA History'!Z:Z, 1)</f>
        <v>7</v>
      </c>
      <c r="AH27" s="2">
        <f>COUNTIFS('BA History'!$B:$B,$A27,'BA History'!AA:AA, 1)</f>
        <v>0</v>
      </c>
      <c r="AI27" s="2">
        <f>COUNTIFS('BA History'!$B:$B,$A$27,'BA History'!AB:AB, 1)</f>
        <v>2</v>
      </c>
      <c r="AJ27" s="2">
        <f>COUNTIFS('BA History'!$B:$B,$A$27,'BA History'!AC:AC, 1)</f>
        <v>6</v>
      </c>
      <c r="AK27" s="2">
        <f>COUNTIFS('BA History'!$B:$B,$A$27,'BA History'!AD:AD, 1)</f>
        <v>1</v>
      </c>
      <c r="AL27" s="2">
        <f>COUNTIFS('BA History'!$B:$B,$A$27,'BA History'!AE:AE, 1)</f>
        <v>3</v>
      </c>
      <c r="AM27" s="2">
        <f>COUNTIFS('BA History'!$B:$B,$A$27,'BA History'!AF:AF, 1)</f>
        <v>2</v>
      </c>
      <c r="AN27" s="2">
        <f>COUNTIFS('BA History'!$B:$B,$A$27,'BA History'!AG:AG, 1)</f>
        <v>4</v>
      </c>
    </row>
    <row r="28" spans="1:40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398</v>
      </c>
      <c r="G28" s="66">
        <f>AVERAGEIFS('BA History'!C:C,'BA History'!B:B,A28)</f>
        <v>13.724137931034482</v>
      </c>
      <c r="H28" s="35">
        <f t="array" ref="H28">MAX(IF('BA History'!B:B=A28, 'BA History'!C:C))</f>
        <v>25</v>
      </c>
      <c r="I28" s="34">
        <f>COUNTIFS('BA History'!B:B,A28,'BA History'!D:D, 1)</f>
        <v>12</v>
      </c>
      <c r="J28" s="2">
        <f>COUNTIFS('BA History'!B:B,A28,'BA History'!D:D, 0)</f>
        <v>17</v>
      </c>
      <c r="K28" s="75">
        <f>LOOKUP(2, 1/('BA History'!$B:$B=A28), 'BA History'!$AK:$AK)</f>
        <v>0.41379310344827586</v>
      </c>
      <c r="L28" s="34">
        <f>SUMIFS('BA History'!F:F,'BA History'!B:B,A28)</f>
        <v>49</v>
      </c>
      <c r="M28" s="2">
        <f>SUMIFS('BA History'!E:E,'BA History'!B:B,A28)-L28</f>
        <v>61</v>
      </c>
      <c r="N28" s="75">
        <f>LOOKUP(2, 1/('BA History'!$B:$B=A28), 'BA History'!$AI:$AI)</f>
        <v>0.44413793103448274</v>
      </c>
      <c r="O28" s="34">
        <f>SUMIFS('BA History'!H:H,'BA History'!B:B,A28)</f>
        <v>210</v>
      </c>
      <c r="P28" s="2">
        <f>SUMIFS('BA History'!G:G,'BA History'!B:B,A28)-O28</f>
        <v>236</v>
      </c>
      <c r="Q28" s="89">
        <f>LOOKUP(2, 1/('BA History'!$B:$B=A28), 'BA History'!$AJ:$AJ)</f>
        <v>0.46379310344827579</v>
      </c>
      <c r="R28" s="2">
        <f>COUNTIFS('BA History'!$B:$B,$A$28,'BA History'!K:K, 1)</f>
        <v>1</v>
      </c>
      <c r="S28" s="2">
        <f>COUNTIFS('BA History'!$B:$B,$A$28,'BA History'!L:L, 1)</f>
        <v>4</v>
      </c>
      <c r="T28" s="2">
        <f>COUNTIFS('BA History'!$B:$B,$A$28,'BA History'!M:M, 1)</f>
        <v>2</v>
      </c>
      <c r="U28" s="2">
        <f>COUNTIFS('BA History'!$B:$B,$A$28,'BA History'!N:N, 1)</f>
        <v>5</v>
      </c>
      <c r="V28" s="2">
        <f>COUNTIFS('BA History'!$B:$B,$A$28,'BA History'!O:O, 1)</f>
        <v>3</v>
      </c>
      <c r="W28" s="2">
        <f>COUNTIFS('BA History'!$B:$B,$A$28,'BA History'!P:P, 1)</f>
        <v>1</v>
      </c>
      <c r="X28" s="2">
        <f>COUNTIFS('BA History'!$B:$B,$A$28,'BA History'!Q:Q, 1)</f>
        <v>2</v>
      </c>
      <c r="Y28" s="2">
        <f>COUNTIFS('BA History'!$B:$B,$A$28,'BA History'!R:R, 1)</f>
        <v>1</v>
      </c>
      <c r="Z28" s="2">
        <f>COUNTIFS('BA History'!$B:$B,$A$28,'BA History'!S:S, 1)</f>
        <v>1</v>
      </c>
      <c r="AA28" s="2">
        <f>COUNTIFS('BA History'!$B:$B,$A$28,'BA History'!T:T, 1)</f>
        <v>1</v>
      </c>
      <c r="AB28" s="2">
        <f>COUNTIFS('BA History'!$B:$B,$A$28,'BA History'!U:U, 1)</f>
        <v>3</v>
      </c>
      <c r="AC28" s="2">
        <f>COUNTIFS('BA History'!$B:$B,$A$28,'BA History'!V:V, 1)</f>
        <v>2</v>
      </c>
      <c r="AD28" s="2">
        <f>COUNTIFS('BA History'!$B:$B,$A$28,'BA History'!W:W, 1)</f>
        <v>0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4</v>
      </c>
      <c r="AH28" s="2">
        <f>COUNTIFS('BA History'!$B:$B,$A28,'BA History'!AA:AA, 1)</f>
        <v>0</v>
      </c>
      <c r="AI28" s="2">
        <f>COUNTIFS('BA History'!$B:$B,$A$28,'BA History'!AB:AB, 1)</f>
        <v>2</v>
      </c>
      <c r="AJ28" s="2">
        <f>COUNTIFS('BA History'!$B:$B,$A$28,'BA History'!AC:AC, 1)</f>
        <v>4</v>
      </c>
      <c r="AK28" s="2">
        <f>COUNTIFS('BA History'!$B:$B,$A$28,'BA History'!AD:AD, 1)</f>
        <v>3</v>
      </c>
      <c r="AL28" s="2">
        <f>COUNTIFS('BA History'!$B:$B,$A$28,'BA History'!AE:AE, 1)</f>
        <v>5</v>
      </c>
      <c r="AM28" s="2">
        <f>COUNTIFS('BA History'!$B:$B,$A$28,'BA History'!AF:AF, 1)</f>
        <v>0</v>
      </c>
      <c r="AN28" s="2">
        <f>COUNTIFS('BA History'!$B:$B,$A$28,'BA History'!AG:AG, 1)</f>
        <v>1</v>
      </c>
    </row>
    <row r="29" spans="1:40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451</v>
      </c>
      <c r="G29" s="66">
        <f>AVERAGEIFS('BA History'!C:C,'BA History'!B:B,A29)</f>
        <v>15.033333333333333</v>
      </c>
      <c r="H29" s="35">
        <f t="array" ref="H29">MAX(IF('BA History'!B:B=A29, 'BA History'!C:C))</f>
        <v>36</v>
      </c>
      <c r="I29" s="34">
        <f>COUNTIFS('BA History'!B:B,A29,'BA History'!D:D, 1)</f>
        <v>12</v>
      </c>
      <c r="J29" s="2">
        <f>COUNTIFS('BA History'!B:B,A29,'BA History'!D:D, 0)</f>
        <v>18</v>
      </c>
      <c r="K29" s="75">
        <f>LOOKUP(2, 1/('BA History'!$B:$B=A29), 'BA History'!$AK:$AK)</f>
        <v>0.4</v>
      </c>
      <c r="L29" s="34">
        <f>SUMIFS('BA History'!F:F,'BA History'!B:B,A29)</f>
        <v>54</v>
      </c>
      <c r="M29" s="2">
        <f>SUMIFS('BA History'!E:E,'BA History'!B:B,A29)-L29</f>
        <v>60</v>
      </c>
      <c r="N29" s="75">
        <f>LOOKUP(2, 1/('BA History'!$B:$B=A29), 'BA History'!$AI:$AI)</f>
        <v>0.48666666666666669</v>
      </c>
      <c r="O29" s="34">
        <f>SUMIFS('BA History'!H:H,'BA History'!B:B,A29)</f>
        <v>227</v>
      </c>
      <c r="P29" s="2">
        <f>SUMIFS('BA History'!G:G,'BA History'!B:B,A29)-O29</f>
        <v>240</v>
      </c>
      <c r="Q29" s="89">
        <f>LOOKUP(2, 1/('BA History'!$B:$B=A29), 'BA History'!$AJ:$AJ)</f>
        <v>0.49166666666666675</v>
      </c>
      <c r="R29" s="2">
        <f>COUNTIFS('BA History'!$B:$B,$A$29,'BA History'!K:K, 1)</f>
        <v>2</v>
      </c>
      <c r="S29" s="2">
        <f>COUNTIFS('BA History'!$B:$B,$A$29,'BA History'!L:L, 1)</f>
        <v>5</v>
      </c>
      <c r="T29" s="2">
        <f>COUNTIFS('BA History'!$B:$B,$A$29,'BA History'!M:M, 1)</f>
        <v>0</v>
      </c>
      <c r="U29" s="2">
        <f>COUNTIFS('BA History'!$B:$B,$A$29,'BA History'!N:N, 1)</f>
        <v>7</v>
      </c>
      <c r="V29" s="2">
        <f>COUNTIFS('BA History'!$B:$B,$A$29,'BA History'!O:O, 1)</f>
        <v>1</v>
      </c>
      <c r="W29" s="2">
        <f>COUNTIFS('BA History'!$B:$B,$A$29,'BA History'!P:P, 1)</f>
        <v>0</v>
      </c>
      <c r="X29" s="2">
        <f>COUNTIFS('BA History'!$B:$B,$A$29,'BA History'!Q:Q, 1)</f>
        <v>2</v>
      </c>
      <c r="Y29" s="2">
        <f>COUNTIFS('BA History'!$B:$B,$A$29,'BA History'!R:R, 1)</f>
        <v>1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2</v>
      </c>
      <c r="AD29" s="2">
        <f>COUNTIFS('BA History'!$B:$B,$A$29,'BA History'!W:W, 1)</f>
        <v>1</v>
      </c>
      <c r="AE29" s="2">
        <f>COUNTIFS('BA History'!$B:$B,$A$29,'BA History'!X:X, 1)</f>
        <v>1</v>
      </c>
      <c r="AF29" s="2">
        <f>COUNTIFS('BA History'!$B:$B,$A$29,'BA History'!Y:Y, 1)</f>
        <v>3</v>
      </c>
      <c r="AG29" s="2">
        <f>COUNTIFS('BA History'!$B:$B,$A$29,'BA History'!Z:Z, 1)</f>
        <v>10</v>
      </c>
      <c r="AH29" s="2">
        <f>COUNTIFS('BA History'!$B:$B,$A29,'BA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9</v>
      </c>
      <c r="AK29" s="2">
        <f>COUNTIFS('BA History'!$B:$B,$A$29,'BA History'!AD:AD, 1)</f>
        <v>3</v>
      </c>
      <c r="AL29" s="2">
        <f>COUNTIFS('BA History'!$B:$B,$A$29,'BA History'!AE:AE, 1)</f>
        <v>2</v>
      </c>
      <c r="AM29" s="2">
        <f>COUNTIFS('BA History'!$B:$B,$A$29,'BA History'!AF:AF, 1)</f>
        <v>1</v>
      </c>
      <c r="AN29" s="2">
        <f>COUNTIFS('BA History'!$B:$B,$A$29,'BA History'!AG:AG, 1)</f>
        <v>3</v>
      </c>
    </row>
    <row r="30" spans="1:40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35">
        <f t="array" ref="H30">MAX(IF('BA History'!B:B=A30, 'BA History'!C:C))</f>
        <v>16</v>
      </c>
      <c r="I30" s="34">
        <f>COUNTIFS('BA History'!B:B,A30,'BA History'!D:D, 1)</f>
        <v>1</v>
      </c>
      <c r="J30" s="2">
        <f>COUNTIFS('BA History'!B:B,A30,'BA History'!D:D, 0)</f>
        <v>1</v>
      </c>
      <c r="K30" s="75">
        <f>LOOKUP(2, 1/('BA History'!$B:$B=A30), 'BA History'!$AK:$AK)</f>
        <v>0.5</v>
      </c>
      <c r="L30" s="34">
        <f>SUMIFS('BA History'!F:F,'BA History'!B:B,A30)</f>
        <v>2</v>
      </c>
      <c r="M30" s="2">
        <f>SUMIFS('BA History'!E:E,'BA History'!B:B,A30)-L30</f>
        <v>4</v>
      </c>
      <c r="N30" s="75">
        <f>LOOKUP(2, 1/('BA History'!$B:$B=A30), 'BA History'!$AI:$AI)</f>
        <v>0.33500000000000002</v>
      </c>
      <c r="O30" s="34">
        <f>SUMIFS('BA History'!H:H,'BA History'!B:B,A30)</f>
        <v>10</v>
      </c>
      <c r="P30" s="2">
        <f>SUMIFS('BA History'!G:G,'BA History'!B:B,A30)-O30</f>
        <v>16</v>
      </c>
      <c r="Q30" s="89">
        <f>LOOKUP(2, 1/('BA History'!$B:$B=A30), 'BA History'!$AJ:$AJ)</f>
        <v>0.35499999999999998</v>
      </c>
      <c r="R30" s="2">
        <f>COUNTIFS('BA History'!$B:$B,$A$30,'BA History'!K:K, 1)</f>
        <v>0</v>
      </c>
      <c r="S30" s="2">
        <f>COUNTIFS('BA History'!$B:$B,$A$30,'BA History'!L:L, 1)</f>
        <v>0</v>
      </c>
      <c r="T30" s="2">
        <f>COUNTIFS('BA History'!$B:$B,$A$30,'BA History'!M:M, 1)</f>
        <v>0</v>
      </c>
      <c r="U30" s="2">
        <f>COUNTIFS('BA History'!$B:$B,$A$30,'BA History'!N:N, 1)</f>
        <v>0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0</v>
      </c>
      <c r="AH30" s="2">
        <f>COUNTIFS('BA History'!$B:$B,$A30,'BA History'!AA:AA, 1)</f>
        <v>0</v>
      </c>
      <c r="AI30" s="2">
        <f>COUNTIFS('BA History'!$B:$B,$A$30,'BA History'!AB:AB, 1)</f>
        <v>0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0</v>
      </c>
      <c r="AN30" s="2">
        <f>COUNTIFS('BA History'!$B:$B,$A$30,'BA History'!AG:AG, 1)</f>
        <v>0</v>
      </c>
    </row>
    <row r="31" spans="1:40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40</v>
      </c>
      <c r="G31" s="66">
        <f>AVERAGEIFS('BA History'!C:C,'BA History'!B:B,A31)</f>
        <v>6.666666666666667</v>
      </c>
      <c r="H31" s="35">
        <f t="array" ref="H31">MAX(IF('BA History'!B:B=A31, 'BA History'!C:C))</f>
        <v>11</v>
      </c>
      <c r="I31" s="34">
        <f>COUNTIFS('BA History'!B:B,A31,'BA History'!D:D, 1)</f>
        <v>2</v>
      </c>
      <c r="J31" s="2">
        <f>COUNTIFS('BA History'!B:B,A31,'BA History'!D:D, 0)</f>
        <v>4</v>
      </c>
      <c r="K31" s="75">
        <f>LOOKUP(2, 1/('BA History'!$B:$B=A31), 'BA History'!$AK:$AK)</f>
        <v>0.33333333333333331</v>
      </c>
      <c r="L31" s="34">
        <f>SUMIFS('BA History'!F:F,'BA History'!B:B,A31)</f>
        <v>13</v>
      </c>
      <c r="M31" s="2">
        <f>SUMIFS('BA History'!E:E,'BA History'!B:B,A31)-L31</f>
        <v>14</v>
      </c>
      <c r="N31" s="75">
        <f>LOOKUP(2, 1/('BA History'!$B:$B=A31), 'BA History'!$AI:$AI)</f>
        <v>0.5083333333333333</v>
      </c>
      <c r="O31" s="34">
        <f>SUMIFS('BA History'!H:H,'BA History'!B:B,A31)</f>
        <v>51</v>
      </c>
      <c r="P31" s="2">
        <f>SUMIFS('BA History'!G:G,'BA History'!B:B,A31)-O31</f>
        <v>54</v>
      </c>
      <c r="Q31" s="89">
        <f>LOOKUP(2, 1/('BA History'!$B:$B=A31), 'BA History'!$AJ:$AJ)</f>
        <v>0.51666666666666661</v>
      </c>
      <c r="R31" s="2">
        <f>COUNTIFS('BA History'!$B:$B,$A$31,'BA History'!K:K, 1)</f>
        <v>2</v>
      </c>
      <c r="S31" s="2">
        <f>COUNTIFS('BA History'!$B:$B,$A$31,'BA History'!L:L, 1)</f>
        <v>1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2</v>
      </c>
      <c r="AE31" s="2">
        <f>COUNTIFS('BA History'!$B:$B,$A$31,'BA History'!X:X, 1)</f>
        <v>0</v>
      </c>
      <c r="AF31" s="2">
        <f>COUNTIFS('BA History'!$B:$B,$A$31,'BA History'!Y:Y, 1)</f>
        <v>1</v>
      </c>
      <c r="AG31" s="2">
        <f>COUNTIFS('BA History'!$B:$B,$A$31,'BA History'!Z:Z, 1)</f>
        <v>1</v>
      </c>
      <c r="AH31" s="2">
        <f>COUNTIFS('BA History'!$B:$B,$A31,'BA History'!AA:AA, 1)</f>
        <v>0</v>
      </c>
      <c r="AI31" s="2">
        <f>COUNTIFS('BA History'!$B:$B,$A$31,'BA History'!AB:AB, 1)</f>
        <v>0</v>
      </c>
      <c r="AJ31" s="2">
        <f>COUNTIFS('BA History'!$B:$B,$A$31,'BA History'!AC:AC, 1)</f>
        <v>1</v>
      </c>
      <c r="AK31" s="2">
        <f>COUNTIFS('BA History'!$B:$B,$A$31,'BA History'!AD:AD, 1)</f>
        <v>0</v>
      </c>
      <c r="AL31" s="2">
        <f>COUNTIFS('BA History'!$B:$B,$A$31,'BA History'!AE:AE, 1)</f>
        <v>1</v>
      </c>
      <c r="AM31" s="2">
        <f>COUNTIFS('BA History'!$B:$B,$A$31,'BA History'!AF:AF, 1)</f>
        <v>0</v>
      </c>
      <c r="AN31" s="2">
        <f>COUNTIFS('BA History'!$B:$B,$A$31,'BA History'!AG:AG, 1)</f>
        <v>1</v>
      </c>
    </row>
    <row r="32" spans="1:40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157</v>
      </c>
      <c r="G32" s="66">
        <f>AVERAGEIFS('BA History'!C:C,'BA History'!B:B,A32)</f>
        <v>19.625</v>
      </c>
      <c r="H32" s="35">
        <f t="array" ref="H32">MAX(IF('BA History'!B:B=A32, 'BA History'!C:C))</f>
        <v>27</v>
      </c>
      <c r="I32" s="34">
        <f>COUNTIFS('BA History'!B:B,A32,'BA History'!D:D, 1)</f>
        <v>3</v>
      </c>
      <c r="J32" s="2">
        <f>COUNTIFS('BA History'!B:B,A32,'BA History'!D:D, 0)</f>
        <v>5</v>
      </c>
      <c r="K32" s="75">
        <f>LOOKUP(2, 1/('BA History'!$B:$B=A32), 'BA History'!$AK:$AK)</f>
        <v>0.375</v>
      </c>
      <c r="L32" s="34">
        <f>SUMIFS('BA History'!F:F,'BA History'!B:B,A32)</f>
        <v>16</v>
      </c>
      <c r="M32" s="2">
        <f>SUMIFS('BA History'!E:E,'BA History'!B:B,A32)-L32</f>
        <v>20</v>
      </c>
      <c r="N32" s="75">
        <f>LOOKUP(2, 1/('BA History'!$B:$B=A32), 'BA History'!$AI:$AI)</f>
        <v>0.42499999999999999</v>
      </c>
      <c r="O32" s="34">
        <f>SUMIFS('BA History'!H:H,'BA History'!B:B,A32)</f>
        <v>74</v>
      </c>
      <c r="P32" s="2">
        <f>SUMIFS('BA History'!G:G,'BA History'!B:B,A32)-O32</f>
        <v>83</v>
      </c>
      <c r="Q32" s="89">
        <f>LOOKUP(2, 1/('BA History'!$B:$B=A32), 'BA History'!$AJ:$AJ)</f>
        <v>0.46875</v>
      </c>
      <c r="R32" s="2">
        <f>COUNTIFS('BA History'!$B:$B,$A$32,'BA History'!K:K, 1)</f>
        <v>0</v>
      </c>
      <c r="S32" s="2">
        <f>COUNTIFS('BA History'!$B:$B,$A$32,'BA History'!L:L, 1)</f>
        <v>2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1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1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2</v>
      </c>
      <c r="AG32" s="2">
        <f>COUNTIFS('BA History'!$B:$B,$A$32,'BA History'!Z:Z, 1)</f>
        <v>1</v>
      </c>
      <c r="AH32" s="2">
        <f>COUNTIFS('BA History'!$B:$B,$A32,'BA History'!AA:AA, 1)</f>
        <v>0</v>
      </c>
      <c r="AI32" s="2">
        <f>COUNTIFS('BA History'!$B:$B,$A$32,'BA History'!AB:AB, 1)</f>
        <v>0</v>
      </c>
      <c r="AJ32" s="2">
        <f>COUNTIFS('BA History'!$B:$B,$A$32,'BA History'!AC:AC, 1)</f>
        <v>1</v>
      </c>
      <c r="AK32" s="2">
        <f>COUNTIFS('BA History'!$B:$B,$A$32,'BA History'!AD:AD, 1)</f>
        <v>3</v>
      </c>
      <c r="AL32" s="2">
        <f>COUNTIFS('BA History'!$B:$B,$A$32,'BA History'!AE:AE, 1)</f>
        <v>2</v>
      </c>
      <c r="AM32" s="2">
        <f>COUNTIFS('BA History'!$B:$B,$A$32,'BA History'!AF:AF, 1)</f>
        <v>0</v>
      </c>
      <c r="AN32" s="2">
        <f>COUNTIFS('BA History'!$B:$B,$A$32,'BA History'!AG:AG, 1)</f>
        <v>0</v>
      </c>
    </row>
    <row r="33" spans="1:40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43</v>
      </c>
      <c r="G33" s="66">
        <f>AVERAGEIFS('BA History'!C:C,'BA History'!B:B,A33)</f>
        <v>8.6</v>
      </c>
      <c r="H33" s="35">
        <f t="array" ref="H33">MAX(IF('BA History'!B:B=A33, 'BA History'!C:C))</f>
        <v>15</v>
      </c>
      <c r="I33" s="34">
        <f>COUNTIFS('BA History'!B:B,A33,'BA History'!D:D, 1)</f>
        <v>2</v>
      </c>
      <c r="J33" s="2">
        <f>COUNTIFS('BA History'!B:B,A33,'BA History'!D:D, 0)</f>
        <v>3</v>
      </c>
      <c r="K33" s="75">
        <f>LOOKUP(2, 1/('BA History'!$B:$B=A33), 'BA History'!$AK:$AK)</f>
        <v>0.4</v>
      </c>
      <c r="L33" s="34">
        <f>SUMIFS('BA History'!F:F,'BA History'!B:B,A33)</f>
        <v>10</v>
      </c>
      <c r="M33" s="2">
        <f>SUMIFS('BA History'!E:E,'BA History'!B:B,A33)-L33</f>
        <v>13</v>
      </c>
      <c r="N33" s="75">
        <f>LOOKUP(2, 1/('BA History'!$B:$B=A33), 'BA History'!$AI:$AI)</f>
        <v>0.4</v>
      </c>
      <c r="O33" s="34">
        <f>SUMIFS('BA History'!H:H,'BA History'!B:B,A33)</f>
        <v>47</v>
      </c>
      <c r="P33" s="2">
        <f>SUMIFS('BA History'!G:G,'BA History'!B:B,A33)-O33</f>
        <v>49</v>
      </c>
      <c r="Q33" s="89">
        <f>LOOKUP(2, 1/('BA History'!$B:$B=A33), 'BA History'!$AJ:$AJ)</f>
        <v>0.47800000000000004</v>
      </c>
      <c r="R33" s="2">
        <f>COUNTIFS('BA History'!$B:$B,$A$33,'BA History'!K:K, 1)</f>
        <v>2</v>
      </c>
      <c r="S33" s="2">
        <f>COUNTIFS('BA History'!$B:$B,$A$33,'BA History'!L:L, 1)</f>
        <v>1</v>
      </c>
      <c r="T33" s="2">
        <f>COUNTIFS('BA History'!$B:$B,$A$33,'BA History'!M:M, 1)</f>
        <v>0</v>
      </c>
      <c r="U33" s="2">
        <f>COUNTIFS('BA History'!$B:$B,$A$33,'BA History'!N:N, 1)</f>
        <v>1</v>
      </c>
      <c r="V33" s="2">
        <f>COUNTIFS('BA History'!$B:$B,$A$33,'BA History'!O:O, 1)</f>
        <v>1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4</v>
      </c>
      <c r="AK33" s="2">
        <f>COUNTIFS('BA History'!$B:$B,$A$33,'BA History'!AD:AD, 1)</f>
        <v>1</v>
      </c>
      <c r="AL33" s="2">
        <f>COUNTIFS('BA History'!$B:$B,$A$33,'BA History'!AE:AE, 1)</f>
        <v>0</v>
      </c>
      <c r="AM33" s="2">
        <f>COUNTIFS('BA History'!$B:$B,$A$33,'BA History'!AF:AF, 1)</f>
        <v>0</v>
      </c>
      <c r="AN33" s="2">
        <f>COUNTIFS('BA History'!$B:$B,$A$33,'BA History'!AG:AG, 1)</f>
        <v>0</v>
      </c>
    </row>
    <row r="34" spans="1:40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114</v>
      </c>
      <c r="G34" s="66">
        <f>AVERAGEIFS('BA History'!C:C,'BA History'!B:B,A34)</f>
        <v>9.5</v>
      </c>
      <c r="H34" s="35">
        <f t="array" ref="H34">MAX(IF('BA History'!B:B=A34, 'BA History'!C:C))</f>
        <v>24</v>
      </c>
      <c r="I34" s="34">
        <f>COUNTIFS('BA History'!B:B,A34,'BA History'!D:D, 1)</f>
        <v>6</v>
      </c>
      <c r="J34" s="2">
        <f>COUNTIFS('BA History'!B:B,A34,'BA History'!D:D, 0)</f>
        <v>6</v>
      </c>
      <c r="K34" s="75">
        <f>LOOKUP(2, 1/('BA History'!$B:$B=A34), 'BA History'!$AK:$AK)</f>
        <v>0.5</v>
      </c>
      <c r="L34" s="34">
        <f>SUMIFS('BA History'!F:F,'BA History'!B:B,A34)</f>
        <v>25</v>
      </c>
      <c r="M34" s="2">
        <f>SUMIFS('BA History'!E:E,'BA History'!B:B,A34)-L34</f>
        <v>24</v>
      </c>
      <c r="N34" s="75">
        <f>LOOKUP(2, 1/('BA History'!$B:$B=A34), 'BA History'!$AI:$AI)</f>
        <v>0.51249999999999996</v>
      </c>
      <c r="O34" s="34">
        <f>SUMIFS('BA History'!H:H,'BA History'!B:B,A34)</f>
        <v>102</v>
      </c>
      <c r="P34" s="2">
        <f>SUMIFS('BA History'!G:G,'BA History'!B:B,A34)-O34</f>
        <v>102</v>
      </c>
      <c r="Q34" s="89">
        <f>LOOKUP(2, 1/('BA History'!$B:$B=A34), 'BA History'!$AJ:$AJ)</f>
        <v>0.50583333333333325</v>
      </c>
      <c r="R34" s="2">
        <f>COUNTIFS('BA History'!$B:$B,$A$34,'BA History'!K:K, 1)</f>
        <v>1</v>
      </c>
      <c r="S34" s="2">
        <f>COUNTIFS('BA History'!$B:$B,$A$34,'BA History'!L:L, 1)</f>
        <v>2</v>
      </c>
      <c r="T34" s="2">
        <f>COUNTIFS('BA History'!$B:$B,$A$34,'BA History'!M:M, 1)</f>
        <v>2</v>
      </c>
      <c r="U34" s="2">
        <f>COUNTIFS('BA History'!$B:$B,$A$34,'BA History'!N:N, 1)</f>
        <v>1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1</v>
      </c>
      <c r="AA34" s="2">
        <f>COUNTIFS('BA History'!$B:$B,$A$34,'BA History'!T:T, 1)</f>
        <v>0</v>
      </c>
      <c r="AB34" s="2">
        <f>COUNTIFS('BA History'!$B:$B,$A$34,'BA History'!U:U, 1)</f>
        <v>1</v>
      </c>
      <c r="AC34" s="2">
        <f>COUNTIFS('BA History'!$B:$B,$A$34,'BA History'!V:V, 1)</f>
        <v>1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1</v>
      </c>
      <c r="AG34" s="2">
        <f>COUNTIFS('BA History'!$B:$B,$A$34,'BA History'!Z:Z, 1)</f>
        <v>3</v>
      </c>
      <c r="AH34" s="2">
        <f>COUNTIFS('BA History'!$B:$B,$A34,'BA History'!AA:AA, 1)</f>
        <v>1</v>
      </c>
      <c r="AI34" s="2">
        <f>COUNTIFS('BA History'!$B:$B,$A$34,'BA History'!AB:AB, 1)</f>
        <v>1</v>
      </c>
      <c r="AJ34" s="2">
        <f>COUNTIFS('BA History'!$B:$B,$A$34,'BA History'!AC:AC, 1)</f>
        <v>4</v>
      </c>
      <c r="AK34" s="2">
        <f>COUNTIFS('BA History'!$B:$B,$A$34,'BA History'!AD:AD, 1)</f>
        <v>2</v>
      </c>
      <c r="AL34" s="2">
        <f>COUNTIFS('BA History'!$B:$B,$A$34,'BA History'!AE:AE, 1)</f>
        <v>1</v>
      </c>
      <c r="AM34" s="2">
        <f>COUNTIFS('BA History'!$B:$B,$A$34,'BA History'!AF:AF, 1)</f>
        <v>1</v>
      </c>
      <c r="AN34" s="2">
        <f>COUNTIFS('BA History'!$B:$B,$A$34,'BA History'!AG:AG, 1)</f>
        <v>2</v>
      </c>
    </row>
    <row r="35" spans="1:40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35">
        <f t="array" ref="H35">MAX(IF('BA History'!B:B=A35, 'BA History'!C:C))</f>
        <v>4</v>
      </c>
      <c r="I35" s="34">
        <f>COUNTIFS('BA History'!B:B,A35,'BA History'!D:D, 1)</f>
        <v>0</v>
      </c>
      <c r="J35" s="2">
        <f>COUNTIFS('BA History'!B:B,A35,'BA History'!D:D, 0)</f>
        <v>1</v>
      </c>
      <c r="K35" s="75">
        <f>LOOKUP(2, 1/('BA History'!$B:$B=A35), 'BA History'!$AK:$AK)</f>
        <v>0</v>
      </c>
      <c r="L35" s="34">
        <f>SUMIFS('BA History'!F:F,'BA History'!B:B,A35)</f>
        <v>0</v>
      </c>
      <c r="M35" s="2">
        <f>SUMIFS('BA History'!E:E,'BA History'!B:B,A35)-L35</f>
        <v>3</v>
      </c>
      <c r="N35" s="75">
        <f>LOOKUP(2, 1/('BA History'!$B:$B=A35), 'BA History'!$AI:$AI)</f>
        <v>0</v>
      </c>
      <c r="O35" s="34">
        <f>SUMIFS('BA History'!H:H,'BA History'!B:B,A35)</f>
        <v>1</v>
      </c>
      <c r="P35" s="2">
        <f>SUMIFS('BA History'!G:G,'BA History'!B:B,A35)-O35</f>
        <v>9</v>
      </c>
      <c r="Q35" s="89">
        <f>LOOKUP(2, 1/('BA History'!$B:$B=A35), 'BA History'!$AJ:$AJ)</f>
        <v>0.1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  <c r="AN35" s="2">
        <f>COUNTIFS('BA History'!$B:$B,$A$35,'BA History'!AG:AG, 1)</f>
        <v>0</v>
      </c>
    </row>
    <row r="36" spans="1:40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35">
        <f t="array" ref="H36">MAX(IF('BA History'!B:B=A36, 'BA History'!C:C))</f>
        <v>9</v>
      </c>
      <c r="I36" s="34">
        <f>COUNTIFS('BA History'!B:B,A36,'BA History'!D:D, 1)</f>
        <v>0</v>
      </c>
      <c r="J36" s="2">
        <f>COUNTIFS('BA History'!B:B,A36,'BA History'!D:D, 0)</f>
        <v>3</v>
      </c>
      <c r="K36" s="75">
        <f>LOOKUP(2, 1/('BA History'!$B:$B=A36), 'BA History'!$AK:$AK)</f>
        <v>0</v>
      </c>
      <c r="L36" s="34">
        <f>SUMIFS('BA History'!F:F,'BA History'!B:B,A36)</f>
        <v>2</v>
      </c>
      <c r="M36" s="2">
        <f>SUMIFS('BA History'!E:E,'BA History'!B:B,A36)-L36</f>
        <v>9</v>
      </c>
      <c r="N36" s="75">
        <f>LOOKUP(2, 1/('BA History'!$B:$B=A36), 'BA History'!$AI:$AI)</f>
        <v>0.16666666666666666</v>
      </c>
      <c r="O36" s="34">
        <f>SUMIFS('BA History'!H:H,'BA History'!B:B,A36)</f>
        <v>14</v>
      </c>
      <c r="P36" s="2">
        <f>SUMIFS('BA History'!G:G,'BA History'!B:B,A36)-O36</f>
        <v>29</v>
      </c>
      <c r="Q36" s="89">
        <f>LOOKUP(2, 1/('BA History'!$B:$B=A36), 'BA History'!$AJ:$AJ)</f>
        <v>0.32666666666666666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History'!$B:$B,$A36,'BA History'!AA:AA, 1)</f>
        <v>0</v>
      </c>
      <c r="AI36" s="2">
        <f>COUNTIFS('BA History'!$B:$B,$A$36,'BA History'!AB:AB, 1)</f>
        <v>0</v>
      </c>
      <c r="AJ36" s="2">
        <f>COUNTIFS('BA History'!$B:$B,$A$36,'BA History'!AC:AC, 1)</f>
        <v>0</v>
      </c>
      <c r="AK36" s="2">
        <f>COUNTIFS('BA History'!$B:$B,$A$36,'BA History'!AD:AD, 1)</f>
        <v>0</v>
      </c>
      <c r="AL36" s="2">
        <f>COUNTIFS('BA History'!$B:$B,$A$36,'BA History'!AE:AE, 1)</f>
        <v>2</v>
      </c>
      <c r="AM36" s="2">
        <f>COUNTIFS('BA History'!$B:$B,$A$36,'BA History'!AF:AF, 1)</f>
        <v>0</v>
      </c>
      <c r="AN36" s="2">
        <f>COUNTIFS('BA History'!$B:$B,$A$36,'BA History'!AG:AG, 1)</f>
        <v>0</v>
      </c>
    </row>
    <row r="37" spans="1:40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35">
        <f t="array" ref="H37">MAX(IF('BA History'!B:B=A37, 'BA History'!C:C))</f>
        <v>3</v>
      </c>
      <c r="I37" s="34">
        <f>COUNTIFS('BA History'!B:B,A37,'BA History'!D:D, 1)</f>
        <v>1</v>
      </c>
      <c r="J37" s="2">
        <f>COUNTIFS('BA History'!B:B,A37,'BA History'!D:D, 0)</f>
        <v>0</v>
      </c>
      <c r="K37" s="75">
        <f>LOOKUP(2, 1/('BA History'!$B:$B=A37), 'BA History'!$AK:$AK)</f>
        <v>1</v>
      </c>
      <c r="L37" s="34">
        <f>SUMIFS('BA History'!F:F,'BA History'!B:B,A37)</f>
        <v>3</v>
      </c>
      <c r="M37" s="2">
        <f>SUMIFS('BA History'!E:E,'BA History'!B:B,A37)-L37</f>
        <v>0</v>
      </c>
      <c r="N37" s="75">
        <f>LOOKUP(2, 1/('BA History'!$B:$B=A37), 'BA History'!$AI:$AI)</f>
        <v>1</v>
      </c>
      <c r="O37" s="34">
        <f>SUMIFS('BA History'!H:H,'BA History'!B:B,A37)</f>
        <v>9</v>
      </c>
      <c r="P37" s="2">
        <f>SUMIFS('BA History'!G:G,'BA History'!B:B,A37)-O37</f>
        <v>5</v>
      </c>
      <c r="Q37" s="89">
        <f>LOOKUP(2, 1/('BA History'!$B:$B=A37), 'BA History'!$AJ:$AJ)</f>
        <v>0.64</v>
      </c>
      <c r="R37" s="2">
        <f>COUNTIFS('BA History'!$B:$B,$A$37,'BA History'!K:K, 1)</f>
        <v>0</v>
      </c>
      <c r="S37" s="2">
        <f>COUNTIFS('BA History'!$B:$B,$A$37,'BA History'!L:L, 1)</f>
        <v>0</v>
      </c>
      <c r="T37" s="2">
        <f>COUNTIFS('BA History'!$B:$B,$A$37,'BA History'!M:M, 1)</f>
        <v>0</v>
      </c>
      <c r="U37" s="2">
        <f>COUNTIFS('BA History'!$B:$B,$A$37,'BA History'!N:N, 1)</f>
        <v>0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0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1</v>
      </c>
      <c r="AD37" s="2">
        <f>COUNTIFS('BA History'!$B:$B,$A$37,'BA History'!W:W, 1)</f>
        <v>0</v>
      </c>
      <c r="AE37" s="2">
        <f>COUNTIFS('BA History'!$B:$B,$A$37,'BA History'!X:X, 1)</f>
        <v>0</v>
      </c>
      <c r="AF37" s="2">
        <f>COUNTIFS('BA History'!$B:$B,$A$37,'BA History'!Y:Y, 1)</f>
        <v>0</v>
      </c>
      <c r="AG37" s="2">
        <f>COUNTIFS('BA History'!$B:$B,$A$37,'BA History'!Z:Z, 1)</f>
        <v>0</v>
      </c>
      <c r="AH37" s="2">
        <f>COUNTIFS('BA History'!$B:$B,$A37,'BA History'!AA:AA, 1)</f>
        <v>0</v>
      </c>
      <c r="AI37" s="2">
        <f>COUNTIFS('BA History'!$B:$B,$A$37,'BA History'!AB:AB, 1)</f>
        <v>0</v>
      </c>
      <c r="AJ37" s="2">
        <f>COUNTIFS('BA History'!$B:$B,$A$37,'BA History'!AC:AC, 1)</f>
        <v>1</v>
      </c>
      <c r="AK37" s="2">
        <f>COUNTIFS('BA History'!$B:$B,$A$37,'BA History'!AD:AD, 1)</f>
        <v>1</v>
      </c>
      <c r="AL37" s="2">
        <f>COUNTIFS('BA History'!$B:$B,$A$37,'BA History'!AE:AE, 1)</f>
        <v>0</v>
      </c>
      <c r="AM37" s="2">
        <f>COUNTIFS('BA History'!$B:$B,$A$37,'BA History'!AF:AF, 1)</f>
        <v>0</v>
      </c>
      <c r="AN37" s="2">
        <f>COUNTIFS('BA History'!$B:$B,$A$37,'BA History'!AG:AG, 1)</f>
        <v>0</v>
      </c>
    </row>
    <row r="38" spans="1:40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358</v>
      </c>
      <c r="G38" s="66">
        <f>AVERAGEIFS('BA History'!C:C,'BA History'!B:B,A38)</f>
        <v>14.916666666666666</v>
      </c>
      <c r="H38" s="35">
        <f t="array" ref="H38">MAX(IF('BA History'!B:B=A38, 'BA History'!C:C))</f>
        <v>26</v>
      </c>
      <c r="I38" s="34">
        <f>COUNTIFS('BA History'!B:B,A38,'BA History'!D:D, 1)</f>
        <v>9</v>
      </c>
      <c r="J38" s="2">
        <f>COUNTIFS('BA History'!B:B,A38,'BA History'!D:D, 0)</f>
        <v>15</v>
      </c>
      <c r="K38" s="75">
        <f>LOOKUP(2, 1/('BA History'!$B:$B=A38), 'BA History'!$AK:$AK)</f>
        <v>0.375</v>
      </c>
      <c r="L38" s="34">
        <f>SUMIFS('BA History'!F:F,'BA History'!B:B,A38)</f>
        <v>41</v>
      </c>
      <c r="M38" s="2">
        <f>SUMIFS('BA History'!E:E,'BA History'!B:B,A38)-L38</f>
        <v>51</v>
      </c>
      <c r="N38" s="75">
        <f>LOOKUP(2, 1/('BA History'!$B:$B=A38), 'BA History'!$AI:$AI)</f>
        <v>0.4458333333333333</v>
      </c>
      <c r="O38" s="34">
        <f>SUMIFS('BA History'!H:H,'BA History'!B:B,A38)</f>
        <v>184</v>
      </c>
      <c r="P38" s="2">
        <f>SUMIFS('BA History'!G:G,'BA History'!B:B,A38)-O38</f>
        <v>211</v>
      </c>
      <c r="Q38" s="89">
        <f>LOOKUP(2, 1/('BA History'!$B:$B=A38), 'BA History'!$AJ:$AJ)</f>
        <v>0.47666666666666674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2</v>
      </c>
      <c r="U38" s="2">
        <f>COUNTIFS('BA History'!$B:$B,$A$38,'BA History'!N:N, 1)</f>
        <v>2</v>
      </c>
      <c r="V38" s="2">
        <f>COUNTIFS('BA History'!$B:$B,$A$38,'BA History'!O:O, 1)</f>
        <v>1</v>
      </c>
      <c r="W38" s="2">
        <f>COUNTIFS('BA History'!$B:$B,$A$38,'BA History'!P:P, 1)</f>
        <v>0</v>
      </c>
      <c r="X38" s="2">
        <f>COUNTIFS('BA History'!$B:$B,$A$38,'BA History'!Q:Q, 1)</f>
        <v>1</v>
      </c>
      <c r="Y38" s="2">
        <f>COUNTIFS('BA History'!$B:$B,$A$38,'BA History'!R:R, 1)</f>
        <v>0</v>
      </c>
      <c r="Z38" s="2">
        <f>COUNTIFS('BA History'!$B:$B,$A$38,'BA History'!S:S, 1)</f>
        <v>0</v>
      </c>
      <c r="AA38" s="2">
        <f>COUNTIFS('BA History'!$B:$B,$A$38,'BA History'!T:T, 1)</f>
        <v>0</v>
      </c>
      <c r="AB38" s="2">
        <f>COUNTIFS('BA History'!$B:$B,$A$38,'BA History'!U:U, 1)</f>
        <v>0</v>
      </c>
      <c r="AC38" s="2">
        <f>COUNTIFS('BA History'!$B:$B,$A$38,'BA History'!V:V, 1)</f>
        <v>0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5</v>
      </c>
      <c r="AG38" s="2">
        <f>COUNTIFS('BA History'!$B:$B,$A$38,'BA History'!Z:Z, 1)</f>
        <v>6</v>
      </c>
      <c r="AH38" s="2">
        <f>COUNTIFS('BA History'!$B:$B,$A38,'BA History'!AA:AA, 1)</f>
        <v>0</v>
      </c>
      <c r="AI38" s="2">
        <f>COUNTIFS('BA History'!$B:$B,$A$38,'BA History'!AB:AB, 1)</f>
        <v>1</v>
      </c>
      <c r="AJ38" s="2">
        <f>COUNTIFS('BA History'!$B:$B,$A$38,'BA History'!AC:AC, 1)</f>
        <v>5</v>
      </c>
      <c r="AK38" s="2">
        <f>COUNTIFS('BA History'!$B:$B,$A$38,'BA History'!AD:AD, 1)</f>
        <v>3</v>
      </c>
      <c r="AL38" s="2">
        <f>COUNTIFS('BA History'!$B:$B,$A$38,'BA History'!AE:AE, 1)</f>
        <v>3</v>
      </c>
      <c r="AM38" s="2">
        <f>COUNTIFS('BA History'!$B:$B,$A$38,'BA History'!AF:AF, 1)</f>
        <v>1</v>
      </c>
      <c r="AN38" s="2">
        <f>COUNTIFS('BA History'!$B:$B,$A$38,'BA History'!AG:AG, 1)</f>
        <v>3</v>
      </c>
    </row>
    <row r="39" spans="1:40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1021</v>
      </c>
      <c r="G39" s="66">
        <f>AVERAGEIFS('BA History'!C:C,'BA History'!B:B,A39)</f>
        <v>22.68888888888889</v>
      </c>
      <c r="H39" s="35">
        <f t="array" ref="H39">MAX(IF('BA History'!B:B=A39, 'BA History'!C:C))</f>
        <v>43</v>
      </c>
      <c r="I39" s="34">
        <f>COUNTIFS('BA History'!B:B,A39,'BA History'!D:D, 1)</f>
        <v>22</v>
      </c>
      <c r="J39" s="2">
        <f>COUNTIFS('BA History'!B:B,A39,'BA History'!D:D, 0)</f>
        <v>23</v>
      </c>
      <c r="K39" s="75">
        <f>LOOKUP(2, 1/('BA History'!$B:$B=A39), 'BA History'!$AK:$AK)</f>
        <v>0.48888888888888887</v>
      </c>
      <c r="L39" s="34">
        <f>SUMIFS('BA History'!F:F,'BA History'!B:B,A39)</f>
        <v>89</v>
      </c>
      <c r="M39" s="2">
        <f>SUMIFS('BA History'!E:E,'BA History'!B:B,A39)-L39</f>
        <v>87</v>
      </c>
      <c r="N39" s="75">
        <f>LOOKUP(2, 1/('BA History'!$B:$B=A39), 'BA History'!$AI:$AI)</f>
        <v>0.50844444444444437</v>
      </c>
      <c r="O39" s="34">
        <f>SUMIFS('BA History'!H:H,'BA History'!B:B,A39)</f>
        <v>382</v>
      </c>
      <c r="P39" s="2">
        <f>SUMIFS('BA History'!G:G,'BA History'!B:B,A39)-O39</f>
        <v>349</v>
      </c>
      <c r="Q39" s="89">
        <f>LOOKUP(2, 1/('BA History'!$B:$B=A39), 'BA History'!$AJ:$AJ)</f>
        <v>0.53088888888888885</v>
      </c>
      <c r="R39" s="2">
        <f>COUNTIFS('BA History'!$B:$B,$A$39,'BA History'!K:K, 1)</f>
        <v>6</v>
      </c>
      <c r="S39" s="2">
        <f>COUNTIFS('BA History'!$B:$B,$A$39,'BA History'!L:L, 1)</f>
        <v>2</v>
      </c>
      <c r="T39" s="2">
        <f>COUNTIFS('BA History'!$B:$B,$A$39,'BA History'!M:M, 1)</f>
        <v>5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2</v>
      </c>
      <c r="Y39" s="2">
        <f>COUNTIFS('BA History'!$B:$B,$A$39,'BA History'!R:R, 1)</f>
        <v>1</v>
      </c>
      <c r="Z39" s="2">
        <f>COUNTIFS('BA History'!$B:$B,$A$39,'BA History'!S:S, 1)</f>
        <v>2</v>
      </c>
      <c r="AA39" s="2">
        <f>COUNTIFS('BA History'!$B:$B,$A$39,'BA History'!T:T, 1)</f>
        <v>0</v>
      </c>
      <c r="AB39" s="2">
        <f>COUNTIFS('BA History'!$B:$B,$A$39,'BA History'!U:U, 1)</f>
        <v>3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6</v>
      </c>
      <c r="AG39" s="2">
        <f>COUNTIFS('BA History'!$B:$B,$A$39,'BA History'!Z:Z, 1)</f>
        <v>9</v>
      </c>
      <c r="AH39" s="2">
        <f>COUNTIFS('BA History'!$B:$B,$A39,'BA History'!AA:AA, 1)</f>
        <v>1</v>
      </c>
      <c r="AI39" s="2">
        <f>COUNTIFS('BA History'!$B:$B,$A$39,'BA History'!AB:AB, 1)</f>
        <v>1</v>
      </c>
      <c r="AJ39" s="2">
        <f>COUNTIFS('BA History'!$B:$B,$A$39,'BA History'!AC:AC, 1)</f>
        <v>17</v>
      </c>
      <c r="AK39" s="2">
        <f>COUNTIFS('BA History'!$B:$B,$A$39,'BA History'!AD:AD, 1)</f>
        <v>5</v>
      </c>
      <c r="AL39" s="2">
        <f>COUNTIFS('BA History'!$B:$B,$A$39,'BA History'!AE:AE, 1)</f>
        <v>7</v>
      </c>
      <c r="AM39" s="2">
        <f>COUNTIFS('BA History'!$B:$B,$A$39,'BA History'!AF:AF, 1)</f>
        <v>0</v>
      </c>
      <c r="AN39" s="2">
        <f>COUNTIFS('BA History'!$B:$B,$A$39,'BA History'!AG:AG, 1)</f>
        <v>5</v>
      </c>
    </row>
    <row r="40" spans="1:40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1473</v>
      </c>
      <c r="G40" s="66">
        <f>AVERAGEIFS('BA History'!C:C,'BA History'!B:B,A40)</f>
        <v>23.38095238095238</v>
      </c>
      <c r="H40" s="35">
        <f t="array" ref="H40">MAX(IF('BA History'!B:B=A40, 'BA History'!C:C))</f>
        <v>47</v>
      </c>
      <c r="I40" s="34">
        <f>COUNTIFS('BA History'!B:B,A40,'BA History'!D:D, 1)</f>
        <v>34</v>
      </c>
      <c r="J40" s="2">
        <f>COUNTIFS('BA History'!B:B,A40,'BA History'!D:D, 0)</f>
        <v>29</v>
      </c>
      <c r="K40" s="75">
        <f>LOOKUP(2, 1/('BA History'!$B:$B=A40), 'BA History'!$AK:$AK)</f>
        <v>0.53968253968253965</v>
      </c>
      <c r="L40" s="34">
        <f>SUMIFS('BA History'!F:F,'BA History'!B:B,A40)</f>
        <v>134</v>
      </c>
      <c r="M40" s="2">
        <f>SUMIFS('BA History'!E:E,'BA History'!B:B,A40)-L40</f>
        <v>120</v>
      </c>
      <c r="N40" s="75">
        <f>LOOKUP(2, 1/('BA History'!$B:$B=A40), 'BA History'!$AI:$AI)</f>
        <v>0.53047619047619055</v>
      </c>
      <c r="O40" s="34">
        <f>SUMIFS('BA History'!H:H,'BA History'!B:B,A40)</f>
        <v>534</v>
      </c>
      <c r="P40" s="2">
        <f>SUMIFS('BA History'!G:G,'BA History'!B:B,A40)-O40</f>
        <v>518</v>
      </c>
      <c r="Q40" s="89">
        <f>LOOKUP(2, 1/('BA History'!$B:$B=A40), 'BA History'!$AJ:$AJ)</f>
        <v>0.50888888888888884</v>
      </c>
      <c r="R40" s="2">
        <f>COUNTIFS('BA History'!$B:$B,$A$40,'BA History'!K:K, 1)</f>
        <v>6</v>
      </c>
      <c r="S40" s="2">
        <f>COUNTIFS('BA History'!$B:$B,$A$40,'BA History'!L:L, 1)</f>
        <v>10</v>
      </c>
      <c r="T40" s="2">
        <f>COUNTIFS('BA History'!$B:$B,$A$40,'BA History'!M:M, 1)</f>
        <v>10</v>
      </c>
      <c r="U40" s="2">
        <f>COUNTIFS('BA History'!$B:$B,$A$40,'BA History'!N:N, 1)</f>
        <v>11</v>
      </c>
      <c r="V40" s="2">
        <f>COUNTIFS('BA History'!$B:$B,$A$40,'BA History'!O:O, 1)</f>
        <v>2</v>
      </c>
      <c r="W40" s="2">
        <f>COUNTIFS('BA History'!$B:$B,$A$40,'BA History'!P:P, 1)</f>
        <v>1</v>
      </c>
      <c r="X40" s="2">
        <f>COUNTIFS('BA History'!$B:$B,$A$40,'BA History'!Q:Q, 1)</f>
        <v>4</v>
      </c>
      <c r="Y40" s="2">
        <f>COUNTIFS('BA History'!$B:$B,$A$40,'BA History'!R:R, 1)</f>
        <v>2</v>
      </c>
      <c r="Z40" s="2">
        <f>COUNTIFS('BA History'!$B:$B,$A$40,'BA History'!S:S, 1)</f>
        <v>1</v>
      </c>
      <c r="AA40" s="2">
        <f>COUNTIFS('BA History'!$B:$B,$A$40,'BA History'!T:T, 1)</f>
        <v>1</v>
      </c>
      <c r="AB40" s="2">
        <f>COUNTIFS('BA History'!$B:$B,$A$40,'BA History'!U:U, 1)</f>
        <v>4</v>
      </c>
      <c r="AC40" s="2">
        <f>COUNTIFS('BA History'!$B:$B,$A$40,'BA History'!V:V, 1)</f>
        <v>9</v>
      </c>
      <c r="AD40" s="2">
        <f>COUNTIFS('BA History'!$B:$B,$A$40,'BA History'!W:W, 1)</f>
        <v>1</v>
      </c>
      <c r="AE40" s="2">
        <f>COUNTIFS('BA History'!$B:$B,$A$40,'BA History'!X:X, 1)</f>
        <v>0</v>
      </c>
      <c r="AF40" s="2">
        <f>COUNTIFS('BA History'!$B:$B,$A$40,'BA History'!Y:Y, 1)</f>
        <v>10</v>
      </c>
      <c r="AG40" s="2">
        <f>COUNTIFS('BA History'!$B:$B,$A$40,'BA History'!Z:Z, 1)</f>
        <v>12</v>
      </c>
      <c r="AH40" s="2">
        <f>COUNTIFS('BA History'!$B:$B,$A40,'BA History'!AA:AA, 1)</f>
        <v>0</v>
      </c>
      <c r="AI40" s="2">
        <f>COUNTIFS('BA History'!$B:$B,$A$40,'BA History'!AB:AB, 1)</f>
        <v>3</v>
      </c>
      <c r="AJ40" s="2">
        <f>COUNTIFS('BA History'!$B:$B,$A$40,'BA History'!AC:AC, 1)</f>
        <v>17</v>
      </c>
      <c r="AK40" s="2">
        <f>COUNTIFS('BA History'!$B:$B,$A$40,'BA History'!AD:AD, 1)</f>
        <v>10</v>
      </c>
      <c r="AL40" s="2">
        <f>COUNTIFS('BA History'!$B:$B,$A$40,'BA History'!AE:AE, 1)</f>
        <v>10</v>
      </c>
      <c r="AM40" s="2">
        <f>COUNTIFS('BA History'!$B:$B,$A$40,'BA History'!AF:AF, 1)</f>
        <v>2</v>
      </c>
      <c r="AN40" s="2">
        <f>COUNTIFS('BA History'!$B:$B,$A$40,'BA History'!AG:AG, 1)</f>
        <v>8</v>
      </c>
    </row>
    <row r="41" spans="1:40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716</v>
      </c>
      <c r="G41" s="66">
        <f>AVERAGEIFS('BA History'!C:C,'BA History'!B:B,A41)</f>
        <v>19.351351351351351</v>
      </c>
      <c r="H41" s="35">
        <f t="array" ref="H41">MAX(IF('BA History'!B:B=A41, 'BA History'!C:C))</f>
        <v>37</v>
      </c>
      <c r="I41" s="34">
        <f>COUNTIFS('BA History'!B:B,A41,'BA History'!D:D, 1)</f>
        <v>23</v>
      </c>
      <c r="J41" s="2">
        <f>COUNTIFS('BA History'!B:B,A41,'BA History'!D:D, 0)</f>
        <v>14</v>
      </c>
      <c r="K41" s="75">
        <f>LOOKUP(2, 1/('BA History'!$B:$B=A41), 'BA History'!$AK:$AK)</f>
        <v>0.6216216216216216</v>
      </c>
      <c r="L41" s="34">
        <f>SUMIFS('BA History'!F:F,'BA History'!B:B,A41)</f>
        <v>80</v>
      </c>
      <c r="M41" s="2">
        <f>SUMIFS('BA History'!E:E,'BA History'!B:B,A41)-L41</f>
        <v>66</v>
      </c>
      <c r="N41" s="75">
        <f>LOOKUP(2, 1/('BA History'!$B:$B=A41), 'BA History'!$AI:$AI)</f>
        <v>0.54648648648648646</v>
      </c>
      <c r="O41" s="34">
        <f>SUMIFS('BA History'!H:H,'BA History'!B:B,A41)</f>
        <v>318</v>
      </c>
      <c r="P41" s="2">
        <f>SUMIFS('BA History'!G:G,'BA History'!B:B,A41)-O41</f>
        <v>296</v>
      </c>
      <c r="Q41" s="89">
        <f>LOOKUP(2, 1/('BA History'!$B:$B=A41), 'BA History'!$AJ:$AJ)</f>
        <v>0.521891891891892</v>
      </c>
      <c r="R41" s="2">
        <f>COUNTIFS('BA History'!$B:$B,$A$41,'BA History'!K:K, 1)</f>
        <v>3</v>
      </c>
      <c r="S41" s="2">
        <f>COUNTIFS('BA History'!$B:$B,$A$41,'BA History'!L:L, 1)</f>
        <v>7</v>
      </c>
      <c r="T41" s="2">
        <f>COUNTIFS('BA History'!$B:$B,$A$41,'BA History'!M:M, 1)</f>
        <v>6</v>
      </c>
      <c r="U41" s="2">
        <f>COUNTIFS('BA History'!$B:$B,$A$41,'BA History'!N:N, 1)</f>
        <v>11</v>
      </c>
      <c r="V41" s="2">
        <f>COUNTIFS('BA History'!$B:$B,$A$41,'BA History'!O:O, 1)</f>
        <v>2</v>
      </c>
      <c r="W41" s="2">
        <f>COUNTIFS('BA History'!$B:$B,$A$41,'BA History'!P:P, 1)</f>
        <v>0</v>
      </c>
      <c r="X41" s="2">
        <f>COUNTIFS('BA History'!$B:$B,$A$41,'BA History'!Q:Q, 1)</f>
        <v>2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4</v>
      </c>
      <c r="AD41" s="2">
        <f>COUNTIFS('BA History'!$B:$B,$A$41,'BA History'!W:W, 1)</f>
        <v>1</v>
      </c>
      <c r="AE41" s="2">
        <f>COUNTIFS('BA History'!$B:$B,$A$41,'BA History'!X:X, 1)</f>
        <v>1</v>
      </c>
      <c r="AF41" s="2">
        <f>COUNTIFS('BA History'!$B:$B,$A$41,'BA History'!Y:Y, 1)</f>
        <v>6</v>
      </c>
      <c r="AG41" s="2">
        <f>COUNTIFS('BA History'!$B:$B,$A$41,'BA History'!Z:Z, 1)</f>
        <v>7</v>
      </c>
      <c r="AH41" s="2">
        <f>COUNTIFS('BA History'!$B:$B,$A41,'BA History'!AA:AA, 1)</f>
        <v>0</v>
      </c>
      <c r="AI41" s="2">
        <f>COUNTIFS('BA History'!$B:$B,$A$41,'BA History'!AB:AB, 1)</f>
        <v>5</v>
      </c>
      <c r="AJ41" s="2">
        <f>COUNTIFS('BA History'!$B:$B,$A$41,'BA History'!AC:AC, 1)</f>
        <v>10</v>
      </c>
      <c r="AK41" s="2">
        <f>COUNTIFS('BA History'!$B:$B,$A$41,'BA History'!AD:AD, 1)</f>
        <v>6</v>
      </c>
      <c r="AL41" s="2">
        <f>COUNTIFS('BA History'!$B:$B,$A$41,'BA History'!AE:AE, 1)</f>
        <v>5</v>
      </c>
      <c r="AM41" s="2">
        <f>COUNTIFS('BA History'!$B:$B,$A$41,'BA History'!AF:AF, 1)</f>
        <v>0</v>
      </c>
      <c r="AN41" s="2">
        <f>COUNTIFS('BA History'!$B:$B,$A$41,'BA History'!AG:AG, 1)</f>
        <v>3</v>
      </c>
    </row>
    <row r="42" spans="1:40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35">
        <f t="array" ref="H42">MAX(IF('BA History'!B:B=A42, 'BA History'!C:C))</f>
        <v>11</v>
      </c>
      <c r="I42" s="34">
        <f>COUNTIFS('BA History'!B:B,A42,'BA History'!D:D, 1)</f>
        <v>2</v>
      </c>
      <c r="J42" s="2">
        <f>COUNTIFS('BA History'!B:B,A42,'BA History'!D:D, 0)</f>
        <v>3</v>
      </c>
      <c r="K42" s="75">
        <f>LOOKUP(2, 1/('BA History'!$B:$B=A42), 'BA History'!$AK:$AK)</f>
        <v>0.4</v>
      </c>
      <c r="L42" s="34">
        <f>SUMIFS('BA History'!F:F,'BA History'!B:B,A42)</f>
        <v>10</v>
      </c>
      <c r="M42" s="2">
        <f>SUMIFS('BA History'!E:E,'BA History'!B:B,A42)-L42</f>
        <v>12</v>
      </c>
      <c r="N42" s="75">
        <f>LOOKUP(2, 1/('BA History'!$B:$B=A42), 'BA History'!$AI:$AI)</f>
        <v>0.43</v>
      </c>
      <c r="O42" s="34">
        <f>SUMIFS('BA History'!H:H,'BA History'!B:B,A42)</f>
        <v>41</v>
      </c>
      <c r="P42" s="2">
        <f>SUMIFS('BA History'!G:G,'BA History'!B:B,A42)-O42</f>
        <v>49</v>
      </c>
      <c r="Q42" s="89">
        <f>LOOKUP(2, 1/('BA History'!$B:$B=A42), 'BA History'!$AJ:$AJ)</f>
        <v>0.43600000000000005</v>
      </c>
      <c r="R42" s="2">
        <f>COUNTIFS('BA History'!$B:$B,$A$42,'BA History'!K:K, 1)</f>
        <v>1</v>
      </c>
      <c r="S42" s="2">
        <f>COUNTIFS('BA History'!$B:$B,$A$42,'BA History'!L:L, 1)</f>
        <v>1</v>
      </c>
      <c r="T42" s="2">
        <f>COUNTIFS('BA History'!$B:$B,$A$42,'BA History'!M:M, 1)</f>
        <v>1</v>
      </c>
      <c r="U42" s="2">
        <f>COUNTIFS('BA History'!$B:$B,$A$42,'BA History'!N:N, 1)</f>
        <v>0</v>
      </c>
      <c r="V42" s="2">
        <f>COUNTIFS('BA History'!$B:$B,$A$42,'BA History'!O:O, 1)</f>
        <v>1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0</v>
      </c>
      <c r="AA42" s="2">
        <f>COUNTIFS('BA History'!$B:$B,$A$42,'BA History'!T:T, 1)</f>
        <v>0</v>
      </c>
      <c r="AB42" s="2">
        <f>COUNTIFS('BA History'!$B:$B,$A$42,'BA History'!U:U, 1)</f>
        <v>1</v>
      </c>
      <c r="AC42" s="2">
        <f>COUNTIFS('BA History'!$B:$B,$A$42,'BA History'!V:V, 1)</f>
        <v>2</v>
      </c>
      <c r="AD42" s="2">
        <f>COUNTIFS('BA History'!$B:$B,$A$42,'BA History'!W:W, 1)</f>
        <v>0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0</v>
      </c>
      <c r="AH42" s="2">
        <f>COUNTIFS('BA History'!$B:$B,$A42,'BA History'!AA:AA, 1)</f>
        <v>0</v>
      </c>
      <c r="AI42" s="2">
        <f>COUNTIFS('BA History'!$B:$B,$A$42,'BA History'!AB:AB, 1)</f>
        <v>0</v>
      </c>
      <c r="AJ42" s="2">
        <f>COUNTIFS('BA History'!$B:$B,$A$42,'BA History'!AC:AC, 1)</f>
        <v>1</v>
      </c>
      <c r="AK42" s="2">
        <f>COUNTIFS('BA History'!$B:$B,$A$42,'BA History'!AD:AD, 1)</f>
        <v>0</v>
      </c>
      <c r="AL42" s="2">
        <f>COUNTIFS('BA History'!$B:$B,$A$42,'BA History'!AE:AE, 1)</f>
        <v>1</v>
      </c>
      <c r="AM42" s="2">
        <f>COUNTIFS('BA History'!$B:$B,$A$42,'BA History'!AF:AF, 1)</f>
        <v>0</v>
      </c>
      <c r="AN42" s="2">
        <f>COUNTIFS('BA History'!$B:$B,$A$42,'BA History'!AG:AG, 1)</f>
        <v>0</v>
      </c>
    </row>
    <row r="43" spans="1:40" x14ac:dyDescent="0.25">
      <c r="A43" s="2" t="s">
        <v>226</v>
      </c>
      <c r="B43" s="2" t="s">
        <v>79</v>
      </c>
      <c r="C43" s="2"/>
      <c r="D43" s="2"/>
      <c r="E43" s="2"/>
      <c r="F43" s="34">
        <f>SUMIFS('BA History'!C:C,'BA History'!B:B,A43)</f>
        <v>10</v>
      </c>
      <c r="G43" s="66">
        <f>AVERAGEIFS('BA History'!C:C,'BA History'!B:B,A43)</f>
        <v>10</v>
      </c>
      <c r="H43" s="35">
        <f t="array" ref="H43">MAX(IF('BA History'!B:B=A43, 'BA History'!C:C))</f>
        <v>10</v>
      </c>
      <c r="I43" s="34">
        <f>COUNTIFS('BA History'!B:B,A43,'BA History'!D:D, 1)</f>
        <v>1</v>
      </c>
      <c r="J43" s="2">
        <f>COUNTIFS('BA History'!B:B,A43,'BA History'!D:D, 0)</f>
        <v>0</v>
      </c>
      <c r="K43" s="75">
        <f>LOOKUP(2, 1/('BA History'!$B:$B=A43), 'BA History'!$AK:$AK)</f>
        <v>1</v>
      </c>
      <c r="L43" s="34">
        <f>SUMIFS('BA History'!F:F,'BA History'!B:B,A43)</f>
        <v>3</v>
      </c>
      <c r="M43" s="2">
        <f>SUMIFS('BA History'!E:E,'BA History'!B:B,A43)-L43</f>
        <v>0</v>
      </c>
      <c r="N43" s="75">
        <f>LOOKUP(2, 1/('BA History'!$B:$B=A43), 'BA History'!$AI:$AI)</f>
        <v>1</v>
      </c>
      <c r="O43" s="34">
        <f>SUMIFS('BA History'!H:H,'BA History'!B:B,A43)</f>
        <v>9</v>
      </c>
      <c r="P43" s="2">
        <f>SUMIFS('BA History'!G:G,'BA History'!B:B,A43)-O43</f>
        <v>5</v>
      </c>
      <c r="Q43" s="89">
        <f>LOOKUP(2, 1/('BA History'!$B:$B=A43), 'BA History'!$AJ:$AJ)</f>
        <v>0.64</v>
      </c>
      <c r="R43" s="2">
        <f>COUNTIFS('BA History'!$B:$B,$A$43,'BA History'!K:K, 1)</f>
        <v>0</v>
      </c>
      <c r="S43" s="2">
        <f>COUNTIFS('BA History'!$B:$B,$A$43,'BA History'!L:L, 1)</f>
        <v>0</v>
      </c>
      <c r="T43" s="2">
        <f>COUNTIFS('BA History'!$B:$B,$A$43,'BA History'!M:M, 1)</f>
        <v>1</v>
      </c>
      <c r="U43" s="2">
        <f>COUNTIFS('BA History'!$B:$B,$A$43,'BA History'!N:N, 1)</f>
        <v>0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0</v>
      </c>
      <c r="Y43" s="2">
        <f>COUNTIFS('BA History'!$B:$B,$A$43,'BA History'!R:R, 1)</f>
        <v>0</v>
      </c>
      <c r="Z43" s="2">
        <f>COUNTIFS('BA History'!$B:$B,$A$43,'BA History'!S:S, 1)</f>
        <v>0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0</v>
      </c>
      <c r="AD43" s="2">
        <f>COUNTIFS('BA History'!$B:$B,$A$43,'BA History'!W:W, 1)</f>
        <v>0</v>
      </c>
      <c r="AE43" s="2">
        <f>COUNTIFS('BA History'!$B:$B,$A$43,'BA History'!X:X, 1)</f>
        <v>0</v>
      </c>
      <c r="AF43" s="2">
        <f>COUNTIFS('BA History'!$B:$B,$A$43,'BA History'!Y:Y, 1)</f>
        <v>0</v>
      </c>
      <c r="AG43" s="2">
        <f>COUNTIFS('BA History'!$B:$B,$A$43,'BA History'!Z:Z, 1)</f>
        <v>0</v>
      </c>
      <c r="AH43" s="2">
        <f>COUNTIFS('BA History'!$B:$B,$A$43,'BA History'!AA:AA, 1)</f>
        <v>0</v>
      </c>
      <c r="AI43" s="2">
        <f>COUNTIFS('BA History'!$B:$B,$A$43,'BA History'!AB:AB, 1)</f>
        <v>0</v>
      </c>
      <c r="AJ43" s="2">
        <f>COUNTIFS('BA History'!$B:$B,$A$43,'BA History'!AC:AC, 1)</f>
        <v>1</v>
      </c>
      <c r="AK43" s="2">
        <f>COUNTIFS('BA History'!$B:$B,$A$43,'BA History'!AD:AD, 1)</f>
        <v>0</v>
      </c>
      <c r="AL43" s="2">
        <f>COUNTIFS('BA History'!$B:$B,$A$43,'BA History'!AE:AE, 1)</f>
        <v>0</v>
      </c>
      <c r="AM43" s="2">
        <f>COUNTIFS('BA History'!$B:$B,$A$43,'BA History'!AF:AF, 1)</f>
        <v>0</v>
      </c>
      <c r="AN43" s="2">
        <f>COUNTIFS('BA History'!$B:$B,$A$43,'BA History'!AG:AG, 1)</f>
        <v>1</v>
      </c>
    </row>
    <row r="44" spans="1:40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354</v>
      </c>
      <c r="G44" s="66">
        <f>AVERAGEIFS('BA History'!C:C,'BA History'!B:B,A44)</f>
        <v>16.09090909090909</v>
      </c>
      <c r="H44" s="35">
        <f t="array" ref="H44">MAX(IF('BA History'!B:B=A44, 'BA History'!C:C))</f>
        <v>33</v>
      </c>
      <c r="I44" s="34">
        <f>COUNTIFS('BA History'!B:B,A44,'BA History'!D:D, 1)</f>
        <v>14</v>
      </c>
      <c r="J44" s="2">
        <f>COUNTIFS('BA History'!B:B,A44,'BA History'!D:D, 0)</f>
        <v>8</v>
      </c>
      <c r="K44" s="75">
        <f>LOOKUP(2, 1/('BA History'!$B:$B=A44), 'BA History'!$AK:$AK)</f>
        <v>0.63636363636363635</v>
      </c>
      <c r="L44" s="34">
        <f>SUMIFS('BA History'!F:F,'BA History'!B:B,A44)</f>
        <v>45</v>
      </c>
      <c r="M44" s="2">
        <f>SUMIFS('BA History'!E:E,'BA History'!B:B,A44)-L44</f>
        <v>41</v>
      </c>
      <c r="N44" s="75">
        <f>LOOKUP(2, 1/('BA History'!$B:$B=A44), 'BA History'!$AI:$AI)</f>
        <v>0.50454545454545452</v>
      </c>
      <c r="O44" s="34">
        <f>SUMIFS('BA History'!H:H,'BA History'!B:B,A44)</f>
        <v>186</v>
      </c>
      <c r="P44" s="2">
        <f>SUMIFS('BA History'!G:G,'BA History'!B:B,A44)-O44</f>
        <v>175</v>
      </c>
      <c r="Q44" s="89">
        <f>LOOKUP(2, 1/('BA History'!$B:$B=A44), 'BA History'!$AJ:$AJ)</f>
        <v>0.51318181818181818</v>
      </c>
      <c r="R44" s="2">
        <f>COUNTIFS('BA History'!$B:$B,$A$44,'BA History'!K:K, 1)</f>
        <v>5</v>
      </c>
      <c r="S44" s="2">
        <f>COUNTIFS('BA History'!$B:$B,$A$44,'BA History'!L:L, 1)</f>
        <v>2</v>
      </c>
      <c r="T44" s="2">
        <f>COUNTIFS('BA History'!$B:$B,$A$44,'BA History'!M:M, 1)</f>
        <v>2</v>
      </c>
      <c r="U44" s="2">
        <f>COUNTIFS('BA History'!$B:$B,$A$44,'BA History'!N:N, 1)</f>
        <v>5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2</v>
      </c>
      <c r="Y44" s="2">
        <f>COUNTIFS('BA History'!$B:$B,$A$44,'BA History'!R:R, 1)</f>
        <v>1</v>
      </c>
      <c r="Z44" s="2">
        <f>COUNTIFS('BA History'!$B:$B,$A$44,'BA History'!S:S, 1)</f>
        <v>1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2</v>
      </c>
      <c r="AD44" s="2">
        <f>COUNTIFS('BA History'!$B:$B,$A$44,'BA History'!W:W, 1)</f>
        <v>1</v>
      </c>
      <c r="AE44" s="2">
        <f>COUNTIFS('BA History'!$B:$B,$A$44,'BA History'!X:X, 1)</f>
        <v>0</v>
      </c>
      <c r="AF44" s="2">
        <f>COUNTIFS('BA History'!$B:$B,$A$44,'BA History'!Y:Y, 1)</f>
        <v>3</v>
      </c>
      <c r="AG44" s="2">
        <f>COUNTIFS('BA History'!$B:$B,$A$44,'BA History'!Z:Z, 1)</f>
        <v>4</v>
      </c>
      <c r="AH44" s="2">
        <f>COUNTIFS('BA History'!$B:$B,$A44,'BA History'!AA:AA, 1)</f>
        <v>0</v>
      </c>
      <c r="AI44" s="2">
        <f>COUNTIFS('BA History'!$B:$B,$A$44,'BA History'!AB:AB, 1)</f>
        <v>0</v>
      </c>
      <c r="AJ44" s="2">
        <f>COUNTIFS('BA History'!$B:$B,$A$44,'BA History'!AC:AC, 1)</f>
        <v>7</v>
      </c>
      <c r="AK44" s="2">
        <f>COUNTIFS('BA History'!$B:$B,$A$44,'BA History'!AD:AD, 1)</f>
        <v>3</v>
      </c>
      <c r="AL44" s="2">
        <f>COUNTIFS('BA History'!$B:$B,$A$44,'BA History'!AE:AE, 1)</f>
        <v>5</v>
      </c>
      <c r="AM44" s="2">
        <f>COUNTIFS('BA History'!$B:$B,$A$44,'BA History'!AF:AF, 1)</f>
        <v>0</v>
      </c>
      <c r="AN44" s="2">
        <f>COUNTIFS('BA History'!$B:$B,$A$44,'BA History'!AG:AG, 1)</f>
        <v>2</v>
      </c>
    </row>
    <row r="45" spans="1:40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35">
        <f t="array" ref="H45">MAX(IF('BA History'!B:B=A45, 'BA History'!C:C))</f>
        <v>14</v>
      </c>
      <c r="I45" s="34">
        <f>COUNTIFS('BA History'!B:B,A45,'BA History'!D:D, 1)</f>
        <v>3</v>
      </c>
      <c r="J45" s="2">
        <f>COUNTIFS('BA History'!B:B,A45,'BA History'!D:D, 0)</f>
        <v>2</v>
      </c>
      <c r="K45" s="75">
        <f>LOOKUP(2, 1/('BA History'!$B:$B=A45), 'BA History'!$AK:$AK)</f>
        <v>0.6</v>
      </c>
      <c r="L45" s="34">
        <f>SUMIFS('BA History'!F:F,'BA History'!B:B,A45)</f>
        <v>10</v>
      </c>
      <c r="M45" s="2">
        <f>SUMIFS('BA History'!E:E,'BA History'!B:B,A45)-L45</f>
        <v>11</v>
      </c>
      <c r="N45" s="75">
        <f>LOOKUP(2, 1/('BA History'!$B:$B=A45), 'BA History'!$AI:$AI)</f>
        <v>0.44000000000000006</v>
      </c>
      <c r="O45" s="34">
        <f>SUMIFS('BA History'!H:H,'BA History'!B:B,A45)</f>
        <v>44</v>
      </c>
      <c r="P45" s="2">
        <f>SUMIFS('BA History'!G:G,'BA History'!B:B,A45)-O45</f>
        <v>46</v>
      </c>
      <c r="Q45" s="89">
        <f>LOOKUP(2, 1/('BA History'!$B:$B=A45), 'BA History'!$AJ:$AJ)</f>
        <v>0.44799999999999995</v>
      </c>
      <c r="R45" s="2">
        <f>COUNTIFS('BA History'!$B:$B,$A$45,'BA History'!K:K, 1)</f>
        <v>0</v>
      </c>
      <c r="S45" s="2">
        <f>COUNTIFS('BA History'!$B:$B,$A$45,'BA History'!L:L, 1)</f>
        <v>1</v>
      </c>
      <c r="T45" s="2">
        <f>COUNTIFS('BA History'!$B:$B,$A$45,'BA History'!M:M, 1)</f>
        <v>0</v>
      </c>
      <c r="U45" s="2">
        <f>COUNTIFS('BA History'!$B:$B,$A$45,'BA History'!N:N, 1)</f>
        <v>1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0</v>
      </c>
      <c r="Y45" s="2">
        <f>COUNTIFS('BA History'!$B:$B,$A$45,'BA History'!R:R, 1)</f>
        <v>0</v>
      </c>
      <c r="Z45" s="2">
        <f>COUNTIFS('BA History'!$B:$B,$A$45,'BA History'!S:S, 1)</f>
        <v>1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1</v>
      </c>
      <c r="AD45" s="2">
        <f>COUNTIFS('BA History'!$B:$B,$A$45,'BA History'!W:W, 1)</f>
        <v>1</v>
      </c>
      <c r="AE45" s="2">
        <f>COUNTIFS('BA History'!$B:$B,$A$45,'BA History'!X:X, 1)</f>
        <v>0</v>
      </c>
      <c r="AF45" s="2">
        <f>COUNTIFS('BA History'!$B:$B,$A$45,'BA History'!Y:Y, 1)</f>
        <v>0</v>
      </c>
      <c r="AG45" s="2">
        <f>COUNTIFS('BA History'!$B:$B,$A$45,'BA History'!Z:Z, 1)</f>
        <v>2</v>
      </c>
      <c r="AH45" s="2">
        <f>COUNTIFS('BA History'!$B:$B,$A45,'BA History'!AA:AA, 1)</f>
        <v>0</v>
      </c>
      <c r="AI45" s="2">
        <f>COUNTIFS('BA History'!$B:$B,$A$45,'BA History'!AB:AB, 1)</f>
        <v>0</v>
      </c>
      <c r="AJ45" s="2">
        <f>COUNTIFS('BA History'!$B:$B,$A$45,'BA History'!AC:AC, 1)</f>
        <v>3</v>
      </c>
      <c r="AK45" s="2">
        <f>COUNTIFS('BA History'!$B:$B,$A$45,'BA History'!AD:AD, 1)</f>
        <v>0</v>
      </c>
      <c r="AL45" s="2">
        <f>COUNTIFS('BA History'!$B:$B,$A$45,'BA History'!AE:AE, 1)</f>
        <v>0</v>
      </c>
      <c r="AM45" s="2">
        <f>COUNTIFS('BA History'!$B:$B,$A$45,'BA History'!AF:AF, 1)</f>
        <v>0</v>
      </c>
      <c r="AN45" s="2">
        <f>COUNTIFS('BA History'!$B:$B,$A$45,'BA History'!AG:AG, 1)</f>
        <v>0</v>
      </c>
    </row>
    <row r="46" spans="1:40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1270</v>
      </c>
      <c r="G46" s="66">
        <f>AVERAGEIFS('BA History'!C:C,'BA History'!B:B,A46)</f>
        <v>18.405797101449274</v>
      </c>
      <c r="H46" s="35">
        <f t="array" ref="H46">MAX(IF('BA History'!B:B=A46, 'BA History'!C:C))</f>
        <v>37</v>
      </c>
      <c r="I46" s="34">
        <f>COUNTIFS('BA History'!B:B,A46,'BA History'!D:D, 1)</f>
        <v>29</v>
      </c>
      <c r="J46" s="2">
        <f>COUNTIFS('BA History'!B:B,A46,'BA History'!D:D, 0)</f>
        <v>40</v>
      </c>
      <c r="K46" s="75">
        <f>LOOKUP(2, 1/('BA History'!$B:$B=A46), 'BA History'!$AK:$AK)</f>
        <v>0.42028985507246375</v>
      </c>
      <c r="L46" s="34">
        <f>SUMIFS('BA History'!F:F,'BA History'!B:B,A46)</f>
        <v>134</v>
      </c>
      <c r="M46" s="2">
        <f>SUMIFS('BA History'!E:E,'BA History'!B:B,A46)-L46</f>
        <v>149</v>
      </c>
      <c r="N46" s="75">
        <f>LOOKUP(2, 1/('BA History'!$B:$B=A46), 'BA History'!$AI:$AI)</f>
        <v>0.47536231884057956</v>
      </c>
      <c r="O46" s="34">
        <f>SUMIFS('BA History'!H:H,'BA History'!B:B,A46)</f>
        <v>565</v>
      </c>
      <c r="P46" s="2">
        <f>SUMIFS('BA History'!G:G,'BA History'!B:B,A46)-O46</f>
        <v>602</v>
      </c>
      <c r="Q46" s="89">
        <f>LOOKUP(2, 1/('BA History'!$B:$B=A46), 'BA History'!$AJ:$AJ)</f>
        <v>0.48072463768115953</v>
      </c>
      <c r="R46" s="2">
        <f>COUNTIFS('BA History'!$B:$B,$A$46,'BA History'!K:K, 1)</f>
        <v>6</v>
      </c>
      <c r="S46" s="2">
        <f>COUNTIFS('BA History'!$B:$B,$A$46,'BA History'!L:L, 1)</f>
        <v>10</v>
      </c>
      <c r="T46" s="2">
        <f>COUNTIFS('BA History'!$B:$B,$A$46,'BA History'!M:M, 1)</f>
        <v>15</v>
      </c>
      <c r="U46" s="2">
        <f>COUNTIFS('BA History'!$B:$B,$A$46,'BA History'!N:N, 1)</f>
        <v>16</v>
      </c>
      <c r="V46" s="2">
        <f>COUNTIFS('BA History'!$B:$B,$A$46,'BA History'!O:O, 1)</f>
        <v>4</v>
      </c>
      <c r="W46" s="2">
        <f>COUNTIFS('BA History'!$B:$B,$A$46,'BA History'!P:P, 1)</f>
        <v>1</v>
      </c>
      <c r="X46" s="2">
        <f>COUNTIFS('BA History'!$B:$B,$A$46,'BA History'!Q:Q, 1)</f>
        <v>4</v>
      </c>
      <c r="Y46" s="2">
        <f>COUNTIFS('BA History'!$B:$B,$A$46,'BA History'!R:R, 1)</f>
        <v>3</v>
      </c>
      <c r="Z46" s="2">
        <f>COUNTIFS('BA History'!$B:$B,$A$46,'BA History'!S:S, 1)</f>
        <v>2</v>
      </c>
      <c r="AA46" s="2">
        <f>COUNTIFS('BA History'!$B:$B,$A$46,'BA History'!T:T, 1)</f>
        <v>0</v>
      </c>
      <c r="AB46" s="2">
        <f>COUNTIFS('BA History'!$B:$B,$A$46,'BA History'!U:U, 1)</f>
        <v>4</v>
      </c>
      <c r="AC46" s="2">
        <f>COUNTIFS('BA History'!$B:$B,$A$46,'BA History'!V:V, 1)</f>
        <v>7</v>
      </c>
      <c r="AD46" s="2">
        <f>COUNTIFS('BA History'!$B:$B,$A$46,'BA History'!W:W, 1)</f>
        <v>2</v>
      </c>
      <c r="AE46" s="2">
        <f>COUNTIFS('BA History'!$B:$B,$A$46,'BA History'!X:X, 1)</f>
        <v>1</v>
      </c>
      <c r="AF46" s="2">
        <f>COUNTIFS('BA History'!$B:$B,$A$46,'BA History'!Y:Y, 1)</f>
        <v>7</v>
      </c>
      <c r="AG46" s="2">
        <f>COUNTIFS('BA History'!$B:$B,$A$46,'BA History'!Z:Z, 1)</f>
        <v>11</v>
      </c>
      <c r="AH46" s="2">
        <f>COUNTIFS('BA History'!$B:$B,$A46,'BA History'!AA:AA, 1)</f>
        <v>0</v>
      </c>
      <c r="AI46" s="2">
        <f>COUNTIFS('BA History'!$B:$B,$A$46,'BA History'!AB:AB, 1)</f>
        <v>1</v>
      </c>
      <c r="AJ46" s="2">
        <f>COUNTIFS('BA History'!$B:$B,$A$46,'BA History'!AC:AC, 1)</f>
        <v>6</v>
      </c>
      <c r="AK46" s="2">
        <f>COUNTIFS('BA History'!$B:$B,$A$46,'BA History'!AD:AD, 1)</f>
        <v>7</v>
      </c>
      <c r="AL46" s="2">
        <f>COUNTIFS('BA History'!$B:$B,$A$46,'BA History'!AE:AE, 1)</f>
        <v>18</v>
      </c>
      <c r="AM46" s="2">
        <f>COUNTIFS('BA History'!$B:$B,$A$46,'BA History'!AF:AF, 1)</f>
        <v>0</v>
      </c>
      <c r="AN46" s="2">
        <f>COUNTIFS('BA History'!$B:$B,$A$46,'BA History'!AG:AG, 1)</f>
        <v>9</v>
      </c>
    </row>
    <row r="47" spans="1:40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35">
        <f t="array" ref="H47">MAX(IF('BA History'!B:B=A47, 'BA History'!C:C))</f>
        <v>21</v>
      </c>
      <c r="I47" s="34">
        <f>COUNTIFS('BA History'!B:B,A47,'BA History'!D:D, 1)</f>
        <v>3</v>
      </c>
      <c r="J47" s="2">
        <f>COUNTIFS('BA History'!B:B,A47,'BA History'!D:D, 0)</f>
        <v>1</v>
      </c>
      <c r="K47" s="75">
        <f>LOOKUP(2, 1/('BA History'!$B:$B=A47), 'BA History'!$AK:$AK)</f>
        <v>0.75</v>
      </c>
      <c r="L47" s="34">
        <f>SUMIFS('BA History'!F:F,'BA History'!B:B,A47)</f>
        <v>9</v>
      </c>
      <c r="M47" s="2">
        <f>SUMIFS('BA History'!E:E,'BA History'!B:B,A47)-L47</f>
        <v>8</v>
      </c>
      <c r="N47" s="75">
        <f>LOOKUP(2, 1/('BA History'!$B:$B=A47), 'BA History'!$AI:$AI)</f>
        <v>0.48750000000000004</v>
      </c>
      <c r="O47" s="34">
        <f>SUMIFS('BA History'!H:H,'BA History'!B:B,A47)</f>
        <v>38</v>
      </c>
      <c r="P47" s="2">
        <f>SUMIFS('BA History'!G:G,'BA History'!B:B,A47)-O47</f>
        <v>35</v>
      </c>
      <c r="Q47" s="89">
        <f>LOOKUP(2, 1/('BA History'!$B:$B=A47), 'BA History'!$AJ:$AJ)</f>
        <v>0.49249999999999999</v>
      </c>
      <c r="R47" s="2">
        <f>COUNTIFS('BA History'!$B:$B,$A$47,'BA History'!K:K, 1)</f>
        <v>1</v>
      </c>
      <c r="S47" s="2">
        <f>COUNTIFS('BA History'!$B:$B,$A$47,'BA History'!L:L, 1)</f>
        <v>0</v>
      </c>
      <c r="T47" s="2">
        <f>COUNTIFS('BA History'!$B:$B,$A$47,'BA History'!M:M, 1)</f>
        <v>1</v>
      </c>
      <c r="U47" s="2">
        <f>COUNTIFS('BA History'!$B:$B,$A$47,'BA History'!N:N, 1)</f>
        <v>1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1</v>
      </c>
      <c r="AG47" s="2">
        <f>COUNTIFS('BA History'!$B:$B,$A$47,'BA History'!Z:Z, 1)</f>
        <v>2</v>
      </c>
      <c r="AH47" s="2">
        <f>COUNTIFS('BA History'!$B:$B,$A47,'BA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1</v>
      </c>
      <c r="AM47" s="2">
        <f>COUNTIFS('BA History'!$B:$B,$A$47,'BA History'!AF:AF, 1)</f>
        <v>0</v>
      </c>
      <c r="AN47" s="2">
        <f>COUNTIFS('BA History'!$B:$B,$A$47,'BA History'!AG:AG, 1)</f>
        <v>1</v>
      </c>
    </row>
    <row r="48" spans="1:40" x14ac:dyDescent="0.25">
      <c r="A48" s="2" t="s">
        <v>147</v>
      </c>
      <c r="B48" s="2" t="s">
        <v>79</v>
      </c>
      <c r="C48" s="2"/>
      <c r="D48" s="2"/>
      <c r="E48" s="2"/>
      <c r="F48" s="34">
        <f>SUMIFS('BA History'!C:C,'BA History'!B:B,A48)</f>
        <v>479</v>
      </c>
      <c r="G48" s="66">
        <f>AVERAGEIFS('BA History'!C:C,'BA History'!B:B,A48)</f>
        <v>13.685714285714285</v>
      </c>
      <c r="H48" s="35">
        <f t="array" ref="H48">MAX(IF('BA History'!B:B=A48, 'BA History'!C:C))</f>
        <v>33</v>
      </c>
      <c r="I48" s="34">
        <f>COUNTIFS('BA History'!B:B,A48,'BA History'!D:D, 1)</f>
        <v>19</v>
      </c>
      <c r="J48" s="2">
        <f>COUNTIFS('BA History'!B:B,A48,'BA History'!D:D, 0)</f>
        <v>16</v>
      </c>
      <c r="K48" s="75">
        <f>LOOKUP(2, 1/('BA History'!$B:$B=A48), 'BA History'!$AK:$AK)</f>
        <v>0.54285714285714282</v>
      </c>
      <c r="L48" s="34">
        <f>SUMIFS('BA History'!F:F,'BA History'!B:B,A48)</f>
        <v>77</v>
      </c>
      <c r="M48" s="2">
        <f>SUMIFS('BA History'!E:E,'BA History'!B:B,A48)-L48</f>
        <v>65</v>
      </c>
      <c r="N48" s="75">
        <f>LOOKUP(2, 1/('BA History'!$B:$B=A48), 'BA History'!$AI:$AI)</f>
        <v>0.56714285714285717</v>
      </c>
      <c r="O48" s="34">
        <f>SUMIFS('BA History'!H:H,'BA History'!B:B,A48)</f>
        <v>308</v>
      </c>
      <c r="P48" s="2">
        <f>SUMIFS('BA History'!G:G,'BA History'!B:B,A48)-O48</f>
        <v>282</v>
      </c>
      <c r="Q48" s="89">
        <f>LOOKUP(2, 1/('BA History'!$B:$B=A48), 'BA History'!$AJ:$AJ)</f>
        <v>0.53542857142857148</v>
      </c>
      <c r="R48" s="2">
        <f>COUNTIFS('BA History'!$B:$B,$A$48,'BA History'!K:K, 1)</f>
        <v>7</v>
      </c>
      <c r="S48" s="2">
        <f>COUNTIFS('BA History'!$B:$B,$A$48,'BA History'!L:L, 1)</f>
        <v>5</v>
      </c>
      <c r="T48" s="2">
        <f>COUNTIFS('BA History'!$B:$B,$A$48,'BA History'!M:M, 1)</f>
        <v>5</v>
      </c>
      <c r="U48" s="2">
        <f>COUNTIFS('BA History'!$B:$B,$A$48,'BA History'!N:N, 1)</f>
        <v>7</v>
      </c>
      <c r="V48" s="2">
        <f>COUNTIFS('BA History'!$B:$B,$A$48,'BA History'!O:O, 1)</f>
        <v>1</v>
      </c>
      <c r="W48" s="2">
        <f>COUNTIFS('BA History'!$B:$B,$A$48,'BA History'!P:P, 1)</f>
        <v>1</v>
      </c>
      <c r="X48" s="2">
        <f>COUNTIFS('BA History'!$B:$B,$A$48,'BA History'!Q:Q, 1)</f>
        <v>1</v>
      </c>
      <c r="Y48" s="2">
        <f>COUNTIFS('BA History'!$B:$B,$A$48,'BA History'!R:R, 1)</f>
        <v>2</v>
      </c>
      <c r="Z48" s="2">
        <f>COUNTIFS('BA History'!$B:$B,$A$48,'BA History'!S:S, 1)</f>
        <v>1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2</v>
      </c>
      <c r="AD48" s="2">
        <f>COUNTIFS('BA History'!$B:$B,$A$48,'BA History'!W:W, 1)</f>
        <v>1</v>
      </c>
      <c r="AE48" s="2">
        <f>COUNTIFS('BA History'!$B:$B,$A$48,'BA History'!X:X, 1)</f>
        <v>0</v>
      </c>
      <c r="AF48" s="2">
        <f>COUNTIFS('BA History'!$B:$B,$A$48,'BA History'!Y:Y, 1)</f>
        <v>7</v>
      </c>
      <c r="AG48" s="2">
        <f>COUNTIFS('BA History'!$B:$B,$A$48,'BA History'!Z:Z, 1)</f>
        <v>11</v>
      </c>
      <c r="AH48" s="2">
        <f>COUNTIFS('BA History'!$B:$B,$A48,'BA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14</v>
      </c>
      <c r="AK48" s="2">
        <f>COUNTIFS('BA History'!$B:$B,$A$48,'BA History'!AD:AD, 1)</f>
        <v>1</v>
      </c>
      <c r="AL48" s="2">
        <f>COUNTIFS('BA History'!$B:$B,$A$48,'BA History'!AE:AE, 1)</f>
        <v>5</v>
      </c>
      <c r="AM48" s="2">
        <f>COUNTIFS('BA History'!$B:$B,$A$48,'BA History'!AF:AF, 1)</f>
        <v>0</v>
      </c>
      <c r="AN48" s="2">
        <f>COUNTIFS('BA History'!$B:$B,$A$48,'BA History'!AG:AG, 1)</f>
        <v>6</v>
      </c>
    </row>
    <row r="49" spans="1:40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852</v>
      </c>
      <c r="G49" s="66">
        <f>AVERAGEIFS('BA History'!C:C,'BA History'!B:B,A49)</f>
        <v>20.285714285714285</v>
      </c>
      <c r="H49" s="35">
        <f t="array" ref="H49">MAX(IF('BA History'!B:B=A49, 'BA History'!C:C))</f>
        <v>32</v>
      </c>
      <c r="I49" s="34">
        <f>COUNTIFS('BA History'!B:B,A49,'BA History'!D:D, 1)</f>
        <v>24</v>
      </c>
      <c r="J49" s="2">
        <f>COUNTIFS('BA History'!B:B,A49,'BA History'!D:D, 0)</f>
        <v>18</v>
      </c>
      <c r="K49" s="75">
        <f>LOOKUP(2, 1/('BA History'!$B:$B=A49), 'BA History'!$AK:$AK)</f>
        <v>0.5714285714285714</v>
      </c>
      <c r="L49" s="34">
        <f>SUMIFS('BA History'!F:F,'BA History'!B:B,A49)</f>
        <v>91</v>
      </c>
      <c r="M49" s="2">
        <f>SUMIFS('BA History'!E:E,'BA History'!B:B,A49)-L49</f>
        <v>76</v>
      </c>
      <c r="N49" s="75">
        <f>LOOKUP(2, 1/('BA History'!$B:$B=A49), 'BA History'!$AI:$AI)</f>
        <v>0.5552380952380952</v>
      </c>
      <c r="O49" s="34">
        <f>SUMIFS('BA History'!H:H,'BA History'!B:B,A49)</f>
        <v>353</v>
      </c>
      <c r="P49" s="2">
        <f>SUMIFS('BA History'!G:G,'BA History'!B:B,A49)-O49</f>
        <v>339</v>
      </c>
      <c r="Q49" s="89">
        <f>LOOKUP(2, 1/('BA History'!$B:$B=A49), 'BA History'!$AJ:$AJ)</f>
        <v>0.5061904761904763</v>
      </c>
      <c r="R49" s="2">
        <f>COUNTIFS('BA History'!$B:$B,$A$49,'BA History'!K:K, 1)</f>
        <v>6</v>
      </c>
      <c r="S49" s="2">
        <f>COUNTIFS('BA History'!$B:$B,$A$49,'BA History'!L:L, 1)</f>
        <v>3</v>
      </c>
      <c r="T49" s="2">
        <f>COUNTIFS('BA History'!$B:$B,$A$49,'BA History'!M:M, 1)</f>
        <v>8</v>
      </c>
      <c r="U49" s="2">
        <f>COUNTIFS('BA History'!$B:$B,$A$49,'BA History'!N:N, 1)</f>
        <v>9</v>
      </c>
      <c r="V49" s="2">
        <f>COUNTIFS('BA History'!$B:$B,$A$49,'BA History'!O:O, 1)</f>
        <v>1</v>
      </c>
      <c r="W49" s="2">
        <f>COUNTIFS('BA History'!$B:$B,$A$49,'BA History'!P:P, 1)</f>
        <v>1</v>
      </c>
      <c r="X49" s="2">
        <f>COUNTIFS('BA History'!$B:$B,$A$49,'BA History'!Q:Q, 1)</f>
        <v>3</v>
      </c>
      <c r="Y49" s="2">
        <f>COUNTIFS('BA History'!$B:$B,$A$49,'BA History'!R:R, 1)</f>
        <v>1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2</v>
      </c>
      <c r="AC49" s="2">
        <f>COUNTIFS('BA History'!$B:$B,$A$49,'BA History'!V:V, 1)</f>
        <v>4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3</v>
      </c>
      <c r="AG49" s="2">
        <f>COUNTIFS('BA History'!$B:$B,$A$49,'BA History'!Z:Z, 1)</f>
        <v>10</v>
      </c>
      <c r="AH49" s="2">
        <f>COUNTIFS('BA History'!$B:$B,$A49,'BA History'!AA:AA, 1)</f>
        <v>0</v>
      </c>
      <c r="AI49" s="2">
        <f>COUNTIFS('BA History'!$B:$B,$A$49,'BA History'!AB:AB, 1)</f>
        <v>2</v>
      </c>
      <c r="AJ49" s="2">
        <f>COUNTIFS('BA History'!$B:$B,$A$49,'BA History'!AC:AC, 1)</f>
        <v>13</v>
      </c>
      <c r="AK49" s="2">
        <f>COUNTIFS('BA History'!$B:$B,$A$49,'BA History'!AD:AD, 1)</f>
        <v>8</v>
      </c>
      <c r="AL49" s="2">
        <f>COUNTIFS('BA History'!$B:$B,$A$49,'BA History'!AE:AE, 1)</f>
        <v>9</v>
      </c>
      <c r="AM49" s="2">
        <f>COUNTIFS('BA History'!$B:$B,$A$49,'BA History'!AF:AF, 1)</f>
        <v>2</v>
      </c>
      <c r="AN49" s="2">
        <f>COUNTIFS('BA History'!$B:$B,$A$49,'BA History'!AG:AG, 1)</f>
        <v>6</v>
      </c>
    </row>
    <row r="50" spans="1:40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35">
        <f t="array" ref="H50">MAX(IF('BA History'!B:B=A50, 'BA History'!C:C))</f>
        <v>12</v>
      </c>
      <c r="I50" s="34">
        <f>COUNTIFS('BA History'!B:B,A50,'BA History'!D:D, 1)</f>
        <v>1</v>
      </c>
      <c r="J50" s="2">
        <f>COUNTIFS('BA History'!B:B,A50,'BA History'!D:D, 0)</f>
        <v>0</v>
      </c>
      <c r="K50" s="75">
        <f>LOOKUP(2, 1/('BA History'!$B:$B=A50), 'BA History'!$AK:$AK)</f>
        <v>1</v>
      </c>
      <c r="L50" s="34">
        <f>SUMIFS('BA History'!F:F,'BA History'!B:B,A50)</f>
        <v>3</v>
      </c>
      <c r="M50" s="2">
        <f>SUMIFS('BA History'!E:E,'BA History'!B:B,A50)-L50</f>
        <v>2</v>
      </c>
      <c r="N50" s="75">
        <f>LOOKUP(2, 1/('BA History'!$B:$B=A50), 'BA History'!$AI:$AI)</f>
        <v>0.6</v>
      </c>
      <c r="O50" s="34">
        <f>SUMIFS('BA History'!H:H,'BA History'!B:B,A50)</f>
        <v>9</v>
      </c>
      <c r="P50" s="2">
        <f>SUMIFS('BA History'!G:G,'BA History'!B:B,A50)-O50</f>
        <v>10</v>
      </c>
      <c r="Q50" s="89">
        <f>LOOKUP(2, 1/('BA History'!$B:$B=A50), 'BA History'!$AJ:$AJ)</f>
        <v>0.47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1</v>
      </c>
      <c r="AC50" s="2">
        <f>COUNTIFS('BA History'!$B:$B,$A$50,'BA History'!V:V, 1)</f>
        <v>0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0</v>
      </c>
      <c r="AG50" s="2">
        <f>COUNTIFS('BA History'!$B:$B,$A$50,'BA History'!Z:Z, 1)</f>
        <v>0</v>
      </c>
      <c r="AH50" s="2">
        <f>COUNTIFS('BA History'!$B:$B,$A50,'BA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1</v>
      </c>
      <c r="AK50" s="2">
        <f>COUNTIFS('BA History'!$B:$B,$A$50,'BA History'!AD:AD, 1)</f>
        <v>1</v>
      </c>
      <c r="AL50" s="2">
        <f>COUNTIFS('BA History'!$B:$B,$A$50,'BA History'!AE:AE, 1)</f>
        <v>0</v>
      </c>
      <c r="AM50" s="2">
        <f>COUNTIFS('BA History'!$B:$B,$A$50,'BA History'!AF:AF, 1)</f>
        <v>0</v>
      </c>
      <c r="AN50" s="2">
        <f>COUNTIFS('BA History'!$B:$B,$A$50,'BA History'!AG:AG, 1)</f>
        <v>0</v>
      </c>
    </row>
    <row r="51" spans="1:40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35">
        <f t="array" ref="H51">MAX(IF('BA History'!B:B=A51, 'BA History'!C:C))</f>
        <v>4</v>
      </c>
      <c r="I51" s="34">
        <f>COUNTIFS('BA History'!B:B,A51,'BA History'!D:D, 1)</f>
        <v>0</v>
      </c>
      <c r="J51" s="2">
        <f>COUNTIFS('BA History'!B:B,A51,'BA History'!D:D, 0)</f>
        <v>1</v>
      </c>
      <c r="K51" s="75">
        <f>LOOKUP(2, 1/('BA History'!$B:$B=A51), 'BA History'!$AK:$AK)</f>
        <v>0</v>
      </c>
      <c r="L51" s="34">
        <f>SUMIFS('BA History'!F:F,'BA History'!B:B,A51)</f>
        <v>1</v>
      </c>
      <c r="M51" s="2">
        <f>SUMIFS('BA History'!E:E,'BA History'!B:B,A51)-L51</f>
        <v>3</v>
      </c>
      <c r="N51" s="75">
        <f>LOOKUP(2, 1/('BA History'!$B:$B=A51), 'BA History'!$AI:$AI)</f>
        <v>0.25</v>
      </c>
      <c r="O51" s="34">
        <f>SUMIFS('BA History'!H:H,'BA History'!B:B,A51)</f>
        <v>7</v>
      </c>
      <c r="P51" s="2">
        <f>SUMIFS('BA History'!G:G,'BA History'!B:B,A51)-O51</f>
        <v>9</v>
      </c>
      <c r="Q51" s="89">
        <f>LOOKUP(2, 1/('BA History'!$B:$B=A51), 'BA History'!$AJ:$AJ)</f>
        <v>0.44</v>
      </c>
      <c r="R51" s="2">
        <f>COUNTIFS('BA History'!$B:$B,$A$51,'BA History'!K:K, 1)</f>
        <v>0</v>
      </c>
      <c r="S51" s="2">
        <f>COUNTIFS('BA History'!$B:$B,$A$51,'BA History'!L:L, 1)</f>
        <v>0</v>
      </c>
      <c r="T51" s="2">
        <f>COUNTIFS('BA History'!$B:$B,$A$51,'BA History'!M:M, 1)</f>
        <v>0</v>
      </c>
      <c r="U51" s="2">
        <f>COUNTIFS('BA History'!$B:$B,$A$51,'BA History'!N:N, 1)</f>
        <v>0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0</v>
      </c>
      <c r="Y51" s="2">
        <f>COUNTIFS('BA History'!$B:$B,$A$51,'BA History'!R:R, 1)</f>
        <v>0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0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1</v>
      </c>
      <c r="AG51" s="2">
        <f>COUNTIFS('BA History'!$B:$B,$A$51,'BA History'!Z:Z, 1)</f>
        <v>0</v>
      </c>
      <c r="AH51" s="2">
        <f>COUNTIFS('BA History'!$B:$B,$A51,'BA History'!AA:AA, 1)</f>
        <v>0</v>
      </c>
      <c r="AI51" s="2">
        <f>COUNTIFS('BA History'!$B:$B,$A$51,'BA History'!AB:AB, 1)</f>
        <v>0</v>
      </c>
      <c r="AJ51" s="2">
        <f>COUNTIFS('BA History'!$B:$B,$A$51,'BA History'!AC:AC, 1)</f>
        <v>0</v>
      </c>
      <c r="AK51" s="2">
        <f>COUNTIFS('BA History'!$B:$B,$A$51,'BA History'!AD:AD, 1)</f>
        <v>0</v>
      </c>
      <c r="AL51" s="2">
        <f>COUNTIFS('BA History'!$B:$B,$A$51,'BA History'!AE:AE, 1)</f>
        <v>0</v>
      </c>
      <c r="AM51" s="2">
        <f>COUNTIFS('BA History'!$B:$B,$A$51,'BA History'!AF:AF, 1)</f>
        <v>0</v>
      </c>
      <c r="AN51" s="2">
        <f>COUNTIFS('BA History'!$B:$B,$A$51,'BA History'!AG:AG, 1)</f>
        <v>0</v>
      </c>
    </row>
    <row r="52" spans="1:40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35">
        <f t="array" ref="H52">MAX(IF('BA History'!B:B=A52, 'BA History'!C:C))</f>
        <v>20</v>
      </c>
      <c r="I52" s="34">
        <f>COUNTIFS('BA History'!B:B,A52,'BA History'!D:D, 1)</f>
        <v>1</v>
      </c>
      <c r="J52" s="2">
        <f>COUNTIFS('BA History'!B:B,A52,'BA History'!D:D, 0)</f>
        <v>1</v>
      </c>
      <c r="K52" s="75">
        <f>LOOKUP(2, 1/('BA History'!$B:$B=A52), 'BA History'!$AK:$AK)</f>
        <v>0.5</v>
      </c>
      <c r="L52" s="34">
        <f>SUMIFS('BA History'!F:F,'BA History'!B:B,A52)</f>
        <v>4</v>
      </c>
      <c r="M52" s="2">
        <f>SUMIFS('BA History'!E:E,'BA History'!B:B,A52)-L52</f>
        <v>4</v>
      </c>
      <c r="N52" s="75">
        <f>LOOKUP(2, 1/('BA History'!$B:$B=A52), 'BA History'!$AI:$AI)</f>
        <v>0.5</v>
      </c>
      <c r="O52" s="34">
        <f>SUMIFS('BA History'!H:H,'BA History'!B:B,A52)</f>
        <v>15</v>
      </c>
      <c r="P52" s="2">
        <f>SUMIFS('BA History'!G:G,'BA History'!B:B,A52)-O52</f>
        <v>15</v>
      </c>
      <c r="Q52" s="89">
        <f>LOOKUP(2, 1/('BA History'!$B:$B=A52), 'BA History'!$AJ:$AJ)</f>
        <v>0.51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0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1</v>
      </c>
      <c r="AH52" s="2">
        <f>COUNTIFS('BA History'!$B:$B,$A52,'BA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0</v>
      </c>
      <c r="AK52" s="2">
        <f>COUNTIFS('BA History'!$B:$B,$A$52,'BA History'!AD:AD, 1)</f>
        <v>1</v>
      </c>
      <c r="AL52" s="2">
        <f>COUNTIFS('BA History'!$B:$B,$A$52,'BA History'!AE:AE, 1)</f>
        <v>1</v>
      </c>
      <c r="AM52" s="2">
        <f>COUNTIFS('BA History'!$B:$B,$A$52,'BA History'!AF:AF, 1)</f>
        <v>0</v>
      </c>
      <c r="AN52" s="2">
        <f>COUNTIFS('BA History'!$B:$B,$A$52,'BA History'!AG:AG, 1)</f>
        <v>0</v>
      </c>
    </row>
    <row r="53" spans="1:40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1669</v>
      </c>
      <c r="G53" s="66">
        <f>AVERAGEIFS('BA History'!C:C,'BA History'!B:B,A53)</f>
        <v>22.863013698630137</v>
      </c>
      <c r="H53" s="35">
        <f t="array" ref="H53">MAX(IF('BA History'!B:B=A53, 'BA History'!C:C))</f>
        <v>42</v>
      </c>
      <c r="I53" s="34">
        <f>COUNTIFS('BA History'!B:B,A53,'BA History'!D:D, 1)</f>
        <v>46</v>
      </c>
      <c r="J53" s="2">
        <f>COUNTIFS('BA History'!B:B,A53,'BA History'!D:D, 0)</f>
        <v>27</v>
      </c>
      <c r="K53" s="75">
        <f>LOOKUP(2, 1/('BA History'!$B:$B=A53), 'BA History'!$AK:$AK)</f>
        <v>0.63013698630136983</v>
      </c>
      <c r="L53" s="34">
        <f>SUMIFS('BA History'!F:F,'BA History'!B:B,A53)</f>
        <v>163</v>
      </c>
      <c r="M53" s="2">
        <f>SUMIFS('BA History'!E:E,'BA History'!B:B,A53)-L53</f>
        <v>128</v>
      </c>
      <c r="N53" s="75">
        <f>LOOKUP(2, 1/('BA History'!$B:$B=A53), 'BA History'!$AI:$AI)</f>
        <v>0.56205479452054807</v>
      </c>
      <c r="O53" s="34">
        <f>SUMIFS('BA History'!H:H,'BA History'!B:B,A53)</f>
        <v>645</v>
      </c>
      <c r="P53" s="2">
        <f>SUMIFS('BA History'!G:G,'BA History'!B:B,A53)-O53</f>
        <v>565</v>
      </c>
      <c r="Q53" s="89">
        <f>LOOKUP(2, 1/('BA History'!$B:$B=A53), 'BA History'!$AJ:$AJ)</f>
        <v>0.53273972602739716</v>
      </c>
      <c r="R53" s="2">
        <f>COUNTIFS('BA History'!$B:$B,$A$53,'BA History'!K:K, 1)</f>
        <v>9</v>
      </c>
      <c r="S53" s="2">
        <f>COUNTIFS('BA History'!$B:$B,$A$53,'BA History'!L:L, 1)</f>
        <v>7</v>
      </c>
      <c r="T53" s="2">
        <f>COUNTIFS('BA History'!$B:$B,$A$53,'BA History'!M:M, 1)</f>
        <v>14</v>
      </c>
      <c r="U53" s="2">
        <f>COUNTIFS('BA History'!$B:$B,$A$53,'BA History'!N:N, 1)</f>
        <v>12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6</v>
      </c>
      <c r="Y53" s="2">
        <f>COUNTIFS('BA History'!$B:$B,$A$53,'BA History'!R:R, 1)</f>
        <v>5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3</v>
      </c>
      <c r="AC53" s="2">
        <f>COUNTIFS('BA History'!$B:$B,$A$53,'BA History'!V:V, 1)</f>
        <v>11</v>
      </c>
      <c r="AD53" s="2">
        <f>COUNTIFS('BA History'!$B:$B,$A$53,'BA History'!W:W, 1)</f>
        <v>4</v>
      </c>
      <c r="AE53" s="2">
        <f>COUNTIFS('BA History'!$B:$B,$A$53,'BA History'!X:X, 1)</f>
        <v>2</v>
      </c>
      <c r="AF53" s="2">
        <f>COUNTIFS('BA History'!$B:$B,$A$53,'BA History'!Y:Y, 1)</f>
        <v>7</v>
      </c>
      <c r="AG53" s="2">
        <f>COUNTIFS('BA History'!$B:$B,$A$53,'BA History'!Z:Z, 1)</f>
        <v>22</v>
      </c>
      <c r="AH53" s="2">
        <f>COUNTIFS('BA History'!$B:$B,$A53,'BA History'!AA:AA, 1)</f>
        <v>1</v>
      </c>
      <c r="AI53" s="2">
        <f>COUNTIFS('BA History'!$B:$B,$A$53,'BA History'!AB:AB, 1)</f>
        <v>2</v>
      </c>
      <c r="AJ53" s="2">
        <f>COUNTIFS('BA History'!$B:$B,$A$53,'BA History'!AC:AC, 1)</f>
        <v>22</v>
      </c>
      <c r="AK53" s="2">
        <f>COUNTIFS('BA History'!$B:$B,$A$53,'BA History'!AD:AD, 1)</f>
        <v>9</v>
      </c>
      <c r="AL53" s="2">
        <f>COUNTIFS('BA History'!$B:$B,$A$53,'BA History'!AE:AE, 1)</f>
        <v>10</v>
      </c>
      <c r="AM53" s="2">
        <f>COUNTIFS('BA History'!$B:$B,$A$53,'BA History'!AF:AF, 1)</f>
        <v>2</v>
      </c>
      <c r="AN53" s="2">
        <f>COUNTIFS('BA History'!$B:$B,$A$53,'BA History'!AG:AG, 1)</f>
        <v>11</v>
      </c>
    </row>
    <row r="54" spans="1:40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204</v>
      </c>
      <c r="G54" s="66">
        <f>AVERAGEIFS('BA History'!C:C,'BA History'!B:B,A54)</f>
        <v>18.545454545454547</v>
      </c>
      <c r="H54" s="35">
        <f t="array" ref="H54">MAX(IF('BA History'!B:B=A54, 'BA History'!C:C))</f>
        <v>30</v>
      </c>
      <c r="I54" s="34">
        <f>COUNTIFS('BA History'!B:B,A54,'BA History'!D:D, 1)</f>
        <v>8</v>
      </c>
      <c r="J54" s="2">
        <f>COUNTIFS('BA History'!B:B,A54,'BA History'!D:D, 0)</f>
        <v>3</v>
      </c>
      <c r="K54" s="75">
        <f>LOOKUP(2, 1/('BA History'!$B:$B=A54), 'BA History'!$AK:$AK)</f>
        <v>0.72727272727272729</v>
      </c>
      <c r="L54" s="34">
        <f>SUMIFS('BA History'!F:F,'BA History'!B:B,A54)</f>
        <v>26</v>
      </c>
      <c r="M54" s="2">
        <f>SUMIFS('BA History'!E:E,'BA History'!B:B,A54)-L54</f>
        <v>13</v>
      </c>
      <c r="N54" s="75">
        <f>LOOKUP(2, 1/('BA History'!$B:$B=A54), 'BA History'!$AI:$AI)</f>
        <v>0.69090909090909092</v>
      </c>
      <c r="O54" s="34">
        <f>SUMIFS('BA History'!H:H,'BA History'!B:B,A54)</f>
        <v>95</v>
      </c>
      <c r="P54" s="2">
        <f>SUMIFS('BA History'!G:G,'BA History'!B:B,A54)-O54</f>
        <v>72</v>
      </c>
      <c r="Q54" s="89">
        <f>LOOKUP(2, 1/('BA History'!$B:$B=A54), 'BA History'!$AJ:$AJ)</f>
        <v>0.58454545454545448</v>
      </c>
      <c r="R54" s="2">
        <f>COUNTIFS('BA History'!$B:$B,$A$54,'BA History'!K:K, 1)</f>
        <v>0</v>
      </c>
      <c r="S54" s="2">
        <f>COUNTIFS('BA History'!$B:$B,$A$54,'BA History'!L:L, 1)</f>
        <v>4</v>
      </c>
      <c r="T54" s="2">
        <f>COUNTIFS('BA History'!$B:$B,$A$54,'BA History'!M:M, 1)</f>
        <v>1</v>
      </c>
      <c r="U54" s="2">
        <f>COUNTIFS('BA History'!$B:$B,$A$54,'BA History'!N:N, 1)</f>
        <v>4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2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1</v>
      </c>
      <c r="AF54" s="2">
        <f>COUNTIFS('BA History'!$B:$B,$A$54,'BA History'!Y:Y, 1)</f>
        <v>1</v>
      </c>
      <c r="AG54" s="2">
        <f>COUNTIFS('BA History'!$B:$B,$A$54,'BA History'!Z:Z, 1)</f>
        <v>4</v>
      </c>
      <c r="AH54" s="2">
        <f>COUNTIFS('BA History'!$B:$B,$A54,'BA History'!AA:AA, 1)</f>
        <v>0</v>
      </c>
      <c r="AI54" s="2">
        <f>COUNTIFS('BA History'!$B:$B,$A$54,'BA History'!AB:AB, 1)</f>
        <v>2</v>
      </c>
      <c r="AJ54" s="2">
        <f>COUNTIFS('BA History'!$B:$B,$A$54,'BA History'!AC:AC, 1)</f>
        <v>2</v>
      </c>
      <c r="AK54" s="2">
        <f>COUNTIFS('BA History'!$B:$B,$A$54,'BA History'!AD:AD, 1)</f>
        <v>0</v>
      </c>
      <c r="AL54" s="2">
        <f>COUNTIFS('BA History'!$B:$B,$A$54,'BA History'!AE:AE, 1)</f>
        <v>2</v>
      </c>
      <c r="AM54" s="2">
        <f>COUNTIFS('BA History'!$B:$B,$A$54,'BA History'!AF:AF, 1)</f>
        <v>0</v>
      </c>
      <c r="AN54" s="2">
        <f>COUNTIFS('BA History'!$B:$B,$A$54,'BA History'!AG:AG, 1)</f>
        <v>0</v>
      </c>
    </row>
    <row r="55" spans="1:40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35">
        <f t="array" ref="H55">MAX(IF('BA History'!B:B=A55, 'BA History'!C:C))</f>
        <v>16</v>
      </c>
      <c r="I55" s="34">
        <f>COUNTIFS('BA History'!B:B,A55,'BA History'!D:D, 1)</f>
        <v>0</v>
      </c>
      <c r="J55" s="2">
        <f>COUNTIFS('BA History'!B:B,A55,'BA History'!D:D, 0)</f>
        <v>2</v>
      </c>
      <c r="K55" s="75">
        <f>LOOKUP(2, 1/('BA History'!$B:$B=A55), 'BA History'!$AK:$AK)</f>
        <v>0</v>
      </c>
      <c r="L55" s="34">
        <f>SUMIFS('BA History'!F:F,'BA History'!B:B,A55)</f>
        <v>3</v>
      </c>
      <c r="M55" s="2">
        <f>SUMIFS('BA History'!E:E,'BA History'!B:B,A55)-L55</f>
        <v>6</v>
      </c>
      <c r="N55" s="75">
        <f>LOOKUP(2, 1/('BA History'!$B:$B=A55), 'BA History'!$AI:$AI)</f>
        <v>0.32500000000000001</v>
      </c>
      <c r="O55" s="34">
        <f>SUMIFS('BA History'!H:H,'BA History'!B:B,A55)</f>
        <v>19</v>
      </c>
      <c r="P55" s="2">
        <f>SUMIFS('BA History'!G:G,'BA History'!B:B,A55)-O55</f>
        <v>22</v>
      </c>
      <c r="Q55" s="89">
        <f>LOOKUP(2, 1/('BA History'!$B:$B=A55), 'BA History'!$AJ:$AJ)</f>
        <v>0.46499999999999997</v>
      </c>
      <c r="R55" s="2">
        <f>COUNTIFS('BA History'!$B:$B,$A$55,'BA History'!K:K, 1)</f>
        <v>0</v>
      </c>
      <c r="S55" s="2">
        <f>COUNTIFS('BA History'!$B:$B,$A$55,'BA History'!L:L, 1)</f>
        <v>0</v>
      </c>
      <c r="T55" s="2">
        <f>COUNTIFS('BA History'!$B:$B,$A$55,'BA History'!M:M, 1)</f>
        <v>0</v>
      </c>
      <c r="U55" s="2">
        <f>COUNTIFS('BA History'!$B:$B,$A$55,'BA History'!N:N, 1)</f>
        <v>1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0</v>
      </c>
      <c r="AG55" s="2">
        <f>COUNTIFS('BA History'!$B:$B,$A$55,'BA History'!Z:Z, 1)</f>
        <v>0</v>
      </c>
      <c r="AH55" s="2">
        <f>COUNTIFS('BA History'!$B:$B,$A55,'BA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1</v>
      </c>
      <c r="AL55" s="2">
        <f>COUNTIFS('BA History'!$B:$B,$A$55,'BA History'!AE:AE, 1)</f>
        <v>0</v>
      </c>
      <c r="AM55" s="2">
        <f>COUNTIFS('BA History'!$B:$B,$A$55,'BA History'!AF:AF, 1)</f>
        <v>0</v>
      </c>
      <c r="AN55" s="2">
        <f>COUNTIFS('BA History'!$B:$B,$A$55,'BA History'!AG:AG, 1)</f>
        <v>0</v>
      </c>
    </row>
    <row r="56" spans="1:40" x14ac:dyDescent="0.25">
      <c r="A56" s="2" t="s">
        <v>113</v>
      </c>
      <c r="B56" s="2" t="s">
        <v>79</v>
      </c>
      <c r="C56" s="2">
        <v>1</v>
      </c>
      <c r="D56" s="2">
        <v>2</v>
      </c>
      <c r="E56" s="2"/>
      <c r="F56" s="34">
        <f>SUMIFS('BA History'!C:C,'BA History'!B:B,A56)</f>
        <v>794</v>
      </c>
      <c r="G56" s="66">
        <f>AVERAGEIFS('BA History'!C:C,'BA History'!B:B,A56)</f>
        <v>18.045454545454547</v>
      </c>
      <c r="H56" s="35">
        <f t="array" ref="H56">MAX(IF('BA History'!B:B=A56, 'BA History'!C:C))</f>
        <v>36</v>
      </c>
      <c r="I56" s="34">
        <f>COUNTIFS('BA History'!B:B,A56,'BA History'!D:D, 1)</f>
        <v>22</v>
      </c>
      <c r="J56" s="2">
        <f>COUNTIFS('BA History'!B:B,A56,'BA History'!D:D, 0)</f>
        <v>22</v>
      </c>
      <c r="K56" s="75">
        <f>LOOKUP(2, 1/('BA History'!$B:$B=A56), 'BA History'!$AK:$AK)</f>
        <v>0.5</v>
      </c>
      <c r="L56" s="34">
        <f>SUMIFS('BA History'!F:F,'BA History'!B:B,A56)</f>
        <v>93</v>
      </c>
      <c r="M56" s="2">
        <f>SUMIFS('BA History'!E:E,'BA History'!B:B,A56)-L56</f>
        <v>83</v>
      </c>
      <c r="N56" s="75">
        <f>LOOKUP(2, 1/('BA History'!$B:$B=A56), 'BA History'!$AI:$AI)</f>
        <v>0.5431818181818181</v>
      </c>
      <c r="O56" s="34">
        <f>SUMIFS('BA History'!H:H,'BA History'!B:B,A56)</f>
        <v>369</v>
      </c>
      <c r="P56" s="2">
        <f>SUMIFS('BA History'!G:G,'BA History'!B:B,A56)-O56</f>
        <v>353</v>
      </c>
      <c r="Q56" s="89">
        <f>LOOKUP(2, 1/('BA History'!$B:$B=A56), 'BA History'!$AJ:$AJ)</f>
        <v>0.51977272727272739</v>
      </c>
      <c r="R56" s="2">
        <f>COUNTIFS('BA History'!$B:$B,$A$56,'BA History'!K:K, 1)</f>
        <v>4</v>
      </c>
      <c r="S56" s="2">
        <f>COUNTIFS('BA History'!$B:$B,$A$56,'BA History'!L:L, 1)</f>
        <v>6</v>
      </c>
      <c r="T56" s="2">
        <f>COUNTIFS('BA History'!$B:$B,$A$56,'BA History'!M:M, 1)</f>
        <v>11</v>
      </c>
      <c r="U56" s="2">
        <f>COUNTIFS('BA History'!$B:$B,$A$56,'BA History'!N:N, 1)</f>
        <v>9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3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5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9</v>
      </c>
      <c r="AG56" s="2">
        <f>COUNTIFS('BA History'!$B:$B,$A$56,'BA History'!Z:Z, 1)</f>
        <v>9</v>
      </c>
      <c r="AH56" s="2">
        <f>COUNTIFS('BA History'!$B:$B,$A56,'BA History'!AA:AA, 1)</f>
        <v>0</v>
      </c>
      <c r="AI56" s="2">
        <f>COUNTIFS('BA History'!$B:$B,$A$56,'BA History'!AB:AB, 1)</f>
        <v>0</v>
      </c>
      <c r="AJ56" s="2">
        <f>COUNTIFS('BA History'!$B:$B,$A$56,'BA History'!AC:AC, 1)</f>
        <v>13</v>
      </c>
      <c r="AK56" s="2">
        <f>COUNTIFS('BA History'!$B:$B,$A$56,'BA History'!AD:AD, 1)</f>
        <v>8</v>
      </c>
      <c r="AL56" s="2">
        <f>COUNTIFS('BA History'!$B:$B,$A$56,'BA History'!AE:AE, 1)</f>
        <v>3</v>
      </c>
      <c r="AM56" s="2">
        <f>COUNTIFS('BA History'!$B:$B,$A$56,'BA History'!AF:AF, 1)</f>
        <v>0</v>
      </c>
      <c r="AN56" s="2">
        <f>COUNTIFS('BA History'!$B:$B,$A$56,'BA History'!AG:AG, 1)</f>
        <v>5</v>
      </c>
    </row>
    <row r="57" spans="1:40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380</v>
      </c>
      <c r="G57" s="66">
        <f>AVERAGEIFS('BA History'!C:C,'BA History'!B:B,A57)</f>
        <v>16.521739130434781</v>
      </c>
      <c r="H57" s="35">
        <f t="array" ref="H57">MAX(IF('BA History'!B:B=A57, 'BA History'!C:C))</f>
        <v>30</v>
      </c>
      <c r="I57" s="34">
        <f>COUNTIFS('BA History'!B:B,A57,'BA History'!D:D, 1)</f>
        <v>12</v>
      </c>
      <c r="J57" s="2">
        <f>COUNTIFS('BA History'!B:B,A57,'BA History'!D:D, 0)</f>
        <v>11</v>
      </c>
      <c r="K57" s="75">
        <f>LOOKUP(2, 1/('BA History'!$B:$B=A57), 'BA History'!$AK:$AK)</f>
        <v>0.52173913043478259</v>
      </c>
      <c r="L57" s="34">
        <f>SUMIFS('BA History'!F:F,'BA History'!B:B,A57)</f>
        <v>47</v>
      </c>
      <c r="M57" s="2">
        <f>SUMIFS('BA History'!E:E,'BA History'!B:B,A57)-L57</f>
        <v>48</v>
      </c>
      <c r="N57" s="75">
        <f>LOOKUP(2, 1/('BA History'!$B:$B=A57), 'BA History'!$AI:$AI)</f>
        <v>0.49869565217391298</v>
      </c>
      <c r="O57" s="34">
        <f>SUMIFS('BA History'!H:H,'BA History'!B:B,A57)</f>
        <v>198</v>
      </c>
      <c r="P57" s="2">
        <f>SUMIFS('BA History'!G:G,'BA History'!B:B,A57)-O57</f>
        <v>195</v>
      </c>
      <c r="Q57" s="89">
        <f>LOOKUP(2, 1/('BA History'!$B:$B=A57), 'BA History'!$AJ:$AJ)</f>
        <v>0.50173913043478258</v>
      </c>
      <c r="R57" s="2">
        <f>COUNTIFS('BA History'!$B:$B,$A$57,'BA History'!K:K, 1)</f>
        <v>1</v>
      </c>
      <c r="S57" s="2">
        <f>COUNTIFS('BA History'!$B:$B,$A$57,'BA History'!L:L, 1)</f>
        <v>3</v>
      </c>
      <c r="T57" s="2">
        <f>COUNTIFS('BA History'!$B:$B,$A$57,'BA History'!M:M, 1)</f>
        <v>0</v>
      </c>
      <c r="U57" s="2">
        <f>COUNTIFS('BA History'!$B:$B,$A$57,'BA History'!N:N, 1)</f>
        <v>3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3</v>
      </c>
      <c r="Y57" s="2">
        <f>COUNTIFS('BA History'!$B:$B,$A$57,'BA History'!R:R, 1)</f>
        <v>2</v>
      </c>
      <c r="Z57" s="2">
        <f>COUNTIFS('BA History'!$B:$B,$A$57,'BA History'!S:S, 1)</f>
        <v>0</v>
      </c>
      <c r="AA57" s="2">
        <f>COUNTIFS('BA History'!$B:$B,$A$57,'BA History'!T:T, 1)</f>
        <v>1</v>
      </c>
      <c r="AB57" s="2">
        <f>COUNTIFS('BA History'!$B:$B,$A$57,'BA History'!U:U, 1)</f>
        <v>1</v>
      </c>
      <c r="AC57" s="2">
        <f>COUNTIFS('BA History'!$B:$B,$A$57,'BA History'!V:V, 1)</f>
        <v>2</v>
      </c>
      <c r="AD57" s="2">
        <f>COUNTIFS('BA History'!$B:$B,$A$57,'BA History'!W:W, 1)</f>
        <v>2</v>
      </c>
      <c r="AE57" s="2">
        <f>COUNTIFS('BA History'!$B:$B,$A$57,'BA History'!X:X, 1)</f>
        <v>1</v>
      </c>
      <c r="AF57" s="2">
        <f>COUNTIFS('BA History'!$B:$B,$A$57,'BA History'!Y:Y, 1)</f>
        <v>6</v>
      </c>
      <c r="AG57" s="2">
        <f>COUNTIFS('BA History'!$B:$B,$A$57,'BA History'!Z:Z, 1)</f>
        <v>8</v>
      </c>
      <c r="AH57" s="2">
        <f>COUNTIFS('BA History'!$B:$B,$A57,'BA History'!AA:AA, 1)</f>
        <v>0</v>
      </c>
      <c r="AI57" s="2">
        <f>COUNTIFS('BA History'!$B:$B,$A$57,'BA History'!AB:AB, 1)</f>
        <v>1</v>
      </c>
      <c r="AJ57" s="2">
        <f>COUNTIFS('BA History'!$B:$B,$A$57,'BA History'!AC:AC, 1)</f>
        <v>9</v>
      </c>
      <c r="AK57" s="2">
        <f>COUNTIFS('BA History'!$B:$B,$A$57,'BA History'!AD:AD, 1)</f>
        <v>4</v>
      </c>
      <c r="AL57" s="2">
        <f>COUNTIFS('BA History'!$B:$B,$A$57,'BA History'!AE:AE, 1)</f>
        <v>0</v>
      </c>
      <c r="AM57" s="2">
        <f>COUNTIFS('BA History'!$B:$B,$A$57,'BA History'!AF:AF, 1)</f>
        <v>0</v>
      </c>
      <c r="AN57" s="2">
        <f>COUNTIFS('BA History'!$B:$B,$A$57,'BA History'!AG:AG, 1)</f>
        <v>0</v>
      </c>
    </row>
    <row r="58" spans="1:40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100</v>
      </c>
      <c r="G58" s="66">
        <f>AVERAGEIFS('BA History'!C:C,'BA History'!B:B,A58)</f>
        <v>11.111111111111111</v>
      </c>
      <c r="H58" s="35">
        <f t="array" ref="H58">MAX(IF('BA History'!B:B=A58, 'BA History'!C:C))</f>
        <v>19</v>
      </c>
      <c r="I58" s="34">
        <f>COUNTIFS('BA History'!B:B,A58,'BA History'!D:D, 1)</f>
        <v>5</v>
      </c>
      <c r="J58" s="2">
        <f>COUNTIFS('BA History'!B:B,A58,'BA History'!D:D, 0)</f>
        <v>4</v>
      </c>
      <c r="K58" s="75">
        <f>LOOKUP(2, 1/('BA History'!$B:$B=A58), 'BA History'!$AK:$AK)</f>
        <v>0.55555555555555558</v>
      </c>
      <c r="L58" s="34">
        <f>SUMIFS('BA History'!F:F,'BA History'!B:B,A58)</f>
        <v>17</v>
      </c>
      <c r="M58" s="2">
        <f>SUMIFS('BA History'!E:E,'BA History'!B:B,A58)-L58</f>
        <v>19</v>
      </c>
      <c r="N58" s="75">
        <f>LOOKUP(2, 1/('BA History'!$B:$B=A58), 'BA History'!$AI:$AI)</f>
        <v>0.45000000000000007</v>
      </c>
      <c r="O58" s="34">
        <f>SUMIFS('BA History'!H:H,'BA History'!B:B,A58)</f>
        <v>75</v>
      </c>
      <c r="P58" s="2">
        <f>SUMIFS('BA History'!G:G,'BA History'!B:B,A58)-O58</f>
        <v>77</v>
      </c>
      <c r="Q58" s="89">
        <f>LOOKUP(2, 1/('BA History'!$B:$B=A58), 'BA History'!$AJ:$AJ)</f>
        <v>0.49</v>
      </c>
      <c r="R58" s="2">
        <f>COUNTIFS('BA History'!$B:$B,$A$58,'BA History'!K:K, 1)</f>
        <v>1</v>
      </c>
      <c r="S58" s="2">
        <f>COUNTIFS('BA History'!$B:$B,$A$58,'BA History'!L:L, 1)</f>
        <v>1</v>
      </c>
      <c r="T58" s="2">
        <f>COUNTIFS('BA History'!$B:$B,$A$58,'BA History'!M:M, 1)</f>
        <v>2</v>
      </c>
      <c r="U58" s="2">
        <f>COUNTIFS('BA History'!$B:$B,$A$58,'BA History'!N:N, 1)</f>
        <v>4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1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1</v>
      </c>
      <c r="AD58" s="2">
        <f>COUNTIFS('BA History'!$B:$B,$A$58,'BA History'!W:W, 1)</f>
        <v>1</v>
      </c>
      <c r="AE58" s="2">
        <f>COUNTIFS('BA History'!$B:$B,$A$58,'BA History'!X:X, 1)</f>
        <v>0</v>
      </c>
      <c r="AF58" s="2">
        <f>COUNTIFS('BA History'!$B:$B,$A$58,'BA History'!Y:Y, 1)</f>
        <v>1</v>
      </c>
      <c r="AG58" s="2">
        <f>COUNTIFS('BA History'!$B:$B,$A$58,'BA History'!Z:Z, 1)</f>
        <v>0</v>
      </c>
      <c r="AH58" s="2">
        <f>COUNTIFS('BA History'!$B:$B,$A58,'BA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3</v>
      </c>
      <c r="AM58" s="2">
        <f>COUNTIFS('BA History'!$B:$B,$A$58,'BA History'!AF:AF, 1)</f>
        <v>0</v>
      </c>
      <c r="AN58" s="2">
        <f>COUNTIFS('BA History'!$B:$B,$A$58,'BA History'!AG:AG, 1)</f>
        <v>2</v>
      </c>
    </row>
    <row r="59" spans="1:40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945</v>
      </c>
      <c r="G59" s="66">
        <f>AVERAGEIFS('BA History'!C:C,'BA History'!B:B,A59)</f>
        <v>24.23076923076923</v>
      </c>
      <c r="H59" s="35">
        <f t="array" ref="H59">MAX(IF('BA History'!B:B=A59, 'BA History'!C:C))</f>
        <v>41</v>
      </c>
      <c r="I59" s="34">
        <f>COUNTIFS('BA History'!B:B,A59,'BA History'!D:D, 1)</f>
        <v>15</v>
      </c>
      <c r="J59" s="2">
        <f>COUNTIFS('BA History'!B:B,A59,'BA History'!D:D, 0)</f>
        <v>24</v>
      </c>
      <c r="K59" s="75">
        <f>LOOKUP(2, 1/('BA History'!$B:$B=A59), 'BA History'!$AK:$AK)</f>
        <v>0.38461538461538464</v>
      </c>
      <c r="L59" s="34">
        <f>SUMIFS('BA History'!F:F,'BA History'!B:B,A59)</f>
        <v>72</v>
      </c>
      <c r="M59" s="2">
        <f>SUMIFS('BA History'!E:E,'BA History'!B:B,A59)-L59</f>
        <v>89</v>
      </c>
      <c r="N59" s="75">
        <f>LOOKUP(2, 1/('BA History'!$B:$B=A59), 'BA History'!$AI:$AI)</f>
        <v>0.44615384615384623</v>
      </c>
      <c r="O59" s="34">
        <f>SUMIFS('BA History'!H:H,'BA History'!B:B,A59)</f>
        <v>315</v>
      </c>
      <c r="P59" s="2">
        <f>SUMIFS('BA History'!G:G,'BA History'!B:B,A59)-O59</f>
        <v>352</v>
      </c>
      <c r="Q59" s="89">
        <f>LOOKUP(2, 1/('BA History'!$B:$B=A59), 'BA History'!$AJ:$AJ)</f>
        <v>0.46820512820512816</v>
      </c>
      <c r="R59" s="2">
        <f>COUNTIFS('BA History'!$B:$B,$A$59,'BA History'!K:K, 1)</f>
        <v>3</v>
      </c>
      <c r="S59" s="2">
        <f>COUNTIFS('BA History'!$B:$B,$A$59,'BA History'!L:L, 1)</f>
        <v>7</v>
      </c>
      <c r="T59" s="2">
        <f>COUNTIFS('BA History'!$B:$B,$A$59,'BA History'!M:M, 1)</f>
        <v>6</v>
      </c>
      <c r="U59" s="2">
        <f>COUNTIFS('BA History'!$B:$B,$A$59,'BA History'!N:N, 1)</f>
        <v>9</v>
      </c>
      <c r="V59" s="2">
        <f>COUNTIFS('BA History'!$B:$B,$A$59,'BA History'!O:O, 1)</f>
        <v>1</v>
      </c>
      <c r="W59" s="2">
        <f>COUNTIFS('BA History'!$B:$B,$A$59,'BA History'!P:P, 1)</f>
        <v>0</v>
      </c>
      <c r="X59" s="2">
        <f>COUNTIFS('BA History'!$B:$B,$A$59,'BA History'!Q:Q, 1)</f>
        <v>1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3</v>
      </c>
      <c r="AC59" s="2">
        <f>COUNTIFS('BA History'!$B:$B,$A$59,'BA History'!V:V, 1)</f>
        <v>2</v>
      </c>
      <c r="AD59" s="2">
        <f>COUNTIFS('BA History'!$B:$B,$A$59,'BA History'!W:W, 1)</f>
        <v>1</v>
      </c>
      <c r="AE59" s="2">
        <f>COUNTIFS('BA History'!$B:$B,$A$59,'BA History'!X:X, 1)</f>
        <v>0</v>
      </c>
      <c r="AF59" s="2">
        <f>COUNTIFS('BA History'!$B:$B,$A$59,'BA History'!Y:Y, 1)</f>
        <v>10</v>
      </c>
      <c r="AG59" s="2">
        <f>COUNTIFS('BA History'!$B:$B,$A$59,'BA History'!Z:Z, 1)</f>
        <v>4</v>
      </c>
      <c r="AH59" s="2">
        <f>COUNTIFS('BA History'!$B:$B,$A59,'BA History'!AA:AA, 1)</f>
        <v>1</v>
      </c>
      <c r="AI59" s="2">
        <f>COUNTIFS('BA History'!$B:$B,$A$59,'BA History'!AB:AB, 1)</f>
        <v>0</v>
      </c>
      <c r="AJ59" s="2">
        <f>COUNTIFS('BA History'!$B:$B,$A$59,'BA History'!AC:AC, 1)</f>
        <v>10</v>
      </c>
      <c r="AK59" s="2">
        <f>COUNTIFS('BA History'!$B:$B,$A$59,'BA History'!AD:AD, 1)</f>
        <v>7</v>
      </c>
      <c r="AL59" s="2">
        <f>COUNTIFS('BA History'!$B:$B,$A$59,'BA History'!AE:AE, 1)</f>
        <v>5</v>
      </c>
      <c r="AM59" s="2">
        <f>COUNTIFS('BA History'!$B:$B,$A$59,'BA History'!AF:AF, 1)</f>
        <v>1</v>
      </c>
      <c r="AN59" s="2">
        <f>COUNTIFS('BA History'!$B:$B,$A$59,'BA History'!AG:AG, 1)</f>
        <v>1</v>
      </c>
    </row>
    <row r="60" spans="1:40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763</v>
      </c>
      <c r="G60" s="66">
        <f>AVERAGEIFS('BA History'!C:C,'BA History'!B:B,A60)</f>
        <v>15.895833333333334</v>
      </c>
      <c r="H60" s="35">
        <f t="array" ref="H60">MAX(IF('BA History'!B:B=A60, 'BA History'!C:C))</f>
        <v>35</v>
      </c>
      <c r="I60" s="34">
        <f>COUNTIFS('BA History'!B:B,A60,'BA History'!D:D, 1)</f>
        <v>28</v>
      </c>
      <c r="J60" s="2">
        <f>COUNTIFS('BA History'!B:B,A60,'BA History'!D:D, 0)</f>
        <v>20</v>
      </c>
      <c r="K60" s="75">
        <f>LOOKUP(2, 1/('BA History'!$B:$B=A60), 'BA History'!$AK:$AK)</f>
        <v>0.58333333333333337</v>
      </c>
      <c r="L60" s="34">
        <f>SUMIFS('BA History'!F:F,'BA History'!B:B,A60)</f>
        <v>101</v>
      </c>
      <c r="M60" s="2">
        <f>SUMIFS('BA History'!E:E,'BA History'!B:B,A60)-L60</f>
        <v>92</v>
      </c>
      <c r="N60" s="75">
        <f>LOOKUP(2, 1/('BA History'!$B:$B=A60), 'BA History'!$AI:$AI)</f>
        <v>0.51354166666666679</v>
      </c>
      <c r="O60" s="34">
        <f>SUMIFS('BA History'!H:H,'BA History'!B:B,A60)</f>
        <v>415</v>
      </c>
      <c r="P60" s="2">
        <f>SUMIFS('BA History'!G:G,'BA History'!B:B,A60)-O60</f>
        <v>382</v>
      </c>
      <c r="Q60" s="89">
        <f>LOOKUP(2, 1/('BA History'!$B:$B=A60), 'BA History'!$AJ:$AJ)</f>
        <v>0.51604166666666662</v>
      </c>
      <c r="R60" s="2">
        <f>COUNTIFS('BA History'!$B:$B,$A$60,'BA History'!K:K, 1)</f>
        <v>5</v>
      </c>
      <c r="S60" s="2">
        <f>COUNTIFS('BA History'!$B:$B,$A$60,'BA History'!L:L, 1)</f>
        <v>3</v>
      </c>
      <c r="T60" s="2">
        <f>COUNTIFS('BA History'!$B:$B,$A$60,'BA History'!M:M, 1)</f>
        <v>13</v>
      </c>
      <c r="U60" s="2">
        <f>COUNTIFS('BA History'!$B:$B,$A$60,'BA History'!N:N, 1)</f>
        <v>13</v>
      </c>
      <c r="V60" s="2">
        <f>COUNTIFS('BA History'!$B:$B,$A$60,'BA History'!O:O, 1)</f>
        <v>2</v>
      </c>
      <c r="W60" s="2">
        <f>COUNTIFS('BA History'!$B:$B,$A$60,'BA History'!P:P, 1)</f>
        <v>1</v>
      </c>
      <c r="X60" s="2">
        <f>COUNTIFS('BA History'!$B:$B,$A$60,'BA History'!Q:Q, 1)</f>
        <v>2</v>
      </c>
      <c r="Y60" s="2">
        <f>COUNTIFS('BA History'!$B:$B,$A$60,'BA History'!R:R, 1)</f>
        <v>2</v>
      </c>
      <c r="Z60" s="2">
        <f>COUNTIFS('BA History'!$B:$B,$A$60,'BA History'!S:S, 1)</f>
        <v>1</v>
      </c>
      <c r="AA60" s="2">
        <f>COUNTIFS('BA History'!$B:$B,$A$60,'BA History'!T:T, 1)</f>
        <v>0</v>
      </c>
      <c r="AB60" s="2">
        <f>COUNTIFS('BA History'!$B:$B,$A$60,'BA History'!U:U, 1)</f>
        <v>2</v>
      </c>
      <c r="AC60" s="2">
        <f>COUNTIFS('BA History'!$B:$B,$A$60,'BA History'!V:V, 1)</f>
        <v>3</v>
      </c>
      <c r="AD60" s="2">
        <f>COUNTIFS('BA History'!$B:$B,$A$60,'BA History'!W:W, 1)</f>
        <v>2</v>
      </c>
      <c r="AE60" s="2">
        <f>COUNTIFS('BA History'!$B:$B,$A$60,'BA History'!X:X, 1)</f>
        <v>0</v>
      </c>
      <c r="AF60" s="2">
        <f>COUNTIFS('BA History'!$B:$B,$A$60,'BA History'!Y:Y, 1)</f>
        <v>8</v>
      </c>
      <c r="AG60" s="2">
        <f>COUNTIFS('BA History'!$B:$B,$A$60,'BA History'!Z:Z, 1)</f>
        <v>11</v>
      </c>
      <c r="AH60" s="2">
        <f>COUNTIFS('BA History'!$B:$B,$A60,'BA History'!AA:AA, 1)</f>
        <v>1</v>
      </c>
      <c r="AI60" s="2">
        <f>COUNTIFS('BA History'!$B:$B,$A$60,'BA History'!AB:AB, 1)</f>
        <v>1</v>
      </c>
      <c r="AJ60" s="2">
        <f>COUNTIFS('BA History'!$B:$B,$A$60,'BA History'!AC:AC, 1)</f>
        <v>9</v>
      </c>
      <c r="AK60" s="2">
        <f>COUNTIFS('BA History'!$B:$B,$A$60,'BA History'!AD:AD, 1)</f>
        <v>5</v>
      </c>
      <c r="AL60" s="2">
        <f>COUNTIFS('BA History'!$B:$B,$A$60,'BA History'!AE:AE, 1)</f>
        <v>10</v>
      </c>
      <c r="AM60" s="2">
        <f>COUNTIFS('BA History'!$B:$B,$A$60,'BA History'!AF:AF, 1)</f>
        <v>0</v>
      </c>
      <c r="AN60" s="2">
        <f>COUNTIFS('BA History'!$B:$B,$A$60,'BA History'!AG:AG, 1)</f>
        <v>7</v>
      </c>
    </row>
    <row r="61" spans="1:40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35">
        <f t="array" ref="H61">MAX(IF('BA History'!B:B=A61, 'BA History'!C:C))</f>
        <v>18</v>
      </c>
      <c r="I61" s="34">
        <f>COUNTIFS('BA History'!B:B,A61,'BA History'!D:D, 1)</f>
        <v>1</v>
      </c>
      <c r="J61" s="2">
        <f>COUNTIFS('BA History'!B:B,A61,'BA History'!D:D, 0)</f>
        <v>0</v>
      </c>
      <c r="K61" s="75">
        <f>LOOKUP(2, 1/('BA History'!$B:$B=A61), 'BA History'!$AK:$AK)</f>
        <v>1</v>
      </c>
      <c r="L61" s="34">
        <f>SUMIFS('BA History'!F:F,'BA History'!B:B,A61)</f>
        <v>3</v>
      </c>
      <c r="M61" s="2">
        <f>SUMIFS('BA History'!E:E,'BA History'!B:B,A61)-L61</f>
        <v>2</v>
      </c>
      <c r="N61" s="75">
        <f>LOOKUP(2, 1/('BA History'!$B:$B=A61), 'BA History'!$AI:$AI)</f>
        <v>0.6</v>
      </c>
      <c r="O61" s="34">
        <f>SUMIFS('BA History'!H:H,'BA History'!B:B,A61)</f>
        <v>11</v>
      </c>
      <c r="P61" s="2">
        <f>SUMIFS('BA History'!G:G,'BA History'!B:B,A61)-O61</f>
        <v>10</v>
      </c>
      <c r="Q61" s="89">
        <f>LOOKUP(2, 1/('BA History'!$B:$B=A61), 'BA History'!$AJ:$AJ)</f>
        <v>0.52</v>
      </c>
      <c r="R61" s="2">
        <f>COUNTIFS('BA History'!$B:$B,$A$61,'BA History'!K:K, 1)</f>
        <v>0</v>
      </c>
      <c r="S61" s="2">
        <f>COUNTIFS('BA History'!$B:$B,$A$61,'BA History'!L:L, 1)</f>
        <v>0</v>
      </c>
      <c r="T61" s="2">
        <f>COUNTIFS('BA History'!$B:$B,$A$61,'BA History'!M:M, 1)</f>
        <v>0</v>
      </c>
      <c r="U61" s="2">
        <f>COUNTIFS('BA History'!$B:$B,$A$61,'BA History'!N:N, 1)</f>
        <v>0</v>
      </c>
      <c r="V61" s="2">
        <f>COUNTIFS('BA History'!$B:$B,$A$61,'BA History'!O:O, 1)</f>
        <v>0</v>
      </c>
      <c r="W61" s="2">
        <f>COUNTIFS('BA History'!$B:$B,$A$61,'BA History'!P:P, 1)</f>
        <v>0</v>
      </c>
      <c r="X61" s="2">
        <f>COUNTIFS('BA History'!$B:$B,$A$61,'BA History'!Q:Q, 1)</f>
        <v>0</v>
      </c>
      <c r="Y61" s="2">
        <f>COUNTIFS('BA History'!$B:$B,$A$61,'BA History'!R:R, 1)</f>
        <v>0</v>
      </c>
      <c r="Z61" s="2">
        <f>COUNTIFS('BA History'!$B:$B,$A$61,'BA History'!S:S, 1)</f>
        <v>0</v>
      </c>
      <c r="AA61" s="2">
        <f>COUNTIFS('BA History'!$B:$B,$A$61,'BA History'!T:T, 1)</f>
        <v>0</v>
      </c>
      <c r="AB61" s="2">
        <f>COUNTIFS('BA History'!$B:$B,$A$61,'BA History'!U:U, 1)</f>
        <v>0</v>
      </c>
      <c r="AC61" s="2">
        <f>COUNTIFS('BA History'!$B:$B,$A$61,'BA History'!V:V, 1)</f>
        <v>0</v>
      </c>
      <c r="AD61" s="2">
        <f>COUNTIFS('BA History'!$B:$B,$A$61,'BA History'!W:W, 1)</f>
        <v>1</v>
      </c>
      <c r="AE61" s="2">
        <f>COUNTIFS('BA History'!$B:$B,$A$61,'BA History'!X:X, 1)</f>
        <v>1</v>
      </c>
      <c r="AF61" s="2">
        <f>COUNTIFS('BA History'!$B:$B,$A$61,'BA History'!Y:Y, 1)</f>
        <v>0</v>
      </c>
      <c r="AG61" s="2">
        <f>COUNTIFS('BA History'!$B:$B,$A$61,'BA History'!Z:Z, 1)</f>
        <v>1</v>
      </c>
      <c r="AH61" s="2">
        <f>COUNTIFS('BA History'!$B:$B,$A61,'BA History'!AA:AA, 1)</f>
        <v>0</v>
      </c>
      <c r="AI61" s="2">
        <f>COUNTIFS('BA History'!$B:$B,$A$61,'BA History'!AB:AB, 1)</f>
        <v>0</v>
      </c>
      <c r="AJ61" s="2">
        <f>COUNTIFS('BA History'!$B:$B,$A$61,'BA History'!AC:AC, 1)</f>
        <v>0</v>
      </c>
      <c r="AK61" s="2">
        <f>COUNTIFS('BA History'!$B:$B,$A$61,'BA History'!AD:AD, 1)</f>
        <v>0</v>
      </c>
      <c r="AL61" s="2">
        <f>COUNTIFS('BA History'!$B:$B,$A$61,'BA History'!AE:AE, 1)</f>
        <v>0</v>
      </c>
      <c r="AM61" s="2">
        <f>COUNTIFS('BA History'!$B:$B,$A$61,'BA History'!AF:AF, 1)</f>
        <v>0</v>
      </c>
      <c r="AN61" s="2">
        <f>COUNTIFS('BA History'!$B:$B,$A$61,'BA History'!AG:AG, 1)</f>
        <v>0</v>
      </c>
    </row>
    <row r="62" spans="1:40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35">
        <f t="array" ref="H62">MAX(IF('BA History'!B:B=A62, 'BA History'!C:C))</f>
        <v>2</v>
      </c>
      <c r="I62" s="34">
        <f>COUNTIFS('BA History'!B:B,A62,'BA History'!D:D, 1)</f>
        <v>0</v>
      </c>
      <c r="J62" s="2">
        <f>COUNTIFS('BA History'!B:B,A62,'BA History'!D:D, 0)</f>
        <v>1</v>
      </c>
      <c r="K62" s="75">
        <f>LOOKUP(2, 1/('BA History'!$B:$B=A62), 'BA History'!$AK:$AK)</f>
        <v>0</v>
      </c>
      <c r="L62" s="34">
        <f>SUMIFS('BA History'!F:F,'BA History'!B:B,A62)</f>
        <v>0</v>
      </c>
      <c r="M62" s="2">
        <f>SUMIFS('BA History'!E:E,'BA History'!B:B,A62)-L62</f>
        <v>3</v>
      </c>
      <c r="N62" s="75">
        <f>LOOKUP(2, 1/('BA History'!$B:$B=A62), 'BA History'!$AI:$AI)</f>
        <v>0</v>
      </c>
      <c r="O62" s="34">
        <f>SUMIFS('BA History'!H:H,'BA History'!B:B,A62)</f>
        <v>4</v>
      </c>
      <c r="P62" s="48">
        <v>9</v>
      </c>
      <c r="Q62" s="89">
        <f>LOOKUP(2, 1/('BA History'!$B:$B=A62), 'BA History'!$AJ:$AJ)</f>
        <v>0.31</v>
      </c>
      <c r="R62" s="2">
        <f>COUNTIFS('BA History'!$B:$B,$A$62,'BA History'!K:K, 1)</f>
        <v>0</v>
      </c>
      <c r="S62" s="2">
        <f>COUNTIFS('BA History'!$B:$B,$A$62,'BA History'!L:L, 1)</f>
        <v>0</v>
      </c>
      <c r="T62" s="2">
        <f>COUNTIFS('BA History'!$B:$B,$A$62,'BA History'!M:M, 1)</f>
        <v>0</v>
      </c>
      <c r="U62" s="2">
        <f>COUNTIFS('BA History'!$B:$B,$A$62,'BA History'!N:N, 1)</f>
        <v>0</v>
      </c>
      <c r="V62" s="2">
        <f>COUNTIFS('BA History'!$B:$B,$A$62,'BA History'!O:O, 1)</f>
        <v>0</v>
      </c>
      <c r="W62" s="2">
        <f>COUNTIFS('BA History'!$B:$B,$A$62,'BA History'!P:P, 1)</f>
        <v>0</v>
      </c>
      <c r="X62" s="2">
        <f>COUNTIFS('BA History'!$B:$B,$A$62,'BA History'!Q:Q, 1)</f>
        <v>0</v>
      </c>
      <c r="Y62" s="2">
        <f>COUNTIFS('BA History'!$B:$B,$A$62,'BA History'!R:R, 1)</f>
        <v>0</v>
      </c>
      <c r="Z62" s="2">
        <f>COUNTIFS('BA History'!$B:$B,$A$62,'BA History'!S:S, 1)</f>
        <v>0</v>
      </c>
      <c r="AA62" s="2">
        <f>COUNTIFS('BA History'!$B:$B,$A$62,'BA History'!T:T, 1)</f>
        <v>0</v>
      </c>
      <c r="AB62" s="2">
        <f>COUNTIFS('BA History'!$B:$B,$A$62,'BA History'!U:U, 1)</f>
        <v>0</v>
      </c>
      <c r="AC62" s="2">
        <f>COUNTIFS('BA History'!$B:$B,$A$62,'BA History'!V:V, 1)</f>
        <v>0</v>
      </c>
      <c r="AD62" s="2">
        <f>COUNTIFS('BA History'!$B:$B,$A$62,'BA History'!W:W, 1)</f>
        <v>0</v>
      </c>
      <c r="AE62" s="2">
        <f>COUNTIFS('BA History'!$B:$B,$A$62,'BA History'!X:X, 1)</f>
        <v>0</v>
      </c>
      <c r="AF62" s="2">
        <f>COUNTIFS('BA History'!$B:$B,$A$62,'BA History'!Y:Y, 1)</f>
        <v>0</v>
      </c>
      <c r="AG62" s="2">
        <f>COUNTIFS('BA History'!$B:$B,$A$62,'BA History'!Z:Z, 1)</f>
        <v>0</v>
      </c>
      <c r="AH62" s="2">
        <f>COUNTIFS('BA History'!$B:$B,$A62,'BA History'!AA:AA, 1)</f>
        <v>0</v>
      </c>
      <c r="AI62" s="2">
        <f>COUNTIFS('BA History'!$B:$B,$A$62,'BA History'!AB:AB, 1)</f>
        <v>0</v>
      </c>
      <c r="AJ62" s="2">
        <f>COUNTIFS('BA History'!$B:$B,$A$62,'BA History'!AC:AC, 1)</f>
        <v>0</v>
      </c>
      <c r="AK62" s="2">
        <f>COUNTIFS('BA History'!$B:$B,$A$62,'BA History'!AD:AD, 1)</f>
        <v>0</v>
      </c>
      <c r="AL62" s="2">
        <f>COUNTIFS('BA History'!$B:$B,$A$62,'BA History'!AE:AE, 1)</f>
        <v>0</v>
      </c>
      <c r="AM62" s="2">
        <f>COUNTIFS('BA History'!$B:$B,$A$62,'BA History'!AF:AF, 1)</f>
        <v>0</v>
      </c>
      <c r="AN62" s="2">
        <f>COUNTIFS('BA History'!$B:$B,$A$62,'BA History'!AG:AG, 1)</f>
        <v>0</v>
      </c>
    </row>
  </sheetData>
  <autoFilter ref="A1:AN62" xr:uid="{DA548192-1F03-46EA-8AB8-115EB9A7CE5D}">
    <sortState xmlns:xlrd2="http://schemas.microsoft.com/office/spreadsheetml/2017/richdata2" ref="A2:AN62">
      <sortCondition ref="A1:A62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152"/>
  <sheetViews>
    <sheetView workbookViewId="0">
      <pane xSplit="2" ySplit="1" topLeftCell="C1104" activePane="bottomRight" state="frozen"/>
      <selection pane="topRight" activeCell="C1" sqref="C1"/>
      <selection pane="bottomLeft" activeCell="A2" sqref="A2"/>
      <selection pane="bottomRight" activeCell="A1137" sqref="A1137:AG115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9" sqref="C29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99</v>
      </c>
      <c r="G2" s="66">
        <f>AVERAGEIFS('BA History S2'!C:C,'BA History S2'!B:B,A2)</f>
        <v>12.375</v>
      </c>
      <c r="H2" s="35">
        <f t="array" ref="H2">MAX(IF('BA History S2'!B:B=A2, 'BA History S2'!C:C))</f>
        <v>22</v>
      </c>
      <c r="I2" s="34">
        <f>COUNTIFS('BA History S2'!B:B,A2,'BA History S2'!D:D, 1)</f>
        <v>5</v>
      </c>
      <c r="J2" s="2">
        <f>COUNTIFS('BA History S2'!B:B,A2,'BA History S2'!D:D, 0)</f>
        <v>3</v>
      </c>
      <c r="K2" s="75">
        <f>LOOKUP(2, 1/('BA History S2'!$B:$B=A2), 'BA History S2'!$AK:$AK)</f>
        <v>0.625</v>
      </c>
      <c r="L2" s="34">
        <f>SUMIFS('BA History S2'!F:F,'BA History S2'!B:B,A2)</f>
        <v>19</v>
      </c>
      <c r="M2" s="2">
        <f>SUMIFS('BA History S2'!E:E,'BA History S2'!B:B,A2)-L2</f>
        <v>13</v>
      </c>
      <c r="N2" s="75">
        <f>LOOKUP(2, 1/('BA History S2'!$B:$B=A2), 'BA History S2'!$AI:$AI)</f>
        <v>0.61250000000000004</v>
      </c>
      <c r="O2" s="34">
        <f>SUMIFS('BA History S2'!H:H,'BA History S2'!B:B,A2)</f>
        <v>72</v>
      </c>
      <c r="P2" s="2">
        <f>SUMIFS('BA History S2'!G:G,'BA History S2'!B:B,A2)-O2</f>
        <v>62</v>
      </c>
      <c r="Q2" s="89">
        <f>LOOKUP(2, 1/('BA History S2'!$B:$B=A2), 'BA History S2'!$AJ:$AJ)</f>
        <v>0.55499999999999994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1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3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2</v>
      </c>
      <c r="AK2" s="2">
        <f>COUNTIFS('BA History S2'!$B:$B,$A$2,'BA History S2'!AD:AD, 1)</f>
        <v>0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60</v>
      </c>
      <c r="G3" s="66">
        <f>AVERAGEIFS('BA History S2'!C:C,'BA History S2'!B:B,A3)</f>
        <v>20</v>
      </c>
      <c r="H3" s="35">
        <f t="array" ref="H3">MAX(IF('BA History S2'!B:B=A3, 'BA History S2'!C:C))</f>
        <v>27</v>
      </c>
      <c r="I3" s="34">
        <f>COUNTIFS('BA History S2'!B:B,A3,'BA History S2'!D:D, 1)</f>
        <v>3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9</v>
      </c>
      <c r="M3" s="2">
        <f>SUMIFS('BA History S2'!E:E,'BA History S2'!B:B,A3)-L3</f>
        <v>2</v>
      </c>
      <c r="N3" s="75">
        <f>LOOKUP(2, 1/('BA History S2'!$B:$B=A3), 'BA History S2'!$AI:$AI)</f>
        <v>0.83333333333333337</v>
      </c>
      <c r="O3" s="34">
        <f>SUMIFS('BA History S2'!H:H,'BA History S2'!B:B,A3)</f>
        <v>30</v>
      </c>
      <c r="P3" s="2">
        <f>SUMIFS('BA History S2'!G:G,'BA History S2'!B:B,A3)-O3</f>
        <v>20</v>
      </c>
      <c r="Q3" s="89">
        <f>LOOKUP(2, 1/('BA History S2'!$B:$B=A3), 'BA History S2'!$AJ:$AJ)</f>
        <v>0.60333333333333339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1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203</v>
      </c>
      <c r="G4" s="66">
        <f>AVERAGEIFS('BA History S2'!C:C,'BA History S2'!B:B,A4)</f>
        <v>13.533333333333333</v>
      </c>
      <c r="H4" s="35">
        <f t="array" ref="H4">MAX(IF('BA History S2'!B:B=A4, 'BA History S2'!C:C))</f>
        <v>29</v>
      </c>
      <c r="I4" s="34">
        <f>COUNTIFS('BA History S2'!B:B,A4,'BA History S2'!D:D, 1)</f>
        <v>5</v>
      </c>
      <c r="J4" s="2">
        <f>COUNTIFS('BA History S2'!B:B,A4,'BA History S2'!D:D, 0)</f>
        <v>10</v>
      </c>
      <c r="K4" s="75">
        <f>LOOKUP(2, 1/('BA History S2'!$B:$B=A4), 'BA History S2'!$AK:$AK)</f>
        <v>0.33333333333333331</v>
      </c>
      <c r="L4" s="34">
        <f>SUMIFS('BA History S2'!F:F,'BA History S2'!B:B,A4)</f>
        <v>27</v>
      </c>
      <c r="M4" s="2">
        <f>SUMIFS('BA History S2'!E:E,'BA History S2'!B:B,A4)-L4</f>
        <v>36</v>
      </c>
      <c r="N4" s="75">
        <f>LOOKUP(2, 1/('BA History S2'!$B:$B=A4), 'BA History S2'!$AI:$AI)</f>
        <v>0.41333333333333333</v>
      </c>
      <c r="O4" s="34">
        <f>SUMIFS('BA History S2'!H:H,'BA History S2'!B:B,A4)</f>
        <v>127</v>
      </c>
      <c r="P4" s="2">
        <f>SUMIFS('BA History S2'!G:G,'BA History S2'!B:B,A4)-O4</f>
        <v>146</v>
      </c>
      <c r="Q4" s="89">
        <f>LOOKUP(2, 1/('BA History S2'!$B:$B=A4), 'BA History S2'!$AJ:$AJ)</f>
        <v>0.45733333333333326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3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1</v>
      </c>
      <c r="AM4" s="2">
        <f>COUNTIFS('BA History S2'!$B:$B,$A$4,'BA History S2'!AF:AF, 1)</f>
        <v>0</v>
      </c>
      <c r="AN4" s="2">
        <f>COUNTIFS('BA History S2'!$B:$B,$A$4,'BA History S2'!AG:AG, 1)</f>
        <v>2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59</v>
      </c>
      <c r="G5" s="66">
        <f>AVERAGEIFS('BA History S2'!C:C,'BA History S2'!B:B,A5)</f>
        <v>7.375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6</v>
      </c>
      <c r="K5" s="75">
        <f>LOOKUP(2, 1/('BA History S2'!$B:$B=A5), 'BA History S2'!$AK:$AK)</f>
        <v>0.25</v>
      </c>
      <c r="L5" s="34">
        <f>SUMIFS('BA History S2'!F:F,'BA History S2'!B:B,A5)</f>
        <v>11</v>
      </c>
      <c r="M5" s="2">
        <f>SUMIFS('BA History S2'!E:E,'BA History S2'!B:B,A5)-L5</f>
        <v>20</v>
      </c>
      <c r="N5" s="75">
        <f>LOOKUP(2, 1/('BA History S2'!$B:$B=A5), 'BA History S2'!$AI:$AI)</f>
        <v>0.34375</v>
      </c>
      <c r="O5" s="34">
        <f>SUMIFS('BA History S2'!H:H,'BA History S2'!B:B,A5)</f>
        <v>52</v>
      </c>
      <c r="P5" s="2">
        <f>SUMIFS('BA History S2'!G:G,'BA History S2'!B:B,A5)-O5</f>
        <v>72</v>
      </c>
      <c r="Q5" s="89">
        <f>LOOKUP(2, 1/('BA History S2'!$B:$B=A5), 'BA History S2'!$AJ:$AJ)</f>
        <v>0.43375000000000002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381</v>
      </c>
      <c r="G6" s="66">
        <f>AVERAGEIFS('BA History S2'!C:C,'BA History S2'!B:B,A6)</f>
        <v>16.565217391304348</v>
      </c>
      <c r="H6" s="35">
        <f t="array" ref="H6">MAX(IF('BA History S2'!B:B=A6, 'BA History S2'!C:C))</f>
        <v>40</v>
      </c>
      <c r="I6" s="34">
        <f>COUNTIFS('BA History S2'!B:B,A6,'BA History S2'!D:D, 1)</f>
        <v>12</v>
      </c>
      <c r="J6" s="2">
        <f>COUNTIFS('BA History S2'!B:B,A6,'BA History S2'!D:D, 0)</f>
        <v>11</v>
      </c>
      <c r="K6" s="75">
        <f>LOOKUP(2, 1/('BA History S2'!$B:$B=A6), 'BA History S2'!$AK:$AK)</f>
        <v>0.52173913043478259</v>
      </c>
      <c r="L6" s="34">
        <f>SUMIFS('BA History S2'!F:F,'BA History S2'!B:B,A6)</f>
        <v>45</v>
      </c>
      <c r="M6" s="2">
        <f>SUMIFS('BA History S2'!E:E,'BA History S2'!B:B,A6)-L6</f>
        <v>46</v>
      </c>
      <c r="N6" s="75">
        <f>LOOKUP(2, 1/('BA History S2'!$B:$B=A6), 'BA History S2'!$AI:$AI)</f>
        <v>0.4913043478260869</v>
      </c>
      <c r="O6" s="34">
        <f>SUMIFS('BA History S2'!H:H,'BA History S2'!B:B,A6)</f>
        <v>182</v>
      </c>
      <c r="P6" s="2">
        <f>SUMIFS('BA History S2'!G:G,'BA History S2'!B:B,A6)-O6</f>
        <v>197</v>
      </c>
      <c r="Q6" s="89">
        <f>LOOKUP(2, 1/('BA History S2'!$B:$B=A6), 'BA History S2'!$AJ:$AJ)</f>
        <v>0.47086956521739137</v>
      </c>
      <c r="R6" s="2">
        <f>COUNTIFS('BA History S2'!$B:$B,$A$6,'BA History S2'!K:K, 1)</f>
        <v>4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1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4</v>
      </c>
      <c r="AH6" s="2">
        <f>COUNTIFS('BA History S2'!$B:$B,$A6,'BA History S2'!AA:AA, 1)</f>
        <v>0</v>
      </c>
      <c r="AI6" s="2">
        <f>COUNTIFS('BA History S2'!$B:$B,$A$6,'BA History S2'!AB:AB, 1)</f>
        <v>1</v>
      </c>
      <c r="AJ6" s="2">
        <f>COUNTIFS('BA History S2'!$B:$B,$A$6,'BA History S2'!AC:AC, 1)</f>
        <v>10</v>
      </c>
      <c r="AK6" s="2">
        <f>COUNTIFS('BA History S2'!$B:$B,$A$6,'BA History S2'!AD:AD, 1)</f>
        <v>2</v>
      </c>
      <c r="AL6" s="2">
        <f>COUNTIFS('BA History S2'!$B:$B,$A$6,'BA History S2'!AE:AE, 1)</f>
        <v>4</v>
      </c>
      <c r="AM6" s="2">
        <f>COUNTIFS('BA History S2'!$B:$B,$A$6,'BA History S2'!AF:AF, 1)</f>
        <v>0</v>
      </c>
      <c r="AN6" s="2">
        <f>COUNTIFS('BA History S2'!$B:$B,$A$6,'BA History S2'!AG:AG, 1)</f>
        <v>3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125</v>
      </c>
      <c r="G7" s="66">
        <f>AVERAGEIFS('BA History S2'!C:C,'BA History S2'!B:B,A7)</f>
        <v>17.857142857142858</v>
      </c>
      <c r="H7" s="35">
        <f t="array" ref="H7">MAX(IF('BA History S2'!B:B=A7, 'BA History S2'!C:C))</f>
        <v>26</v>
      </c>
      <c r="I7" s="34">
        <f>COUNTIFS('BA History S2'!B:B,A7,'BA History S2'!D:D, 1)</f>
        <v>2</v>
      </c>
      <c r="J7" s="2">
        <f>COUNTIFS('BA History S2'!B:B,A7,'BA History S2'!D:D, 0)</f>
        <v>5</v>
      </c>
      <c r="K7" s="75">
        <f>LOOKUP(2, 1/('BA History S2'!$B:$B=A7), 'BA History S2'!$AK:$AK)</f>
        <v>0.2857142857142857</v>
      </c>
      <c r="L7" s="34">
        <f>SUMIFS('BA History S2'!F:F,'BA History S2'!B:B,A7)</f>
        <v>14</v>
      </c>
      <c r="M7" s="2">
        <f>SUMIFS('BA History S2'!E:E,'BA History S2'!B:B,A7)-L7</f>
        <v>16</v>
      </c>
      <c r="N7" s="75">
        <f>LOOKUP(2, 1/('BA History S2'!$B:$B=A7), 'BA History S2'!$AI:$AI)</f>
        <v>0.47857142857142854</v>
      </c>
      <c r="O7" s="34">
        <f>SUMIFS('BA History S2'!H:H,'BA History S2'!B:B,A7)</f>
        <v>60</v>
      </c>
      <c r="P7" s="2">
        <f>SUMIFS('BA History S2'!G:G,'BA History S2'!B:B,A7)-O7</f>
        <v>62</v>
      </c>
      <c r="Q7" s="89">
        <f>LOOKUP(2, 1/('BA History S2'!$B:$B=A7), 'BA History S2'!$AJ:$AJ)</f>
        <v>0.50571428571428567</v>
      </c>
      <c r="R7" s="2">
        <f>COUNTIFS('BA History S2'!$B:$B,$A$7,'BA History S2'!K:K, 1)</f>
        <v>2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2</v>
      </c>
      <c r="V7" s="2">
        <f>COUNTIFS('BA History S2'!$B:$B,$A$7,'BA History S2'!O:O, 1)</f>
        <v>1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3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0</v>
      </c>
      <c r="AN7" s="2">
        <f>COUNTIFS('BA History S2'!$B:$B,$A$7,'BA History S2'!AG:AG, 1)</f>
        <v>2</v>
      </c>
    </row>
    <row r="8" spans="1:40" x14ac:dyDescent="0.25">
      <c r="A8" s="2" t="s">
        <v>216</v>
      </c>
      <c r="B8" s="2" t="s">
        <v>79</v>
      </c>
      <c r="C8" s="2"/>
      <c r="D8" s="2"/>
      <c r="E8" s="2"/>
      <c r="F8" s="34">
        <f>SUMIFS('BA History S2'!C:C,'BA History S2'!B:B,A8)</f>
        <v>1</v>
      </c>
      <c r="G8" s="66">
        <f>AVERAGEIFS('BA History S2'!C:C,'BA History S2'!B:B,A8)</f>
        <v>1</v>
      </c>
      <c r="H8" s="35">
        <f t="array" ref="H8">MAX(IF('BA History S2'!B:B=A8, 'BA History S2'!C:C))</f>
        <v>1</v>
      </c>
      <c r="I8" s="34">
        <f>COUNTIFS('BA History S2'!B:B,A8,'BA History S2'!D:D, 1)</f>
        <v>1</v>
      </c>
      <c r="J8" s="2">
        <f>COUNTIFS('BA History S2'!B:B,A8,'BA History S2'!D:D, 0)</f>
        <v>0</v>
      </c>
      <c r="K8" s="75">
        <f>LOOKUP(2, 1/('BA History S2'!$B:$B=A8), 'BA History S2'!$AK:$AK)</f>
        <v>1</v>
      </c>
      <c r="L8" s="34">
        <f>SUMIFS('BA History S2'!F:F,'BA History S2'!B:B,A8)</f>
        <v>3</v>
      </c>
      <c r="M8" s="2">
        <f>SUMIFS('BA History S2'!E:E,'BA History S2'!B:B,A8)-L8</f>
        <v>0</v>
      </c>
      <c r="N8" s="75">
        <f>LOOKUP(2, 1/('BA History S2'!$B:$B=A8), 'BA History S2'!$AI:$AI)</f>
        <v>1</v>
      </c>
      <c r="O8" s="34">
        <f>SUMIFS('BA History S2'!H:H,'BA History S2'!B:B,A8)</f>
        <v>9</v>
      </c>
      <c r="P8" s="2">
        <f>SUMIFS('BA History S2'!G:G,'BA History S2'!B:B,A8)-O8</f>
        <v>3</v>
      </c>
      <c r="Q8" s="89">
        <f>LOOKUP(2, 1/('BA History S2'!$B:$B=A8), 'BA History S2'!$AJ:$AJ)</f>
        <v>0.75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115</v>
      </c>
      <c r="B9" s="2" t="s">
        <v>79</v>
      </c>
      <c r="C9" s="2"/>
      <c r="D9" s="2"/>
      <c r="E9" s="2"/>
      <c r="F9" s="34">
        <f>SUMIFS('BA History S2'!C:C,'BA History S2'!B:B,A9)</f>
        <v>43</v>
      </c>
      <c r="G9" s="66">
        <f>AVERAGEIFS('BA History S2'!C:C,'BA History S2'!B:B,A9)</f>
        <v>14.333333333333334</v>
      </c>
      <c r="H9" s="35">
        <f t="array" ref="H9">MAX(IF('BA History S2'!B:B=A9, 'BA History S2'!C:C))</f>
        <v>24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S2'!$AK:$AK)</f>
        <v>0.33333333333333331</v>
      </c>
      <c r="L9" s="34">
        <f>SUMIFS('BA History S2'!F:F,'BA History S2'!B:B,A9)</f>
        <v>5</v>
      </c>
      <c r="M9" s="2">
        <f>SUMIFS('BA History S2'!E:E,'BA History S2'!B:B,A9)-L9</f>
        <v>8</v>
      </c>
      <c r="N9" s="75">
        <f>LOOKUP(2, 1/('BA History S2'!$B:$B=A9), 'BA History S2'!$AI:$AI)</f>
        <v>0.33333333333333331</v>
      </c>
      <c r="O9" s="34">
        <f>SUMIFS('BA History S2'!H:H,'BA History S2'!B:B,A9)</f>
        <v>24</v>
      </c>
      <c r="P9" s="2">
        <f>SUMIFS('BA History S2'!G:G,'BA History S2'!B:B,A9)-O9</f>
        <v>31</v>
      </c>
      <c r="Q9" s="89">
        <f>LOOKUP(2, 1/('BA History S2'!$B:$B=A9), 'BA History S2'!$AJ:$AJ)</f>
        <v>0.42</v>
      </c>
      <c r="R9" s="2">
        <f>COUNTIFS('BA History S2'!$B:$B,$A$9,'BA History S2'!K:K, 1)</f>
        <v>1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1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1</v>
      </c>
      <c r="AM9" s="2">
        <f>COUNTIFS('BA History S2'!$B:$B,$A$9,'BA History S2'!AF:AF, 1)</f>
        <v>0</v>
      </c>
      <c r="AN9" s="2">
        <f>COUNTIFS('BA History S2'!$B:$B,$A$9,'BA History S2'!AG:AG, 1)</f>
        <v>1</v>
      </c>
    </row>
    <row r="10" spans="1:40" x14ac:dyDescent="0.25">
      <c r="A10" s="2" t="s">
        <v>146</v>
      </c>
      <c r="B10" s="2" t="s">
        <v>79</v>
      </c>
      <c r="C10" s="2"/>
      <c r="D10" s="2"/>
      <c r="E10" s="2"/>
      <c r="F10" s="34">
        <f>SUMIFS('BA History S2'!C:C,'BA History S2'!B:B,A10)</f>
        <v>67</v>
      </c>
      <c r="G10" s="66">
        <f>AVERAGEIFS('BA History S2'!C:C,'BA History S2'!B:B,A10)</f>
        <v>13.4</v>
      </c>
      <c r="H10" s="35">
        <f t="array" ref="H10">MAX(IF('BA History S2'!B:B=A10, 'BA History S2'!C:C))</f>
        <v>21</v>
      </c>
      <c r="I10" s="34">
        <f>COUNTIFS('BA History S2'!B:B,A10,'BA History S2'!D:D, 1)</f>
        <v>2</v>
      </c>
      <c r="J10" s="2">
        <f>COUNTIFS('BA History S2'!B:B,A10,'BA History S2'!D:D, 0)</f>
        <v>3</v>
      </c>
      <c r="K10" s="75">
        <f>LOOKUP(2, 1/('BA History S2'!$B:$B=A10), 'BA History S2'!$AK:$AK)</f>
        <v>0.4</v>
      </c>
      <c r="L10" s="34">
        <f>SUMIFS('BA History S2'!F:F,'BA History S2'!B:B,A10)</f>
        <v>7</v>
      </c>
      <c r="M10" s="2">
        <f>SUMIFS('BA History S2'!E:E,'BA History S2'!B:B,A10)-L10</f>
        <v>13</v>
      </c>
      <c r="N10" s="75">
        <f>LOOKUP(2, 1/('BA History S2'!$B:$B=A10), 'BA History S2'!$AI:$AI)</f>
        <v>0.28999999999999998</v>
      </c>
      <c r="O10" s="34">
        <f>SUMIFS('BA History S2'!H:H,'BA History S2'!B:B,A10)</f>
        <v>37</v>
      </c>
      <c r="P10" s="2">
        <f>SUMIFS('BA History S2'!G:G,'BA History S2'!B:B,A10)-O10</f>
        <v>47</v>
      </c>
      <c r="Q10" s="89">
        <f>LOOKUP(2, 1/('BA History S2'!$B:$B=A10), 'BA History S2'!$AJ:$AJ)</f>
        <v>0.39800000000000002</v>
      </c>
      <c r="R10" s="2">
        <f>COUNTIFS('BA History S2'!$B:$B,$A$10,'BA History S2'!K:K, 1)</f>
        <v>2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0</v>
      </c>
      <c r="AH10" s="2">
        <f>COUNTIFS('BA History S2'!$B:$B,$A10,'BA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1</v>
      </c>
      <c r="AM10" s="2">
        <f>COUNTIFS('BA History S2'!$B:$B,$A$10,'BA History S2'!AF:AF, 1)</f>
        <v>0</v>
      </c>
      <c r="AN10" s="2">
        <f>COUNTIFS('BA History S2'!$B:$B,$A$10,'BA History S2'!AG:AG, 1)</f>
        <v>0</v>
      </c>
    </row>
    <row r="11" spans="1:40" x14ac:dyDescent="0.25">
      <c r="A11" s="2" t="s">
        <v>27</v>
      </c>
      <c r="B11" s="2" t="s">
        <v>79</v>
      </c>
      <c r="C11" s="2"/>
      <c r="D11" s="2"/>
      <c r="E11" s="2"/>
      <c r="F11" s="34">
        <f>SUMIFS('BA History S2'!C:C,'BA History S2'!B:B,A11)</f>
        <v>21</v>
      </c>
      <c r="G11" s="66">
        <f>AVERAGEIFS('BA History S2'!C:C,'BA History S2'!B:B,A11)</f>
        <v>10.5</v>
      </c>
      <c r="H11" s="35">
        <f t="array" ref="H11">MAX(IF('BA History S2'!B:B=A11, 'BA History S2'!C:C))</f>
        <v>15</v>
      </c>
      <c r="I11" s="34">
        <f>COUNTIFS('BA History S2'!B:B,A11,'BA History S2'!D:D, 1)</f>
        <v>1</v>
      </c>
      <c r="J11" s="2">
        <f>COUNTIFS('BA History S2'!B:B,A11,'BA History S2'!D:D, 0)</f>
        <v>1</v>
      </c>
      <c r="K11" s="75">
        <f>LOOKUP(2, 1/('BA History S2'!$B:$B=A11), 'BA History S2'!$AK:$AK)</f>
        <v>0.5</v>
      </c>
      <c r="L11" s="34">
        <f>SUMIFS('BA History S2'!F:F,'BA History S2'!B:B,A11)</f>
        <v>5</v>
      </c>
      <c r="M11" s="2">
        <f>SUMIFS('BA History S2'!E:E,'BA History S2'!B:B,A11)-L11</f>
        <v>3</v>
      </c>
      <c r="N11" s="75">
        <f>LOOKUP(2, 1/('BA History S2'!$B:$B=A11), 'BA History S2'!$AI:$AI)</f>
        <v>0.7</v>
      </c>
      <c r="O11" s="34">
        <f>SUMIFS('BA History S2'!H:H,'BA History S2'!B:B,A11)</f>
        <v>20</v>
      </c>
      <c r="P11" s="2">
        <f>SUMIFS('BA History S2'!G:G,'BA History S2'!B:B,A11)-O11</f>
        <v>18</v>
      </c>
      <c r="Q11" s="89">
        <f>LOOKUP(2, 1/('BA History S2'!$B:$B=A11), 'BA History S2'!$AJ:$AJ)</f>
        <v>0.55000000000000004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0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1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S2'!$B:$B,$A11,'BA History S2'!AA:AA, 1)</f>
        <v>0</v>
      </c>
      <c r="AI11" s="2">
        <f>COUNTIFS('BA History S2'!$B:$B,$A$11,'BA History S2'!AB:AB, 1)</f>
        <v>1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152</v>
      </c>
      <c r="B12" s="2" t="s">
        <v>79</v>
      </c>
      <c r="C12" s="2"/>
      <c r="D12" s="2"/>
      <c r="E12" s="2"/>
      <c r="F12" s="34">
        <f>SUMIFS('BA History S2'!C:C,'BA History S2'!B:B,A12)</f>
        <v>94</v>
      </c>
      <c r="G12" s="66">
        <f>AVERAGEIFS('BA History S2'!C:C,'BA History S2'!B:B,A12)</f>
        <v>11.75</v>
      </c>
      <c r="H12" s="35">
        <f t="array" ref="H12">MAX(IF('BA History S2'!B:B=A12, 'BA History S2'!C:C))</f>
        <v>19</v>
      </c>
      <c r="I12" s="34">
        <f>COUNTIFS('BA History S2'!B:B,A12,'BA History S2'!D:D, 1)</f>
        <v>2</v>
      </c>
      <c r="J12" s="2">
        <f>COUNTIFS('BA History S2'!B:B,A12,'BA History S2'!D:D, 0)</f>
        <v>6</v>
      </c>
      <c r="K12" s="75">
        <f>LOOKUP(2, 1/('BA History S2'!$B:$B=A12), 'BA History S2'!$AK:$AK)</f>
        <v>0.25</v>
      </c>
      <c r="L12" s="34">
        <f>SUMIFS('BA History S2'!F:F,'BA History S2'!B:B,A12)</f>
        <v>12</v>
      </c>
      <c r="M12" s="2">
        <f>SUMIFS('BA History S2'!E:E,'BA History S2'!B:B,A12)-L12</f>
        <v>21</v>
      </c>
      <c r="N12" s="75">
        <f>LOOKUP(2, 1/('BA History S2'!$B:$B=A12), 'BA History S2'!$AI:$AI)</f>
        <v>0.33124999999999999</v>
      </c>
      <c r="O12" s="34">
        <f>SUMIFS('BA History S2'!H:H,'BA History S2'!B:B,A12)</f>
        <v>62</v>
      </c>
      <c r="P12" s="2">
        <f>SUMIFS('BA History S2'!G:G,'BA History S2'!B:B,A12)-O12</f>
        <v>76</v>
      </c>
      <c r="Q12" s="89">
        <f>LOOKUP(2, 1/('BA History S2'!$B:$B=A12), 'BA History S2'!$AJ:$AJ)</f>
        <v>0.4375</v>
      </c>
      <c r="R12" s="2">
        <f>COUNTIFS('BA History S2'!$B:$B,$A$12,'BA History S2'!K:K, 1)</f>
        <v>1</v>
      </c>
      <c r="S12" s="2">
        <f>COUNTIFS('BA History S2'!$B:$B,$A$12,'BA History S2'!L:L, 1)</f>
        <v>0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1</v>
      </c>
      <c r="AC12" s="2">
        <f>COUNTIFS('BA History S2'!$B:$B,$A$12,'BA History S2'!V:V, 1)</f>
        <v>1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0</v>
      </c>
      <c r="AH12" s="2">
        <f>COUNTIFS('BA History S2'!$B:$B,$A12,'BA History S2'!AA:AA, 1)</f>
        <v>1</v>
      </c>
      <c r="AI12" s="2">
        <f>COUNTIFS('BA History S2'!$B:$B,$A$12,'BA History S2'!AB:AB, 1)</f>
        <v>0</v>
      </c>
      <c r="AJ12" s="2">
        <f>COUNTIFS('BA History S2'!$B:$B,$A$12,'BA History S2'!AC:AC, 1)</f>
        <v>3</v>
      </c>
      <c r="AK12" s="2">
        <f>COUNTIFS('BA History S2'!$B:$B,$A$12,'BA History S2'!AD:AD, 1)</f>
        <v>1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  <c r="AN12" s="2">
        <f>COUNTIFS('BA History S2'!$B:$B,$A$12,'BA History S2'!AG:AG, 1)</f>
        <v>0</v>
      </c>
    </row>
    <row r="13" spans="1:40" x14ac:dyDescent="0.25">
      <c r="A13" s="2" t="s">
        <v>50</v>
      </c>
      <c r="B13" s="2" t="s">
        <v>79</v>
      </c>
      <c r="C13" s="2">
        <v>1</v>
      </c>
      <c r="D13" s="2">
        <v>1</v>
      </c>
      <c r="E13" s="2"/>
      <c r="F13" s="34">
        <f>SUMIFS('BA History S2'!C:C,'BA History S2'!B:B,A13)</f>
        <v>236</v>
      </c>
      <c r="G13" s="66">
        <f>AVERAGEIFS('BA History S2'!C:C,'BA History S2'!B:B,A13)</f>
        <v>16.857142857142858</v>
      </c>
      <c r="H13" s="35">
        <f t="array" ref="H13">MAX(IF('BA History S2'!B:B=A13, 'BA History S2'!C:C))</f>
        <v>24</v>
      </c>
      <c r="I13" s="34">
        <f>COUNTIFS('BA History S2'!B:B,A13,'BA History S2'!D:D, 1)</f>
        <v>5</v>
      </c>
      <c r="J13" s="2">
        <f>COUNTIFS('BA History S2'!B:B,A13,'BA History S2'!D:D, 0)</f>
        <v>9</v>
      </c>
      <c r="K13" s="75">
        <f>LOOKUP(2, 1/('BA History S2'!$B:$B=A13), 'BA History S2'!$AK:$AK)</f>
        <v>0.35714285714285715</v>
      </c>
      <c r="L13" s="34">
        <f>SUMIFS('BA History S2'!F:F,'BA History S2'!B:B,A13)</f>
        <v>23</v>
      </c>
      <c r="M13" s="2">
        <f>SUMIFS('BA History S2'!E:E,'BA History S2'!B:B,A13)-L13</f>
        <v>33</v>
      </c>
      <c r="N13" s="75">
        <f>LOOKUP(2, 1/('BA History S2'!$B:$B=A13), 'BA History S2'!$AI:$AI)</f>
        <v>0.39285714285714285</v>
      </c>
      <c r="O13" s="34">
        <f>SUMIFS('BA History S2'!H:H,'BA History S2'!B:B,A13)</f>
        <v>109</v>
      </c>
      <c r="P13" s="2">
        <f>SUMIFS('BA History S2'!G:G,'BA History S2'!B:B,A13)-O13</f>
        <v>128</v>
      </c>
      <c r="Q13" s="89">
        <f>LOOKUP(2, 1/('BA History S2'!$B:$B=A13), 'BA History S2'!$AJ:$AJ)</f>
        <v>0.44571428571428562</v>
      </c>
      <c r="R13" s="2">
        <f>COUNTIFS('BA History S2'!$B:$B,$A$13,'BA History S2'!K:K, 1)</f>
        <v>0</v>
      </c>
      <c r="S13" s="2">
        <f>COUNTIFS('BA History S2'!$B:$B,$A$13,'BA History S2'!L:L, 1)</f>
        <v>1</v>
      </c>
      <c r="T13" s="2">
        <f>COUNTIFS('BA History S2'!$B:$B,$A$13,'BA History S2'!M:M, 1)</f>
        <v>4</v>
      </c>
      <c r="U13" s="2">
        <f>COUNTIFS('BA History S2'!$B:$B,$A$13,'BA History S2'!N:N, 1)</f>
        <v>2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1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2</v>
      </c>
    </row>
    <row r="14" spans="1:40" x14ac:dyDescent="0.25">
      <c r="A14" s="2" t="s">
        <v>52</v>
      </c>
      <c r="B14" s="2" t="s">
        <v>79</v>
      </c>
      <c r="C14" s="2">
        <v>1</v>
      </c>
      <c r="D14" s="2"/>
      <c r="E14" s="2"/>
      <c r="F14" s="34">
        <f>SUMIFS('BA History S2'!C:C,'BA History S2'!B:B,A14)</f>
        <v>27</v>
      </c>
      <c r="G14" s="66">
        <f>AVERAGEIFS('BA History S2'!C:C,'BA History S2'!B:B,A14)</f>
        <v>13.5</v>
      </c>
      <c r="H14" s="35">
        <f t="array" ref="H14">MAX(IF('BA History S2'!B:B=A14, 'BA History S2'!C:C))</f>
        <v>17</v>
      </c>
      <c r="I14" s="34">
        <f>COUNTIFS('BA History S2'!B:B,A14,'BA History S2'!D:D, 1)</f>
        <v>0</v>
      </c>
      <c r="J14" s="2">
        <f>COUNTIFS('BA History S2'!B:B,A14,'BA History S2'!D:D, 0)</f>
        <v>2</v>
      </c>
      <c r="K14" s="75">
        <f>LOOKUP(2, 1/('BA History S2'!$B:$B=A14), 'BA History S2'!$AK:$AK)</f>
        <v>0</v>
      </c>
      <c r="L14" s="34">
        <f>SUMIFS('BA History S2'!F:F,'BA History S2'!B:B,A14)</f>
        <v>3</v>
      </c>
      <c r="M14" s="2">
        <f>SUMIFS('BA History S2'!E:E,'BA History S2'!B:B,A14)-L14</f>
        <v>6</v>
      </c>
      <c r="N14" s="75">
        <f>LOOKUP(2, 1/('BA History S2'!$B:$B=A14), 'BA History S2'!$AI:$AI)</f>
        <v>0.32500000000000001</v>
      </c>
      <c r="O14" s="34">
        <f>SUMIFS('BA History S2'!H:H,'BA History S2'!B:B,A14)</f>
        <v>17</v>
      </c>
      <c r="P14" s="2">
        <f>SUMIFS('BA History S2'!G:G,'BA History S2'!B:B,A14)-O14</f>
        <v>21</v>
      </c>
      <c r="Q14" s="89">
        <f>LOOKUP(2, 1/('BA History S2'!$B:$B=A14), 'BA History S2'!$AJ:$AJ)</f>
        <v>0.44499999999999995</v>
      </c>
      <c r="R14" s="2">
        <f>COUNTIFS('BA History S2'!$B:$B,$A$14,'BA History S2'!K:K, 1)</f>
        <v>0</v>
      </c>
      <c r="S14" s="2">
        <f>COUNTIFS('BA History S2'!$B:$B,$A$14,'BA History S2'!L:L, 1)</f>
        <v>0</v>
      </c>
      <c r="T14" s="2">
        <f>COUNTIFS('BA History S2'!$B:$B,$A$14,'BA History S2'!M:M, 1)</f>
        <v>0</v>
      </c>
      <c r="U14" s="2">
        <f>COUNTIFS('BA History S2'!$B:$B,$A$14,'BA History S2'!N:N, 1)</f>
        <v>1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0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  <c r="AN14" s="2">
        <f>COUNTIFS('BA History S2'!$B:$B,$A$14,'BA History S2'!AG:AG, 1)</f>
        <v>0</v>
      </c>
    </row>
    <row r="15" spans="1:40" x14ac:dyDescent="0.25">
      <c r="A15" s="2" t="s">
        <v>44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389</v>
      </c>
      <c r="G15" s="66">
        <f>AVERAGEIFS('BA History S2'!C:C,'BA History S2'!B:B,A15)</f>
        <v>16.208333333333332</v>
      </c>
      <c r="H15" s="35">
        <f t="array" ref="H15">MAX(IF('BA History S2'!B:B=A15, 'BA History S2'!C:C))</f>
        <v>31</v>
      </c>
      <c r="I15" s="34">
        <f>COUNTIFS('BA History S2'!B:B,A15,'BA History S2'!D:D, 1)</f>
        <v>14</v>
      </c>
      <c r="J15" s="2">
        <f>COUNTIFS('BA History S2'!B:B,A15,'BA History S2'!D:D, 0)</f>
        <v>10</v>
      </c>
      <c r="K15" s="75">
        <f>LOOKUP(2, 1/('BA History S2'!$B:$B=A15), 'BA History S2'!$AK:$AK)</f>
        <v>0.58333333333333337</v>
      </c>
      <c r="L15" s="34">
        <f>SUMIFS('BA History S2'!F:F,'BA History S2'!B:B,A15)</f>
        <v>53</v>
      </c>
      <c r="M15" s="2">
        <f>SUMIFS('BA History S2'!E:E,'BA History S2'!B:B,A15)-L15</f>
        <v>42</v>
      </c>
      <c r="N15" s="75">
        <f>LOOKUP(2, 1/('BA History S2'!$B:$B=A15), 'BA History S2'!$AI:$AI)</f>
        <v>0.57708333333333328</v>
      </c>
      <c r="O15" s="34">
        <f>SUMIFS('BA History S2'!H:H,'BA History S2'!B:B,A15)</f>
        <v>209</v>
      </c>
      <c r="P15" s="2">
        <f>SUMIFS('BA History S2'!G:G,'BA History S2'!B:B,A15)-O15</f>
        <v>191</v>
      </c>
      <c r="Q15" s="89">
        <f>LOOKUP(2, 1/('BA History S2'!$B:$B=A15), 'BA History S2'!$AJ:$AJ)</f>
        <v>0.53541666666666665</v>
      </c>
      <c r="R15" s="2">
        <f>COUNTIFS('BA History S2'!$B:$B,$A$15,'BA History S2'!K:K, 1)</f>
        <v>3</v>
      </c>
      <c r="S15" s="2">
        <f>COUNTIFS('BA History S2'!$B:$B,$A$15,'BA History S2'!L:L, 1)</f>
        <v>1</v>
      </c>
      <c r="T15" s="2">
        <f>COUNTIFS('BA History S2'!$B:$B,$A$15,'BA History S2'!M:M, 1)</f>
        <v>8</v>
      </c>
      <c r="U15" s="2">
        <f>COUNTIFS('BA History S2'!$B:$B,$A$15,'BA History S2'!N:N, 1)</f>
        <v>5</v>
      </c>
      <c r="V15" s="2">
        <f>COUNTIFS('BA History S2'!$B:$B,$A$15,'BA History S2'!O:O, 1)</f>
        <v>1</v>
      </c>
      <c r="W15" s="2">
        <f>COUNTIFS('BA History S2'!$B:$B,$A$15,'BA History S2'!P:P, 1)</f>
        <v>0</v>
      </c>
      <c r="X15" s="2">
        <f>COUNTIFS('BA History S2'!$B:$B,$A$15,'BA History S2'!Q:Q, 1)</f>
        <v>1</v>
      </c>
      <c r="Y15" s="2">
        <f>COUNTIFS('BA History S2'!$B:$B,$A$15,'BA History S2'!R:R, 1)</f>
        <v>1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1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3</v>
      </c>
      <c r="AG15" s="2">
        <f>COUNTIFS('BA History S2'!$B:$B,$A$15,'BA History S2'!Z:Z, 1)</f>
        <v>4</v>
      </c>
      <c r="AH15" s="2">
        <f>COUNTIFS('BA History S2'!$B:$B,$A15,'BA History S2'!AA:AA, 1)</f>
        <v>0</v>
      </c>
      <c r="AI15" s="2">
        <f>COUNTIFS('BA History S2'!$B:$B,$A$15,'BA History S2'!AB:AB, 1)</f>
        <v>2</v>
      </c>
      <c r="AJ15" s="2">
        <f>COUNTIFS('BA History S2'!$B:$B,$A$15,'BA History S2'!AC:AC, 1)</f>
        <v>8</v>
      </c>
      <c r="AK15" s="2">
        <f>COUNTIFS('BA History S2'!$B:$B,$A$15,'BA History S2'!AD:AD, 1)</f>
        <v>2</v>
      </c>
      <c r="AL15" s="2">
        <f>COUNTIFS('BA History S2'!$B:$B,$A$15,'BA History S2'!AE:AE, 1)</f>
        <v>4</v>
      </c>
      <c r="AM15" s="2">
        <f>COUNTIFS('BA History S2'!$B:$B,$A$15,'BA History S2'!AF:AF, 1)</f>
        <v>0</v>
      </c>
      <c r="AN15" s="2">
        <f>COUNTIFS('BA History S2'!$B:$B,$A$15,'BA History S2'!AG:AG, 1)</f>
        <v>7</v>
      </c>
    </row>
    <row r="16" spans="1:40" x14ac:dyDescent="0.25">
      <c r="A16" s="2" t="s">
        <v>167</v>
      </c>
      <c r="B16" s="2" t="s">
        <v>79</v>
      </c>
      <c r="C16" s="2"/>
      <c r="D16" s="2"/>
      <c r="E16" s="2"/>
      <c r="F16" s="34">
        <f>SUMIFS('BA History S2'!C:C,'BA History S2'!B:B,A16)</f>
        <v>20</v>
      </c>
      <c r="G16" s="66">
        <f>AVERAGEIFS('BA History S2'!C:C,'BA History S2'!B:B,A16)</f>
        <v>10</v>
      </c>
      <c r="H16" s="35">
        <f t="array" ref="H16">MAX(IF('BA History S2'!B:B=A16, 'BA History S2'!C:C))</f>
        <v>14</v>
      </c>
      <c r="I16" s="34">
        <f>COUNTIFS('BA History S2'!B:B,A16,'BA History S2'!D:D, 1)</f>
        <v>1</v>
      </c>
      <c r="J16" s="2">
        <f>COUNTIFS('BA History S2'!B:B,A16,'BA History S2'!D:D, 0)</f>
        <v>1</v>
      </c>
      <c r="K16" s="75">
        <f>LOOKUP(2, 1/('BA History S2'!$B:$B=A16), 'BA History S2'!$AK:$AK)</f>
        <v>0.5</v>
      </c>
      <c r="L16" s="34">
        <f>SUMIFS('BA History S2'!F:F,'BA History S2'!B:B,A16)</f>
        <v>4</v>
      </c>
      <c r="M16" s="2">
        <f>SUMIFS('BA History S2'!E:E,'BA History S2'!B:B,A16)-L16</f>
        <v>4</v>
      </c>
      <c r="N16" s="75">
        <f>LOOKUP(2, 1/('BA History S2'!$B:$B=A16), 'BA History S2'!$AI:$AI)</f>
        <v>0.5</v>
      </c>
      <c r="O16" s="34">
        <f>SUMIFS('BA History S2'!H:H,'BA History S2'!B:B,A16)</f>
        <v>17</v>
      </c>
      <c r="P16" s="2">
        <f>SUMIFS('BA History S2'!G:G,'BA History S2'!B:B,A16)-O16</f>
        <v>17</v>
      </c>
      <c r="Q16" s="89">
        <f>LOOKUP(2, 1/('BA History S2'!$B:$B=A16), 'BA History S2'!$AJ:$AJ)</f>
        <v>0.5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1</v>
      </c>
      <c r="AH16" s="2">
        <f>COUNTIFS('BA History S2'!$B:$B,$A16,'BA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2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  <c r="AN16" s="2">
        <f>COUNTIFS('BA History S2'!$B:$B,$A$16,'BA History S2'!AG:AG, 1)</f>
        <v>0</v>
      </c>
    </row>
    <row r="17" spans="1:40" x14ac:dyDescent="0.25">
      <c r="A17" s="2" t="s">
        <v>1</v>
      </c>
      <c r="B17" s="1" t="s">
        <v>158</v>
      </c>
      <c r="F17" s="34">
        <f>SUMIFS('BA History S2'!C:C,'BA History S2'!B:B,A17)</f>
        <v>462</v>
      </c>
      <c r="G17" s="66">
        <f>AVERAGEIFS('BA History S2'!C:C,'BA History S2'!B:B,A17)</f>
        <v>27.176470588235293</v>
      </c>
      <c r="H17" s="35">
        <f t="array" ref="H17">MAX(IF('BA History S2'!B:B=A17, 'BA History S2'!C:C))</f>
        <v>49</v>
      </c>
      <c r="I17" s="34">
        <f>COUNTIFS('BA History S2'!B:B,A17,'BA History S2'!D:D, 1)</f>
        <v>10</v>
      </c>
      <c r="J17" s="2">
        <f>COUNTIFS('BA History S2'!B:B,A17,'BA History S2'!D:D, 0)</f>
        <v>7</v>
      </c>
      <c r="K17" s="75">
        <f>LOOKUP(2, 1/('BA History S2'!$B:$B=A17), 'BA History S2'!$AK:$AK)</f>
        <v>0.58823529411764708</v>
      </c>
      <c r="L17" s="34">
        <f>SUMIFS('BA History S2'!F:F,'BA History S2'!B:B,A17)</f>
        <v>38</v>
      </c>
      <c r="M17" s="2">
        <f>SUMIFS('BA History S2'!E:E,'BA History S2'!B:B,A17)-L17</f>
        <v>29</v>
      </c>
      <c r="N17" s="75">
        <f>LOOKUP(2, 1/('BA History S2'!$B:$B=A17), 'BA History S2'!$AI:$AI)</f>
        <v>0.58235294117647063</v>
      </c>
      <c r="O17" s="34">
        <f>SUMIFS('BA History S2'!H:H,'BA History S2'!B:B,A17)</f>
        <v>150</v>
      </c>
      <c r="P17" s="2">
        <f>SUMIFS('BA History S2'!G:G,'BA History S2'!B:B,A17)-O17</f>
        <v>128</v>
      </c>
      <c r="Q17" s="89">
        <f>LOOKUP(2, 1/('BA History S2'!$B:$B=A17), 'BA History S2'!$AJ:$AJ)</f>
        <v>0.55882352941176461</v>
      </c>
      <c r="R17" s="2">
        <f>COUNTIFS('BA History S2'!$B:$B,$A$17,'BA History S2'!K:K, 1)</f>
        <v>2</v>
      </c>
      <c r="S17" s="2">
        <f>COUNTIFS('BA History S2'!$B:$B,$A$17,'BA History S2'!L:L, 1)</f>
        <v>2</v>
      </c>
      <c r="T17" s="2">
        <f>COUNTIFS('BA History S2'!$B:$B,$A$17,'BA History S2'!M:M, 1)</f>
        <v>2</v>
      </c>
      <c r="U17" s="2">
        <f>COUNTIFS('BA History S2'!$B:$B,$A$17,'BA History S2'!N:N, 1)</f>
        <v>4</v>
      </c>
      <c r="V17" s="2">
        <f>COUNTIFS('BA History S2'!$B:$B,$A$17,'BA History S2'!O:O, 1)</f>
        <v>1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2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1</v>
      </c>
      <c r="AC17" s="2">
        <f>COUNTIFS('BA History S2'!$B:$B,$A$17,'BA History S2'!V:V, 1)</f>
        <v>2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3</v>
      </c>
      <c r="AG17" s="2">
        <f>COUNTIFS('BA History S2'!$B:$B,$A$17,'BA History S2'!Z:Z, 1)</f>
        <v>4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4</v>
      </c>
      <c r="AK17" s="2">
        <f>COUNTIFS('BA History S2'!$B:$B,$A$17,'BA History S2'!AD:AD, 1)</f>
        <v>2</v>
      </c>
      <c r="AL17" s="2">
        <f>COUNTIFS('BA History S2'!$B:$B,$A$17,'BA History S2'!AE:AE, 1)</f>
        <v>4</v>
      </c>
      <c r="AM17" s="2">
        <f>COUNTIFS('BA History S2'!$B:$B,$A$17,'BA History S2'!AF:AF, 1)</f>
        <v>0</v>
      </c>
      <c r="AN17" s="2">
        <f>COUNTIFS('BA History S2'!$B:$B,$A$17,'BA History S2'!AG:AG, 1)</f>
        <v>3</v>
      </c>
    </row>
    <row r="18" spans="1:40" ht="15.75" x14ac:dyDescent="0.25">
      <c r="A18" s="2" t="s">
        <v>150</v>
      </c>
      <c r="B18" s="95" t="s">
        <v>79</v>
      </c>
      <c r="C18" s="95">
        <v>2</v>
      </c>
      <c r="D18" s="95"/>
      <c r="E18" s="95"/>
      <c r="F18" s="34">
        <f>SUMIFS('BA History S2'!C:C,'BA History S2'!B:B,A18)</f>
        <v>376</v>
      </c>
      <c r="G18" s="66">
        <f>AVERAGEIFS('BA History S2'!C:C,'BA History S2'!B:B,A18)</f>
        <v>19.789473684210527</v>
      </c>
      <c r="H18" s="35">
        <f t="array" ref="H18">MAX(IF('BA History S2'!B:B=A18, 'BA History S2'!C:C))</f>
        <v>30</v>
      </c>
      <c r="I18" s="34">
        <f>COUNTIFS('BA History S2'!B:B,A18,'BA History S2'!D:D, 1)</f>
        <v>13</v>
      </c>
      <c r="J18" s="2">
        <f>COUNTIFS('BA History S2'!B:B,A18,'BA History S2'!D:D, 0)</f>
        <v>6</v>
      </c>
      <c r="K18" s="75">
        <f>LOOKUP(2, 1/('BA History S2'!$B:$B=A18), 'BA History S2'!$AK:$AK)</f>
        <v>0.68421052631578949</v>
      </c>
      <c r="L18" s="34">
        <f>SUMIFS('BA History S2'!F:F,'BA History S2'!B:B,A18)</f>
        <v>45</v>
      </c>
      <c r="M18" s="2">
        <f>SUMIFS('BA History S2'!E:E,'BA History S2'!B:B,A18)-L18</f>
        <v>29</v>
      </c>
      <c r="N18" s="75">
        <f>LOOKUP(2, 1/('BA History S2'!$B:$B=A18), 'BA History S2'!$AI:$AI)</f>
        <v>0.61842105263157898</v>
      </c>
      <c r="O18" s="34">
        <f>SUMIFS('BA History S2'!H:H,'BA History S2'!B:B,A18)</f>
        <v>168</v>
      </c>
      <c r="P18" s="2">
        <f>SUMIFS('BA History S2'!G:G,'BA History S2'!B:B,A18)-O18</f>
        <v>130</v>
      </c>
      <c r="Q18" s="89">
        <f>LOOKUP(2, 1/('BA History S2'!$B:$B=A18), 'BA History S2'!$AJ:$AJ)</f>
        <v>0.58315789473684199</v>
      </c>
      <c r="R18" s="2">
        <f>COUNTIFS('BA History S2'!$B:$B,$A$18,'BA History S2'!K:K, 1)</f>
        <v>1</v>
      </c>
      <c r="S18" s="2">
        <f>COUNTIFS('BA History S2'!$B:$B,$A$18,'BA History S2'!L:L, 1)</f>
        <v>1</v>
      </c>
      <c r="T18" s="2">
        <f>COUNTIFS('BA History S2'!$B:$B,$A$18,'BA History S2'!M:M, 1)</f>
        <v>4</v>
      </c>
      <c r="U18" s="2">
        <f>COUNTIFS('BA History S2'!$B:$B,$A$18,'BA History S2'!N:N, 1)</f>
        <v>7</v>
      </c>
      <c r="V18" s="2">
        <f>COUNTIFS('BA History S2'!$B:$B,$A$18,'BA History S2'!O:O, 1)</f>
        <v>0</v>
      </c>
      <c r="W18" s="2">
        <f>COUNTIFS('BA History S2'!$B:$B,$A$18,'BA History S2'!P:P, 1)</f>
        <v>1</v>
      </c>
      <c r="X18" s="2">
        <f>COUNTIFS('BA History S2'!$B:$B,$A$18,'BA History S2'!Q:Q, 1)</f>
        <v>2</v>
      </c>
      <c r="Y18" s="2">
        <f>COUNTIFS('BA History S2'!$B:$B,$A$18,'BA History S2'!R:R, 1)</f>
        <v>0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1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3</v>
      </c>
      <c r="AG18" s="2">
        <f>COUNTIFS('BA History S2'!$B:$B,$A$18,'BA History S2'!Z:Z, 1)</f>
        <v>8</v>
      </c>
      <c r="AH18" s="2">
        <f>COUNTIFS('BA History S2'!$B:$B,$A18,'BA History S2'!AA:AA, 1)</f>
        <v>1</v>
      </c>
      <c r="AI18" s="2">
        <f>COUNTIFS('BA History S2'!$B:$B,$A$18,'BA History S2'!AB:AB, 1)</f>
        <v>0</v>
      </c>
      <c r="AJ18" s="2">
        <f>COUNTIFS('BA History S2'!$B:$B,$A$18,'BA History S2'!AC:AC, 1)</f>
        <v>5</v>
      </c>
      <c r="AK18" s="2">
        <f>COUNTIFS('BA History S2'!$B:$B,$A$18,'BA History S2'!AD:AD, 1)</f>
        <v>1</v>
      </c>
      <c r="AL18" s="2">
        <f>COUNTIFS('BA History S2'!$B:$B,$A$18,'BA History S2'!AE:AE, 1)</f>
        <v>3</v>
      </c>
      <c r="AM18" s="2">
        <f>COUNTIFS('BA History S2'!$B:$B,$A$18,'BA History S2'!AF:AF, 1)</f>
        <v>0</v>
      </c>
      <c r="AN18" s="2">
        <f>COUNTIFS('BA History S2'!$B:$B,$A$18,'BA History S2'!AG:AG, 1)</f>
        <v>4</v>
      </c>
    </row>
    <row r="19" spans="1:40" x14ac:dyDescent="0.25">
      <c r="A19" s="2" t="s">
        <v>46</v>
      </c>
      <c r="B19" s="1" t="s">
        <v>158</v>
      </c>
      <c r="F19" s="34">
        <f>SUMIFS('BA History S2'!C:C,'BA History S2'!B:B,A19)</f>
        <v>96</v>
      </c>
      <c r="G19" s="66">
        <f>AVERAGEIFS('BA History S2'!C:C,'BA History S2'!B:B,A19)</f>
        <v>16</v>
      </c>
      <c r="H19" s="35">
        <f t="array" ref="H19">MAX(IF('BA History S2'!B:B=A19, 'BA History S2'!C:C))</f>
        <v>34</v>
      </c>
      <c r="I19" s="34">
        <f>COUNTIFS('BA History S2'!B:B,A19,'BA History S2'!D:D, 1)</f>
        <v>1</v>
      </c>
      <c r="J19" s="2">
        <f>COUNTIFS('BA History S2'!B:B,A19,'BA History S2'!D:D, 0)</f>
        <v>5</v>
      </c>
      <c r="K19" s="75">
        <f>LOOKUP(2, 1/('BA History S2'!$B:$B=A19), 'BA History S2'!$AK:$AK)</f>
        <v>0.16666666666666666</v>
      </c>
      <c r="L19" s="34">
        <f>SUMIFS('BA History S2'!F:F,'BA History S2'!B:B,A19)</f>
        <v>8</v>
      </c>
      <c r="M19" s="2">
        <f>SUMIFS('BA History S2'!E:E,'BA History S2'!B:B,A19)-L19</f>
        <v>17</v>
      </c>
      <c r="N19" s="75">
        <f>LOOKUP(2, 1/('BA History S2'!$B:$B=A19), 'BA History S2'!$AI:$AI)</f>
        <v>0.27499999999999997</v>
      </c>
      <c r="O19" s="34">
        <f>SUMIFS('BA History S2'!H:H,'BA History S2'!B:B,A19)</f>
        <v>41</v>
      </c>
      <c r="P19" s="2">
        <f>SUMIFS('BA History S2'!G:G,'BA History S2'!B:B,A19)-O19</f>
        <v>62</v>
      </c>
      <c r="Q19" s="89">
        <f>LOOKUP(2, 1/('BA History S2'!$B:$B=A19), 'BA History S2'!$AJ:$AJ)</f>
        <v>0.35499999999999998</v>
      </c>
      <c r="R19" s="2">
        <f>COUNTIFS('BA History S2'!$B:$B,$A$19,'BA History S2'!K:K, 1)</f>
        <v>1</v>
      </c>
      <c r="S19" s="2">
        <f>COUNTIFS('BA History S2'!$B:$B,$A$19,'BA History S2'!L:L, 1)</f>
        <v>2</v>
      </c>
      <c r="T19" s="2">
        <f>COUNTIFS('BA History S2'!$B:$B,$A$19,'BA History S2'!M:M, 1)</f>
        <v>0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0</v>
      </c>
      <c r="AH19" s="2">
        <f>COUNTIFS('BA History S2'!$B:$B,$A19,'BA History S2'!AA:AA, 1)</f>
        <v>0</v>
      </c>
      <c r="AI19" s="2">
        <f>COUNTIFS('BA History S2'!$B:$B,$A$19,'BA History S2'!AB:AB, 1)</f>
        <v>0</v>
      </c>
      <c r="AJ19" s="2">
        <f>COUNTIFS('BA History S2'!$B:$B,$A$19,'BA History S2'!AC:AC, 1)</f>
        <v>1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  <c r="AN19" s="2">
        <f>COUNTIFS('BA History S2'!$B:$B,$A$19,'BA History S2'!AG:AG, 1)</f>
        <v>1</v>
      </c>
    </row>
    <row r="20" spans="1:40" x14ac:dyDescent="0.25">
      <c r="A20" s="2" t="s">
        <v>28</v>
      </c>
      <c r="B20" s="1" t="s">
        <v>79</v>
      </c>
      <c r="F20" s="34">
        <f>SUMIFS('BA History S2'!C:C,'BA History S2'!B:B,A20)</f>
        <v>26</v>
      </c>
      <c r="G20" s="66">
        <f>AVERAGEIFS('BA History S2'!C:C,'BA History S2'!B:B,A20)</f>
        <v>13</v>
      </c>
      <c r="H20" s="35">
        <f t="array" ref="H20">MAX(IF('BA History S2'!B:B=A20, 'BA History S2'!C:C))</f>
        <v>17</v>
      </c>
      <c r="I20" s="34">
        <f>COUNTIFS('BA History S2'!B:B,A20,'BA History S2'!D:D, 1)</f>
        <v>1</v>
      </c>
      <c r="J20" s="2">
        <f>COUNTIFS('BA History S2'!B:B,A20,'BA History S2'!D:D, 0)</f>
        <v>1</v>
      </c>
      <c r="K20" s="75">
        <f>LOOKUP(2, 1/('BA History S2'!$B:$B=A20), 'BA History S2'!$AK:$AK)</f>
        <v>0.5</v>
      </c>
      <c r="L20" s="34">
        <f>SUMIFS('BA History S2'!F:F,'BA History S2'!B:B,A20)</f>
        <v>3</v>
      </c>
      <c r="M20" s="2">
        <f>SUMIFS('BA History S2'!E:E,'BA History S2'!B:B,A20)-L20</f>
        <v>4</v>
      </c>
      <c r="N20" s="75">
        <f>LOOKUP(2, 1/('BA History S2'!$B:$B=A20), 'BA History S2'!$AI:$AI)</f>
        <v>0.375</v>
      </c>
      <c r="O20" s="34">
        <f>SUMIFS('BA History S2'!H:H,'BA History S2'!B:B,A20)</f>
        <v>12</v>
      </c>
      <c r="P20" s="2">
        <f>SUMIFS('BA History S2'!G:G,'BA History S2'!B:B,A20)-O20</f>
        <v>15</v>
      </c>
      <c r="Q20" s="89">
        <f>LOOKUP(2, 1/('BA History S2'!$B:$B=A20), 'BA History S2'!$AJ:$AJ)</f>
        <v>0.375</v>
      </c>
      <c r="R20" s="2">
        <f>COUNTIFS('BA History S2'!$B:$B,$A$20,'BA History S2'!K:K, 1)</f>
        <v>0</v>
      </c>
      <c r="S20" s="2">
        <f>COUNTIFS('BA History S2'!$B:$B,$A$20,'BA History S2'!L:L, 1)</f>
        <v>0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0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1</v>
      </c>
      <c r="AM20" s="2">
        <f>COUNTIFS('BA History S2'!$B:$B,$A$20,'BA History S2'!AF:AF, 1)</f>
        <v>0</v>
      </c>
      <c r="AN20" s="2">
        <f>COUNTIFS('BA History S2'!$B:$B,$A$20,'BA History S2'!AG:AG, 1)</f>
        <v>0</v>
      </c>
    </row>
    <row r="21" spans="1:40" x14ac:dyDescent="0.25">
      <c r="A21" s="2" t="s">
        <v>53</v>
      </c>
      <c r="B21" s="2" t="s">
        <v>79</v>
      </c>
      <c r="C21" s="2">
        <v>1</v>
      </c>
      <c r="D21" s="2"/>
      <c r="E21" s="2"/>
      <c r="F21" s="34">
        <f>SUMIFS('BA History S2'!C:C,'BA History S2'!B:B,A21)</f>
        <v>210</v>
      </c>
      <c r="G21" s="66">
        <f>AVERAGEIFS('BA History S2'!C:C,'BA History S2'!B:B,A21)</f>
        <v>14</v>
      </c>
      <c r="H21" s="35">
        <f t="array" ref="H21">MAX(IF('BA History S2'!B:B=A21, 'BA History S2'!C:C))</f>
        <v>27</v>
      </c>
      <c r="I21" s="34">
        <f>COUNTIFS('BA History S2'!B:B,A21,'BA History S2'!D:D, 1)</f>
        <v>4</v>
      </c>
      <c r="J21" s="2">
        <f>COUNTIFS('BA History S2'!B:B,A21,'BA History S2'!D:D, 0)</f>
        <v>11</v>
      </c>
      <c r="K21" s="75">
        <f>LOOKUP(2, 1/('BA History S2'!$B:$B=A21), 'BA History S2'!$AK:$AK)</f>
        <v>0.26666666666666666</v>
      </c>
      <c r="L21" s="34">
        <f>SUMIFS('BA History S2'!F:F,'BA History S2'!B:B,A21)</f>
        <v>24</v>
      </c>
      <c r="M21" s="2">
        <f>SUMIFS('BA History S2'!E:E,'BA History S2'!B:B,A21)-L21</f>
        <v>34</v>
      </c>
      <c r="N21" s="75">
        <f>LOOKUP(2, 1/('BA History S2'!$B:$B=A21), 'BA History S2'!$AI:$AI)</f>
        <v>0.42999999999999994</v>
      </c>
      <c r="O21" s="34">
        <f>SUMIFS('BA History S2'!H:H,'BA History S2'!B:B,A21)</f>
        <v>113</v>
      </c>
      <c r="P21" s="2">
        <f>SUMIFS('BA History S2'!G:G,'BA History S2'!B:B,A21)-O21</f>
        <v>132</v>
      </c>
      <c r="Q21" s="89">
        <f>LOOKUP(2, 1/('BA History S2'!$B:$B=A21), 'BA History S2'!$AJ:$AJ)</f>
        <v>0.46399999999999991</v>
      </c>
      <c r="R21" s="2">
        <f>COUNTIFS('BA History S2'!$B:$B,$A$21,'BA History S2'!K:K, 1)</f>
        <v>1</v>
      </c>
      <c r="S21" s="2">
        <f>COUNTIFS('BA History S2'!$B:$B,$A$21,'BA History S2'!L:L, 1)</f>
        <v>3</v>
      </c>
      <c r="T21" s="2">
        <f>COUNTIFS('BA History S2'!$B:$B,$A$21,'BA History S2'!M:M, 1)</f>
        <v>0</v>
      </c>
      <c r="U21" s="2">
        <f>COUNTIFS('BA History S2'!$B:$B,$A$21,'BA History S2'!N:N, 1)</f>
        <v>3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1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4</v>
      </c>
      <c r="AH21" s="2">
        <f>COUNTIFS('BA History S2'!$B:$B,$A21,'BA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4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  <c r="AN21" s="2">
        <f>COUNTIFS('BA History S2'!$B:$B,$A$21,'BA History S2'!AG:AG, 1)</f>
        <v>3</v>
      </c>
    </row>
    <row r="22" spans="1:40" x14ac:dyDescent="0.25">
      <c r="A22" s="2" t="s">
        <v>148</v>
      </c>
      <c r="B22" s="2" t="s">
        <v>79</v>
      </c>
      <c r="C22" s="2"/>
      <c r="D22" s="2"/>
      <c r="E22" s="2"/>
      <c r="F22" s="34">
        <f>SUMIFS('BA History S2'!C:C,'BA History S2'!B:B,A22)</f>
        <v>43</v>
      </c>
      <c r="G22" s="66">
        <f>AVERAGEIFS('BA History S2'!C:C,'BA History S2'!B:B,A22)</f>
        <v>8.6</v>
      </c>
      <c r="H22" s="35">
        <f t="array" ref="H22">MAX(IF('BA History S2'!B:B=A22, 'BA History S2'!C:C))</f>
        <v>15</v>
      </c>
      <c r="I22" s="34">
        <f>COUNTIFS('BA History S2'!B:B,A22,'BA History S2'!D:D, 1)</f>
        <v>2</v>
      </c>
      <c r="J22" s="2">
        <f>COUNTIFS('BA History S2'!B:B,A22,'BA History S2'!D:D, 0)</f>
        <v>3</v>
      </c>
      <c r="K22" s="75">
        <f>LOOKUP(2, 1/('BA History S2'!$B:$B=A22), 'BA History S2'!$AK:$AK)</f>
        <v>0.4</v>
      </c>
      <c r="L22" s="34">
        <f>SUMIFS('BA History S2'!F:F,'BA History S2'!B:B,A22)</f>
        <v>10</v>
      </c>
      <c r="M22" s="2">
        <f>SUMIFS('BA History S2'!E:E,'BA History S2'!B:B,A22)-L22</f>
        <v>13</v>
      </c>
      <c r="N22" s="75">
        <f>LOOKUP(2, 1/('BA History S2'!$B:$B=A22), 'BA History S2'!$AI:$AI)</f>
        <v>0.4</v>
      </c>
      <c r="O22" s="34">
        <f>SUMIFS('BA History S2'!H:H,'BA History S2'!B:B,A22)</f>
        <v>47</v>
      </c>
      <c r="P22" s="2">
        <f>SUMIFS('BA History S2'!G:G,'BA History S2'!B:B,A22)-O22</f>
        <v>49</v>
      </c>
      <c r="Q22" s="89">
        <f>LOOKUP(2, 1/('BA History S2'!$B:$B=A22), 'BA History S2'!$AJ:$AJ)</f>
        <v>0.47800000000000004</v>
      </c>
      <c r="R22" s="2">
        <f>COUNTIFS('BA History S2'!$B:$B,$A$22,'BA History S2'!K:K, 1)</f>
        <v>2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1</v>
      </c>
      <c r="V22" s="2">
        <f>COUNTIFS('BA History S2'!$B:$B,$A$22,'BA History S2'!O:O, 1)</f>
        <v>1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0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0</v>
      </c>
      <c r="AH22" s="2">
        <f>COUNTIFS('BA History S2'!$B:$B,$A22,'BA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4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0</v>
      </c>
      <c r="AN22" s="2">
        <f>COUNTIFS('BA History S2'!$B:$B,$A$22,'BA History S2'!AG:AG, 1)</f>
        <v>0</v>
      </c>
    </row>
    <row r="23" spans="1:40" x14ac:dyDescent="0.25">
      <c r="A23" s="2" t="s">
        <v>161</v>
      </c>
      <c r="B23" s="2" t="s">
        <v>79</v>
      </c>
      <c r="C23" s="2"/>
      <c r="D23" s="2"/>
      <c r="E23" s="2"/>
      <c r="F23" s="34">
        <f>SUMIFS('BA History S2'!C:C,'BA History S2'!B:B,A23)</f>
        <v>114</v>
      </c>
      <c r="G23" s="66">
        <f>AVERAGEIFS('BA History S2'!C:C,'BA History S2'!B:B,A23)</f>
        <v>9.5</v>
      </c>
      <c r="H23" s="35">
        <f t="array" ref="H23">MAX(IF('BA History S2'!B:B=A23, 'BA History S2'!C:C))</f>
        <v>24</v>
      </c>
      <c r="I23" s="34">
        <f>COUNTIFS('BA History S2'!B:B,A23,'BA History S2'!D:D, 1)</f>
        <v>6</v>
      </c>
      <c r="J23" s="2">
        <f>COUNTIFS('BA History S2'!B:B,A23,'BA History S2'!D:D, 0)</f>
        <v>6</v>
      </c>
      <c r="K23" s="75">
        <f>LOOKUP(2, 1/('BA History S2'!$B:$B=A23), 'BA History S2'!$AK:$AK)</f>
        <v>0.5</v>
      </c>
      <c r="L23" s="34">
        <f>SUMIFS('BA History S2'!F:F,'BA History S2'!B:B,A23)</f>
        <v>25</v>
      </c>
      <c r="M23" s="2">
        <f>SUMIFS('BA History S2'!E:E,'BA History S2'!B:B,A23)-L23</f>
        <v>24</v>
      </c>
      <c r="N23" s="75">
        <f>LOOKUP(2, 1/('BA History S2'!$B:$B=A23), 'BA History S2'!$AI:$AI)</f>
        <v>0.51249999999999996</v>
      </c>
      <c r="O23" s="34">
        <f>SUMIFS('BA History S2'!H:H,'BA History S2'!B:B,A23)</f>
        <v>102</v>
      </c>
      <c r="P23" s="2">
        <f>SUMIFS('BA History S2'!G:G,'BA History S2'!B:B,A23)-O23</f>
        <v>102</v>
      </c>
      <c r="Q23" s="89">
        <f>LOOKUP(2, 1/('BA History S2'!$B:$B=A23), 'BA History S2'!$AJ:$AJ)</f>
        <v>0.50583333333333325</v>
      </c>
      <c r="R23" s="2">
        <f>COUNTIFS('BA History S2'!$B:$B,$A$23,'BA History S2'!K:K, 1)</f>
        <v>1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1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3</v>
      </c>
      <c r="AH23" s="2">
        <f>COUNTIFS('BA History S2'!$B:$B,$A23,'BA History S2'!AA:AA, 1)</f>
        <v>1</v>
      </c>
      <c r="AI23" s="2">
        <f>COUNTIFS('BA History S2'!$B:$B,$A$23,'BA History S2'!AB:AB, 1)</f>
        <v>1</v>
      </c>
      <c r="AJ23" s="2">
        <f>COUNTIFS('BA History S2'!$B:$B,$A$23,'BA History S2'!AC:AC, 1)</f>
        <v>4</v>
      </c>
      <c r="AK23" s="2">
        <f>COUNTIFS('BA History S2'!$B:$B,$A$23,'BA History S2'!AD:AD, 1)</f>
        <v>2</v>
      </c>
      <c r="AL23" s="2">
        <f>COUNTIFS('BA History S2'!$B:$B,$A$23,'BA History S2'!AE:AE, 1)</f>
        <v>1</v>
      </c>
      <c r="AM23" s="2">
        <f>COUNTIFS('BA History S2'!$B:$B,$A$23,'BA History S2'!AF:AF, 1)</f>
        <v>1</v>
      </c>
      <c r="AN23" s="2">
        <f>COUNTIFS('BA History S2'!$B:$B,$A$23,'BA History S2'!AG:AG, 1)</f>
        <v>2</v>
      </c>
    </row>
    <row r="24" spans="1:40" x14ac:dyDescent="0.25">
      <c r="A24" s="2" t="s">
        <v>13</v>
      </c>
      <c r="B24" s="2" t="s">
        <v>79</v>
      </c>
      <c r="C24" s="2"/>
      <c r="D24" s="2"/>
      <c r="E24" s="2"/>
      <c r="F24" s="34">
        <f>SUMIFS('BA History S2'!C:C,'BA History S2'!B:B,A24)</f>
        <v>212</v>
      </c>
      <c r="G24" s="66">
        <f>AVERAGEIFS('BA History S2'!C:C,'BA History S2'!B:B,A24)</f>
        <v>16.307692307692307</v>
      </c>
      <c r="H24" s="35">
        <f t="array" ref="H24">MAX(IF('BA History S2'!B:B=A24, 'BA History S2'!C:C))</f>
        <v>26</v>
      </c>
      <c r="I24" s="34">
        <f>COUNTIFS('BA History S2'!B:B,A24,'BA History S2'!D:D, 1)</f>
        <v>5</v>
      </c>
      <c r="J24" s="2">
        <f>COUNTIFS('BA History S2'!B:B,A24,'BA History S2'!D:D, 0)</f>
        <v>8</v>
      </c>
      <c r="K24" s="75">
        <f>LOOKUP(2, 1/('BA History S2'!$B:$B=A24), 'BA History S2'!$AK:$AK)</f>
        <v>0.38461538461538464</v>
      </c>
      <c r="L24" s="34">
        <f>SUMIFS('BA History S2'!F:F,'BA History S2'!B:B,A24)</f>
        <v>20</v>
      </c>
      <c r="M24" s="2">
        <f>SUMIFS('BA History S2'!E:E,'BA History S2'!B:B,A24)-L24</f>
        <v>28</v>
      </c>
      <c r="N24" s="75">
        <f>LOOKUP(2, 1/('BA History S2'!$B:$B=A24), 'BA History S2'!$AI:$AI)</f>
        <v>0.40384615384615385</v>
      </c>
      <c r="O24" s="34">
        <f>SUMIFS('BA History S2'!H:H,'BA History S2'!B:B,A24)</f>
        <v>95</v>
      </c>
      <c r="P24" s="2">
        <f>SUMIFS('BA History S2'!G:G,'BA History S2'!B:B,A24)-O24</f>
        <v>115</v>
      </c>
      <c r="Q24" s="89">
        <f>LOOKUP(2, 1/('BA History S2'!$B:$B=A24), 'BA History S2'!$AJ:$AJ)</f>
        <v>0.44384615384615383</v>
      </c>
      <c r="R24" s="2">
        <f>COUNTIFS('BA History S2'!$B:$B,$A$24,'BA History S2'!K:K, 1)</f>
        <v>1</v>
      </c>
      <c r="S24" s="2">
        <f>COUNTIFS('BA History S2'!$B:$B,$A$24,'BA History S2'!L:L, 1)</f>
        <v>2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3</v>
      </c>
      <c r="AH24" s="2">
        <f>COUNTIFS('BA History S2'!$B:$B,$A24,'BA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3</v>
      </c>
      <c r="AK24" s="2">
        <f>COUNTIFS('BA History S2'!$B:$B,$A$24,'BA History S2'!AD:AD, 1)</f>
        <v>2</v>
      </c>
      <c r="AL24" s="2">
        <f>COUNTIFS('BA History S2'!$B:$B,$A$24,'BA History S2'!AE:AE, 1)</f>
        <v>1</v>
      </c>
      <c r="AM24" s="2">
        <f>COUNTIFS('BA History S2'!$B:$B,$A$24,'BA History S2'!AF:AF, 1)</f>
        <v>1</v>
      </c>
      <c r="AN24" s="2">
        <f>COUNTIFS('BA History S2'!$B:$B,$A$24,'BA History S2'!AG:AG, 1)</f>
        <v>1</v>
      </c>
    </row>
    <row r="25" spans="1:40" x14ac:dyDescent="0.25">
      <c r="A25" s="2" t="s">
        <v>2</v>
      </c>
      <c r="B25" s="1" t="s">
        <v>158</v>
      </c>
      <c r="C25" s="1">
        <v>1</v>
      </c>
      <c r="F25" s="34">
        <f>SUMIFS('BA History S2'!C:C,'BA History S2'!B:B,A25)</f>
        <v>291</v>
      </c>
      <c r="G25" s="66">
        <f>AVERAGEIFS('BA History S2'!C:C,'BA History S2'!B:B,A25)</f>
        <v>19.399999999999999</v>
      </c>
      <c r="H25" s="35">
        <f t="array" ref="H25">MAX(IF('BA History S2'!B:B=A25, 'BA History S2'!C:C))</f>
        <v>38</v>
      </c>
      <c r="I25" s="34">
        <f>COUNTIFS('BA History S2'!B:B,A25,'BA History S2'!D:D, 1)</f>
        <v>5</v>
      </c>
      <c r="J25" s="2">
        <f>COUNTIFS('BA History S2'!B:B,A25,'BA History S2'!D:D, 0)</f>
        <v>10</v>
      </c>
      <c r="K25" s="75">
        <f>LOOKUP(2, 1/('BA History S2'!$B:$B=A25), 'BA History S2'!$AK:$AK)</f>
        <v>0.33333333333333331</v>
      </c>
      <c r="L25" s="34">
        <f>SUMIFS('BA History S2'!F:F,'BA History S2'!B:B,A25)</f>
        <v>25</v>
      </c>
      <c r="M25" s="2">
        <f>SUMIFS('BA History S2'!E:E,'BA History S2'!B:B,A25)-L25</f>
        <v>35</v>
      </c>
      <c r="N25" s="75">
        <f>LOOKUP(2, 1/('BA History S2'!$B:$B=A25), 'BA History S2'!$AI:$AI)</f>
        <v>0.40333333333333332</v>
      </c>
      <c r="O25" s="34">
        <f>SUMIFS('BA History S2'!H:H,'BA History S2'!B:B,A25)</f>
        <v>125</v>
      </c>
      <c r="P25" s="2">
        <f>SUMIFS('BA History S2'!G:G,'BA History S2'!B:B,A25)-O25</f>
        <v>128</v>
      </c>
      <c r="Q25" s="89">
        <f>LOOKUP(2, 1/('BA History S2'!$B:$B=A25), 'BA History S2'!$AJ:$AJ)</f>
        <v>0.48733333333333334</v>
      </c>
      <c r="R25" s="2">
        <f>COUNTIFS('BA History S2'!$B:$B,$A$25,'BA History S2'!K:K, 1)</f>
        <v>2</v>
      </c>
      <c r="S25" s="2">
        <f>COUNTIFS('BA History S2'!$B:$B,$A$25,'BA History S2'!L:L, 1)</f>
        <v>1</v>
      </c>
      <c r="T25" s="2">
        <f>COUNTIFS('BA History S2'!$B:$B,$A$25,'BA History S2'!M:M, 1)</f>
        <v>0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1</v>
      </c>
      <c r="AH25" s="2">
        <f>COUNTIFS('BA History S2'!$B:$B,$A25,'BA History S2'!AA:AA, 1)</f>
        <v>1</v>
      </c>
      <c r="AI25" s="2">
        <f>COUNTIFS('BA History S2'!$B:$B,$A$25,'BA History S2'!AB:AB, 1)</f>
        <v>1</v>
      </c>
      <c r="AJ25" s="2">
        <f>COUNTIFS('BA History S2'!$B:$B,$A$25,'BA History S2'!AC:AC, 1)</f>
        <v>6</v>
      </c>
      <c r="AK25" s="2">
        <f>COUNTIFS('BA History S2'!$B:$B,$A$25,'BA History S2'!AD:AD, 1)</f>
        <v>2</v>
      </c>
      <c r="AL25" s="2">
        <f>COUNTIFS('BA History S2'!$B:$B,$A$25,'BA History S2'!AE:AE, 1)</f>
        <v>3</v>
      </c>
      <c r="AM25" s="2">
        <f>COUNTIFS('BA History S2'!$B:$B,$A$25,'BA History S2'!AF:AF, 1)</f>
        <v>0</v>
      </c>
      <c r="AN25" s="2">
        <f>COUNTIFS('BA History S2'!$B:$B,$A$25,'BA History S2'!AG:AG, 1)</f>
        <v>2</v>
      </c>
    </row>
    <row r="26" spans="1:40" x14ac:dyDescent="0.25">
      <c r="A26" s="2" t="s">
        <v>54</v>
      </c>
      <c r="B26" s="2" t="s">
        <v>79</v>
      </c>
      <c r="C26" s="2">
        <v>3</v>
      </c>
      <c r="D26" s="2">
        <v>1</v>
      </c>
      <c r="E26" s="2"/>
      <c r="F26" s="34">
        <f>SUMIFS('BA History S2'!C:C,'BA History S2'!B:B,A26)</f>
        <v>340</v>
      </c>
      <c r="G26" s="66">
        <f>AVERAGEIFS('BA History S2'!C:C,'BA History S2'!B:B,A26)</f>
        <v>21.25</v>
      </c>
      <c r="H26" s="35">
        <f t="array" ref="H26">MAX(IF('BA History S2'!B:B=A26, 'BA History S2'!C:C))</f>
        <v>47</v>
      </c>
      <c r="I26" s="34">
        <f>COUNTIFS('BA History S2'!B:B,A26,'BA History S2'!D:D, 1)</f>
        <v>8</v>
      </c>
      <c r="J26" s="2">
        <f>COUNTIFS('BA History S2'!B:B,A26,'BA History S2'!D:D, 0)</f>
        <v>8</v>
      </c>
      <c r="K26" s="75">
        <f>LOOKUP(2, 1/('BA History S2'!$B:$B=A26), 'BA History S2'!$AK:$AK)</f>
        <v>0.5</v>
      </c>
      <c r="L26" s="34">
        <f>SUMIFS('BA History S2'!F:F,'BA History S2'!B:B,A26)</f>
        <v>32</v>
      </c>
      <c r="M26" s="2">
        <f>SUMIFS('BA History S2'!E:E,'BA History S2'!B:B,A26)-L26</f>
        <v>30</v>
      </c>
      <c r="N26" s="75">
        <f>LOOKUP(2, 1/('BA History S2'!$B:$B=A26), 'BA History S2'!$AI:$AI)</f>
        <v>0.52500000000000002</v>
      </c>
      <c r="O26" s="34">
        <f>SUMIFS('BA History S2'!H:H,'BA History S2'!B:B,A26)</f>
        <v>127</v>
      </c>
      <c r="P26" s="2">
        <f>SUMIFS('BA History S2'!G:G,'BA History S2'!B:B,A26)-O26</f>
        <v>127</v>
      </c>
      <c r="Q26" s="89">
        <f>LOOKUP(2, 1/('BA History S2'!$B:$B=A26), 'BA History S2'!$AJ:$AJ)</f>
        <v>0.50312499999999993</v>
      </c>
      <c r="R26" s="2">
        <f>COUNTIFS('BA History S2'!$B:$B,$A$26,'BA History S2'!K:K, 1)</f>
        <v>1</v>
      </c>
      <c r="S26" s="2">
        <f>COUNTIFS('BA History S2'!$B:$B,$A$26,'BA History S2'!L:L, 1)</f>
        <v>3</v>
      </c>
      <c r="T26" s="2">
        <f>COUNTIFS('BA History S2'!$B:$B,$A$26,'BA History S2'!M:M, 1)</f>
        <v>3</v>
      </c>
      <c r="U26" s="2">
        <f>COUNTIFS('BA History S2'!$B:$B,$A$26,'BA History S2'!N:N, 1)</f>
        <v>3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2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3</v>
      </c>
      <c r="AH26" s="2">
        <f>COUNTIFS('BA History S2'!$B:$B,$A26,'BA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4</v>
      </c>
      <c r="AK26" s="2">
        <f>COUNTIFS('BA History S2'!$B:$B,$A$26,'BA History S2'!AD:AD, 1)</f>
        <v>2</v>
      </c>
      <c r="AL26" s="2">
        <f>COUNTIFS('BA History S2'!$B:$B,$A$26,'BA History S2'!AE:AE, 1)</f>
        <v>2</v>
      </c>
      <c r="AM26" s="2">
        <f>COUNTIFS('BA History S2'!$B:$B,$A$26,'BA History S2'!AF:AF, 1)</f>
        <v>0</v>
      </c>
      <c r="AN26" s="2">
        <f>COUNTIFS('BA History S2'!$B:$B,$A$26,'BA History S2'!AG:AG, 1)</f>
        <v>4</v>
      </c>
    </row>
    <row r="27" spans="1:40" x14ac:dyDescent="0.25">
      <c r="A27" s="2" t="s">
        <v>5</v>
      </c>
      <c r="B27" s="1" t="s">
        <v>158</v>
      </c>
      <c r="C27" s="1">
        <v>1</v>
      </c>
      <c r="D27" s="1">
        <v>1</v>
      </c>
      <c r="F27" s="34">
        <f>SUMIFS('BA History S2'!C:C,'BA History S2'!B:B,A27)</f>
        <v>379</v>
      </c>
      <c r="G27" s="66">
        <f>AVERAGEIFS('BA History S2'!C:C,'BA History S2'!B:B,A27)</f>
        <v>18.047619047619047</v>
      </c>
      <c r="H27" s="35">
        <f t="array" ref="H27">MAX(IF('BA History S2'!B:B=A27, 'BA History S2'!C:C))</f>
        <v>37</v>
      </c>
      <c r="I27" s="34">
        <f>COUNTIFS('BA History S2'!B:B,A27,'BA History S2'!D:D, 1)</f>
        <v>10</v>
      </c>
      <c r="J27" s="2">
        <f>COUNTIFS('BA History S2'!B:B,A27,'BA History S2'!D:D, 0)</f>
        <v>11</v>
      </c>
      <c r="K27" s="75">
        <f>LOOKUP(2, 1/('BA History S2'!$B:$B=A27), 'BA History S2'!$AK:$AK)</f>
        <v>0.47619047619047616</v>
      </c>
      <c r="L27" s="34">
        <f>SUMIFS('BA History S2'!F:F,'BA History S2'!B:B,A27)</f>
        <v>40</v>
      </c>
      <c r="M27" s="2">
        <f>SUMIFS('BA History S2'!E:E,'BA History S2'!B:B,A27)-L27</f>
        <v>45</v>
      </c>
      <c r="N27" s="75">
        <f>LOOKUP(2, 1/('BA History S2'!$B:$B=A27), 'BA History S2'!$AI:$AI)</f>
        <v>0.45714285714285718</v>
      </c>
      <c r="O27" s="34">
        <f>SUMIFS('BA History S2'!H:H,'BA History S2'!B:B,A27)</f>
        <v>169</v>
      </c>
      <c r="P27" s="2">
        <f>SUMIFS('BA History S2'!G:G,'BA History S2'!B:B,A27)-O27</f>
        <v>183</v>
      </c>
      <c r="Q27" s="89">
        <f>LOOKUP(2, 1/('BA History S2'!$B:$B=A27), 'BA History S2'!$AJ:$AJ)</f>
        <v>0.47809523809523813</v>
      </c>
      <c r="R27" s="2">
        <f>COUNTIFS('BA History S2'!$B:$B,$A$27,'BA History S2'!K:K, 1)</f>
        <v>2</v>
      </c>
      <c r="S27" s="2">
        <f>COUNTIFS('BA History S2'!$B:$B,$A$27,'BA History S2'!L:L, 1)</f>
        <v>4</v>
      </c>
      <c r="T27" s="2">
        <f>COUNTIFS('BA History S2'!$B:$B,$A$27,'BA History S2'!M:M, 1)</f>
        <v>5</v>
      </c>
      <c r="U27" s="2">
        <f>COUNTIFS('BA History S2'!$B:$B,$A$27,'BA History S2'!N:N, 1)</f>
        <v>6</v>
      </c>
      <c r="V27" s="2">
        <f>COUNTIFS('BA History S2'!$B:$B,$A$27,'BA History S2'!O:O, 1)</f>
        <v>1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5</v>
      </c>
      <c r="AH27" s="2">
        <f>COUNTIFS('BA History S2'!$B:$B,$A27,'BA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7</v>
      </c>
      <c r="AK27" s="2">
        <f>COUNTIFS('BA History S2'!$B:$B,$A$27,'BA History S2'!AD:AD, 1)</f>
        <v>1</v>
      </c>
      <c r="AL27" s="2">
        <f>COUNTIFS('BA History S2'!$B:$B,$A$27,'BA History S2'!AE:AE, 1)</f>
        <v>1</v>
      </c>
      <c r="AM27" s="2">
        <f>COUNTIFS('BA History S2'!$B:$B,$A$27,'BA History S2'!AF:AF, 1)</f>
        <v>0</v>
      </c>
      <c r="AN27" s="2">
        <f>COUNTIFS('BA History S2'!$B:$B,$A$27,'BA History S2'!AG:AG, 1)</f>
        <v>2</v>
      </c>
    </row>
    <row r="28" spans="1:40" x14ac:dyDescent="0.25">
      <c r="A28" s="2" t="s">
        <v>226</v>
      </c>
      <c r="B28" s="1" t="s">
        <v>79</v>
      </c>
      <c r="F28" s="34">
        <f>SUMIFS('BA History S2'!C:C,'BA History S2'!B:B,A28)</f>
        <v>10</v>
      </c>
      <c r="G28" s="66">
        <f>AVERAGEIFS('BA History S2'!C:C,'BA History S2'!B:B,A28)</f>
        <v>10</v>
      </c>
      <c r="H28" s="35">
        <f t="array" ref="H28">MAX(IF('BA History S2'!B:B=A28, 'BA History S2'!C:C))</f>
        <v>10</v>
      </c>
      <c r="I28" s="34">
        <f>COUNTIFS('BA History S2'!B:B,A28,'BA History S2'!D:D, 1)</f>
        <v>1</v>
      </c>
      <c r="J28" s="2">
        <f>COUNTIFS('BA History S2'!B:B,A28,'BA History S2'!D:D, 0)</f>
        <v>0</v>
      </c>
      <c r="K28" s="75">
        <f>LOOKUP(2, 1/('BA History S2'!$B:$B=A28), 'BA History S2'!$AK:$AK)</f>
        <v>1</v>
      </c>
      <c r="L28" s="34">
        <f>SUMIFS('BA History S2'!F:F,'BA History S2'!B:B,A28)</f>
        <v>3</v>
      </c>
      <c r="M28" s="2">
        <f>SUMIFS('BA History S2'!E:E,'BA History S2'!B:B,A28)-L28</f>
        <v>0</v>
      </c>
      <c r="N28" s="75">
        <f>LOOKUP(2, 1/('BA History S2'!$B:$B=A28), 'BA History S2'!$AI:$AI)</f>
        <v>1</v>
      </c>
      <c r="O28" s="34">
        <f>SUMIFS('BA History S2'!H:H,'BA History S2'!B:B,A28)</f>
        <v>9</v>
      </c>
      <c r="P28" s="2">
        <f>SUMIFS('BA History S2'!G:G,'BA History S2'!B:B,A28)-O28</f>
        <v>5</v>
      </c>
      <c r="Q28" s="89">
        <f>LOOKUP(2, 1/('BA History S2'!$B:$B=A28), 'BA History S2'!$AJ:$AJ)</f>
        <v>0.64</v>
      </c>
      <c r="R28" s="2">
        <f>COUNTIFS('BA History S2'!$B:$B,$A$28,'BA History S2'!K:K, 1)</f>
        <v>0</v>
      </c>
      <c r="S28" s="2">
        <f>COUNTIFS('BA History S2'!$B:$B,$A$28,'BA History S2'!L:L, 1)</f>
        <v>0</v>
      </c>
      <c r="T28" s="2">
        <f>COUNTIFS('BA History S2'!$B:$B,$A$28,'BA History S2'!M:M, 1)</f>
        <v>1</v>
      </c>
      <c r="U28" s="2">
        <f>COUNTIFS('BA History S2'!$B:$B,$A$28,'BA History S2'!N:N, 1)</f>
        <v>0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0</v>
      </c>
      <c r="AH28" s="2">
        <f>COUNTIFS('BA History S2'!$B:$B,$A$28,'BA History S2'!AA:AA, 1)</f>
        <v>0</v>
      </c>
      <c r="AI28" s="2">
        <f>COUNTIFS('BA History S2'!$B:$B,$A$28,'BA History S2'!AB:AB, 1)</f>
        <v>0</v>
      </c>
      <c r="AJ28" s="2">
        <f>COUNTIFS('BA History S2'!$B:$B,$A$28,'BA History S2'!AC:AC, 1)</f>
        <v>1</v>
      </c>
      <c r="AK28" s="2">
        <f>COUNTIFS('BA History S2'!$B:$B,$A$28,'BA History S2'!AD:AD, 1)</f>
        <v>0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  <c r="AN28" s="2">
        <f>COUNTIFS('BA History S2'!$B:$B,$A$28,'BA History S2'!AG:AG, 1)</f>
        <v>1</v>
      </c>
    </row>
    <row r="29" spans="1:40" x14ac:dyDescent="0.25">
      <c r="A29" s="2" t="s">
        <v>141</v>
      </c>
      <c r="B29" s="2" t="s">
        <v>79</v>
      </c>
      <c r="C29" s="2">
        <v>1</v>
      </c>
      <c r="D29" s="2"/>
      <c r="E29" s="2"/>
      <c r="F29" s="34">
        <f>SUMIFS('BA History S2'!C:C,'BA History S2'!B:B,A29)</f>
        <v>272</v>
      </c>
      <c r="G29" s="66">
        <f>AVERAGEIFS('BA History S2'!C:C,'BA History S2'!B:B,A29)</f>
        <v>17</v>
      </c>
      <c r="H29" s="35">
        <f t="array" ref="H29">MAX(IF('BA History S2'!B:B=A29, 'BA History S2'!C:C))</f>
        <v>33</v>
      </c>
      <c r="I29" s="34">
        <f>COUNTIFS('BA History S2'!B:B,A29,'BA History S2'!D:D, 1)</f>
        <v>11</v>
      </c>
      <c r="J29" s="2">
        <f>COUNTIFS('BA History S2'!B:B,A29,'BA History S2'!D:D, 0)</f>
        <v>5</v>
      </c>
      <c r="K29" s="75">
        <f>LOOKUP(2, 1/('BA History S2'!$B:$B=A29), 'BA History S2'!$AK:$AK)</f>
        <v>0.6875</v>
      </c>
      <c r="L29" s="34">
        <f>SUMIFS('BA History S2'!F:F,'BA History S2'!B:B,A29)</f>
        <v>35</v>
      </c>
      <c r="M29" s="2">
        <f>SUMIFS('BA History S2'!E:E,'BA History S2'!B:B,A29)-L29</f>
        <v>29</v>
      </c>
      <c r="N29" s="75">
        <f>LOOKUP(2, 1/('BA History S2'!$B:$B=A29), 'BA History S2'!$AI:$AI)</f>
        <v>0.53125</v>
      </c>
      <c r="O29" s="34">
        <f>SUMIFS('BA History S2'!H:H,'BA History S2'!B:B,A29)</f>
        <v>141</v>
      </c>
      <c r="P29" s="2">
        <f>SUMIFS('BA History S2'!G:G,'BA History S2'!B:B,A29)-O29</f>
        <v>129</v>
      </c>
      <c r="Q29" s="89">
        <f>LOOKUP(2, 1/('BA History S2'!$B:$B=A29), 'BA History S2'!$AJ:$AJ)</f>
        <v>0.51750000000000007</v>
      </c>
      <c r="R29" s="2">
        <f>COUNTIFS('BA History S2'!$B:$B,$A$29,'BA History S2'!K:K, 1)</f>
        <v>3</v>
      </c>
      <c r="S29" s="2">
        <f>COUNTIFS('BA History S2'!$B:$B,$A$29,'BA History S2'!L:L, 1)</f>
        <v>1</v>
      </c>
      <c r="T29" s="2">
        <f>COUNTIFS('BA History S2'!$B:$B,$A$29,'BA History S2'!M:M, 1)</f>
        <v>1</v>
      </c>
      <c r="U29" s="2">
        <f>COUNTIFS('BA History S2'!$B:$B,$A$29,'BA History S2'!N:N, 1)</f>
        <v>4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1</v>
      </c>
      <c r="AD29" s="2">
        <f>COUNTIFS('BA History S2'!$B:$B,$A$29,'BA History S2'!W:W, 1)</f>
        <v>1</v>
      </c>
      <c r="AE29" s="2">
        <f>COUNTIFS('BA History S2'!$B:$B,$A$29,'BA History S2'!X:X, 1)</f>
        <v>0</v>
      </c>
      <c r="AF29" s="2">
        <f>COUNTIFS('BA History S2'!$B:$B,$A$29,'BA History S2'!Y:Y, 1)</f>
        <v>3</v>
      </c>
      <c r="AG29" s="2">
        <f>COUNTIFS('BA History S2'!$B:$B,$A$29,'BA History S2'!Z:Z, 1)</f>
        <v>4</v>
      </c>
      <c r="AH29" s="2">
        <f>COUNTIFS('BA History S2'!$B:$B,$A29,'BA History S2'!AA:AA, 1)</f>
        <v>0</v>
      </c>
      <c r="AI29" s="2">
        <f>COUNTIFS('BA History S2'!$B:$B,$A$29,'BA History S2'!AB:AB, 1)</f>
        <v>0</v>
      </c>
      <c r="AJ29" s="2">
        <f>COUNTIFS('BA History S2'!$B:$B,$A$29,'BA History S2'!AC:AC, 1)</f>
        <v>5</v>
      </c>
      <c r="AK29" s="2">
        <f>COUNTIFS('BA History S2'!$B:$B,$A$29,'BA History S2'!AD:AD, 1)</f>
        <v>3</v>
      </c>
      <c r="AL29" s="2">
        <f>COUNTIFS('BA History S2'!$B:$B,$A$29,'BA History S2'!AE:AE, 1)</f>
        <v>4</v>
      </c>
      <c r="AM29" s="2">
        <f>COUNTIFS('BA History S2'!$B:$B,$A$29,'BA History S2'!AF:AF, 1)</f>
        <v>0</v>
      </c>
      <c r="AN29" s="2">
        <f>COUNTIFS('BA History S2'!$B:$B,$A$29,'BA History S2'!AG:AG, 1)</f>
        <v>2</v>
      </c>
    </row>
    <row r="30" spans="1:40" x14ac:dyDescent="0.25">
      <c r="A30" s="2" t="s">
        <v>40</v>
      </c>
      <c r="B30" s="2" t="s">
        <v>79</v>
      </c>
      <c r="C30" s="2"/>
      <c r="D30" s="2"/>
      <c r="E30" s="2"/>
      <c r="F30" s="34">
        <f>SUMIFS('BA History S2'!C:C,'BA History S2'!B:B,A30)</f>
        <v>456</v>
      </c>
      <c r="G30" s="66">
        <f>AVERAGEIFS('BA History S2'!C:C,'BA History S2'!B:B,A30)</f>
        <v>19</v>
      </c>
      <c r="H30" s="35">
        <f t="array" ref="H30">MAX(IF('BA History S2'!B:B=A30, 'BA History S2'!C:C))</f>
        <v>37</v>
      </c>
      <c r="I30" s="34">
        <f>COUNTIFS('BA History S2'!B:B,A30,'BA History S2'!D:D, 1)</f>
        <v>10</v>
      </c>
      <c r="J30" s="2">
        <f>COUNTIFS('BA History S2'!B:B,A30,'BA History S2'!D:D, 0)</f>
        <v>14</v>
      </c>
      <c r="K30" s="75">
        <f>LOOKUP(2, 1/('BA History S2'!$B:$B=A30), 'BA History S2'!$AK:$AK)</f>
        <v>0.41666666666666669</v>
      </c>
      <c r="L30" s="34">
        <f>SUMIFS('BA History S2'!F:F,'BA History S2'!B:B,A30)</f>
        <v>45</v>
      </c>
      <c r="M30" s="2">
        <f>SUMIFS('BA History S2'!E:E,'BA History S2'!B:B,A30)-L30</f>
        <v>53</v>
      </c>
      <c r="N30" s="75">
        <f>LOOKUP(2, 1/('BA History S2'!$B:$B=A30), 'BA History S2'!$AI:$AI)</f>
        <v>0.45</v>
      </c>
      <c r="O30" s="34">
        <f>SUMIFS('BA History S2'!H:H,'BA History S2'!B:B,A30)</f>
        <v>198</v>
      </c>
      <c r="P30" s="2">
        <f>SUMIFS('BA History S2'!G:G,'BA History S2'!B:B,A30)-O30</f>
        <v>211</v>
      </c>
      <c r="Q30" s="89">
        <f>LOOKUP(2, 1/('BA History S2'!$B:$B=A30), 'BA History S2'!$AJ:$AJ)</f>
        <v>0.47749999999999998</v>
      </c>
      <c r="R30" s="2">
        <f>COUNTIFS('BA History S2'!$B:$B,$A$30,'BA History S2'!K:K, 1)</f>
        <v>2</v>
      </c>
      <c r="S30" s="2">
        <f>COUNTIFS('BA History S2'!$B:$B,$A$30,'BA History S2'!L:L, 1)</f>
        <v>4</v>
      </c>
      <c r="T30" s="2">
        <f>COUNTIFS('BA History S2'!$B:$B,$A$30,'BA History S2'!M:M, 1)</f>
        <v>5</v>
      </c>
      <c r="U30" s="2">
        <f>COUNTIFS('BA History S2'!$B:$B,$A$30,'BA History S2'!N:N, 1)</f>
        <v>5</v>
      </c>
      <c r="V30" s="2">
        <f>COUNTIFS('BA History S2'!$B:$B,$A$30,'BA History S2'!O:O, 1)</f>
        <v>1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2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5</v>
      </c>
      <c r="AH30" s="2">
        <f>COUNTIFS('BA History S2'!$B:$B,$A30,'BA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3</v>
      </c>
      <c r="AK30" s="2">
        <f>COUNTIFS('BA History S2'!$B:$B,$A$30,'BA History S2'!AD:AD, 1)</f>
        <v>3</v>
      </c>
      <c r="AL30" s="2">
        <f>COUNTIFS('BA History S2'!$B:$B,$A$30,'BA History S2'!AE:AE, 1)</f>
        <v>6</v>
      </c>
      <c r="AM30" s="2">
        <f>COUNTIFS('BA History S2'!$B:$B,$A$30,'BA History S2'!AF:AF, 1)</f>
        <v>0</v>
      </c>
      <c r="AN30" s="2">
        <f>COUNTIFS('BA History S2'!$B:$B,$A$30,'BA History S2'!AG:AG, 1)</f>
        <v>4</v>
      </c>
    </row>
    <row r="31" spans="1:40" x14ac:dyDescent="0.25">
      <c r="A31" s="2" t="s">
        <v>166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40</v>
      </c>
      <c r="G31" s="66">
        <f>AVERAGEIFS('BA History S2'!C:C,'BA History S2'!B:B,A31)</f>
        <v>10</v>
      </c>
      <c r="H31" s="35">
        <f t="array" ref="H31">MAX(IF('BA History S2'!B:B=A31, 'BA History S2'!C:C))</f>
        <v>21</v>
      </c>
      <c r="I31" s="34">
        <f>COUNTIFS('BA History S2'!B:B,A31,'BA History S2'!D:D, 1)</f>
        <v>3</v>
      </c>
      <c r="J31" s="2">
        <f>COUNTIFS('BA History S2'!B:B,A31,'BA History S2'!D:D, 0)</f>
        <v>1</v>
      </c>
      <c r="K31" s="75">
        <f>LOOKUP(2, 1/('BA History S2'!$B:$B=A31), 'BA History S2'!$AK:$AK)</f>
        <v>0.75</v>
      </c>
      <c r="L31" s="34">
        <f>SUMIFS('BA History S2'!F:F,'BA History S2'!B:B,A31)</f>
        <v>9</v>
      </c>
      <c r="M31" s="2">
        <f>SUMIFS('BA History S2'!E:E,'BA History S2'!B:B,A31)-L31</f>
        <v>8</v>
      </c>
      <c r="N31" s="75">
        <f>LOOKUP(2, 1/('BA History S2'!$B:$B=A31), 'BA History S2'!$AI:$AI)</f>
        <v>0.48750000000000004</v>
      </c>
      <c r="O31" s="34">
        <f>SUMIFS('BA History S2'!H:H,'BA History S2'!B:B,A31)</f>
        <v>38</v>
      </c>
      <c r="P31" s="2">
        <f>SUMIFS('BA History S2'!G:G,'BA History S2'!B:B,A31)-O31</f>
        <v>35</v>
      </c>
      <c r="Q31" s="89">
        <f>LOOKUP(2, 1/('BA History S2'!$B:$B=A31), 'BA History S2'!$AJ:$AJ)</f>
        <v>0.49249999999999999</v>
      </c>
      <c r="R31" s="2">
        <f>COUNTIFS('BA History S2'!$B:$B,$A$31,'BA History S2'!K:K, 1)</f>
        <v>1</v>
      </c>
      <c r="S31" s="2">
        <f>COUNTIFS('BA History S2'!$B:$B,$A$31,'BA History S2'!L:L, 1)</f>
        <v>0</v>
      </c>
      <c r="T31" s="2">
        <f>COUNTIFS('BA History S2'!$B:$B,$A$31,'BA History S2'!M:M, 1)</f>
        <v>1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2</v>
      </c>
      <c r="AH31" s="2">
        <f>COUNTIFS('BA History S2'!$B:$B,$A31,'BA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1</v>
      </c>
      <c r="AM31" s="2">
        <f>COUNTIFS('BA History S2'!$B:$B,$A$31,'BA History S2'!AF:AF, 1)</f>
        <v>0</v>
      </c>
      <c r="AN31" s="2">
        <f>COUNTIFS('BA History S2'!$B:$B,$A$31,'BA History S2'!AG:AG, 1)</f>
        <v>1</v>
      </c>
    </row>
    <row r="32" spans="1:40" x14ac:dyDescent="0.25">
      <c r="A32" s="2" t="s">
        <v>147</v>
      </c>
      <c r="B32" s="2" t="s">
        <v>79</v>
      </c>
      <c r="C32" s="2"/>
      <c r="D32" s="2"/>
      <c r="E32" s="2"/>
      <c r="F32" s="34">
        <f>SUMIFS('BA History S2'!C:C,'BA History S2'!B:B,A32)</f>
        <v>285</v>
      </c>
      <c r="G32" s="66">
        <f>AVERAGEIFS('BA History S2'!C:C,'BA History S2'!B:B,A32)</f>
        <v>15.833333333333334</v>
      </c>
      <c r="H32" s="35">
        <f t="array" ref="H32">MAX(IF('BA History S2'!B:B=A32, 'BA History S2'!C:C))</f>
        <v>28</v>
      </c>
      <c r="I32" s="34">
        <f>COUNTIFS('BA History S2'!B:B,A32,'BA History S2'!D:D, 1)</f>
        <v>9</v>
      </c>
      <c r="J32" s="2">
        <f>COUNTIFS('BA History S2'!B:B,A32,'BA History S2'!D:D, 0)</f>
        <v>9</v>
      </c>
      <c r="K32" s="75">
        <f>LOOKUP(2, 1/('BA History S2'!$B:$B=A32), 'BA History S2'!$AK:$AK)</f>
        <v>0.5</v>
      </c>
      <c r="L32" s="34">
        <f>SUMIFS('BA History S2'!F:F,'BA History S2'!B:B,A32)</f>
        <v>40</v>
      </c>
      <c r="M32" s="2">
        <f>SUMIFS('BA History S2'!E:E,'BA History S2'!B:B,A32)-L32</f>
        <v>36</v>
      </c>
      <c r="N32" s="75">
        <f>LOOKUP(2, 1/('BA History S2'!$B:$B=A32), 'BA History S2'!$AI:$AI)</f>
        <v>0.54999999999999993</v>
      </c>
      <c r="O32" s="34">
        <f>SUMIFS('BA History S2'!H:H,'BA History S2'!B:B,A32)</f>
        <v>170</v>
      </c>
      <c r="P32" s="2">
        <f>SUMIFS('BA History S2'!G:G,'BA History S2'!B:B,A32)-O32</f>
        <v>153</v>
      </c>
      <c r="Q32" s="89">
        <f>LOOKUP(2, 1/('BA History S2'!$B:$B=A32), 'BA History S2'!$AJ:$AJ)</f>
        <v>0.53666666666666663</v>
      </c>
      <c r="R32" s="2">
        <f>COUNTIFS('BA History S2'!$B:$B,$A$32,'BA History S2'!K:K, 1)</f>
        <v>4</v>
      </c>
      <c r="S32" s="2">
        <f>COUNTIFS('BA History S2'!$B:$B,$A$32,'BA History S2'!L:L, 1)</f>
        <v>3</v>
      </c>
      <c r="T32" s="2">
        <f>COUNTIFS('BA History S2'!$B:$B,$A$32,'BA History S2'!M:M, 1)</f>
        <v>2</v>
      </c>
      <c r="U32" s="2">
        <f>COUNTIFS('BA History S2'!$B:$B,$A$32,'BA History S2'!N:N, 1)</f>
        <v>3</v>
      </c>
      <c r="V32" s="2">
        <f>COUNTIFS('BA History S2'!$B:$B,$A$32,'BA History S2'!O:O, 1)</f>
        <v>1</v>
      </c>
      <c r="W32" s="2">
        <f>COUNTIFS('BA History S2'!$B:$B,$A$32,'BA History S2'!P:P, 1)</f>
        <v>1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1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5</v>
      </c>
      <c r="AH32" s="2">
        <f>COUNTIFS('BA History S2'!$B:$B,$A32,'BA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8</v>
      </c>
      <c r="AK32" s="2">
        <f>COUNTIFS('BA History S2'!$B:$B,$A$32,'BA History S2'!AD:AD, 1)</f>
        <v>1</v>
      </c>
      <c r="AL32" s="2">
        <f>COUNTIFS('BA History S2'!$B:$B,$A$32,'BA History S2'!AE:AE, 1)</f>
        <v>3</v>
      </c>
      <c r="AM32" s="2">
        <f>COUNTIFS('BA History S2'!$B:$B,$A$32,'BA History S2'!AF:AF, 1)</f>
        <v>0</v>
      </c>
      <c r="AN32" s="2">
        <f>COUNTIFS('BA History S2'!$B:$B,$A$32,'BA History S2'!AG:AG, 1)</f>
        <v>3</v>
      </c>
    </row>
    <row r="33" spans="1:40" x14ac:dyDescent="0.25">
      <c r="A33" s="2" t="s">
        <v>17</v>
      </c>
      <c r="B33" s="2" t="s">
        <v>79</v>
      </c>
      <c r="C33" s="2">
        <v>1</v>
      </c>
      <c r="D33" s="2">
        <v>1</v>
      </c>
      <c r="E33" s="2"/>
      <c r="F33" s="34">
        <f>SUMIFS('BA History S2'!C:C,'BA History S2'!B:B,A33)</f>
        <v>313</v>
      </c>
      <c r="G33" s="66">
        <f>AVERAGEIFS('BA History S2'!C:C,'BA History S2'!B:B,A33)</f>
        <v>19.5625</v>
      </c>
      <c r="H33" s="35">
        <f t="array" ref="H33">MAX(IF('BA History S2'!B:B=A33, 'BA History S2'!C:C))</f>
        <v>31</v>
      </c>
      <c r="I33" s="34">
        <f>COUNTIFS('BA History S2'!B:B,A33,'BA History S2'!D:D, 1)</f>
        <v>12</v>
      </c>
      <c r="J33" s="2">
        <f>COUNTIFS('BA History S2'!B:B,A33,'BA History S2'!D:D, 0)</f>
        <v>4</v>
      </c>
      <c r="K33" s="75">
        <f>LOOKUP(2, 1/('BA History S2'!$B:$B=A33), 'BA History S2'!$AK:$AK)</f>
        <v>0.75</v>
      </c>
      <c r="L33" s="34">
        <f>SUMIFS('BA History S2'!F:F,'BA History S2'!B:B,A33)</f>
        <v>40</v>
      </c>
      <c r="M33" s="2">
        <f>SUMIFS('BA History S2'!E:E,'BA History S2'!B:B,A33)-L33</f>
        <v>23</v>
      </c>
      <c r="N33" s="75">
        <f>LOOKUP(2, 1/('BA History S2'!$B:$B=A33), 'BA History S2'!$AI:$AI)</f>
        <v>0.65312499999999996</v>
      </c>
      <c r="O33" s="34">
        <f>SUMIFS('BA History S2'!H:H,'BA History S2'!B:B,A33)</f>
        <v>143</v>
      </c>
      <c r="P33" s="2">
        <f>SUMIFS('BA History S2'!G:G,'BA History S2'!B:B,A33)-O33</f>
        <v>118</v>
      </c>
      <c r="Q33" s="89">
        <f>LOOKUP(2, 1/('BA History S2'!$B:$B=A33), 'BA History S2'!$AJ:$AJ)</f>
        <v>0.54625000000000001</v>
      </c>
      <c r="R33" s="2">
        <f>COUNTIFS('BA History S2'!$B:$B,$A$33,'BA History S2'!K:K, 1)</f>
        <v>2</v>
      </c>
      <c r="S33" s="2">
        <f>COUNTIFS('BA History S2'!$B:$B,$A$33,'BA History S2'!L:L, 1)</f>
        <v>2</v>
      </c>
      <c r="T33" s="2">
        <f>COUNTIFS('BA History S2'!$B:$B,$A$33,'BA History S2'!M:M, 1)</f>
        <v>5</v>
      </c>
      <c r="U33" s="2">
        <f>COUNTIFS('BA History S2'!$B:$B,$A$33,'BA History S2'!N:N, 1)</f>
        <v>2</v>
      </c>
      <c r="V33" s="2">
        <f>COUNTIFS('BA History S2'!$B:$B,$A$33,'BA History S2'!O:O, 1)</f>
        <v>1</v>
      </c>
      <c r="W33" s="2">
        <f>COUNTIFS('BA History S2'!$B:$B,$A$33,'BA History S2'!P:P, 1)</f>
        <v>1</v>
      </c>
      <c r="X33" s="2">
        <f>COUNTIFS('BA History S2'!$B:$B,$A$33,'BA History S2'!Q:Q, 1)</f>
        <v>2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4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7</v>
      </c>
      <c r="AK33" s="2">
        <f>COUNTIFS('BA History S2'!$B:$B,$A$33,'BA History S2'!AD:AD, 1)</f>
        <v>3</v>
      </c>
      <c r="AL33" s="2">
        <f>COUNTIFS('BA History S2'!$B:$B,$A$33,'BA History S2'!AE:AE, 1)</f>
        <v>3</v>
      </c>
      <c r="AM33" s="2">
        <f>COUNTIFS('BA History S2'!$B:$B,$A$33,'BA History S2'!AF:AF, 1)</f>
        <v>1</v>
      </c>
      <c r="AN33" s="2">
        <f>COUNTIFS('BA History S2'!$B:$B,$A$33,'BA History S2'!AG:AG, 1)</f>
        <v>4</v>
      </c>
    </row>
    <row r="34" spans="1:40" x14ac:dyDescent="0.25">
      <c r="A34" s="2" t="s">
        <v>6</v>
      </c>
      <c r="B34" s="1" t="s">
        <v>158</v>
      </c>
      <c r="D34" s="1">
        <v>1</v>
      </c>
      <c r="E34" s="1">
        <v>1</v>
      </c>
      <c r="F34" s="34">
        <f>SUMIFS('BA History S2'!C:C,'BA History S2'!B:B,A34)</f>
        <v>645</v>
      </c>
      <c r="G34" s="66">
        <f>AVERAGEIFS('BA History S2'!C:C,'BA History S2'!B:B,A34)</f>
        <v>23.888888888888889</v>
      </c>
      <c r="H34" s="35">
        <f t="array" ref="H34">MAX(IF('BA History S2'!B:B=A34, 'BA History S2'!C:C))</f>
        <v>42</v>
      </c>
      <c r="I34" s="34">
        <f>COUNTIFS('BA History S2'!B:B,A34,'BA History S2'!D:D, 1)</f>
        <v>17</v>
      </c>
      <c r="J34" s="2">
        <f>COUNTIFS('BA History S2'!B:B,A34,'BA History S2'!D:D, 0)</f>
        <v>10</v>
      </c>
      <c r="K34" s="75">
        <f>LOOKUP(2, 1/('BA History S2'!$B:$B=A34), 'BA History S2'!$AK:$AK)</f>
        <v>0.62962962962962965</v>
      </c>
      <c r="L34" s="34">
        <f>SUMIFS('BA History S2'!F:F,'BA History S2'!B:B,A34)</f>
        <v>61</v>
      </c>
      <c r="M34" s="2">
        <f>SUMIFS('BA History S2'!E:E,'BA History S2'!B:B,A34)-L34</f>
        <v>45</v>
      </c>
      <c r="N34" s="75">
        <f>LOOKUP(2, 1/('BA History S2'!$B:$B=A34), 'BA History S2'!$AI:$AI)</f>
        <v>0.58703703703703702</v>
      </c>
      <c r="O34" s="34">
        <f>SUMIFS('BA History S2'!H:H,'BA History S2'!B:B,A34)</f>
        <v>236</v>
      </c>
      <c r="P34" s="2">
        <f>SUMIFS('BA History S2'!G:G,'BA History S2'!B:B,A34)-O34</f>
        <v>205</v>
      </c>
      <c r="Q34" s="89">
        <f>LOOKUP(2, 1/('BA History S2'!$B:$B=A34), 'BA History S2'!$AJ:$AJ)</f>
        <v>0.53481481481481474</v>
      </c>
      <c r="R34" s="2">
        <f>COUNTIFS('BA History S2'!$B:$B,$A$34,'BA History S2'!K:K, 1)</f>
        <v>4</v>
      </c>
      <c r="S34" s="2">
        <f>COUNTIFS('BA History S2'!$B:$B,$A$34,'BA History S2'!L:L, 1)</f>
        <v>3</v>
      </c>
      <c r="T34" s="2">
        <f>COUNTIFS('BA History S2'!$B:$B,$A$34,'BA History S2'!M:M, 1)</f>
        <v>6</v>
      </c>
      <c r="U34" s="2">
        <f>COUNTIFS('BA History S2'!$B:$B,$A$34,'BA History S2'!N:N, 1)</f>
        <v>4</v>
      </c>
      <c r="V34" s="2">
        <f>COUNTIFS('BA History S2'!$B:$B,$A$34,'BA History S2'!O:O, 1)</f>
        <v>0</v>
      </c>
      <c r="W34" s="2">
        <f>COUNTIFS('BA History S2'!$B:$B,$A$34,'BA History S2'!P:P, 1)</f>
        <v>1</v>
      </c>
      <c r="X34" s="2">
        <f>COUNTIFS('BA History S2'!$B:$B,$A$34,'BA History S2'!Q:Q, 1)</f>
        <v>2</v>
      </c>
      <c r="Y34" s="2">
        <f>COUNTIFS('BA History S2'!$B:$B,$A$34,'BA History S2'!R:R, 1)</f>
        <v>2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2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8</v>
      </c>
      <c r="AH34" s="2">
        <f>COUNTIFS('BA History S2'!$B:$B,$A34,'BA History S2'!AA:AA, 1)</f>
        <v>1</v>
      </c>
      <c r="AI34" s="2">
        <f>COUNTIFS('BA History S2'!$B:$B,$A$34,'BA History S2'!AB:AB, 1)</f>
        <v>1</v>
      </c>
      <c r="AJ34" s="2">
        <f>COUNTIFS('BA History S2'!$B:$B,$A$34,'BA History S2'!AC:AC, 1)</f>
        <v>11</v>
      </c>
      <c r="AK34" s="2">
        <f>COUNTIFS('BA History S2'!$B:$B,$A$34,'BA History S2'!AD:AD, 1)</f>
        <v>5</v>
      </c>
      <c r="AL34" s="2">
        <f>COUNTIFS('BA History S2'!$B:$B,$A$34,'BA History S2'!AE:AE, 1)</f>
        <v>2</v>
      </c>
      <c r="AM34" s="2">
        <f>COUNTIFS('BA History S2'!$B:$B,$A$34,'BA History S2'!AF:AF, 1)</f>
        <v>1</v>
      </c>
      <c r="AN34" s="2">
        <f>COUNTIFS('BA History S2'!$B:$B,$A$34,'BA History S2'!AG:AG, 1)</f>
        <v>5</v>
      </c>
    </row>
    <row r="35" spans="1:40" x14ac:dyDescent="0.25">
      <c r="A35" s="2" t="s">
        <v>18</v>
      </c>
      <c r="B35" s="1" t="s">
        <v>79</v>
      </c>
      <c r="F35" s="34">
        <f>SUMIFS('BA History S2'!C:C,'BA History S2'!B:B,A35)</f>
        <v>75</v>
      </c>
      <c r="G35" s="66">
        <f>AVERAGEIFS('BA History S2'!C:C,'BA History S2'!B:B,A35)</f>
        <v>18.75</v>
      </c>
      <c r="H35" s="35">
        <f t="array" ref="H35">MAX(IF('BA History S2'!B:B=A35, 'BA History S2'!C:C))</f>
        <v>30</v>
      </c>
      <c r="I35" s="34">
        <f>COUNTIFS('BA History S2'!B:B,A35,'BA History S2'!D:D, 1)</f>
        <v>2</v>
      </c>
      <c r="J35" s="2">
        <f>COUNTIFS('BA History S2'!B:B,A35,'BA History S2'!D:D, 0)</f>
        <v>2</v>
      </c>
      <c r="K35" s="75">
        <f>LOOKUP(2, 1/('BA History S2'!$B:$B=A35), 'BA History S2'!$AK:$AK)</f>
        <v>0.5</v>
      </c>
      <c r="L35" s="34">
        <f>SUMIFS('BA History S2'!F:F,'BA History S2'!B:B,A35)</f>
        <v>7</v>
      </c>
      <c r="M35" s="2">
        <f>SUMIFS('BA History S2'!E:E,'BA History S2'!B:B,A35)-L35</f>
        <v>6</v>
      </c>
      <c r="N35" s="75">
        <f>LOOKUP(2, 1/('BA History S2'!$B:$B=A35), 'BA History S2'!$AI:$AI)</f>
        <v>0.5625</v>
      </c>
      <c r="O35" s="34">
        <f>SUMIFS('BA History S2'!H:H,'BA History S2'!B:B,A35)</f>
        <v>29</v>
      </c>
      <c r="P35" s="2">
        <f>SUMIFS('BA History S2'!G:G,'BA History S2'!B:B,A35)-O35</f>
        <v>28</v>
      </c>
      <c r="Q35" s="89">
        <f>LOOKUP(2, 1/('BA History S2'!$B:$B=A35), 'BA History S2'!$AJ:$AJ)</f>
        <v>0.52249999999999996</v>
      </c>
      <c r="R35" s="2">
        <f>COUNTIFS('BA History S2'!$B:$B,$A$35,'BA History S2'!K:K, 1)</f>
        <v>0</v>
      </c>
      <c r="S35" s="2">
        <f>COUNTIFS('BA History S2'!$B:$B,$A$35,'BA History S2'!L:L, 1)</f>
        <v>1</v>
      </c>
      <c r="T35" s="2">
        <f>COUNTIFS('BA History S2'!$B:$B,$A$35,'BA History S2'!M:M, 1)</f>
        <v>0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1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0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1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  <c r="AN35" s="2">
        <f>COUNTIFS('BA History S2'!$B:$B,$A$35,'BA History S2'!AG:AG, 1)</f>
        <v>0</v>
      </c>
    </row>
    <row r="36" spans="1:40" x14ac:dyDescent="0.25">
      <c r="A36" s="2" t="s">
        <v>178</v>
      </c>
      <c r="B36" s="1" t="s">
        <v>79</v>
      </c>
      <c r="C36" s="1">
        <v>1</v>
      </c>
      <c r="F36" s="34">
        <f>SUMIFS('BA History S2'!C:C,'BA History S2'!B:B,A36)</f>
        <v>26</v>
      </c>
      <c r="G36" s="66">
        <f>AVERAGEIFS('BA History S2'!C:C,'BA History S2'!B:B,A36)</f>
        <v>13</v>
      </c>
      <c r="H36" s="35">
        <f t="array" ref="H36">MAX(IF('BA History S2'!B:B=A36, 'BA History S2'!C:C))</f>
        <v>16</v>
      </c>
      <c r="I36" s="34">
        <f>COUNTIFS('BA History S2'!B:B,A36,'BA History S2'!D:D, 1)</f>
        <v>0</v>
      </c>
      <c r="J36" s="2">
        <f>COUNTIFS('BA History S2'!B:B,A36,'BA History S2'!D:D, 0)</f>
        <v>2</v>
      </c>
      <c r="K36" s="75">
        <f>LOOKUP(2, 1/('BA History S2'!$B:$B=A36), 'BA History S2'!$AK:$AK)</f>
        <v>0</v>
      </c>
      <c r="L36" s="34">
        <f>SUMIFS('BA History S2'!F:F,'BA History S2'!B:B,A36)</f>
        <v>3</v>
      </c>
      <c r="M36" s="2">
        <f>SUMIFS('BA History S2'!E:E,'BA History S2'!B:B,A36)-L36</f>
        <v>6</v>
      </c>
      <c r="N36" s="75">
        <f>LOOKUP(2, 1/('BA History S2'!$B:$B=A36), 'BA History S2'!$AI:$AI)</f>
        <v>0.32500000000000001</v>
      </c>
      <c r="O36" s="34">
        <f>SUMIFS('BA History S2'!H:H,'BA History S2'!B:B,A36)</f>
        <v>19</v>
      </c>
      <c r="P36" s="2">
        <f>SUMIFS('BA History S2'!G:G,'BA History S2'!B:B,A36)-O36</f>
        <v>22</v>
      </c>
      <c r="Q36" s="89">
        <f>LOOKUP(2, 1/('BA History S2'!$B:$B=A36), 'BA History S2'!$AJ:$AJ)</f>
        <v>0.46499999999999997</v>
      </c>
      <c r="R36" s="2">
        <f>COUNTIFS('BA History S2'!$B:$B,$A$36,'BA History S2'!K:K, 1)</f>
        <v>0</v>
      </c>
      <c r="S36" s="2">
        <f>COUNTIFS('BA History S2'!$B:$B,$A$36,'BA History S2'!L:L, 1)</f>
        <v>0</v>
      </c>
      <c r="T36" s="2">
        <f>COUNTIFS('BA History S2'!$B:$B,$A$36,'BA History S2'!M:M, 1)</f>
        <v>0</v>
      </c>
      <c r="U36" s="2">
        <f>COUNTIFS('BA History S2'!$B:$B,$A$36,'BA History S2'!N:N, 1)</f>
        <v>1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0</v>
      </c>
      <c r="AG36" s="2">
        <f>COUNTIFS('BA History S2'!$B:$B,$A$36,'BA History S2'!Z:Z, 1)</f>
        <v>0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0</v>
      </c>
      <c r="AK36" s="2">
        <f>COUNTIFS('BA History S2'!$B:$B,$A$36,'BA History S2'!AD:AD, 1)</f>
        <v>1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  <c r="AN36" s="2">
        <f>COUNTIFS('BA History S2'!$B:$B,$A$36,'BA History S2'!AG:AG, 1)</f>
        <v>0</v>
      </c>
    </row>
    <row r="37" spans="1:40" x14ac:dyDescent="0.25">
      <c r="A37" s="2" t="s">
        <v>113</v>
      </c>
      <c r="B37" s="2" t="s">
        <v>79</v>
      </c>
      <c r="C37" s="2">
        <v>1</v>
      </c>
      <c r="D37" s="2">
        <v>2</v>
      </c>
      <c r="E37" s="2"/>
      <c r="F37" s="34">
        <f>SUMIFS('BA History S2'!C:C,'BA History S2'!B:B,A37)</f>
        <v>433</v>
      </c>
      <c r="G37" s="66">
        <f>AVERAGEIFS('BA History S2'!C:C,'BA History S2'!B:B,A37)</f>
        <v>19.681818181818183</v>
      </c>
      <c r="H37" s="35">
        <f t="array" ref="H37">MAX(IF('BA History S2'!B:B=A37, 'BA History S2'!C:C))</f>
        <v>36</v>
      </c>
      <c r="I37" s="34">
        <f>COUNTIFS('BA History S2'!B:B,A37,'BA History S2'!D:D, 1)</f>
        <v>11</v>
      </c>
      <c r="J37" s="2">
        <f>COUNTIFS('BA History S2'!B:B,A37,'BA History S2'!D:D, 0)</f>
        <v>11</v>
      </c>
      <c r="K37" s="75">
        <f>LOOKUP(2, 1/('BA History S2'!$B:$B=A37), 'BA History S2'!$AK:$AK)</f>
        <v>0.5</v>
      </c>
      <c r="L37" s="34">
        <f>SUMIFS('BA History S2'!F:F,'BA History S2'!B:B,A37)</f>
        <v>48</v>
      </c>
      <c r="M37" s="2">
        <f>SUMIFS('BA History S2'!E:E,'BA History S2'!B:B,A37)-L37</f>
        <v>42</v>
      </c>
      <c r="N37" s="75">
        <f>LOOKUP(2, 1/('BA History S2'!$B:$B=A37), 'BA History S2'!$AI:$AI)</f>
        <v>0.55454545454545456</v>
      </c>
      <c r="O37" s="34">
        <f>SUMIFS('BA History S2'!H:H,'BA History S2'!B:B,A37)</f>
        <v>196</v>
      </c>
      <c r="P37" s="2">
        <f>SUMIFS('BA History S2'!G:G,'BA History S2'!B:B,A37)-O37</f>
        <v>183</v>
      </c>
      <c r="Q37" s="89">
        <f>LOOKUP(2, 1/('BA History S2'!$B:$B=A37), 'BA History S2'!$AJ:$AJ)</f>
        <v>0.54090909090909089</v>
      </c>
      <c r="R37" s="2">
        <f>COUNTIFS('BA History S2'!$B:$B,$A$37,'BA History S2'!K:K, 1)</f>
        <v>2</v>
      </c>
      <c r="S37" s="2">
        <f>COUNTIFS('BA History S2'!$B:$B,$A$37,'BA History S2'!L:L, 1)</f>
        <v>5</v>
      </c>
      <c r="T37" s="2">
        <f>COUNTIFS('BA History S2'!$B:$B,$A$37,'BA History S2'!M:M, 1)</f>
        <v>2</v>
      </c>
      <c r="U37" s="2">
        <f>COUNTIFS('BA History S2'!$B:$B,$A$37,'BA History S2'!N:N, 1)</f>
        <v>4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1</v>
      </c>
      <c r="Y37" s="2">
        <f>COUNTIFS('BA History S2'!$B:$B,$A$37,'BA History S2'!R:R, 1)</f>
        <v>1</v>
      </c>
      <c r="Z37" s="2">
        <f>COUNTIFS('BA History S2'!$B:$B,$A$37,'BA History S2'!S:S, 1)</f>
        <v>1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2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3</v>
      </c>
      <c r="AG37" s="2">
        <f>COUNTIFS('BA History S2'!$B:$B,$A$37,'BA History S2'!Z:Z, 1)</f>
        <v>6</v>
      </c>
      <c r="AH37" s="2">
        <f>COUNTIFS('BA History S2'!$B:$B,$A37,'BA History S2'!AA:AA, 1)</f>
        <v>0</v>
      </c>
      <c r="AI37" s="2">
        <f>COUNTIFS('BA History S2'!$B:$B,$A$37,'BA History S2'!AB:AB, 1)</f>
        <v>0</v>
      </c>
      <c r="AJ37" s="2">
        <f>COUNTIFS('BA History S2'!$B:$B,$A$37,'BA History S2'!AC:AC, 1)</f>
        <v>8</v>
      </c>
      <c r="AK37" s="2">
        <f>COUNTIFS('BA History S2'!$B:$B,$A$37,'BA History S2'!AD:AD, 1)</f>
        <v>4</v>
      </c>
      <c r="AL37" s="2">
        <f>COUNTIFS('BA History S2'!$B:$B,$A$37,'BA History S2'!AE:AE, 1)</f>
        <v>1</v>
      </c>
      <c r="AM37" s="2">
        <f>COUNTIFS('BA History S2'!$B:$B,$A$37,'BA History S2'!AF:AF, 1)</f>
        <v>0</v>
      </c>
      <c r="AN37" s="2">
        <f>COUNTIFS('BA History S2'!$B:$B,$A$37,'BA History S2'!AG:AG, 1)</f>
        <v>5</v>
      </c>
    </row>
    <row r="38" spans="1:40" x14ac:dyDescent="0.25">
      <c r="A38" s="2" t="s">
        <v>14</v>
      </c>
      <c r="B38" s="2" t="s">
        <v>79</v>
      </c>
      <c r="C38" s="2">
        <v>1</v>
      </c>
      <c r="D38" s="2"/>
      <c r="E38" s="2"/>
      <c r="F38" s="34">
        <f>SUMIFS('BA History S2'!C:C,'BA History S2'!B:B,A38)</f>
        <v>94</v>
      </c>
      <c r="G38" s="66">
        <f>AVERAGEIFS('BA History S2'!C:C,'BA History S2'!B:B,A38)</f>
        <v>13.428571428571429</v>
      </c>
      <c r="H38" s="35">
        <f t="array" ref="H38">MAX(IF('BA History S2'!B:B=A38, 'BA History S2'!C:C))</f>
        <v>21</v>
      </c>
      <c r="I38" s="34">
        <f>COUNTIFS('BA History S2'!B:B,A38,'BA History S2'!D:D, 1)</f>
        <v>4</v>
      </c>
      <c r="J38" s="2">
        <f>COUNTIFS('BA History S2'!B:B,A38,'BA History S2'!D:D, 0)</f>
        <v>3</v>
      </c>
      <c r="K38" s="75">
        <f>LOOKUP(2, 1/('BA History S2'!$B:$B=A38), 'BA History S2'!$AK:$AK)</f>
        <v>0.5714285714285714</v>
      </c>
      <c r="L38" s="34">
        <f>SUMIFS('BA History S2'!F:F,'BA History S2'!B:B,A38)</f>
        <v>14</v>
      </c>
      <c r="M38" s="2">
        <f>SUMIFS('BA History S2'!E:E,'BA History S2'!B:B,A38)-L38</f>
        <v>14</v>
      </c>
      <c r="N38" s="75">
        <f>LOOKUP(2, 1/('BA History S2'!$B:$B=A38), 'BA History S2'!$AI:$AI)</f>
        <v>0.49285714285714288</v>
      </c>
      <c r="O38" s="34">
        <f>SUMIFS('BA History S2'!H:H,'BA History S2'!B:B,A38)</f>
        <v>56</v>
      </c>
      <c r="P38" s="2">
        <f>SUMIFS('BA History S2'!G:G,'BA History S2'!B:B,A38)-O38</f>
        <v>61</v>
      </c>
      <c r="Q38" s="89">
        <f>LOOKUP(2, 1/('BA History S2'!$B:$B=A38), 'BA History S2'!$AJ:$AJ)</f>
        <v>0.4514285714285714</v>
      </c>
      <c r="R38" s="2">
        <f>COUNTIFS('BA History S2'!$B:$B,$A$38,'BA History S2'!K:K, 1)</f>
        <v>0</v>
      </c>
      <c r="S38" s="2">
        <f>COUNTIFS('BA History S2'!$B:$B,$A$38,'BA History S2'!L:L, 1)</f>
        <v>1</v>
      </c>
      <c r="T38" s="2">
        <f>COUNTIFS('BA History S2'!$B:$B,$A$38,'BA History S2'!M:M, 1)</f>
        <v>0</v>
      </c>
      <c r="U38" s="2">
        <f>COUNTIFS('BA History S2'!$B:$B,$A$38,'BA History S2'!N:N, 1)</f>
        <v>2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1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0</v>
      </c>
      <c r="AC38" s="2">
        <f>COUNTIFS('BA History S2'!$B:$B,$A$38,'BA History S2'!V:V, 1)</f>
        <v>1</v>
      </c>
      <c r="AD38" s="2">
        <f>COUNTIFS('BA History S2'!$B:$B,$A$38,'BA History S2'!W:W, 1)</f>
        <v>0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2</v>
      </c>
      <c r="AH38" s="2">
        <f>COUNTIFS('BA History S2'!$B:$B,$A38,'BA History S2'!AA:AA, 1)</f>
        <v>0</v>
      </c>
      <c r="AI38" s="2">
        <f>COUNTIFS('BA History S2'!$B:$B,$A$38,'BA History S2'!AB:AB, 1)</f>
        <v>0</v>
      </c>
      <c r="AJ38" s="2">
        <f>COUNTIFS('BA History S2'!$B:$B,$A$38,'BA History S2'!AC:AC, 1)</f>
        <v>4</v>
      </c>
      <c r="AK38" s="2">
        <f>COUNTIFS('BA History S2'!$B:$B,$A$38,'BA History S2'!AD:AD, 1)</f>
        <v>1</v>
      </c>
      <c r="AL38" s="2">
        <f>COUNTIFS('BA History S2'!$B:$B,$A$38,'BA History S2'!AE:AE, 1)</f>
        <v>0</v>
      </c>
      <c r="AM38" s="2">
        <f>COUNTIFS('BA History S2'!$B:$B,$A$38,'BA History S2'!AF:AF, 1)</f>
        <v>0</v>
      </c>
      <c r="AN38" s="2">
        <f>COUNTIFS('BA History S2'!$B:$B,$A$38,'BA History S2'!AG:AG, 1)</f>
        <v>0</v>
      </c>
    </row>
    <row r="39" spans="1:40" x14ac:dyDescent="0.25">
      <c r="A39" s="2" t="s">
        <v>70</v>
      </c>
      <c r="B39" s="2" t="s">
        <v>79</v>
      </c>
      <c r="C39" s="2"/>
      <c r="D39" s="2"/>
      <c r="E39" s="2"/>
      <c r="F39" s="34">
        <f>SUMIFS('BA History S2'!C:C,'BA History S2'!B:B,A39)</f>
        <v>27</v>
      </c>
      <c r="G39" s="66">
        <f>AVERAGEIFS('BA History S2'!C:C,'BA History S2'!B:B,A39)</f>
        <v>9</v>
      </c>
      <c r="H39" s="35">
        <f t="array" ref="H39">MAX(IF('BA History S2'!B:B=A39, 'BA History S2'!C:C))</f>
        <v>11</v>
      </c>
      <c r="I39" s="34">
        <f>COUNTIFS('BA History S2'!B:B,A39,'BA History S2'!D:D, 1)</f>
        <v>0</v>
      </c>
      <c r="J39" s="2">
        <f>COUNTIFS('BA History S2'!B:B,A39,'BA History S2'!D:D, 0)</f>
        <v>3</v>
      </c>
      <c r="K39" s="75">
        <f>LOOKUP(2, 1/('BA History S2'!$B:$B=A39), 'BA History S2'!$AK:$AK)</f>
        <v>0</v>
      </c>
      <c r="L39" s="34">
        <f>SUMIFS('BA History S2'!F:F,'BA History S2'!B:B,A39)</f>
        <v>2</v>
      </c>
      <c r="M39" s="2">
        <f>SUMIFS('BA History S2'!E:E,'BA History S2'!B:B,A39)-L39</f>
        <v>9</v>
      </c>
      <c r="N39" s="75">
        <f>LOOKUP(2, 1/('BA History S2'!$B:$B=A39), 'BA History S2'!$AI:$AI)</f>
        <v>0.16666666666666666</v>
      </c>
      <c r="O39" s="34">
        <f>SUMIFS('BA History S2'!H:H,'BA History S2'!B:B,A39)</f>
        <v>19</v>
      </c>
      <c r="P39" s="2">
        <f>SUMIFS('BA History S2'!G:G,'BA History S2'!B:B,A39)-O39</f>
        <v>28</v>
      </c>
      <c r="Q39" s="89">
        <f>LOOKUP(2, 1/('BA History S2'!$B:$B=A39), 'BA History S2'!$AJ:$AJ)</f>
        <v>0.40000000000000008</v>
      </c>
      <c r="R39" s="2">
        <f>COUNTIFS('BA History S2'!$B:$B,$A$39,'BA History S2'!K:K, 1)</f>
        <v>0</v>
      </c>
      <c r="S39" s="2">
        <f>COUNTIFS('BA History S2'!$B:$B,$A$39,'BA History S2'!L:L, 1)</f>
        <v>0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0</v>
      </c>
      <c r="AH39" s="2">
        <f>COUNTIFS('BA History S2'!$B:$B,$A39,'BA History S2'!AA:AA, 1)</f>
        <v>0</v>
      </c>
      <c r="AI39" s="2">
        <f>COUNTIFS('BA History S2'!$B:$B,$A$39,'BA History S2'!AB:AB, 1)</f>
        <v>0</v>
      </c>
      <c r="AJ39" s="2">
        <f>COUNTIFS('BA History S2'!$B:$B,$A$39,'BA History S2'!AC:AC, 1)</f>
        <v>0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4</v>
      </c>
      <c r="B40" s="1" t="s">
        <v>158</v>
      </c>
      <c r="C40" s="1">
        <v>1</v>
      </c>
      <c r="D40" s="1">
        <v>1</v>
      </c>
      <c r="F40" s="34">
        <f>SUMIFS('BA History S2'!C:C,'BA History S2'!B:B,A40)</f>
        <v>398</v>
      </c>
      <c r="G40" s="66">
        <f>AVERAGEIFS('BA History S2'!C:C,'BA History S2'!B:B,A40)</f>
        <v>24.875</v>
      </c>
      <c r="H40" s="35">
        <f t="array" ref="H40">MAX(IF('BA History S2'!B:B=A40, 'BA History S2'!C:C))</f>
        <v>38</v>
      </c>
      <c r="I40" s="34">
        <f>COUNTIFS('BA History S2'!B:B,A40,'BA History S2'!D:D, 1)</f>
        <v>10</v>
      </c>
      <c r="J40" s="2">
        <f>COUNTIFS('BA History S2'!B:B,A40,'BA History S2'!D:D, 0)</f>
        <v>6</v>
      </c>
      <c r="K40" s="75">
        <f>LOOKUP(2, 1/('BA History S2'!$B:$B=A40), 'BA History S2'!$AK:$AK)</f>
        <v>0.625</v>
      </c>
      <c r="L40" s="34">
        <f>SUMIFS('BA History S2'!F:F,'BA History S2'!B:B,A40)</f>
        <v>36</v>
      </c>
      <c r="M40" s="2">
        <f>SUMIFS('BA History S2'!E:E,'BA History S2'!B:B,A40)-L40</f>
        <v>31</v>
      </c>
      <c r="N40" s="75">
        <f>LOOKUP(2, 1/('BA History S2'!$B:$B=A40), 'BA History S2'!$AI:$AI)</f>
        <v>0.54062500000000002</v>
      </c>
      <c r="O40" s="34">
        <f>SUMIFS('BA History S2'!H:H,'BA History S2'!B:B,A40)</f>
        <v>147</v>
      </c>
      <c r="P40" s="2">
        <f>SUMIFS('BA History S2'!G:G,'BA History S2'!B:B,A40)-O40</f>
        <v>138</v>
      </c>
      <c r="Q40" s="89">
        <f>LOOKUP(2, 1/('BA History S2'!$B:$B=A40), 'BA History S2'!$AJ:$AJ)</f>
        <v>0.51812499999999995</v>
      </c>
      <c r="R40" s="2">
        <f>COUNTIFS('BA History S2'!$B:$B,$A$40,'BA History S2'!K:K, 1)</f>
        <v>2</v>
      </c>
      <c r="S40" s="2">
        <f>COUNTIFS('BA History S2'!$B:$B,$A$40,'BA History S2'!L:L, 1)</f>
        <v>3</v>
      </c>
      <c r="T40" s="2">
        <f>COUNTIFS('BA History S2'!$B:$B,$A$40,'BA History S2'!M:M, 1)</f>
        <v>3</v>
      </c>
      <c r="U40" s="2">
        <f>COUNTIFS('BA History S2'!$B:$B,$A$40,'BA History S2'!N:N, 1)</f>
        <v>4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1</v>
      </c>
      <c r="AC40" s="2">
        <f>COUNTIFS('BA History S2'!$B:$B,$A$40,'BA History S2'!V:V, 1)</f>
        <v>1</v>
      </c>
      <c r="AD40" s="2">
        <f>COUNTIFS('BA History S2'!$B:$B,$A$40,'BA History S2'!W:W, 1)</f>
        <v>1</v>
      </c>
      <c r="AE40" s="2">
        <f>COUNTIFS('BA History S2'!$B:$B,$A$40,'BA History S2'!X:X, 1)</f>
        <v>0</v>
      </c>
      <c r="AF40" s="2">
        <f>COUNTIFS('BA History S2'!$B:$B,$A$40,'BA History S2'!Y:Y, 1)</f>
        <v>3</v>
      </c>
      <c r="AG40" s="2">
        <f>COUNTIFS('BA History S2'!$B:$B,$A$40,'BA History S2'!Z:Z, 1)</f>
        <v>2</v>
      </c>
      <c r="AH40" s="2">
        <f>COUNTIFS('BA History S2'!$B:$B,$A40,'BA History S2'!AA:AA, 1)</f>
        <v>1</v>
      </c>
      <c r="AI40" s="2">
        <f>COUNTIFS('BA History S2'!$B:$B,$A$40,'BA History S2'!AB:AB, 1)</f>
        <v>0</v>
      </c>
      <c r="AJ40" s="2">
        <f>COUNTIFS('BA History S2'!$B:$B,$A$40,'BA History S2'!AC:AC, 1)</f>
        <v>7</v>
      </c>
      <c r="AK40" s="2">
        <f>COUNTIFS('BA History S2'!$B:$B,$A$40,'BA History S2'!AD:AD, 1)</f>
        <v>4</v>
      </c>
      <c r="AL40" s="2">
        <f>COUNTIFS('BA History S2'!$B:$B,$A$40,'BA History S2'!AE:AE, 1)</f>
        <v>2</v>
      </c>
      <c r="AM40" s="2">
        <f>COUNTIFS('BA History S2'!$B:$B,$A$40,'BA History S2'!AF:AF, 1)</f>
        <v>1</v>
      </c>
      <c r="AN40" s="2">
        <f>COUNTIFS('BA History S2'!$B:$B,$A$40,'BA History S2'!AG:AG, 1)</f>
        <v>1</v>
      </c>
    </row>
    <row r="41" spans="1:40" x14ac:dyDescent="0.25">
      <c r="A41" s="1" t="s">
        <v>107</v>
      </c>
      <c r="B41" s="2" t="s">
        <v>79</v>
      </c>
      <c r="C41" s="2"/>
      <c r="D41" s="2"/>
      <c r="E41" s="2"/>
      <c r="F41" s="34">
        <f>SUMIFS('BA History S2'!C:C,'BA History S2'!B:B,A41)</f>
        <v>304</v>
      </c>
      <c r="G41" s="66">
        <f>AVERAGEIFS('BA History S2'!C:C,'BA History S2'!B:B,A41)</f>
        <v>14.476190476190476</v>
      </c>
      <c r="H41" s="35">
        <f t="array" ref="H41">MAX(IF('BA History S2'!B:B=A41, 'BA History S2'!C:C))</f>
        <v>27</v>
      </c>
      <c r="I41" s="34">
        <f>COUNTIFS('BA History S2'!B:B,A41,'BA History S2'!D:D, 1)</f>
        <v>12</v>
      </c>
      <c r="J41" s="2">
        <f>COUNTIFS('BA History S2'!B:B,A41,'BA History S2'!D:D, 0)</f>
        <v>9</v>
      </c>
      <c r="K41" s="75">
        <f>LOOKUP(2, 1/('BA History S2'!$B:$B=A41), 'BA History S2'!$AK:$AK)</f>
        <v>0.5714285714285714</v>
      </c>
      <c r="L41" s="34">
        <f>SUMIFS('BA History S2'!F:F,'BA History S2'!B:B,A41)</f>
        <v>40</v>
      </c>
      <c r="M41" s="2">
        <f>SUMIFS('BA History S2'!E:E,'BA History S2'!B:B,A41)-L41</f>
        <v>42</v>
      </c>
      <c r="N41" s="75">
        <f>LOOKUP(2, 1/('BA History S2'!$B:$B=A41), 'BA History S2'!$AI:$AI)</f>
        <v>0.45952380952380945</v>
      </c>
      <c r="O41" s="34">
        <f>SUMIFS('BA History S2'!H:H,'BA History S2'!B:B,A41)</f>
        <v>167</v>
      </c>
      <c r="P41" s="2">
        <f>SUMIFS('BA History S2'!G:G,'BA History S2'!B:B,A41)-O41</f>
        <v>169</v>
      </c>
      <c r="Q41" s="89">
        <f>LOOKUP(2, 1/('BA History S2'!$B:$B=A41), 'BA History S2'!$AJ:$AJ)</f>
        <v>0.48428571428571426</v>
      </c>
      <c r="R41" s="2">
        <f>COUNTIFS('BA History S2'!$B:$B,$A$41,'BA History S2'!K:K, 1)</f>
        <v>3</v>
      </c>
      <c r="S41" s="2">
        <f>COUNTIFS('BA History S2'!$B:$B,$A$41,'BA History S2'!L:L, 1)</f>
        <v>1</v>
      </c>
      <c r="T41" s="2">
        <f>COUNTIFS('BA History S2'!$B:$B,$A$41,'BA History S2'!M:M, 1)</f>
        <v>6</v>
      </c>
      <c r="U41" s="2">
        <f>COUNTIFS('BA History S2'!$B:$B,$A$41,'BA History S2'!N:N, 1)</f>
        <v>3</v>
      </c>
      <c r="V41" s="2">
        <f>COUNTIFS('BA History S2'!$B:$B,$A$41,'BA History S2'!O:O, 1)</f>
        <v>0</v>
      </c>
      <c r="W41" s="2">
        <f>COUNTIFS('BA History S2'!$B:$B,$A$41,'BA History S2'!P:P, 1)</f>
        <v>0</v>
      </c>
      <c r="X41" s="2">
        <f>COUNTIFS('BA History S2'!$B:$B,$A$41,'BA History S2'!Q:Q, 1)</f>
        <v>0</v>
      </c>
      <c r="Y41" s="2">
        <f>COUNTIFS('BA History S2'!$B:$B,$A$41,'BA History S2'!R:R, 1)</f>
        <v>1</v>
      </c>
      <c r="Z41" s="2">
        <f>COUNTIFS('BA History S2'!$B:$B,$A$41,'BA History S2'!S:S, 1)</f>
        <v>0</v>
      </c>
      <c r="AA41" s="2">
        <f>COUNTIFS('BA History S2'!$B:$B,$A$41,'BA History S2'!T:T, 1)</f>
        <v>0</v>
      </c>
      <c r="AB41" s="2">
        <f>COUNTIFS('BA History S2'!$B:$B,$A$41,'BA History S2'!U:U, 1)</f>
        <v>2</v>
      </c>
      <c r="AC41" s="2">
        <f>COUNTIFS('BA History S2'!$B:$B,$A$41,'BA History S2'!V:V, 1)</f>
        <v>1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3</v>
      </c>
      <c r="AG41" s="2">
        <f>COUNTIFS('BA History S2'!$B:$B,$A$41,'BA History S2'!Z:Z, 1)</f>
        <v>4</v>
      </c>
      <c r="AH41" s="2">
        <f>COUNTIFS('BA History S2'!$B:$B,$A41,'BA History S2'!AA:AA, 1)</f>
        <v>1</v>
      </c>
      <c r="AI41" s="2">
        <f>COUNTIFS('BA History S2'!$B:$B,$A$41,'BA History S2'!AB:AB, 1)</f>
        <v>0</v>
      </c>
      <c r="AJ41" s="2">
        <f>COUNTIFS('BA History S2'!$B:$B,$A$41,'BA History S2'!AC:AC, 1)</f>
        <v>5</v>
      </c>
      <c r="AK41" s="2">
        <f>COUNTIFS('BA History S2'!$B:$B,$A$41,'BA History S2'!AD:AD, 1)</f>
        <v>2</v>
      </c>
      <c r="AL41" s="2">
        <f>COUNTIFS('BA History S2'!$B:$B,$A$41,'BA History S2'!AE:AE, 1)</f>
        <v>5</v>
      </c>
      <c r="AM41" s="2">
        <f>COUNTIFS('BA History S2'!$B:$B,$A$41,'BA History S2'!AF:AF, 1)</f>
        <v>0</v>
      </c>
      <c r="AN41" s="2">
        <f>COUNTIFS('BA History S2'!$B:$B,$A$41,'BA History S2'!AG:AG, 1)</f>
        <v>3</v>
      </c>
    </row>
  </sheetData>
  <autoFilter ref="A1:AN41" xr:uid="{DA548192-1F03-46EA-8AB8-115EB9A7CE5D}">
    <sortState xmlns:xlrd2="http://schemas.microsoft.com/office/spreadsheetml/2017/richdata2" ref="A2:AN41">
      <sortCondition ref="A1:A41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448"/>
  <sheetViews>
    <sheetView workbookViewId="0">
      <pane xSplit="2" ySplit="1" topLeftCell="D401" activePane="bottomRight" state="frozen"/>
      <selection pane="topRight" activeCell="C1" sqref="C1"/>
      <selection pane="bottomLeft" activeCell="A2" sqref="A2"/>
      <selection pane="bottomRight" activeCell="AH442" sqref="AH44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19"/>
  <sheetViews>
    <sheetView topLeftCell="C190" workbookViewId="0">
      <selection activeCell="AA207" sqref="AA207:AD21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1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A23" sqref="A2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126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2</v>
      </c>
      <c r="H4" s="2">
        <f>COUNTIFS('Tourney History'!B:B,A4,'Tourney History'!D:D, 0)</f>
        <v>4</v>
      </c>
      <c r="I4" s="88">
        <f>LOOKUP(2, 1/('Tourney History'!$B:$B=A4), 'Tourney History'!$AD:$AD)</f>
        <v>0.33333333333333331</v>
      </c>
      <c r="J4" s="34">
        <f>SUMIFS('Tourney History'!F:F,'Tourney History'!B:B,A4)</f>
        <v>10</v>
      </c>
      <c r="K4" s="2">
        <f>SUMIFS('Tourney History'!E:E,'Tourney History'!B:B,A4)-J4</f>
        <v>15</v>
      </c>
      <c r="L4" s="88">
        <f>LOOKUP(2, 1/('Tourney History'!$B:$B=A4), 'Tourney History'!$AB:$AB)</f>
        <v>0.375</v>
      </c>
      <c r="M4" s="34">
        <f>SUMIFS('Tourney History'!H:H,'Tourney History'!B:B,A4)</f>
        <v>45</v>
      </c>
      <c r="N4" s="2">
        <f>SUMIFS('Tourney History'!G:G,'Tourney History'!B:B,A4)-M4</f>
        <v>55</v>
      </c>
      <c r="O4" s="88">
        <f>LOOKUP(2, 1/('Tourney History'!$B:$B=A4), 'Tourney History'!$AC:$AC)</f>
        <v>0.43333333333333335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0</v>
      </c>
      <c r="AE4" s="2">
        <f>COUNTIFS('Tourney History'!$B:$B,$A$4,'Tourney History'!Z:Z, 1)</f>
        <v>2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109</v>
      </c>
      <c r="E5" s="4">
        <f>AVERAGEIFS('Tourney History'!C:C,'Tourney History'!B:B,A5)</f>
        <v>15.571428571428571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3</v>
      </c>
      <c r="I5" s="88">
        <f>LOOKUP(2, 1/('Tourney History'!$B:$B=A5), 'Tourney History'!$AD:$AD)</f>
        <v>0.5714285714285714</v>
      </c>
      <c r="J5" s="34">
        <f>SUMIFS('Tourney History'!F:F,'Tourney History'!B:B,A5)</f>
        <v>14</v>
      </c>
      <c r="K5" s="2">
        <f>SUMIFS('Tourney History'!E:E,'Tourney History'!B:B,A5)-J5</f>
        <v>15</v>
      </c>
      <c r="L5" s="88">
        <f>LOOKUP(2, 1/('Tourney History'!$B:$B=A5), 'Tourney History'!$AB:$AB)</f>
        <v>0.45714285714285718</v>
      </c>
      <c r="M5" s="34">
        <f>SUMIFS('Tourney History'!H:H,'Tourney History'!B:B,A5)</f>
        <v>60</v>
      </c>
      <c r="N5" s="2">
        <f>SUMIFS('Tourney History'!G:G,'Tourney History'!B:B,A5)-M5</f>
        <v>55</v>
      </c>
      <c r="O5" s="88">
        <f>LOOKUP(2, 1/('Tourney History'!$B:$B=A5), 'Tourney History'!$AC:$AC)</f>
        <v>0.51142857142857134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144</v>
      </c>
      <c r="E6" s="4">
        <f>AVERAGEIFS('Tourney History'!C:C,'Tourney History'!B:B,A6)</f>
        <v>14.4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7</v>
      </c>
      <c r="I6" s="88">
        <f>LOOKUP(2, 1/('Tourney History'!$B:$B=A6), 'Tourney History'!$AD:$AD)</f>
        <v>0.3</v>
      </c>
      <c r="J6" s="34">
        <f>SUMIFS('Tourney History'!F:F,'Tourney History'!B:B,A6)</f>
        <v>18</v>
      </c>
      <c r="K6" s="2">
        <f>SUMIFS('Tourney History'!E:E,'Tourney History'!B:B,A6)-J6</f>
        <v>24</v>
      </c>
      <c r="L6" s="88">
        <f>LOOKUP(2, 1/('Tourney History'!$B:$B=A6), 'Tourney History'!$AB:$AB)</f>
        <v>0.43</v>
      </c>
      <c r="M6" s="34">
        <f>SUMIFS('Tourney History'!H:H,'Tourney History'!B:B,A6)</f>
        <v>79</v>
      </c>
      <c r="N6" s="2">
        <f>SUMIFS('Tourney History'!G:G,'Tourney History'!B:B,A6)-M6</f>
        <v>91</v>
      </c>
      <c r="O6" s="88">
        <f>LOOKUP(2, 1/('Tourney History'!$B:$B=A6), 'Tourney History'!$AC:$AC)</f>
        <v>0.45900000000000007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166</v>
      </c>
      <c r="E10" s="4">
        <f>AVERAGEIFS('Tourney History'!C:C,'Tourney History'!B:B,A10)</f>
        <v>18.444444444444443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5</v>
      </c>
      <c r="I10" s="88">
        <f>LOOKUP(2, 1/('Tourney History'!$B:$B=A10), 'Tourney History'!$AD:$AD)</f>
        <v>0.44444444444444442</v>
      </c>
      <c r="J10" s="34">
        <f>SUMIFS('Tourney History'!F:F,'Tourney History'!B:B,A10)</f>
        <v>18</v>
      </c>
      <c r="K10" s="2">
        <f>SUMIFS('Tourney History'!E:E,'Tourney History'!B:B,A10)-J10</f>
        <v>22</v>
      </c>
      <c r="L10" s="88">
        <f>LOOKUP(2, 1/('Tourney History'!$B:$B=A10), 'Tourney History'!$AB:$AB)</f>
        <v>0.42777777777777781</v>
      </c>
      <c r="M10" s="34">
        <f>SUMIFS('Tourney History'!H:H,'Tourney History'!B:B,A10)</f>
        <v>78</v>
      </c>
      <c r="N10" s="2">
        <f>SUMIFS('Tourney History'!G:G,'Tourney History'!B:B,A10)-M10</f>
        <v>86</v>
      </c>
      <c r="O10" s="88">
        <f>LOOKUP(2, 1/('Tourney History'!$B:$B=A10), 'Tourney History'!$AC:$AC)</f>
        <v>0.45666666666666672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149</v>
      </c>
      <c r="E11" s="4">
        <f>AVERAGEIFS('Tourney History'!C:C,'Tourney History'!B:B,A11)</f>
        <v>18.625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3</v>
      </c>
      <c r="I11" s="88">
        <f>LOOKUP(2, 1/('Tourney History'!$B:$B=A11), 'Tourney History'!$AD:$AD)</f>
        <v>0.625</v>
      </c>
      <c r="J11" s="34">
        <f>SUMIFS('Tourney History'!F:F,'Tourney History'!B:B,A11)</f>
        <v>19</v>
      </c>
      <c r="K11" s="2">
        <f>SUMIFS('Tourney History'!E:E,'Tourney History'!B:B,A11)-J11</f>
        <v>16</v>
      </c>
      <c r="L11" s="88">
        <f>LOOKUP(2, 1/('Tourney History'!$B:$B=A11), 'Tourney History'!$AB:$AB)</f>
        <v>0.55625000000000013</v>
      </c>
      <c r="M11" s="34">
        <f>SUMIFS('Tourney History'!H:H,'Tourney History'!B:B,A11)</f>
        <v>74</v>
      </c>
      <c r="N11" s="2">
        <f>SUMIFS('Tourney History'!G:G,'Tourney History'!B:B,A11)-M11</f>
        <v>70</v>
      </c>
      <c r="O11" s="88">
        <f>LOOKUP(2, 1/('Tourney History'!$B:$B=A11), 'Tourney History'!$AC:$AC)</f>
        <v>0.52500000000000002</v>
      </c>
      <c r="P11" s="2">
        <f>COUNTIFS('Tourney History'!$B:$B,$A$11,'Tourney History'!K:K, 1)</f>
        <v>0</v>
      </c>
      <c r="Q11" s="2">
        <f>COUNTIFS('Tourney History'!$B:$B,$A$11,'Tourney History'!L:L, 1)</f>
        <v>2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0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117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8</v>
      </c>
      <c r="H16" s="2">
        <f>COUNTIFS('Tourney History'!B:B,A16,'Tourney History'!D:D, 0)</f>
        <v>1</v>
      </c>
      <c r="I16" s="88">
        <f>LOOKUP(2, 1/('Tourney History'!$B:$B=A16), 'Tourney History'!$AD:$AD)</f>
        <v>0.88888888888888884</v>
      </c>
      <c r="J16" s="34">
        <f>SUMIFS('Tourney History'!F:F,'Tourney History'!B:B,A16)</f>
        <v>25</v>
      </c>
      <c r="K16" s="2">
        <f>SUMIFS('Tourney History'!E:E,'Tourney History'!B:B,A16)-J16</f>
        <v>14</v>
      </c>
      <c r="L16" s="88">
        <f>LOOKUP(2, 1/('Tourney History'!$B:$B=A16), 'Tourney History'!$AB:$AB)</f>
        <v>0.65555555555555545</v>
      </c>
      <c r="M16" s="34">
        <f>SUMIFS('Tourney History'!H:H,'Tourney History'!B:B,A16)</f>
        <v>94</v>
      </c>
      <c r="N16" s="2">
        <f>SUMIFS('Tourney History'!G:G,'Tourney History'!B:B,A16)-M16</f>
        <v>68</v>
      </c>
      <c r="O16" s="88">
        <f>LOOKUP(2, 1/('Tourney History'!$B:$B=A16), 'Tourney History'!$AC:$AC)</f>
        <v>0.59222222222222221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4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0</v>
      </c>
      <c r="AE16" s="2">
        <f>COUNTIFS('Tourney History'!$B:$B,$A$16,'Tourney History'!Z:Z, 1)</f>
        <v>3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160</v>
      </c>
      <c r="E17" s="4">
        <f>AVERAGEIFS('Tourney History'!C:C,'Tourney History'!B:B,A17)</f>
        <v>26.666666666666668</v>
      </c>
      <c r="F17" s="35">
        <f t="array" ref="F17">MAX(IF('Tourney History'!B:B=A17, 'Tourney History'!C:C))</f>
        <v>33</v>
      </c>
      <c r="G17" s="34">
        <f>COUNTIFS('Tourney History'!B:B,A17,'Tourney History'!D:D, 1)</f>
        <v>5</v>
      </c>
      <c r="H17" s="2">
        <f>COUNTIFS('Tourney History'!B:B,A17,'Tourney History'!D:D, 0)</f>
        <v>1</v>
      </c>
      <c r="I17" s="88">
        <f>LOOKUP(2, 1/('Tourney History'!$B:$B=A17), 'Tourney History'!$AD:$AD)</f>
        <v>0.83333333333333337</v>
      </c>
      <c r="J17" s="34">
        <f>SUMIFS('Tourney History'!F:F,'Tourney History'!B:B,A17)</f>
        <v>17</v>
      </c>
      <c r="K17" s="2">
        <f>SUMIFS('Tourney History'!E:E,'Tourney History'!B:B,A17)-J17</f>
        <v>9</v>
      </c>
      <c r="L17" s="88">
        <f>LOOKUP(2, 1/('Tourney History'!$B:$B=A17), 'Tourney History'!$AB:$AB)</f>
        <v>0.68333333333333324</v>
      </c>
      <c r="M17" s="34">
        <f>SUMIFS('Tourney History'!H:H,'Tourney History'!B:B,A17)</f>
        <v>63</v>
      </c>
      <c r="N17" s="2">
        <f>SUMIFS('Tourney History'!G:G,'Tourney History'!B:B,A17)-M17</f>
        <v>51</v>
      </c>
      <c r="O17" s="88">
        <f>LOOKUP(2, 1/('Tourney History'!$B:$B=A17), 'Tourney History'!$AC:$AC)</f>
        <v>0.57500000000000007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2</v>
      </c>
      <c r="AE17" s="2">
        <f>COUNTIFS('Tourney History'!$B:$B,$A$17,'Tourney History'!Z:Z, 1)</f>
        <v>3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28</v>
      </c>
      <c r="B19" s="6" t="s">
        <v>60</v>
      </c>
      <c r="C19" s="2" t="s">
        <v>79</v>
      </c>
      <c r="D19" s="34">
        <f>SUMIFS('Tourney History'!C:C,'Tourney History'!B:B,A19)</f>
        <v>166</v>
      </c>
      <c r="E19" s="4">
        <f>AVERAGEIFS('Tourney History'!C:C,'Tourney History'!B:B,A19)</f>
        <v>23.714285714285715</v>
      </c>
      <c r="F19" s="35">
        <f t="array" ref="F19">MAX(IF('Tourney History'!B:B=A19, 'Tourney History'!C:C))</f>
        <v>43</v>
      </c>
      <c r="G19" s="34">
        <f>COUNTIFS('Tourney History'!B:B,A19,'Tourney History'!D:D, 1)</f>
        <v>3</v>
      </c>
      <c r="H19" s="2">
        <f>COUNTIFS('Tourney History'!B:B,A19,'Tourney History'!D:D, 0)</f>
        <v>4</v>
      </c>
      <c r="I19" s="88">
        <f>LOOKUP(2, 1/('Tourney History'!$B:$B=A19), 'Tourney History'!$AD:$AD)</f>
        <v>0.42857142857142855</v>
      </c>
      <c r="J19" s="34">
        <f>SUMIFS('Tourney History'!F:F,'Tourney History'!B:B,A19)</f>
        <v>16</v>
      </c>
      <c r="K19" s="2">
        <f>SUMIFS('Tourney History'!E:E,'Tourney History'!B:B,A19)-J19</f>
        <v>17</v>
      </c>
      <c r="L19" s="88">
        <f>LOOKUP(2, 1/('Tourney History'!$B:$B=A19), 'Tourney History'!$AB:$AB)</f>
        <v>0.48571428571428571</v>
      </c>
      <c r="M19" s="34">
        <f>SUMIFS('Tourney History'!H:H,'Tourney History'!B:B,A19)</f>
        <v>73</v>
      </c>
      <c r="N19" s="2">
        <f>SUMIFS('Tourney History'!G:G,'Tourney History'!B:B,A19)-M19</f>
        <v>74</v>
      </c>
      <c r="O19" s="88">
        <f>LOOKUP(2, 1/('Tourney History'!$B:$B=A19), 'Tourney History'!$AC:$AC)</f>
        <v>0.49571428571428566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2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4</v>
      </c>
      <c r="AD19" s="2">
        <f>COUNTIFS('Tourney History'!$B:$B,$A$19,'Tourney History'!Y:Y, 1)</f>
        <v>1</v>
      </c>
      <c r="AE19" s="2">
        <f>COUNTIFS('Tourney History'!$B:$B,$A$19,'Tourney History'!Z:Z, 1)</f>
        <v>4</v>
      </c>
    </row>
    <row r="20" spans="1:31" x14ac:dyDescent="0.25">
      <c r="A20" s="2" t="s">
        <v>53</v>
      </c>
      <c r="B20" s="6" t="s">
        <v>60</v>
      </c>
      <c r="C20" s="2" t="s">
        <v>79</v>
      </c>
      <c r="D20" s="34">
        <f>SUMIFS('Tourney History'!C:C,'Tourney History'!B:B,A20)</f>
        <v>55</v>
      </c>
      <c r="E20" s="4">
        <f>AVERAGEIFS('Tourney History'!C:C,'Tourney History'!B:B,A20)</f>
        <v>13.75</v>
      </c>
      <c r="F20" s="35">
        <f t="array" ref="F20">MAX(IF('Tourney History'!B:B=A20, 'Tourney History'!C:C))</f>
        <v>25</v>
      </c>
      <c r="G20" s="34">
        <f>COUNTIFS('Tourney History'!B:B,A20,'Tourney History'!D:D, 1)</f>
        <v>3</v>
      </c>
      <c r="H20" s="2">
        <f>COUNTIFS('Tourney History'!B:B,A20,'Tourney History'!D:D, 0)</f>
        <v>1</v>
      </c>
      <c r="I20" s="88">
        <f>LOOKUP(2, 1/('Tourney History'!$B:$B=A20), 'Tourney History'!$AD:$AD)</f>
        <v>0.75</v>
      </c>
      <c r="J20" s="34">
        <f>SUMIFS('Tourney History'!F:F,'Tourney History'!B:B,A20)</f>
        <v>9</v>
      </c>
      <c r="K20" s="2">
        <f>SUMIFS('Tourney History'!E:E,'Tourney History'!B:B,A20)-J20</f>
        <v>8</v>
      </c>
      <c r="L20" s="88">
        <f>LOOKUP(2, 1/('Tourney History'!$B:$B=A20), 'Tourney History'!$AB:$AB)</f>
        <v>0.48749999999999999</v>
      </c>
      <c r="M20" s="34">
        <f>SUMIFS('Tourney History'!H:H,'Tourney History'!B:B,A20)</f>
        <v>36</v>
      </c>
      <c r="N20" s="2">
        <f>SUMIFS('Tourney History'!G:G,'Tourney History'!B:B,A20)-M20</f>
        <v>32</v>
      </c>
      <c r="O20" s="88">
        <f>LOOKUP(2, 1/('Tourney History'!$B:$B=A20), 'Tourney History'!$AC:$AC)</f>
        <v>0.51500000000000001</v>
      </c>
      <c r="P20" s="2">
        <f>COUNTIFS('Tourney History'!$B:$B,$A$20,'Tourney History'!K:K, 1)</f>
        <v>1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2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51</v>
      </c>
      <c r="B21" s="6" t="s">
        <v>79</v>
      </c>
      <c r="C21" s="2" t="s">
        <v>79</v>
      </c>
      <c r="D21" s="34">
        <f>SUMIFS('Tourney History'!C:C,'Tourney History'!B:B,A21)</f>
        <v>84</v>
      </c>
      <c r="E21" s="4">
        <f>AVERAGEIFS('Tourney History'!C:C,'Tourney History'!B:B,A21)</f>
        <v>16.8</v>
      </c>
      <c r="F21" s="35">
        <f t="array" ref="F21">MAX(IF('Tourney History'!B:B=A21, 'Tourney History'!C:C))</f>
        <v>22</v>
      </c>
      <c r="G21" s="34">
        <f>COUNTIFS('Tourney History'!B:B,A21,'Tourney History'!D:D, 1)</f>
        <v>3</v>
      </c>
      <c r="H21" s="2">
        <f>COUNTIFS('Tourney History'!B:B,A21,'Tourney History'!D:D, 0)</f>
        <v>2</v>
      </c>
      <c r="I21" s="88">
        <f>LOOKUP(2, 1/('Tourney History'!$B:$B=A21), 'Tourney History'!$AD:$AD)</f>
        <v>0.6</v>
      </c>
      <c r="J21" s="34">
        <f>SUMIFS('Tourney History'!F:F,'Tourney History'!B:B,A21)</f>
        <v>12</v>
      </c>
      <c r="K21" s="2">
        <f>SUMIFS('Tourney History'!E:E,'Tourney History'!B:B,A21)-J21</f>
        <v>8</v>
      </c>
      <c r="L21" s="88">
        <f>LOOKUP(2, 1/('Tourney History'!$B:$B=A21), 'Tourney History'!$AB:$AB)</f>
        <v>0.63</v>
      </c>
      <c r="M21" s="34">
        <f>SUMIFS('Tourney History'!H:H,'Tourney History'!B:B,A21)</f>
        <v>41</v>
      </c>
      <c r="N21" s="2">
        <f>SUMIFS('Tourney History'!G:G,'Tourney History'!B:B,A21)-M21</f>
        <v>40</v>
      </c>
      <c r="O21" s="88">
        <f>LOOKUP(2, 1/('Tourney History'!$B:$B=A21), 'Tourney History'!$AC:$AC)</f>
        <v>0.51600000000000001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2</v>
      </c>
      <c r="T21" s="2">
        <f>COUNTIFS('Tourney History'!$B:$B,$A$21,'Tourney History'!O:O, 1)</f>
        <v>0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3</v>
      </c>
      <c r="AD21" s="2">
        <f>COUNTIFS('Tourney History'!$B:$B,$A$21,'Tourney History'!Y:Y, 1)</f>
        <v>0</v>
      </c>
      <c r="AE21" s="2">
        <f>COUNTIFS('Tourney History'!$B:$B,$A$21,'Tourney History'!Z:Z,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SUMIFS('Tourney History'!C:C,'Tourney History'!B:B,A22)</f>
        <v>183</v>
      </c>
      <c r="E22" s="4">
        <f>AVERAGEIFS('Tourney History'!C:C,'Tourney History'!B:B,A22)</f>
        <v>18.3</v>
      </c>
      <c r="F22" s="35">
        <f t="array" ref="F22">MAX(IF('Tourney History'!B:B=A22, 'Tourney History'!C:C))</f>
        <v>37</v>
      </c>
      <c r="G22" s="34">
        <f>COUNTIFS('Tourney History'!B:B,A22,'Tourney History'!D:D, 1)</f>
        <v>4</v>
      </c>
      <c r="H22" s="2">
        <f>COUNTIFS('Tourney History'!B:B,A22,'Tourney History'!D:D, 0)</f>
        <v>6</v>
      </c>
      <c r="I22" s="88">
        <f>LOOKUP(2, 1/('Tourney History'!$B:$B=A22), 'Tourney History'!$AD:$AD)</f>
        <v>0.4</v>
      </c>
      <c r="J22" s="34">
        <f>SUMIFS('Tourney History'!F:F,'Tourney History'!B:B,A22)</f>
        <v>22</v>
      </c>
      <c r="K22" s="2">
        <f>SUMIFS('Tourney History'!E:E,'Tourney History'!B:B,A22)-J22</f>
        <v>22</v>
      </c>
      <c r="L22" s="88">
        <f>LOOKUP(2, 1/('Tourney History'!$B:$B=A22), 'Tourney History'!$AB:$AB)</f>
        <v>0.51</v>
      </c>
      <c r="M22" s="34">
        <f>SUMIFS('Tourney History'!H:H,'Tourney History'!B:B,A22)</f>
        <v>92</v>
      </c>
      <c r="N22" s="2">
        <f>SUMIFS('Tourney History'!G:G,'Tourney History'!B:B,A22)-M22</f>
        <v>90</v>
      </c>
      <c r="O22" s="88">
        <f>LOOKUP(2, 1/('Tourney History'!$B:$B=A22), 'Tourney History'!$AC:$AC)</f>
        <v>0.5159999999999999</v>
      </c>
      <c r="P22" s="2">
        <f>COUNTIFS('Tourney History'!$B:$B,$A$22,'Tourney History'!K:K, 1)</f>
        <v>2</v>
      </c>
      <c r="Q22" s="2">
        <f>COUNTIFS('Tourney History'!$B:$B,$A$22,'Tourney History'!L:L, 1)</f>
        <v>1</v>
      </c>
      <c r="R22" s="2">
        <f>COUNTIFS('Tourney History'!$B:$B,$A$22,'Tourney History'!M:M, 1)</f>
        <v>0</v>
      </c>
      <c r="S22" s="2">
        <f>COUNTIFS('Tourney History'!$B:$B,$A$22,'Tourney History'!N:N, 1)</f>
        <v>4</v>
      </c>
      <c r="T22" s="2">
        <f>COUNTIFS('Tourney History'!$B:$B,$A$22,'Tourney History'!O:O, 1)</f>
        <v>0</v>
      </c>
      <c r="U22" s="2">
        <f>COUNTIFS('Tourney History'!$B:$B,$A$22,'Tourney History'!P:P, 1)</f>
        <v>3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5</v>
      </c>
      <c r="AC22" s="2">
        <f>COUNTIFS('Tourney History'!$B:$B,$A$22,'Tourney History'!X:X, 1)</f>
        <v>3</v>
      </c>
      <c r="AD22" s="2">
        <f>COUNTIFS('Tourney History'!$B:$B,$A$22,'Tourney History'!Y:Y, 1)</f>
        <v>1</v>
      </c>
      <c r="AE22" s="2">
        <f>COUNTIFS('Tourney History'!$B:$B,$A$22,'Tourney History'!Z:Z, 1)</f>
        <v>2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SUMIFS('Tourney History'!C:C,'Tourney History'!B:B,A23)</f>
        <v>62</v>
      </c>
      <c r="E23" s="4">
        <f>AVERAGEIFS('Tourney History'!C:C,'Tourney History'!B:B,A23)</f>
        <v>10.333333333333334</v>
      </c>
      <c r="F23" s="35">
        <f t="array" ref="F23">MAX(IF('Tourney History'!B:B=A23, 'Tourney History'!C:C))</f>
        <v>14</v>
      </c>
      <c r="G23" s="34">
        <f>COUNTIFS('Tourney History'!B:B,A23,'Tourney History'!D:D, 1)</f>
        <v>3</v>
      </c>
      <c r="H23" s="2">
        <f>COUNTIFS('Tourney History'!B:B,A23,'Tourney History'!D:D, 0)</f>
        <v>3</v>
      </c>
      <c r="I23" s="88">
        <f>LOOKUP(2, 1/('Tourney History'!$B:$B=A23), 'Tourney History'!$AD:$AD)</f>
        <v>0.5</v>
      </c>
      <c r="J23" s="34">
        <f>SUMIFS('Tourney History'!F:F,'Tourney History'!B:B,A23)</f>
        <v>12</v>
      </c>
      <c r="K23" s="2">
        <f>SUMIFS('Tourney History'!E:E,'Tourney History'!B:B,A23)-J23</f>
        <v>12</v>
      </c>
      <c r="L23" s="88">
        <f>LOOKUP(2, 1/('Tourney History'!$B:$B=A23), 'Tourney History'!$AB:$AB)</f>
        <v>0.5</v>
      </c>
      <c r="M23" s="34">
        <f>SUMIFS('Tourney History'!H:H,'Tourney History'!B:B,A23)</f>
        <v>51</v>
      </c>
      <c r="N23" s="2">
        <f>SUMIFS('Tourney History'!G:G,'Tourney History'!B:B,A23)-M23</f>
        <v>50</v>
      </c>
      <c r="O23" s="88">
        <f>LOOKUP(2, 1/('Tourney History'!$B:$B=A23), 'Tourney History'!$AC:$AC)</f>
        <v>0.49500000000000005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0</v>
      </c>
      <c r="T23" s="2">
        <f>COUNTIFS('Tourney History'!$B:$B,$A$23,'Tourney History'!O:O, 1)</f>
        <v>1</v>
      </c>
      <c r="U23" s="2">
        <f>COUNTIFS('Tourney History'!$B:$B,$A$23,'Tourney History'!P:P, 1)</f>
        <v>2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2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1" t="s">
        <v>3</v>
      </c>
      <c r="B24" s="80" t="s">
        <v>157</v>
      </c>
      <c r="C24" s="2" t="s">
        <v>159</v>
      </c>
      <c r="D24" s="34">
        <f>SUMIFS('Tourney History'!C:C,'Tourney History'!B:B,A24)</f>
        <v>117</v>
      </c>
      <c r="E24" s="4">
        <f>AVERAGEIFS('Tourney History'!C:C,'Tourney History'!B:B,A24)</f>
        <v>29.25</v>
      </c>
      <c r="F24" s="35">
        <f t="array" ref="F24">MAX(IF('Tourney History'!B:B=A24, 'Tourney History'!C:C))</f>
        <v>44</v>
      </c>
      <c r="G24" s="34">
        <f>COUNTIFS('Tourney History'!B:B,A24,'Tourney History'!D:D, 1)</f>
        <v>3</v>
      </c>
      <c r="H24" s="2">
        <f>COUNTIFS('Tourney History'!B:B,A24,'Tourney History'!D:D, 0)</f>
        <v>1</v>
      </c>
      <c r="I24" s="88">
        <f>LOOKUP(2, 1/('Tourney History'!$B:$B=A24), 'Tourney History'!$AD:$AD)</f>
        <v>0.75</v>
      </c>
      <c r="J24" s="34">
        <f>SUMIFS('Tourney History'!F:F,'Tourney History'!B:B,A24)</f>
        <v>10</v>
      </c>
      <c r="K24" s="2">
        <f>SUMIFS('Tourney History'!E:E,'Tourney History'!B:B,A24)-J24</f>
        <v>8</v>
      </c>
      <c r="L24" s="88">
        <f>LOOKUP(2, 1/('Tourney History'!$B:$B=A24), 'Tourney History'!$AB:$AB)</f>
        <v>0.55000000000000004</v>
      </c>
      <c r="M24" s="34">
        <f>SUMIFS('Tourney History'!H:H,'Tourney History'!B:B,A24)</f>
        <v>39</v>
      </c>
      <c r="N24" s="2">
        <f>SUMIFS('Tourney History'!G:G,'Tourney History'!B:B,A24)-M24</f>
        <v>35</v>
      </c>
      <c r="O24" s="88">
        <f>LOOKUP(2, 1/('Tourney History'!$B:$B=A24), 'Tourney History'!$AC:$AC)</f>
        <v>0.52249999999999996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1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0</v>
      </c>
      <c r="AC24" s="2">
        <f>COUNTIFS('Tourney History'!$B:$B,$A$24,'Tourney History'!X:X, 1)</f>
        <v>1</v>
      </c>
      <c r="AD24" s="2">
        <f>COUNTIFS('Tourney History'!$B:$B,$A$24,'Tourney History'!Y:Y, 1)</f>
        <v>1</v>
      </c>
      <c r="AE24" s="2">
        <f>COUNTIFS('Tourney History'!$B:$B,$A$24,'Tourney History'!Z:Z, 1)</f>
        <v>0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SUMIFS('Tourney History'!C:C,'Tourney History'!B:B,A25)</f>
        <v>291</v>
      </c>
      <c r="E25" s="4">
        <f>AVERAGEIFS('Tourney History'!C:C,'Tourney History'!B:B,A25)</f>
        <v>32.333333333333336</v>
      </c>
      <c r="F25" s="35">
        <f t="array" ref="F25">MAX(IF('Tourney History'!B:B=A25, 'Tourney History'!C:C))</f>
        <v>55</v>
      </c>
      <c r="G25" s="34">
        <f>COUNTIFS('Tourney History'!B:B,A25,'Tourney History'!D:D, 1)</f>
        <v>2</v>
      </c>
      <c r="H25" s="2">
        <f>COUNTIFS('Tourney History'!B:B,A25,'Tourney History'!D:D, 0)</f>
        <v>7</v>
      </c>
      <c r="I25" s="88">
        <f>LOOKUP(2, 1/('Tourney History'!$B:$B=A25), 'Tourney History'!$AD:$AD)</f>
        <v>0.22222222222222221</v>
      </c>
      <c r="J25" s="34">
        <f>SUMIFS('Tourney History'!F:F,'Tourney History'!B:B,A25)</f>
        <v>17</v>
      </c>
      <c r="K25" s="2">
        <f>SUMIFS('Tourney History'!E:E,'Tourney History'!B:B,A25)-J25</f>
        <v>22</v>
      </c>
      <c r="L25" s="88">
        <f>LOOKUP(2, 1/('Tourney History'!$B:$B=A25), 'Tourney History'!$AB:$AB)</f>
        <v>0.45555555555555549</v>
      </c>
      <c r="M25" s="34">
        <f>SUMIFS('Tourney History'!H:H,'Tourney History'!B:B,A25)</f>
        <v>77</v>
      </c>
      <c r="N25" s="2">
        <f>SUMIFS('Tourney History'!G:G,'Tourney History'!B:B,A25)-M25</f>
        <v>88</v>
      </c>
      <c r="O25" s="88">
        <f>LOOKUP(2, 1/('Tourney History'!$B:$B=A25), 'Tourney History'!$AC:$AC)</f>
        <v>0.47555555555555556</v>
      </c>
      <c r="P25" s="2">
        <f>COUNTIFS('Tourney History'!$B:$B,$A$25,'Tourney History'!K:K, 1)</f>
        <v>1</v>
      </c>
      <c r="Q25" s="2">
        <f>COUNTIFS('Tourney History'!$B:$B,$A$25,'Tourney History'!L:L, 1)</f>
        <v>2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4</v>
      </c>
      <c r="AD25" s="2">
        <f>COUNTIFS('Tourney History'!$B:$B,$A$25,'Tourney History'!Y:Y, 1)</f>
        <v>1</v>
      </c>
      <c r="AE25" s="2">
        <f>COUNTIFS('Tourney History'!$B:$B,$A$25,'Tourney History'!Z:Z, 1)</f>
        <v>3</v>
      </c>
    </row>
    <row r="26" spans="1:31" x14ac:dyDescent="0.25">
      <c r="A26" s="2" t="s">
        <v>13</v>
      </c>
      <c r="B26" s="6" t="s">
        <v>124</v>
      </c>
      <c r="C26" s="1" t="s">
        <v>159</v>
      </c>
      <c r="D26" s="34">
        <f>SUMIFS('Tourney History'!C:C,'Tourney History'!B:B,A26)</f>
        <v>325</v>
      </c>
      <c r="E26" s="4">
        <f>AVERAGEIFS('Tourney History'!C:C,'Tourney History'!B:B,A26)</f>
        <v>36.111111111111114</v>
      </c>
      <c r="F26" s="35">
        <f t="array" ref="F26">MAX(IF('Tourney History'!B:B=A26, 'Tourney History'!C:C))</f>
        <v>58</v>
      </c>
      <c r="G26" s="34">
        <f>COUNTIFS('Tourney History'!B:B,A26,'Tourney History'!D:D, 1)</f>
        <v>5</v>
      </c>
      <c r="H26" s="2">
        <f>COUNTIFS('Tourney History'!B:B,A26,'Tourney History'!D:D, 0)</f>
        <v>4</v>
      </c>
      <c r="I26" s="88">
        <f>LOOKUP(2, 1/('Tourney History'!$B:$B=A26), 'Tourney History'!$AD:$AD)</f>
        <v>0.55555555555555558</v>
      </c>
      <c r="J26" s="34">
        <f>SUMIFS('Tourney History'!F:F,'Tourney History'!B:B,A26)</f>
        <v>18</v>
      </c>
      <c r="K26" s="2">
        <f>SUMIFS('Tourney History'!E:E,'Tourney History'!B:B,A26)-J26</f>
        <v>20</v>
      </c>
      <c r="L26" s="88">
        <f>LOOKUP(2, 1/('Tourney History'!$B:$B=A26), 'Tourney History'!$AB:$AB)</f>
        <v>0.43888888888888888</v>
      </c>
      <c r="M26" s="34">
        <f>SUMIFS('Tourney History'!H:H,'Tourney History'!B:B,A26)</f>
        <v>78</v>
      </c>
      <c r="N26" s="2">
        <f>SUMIFS('Tourney History'!G:G,'Tourney History'!B:B,A26)-M26</f>
        <v>75</v>
      </c>
      <c r="O26" s="88">
        <f>LOOKUP(2, 1/('Tourney History'!$B:$B=A26), 'Tourney History'!$AC:$AC)</f>
        <v>0.49111111111111111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3</v>
      </c>
      <c r="T26" s="2">
        <f>COUNTIFS('Tourney History'!$B:$B,$A$26,'Tourney History'!O:O, 1)</f>
        <v>3</v>
      </c>
      <c r="U26" s="2">
        <f>COUNTIFS('Tourney History'!$B:$B,$A$26,'Tourney History'!P:P, 1)</f>
        <v>3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3</v>
      </c>
      <c r="AC26" s="2">
        <f>COUNTIFS('Tourney History'!$B:$B,$A$26,'Tourney History'!X:X, 1)</f>
        <v>0</v>
      </c>
      <c r="AD26" s="2">
        <f>COUNTIFS('Tourney History'!$B:$B,$A$26,'Tourney History'!Y:Y, 1)</f>
        <v>1</v>
      </c>
      <c r="AE26" s="2">
        <f>COUNTIFS('Tourney History'!$B:$B,$A$26,'Tourney History'!Z:Z, 1)</f>
        <v>2</v>
      </c>
    </row>
    <row r="27" spans="1:31" x14ac:dyDescent="0.25">
      <c r="A27" s="2" t="s">
        <v>2</v>
      </c>
      <c r="B27" s="6" t="s">
        <v>124</v>
      </c>
      <c r="C27" s="6" t="s">
        <v>79</v>
      </c>
      <c r="D27" s="34">
        <f>SUMIFS('Tourney History'!C:C,'Tourney History'!B:B,A27)</f>
        <v>309</v>
      </c>
      <c r="E27" s="4">
        <f>AVERAGEIFS('Tourney History'!C:C,'Tourney History'!B:B,A27)</f>
        <v>38.625</v>
      </c>
      <c r="F27" s="35">
        <f t="array" ref="F27">MAX(IF('Tourney History'!B:B=A27, 'Tourney History'!C:C))</f>
        <v>68</v>
      </c>
      <c r="G27" s="34">
        <f>COUNTIFS('Tourney History'!B:B,A27,'Tourney History'!D:D, 1)</f>
        <v>3</v>
      </c>
      <c r="H27" s="2">
        <f>COUNTIFS('Tourney History'!B:B,A27,'Tourney History'!D:D, 0)</f>
        <v>5</v>
      </c>
      <c r="I27" s="88">
        <f>LOOKUP(2, 1/('Tourney History'!$B:$B=A27), 'Tourney History'!$AD:$AD)</f>
        <v>0.375</v>
      </c>
      <c r="J27" s="34">
        <f>SUMIFS('Tourney History'!F:F,'Tourney History'!B:B,A27)</f>
        <v>18</v>
      </c>
      <c r="K27" s="2">
        <f>SUMIFS('Tourney History'!E:E,'Tourney History'!B:B,A27)-J27</f>
        <v>18</v>
      </c>
      <c r="L27" s="88">
        <f>LOOKUP(2, 1/('Tourney History'!$B:$B=A27), 'Tourney History'!$AB:$AB)</f>
        <v>0.51249999999999996</v>
      </c>
      <c r="M27" s="34">
        <f>SUMIFS('Tourney History'!H:H,'Tourney History'!B:B,A27)</f>
        <v>78</v>
      </c>
      <c r="N27" s="2">
        <f>SUMIFS('Tourney History'!G:G,'Tourney History'!B:B,A27)-M27</f>
        <v>77</v>
      </c>
      <c r="O27" s="88">
        <f>LOOKUP(2, 1/('Tourney History'!$B:$B=A27), 'Tourney History'!$AC:$AC)</f>
        <v>0.51500000000000001</v>
      </c>
      <c r="P27" s="2">
        <f>COUNTIFS('Tourney History'!$B:$B,$A$27,'Tourney History'!K:K, 1)</f>
        <v>0</v>
      </c>
      <c r="Q27" s="2">
        <f>COUNTIFS('Tourney History'!$B:$B,$A$27,'Tourney History'!L:L, 1)</f>
        <v>3</v>
      </c>
      <c r="R27" s="2">
        <f>COUNTIFS('Tourney History'!$B:$B,$A$27,'Tourney History'!M:M, 1)</f>
        <v>1</v>
      </c>
      <c r="S27" s="2">
        <f>COUNTIFS('Tourney History'!$B:$B,$A$27,'Tourney History'!N:N, 1)</f>
        <v>4</v>
      </c>
      <c r="T27" s="2">
        <f>COUNTIFS('Tourney History'!$B:$B,$A$27,'Tourney History'!O:O, 1)</f>
        <v>0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2</v>
      </c>
      <c r="AC27" s="2">
        <f>COUNTIFS('Tourney History'!$B:$B,$A$27,'Tourney History'!X:X, 1)</f>
        <v>1</v>
      </c>
      <c r="AD27" s="2">
        <f>COUNTIFS('Tourney History'!$B:$B,$A$27,'Tourney History'!Y:Y, 1)</f>
        <v>2</v>
      </c>
      <c r="AE27" s="2">
        <f>COUNTIFS('Tourney History'!$B:$B,$A$27,'Tourney History'!Z:Z, 1)</f>
        <v>2</v>
      </c>
    </row>
    <row r="28" spans="1:31" x14ac:dyDescent="0.25">
      <c r="A28" s="2" t="s">
        <v>54</v>
      </c>
      <c r="B28" s="6" t="s">
        <v>60</v>
      </c>
      <c r="C28" s="6" t="s">
        <v>79</v>
      </c>
      <c r="D28" s="34">
        <f>SUMIFS('Tourney History'!C:C,'Tourney History'!B:B,A28)</f>
        <v>53</v>
      </c>
      <c r="E28" s="4">
        <f>AVERAGEIFS('Tourney History'!C:C,'Tourney History'!B:B,A28)</f>
        <v>26.5</v>
      </c>
      <c r="F28" s="35">
        <f t="array" ref="F28">MAX(IF('Tourney History'!B:B=A28, 'Tourney History'!C:C))</f>
        <v>29</v>
      </c>
      <c r="G28" s="34">
        <f>COUNTIFS('Tourney History'!B:B,A28,'Tourney History'!D:D, 1)</f>
        <v>2</v>
      </c>
      <c r="H28" s="2">
        <f>COUNTIFS('Tourney History'!B:B,A28,'Tourney History'!D:D, 0)</f>
        <v>0</v>
      </c>
      <c r="I28" s="88">
        <f>LOOKUP(2, 1/('Tourney History'!$B:$B=A28), 'Tourney History'!$AD:$AD)</f>
        <v>1</v>
      </c>
      <c r="J28" s="34">
        <f>SUMIFS('Tourney History'!F:F,'Tourney History'!B:B,A28)</f>
        <v>6</v>
      </c>
      <c r="K28" s="2">
        <f>SUMIFS('Tourney History'!E:E,'Tourney History'!B:B,A28)-J28</f>
        <v>4</v>
      </c>
      <c r="L28" s="88">
        <f>LOOKUP(2, 1/('Tourney History'!$B:$B=A28), 'Tourney History'!$AB:$AB)</f>
        <v>0.6</v>
      </c>
      <c r="M28" s="34">
        <f>SUMIFS('Tourney History'!H:H,'Tourney History'!B:B,A28)</f>
        <v>23</v>
      </c>
      <c r="N28" s="2">
        <f>SUMIFS('Tourney History'!G:G,'Tourney History'!B:B,A28)-M28</f>
        <v>17</v>
      </c>
      <c r="O28" s="88">
        <f>LOOKUP(2, 1/('Tourney History'!$B:$B=A28), 'Tourney History'!$AC:$AC)</f>
        <v>0.57499999999999996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2</v>
      </c>
      <c r="U28" s="2">
        <f>COUNTIFS('Tourney History'!$B:$B,$A$28,'Tourney History'!P:P, 1)</f>
        <v>1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5</v>
      </c>
      <c r="B29" s="6" t="s">
        <v>177</v>
      </c>
      <c r="C29" s="1" t="s">
        <v>159</v>
      </c>
      <c r="D29" s="34">
        <f>SUMIFS('Tourney History'!C:C,'Tourney History'!B:B,A29)</f>
        <v>220</v>
      </c>
      <c r="E29" s="4">
        <f>AVERAGEIFS('Tourney History'!C:C,'Tourney History'!B:B,A29)</f>
        <v>31.428571428571427</v>
      </c>
      <c r="F29" s="35">
        <f t="array" ref="F29">MAX(IF('Tourney History'!B:B=A29, 'Tourney History'!C:C))</f>
        <v>51</v>
      </c>
      <c r="G29" s="34">
        <f>COUNTIFS('Tourney History'!B:B,A29,'Tourney History'!D:D, 1)</f>
        <v>6</v>
      </c>
      <c r="H29" s="2">
        <f>COUNTIFS('Tourney History'!B:B,A29,'Tourney History'!D:D, 0)</f>
        <v>1</v>
      </c>
      <c r="I29" s="88">
        <f>LOOKUP(2, 1/('Tourney History'!$B:$B=A29), 'Tourney History'!$AD:$AD)</f>
        <v>0.8571428571428571</v>
      </c>
      <c r="J29" s="34">
        <f>SUMIFS('Tourney History'!F:F,'Tourney History'!B:B,A29)</f>
        <v>19</v>
      </c>
      <c r="K29" s="2">
        <f>SUMIFS('Tourney History'!E:E,'Tourney History'!B:B,A29)-J29</f>
        <v>12</v>
      </c>
      <c r="L29" s="88">
        <f>LOOKUP(2, 1/('Tourney History'!$B:$B=A29), 'Tourney History'!$AB:$AB)</f>
        <v>0.61428571428571443</v>
      </c>
      <c r="M29" s="34">
        <f>SUMIFS('Tourney History'!H:H,'Tourney History'!B:B,A29)</f>
        <v>72</v>
      </c>
      <c r="N29" s="2">
        <f>SUMIFS('Tourney History'!G:G,'Tourney History'!B:B,A29)-M29</f>
        <v>59</v>
      </c>
      <c r="O29" s="88">
        <f>LOOKUP(2, 1/('Tourney History'!$B:$B=A29), 'Tourney History'!$AC:$AC)</f>
        <v>0.54714285714285715</v>
      </c>
      <c r="P29" s="2">
        <f>COUNTIFS('Tourney History'!$B:$B,$A$29,'Tourney History'!K:K, 1)</f>
        <v>2</v>
      </c>
      <c r="Q29" s="2">
        <f>COUNTIFS('Tourney History'!$B:$B,$A$29,'Tourney History'!L:L, 1)</f>
        <v>2</v>
      </c>
      <c r="R29" s="2">
        <f>COUNTIFS('Tourney History'!$B:$B,$A$29,'Tourney History'!M:M, 1)</f>
        <v>2</v>
      </c>
      <c r="S29" s="2">
        <f>COUNTIFS('Tourney History'!$B:$B,$A$29,'Tourney History'!N:N, 1)</f>
        <v>1</v>
      </c>
      <c r="T29" s="2">
        <f>COUNTIFS('Tourney History'!$B:$B,$A$29,'Tourney History'!O:O, 1)</f>
        <v>3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1</v>
      </c>
    </row>
    <row r="30" spans="1:31" x14ac:dyDescent="0.25">
      <c r="A30" s="2" t="s">
        <v>38</v>
      </c>
      <c r="B30" s="6" t="s">
        <v>79</v>
      </c>
      <c r="C30" s="6" t="s">
        <v>79</v>
      </c>
      <c r="D30" s="34">
        <f>SUMIFS('Tourney History'!C:C,'Tourney History'!B:B,A30)</f>
        <v>10</v>
      </c>
      <c r="E30" s="4">
        <f>AVERAGEIFS('Tourney History'!C:C,'Tourney History'!B:B,A30)</f>
        <v>5</v>
      </c>
      <c r="F30" s="35">
        <f t="array" ref="F30">MAX(IF('Tourney History'!B:B=A30, 'Tourney History'!C:C))</f>
        <v>6</v>
      </c>
      <c r="G30" s="34">
        <f>COUNTIFS('Tourney History'!B:B,A30,'Tourney History'!D:D, 1)</f>
        <v>1</v>
      </c>
      <c r="H30" s="2">
        <f>COUNTIFS('Tourney History'!B:B,A30,'Tourney History'!D:D, 0)</f>
        <v>1</v>
      </c>
      <c r="I30" s="88">
        <f>LOOKUP(2, 1/('Tourney History'!$B:$B=A30), 'Tourney History'!$AD:$AD)</f>
        <v>0.5</v>
      </c>
      <c r="J30" s="34">
        <f>SUMIFS('Tourney History'!F:F,'Tourney History'!B:B,A30)</f>
        <v>4</v>
      </c>
      <c r="K30" s="2">
        <f>SUMIFS('Tourney History'!E:E,'Tourney History'!B:B,A30)-J30</f>
        <v>4</v>
      </c>
      <c r="L30" s="88">
        <f>LOOKUP(2, 1/('Tourney History'!$B:$B=A30), 'Tourney History'!$AB:$AB)</f>
        <v>0.5</v>
      </c>
      <c r="M30" s="34">
        <f>SUMIFS('Tourney History'!H:H,'Tourney History'!B:B,A30)</f>
        <v>15</v>
      </c>
      <c r="N30" s="2">
        <f>SUMIFS('Tourney History'!G:G,'Tourney History'!B:B,A30)-M30</f>
        <v>19</v>
      </c>
      <c r="O30" s="88">
        <f>LOOKUP(2, 1/('Tourney History'!$B:$B=A30), 'Tourney History'!$AC:$AC)</f>
        <v>0.43500000000000005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1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40</v>
      </c>
      <c r="B31" s="2" t="s">
        <v>79</v>
      </c>
      <c r="C31" s="2" t="s">
        <v>79</v>
      </c>
      <c r="D31" s="34">
        <f>SUMIFS('Tourney History'!C:C,'Tourney History'!B:B,A31)</f>
        <v>134</v>
      </c>
      <c r="E31" s="4">
        <f>AVERAGEIFS('Tourney History'!C:C,'Tourney History'!B:B,A31)</f>
        <v>26.8</v>
      </c>
      <c r="F31" s="35">
        <f t="array" ref="F31">MAX(IF('Tourney History'!B:B=A31, 'Tourney History'!C:C))</f>
        <v>40</v>
      </c>
      <c r="G31" s="34">
        <f>COUNTIFS('Tourney History'!B:B,A31,'Tourney History'!D:D, 1)</f>
        <v>2</v>
      </c>
      <c r="H31" s="2">
        <f>COUNTIFS('Tourney History'!B:B,A31,'Tourney History'!D:D, 0)</f>
        <v>3</v>
      </c>
      <c r="I31" s="88">
        <f>LOOKUP(2, 1/('Tourney History'!$B:$B=A31), 'Tourney History'!$AD:$AD)</f>
        <v>0.4</v>
      </c>
      <c r="J31" s="34">
        <f>SUMIFS('Tourney History'!F:F,'Tourney History'!B:B,A31)</f>
        <v>11</v>
      </c>
      <c r="K31" s="2">
        <f>SUMIFS('Tourney History'!E:E,'Tourney History'!B:B,A31)-J31</f>
        <v>13</v>
      </c>
      <c r="L31" s="88">
        <f>LOOKUP(2, 1/('Tourney History'!$B:$B=A31), 'Tourney History'!$AB:$AB)</f>
        <v>0.45</v>
      </c>
      <c r="M31" s="34">
        <f>SUMIFS('Tourney History'!H:H,'Tourney History'!B:B,A31)</f>
        <v>49</v>
      </c>
      <c r="N31" s="2">
        <f>SUMIFS('Tourney History'!G:G,'Tourney History'!B:B,A31)-M31</f>
        <v>54</v>
      </c>
      <c r="O31" s="88">
        <f>LOOKUP(2, 1/('Tourney History'!$B:$B=A31), 'Tourney History'!$AC:$AC)</f>
        <v>0.47200000000000009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1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147</v>
      </c>
      <c r="B32" s="2" t="s">
        <v>79</v>
      </c>
      <c r="C32" s="2" t="s">
        <v>79</v>
      </c>
      <c r="D32" s="34">
        <f>SUMIFS('Tourney History'!C:C,'Tourney History'!B:B,A32)</f>
        <v>91</v>
      </c>
      <c r="E32" s="4">
        <f>AVERAGEIFS('Tourney History'!C:C,'Tourney History'!B:B,A32)</f>
        <v>30.333333333333332</v>
      </c>
      <c r="F32" s="35">
        <f t="array" ref="F32">MAX(IF('Tourney History'!B:B=A32, 'Tourney History'!C:C))</f>
        <v>35</v>
      </c>
      <c r="G32" s="34">
        <f>COUNTIFS('Tourney History'!B:B,A32,'Tourney History'!D:D, 1)</f>
        <v>1</v>
      </c>
      <c r="H32" s="2">
        <f>COUNTIFS('Tourney History'!B:B,A32,'Tourney History'!D:D, 0)</f>
        <v>2</v>
      </c>
      <c r="I32" s="88">
        <f>LOOKUP(2, 1/('Tourney History'!$B:$B=A32), 'Tourney History'!$AD:$AD)</f>
        <v>0.33333333333333331</v>
      </c>
      <c r="J32" s="34">
        <f>SUMIFS('Tourney History'!F:F,'Tourney History'!B:B,A32)</f>
        <v>7</v>
      </c>
      <c r="K32" s="2">
        <f>SUMIFS('Tourney History'!E:E,'Tourney History'!B:B,A32)-J32</f>
        <v>8</v>
      </c>
      <c r="L32" s="88">
        <f>LOOKUP(2, 1/('Tourney History'!$B:$B=A32), 'Tourney History'!$AB:$AB)</f>
        <v>0.46666666666666662</v>
      </c>
      <c r="M32" s="34">
        <f>SUMIFS('Tourney History'!H:H,'Tourney History'!B:B,A32)</f>
        <v>29</v>
      </c>
      <c r="N32" s="2">
        <f>SUMIFS('Tourney History'!G:G,'Tourney History'!B:B,A32)-M32</f>
        <v>35</v>
      </c>
      <c r="O32" s="88">
        <f>LOOKUP(2, 1/('Tourney History'!$B:$B=A32), 'Tourney History'!$AC:$AC)</f>
        <v>0.45</v>
      </c>
      <c r="P32" s="2">
        <f>COUNTIFS('Tourney History'!$B:$B,$A$32,'Tourney History'!K:K, 1)</f>
        <v>0</v>
      </c>
      <c r="Q32" s="2">
        <f>COUNTIFS('Tourney History'!$B:$B,$A$32,'Tourney History'!L:L, 1)</f>
        <v>1</v>
      </c>
      <c r="R32" s="2">
        <f>COUNTIFS('Tourney History'!$B:$B,$A$32,'Tourney History'!M:M, 1)</f>
        <v>1</v>
      </c>
      <c r="S32" s="2">
        <f>COUNTIFS('Tourney History'!$B:$B,$A$32,'Tourney History'!N:N, 1)</f>
        <v>2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1</v>
      </c>
      <c r="AD32" s="2">
        <f>COUNTIFS('Tourney History'!$B:$B,$A$32,'Tourney History'!Y:Y, 1)</f>
        <v>1</v>
      </c>
      <c r="AE32" s="2">
        <f>COUNTIFS('Tourney History'!$B:$B,$A$32,'Tourney History'!Z:Z, 1)</f>
        <v>0</v>
      </c>
    </row>
    <row r="33" spans="1:31" x14ac:dyDescent="0.25">
      <c r="A33" s="2" t="s">
        <v>17</v>
      </c>
      <c r="B33" s="2" t="s">
        <v>79</v>
      </c>
      <c r="C33" s="2" t="s">
        <v>79</v>
      </c>
      <c r="D33" s="34">
        <f>SUMIFS('Tourney History'!C:C,'Tourney History'!B:B,A33)</f>
        <v>280</v>
      </c>
      <c r="E33" s="4">
        <f>AVERAGEIFS('Tourney History'!C:C,'Tourney History'!B:B,A33)</f>
        <v>35</v>
      </c>
      <c r="F33" s="35">
        <f t="array" ref="F33">MAX(IF('Tourney History'!B:B=A33, 'Tourney History'!C:C))</f>
        <v>58</v>
      </c>
      <c r="G33" s="34">
        <f>COUNTIFS('Tourney History'!B:B,A33,'Tourney History'!D:D, 1)</f>
        <v>2</v>
      </c>
      <c r="H33" s="2">
        <f>COUNTIFS('Tourney History'!B:B,A33,'Tourney History'!D:D, 0)</f>
        <v>6</v>
      </c>
      <c r="I33" s="88">
        <f>LOOKUP(2, 1/('Tourney History'!$B:$B=A33), 'Tourney History'!$AD:$AD)</f>
        <v>0.25</v>
      </c>
      <c r="J33" s="34">
        <f>SUMIFS('Tourney History'!F:F,'Tourney History'!B:B,A33)</f>
        <v>16</v>
      </c>
      <c r="K33" s="2">
        <f>SUMIFS('Tourney History'!E:E,'Tourney History'!B:B,A33)-J33</f>
        <v>20</v>
      </c>
      <c r="L33" s="88">
        <f>LOOKUP(2, 1/('Tourney History'!$B:$B=A33), 'Tourney History'!$AB:$AB)</f>
        <v>0.46249999999999997</v>
      </c>
      <c r="M33" s="34">
        <f>SUMIFS('Tourney History'!H:H,'Tourney History'!B:B,A33)</f>
        <v>75</v>
      </c>
      <c r="N33" s="2">
        <f>SUMIFS('Tourney History'!G:G,'Tourney History'!B:B,A33)-M33</f>
        <v>83</v>
      </c>
      <c r="O33" s="88">
        <f>LOOKUP(2, 1/('Tourney History'!$B:$B=A33), 'Tourney History'!$AC:$AC)</f>
        <v>0.48249999999999998</v>
      </c>
      <c r="P33" s="2">
        <f>COUNTIFS('Tourney History'!$B:$B,$A$33,'Tourney History'!K:K, 1)</f>
        <v>1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4</v>
      </c>
      <c r="AD33" s="2">
        <f>COUNTIFS('Tourney History'!$B:$B,$A$33,'Tourney History'!Y:Y, 1)</f>
        <v>2</v>
      </c>
      <c r="AE33" s="2">
        <f>COUNTIFS('Tourney History'!$B:$B,$A$33,'Tourney History'!Z:Z, 1)</f>
        <v>4</v>
      </c>
    </row>
    <row r="34" spans="1:31" ht="15.75" x14ac:dyDescent="0.25">
      <c r="A34" s="2" t="s">
        <v>155</v>
      </c>
      <c r="B34" s="97" t="s">
        <v>176</v>
      </c>
      <c r="C34" s="2" t="s">
        <v>79</v>
      </c>
      <c r="D34" s="34">
        <f>SUMIFS('Tourney History'!C:C,'Tourney History'!B:B,A34)</f>
        <v>97</v>
      </c>
      <c r="E34" s="4">
        <f>AVERAGEIFS('Tourney History'!C:C,'Tourney History'!B:B,A34)</f>
        <v>32.333333333333336</v>
      </c>
      <c r="F34" s="35">
        <f t="array" ref="F34">MAX(IF('Tourney History'!B:B=A34, 'Tourney History'!C:C))</f>
        <v>43</v>
      </c>
      <c r="G34" s="34">
        <f>COUNTIFS('Tourney History'!B:B,A34,'Tourney History'!D:D, 1)</f>
        <v>2</v>
      </c>
      <c r="H34" s="2">
        <f>COUNTIFS('Tourney History'!B:B,A34,'Tourney History'!D:D, 0)</f>
        <v>1</v>
      </c>
      <c r="I34" s="88">
        <f>LOOKUP(2, 1/('Tourney History'!$B:$B=A34), 'Tourney History'!$AD:$AD)</f>
        <v>0.66666666666666663</v>
      </c>
      <c r="J34" s="34">
        <f>SUMIFS('Tourney History'!F:F,'Tourney History'!B:B,A34)</f>
        <v>7</v>
      </c>
      <c r="K34" s="2">
        <f>SUMIFS('Tourney History'!E:E,'Tourney History'!B:B,A34)-J34</f>
        <v>7</v>
      </c>
      <c r="L34" s="88">
        <f>LOOKUP(2, 1/('Tourney History'!$B:$B=A34), 'Tourney History'!$AB:$AB)</f>
        <v>0.48333333333333334</v>
      </c>
      <c r="M34" s="34">
        <f>SUMIFS('Tourney History'!H:H,'Tourney History'!B:B,A34)</f>
        <v>29</v>
      </c>
      <c r="N34" s="2">
        <f>SUMIFS('Tourney History'!G:G,'Tourney History'!B:B,A34)-M34</f>
        <v>26</v>
      </c>
      <c r="O34" s="88">
        <f>LOOKUP(2, 1/('Tourney History'!$B:$B=A34), 'Tourney History'!$AC:$AC)</f>
        <v>0.51666666666666661</v>
      </c>
      <c r="P34" s="2">
        <f>COUNTIFS('Tourney History'!$B:$B,$A$34,'Tourney History'!K:K, 1)</f>
        <v>1</v>
      </c>
      <c r="Q34" s="2">
        <f>COUNTIFS('Tourney History'!$B:$B,$A$34,'Tourney History'!L:L, 1)</f>
        <v>2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6</v>
      </c>
      <c r="B35" s="2" t="s">
        <v>157</v>
      </c>
      <c r="C35" s="2" t="s">
        <v>79</v>
      </c>
      <c r="D35" s="34">
        <f>SUMIFS('Tourney History'!C:C,'Tourney History'!B:B,A35)</f>
        <v>293</v>
      </c>
      <c r="E35" s="4">
        <f>AVERAGEIFS('Tourney History'!C:C,'Tourney History'!B:B,A35)</f>
        <v>32.555555555555557</v>
      </c>
      <c r="F35" s="35">
        <f t="array" ref="F35">MAX(IF('Tourney History'!B:B=A35, 'Tourney History'!C:C))</f>
        <v>66</v>
      </c>
      <c r="G35" s="34">
        <f>COUNTIFS('Tourney History'!B:B,A35,'Tourney History'!D:D, 1)</f>
        <v>6</v>
      </c>
      <c r="H35" s="2">
        <f>COUNTIFS('Tourney History'!B:B,A35,'Tourney History'!D:D, 0)</f>
        <v>3</v>
      </c>
      <c r="I35" s="88">
        <f>LOOKUP(2, 1/('Tourney History'!$B:$B=A35), 'Tourney History'!$AD:$AD)</f>
        <v>0.66666666666666663</v>
      </c>
      <c r="J35" s="34">
        <f>SUMIFS('Tourney History'!F:F,'Tourney History'!B:B,A35)</f>
        <v>23</v>
      </c>
      <c r="K35" s="2">
        <f>SUMIFS('Tourney History'!E:E,'Tourney History'!B:B,A35)-J35</f>
        <v>15</v>
      </c>
      <c r="L35" s="88">
        <f>LOOKUP(2, 1/('Tourney History'!$B:$B=A35), 'Tourney History'!$AB:$AB)</f>
        <v>0.63888888888888884</v>
      </c>
      <c r="M35" s="34">
        <f>SUMIFS('Tourney History'!H:H,'Tourney History'!B:B,A35)</f>
        <v>84</v>
      </c>
      <c r="N35" s="2">
        <f>SUMIFS('Tourney History'!G:G,'Tourney History'!B:B,A35)-M35</f>
        <v>77</v>
      </c>
      <c r="O35" s="88">
        <f>LOOKUP(2, 1/('Tourney History'!$B:$B=A35), 'Tourney History'!$AC:$AC)</f>
        <v>0.53999999999999992</v>
      </c>
      <c r="P35" s="2">
        <f>COUNTIFS('Tourney History'!$B:$B,$A$35,'Tourney History'!K:K, 1)</f>
        <v>0</v>
      </c>
      <c r="Q35" s="2">
        <f>COUNTIFS('Tourney History'!$B:$B,$A$35,'Tourney History'!L:L, 1)</f>
        <v>3</v>
      </c>
      <c r="R35" s="2">
        <f>COUNTIFS('Tourney History'!$B:$B,$A$35,'Tourney History'!M:M, 1)</f>
        <v>3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3</v>
      </c>
      <c r="V35" s="2">
        <f>COUNTIFS('Tourney History'!$B:$B,$A$35,'Tourney History'!Q:Q, 1)</f>
        <v>0</v>
      </c>
      <c r="W35" s="2">
        <f>COUNTIFS('Tourney History'!$B:$B,$A$35,'Tourney History'!R:R, 1)</f>
        <v>1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4</v>
      </c>
      <c r="AC35" s="2">
        <f>COUNTIFS('Tourney History'!$B:$B,$A$35,'Tourney History'!X:X, 1)</f>
        <v>1</v>
      </c>
      <c r="AD35" s="2">
        <f>COUNTIFS('Tourney History'!$B:$B,$A$35,'Tourney History'!Y:Y, 1)</f>
        <v>2</v>
      </c>
      <c r="AE35" s="2">
        <f>COUNTIFS('Tourney History'!$B:$B,$A$35,'Tourney History'!Z:Z, 1)</f>
        <v>2</v>
      </c>
    </row>
    <row r="36" spans="1:31" ht="15.75" x14ac:dyDescent="0.25">
      <c r="A36" s="2" t="s">
        <v>18</v>
      </c>
      <c r="B36" s="97" t="s">
        <v>176</v>
      </c>
      <c r="C36" s="2" t="s">
        <v>79</v>
      </c>
      <c r="D36" s="34">
        <f>SUMIFS('Tourney History'!C:C,'Tourney History'!B:B,A36)</f>
        <v>363</v>
      </c>
      <c r="E36" s="4">
        <f>AVERAGEIFS('Tourney History'!C:C,'Tourney History'!B:B,A36)</f>
        <v>36.299999999999997</v>
      </c>
      <c r="F36" s="35">
        <f t="array" ref="F36">MAX(IF('Tourney History'!B:B=A36, 'Tourney History'!C:C))</f>
        <v>58</v>
      </c>
      <c r="G36" s="34">
        <f>COUNTIFS('Tourney History'!B:B,A36,'Tourney History'!D:D, 1)</f>
        <v>4</v>
      </c>
      <c r="H36" s="2">
        <f>COUNTIFS('Tourney History'!B:B,A36,'Tourney History'!D:D, 0)</f>
        <v>6</v>
      </c>
      <c r="I36" s="88">
        <f>LOOKUP(2, 1/('Tourney History'!$B:$B=A36), 'Tourney History'!$AD:$AD)</f>
        <v>0.4</v>
      </c>
      <c r="J36" s="34">
        <f>SUMIFS('Tourney History'!F:F,'Tourney History'!B:B,A36)</f>
        <v>21</v>
      </c>
      <c r="K36" s="2">
        <f>SUMIFS('Tourney History'!E:E,'Tourney History'!B:B,A36)-J36</f>
        <v>24</v>
      </c>
      <c r="L36" s="88">
        <f>LOOKUP(2, 1/('Tourney History'!$B:$B=A36), 'Tourney History'!$AB:$AB)</f>
        <v>0.46500000000000002</v>
      </c>
      <c r="M36" s="34">
        <f>SUMIFS('Tourney History'!H:H,'Tourney History'!B:B,A36)</f>
        <v>91</v>
      </c>
      <c r="N36" s="2">
        <f>SUMIFS('Tourney History'!G:G,'Tourney History'!B:B,A36)-M36</f>
        <v>96</v>
      </c>
      <c r="O36" s="88">
        <f>LOOKUP(2, 1/('Tourney History'!$B:$B=A36), 'Tourney History'!$AC:$AC)</f>
        <v>0.48599999999999993</v>
      </c>
      <c r="P36" s="2">
        <f>COUNTIFS('Tourney History'!$B:$B,$A$36,'Tourney History'!K:K, 1)</f>
        <v>2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4</v>
      </c>
      <c r="T36" s="2">
        <f>COUNTIFS('Tourney History'!$B:$B,$A$36,'Tourney History'!O:O, 1)</f>
        <v>2</v>
      </c>
      <c r="U36" s="2">
        <f>COUNTIFS('Tourney History'!$B:$B,$A$36,'Tourney History'!P:P, 1)</f>
        <v>4</v>
      </c>
      <c r="V36" s="2">
        <f>COUNTIFS('Tourney History'!$B:$B,$A$36,'Tourney History'!Q:Q, 1)</f>
        <v>0</v>
      </c>
      <c r="W36" s="2">
        <f>COUNTIFS('Tourney History'!$B:$B,$A$36,'Tourney History'!R:R, 1)</f>
        <v>2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2</v>
      </c>
      <c r="AC36" s="2">
        <f>COUNTIFS('Tourney History'!$B:$B,$A$36,'Tourney History'!X:X, 1)</f>
        <v>3</v>
      </c>
      <c r="AD36" s="2">
        <f>COUNTIFS('Tourney History'!$B:$B,$A$36,'Tourney History'!Y:Y, 1)</f>
        <v>0</v>
      </c>
      <c r="AE36" s="2">
        <f>COUNTIFS('Tourney History'!$B:$B,$A$36,'Tourney History'!Z:Z, 1)</f>
        <v>1</v>
      </c>
    </row>
    <row r="37" spans="1:31" x14ac:dyDescent="0.25">
      <c r="A37" s="2" t="s">
        <v>113</v>
      </c>
      <c r="B37" s="2" t="s">
        <v>79</v>
      </c>
      <c r="C37" s="2" t="s">
        <v>79</v>
      </c>
      <c r="D37" s="34">
        <f>SUMIFS('Tourney History'!C:C,'Tourney History'!B:B,A37)</f>
        <v>99</v>
      </c>
      <c r="E37" s="4">
        <f>AVERAGEIFS('Tourney History'!C:C,'Tourney History'!B:B,A37)</f>
        <v>49.5</v>
      </c>
      <c r="F37" s="35">
        <f t="array" ref="F37">MAX(IF('Tourney History'!B:B=A37, 'Tourney History'!C:C))</f>
        <v>50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21</v>
      </c>
      <c r="N37" s="2">
        <f>SUMIFS('Tourney History'!G:G,'Tourney History'!B:B,A37)-M37</f>
        <v>23</v>
      </c>
      <c r="O37" s="88">
        <f>LOOKUP(2, 1/('Tourney History'!$B:$B=A37), 'Tourney History'!$AC:$AC)</f>
        <v>0.47499999999999998</v>
      </c>
      <c r="P37" s="2">
        <f>COUNTIFS('Tourney History'!$B:$B,$A$37,'Tourney History'!K:K, 1)</f>
        <v>0</v>
      </c>
      <c r="Q37" s="2">
        <f>COUNTIFS('Tourney History'!$B:$B,$A$37,'Tourney History'!L:L, 1)</f>
        <v>1</v>
      </c>
      <c r="R37" s="2">
        <f>COUNTIFS('Tourney History'!$B:$B,$A$37,'Tourney History'!M:M, 1)</f>
        <v>1</v>
      </c>
      <c r="S37" s="2">
        <f>COUNTIFS('Tourney History'!$B:$B,$A$37,'Tourney History'!N:N, 1)</f>
        <v>2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14</v>
      </c>
      <c r="B38" s="6" t="s">
        <v>124</v>
      </c>
      <c r="C38" s="6" t="s">
        <v>160</v>
      </c>
      <c r="D38" s="34">
        <f>SUMIFS('Tourney History'!C:C,'Tourney History'!B:B,A38)</f>
        <v>373</v>
      </c>
      <c r="E38" s="4">
        <f>AVERAGEIFS('Tourney History'!C:C,'Tourney History'!B:B,A38)</f>
        <v>37.299999999999997</v>
      </c>
      <c r="F38" s="35">
        <f t="array" ref="F38">MAX(IF('Tourney History'!B:B=A38, 'Tourney History'!C:C))</f>
        <v>56</v>
      </c>
      <c r="G38" s="34">
        <f>COUNTIFS('Tourney History'!B:B,A38,'Tourney History'!D:D, 1)</f>
        <v>5</v>
      </c>
      <c r="H38" s="2">
        <f>COUNTIFS('Tourney History'!B:B,A38,'Tourney History'!D:D, 0)</f>
        <v>5</v>
      </c>
      <c r="I38" s="88">
        <f>LOOKUP(2, 1/('Tourney History'!$B:$B=A38), 'Tourney History'!$AD:$AD)</f>
        <v>0.5</v>
      </c>
      <c r="J38" s="34">
        <f>SUMIFS('Tourney History'!F:F,'Tourney History'!B:B,A38)</f>
        <v>21</v>
      </c>
      <c r="K38" s="2">
        <f>SUMIFS('Tourney History'!E:E,'Tourney History'!B:B,A38)-J38</f>
        <v>22</v>
      </c>
      <c r="L38" s="88">
        <f>LOOKUP(2, 1/('Tourney History'!$B:$B=A38), 'Tourney History'!$AB:$AB)</f>
        <v>0.495</v>
      </c>
      <c r="M38" s="34">
        <f>SUMIFS('Tourney History'!H:H,'Tourney History'!B:B,A38)</f>
        <v>92</v>
      </c>
      <c r="N38" s="2">
        <f>SUMIFS('Tourney History'!G:G,'Tourney History'!B:B,A38)-M38</f>
        <v>91</v>
      </c>
      <c r="O38" s="88">
        <f>LOOKUP(2, 1/('Tourney History'!$B:$B=A38), 'Tourney History'!$AC:$AC)</f>
        <v>0.50800000000000001</v>
      </c>
      <c r="P38" s="2">
        <f>COUNTIFS('Tourney History'!$B:$B,$A$38,'Tourney History'!K:K, 1)</f>
        <v>1</v>
      </c>
      <c r="Q38" s="2">
        <f>COUNTIFS('Tourney History'!$B:$B,$A$38,'Tourney History'!L:L, 1)</f>
        <v>3</v>
      </c>
      <c r="R38" s="2">
        <f>COUNTIFS('Tourney History'!$B:$B,$A$38,'Tourney History'!M:M, 1)</f>
        <v>2</v>
      </c>
      <c r="S38" s="2">
        <f>COUNTIFS('Tourney History'!$B:$B,$A$38,'Tourney History'!N:N, 1)</f>
        <v>0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3</v>
      </c>
      <c r="AC38" s="2">
        <f>COUNTIFS('Tourney History'!$B:$B,$A$38,'Tourney History'!X:X, 1)</f>
        <v>5</v>
      </c>
      <c r="AD38" s="2">
        <f>COUNTIFS('Tourney History'!$B:$B,$A$38,'Tourney History'!Y:Y, 1)</f>
        <v>0</v>
      </c>
      <c r="AE38" s="2">
        <f>COUNTIFS('Tourney History'!$B:$B,$A$38,'Tourney History'!Z:Z, 1)</f>
        <v>3</v>
      </c>
    </row>
    <row r="39" spans="1:31" x14ac:dyDescent="0.25">
      <c r="A39" s="2" t="s">
        <v>70</v>
      </c>
      <c r="B39" s="6" t="s">
        <v>79</v>
      </c>
      <c r="C39" s="6" t="s">
        <v>79</v>
      </c>
      <c r="D39" s="34">
        <f>SUMIFS('Tourney History'!C:C,'Tourney History'!B:B,A39)</f>
        <v>71</v>
      </c>
      <c r="E39" s="4">
        <f>AVERAGEIFS('Tourney History'!C:C,'Tourney History'!B:B,A39)</f>
        <v>23.666666666666668</v>
      </c>
      <c r="F39" s="35">
        <f t="array" ref="F39">MAX(IF('Tourney History'!B:B=A39, 'Tourney History'!C:C))</f>
        <v>27</v>
      </c>
      <c r="G39" s="34">
        <f>COUNTIFS('Tourney History'!B:B,A39,'Tourney History'!D:D, 1)</f>
        <v>1</v>
      </c>
      <c r="H39" s="2">
        <f>COUNTIFS('Tourney History'!B:B,A39,'Tourney History'!D:D, 0)</f>
        <v>2</v>
      </c>
      <c r="I39" s="88">
        <f>LOOKUP(2, 1/('Tourney History'!$B:$B=A39), 'Tourney History'!$AD:$AD)</f>
        <v>0.33333333333333331</v>
      </c>
      <c r="J39" s="34">
        <f>SUMIFS('Tourney History'!F:F,'Tourney History'!B:B,A39)</f>
        <v>7</v>
      </c>
      <c r="K39" s="2">
        <f>SUMIFS('Tourney History'!E:E,'Tourney History'!B:B,A39)-J39</f>
        <v>8</v>
      </c>
      <c r="L39" s="88">
        <f>LOOKUP(2, 1/('Tourney History'!$B:$B=A39), 'Tourney History'!$AB:$AB)</f>
        <v>0.46666666666666662</v>
      </c>
      <c r="M39" s="34">
        <f>SUMIFS('Tourney History'!H:H,'Tourney History'!B:B,A39)</f>
        <v>32</v>
      </c>
      <c r="N39" s="2">
        <f>SUMIFS('Tourney History'!G:G,'Tourney History'!B:B,A39)-M39</f>
        <v>33</v>
      </c>
      <c r="O39" s="88">
        <f>LOOKUP(2, 1/('Tourney History'!$B:$B=A39), 'Tourney History'!$AC:$AC)</f>
        <v>0.49333333333333323</v>
      </c>
      <c r="P39" s="2">
        <f>COUNTIFS('Tourney History'!$B:$B,$A$39,'Tourney History'!K:K, 1)</f>
        <v>1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4</v>
      </c>
      <c r="B40" s="6" t="s">
        <v>175</v>
      </c>
      <c r="C40" s="2" t="s">
        <v>79</v>
      </c>
      <c r="D40" s="34">
        <f>SUMIFS('Tourney History'!C:C,'Tourney History'!B:B,A40)</f>
        <v>160</v>
      </c>
      <c r="E40" s="4">
        <f>AVERAGEIFS('Tourney History'!C:C,'Tourney History'!B:B,A40)</f>
        <v>26.666666666666668</v>
      </c>
      <c r="F40" s="35">
        <f t="array" ref="F40">MAX(IF('Tourney History'!B:B=A40, 'Tourney History'!C:C))</f>
        <v>46</v>
      </c>
      <c r="G40" s="34">
        <f>COUNTIFS('Tourney History'!B:B,A40,'Tourney History'!D:D, 1)</f>
        <v>5</v>
      </c>
      <c r="H40" s="2">
        <f>COUNTIFS('Tourney History'!B:B,A40,'Tourney History'!D:D, 0)</f>
        <v>1</v>
      </c>
      <c r="I40" s="88">
        <f>LOOKUP(2, 1/('Tourney History'!$B:$B=A40), 'Tourney History'!$AD:$AD)</f>
        <v>0.83333333333333337</v>
      </c>
      <c r="J40" s="34">
        <f>SUMIFS('Tourney History'!F:F,'Tourney History'!B:B,A40)</f>
        <v>15</v>
      </c>
      <c r="K40" s="2">
        <f>SUMIFS('Tourney History'!E:E,'Tourney History'!B:B,A40)-J40</f>
        <v>11</v>
      </c>
      <c r="L40" s="88">
        <f>LOOKUP(2, 1/('Tourney History'!$B:$B=A40), 'Tourney History'!$AB:$AB)</f>
        <v>0.55000000000000004</v>
      </c>
      <c r="M40" s="34">
        <f>SUMIFS('Tourney History'!H:H,'Tourney History'!B:B,A40)</f>
        <v>56</v>
      </c>
      <c r="N40" s="2">
        <f>SUMIFS('Tourney History'!G:G,'Tourney History'!B:B,A40)-M40</f>
        <v>48</v>
      </c>
      <c r="O40" s="88">
        <f>LOOKUP(2, 1/('Tourney History'!$B:$B=A40), 'Tourney History'!$AC:$AC)</f>
        <v>0.51500000000000001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1</v>
      </c>
      <c r="S40" s="2">
        <f>COUNTIFS('Tourney History'!$B:$B,$A$40,'Tourney History'!N:N, 1)</f>
        <v>1</v>
      </c>
      <c r="T40" s="2">
        <f>COUNTIFS('Tourney History'!$B:$B,$A$40,'Tourney History'!O:O, 1)</f>
        <v>3</v>
      </c>
      <c r="U40" s="2">
        <f>COUNTIFS('Tourney History'!$B:$B,$A$40,'Tourney History'!P:P, 1)</f>
        <v>2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1</v>
      </c>
      <c r="AC40" s="2">
        <f>COUNTIFS('Tourney History'!$B:$B,$A$40,'Tourney History'!X:X, 1)</f>
        <v>1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55</v>
      </c>
      <c r="B41" s="2" t="s">
        <v>79</v>
      </c>
      <c r="C41" s="2" t="s">
        <v>79</v>
      </c>
      <c r="D41" s="34">
        <f>SUMIFS('Tourney History'!C:C,'Tourney History'!B:B,A41)</f>
        <v>18</v>
      </c>
      <c r="E41" s="4">
        <f>AVERAGEIFS('Tourney History'!C:C,'Tourney History'!B:B,A41)</f>
        <v>9</v>
      </c>
      <c r="F41" s="35">
        <f t="array" ref="F41">MAX(IF('Tourney History'!B:B=A41, 'Tourney History'!C:C))</f>
        <v>12</v>
      </c>
      <c r="G41" s="34">
        <f>COUNTIFS('Tourney History'!B:B,A41,'Tourney History'!D:D, 1)</f>
        <v>1</v>
      </c>
      <c r="H41" s="2">
        <f>COUNTIFS('Tourney History'!B:B,A41,'Tourney History'!D:D, 0)</f>
        <v>1</v>
      </c>
      <c r="I41" s="88">
        <f>LOOKUP(2, 1/('Tourney History'!$B:$B=A41), 'Tourney History'!$AD:$AD)</f>
        <v>0.5</v>
      </c>
      <c r="J41" s="34">
        <f>SUMIFS('Tourney History'!F:F,'Tourney History'!B:B,A41)</f>
        <v>4</v>
      </c>
      <c r="K41" s="2">
        <f>SUMIFS('Tourney History'!E:E,'Tourney History'!B:B,A41)-J41</f>
        <v>5</v>
      </c>
      <c r="L41" s="88">
        <f>LOOKUP(2, 1/('Tourney History'!$B:$B=A41), 'Tourney History'!$AB:$AB)</f>
        <v>0.42499999999999999</v>
      </c>
      <c r="M41" s="34">
        <f>SUMIFS('Tourney History'!H:H,'Tourney History'!B:B,A41)</f>
        <v>18</v>
      </c>
      <c r="N41" s="2">
        <f>SUMIFS('Tourney History'!G:G,'Tourney History'!B:B,A41)-M41</f>
        <v>19</v>
      </c>
      <c r="O41" s="88">
        <f>LOOKUP(2, 1/('Tourney History'!$B:$B=A41), 'Tourney History'!$AC:$AC)</f>
        <v>0.47499999999999998</v>
      </c>
      <c r="P41" s="2">
        <f>COUNTIFS('Tourney History'!$B:$B,$A$41,'Tourney History'!K:K, 1)</f>
        <v>0</v>
      </c>
      <c r="Q41" s="2">
        <f>COUNTIFS('Tourney History'!$B:$B,$A$41,'Tourney History'!L:L, 1)</f>
        <v>0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1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0</v>
      </c>
      <c r="AE41" s="2">
        <f>COUNTIFS('Tourney History'!$B:$B,$A$41,'Tourney History'!Z:Z, 1)</f>
        <v>0</v>
      </c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D17" sqref="D17"/>
    </sheetView>
  </sheetViews>
  <sheetFormatPr defaultRowHeight="15" x14ac:dyDescent="0.25"/>
  <cols>
    <col min="1" max="1" width="32.5703125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203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204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205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206</v>
      </c>
      <c r="C11" t="s">
        <v>190</v>
      </c>
      <c r="D11" t="s">
        <v>191</v>
      </c>
    </row>
    <row r="12" spans="1:4" x14ac:dyDescent="0.25">
      <c r="A12" t="s">
        <v>208</v>
      </c>
      <c r="B12" s="99" t="s">
        <v>210</v>
      </c>
      <c r="C12" t="s">
        <v>209</v>
      </c>
      <c r="D12" t="s">
        <v>184</v>
      </c>
    </row>
    <row r="13" spans="1:4" x14ac:dyDescent="0.25">
      <c r="A13" t="s">
        <v>197</v>
      </c>
      <c r="B13" s="99" t="s">
        <v>196</v>
      </c>
      <c r="C13" t="s">
        <v>200</v>
      </c>
      <c r="D13" t="s">
        <v>184</v>
      </c>
    </row>
    <row r="14" spans="1:4" x14ac:dyDescent="0.25">
      <c r="A14" t="s">
        <v>198</v>
      </c>
      <c r="B14" s="99" t="s">
        <v>199</v>
      </c>
      <c r="C14" t="s">
        <v>200</v>
      </c>
      <c r="D14" t="s">
        <v>207</v>
      </c>
    </row>
    <row r="15" spans="1:4" x14ac:dyDescent="0.25">
      <c r="A15" t="s">
        <v>201</v>
      </c>
      <c r="B15" s="99" t="s">
        <v>202</v>
      </c>
      <c r="C15" t="s">
        <v>200</v>
      </c>
      <c r="D15" t="s">
        <v>207</v>
      </c>
    </row>
    <row r="16" spans="1:4" x14ac:dyDescent="0.25">
      <c r="A16" t="s">
        <v>211</v>
      </c>
      <c r="B16" s="99" t="s">
        <v>212</v>
      </c>
      <c r="C16" t="s">
        <v>213</v>
      </c>
      <c r="D16" t="s">
        <v>184</v>
      </c>
    </row>
    <row r="17" spans="1:4" x14ac:dyDescent="0.25">
      <c r="A17" t="s">
        <v>223</v>
      </c>
      <c r="B17" s="99" t="s">
        <v>224</v>
      </c>
      <c r="C17" t="s">
        <v>225</v>
      </c>
      <c r="D17" t="s">
        <v>207</v>
      </c>
    </row>
    <row r="18" spans="1:4" x14ac:dyDescent="0.25">
      <c r="B18" s="99"/>
    </row>
    <row r="19" spans="1:4" x14ac:dyDescent="0.25">
      <c r="B19" s="99"/>
    </row>
    <row r="20" spans="1:4" x14ac:dyDescent="0.25">
      <c r="B20" s="99"/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2026-05-16T17:11:57Z</dcterms:modified>
</cp:coreProperties>
</file>