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067EDE7A-9F22-4407-A40D-7E4256B9A71F}" xr6:coauthVersionLast="47" xr6:coauthVersionMax="47" xr10:uidLastSave="{00000000-0000-0000-0000-000000000000}"/>
  <bookViews>
    <workbookView xWindow="19095" yWindow="0" windowWidth="19410" windowHeight="20985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S2'!$A$1:$AM$34</definedName>
    <definedName name="_xlnm._FilterDatabase" localSheetId="7" hidden="1">'BA v2'!$A$1:$AM$58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84" i="18" l="1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S14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2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0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L31" i="16"/>
  <c r="R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R32" i="16"/>
  <c r="AJ2" i="17"/>
  <c r="AH2" i="17"/>
  <c r="AG2" i="17"/>
  <c r="F32" i="16"/>
  <c r="G32" i="16"/>
  <c r="H32" i="16" a="1"/>
  <c r="H32" i="16" s="1"/>
  <c r="I32" i="16"/>
  <c r="J32" i="16"/>
  <c r="L32" i="16"/>
  <c r="M32" i="16" s="1"/>
  <c r="O32" i="16"/>
  <c r="P32" i="16" s="1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2" i="16"/>
  <c r="K32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R33" i="16"/>
  <c r="R30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0" i="16"/>
  <c r="Q31" i="16"/>
  <c r="Q33" i="16"/>
  <c r="Q34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0" i="16"/>
  <c r="P30" i="16" s="1"/>
  <c r="O31" i="16"/>
  <c r="P31" i="16" s="1"/>
  <c r="O33" i="16"/>
  <c r="P33" i="16" s="1"/>
  <c r="O34" i="16"/>
  <c r="P34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0" i="16"/>
  <c r="N31" i="16"/>
  <c r="N33" i="16"/>
  <c r="N34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0" i="16"/>
  <c r="M30" i="16" s="1"/>
  <c r="M31" i="16"/>
  <c r="L33" i="16"/>
  <c r="M33" i="16" s="1"/>
  <c r="L34" i="16"/>
  <c r="M34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0" i="16"/>
  <c r="K31" i="16"/>
  <c r="K33" i="16"/>
  <c r="K34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0" i="16"/>
  <c r="J31" i="16"/>
  <c r="J33" i="16"/>
  <c r="J34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0" i="16"/>
  <c r="I31" i="16"/>
  <c r="I33" i="16"/>
  <c r="I34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0" i="16" a="1"/>
  <c r="H30" i="16" s="1"/>
  <c r="H31" i="16" a="1"/>
  <c r="H31" i="16" s="1"/>
  <c r="H33" i="16" a="1"/>
  <c r="H33" i="16" s="1"/>
  <c r="H34" i="16" a="1"/>
  <c r="H34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0" i="16"/>
  <c r="G31" i="16"/>
  <c r="G33" i="16"/>
  <c r="G34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0" i="16"/>
  <c r="F31" i="16"/>
  <c r="F33" i="16"/>
  <c r="F34" i="16"/>
  <c r="F2" i="16"/>
  <c r="K9" i="16"/>
  <c r="Q9" i="16"/>
  <c r="N9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2" i="12"/>
  <c r="Q53" i="12"/>
  <c r="Q55" i="12"/>
  <c r="Q56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2" i="12"/>
  <c r="N53" i="12"/>
  <c r="N55" i="12"/>
  <c r="N56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2" i="12"/>
  <c r="K53" i="12"/>
  <c r="K55" i="12"/>
  <c r="K56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8" i="12" s="1"/>
  <c r="AI52" i="9"/>
  <c r="Q58" i="12" s="1"/>
  <c r="AJ52" i="9"/>
  <c r="K58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7" i="12" s="1"/>
  <c r="AI102" i="9"/>
  <c r="Q57" i="12" s="1"/>
  <c r="AJ102" i="9"/>
  <c r="K57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4" i="12" s="1"/>
  <c r="AI564" i="9"/>
  <c r="Q54" i="12" s="1"/>
  <c r="AJ564" i="9"/>
  <c r="K54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2" i="12"/>
  <c r="J53" i="12"/>
  <c r="J54" i="12"/>
  <c r="J55" i="12"/>
  <c r="J56" i="12"/>
  <c r="J57" i="12"/>
  <c r="J58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2" i="12"/>
  <c r="I53" i="12"/>
  <c r="I54" i="12"/>
  <c r="I55" i="12"/>
  <c r="I56" i="12"/>
  <c r="I57" i="12"/>
  <c r="I58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2" i="12"/>
  <c r="G53" i="12"/>
  <c r="G54" i="12"/>
  <c r="G55" i="12"/>
  <c r="G56" i="12"/>
  <c r="G57" i="12"/>
  <c r="G58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2" i="12"/>
  <c r="F53" i="12"/>
  <c r="F54" i="12"/>
  <c r="F55" i="12"/>
  <c r="F56" i="12"/>
  <c r="F57" i="12"/>
  <c r="F58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<sst xmlns="http://schemas.openxmlformats.org/spreadsheetml/2006/main" count="3862" uniqueCount="179">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</sst>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1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tabSelected="1"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F58" sqref="F5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68</v>
      </c>
      <c r="I4" s="4">
        <f>AVERAGEIFS('OB History'!C:C,'OB History'!B:B,A4)</f>
        <v>8.5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2</v>
      </c>
      <c r="M4" s="88">
        <f>LOOKUP(2, 1/('OB History'!$B:$B=A4), 'OB History'!$AD:$AD)</f>
        <v>0.75</v>
      </c>
      <c r="N4" s="34">
        <f>SUMIFS('OB History'!F:F,'OB History'!B:B,A4)</f>
        <v>18</v>
      </c>
      <c r="O4" s="2">
        <f>SUMIFS('OB History'!E:E,'OB History'!B:B,A4)-N4</f>
        <v>13</v>
      </c>
      <c r="P4" s="88">
        <f>LOOKUP(2, 1/('OB History'!$B:$B=A4), 'OB History'!$AB:$AB)</f>
        <v>0.56874999999999998</v>
      </c>
      <c r="Q4" s="34">
        <f>SUMIFS('OB History'!H:H,'OB History'!B:B,A4)</f>
        <v>70</v>
      </c>
      <c r="R4" s="2">
        <f>SUMIFS('OB History'!G:G,'OB History'!B:B,A4)-Q4</f>
        <v>62</v>
      </c>
      <c r="S4" s="88">
        <f>LOOKUP(2, 1/('OB History'!$B:$B=A4), 'OB History'!$AC:$AC)</f>
        <v>0.52499999999999991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3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1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479</v>
      </c>
      <c r="I5" s="4">
        <f>AVERAGEIFS('OB History'!C:C,'OB History'!B:B,A5)</f>
        <v>19.16</v>
      </c>
      <c r="J5" s="35">
        <f t="array" ref="J5">MAX(IF('OB History'!B:B=A5, 'OB History'!C:C))</f>
        <v>36</v>
      </c>
      <c r="K5" s="34">
        <f>COUNTIFS('OB History'!B:B,A5,'OB History'!D:D, 1)</f>
        <v>11</v>
      </c>
      <c r="L5" s="2">
        <f>COUNTIFS('OB History'!B:B,A5,'OB History'!D:D, 0)</f>
        <v>14</v>
      </c>
      <c r="M5" s="88">
        <f>LOOKUP(2, 1/('OB History'!$B:$B=A5), 'OB History'!$AD:$AD)</f>
        <v>0.44</v>
      </c>
      <c r="N5" s="34">
        <f>SUMIFS('OB History'!F:F,'OB History'!B:B,A5)</f>
        <v>45</v>
      </c>
      <c r="O5" s="2">
        <f>SUMIFS('OB History'!E:E,'OB History'!B:B,A5)-N5</f>
        <v>56</v>
      </c>
      <c r="P5" s="88">
        <f>LOOKUP(2, 1/('OB History'!$B:$B=A5), 'OB History'!$AB:$AB)</f>
        <v>0.42799999999999999</v>
      </c>
      <c r="Q5" s="34">
        <f>SUMIFS('OB History'!H:H,'OB History'!B:B,A5)</f>
        <v>192</v>
      </c>
      <c r="R5" s="2">
        <f>SUMIFS('OB History'!G:G,'OB History'!B:B,A5)-Q5</f>
        <v>221</v>
      </c>
      <c r="S5" s="88">
        <f>LOOKUP(2, 1/('OB History'!$B:$B=A5), 'OB History'!$AC:$AC)</f>
        <v>0.45479999999999998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1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0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10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447</v>
      </c>
      <c r="I10" s="4">
        <f>AVERAGEIFS('OB History'!C:C,'OB History'!B:B,A10)</f>
        <v>17.192307692307693</v>
      </c>
      <c r="J10" s="35">
        <f t="array" ref="J10">MAX(IF('OB History'!B:B=A10, 'OB History'!C:C))</f>
        <v>35</v>
      </c>
      <c r="K10" s="34">
        <f>COUNTIFS('OB History'!B:B,A10,'OB History'!D:D, 1)</f>
        <v>15</v>
      </c>
      <c r="L10" s="2">
        <f>COUNTIFS('OB History'!B:B,A10,'OB History'!D:D, 0)</f>
        <v>11</v>
      </c>
      <c r="M10" s="88">
        <f>LOOKUP(2, 1/('OB History'!$B:$B=A10), 'OB History'!$AD:$AD)</f>
        <v>0.57692307692307687</v>
      </c>
      <c r="N10" s="34">
        <f>SUMIFS('OB History'!F:F,'OB History'!B:B,A10)</f>
        <v>61</v>
      </c>
      <c r="O10" s="2">
        <f>SUMIFS('OB History'!E:E,'OB History'!B:B,A10)-N10</f>
        <v>48</v>
      </c>
      <c r="P10" s="88">
        <f>LOOKUP(2, 1/('OB History'!$B:$B=A10), 'OB History'!$AB:$AB)</f>
        <v>0.58269230769230773</v>
      </c>
      <c r="Q10" s="34">
        <f>SUMIFS('OB History'!H:H,'OB History'!B:B,'Old Bow v2'!A10)</f>
        <v>234</v>
      </c>
      <c r="R10" s="2">
        <f>SUMIFS('OB History'!G:G,'OB History'!B:B,'Old Bow v2'!A10)-Q10</f>
        <v>220</v>
      </c>
      <c r="S10" s="88">
        <f>LOOKUP(2, 1/('OB History'!$B:$B=A10), 'OB History'!$AC:$AC)</f>
        <v>0.5296153846153846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0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1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9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268</v>
      </c>
      <c r="I16" s="4">
        <f>AVERAGEIFS('OB History'!C:C,'OB History'!B:B,A16)</f>
        <v>12.761904761904763</v>
      </c>
      <c r="J16" s="35">
        <f t="array" ref="J16">MAX(IF('OB History'!B:B=A16, 'OB History'!C:C))</f>
        <v>26</v>
      </c>
      <c r="K16" s="34">
        <f>COUNTIFS('OB History'!B:B,A16,'OB History'!D:D, 1)</f>
        <v>8</v>
      </c>
      <c r="L16" s="2">
        <f>COUNTIFS('OB History'!B:B,A16,'OB History'!D:D, 0)</f>
        <v>13</v>
      </c>
      <c r="M16" s="88">
        <f>LOOKUP(2, 1/('OB History'!$B:$B=A16), 'OB History'!$AD:$AD)</f>
        <v>0.38095238095238093</v>
      </c>
      <c r="N16" s="34">
        <f>SUMIFS('OB History'!F:F,'OB History'!B:B,A16)</f>
        <v>41</v>
      </c>
      <c r="O16" s="2">
        <f>SUMIFS('OB History'!E:E,'OB History'!B:B,A16)-N16</f>
        <v>48</v>
      </c>
      <c r="P16" s="88">
        <f>LOOKUP(2, 1/('OB History'!$B:$B=A16), 'OB History'!$AB:$AB)</f>
        <v>0.45714285714285718</v>
      </c>
      <c r="Q16" s="34">
        <f>SUMIFS('OB History'!H:H,'OB History'!B:B,'Old Bow v2'!A16)</f>
        <v>172</v>
      </c>
      <c r="R16" s="2">
        <f>SUMIFS('OB History'!G:G,'OB History'!B:B,'Old Bow v2'!A16)-Q16</f>
        <v>188</v>
      </c>
      <c r="S16" s="88">
        <f>LOOKUP(2, 1/('OB History'!$B:$B=A16), 'OB History'!$AC:$AC)</f>
        <v>0.47761904761904767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1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7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339</v>
      </c>
      <c r="I31" s="4">
        <f>AVERAGEIFS('OB History'!C:C,'OB History'!B:B,A31)</f>
        <v>13.56</v>
      </c>
      <c r="J31" s="35">
        <f t="array" ref="J31">MAX(IF('OB History'!B:B=A31, 'OB History'!C:C))</f>
        <v>23</v>
      </c>
      <c r="K31" s="34">
        <f>COUNTIFS('OB History'!B:B,A31,'OB History'!D:D, 1)</f>
        <v>15</v>
      </c>
      <c r="L31" s="2">
        <f>COUNTIFS('OB History'!B:B,A31,'OB History'!D:D, 0)</f>
        <v>10</v>
      </c>
      <c r="M31" s="88">
        <f>LOOKUP(2, 1/('OB History'!$B:$B=A31), 'OB History'!$AD:$AD)</f>
        <v>0.6</v>
      </c>
      <c r="N31" s="34">
        <f>SUMIFS('OB History'!F:F,'OB History'!B:B,A31)</f>
        <v>57</v>
      </c>
      <c r="O31" s="2">
        <f>SUMIFS('OB History'!E:E,'OB History'!B:B,A31)-N31</f>
        <v>45</v>
      </c>
      <c r="P31" s="88">
        <f>LOOKUP(2, 1/('OB History'!$B:$B=A31), 'OB History'!$AB:$AB)</f>
        <v>0.58199999999999996</v>
      </c>
      <c r="Q31" s="34">
        <f>SUMIFS('OB History'!H:H,'OB History'!B:B,'Old Bow v2'!A31)</f>
        <v>219</v>
      </c>
      <c r="R31" s="2">
        <f>SUMIFS('OB History'!G:G,'OB History'!B:B,'Old Bow v2'!A31)-Q31</f>
        <v>198</v>
      </c>
      <c r="S31" s="88">
        <f>LOOKUP(2, 1/('OB History'!$B:$B=A31), 'OB History'!$AC:$AC)</f>
        <v>0.53360000000000007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1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8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1476</v>
      </c>
      <c r="I35" s="4">
        <f>AVERAGEIFS('OB History'!C:C,'OB History'!B:B,A35)</f>
        <v>26.836363636363636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19</v>
      </c>
      <c r="M35" s="88">
        <f>LOOKUP(2, 1/('OB History'!$B:$B=A35), 'OB History'!$AD:$AD)</f>
        <v>0.65454545454545454</v>
      </c>
      <c r="N35" s="34">
        <f>SUMIFS('OB History'!F:F,'OB History'!B:B,A35)</f>
        <v>130</v>
      </c>
      <c r="O35" s="2">
        <f>SUMIFS('OB History'!E:E,'OB History'!B:B,A35)-N35</f>
        <v>95</v>
      </c>
      <c r="P35" s="88">
        <f>LOOKUP(2, 1/('OB History'!$B:$B=A35), 'OB History'!$AB:$AB)</f>
        <v>0.58545454545454556</v>
      </c>
      <c r="Q35" s="34">
        <f>SUMIFS('OB History'!H:H,'OB History'!B:B,'Old Bow v2'!A35)</f>
        <v>505</v>
      </c>
      <c r="R35" s="2">
        <f>SUMIFS('OB History'!G:G,'OB History'!B:B,'Old Bow v2'!A35)-Q35</f>
        <v>414</v>
      </c>
      <c r="S35" s="88">
        <f>LOOKUP(2, 1/('OB History'!$B:$B=A35), 'OB History'!$AC:$AC)</f>
        <v>0.55236363636363628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13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11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364</v>
      </c>
      <c r="I38" s="4">
        <f>AVERAGEIFS('OB History'!C:C,'OB History'!B:B,A38)</f>
        <v>26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7</v>
      </c>
      <c r="M38" s="88">
        <f>LOOKUP(2, 1/('OB History'!$B:$B=A38), 'OB History'!$AD:$AD)</f>
        <v>0.5</v>
      </c>
      <c r="N38" s="34">
        <f>SUMIFS('OB History'!F:F,'OB History'!B:B,A38)</f>
        <v>28</v>
      </c>
      <c r="O38" s="2">
        <f>SUMIFS('OB History'!E:E,'OB History'!B:B,A38)-N38</f>
        <v>33</v>
      </c>
      <c r="P38" s="88">
        <f>LOOKUP(2, 1/('OB History'!$B:$B=A38), 'OB History'!$AB:$AB)</f>
        <v>0.43928571428571417</v>
      </c>
      <c r="Q38" s="34">
        <f>SUMIFS('OB History'!H:H,'OB History'!B:B,'Old Bow v2'!A38)</f>
        <v>124</v>
      </c>
      <c r="R38" s="2">
        <f>SUMIFS('OB History'!G:G,'OB History'!B:B,'Old Bow v2'!A38)-Q38</f>
        <v>132</v>
      </c>
      <c r="S38" s="88">
        <f>LOOKUP(2, 1/('OB History'!$B:$B=A38), 'OB History'!$AC:$AC)</f>
        <v>0.4707142857142857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3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1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88</v>
      </c>
      <c r="I39" s="4">
        <f>AVERAGEIFS('OB History'!C:C,'OB History'!B:B,A39)</f>
        <v>8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6</v>
      </c>
      <c r="M39" s="88">
        <f>LOOKUP(2, 1/('OB History'!$B:$B=A39), 'OB History'!$AD:$AD)</f>
        <v>0.45454545454545453</v>
      </c>
      <c r="N39" s="34">
        <f>SUMIFS('OB History'!F:F,'OB History'!B:B,A39)</f>
        <v>18</v>
      </c>
      <c r="O39" s="2">
        <f>SUMIFS('OB History'!E:E,'OB History'!B:B,A39)-N39</f>
        <v>24</v>
      </c>
      <c r="P39" s="88">
        <f>LOOKUP(2, 1/('OB History'!$B:$B=A39), 'OB History'!$AB:$AB)</f>
        <v>0.40454545454545454</v>
      </c>
      <c r="Q39" s="34">
        <f>SUMIFS('OB History'!H:H,'OB History'!B:B,'Old Bow v2'!A39)</f>
        <v>77</v>
      </c>
      <c r="R39" s="2">
        <f>SUMIFS('OB History'!G:G,'OB History'!B:B,'Old Bow v2'!A39)-Q39</f>
        <v>94</v>
      </c>
      <c r="S39" s="88">
        <f>LOOKUP(2, 1/('OB History'!$B:$B=A39), 'OB History'!$AC:$AC)</f>
        <v>0.44363636363636361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2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1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316</v>
      </c>
      <c r="I46" s="4">
        <f>AVERAGEIFS('OB History'!C:C,'OB History'!B:B,A46)</f>
        <v>17.555555555555557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12</v>
      </c>
      <c r="M46" s="88">
        <f>LOOKUP(2, 1/('OB History'!$B:$B=A46), 'OB History'!$AD:$AD)</f>
        <v>0.33333333333333331</v>
      </c>
      <c r="N46" s="34">
        <f>SUMIFS('OB History'!F:F,'OB History'!B:B,A46)</f>
        <v>32</v>
      </c>
      <c r="O46" s="2">
        <f>SUMIFS('OB History'!E:E,'OB History'!B:B,A46)-N46</f>
        <v>47</v>
      </c>
      <c r="P46" s="88">
        <f>LOOKUP(2, 1/('OB History'!$B:$B=A46), 'OB History'!$AB:$AB)</f>
        <v>0.38055555555555548</v>
      </c>
      <c r="Q46" s="34">
        <f>SUMIFS('OB History'!H:H,'OB History'!B:B,'Old Bow v2'!A46)</f>
        <v>152</v>
      </c>
      <c r="R46" s="2">
        <f>SUMIFS('OB History'!G:G,'OB History'!B:B,'Old Bow v2'!A46)-Q46</f>
        <v>167</v>
      </c>
      <c r="S46" s="88">
        <f>LOOKUP(2, 1/('OB History'!$B:$B=A46), 'OB History'!$AC:$AC)</f>
        <v>0.45777777777777778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4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1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1033</v>
      </c>
      <c r="I51" s="4">
        <f>AVERAGEIFS('OB History'!C:C,'OB History'!B:B,A51)</f>
        <v>24.595238095238095</v>
      </c>
      <c r="J51" s="35">
        <f t="array" ref="J51">MAX(IF('OB History'!B:B=A51, 'OB History'!C:C))</f>
        <v>56</v>
      </c>
      <c r="K51" s="34">
        <f>COUNTIFS('OB History'!B:B,A51,'OB History'!D:D, 1)</f>
        <v>19</v>
      </c>
      <c r="L51" s="2">
        <f>COUNTIFS('OB History'!B:B,A51,'OB History'!D:D, 0)</f>
        <v>23</v>
      </c>
      <c r="M51" s="88">
        <f>LOOKUP(2, 1/('OB History'!$B:$B=A51), 'OB History'!$AD:$AD)</f>
        <v>0.45238095238095238</v>
      </c>
      <c r="N51" s="34">
        <f>SUMIFS('OB History'!F:F,'OB History'!B:B,A51)</f>
        <v>81</v>
      </c>
      <c r="O51" s="2">
        <f>SUMIFS('OB History'!E:E,'OB History'!B:B,A51)-N51</f>
        <v>91</v>
      </c>
      <c r="P51" s="88">
        <f>LOOKUP(2, 1/('OB History'!$B:$B=A51), 'OB History'!$AB:$AB)</f>
        <v>0.47142857142857136</v>
      </c>
      <c r="Q51" s="34">
        <f>SUMIFS('OB History'!H:H,'OB History'!B:B,'Old Bow v2'!A51)</f>
        <v>342</v>
      </c>
      <c r="R51" s="2">
        <f>SUMIFS('OB History'!G:G,'OB History'!B:B,'Old Bow v2'!A51)-Q51</f>
        <v>374</v>
      </c>
      <c r="S51" s="88">
        <f>LOOKUP(2, 1/('OB History'!$B:$B=A51), 'OB History'!$AC:$AC)</f>
        <v>0.48333333333333345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3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9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16"/>
  <sheetViews>
    <sheetView workbookViewId="0">
      <pane ySplit="1" topLeftCell="A780" activePane="bottomLeft" state="frozen"/>
      <selection pane="bottomLeft" activeCell="A805" sqref="A805:Z81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28</v>
      </c>
      <c r="I4" s="4">
        <f>AVERAGEIFS('OB History S2'!C:C,'OB History S2'!B:B,A4)</f>
        <v>5.6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2</v>
      </c>
      <c r="M4" s="88">
        <f>LOOKUP(2, 1/('OB History S2'!$B:$B=A4), 'OB History S2'!$AD:$AD)</f>
        <v>0.6</v>
      </c>
      <c r="N4" s="34">
        <f>SUMIFS('OB History S2'!F:F,'OB History S2'!B:B,A4)</f>
        <v>9</v>
      </c>
      <c r="O4" s="2">
        <f>SUMIFS('OB History S2'!E:E,'OB History S2'!B:B,A4)-N4</f>
        <v>8</v>
      </c>
      <c r="P4" s="88">
        <f>LOOKUP(2, 1/('OB History S2'!$B:$B=A4), 'OB History S2'!$AB:$AB)</f>
        <v>0.52</v>
      </c>
      <c r="Q4" s="34">
        <f>SUMIFS('OB History S2'!H:H,'OB History S2'!B:B,A4)</f>
        <v>37</v>
      </c>
      <c r="R4" s="2">
        <f>SUMIFS('OB History S2'!G:G,'OB History S2'!B:B,A4)-Q4</f>
        <v>36</v>
      </c>
      <c r="S4" s="88">
        <f>LOOKUP(2, 1/('OB History S2'!$B:$B=A4), 'OB History S2'!$AC:$AC)</f>
        <v>0.5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1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1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173</v>
      </c>
      <c r="I5" s="4">
        <f>AVERAGEIFS('OB History S2'!C:C,'OB History S2'!B:B,A5)</f>
        <v>19.222222222222221</v>
      </c>
      <c r="J5" s="35">
        <f t="array" ref="J5">MAX(IF('OB History S2'!B:B=A5, 'OB History S2'!C:C))</f>
        <v>36</v>
      </c>
      <c r="K5" s="34">
        <f>COUNTIFS('OB History S2'!B:B,A5,'OB History S2'!D:D, 1)</f>
        <v>5</v>
      </c>
      <c r="L5" s="2">
        <f>COUNTIFS('OB History S2'!B:B,A5,'OB History S2'!D:D, 0)</f>
        <v>4</v>
      </c>
      <c r="M5" s="88">
        <f>LOOKUP(2, 1/('OB History S2'!$B:$B=A5), 'OB History S2'!$AD:$AD)</f>
        <v>0.55555555555555558</v>
      </c>
      <c r="N5" s="34">
        <f>SUMIFS('OB History S2'!F:F,'OB History S2'!B:B,A5)</f>
        <v>17</v>
      </c>
      <c r="O5" s="2">
        <f>SUMIFS('OB History S2'!E:E,'OB History S2'!B:B,A5)-N5</f>
        <v>19</v>
      </c>
      <c r="P5" s="88">
        <f>LOOKUP(2, 1/('OB History S2'!$B:$B=A5), 'OB History S2'!$AB:$AB)</f>
        <v>0.43888888888888888</v>
      </c>
      <c r="Q5" s="34">
        <f>SUMIFS('OB History S2'!H:H,'OB History S2'!B:B,A5)</f>
        <v>71</v>
      </c>
      <c r="R5" s="2">
        <f>SUMIFS('OB History S2'!G:G,'OB History S2'!B:B,A5)-Q5</f>
        <v>81</v>
      </c>
      <c r="S5" s="88">
        <f>LOOKUP(2, 1/('OB History S2'!$B:$B=A5), 'OB History S2'!$AC:$AC)</f>
        <v>0.45777777777777778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1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0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3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224</v>
      </c>
      <c r="I10" s="4">
        <f>AVERAGEIFS('OB History S2'!C:C,'OB History S2'!B:B,A10)</f>
        <v>18.666666666666668</v>
      </c>
      <c r="J10" s="35">
        <f t="array" ref="J10">MAX(IF('OB History S2'!B:B=A10, 'OB History S2'!C:C))</f>
        <v>35</v>
      </c>
      <c r="K10" s="34">
        <f>COUNTIFS('OB History S2'!B:B,A10,'OB History S2'!D:D, 1)</f>
        <v>7</v>
      </c>
      <c r="L10" s="2">
        <f>COUNTIFS('OB History S2'!B:B,A10,'OB History S2'!D:D, 0)</f>
        <v>5</v>
      </c>
      <c r="M10" s="88">
        <f>LOOKUP(2, 1/('OB History S2'!$B:$B=A10), 'OB History S2'!$AD:$AD)</f>
        <v>0.58333333333333337</v>
      </c>
      <c r="N10" s="34">
        <f>SUMIFS('OB History S2'!F:F,'OB History S2'!B:B,A10)</f>
        <v>27</v>
      </c>
      <c r="O10" s="2">
        <f>SUMIFS('OB History S2'!E:E,'OB History S2'!B:B,A10)-N10</f>
        <v>24</v>
      </c>
      <c r="P10" s="88">
        <f>LOOKUP(2, 1/('OB History S2'!$B:$B=A10), 'OB History S2'!$AB:$AB)</f>
        <v>0.52916666666666667</v>
      </c>
      <c r="Q10" s="34">
        <f>SUMIFS('OB History S2'!H:H,'OB History S2'!B:B,A10)</f>
        <v>103</v>
      </c>
      <c r="R10" s="2">
        <f>SUMIFS('OB History S2'!G:G,'OB History S2'!B:B,A10)-Q10</f>
        <v>108</v>
      </c>
      <c r="S10" s="88">
        <f>LOOKUP(2, 1/('OB History S2'!$B:$B=A10), 'OB History S2'!$AC:$AC)</f>
        <v>0.49500000000000005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0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1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4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85</v>
      </c>
      <c r="I16" s="4">
        <f>AVERAGEIFS('OB History S2'!C:C,'OB History S2'!B:B,A16)</f>
        <v>14.166666666666666</v>
      </c>
      <c r="J16" s="35">
        <f t="array" ref="J16">MAX(IF('OB History S2'!B:B=A16, 'OB History S2'!C:C))</f>
        <v>26</v>
      </c>
      <c r="K16" s="34">
        <f>COUNTIFS('OB History S2'!B:B,A16,'OB History S2'!D:D, 1)</f>
        <v>3</v>
      </c>
      <c r="L16" s="2">
        <f>COUNTIFS('OB History S2'!B:B,A16,'OB History S2'!D:D, 0)</f>
        <v>3</v>
      </c>
      <c r="M16" s="88">
        <f>LOOKUP(2, 1/('OB History S2'!$B:$B=A16), 'OB History S2'!$AD:$AD)</f>
        <v>0.5</v>
      </c>
      <c r="N16" s="34">
        <f>SUMIFS('OB History S2'!F:F,'OB History S2'!B:B,A16)</f>
        <v>13</v>
      </c>
      <c r="O16" s="2">
        <f>SUMIFS('OB History S2'!E:E,'OB History S2'!B:B,A16)-N16</f>
        <v>13</v>
      </c>
      <c r="P16" s="88">
        <f>LOOKUP(2, 1/('OB History S2'!$B:$B=A16), 'OB History S2'!$AB:$AB)</f>
        <v>0.5</v>
      </c>
      <c r="Q16" s="34">
        <f>SUMIFS('OB History S2'!H:H,'OB History S2'!B:B,A16)</f>
        <v>48</v>
      </c>
      <c r="R16" s="2">
        <f>SUMIFS('OB History S2'!G:G,'OB History S2'!B:B,A16)-Q16</f>
        <v>53</v>
      </c>
      <c r="S16" s="88">
        <f>LOOKUP(2, 1/('OB History S2'!$B:$B=A16), 'OB History S2'!$AC:$AC)</f>
        <v>0.47499999999999992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1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2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289</v>
      </c>
      <c r="I26" s="4">
        <f>AVERAGEIFS('OB History S2'!C:C,'OB History S2'!B:B,A26)</f>
        <v>13.761904761904763</v>
      </c>
      <c r="J26" s="35">
        <f t="array" ref="J26">MAX(IF('OB History S2'!B:B=A26, 'OB History S2'!C:C))</f>
        <v>23</v>
      </c>
      <c r="K26" s="34">
        <f>COUNTIFS('OB History S2'!B:B,A26,'OB History S2'!D:D, 1)</f>
        <v>14</v>
      </c>
      <c r="L26" s="2">
        <f>COUNTIFS('OB History S2'!B:B,A26,'OB History S2'!D:D, 0)</f>
        <v>7</v>
      </c>
      <c r="M26" s="88">
        <f>LOOKUP(2, 1/('OB History S2'!$B:$B=A26), 'OB History S2'!$AD:$AD)</f>
        <v>0.66666666666666663</v>
      </c>
      <c r="N26" s="34">
        <f>SUMIFS('OB History S2'!F:F,'OB History S2'!B:B,A26)</f>
        <v>49</v>
      </c>
      <c r="O26" s="2">
        <f>SUMIFS('OB History S2'!E:E,'OB History S2'!B:B,A26)-N26</f>
        <v>34</v>
      </c>
      <c r="P26" s="88">
        <f>LOOKUP(2, 1/('OB History S2'!$B:$B=A26), 'OB History S2'!$AB:$AB)</f>
        <v>0.61428571428571432</v>
      </c>
      <c r="Q26" s="34">
        <f>SUMIFS('OB History S2'!H:H,'OB History S2'!B:B,A26)</f>
        <v>183</v>
      </c>
      <c r="R26" s="2">
        <f>SUMIFS('OB History S2'!G:G,'OB History S2'!B:B,A26)-Q26</f>
        <v>154</v>
      </c>
      <c r="S26" s="88">
        <f>LOOKUP(2, 1/('OB History S2'!$B:$B=A26), 'OB History S2'!$AC:$AC)</f>
        <v>0.55095238095238097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1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1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8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558</v>
      </c>
      <c r="I29" s="4">
        <f>AVERAGEIFS('OB History S2'!C:C,'OB History S2'!B:B,A29)</f>
        <v>25.363636363636363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6</v>
      </c>
      <c r="M29" s="88">
        <f>LOOKUP(2, 1/('OB History S2'!$B:$B=A29), 'OB History S2'!$AD:$AD)</f>
        <v>0.72727272727272729</v>
      </c>
      <c r="N29" s="34">
        <f>SUMIFS('OB History S2'!F:F,'OB History S2'!B:B,A29)</f>
        <v>56</v>
      </c>
      <c r="O29" s="2">
        <f>SUMIFS('OB History S2'!E:E,'OB History S2'!B:B,A29)-N29</f>
        <v>32</v>
      </c>
      <c r="P29" s="88">
        <f>LOOKUP(2, 1/('OB History S2'!$B:$B=A29), 'OB History S2'!$AB:$AB)</f>
        <v>0.66363636363636358</v>
      </c>
      <c r="Q29" s="34">
        <f>SUMIFS('OB History S2'!H:H,'OB History S2'!B:B,A29)</f>
        <v>209</v>
      </c>
      <c r="R29" s="2">
        <f>SUMIFS('OB History S2'!G:G,'OB History S2'!B:B,A29)-Q29</f>
        <v>147</v>
      </c>
      <c r="S29" s="88">
        <f>LOOKUP(2, 1/('OB History S2'!$B:$B=A29), 'OB History S2'!$AC:$AC)</f>
        <v>0.59545454545454546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4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4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128</v>
      </c>
      <c r="I31" s="4">
        <f>AVERAGEIFS('OB History S2'!C:C,'OB History S2'!B:B,A31)</f>
        <v>32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2</v>
      </c>
      <c r="M31" s="88">
        <f>LOOKUP(2, 1/('OB History S2'!$B:$B=A31), 'OB History S2'!$AD:$AD)</f>
        <v>0.5</v>
      </c>
      <c r="N31" s="34">
        <f>SUMIFS('OB History S2'!F:F,'OB History S2'!B:B,A31)</f>
        <v>7</v>
      </c>
      <c r="O31" s="2">
        <f>SUMIFS('OB History S2'!E:E,'OB History S2'!B:B,A31)-N31</f>
        <v>10</v>
      </c>
      <c r="P31" s="88">
        <f>LOOKUP(2, 1/('OB History S2'!$B:$B=A31), 'OB History S2'!$AB:$AB)</f>
        <v>0.36249999999999999</v>
      </c>
      <c r="Q31" s="34">
        <f>SUMIFS('OB History S2'!H:H,'OB History S2'!B:B,A31)</f>
        <v>33</v>
      </c>
      <c r="R31" s="2">
        <f>SUMIFS('OB History S2'!G:G,'OB History S2'!B:B,A31)-Q31</f>
        <v>37</v>
      </c>
      <c r="S31" s="88">
        <f>LOOKUP(2, 1/('OB History S2'!$B:$B=A31), 'OB History S2'!$AC:$AC)</f>
        <v>0.44750000000000001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1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0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64</v>
      </c>
      <c r="I32" s="4">
        <f>AVERAGEIFS('OB History S2'!C:C,'OB History S2'!B:B,A32)</f>
        <v>12.8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2</v>
      </c>
      <c r="M32" s="88">
        <f>LOOKUP(2, 1/('OB History S2'!$B:$B=A32), 'OB History S2'!$AD:$AD)</f>
        <v>0.6</v>
      </c>
      <c r="N32" s="34">
        <f>SUMIFS('OB History S2'!F:F,'OB History S2'!B:B,A32)</f>
        <v>10</v>
      </c>
      <c r="O32" s="2">
        <f>SUMIFS('OB History S2'!E:E,'OB History S2'!B:B,A32)-N32</f>
        <v>11</v>
      </c>
      <c r="P32" s="88">
        <f>LOOKUP(2, 1/('OB History S2'!$B:$B=A32), 'OB History S2'!$AB:$AB)</f>
        <v>0.44000000000000006</v>
      </c>
      <c r="Q32" s="34">
        <f>SUMIFS('OB History S2'!H:H,'OB History S2'!B:B,A32)</f>
        <v>42</v>
      </c>
      <c r="R32" s="2">
        <f>SUMIFS('OB History S2'!G:G,'OB History S2'!B:B,A32)-Q32</f>
        <v>44</v>
      </c>
      <c r="S32" s="88">
        <f>LOOKUP(2, 1/('OB History S2'!$B:$B=A32), 'OB History S2'!$AC:$AC)</f>
        <v>0.47599999999999998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1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301</v>
      </c>
      <c r="I38" s="4">
        <f>AVERAGEIFS('OB History S2'!C:C,'OB History S2'!B:B,A38)</f>
        <v>18.8125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11</v>
      </c>
      <c r="M38" s="88">
        <f>LOOKUP(2, 1/('OB History S2'!$B:$B=A38), 'OB History S2'!$AD:$AD)</f>
        <v>0.3125</v>
      </c>
      <c r="N38" s="34">
        <f>SUMIFS('OB History S2'!F:F,'OB History S2'!B:B,A38)</f>
        <v>27</v>
      </c>
      <c r="O38" s="2">
        <f>SUMIFS('OB History S2'!E:E,'OB History S2'!B:B,A38)-N38</f>
        <v>43</v>
      </c>
      <c r="P38" s="88">
        <f>LOOKUP(2, 1/('OB History S2'!$B:$B=A38), 'OB History S2'!$AB:$AB)</f>
        <v>0.35624999999999996</v>
      </c>
      <c r="Q38" s="34">
        <f>SUMIFS('OB History S2'!H:H,'OB History S2'!B:B,A38)</f>
        <v>130</v>
      </c>
      <c r="R38" s="2">
        <f>SUMIFS('OB History S2'!G:G,'OB History S2'!B:B,A38)-Q38</f>
        <v>151</v>
      </c>
      <c r="S38" s="88">
        <f>LOOKUP(2, 1/('OB History S2'!$B:$B=A38), 'OB History S2'!$AC:$AC)</f>
        <v>0.44187500000000002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3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1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336</v>
      </c>
      <c r="I43" s="4">
        <f>AVERAGEIFS('OB History S2'!C:C,'OB History S2'!B:B,A43)</f>
        <v>22.4</v>
      </c>
      <c r="J43" s="35">
        <f t="array" ref="J43">MAX(IF('OB History S2'!B:B=A43, 'OB History S2'!C:C))</f>
        <v>51</v>
      </c>
      <c r="K43" s="34">
        <f>COUNTIFS('OB History S2'!B:B,A43,'OB History S2'!D:D, 1)</f>
        <v>3</v>
      </c>
      <c r="L43" s="2">
        <f>COUNTIFS('OB History S2'!B:B,A43,'OB History S2'!D:D, 0)</f>
        <v>12</v>
      </c>
      <c r="M43" s="88">
        <f>LOOKUP(2, 1/('OB History S2'!$B:$B=A43), 'OB History S2'!$AD:$AD)</f>
        <v>0.2</v>
      </c>
      <c r="N43" s="34">
        <f>SUMIFS('OB History S2'!F:F,'OB History S2'!B:B,A43)</f>
        <v>21</v>
      </c>
      <c r="O43" s="2">
        <f>SUMIFS('OB History S2'!E:E,'OB History S2'!B:B,A43)-N43</f>
        <v>39</v>
      </c>
      <c r="P43" s="88">
        <f>LOOKUP(2, 1/('OB History S2'!$B:$B=A43), 'OB History S2'!$AB:$AB)</f>
        <v>0.33</v>
      </c>
      <c r="Q43" s="34">
        <f>SUMIFS('OB History S2'!H:H,'OB History S2'!B:B,A43)</f>
        <v>102</v>
      </c>
      <c r="R43" s="2">
        <f>SUMIFS('OB History S2'!G:G,'OB History S2'!B:B,A43)-Q43</f>
        <v>145</v>
      </c>
      <c r="S43" s="88">
        <f>LOOKUP(2, 1/('OB History S2'!$B:$B=A43), 'OB History S2'!$AC:$AC)</f>
        <v>0.41599999999999998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0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1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AA319" sqref="AA319:AD33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8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341</v>
      </c>
      <c r="G5" s="66">
        <f>AVERAGEIFS('BA History'!C:C,'BA History'!B:B,A5)</f>
        <v>12.62962962962963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14</v>
      </c>
      <c r="K5" s="75">
        <f>LOOKUP(2, 1/('BA History'!$B:$B=A5), 'BA History'!$AJ:$AJ)</f>
        <v>0.48148148148148145</v>
      </c>
      <c r="L5" s="34">
        <f>SUMIFS('BA History'!F:F,'BA History'!B:B,A5)</f>
        <v>53</v>
      </c>
      <c r="M5" s="2">
        <f>SUMIFS('BA History'!E:E,'BA History'!B:B,A5)-L5</f>
        <v>59</v>
      </c>
      <c r="N5" s="75">
        <f>LOOKUP(2, 1/('BA History'!$B:$B=A5), 'BA History'!$AH:$AH)</f>
        <v>0.45</v>
      </c>
      <c r="O5" s="34">
        <f>SUMIFS('BA History'!H:H,'BA History'!B:B,A5)</f>
        <v>224</v>
      </c>
      <c r="P5" s="2">
        <f>SUMIFS('BA History'!G:G,'BA History'!B:B,A5)-O5</f>
        <v>239</v>
      </c>
      <c r="Q5" s="89">
        <f>LOOKUP(2, 1/('BA History'!$B:$B=A5), 'BA History'!$AI:$AI)</f>
        <v>0.47</v>
      </c>
      <c r="R5" s="2">
        <f>COUNTIFS('BA History'!$B:$B,$A$5,'BA History'!K:K, 1)</f>
        <v>3</v>
      </c>
      <c r="S5" s="2">
        <f>COUNTIFS('BA History'!$B:$B,$A$5,'BA History'!L:L, 1)</f>
        <v>7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6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419</v>
      </c>
      <c r="G7" s="66">
        <f>AVERAGEIFS('BA History'!C:C,'BA History'!B:B,A7)</f>
        <v>10.475</v>
      </c>
      <c r="H7" s="35">
        <f t="array" ref="H7">MAX(IF('BA History'!B:B=A7, 'BA History'!C:C))</f>
        <v>24</v>
      </c>
      <c r="I7" s="34">
        <f>COUNTIFS('BA History'!B:B,A7,'BA History'!D:D, 1)</f>
        <v>17</v>
      </c>
      <c r="J7" s="2">
        <f>COUNTIFS('BA History'!B:B,A7,'BA History'!D:D, 0)</f>
        <v>23</v>
      </c>
      <c r="K7" s="75">
        <f>LOOKUP(2, 1/('BA History'!$B:$B=A7), 'BA History'!$AJ:$AJ)</f>
        <v>0.42499999999999999</v>
      </c>
      <c r="L7" s="34">
        <f>SUMIFS('BA History'!F:F,'BA History'!B:B,A7)</f>
        <v>76</v>
      </c>
      <c r="M7" s="2">
        <f>SUMIFS('BA History'!E:E,'BA History'!B:B,A7)-L7</f>
        <v>86</v>
      </c>
      <c r="N7" s="75">
        <f>LOOKUP(2, 1/('BA History'!$B:$B=A7), 'BA History'!$AH:$AH)</f>
        <v>0.45825000000000005</v>
      </c>
      <c r="O7" s="34">
        <f>SUMIFS('BA History'!H:H,'BA History'!B:B,A7)</f>
        <v>329</v>
      </c>
      <c r="P7" s="2">
        <f>SUMIFS('BA History'!G:G,'BA History'!B:B,A7)-O7</f>
        <v>343</v>
      </c>
      <c r="Q7" s="89">
        <f>LOOKUP(2, 1/('BA History'!$B:$B=A7), 'BA History'!$AI:$AI)</f>
        <v>0.48549999999999993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9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761</v>
      </c>
      <c r="G9" s="66">
        <f>AVERAGEIFS('BA History'!C:C,'BA History'!B:B,A9)</f>
        <v>18.560975609756099</v>
      </c>
      <c r="H9" s="35">
        <f t="array" ref="H9">MAX(IF('BA History'!B:B=A9, 'BA History'!C:C))</f>
        <v>40</v>
      </c>
      <c r="I9" s="34">
        <f>COUNTIFS('BA History'!B:B,A9,'BA History'!D:D, 1)</f>
        <v>19</v>
      </c>
      <c r="J9" s="2">
        <f>COUNTIFS('BA History'!B:B,A9,'BA History'!D:D, 0)</f>
        <v>22</v>
      </c>
      <c r="K9" s="75">
        <f>LOOKUP(2, 1/('BA History'!$B:$B=A9), 'BA History'!$AJ:$AJ)</f>
        <v>0.46341463414634149</v>
      </c>
      <c r="L9" s="34">
        <f>SUMIFS('BA History'!F:F,'BA History'!B:B,A9)</f>
        <v>77</v>
      </c>
      <c r="M9" s="2">
        <f>SUMIFS('BA History'!E:E,'BA History'!B:B,A9)-L9</f>
        <v>91</v>
      </c>
      <c r="N9" s="75">
        <f>LOOKUP(2, 1/('BA History'!$B:$B=A9), 'BA History'!$AH:$AH)</f>
        <v>0.44756097560975611</v>
      </c>
      <c r="O9" s="34">
        <f>SUMIFS('BA History'!H:H,'BA History'!B:B,A9)</f>
        <v>319</v>
      </c>
      <c r="P9" s="2">
        <f>SUMIFS('BA History'!G:G,'BA History'!B:B,A9)-O9</f>
        <v>372</v>
      </c>
      <c r="Q9" s="89">
        <f>LOOKUP(2, 1/('BA History'!$B:$B=A9), 'BA History'!$AI:$AI)</f>
        <v>0.45024390243902424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4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9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692</v>
      </c>
      <c r="G18" s="66">
        <f>AVERAGEIFS('BA History'!C:C,'BA History'!B:B,A18)</f>
        <v>18.210526315789473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18</v>
      </c>
      <c r="K18" s="75">
        <f>LOOKUP(2, 1/('BA History'!$B:$B=A18), 'BA History'!$AJ:$AJ)</f>
        <v>0.52631578947368418</v>
      </c>
      <c r="L18" s="34">
        <f>SUMIFS('BA History'!F:F,'BA History'!B:B,A18)</f>
        <v>78</v>
      </c>
      <c r="M18" s="2">
        <f>SUMIFS('BA History'!E:E,'BA History'!B:B,A18)-L18</f>
        <v>75</v>
      </c>
      <c r="N18" s="75">
        <f>LOOKUP(2, 1/('BA History'!$B:$B=A18), 'BA History'!$AH:$AH)</f>
        <v>0.51526315789473698</v>
      </c>
      <c r="O18" s="34">
        <f>SUMIFS('BA History'!H:H,'BA History'!B:B,A18)</f>
        <v>326</v>
      </c>
      <c r="P18" s="2">
        <f>SUMIFS('BA History'!G:G,'BA History'!B:B,A18)-O18</f>
        <v>316</v>
      </c>
      <c r="Q18" s="89">
        <f>LOOKUP(2, 1/('BA History'!$B:$B=A18), 'BA History'!$AI:$AI)</f>
        <v>0.51842105263157878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1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689</v>
      </c>
      <c r="G20" s="66">
        <f>AVERAGEIFS('BA History'!C:C,'BA History'!B:B,A20)</f>
        <v>16.404761904761905</v>
      </c>
      <c r="H20" s="35">
        <f t="array" ref="H20">MAX(IF('BA History'!B:B=A20, 'BA History'!C:C))</f>
        <v>36</v>
      </c>
      <c r="I20" s="34">
        <f>COUNTIFS('BA History'!B:B,A20,'BA History'!D:D, 1)</f>
        <v>26</v>
      </c>
      <c r="J20" s="2">
        <f>COUNTIFS('BA History'!B:B,A20,'BA History'!D:D, 0)</f>
        <v>16</v>
      </c>
      <c r="K20" s="75">
        <f>LOOKUP(2, 1/('BA History'!$B:$B=A20), 'BA History'!$AJ:$AJ)</f>
        <v>0.61904761904761907</v>
      </c>
      <c r="L20" s="34">
        <f>SUMIFS('BA History'!F:F,'BA History'!B:B,A20)</f>
        <v>91</v>
      </c>
      <c r="M20" s="2">
        <f>SUMIFS('BA History'!E:E,'BA History'!B:B,A20)-L20</f>
        <v>79</v>
      </c>
      <c r="N20" s="75">
        <f>LOOKUP(2, 1/('BA History'!$B:$B=A20), 'BA History'!$AH:$AH)</f>
        <v>0.5261904761904761</v>
      </c>
      <c r="O20" s="34">
        <f>SUMIFS('BA History'!H:H,'BA History'!B:B,A20)</f>
        <v>372</v>
      </c>
      <c r="P20" s="2">
        <f>SUMIFS('BA History'!G:G,'BA History'!B:B,A20)-O20</f>
        <v>333</v>
      </c>
      <c r="Q20" s="89">
        <f>LOOKUP(2, 1/('BA History'!$B:$B=A20), 'BA History'!$AI:$AI)</f>
        <v>0.53523809523809529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10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9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938</v>
      </c>
      <c r="G22" s="66">
        <f>AVERAGEIFS('BA History'!C:C,'BA History'!B:B,A22)</f>
        <v>26.8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17</v>
      </c>
      <c r="K22" s="75">
        <f>LOOKUP(2, 1/('BA History'!$B:$B=A22), 'BA History'!$AJ:$AJ)</f>
        <v>0.51428571428571423</v>
      </c>
      <c r="L22" s="34">
        <f>SUMIFS('BA History'!F:F,'BA History'!B:B,A22)</f>
        <v>70</v>
      </c>
      <c r="M22" s="2">
        <f>SUMIFS('BA History'!E:E,'BA History'!B:B,A22)-L22</f>
        <v>71</v>
      </c>
      <c r="N22" s="75">
        <f>LOOKUP(2, 1/('BA History'!$B:$B=A22), 'BA History'!$AH:$AH)</f>
        <v>0.4885714285714286</v>
      </c>
      <c r="O22" s="34">
        <f>SUMIFS('BA History'!H:H,'BA History'!B:B,A22)</f>
        <v>285</v>
      </c>
      <c r="P22" s="2">
        <f>SUMIFS('BA History'!G:G,'BA History'!B:B,A22)-O22</f>
        <v>295</v>
      </c>
      <c r="Q22" s="89">
        <f>LOOKUP(2, 1/('BA History'!$B:$B=A22), 'BA History'!$AI:$AI)</f>
        <v>0.49342857142857161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4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368</v>
      </c>
      <c r="G27" s="66">
        <f>AVERAGEIFS('BA History'!C:C,'BA History'!B:B,A27)</f>
        <v>14.72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15</v>
      </c>
      <c r="K27" s="75">
        <f>LOOKUP(2, 1/('BA History'!$B:$B=A27), 'BA History'!$AJ:$AJ)</f>
        <v>0.4</v>
      </c>
      <c r="L27" s="34">
        <f>SUMIFS('BA History'!F:F,'BA History'!B:B,A27)</f>
        <v>46</v>
      </c>
      <c r="M27" s="2">
        <f>SUMIFS('BA History'!E:E,'BA History'!B:B,A27)-L27</f>
        <v>50</v>
      </c>
      <c r="N27" s="75">
        <f>LOOKUP(2, 1/('BA History'!$B:$B=A27), 'BA History'!$AH:$AH)</f>
        <v>0.49400000000000005</v>
      </c>
      <c r="O27" s="34">
        <f>SUMIFS('BA History'!H:H,'BA History'!B:B,A27)</f>
        <v>189</v>
      </c>
      <c r="P27" s="2">
        <f>SUMIFS('BA History'!G:G,'BA History'!B:B,A27)-O27</f>
        <v>199</v>
      </c>
      <c r="Q27" s="89">
        <f>LOOKUP(2, 1/('BA History'!$B:$B=A27), 'BA History'!$AI:$AI)</f>
        <v>0.49480000000000002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31</v>
      </c>
      <c r="G32" s="66">
        <f>AVERAGEIFS('BA History'!C:C,'BA History'!B:B,A32)</f>
        <v>5.166666666666667</v>
      </c>
      <c r="H32" s="35">
        <f t="array" ref="H32">MAX(IF('BA History'!B:B=A32, 'BA History'!C:C))</f>
        <v>10</v>
      </c>
      <c r="I32" s="34">
        <f>COUNTIFS('BA History'!B:B,A32,'BA History'!D:D, 1)</f>
        <v>4</v>
      </c>
      <c r="J32" s="2">
        <f>COUNTIFS('BA History'!B:B,A32,'BA History'!D:D, 0)</f>
        <v>2</v>
      </c>
      <c r="K32" s="75">
        <f>LOOKUP(2, 1/('BA History'!$B:$B=A32), 'BA History'!$AJ:$AJ)</f>
        <v>0.66666666666666663</v>
      </c>
      <c r="L32" s="34">
        <f>SUMIFS('BA History'!F:F,'BA History'!B:B,A32)</f>
        <v>15</v>
      </c>
      <c r="M32" s="2">
        <f>SUMIFS('BA History'!E:E,'BA History'!B:B,A32)-L32</f>
        <v>9</v>
      </c>
      <c r="N32" s="75">
        <f>LOOKUP(2, 1/('BA History'!$B:$B=A32), 'BA History'!$AH:$AH)</f>
        <v>0.65</v>
      </c>
      <c r="O32" s="34">
        <f>SUMIFS('BA History'!H:H,'BA History'!B:B,A32)</f>
        <v>54</v>
      </c>
      <c r="P32" s="2">
        <f>SUMIFS('BA History'!G:G,'BA History'!B:B,A32)-O32</f>
        <v>47</v>
      </c>
      <c r="Q32" s="89">
        <f>LOOKUP(2, 1/('BA History'!$B:$B=A32), 'BA History'!$AI:$AI)</f>
        <v>0.54999999999999993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/>
      <c r="D37" s="1"/>
      <c r="E37" s="1"/>
      <c r="F37" s="34">
        <f>SUMIFS('BA History'!C:C,'BA History'!B:B,A37)</f>
        <v>851</v>
      </c>
      <c r="G37" s="66">
        <f>AVERAGEIFS('BA History'!C:C,'BA History'!B:B,A37)</f>
        <v>23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17</v>
      </c>
      <c r="K37" s="75">
        <f>LOOKUP(2, 1/('BA History'!$B:$B=A37), 'BA History'!$AJ:$AJ)</f>
        <v>0.54054054054054057</v>
      </c>
      <c r="L37" s="34">
        <f>SUMIFS('BA History'!F:F,'BA History'!B:B,A37)</f>
        <v>77</v>
      </c>
      <c r="M37" s="2">
        <f>SUMIFS('BA History'!E:E,'BA History'!B:B,A37)-L37</f>
        <v>66</v>
      </c>
      <c r="N37" s="75">
        <f>LOOKUP(2, 1/('BA History'!$B:$B=A37), 'BA History'!$AH:$AH)</f>
        <v>0.54675675675675672</v>
      </c>
      <c r="O37" s="34">
        <f>SUMIFS('BA History'!H:H,'BA History'!B:B,A37)</f>
        <v>314</v>
      </c>
      <c r="P37" s="2">
        <f>SUMIFS('BA History'!G:G,'BA History'!B:B,A37)-O37</f>
        <v>275</v>
      </c>
      <c r="Q37" s="89">
        <f>LOOKUP(2, 1/('BA History'!$B:$B=A37), 'BA History'!$AI:$AI)</f>
        <v>0.54324324324324325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4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1297</v>
      </c>
      <c r="G38" s="66">
        <f>AVERAGEIFS('BA History'!C:C,'BA History'!B:B,A38)</f>
        <v>23.581818181818182</v>
      </c>
      <c r="H38" s="35">
        <f t="array" ref="H38">MAX(IF('BA History'!B:B=A38, 'BA History'!C:C))</f>
        <v>42</v>
      </c>
      <c r="I38" s="34">
        <f>COUNTIFS('BA History'!B:B,A38,'BA History'!D:D, 1)</f>
        <v>31</v>
      </c>
      <c r="J38" s="2">
        <f>COUNTIFS('BA History'!B:B,A38,'BA History'!D:D, 0)</f>
        <v>24</v>
      </c>
      <c r="K38" s="75">
        <f>LOOKUP(2, 1/('BA History'!$B:$B=A38), 'BA History'!$AJ:$AJ)</f>
        <v>0.5636363636363636</v>
      </c>
      <c r="L38" s="34">
        <f>SUMIFS('BA History'!F:F,'BA History'!B:B,A38)</f>
        <v>119</v>
      </c>
      <c r="M38" s="2">
        <f>SUMIFS('BA History'!E:E,'BA History'!B:B,A38)-L38</f>
        <v>102</v>
      </c>
      <c r="N38" s="75">
        <f>LOOKUP(2, 1/('BA History'!$B:$B=A38), 'BA History'!$AH:$AH)</f>
        <v>0.54309090909090918</v>
      </c>
      <c r="O38" s="34">
        <f>SUMIFS('BA History'!H:H,'BA History'!B:B,A38)</f>
        <v>468</v>
      </c>
      <c r="P38" s="2">
        <f>SUMIFS('BA History'!G:G,'BA History'!B:B,A38)-O38</f>
        <v>444</v>
      </c>
      <c r="Q38" s="89">
        <f>LOOKUP(2, 1/('BA History'!$B:$B=A38), 'BA History'!$AI:$AI)</f>
        <v>0.51436363636363625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9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/>
      <c r="D39" s="1"/>
      <c r="E39" s="1"/>
      <c r="F39" s="34">
        <f>SUMIFS('BA History'!C:C,'BA History'!B:B,A39)</f>
        <v>533</v>
      </c>
      <c r="G39" s="66">
        <f>AVERAGEIFS('BA History'!C:C,'BA History'!B:B,A39)</f>
        <v>19.74074074074074</v>
      </c>
      <c r="H39" s="35">
        <f t="array" ref="H39">MAX(IF('BA History'!B:B=A39, 'BA History'!C:C))</f>
        <v>37</v>
      </c>
      <c r="I39" s="34">
        <f>COUNTIFS('BA History'!B:B,A39,'BA History'!D:D, 1)</f>
        <v>18</v>
      </c>
      <c r="J39" s="2">
        <f>COUNTIFS('BA History'!B:B,A39,'BA History'!D:D, 0)</f>
        <v>9</v>
      </c>
      <c r="K39" s="75">
        <f>LOOKUP(2, 1/('BA History'!$B:$B=A39), 'BA History'!$AJ:$AJ)</f>
        <v>0.66666666666666663</v>
      </c>
      <c r="L39" s="34">
        <f>SUMIFS('BA History'!F:F,'BA History'!B:B,A39)</f>
        <v>62</v>
      </c>
      <c r="M39" s="2">
        <f>SUMIFS('BA History'!E:E,'BA History'!B:B,A39)-L39</f>
        <v>45</v>
      </c>
      <c r="N39" s="75">
        <f>LOOKUP(2, 1/('BA History'!$B:$B=A39), 'BA History'!$AH:$AH)</f>
        <v>0.58777777777777773</v>
      </c>
      <c r="O39" s="34">
        <f>SUMIFS('BA History'!H:H,'BA History'!B:B,A39)</f>
        <v>241</v>
      </c>
      <c r="P39" s="2">
        <f>SUMIFS('BA History'!G:G,'BA History'!B:B,A39)-O39</f>
        <v>209</v>
      </c>
      <c r="Q39" s="89">
        <f>LOOKUP(2, 1/('BA History'!$B:$B=A39), 'BA History'!$AI:$AI)</f>
        <v>0.54444444444444451</v>
      </c>
      <c r="R39" s="2">
        <f>COUNTIFS('BA History'!$B:$B,$A$39,'BA History'!K:K, 1)</f>
        <v>1</v>
      </c>
      <c r="S39" s="2">
        <f>COUNTIFS('BA History'!$B:$B,$A$39,'BA History'!L:L, 1)</f>
        <v>6</v>
      </c>
      <c r="T39" s="2">
        <f>COUNTIFS('BA History'!$B:$B,$A$39,'BA History'!M:M, 1)</f>
        <v>4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4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128</v>
      </c>
      <c r="G41" s="66">
        <f>AVERAGEIFS('BA History'!C:C,'BA History'!B:B,A41)</f>
        <v>12.8</v>
      </c>
      <c r="H41" s="35">
        <f t="array" ref="H41">MAX(IF('BA History'!B:B=A41, 'BA History'!C:C))</f>
        <v>22</v>
      </c>
      <c r="I41" s="34">
        <f>COUNTIFS('BA History'!B:B,A41,'BA History'!D:D, 1)</f>
        <v>6</v>
      </c>
      <c r="J41" s="2">
        <f>COUNTIFS('BA History'!B:B,A41,'BA History'!D:D, 0)</f>
        <v>4</v>
      </c>
      <c r="K41" s="75">
        <f>LOOKUP(2, 1/('BA History'!$B:$B=A41), 'BA History'!$AJ:$AJ)</f>
        <v>0.6</v>
      </c>
      <c r="L41" s="34">
        <f>SUMIFS('BA History'!F:F,'BA History'!B:B,A41)</f>
        <v>19</v>
      </c>
      <c r="M41" s="2">
        <f>SUMIFS('BA History'!E:E,'BA History'!B:B,A41)-L41</f>
        <v>20</v>
      </c>
      <c r="N41" s="75">
        <f>LOOKUP(2, 1/('BA History'!$B:$B=A41), 'BA History'!$AH:$AH)</f>
        <v>0.45499999999999996</v>
      </c>
      <c r="O41" s="34">
        <f>SUMIFS('BA History'!H:H,'BA History'!B:B,A41)</f>
        <v>83</v>
      </c>
      <c r="P41" s="2">
        <f>SUMIFS('BA History'!G:G,'BA History'!B:B,A41)-O41</f>
        <v>80</v>
      </c>
      <c r="Q41" s="89">
        <f>LOOKUP(2, 1/('BA History'!$B:$B=A41), 'BA History'!$AI:$AI)</f>
        <v>0.50700000000000001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3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1096</v>
      </c>
      <c r="G43" s="66">
        <f>AVERAGEIFS('BA History'!C:C,'BA History'!B:B,A43)</f>
        <v>18.576271186440678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34</v>
      </c>
      <c r="K43" s="75">
        <f>LOOKUP(2, 1/('BA History'!$B:$B=A43), 'BA History'!$AJ:$AJ)</f>
        <v>0.42372881355932202</v>
      </c>
      <c r="L43" s="34">
        <f>SUMIFS('BA History'!F:F,'BA History'!B:B,A43)</f>
        <v>117</v>
      </c>
      <c r="M43" s="2">
        <f>SUMIFS('BA History'!E:E,'BA History'!B:B,A43)-L43</f>
        <v>127</v>
      </c>
      <c r="N43" s="75">
        <f>LOOKUP(2, 1/('BA History'!$B:$B=A43), 'BA History'!$AH:$AH)</f>
        <v>0.48559322033898289</v>
      </c>
      <c r="O43" s="34">
        <f>SUMIFS('BA History'!H:H,'BA History'!B:B,A43)</f>
        <v>490</v>
      </c>
      <c r="P43" s="2">
        <f>SUMIFS('BA History'!G:G,'BA History'!B:B,A43)-O43</f>
        <v>517</v>
      </c>
      <c r="Q43" s="89">
        <f>LOOKUP(2, 1/('BA History'!$B:$B=A43), 'BA History'!$AI:$AI)</f>
        <v>0.48372881355932212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14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165</v>
      </c>
      <c r="B44" s="2" t="s">
        <v>79</v>
      </c>
      <c r="C44" s="2"/>
      <c r="D44" s="2"/>
      <c r="E44" s="2"/>
      <c r="F44" s="34">
        <f>SUMIFS('BA History'!C:C,'BA History'!B:B,A44)</f>
        <v>19</v>
      </c>
      <c r="G44" s="66">
        <f>AVERAGEIFS('BA History'!C:C,'BA History'!B:B,A44)</f>
        <v>6.333333333333333</v>
      </c>
      <c r="H44" s="35">
        <f t="array" ref="H44">MAX(IF('BA History'!B:B=A44, 'BA History'!C:C))</f>
        <v>8</v>
      </c>
      <c r="I44" s="34">
        <f>COUNTIFS('BA History'!B:B,A44,'BA History'!D:D, 1)</f>
        <v>2</v>
      </c>
      <c r="J44" s="2">
        <f>COUNTIFS('BA History'!B:B,A44,'BA History'!D:D, 0)</f>
        <v>1</v>
      </c>
      <c r="K44" s="75">
        <f>LOOKUP(2, 1/('BA History'!$B:$B=A44), 'BA History'!$AJ:$AJ)</f>
        <v>0.66666666666666663</v>
      </c>
      <c r="L44" s="34">
        <f>SUMIFS('BA History'!F:F,'BA History'!B:B,A44)</f>
        <v>6</v>
      </c>
      <c r="M44" s="2">
        <f>SUMIFS('BA History'!E:E,'BA History'!B:B,A44)-L44</f>
        <v>6</v>
      </c>
      <c r="N44" s="75">
        <f>LOOKUP(2, 1/('BA History'!$B:$B=A44), 'BA History'!$AH:$AH)</f>
        <v>0.45</v>
      </c>
      <c r="O44" s="34">
        <f>SUMIFS('BA History'!H:H,'BA History'!B:B,A44)</f>
        <v>25</v>
      </c>
      <c r="P44" s="2">
        <f>SUMIFS('BA History'!G:G,'BA History'!B:B,A44)-O44</f>
        <v>24</v>
      </c>
      <c r="Q44" s="89">
        <f>LOOKUP(2, 1/('BA History'!$B:$B=A44), 'BA History'!$AI:$AI)</f>
        <v>0.47666666666666663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1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295</v>
      </c>
      <c r="G45" s="66">
        <f>AVERAGEIFS('BA History'!C:C,'BA History'!B:B,A45)</f>
        <v>12.291666666666666</v>
      </c>
      <c r="H45" s="35">
        <f t="array" ref="H45">MAX(IF('BA History'!B:B=A45, 'BA History'!C:C))</f>
        <v>33</v>
      </c>
      <c r="I45" s="34">
        <f>COUNTIFS('BA History'!B:B,A45,'BA History'!D:D, 1)</f>
        <v>12</v>
      </c>
      <c r="J45" s="2">
        <f>COUNTIFS('BA History'!B:B,A45,'BA History'!D:D, 0)</f>
        <v>12</v>
      </c>
      <c r="K45" s="75">
        <f>LOOKUP(2, 1/('BA History'!$B:$B=A45), 'BA History'!$AJ:$AJ)</f>
        <v>0.5</v>
      </c>
      <c r="L45" s="34">
        <f>SUMIFS('BA History'!F:F,'BA History'!B:B,A45)</f>
        <v>51</v>
      </c>
      <c r="M45" s="2">
        <f>SUMIFS('BA History'!E:E,'BA History'!B:B,A45)-L45</f>
        <v>45</v>
      </c>
      <c r="N45" s="75">
        <f>LOOKUP(2, 1/('BA History'!$B:$B=A45), 'BA History'!$AH:$AH)</f>
        <v>0.55833333333333335</v>
      </c>
      <c r="O45" s="34">
        <f>SUMIFS('BA History'!H:H,'BA History'!B:B,A45)</f>
        <v>202</v>
      </c>
      <c r="P45" s="2">
        <f>SUMIFS('BA History'!G:G,'BA History'!B:B,A45)-O45</f>
        <v>191</v>
      </c>
      <c r="Q45" s="89">
        <f>LOOKUP(2, 1/('BA History'!$B:$B=A45), 'BA History'!$AI:$AI)</f>
        <v>0.53416666666666657</v>
      </c>
      <c r="R45" s="2">
        <f>COUNTIFS('BA History'!$B:$B,$A$45,'BA History'!K:K, 1)</f>
        <v>3</v>
      </c>
      <c r="S45" s="2">
        <f>COUNTIFS('BA History'!$B:$B,$A$45,'BA History'!L:L, 1)</f>
        <v>4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8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695</v>
      </c>
      <c r="G46" s="66">
        <f>AVERAGEIFS('BA History'!C:C,'BA History'!B:B,A46)</f>
        <v>19.857142857142858</v>
      </c>
      <c r="H46" s="35">
        <f t="array" ref="H46">MAX(IF('BA History'!B:B=A46, 'BA History'!C:C))</f>
        <v>32</v>
      </c>
      <c r="I46" s="34">
        <f>COUNTIFS('BA History'!B:B,A46,'BA History'!D:D, 1)</f>
        <v>19</v>
      </c>
      <c r="J46" s="2">
        <f>COUNTIFS('BA History'!B:B,A46,'BA History'!D:D, 0)</f>
        <v>16</v>
      </c>
      <c r="K46" s="75">
        <f>LOOKUP(2, 1/('BA History'!$B:$B=A46), 'BA History'!$AJ:$AJ)</f>
        <v>0.54285714285714282</v>
      </c>
      <c r="L46" s="34">
        <f>SUMIFS('BA History'!F:F,'BA History'!B:B,A46)</f>
        <v>73</v>
      </c>
      <c r="M46" s="2">
        <f>SUMIFS('BA History'!E:E,'BA History'!B:B,A46)-L46</f>
        <v>67</v>
      </c>
      <c r="N46" s="75">
        <f>LOOKUP(2, 1/('BA History'!$B:$B=A46), 'BA History'!$AH:$AH)</f>
        <v>0.52342857142857147</v>
      </c>
      <c r="O46" s="34">
        <f>SUMIFS('BA History'!H:H,'BA History'!B:B,A46)</f>
        <v>287</v>
      </c>
      <c r="P46" s="2">
        <f>SUMIFS('BA History'!G:G,'BA History'!B:B,A46)-O46</f>
        <v>287</v>
      </c>
      <c r="Q46" s="89">
        <f>LOOKUP(2, 1/('BA History'!$B:$B=A46), 'BA History'!$AI:$AI)</f>
        <v>0.49285714285714288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6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9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/>
      <c r="E50" s="1">
        <v>1</v>
      </c>
      <c r="F50" s="34">
        <f>SUMIFS('BA History'!C:C,'BA History'!B:B,A50)</f>
        <v>1314</v>
      </c>
      <c r="G50" s="66">
        <f>AVERAGEIFS('BA History'!C:C,'BA History'!B:B,A50)</f>
        <v>21.9</v>
      </c>
      <c r="H50" s="35">
        <f t="array" ref="H50">MAX(IF('BA History'!B:B=A50, 'BA History'!C:C))</f>
        <v>37</v>
      </c>
      <c r="I50" s="34">
        <f>COUNTIFS('BA History'!B:B,A50,'BA History'!D:D, 1)</f>
        <v>35</v>
      </c>
      <c r="J50" s="2">
        <f>COUNTIFS('BA History'!B:B,A50,'BA History'!D:D, 0)</f>
        <v>25</v>
      </c>
      <c r="K50" s="75">
        <f>LOOKUP(2, 1/('BA History'!$B:$B=A50), 'BA History'!$AJ:$AJ)</f>
        <v>0.58333333333333337</v>
      </c>
      <c r="L50" s="34">
        <f>SUMIFS('BA History'!F:F,'BA History'!B:B,A50)</f>
        <v>127</v>
      </c>
      <c r="M50" s="2">
        <f>SUMIFS('BA History'!E:E,'BA History'!B:B,A50)-L50</f>
        <v>113</v>
      </c>
      <c r="N50" s="75">
        <f>LOOKUP(2, 1/('BA History'!$B:$B=A50), 'BA History'!$AH:$AH)</f>
        <v>0.52216666666666667</v>
      </c>
      <c r="O50" s="34">
        <f>SUMIFS('BA History'!H:H,'BA History'!B:B,A50)</f>
        <v>518</v>
      </c>
      <c r="P50" s="2">
        <f>SUMIFS('BA History'!G:G,'BA History'!B:B,A50)-O50</f>
        <v>475</v>
      </c>
      <c r="Q50" s="89">
        <f>LOOKUP(2, 1/('BA History'!$B:$B=A50), 'BA History'!$AI:$AI)</f>
        <v>0.51883333333333337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17</v>
      </c>
      <c r="AH50" s="2">
        <f>COUNTIFS('BA History'!$B:$B,$A$50,'BA History'!AA:AA, 1)</f>
        <v>1</v>
      </c>
      <c r="AI50" s="2">
        <f>COUNTIFS('BA History'!$B:$B,$A$50,'BA History'!AB:AB, 1)</f>
        <v>15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113</v>
      </c>
      <c r="B52" s="2" t="s">
        <v>79</v>
      </c>
      <c r="C52" s="2">
        <v>1</v>
      </c>
      <c r="D52" s="2">
        <v>1</v>
      </c>
      <c r="E52" s="2"/>
      <c r="F52" s="34">
        <f>SUMIFS('BA History'!C:C,'BA History'!B:B,A52)</f>
        <v>661</v>
      </c>
      <c r="G52" s="66">
        <f>AVERAGEIFS('BA History'!C:C,'BA History'!B:B,A52)</f>
        <v>17.864864864864863</v>
      </c>
      <c r="H52" s="35">
        <f t="array" ref="H52">MAX(IF('BA History'!B:B=A52, 'BA History'!C:C))</f>
        <v>36</v>
      </c>
      <c r="I52" s="34">
        <f>COUNTIFS('BA History'!B:B,A52,'BA History'!D:D, 1)</f>
        <v>20</v>
      </c>
      <c r="J52" s="2">
        <f>COUNTIFS('BA History'!B:B,A52,'BA History'!D:D, 0)</f>
        <v>17</v>
      </c>
      <c r="K52" s="75">
        <f>LOOKUP(2, 1/('BA History'!$B:$B=A52), 'BA History'!$AJ:$AJ)</f>
        <v>0.54054054054054057</v>
      </c>
      <c r="L52" s="34">
        <f>SUMIFS('BA History'!F:F,'BA History'!B:B,A52)</f>
        <v>81</v>
      </c>
      <c r="M52" s="2">
        <f>SUMIFS('BA History'!E:E,'BA History'!B:B,A52)-L52</f>
        <v>66</v>
      </c>
      <c r="N52" s="75">
        <f>LOOKUP(2, 1/('BA History'!$B:$B=A52), 'BA History'!$AH:$AH)</f>
        <v>0.57027027027027022</v>
      </c>
      <c r="O52" s="34">
        <f>SUMIFS('BA History'!H:H,'BA History'!B:B,A52)</f>
        <v>309</v>
      </c>
      <c r="P52" s="2">
        <f>SUMIFS('BA History'!G:G,'BA History'!B:B,A52)-O52</f>
        <v>284</v>
      </c>
      <c r="Q52" s="89">
        <f>LOOKUP(2, 1/('BA History'!$B:$B=A52), 'BA History'!$AI:$AI)</f>
        <v>0.53108108108108121</v>
      </c>
      <c r="R52" s="2">
        <f>COUNTIFS('BA History'!$B:$B,$A$52,'BA History'!K:K, 1)</f>
        <v>2</v>
      </c>
      <c r="S52" s="2">
        <f>COUNTIFS('BA History'!$B:$B,$A$52,'BA History'!L:L, 1)</f>
        <v>5</v>
      </c>
      <c r="T52" s="2">
        <f>COUNTIFS('BA History'!$B:$B,$A$52,'BA History'!M:M, 1)</f>
        <v>11</v>
      </c>
      <c r="U52" s="2">
        <f>COUNTIFS('BA History'!$B:$B,$A$52,'BA History'!N:N, 1)</f>
        <v>8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3</v>
      </c>
      <c r="Y52" s="2">
        <f>COUNTIFS('BA History'!$B:$B,$A$52,'BA History'!R:R, 1)</f>
        <v>2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2</v>
      </c>
      <c r="AC52" s="2">
        <f>COUNTIFS('BA History'!$B:$B,$A$52,'BA History'!V:V, 1)</f>
        <v>4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8</v>
      </c>
      <c r="AG52" s="2">
        <f>COUNTIFS('BA History'!$B:$B,$A$52,'BA History'!Z:Z, 1)</f>
        <v>8</v>
      </c>
      <c r="AH52" s="2">
        <f>COUNTIFS('BA History'!$B:$B,$A$52,'BA History'!AA:AA, 1)</f>
        <v>0</v>
      </c>
      <c r="AI52" s="2">
        <f>COUNTIFS('BA History'!$B:$B,$A$52,'BA History'!AB:AB, 1)</f>
        <v>11</v>
      </c>
      <c r="AJ52" s="2">
        <f>COUNTIFS('BA History'!$B:$B,$A$52,'BA History'!AC:AC, 1)</f>
        <v>7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4</v>
      </c>
    </row>
    <row r="53" spans="1:39" x14ac:dyDescent="0.25">
      <c r="A53" s="2" t="s">
        <v>14</v>
      </c>
      <c r="B53" s="2" t="s">
        <v>79</v>
      </c>
      <c r="C53" s="2">
        <v>1</v>
      </c>
      <c r="D53" s="2"/>
      <c r="E53" s="2"/>
      <c r="F53" s="34">
        <f>SUMIFS('BA History'!C:C,'BA History'!B:B,A53)</f>
        <v>338</v>
      </c>
      <c r="G53" s="66">
        <f>AVERAGEIFS('BA History'!C:C,'BA History'!B:B,A53)</f>
        <v>16.899999999999999</v>
      </c>
      <c r="H53" s="35">
        <f t="array" ref="H53">MAX(IF('BA History'!B:B=A53, 'BA History'!C:C))</f>
        <v>30</v>
      </c>
      <c r="I53" s="34">
        <f>COUNTIFS('BA History'!B:B,A53,'BA History'!D:D, 1)</f>
        <v>9</v>
      </c>
      <c r="J53" s="2">
        <f>COUNTIFS('BA History'!B:B,A53,'BA History'!D:D, 0)</f>
        <v>11</v>
      </c>
      <c r="K53" s="75">
        <f>LOOKUP(2, 1/('BA History'!$B:$B=A53), 'BA History'!$AJ:$AJ)</f>
        <v>0.45</v>
      </c>
      <c r="L53" s="34">
        <f>SUMIFS('BA History'!F:F,'BA History'!B:B,A53)</f>
        <v>38</v>
      </c>
      <c r="M53" s="2">
        <f>SUMIFS('BA History'!E:E,'BA History'!B:B,A53)-L53</f>
        <v>45</v>
      </c>
      <c r="N53" s="75">
        <f>LOOKUP(2, 1/('BA History'!$B:$B=A53), 'BA History'!$AH:$AH)</f>
        <v>0.45599999999999996</v>
      </c>
      <c r="O53" s="34">
        <f>SUMIFS('BA History'!H:H,'BA History'!B:B,A53)</f>
        <v>167</v>
      </c>
      <c r="P53" s="2">
        <f>SUMIFS('BA History'!G:G,'BA History'!B:B,A53)-O53</f>
        <v>173</v>
      </c>
      <c r="Q53" s="89">
        <f>LOOKUP(2, 1/('BA History'!$B:$B=A53), 'BA History'!$AI:$AI)</f>
        <v>0.48699999999999999</v>
      </c>
      <c r="R53" s="2">
        <f>COUNTIFS('BA History'!$B:$B,$A$53,'BA History'!K:K, 1)</f>
        <v>1</v>
      </c>
      <c r="S53" s="2">
        <f>COUNTIFS('BA History'!$B:$B,$A$53,'BA History'!L:L, 1)</f>
        <v>3</v>
      </c>
      <c r="T53" s="2">
        <f>COUNTIFS('BA History'!$B:$B,$A$53,'BA History'!M:M, 1)</f>
        <v>0</v>
      </c>
      <c r="U53" s="2">
        <f>COUNTIFS('BA History'!$B:$B,$A$53,'BA History'!N:N, 1)</f>
        <v>2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1</v>
      </c>
      <c r="AB53" s="2">
        <f>COUNTIFS('BA History'!$B:$B,$A$53,'BA History'!U:U, 1)</f>
        <v>1</v>
      </c>
      <c r="AC53" s="2">
        <f>COUNTIFS('BA History'!$B:$B,$A$53,'BA History'!V:V, 1)</f>
        <v>1</v>
      </c>
      <c r="AD53" s="2">
        <f>COUNTIFS('BA History'!$B:$B,$A$53,'BA History'!W:W, 1)</f>
        <v>2</v>
      </c>
      <c r="AE53" s="2">
        <f>COUNTIFS('BA History'!$B:$B,$A$53,'BA History'!X:X, 1)</f>
        <v>1</v>
      </c>
      <c r="AF53" s="2">
        <f>COUNTIFS('BA History'!$B:$B,$A$53,'BA History'!Y:Y, 1)</f>
        <v>4</v>
      </c>
      <c r="AG53" s="2">
        <f>COUNTIFS('BA History'!$B:$B,$A$53,'BA History'!Z:Z, 1)</f>
        <v>6</v>
      </c>
      <c r="AH53" s="2">
        <f>COUNTIFS('BA History'!$B:$B,$A$53,'BA History'!AA:AA, 1)</f>
        <v>1</v>
      </c>
      <c r="AI53" s="2">
        <f>COUNTIFS('BA History'!$B:$B,$A$53,'BA History'!AB:AB, 1)</f>
        <v>8</v>
      </c>
      <c r="AJ53" s="2">
        <f>COUNTIFS('BA History'!$B:$B,$A$53,'BA History'!AC:AC, 1)</f>
        <v>3</v>
      </c>
      <c r="AK53" s="2">
        <f>COUNTIFS('BA History'!$B:$B,$A$53,'BA History'!AD:AD, 1)</f>
        <v>0</v>
      </c>
      <c r="AL53" s="2">
        <f>COUNTIFS('BA History'!$B:$B,$A$53,'BA History'!AE:AE, 1)</f>
        <v>0</v>
      </c>
      <c r="AM53" s="2">
        <f>COUNTIFS('BA History'!$B:$B,$A$53,'BA History'!AF:AF, 1)</f>
        <v>0</v>
      </c>
    </row>
    <row r="54" spans="1:39" x14ac:dyDescent="0.25">
      <c r="A54" s="2" t="s">
        <v>70</v>
      </c>
      <c r="B54" s="2" t="s">
        <v>79</v>
      </c>
      <c r="C54" s="2"/>
      <c r="D54" s="2"/>
      <c r="E54" s="2"/>
      <c r="F54" s="34">
        <f>SUMIFS('BA History'!C:C,'BA History'!B:B,A54)</f>
        <v>80</v>
      </c>
      <c r="G54" s="66">
        <f>AVERAGEIFS('BA History'!C:C,'BA History'!B:B,A54)</f>
        <v>11.428571428571429</v>
      </c>
      <c r="H54" s="35">
        <f t="array" ref="H54">MAX(IF('BA History'!B:B=A54, 'BA History'!C:C))</f>
        <v>19</v>
      </c>
      <c r="I54" s="34">
        <f>COUNTIFS('BA History'!B:B,A54,'BA History'!D:D, 1)</f>
        <v>5</v>
      </c>
      <c r="J54" s="2">
        <f>COUNTIFS('BA History'!B:B,A54,'BA History'!D:D, 0)</f>
        <v>2</v>
      </c>
      <c r="K54" s="75">
        <f>LOOKUP(2, 1/('BA History'!$B:$B=A54), 'BA History'!$AJ:$AJ)</f>
        <v>0.7142857142857143</v>
      </c>
      <c r="L54" s="34">
        <f>SUMIFS('BA History'!F:F,'BA History'!B:B,A54)</f>
        <v>16</v>
      </c>
      <c r="M54" s="2">
        <f>SUMIFS('BA History'!E:E,'BA History'!B:B,A54)-L54</f>
        <v>13</v>
      </c>
      <c r="N54" s="75">
        <f>LOOKUP(2, 1/('BA History'!$B:$B=A54), 'BA History'!$AH:$AH)</f>
        <v>0.54285714285714293</v>
      </c>
      <c r="O54" s="34">
        <f>SUMIFS('BA History'!H:H,'BA History'!B:B,A54)</f>
        <v>64</v>
      </c>
      <c r="P54" s="2">
        <f>SUMIFS('BA History'!G:G,'BA History'!B:B,A54)-O54</f>
        <v>59</v>
      </c>
      <c r="Q54" s="89">
        <f>LOOKUP(2, 1/('BA History'!$B:$B=A54), 'BA History'!$AI:$AI)</f>
        <v>0.52142857142857146</v>
      </c>
      <c r="R54" s="2">
        <f>COUNTIFS('BA History'!$B:$B,$A$54,'BA History'!K:K, 1)</f>
        <v>1</v>
      </c>
      <c r="S54" s="2">
        <f>COUNTIFS('BA History'!$B:$B,$A$54,'BA History'!L:L, 1)</f>
        <v>1</v>
      </c>
      <c r="T54" s="2">
        <f>COUNTIFS('BA History'!$B:$B,$A$54,'BA History'!M:M, 1)</f>
        <v>2</v>
      </c>
      <c r="U54" s="2">
        <f>COUNTIFS('BA History'!$B:$B,$A$54,'BA History'!N:N, 1)</f>
        <v>3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1</v>
      </c>
      <c r="AE54" s="2">
        <f>COUNTIFS('BA History'!$B:$B,$A$54,'BA History'!X:X, 1)</f>
        <v>0</v>
      </c>
      <c r="AF54" s="2">
        <f>COUNTIFS('BA History'!$B:$B,$A$54,'BA History'!Y:Y, 1)</f>
        <v>1</v>
      </c>
      <c r="AG54" s="2">
        <f>COUNTIFS('BA History'!$B:$B,$A$54,'BA History'!Z:Z, 1)</f>
        <v>0</v>
      </c>
      <c r="AH54" s="2">
        <f>COUNTIFS('BA History'!$B:$B,$A$54,'BA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3</v>
      </c>
      <c r="AL54" s="2">
        <f>COUNTIFS('BA History'!$B:$B,$A$54,'BA History'!AE:AE, 1)</f>
        <v>0</v>
      </c>
      <c r="AM54" s="2">
        <f>COUNTIFS('BA History'!$B:$B,$A$54,'BA History'!AF:AF, 1)</f>
        <v>2</v>
      </c>
    </row>
    <row r="55" spans="1:39" x14ac:dyDescent="0.25">
      <c r="A55" s="2" t="s">
        <v>4</v>
      </c>
      <c r="B55" s="1" t="s">
        <v>158</v>
      </c>
      <c r="C55" s="1">
        <v>1</v>
      </c>
      <c r="D55" s="1"/>
      <c r="E55" s="1"/>
      <c r="F55" s="34">
        <f>SUMIFS('BA History'!C:C,'BA History'!B:B,A55)</f>
        <v>801</v>
      </c>
      <c r="G55" s="66">
        <f>AVERAGEIFS('BA History'!C:C,'BA History'!B:B,A55)</f>
        <v>25.03125</v>
      </c>
      <c r="H55" s="35">
        <f t="array" ref="H55">MAX(IF('BA History'!B:B=A55, 'BA History'!C:C))</f>
        <v>41</v>
      </c>
      <c r="I55" s="34">
        <f>COUNTIFS('BA History'!B:B,A55,'BA History'!D:D, 1)</f>
        <v>11</v>
      </c>
      <c r="J55" s="2">
        <f>COUNTIFS('BA History'!B:B,A55,'BA History'!D:D, 0)</f>
        <v>21</v>
      </c>
      <c r="K55" s="75">
        <f>LOOKUP(2, 1/('BA History'!$B:$B=A55), 'BA History'!$AJ:$AJ)</f>
        <v>0.34375</v>
      </c>
      <c r="L55" s="34">
        <f>SUMIFS('BA History'!F:F,'BA History'!B:B,A55)</f>
        <v>58</v>
      </c>
      <c r="M55" s="2">
        <f>SUMIFS('BA History'!E:E,'BA History'!B:B,A55)-L55</f>
        <v>75</v>
      </c>
      <c r="N55" s="75">
        <f>LOOKUP(2, 1/('BA History'!$B:$B=A55), 'BA History'!$AH:$AH)</f>
        <v>0.43593749999999998</v>
      </c>
      <c r="O55" s="34">
        <f>SUMIFS('BA History'!H:H,'BA History'!B:B,A55)</f>
        <v>259</v>
      </c>
      <c r="P55" s="2">
        <f>SUMIFS('BA History'!G:G,'BA History'!B:B,A55)-O55</f>
        <v>293</v>
      </c>
      <c r="Q55" s="89">
        <f>LOOKUP(2, 1/('BA History'!$B:$B=A55), 'BA History'!$AI:$AI)</f>
        <v>0.46406249999999999</v>
      </c>
      <c r="R55" s="2">
        <f>COUNTIFS('BA History'!$B:$B,$A$55,'BA History'!K:K, 1)</f>
        <v>2</v>
      </c>
      <c r="S55" s="2">
        <f>COUNTIFS('BA History'!$B:$B,$A$55,'BA History'!L:L, 1)</f>
        <v>7</v>
      </c>
      <c r="T55" s="2">
        <f>COUNTIFS('BA History'!$B:$B,$A$55,'BA History'!M:M, 1)</f>
        <v>5</v>
      </c>
      <c r="U55" s="2">
        <f>COUNTIFS('BA History'!$B:$B,$A$55,'BA History'!N:N, 1)</f>
        <v>8</v>
      </c>
      <c r="V55" s="2">
        <f>COUNTIFS('BA History'!$B:$B,$A$55,'BA History'!O:O, 1)</f>
        <v>1</v>
      </c>
      <c r="W55" s="2">
        <f>COUNTIFS('BA History'!$B:$B,$A$55,'BA History'!P:P, 1)</f>
        <v>0</v>
      </c>
      <c r="X55" s="2">
        <f>COUNTIFS('BA History'!$B:$B,$A$55,'BA History'!Q:Q, 1)</f>
        <v>1</v>
      </c>
      <c r="Y55" s="2">
        <f>COUNTIFS('BA History'!$B:$B,$A$55,'BA History'!R:R, 1)</f>
        <v>0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1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3</v>
      </c>
      <c r="AH55" s="2">
        <f>COUNTIFS('BA History'!$B:$B,$A$55,'BA History'!AA:AA, 1)</f>
        <v>0</v>
      </c>
      <c r="AI55" s="2">
        <f>COUNTIFS('BA History'!$B:$B,$A$55,'BA History'!AB:AB, 1)</f>
        <v>8</v>
      </c>
      <c r="AJ55" s="2">
        <f>COUNTIFS('BA History'!$B:$B,$A$55,'BA History'!AC:AC, 1)</f>
        <v>6</v>
      </c>
      <c r="AK55" s="2">
        <f>COUNTIFS('BA History'!$B:$B,$A$55,'BA History'!AD:AD, 1)</f>
        <v>5</v>
      </c>
      <c r="AL55" s="2">
        <f>COUNTIFS('BA History'!$B:$B,$A$55,'BA History'!AE:AE, 1)</f>
        <v>0</v>
      </c>
      <c r="AM55" s="2">
        <f>COUNTIFS('BA History'!$B:$B,$A$55,'BA History'!AF:AF, 1)</f>
        <v>1</v>
      </c>
    </row>
    <row r="56" spans="1:39" x14ac:dyDescent="0.25">
      <c r="A56" s="1" t="s">
        <v>107</v>
      </c>
      <c r="B56" s="2" t="s">
        <v>79</v>
      </c>
      <c r="C56" s="2"/>
      <c r="D56" s="2"/>
      <c r="E56" s="2"/>
      <c r="F56" s="34">
        <f>SUMIFS('BA History'!C:C,'BA History'!B:B,A56)</f>
        <v>673</v>
      </c>
      <c r="G56" s="66">
        <f>AVERAGEIFS('BA History'!C:C,'BA History'!B:B,A56)</f>
        <v>16.023809523809526</v>
      </c>
      <c r="H56" s="35">
        <f t="array" ref="H56">MAX(IF('BA History'!B:B=A56, 'BA History'!C:C))</f>
        <v>35</v>
      </c>
      <c r="I56" s="34">
        <f>COUNTIFS('BA History'!B:B,A56,'BA History'!D:D, 1)</f>
        <v>24</v>
      </c>
      <c r="J56" s="2">
        <f>COUNTIFS('BA History'!B:B,A56,'BA History'!D:D, 0)</f>
        <v>18</v>
      </c>
      <c r="K56" s="75">
        <f>LOOKUP(2, 1/('BA History'!$B:$B=A56), 'BA History'!$AJ:$AJ)</f>
        <v>0.5714285714285714</v>
      </c>
      <c r="L56" s="34">
        <f>SUMIFS('BA History'!F:F,'BA History'!B:B,A56)</f>
        <v>89</v>
      </c>
      <c r="M56" s="2">
        <f>SUMIFS('BA History'!E:E,'BA History'!B:B,A56)-L56</f>
        <v>80</v>
      </c>
      <c r="N56" s="75">
        <f>LOOKUP(2, 1/('BA History'!$B:$B=A56), 'BA History'!$AH:$AH)</f>
        <v>0.52023809523809528</v>
      </c>
      <c r="O56" s="34">
        <f>SUMIFS('BA History'!H:H,'BA History'!B:B,A56)</f>
        <v>363</v>
      </c>
      <c r="P56" s="2">
        <f>SUMIFS('BA History'!G:G,'BA History'!B:B,A56)-O56</f>
        <v>332</v>
      </c>
      <c r="Q56" s="89">
        <f>LOOKUP(2, 1/('BA History'!$B:$B=A56), 'BA History'!$AI:$AI)</f>
        <v>0.51857142857142846</v>
      </c>
      <c r="R56" s="2">
        <f>COUNTIFS('BA History'!$B:$B,$A$56,'BA History'!K:K, 1)</f>
        <v>4</v>
      </c>
      <c r="S56" s="2">
        <f>COUNTIFS('BA History'!$B:$B,$A$56,'BA History'!L:L, 1)</f>
        <v>3</v>
      </c>
      <c r="T56" s="2">
        <f>COUNTIFS('BA History'!$B:$B,$A$56,'BA History'!M:M, 1)</f>
        <v>11</v>
      </c>
      <c r="U56" s="2">
        <f>COUNTIFS('BA History'!$B:$B,$A$56,'BA History'!N:N, 1)</f>
        <v>12</v>
      </c>
      <c r="V56" s="2">
        <f>COUNTIFS('BA History'!$B:$B,$A$56,'BA History'!O:O, 1)</f>
        <v>2</v>
      </c>
      <c r="W56" s="2">
        <f>COUNTIFS('BA History'!$B:$B,$A$56,'BA History'!P:P, 1)</f>
        <v>1</v>
      </c>
      <c r="X56" s="2">
        <f>COUNTIFS('BA History'!$B:$B,$A$56,'BA History'!Q:Q, 1)</f>
        <v>2</v>
      </c>
      <c r="Y56" s="2">
        <f>COUNTIFS('BA History'!$B:$B,$A$56,'BA History'!R:R, 1)</f>
        <v>2</v>
      </c>
      <c r="Z56" s="2">
        <f>COUNTIFS('BA History'!$B:$B,$A$56,'BA History'!S:S, 1)</f>
        <v>1</v>
      </c>
      <c r="AA56" s="2">
        <f>COUNTIFS('BA History'!$B:$B,$A$56,'BA History'!T:T, 1)</f>
        <v>0</v>
      </c>
      <c r="AB56" s="2">
        <f>COUNTIFS('BA History'!$B:$B,$A$56,'BA History'!U:U, 1)</f>
        <v>1</v>
      </c>
      <c r="AC56" s="2">
        <f>COUNTIFS('BA History'!$B:$B,$A$56,'BA History'!V:V, 1)</f>
        <v>3</v>
      </c>
      <c r="AD56" s="2">
        <f>COUNTIFS('BA History'!$B:$B,$A$56,'BA History'!W:W, 1)</f>
        <v>2</v>
      </c>
      <c r="AE56" s="2">
        <f>COUNTIFS('BA History'!$B:$B,$A$56,'BA History'!X:X, 1)</f>
        <v>0</v>
      </c>
      <c r="AF56" s="2">
        <f>COUNTIFS('BA History'!$B:$B,$A$56,'BA History'!Y:Y, 1)</f>
        <v>7</v>
      </c>
      <c r="AG56" s="2">
        <f>COUNTIFS('BA History'!$B:$B,$A$56,'BA History'!Z:Z, 1)</f>
        <v>9</v>
      </c>
      <c r="AH56" s="2">
        <f>COUNTIFS('BA History'!$B:$B,$A$56,'BA History'!AA:AA, 1)</f>
        <v>1</v>
      </c>
      <c r="AI56" s="2">
        <f>COUNTIFS('BA History'!$B:$B,$A$56,'BA History'!AB:AB, 1)</f>
        <v>8</v>
      </c>
      <c r="AJ56" s="2">
        <f>COUNTIFS('BA History'!$B:$B,$A$56,'BA History'!AC:AC, 1)</f>
        <v>5</v>
      </c>
      <c r="AK56" s="2">
        <f>COUNTIFS('BA History'!$B:$B,$A$56,'BA History'!AD:AD, 1)</f>
        <v>9</v>
      </c>
      <c r="AL56" s="2">
        <f>COUNTIFS('BA History'!$B:$B,$A$56,'BA History'!AE:AE, 1)</f>
        <v>0</v>
      </c>
      <c r="AM56" s="2">
        <f>COUNTIFS('BA History'!$B:$B,$A$56,'BA History'!AF:AF, 1)</f>
        <v>6</v>
      </c>
    </row>
    <row r="57" spans="1:39" x14ac:dyDescent="0.25">
      <c r="A57" s="2" t="s">
        <v>94</v>
      </c>
      <c r="B57" s="2" t="s">
        <v>79</v>
      </c>
      <c r="C57" s="2"/>
      <c r="D57" s="2"/>
      <c r="E57" s="2"/>
      <c r="F57" s="34">
        <f>SUMIFS('BA History'!C:C,'BA History'!B:B,A57)</f>
        <v>18</v>
      </c>
      <c r="G57" s="66">
        <f>AVERAGEIFS('BA History'!C:C,'BA History'!B:B,A57)</f>
        <v>18</v>
      </c>
      <c r="H57" s="35">
        <f t="array" ref="H57">MAX(IF('BA History'!B:B=A57, 'BA History'!C:C))</f>
        <v>18</v>
      </c>
      <c r="I57" s="34">
        <f>COUNTIFS('BA History'!B:B,A57,'BA History'!D:D, 1)</f>
        <v>1</v>
      </c>
      <c r="J57" s="2">
        <f>COUNTIFS('BA History'!B:B,A57,'BA History'!D:D, 0)</f>
        <v>0</v>
      </c>
      <c r="K57" s="75">
        <f>LOOKUP(2, 1/('BA History'!$B:$B=A57), 'BA History'!$AJ:$AJ)</f>
        <v>1</v>
      </c>
      <c r="L57" s="34">
        <f>SUMIFS('BA History'!F:F,'BA History'!B:B,A57)</f>
        <v>3</v>
      </c>
      <c r="M57" s="2">
        <f>SUMIFS('BA History'!E:E,'BA History'!B:B,A57)-L57</f>
        <v>2</v>
      </c>
      <c r="N57" s="75">
        <f>LOOKUP(2, 1/('BA History'!$B:$B=A57), 'BA History'!$AH:$AH)</f>
        <v>0.6</v>
      </c>
      <c r="O57" s="34">
        <f>SUMIFS('BA History'!H:H,'BA History'!B:B,A57)</f>
        <v>11</v>
      </c>
      <c r="P57" s="2">
        <f>SUMIFS('BA History'!G:G,'BA History'!B:B,A57)-O57</f>
        <v>10</v>
      </c>
      <c r="Q57" s="89">
        <f>LOOKUP(2, 1/('BA History'!$B:$B=A57), 'BA History'!$AI:$AI)</f>
        <v>0.52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1</v>
      </c>
      <c r="AE57" s="2">
        <f>COUNTIFS('BA History'!$B:$B,$A$57,'BA History'!X:X, 1)</f>
        <v>1</v>
      </c>
      <c r="AF57" s="2">
        <f>COUNTIFS('BA History'!$B:$B,$A$57,'BA History'!Y:Y, 1)</f>
        <v>0</v>
      </c>
      <c r="AG57" s="2">
        <f>COUNTIFS('BA History'!$B:$B,$A$57,'BA History'!Z:Z, 1)</f>
        <v>1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  <row r="58" spans="1:39" ht="15.75" thickBot="1" x14ac:dyDescent="0.3">
      <c r="A58" s="2" t="s">
        <v>55</v>
      </c>
      <c r="B58" s="2" t="s">
        <v>79</v>
      </c>
      <c r="C58" s="2"/>
      <c r="D58" s="2"/>
      <c r="E58" s="2"/>
      <c r="F58" s="34">
        <f>SUMIFS('BA History'!C:C,'BA History'!B:B,A58)</f>
        <v>2</v>
      </c>
      <c r="G58" s="66">
        <f>AVERAGEIFS('BA History'!C:C,'BA History'!B:B,A58)</f>
        <v>2</v>
      </c>
      <c r="H58" s="35">
        <f t="array" ref="H58">MAX(IF('BA History'!B:B=A58, 'BA History'!C:C))</f>
        <v>2</v>
      </c>
      <c r="I58" s="34">
        <f>COUNTIFS('BA History'!B:B,A58,'BA History'!D:D, 1)</f>
        <v>0</v>
      </c>
      <c r="J58" s="2">
        <f>COUNTIFS('BA History'!B:B,A58,'BA History'!D:D, 0)</f>
        <v>1</v>
      </c>
      <c r="K58" s="75">
        <f>LOOKUP(2, 1/('BA History'!$B:$B=A58), 'BA History'!$AJ:$AJ)</f>
        <v>0</v>
      </c>
      <c r="L58" s="34">
        <f>SUMIFS('BA History'!F:F,'BA History'!B:B,A58)</f>
        <v>0</v>
      </c>
      <c r="M58" s="2">
        <f>SUMIFS('BA History'!E:E,'BA History'!B:B,A58)-L58</f>
        <v>3</v>
      </c>
      <c r="N58" s="75">
        <f>LOOKUP(2, 1/('BA History'!$B:$B=A58), 'BA History'!$AH:$AH)</f>
        <v>0</v>
      </c>
      <c r="O58" s="34">
        <f>SUMIFS('BA History'!H:H,'BA History'!B:B,A58)</f>
        <v>4</v>
      </c>
      <c r="P58" s="48">
        <v>9</v>
      </c>
      <c r="Q58" s="89">
        <f>LOOKUP(2, 1/('BA History'!$B:$B=A58), 'BA History'!$AI:$AI)</f>
        <v>0.31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0</v>
      </c>
      <c r="AE58" s="2">
        <f>COUNTIFS('BA History'!$B:$B,$A$58,'BA History'!X:X, 1)</f>
        <v>0</v>
      </c>
      <c r="AF58" s="2">
        <f>COUNTIFS('BA History'!$B:$B,$A$58,'BA History'!Y:Y, 1)</f>
        <v>0</v>
      </c>
      <c r="AG58" s="2">
        <f>COUNTIFS('BA History'!$B:$B,$A$58,'BA History'!Z:Z, 1)</f>
        <v>0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</sheetData>
  <autoFilter ref="A1:AM58" xr:uid="{DA548192-1F03-46EA-8AB8-115EB9A7CE5D}">
    <sortState xmlns:xlrd2="http://schemas.microsoft.com/office/spreadsheetml/2017/richdata2" ref="A2:AM58">
      <sortCondition ref="A1:A58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37"/>
  <sheetViews>
    <sheetView workbookViewId="0">
      <pane xSplit="2" ySplit="1" topLeftCell="C913" activePane="bottomRight" state="frozen"/>
      <selection pane="topRight" activeCell="C1" sqref="C1"/>
      <selection pane="bottomLeft" activeCell="A2" sqref="A2"/>
      <selection pane="bottomRight" activeCell="C938" sqref="C93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8" sqref="F3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123</v>
      </c>
      <c r="G4" s="66">
        <f>AVERAGEIFS('BA History S2'!C:C,'BA History S2'!B:B,A4)</f>
        <v>12.3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7</v>
      </c>
      <c r="K4" s="75">
        <f>LOOKUP(2, 1/('BA History S2'!$B:$B=A4), 'BA History S2'!$AJ:$AJ)</f>
        <v>0.3</v>
      </c>
      <c r="L4" s="34">
        <f>SUMIFS('BA History S2'!F:F,'BA History S2'!B:B,A4)</f>
        <v>18</v>
      </c>
      <c r="M4" s="2">
        <f>SUMIFS('BA History S2'!E:E,'BA History S2'!B:B,A4)-L4</f>
        <v>25</v>
      </c>
      <c r="N4" s="75">
        <f>LOOKUP(2, 1/('BA History S2'!$B:$B=A4), 'BA History S2'!$AH:$AH)</f>
        <v>0.40499999999999997</v>
      </c>
      <c r="O4" s="34">
        <f>SUMIFS('BA History S2'!H:H,'BA History S2'!B:B,A4)</f>
        <v>88</v>
      </c>
      <c r="P4" s="2">
        <f>SUMIFS('BA History S2'!G:G,'BA History S2'!B:B,A4)-O4</f>
        <v>100</v>
      </c>
      <c r="Q4" s="89">
        <f>LOOKUP(2, 1/('BA History S2'!$B:$B=A4), 'BA History S2'!$AI:$AI)</f>
        <v>0.4549999999999999</v>
      </c>
      <c r="R4" s="2">
        <f>COUNTIFS('BA History S2'!$B:$B,$A$4,'BA History S2'!K:K, 1)</f>
        <v>2</v>
      </c>
      <c r="S4" s="2">
        <f>COUNTIFS('BA History S2'!$B:$B,$A$4,'BA History S2'!L:L, 1)</f>
        <v>4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3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31</v>
      </c>
      <c r="G5" s="66">
        <f>AVERAGEIFS('BA History S2'!C:C,'BA History S2'!B:B,A5)</f>
        <v>6.2</v>
      </c>
      <c r="H5" s="35">
        <f t="array" ref="H5">MAX(IF('BA History S2'!B:B=A5, 'BA History S2'!C:C))</f>
        <v>9</v>
      </c>
      <c r="I5" s="34">
        <f>COUNTIFS('BA History S2'!B:B,A5,'BA History S2'!D:D, 1)</f>
        <v>1</v>
      </c>
      <c r="J5" s="2">
        <f>COUNTIFS('BA History S2'!B:B,A5,'BA History S2'!D:D, 0)</f>
        <v>4</v>
      </c>
      <c r="K5" s="75">
        <f>LOOKUP(2, 1/('BA History S2'!$B:$B=A5), 'BA History S2'!$AJ:$AJ)</f>
        <v>0.2</v>
      </c>
      <c r="L5" s="34">
        <f>SUMIFS('BA History S2'!F:F,'BA History S2'!B:B,A5)</f>
        <v>6</v>
      </c>
      <c r="M5" s="2">
        <f>SUMIFS('BA History S2'!E:E,'BA History S2'!B:B,A5)-L5</f>
        <v>12</v>
      </c>
      <c r="N5" s="75">
        <f>LOOKUP(2, 1/('BA History S2'!$B:$B=A5), 'BA History S2'!$AH:$AH)</f>
        <v>0.35</v>
      </c>
      <c r="O5" s="34">
        <f>SUMIFS('BA History S2'!H:H,'BA History S2'!B:B,A5)</f>
        <v>28</v>
      </c>
      <c r="P5" s="2">
        <f>SUMIFS('BA History S2'!G:G,'BA History S2'!B:B,A5)-O5</f>
        <v>41</v>
      </c>
      <c r="Q5" s="89">
        <f>LOOKUP(2, 1/('BA History S2'!$B:$B=A5), 'BA History S2'!$AI:$AI)</f>
        <v>0.44400000000000006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1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231</v>
      </c>
      <c r="G6" s="66">
        <f>AVERAGEIFS('BA History S2'!C:C,'BA History S2'!B:B,A6)</f>
        <v>17.76923076923077</v>
      </c>
      <c r="H6" s="35">
        <f t="array" ref="H6">MAX(IF('BA History S2'!B:B=A6, 'BA History S2'!C:C))</f>
        <v>40</v>
      </c>
      <c r="I6" s="34">
        <f>COUNTIFS('BA History S2'!B:B,A6,'BA History S2'!D:D, 1)</f>
        <v>6</v>
      </c>
      <c r="J6" s="2">
        <f>COUNTIFS('BA History S2'!B:B,A6,'BA History S2'!D:D, 0)</f>
        <v>7</v>
      </c>
      <c r="K6" s="75">
        <f>LOOKUP(2, 1/('BA History S2'!$B:$B=A6), 'BA History S2'!$AJ:$AJ)</f>
        <v>0.46153846153846156</v>
      </c>
      <c r="L6" s="34">
        <f>SUMIFS('BA History S2'!F:F,'BA History S2'!B:B,A6)</f>
        <v>24</v>
      </c>
      <c r="M6" s="2">
        <f>SUMIFS('BA History S2'!E:E,'BA History S2'!B:B,A6)-L6</f>
        <v>28</v>
      </c>
      <c r="N6" s="75">
        <f>LOOKUP(2, 1/('BA History S2'!$B:$B=A6), 'BA History S2'!$AH:$AH)</f>
        <v>0.44999999999999996</v>
      </c>
      <c r="O6" s="34">
        <f>SUMIFS('BA History S2'!H:H,'BA History S2'!B:B,A6)</f>
        <v>98</v>
      </c>
      <c r="P6" s="2">
        <f>SUMIFS('BA History S2'!G:G,'BA History S2'!B:B,A6)-O6</f>
        <v>116</v>
      </c>
      <c r="Q6" s="89">
        <f>LOOKUP(2, 1/('BA History S2'!$B:$B=A6), 'BA History S2'!$AI:$AI)</f>
        <v>0.44230769230769229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3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6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152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80</v>
      </c>
      <c r="G9" s="66">
        <f>AVERAGEIFS('BA History S2'!C:C,'BA History S2'!B:B,A9)</f>
        <v>16</v>
      </c>
      <c r="H9" s="35">
        <f t="array" ref="H9">MAX(IF('BA History S2'!B:B=A9, 'BA History S2'!C:C))</f>
        <v>21</v>
      </c>
      <c r="I9" s="34">
        <f>COUNTIFS('BA History S2'!B:B,A9,'BA History S2'!D:D, 1)</f>
        <v>2</v>
      </c>
      <c r="J9" s="2">
        <f>COUNTIFS('BA History S2'!B:B,A9,'BA History S2'!D:D, 0)</f>
        <v>3</v>
      </c>
      <c r="K9" s="75">
        <f>LOOKUP(2, 1/('BA History S2'!$B:$B=A9), 'BA History S2'!$AJ:$AJ)</f>
        <v>0.4</v>
      </c>
      <c r="L9" s="34">
        <f>SUMIFS('BA History S2'!F:F,'BA History S2'!B:B,A9)</f>
        <v>8</v>
      </c>
      <c r="M9" s="2">
        <f>SUMIFS('BA History S2'!E:E,'BA History S2'!B:B,A9)-L9</f>
        <v>13</v>
      </c>
      <c r="N9" s="75">
        <f>LOOKUP(2, 1/('BA History S2'!$B:$B=A9), 'BA History S2'!$AH:$AH)</f>
        <v>0.33999999999999997</v>
      </c>
      <c r="O9" s="34">
        <f>SUMIFS('BA History S2'!H:H,'BA History S2'!B:B,A9)</f>
        <v>38</v>
      </c>
      <c r="P9" s="2">
        <f>SUMIFS('BA History S2'!G:G,'BA History S2'!B:B,A9)-O9</f>
        <v>49</v>
      </c>
      <c r="Q9" s="89">
        <f>LOOKUP(2, 1/('BA History S2'!$B:$B=A9), 'BA History S2'!$AI:$AI)</f>
        <v>0.40199999999999997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3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2</v>
      </c>
      <c r="AJ9" s="2">
        <f>COUNTIFS('BA History S2'!$B:$B,$A$9,'BA History S2'!AC:AC, 1)</f>
        <v>0</v>
      </c>
      <c r="AK9" s="2">
        <f>COUNTIFS('BA History S2'!$B:$B,$A$9,'BA History S2'!AD:AD, 1)</f>
        <v>1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242</v>
      </c>
      <c r="G11" s="66">
        <f>AVERAGEIFS('BA History S2'!C:C,'BA History S2'!B:B,A11)</f>
        <v>16.133333333333333</v>
      </c>
      <c r="H11" s="35">
        <f t="array" ref="H11">MAX(IF('BA History S2'!B:B=A11, 'BA History S2'!C:C))</f>
        <v>28</v>
      </c>
      <c r="I11" s="34">
        <f>COUNTIFS('BA History S2'!B:B,A11,'BA History S2'!D:D, 1)</f>
        <v>9</v>
      </c>
      <c r="J11" s="2">
        <f>COUNTIFS('BA History S2'!B:B,A11,'BA History S2'!D:D, 0)</f>
        <v>6</v>
      </c>
      <c r="K11" s="75">
        <f>LOOKUP(2, 1/('BA History S2'!$B:$B=A11), 'BA History S2'!$AJ:$AJ)</f>
        <v>0.6</v>
      </c>
      <c r="L11" s="34">
        <f>SUMIFS('BA History S2'!F:F,'BA History S2'!B:B,A11)</f>
        <v>33</v>
      </c>
      <c r="M11" s="2">
        <f>SUMIFS('BA History S2'!E:E,'BA History S2'!B:B,A11)-L11</f>
        <v>28</v>
      </c>
      <c r="N11" s="75">
        <f>LOOKUP(2, 1/('BA History S2'!$B:$B=A11), 'BA History S2'!$AH:$AH)</f>
        <v>0.54666666666666663</v>
      </c>
      <c r="O11" s="34">
        <f>SUMIFS('BA History S2'!H:H,'BA History S2'!B:B,A11)</f>
        <v>133</v>
      </c>
      <c r="P11" s="2">
        <f>SUMIFS('BA History S2'!G:G,'BA History S2'!B:B,A11)-O11</f>
        <v>120</v>
      </c>
      <c r="Q11" s="89">
        <f>LOOKUP(2, 1/('BA History S2'!$B:$B=A11), 'BA History S2'!$AI:$AI)</f>
        <v>0.54399999999999993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5</v>
      </c>
      <c r="U11" s="2">
        <f>COUNTIFS('BA History S2'!$B:$B,$A$11,'BA History S2'!N:N, 1)</f>
        <v>5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1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2</v>
      </c>
      <c r="AG11" s="2">
        <f>COUNTIFS('BA History S2'!$B:$B,$A$11,'BA History S2'!Z:Z, 1)</f>
        <v>3</v>
      </c>
      <c r="AH11" s="2">
        <f>COUNTIFS('BA History S2'!$B:$B,$A$11,'BA History S2'!AA:AA, 1)</f>
        <v>0</v>
      </c>
      <c r="AI11" s="2">
        <f>COUNTIFS('BA History S2'!$B:$B,$A$11,'BA History S2'!AB:AB, 1)</f>
        <v>5</v>
      </c>
      <c r="AJ11" s="2">
        <f>COUNTIFS('BA History S2'!$B:$B,$A$11,'BA History S2'!AC:AC, 1)</f>
        <v>1</v>
      </c>
      <c r="AK11" s="2">
        <f>COUNTIFS('BA History S2'!$B:$B,$A$11,'BA History S2'!AD:AD, 1)</f>
        <v>2</v>
      </c>
      <c r="AL11" s="2">
        <f>COUNTIFS('BA History S2'!$B:$B,$A$11,'BA History S2'!AE:AE, 1)</f>
        <v>0</v>
      </c>
      <c r="AM11" s="2">
        <f>COUNTIFS('BA History S2'!$B:$B,$A$11,'BA History S2'!AF:AF, 1)</f>
        <v>4</v>
      </c>
    </row>
    <row r="12" spans="1:39" x14ac:dyDescent="0.25">
      <c r="A12" s="2" t="s">
        <v>168</v>
      </c>
      <c r="B12" s="2" t="s">
        <v>79</v>
      </c>
      <c r="C12" s="2"/>
      <c r="D12" s="2"/>
      <c r="E12" s="2"/>
      <c r="F12" s="34">
        <f>SUMIFS('BA History S2'!C:C,'BA History S2'!B:B,A12)</f>
        <v>20</v>
      </c>
      <c r="G12" s="66">
        <f>AVERAGEIFS('BA History S2'!C:C,'BA History S2'!B:B,A12)</f>
        <v>10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1</v>
      </c>
      <c r="K12" s="75">
        <f>LOOKUP(2, 1/('BA History S2'!$B:$B=A12), 'BA History S2'!$AJ:$AJ)</f>
        <v>0.5</v>
      </c>
      <c r="L12" s="34">
        <f>SUMIFS('BA History S2'!F:F,'BA History S2'!B:B,A12)</f>
        <v>4</v>
      </c>
      <c r="M12" s="2">
        <f>SUMIFS('BA History S2'!E:E,'BA History S2'!B:B,A12)-L12</f>
        <v>4</v>
      </c>
      <c r="N12" s="75">
        <f>LOOKUP(2, 1/('BA History S2'!$B:$B=A12), 'BA History S2'!$AH:$AH)</f>
        <v>0.5</v>
      </c>
      <c r="O12" s="34">
        <f>SUMIFS('BA History S2'!H:H,'BA History S2'!B:B,A12)</f>
        <v>17</v>
      </c>
      <c r="P12" s="2">
        <f>SUMIFS('BA History S2'!G:G,'BA History S2'!B:B,A12)-O12</f>
        <v>17</v>
      </c>
      <c r="Q12" s="89">
        <f>LOOKUP(2, 1/('BA History S2'!$B:$B=A12), 'BA History S2'!$AI:$AI)</f>
        <v>0.5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2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158</v>
      </c>
      <c r="F13" s="34">
        <f>SUMIFS('BA History S2'!C:C,'BA History S2'!B:B,A13)</f>
        <v>310</v>
      </c>
      <c r="G13" s="66">
        <f>AVERAGEIFS('BA History S2'!C:C,'BA History S2'!B:B,A13)</f>
        <v>25.833333333333332</v>
      </c>
      <c r="H13" s="35">
        <f t="array" ref="H13">MAX(IF('BA History S2'!B:B=A13, 'BA History S2'!C:C))</f>
        <v>49</v>
      </c>
      <c r="I13" s="34">
        <f>COUNTIFS('BA History S2'!B:B,A13,'BA History S2'!D:D, 1)</f>
        <v>7</v>
      </c>
      <c r="J13" s="2">
        <f>COUNTIFS('BA History S2'!B:B,A13,'BA History S2'!D:D, 0)</f>
        <v>5</v>
      </c>
      <c r="K13" s="75">
        <f>LOOKUP(2, 1/('BA History S2'!$B:$B=A13), 'BA History S2'!$AJ:$AJ)</f>
        <v>0.58333333333333337</v>
      </c>
      <c r="L13" s="34">
        <f>SUMIFS('BA History S2'!F:F,'BA History S2'!B:B,A13)</f>
        <v>27</v>
      </c>
      <c r="M13" s="2">
        <f>SUMIFS('BA History S2'!E:E,'BA History S2'!B:B,A13)-L13</f>
        <v>21</v>
      </c>
      <c r="N13" s="75">
        <f>LOOKUP(2, 1/('BA History S2'!$B:$B=A13), 'BA History S2'!$AH:$AH)</f>
        <v>0.57500000000000007</v>
      </c>
      <c r="O13" s="34">
        <f>SUMIFS('BA History S2'!H:H,'BA History S2'!B:B,A13)</f>
        <v>105</v>
      </c>
      <c r="P13" s="2">
        <f>SUMIFS('BA History S2'!G:G,'BA History S2'!B:B,A13)-O13</f>
        <v>93</v>
      </c>
      <c r="Q13" s="89">
        <f>LOOKUP(2, 1/('BA History S2'!$B:$B=A13), 'BA History S2'!$AI:$AI)</f>
        <v>0.55666666666666653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1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2</v>
      </c>
      <c r="AG13" s="2">
        <f>COUNTIFS('BA History S2'!$B:$B,$A$13,'BA History S2'!Z:Z, 1)</f>
        <v>3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1</v>
      </c>
      <c r="AK13" s="2">
        <f>COUNTIFS('BA History S2'!$B:$B,$A$13,'BA History S2'!AD:AD, 1)</f>
        <v>3</v>
      </c>
      <c r="AL13" s="2">
        <f>COUNTIFS('BA History S2'!$B:$B,$A$13,'BA History S2'!AE:AE, 1)</f>
        <v>0</v>
      </c>
      <c r="AM13" s="2">
        <f>COUNTIFS('BA History S2'!$B:$B,$A$13,'BA History S2'!AF:AF, 1)</f>
        <v>3</v>
      </c>
    </row>
    <row r="14" spans="1:39" ht="15.75" x14ac:dyDescent="0.25">
      <c r="A14" s="2" t="s">
        <v>150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204</v>
      </c>
      <c r="G14" s="66">
        <f>AVERAGEIFS('BA History S2'!C:C,'BA History S2'!B:B,A14)</f>
        <v>18.545454545454547</v>
      </c>
      <c r="H14" s="35">
        <f t="array" ref="H14">MAX(IF('BA History S2'!B:B=A14, 'BA History S2'!C:C))</f>
        <v>28</v>
      </c>
      <c r="I14" s="34">
        <f>COUNTIFS('BA History S2'!B:B,A14,'BA History S2'!D:D, 1)</f>
        <v>9</v>
      </c>
      <c r="J14" s="2">
        <f>COUNTIFS('BA History S2'!B:B,A14,'BA History S2'!D:D, 0)</f>
        <v>2</v>
      </c>
      <c r="K14" s="75">
        <f>LOOKUP(2, 1/('BA History S2'!$B:$B=A14), 'BA History S2'!$AJ:$AJ)</f>
        <v>0.81818181818181823</v>
      </c>
      <c r="L14" s="34">
        <f>SUMIFS('BA History S2'!F:F,'BA History S2'!B:B,A14)</f>
        <v>30</v>
      </c>
      <c r="M14" s="2">
        <f>SUMIFS('BA History S2'!E:E,'BA History S2'!B:B,A14)-L14</f>
        <v>12</v>
      </c>
      <c r="N14" s="75">
        <f>LOOKUP(2, 1/('BA History S2'!$B:$B=A14), 'BA History S2'!$AH:$AH)</f>
        <v>0.74090909090909096</v>
      </c>
      <c r="O14" s="34">
        <f>SUMIFS('BA History S2'!H:H,'BA History S2'!B:B,A14)</f>
        <v>104</v>
      </c>
      <c r="P14" s="2">
        <f>SUMIFS('BA History S2'!G:G,'BA History S2'!B:B,A14)-O14</f>
        <v>65</v>
      </c>
      <c r="Q14" s="89">
        <f>LOOKUP(2, 1/('BA History S2'!$B:$B=A14), 'BA History S2'!$AI:$AI)</f>
        <v>0.64363636363636367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3</v>
      </c>
      <c r="U14" s="2">
        <f>COUNTIFS('BA History S2'!$B:$B,$A$14,'BA History S2'!N:N, 1)</f>
        <v>5</v>
      </c>
      <c r="V14" s="2">
        <f>COUNTIFS('BA History S2'!$B:$B,$A$14,'BA History S2'!O:O, 1)</f>
        <v>0</v>
      </c>
      <c r="W14" s="2">
        <f>COUNTIFS('BA History S2'!$B:$B,$A$14,'BA History S2'!P:P, 1)</f>
        <v>1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6</v>
      </c>
      <c r="AH14" s="2">
        <f>COUNTIFS('BA History S2'!$B:$B,$A$14,'BA History S2'!AA:AA, 1)</f>
        <v>0</v>
      </c>
      <c r="AI14" s="2">
        <f>COUNTIFS('BA History S2'!$B:$B,$A$14,'BA History S2'!AB:AB, 1)</f>
        <v>4</v>
      </c>
      <c r="AJ14" s="2">
        <f>COUNTIFS('BA History S2'!$B:$B,$A$14,'BA History S2'!AC:AC, 1)</f>
        <v>1</v>
      </c>
      <c r="AK14" s="2">
        <f>COUNTIFS('BA History S2'!$B:$B,$A$14,'BA History S2'!AD:AD, 1)</f>
        <v>2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x14ac:dyDescent="0.25">
      <c r="A15" s="2" t="s">
        <v>46</v>
      </c>
      <c r="B15" s="1" t="s">
        <v>158</v>
      </c>
      <c r="F15" s="34">
        <f>SUMIFS('BA History S2'!C:C,'BA History S2'!B:B,A15)</f>
        <v>96</v>
      </c>
      <c r="G15" s="66">
        <f>AVERAGEIFS('BA History S2'!C:C,'BA History S2'!B:B,A15)</f>
        <v>16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5</v>
      </c>
      <c r="K15" s="75">
        <f>LOOKUP(2, 1/('BA History S2'!$B:$B=A15), 'BA History S2'!$AJ:$AJ)</f>
        <v>0.16666666666666666</v>
      </c>
      <c r="L15" s="34">
        <f>SUMIFS('BA History S2'!F:F,'BA History S2'!B:B,A15)</f>
        <v>8</v>
      </c>
      <c r="M15" s="2">
        <f>SUMIFS('BA History S2'!E:E,'BA History S2'!B:B,A15)-L15</f>
        <v>17</v>
      </c>
      <c r="N15" s="75">
        <f>LOOKUP(2, 1/('BA History S2'!$B:$B=A15), 'BA History S2'!$AH:$AH)</f>
        <v>0.27499999999999997</v>
      </c>
      <c r="O15" s="34">
        <f>SUMIFS('BA History S2'!H:H,'BA History S2'!B:B,A15)</f>
        <v>41</v>
      </c>
      <c r="P15" s="2">
        <f>SUMIFS('BA History S2'!G:G,'BA History S2'!B:B,A15)-O15</f>
        <v>62</v>
      </c>
      <c r="Q15" s="89">
        <f>LOOKUP(2, 1/('BA History S2'!$B:$B=A15), 'BA History S2'!$AI:$AI)</f>
        <v>0.35499999999999998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127</v>
      </c>
      <c r="G17" s="66">
        <f>AVERAGEIFS('BA History S2'!C:C,'BA History S2'!B:B,A17)</f>
        <v>12.7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8</v>
      </c>
      <c r="K17" s="75">
        <f>LOOKUP(2, 1/('BA History S2'!$B:$B=A17), 'BA History S2'!$AJ:$AJ)</f>
        <v>0.2</v>
      </c>
      <c r="L17" s="34">
        <f>SUMIFS('BA History S2'!F:F,'BA History S2'!B:B,A17)</f>
        <v>16</v>
      </c>
      <c r="M17" s="2">
        <f>SUMIFS('BA History S2'!E:E,'BA History S2'!B:B,A17)-L17</f>
        <v>24</v>
      </c>
      <c r="N17" s="75">
        <f>LOOKUP(2, 1/('BA History S2'!$B:$B=A17), 'BA History S2'!$AH:$AH)</f>
        <v>0.41999999999999993</v>
      </c>
      <c r="O17" s="34">
        <f>SUMIFS('BA History S2'!H:H,'BA History S2'!B:B,A17)</f>
        <v>75</v>
      </c>
      <c r="P17" s="2">
        <f>SUMIFS('BA History S2'!G:G,'BA History S2'!B:B,A17)-O17</f>
        <v>91</v>
      </c>
      <c r="Q17" s="89">
        <f>LOOKUP(2, 1/('BA History S2'!$B:$B=A17), 'BA History S2'!$AI:$AI)</f>
        <v>0.45800000000000002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2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148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161</v>
      </c>
      <c r="B19" s="2" t="s">
        <v>79</v>
      </c>
      <c r="C19" s="2"/>
      <c r="D19" s="2"/>
      <c r="E19" s="2"/>
      <c r="F19" s="34">
        <f>SUMIFS('BA History S2'!C:C,'BA History S2'!B:B,A19)</f>
        <v>31</v>
      </c>
      <c r="G19" s="66">
        <f>AVERAGEIFS('BA History S2'!C:C,'BA History S2'!B:B,A19)</f>
        <v>5.166666666666667</v>
      </c>
      <c r="H19" s="35">
        <f t="array" ref="H19">MAX(IF('BA History S2'!B:B=A19, 'BA History S2'!C:C))</f>
        <v>10</v>
      </c>
      <c r="I19" s="34">
        <f>COUNTIFS('BA History S2'!B:B,A19,'BA History S2'!D:D, 1)</f>
        <v>4</v>
      </c>
      <c r="J19" s="2">
        <f>COUNTIFS('BA History S2'!B:B,A19,'BA History S2'!D:D, 0)</f>
        <v>2</v>
      </c>
      <c r="K19" s="75">
        <f>LOOKUP(2, 1/('BA History S2'!$B:$B=A19), 'BA History S2'!$AJ:$AJ)</f>
        <v>0.66666666666666663</v>
      </c>
      <c r="L19" s="34">
        <f>SUMIFS('BA History S2'!F:F,'BA History S2'!B:B,A19)</f>
        <v>15</v>
      </c>
      <c r="M19" s="2">
        <f>SUMIFS('BA History S2'!E:E,'BA History S2'!B:B,A19)-L19</f>
        <v>9</v>
      </c>
      <c r="N19" s="75">
        <f>LOOKUP(2, 1/('BA History S2'!$B:$B=A19), 'BA History S2'!$AH:$AH)</f>
        <v>0.65</v>
      </c>
      <c r="O19" s="34">
        <f>SUMIFS('BA History S2'!H:H,'BA History S2'!B:B,A19)</f>
        <v>54</v>
      </c>
      <c r="P19" s="2">
        <f>SUMIFS('BA History S2'!G:G,'BA History S2'!B:B,A19)-O19</f>
        <v>47</v>
      </c>
      <c r="Q19" s="89">
        <f>LOOKUP(2, 1/('BA History S2'!$B:$B=A19), 'BA History S2'!$AI:$AI)</f>
        <v>0.54999999999999993</v>
      </c>
      <c r="R19" s="2">
        <f>COUNTIFS('BA History S2'!$B:$B,$A$19,'BA History S2'!K:K, 1)</f>
        <v>1</v>
      </c>
      <c r="S19" s="2">
        <f>COUNTIFS('BA History S2'!$B:$B,$A$19,'BA History S2'!L:L, 1)</f>
        <v>1</v>
      </c>
      <c r="T19" s="2">
        <f>COUNTIFS('BA History S2'!$B:$B,$A$19,'BA History S2'!M:M, 1)</f>
        <v>2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3</v>
      </c>
      <c r="AH19" s="2">
        <f>COUNTIFS('BA History S2'!$B:$B,$A$19,'BA History S2'!AA:AA, 1)</f>
        <v>0</v>
      </c>
      <c r="AI19" s="2">
        <f>COUNTIFS('BA History S2'!$B:$B,$A$19,'BA History S2'!AB:AB, 1)</f>
        <v>2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158</v>
      </c>
      <c r="F21" s="34">
        <f>SUMIFS('BA History S2'!C:C,'BA History S2'!B:B,A21)</f>
        <v>121</v>
      </c>
      <c r="G21" s="66">
        <f>AVERAGEIFS('BA History S2'!C:C,'BA History S2'!B:B,A21)</f>
        <v>17.285714285714285</v>
      </c>
      <c r="H21" s="35">
        <f t="array" ref="H21">MAX(IF('BA History S2'!B:B=A21, 'BA History S2'!C:C))</f>
        <v>33</v>
      </c>
      <c r="I21" s="34">
        <f>COUNTIFS('BA History S2'!B:B,A21,'BA History S2'!D:D, 1)</f>
        <v>3</v>
      </c>
      <c r="J21" s="2">
        <f>COUNTIFS('BA History S2'!B:B,A21,'BA History S2'!D:D, 0)</f>
        <v>4</v>
      </c>
      <c r="K21" s="75">
        <f>LOOKUP(2, 1/('BA History S2'!$B:$B=A21), 'BA History S2'!$AJ:$AJ)</f>
        <v>0.42857142857142855</v>
      </c>
      <c r="L21" s="34">
        <f>SUMIFS('BA History S2'!F:F,'BA History S2'!B:B,A21)</f>
        <v>13</v>
      </c>
      <c r="M21" s="2">
        <f>SUMIFS('BA History S2'!E:E,'BA History S2'!B:B,A21)-L21</f>
        <v>14</v>
      </c>
      <c r="N21" s="75">
        <f>LOOKUP(2, 1/('BA History S2'!$B:$B=A21), 'BA History S2'!$AH:$AH)</f>
        <v>0.48571428571428571</v>
      </c>
      <c r="O21" s="34">
        <f>SUMIFS('BA History S2'!H:H,'BA History S2'!B:B,A21)</f>
        <v>57</v>
      </c>
      <c r="P21" s="2">
        <f>SUMIFS('BA History S2'!G:G,'BA History S2'!B:B,A21)-O21</f>
        <v>54</v>
      </c>
      <c r="Q21" s="89">
        <f>LOOKUP(2, 1/('BA History S2'!$B:$B=A21), 'BA History S2'!$AI:$AI)</f>
        <v>0.50285714285714289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3</v>
      </c>
      <c r="AJ21" s="2">
        <f>COUNTIFS('BA History S2'!$B:$B,$A$21,'BA History S2'!AC:AC, 1)</f>
        <v>1</v>
      </c>
      <c r="AK21" s="2">
        <f>COUNTIFS('BA History S2'!$B:$B,$A$21,'BA History S2'!AD:AD, 1)</f>
        <v>2</v>
      </c>
      <c r="AL21" s="2">
        <f>COUNTIFS('BA History S2'!$B:$B,$A$21,'BA History S2'!AE:AE, 1)</f>
        <v>0</v>
      </c>
      <c r="AM21" s="2">
        <f>COUNTIFS('BA History S2'!$B:$B,$A$21,'BA History S2'!AF:AF, 1)</f>
        <v>2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164</v>
      </c>
      <c r="G22" s="66">
        <f>AVERAGEIFS('BA History S2'!C:C,'BA History S2'!B:B,A22)</f>
        <v>20.5</v>
      </c>
      <c r="H22" s="35">
        <f t="array" ref="H22">MAX(IF('BA History S2'!B:B=A22, 'BA History S2'!C:C))</f>
        <v>42</v>
      </c>
      <c r="I22" s="34">
        <f>COUNTIFS('BA History S2'!B:B,A22,'BA History S2'!D:D, 1)</f>
        <v>5</v>
      </c>
      <c r="J22" s="2">
        <f>COUNTIFS('BA History S2'!B:B,A22,'BA History S2'!D:D, 0)</f>
        <v>3</v>
      </c>
      <c r="K22" s="75">
        <f>LOOKUP(2, 1/('BA History S2'!$B:$B=A22), 'BA History S2'!$AJ:$AJ)</f>
        <v>0.625</v>
      </c>
      <c r="L22" s="34">
        <f>SUMIFS('BA History S2'!F:F,'BA History S2'!B:B,A22)</f>
        <v>17</v>
      </c>
      <c r="M22" s="2">
        <f>SUMIFS('BA History S2'!E:E,'BA History S2'!B:B,A22)-L22</f>
        <v>12</v>
      </c>
      <c r="N22" s="75">
        <f>LOOKUP(2, 1/('BA History S2'!$B:$B=A22), 'BA History S2'!$AH:$AH)</f>
        <v>0.60624999999999996</v>
      </c>
      <c r="O22" s="34">
        <f>SUMIFS('BA History S2'!H:H,'BA History S2'!B:B,A22)</f>
        <v>61</v>
      </c>
      <c r="P22" s="2">
        <f>SUMIFS('BA History S2'!G:G,'BA History S2'!B:B,A22)-O22</f>
        <v>53</v>
      </c>
      <c r="Q22" s="89">
        <f>LOOKUP(2, 1/('BA History S2'!$B:$B=A22), 'BA History S2'!$AI:$AI)</f>
        <v>0.53499999999999992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1</v>
      </c>
      <c r="AK22" s="2">
        <f>COUNTIFS('BA History S2'!$B:$B,$A$22,'BA History S2'!AD:AD, 1)</f>
        <v>1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158</v>
      </c>
      <c r="F23" s="34">
        <f>SUMIFS('BA History S2'!C:C,'BA History S2'!B:B,A23)</f>
        <v>196</v>
      </c>
      <c r="G23" s="66">
        <f>AVERAGEIFS('BA History S2'!C:C,'BA History S2'!B:B,A23)</f>
        <v>17.818181818181817</v>
      </c>
      <c r="H23" s="35">
        <f t="array" ref="H23">MAX(IF('BA History S2'!B:B=A23, 'BA History S2'!C:C))</f>
        <v>37</v>
      </c>
      <c r="I23" s="34">
        <f>COUNTIFS('BA History S2'!B:B,A23,'BA History S2'!D:D, 1)</f>
        <v>5</v>
      </c>
      <c r="J23" s="2">
        <f>COUNTIFS('BA History S2'!B:B,A23,'BA History S2'!D:D, 0)</f>
        <v>6</v>
      </c>
      <c r="K23" s="75">
        <f>LOOKUP(2, 1/('BA History S2'!$B:$B=A23), 'BA History S2'!$AJ:$AJ)</f>
        <v>0.45454545454545453</v>
      </c>
      <c r="L23" s="34">
        <f>SUMIFS('BA History S2'!F:F,'BA History S2'!B:B,A23)</f>
        <v>22</v>
      </c>
      <c r="M23" s="2">
        <f>SUMIFS('BA History S2'!E:E,'BA History S2'!B:B,A23)-L23</f>
        <v>24</v>
      </c>
      <c r="N23" s="75">
        <f>LOOKUP(2, 1/('BA History S2'!$B:$B=A23), 'BA History S2'!$AH:$AH)</f>
        <v>0.47727272727272735</v>
      </c>
      <c r="O23" s="34">
        <f>SUMIFS('BA History S2'!H:H,'BA History S2'!B:B,A23)</f>
        <v>92</v>
      </c>
      <c r="P23" s="2">
        <f>SUMIFS('BA History S2'!G:G,'BA History S2'!B:B,A23)-O23</f>
        <v>96</v>
      </c>
      <c r="Q23" s="89">
        <f>LOOKUP(2, 1/('BA History S2'!$B:$B=A23), 'BA History S2'!$AI:$AI)</f>
        <v>0.49363636363636371</v>
      </c>
      <c r="R23" s="2">
        <f>COUNTIFS('BA History S2'!$B:$B,$A$23,'BA History S2'!K:K, 1)</f>
        <v>0</v>
      </c>
      <c r="S23" s="2">
        <f>COUNTIFS('BA History S2'!$B:$B,$A$23,'BA History S2'!L:L, 1)</f>
        <v>3</v>
      </c>
      <c r="T23" s="2">
        <f>COUNTIFS('BA History S2'!$B:$B,$A$23,'BA History S2'!M:M, 1)</f>
        <v>3</v>
      </c>
      <c r="U23" s="2">
        <f>COUNTIFS('BA History S2'!$B:$B,$A$23,'BA History S2'!N:N, 1)</f>
        <v>5</v>
      </c>
      <c r="V23" s="2">
        <f>COUNTIFS('BA History S2'!$B:$B,$A$23,'BA History S2'!O:O, 1)</f>
        <v>1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2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5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141</v>
      </c>
      <c r="B24" s="2" t="s">
        <v>79</v>
      </c>
      <c r="C24" s="2"/>
      <c r="D24" s="2"/>
      <c r="E24" s="2"/>
      <c r="F24" s="34">
        <f>SUMIFS('BA History S2'!C:C,'BA History S2'!B:B,A24)</f>
        <v>46</v>
      </c>
      <c r="G24" s="66">
        <f>AVERAGEIFS('BA History S2'!C:C,'BA History S2'!B:B,A24)</f>
        <v>11.5</v>
      </c>
      <c r="H24" s="35">
        <f t="array" ref="H24">MAX(IF('BA History S2'!B:B=A24, 'BA History S2'!C:C))</f>
        <v>19</v>
      </c>
      <c r="I24" s="34">
        <f>COUNTIFS('BA History S2'!B:B,A24,'BA History S2'!D:D, 1)</f>
        <v>3</v>
      </c>
      <c r="J24" s="2">
        <f>COUNTIFS('BA History S2'!B:B,A24,'BA History S2'!D:D, 0)</f>
        <v>1</v>
      </c>
      <c r="K24" s="75">
        <f>LOOKUP(2, 1/('BA History S2'!$B:$B=A24), 'BA History S2'!$AJ:$AJ)</f>
        <v>0.75</v>
      </c>
      <c r="L24" s="34">
        <f>SUMIFS('BA History S2'!F:F,'BA History S2'!B:B,A24)</f>
        <v>9</v>
      </c>
      <c r="M24" s="2">
        <f>SUMIFS('BA History S2'!E:E,'BA History S2'!B:B,A24)-L24</f>
        <v>8</v>
      </c>
      <c r="N24" s="75">
        <f>LOOKUP(2, 1/('BA History S2'!$B:$B=A24), 'BA History S2'!$AH:$AH)</f>
        <v>0.48750000000000004</v>
      </c>
      <c r="O24" s="34">
        <f>SUMIFS('BA History S2'!H:H,'BA History S2'!B:B,A24)</f>
        <v>38</v>
      </c>
      <c r="P24" s="2">
        <f>SUMIFS('BA History S2'!G:G,'BA History S2'!B:B,A24)-O24</f>
        <v>34</v>
      </c>
      <c r="Q24" s="89">
        <f>LOOKUP(2, 1/('BA History S2'!$B:$B=A24), 'BA History S2'!$AI:$AI)</f>
        <v>0.51500000000000001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S2'!$B:$B,$A$24,'BA History S2'!AA:AA, 1)</f>
        <v>0</v>
      </c>
      <c r="AI24" s="2">
        <f>COUNTIFS('BA History S2'!$B:$B,$A$24,'BA History S2'!AB:AB, 1)</f>
        <v>1</v>
      </c>
      <c r="AJ24" s="2">
        <f>COUNTIFS('BA History S2'!$B:$B,$A$24,'BA History S2'!AC:AC, 1)</f>
        <v>1</v>
      </c>
      <c r="AK24" s="2">
        <f>COUNTIFS('BA History S2'!$B:$B,$A$24,'BA History S2'!AD:AD, 1)</f>
        <v>2</v>
      </c>
      <c r="AL24" s="2">
        <f>COUNTIFS('BA History S2'!$B:$B,$A$24,'BA History S2'!AE:AE, 1)</f>
        <v>0</v>
      </c>
      <c r="AM24" s="2">
        <f>COUNTIFS('BA History S2'!$B:$B,$A$24,'BA History S2'!AF:AF, 1)</f>
        <v>2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282</v>
      </c>
      <c r="G25" s="66">
        <f>AVERAGEIFS('BA History S2'!C:C,'BA History S2'!B:B,A25)</f>
        <v>20.142857142857142</v>
      </c>
      <c r="H25" s="35">
        <f t="array" ref="H25">MAX(IF('BA History S2'!B:B=A25, 'BA History S2'!C:C))</f>
        <v>37</v>
      </c>
      <c r="I25" s="34">
        <f>COUNTIFS('BA History S2'!B:B,A25,'BA History S2'!D:D, 1)</f>
        <v>6</v>
      </c>
      <c r="J25" s="2">
        <f>COUNTIFS('BA History S2'!B:B,A25,'BA History S2'!D:D, 0)</f>
        <v>8</v>
      </c>
      <c r="K25" s="75">
        <f>LOOKUP(2, 1/('BA History S2'!$B:$B=A25), 'BA History S2'!$AJ:$AJ)</f>
        <v>0.42857142857142855</v>
      </c>
      <c r="L25" s="34">
        <f>SUMIFS('BA History S2'!F:F,'BA History S2'!B:B,A25)</f>
        <v>28</v>
      </c>
      <c r="M25" s="2">
        <f>SUMIFS('BA History S2'!E:E,'BA History S2'!B:B,A25)-L25</f>
        <v>31</v>
      </c>
      <c r="N25" s="75">
        <f>LOOKUP(2, 1/('BA History S2'!$B:$B=A25), 'BA History S2'!$AH:$AH)</f>
        <v>0.47500000000000003</v>
      </c>
      <c r="O25" s="34">
        <f>SUMIFS('BA History S2'!H:H,'BA History S2'!B:B,A25)</f>
        <v>123</v>
      </c>
      <c r="P25" s="2">
        <f>SUMIFS('BA History S2'!G:G,'BA History S2'!B:B,A25)-O25</f>
        <v>126</v>
      </c>
      <c r="Q25" s="89">
        <f>LOOKUP(2, 1/('BA History S2'!$B:$B=A25), 'BA History S2'!$AI:$AI)</f>
        <v>0.48785714285714293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3</v>
      </c>
      <c r="U25" s="2">
        <f>COUNTIFS('BA History S2'!$B:$B,$A$25,'BA History S2'!N:N, 1)</f>
        <v>3</v>
      </c>
      <c r="V25" s="2">
        <f>COUNTIFS('BA History S2'!$B:$B,$A$25,'BA History S2'!O:O, 1)</f>
        <v>1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1</v>
      </c>
      <c r="AG25" s="2">
        <f>COUNTIFS('BA History S2'!$B:$B,$A$25,'BA History S2'!Z:Z, 1)</f>
        <v>4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3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166</v>
      </c>
      <c r="B26" s="2" t="s">
        <v>79</v>
      </c>
      <c r="C26" s="2"/>
      <c r="D26" s="2"/>
      <c r="E26" s="2"/>
      <c r="F26" s="34">
        <f>SUMIFS('BA History S2'!C:C,'BA History S2'!B:B,A26)</f>
        <v>19</v>
      </c>
      <c r="G26" s="66">
        <f>AVERAGEIFS('BA History S2'!C:C,'BA History S2'!B:B,A26)</f>
        <v>6.333333333333333</v>
      </c>
      <c r="H26" s="35">
        <f t="array" ref="H26">MAX(IF('BA History S2'!B:B=A26, 'BA History S2'!C:C))</f>
        <v>8</v>
      </c>
      <c r="I26" s="34">
        <f>COUNTIFS('BA History S2'!B:B,A26,'BA History S2'!D:D, 1)</f>
        <v>2</v>
      </c>
      <c r="J26" s="2">
        <f>COUNTIFS('BA History S2'!B:B,A26,'BA History S2'!D:D, 0)</f>
        <v>1</v>
      </c>
      <c r="K26" s="75">
        <f>LOOKUP(2, 1/('BA History S2'!$B:$B=A26), 'BA History S2'!$AJ:$AJ)</f>
        <v>0.66666666666666663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0.45</v>
      </c>
      <c r="O26" s="34">
        <f>SUMIFS('BA History S2'!H:H,'BA History S2'!B:B,A26)</f>
        <v>25</v>
      </c>
      <c r="P26" s="2">
        <f>SUMIFS('BA History S2'!G:G,'BA History S2'!B:B,A26)-O26</f>
        <v>24</v>
      </c>
      <c r="Q26" s="89">
        <f>LOOKUP(2, 1/('BA History S2'!$B:$B=A26), 'BA History S2'!$AI:$AI)</f>
        <v>0.47666666666666663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147</v>
      </c>
      <c r="B27" s="2" t="s">
        <v>79</v>
      </c>
      <c r="C27" s="2"/>
      <c r="D27" s="2"/>
      <c r="E27" s="2"/>
      <c r="F27" s="34">
        <f>SUMIFS('BA History S2'!C:C,'BA History S2'!B:B,A27)</f>
        <v>101</v>
      </c>
      <c r="G27" s="66">
        <f>AVERAGEIFS('BA History S2'!C:C,'BA History S2'!B:B,A27)</f>
        <v>14.428571428571429</v>
      </c>
      <c r="H27" s="35">
        <f t="array" ref="H27">MAX(IF('BA History S2'!B:B=A27, 'BA History S2'!C:C))</f>
        <v>24</v>
      </c>
      <c r="I27" s="34">
        <f>COUNTIFS('BA History S2'!B:B,A27,'BA History S2'!D:D, 1)</f>
        <v>2</v>
      </c>
      <c r="J27" s="2">
        <f>COUNTIFS('BA History S2'!B:B,A27,'BA History S2'!D:D, 0)</f>
        <v>5</v>
      </c>
      <c r="K27" s="75">
        <f>LOOKUP(2, 1/('BA History S2'!$B:$B=A27), 'BA History S2'!$AJ:$AJ)</f>
        <v>0.2857142857142857</v>
      </c>
      <c r="L27" s="34">
        <f>SUMIFS('BA History S2'!F:F,'BA History S2'!B:B,A27)</f>
        <v>14</v>
      </c>
      <c r="M27" s="2">
        <f>SUMIFS('BA History S2'!E:E,'BA History S2'!B:B,A27)-L27</f>
        <v>16</v>
      </c>
      <c r="N27" s="75">
        <f>LOOKUP(2, 1/('BA History S2'!$B:$B=A27), 'BA History S2'!$AH:$AH)</f>
        <v>0.49285714285714283</v>
      </c>
      <c r="O27" s="34">
        <f>SUMIFS('BA History S2'!H:H,'BA History S2'!B:B,A27)</f>
        <v>64</v>
      </c>
      <c r="P27" s="2">
        <f>SUMIFS('BA History S2'!G:G,'BA History S2'!B:B,A27)-O27</f>
        <v>62</v>
      </c>
      <c r="Q27" s="89">
        <f>LOOKUP(2, 1/('BA History S2'!$B:$B=A27), 'BA History S2'!$AI:$AI)</f>
        <v>0.53428571428571436</v>
      </c>
      <c r="R27" s="2">
        <f>COUNTIFS('BA History S2'!$B:$B,$A$27,'BA History S2'!K:K, 1)</f>
        <v>0</v>
      </c>
      <c r="S27" s="2">
        <f>COUNTIFS('BA History S2'!$B:$B,$A$27,'BA History S2'!L:L, 1)</f>
        <v>2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1</v>
      </c>
      <c r="W27" s="2">
        <f>COUNTIFS('BA History S2'!$B:$B,$A$27,'BA History S2'!P:P, 1)</f>
        <v>1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3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2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156</v>
      </c>
      <c r="G28" s="66">
        <f>AVERAGEIFS('BA History S2'!C:C,'BA History S2'!B:B,A28)</f>
        <v>17.333333333333332</v>
      </c>
      <c r="H28" s="35">
        <f t="array" ref="H28">MAX(IF('BA History S2'!B:B=A28, 'BA History S2'!C:C))</f>
        <v>26</v>
      </c>
      <c r="I28" s="34">
        <f>COUNTIFS('BA History S2'!B:B,A28,'BA History S2'!D:D, 1)</f>
        <v>7</v>
      </c>
      <c r="J28" s="2">
        <f>COUNTIFS('BA History S2'!B:B,A28,'BA History S2'!D:D, 0)</f>
        <v>2</v>
      </c>
      <c r="K28" s="75">
        <f>LOOKUP(2, 1/('BA History S2'!$B:$B=A28), 'BA History S2'!$AJ:$AJ)</f>
        <v>0.77777777777777779</v>
      </c>
      <c r="L28" s="34">
        <f>SUMIFS('BA History S2'!F:F,'BA History S2'!B:B,A28)</f>
        <v>22</v>
      </c>
      <c r="M28" s="2">
        <f>SUMIFS('BA History S2'!E:E,'BA History S2'!B:B,A28)-L28</f>
        <v>14</v>
      </c>
      <c r="N28" s="75">
        <f>LOOKUP(2, 1/('BA History S2'!$B:$B=A28), 'BA History S2'!$AH:$AH)</f>
        <v>0.60555555555555551</v>
      </c>
      <c r="O28" s="34">
        <f>SUMIFS('BA History S2'!H:H,'BA History S2'!B:B,A28)</f>
        <v>77</v>
      </c>
      <c r="P28" s="2">
        <f>SUMIFS('BA History S2'!G:G,'BA History S2'!B:B,A28)-O28</f>
        <v>66</v>
      </c>
      <c r="Q28" s="89">
        <f>LOOKUP(2, 1/('BA History S2'!$B:$B=A28), 'BA History S2'!$AI:$AI)</f>
        <v>0.52555555555555555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3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1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2</v>
      </c>
      <c r="AK28" s="2">
        <f>COUNTIFS('BA History S2'!$B:$B,$A$28,'BA History S2'!AD:AD, 1)</f>
        <v>3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6</v>
      </c>
      <c r="B29" s="1" t="s">
        <v>158</v>
      </c>
      <c r="E29" s="1">
        <v>1</v>
      </c>
      <c r="F29" s="34">
        <f>SUMIFS('BA History S2'!C:C,'BA History S2'!B:B,A29)</f>
        <v>290</v>
      </c>
      <c r="G29" s="66">
        <f>AVERAGEIFS('BA History S2'!C:C,'BA History S2'!B:B,A29)</f>
        <v>20.714285714285715</v>
      </c>
      <c r="H29" s="35">
        <f t="array" ref="H29">MAX(IF('BA History S2'!B:B=A29, 'BA History S2'!C:C))</f>
        <v>31</v>
      </c>
      <c r="I29" s="34">
        <f>COUNTIFS('BA History S2'!B:B,A29,'BA History S2'!D:D, 1)</f>
        <v>6</v>
      </c>
      <c r="J29" s="2">
        <f>COUNTIFS('BA History S2'!B:B,A29,'BA History S2'!D:D, 0)</f>
        <v>8</v>
      </c>
      <c r="K29" s="75">
        <f>LOOKUP(2, 1/('BA History S2'!$B:$B=A29), 'BA History S2'!$AJ:$AJ)</f>
        <v>0.42857142857142855</v>
      </c>
      <c r="L29" s="34">
        <f>SUMIFS('BA History S2'!F:F,'BA History S2'!B:B,A29)</f>
        <v>25</v>
      </c>
      <c r="M29" s="2">
        <f>SUMIFS('BA History S2'!E:E,'BA History S2'!B:B,A29)-L29</f>
        <v>30</v>
      </c>
      <c r="N29" s="75">
        <f>LOOKUP(2, 1/('BA History S2'!$B:$B=A29), 'BA History S2'!$AH:$AH)</f>
        <v>0.43928571428571433</v>
      </c>
      <c r="O29" s="34">
        <f>SUMIFS('BA History S2'!H:H,'BA History S2'!B:B,A29)</f>
        <v>109</v>
      </c>
      <c r="P29" s="2">
        <f>SUMIFS('BA History S2'!G:G,'BA History S2'!B:B,A29)-O29</f>
        <v>115</v>
      </c>
      <c r="Q29" s="89">
        <f>LOOKUP(2, 1/('BA History S2'!$B:$B=A29), 'BA History S2'!$AI:$AI)</f>
        <v>0.47714285714285715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1</v>
      </c>
      <c r="Y29" s="2">
        <f>COUNTIFS('BA History S2'!$B:$B,$A$29,'BA History S2'!R:R, 1)</f>
        <v>1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4</v>
      </c>
      <c r="AJ29" s="2">
        <f>COUNTIFS('BA History S2'!$B:$B,$A$29,'BA History S2'!AC:AC, 1)</f>
        <v>3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3</v>
      </c>
    </row>
    <row r="30" spans="1:39" x14ac:dyDescent="0.25">
      <c r="A30" s="2" t="s">
        <v>113</v>
      </c>
      <c r="B30" s="2" t="s">
        <v>79</v>
      </c>
      <c r="C30" s="2">
        <v>1</v>
      </c>
      <c r="D30" s="2">
        <v>1</v>
      </c>
      <c r="E30" s="2"/>
      <c r="F30" s="34">
        <f>SUMIFS('BA History S2'!C:C,'BA History S2'!B:B,A30)</f>
        <v>300</v>
      </c>
      <c r="G30" s="66">
        <f>AVERAGEIFS('BA History S2'!C:C,'BA History S2'!B:B,A30)</f>
        <v>20</v>
      </c>
      <c r="H30" s="35">
        <f t="array" ref="H30">MAX(IF('BA History S2'!B:B=A30, 'BA History S2'!C:C))</f>
        <v>36</v>
      </c>
      <c r="I30" s="34">
        <f>COUNTIFS('BA History S2'!B:B,A30,'BA History S2'!D:D, 1)</f>
        <v>9</v>
      </c>
      <c r="J30" s="2">
        <f>COUNTIFS('BA History S2'!B:B,A30,'BA History S2'!D:D, 0)</f>
        <v>6</v>
      </c>
      <c r="K30" s="75">
        <f>LOOKUP(2, 1/('BA History S2'!$B:$B=A30), 'BA History S2'!$AJ:$AJ)</f>
        <v>0.6</v>
      </c>
      <c r="L30" s="34">
        <f>SUMIFS('BA History S2'!F:F,'BA History S2'!B:B,A30)</f>
        <v>36</v>
      </c>
      <c r="M30" s="2">
        <f>SUMIFS('BA History S2'!E:E,'BA History S2'!B:B,A30)-L30</f>
        <v>25</v>
      </c>
      <c r="N30" s="75">
        <f>LOOKUP(2, 1/('BA History S2'!$B:$B=A30), 'BA History S2'!$AH:$AH)</f>
        <v>0.62666666666666671</v>
      </c>
      <c r="O30" s="34">
        <f>SUMIFS('BA History S2'!H:H,'BA History S2'!B:B,A30)</f>
        <v>136</v>
      </c>
      <c r="P30" s="2">
        <f>SUMIFS('BA History S2'!G:G,'BA History S2'!B:B,A30)-O30</f>
        <v>114</v>
      </c>
      <c r="Q30" s="89">
        <f>LOOKUP(2, 1/('BA History S2'!$B:$B=A30), 'BA History S2'!$AI:$AI)</f>
        <v>0.57866666666666666</v>
      </c>
      <c r="R30" s="2">
        <f>COUNTIFS('BA History S2'!$B:$B,$A$30,'BA History S2'!K:K, 1)</f>
        <v>0</v>
      </c>
      <c r="S30" s="2">
        <f>COUNTIFS('BA History S2'!$B:$B,$A$30,'BA History S2'!L:L, 1)</f>
        <v>4</v>
      </c>
      <c r="T30" s="2">
        <f>COUNTIFS('BA History S2'!$B:$B,$A$30,'BA History S2'!M:M, 1)</f>
        <v>2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1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5</v>
      </c>
      <c r="AH30" s="2">
        <f>COUNTIFS('BA History S2'!$B:$B,$A$30,'BA History S2'!AA:AA, 1)</f>
        <v>0</v>
      </c>
      <c r="AI30" s="2">
        <f>COUNTIFS('BA History S2'!$B:$B,$A$30,'BA History S2'!AB:AB, 1)</f>
        <v>6</v>
      </c>
      <c r="AJ30" s="2">
        <f>COUNTIFS('BA History S2'!$B:$B,$A$30,'BA History S2'!AC:AC, 1)</f>
        <v>3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4</v>
      </c>
    </row>
    <row r="31" spans="1:39" x14ac:dyDescent="0.25">
      <c r="A31" s="2" t="s">
        <v>14</v>
      </c>
      <c r="B31" s="2" t="s">
        <v>79</v>
      </c>
      <c r="C31" s="2">
        <v>1</v>
      </c>
      <c r="D31" s="2"/>
      <c r="E31" s="2"/>
      <c r="F31" s="34">
        <f>SUMIFS('BA History S2'!C:C,'BA History S2'!B:B,A31)</f>
        <v>52</v>
      </c>
      <c r="G31" s="66">
        <f>AVERAGEIFS('BA History S2'!C:C,'BA History S2'!B:B,A31)</f>
        <v>13</v>
      </c>
      <c r="H31" s="35">
        <f t="array" ref="H31">MAX(IF('BA History S2'!B:B=A31, 'BA History S2'!C:C))</f>
        <v>21</v>
      </c>
      <c r="I31" s="34">
        <f>COUNTIFS('BA History S2'!B:B,A31,'BA History S2'!D:D, 1)</f>
        <v>1</v>
      </c>
      <c r="J31" s="2">
        <f>COUNTIFS('BA History S2'!B:B,A31,'BA History S2'!D:D, 0)</f>
        <v>3</v>
      </c>
      <c r="K31" s="75">
        <f>LOOKUP(2, 1/('BA History S2'!$B:$B=A31), 'BA History S2'!$AJ:$AJ)</f>
        <v>0.25</v>
      </c>
      <c r="L31" s="34">
        <f>SUMIFS('BA History S2'!F:F,'BA History S2'!B:B,A31)</f>
        <v>5</v>
      </c>
      <c r="M31" s="2">
        <f>SUMIFS('BA History S2'!E:E,'BA History S2'!B:B,A31)-L31</f>
        <v>11</v>
      </c>
      <c r="N31" s="75">
        <f>LOOKUP(2, 1/('BA History S2'!$B:$B=A31), 'BA History S2'!$AH:$AH)</f>
        <v>0.27500000000000002</v>
      </c>
      <c r="O31" s="34">
        <f>SUMIFS('BA History S2'!H:H,'BA History S2'!B:B,A31)</f>
        <v>25</v>
      </c>
      <c r="P31" s="2">
        <f>SUMIFS('BA History S2'!G:G,'BA History S2'!B:B,A31)-O31</f>
        <v>39</v>
      </c>
      <c r="Q31" s="89">
        <f>LOOKUP(2, 1/('BA History S2'!$B:$B=A31), 'BA History S2'!$AI:$AI)</f>
        <v>0.34</v>
      </c>
      <c r="R31" s="2">
        <f>COUNTIFS('BA History S2'!$B:$B,$A$31,'BA History S2'!K:K, 1)</f>
        <v>0</v>
      </c>
      <c r="S31" s="2">
        <f>COUNTIFS('BA History S2'!$B:$B,$A$31,'BA History S2'!L:L, 1)</f>
        <v>1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70</v>
      </c>
      <c r="B32" s="2" t="s">
        <v>79</v>
      </c>
      <c r="C32" s="2"/>
      <c r="D32" s="2"/>
      <c r="E32" s="2"/>
      <c r="F32" s="34">
        <f>SUMIFS('BA History S2'!C:C,'BA History S2'!B:B,A32)</f>
        <v>7</v>
      </c>
      <c r="G32" s="66">
        <f>AVERAGEIFS('BA History S2'!C:C,'BA History S2'!B:B,A32)</f>
        <v>7</v>
      </c>
      <c r="H32" s="35">
        <f t="array" ref="H32">MAX(IF('BA History S2'!B:B=A32, 'BA History S2'!C:C))</f>
        <v>7</v>
      </c>
      <c r="I32" s="34">
        <f>COUNTIFS('BA History S2'!B:B,A32,'BA History S2'!D:D, 1)</f>
        <v>0</v>
      </c>
      <c r="J32" s="2">
        <f>COUNTIFS('BA History S2'!B:B,A32,'BA History S2'!D:D, 0)</f>
        <v>1</v>
      </c>
      <c r="K32" s="75">
        <f>LOOKUP(2, 1/('BA History S2'!$B:$B=A32), 'BA History S2'!$AJ:$AJ)</f>
        <v>0</v>
      </c>
      <c r="L32" s="34">
        <f>SUMIFS('BA History S2'!F:F,'BA History S2'!B:B,A32)</f>
        <v>1</v>
      </c>
      <c r="M32" s="2">
        <f>SUMIFS('BA History S2'!E:E,'BA History S2'!B:B,A32)-L32</f>
        <v>3</v>
      </c>
      <c r="N32" s="75">
        <f>LOOKUP(2, 1/('BA History S2'!$B:$B=A32), 'BA History S2'!$AH:$AH)</f>
        <v>0.25</v>
      </c>
      <c r="O32" s="34">
        <f>SUMIFS('BA History S2'!H:H,'BA History S2'!B:B,A32)</f>
        <v>8</v>
      </c>
      <c r="P32" s="2">
        <f>SUMIFS('BA History S2'!G:G,'BA History S2'!B:B,A32)-O32</f>
        <v>10</v>
      </c>
      <c r="Q32" s="89">
        <f>LOOKUP(2, 1/('BA History S2'!$B:$B=A32), 'BA History S2'!$AI:$AI)</f>
        <v>0.44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4</v>
      </c>
      <c r="B33" s="1" t="s">
        <v>158</v>
      </c>
      <c r="C33" s="1">
        <v>1</v>
      </c>
      <c r="F33" s="34">
        <f>SUMIFS('BA History S2'!C:C,'BA History S2'!B:B,A33)</f>
        <v>254</v>
      </c>
      <c r="G33" s="66">
        <f>AVERAGEIFS('BA History S2'!C:C,'BA History S2'!B:B,A33)</f>
        <v>28.222222222222221</v>
      </c>
      <c r="H33" s="35">
        <f t="array" ref="H33">MAX(IF('BA History S2'!B:B=A33, 'BA History S2'!C:C))</f>
        <v>38</v>
      </c>
      <c r="I33" s="34">
        <f>COUNTIFS('BA History S2'!B:B,A33,'BA History S2'!D:D, 1)</f>
        <v>6</v>
      </c>
      <c r="J33" s="2">
        <f>COUNTIFS('BA History S2'!B:B,A33,'BA History S2'!D:D, 0)</f>
        <v>3</v>
      </c>
      <c r="K33" s="75">
        <f>LOOKUP(2, 1/('BA History S2'!$B:$B=A33), 'BA History S2'!$AJ:$AJ)</f>
        <v>0.66666666666666663</v>
      </c>
      <c r="L33" s="34">
        <f>SUMIFS('BA History S2'!F:F,'BA History S2'!B:B,A33)</f>
        <v>22</v>
      </c>
      <c r="M33" s="2">
        <f>SUMIFS('BA History S2'!E:E,'BA History S2'!B:B,A33)-L33</f>
        <v>17</v>
      </c>
      <c r="N33" s="75">
        <f>LOOKUP(2, 1/('BA History S2'!$B:$B=A33), 'BA History S2'!$AH:$AH)</f>
        <v>0.57777777777777783</v>
      </c>
      <c r="O33" s="34">
        <f>SUMIFS('BA History S2'!H:H,'BA History S2'!B:B,A33)</f>
        <v>91</v>
      </c>
      <c r="P33" s="2">
        <f>SUMIFS('BA History S2'!G:G,'BA History S2'!B:B,A33)-O33</f>
        <v>79</v>
      </c>
      <c r="Q33" s="89">
        <f>LOOKUP(2, 1/('BA History S2'!$B:$B=A33), 'BA History S2'!$AI:$AI)</f>
        <v>0.54222222222222216</v>
      </c>
      <c r="R33" s="2">
        <f>COUNTIFS('BA History S2'!$B:$B,$A$33,'BA History S2'!K:K, 1)</f>
        <v>1</v>
      </c>
      <c r="S33" s="2">
        <f>COUNTIFS('BA History S2'!$B:$B,$A$33,'BA History S2'!L:L, 1)</f>
        <v>3</v>
      </c>
      <c r="T33" s="2">
        <f>COUNTIFS('BA History S2'!$B:$B,$A$33,'BA History S2'!M:M, 1)</f>
        <v>2</v>
      </c>
      <c r="U33" s="2">
        <f>COUNTIFS('BA History S2'!$B:$B,$A$33,'BA History S2'!N:N, 1)</f>
        <v>3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1</v>
      </c>
      <c r="AH33" s="2">
        <f>COUNTIFS('BA History S2'!$B:$B,$A$33,'BA History S2'!AA:AA, 1)</f>
        <v>0</v>
      </c>
      <c r="AI33" s="2">
        <f>COUNTIFS('BA History S2'!$B:$B,$A$33,'BA History S2'!AB:AB, 1)</f>
        <v>5</v>
      </c>
      <c r="AJ33" s="2">
        <f>COUNTIFS('BA History S2'!$B:$B,$A$33,'BA History S2'!AC:AC, 1)</f>
        <v>3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1</v>
      </c>
    </row>
    <row r="34" spans="1:39" x14ac:dyDescent="0.25">
      <c r="A34" s="1" t="s">
        <v>107</v>
      </c>
      <c r="B34" s="2" t="s">
        <v>79</v>
      </c>
      <c r="C34" s="2"/>
      <c r="D34" s="2"/>
      <c r="E34" s="2"/>
      <c r="F34" s="34">
        <f>SUMIFS('BA History S2'!C:C,'BA History S2'!B:B,A34)</f>
        <v>214</v>
      </c>
      <c r="G34" s="66">
        <f>AVERAGEIFS('BA History S2'!C:C,'BA History S2'!B:B,A34)</f>
        <v>14.266666666666667</v>
      </c>
      <c r="H34" s="35">
        <f t="array" ref="H34">MAX(IF('BA History S2'!B:B=A34, 'BA History S2'!C:C))</f>
        <v>22</v>
      </c>
      <c r="I34" s="34">
        <f>COUNTIFS('BA History S2'!B:B,A34,'BA History S2'!D:D, 1)</f>
        <v>8</v>
      </c>
      <c r="J34" s="2">
        <f>COUNTIFS('BA History S2'!B:B,A34,'BA History S2'!D:D, 0)</f>
        <v>7</v>
      </c>
      <c r="K34" s="75">
        <f>LOOKUP(2, 1/('BA History S2'!$B:$B=A34), 'BA History S2'!$AJ:$AJ)</f>
        <v>0.53333333333333333</v>
      </c>
      <c r="L34" s="34">
        <f>SUMIFS('BA History S2'!F:F,'BA History S2'!B:B,A34)</f>
        <v>28</v>
      </c>
      <c r="M34" s="2">
        <f>SUMIFS('BA History S2'!E:E,'BA History S2'!B:B,A34)-L34</f>
        <v>30</v>
      </c>
      <c r="N34" s="75">
        <f>LOOKUP(2, 1/('BA History S2'!$B:$B=A34), 'BA History S2'!$AH:$AH)</f>
        <v>0.45666666666666667</v>
      </c>
      <c r="O34" s="34">
        <f>SUMIFS('BA History S2'!H:H,'BA History S2'!B:B,A34)</f>
        <v>115</v>
      </c>
      <c r="P34" s="2">
        <f>SUMIFS('BA History S2'!G:G,'BA History S2'!B:B,A34)-O34</f>
        <v>119</v>
      </c>
      <c r="Q34" s="89">
        <f>LOOKUP(2, 1/('BA History S2'!$B:$B=A34), 'BA History S2'!$AI:$AI)</f>
        <v>0.47866666666666668</v>
      </c>
      <c r="R34" s="2">
        <f>COUNTIFS('BA History S2'!$B:$B,$A$34,'BA History S2'!K:K, 1)</f>
        <v>2</v>
      </c>
      <c r="S34" s="2">
        <f>COUNTIFS('BA History S2'!$B:$B,$A$34,'BA History S2'!L:L, 1)</f>
        <v>1</v>
      </c>
      <c r="T34" s="2">
        <f>COUNTIFS('BA History S2'!$B:$B,$A$34,'BA History S2'!M:M, 1)</f>
        <v>4</v>
      </c>
      <c r="U34" s="2">
        <f>COUNTIFS('BA History S2'!$B:$B,$A$34,'BA History S2'!N:N, 1)</f>
        <v>2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1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1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2</v>
      </c>
      <c r="AH34" s="2">
        <f>COUNTIFS('BA History S2'!$B:$B,$A$34,'BA History S2'!AA:AA, 1)</f>
        <v>0</v>
      </c>
      <c r="AI34" s="2">
        <f>COUNTIFS('BA History S2'!$B:$B,$A$34,'BA History S2'!AB:AB, 1)</f>
        <v>4</v>
      </c>
      <c r="AJ34" s="2">
        <f>COUNTIFS('BA History S2'!$B:$B,$A$34,'BA History S2'!AC:AC, 1)</f>
        <v>2</v>
      </c>
      <c r="AK34" s="2">
        <f>COUNTIFS('BA History S2'!$B:$B,$A$34,'BA History S2'!AD:AD, 1)</f>
        <v>4</v>
      </c>
      <c r="AL34" s="2">
        <f>COUNTIFS('BA History S2'!$B:$B,$A$34,'BA History S2'!AE:AE, 1)</f>
        <v>0</v>
      </c>
      <c r="AM34" s="2">
        <f>COUNTIFS('BA History S2'!$B:$B,$A$34,'BA History S2'!AF:AF, 1)</f>
        <v>2</v>
      </c>
    </row>
  </sheetData>
  <autoFilter ref="A1:AM34" xr:uid="{DA548192-1F03-46EA-8AB8-115EB9A7CE5D}">
    <sortState xmlns:xlrd2="http://schemas.microsoft.com/office/spreadsheetml/2017/richdata2" ref="A2:AM34">
      <sortCondition ref="A1:A34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33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AG221" sqref="AG221:AJ23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104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104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2026-04-28T00:59:01Z</dcterms:modified>
</cp:coreProperties>
</file>