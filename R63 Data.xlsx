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7ECA2016-33EF-4320-887F-18293ED64917}" xr6:coauthVersionLast="47" xr6:coauthVersionMax="47" xr10:uidLastSave="{00000000-0000-0000-0000-000000000000}"/>
  <bookViews>
    <workbookView xWindow="-120" yWindow="-120" windowWidth="38640" windowHeight="21120" activeTab="2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2'!$A$1:$AI$45</definedName>
    <definedName name="_xlnm._FilterDatabase" localSheetId="4" hidden="1">'Old Bow'!$A$1:$AD$37</definedName>
    <definedName name="_xlnm._FilterDatabase" localSheetId="0" hidden="1">'Old Bow v2'!$A$1:$AI$54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8" i="13" l="1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T33" i="11"/>
  <c r="H33" i="11"/>
  <c r="I33" i="11"/>
  <c r="J33" i="11" a="1"/>
  <c r="J33" i="11" s="1"/>
  <c r="K33" i="11"/>
  <c r="L33" i="11"/>
  <c r="M33" i="11"/>
  <c r="N33" i="11"/>
  <c r="O33" i="11" s="1"/>
  <c r="P33" i="11"/>
  <c r="Q33" i="11"/>
  <c r="R33" i="11" s="1"/>
  <c r="S33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H42" i="13"/>
  <c r="I42" i="13"/>
  <c r="J42" i="13" a="1"/>
  <c r="J42" i="13" s="1"/>
  <c r="K42" i="13"/>
  <c r="L42" i="13"/>
  <c r="N42" i="13"/>
  <c r="O42" i="13" s="1"/>
  <c r="Q42" i="13"/>
  <c r="R42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M50" i="11"/>
  <c r="N50" i="11"/>
  <c r="O50" i="11" s="1"/>
  <c r="P50" i="11"/>
  <c r="Q50" i="11"/>
  <c r="R50" i="11" s="1"/>
  <c r="S50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S14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4" i="13" s="1"/>
  <c r="AC306" i="15"/>
  <c r="AD306" i="15"/>
  <c r="M14" i="13" s="1"/>
  <c r="AA307" i="15"/>
  <c r="AB307" i="15"/>
  <c r="AC307" i="15"/>
  <c r="AD307" i="15"/>
  <c r="AA308" i="15"/>
  <c r="AB308" i="15"/>
  <c r="AC308" i="15"/>
  <c r="AD308" i="15"/>
  <c r="AA309" i="15"/>
  <c r="AB309" i="15"/>
  <c r="P42" i="13" s="1"/>
  <c r="AC309" i="15"/>
  <c r="S42" i="13" s="1"/>
  <c r="AD309" i="15"/>
  <c r="M42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T32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M45" i="11"/>
  <c r="N45" i="11"/>
  <c r="O45" i="11" s="1"/>
  <c r="P45" i="11"/>
  <c r="Q45" i="11"/>
  <c r="R45" i="11" s="1"/>
  <c r="S45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6" i="13"/>
  <c r="I46" i="13"/>
  <c r="J46" i="13" a="1"/>
  <c r="J46" i="13" s="1"/>
  <c r="K46" i="13"/>
  <c r="L46" i="13"/>
  <c r="M46" i="13"/>
  <c r="N46" i="13"/>
  <c r="O46" i="13" s="1"/>
  <c r="P46" i="13"/>
  <c r="Q46" i="13"/>
  <c r="R46" i="13" s="1"/>
  <c r="S4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4" i="13" s="1"/>
  <c r="AC53" i="15"/>
  <c r="S34" i="13" s="1"/>
  <c r="AD53" i="15"/>
  <c r="M34" i="13" s="1"/>
  <c r="AA54" i="15"/>
  <c r="AB54" i="15"/>
  <c r="P35" i="13" s="1"/>
  <c r="AC54" i="15"/>
  <c r="S35" i="13" s="1"/>
  <c r="AD54" i="15"/>
  <c r="M35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H40" i="11"/>
  <c r="I40" i="11"/>
  <c r="J40" i="11" a="1"/>
  <c r="J40" i="11" s="1"/>
  <c r="K40" i="11"/>
  <c r="L40" i="11"/>
  <c r="M40" i="11"/>
  <c r="N40" i="11"/>
  <c r="O40" i="11" s="1"/>
  <c r="P40" i="11"/>
  <c r="Q40" i="11"/>
  <c r="R40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3" i="13"/>
  <c r="AG33" i="13"/>
  <c r="AH33" i="13"/>
  <c r="AI33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3" i="13" s="1"/>
  <c r="AC31" i="15"/>
  <c r="S33" i="13" s="1"/>
  <c r="AD31" i="15"/>
  <c r="M33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0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8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9" i="13"/>
  <c r="AG29" i="13"/>
  <c r="AH29" i="13"/>
  <c r="AI29" i="13"/>
  <c r="AF34" i="13"/>
  <c r="AG34" i="13"/>
  <c r="AH34" i="13"/>
  <c r="AI34" i="13"/>
  <c r="AF35" i="13"/>
  <c r="AG35" i="13"/>
  <c r="AH35" i="13"/>
  <c r="AI35" i="13"/>
  <c r="AF36" i="13"/>
  <c r="AG36" i="13"/>
  <c r="AH36" i="13"/>
  <c r="AI36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T41" i="13"/>
  <c r="T40" i="13"/>
  <c r="T39" i="13"/>
  <c r="T38" i="13"/>
  <c r="T9" i="13"/>
  <c r="T7" i="13"/>
  <c r="T6" i="13"/>
  <c r="T5" i="13"/>
  <c r="S9" i="13"/>
  <c r="S38" i="13"/>
  <c r="S40" i="13"/>
  <c r="S41" i="13"/>
  <c r="Q5" i="13"/>
  <c r="R5" i="13" s="1"/>
  <c r="Q6" i="13"/>
  <c r="R6" i="13" s="1"/>
  <c r="Q7" i="13"/>
  <c r="R7" i="13" s="1"/>
  <c r="Q9" i="13"/>
  <c r="R9" i="13" s="1"/>
  <c r="Q38" i="13"/>
  <c r="R38" i="13" s="1"/>
  <c r="Q39" i="13"/>
  <c r="R39" i="13" s="1"/>
  <c r="Q40" i="13"/>
  <c r="R40" i="13" s="1"/>
  <c r="Q41" i="13"/>
  <c r="R41" i="13" s="1"/>
  <c r="Q43" i="13"/>
  <c r="R43" i="13" s="1"/>
  <c r="Q45" i="13"/>
  <c r="R45" i="13" s="1"/>
  <c r="N5" i="13"/>
  <c r="O5" i="13" s="1"/>
  <c r="N6" i="13"/>
  <c r="O6" i="13" s="1"/>
  <c r="N7" i="13"/>
  <c r="O7" i="13" s="1"/>
  <c r="N9" i="13"/>
  <c r="O9" i="13" s="1"/>
  <c r="N38" i="13"/>
  <c r="O38" i="13" s="1"/>
  <c r="N39" i="13"/>
  <c r="O39" i="13" s="1"/>
  <c r="N40" i="13"/>
  <c r="O40" i="13" s="1"/>
  <c r="N41" i="13"/>
  <c r="O41" i="13" s="1"/>
  <c r="N43" i="13"/>
  <c r="O43" i="13" s="1"/>
  <c r="N45" i="13"/>
  <c r="O45" i="13" s="1"/>
  <c r="M45" i="13"/>
  <c r="L5" i="13"/>
  <c r="L6" i="13"/>
  <c r="L7" i="13"/>
  <c r="L9" i="13"/>
  <c r="L38" i="13"/>
  <c r="L39" i="13"/>
  <c r="L40" i="13"/>
  <c r="L41" i="13"/>
  <c r="L43" i="13"/>
  <c r="L45" i="13"/>
  <c r="K5" i="13"/>
  <c r="K6" i="13"/>
  <c r="K7" i="13"/>
  <c r="K9" i="13"/>
  <c r="K38" i="13"/>
  <c r="K39" i="13"/>
  <c r="K40" i="13"/>
  <c r="K41" i="13"/>
  <c r="K43" i="13"/>
  <c r="K45" i="13"/>
  <c r="J5" i="13" a="1"/>
  <c r="J5" i="13" s="1"/>
  <c r="J6" i="13" a="1"/>
  <c r="J6" i="13" s="1"/>
  <c r="J7" i="13" a="1"/>
  <c r="J7" i="13" s="1"/>
  <c r="J9" i="13" a="1"/>
  <c r="J9" i="13" s="1"/>
  <c r="J38" i="13" a="1"/>
  <c r="J38" i="13" s="1"/>
  <c r="J39" i="13" a="1"/>
  <c r="J39" i="13" s="1"/>
  <c r="J40" i="13" a="1"/>
  <c r="J40" i="13" s="1"/>
  <c r="J41" i="13" a="1"/>
  <c r="J41" i="13" s="1"/>
  <c r="J43" i="13" a="1"/>
  <c r="J43" i="13" s="1"/>
  <c r="J45" i="13" a="1"/>
  <c r="J45" i="13" s="1"/>
  <c r="I5" i="13"/>
  <c r="I6" i="13"/>
  <c r="I7" i="13"/>
  <c r="I9" i="13"/>
  <c r="I38" i="13"/>
  <c r="I39" i="13"/>
  <c r="I40" i="13"/>
  <c r="I41" i="13"/>
  <c r="I43" i="13"/>
  <c r="I45" i="13"/>
  <c r="H5" i="13"/>
  <c r="H6" i="13"/>
  <c r="H7" i="13"/>
  <c r="H9" i="13"/>
  <c r="H38" i="13"/>
  <c r="H39" i="13"/>
  <c r="H40" i="13"/>
  <c r="H41" i="13"/>
  <c r="H43" i="13"/>
  <c r="H45" i="13"/>
  <c r="S6" i="13"/>
  <c r="P41" i="13"/>
  <c r="M41" i="13"/>
  <c r="P40" i="13"/>
  <c r="M40" i="13"/>
  <c r="P7" i="13"/>
  <c r="S7" i="13"/>
  <c r="M7" i="13"/>
  <c r="P43" i="13"/>
  <c r="S43" i="13"/>
  <c r="M43" i="13"/>
  <c r="P39" i="13"/>
  <c r="S39" i="13"/>
  <c r="M39" i="13"/>
  <c r="P9" i="13"/>
  <c r="P45" i="13"/>
  <c r="S45" i="13"/>
  <c r="P5" i="13"/>
  <c r="S5" i="13"/>
  <c r="M5" i="13"/>
  <c r="P38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5" i="11" s="1"/>
  <c r="AC475" i="10"/>
  <c r="S35" i="11" s="1"/>
  <c r="AD475" i="10"/>
  <c r="M35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6" i="11" s="1"/>
  <c r="AC480" i="10"/>
  <c r="S46" i="11" s="1"/>
  <c r="AD480" i="10"/>
  <c r="M46" i="11" s="1"/>
  <c r="AA481" i="10"/>
  <c r="AB481" i="10"/>
  <c r="P32" i="11" s="1"/>
  <c r="AC481" i="10"/>
  <c r="AD481" i="10"/>
  <c r="M32" i="11" s="1"/>
  <c r="AA482" i="10"/>
  <c r="AB482" i="10"/>
  <c r="P44" i="11" s="1"/>
  <c r="AC482" i="10"/>
  <c r="S44" i="11" s="1"/>
  <c r="AD482" i="10"/>
  <c r="M44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4" i="11" s="1"/>
  <c r="AC474" i="10"/>
  <c r="S54" i="11" s="1"/>
  <c r="AD474" i="10"/>
  <c r="M54" i="11" s="1"/>
  <c r="AA451" i="10"/>
  <c r="AB451" i="10"/>
  <c r="P51" i="11" s="1"/>
  <c r="AC451" i="10"/>
  <c r="S51" i="11" s="1"/>
  <c r="AD451" i="10"/>
  <c r="M51" i="11" s="1"/>
  <c r="AA452" i="10"/>
  <c r="AB452" i="10"/>
  <c r="P20" i="11" s="1"/>
  <c r="AC452" i="10"/>
  <c r="S20" i="11" s="1"/>
  <c r="AD452" i="10"/>
  <c r="M20" i="11" s="1"/>
  <c r="AA453" i="10"/>
  <c r="AB453" i="10"/>
  <c r="P47" i="11" s="1"/>
  <c r="AC453" i="10"/>
  <c r="S47" i="11" s="1"/>
  <c r="AD453" i="10"/>
  <c r="M47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3" i="11" s="1"/>
  <c r="AC457" i="10"/>
  <c r="S53" i="11" s="1"/>
  <c r="AD457" i="10"/>
  <c r="M53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2" i="11"/>
  <c r="I52" i="11"/>
  <c r="J52" i="11" a="1"/>
  <c r="J52" i="11" s="1"/>
  <c r="K52" i="11"/>
  <c r="L52" i="11"/>
  <c r="N52" i="11"/>
  <c r="O52" i="11" s="1"/>
  <c r="Q52" i="11"/>
  <c r="R52" i="11" s="1"/>
  <c r="H41" i="11"/>
  <c r="I41" i="11"/>
  <c r="J41" i="11" a="1"/>
  <c r="J41" i="11" s="1"/>
  <c r="K41" i="11"/>
  <c r="L41" i="11"/>
  <c r="N41" i="11"/>
  <c r="O41" i="11" s="1"/>
  <c r="Q41" i="11"/>
  <c r="R41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2" i="11" s="1"/>
  <c r="AC415" i="10"/>
  <c r="S42" i="11" s="1"/>
  <c r="AD415" i="10"/>
  <c r="M42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6" i="11" s="1"/>
  <c r="AC435" i="10"/>
  <c r="S36" i="11" s="1"/>
  <c r="AD435" i="10"/>
  <c r="M36" i="11" s="1"/>
  <c r="AA436" i="10"/>
  <c r="AB436" i="10"/>
  <c r="P48" i="11" s="1"/>
  <c r="AC436" i="10"/>
  <c r="S48" i="11" s="1"/>
  <c r="AD436" i="10"/>
  <c r="M48" i="11" s="1"/>
  <c r="AA437" i="10"/>
  <c r="AB437" i="10"/>
  <c r="AC437" i="10"/>
  <c r="AD437" i="10"/>
  <c r="AA438" i="10"/>
  <c r="AB438" i="10"/>
  <c r="P52" i="11" s="1"/>
  <c r="AC438" i="10"/>
  <c r="S52" i="11" s="1"/>
  <c r="AD438" i="10"/>
  <c r="M52" i="11" s="1"/>
  <c r="AA439" i="10"/>
  <c r="AB439" i="10"/>
  <c r="AC439" i="10"/>
  <c r="AD439" i="10"/>
  <c r="AA440" i="10"/>
  <c r="AB440" i="10"/>
  <c r="AC440" i="10"/>
  <c r="AD440" i="10"/>
  <c r="T39" i="11"/>
  <c r="F24" i="12"/>
  <c r="G24" i="12"/>
  <c r="H24" i="12" a="1"/>
  <c r="H24" i="12" s="1"/>
  <c r="I24" i="12"/>
  <c r="J24" i="12"/>
  <c r="L24" i="12"/>
  <c r="M24" i="12" s="1"/>
  <c r="O24" i="12"/>
  <c r="P24" i="12" s="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N43" i="11"/>
  <c r="O43" i="11" s="1"/>
  <c r="Q43" i="11"/>
  <c r="R43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1" i="11" s="1"/>
  <c r="AC414" i="10"/>
  <c r="S41" i="11" s="1"/>
  <c r="AD414" i="10"/>
  <c r="M41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390" i="10"/>
  <c r="AB390" i="10"/>
  <c r="AC390" i="10"/>
  <c r="AD390" i="10"/>
  <c r="AA391" i="10"/>
  <c r="AB391" i="10"/>
  <c r="AC391" i="10"/>
  <c r="AD391" i="10"/>
  <c r="AA392" i="10"/>
  <c r="AB392" i="10"/>
  <c r="P38" i="11" s="1"/>
  <c r="AC392" i="10"/>
  <c r="S38" i="11" s="1"/>
  <c r="AD392" i="10"/>
  <c r="M38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9" i="11" s="1"/>
  <c r="AC396" i="10"/>
  <c r="S49" i="11" s="1"/>
  <c r="AD396" i="10"/>
  <c r="M49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4" i="11"/>
  <c r="AC35" i="11"/>
  <c r="AC36" i="11"/>
  <c r="AC37" i="11"/>
  <c r="AC38" i="11"/>
  <c r="AC39" i="11"/>
  <c r="AC42" i="11"/>
  <c r="AC44" i="11"/>
  <c r="AC47" i="11"/>
  <c r="AC48" i="11"/>
  <c r="AC51" i="11"/>
  <c r="AC52" i="11"/>
  <c r="AC53" i="11"/>
  <c r="AC54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9" i="11" s="1"/>
  <c r="AC361" i="10"/>
  <c r="S39" i="11" s="1"/>
  <c r="AD361" i="10"/>
  <c r="M39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3" i="11"/>
  <c r="P43" i="11"/>
  <c r="S43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4" i="11"/>
  <c r="V44" i="11"/>
  <c r="W44" i="11"/>
  <c r="X44" i="11"/>
  <c r="Y44" i="11"/>
  <c r="Z44" i="11"/>
  <c r="AA44" i="11"/>
  <c r="AB44" i="11"/>
  <c r="AD44" i="11"/>
  <c r="AE44" i="11"/>
  <c r="AF44" i="11"/>
  <c r="AG44" i="11"/>
  <c r="AH44" i="11"/>
  <c r="AI44" i="11"/>
  <c r="T44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4" i="11"/>
  <c r="O34" i="11" s="1"/>
  <c r="N35" i="11"/>
  <c r="O35" i="11" s="1"/>
  <c r="N36" i="11"/>
  <c r="O36" i="11" s="1"/>
  <c r="N37" i="11"/>
  <c r="O37" i="11" s="1"/>
  <c r="N38" i="11"/>
  <c r="O38" i="11" s="1"/>
  <c r="N39" i="11"/>
  <c r="O39" i="11" s="1"/>
  <c r="N42" i="11"/>
  <c r="O42" i="11" s="1"/>
  <c r="N44" i="11"/>
  <c r="O44" i="11" s="1"/>
  <c r="N47" i="11"/>
  <c r="O47" i="11" s="1"/>
  <c r="N48" i="11"/>
  <c r="O48" i="11" s="1"/>
  <c r="N51" i="11"/>
  <c r="O51" i="11" s="1"/>
  <c r="N53" i="11"/>
  <c r="O53" i="11" s="1"/>
  <c r="N54" i="11"/>
  <c r="O54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4" i="11"/>
  <c r="L35" i="11"/>
  <c r="L36" i="11"/>
  <c r="L37" i="11"/>
  <c r="L38" i="11"/>
  <c r="L39" i="11"/>
  <c r="L42" i="11"/>
  <c r="L44" i="11"/>
  <c r="L47" i="11"/>
  <c r="L48" i="11"/>
  <c r="L51" i="11"/>
  <c r="L53" i="11"/>
  <c r="L54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4" i="11"/>
  <c r="K35" i="11"/>
  <c r="K36" i="11"/>
  <c r="K37" i="11"/>
  <c r="K38" i="11"/>
  <c r="K39" i="11"/>
  <c r="K42" i="11"/>
  <c r="K44" i="11"/>
  <c r="K47" i="11"/>
  <c r="K48" i="11"/>
  <c r="K51" i="11"/>
  <c r="K53" i="11"/>
  <c r="K54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4" i="11"/>
  <c r="R34" i="11" s="1"/>
  <c r="Q35" i="11"/>
  <c r="R35" i="11" s="1"/>
  <c r="Q36" i="11"/>
  <c r="R36" i="11" s="1"/>
  <c r="Q37" i="11"/>
  <c r="R37" i="11" s="1"/>
  <c r="Q38" i="11"/>
  <c r="R38" i="11" s="1"/>
  <c r="Q39" i="11"/>
  <c r="R39" i="11" s="1"/>
  <c r="Q42" i="11"/>
  <c r="R42" i="11" s="1"/>
  <c r="Q44" i="11"/>
  <c r="R44" i="11" s="1"/>
  <c r="Q47" i="11"/>
  <c r="R47" i="11" s="1"/>
  <c r="Q48" i="11"/>
  <c r="R48" i="11" s="1"/>
  <c r="Q51" i="11"/>
  <c r="R51" i="11" s="1"/>
  <c r="Q53" i="11"/>
  <c r="R53" i="11" s="1"/>
  <c r="Q54" i="11"/>
  <c r="R54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2" i="11" a="1"/>
  <c r="J42" i="11" s="1"/>
  <c r="J44" i="11" a="1"/>
  <c r="J44" i="11" s="1"/>
  <c r="J47" i="11" a="1"/>
  <c r="J47" i="11" s="1"/>
  <c r="J48" i="11" a="1"/>
  <c r="J48" i="11" s="1"/>
  <c r="J51" i="11" a="1"/>
  <c r="J51" i="11" s="1"/>
  <c r="J53" i="11" a="1"/>
  <c r="J53" i="11" s="1"/>
  <c r="J54" i="11" a="1"/>
  <c r="J54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4" i="11"/>
  <c r="I35" i="11"/>
  <c r="I36" i="11"/>
  <c r="I37" i="11"/>
  <c r="I38" i="11"/>
  <c r="I39" i="11"/>
  <c r="I42" i="11"/>
  <c r="I44" i="11"/>
  <c r="I47" i="11"/>
  <c r="I48" i="11"/>
  <c r="I51" i="11"/>
  <c r="I53" i="11"/>
  <c r="I54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4" i="11"/>
  <c r="H35" i="11"/>
  <c r="H36" i="11"/>
  <c r="H37" i="11"/>
  <c r="H38" i="11"/>
  <c r="H39" i="11"/>
  <c r="H42" i="11"/>
  <c r="H44" i="11"/>
  <c r="H47" i="11"/>
  <c r="H48" i="11"/>
  <c r="H51" i="11"/>
  <c r="H53" i="11"/>
  <c r="H54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7" i="11" l="1"/>
  <c r="S37" i="11"/>
  <c r="P37" i="11"/>
  <c r="M18" i="11"/>
  <c r="S18" i="11"/>
  <c r="P18" i="11"/>
  <c r="M26" i="11"/>
  <c r="S26" i="11"/>
  <c r="P26" i="11"/>
  <c r="M34" i="11"/>
  <c r="S34" i="11"/>
  <c r="P34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<sst xmlns="http://schemas.openxmlformats.org/spreadsheetml/2006/main" count="3826" uniqueCount="173">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</sst>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4"/>
  <sheetViews>
    <sheetView workbookViewId="0">
      <pane xSplit="1" ySplit="1" topLeftCell="I20" activePane="bottomRight" state="frozen"/>
      <selection pane="topRight" activeCell="B1" sqref="B1"/>
      <selection pane="bottomLeft" activeCell="A2" sqref="A2"/>
      <selection pane="bottomRight" activeCell="T33" sqref="T33:AI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" t="s">
        <v>172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170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68</v>
      </c>
      <c r="I4" s="4">
        <f>AVERAGEIFS('OB History'!C:C,'OB History'!B:B,A4)</f>
        <v>8.5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2</v>
      </c>
      <c r="M4" s="88">
        <f>LOOKUP(2, 1/('OB History'!$B:$B=A4), 'OB History'!$AD:$AD)</f>
        <v>0.75</v>
      </c>
      <c r="N4" s="34">
        <f>SUMIFS('OB History'!F:F,'OB History'!B:B,A4)</f>
        <v>18</v>
      </c>
      <c r="O4" s="2">
        <f>SUMIFS('OB History'!E:E,'OB History'!B:B,A4)-N4</f>
        <v>13</v>
      </c>
      <c r="P4" s="88">
        <f>LOOKUP(2, 1/('OB History'!$B:$B=A4), 'OB History'!$AB:$AB)</f>
        <v>0.56874999999999998</v>
      </c>
      <c r="Q4" s="34">
        <f>SUMIFS('OB History'!H:H,'OB History'!B:B,A4)</f>
        <v>70</v>
      </c>
      <c r="R4" s="2">
        <f>SUMIFS('OB History'!G:G,'OB History'!B:B,A4)-Q4</f>
        <v>62</v>
      </c>
      <c r="S4" s="88">
        <f>LOOKUP(2, 1/('OB History'!$B:$B=A4), 'OB History'!$AC:$AC)</f>
        <v>0.52499999999999991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3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1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479</v>
      </c>
      <c r="I5" s="4">
        <f>AVERAGEIFS('OB History'!C:C,'OB History'!B:B,A5)</f>
        <v>19.16</v>
      </c>
      <c r="J5" s="35">
        <f t="array" ref="J5">MAX(IF('OB History'!B:B=A5, 'OB History'!C:C))</f>
        <v>36</v>
      </c>
      <c r="K5" s="34">
        <f>COUNTIFS('OB History'!B:B,A5,'OB History'!D:D, 1)</f>
        <v>11</v>
      </c>
      <c r="L5" s="2">
        <f>COUNTIFS('OB History'!B:B,A5,'OB History'!D:D, 0)</f>
        <v>14</v>
      </c>
      <c r="M5" s="88">
        <f>LOOKUP(2, 1/('OB History'!$B:$B=A5), 'OB History'!$AD:$AD)</f>
        <v>0.44</v>
      </c>
      <c r="N5" s="34">
        <f>SUMIFS('OB History'!F:F,'OB History'!B:B,A5)</f>
        <v>45</v>
      </c>
      <c r="O5" s="2">
        <f>SUMIFS('OB History'!E:E,'OB History'!B:B,A5)-N5</f>
        <v>56</v>
      </c>
      <c r="P5" s="88">
        <f>LOOKUP(2, 1/('OB History'!$B:$B=A5), 'OB History'!$AB:$AB)</f>
        <v>0.42799999999999999</v>
      </c>
      <c r="Q5" s="34">
        <f>SUMIFS('OB History'!H:H,'OB History'!B:B,A5)</f>
        <v>192</v>
      </c>
      <c r="R5" s="2">
        <f>SUMIFS('OB History'!G:G,'OB History'!B:B,A5)-Q5</f>
        <v>221</v>
      </c>
      <c r="S5" s="88">
        <f>LOOKUP(2, 1/('OB History'!$B:$B=A5), 'OB History'!$AC:$AC)</f>
        <v>0.45479999999999998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1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0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10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ht="15.75" x14ac:dyDescent="0.25">
      <c r="A7" s="2" t="s">
        <v>35</v>
      </c>
      <c r="B7" s="80" t="s">
        <v>60</v>
      </c>
      <c r="C7" s="2" t="s">
        <v>79</v>
      </c>
      <c r="D7" s="3"/>
      <c r="E7" s="3"/>
      <c r="F7" s="3"/>
      <c r="G7" s="3"/>
      <c r="H7" s="34">
        <f>SUMIFS('OB History'!C:C,'OB History'!B:B,A7)</f>
        <v>327</v>
      </c>
      <c r="I7" s="4">
        <f>AVERAGEIFS('OB History'!C:C,'OB History'!B:B,A7)</f>
        <v>12.111111111111111</v>
      </c>
      <c r="J7" s="35">
        <f t="array" ref="J7">MAX(IF('OB History'!B:B=A7, 'OB History'!C:C))</f>
        <v>32</v>
      </c>
      <c r="K7" s="34">
        <f>COUNTIFS('OB History'!B:B,A7,'OB History'!D:D, 1)</f>
        <v>15</v>
      </c>
      <c r="L7" s="2">
        <f>COUNTIFS('OB History'!B:B,A7,'OB History'!D:D, 0)</f>
        <v>12</v>
      </c>
      <c r="M7" s="88">
        <f>LOOKUP(2, 1/('OB History'!$B:$B=A7), 'OB History'!$AD:$AD)</f>
        <v>0.55555555555555558</v>
      </c>
      <c r="N7" s="34">
        <f>SUMIFS('OB History'!F:F,'OB History'!B:B,A7)</f>
        <v>52</v>
      </c>
      <c r="O7" s="2">
        <f>SUMIFS('OB History'!E:E,'OB History'!B:B,A7)-N7</f>
        <v>56</v>
      </c>
      <c r="P7" s="88">
        <f>LOOKUP(2, 1/('OB History'!$B:$B=A7), 'OB History'!$AB:$AB)</f>
        <v>0.45740740740740737</v>
      </c>
      <c r="Q7" s="34">
        <f>SUMIFS('OB History'!H:H,'OB History'!B:B,'Old Bow v2'!A7)</f>
        <v>215</v>
      </c>
      <c r="R7" s="2">
        <f>SUMIFS('OB History'!G:G,'OB History'!B:B,'Old Bow v2'!A7)-Q7</f>
        <v>228</v>
      </c>
      <c r="S7" s="88">
        <f>LOOKUP(2, 1/('OB History'!$B:$B=A7), 'OB History'!$AC:$AC)</f>
        <v>0.47481481481481491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6</v>
      </c>
      <c r="X7" s="2">
        <f>COUNTIFS('OB History'!$B:$B,$A$7,'OB History'!O:O, 1)</f>
        <v>1</v>
      </c>
      <c r="Y7" s="2">
        <f>COUNTIFS('OB History'!$B:$B,$A$7,'OB History'!P:P, 1)</f>
        <v>7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423</v>
      </c>
      <c r="I10" s="4">
        <f>AVERAGEIFS('OB History'!C:C,'OB History'!B:B,A10)</f>
        <v>16.920000000000002</v>
      </c>
      <c r="J10" s="35">
        <f t="array" ref="J10">MAX(IF('OB History'!B:B=A10, 'OB History'!C:C))</f>
        <v>35</v>
      </c>
      <c r="K10" s="34">
        <f>COUNTIFS('OB History'!B:B,A10,'OB History'!D:D, 1)</f>
        <v>15</v>
      </c>
      <c r="L10" s="2">
        <f>COUNTIFS('OB History'!B:B,A10,'OB History'!D:D, 0)</f>
        <v>10</v>
      </c>
      <c r="M10" s="88">
        <f>LOOKUP(2, 1/('OB History'!$B:$B=A10), 'OB History'!$AD:$AD)</f>
        <v>0.6</v>
      </c>
      <c r="N10" s="34">
        <f>SUMIFS('OB History'!F:F,'OB History'!B:B,A10)</f>
        <v>59</v>
      </c>
      <c r="O10" s="2">
        <f>SUMIFS('OB History'!E:E,'OB History'!B:B,A10)-N10</f>
        <v>45</v>
      </c>
      <c r="P10" s="88">
        <f>LOOKUP(2, 1/('OB History'!$B:$B=A10), 'OB History'!$AB:$AB)</f>
        <v>0.59</v>
      </c>
      <c r="Q10" s="34">
        <f>SUMIFS('OB History'!H:H,'OB History'!B:B,'Old Bow v2'!A10)</f>
        <v>225</v>
      </c>
      <c r="R10" s="2">
        <f>SUMIFS('OB History'!G:G,'OB History'!B:B,'Old Bow v2'!A10)-Q10</f>
        <v>208</v>
      </c>
      <c r="S10" s="88">
        <f>LOOKUP(2, 1/('OB History'!$B:$B=A10), 'OB History'!$AC:$AC)</f>
        <v>0.53359999999999996</v>
      </c>
      <c r="T10" s="2">
        <f>COUNTIFS('OB History'!$B:$B,$A$10,'OB History'!K:K, 1)</f>
        <v>3</v>
      </c>
      <c r="U10" s="2">
        <f>COUNTIFS('OB History'!$B:$B,$A$10,'OB History'!L:L, 1)</f>
        <v>2</v>
      </c>
      <c r="V10" s="2">
        <f>COUNTIFS('OB History'!$B:$B,$A$10,'OB History'!M:M, 1)</f>
        <v>0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1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9</v>
      </c>
      <c r="AH10" s="2">
        <f>COUNTIFS('OB History'!$B:$B,$A$10,'OB History'!Y:Y, 1)</f>
        <v>6</v>
      </c>
      <c r="AI10" s="2">
        <f>COUNTIFS('OB History'!$B:$B,$A$10,'OB History'!Z:Z, 1)</f>
        <v>9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162</v>
      </c>
      <c r="I11" s="4">
        <f>AVERAGEIFS('OB History'!C:C,'OB History'!B:B,A11)</f>
        <v>13.5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9</v>
      </c>
      <c r="M11" s="88">
        <f>LOOKUP(2, 1/('OB History'!$B:$B=A11), 'OB History'!$AD:$AD)</f>
        <v>0.25</v>
      </c>
      <c r="N11" s="34">
        <f>SUMIFS('OB History'!F:F,'OB History'!B:B,A11)</f>
        <v>20</v>
      </c>
      <c r="O11" s="2">
        <f>SUMIFS('OB History'!E:E,'OB History'!B:B,A11)-N11</f>
        <v>31</v>
      </c>
      <c r="P11" s="88">
        <f>LOOKUP(2, 1/('OB History'!$B:$B=A11), 'OB History'!$AB:$AB)</f>
        <v>0.37916666666666665</v>
      </c>
      <c r="Q11" s="34">
        <f>SUMIFS('OB History'!H:H,'OB History'!B:B,'Old Bow v2'!A11)</f>
        <v>99</v>
      </c>
      <c r="R11" s="2">
        <f>SUMIFS('OB History'!G:G,'OB History'!B:B,'Old Bow v2'!A11)-Q11</f>
        <v>118</v>
      </c>
      <c r="S11" s="88">
        <f>LOOKUP(2, 1/('OB History'!$B:$B=A11), 'OB History'!$AC:$AC)</f>
        <v>0.45249999999999996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2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363</v>
      </c>
      <c r="I12" s="4">
        <f>AVERAGEIFS('OB History'!C:C,'OB History'!B:B,A12)</f>
        <v>15.125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11</v>
      </c>
      <c r="M12" s="88">
        <f>LOOKUP(2, 1/('OB History'!$B:$B=A12), 'OB History'!$AD:$AD)</f>
        <v>0.54166666666666663</v>
      </c>
      <c r="N12" s="34">
        <f>SUMIFS('OB History'!F:F,'OB History'!B:B,A12)</f>
        <v>50</v>
      </c>
      <c r="O12" s="2">
        <f>SUMIFS('OB History'!E:E,'OB History'!B:B,A12)-N12</f>
        <v>49</v>
      </c>
      <c r="P12" s="88">
        <f>LOOKUP(2, 1/('OB History'!$B:$B=A12), 'OB History'!$AB:$AB)</f>
        <v>0.49791666666666662</v>
      </c>
      <c r="Q12" s="34">
        <f>SUMIFS('OB History'!H:H,'OB History'!B:B,'Old Bow v2'!A12)</f>
        <v>202</v>
      </c>
      <c r="R12" s="2">
        <f>SUMIFS('OB History'!G:G,'OB History'!B:B,'Old Bow v2'!A12)-Q12</f>
        <v>199</v>
      </c>
      <c r="S12" s="88">
        <f>LOOKUP(2, 1/('OB History'!$B:$B=A12), 'OB History'!$AC:$AC)</f>
        <v>0.50458333333333338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6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268</v>
      </c>
      <c r="I16" s="4">
        <f>AVERAGEIFS('OB History'!C:C,'OB History'!B:B,A16)</f>
        <v>12.761904761904763</v>
      </c>
      <c r="J16" s="35">
        <f t="array" ref="J16">MAX(IF('OB History'!B:B=A16, 'OB History'!C:C))</f>
        <v>26</v>
      </c>
      <c r="K16" s="34">
        <f>COUNTIFS('OB History'!B:B,A16,'OB History'!D:D, 1)</f>
        <v>8</v>
      </c>
      <c r="L16" s="2">
        <f>COUNTIFS('OB History'!B:B,A16,'OB History'!D:D, 0)</f>
        <v>13</v>
      </c>
      <c r="M16" s="88">
        <f>LOOKUP(2, 1/('OB History'!$B:$B=A16), 'OB History'!$AD:$AD)</f>
        <v>0.38095238095238093</v>
      </c>
      <c r="N16" s="34">
        <f>SUMIFS('OB History'!F:F,'OB History'!B:B,A16)</f>
        <v>41</v>
      </c>
      <c r="O16" s="2">
        <f>SUMIFS('OB History'!E:E,'OB History'!B:B,A16)-N16</f>
        <v>48</v>
      </c>
      <c r="P16" s="88">
        <f>LOOKUP(2, 1/('OB History'!$B:$B=A16), 'OB History'!$AB:$AB)</f>
        <v>0.45714285714285718</v>
      </c>
      <c r="Q16" s="34">
        <f>SUMIFS('OB History'!H:H,'OB History'!B:B,'Old Bow v2'!A16)</f>
        <v>172</v>
      </c>
      <c r="R16" s="2">
        <f>SUMIFS('OB History'!G:G,'OB History'!B:B,'Old Bow v2'!A16)-Q16</f>
        <v>188</v>
      </c>
      <c r="S16" s="88">
        <f>LOOKUP(2, 1/('OB History'!$B:$B=A16), 'OB History'!$AC:$AC)</f>
        <v>0.47761904761904767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1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7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156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449</v>
      </c>
      <c r="I22" s="4">
        <f>AVERAGEIFS('OB History'!C:C,'OB History'!B:B,A22)</f>
        <v>10.69047619047619</v>
      </c>
      <c r="J22" s="35">
        <f t="array" ref="J22">MAX(IF('OB History'!B:B=A22, 'OB History'!C:C))</f>
        <v>21</v>
      </c>
      <c r="K22" s="34">
        <f>COUNTIFS('OB History'!B:B,A22,'OB History'!D:D, 1)</f>
        <v>18</v>
      </c>
      <c r="L22" s="2">
        <f>COUNTIFS('OB History'!B:B,A22,'OB History'!D:D, 0)</f>
        <v>24</v>
      </c>
      <c r="M22" s="88">
        <f>LOOKUP(2, 1/('OB History'!$B:$B=A22), 'OB History'!$AD:$AD)</f>
        <v>0.42857142857142855</v>
      </c>
      <c r="N22" s="34">
        <f>SUMIFS('OB History'!F:F,'OB History'!B:B,A22)</f>
        <v>80</v>
      </c>
      <c r="O22" s="2">
        <f>SUMIFS('OB History'!E:E,'OB History'!B:B,A22)-N22</f>
        <v>90</v>
      </c>
      <c r="P22" s="88">
        <f>LOOKUP(2, 1/('OB History'!$B:$B=A22), 'OB History'!$AB:$AB)</f>
        <v>0.4642857142857143</v>
      </c>
      <c r="Q22" s="34">
        <f>SUMIFS('OB History'!H:H,'OB History'!B:B,'Old Bow v2'!A22)</f>
        <v>345</v>
      </c>
      <c r="R22" s="2">
        <f>SUMIFS('OB History'!G:G,'OB History'!B:B,'Old Bow v2'!A22)-Q22</f>
        <v>359</v>
      </c>
      <c r="S22" s="88">
        <f>LOOKUP(2, 1/('OB History'!$B:$B=A22), 'OB History'!$AC:$AC)</f>
        <v>0.49380952380952375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9</v>
      </c>
      <c r="X22" s="2">
        <f>COUNTIFS('OB History'!$B:$B,$A$22,'OB History'!O:O, 1)</f>
        <v>3</v>
      </c>
      <c r="Y22" s="2">
        <f>COUNTIFS('OB History'!$B:$B,$A$22,'OB History'!P:P, 1)</f>
        <v>7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12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178</v>
      </c>
      <c r="I24" s="4">
        <f>AVERAGEIFS('OB History'!C:C,'OB History'!B:B,A24)</f>
        <v>11.125</v>
      </c>
      <c r="J24" s="35">
        <f t="array" ref="J24">MAX(IF('OB History'!B:B=A24, 'OB History'!C:C))</f>
        <v>17</v>
      </c>
      <c r="K24" s="34">
        <f>COUNTIFS('OB History'!B:B,A24,'OB History'!D:D, 1)</f>
        <v>11</v>
      </c>
      <c r="L24" s="2">
        <f>COUNTIFS('OB History'!B:B,A24,'OB History'!D:D, 0)</f>
        <v>5</v>
      </c>
      <c r="M24" s="88">
        <f>LOOKUP(2, 1/('OB History'!$B:$B=A24), 'OB History'!$AD:$AD)</f>
        <v>0.6875</v>
      </c>
      <c r="N24" s="34">
        <f>SUMIFS('OB History'!F:F,'OB History'!B:B,A24)</f>
        <v>40</v>
      </c>
      <c r="O24" s="2">
        <f>SUMIFS('OB History'!E:E,'OB History'!B:B,A24)-N24</f>
        <v>30</v>
      </c>
      <c r="P24" s="88">
        <f>LOOKUP(2, 1/('OB History'!$B:$B=A24), 'OB History'!$AB:$AB)</f>
        <v>0.58124999999999993</v>
      </c>
      <c r="Q24" s="34">
        <f>SUMIFS('OB History'!H:H,'OB History'!B:B,'Old Bow v2'!A24)</f>
        <v>153</v>
      </c>
      <c r="R24" s="2">
        <f>SUMIFS('OB History'!G:G,'OB History'!B:B,'Old Bow v2'!A24)-Q24</f>
        <v>130</v>
      </c>
      <c r="S24" s="88">
        <f>LOOKUP(2, 1/('OB History'!$B:$B=A24), 'OB History'!$AC:$AC)</f>
        <v>0.54562499999999992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3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10</v>
      </c>
      <c r="AH24" s="2">
        <f>COUNTIFS('OB History'!$B:$B,$A$24,'OB History'!Y:Y, 1)</f>
        <v>4</v>
      </c>
      <c r="AI24" s="2">
        <f>COUNTIFS('OB History'!$B:$B,$A$24,'OB History'!Z:Z, 1)</f>
        <v>6</v>
      </c>
    </row>
    <row r="25" spans="1:35" x14ac:dyDescent="0.25">
      <c r="A25" s="2" t="s">
        <v>28</v>
      </c>
      <c r="B25" s="6" t="s">
        <v>60</v>
      </c>
      <c r="C25" s="2" t="s">
        <v>79</v>
      </c>
      <c r="D25" s="3"/>
      <c r="E25" s="3"/>
      <c r="F25" s="3"/>
      <c r="G25" s="3"/>
      <c r="H25" s="34">
        <f>SUMIFS('OB History'!C:C,'OB History'!B:B,A25)</f>
        <v>322</v>
      </c>
      <c r="I25" s="4">
        <f>AVERAGEIFS('OB History'!C:C,'OB History'!B:B,A25)</f>
        <v>14.636363636363637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13</v>
      </c>
      <c r="M25" s="88">
        <f>LOOKUP(2, 1/('OB History'!$B:$B=A25), 'OB History'!$AD:$AD)</f>
        <v>0.40909090909090912</v>
      </c>
      <c r="N25" s="34">
        <f>SUMIFS('OB History'!F:F,'OB History'!B:B,A25)</f>
        <v>40</v>
      </c>
      <c r="O25" s="2">
        <f>SUMIFS('OB History'!E:E,'OB History'!B:B,A25)-N25</f>
        <v>53</v>
      </c>
      <c r="P25" s="88">
        <f>LOOKUP(2, 1/('OB History'!$B:$B=A25), 'OB History'!$AB:$AB)</f>
        <v>0.40227272727272728</v>
      </c>
      <c r="Q25" s="34">
        <f>SUMIFS('OB History'!H:H,'OB History'!B:B,'Old Bow v2'!A25)</f>
        <v>183</v>
      </c>
      <c r="R25" s="2">
        <f>SUMIFS('OB History'!G:G,'OB History'!B:B,'Old Bow v2'!A25)-Q25</f>
        <v>206</v>
      </c>
      <c r="S25" s="88">
        <f>LOOKUP(2, 1/('OB History'!$B:$B=A25), 'OB History'!$AC:$AC)</f>
        <v>0.45636363636363647</v>
      </c>
      <c r="T25" s="2">
        <f>COUNTIFS('OB History'!$B:$B,$A$25,'OB History'!K:K, 1)</f>
        <v>4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7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160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339</v>
      </c>
      <c r="I31" s="4">
        <f>AVERAGEIFS('OB History'!C:C,'OB History'!B:B,A31)</f>
        <v>13.56</v>
      </c>
      <c r="J31" s="35">
        <f t="array" ref="J31">MAX(IF('OB History'!B:B=A31, 'OB History'!C:C))</f>
        <v>23</v>
      </c>
      <c r="K31" s="34">
        <f>COUNTIFS('OB History'!B:B,A31,'OB History'!D:D, 1)</f>
        <v>15</v>
      </c>
      <c r="L31" s="2">
        <f>COUNTIFS('OB History'!B:B,A31,'OB History'!D:D, 0)</f>
        <v>10</v>
      </c>
      <c r="M31" s="88">
        <f>LOOKUP(2, 1/('OB History'!$B:$B=A31), 'OB History'!$AD:$AD)</f>
        <v>0.6</v>
      </c>
      <c r="N31" s="34">
        <f>SUMIFS('OB History'!F:F,'OB History'!B:B,A31)</f>
        <v>57</v>
      </c>
      <c r="O31" s="2">
        <f>SUMIFS('OB History'!E:E,'OB History'!B:B,A31)-N31</f>
        <v>45</v>
      </c>
      <c r="P31" s="88">
        <f>LOOKUP(2, 1/('OB History'!$B:$B=A31), 'OB History'!$AB:$AB)</f>
        <v>0.58199999999999996</v>
      </c>
      <c r="Q31" s="34">
        <f>SUMIFS('OB History'!H:H,'OB History'!B:B,'Old Bow v2'!A31)</f>
        <v>219</v>
      </c>
      <c r="R31" s="2">
        <f>SUMIFS('OB History'!G:G,'OB History'!B:B,'Old Bow v2'!A31)-Q31</f>
        <v>198</v>
      </c>
      <c r="S31" s="88">
        <f>LOOKUP(2, 1/('OB History'!$B:$B=A31), 'OB History'!$AC:$AC)</f>
        <v>0.53360000000000007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4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1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13</v>
      </c>
      <c r="AH31" s="2">
        <f>COUNTIFS('OB History'!$B:$B,$A$31,'OB History'!Y:Y, 1)</f>
        <v>8</v>
      </c>
      <c r="AI31" s="2">
        <f>COUNTIFS('OB History'!$B:$B,$A$31,'OB History'!Z:Z, 1)</f>
        <v>8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2" t="s">
        <v>162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15</v>
      </c>
      <c r="I33" s="4">
        <f>AVERAGEIFS('OB History'!C:C,'OB History'!B:B,A33)</f>
        <v>15</v>
      </c>
      <c r="J33" s="35">
        <f t="array" ref="J33">MAX(IF('OB History'!B:B=A33, 'OB History'!C:C))</f>
        <v>15</v>
      </c>
      <c r="K33" s="34">
        <f>COUNTIFS('OB History'!B:B,A33,'OB History'!D:D, 1)</f>
        <v>0</v>
      </c>
      <c r="L33" s="2">
        <f>COUNTIFS('OB History'!B:B,A33,'OB History'!D:D, 0)</f>
        <v>1</v>
      </c>
      <c r="M33" s="88">
        <f>LOOKUP(2, 1/('OB History'!$B:$B=A33), 'OB History'!$AD:$AD)</f>
        <v>0</v>
      </c>
      <c r="N33" s="34">
        <f>SUMIFS('OB History'!F:F,'OB History'!B:B,A33)</f>
        <v>1</v>
      </c>
      <c r="O33" s="2">
        <f>SUMIFS('OB History'!E:E,'OB History'!B:B,A33)-N33</f>
        <v>3</v>
      </c>
      <c r="P33" s="88">
        <f>LOOKUP(2, 1/('OB History'!$B:$B=A33), 'OB History'!$AB:$AB)</f>
        <v>0.25</v>
      </c>
      <c r="Q33" s="34">
        <f>SUMIFS('OB History'!H:H,'OB History'!B:B,'Old Bow v2'!A33)</f>
        <v>8</v>
      </c>
      <c r="R33" s="2">
        <f>SUMIFS('OB History'!G:G,'OB History'!B:B,'Old Bow v2'!A33)-Q33</f>
        <v>11</v>
      </c>
      <c r="S33" s="88">
        <f>LOOKUP(2, 1/('OB History'!$B:$B=A33), 'OB History'!$AC:$AC)</f>
        <v>0.42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0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1</v>
      </c>
      <c r="AG33" s="2">
        <f>COUNTIFS('OB History'!$B:$B,$A$33,'OB History'!X:X, 1)</f>
        <v>0</v>
      </c>
      <c r="AH33" s="2">
        <f>COUNTIFS('OB History'!$B:$B,$A$33,'OB History'!Y:Y, 1)</f>
        <v>0</v>
      </c>
      <c r="AI33" s="2">
        <f>COUNTIFS('OB History'!$B:$B,$A$33,'OB History'!Z:Z, 1)</f>
        <v>0</v>
      </c>
    </row>
    <row r="34" spans="1:35" x14ac:dyDescent="0.25">
      <c r="A34" s="1" t="s">
        <v>43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4</v>
      </c>
      <c r="I34" s="4">
        <f>AVERAGEIFS('OB History'!C:C,'OB History'!B:B,A34)</f>
        <v>4</v>
      </c>
      <c r="J34" s="35">
        <f t="array" ref="J34">MAX(IF('OB History'!B:B=A34, 'OB History'!C:C))</f>
        <v>4</v>
      </c>
      <c r="K34" s="34">
        <f>COUNTIFS('OB History'!B:B,A34,'OB History'!D:D, 1)</f>
        <v>1</v>
      </c>
      <c r="L34" s="2">
        <f>COUNTIFS('OB History'!B:B,A34,'OB History'!D:D, 0)</f>
        <v>0</v>
      </c>
      <c r="M34" s="88">
        <f>LOOKUP(2, 1/('OB History'!$B:$B=A34), 'OB History'!$AD:$AD)</f>
        <v>1</v>
      </c>
      <c r="N34" s="34">
        <f>SUMIFS('OB History'!F:F,'OB History'!B:B,A34)</f>
        <v>3</v>
      </c>
      <c r="O34" s="2">
        <f>SUMIFS('OB History'!E:E,'OB History'!B:B,A34)-N34</f>
        <v>0</v>
      </c>
      <c r="P34" s="88">
        <f>LOOKUP(2, 1/('OB History'!$B:$B=A34), 'OB History'!$AB:$AB)</f>
        <v>1</v>
      </c>
      <c r="Q34" s="34">
        <f>SUMIFS('OB History'!H:H,'OB History'!B:B,'Old Bow v2'!A34)</f>
        <v>9</v>
      </c>
      <c r="R34" s="2">
        <f>SUMIFS('OB History'!G:G,'OB History'!B:B,'Old Bow v2'!A34)-Q34</f>
        <v>4</v>
      </c>
      <c r="S34" s="88">
        <f>LOOKUP(2, 1/('OB History'!$B:$B=A34), 'OB History'!$AC:$AC)</f>
        <v>0.69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1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0</v>
      </c>
      <c r="AG34" s="2">
        <f>COUNTIFS('OB History'!$B:$B,$A$34,'OB History'!X:X, 1)</f>
        <v>1</v>
      </c>
      <c r="AH34" s="2">
        <f>COUNTIFS('OB History'!$B:$B,$A$34,'OB History'!Y:Y, 1)</f>
        <v>0</v>
      </c>
      <c r="AI34" s="2">
        <f>COUNTIFS('OB History'!$B:$B,$A$34,'OB History'!Z:Z, 1)</f>
        <v>1</v>
      </c>
    </row>
    <row r="35" spans="1:35" x14ac:dyDescent="0.25">
      <c r="A35" s="2" t="s">
        <v>13</v>
      </c>
      <c r="B35" s="6" t="s">
        <v>124</v>
      </c>
      <c r="C35" s="1" t="s">
        <v>160</v>
      </c>
      <c r="D35" s="3">
        <v>5</v>
      </c>
      <c r="E35" s="3">
        <v>1</v>
      </c>
      <c r="F35" s="3">
        <v>1</v>
      </c>
      <c r="G35" s="3"/>
      <c r="H35" s="34">
        <f>SUMIFS('OB History'!C:C,'OB History'!B:B,A35)</f>
        <v>1476</v>
      </c>
      <c r="I35" s="4">
        <f>AVERAGEIFS('OB History'!C:C,'OB History'!B:B,A35)</f>
        <v>26.836363636363636</v>
      </c>
      <c r="J35" s="35">
        <f t="array" ref="J35">MAX(IF('OB History'!B:B=A35, 'OB History'!C:C))</f>
        <v>58</v>
      </c>
      <c r="K35" s="34">
        <f>COUNTIFS('OB History'!B:B,A35,'OB History'!D:D, 1)</f>
        <v>36</v>
      </c>
      <c r="L35" s="2">
        <f>COUNTIFS('OB History'!B:B,A35,'OB History'!D:D, 0)</f>
        <v>19</v>
      </c>
      <c r="M35" s="88">
        <f>LOOKUP(2, 1/('OB History'!$B:$B=A35), 'OB History'!$AD:$AD)</f>
        <v>0.65454545454545454</v>
      </c>
      <c r="N35" s="34">
        <f>SUMIFS('OB History'!F:F,'OB History'!B:B,A35)</f>
        <v>130</v>
      </c>
      <c r="O35" s="2">
        <f>SUMIFS('OB History'!E:E,'OB History'!B:B,A35)-N35</f>
        <v>95</v>
      </c>
      <c r="P35" s="88">
        <f>LOOKUP(2, 1/('OB History'!$B:$B=A35), 'OB History'!$AB:$AB)</f>
        <v>0.58545454545454556</v>
      </c>
      <c r="Q35" s="34">
        <f>SUMIFS('OB History'!H:H,'OB History'!B:B,'Old Bow v2'!A35)</f>
        <v>505</v>
      </c>
      <c r="R35" s="2">
        <f>SUMIFS('OB History'!G:G,'OB History'!B:B,'Old Bow v2'!A35)-Q35</f>
        <v>414</v>
      </c>
      <c r="S35" s="88">
        <f>LOOKUP(2, 1/('OB History'!$B:$B=A35), 'OB History'!$AC:$AC)</f>
        <v>0.55236363636363628</v>
      </c>
      <c r="T35" s="2">
        <f>COUNTIFS('OB History'!$B:$B,$A$35,'OB History'!K:K, 1)</f>
        <v>7</v>
      </c>
      <c r="U35" s="2">
        <f>COUNTIFS('OB History'!$B:$B,$A$35,'OB History'!L:L, 1)</f>
        <v>11</v>
      </c>
      <c r="V35" s="2">
        <f>COUNTIFS('OB History'!$B:$B,$A$35,'OB History'!M:M, 1)</f>
        <v>3</v>
      </c>
      <c r="W35" s="2">
        <f>COUNTIFS('OB History'!$B:$B,$A$35,'OB History'!N:N, 1)</f>
        <v>13</v>
      </c>
      <c r="X35" s="2">
        <f>COUNTIFS('OB History'!$B:$B,$A$35,'OB History'!O:O, 1)</f>
        <v>3</v>
      </c>
      <c r="Y35" s="2">
        <f>COUNTIFS('OB History'!$B:$B,$A$35,'OB History'!P:P, 1)</f>
        <v>18</v>
      </c>
      <c r="Z35" s="2">
        <f>COUNTIFS('OB History'!$B:$B,$A$35,'OB History'!Q:Q, 1)</f>
        <v>5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2</v>
      </c>
      <c r="AE35" s="2">
        <f>COUNTIFS('OB History'!$B:$B,$A$35,'OB History'!V:V, 1)</f>
        <v>5</v>
      </c>
      <c r="AF35" s="2">
        <f>COUNTIFS('OB History'!$B:$B,$A$35,'OB History'!W:W, 1)</f>
        <v>11</v>
      </c>
      <c r="AG35" s="2">
        <f>COUNTIFS('OB History'!$B:$B,$A$35,'OB History'!X:X, 1)</f>
        <v>15</v>
      </c>
      <c r="AH35" s="2">
        <f>COUNTIFS('OB History'!$B:$B,$A$35,'OB History'!Y:Y, 1)</f>
        <v>12</v>
      </c>
      <c r="AI35" s="2">
        <f>COUNTIFS('OB History'!$B:$B,$A$35,'OB History'!Z:Z, 1)</f>
        <v>17</v>
      </c>
    </row>
    <row r="36" spans="1:35" x14ac:dyDescent="0.25">
      <c r="A36" s="2" t="s">
        <v>2</v>
      </c>
      <c r="B36" s="6" t="s">
        <v>60</v>
      </c>
      <c r="C36" s="2" t="s">
        <v>79</v>
      </c>
      <c r="D36" s="3"/>
      <c r="E36" s="3"/>
      <c r="F36" s="3"/>
      <c r="G36" s="3"/>
      <c r="H36" s="34">
        <f>SUMIFS('OB History'!C:C,'OB History'!B:B,A36)</f>
        <v>424</v>
      </c>
      <c r="I36" s="4">
        <f>AVERAGEIFS('OB History'!C:C,'OB History'!B:B,A36)</f>
        <v>28.266666666666666</v>
      </c>
      <c r="J36" s="35">
        <f t="array" ref="J36">MAX(IF('OB History'!B:B=A36, 'OB History'!C:C))</f>
        <v>52</v>
      </c>
      <c r="K36" s="34">
        <f>COUNTIFS('OB History'!B:B,A36,'OB History'!D:D, 1)</f>
        <v>8</v>
      </c>
      <c r="L36" s="2">
        <f>COUNTIFS('OB History'!B:B,A36,'OB History'!D:D, 0)</f>
        <v>7</v>
      </c>
      <c r="M36" s="88">
        <f>LOOKUP(2, 1/('OB History'!$B:$B=A36), 'OB History'!$AD:$AD)</f>
        <v>0.53333333333333333</v>
      </c>
      <c r="N36" s="34">
        <f>SUMIFS('OB History'!F:F,'OB History'!B:B,A36)</f>
        <v>35</v>
      </c>
      <c r="O36" s="2">
        <f>SUMIFS('OB History'!E:E,'OB History'!B:B,A36)-N36</f>
        <v>29</v>
      </c>
      <c r="P36" s="88">
        <f>LOOKUP(2, 1/('OB History'!$B:$B=A36), 'OB History'!$AB:$AB)</f>
        <v>0.56333333333333335</v>
      </c>
      <c r="Q36" s="34">
        <f>SUMIFS('OB History'!H:H,'OB History'!B:B,'Old Bow v2'!A36)</f>
        <v>143</v>
      </c>
      <c r="R36" s="2">
        <f>SUMIFS('OB History'!G:G,'OB History'!B:B,'Old Bow v2'!A36)-Q36</f>
        <v>126</v>
      </c>
      <c r="S36" s="88">
        <f>LOOKUP(2, 1/('OB History'!$B:$B=A36), 'OB History'!$AC:$AC)</f>
        <v>0.54199999999999993</v>
      </c>
      <c r="T36" s="2">
        <f>COUNTIFS('OB History'!$B:$B,$A$36,'OB History'!K:K, 1)</f>
        <v>2</v>
      </c>
      <c r="U36" s="2">
        <f>COUNTIFS('OB History'!$B:$B,$A$36,'OB History'!L:L, 1)</f>
        <v>3</v>
      </c>
      <c r="V36" s="2">
        <f>COUNTIFS('OB History'!$B:$B,$A$36,'OB History'!M:M, 1)</f>
        <v>2</v>
      </c>
      <c r="W36" s="2">
        <f>COUNTIFS('OB History'!$B:$B,$A$36,'OB History'!N:N, 1)</f>
        <v>8</v>
      </c>
      <c r="X36" s="2">
        <f>COUNTIFS('OB History'!$B:$B,$A$36,'OB History'!O:O, 1)</f>
        <v>0</v>
      </c>
      <c r="Y36" s="2">
        <f>COUNTIFS('OB History'!$B:$B,$A$36,'OB History'!P:P, 1)</f>
        <v>3</v>
      </c>
      <c r="Z36" s="2">
        <f>COUNTIFS('OB History'!$B:$B,$A$36,'OB History'!Q:Q, 1)</f>
        <v>0</v>
      </c>
      <c r="AA36" s="2">
        <f>COUNTIFS('OB History'!$B:$B,$A$36,'OB History'!R:R, 1)</f>
        <v>1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5</v>
      </c>
      <c r="AG36" s="2">
        <f>COUNTIFS('OB History'!$B:$B,$A$36,'OB History'!X:X, 1)</f>
        <v>2</v>
      </c>
      <c r="AH36" s="2">
        <f>COUNTIFS('OB History'!$B:$B,$A$36,'OB History'!Y:Y, 1)</f>
        <v>4</v>
      </c>
      <c r="AI36" s="2">
        <f>COUNTIFS('OB History'!$B:$B,$A$36,'OB History'!Z:Z, 1)</f>
        <v>5</v>
      </c>
    </row>
    <row r="37" spans="1:35" x14ac:dyDescent="0.25">
      <c r="A37" s="2" t="s">
        <v>54</v>
      </c>
      <c r="B37" s="6" t="s">
        <v>60</v>
      </c>
      <c r="C37" s="6" t="s">
        <v>79</v>
      </c>
      <c r="D37" s="3"/>
      <c r="E37" s="3"/>
      <c r="F37" s="3"/>
      <c r="G37" s="3"/>
      <c r="H37" s="34">
        <f>SUMIFS('OB History'!C:C,'OB History'!B:B,A37)</f>
        <v>65</v>
      </c>
      <c r="I37" s="4">
        <f>AVERAGEIFS('OB History'!C:C,'OB History'!B:B,A37)</f>
        <v>21.666666666666668</v>
      </c>
      <c r="J37" s="35">
        <f t="array" ref="J37">MAX(IF('OB History'!B:B=A37, 'OB History'!C:C))</f>
        <v>29</v>
      </c>
      <c r="K37" s="34">
        <f>COUNTIFS('OB History'!B:B,A37,'OB History'!D:D, 1)</f>
        <v>3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9</v>
      </c>
      <c r="O37" s="2">
        <f>SUMIFS('OB History'!E:E,'OB History'!B:B,A37)-N37</f>
        <v>6</v>
      </c>
      <c r="P37" s="88">
        <f>LOOKUP(2, 1/('OB History'!$B:$B=A37), 'OB History'!$AB:$AB)</f>
        <v>0.6</v>
      </c>
      <c r="Q37" s="34">
        <f>SUMIFS('OB History'!H:H,'OB History'!B:B,'Old Bow v2'!A37)</f>
        <v>36</v>
      </c>
      <c r="R37" s="2">
        <f>SUMIFS('OB History'!G:G,'OB History'!B:B,'Old Bow v2'!A37)-Q37</f>
        <v>26</v>
      </c>
      <c r="S37" s="88">
        <f>LOOKUP(2, 1/('OB History'!$B:$B=A37), 'OB History'!$AC:$AC)</f>
        <v>0.57999999999999996</v>
      </c>
      <c r="T37" s="2">
        <f>COUNTIFS('OB History'!$B:$B,$A$37,'OB History'!K:K, 1)</f>
        <v>0</v>
      </c>
      <c r="U37" s="2">
        <f>COUNTIFS('OB History'!$B:$B,$A$37,'OB History'!L:L, 1)</f>
        <v>1</v>
      </c>
      <c r="V37" s="2">
        <f>COUNTIFS('OB History'!$B:$B,$A$37,'OB History'!M:M, 1)</f>
        <v>0</v>
      </c>
      <c r="W37" s="2">
        <f>COUNTIFS('OB History'!$B:$B,$A$37,'OB History'!N:N, 1)</f>
        <v>1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2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1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0</v>
      </c>
      <c r="AI37" s="2">
        <f>COUNTIFS('OB History'!$B:$B,$A$37,'OB History'!Z:Z, 1)</f>
        <v>0</v>
      </c>
    </row>
    <row r="38" spans="1:35" x14ac:dyDescent="0.25">
      <c r="A38" s="2" t="s">
        <v>5</v>
      </c>
      <c r="B38" s="6" t="s">
        <v>60</v>
      </c>
      <c r="C38" s="2" t="s">
        <v>79</v>
      </c>
      <c r="D38" s="3">
        <v>1</v>
      </c>
      <c r="E38" s="3"/>
      <c r="F38" s="3"/>
      <c r="G38" s="3"/>
      <c r="H38" s="34">
        <f>SUMIFS('OB History'!C:C,'OB History'!B:B,A38)</f>
        <v>317</v>
      </c>
      <c r="I38" s="4">
        <f>AVERAGEIFS('OB History'!C:C,'OB History'!B:B,A38)</f>
        <v>24.384615384615383</v>
      </c>
      <c r="J38" s="35">
        <f t="array" ref="J38">MAX(IF('OB History'!B:B=A38, 'OB History'!C:C))</f>
        <v>51</v>
      </c>
      <c r="K38" s="34">
        <f>COUNTIFS('OB History'!B:B,A38,'OB History'!D:D, 1)</f>
        <v>6</v>
      </c>
      <c r="L38" s="2">
        <f>COUNTIFS('OB History'!B:B,A38,'OB History'!D:D, 0)</f>
        <v>7</v>
      </c>
      <c r="M38" s="88">
        <f>LOOKUP(2, 1/('OB History'!$B:$B=A38), 'OB History'!$AD:$AD)</f>
        <v>0.46153846153846156</v>
      </c>
      <c r="N38" s="34">
        <f>SUMIFS('OB History'!F:F,'OB History'!B:B,A38)</f>
        <v>25</v>
      </c>
      <c r="O38" s="2">
        <f>SUMIFS('OB History'!E:E,'OB History'!B:B,A38)-N38</f>
        <v>31</v>
      </c>
      <c r="P38" s="88">
        <f>LOOKUP(2, 1/('OB History'!$B:$B=A38), 'OB History'!$AB:$AB)</f>
        <v>0.42692307692307685</v>
      </c>
      <c r="Q38" s="34">
        <f>SUMIFS('OB History'!H:H,'OB History'!B:B,'Old Bow v2'!A38)</f>
        <v>112</v>
      </c>
      <c r="R38" s="2">
        <f>SUMIFS('OB History'!G:G,'OB History'!B:B,'Old Bow v2'!A38)-Q38</f>
        <v>123</v>
      </c>
      <c r="S38" s="88">
        <f>LOOKUP(2, 1/('OB History'!$B:$B=A38), 'OB History'!$AC:$AC)</f>
        <v>0.46307692307692305</v>
      </c>
      <c r="T38" s="2">
        <f>COUNTIFS('OB History'!$B:$B,$A$38,'OB History'!K:K, 1)</f>
        <v>2</v>
      </c>
      <c r="U38" s="2">
        <f>COUNTIFS('OB History'!$B:$B,$A$38,'OB History'!L:L, 1)</f>
        <v>3</v>
      </c>
      <c r="V38" s="2">
        <f>COUNTIFS('OB History'!$B:$B,$A$38,'OB History'!M:M, 1)</f>
        <v>3</v>
      </c>
      <c r="W38" s="2">
        <f>COUNTIFS('OB History'!$B:$B,$A$38,'OB History'!N:N, 1)</f>
        <v>2</v>
      </c>
      <c r="X38" s="2">
        <f>COUNTIFS('OB History'!$B:$B,$A$38,'OB History'!O:O, 1)</f>
        <v>2</v>
      </c>
      <c r="Y38" s="2">
        <f>COUNTIFS('OB History'!$B:$B,$A$38,'OB History'!P:P, 1)</f>
        <v>1</v>
      </c>
      <c r="Z38" s="2">
        <f>COUNTIFS('OB History'!$B:$B,$A$38,'OB History'!Q:Q, 1)</f>
        <v>0</v>
      </c>
      <c r="AA38" s="2">
        <f>COUNTIFS('OB History'!$B:$B,$A$38,'OB History'!R:R, 1)</f>
        <v>1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1</v>
      </c>
      <c r="AG38" s="2">
        <f>COUNTIFS('OB History'!$B:$B,$A$38,'OB History'!X:X, 1)</f>
        <v>5</v>
      </c>
      <c r="AH38" s="2">
        <f>COUNTIFS('OB History'!$B:$B,$A$38,'OB History'!Y:Y, 1)</f>
        <v>3</v>
      </c>
      <c r="AI38" s="2">
        <f>COUNTIFS('OB History'!$B:$B,$A$38,'OB History'!Z:Z, 1)</f>
        <v>2</v>
      </c>
    </row>
    <row r="39" spans="1:35" x14ac:dyDescent="0.25">
      <c r="A39" s="2" t="s">
        <v>38</v>
      </c>
      <c r="B39" s="2" t="s">
        <v>79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88</v>
      </c>
      <c r="I39" s="4">
        <f>AVERAGEIFS('OB History'!C:C,'OB History'!B:B,A39)</f>
        <v>8</v>
      </c>
      <c r="J39" s="35">
        <f t="array" ref="J39">MAX(IF('OB History'!B:B=A39, 'OB History'!C:C))</f>
        <v>28</v>
      </c>
      <c r="K39" s="34">
        <f>COUNTIFS('OB History'!B:B,A39,'OB History'!D:D, 1)</f>
        <v>5</v>
      </c>
      <c r="L39" s="2">
        <f>COUNTIFS('OB History'!B:B,A39,'OB History'!D:D, 0)</f>
        <v>6</v>
      </c>
      <c r="M39" s="88">
        <f>LOOKUP(2, 1/('OB History'!$B:$B=A39), 'OB History'!$AD:$AD)</f>
        <v>0.45454545454545453</v>
      </c>
      <c r="N39" s="34">
        <f>SUMIFS('OB History'!F:F,'OB History'!B:B,A39)</f>
        <v>18</v>
      </c>
      <c r="O39" s="2">
        <f>SUMIFS('OB History'!E:E,'OB History'!B:B,A39)-N39</f>
        <v>24</v>
      </c>
      <c r="P39" s="88">
        <f>LOOKUP(2, 1/('OB History'!$B:$B=A39), 'OB History'!$AB:$AB)</f>
        <v>0.40454545454545454</v>
      </c>
      <c r="Q39" s="34">
        <f>SUMIFS('OB History'!H:H,'OB History'!B:B,'Old Bow v2'!A39)</f>
        <v>77</v>
      </c>
      <c r="R39" s="2">
        <f>SUMIFS('OB History'!G:G,'OB History'!B:B,'Old Bow v2'!A39)-Q39</f>
        <v>94</v>
      </c>
      <c r="S39" s="88">
        <f>LOOKUP(2, 1/('OB History'!$B:$B=A39), 'OB History'!$AC:$AC)</f>
        <v>0.44363636363636361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1</v>
      </c>
      <c r="W39" s="2">
        <f>COUNTIFS('OB History'!$B:$B,$A$39,'OB History'!N:N, 1)</f>
        <v>2</v>
      </c>
      <c r="X39" s="2">
        <f>COUNTIFS('OB History'!$B:$B,$A$39,'OB History'!O:O, 1)</f>
        <v>0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2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1</v>
      </c>
      <c r="AG39" s="2">
        <f>COUNTIFS('OB History'!$B:$B,$A$39,'OB History'!X:X, 1)</f>
        <v>3</v>
      </c>
      <c r="AH39" s="2">
        <f>COUNTIFS('OB History'!$B:$B,$A$39,'OB History'!Y:Y, 1)</f>
        <v>2</v>
      </c>
      <c r="AI39" s="2">
        <f>COUNTIFS('OB History'!$B:$B,$A$39,'OB History'!Z:Z, 1)</f>
        <v>2</v>
      </c>
    </row>
    <row r="40" spans="1:35" x14ac:dyDescent="0.25">
      <c r="A40" s="2" t="s">
        <v>141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51</v>
      </c>
      <c r="I40" s="4">
        <f>AVERAGEIFS('OB History'!C:C,'OB History'!B:B,A40)</f>
        <v>17</v>
      </c>
      <c r="J40" s="35">
        <f t="array" ref="J40">MAX(IF('OB History'!B:B=A40, 'OB History'!C:C))</f>
        <v>20</v>
      </c>
      <c r="K40" s="34">
        <f>COUNTIFS('OB History'!B:B,A40,'OB History'!D:D, 1)</f>
        <v>1</v>
      </c>
      <c r="L40" s="2">
        <f>COUNTIFS('OB History'!B:B,A40,'OB History'!D:D, 0)</f>
        <v>2</v>
      </c>
      <c r="M40" s="88">
        <f>LOOKUP(2, 1/('OB History'!$B:$B=A40), 'OB History'!$AD:$AD)</f>
        <v>0.33333333333333331</v>
      </c>
      <c r="N40" s="34">
        <f>SUMIFS('OB History'!F:F,'OB History'!B:B,A40)</f>
        <v>7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27</v>
      </c>
      <c r="R40" s="2">
        <f>SUMIFS('OB History'!G:G,'OB History'!B:B,'Old Bow v2'!A40)-Q40</f>
        <v>28</v>
      </c>
      <c r="S40" s="88">
        <f>LOOKUP(2, 1/('OB History'!$B:$B=A40), 'OB History'!$AC:$AC)</f>
        <v>0.51666666666666661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1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1</v>
      </c>
      <c r="AG40" s="2">
        <f>COUNTIFS('OB History'!$B:$B,$A$40,'OB History'!X:X, 1)</f>
        <v>1</v>
      </c>
      <c r="AH40" s="2">
        <f>COUNTIFS('OB History'!$B:$B,$A$40,'OB History'!Y:Y, 1)</f>
        <v>0</v>
      </c>
      <c r="AI40" s="2">
        <f>COUNTIFS('OB History'!$B:$B,$A$40,'OB History'!Z:Z, 1)</f>
        <v>1</v>
      </c>
    </row>
    <row r="41" spans="1:35" x14ac:dyDescent="0.25">
      <c r="A41" s="2" t="s">
        <v>149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4</v>
      </c>
      <c r="I41" s="4">
        <f>AVERAGEIFS('OB History'!C:C,'OB History'!B:B,A41)</f>
        <v>4</v>
      </c>
      <c r="J41" s="35">
        <f t="array" ref="J41">MAX(IF('OB History'!B:B=A41, 'OB History'!C:C))</f>
        <v>4</v>
      </c>
      <c r="K41" s="34">
        <f>COUNTIFS('OB History'!B:B,A41,'OB History'!D:D, 1)</f>
        <v>0</v>
      </c>
      <c r="L41" s="2">
        <f>COUNTIFS('OB History'!B:B,A41,'OB History'!D:D, 0)</f>
        <v>1</v>
      </c>
      <c r="M41" s="88">
        <f>LOOKUP(2, 1/('OB History'!$B:$B=A41), 'OB History'!$AD:$AD)</f>
        <v>0</v>
      </c>
      <c r="N41" s="34">
        <f>SUMIFS('OB History'!F:F,'OB History'!B:B,A41)</f>
        <v>2</v>
      </c>
      <c r="O41" s="2">
        <f>SUMIFS('OB History'!E:E,'OB History'!B:B,A41)-N41</f>
        <v>3</v>
      </c>
      <c r="P41" s="88">
        <f>LOOKUP(2, 1/('OB History'!$B:$B=A41), 'OB History'!$AB:$AB)</f>
        <v>0.4</v>
      </c>
      <c r="Q41" s="34">
        <f>SUMIFS('OB History'!H:H,'OB History'!B:B,'Old Bow v2'!A41)</f>
        <v>8</v>
      </c>
      <c r="R41" s="2">
        <f>SUMIFS('OB History'!G:G,'OB History'!B:B,'Old Bow v2'!A41)-Q41</f>
        <v>10</v>
      </c>
      <c r="S41" s="88">
        <f>LOOKUP(2, 1/('OB History'!$B:$B=A41), 'OB History'!$AC:$AC)</f>
        <v>0.44</v>
      </c>
      <c r="T41" s="2">
        <f>COUNTIFS('OB History'!$B:$B,$A$41,'OB History'!K:K, 1)</f>
        <v>1</v>
      </c>
      <c r="U41" s="2">
        <f>COUNTIFS('OB History'!$B:$B,$A$41,'OB History'!L:L, 1)</f>
        <v>0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0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0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40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217</v>
      </c>
      <c r="I42" s="4">
        <f>AVERAGEIFS('OB History'!C:C,'OB History'!B:B,A42)</f>
        <v>16.692307692307693</v>
      </c>
      <c r="J42" s="35">
        <f t="array" ref="J42">MAX(IF('OB History'!B:B=A42, 'OB History'!C:C))</f>
        <v>28</v>
      </c>
      <c r="K42" s="34">
        <f>COUNTIFS('OB History'!B:B,A42,'OB History'!D:D, 1)</f>
        <v>4</v>
      </c>
      <c r="L42" s="2">
        <f>COUNTIFS('OB History'!B:B,A42,'OB History'!D:D, 0)</f>
        <v>9</v>
      </c>
      <c r="M42" s="88">
        <f>LOOKUP(2, 1/('OB History'!$B:$B=A42), 'OB History'!$AD:$AD)</f>
        <v>0.30769230769230771</v>
      </c>
      <c r="N42" s="34">
        <f>SUMIFS('OB History'!F:F,'OB History'!B:B,A42)</f>
        <v>23</v>
      </c>
      <c r="O42" s="2">
        <f>SUMIFS('OB History'!E:E,'OB History'!B:B,A42)-N42</f>
        <v>31</v>
      </c>
      <c r="P42" s="88">
        <f>LOOKUP(2, 1/('OB History'!$B:$B=A42), 'OB History'!$AB:$AB)</f>
        <v>0.42692307692307685</v>
      </c>
      <c r="Q42" s="34">
        <f>SUMIFS('OB History'!H:H,'OB History'!B:B,'Old Bow v2'!A42)</f>
        <v>97</v>
      </c>
      <c r="R42" s="2">
        <f>SUMIFS('OB History'!G:G,'OB History'!B:B,'Old Bow v2'!A42)-Q42</f>
        <v>122</v>
      </c>
      <c r="S42" s="88">
        <f>LOOKUP(2, 1/('OB History'!$B:$B=A42), 'OB History'!$AC:$AC)</f>
        <v>0.43307692307692314</v>
      </c>
      <c r="T42" s="2">
        <f>COUNTIFS('OB History'!$B:$B,$A$42,'OB History'!K:K, 1)</f>
        <v>2</v>
      </c>
      <c r="U42" s="2">
        <f>COUNTIFS('OB History'!$B:$B,$A$42,'OB History'!L:L, 1)</f>
        <v>2</v>
      </c>
      <c r="V42" s="2">
        <f>COUNTIFS('OB History'!$B:$B,$A$42,'OB History'!M:M, 1)</f>
        <v>1</v>
      </c>
      <c r="W42" s="2">
        <f>COUNTIFS('OB History'!$B:$B,$A$42,'OB History'!N:N, 1)</f>
        <v>1</v>
      </c>
      <c r="X42" s="2">
        <f>COUNTIFS('OB History'!$B:$B,$A$42,'OB History'!O:O, 1)</f>
        <v>1</v>
      </c>
      <c r="Y42" s="2">
        <f>COUNTIFS('OB History'!$B:$B,$A$42,'OB History'!P:P, 1)</f>
        <v>1</v>
      </c>
      <c r="Z42" s="2">
        <f>COUNTIFS('OB History'!$B:$B,$A$42,'OB History'!Q:Q, 1)</f>
        <v>2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1</v>
      </c>
      <c r="AG42" s="2">
        <f>COUNTIFS('OB History'!$B:$B,$A$42,'OB History'!X:X, 1)</f>
        <v>4</v>
      </c>
      <c r="AH42" s="2">
        <f>COUNTIFS('OB History'!$B:$B,$A$42,'OB History'!Y:Y, 1)</f>
        <v>3</v>
      </c>
      <c r="AI42" s="2">
        <f>COUNTIFS('OB History'!$B:$B,$A$42,'OB History'!Z:Z,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155</v>
      </c>
      <c r="I43" s="4">
        <f>AVERAGEIFS('OB History'!C:C,'OB History'!B:B,A43)</f>
        <v>17.222222222222221</v>
      </c>
      <c r="J43" s="35">
        <f t="array" ref="J43">MAX(IF('OB History'!B:B=A43, 'OB History'!C:C))</f>
        <v>34</v>
      </c>
      <c r="K43" s="34">
        <f>COUNTIFS('OB History'!B:B,A43,'OB History'!D:D, 1)</f>
        <v>1</v>
      </c>
      <c r="L43" s="2">
        <f>COUNTIFS('OB History'!B:B,A43,'OB History'!D:D, 0)</f>
        <v>8</v>
      </c>
      <c r="M43" s="88">
        <f>LOOKUP(2, 1/('OB History'!$B:$B=A43), 'OB History'!$AD:$AD)</f>
        <v>0.1111111111111111</v>
      </c>
      <c r="N43" s="34">
        <f>SUMIFS('OB History'!F:F,'OB History'!B:B,A43)</f>
        <v>11</v>
      </c>
      <c r="O43" s="2">
        <f>SUMIFS('OB History'!E:E,'OB History'!B:B,A43)-N43</f>
        <v>24</v>
      </c>
      <c r="P43" s="88">
        <f>LOOKUP(2, 1/('OB History'!$B:$B=A43), 'OB History'!$AB:$AB)</f>
        <v>0.28888888888888892</v>
      </c>
      <c r="Q43" s="34">
        <f>SUMIFS('OB History'!H:H,'OB History'!B:B,'Old Bow v2'!A43)</f>
        <v>59</v>
      </c>
      <c r="R43" s="2">
        <f>SUMIFS('OB History'!G:G,'OB History'!B:B,'Old Bow v2'!A43)-Q43</f>
        <v>84</v>
      </c>
      <c r="S43" s="88">
        <f>LOOKUP(2, 1/('OB History'!$B:$B=A43), 'OB History'!$AC:$AC)</f>
        <v>0.3988888888888889</v>
      </c>
      <c r="T43" s="2">
        <f>COUNTIFS('OB History'!$B:$B,$A$43,'OB History'!K:K, 1)</f>
        <v>3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1</v>
      </c>
      <c r="X43" s="2">
        <f>COUNTIFS('OB History'!$B:$B,$A$43,'OB History'!O:O, 1)</f>
        <v>0</v>
      </c>
      <c r="Y43" s="2">
        <f>COUNTIFS('OB History'!$B:$B,$A$43,'OB History'!P:P, 1)</f>
        <v>2</v>
      </c>
      <c r="Z43" s="2">
        <f>COUNTIFS('OB History'!$B:$B,$A$43,'OB History'!Q:Q, 1)</f>
        <v>0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0</v>
      </c>
      <c r="AG43" s="2">
        <f>COUNTIFS('OB History'!$B:$B,$A$43,'OB History'!X:X, 1)</f>
        <v>1</v>
      </c>
      <c r="AH43" s="2">
        <f>COUNTIFS('OB History'!$B:$B,$A$43,'OB History'!Y:Y, 1)</f>
        <v>1</v>
      </c>
      <c r="AI43" s="2">
        <f>COUNTIFS('OB History'!$B:$B,$A$43,'OB History'!Z:Z,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8</v>
      </c>
      <c r="E44" s="3">
        <v>3</v>
      </c>
      <c r="F44" s="3"/>
      <c r="G44" s="3"/>
      <c r="H44" s="34">
        <f>SUMIFS('OB History'!C:C,'OB History'!B:B,A44)</f>
        <v>1244</v>
      </c>
      <c r="I44" s="4">
        <f>AVERAGEIFS('OB History'!C:C,'OB History'!B:B,A44)</f>
        <v>25.916666666666668</v>
      </c>
      <c r="J44" s="35">
        <f t="array" ref="J44">MAX(IF('OB History'!B:B=A44, 'OB History'!C:C))</f>
        <v>58</v>
      </c>
      <c r="K44" s="34">
        <f>COUNTIFS('OB History'!B:B,A44,'OB History'!D:D, 1)</f>
        <v>22</v>
      </c>
      <c r="L44" s="2">
        <f>COUNTIFS('OB History'!B:B,A44,'OB History'!D:D, 0)</f>
        <v>26</v>
      </c>
      <c r="M44" s="88">
        <f>LOOKUP(2, 1/('OB History'!$B:$B=A44), 'OB History'!$AD:$AD)</f>
        <v>0.45833333333333331</v>
      </c>
      <c r="N44" s="34">
        <f>SUMIFS('OB History'!F:F,'OB History'!B:B,A44)</f>
        <v>99</v>
      </c>
      <c r="O44" s="2">
        <f>SUMIFS('OB History'!E:E,'OB History'!B:B,A44)-N44</f>
        <v>99</v>
      </c>
      <c r="P44" s="88">
        <f>LOOKUP(2, 1/('OB History'!$B:$B=A44), 'OB History'!$AB:$AB)</f>
        <v>0.51250000000000018</v>
      </c>
      <c r="Q44" s="34">
        <f>SUMIFS('OB History'!H:H,'OB History'!B:B,'Old Bow v2'!A44)</f>
        <v>414</v>
      </c>
      <c r="R44" s="2">
        <f>SUMIFS('OB History'!G:G,'OB History'!B:B,'Old Bow v2'!A44)-Q44</f>
        <v>400</v>
      </c>
      <c r="S44" s="88">
        <f>LOOKUP(2, 1/('OB History'!$B:$B=A44), 'OB History'!$AC:$AC)</f>
        <v>0.51770833333333321</v>
      </c>
      <c r="T44" s="2">
        <f>COUNTIFS('OB History'!$B:$B,$A$44,'OB History'!K:K, 1)</f>
        <v>6</v>
      </c>
      <c r="U44" s="2">
        <f>COUNTIFS('OB History'!$B:$B,$A$44,'OB History'!L:L, 1)</f>
        <v>6</v>
      </c>
      <c r="V44" s="2">
        <f>COUNTIFS('OB History'!$B:$B,$A$44,'OB History'!M:M, 1)</f>
        <v>3</v>
      </c>
      <c r="W44" s="2">
        <f>COUNTIFS('OB History'!$B:$B,$A$44,'OB History'!N:N, 1)</f>
        <v>10</v>
      </c>
      <c r="X44" s="2">
        <f>COUNTIFS('OB History'!$B:$B,$A$44,'OB History'!O:O, 1)</f>
        <v>1</v>
      </c>
      <c r="Y44" s="2">
        <f>COUNTIFS('OB History'!$B:$B,$A$44,'OB History'!P:P, 1)</f>
        <v>10</v>
      </c>
      <c r="Z44" s="2">
        <f>COUNTIFS('OB History'!$B:$B,$A$44,'OB History'!Q:Q, 1)</f>
        <v>4</v>
      </c>
      <c r="AA44" s="2">
        <f>COUNTIFS('OB History'!$B:$B,$A$44,'OB History'!R:R, 1)</f>
        <v>3</v>
      </c>
      <c r="AB44" s="2">
        <f>COUNTIFS('OB History'!$B:$B,$A$44,'OB History'!S:S, 1)</f>
        <v>1</v>
      </c>
      <c r="AC44" s="2">
        <f>COUNTIFS('OB History'!$B:$B,$A$44,'OB History'!T:T, 1)</f>
        <v>1</v>
      </c>
      <c r="AD44" s="2">
        <f>COUNTIFS('OB History'!$B:$B,$A$44,'OB History'!U:U, 1)</f>
        <v>1</v>
      </c>
      <c r="AE44" s="2">
        <f>COUNTIFS('OB History'!$B:$B,$A$44,'OB History'!V:V, 1)</f>
        <v>3</v>
      </c>
      <c r="AF44" s="2">
        <f>COUNTIFS('OB History'!$B:$B,$A$44,'OB History'!W:W, 1)</f>
        <v>7</v>
      </c>
      <c r="AG44" s="2">
        <f>COUNTIFS('OB History'!$B:$B,$A$44,'OB History'!X:X, 1)</f>
        <v>19</v>
      </c>
      <c r="AH44" s="2">
        <f>COUNTIFS('OB History'!$B:$B,$A$44,'OB History'!Y:Y, 1)</f>
        <v>8</v>
      </c>
      <c r="AI44" s="2">
        <f>COUNTIFS('OB History'!$B:$B,$A$44,'OB History'!Z:Z, 1)</f>
        <v>16</v>
      </c>
    </row>
    <row r="45" spans="1:35" x14ac:dyDescent="0.25">
      <c r="A45" s="2" t="s">
        <v>168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29</v>
      </c>
      <c r="I45" s="4">
        <f>AVERAGEIFS('OB History'!C:C,'OB History'!B:B,A45)</f>
        <v>14.5</v>
      </c>
      <c r="J45" s="35">
        <f t="array" ref="J45">MAX(IF('OB History'!B:B=A45, 'OB History'!C:C))</f>
        <v>18</v>
      </c>
      <c r="K45" s="34">
        <f>COUNTIFS('OB History'!B:B,A45,'OB History'!D:D, 1)</f>
        <v>0</v>
      </c>
      <c r="L45" s="2">
        <f>COUNTIFS('OB History'!B:B,A45,'OB History'!D:D, 0)</f>
        <v>2</v>
      </c>
      <c r="M45" s="88">
        <f>LOOKUP(2, 1/('OB History'!$B:$B=A45), 'OB History'!$AD:$AD)</f>
        <v>0</v>
      </c>
      <c r="N45" s="34">
        <f>SUMIFS('OB History'!F:F,'OB History'!B:B,A45)</f>
        <v>0</v>
      </c>
      <c r="O45" s="2">
        <f>SUMIFS('OB History'!E:E,'OB History'!B:B,A45)-N45</f>
        <v>6</v>
      </c>
      <c r="P45" s="88">
        <f>LOOKUP(2, 1/('OB History'!$B:$B=A45), 'OB History'!$AB:$AB)</f>
        <v>0</v>
      </c>
      <c r="Q45" s="34">
        <f>SUMIFS('OB History'!H:H,'OB History'!B:B,'Old Bow v2'!A45)</f>
        <v>7</v>
      </c>
      <c r="R45" s="2">
        <f>SUMIFS('OB History'!G:G,'OB History'!B:B,'Old Bow v2'!A45)-Q45</f>
        <v>18</v>
      </c>
      <c r="S45" s="88">
        <f>LOOKUP(2, 1/('OB History'!$B:$B=A45), 'OB History'!$AC:$AC)</f>
        <v>0.28000000000000003</v>
      </c>
      <c r="T45" s="2">
        <f>COUNTIFS('OB History'!$B:$B,$A$45,'OB History'!K:K, 1)</f>
        <v>0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0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155</v>
      </c>
      <c r="B46" s="2" t="s">
        <v>79</v>
      </c>
      <c r="C46" s="2" t="s">
        <v>79</v>
      </c>
      <c r="D46" s="3">
        <v>5</v>
      </c>
      <c r="E46" s="3">
        <v>1</v>
      </c>
      <c r="F46" s="3"/>
      <c r="G46" s="3"/>
      <c r="H46" s="34">
        <f>SUMIFS('OB History'!C:C,'OB History'!B:B,A46)</f>
        <v>279</v>
      </c>
      <c r="I46" s="4">
        <f>AVERAGEIFS('OB History'!C:C,'OB History'!B:B,A46)</f>
        <v>16.411764705882351</v>
      </c>
      <c r="J46" s="35">
        <f t="array" ref="J46">MAX(IF('OB History'!B:B=A46, 'OB History'!C:C))</f>
        <v>43</v>
      </c>
      <c r="K46" s="34">
        <f>COUNTIFS('OB History'!B:B,A46,'OB History'!D:D, 1)</f>
        <v>5</v>
      </c>
      <c r="L46" s="2">
        <f>COUNTIFS('OB History'!B:B,A46,'OB History'!D:D, 0)</f>
        <v>12</v>
      </c>
      <c r="M46" s="88">
        <f>LOOKUP(2, 1/('OB History'!$B:$B=A46), 'OB History'!$AD:$AD)</f>
        <v>0.29411764705882354</v>
      </c>
      <c r="N46" s="34">
        <f>SUMIFS('OB History'!F:F,'OB History'!B:B,A46)</f>
        <v>29</v>
      </c>
      <c r="O46" s="2">
        <f>SUMIFS('OB History'!E:E,'OB History'!B:B,A46)-N46</f>
        <v>45</v>
      </c>
      <c r="P46" s="88">
        <f>LOOKUP(2, 1/('OB History'!$B:$B=A46), 'OB History'!$AB:$AB)</f>
        <v>0.36764705882352938</v>
      </c>
      <c r="Q46" s="34">
        <f>SUMIFS('OB History'!H:H,'OB History'!B:B,'Old Bow v2'!A46)</f>
        <v>140</v>
      </c>
      <c r="R46" s="2">
        <f>SUMIFS('OB History'!G:G,'OB History'!B:B,'Old Bow v2'!A46)-Q46</f>
        <v>158</v>
      </c>
      <c r="S46" s="88">
        <f>LOOKUP(2, 1/('OB History'!$B:$B=A46), 'OB History'!$AC:$AC)</f>
        <v>0.45117647058823529</v>
      </c>
      <c r="T46" s="2">
        <f>COUNTIFS('OB History'!$B:$B,$A$46,'OB History'!K:K, 1)</f>
        <v>3</v>
      </c>
      <c r="U46" s="2">
        <f>COUNTIFS('OB History'!$B:$B,$A$46,'OB History'!L:L, 1)</f>
        <v>2</v>
      </c>
      <c r="V46" s="2">
        <f>COUNTIFS('OB History'!$B:$B,$A$46,'OB History'!M:M, 1)</f>
        <v>2</v>
      </c>
      <c r="W46" s="2">
        <f>COUNTIFS('OB History'!$B:$B,$A$46,'OB History'!N:N, 1)</f>
        <v>3</v>
      </c>
      <c r="X46" s="2">
        <f>COUNTIFS('OB History'!$B:$B,$A$46,'OB History'!O:O, 1)</f>
        <v>1</v>
      </c>
      <c r="Y46" s="2">
        <f>COUNTIFS('OB History'!$B:$B,$A$46,'OB History'!P:P, 1)</f>
        <v>4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1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1</v>
      </c>
      <c r="AG46" s="2">
        <f>COUNTIFS('OB History'!$B:$B,$A$46,'OB History'!X:X, 1)</f>
        <v>4</v>
      </c>
      <c r="AH46" s="2">
        <f>COUNTIFS('OB History'!$B:$B,$A$46,'OB History'!Y:Y, 1)</f>
        <v>3</v>
      </c>
      <c r="AI46" s="2">
        <f>COUNTIFS('OB History'!$B:$B,$A$46,'OB History'!Z:Z, 1)</f>
        <v>2</v>
      </c>
    </row>
    <row r="47" spans="1:35" x14ac:dyDescent="0.25">
      <c r="A47" s="2" t="s">
        <v>6</v>
      </c>
      <c r="B47" s="2" t="s">
        <v>60</v>
      </c>
      <c r="C47" s="2" t="s">
        <v>79</v>
      </c>
      <c r="D47" s="3"/>
      <c r="E47" s="3"/>
      <c r="F47" s="3"/>
      <c r="G47" s="3"/>
      <c r="H47" s="34">
        <f>SUMIFS('OB History'!C:C,'OB History'!B:B,A47)</f>
        <v>596</v>
      </c>
      <c r="I47" s="4">
        <f>AVERAGEIFS('OB History'!C:C,'OB History'!B:B,A47)</f>
        <v>23.84</v>
      </c>
      <c r="J47" s="35">
        <f t="array" ref="J47">MAX(IF('OB History'!B:B=A47, 'OB History'!C:C))</f>
        <v>51</v>
      </c>
      <c r="K47" s="34">
        <f>COUNTIFS('OB History'!B:B,A47,'OB History'!D:D, 1)</f>
        <v>17</v>
      </c>
      <c r="L47" s="2">
        <f>COUNTIFS('OB History'!B:B,A47,'OB History'!D:D, 0)</f>
        <v>8</v>
      </c>
      <c r="M47" s="88">
        <f>LOOKUP(2, 1/('OB History'!$B:$B=A47), 'OB History'!$AD:$AD)</f>
        <v>0.68</v>
      </c>
      <c r="N47" s="34">
        <f>SUMIFS('OB History'!F:F,'OB History'!B:B,A47)</f>
        <v>61</v>
      </c>
      <c r="O47" s="2">
        <f>SUMIFS('OB History'!E:E,'OB History'!B:B,A47)-N47</f>
        <v>41</v>
      </c>
      <c r="P47" s="88">
        <f>LOOKUP(2, 1/('OB History'!$B:$B=A47), 'OB History'!$AB:$AB)</f>
        <v>0.61799999999999999</v>
      </c>
      <c r="Q47" s="34">
        <f>SUMIFS('OB History'!H:H,'OB History'!B:B,'Old Bow v2'!A47)</f>
        <v>235</v>
      </c>
      <c r="R47" s="2">
        <f>SUMIFS('OB History'!G:G,'OB History'!B:B,'Old Bow v2'!A47)-Q47</f>
        <v>196</v>
      </c>
      <c r="S47" s="88">
        <f>LOOKUP(2, 1/('OB History'!$B:$B=A47), 'OB History'!$AC:$AC)</f>
        <v>0.55559999999999998</v>
      </c>
      <c r="T47" s="2">
        <f>COUNTIFS('OB History'!$B:$B,$A$47,'OB History'!K:K, 1)</f>
        <v>2</v>
      </c>
      <c r="U47" s="2">
        <f>COUNTIFS('OB History'!$B:$B,$A$47,'OB History'!L:L, 1)</f>
        <v>5</v>
      </c>
      <c r="V47" s="2">
        <f>COUNTIFS('OB History'!$B:$B,$A$47,'OB History'!M:M, 1)</f>
        <v>6</v>
      </c>
      <c r="W47" s="2">
        <f>COUNTIFS('OB History'!$B:$B,$A$47,'OB History'!N:N, 1)</f>
        <v>3</v>
      </c>
      <c r="X47" s="2">
        <f>COUNTIFS('OB History'!$B:$B,$A$47,'OB History'!O:O, 1)</f>
        <v>1</v>
      </c>
      <c r="Y47" s="2">
        <f>COUNTIFS('OB History'!$B:$B,$A$47,'OB History'!P:P, 1)</f>
        <v>8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7</v>
      </c>
      <c r="AG47" s="2">
        <f>COUNTIFS('OB History'!$B:$B,$A$47,'OB History'!X:X, 1)</f>
        <v>7</v>
      </c>
      <c r="AH47" s="2">
        <f>COUNTIFS('OB History'!$B:$B,$A$47,'OB History'!Y:Y, 1)</f>
        <v>5</v>
      </c>
      <c r="AI47" s="2">
        <f>COUNTIFS('OB History'!$B:$B,$A$47,'OB History'!Z:Z, 1)</f>
        <v>8</v>
      </c>
    </row>
    <row r="48" spans="1:35" x14ac:dyDescent="0.25">
      <c r="A48" s="2" t="s">
        <v>18</v>
      </c>
      <c r="B48" s="2" t="s">
        <v>79</v>
      </c>
      <c r="C48" s="2" t="s">
        <v>79</v>
      </c>
      <c r="D48" s="3">
        <v>2</v>
      </c>
      <c r="E48" s="3">
        <v>3</v>
      </c>
      <c r="F48" s="3"/>
      <c r="G48" s="3">
        <v>1</v>
      </c>
      <c r="H48" s="34">
        <f>SUMIFS('OB History'!C:C,'OB History'!B:B,A48)</f>
        <v>707</v>
      </c>
      <c r="I48" s="4">
        <f>AVERAGEIFS('OB History'!C:C,'OB History'!B:B,A48)</f>
        <v>26.185185185185187</v>
      </c>
      <c r="J48" s="35">
        <f t="array" ref="J48">MAX(IF('OB History'!B:B=A48, 'OB History'!C:C))</f>
        <v>55</v>
      </c>
      <c r="K48" s="34">
        <f>COUNTIFS('OB History'!B:B,A48,'OB History'!D:D, 1)</f>
        <v>12</v>
      </c>
      <c r="L48" s="2">
        <f>COUNTIFS('OB History'!B:B,A48,'OB History'!D:D, 0)</f>
        <v>15</v>
      </c>
      <c r="M48" s="88">
        <f>LOOKUP(2, 1/('OB History'!$B:$B=A48), 'OB History'!$AD:$AD)</f>
        <v>0.44444444444444442</v>
      </c>
      <c r="N48" s="34">
        <f>SUMIFS('OB History'!F:F,'OB History'!B:B,A48)</f>
        <v>53</v>
      </c>
      <c r="O48" s="2">
        <f>SUMIFS('OB History'!E:E,'OB History'!B:B,A48)-N48</f>
        <v>59</v>
      </c>
      <c r="P48" s="88">
        <f>LOOKUP(2, 1/('OB History'!$B:$B=A48), 'OB History'!$AB:$AB)</f>
        <v>0.46481481481481485</v>
      </c>
      <c r="Q48" s="34">
        <f>SUMIFS('OB History'!H:H,'OB History'!B:B,'Old Bow v2'!A48)</f>
        <v>223</v>
      </c>
      <c r="R48" s="2">
        <f>SUMIFS('OB History'!G:G,'OB History'!B:B,'Old Bow v2'!A48)-Q48</f>
        <v>239</v>
      </c>
      <c r="S48" s="88">
        <f>LOOKUP(2, 1/('OB History'!$B:$B=A48), 'OB History'!$AC:$AC)</f>
        <v>0.4807407407407408</v>
      </c>
      <c r="T48" s="2">
        <f>COUNTIFS('OB History'!$B:$B,$A$48,'OB History'!K:K, 1)</f>
        <v>3</v>
      </c>
      <c r="U48" s="2">
        <f>COUNTIFS('OB History'!$B:$B,$A$48,'OB History'!L:L, 1)</f>
        <v>3</v>
      </c>
      <c r="V48" s="2">
        <f>COUNTIFS('OB History'!$B:$B,$A$48,'OB History'!M:M, 1)</f>
        <v>1</v>
      </c>
      <c r="W48" s="2">
        <f>COUNTIFS('OB History'!$B:$B,$A$48,'OB History'!N:N, 1)</f>
        <v>9</v>
      </c>
      <c r="X48" s="2">
        <f>COUNTIFS('OB History'!$B:$B,$A$48,'OB History'!O:O, 1)</f>
        <v>2</v>
      </c>
      <c r="Y48" s="2">
        <f>COUNTIFS('OB History'!$B:$B,$A$48,'OB History'!P:P, 1)</f>
        <v>6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0</v>
      </c>
      <c r="AC48" s="2">
        <f>COUNTIFS('OB History'!$B:$B,$A$48,'OB History'!T:T, 1)</f>
        <v>1</v>
      </c>
      <c r="AD48" s="2">
        <f>COUNTIFS('OB History'!$B:$B,$A$48,'OB History'!U:U, 1)</f>
        <v>1</v>
      </c>
      <c r="AE48" s="2">
        <f>COUNTIFS('OB History'!$B:$B,$A$48,'OB History'!V:V, 1)</f>
        <v>0</v>
      </c>
      <c r="AF48" s="2">
        <f>COUNTIFS('OB History'!$B:$B,$A$48,'OB History'!W:W, 1)</f>
        <v>6</v>
      </c>
      <c r="AG48" s="2">
        <f>COUNTIFS('OB History'!$B:$B,$A$48,'OB History'!X:X, 1)</f>
        <v>7</v>
      </c>
      <c r="AH48" s="2">
        <f>COUNTIFS('OB History'!$B:$B,$A$48,'OB History'!Y:Y, 1)</f>
        <v>3</v>
      </c>
      <c r="AI48" s="2">
        <f>COUNTIFS('OB History'!$B:$B,$A$48,'OB History'!Z:Z, 1)</f>
        <v>6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3"/>
      <c r="F49" s="3"/>
      <c r="G49" s="3"/>
      <c r="H49" s="34">
        <f>SUMIFS('OB History'!C:C,'OB History'!B:B,A49)</f>
        <v>192</v>
      </c>
      <c r="I49" s="4">
        <f>AVERAGEIFS('OB History'!C:C,'OB History'!B:B,A49)</f>
        <v>19.2</v>
      </c>
      <c r="J49" s="35">
        <f t="array" ref="J49">MAX(IF('OB History'!B:B=A49, 'OB History'!C:C))</f>
        <v>49</v>
      </c>
      <c r="K49" s="34">
        <f>COUNTIFS('OB History'!B:B,A49,'OB History'!D:D, 1)</f>
        <v>7</v>
      </c>
      <c r="L49" s="2">
        <f>COUNTIFS('OB History'!B:B,A49,'OB History'!D:D, 0)</f>
        <v>3</v>
      </c>
      <c r="M49" s="88">
        <f>LOOKUP(2, 1/('OB History'!$B:$B=A49), 'OB History'!$AD:$AD)</f>
        <v>0.7</v>
      </c>
      <c r="N49" s="34">
        <f>SUMIFS('OB History'!F:F,'OB History'!B:B,A49)</f>
        <v>23</v>
      </c>
      <c r="O49" s="2">
        <f>SUMIFS('OB History'!E:E,'OB History'!B:B,A49)-N49</f>
        <v>15</v>
      </c>
      <c r="P49" s="88">
        <f>LOOKUP(2, 1/('OB History'!$B:$B=A49), 'OB History'!$AB:$AB)</f>
        <v>0.6100000000000001</v>
      </c>
      <c r="Q49" s="34">
        <f>SUMIFS('OB History'!H:H,'OB History'!B:B,'Old Bow v2'!A49)</f>
        <v>85</v>
      </c>
      <c r="R49" s="2">
        <f>SUMIFS('OB History'!G:G,'OB History'!B:B,'Old Bow v2'!A49)-Q49</f>
        <v>73</v>
      </c>
      <c r="S49" s="88">
        <f>LOOKUP(2, 1/('OB History'!$B:$B=A49), 'OB History'!$AC:$AC)</f>
        <v>0.53299999999999992</v>
      </c>
      <c r="T49" s="2">
        <f>COUNTIFS('OB History'!$B:$B,$A$49,'OB History'!K:K, 1)</f>
        <v>0</v>
      </c>
      <c r="U49" s="2">
        <f>COUNTIFS('OB History'!$B:$B,$A$49,'OB History'!L:L, 1)</f>
        <v>4</v>
      </c>
      <c r="V49" s="2">
        <f>COUNTIFS('OB History'!$B:$B,$A$49,'OB History'!M:M, 1)</f>
        <v>1</v>
      </c>
      <c r="W49" s="2">
        <f>COUNTIFS('OB History'!$B:$B,$A$49,'OB History'!N:N, 1)</f>
        <v>2</v>
      </c>
      <c r="X49" s="2">
        <f>COUNTIFS('OB History'!$B:$B,$A$49,'OB History'!O:O, 1)</f>
        <v>0</v>
      </c>
      <c r="Y49" s="2">
        <f>COUNTIFS('OB History'!$B:$B,$A$49,'OB History'!P:P, 1)</f>
        <v>1</v>
      </c>
      <c r="Z49" s="2">
        <f>COUNTIFS('OB History'!$B:$B,$A$49,'OB History'!Q:Q, 1)</f>
        <v>2</v>
      </c>
      <c r="AA49" s="2">
        <f>COUNTIFS('OB History'!$B:$B,$A$49,'OB History'!R:R, 1)</f>
        <v>1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2</v>
      </c>
      <c r="AG49" s="2">
        <f>COUNTIFS('OB History'!$B:$B,$A$49,'OB History'!X:X, 1)</f>
        <v>4</v>
      </c>
      <c r="AH49" s="2">
        <f>COUNTIFS('OB History'!$B:$B,$A$49,'OB History'!Y:Y, 1)</f>
        <v>2</v>
      </c>
      <c r="AI49" s="2">
        <f>COUNTIFS('OB History'!$B:$B,$A$49,'OB History'!Z:Z, 1)</f>
        <v>3</v>
      </c>
    </row>
    <row r="50" spans="1:35" x14ac:dyDescent="0.25">
      <c r="A50" s="2" t="s">
        <v>171</v>
      </c>
      <c r="B50" s="2" t="s">
        <v>79</v>
      </c>
      <c r="C50" s="2" t="s">
        <v>79</v>
      </c>
      <c r="D50" s="3"/>
      <c r="E50" s="3"/>
      <c r="F50" s="3"/>
      <c r="G50" s="3"/>
      <c r="H50" s="34">
        <f>SUMIFS('OB History'!C:C,'OB History'!B:B,A50)</f>
        <v>2</v>
      </c>
      <c r="I50" s="4">
        <f>AVERAGEIFS('OB History'!C:C,'OB History'!B:B,A50)</f>
        <v>2</v>
      </c>
      <c r="J50" s="35">
        <f t="array" ref="J50">MAX(IF('OB History'!B:B=A50, 'OB History'!C:C))</f>
        <v>2</v>
      </c>
      <c r="K50" s="34">
        <f>COUNTIFS('OB History'!B:B,A50,'OB History'!D:D, 1)</f>
        <v>0</v>
      </c>
      <c r="L50" s="2">
        <f>COUNTIFS('OB History'!B:B,A50,'OB History'!D:D, 0)</f>
        <v>1</v>
      </c>
      <c r="M50" s="88">
        <f>LOOKUP(2, 1/('OB History'!$B:$B=A50), 'OB History'!$AD:$AD)</f>
        <v>0</v>
      </c>
      <c r="N50" s="34">
        <f>SUMIFS('OB History'!F:F,'OB History'!B:B,A50)</f>
        <v>2</v>
      </c>
      <c r="O50" s="2">
        <f>SUMIFS('OB History'!E:E,'OB History'!B:B,A50)-N50</f>
        <v>3</v>
      </c>
      <c r="P50" s="88">
        <f>LOOKUP(2, 1/('OB History'!$B:$B=A50), 'OB History'!$AB:$AB)</f>
        <v>0.4</v>
      </c>
      <c r="Q50" s="34">
        <f>SUMIFS('OB History'!H:H,'OB History'!B:B,'Old Bow v2'!A50)</f>
        <v>6</v>
      </c>
      <c r="R50" s="2">
        <f>SUMIFS('OB History'!G:G,'OB History'!B:B,'Old Bow v2'!A50)-Q50</f>
        <v>14</v>
      </c>
      <c r="S50" s="88">
        <f>LOOKUP(2, 1/('OB History'!$B:$B=A50), 'OB History'!$AC:$AC)</f>
        <v>0.3</v>
      </c>
      <c r="T50" s="2">
        <f>COUNTIFS('OB History'!$B:$B,$A$50,'OB History'!K:K, 1)</f>
        <v>0</v>
      </c>
      <c r="U50" s="2">
        <f>COUNTIFS('OB History'!$B:$B,$A$50,'OB History'!L:L, 1)</f>
        <v>0</v>
      </c>
      <c r="V50" s="2">
        <f>COUNTIFS('OB History'!$B:$B,$A$50,'OB History'!M:M, 1)</f>
        <v>0</v>
      </c>
      <c r="W50" s="2">
        <f>COUNTIFS('OB History'!$B:$B,$A$50,'OB History'!N:N, 1)</f>
        <v>0</v>
      </c>
      <c r="X50" s="2">
        <f>COUNTIFS('OB History'!$B:$B,$A$50,'OB History'!O:O, 1)</f>
        <v>0</v>
      </c>
      <c r="Y50" s="2">
        <f>COUNTIFS('OB History'!$B:$B,$A$50,'OB History'!P:P, 1)</f>
        <v>0</v>
      </c>
      <c r="Z50" s="2">
        <f>COUNTIFS('OB History'!$B:$B,$A$50,'OB History'!Q:Q, 1)</f>
        <v>0</v>
      </c>
      <c r="AA50" s="2">
        <f>COUNTIFS('OB History'!$B:$B,$A$50,'OB History'!R:R, 1)</f>
        <v>0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0</v>
      </c>
      <c r="AF50" s="2">
        <f>COUNTIFS('OB History'!$B:$B,$A$50,'OB History'!W:W, 1)</f>
        <v>1</v>
      </c>
      <c r="AG50" s="2">
        <f>COUNTIFS('OB History'!$B:$B,$A$50,'OB History'!X:X, 1)</f>
        <v>0</v>
      </c>
      <c r="AH50" s="2">
        <f>COUNTIFS('OB History'!$B:$B,$A$50,'OB History'!Y:Y, 1)</f>
        <v>1</v>
      </c>
      <c r="AI50" s="2">
        <f>COUNTIFS('OB History'!$B:$B,$A$50,'OB History'!Z:Z, 1)</f>
        <v>0</v>
      </c>
    </row>
    <row r="51" spans="1:35" x14ac:dyDescent="0.25">
      <c r="A51" s="2" t="s">
        <v>14</v>
      </c>
      <c r="B51" s="6" t="s">
        <v>124</v>
      </c>
      <c r="C51" s="1" t="s">
        <v>161</v>
      </c>
      <c r="D51" s="3">
        <v>4</v>
      </c>
      <c r="E51" s="3">
        <v>1</v>
      </c>
      <c r="F51" s="3"/>
      <c r="G51" s="3"/>
      <c r="H51" s="34">
        <f>SUMIFS('OB History'!C:C,'OB History'!B:B,A51)</f>
        <v>992</v>
      </c>
      <c r="I51" s="4">
        <f>AVERAGEIFS('OB History'!C:C,'OB History'!B:B,A51)</f>
        <v>24.195121951219512</v>
      </c>
      <c r="J51" s="35">
        <f t="array" ref="J51">MAX(IF('OB History'!B:B=A51, 'OB History'!C:C))</f>
        <v>56</v>
      </c>
      <c r="K51" s="34">
        <f>COUNTIFS('OB History'!B:B,A51,'OB History'!D:D, 1)</f>
        <v>19</v>
      </c>
      <c r="L51" s="2">
        <f>COUNTIFS('OB History'!B:B,A51,'OB History'!D:D, 0)</f>
        <v>22</v>
      </c>
      <c r="M51" s="88">
        <f>LOOKUP(2, 1/('OB History'!$B:$B=A51), 'OB History'!$AD:$AD)</f>
        <v>0.46341463414634149</v>
      </c>
      <c r="N51" s="34">
        <f>SUMIFS('OB History'!F:F,'OB History'!B:B,A51)</f>
        <v>79</v>
      </c>
      <c r="O51" s="2">
        <f>SUMIFS('OB History'!E:E,'OB History'!B:B,A51)-N51</f>
        <v>88</v>
      </c>
      <c r="P51" s="88">
        <f>LOOKUP(2, 1/('OB History'!$B:$B=A51), 'OB History'!$AB:$AB)</f>
        <v>0.47317073170731705</v>
      </c>
      <c r="Q51" s="34">
        <f>SUMIFS('OB History'!H:H,'OB History'!B:B,'Old Bow v2'!A51)</f>
        <v>333</v>
      </c>
      <c r="R51" s="2">
        <f>SUMIFS('OB History'!G:G,'OB History'!B:B,'Old Bow v2'!A51)-Q51</f>
        <v>362</v>
      </c>
      <c r="S51" s="88">
        <f>LOOKUP(2, 1/('OB History'!$B:$B=A51), 'OB History'!$AC:$AC)</f>
        <v>0.48463414634146351</v>
      </c>
      <c r="T51" s="2">
        <f>COUNTIFS('OB History'!$B:$B,$A$51,'OB History'!K:K, 1)</f>
        <v>3</v>
      </c>
      <c r="U51" s="2">
        <f>COUNTIFS('OB History'!$B:$B,$A$51,'OB History'!L:L, 1)</f>
        <v>9</v>
      </c>
      <c r="V51" s="2">
        <f>COUNTIFS('OB History'!$B:$B,$A$51,'OB History'!M:M, 1)</f>
        <v>3</v>
      </c>
      <c r="W51" s="2">
        <f>COUNTIFS('OB History'!$B:$B,$A$51,'OB History'!N:N, 1)</f>
        <v>8</v>
      </c>
      <c r="X51" s="2">
        <f>COUNTIFS('OB History'!$B:$B,$A$51,'OB History'!O:O, 1)</f>
        <v>3</v>
      </c>
      <c r="Y51" s="2">
        <f>COUNTIFS('OB History'!$B:$B,$A$51,'OB History'!P:P, 1)</f>
        <v>6</v>
      </c>
      <c r="Z51" s="2">
        <f>COUNTIFS('OB History'!$B:$B,$A$51,'OB History'!Q:Q, 1)</f>
        <v>1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3</v>
      </c>
      <c r="AF51" s="2">
        <f>COUNTIFS('OB History'!$B:$B,$A$51,'OB History'!W:W, 1)</f>
        <v>9</v>
      </c>
      <c r="AG51" s="2">
        <f>COUNTIFS('OB History'!$B:$B,$A$51,'OB History'!X:X, 1)</f>
        <v>20</v>
      </c>
      <c r="AH51" s="2">
        <f>COUNTIFS('OB History'!$B:$B,$A$51,'OB History'!Y:Y, 1)</f>
        <v>4</v>
      </c>
      <c r="AI51" s="2">
        <f>COUNTIFS('OB History'!$B:$B,$A$51,'OB History'!Z:Z, 1)</f>
        <v>9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3"/>
      <c r="F52" s="3"/>
      <c r="G52" s="3"/>
      <c r="H52" s="34">
        <f>SUMIFS('OB History'!C:C,'OB History'!B:B,A52)</f>
        <v>80</v>
      </c>
      <c r="I52" s="4">
        <f>AVERAGEIFS('OB History'!C:C,'OB History'!B:B,A52)</f>
        <v>20</v>
      </c>
      <c r="J52" s="35">
        <f t="array" ref="J52">MAX(IF('OB History'!B:B=A52, 'OB History'!C:C))</f>
        <v>27</v>
      </c>
      <c r="K52" s="34">
        <f>COUNTIFS('OB History'!B:B,A52,'OB History'!D:D, 1)</f>
        <v>3</v>
      </c>
      <c r="L52" s="2">
        <f>COUNTIFS('OB History'!B:B,A52,'OB History'!D:D, 0)</f>
        <v>1</v>
      </c>
      <c r="M52" s="88">
        <f>LOOKUP(2, 1/('OB History'!$B:$B=A52), 'OB History'!$AD:$AD)</f>
        <v>0.75</v>
      </c>
      <c r="N52" s="34">
        <f>SUMIFS('OB History'!F:F,'OB History'!B:B,A52)</f>
        <v>11</v>
      </c>
      <c r="O52" s="2">
        <f>SUMIFS('OB History'!E:E,'OB History'!B:B,A52)-N52</f>
        <v>7</v>
      </c>
      <c r="P52" s="88">
        <f>LOOKUP(2, 1/('OB History'!$B:$B=A52), 'OB History'!$AB:$AB)</f>
        <v>0.65</v>
      </c>
      <c r="Q52" s="34">
        <f>SUMIFS('OB History'!H:H,'OB History'!B:B,'Old Bow v2'!A52)</f>
        <v>42</v>
      </c>
      <c r="R52" s="2">
        <f>SUMIFS('OB History'!G:G,'OB History'!B:B,'Old Bow v2'!A52)-Q52</f>
        <v>34</v>
      </c>
      <c r="S52" s="88">
        <f>LOOKUP(2, 1/('OB History'!$B:$B=A52), 'OB History'!$AC:$AC)</f>
        <v>0.5625</v>
      </c>
      <c r="T52" s="2">
        <f>COUNTIFS('OB History'!$B:$B,$A$52,'OB History'!K:K, 1)</f>
        <v>0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2</v>
      </c>
      <c r="X52" s="2">
        <f>COUNTIFS('OB History'!$B:$B,$A$52,'OB History'!O:O, 1)</f>
        <v>1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2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0</v>
      </c>
      <c r="AG52" s="2">
        <f>COUNTIFS('OB History'!$B:$B,$A$52,'OB History'!X:X, 1)</f>
        <v>3</v>
      </c>
      <c r="AH52" s="2">
        <f>COUNTIFS('OB History'!$B:$B,$A$52,'OB History'!Y:Y, 1)</f>
        <v>0</v>
      </c>
      <c r="AI52" s="2">
        <f>COUNTIFS('OB History'!$B:$B,$A$52,'OB History'!Z:Z, 1)</f>
        <v>2</v>
      </c>
    </row>
    <row r="53" spans="1:35" x14ac:dyDescent="0.25">
      <c r="A53" s="2" t="s">
        <v>4</v>
      </c>
      <c r="B53" s="2" t="s">
        <v>79</v>
      </c>
      <c r="C53" s="2" t="s">
        <v>79</v>
      </c>
      <c r="D53" s="3">
        <v>1</v>
      </c>
      <c r="E53" s="3"/>
      <c r="F53" s="3"/>
      <c r="G53" s="3"/>
      <c r="H53" s="34">
        <f>SUMIFS('OB History'!C:C,'OB History'!B:B,A53)</f>
        <v>220</v>
      </c>
      <c r="I53" s="4">
        <f>AVERAGEIFS('OB History'!C:C,'OB History'!B:B,A53)</f>
        <v>22</v>
      </c>
      <c r="J53" s="35">
        <f t="array" ref="J53">MAX(IF('OB History'!B:B=A53, 'OB History'!C:C))</f>
        <v>46</v>
      </c>
      <c r="K53" s="34">
        <f>COUNTIFS('OB History'!B:B,A53,'OB History'!D:D, 1)</f>
        <v>5</v>
      </c>
      <c r="L53" s="2">
        <f>COUNTIFS('OB History'!B:B,A53,'OB History'!D:D, 0)</f>
        <v>5</v>
      </c>
      <c r="M53" s="88">
        <f>LOOKUP(2, 1/('OB History'!$B:$B=A53), 'OB History'!$AD:$AD)</f>
        <v>0.5</v>
      </c>
      <c r="N53" s="34">
        <f>SUMIFS('OB History'!F:F,'OB History'!B:B,A53)</f>
        <v>18</v>
      </c>
      <c r="O53" s="2">
        <f>SUMIFS('OB History'!E:E,'OB History'!B:B,A53)-N53</f>
        <v>22</v>
      </c>
      <c r="P53" s="88">
        <f>LOOKUP(2, 1/('OB History'!$B:$B=A53), 'OB History'!$AB:$AB)</f>
        <v>0.42000000000000004</v>
      </c>
      <c r="Q53" s="34">
        <f>SUMIFS('OB History'!H:H,'OB History'!B:B,'Old Bow v2'!A53)</f>
        <v>78</v>
      </c>
      <c r="R53" s="2">
        <f>SUMIFS('OB History'!G:G,'OB History'!B:B,'Old Bow v2'!A53)-Q53</f>
        <v>85</v>
      </c>
      <c r="S53" s="88">
        <f>LOOKUP(2, 1/('OB History'!$B:$B=A53), 'OB History'!$AC:$AC)</f>
        <v>0.45800000000000002</v>
      </c>
      <c r="T53" s="2">
        <f>COUNTIFS('OB History'!$B:$B,$A$53,'OB History'!K:K, 1)</f>
        <v>1</v>
      </c>
      <c r="U53" s="2">
        <f>COUNTIFS('OB History'!$B:$B,$A$53,'OB History'!L:L, 1)</f>
        <v>5</v>
      </c>
      <c r="V53" s="2">
        <f>COUNTIFS('OB History'!$B:$B,$A$53,'OB History'!M:M, 1)</f>
        <v>3</v>
      </c>
      <c r="W53" s="2">
        <f>COUNTIFS('OB History'!$B:$B,$A$53,'OB History'!N:N, 1)</f>
        <v>0</v>
      </c>
      <c r="X53" s="2">
        <f>COUNTIFS('OB History'!$B:$B,$A$53,'OB History'!O:O, 1)</f>
        <v>2</v>
      </c>
      <c r="Y53" s="2">
        <f>COUNTIFS('OB History'!$B:$B,$A$53,'OB History'!P:P, 1)</f>
        <v>2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0</v>
      </c>
      <c r="AG53" s="2">
        <f>COUNTIFS('OB History'!$B:$B,$A$53,'OB History'!X:X, 1)</f>
        <v>1</v>
      </c>
      <c r="AH53" s="2">
        <f>COUNTIFS('OB History'!$B:$B,$A$53,'OB History'!Y:Y, 1)</f>
        <v>2</v>
      </c>
      <c r="AI53" s="2">
        <f>COUNTIFS('OB History'!$B:$B,$A$53,'OB History'!Z:Z,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139</v>
      </c>
      <c r="I54" s="4">
        <f>AVERAGEIFS('OB History'!C:C,'OB History'!B:B,A54)</f>
        <v>9.9285714285714288</v>
      </c>
      <c r="J54" s="35">
        <f t="array" ref="J54">MAX(IF('OB History'!B:B=A54, 'OB History'!C:C))</f>
        <v>20</v>
      </c>
      <c r="K54" s="34">
        <f>COUNTIFS('OB History'!B:B,A54,'OB History'!D:D, 1)</f>
        <v>8</v>
      </c>
      <c r="L54" s="2">
        <f>COUNTIFS('OB History'!B:B,A54,'OB History'!D:D, 0)</f>
        <v>6</v>
      </c>
      <c r="M54" s="88">
        <f>LOOKUP(2, 1/('OB History'!$B:$B=A54), 'OB History'!$AD:$AD)</f>
        <v>0.5714285714285714</v>
      </c>
      <c r="N54" s="34">
        <f>SUMIFS('OB History'!F:F,'OB History'!B:B,A54)</f>
        <v>32</v>
      </c>
      <c r="O54" s="2">
        <f>SUMIFS('OB History'!E:E,'OB History'!B:B,A54)-N54</f>
        <v>26</v>
      </c>
      <c r="P54" s="88">
        <f>LOOKUP(2, 1/('OB History'!$B:$B=A54), 'OB History'!$AB:$AB)</f>
        <v>0.5714285714285714</v>
      </c>
      <c r="Q54" s="34">
        <f>SUMIFS('OB History'!H:H,'OB History'!B:B,'Old Bow v2'!A54)</f>
        <v>126</v>
      </c>
      <c r="R54" s="2">
        <f>SUMIFS('OB History'!G:G,'OB History'!B:B,'Old Bow v2'!A54)-Q54</f>
        <v>108</v>
      </c>
      <c r="S54" s="88">
        <f>LOOKUP(2, 1/('OB History'!$B:$B=A54), 'OB History'!$AC:$AC)</f>
        <v>0.54357142857142871</v>
      </c>
      <c r="T54" s="2">
        <f>COUNTIFS('OB History'!$B:$B,$A$54,'OB History'!K:K, 1)</f>
        <v>3</v>
      </c>
      <c r="U54" s="2">
        <f>COUNTIFS('OB History'!$B:$B,$A$54,'OB History'!L:L, 1)</f>
        <v>1</v>
      </c>
      <c r="V54" s="2">
        <f>COUNTIFS('OB History'!$B:$B,$A$54,'OB History'!M:M, 1)</f>
        <v>1</v>
      </c>
      <c r="W54" s="2">
        <f>COUNTIFS('OB History'!$B:$B,$A$54,'OB History'!N:N, 1)</f>
        <v>6</v>
      </c>
      <c r="X54" s="2">
        <f>COUNTIFS('OB History'!$B:$B,$A$54,'OB History'!O:O, 1)</f>
        <v>1</v>
      </c>
      <c r="Y54" s="2">
        <f>COUNTIFS('OB History'!$B:$B,$A$54,'OB History'!P:P, 1)</f>
        <v>1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1</v>
      </c>
      <c r="AE54" s="2">
        <f>COUNTIFS('OB History'!$B:$B,$A$54,'OB History'!V:V, 1)</f>
        <v>0</v>
      </c>
      <c r="AF54" s="2">
        <f>COUNTIFS('OB History'!$B:$B,$A$54,'OB History'!W:W, 1)</f>
        <v>3</v>
      </c>
      <c r="AG54" s="2">
        <f>COUNTIFS('OB History'!$B:$B,$A$54,'OB History'!X:X, 1)</f>
        <v>8</v>
      </c>
      <c r="AH54" s="2">
        <f>COUNTIFS('OB History'!$B:$B,$A$54,'OB History'!Y:Y, 1)</f>
        <v>3</v>
      </c>
      <c r="AI54" s="2">
        <f>COUNTIFS('OB History'!$B:$B,$A$54,'OB History'!Z:Z, 1)</f>
        <v>3</v>
      </c>
    </row>
  </sheetData>
  <autoFilter ref="A1:AI5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04"/>
  <sheetViews>
    <sheetView workbookViewId="0">
      <pane ySplit="1" topLeftCell="A780" activePane="bottomLeft" state="frozen"/>
      <selection pane="bottomLeft" activeCell="A795" sqref="A795:Z80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168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168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170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171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162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6"/>
  <sheetViews>
    <sheetView tabSelected="1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T28" sqref="T28:AI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" t="s">
        <v>172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170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28</v>
      </c>
      <c r="I4" s="4">
        <f>AVERAGEIFS('OB History S2'!C:C,'OB History S2'!B:B,A4)</f>
        <v>5.6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2</v>
      </c>
      <c r="M4" s="88">
        <f>LOOKUP(2, 1/('OB History S2'!$B:$B=A4), 'OB History S2'!$AD:$AD)</f>
        <v>0.6</v>
      </c>
      <c r="N4" s="34">
        <f>SUMIFS('OB History S2'!F:F,'OB History S2'!B:B,A4)</f>
        <v>9</v>
      </c>
      <c r="O4" s="2">
        <f>SUMIFS('OB History S2'!E:E,'OB History S2'!B:B,A4)-N4</f>
        <v>8</v>
      </c>
      <c r="P4" s="88">
        <f>LOOKUP(2, 1/('OB History S2'!$B:$B=A4), 'OB History S2'!$AB:$AB)</f>
        <v>0.52</v>
      </c>
      <c r="Q4" s="34">
        <f>SUMIFS('OB History S2'!H:H,'OB History S2'!B:B,A4)</f>
        <v>37</v>
      </c>
      <c r="R4" s="2">
        <f>SUMIFS('OB History S2'!G:G,'OB History S2'!B:B,A4)-Q4</f>
        <v>36</v>
      </c>
      <c r="S4" s="88">
        <f>LOOKUP(2, 1/('OB History S2'!$B:$B=A4), 'OB History S2'!$AC:$AC)</f>
        <v>0.5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1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1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173</v>
      </c>
      <c r="I5" s="4">
        <f>AVERAGEIFS('OB History S2'!C:C,'OB History S2'!B:B,A5)</f>
        <v>19.222222222222221</v>
      </c>
      <c r="J5" s="35">
        <f t="array" ref="J5">MAX(IF('OB History S2'!B:B=A5, 'OB History S2'!C:C))</f>
        <v>36</v>
      </c>
      <c r="K5" s="34">
        <f>COUNTIFS('OB History S2'!B:B,A5,'OB History S2'!D:D, 1)</f>
        <v>5</v>
      </c>
      <c r="L5" s="2">
        <f>COUNTIFS('OB History S2'!B:B,A5,'OB History S2'!D:D, 0)</f>
        <v>4</v>
      </c>
      <c r="M5" s="88">
        <f>LOOKUP(2, 1/('OB History S2'!$B:$B=A5), 'OB History S2'!$AD:$AD)</f>
        <v>0.55555555555555558</v>
      </c>
      <c r="N5" s="34">
        <f>SUMIFS('OB History S2'!F:F,'OB History S2'!B:B,A5)</f>
        <v>17</v>
      </c>
      <c r="O5" s="2">
        <f>SUMIFS('OB History S2'!E:E,'OB History S2'!B:B,A5)-N5</f>
        <v>19</v>
      </c>
      <c r="P5" s="88">
        <f>LOOKUP(2, 1/('OB History S2'!$B:$B=A5), 'OB History S2'!$AB:$AB)</f>
        <v>0.43888888888888888</v>
      </c>
      <c r="Q5" s="34">
        <f>SUMIFS('OB History S2'!H:H,'OB History S2'!B:B,A5)</f>
        <v>71</v>
      </c>
      <c r="R5" s="2">
        <f>SUMIFS('OB History S2'!G:G,'OB History S2'!B:B,A5)-Q5</f>
        <v>81</v>
      </c>
      <c r="S5" s="88">
        <f>LOOKUP(2, 1/('OB History S2'!$B:$B=A5), 'OB History S2'!$AC:$AC)</f>
        <v>0.45777777777777778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1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0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3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ht="15.75" x14ac:dyDescent="0.25">
      <c r="A7" s="2" t="s">
        <v>35</v>
      </c>
      <c r="B7" s="80" t="s">
        <v>60</v>
      </c>
      <c r="C7" s="2" t="s">
        <v>79</v>
      </c>
      <c r="D7" s="2"/>
      <c r="E7" s="2"/>
      <c r="F7" s="2"/>
      <c r="G7" s="2"/>
      <c r="H7" s="34">
        <f>SUMIFS('OB History S2'!C:C,'OB History S2'!B:B,A7)</f>
        <v>182</v>
      </c>
      <c r="I7" s="4">
        <f>AVERAGEIFS('OB History S2'!C:C,'OB History S2'!B:B,A7)</f>
        <v>13</v>
      </c>
      <c r="J7" s="35">
        <f t="array" ref="J7">MAX(IF('OB History S2'!B:B=A7, 'OB History S2'!C:C))</f>
        <v>32</v>
      </c>
      <c r="K7" s="34">
        <f>COUNTIFS('OB History S2'!B:B,A7,'OB History S2'!D:D, 1)</f>
        <v>6</v>
      </c>
      <c r="L7" s="2">
        <f>COUNTIFS('OB History S2'!B:B,A7,'OB History S2'!D:D, 0)</f>
        <v>8</v>
      </c>
      <c r="M7" s="88">
        <f>LOOKUP(2, 1/('OB History S2'!$B:$B=A7), 'OB History S2'!$AD:$AD)</f>
        <v>0.42857142857142855</v>
      </c>
      <c r="N7" s="34">
        <f>SUMIFS('OB History S2'!F:F,'OB History S2'!B:B,A7)</f>
        <v>23</v>
      </c>
      <c r="O7" s="2">
        <f>SUMIFS('OB History S2'!E:E,'OB History S2'!B:B,A7)-N7</f>
        <v>32</v>
      </c>
      <c r="P7" s="88">
        <f>LOOKUP(2, 1/('OB History S2'!$B:$B=A7), 'OB History S2'!$AB:$AB)</f>
        <v>0.38928571428571423</v>
      </c>
      <c r="Q7" s="34">
        <f>SUMIFS('OB History S2'!H:H,'OB History S2'!B:B,A7)</f>
        <v>98</v>
      </c>
      <c r="R7" s="2">
        <f>SUMIFS('OB History S2'!G:G,'OB History S2'!B:B,A7)-Q7</f>
        <v>126</v>
      </c>
      <c r="S7" s="88">
        <f>LOOKUP(2, 1/('OB History S2'!$B:$B=A7), 'OB History S2'!$AC:$AC)</f>
        <v>0.41857142857142854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2</v>
      </c>
      <c r="X7" s="2">
        <f>COUNTIFS('OB History S2'!$B:$B,$A$7,'OB History S2'!O:O, 1)</f>
        <v>1</v>
      </c>
      <c r="Y7" s="2">
        <f>COUNTIFS('OB History S2'!$B:$B,$A$7,'OB History S2'!P:P, 1)</f>
        <v>2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200</v>
      </c>
      <c r="I10" s="4">
        <f>AVERAGEIFS('OB History S2'!C:C,'OB History S2'!B:B,A10)</f>
        <v>18.181818181818183</v>
      </c>
      <c r="J10" s="35">
        <f t="array" ref="J10">MAX(IF('OB History S2'!B:B=A10, 'OB History S2'!C:C))</f>
        <v>35</v>
      </c>
      <c r="K10" s="34">
        <f>COUNTIFS('OB History S2'!B:B,A10,'OB History S2'!D:D, 1)</f>
        <v>7</v>
      </c>
      <c r="L10" s="2">
        <f>COUNTIFS('OB History S2'!B:B,A10,'OB History S2'!D:D, 0)</f>
        <v>4</v>
      </c>
      <c r="M10" s="88">
        <f>LOOKUP(2, 1/('OB History S2'!$B:$B=A10), 'OB History S2'!$AD:$AD)</f>
        <v>0.63636363636363635</v>
      </c>
      <c r="N10" s="34">
        <f>SUMIFS('OB History S2'!F:F,'OB History S2'!B:B,A10)</f>
        <v>25</v>
      </c>
      <c r="O10" s="2">
        <f>SUMIFS('OB History S2'!E:E,'OB History S2'!B:B,A10)-N10</f>
        <v>21</v>
      </c>
      <c r="P10" s="88">
        <f>LOOKUP(2, 1/('OB History S2'!$B:$B=A10), 'OB History S2'!$AB:$AB)</f>
        <v>0.54090909090909089</v>
      </c>
      <c r="Q10" s="34">
        <f>SUMIFS('OB History S2'!H:H,'OB History S2'!B:B,A10)</f>
        <v>94</v>
      </c>
      <c r="R10" s="2">
        <f>SUMIFS('OB History S2'!G:G,'OB History S2'!B:B,A10)-Q10</f>
        <v>96</v>
      </c>
      <c r="S10" s="88">
        <f>LOOKUP(2, 1/('OB History S2'!$B:$B=A10), 'OB History S2'!$AC:$AC)</f>
        <v>0.50090909090909097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0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1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3</v>
      </c>
      <c r="AH10" s="2">
        <f>COUNTIFS('OB History S2'!$B:$B,$A$10,'OB History S2'!Y:Y, 1)</f>
        <v>3</v>
      </c>
      <c r="AI10" s="2">
        <f>COUNTIFS('OB History S2'!$B:$B,$A$10,'OB History S2'!Z:Z, 1)</f>
        <v>4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80</v>
      </c>
      <c r="I11" s="4">
        <f>AVERAGEIFS('OB History S2'!C:C,'OB History S2'!B:B,A11)</f>
        <v>13.333333333333334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5</v>
      </c>
      <c r="M11" s="88">
        <f>LOOKUP(2, 1/('OB History S2'!$B:$B=A11), 'OB History S2'!$AD:$AD)</f>
        <v>0.16666666666666666</v>
      </c>
      <c r="N11" s="34">
        <f>SUMIFS('OB History S2'!F:F,'OB History S2'!B:B,A11)</f>
        <v>8</v>
      </c>
      <c r="O11" s="2">
        <f>SUMIFS('OB History S2'!E:E,'OB History S2'!B:B,A11)-N11</f>
        <v>15</v>
      </c>
      <c r="P11" s="88">
        <f>LOOKUP(2, 1/('OB History S2'!$B:$B=A11), 'OB History S2'!$AB:$AB)</f>
        <v>0.34166666666666662</v>
      </c>
      <c r="Q11" s="34">
        <f>SUMIFS('OB History S2'!H:H,'OB History S2'!B:B,A11)</f>
        <v>45</v>
      </c>
      <c r="R11" s="2">
        <f>SUMIFS('OB History S2'!G:G,'OB History S2'!B:B,A11)-Q11</f>
        <v>57</v>
      </c>
      <c r="S11" s="88">
        <f>LOOKUP(2, 1/('OB History S2'!$B:$B=A11), 'OB History S2'!$AC:$AC)</f>
        <v>0.44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127</v>
      </c>
      <c r="I12" s="4">
        <f>AVERAGEIFS('OB History S2'!C:C,'OB History S2'!B:B,A12)</f>
        <v>18.142857142857142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2</v>
      </c>
      <c r="M12" s="88">
        <f>LOOKUP(2, 1/('OB History S2'!$B:$B=A12), 'OB History S2'!$AD:$AD)</f>
        <v>0.7142857142857143</v>
      </c>
      <c r="N12" s="34">
        <f>SUMIFS('OB History S2'!F:F,'OB History S2'!B:B,A12)</f>
        <v>18</v>
      </c>
      <c r="O12" s="2">
        <f>SUMIFS('OB History S2'!E:E,'OB History S2'!B:B,A12)-N12</f>
        <v>12</v>
      </c>
      <c r="P12" s="88">
        <f>LOOKUP(2, 1/('OB History S2'!$B:$B=A12), 'OB History S2'!$AB:$AB)</f>
        <v>0.6071428571428571</v>
      </c>
      <c r="Q12" s="34">
        <f>SUMIFS('OB History S2'!H:H,'OB History S2'!B:B,A12)</f>
        <v>65</v>
      </c>
      <c r="R12" s="2">
        <f>SUMIFS('OB History S2'!G:G,'OB History S2'!B:B,A12)-Q12</f>
        <v>48</v>
      </c>
      <c r="S12" s="88">
        <f>LOOKUP(2, 1/('OB History S2'!$B:$B=A12), 'OB History S2'!$AC:$AC)</f>
        <v>0.58571428571428574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85</v>
      </c>
      <c r="I16" s="4">
        <f>AVERAGEIFS('OB History S2'!C:C,'OB History S2'!B:B,A16)</f>
        <v>14.166666666666666</v>
      </c>
      <c r="J16" s="35">
        <f t="array" ref="J16">MAX(IF('OB History S2'!B:B=A16, 'OB History S2'!C:C))</f>
        <v>26</v>
      </c>
      <c r="K16" s="34">
        <f>COUNTIFS('OB History S2'!B:B,A16,'OB History S2'!D:D, 1)</f>
        <v>3</v>
      </c>
      <c r="L16" s="2">
        <f>COUNTIFS('OB History S2'!B:B,A16,'OB History S2'!D:D, 0)</f>
        <v>3</v>
      </c>
      <c r="M16" s="88">
        <f>LOOKUP(2, 1/('OB History S2'!$B:$B=A16), 'OB History S2'!$AD:$AD)</f>
        <v>0.5</v>
      </c>
      <c r="N16" s="34">
        <f>SUMIFS('OB History S2'!F:F,'OB History S2'!B:B,A16)</f>
        <v>13</v>
      </c>
      <c r="O16" s="2">
        <f>SUMIFS('OB History S2'!E:E,'OB History S2'!B:B,A16)-N16</f>
        <v>13</v>
      </c>
      <c r="P16" s="88">
        <f>LOOKUP(2, 1/('OB History S2'!$B:$B=A16), 'OB History S2'!$AB:$AB)</f>
        <v>0.5</v>
      </c>
      <c r="Q16" s="34">
        <f>SUMIFS('OB History S2'!H:H,'OB History S2'!B:B,A16)</f>
        <v>48</v>
      </c>
      <c r="R16" s="2">
        <f>SUMIFS('OB History S2'!G:G,'OB History S2'!B:B,A16)-Q16</f>
        <v>53</v>
      </c>
      <c r="S16" s="88">
        <f>LOOKUP(2, 1/('OB History S2'!$B:$B=A16), 'OB History S2'!$AC:$AC)</f>
        <v>0.47499999999999992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1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2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156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205</v>
      </c>
      <c r="I21" s="4">
        <f>AVERAGEIFS('OB History S2'!C:C,'OB History S2'!B:B,A21)</f>
        <v>12.058823529411764</v>
      </c>
      <c r="J21" s="35">
        <f t="array" ref="J21">MAX(IF('OB History S2'!B:B=A21, 'OB History S2'!C:C))</f>
        <v>21</v>
      </c>
      <c r="K21" s="34">
        <f>COUNTIFS('OB History S2'!B:B,A21,'OB History S2'!D:D, 1)</f>
        <v>5</v>
      </c>
      <c r="L21" s="2">
        <f>COUNTIFS('OB History S2'!B:B,A21,'OB History S2'!D:D, 0)</f>
        <v>12</v>
      </c>
      <c r="M21" s="88">
        <f>LOOKUP(2, 1/('OB History S2'!$B:$B=A21), 'OB History S2'!$AD:$AD)</f>
        <v>0.29411764705882354</v>
      </c>
      <c r="N21" s="34">
        <f>SUMIFS('OB History S2'!F:F,'OB History S2'!B:B,A21)</f>
        <v>27</v>
      </c>
      <c r="O21" s="2">
        <f>SUMIFS('OB History S2'!E:E,'OB History S2'!B:B,A21)-N21</f>
        <v>40</v>
      </c>
      <c r="P21" s="88">
        <f>LOOKUP(2, 1/('OB History S2'!$B:$B=A21), 'OB History S2'!$AB:$AB)</f>
        <v>0.39411764705882346</v>
      </c>
      <c r="Q21" s="34">
        <f>SUMIFS('OB History S2'!H:H,'OB History S2'!B:B,A21)</f>
        <v>124</v>
      </c>
      <c r="R21" s="2">
        <f>SUMIFS('OB History S2'!G:G,'OB History S2'!B:B,A21)-Q21</f>
        <v>148</v>
      </c>
      <c r="S21" s="88">
        <f>LOOKUP(2, 1/('OB History S2'!$B:$B=A21), 'OB History S2'!$AC:$AC)</f>
        <v>0.45941176470588241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1</v>
      </c>
      <c r="X21" s="2">
        <f>COUNTIFS('OB History S2'!$B:$B,$A$21,'OB History S2'!O:O, 1)</f>
        <v>1</v>
      </c>
      <c r="Y21" s="2">
        <f>COUNTIFS('OB History S2'!$B:$B,$A$21,'OB History S2'!P:P, 1)</f>
        <v>3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7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61</v>
      </c>
      <c r="I22" s="4">
        <f>AVERAGEIFS('OB History S2'!C:C,'OB History S2'!B:B,A22)</f>
        <v>20.333333333333332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1</v>
      </c>
      <c r="M22" s="88">
        <f>LOOKUP(2, 1/('OB History S2'!$B:$B=A22), 'OB History S2'!$AD:$AD)</f>
        <v>0.66666666666666663</v>
      </c>
      <c r="N22" s="34">
        <f>SUMIFS('OB History S2'!F:F,'OB History S2'!B:B,A22)</f>
        <v>7</v>
      </c>
      <c r="O22" s="2">
        <f>SUMIFS('OB History S2'!E:E,'OB History S2'!B:B,A22)-N22</f>
        <v>6</v>
      </c>
      <c r="P22" s="88">
        <f>LOOKUP(2, 1/('OB History S2'!$B:$B=A22), 'OB History S2'!$AB:$AB)</f>
        <v>0.53333333333333333</v>
      </c>
      <c r="Q22" s="34">
        <f>SUMIFS('OB History S2'!H:H,'OB History S2'!B:B,A22)</f>
        <v>28</v>
      </c>
      <c r="R22" s="2">
        <f>SUMIFS('OB History S2'!G:G,'OB History S2'!B:B,A22)-Q22</f>
        <v>25</v>
      </c>
      <c r="S22" s="88">
        <f>LOOKUP(2, 1/('OB History S2'!$B:$B=A22), 'OB History S2'!$AC:$AC)</f>
        <v>0.52999999999999992</v>
      </c>
      <c r="T22" s="2">
        <f>COUNTIFS('OB History S2'!$B:$B,$A$22,'OB History S2'!K:K, 1)</f>
        <v>0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3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124</v>
      </c>
      <c r="I23" s="4">
        <f>AVERAGEIFS('OB History S2'!C:C,'OB History S2'!B:B,A23)</f>
        <v>11.272727272727273</v>
      </c>
      <c r="J23" s="35">
        <f t="array" ref="J23">MAX(IF('OB History S2'!B:B=A23, 'OB History S2'!C:C))</f>
        <v>17</v>
      </c>
      <c r="K23" s="34">
        <f>COUNTIFS('OB History S2'!B:B,A23,'OB History S2'!D:D, 1)</f>
        <v>8</v>
      </c>
      <c r="L23" s="2">
        <f>COUNTIFS('OB History S2'!B:B,A23,'OB History S2'!D:D, 0)</f>
        <v>3</v>
      </c>
      <c r="M23" s="88">
        <f>LOOKUP(2, 1/('OB History S2'!$B:$B=A23), 'OB History S2'!$AD:$AD)</f>
        <v>0.72727272727272729</v>
      </c>
      <c r="N23" s="34">
        <f>SUMIFS('OB History S2'!F:F,'OB History S2'!B:B,A23)</f>
        <v>27</v>
      </c>
      <c r="O23" s="2">
        <f>SUMIFS('OB History S2'!E:E,'OB History S2'!B:B,A23)-N23</f>
        <v>20</v>
      </c>
      <c r="P23" s="88">
        <f>LOOKUP(2, 1/('OB History S2'!$B:$B=A23), 'OB History S2'!$AB:$AB)</f>
        <v>0.57272727272727275</v>
      </c>
      <c r="Q23" s="34">
        <f>SUMIFS('OB History S2'!H:H,'OB History S2'!B:B,A23)</f>
        <v>101</v>
      </c>
      <c r="R23" s="2">
        <f>SUMIFS('OB History S2'!G:G,'OB History S2'!B:B,A23)-Q23</f>
        <v>85</v>
      </c>
      <c r="S23" s="88">
        <f>LOOKUP(2, 1/('OB History S2'!$B:$B=A23), 'OB History S2'!$AC:$AC)</f>
        <v>0.54272727272727272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2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6</v>
      </c>
      <c r="AH23" s="2">
        <f>COUNTIFS('OB History S2'!$B:$B,$A$23,'OB History S2'!Y:Y, 1)</f>
        <v>2</v>
      </c>
      <c r="AI23" s="2">
        <f>COUNTIFS('OB History S2'!$B:$B,$A$23,'OB History S2'!Z:Z, 1)</f>
        <v>5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289</v>
      </c>
      <c r="I26" s="4">
        <f>AVERAGEIFS('OB History S2'!C:C,'OB History S2'!B:B,A26)</f>
        <v>13.761904761904763</v>
      </c>
      <c r="J26" s="35">
        <f t="array" ref="J26">MAX(IF('OB History S2'!B:B=A26, 'OB History S2'!C:C))</f>
        <v>23</v>
      </c>
      <c r="K26" s="34">
        <f>COUNTIFS('OB History S2'!B:B,A26,'OB History S2'!D:D, 1)</f>
        <v>14</v>
      </c>
      <c r="L26" s="2">
        <f>COUNTIFS('OB History S2'!B:B,A26,'OB History S2'!D:D, 0)</f>
        <v>7</v>
      </c>
      <c r="M26" s="88">
        <f>LOOKUP(2, 1/('OB History S2'!$B:$B=A26), 'OB History S2'!$AD:$AD)</f>
        <v>0.66666666666666663</v>
      </c>
      <c r="N26" s="34">
        <f>SUMIFS('OB History S2'!F:F,'OB History S2'!B:B,A26)</f>
        <v>49</v>
      </c>
      <c r="O26" s="2">
        <f>SUMIFS('OB History S2'!E:E,'OB History S2'!B:B,A26)-N26</f>
        <v>34</v>
      </c>
      <c r="P26" s="88">
        <f>LOOKUP(2, 1/('OB History S2'!$B:$B=A26), 'OB History S2'!$AB:$AB)</f>
        <v>0.61428571428571432</v>
      </c>
      <c r="Q26" s="34">
        <f>SUMIFS('OB History S2'!H:H,'OB History S2'!B:B,A26)</f>
        <v>183</v>
      </c>
      <c r="R26" s="2">
        <f>SUMIFS('OB History S2'!G:G,'OB History S2'!B:B,A26)-Q26</f>
        <v>154</v>
      </c>
      <c r="S26" s="88">
        <f>LOOKUP(2, 1/('OB History S2'!$B:$B=A26), 'OB History S2'!$AC:$AC)</f>
        <v>0.55095238095238097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1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3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1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10</v>
      </c>
      <c r="AH26" s="2">
        <f>COUNTIFS('OB History S2'!$B:$B,$A$26,'OB History S2'!Y:Y, 1)</f>
        <v>6</v>
      </c>
      <c r="AI26" s="2">
        <f>COUNTIFS('OB History S2'!$B:$B,$A$26,'OB History S2'!Z:Z, 1)</f>
        <v>8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162</v>
      </c>
      <c r="B28" s="2" t="s">
        <v>79</v>
      </c>
      <c r="C28" s="2" t="s">
        <v>79</v>
      </c>
      <c r="D28" s="3"/>
      <c r="E28" s="2"/>
      <c r="F28" s="2"/>
      <c r="G28" s="2"/>
      <c r="H28" s="34">
        <f>SUMIFS('OB History S2'!C:C,'OB History S2'!B:B,A28)</f>
        <v>15</v>
      </c>
      <c r="I28" s="4">
        <f>AVERAGEIFS('OB History S2'!C:C,'OB History S2'!B:B,A28)</f>
        <v>15</v>
      </c>
      <c r="J28" s="35">
        <f t="array" ref="J28">MAX(IF('OB History S2'!B:B=A28, 'OB History S2'!C:C))</f>
        <v>15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1</v>
      </c>
      <c r="O28" s="2">
        <f>SUMIFS('OB History S2'!E:E,'OB History S2'!B:B,A28)-N28</f>
        <v>3</v>
      </c>
      <c r="P28" s="88">
        <f>LOOKUP(2, 1/('OB History S2'!$B:$B=A28), 'OB History S2'!$AB:$AB)</f>
        <v>0.25</v>
      </c>
      <c r="Q28" s="34">
        <f>SUMIFS('OB History S2'!H:H,'OB History S2'!B:B,A28)</f>
        <v>8</v>
      </c>
      <c r="R28" s="2">
        <f>SUMIFS('OB History S2'!G:G,'OB History S2'!B:B,A28)-Q28</f>
        <v>11</v>
      </c>
      <c r="S28" s="88">
        <f>LOOKUP(2, 1/('OB History S2'!$B:$B=A28), 'OB History S2'!$AC:$AC)</f>
        <v>0.42</v>
      </c>
      <c r="T28" s="2">
        <f>COUNTIFS('OB History S2'!$B:$B,$A$28,'OB History S2'!K:K, 1)</f>
        <v>0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13</v>
      </c>
      <c r="B29" s="6" t="s">
        <v>124</v>
      </c>
      <c r="C29" s="6" t="s">
        <v>60</v>
      </c>
      <c r="D29" s="3">
        <v>5</v>
      </c>
      <c r="E29" s="6">
        <v>1</v>
      </c>
      <c r="F29" s="6">
        <v>1</v>
      </c>
      <c r="G29" s="6"/>
      <c r="H29" s="34">
        <f>SUMIFS('OB History S2'!C:C,'OB History S2'!B:B,A29)</f>
        <v>558</v>
      </c>
      <c r="I29" s="4">
        <f>AVERAGEIFS('OB History S2'!C:C,'OB History S2'!B:B,A29)</f>
        <v>25.363636363636363</v>
      </c>
      <c r="J29" s="35">
        <f t="array" ref="J29">MAX(IF('OB History S2'!B:B=A29, 'OB History S2'!C:C))</f>
        <v>58</v>
      </c>
      <c r="K29" s="34">
        <f>COUNTIFS('OB History S2'!B:B,A29,'OB History S2'!D:D, 1)</f>
        <v>16</v>
      </c>
      <c r="L29" s="2">
        <f>COUNTIFS('OB History S2'!B:B,A29,'OB History S2'!D:D, 0)</f>
        <v>6</v>
      </c>
      <c r="M29" s="88">
        <f>LOOKUP(2, 1/('OB History S2'!$B:$B=A29), 'OB History S2'!$AD:$AD)</f>
        <v>0.72727272727272729</v>
      </c>
      <c r="N29" s="34">
        <f>SUMIFS('OB History S2'!F:F,'OB History S2'!B:B,A29)</f>
        <v>56</v>
      </c>
      <c r="O29" s="2">
        <f>SUMIFS('OB History S2'!E:E,'OB History S2'!B:B,A29)-N29</f>
        <v>32</v>
      </c>
      <c r="P29" s="88">
        <f>LOOKUP(2, 1/('OB History S2'!$B:$B=A29), 'OB History S2'!$AB:$AB)</f>
        <v>0.66363636363636358</v>
      </c>
      <c r="Q29" s="34">
        <f>SUMIFS('OB History S2'!H:H,'OB History S2'!B:B,A29)</f>
        <v>209</v>
      </c>
      <c r="R29" s="2">
        <f>SUMIFS('OB History S2'!G:G,'OB History S2'!B:B,A29)-Q29</f>
        <v>147</v>
      </c>
      <c r="S29" s="88">
        <f>LOOKUP(2, 1/('OB History S2'!$B:$B=A29), 'OB History S2'!$AC:$AC)</f>
        <v>0.59545454545454546</v>
      </c>
      <c r="T29" s="2">
        <f>COUNTIFS('OB History S2'!$B:$B,$A$29,'OB History S2'!K:K, 1)</f>
        <v>4</v>
      </c>
      <c r="U29" s="2">
        <f>COUNTIFS('OB History S2'!$B:$B,$A$29,'OB History S2'!L:L, 1)</f>
        <v>4</v>
      </c>
      <c r="V29" s="2">
        <f>COUNTIFS('OB History S2'!$B:$B,$A$29,'OB History S2'!M:M, 1)</f>
        <v>1</v>
      </c>
      <c r="W29" s="2">
        <f>COUNTIFS('OB History S2'!$B:$B,$A$29,'OB History S2'!N:N, 1)</f>
        <v>4</v>
      </c>
      <c r="X29" s="2">
        <f>COUNTIFS('OB History S2'!$B:$B,$A$29,'OB History S2'!O:O, 1)</f>
        <v>0</v>
      </c>
      <c r="Y29" s="2">
        <f>COUNTIFS('OB History S2'!$B:$B,$A$29,'OB History S2'!P:P, 1)</f>
        <v>6</v>
      </c>
      <c r="Z29" s="2">
        <f>COUNTIFS('OB History S2'!$B:$B,$A$29,'OB History S2'!Q:Q, 1)</f>
        <v>1</v>
      </c>
      <c r="AA29" s="2">
        <f>COUNTIFS('OB History S2'!$B:$B,$A$29,'OB History S2'!R:R, 1)</f>
        <v>3</v>
      </c>
      <c r="AB29" s="2">
        <f>COUNTIFS('OB History S2'!$B:$B,$A$29,'OB History S2'!S:S, 1)</f>
        <v>1</v>
      </c>
      <c r="AC29" s="2">
        <f>COUNTIFS('OB History S2'!$B:$B,$A$29,'OB History S2'!T:T, 1)</f>
        <v>1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4</v>
      </c>
      <c r="AG29" s="2">
        <f>COUNTIFS('OB History S2'!$B:$B,$A$29,'OB History S2'!X:X, 1)</f>
        <v>7</v>
      </c>
      <c r="AH29" s="2">
        <f>COUNTIFS('OB History S2'!$B:$B,$A$29,'OB History S2'!Y:Y, 1)</f>
        <v>10</v>
      </c>
      <c r="AI29" s="2">
        <f>COUNTIFS('OB History S2'!$B:$B,$A$29,'OB History S2'!Z:Z, 1)</f>
        <v>8</v>
      </c>
    </row>
    <row r="30" spans="1:35" x14ac:dyDescent="0.25">
      <c r="A30" s="2" t="s">
        <v>2</v>
      </c>
      <c r="B30" s="6" t="s">
        <v>60</v>
      </c>
      <c r="C30" s="6" t="s">
        <v>79</v>
      </c>
      <c r="D30" s="3"/>
      <c r="E30" s="6"/>
      <c r="F30" s="6"/>
      <c r="G30" s="6"/>
      <c r="H30" s="34">
        <f>SUMIFS('OB History S2'!C:C,'OB History S2'!B:B,A30)</f>
        <v>70</v>
      </c>
      <c r="I30" s="4">
        <f>AVERAGEIFS('OB History S2'!C:C,'OB History S2'!B:B,A30)</f>
        <v>35</v>
      </c>
      <c r="J30" s="35">
        <f t="array" ref="J30">MAX(IF('OB History S2'!B:B=A30, 'OB History S2'!C:C))</f>
        <v>52</v>
      </c>
      <c r="K30" s="34">
        <f>COUNTIFS('OB History S2'!B:B,A30,'OB History S2'!D:D, 1)</f>
        <v>1</v>
      </c>
      <c r="L30" s="2">
        <f>COUNTIFS('OB History S2'!B:B,A30,'OB History S2'!D:D, 0)</f>
        <v>1</v>
      </c>
      <c r="M30" s="88">
        <f>LOOKUP(2, 1/('OB History S2'!$B:$B=A30), 'OB History S2'!$AD:$AD)</f>
        <v>0.5</v>
      </c>
      <c r="N30" s="34">
        <f>SUMIFS('OB History S2'!F:F,'OB History S2'!B:B,A30)</f>
        <v>5</v>
      </c>
      <c r="O30" s="2">
        <f>SUMIFS('OB History S2'!E:E,'OB History S2'!B:B,A30)-N30</f>
        <v>3</v>
      </c>
      <c r="P30" s="88">
        <f>LOOKUP(2, 1/('OB History S2'!$B:$B=A30), 'OB History S2'!$AB:$AB)</f>
        <v>0.7</v>
      </c>
      <c r="Q30" s="34">
        <f>SUMIFS('OB History S2'!H:H,'OB History S2'!B:B,A30)</f>
        <v>19</v>
      </c>
      <c r="R30" s="2">
        <f>SUMIFS('OB History S2'!G:G,'OB History S2'!B:B,A30)-Q30</f>
        <v>17</v>
      </c>
      <c r="S30" s="88">
        <f>LOOKUP(2, 1/('OB History S2'!$B:$B=A30), 'OB History S2'!$AC:$AC)</f>
        <v>0.55999999999999994</v>
      </c>
      <c r="T30" s="2">
        <f>COUNTIFS('OB History S2'!$B:$B,$A$30,'OB History S2'!K:K, 1)</f>
        <v>0</v>
      </c>
      <c r="U30" s="2">
        <f>COUNTIFS('OB History S2'!$B:$B,$A$30,'OB History S2'!L:L, 1)</f>
        <v>1</v>
      </c>
      <c r="V30" s="2">
        <f>COUNTIFS('OB History S2'!$B:$B,$A$30,'OB History S2'!M:M, 1)</f>
        <v>0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1</v>
      </c>
      <c r="AH30" s="2">
        <f>COUNTIFS('OB History S2'!$B:$B,$A$30,'OB History S2'!Y:Y, 1)</f>
        <v>0</v>
      </c>
      <c r="AI30" s="2">
        <f>COUNTIFS('OB History S2'!$B:$B,$A$30,'OB History S2'!Z:Z, 1)</f>
        <v>1</v>
      </c>
    </row>
    <row r="31" spans="1:35" x14ac:dyDescent="0.25">
      <c r="A31" s="2" t="s">
        <v>5</v>
      </c>
      <c r="B31" s="6" t="s">
        <v>60</v>
      </c>
      <c r="C31" s="6" t="s">
        <v>79</v>
      </c>
      <c r="D31" s="3">
        <v>1</v>
      </c>
      <c r="E31" s="6"/>
      <c r="F31" s="6"/>
      <c r="G31" s="6"/>
      <c r="H31" s="34">
        <f>SUMIFS('OB History S2'!C:C,'OB History S2'!B:B,A31)</f>
        <v>81</v>
      </c>
      <c r="I31" s="4">
        <f>AVERAGEIFS('OB History S2'!C:C,'OB History S2'!B:B,A31)</f>
        <v>27</v>
      </c>
      <c r="J31" s="35">
        <f t="array" ref="J31">MAX(IF('OB History S2'!B:B=A31, 'OB History S2'!C:C))</f>
        <v>51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4</v>
      </c>
      <c r="O31" s="2">
        <f>SUMIFS('OB History S2'!E:E,'OB History S2'!B:B,A31)-N31</f>
        <v>8</v>
      </c>
      <c r="P31" s="88">
        <f>LOOKUP(2, 1/('OB History S2'!$B:$B=A31), 'OB History S2'!$AB:$AB)</f>
        <v>0.28333333333333333</v>
      </c>
      <c r="Q31" s="34">
        <f>SUMIFS('OB History S2'!H:H,'OB History S2'!B:B,A31)</f>
        <v>21</v>
      </c>
      <c r="R31" s="2">
        <f>SUMIFS('OB History S2'!G:G,'OB History S2'!B:B,A31)-Q31</f>
        <v>28</v>
      </c>
      <c r="S31" s="88">
        <f>LOOKUP(2, 1/('OB History S2'!$B:$B=A31), 'OB History S2'!$AC:$AC)</f>
        <v>0.40666666666666668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1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0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2" t="s">
        <v>38</v>
      </c>
      <c r="B32" s="6" t="s">
        <v>79</v>
      </c>
      <c r="C32" s="6" t="s">
        <v>79</v>
      </c>
      <c r="D32" s="3">
        <v>1</v>
      </c>
      <c r="E32" s="6"/>
      <c r="F32" s="6"/>
      <c r="G32" s="6"/>
      <c r="H32" s="34">
        <f>SUMIFS('OB History S2'!C:C,'OB History S2'!B:B,A32)</f>
        <v>64</v>
      </c>
      <c r="I32" s="4">
        <f>AVERAGEIFS('OB History S2'!C:C,'OB History S2'!B:B,A32)</f>
        <v>12.8</v>
      </c>
      <c r="J32" s="35">
        <f t="array" ref="J32">MAX(IF('OB History S2'!B:B=A32, 'OB History S2'!C:C))</f>
        <v>28</v>
      </c>
      <c r="K32" s="34">
        <f>COUNTIFS('OB History S2'!B:B,A32,'OB History S2'!D:D, 1)</f>
        <v>3</v>
      </c>
      <c r="L32" s="2">
        <f>COUNTIFS('OB History S2'!B:B,A32,'OB History S2'!D:D, 0)</f>
        <v>2</v>
      </c>
      <c r="M32" s="88">
        <f>LOOKUP(2, 1/('OB History S2'!$B:$B=A32), 'OB History S2'!$AD:$AD)</f>
        <v>0.6</v>
      </c>
      <c r="N32" s="34">
        <f>SUMIFS('OB History S2'!F:F,'OB History S2'!B:B,A32)</f>
        <v>10</v>
      </c>
      <c r="O32" s="2">
        <f>SUMIFS('OB History S2'!E:E,'OB History S2'!B:B,A32)-N32</f>
        <v>11</v>
      </c>
      <c r="P32" s="88">
        <f>LOOKUP(2, 1/('OB History S2'!$B:$B=A32), 'OB History S2'!$AB:$AB)</f>
        <v>0.44000000000000006</v>
      </c>
      <c r="Q32" s="34">
        <f>SUMIFS('OB History S2'!H:H,'OB History S2'!B:B,A32)</f>
        <v>42</v>
      </c>
      <c r="R32" s="2">
        <f>SUMIFS('OB History S2'!G:G,'OB History S2'!B:B,A32)-Q32</f>
        <v>44</v>
      </c>
      <c r="S32" s="88">
        <f>LOOKUP(2, 1/('OB History S2'!$B:$B=A32), 'OB History S2'!$AC:$AC)</f>
        <v>0.47599999999999998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1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0</v>
      </c>
      <c r="AA32" s="2">
        <f>COUNTIFS('OB History S2'!$B:$B,$A$32,'OB History S2'!R:R, 1)</f>
        <v>1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3</v>
      </c>
      <c r="AH32" s="2">
        <f>COUNTIFS('OB History S2'!$B:$B,$A$32,'OB History S2'!Y:Y, 1)</f>
        <v>2</v>
      </c>
      <c r="AI32" s="2">
        <f>COUNTIFS('OB History S2'!$B:$B,$A$32,'OB History S2'!Z:Z, 1)</f>
        <v>2</v>
      </c>
    </row>
    <row r="33" spans="1:35" x14ac:dyDescent="0.25">
      <c r="A33" s="2" t="s">
        <v>141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51</v>
      </c>
      <c r="I33" s="4">
        <f>AVERAGEIFS('OB History S2'!C:C,'OB History S2'!B:B,A33)</f>
        <v>17</v>
      </c>
      <c r="J33" s="35">
        <f t="array" ref="J33">MAX(IF('OB History S2'!B:B=A33, 'OB History S2'!C:C))</f>
        <v>20</v>
      </c>
      <c r="K33" s="34">
        <f>COUNTIFS('OB History S2'!B:B,A33,'OB History S2'!D:D, 1)</f>
        <v>1</v>
      </c>
      <c r="L33" s="2">
        <f>COUNTIFS('OB History S2'!B:B,A33,'OB History S2'!D:D, 0)</f>
        <v>2</v>
      </c>
      <c r="M33" s="88">
        <f>LOOKUP(2, 1/('OB History S2'!$B:$B=A33), 'OB History S2'!$AD:$AD)</f>
        <v>0.33333333333333331</v>
      </c>
      <c r="N33" s="34">
        <f>SUMIFS('OB History S2'!F:F,'OB History S2'!B:B,A33)</f>
        <v>7</v>
      </c>
      <c r="O33" s="2">
        <f>SUMIFS('OB History S2'!E:E,'OB History S2'!B:B,A33)-N33</f>
        <v>6</v>
      </c>
      <c r="P33" s="88">
        <f>LOOKUP(2, 1/('OB History S2'!$B:$B=A33), 'OB History S2'!$AB:$AB)</f>
        <v>0.6</v>
      </c>
      <c r="Q33" s="34">
        <f>SUMIFS('OB History S2'!H:H,'OB History S2'!B:B,A33)</f>
        <v>27</v>
      </c>
      <c r="R33" s="2">
        <f>SUMIFS('OB History S2'!G:G,'OB History S2'!B:B,A33)-Q33</f>
        <v>28</v>
      </c>
      <c r="S33" s="88">
        <f>LOOKUP(2, 1/('OB History S2'!$B:$B=A33), 'OB History S2'!$AC:$AC)</f>
        <v>0.51666666666666661</v>
      </c>
      <c r="T33" s="2">
        <f>COUNTIFS('OB History S2'!$B:$B,$A$33,'OB History S2'!K:K, 1)</f>
        <v>1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1</v>
      </c>
      <c r="AH33" s="2">
        <f>COUNTIFS('OB History S2'!$B:$B,$A$33,'OB History S2'!Y:Y, 1)</f>
        <v>0</v>
      </c>
      <c r="AI33" s="2">
        <f>COUNTIFS('OB History S2'!$B:$B,$A$33,'OB History S2'!Z:Z, 1)</f>
        <v>1</v>
      </c>
    </row>
    <row r="34" spans="1:35" x14ac:dyDescent="0.25">
      <c r="A34" s="2" t="s">
        <v>40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152</v>
      </c>
      <c r="I34" s="4">
        <f>AVERAGEIFS('OB History S2'!C:C,'OB History S2'!B:B,A34)</f>
        <v>16.888888888888889</v>
      </c>
      <c r="J34" s="35">
        <f t="array" ref="J34">MAX(IF('OB History S2'!B:B=A34, 'OB History S2'!C:C))</f>
        <v>25</v>
      </c>
      <c r="K34" s="34">
        <f>COUNTIFS('OB History S2'!B:B,A34,'OB History S2'!D:D, 1)</f>
        <v>4</v>
      </c>
      <c r="L34" s="2">
        <f>COUNTIFS('OB History S2'!B:B,A34,'OB History S2'!D:D, 0)</f>
        <v>5</v>
      </c>
      <c r="M34" s="88">
        <f>LOOKUP(2, 1/('OB History S2'!$B:$B=A34), 'OB History S2'!$AD:$AD)</f>
        <v>0.44444444444444442</v>
      </c>
      <c r="N34" s="34">
        <f>SUMIFS('OB History S2'!F:F,'OB History S2'!B:B,A34)</f>
        <v>19</v>
      </c>
      <c r="O34" s="2">
        <f>SUMIFS('OB History S2'!E:E,'OB History S2'!B:B,A34)-N34</f>
        <v>19</v>
      </c>
      <c r="P34" s="88">
        <f>LOOKUP(2, 1/('OB History S2'!$B:$B=A34), 'OB History S2'!$AB:$AB)</f>
        <v>0.51666666666666661</v>
      </c>
      <c r="Q34" s="34">
        <f>SUMIFS('OB History S2'!H:H,'OB History S2'!B:B,A34)</f>
        <v>74</v>
      </c>
      <c r="R34" s="2">
        <f>SUMIFS('OB History S2'!G:G,'OB History S2'!B:B,A34)-Q34</f>
        <v>80</v>
      </c>
      <c r="S34" s="88">
        <f>LOOKUP(2, 1/('OB History S2'!$B:$B=A34), 'OB History S2'!$AC:$AC)</f>
        <v>0.47777777777777775</v>
      </c>
      <c r="T34" s="2">
        <f>COUNTIFS('OB History S2'!$B:$B,$A$34,'OB History S2'!K:K, 1)</f>
        <v>1</v>
      </c>
      <c r="U34" s="2">
        <f>COUNTIFS('OB History S2'!$B:$B,$A$34,'OB History S2'!L:L, 1)</f>
        <v>2</v>
      </c>
      <c r="V34" s="2">
        <f>COUNTIFS('OB History S2'!$B:$B,$A$34,'OB History S2'!M:M, 1)</f>
        <v>1</v>
      </c>
      <c r="W34" s="2">
        <f>COUNTIFS('OB History S2'!$B:$B,$A$34,'OB History S2'!N:N, 1)</f>
        <v>1</v>
      </c>
      <c r="X34" s="2">
        <f>COUNTIFS('OB History S2'!$B:$B,$A$34,'OB History S2'!O:O, 1)</f>
        <v>1</v>
      </c>
      <c r="Y34" s="2">
        <f>COUNTIFS('OB History S2'!$B:$B,$A$34,'OB History S2'!P:P, 1)</f>
        <v>1</v>
      </c>
      <c r="Z34" s="2">
        <f>COUNTIFS('OB History S2'!$B:$B,$A$34,'OB History S2'!Q:Q, 1)</f>
        <v>2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3</v>
      </c>
      <c r="AH34" s="2">
        <f>COUNTIFS('OB History S2'!$B:$B,$A$34,'OB History S2'!Y:Y, 1)</f>
        <v>2</v>
      </c>
      <c r="AI34" s="2">
        <f>COUNTIFS('OB History S2'!$B:$B,$A$34,'OB History S2'!Z:Z, 1)</f>
        <v>3</v>
      </c>
    </row>
    <row r="35" spans="1:35" x14ac:dyDescent="0.25">
      <c r="A35" s="2" t="s">
        <v>147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94</v>
      </c>
      <c r="I35" s="4">
        <f>AVERAGEIFS('OB History S2'!C:C,'OB History S2'!B:B,A35)</f>
        <v>15.666666666666666</v>
      </c>
      <c r="J35" s="35">
        <f t="array" ref="J35">MAX(IF('OB History S2'!B:B=A35, 'OB History S2'!C:C))</f>
        <v>34</v>
      </c>
      <c r="K35" s="34">
        <f>COUNTIFS('OB History S2'!B:B,A35,'OB History S2'!D:D, 1)</f>
        <v>1</v>
      </c>
      <c r="L35" s="2">
        <f>COUNTIFS('OB History S2'!B:B,A35,'OB History S2'!D:D, 0)</f>
        <v>5</v>
      </c>
      <c r="M35" s="88">
        <f>LOOKUP(2, 1/('OB History S2'!$B:$B=A35), 'OB History S2'!$AD:$AD)</f>
        <v>0.16666666666666666</v>
      </c>
      <c r="N35" s="34">
        <f>SUMIFS('OB History S2'!F:F,'OB History S2'!B:B,A35)</f>
        <v>5</v>
      </c>
      <c r="O35" s="2">
        <f>SUMIFS('OB History S2'!E:E,'OB History S2'!B:B,A35)-N35</f>
        <v>15</v>
      </c>
      <c r="P35" s="88">
        <f>LOOKUP(2, 1/('OB History S2'!$B:$B=A35), 'OB History S2'!$AB:$AB)</f>
        <v>0.23333333333333331</v>
      </c>
      <c r="Q35" s="34">
        <f>SUMIFS('OB History S2'!H:H,'OB History S2'!B:B,A35)</f>
        <v>32</v>
      </c>
      <c r="R35" s="2">
        <f>SUMIFS('OB History S2'!G:G,'OB History S2'!B:B,A35)-Q35</f>
        <v>52</v>
      </c>
      <c r="S35" s="88">
        <f>LOOKUP(2, 1/('OB History S2'!$B:$B=A35), 'OB History S2'!$AC:$AC)</f>
        <v>0.37166666666666665</v>
      </c>
      <c r="T35" s="2">
        <f>COUNTIFS('OB History S2'!$B:$B,$A$35,'OB History S2'!K:K, 1)</f>
        <v>1</v>
      </c>
      <c r="U35" s="2">
        <f>COUNTIFS('OB History S2'!$B:$B,$A$35,'OB History S2'!L:L, 1)</f>
        <v>1</v>
      </c>
      <c r="V35" s="2">
        <f>COUNTIFS('OB History S2'!$B:$B,$A$35,'OB History S2'!M:M, 1)</f>
        <v>0</v>
      </c>
      <c r="W35" s="2">
        <f>COUNTIFS('OB History S2'!$B:$B,$A$35,'OB History S2'!N:N, 1)</f>
        <v>1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0</v>
      </c>
      <c r="AH35" s="2">
        <f>COUNTIFS('OB History S2'!$B:$B,$A$35,'OB History S2'!Y:Y, 1)</f>
        <v>0</v>
      </c>
      <c r="AI35" s="2">
        <f>COUNTIFS('OB History S2'!$B:$B,$A$35,'OB History S2'!Z:Z, 1)</f>
        <v>1</v>
      </c>
    </row>
    <row r="36" spans="1:35" x14ac:dyDescent="0.25">
      <c r="A36" s="2" t="s">
        <v>17</v>
      </c>
      <c r="B36" s="2" t="s">
        <v>79</v>
      </c>
      <c r="C36" s="2" t="s">
        <v>79</v>
      </c>
      <c r="D36" s="3">
        <v>8</v>
      </c>
      <c r="E36" s="2">
        <v>3</v>
      </c>
      <c r="F36" s="2"/>
      <c r="G36" s="2"/>
      <c r="H36" s="34">
        <f>SUMIFS('OB History S2'!C:C,'OB History S2'!B:B,A36)</f>
        <v>412</v>
      </c>
      <c r="I36" s="4">
        <f>AVERAGEIFS('OB History S2'!C:C,'OB History S2'!B:B,A36)</f>
        <v>24.235294117647058</v>
      </c>
      <c r="J36" s="35">
        <f t="array" ref="J36">MAX(IF('OB History S2'!B:B=A36, 'OB History S2'!C:C))</f>
        <v>58</v>
      </c>
      <c r="K36" s="34">
        <f>COUNTIFS('OB History S2'!B:B,A36,'OB History S2'!D:D, 1)</f>
        <v>10</v>
      </c>
      <c r="L36" s="2">
        <f>COUNTIFS('OB History S2'!B:B,A36,'OB History S2'!D:D, 0)</f>
        <v>7</v>
      </c>
      <c r="M36" s="88">
        <f>LOOKUP(2, 1/('OB History S2'!$B:$B=A36), 'OB History S2'!$AD:$AD)</f>
        <v>0.58823529411764708</v>
      </c>
      <c r="N36" s="34">
        <f>SUMIFS('OB History S2'!F:F,'OB History S2'!B:B,A36)</f>
        <v>35</v>
      </c>
      <c r="O36" s="2">
        <f>SUMIFS('OB History S2'!E:E,'OB History S2'!B:B,A36)-N36</f>
        <v>33</v>
      </c>
      <c r="P36" s="88">
        <f>LOOKUP(2, 1/('OB History S2'!$B:$B=A36), 'OB History S2'!$AB:$AB)</f>
        <v>0.51470588235294112</v>
      </c>
      <c r="Q36" s="34">
        <f>SUMIFS('OB History S2'!H:H,'OB History S2'!B:B,A36)</f>
        <v>142</v>
      </c>
      <c r="R36" s="2">
        <f>SUMIFS('OB History S2'!G:G,'OB History S2'!B:B,A36)-Q36</f>
        <v>132</v>
      </c>
      <c r="S36" s="88">
        <f>LOOKUP(2, 1/('OB History S2'!$B:$B=A36), 'OB History S2'!$AC:$AC)</f>
        <v>0.51882352941176446</v>
      </c>
      <c r="T36" s="2">
        <f>COUNTIFS('OB History S2'!$B:$B,$A$36,'OB History S2'!K:K, 1)</f>
        <v>0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1</v>
      </c>
      <c r="Y36" s="2">
        <f>COUNTIFS('OB History S2'!$B:$B,$A$36,'OB History S2'!P:P, 1)</f>
        <v>0</v>
      </c>
      <c r="Z36" s="2">
        <f>COUNTIFS('OB History S2'!$B:$B,$A$36,'OB History S2'!Q:Q, 1)</f>
        <v>2</v>
      </c>
      <c r="AA36" s="2">
        <f>COUNTIFS('OB History S2'!$B:$B,$A$36,'OB History S2'!R:R, 1)</f>
        <v>3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1</v>
      </c>
      <c r="AF36" s="2">
        <f>COUNTIFS('OB History S2'!$B:$B,$A$36,'OB History S2'!W:W, 1)</f>
        <v>1</v>
      </c>
      <c r="AG36" s="2">
        <f>COUNTIFS('OB History S2'!$B:$B,$A$36,'OB History S2'!X:X, 1)</f>
        <v>10</v>
      </c>
      <c r="AH36" s="2">
        <f>COUNTIFS('OB History S2'!$B:$B,$A$36,'OB History S2'!Y:Y, 1)</f>
        <v>3</v>
      </c>
      <c r="AI36" s="2">
        <f>COUNTIFS('OB History S2'!$B:$B,$A$36,'OB History S2'!Z:Z, 1)</f>
        <v>6</v>
      </c>
    </row>
    <row r="37" spans="1:35" x14ac:dyDescent="0.25">
      <c r="A37" s="2" t="s">
        <v>168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29</v>
      </c>
      <c r="I37" s="4">
        <f>AVERAGEIFS('OB History S2'!C:C,'OB History S2'!B:B,A37)</f>
        <v>14.5</v>
      </c>
      <c r="J37" s="35">
        <f t="array" ref="J37">MAX(IF('OB History S2'!B:B=A37, 'OB History S2'!C:C))</f>
        <v>18</v>
      </c>
      <c r="K37" s="34">
        <f>COUNTIFS('OB History S2'!B:B,A37,'OB History S2'!D:D, 1)</f>
        <v>0</v>
      </c>
      <c r="L37" s="2">
        <f>COUNTIFS('OB History S2'!B:B,A37,'OB History S2'!D:D, 0)</f>
        <v>2</v>
      </c>
      <c r="M37" s="88">
        <f>LOOKUP(2, 1/('OB History S2'!$B:$B=A37), 'OB History S2'!$AD:$AD)</f>
        <v>0</v>
      </c>
      <c r="N37" s="34">
        <f>SUMIFS('OB History S2'!F:F,'OB History S2'!B:B,A37)</f>
        <v>0</v>
      </c>
      <c r="O37" s="2">
        <f>SUMIFS('OB History S2'!E:E,'OB History S2'!B:B,A37)-N37</f>
        <v>6</v>
      </c>
      <c r="P37" s="88">
        <f>LOOKUP(2, 1/('OB History S2'!$B:$B=A37), 'OB History S2'!$AB:$AB)</f>
        <v>0</v>
      </c>
      <c r="Q37" s="34">
        <f>SUMIFS('OB History S2'!H:H,'OB History S2'!B:B,A37)</f>
        <v>7</v>
      </c>
      <c r="R37" s="2">
        <f>SUMIFS('OB History S2'!G:G,'OB History S2'!B:B,A37)-Q37</f>
        <v>18</v>
      </c>
      <c r="S37" s="88">
        <f>LOOKUP(2, 1/('OB History S2'!$B:$B=A37), 'OB History S2'!$AC:$AC)</f>
        <v>0.28000000000000003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0</v>
      </c>
      <c r="X37" s="2">
        <f>COUNTIFS('OB History S2'!$B:$B,$A$37,'OB History S2'!O:O, 1)</f>
        <v>0</v>
      </c>
      <c r="Y37" s="2">
        <f>COUNTIFS('OB History S2'!$B:$B,$A$37,'OB History S2'!P:P, 1)</f>
        <v>0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0</v>
      </c>
      <c r="AI37" s="2">
        <f>COUNTIFS('OB History S2'!$B:$B,$A$37,'OB History S2'!Z:Z, 1)</f>
        <v>0</v>
      </c>
    </row>
    <row r="38" spans="1:35" x14ac:dyDescent="0.25">
      <c r="A38" s="2" t="s">
        <v>155</v>
      </c>
      <c r="B38" s="2" t="s">
        <v>79</v>
      </c>
      <c r="C38" s="2" t="s">
        <v>79</v>
      </c>
      <c r="D38" s="3">
        <v>5</v>
      </c>
      <c r="E38" s="3">
        <v>1</v>
      </c>
      <c r="F38" s="3"/>
      <c r="G38" s="3"/>
      <c r="H38" s="34">
        <f>SUMIFS('OB History S2'!C:C,'OB History S2'!B:B,A38)</f>
        <v>264</v>
      </c>
      <c r="I38" s="4">
        <f>AVERAGEIFS('OB History S2'!C:C,'OB History S2'!B:B,A38)</f>
        <v>17.600000000000001</v>
      </c>
      <c r="J38" s="35">
        <f t="array" ref="J38">MAX(IF('OB History S2'!B:B=A38, 'OB History S2'!C:C))</f>
        <v>43</v>
      </c>
      <c r="K38" s="34">
        <f>COUNTIFS('OB History S2'!B:B,A38,'OB History S2'!D:D, 1)</f>
        <v>4</v>
      </c>
      <c r="L38" s="2">
        <f>COUNTIFS('OB History S2'!B:B,A38,'OB History S2'!D:D, 0)</f>
        <v>11</v>
      </c>
      <c r="M38" s="88">
        <f>LOOKUP(2, 1/('OB History S2'!$B:$B=A38), 'OB History S2'!$AD:$AD)</f>
        <v>0.26666666666666666</v>
      </c>
      <c r="N38" s="34">
        <f>SUMIFS('OB History S2'!F:F,'OB History S2'!B:B,A38)</f>
        <v>24</v>
      </c>
      <c r="O38" s="2">
        <f>SUMIFS('OB History S2'!E:E,'OB History S2'!B:B,A38)-N38</f>
        <v>41</v>
      </c>
      <c r="P38" s="88">
        <f>LOOKUP(2, 1/('OB History S2'!$B:$B=A38), 'OB History S2'!$AB:$AB)</f>
        <v>0.33999999999999997</v>
      </c>
      <c r="Q38" s="34">
        <f>SUMIFS('OB History S2'!H:H,'OB History S2'!B:B,A38)</f>
        <v>118</v>
      </c>
      <c r="R38" s="2">
        <f>SUMIFS('OB History S2'!G:G,'OB History S2'!B:B,A38)-Q38</f>
        <v>142</v>
      </c>
      <c r="S38" s="88">
        <f>LOOKUP(2, 1/('OB History S2'!$B:$B=A38), 'OB History S2'!$AC:$AC)</f>
        <v>0.43333333333333335</v>
      </c>
      <c r="T38" s="2">
        <f>COUNTIFS('OB History S2'!$B:$B,$A$38,'OB History S2'!K:K, 1)</f>
        <v>2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2</v>
      </c>
      <c r="X38" s="2">
        <f>COUNTIFS('OB History S2'!$B:$B,$A$38,'OB History S2'!O:O, 1)</f>
        <v>1</v>
      </c>
      <c r="Y38" s="2">
        <f>COUNTIFS('OB History S2'!$B:$B,$A$38,'OB History S2'!P:P, 1)</f>
        <v>2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1</v>
      </c>
      <c r="AF38" s="2">
        <f>COUNTIFS('OB History S2'!$B:$B,$A$38,'OB History S2'!W:W, 1)</f>
        <v>1</v>
      </c>
      <c r="AG38" s="2">
        <f>COUNTIFS('OB History S2'!$B:$B,$A$38,'OB History S2'!X:X, 1)</f>
        <v>4</v>
      </c>
      <c r="AH38" s="2">
        <f>COUNTIFS('OB History S2'!$B:$B,$A$38,'OB History S2'!Y:Y, 1)</f>
        <v>3</v>
      </c>
      <c r="AI38" s="2">
        <f>COUNTIFS('OB History S2'!$B:$B,$A$38,'OB History S2'!Z:Z, 1)</f>
        <v>2</v>
      </c>
    </row>
    <row r="39" spans="1:35" x14ac:dyDescent="0.25">
      <c r="A39" s="2" t="s">
        <v>6</v>
      </c>
      <c r="B39" s="2" t="s">
        <v>60</v>
      </c>
      <c r="C39" s="2" t="s">
        <v>79</v>
      </c>
      <c r="D39" s="3"/>
      <c r="E39" s="2"/>
      <c r="F39" s="2"/>
      <c r="G39" s="2"/>
      <c r="H39" s="34">
        <f>SUMIFS('OB History S2'!C:C,'OB History S2'!B:B,A39)</f>
        <v>184</v>
      </c>
      <c r="I39" s="4">
        <f>AVERAGEIFS('OB History S2'!C:C,'OB History S2'!B:B,A39)</f>
        <v>26.285714285714285</v>
      </c>
      <c r="J39" s="35">
        <f t="array" ref="J39">MAX(IF('OB History S2'!B:B=A39, 'OB History S2'!C:C))</f>
        <v>51</v>
      </c>
      <c r="K39" s="34">
        <f>COUNTIFS('OB History S2'!B:B,A39,'OB History S2'!D:D, 1)</f>
        <v>3</v>
      </c>
      <c r="L39" s="2">
        <f>COUNTIFS('OB History S2'!B:B,A39,'OB History S2'!D:D, 0)</f>
        <v>4</v>
      </c>
      <c r="M39" s="88">
        <f>LOOKUP(2, 1/('OB History S2'!$B:$B=A39), 'OB History S2'!$AD:$AD)</f>
        <v>0.42857142857142855</v>
      </c>
      <c r="N39" s="34">
        <f>SUMIFS('OB History S2'!F:F,'OB History S2'!B:B,A39)</f>
        <v>15</v>
      </c>
      <c r="O39" s="2">
        <f>SUMIFS('OB History S2'!E:E,'OB History S2'!B:B,A39)-N39</f>
        <v>14</v>
      </c>
      <c r="P39" s="88">
        <f>LOOKUP(2, 1/('OB History S2'!$B:$B=A39), 'OB History S2'!$AB:$AB)</f>
        <v>0.54285714285714282</v>
      </c>
      <c r="Q39" s="34">
        <f>SUMIFS('OB History S2'!H:H,'OB History S2'!B:B,A39)</f>
        <v>65</v>
      </c>
      <c r="R39" s="2">
        <f>SUMIFS('OB History S2'!G:G,'OB History S2'!B:B,A39)-Q39</f>
        <v>57</v>
      </c>
      <c r="S39" s="88">
        <f>LOOKUP(2, 1/('OB History S2'!$B:$B=A39), 'OB History S2'!$AC:$AC)</f>
        <v>0.54714285714285704</v>
      </c>
      <c r="T39" s="2">
        <f>COUNTIFS('OB History S2'!$B:$B,$A$39,'OB History S2'!K:K, 1)</f>
        <v>1</v>
      </c>
      <c r="U39" s="2">
        <f>COUNTIFS('OB History S2'!$B:$B,$A$39,'OB History S2'!L:L, 1)</f>
        <v>0</v>
      </c>
      <c r="V39" s="2">
        <f>COUNTIFS('OB History S2'!$B:$B,$A$39,'OB History S2'!M:M, 1)</f>
        <v>3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1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0</v>
      </c>
      <c r="AH39" s="2">
        <f>COUNTIFS('OB History S2'!$B:$B,$A$39,'OB History S2'!Y:Y, 1)</f>
        <v>3</v>
      </c>
      <c r="AI39" s="2">
        <f>COUNTIFS('OB History S2'!$B:$B,$A$39,'OB History S2'!Z:Z, 1)</f>
        <v>1</v>
      </c>
    </row>
    <row r="40" spans="1:35" x14ac:dyDescent="0.25">
      <c r="A40" s="2" t="s">
        <v>18</v>
      </c>
      <c r="B40" s="2" t="s">
        <v>79</v>
      </c>
      <c r="C40" s="2" t="s">
        <v>79</v>
      </c>
      <c r="D40" s="3">
        <v>2</v>
      </c>
      <c r="E40" s="2">
        <v>4</v>
      </c>
      <c r="F40" s="2"/>
      <c r="G40" s="2">
        <v>1</v>
      </c>
      <c r="H40" s="34">
        <f>SUMIFS('OB History S2'!C:C,'OB History S2'!B:B,A40)</f>
        <v>293</v>
      </c>
      <c r="I40" s="4">
        <f>AVERAGEIFS('OB History S2'!C:C,'OB History S2'!B:B,A40)</f>
        <v>26.636363636363637</v>
      </c>
      <c r="J40" s="35">
        <f t="array" ref="J40">MAX(IF('OB History S2'!B:B=A40, 'OB History S2'!C:C))</f>
        <v>55</v>
      </c>
      <c r="K40" s="34">
        <f>COUNTIFS('OB History S2'!B:B,A40,'OB History S2'!D:D, 1)</f>
        <v>6</v>
      </c>
      <c r="L40" s="2">
        <f>COUNTIFS('OB History S2'!B:B,A40,'OB History S2'!D:D, 0)</f>
        <v>5</v>
      </c>
      <c r="M40" s="88">
        <f>LOOKUP(2, 1/('OB History S2'!$B:$B=A40), 'OB History S2'!$AD:$AD)</f>
        <v>0.54545454545454541</v>
      </c>
      <c r="N40" s="34">
        <f>SUMIFS('OB History S2'!F:F,'OB History S2'!B:B,A40)</f>
        <v>23</v>
      </c>
      <c r="O40" s="2">
        <f>SUMIFS('OB History S2'!E:E,'OB History S2'!B:B,A40)-N40</f>
        <v>21</v>
      </c>
      <c r="P40" s="88">
        <f>LOOKUP(2, 1/('OB History S2'!$B:$B=A40), 'OB History S2'!$AB:$AB)</f>
        <v>0.52272727272727271</v>
      </c>
      <c r="Q40" s="34">
        <f>SUMIFS('OB History S2'!H:H,'OB History S2'!B:B,A40)</f>
        <v>90</v>
      </c>
      <c r="R40" s="2">
        <f>SUMIFS('OB History S2'!G:G,'OB History S2'!B:B,A40)-Q40</f>
        <v>88</v>
      </c>
      <c r="S40" s="88">
        <f>LOOKUP(2, 1/('OB History S2'!$B:$B=A40), 'OB History S2'!$AC:$AC)</f>
        <v>0.51636363636363636</v>
      </c>
      <c r="T40" s="2">
        <f>COUNTIFS('OB History S2'!$B:$B,$A$40,'OB History S2'!K:K, 1)</f>
        <v>1</v>
      </c>
      <c r="U40" s="2">
        <f>COUNTIFS('OB History S2'!$B:$B,$A$40,'OB History S2'!L:L, 1)</f>
        <v>3</v>
      </c>
      <c r="V40" s="2">
        <f>COUNTIFS('OB History S2'!$B:$B,$A$40,'OB History S2'!M:M, 1)</f>
        <v>1</v>
      </c>
      <c r="W40" s="2">
        <f>COUNTIFS('OB History S2'!$B:$B,$A$40,'OB History S2'!N:N, 1)</f>
        <v>3</v>
      </c>
      <c r="X40" s="2">
        <f>COUNTIFS('OB History S2'!$B:$B,$A$40,'OB History S2'!O:O, 1)</f>
        <v>1</v>
      </c>
      <c r="Y40" s="2">
        <f>COUNTIFS('OB History S2'!$B:$B,$A$40,'OB History S2'!P:P, 1)</f>
        <v>2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1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2</v>
      </c>
    </row>
    <row r="41" spans="1:35" x14ac:dyDescent="0.25">
      <c r="A41" s="2" t="s">
        <v>113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184</v>
      </c>
      <c r="I41" s="4">
        <f>AVERAGEIFS('OB History S2'!C:C,'OB History S2'!B:B,A41)</f>
        <v>20.444444444444443</v>
      </c>
      <c r="J41" s="35">
        <f t="array" ref="J41">MAX(IF('OB History S2'!B:B=A41, 'OB History S2'!C:C))</f>
        <v>49</v>
      </c>
      <c r="K41" s="34">
        <f>COUNTIFS('OB History S2'!B:B,A41,'OB History S2'!D:D, 1)</f>
        <v>6</v>
      </c>
      <c r="L41" s="2">
        <f>COUNTIFS('OB History S2'!B:B,A41,'OB History S2'!D:D, 0)</f>
        <v>3</v>
      </c>
      <c r="M41" s="88">
        <f>LOOKUP(2, 1/('OB History S2'!$B:$B=A41), 'OB History S2'!$AD:$AD)</f>
        <v>0.66666666666666663</v>
      </c>
      <c r="N41" s="34">
        <f>SUMIFS('OB History S2'!F:F,'OB History S2'!B:B,A41)</f>
        <v>20</v>
      </c>
      <c r="O41" s="2">
        <f>SUMIFS('OB History S2'!E:E,'OB History S2'!B:B,A41)-N41</f>
        <v>13</v>
      </c>
      <c r="P41" s="88">
        <f>LOOKUP(2, 1/('OB History S2'!$B:$B=A41), 'OB History S2'!$AB:$AB)</f>
        <v>0.61111111111111116</v>
      </c>
      <c r="Q41" s="34">
        <f>SUMIFS('OB History S2'!H:H,'OB History S2'!B:B,A41)</f>
        <v>73</v>
      </c>
      <c r="R41" s="2">
        <f>SUMIFS('OB History S2'!G:G,'OB History S2'!B:B,A41)-Q41</f>
        <v>64</v>
      </c>
      <c r="S41" s="88">
        <f>LOOKUP(2, 1/('OB History S2'!$B:$B=A41), 'OB History S2'!$AC:$AC)</f>
        <v>0.52888888888888885</v>
      </c>
      <c r="T41" s="2">
        <f>COUNTIFS('OB History S2'!$B:$B,$A$41,'OB History S2'!K:K, 1)</f>
        <v>0</v>
      </c>
      <c r="U41" s="2">
        <f>COUNTIFS('OB History S2'!$B:$B,$A$41,'OB History S2'!L:L, 1)</f>
        <v>4</v>
      </c>
      <c r="V41" s="2">
        <f>COUNTIFS('OB History S2'!$B:$B,$A$41,'OB History S2'!M:M, 1)</f>
        <v>0</v>
      </c>
      <c r="W41" s="2">
        <f>COUNTIFS('OB History S2'!$B:$B,$A$41,'OB History S2'!N:N, 1)</f>
        <v>2</v>
      </c>
      <c r="X41" s="2">
        <f>COUNTIFS('OB History S2'!$B:$B,$A$41,'OB History S2'!O:O, 1)</f>
        <v>0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2</v>
      </c>
      <c r="AI41" s="2">
        <f>COUNTIFS('OB History S2'!$B:$B,$A$41,'OB History S2'!Z:Z, 1)</f>
        <v>3</v>
      </c>
    </row>
    <row r="42" spans="1:35" x14ac:dyDescent="0.25">
      <c r="A42" s="2" t="s">
        <v>171</v>
      </c>
      <c r="B42" s="2" t="s">
        <v>79</v>
      </c>
      <c r="C42" s="2" t="s">
        <v>79</v>
      </c>
      <c r="D42" s="3"/>
      <c r="E42" s="2"/>
      <c r="F42" s="2"/>
      <c r="G42" s="2"/>
      <c r="H42" s="34">
        <f>SUMIFS('OB History S2'!C:C,'OB History S2'!B:B,A42)</f>
        <v>2</v>
      </c>
      <c r="I42" s="4">
        <f>AVERAGEIFS('OB History S2'!C:C,'OB History S2'!B:B,A42)</f>
        <v>2</v>
      </c>
      <c r="J42" s="35">
        <f t="array" ref="J42">MAX(IF('OB History S2'!B:B=A42, 'OB History S2'!C:C))</f>
        <v>2</v>
      </c>
      <c r="K42" s="34">
        <f>COUNTIFS('OB History S2'!B:B,A42,'OB History S2'!D:D, 1)</f>
        <v>0</v>
      </c>
      <c r="L42" s="2">
        <f>COUNTIFS('OB History S2'!B:B,A42,'OB History S2'!D:D, 0)</f>
        <v>1</v>
      </c>
      <c r="M42" s="88">
        <f>LOOKUP(2, 1/('OB History S2'!$B:$B=A42), 'OB History S2'!$AD:$AD)</f>
        <v>0</v>
      </c>
      <c r="N42" s="34">
        <f>SUMIFS('OB History S2'!F:F,'OB History S2'!B:B,A42)</f>
        <v>2</v>
      </c>
      <c r="O42" s="2">
        <f>SUMIFS('OB History S2'!E:E,'OB History S2'!B:B,A42)-N42</f>
        <v>3</v>
      </c>
      <c r="P42" s="88">
        <f>LOOKUP(2, 1/('OB History S2'!$B:$B=A42), 'OB History S2'!$AB:$AB)</f>
        <v>0.4</v>
      </c>
      <c r="Q42" s="34">
        <f>SUMIFS('OB History S2'!H:H,'OB History S2'!B:B,A42)</f>
        <v>6</v>
      </c>
      <c r="R42" s="2">
        <f>SUMIFS('OB History S2'!G:G,'OB History S2'!B:B,A42)-Q42</f>
        <v>14</v>
      </c>
      <c r="S42" s="88">
        <f>LOOKUP(2, 1/('OB History S2'!$B:$B=A42), 'OB History S2'!$AC:$AC)</f>
        <v>0.3</v>
      </c>
      <c r="T42" s="2">
        <f>COUNTIFS('OB History S2'!$B:$B,$A$42,'OB History S2'!K:K, 1)</f>
        <v>0</v>
      </c>
      <c r="U42" s="2">
        <f>COUNTIFS('OB History S2'!$B:$B,$A$42,'OB History S2'!L:L, 1)</f>
        <v>0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0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</v>
      </c>
      <c r="B43" s="6" t="s">
        <v>124</v>
      </c>
      <c r="C43" s="6" t="s">
        <v>124</v>
      </c>
      <c r="D43" s="3">
        <v>4</v>
      </c>
      <c r="E43" s="6">
        <v>1</v>
      </c>
      <c r="F43" s="6"/>
      <c r="G43" s="6"/>
      <c r="H43" s="34">
        <f>SUMIFS('OB History S2'!C:C,'OB History S2'!B:B,A43)</f>
        <v>295</v>
      </c>
      <c r="I43" s="4">
        <f>AVERAGEIFS('OB History S2'!C:C,'OB History S2'!B:B,A43)</f>
        <v>21.071428571428573</v>
      </c>
      <c r="J43" s="35">
        <f t="array" ref="J43">MAX(IF('OB History S2'!B:B=A43, 'OB History S2'!C:C))</f>
        <v>51</v>
      </c>
      <c r="K43" s="34">
        <f>COUNTIFS('OB History S2'!B:B,A43,'OB History S2'!D:D, 1)</f>
        <v>3</v>
      </c>
      <c r="L43" s="2">
        <f>COUNTIFS('OB History S2'!B:B,A43,'OB History S2'!D:D, 0)</f>
        <v>11</v>
      </c>
      <c r="M43" s="88">
        <f>LOOKUP(2, 1/('OB History S2'!$B:$B=A43), 'OB History S2'!$AD:$AD)</f>
        <v>0.21428571428571427</v>
      </c>
      <c r="N43" s="34">
        <f>SUMIFS('OB History S2'!F:F,'OB History S2'!B:B,A43)</f>
        <v>19</v>
      </c>
      <c r="O43" s="2">
        <f>SUMIFS('OB History S2'!E:E,'OB History S2'!B:B,A43)-N43</f>
        <v>36</v>
      </c>
      <c r="P43" s="88">
        <f>LOOKUP(2, 1/('OB History S2'!$B:$B=A43), 'OB History S2'!$AB:$AB)</f>
        <v>0.32500000000000001</v>
      </c>
      <c r="Q43" s="34">
        <f>SUMIFS('OB History S2'!H:H,'OB History S2'!B:B,A43)</f>
        <v>93</v>
      </c>
      <c r="R43" s="2">
        <f>SUMIFS('OB History S2'!G:G,'OB History S2'!B:B,A43)-Q43</f>
        <v>133</v>
      </c>
      <c r="S43" s="88">
        <f>LOOKUP(2, 1/('OB History S2'!$B:$B=A43), 'OB History S2'!$AC:$AC)</f>
        <v>0.41499999999999998</v>
      </c>
      <c r="T43" s="2">
        <f>COUNTIFS('OB History S2'!$B:$B,$A$43,'OB History S2'!K:K, 1)</f>
        <v>0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1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6</v>
      </c>
      <c r="AH43" s="2">
        <f>COUNTIFS('OB History S2'!$B:$B,$A$43,'OB History S2'!Y:Y, 1)</f>
        <v>2</v>
      </c>
      <c r="AI43" s="2">
        <f>COUNTIFS('OB History S2'!$B:$B,$A$43,'OB History S2'!Z:Z, 1)</f>
        <v>1</v>
      </c>
    </row>
    <row r="44" spans="1:35" x14ac:dyDescent="0.25">
      <c r="A44" s="2" t="s">
        <v>70</v>
      </c>
      <c r="B44" s="6" t="s">
        <v>79</v>
      </c>
      <c r="C44" s="6" t="s">
        <v>79</v>
      </c>
      <c r="D44" s="3"/>
      <c r="E44" s="6"/>
      <c r="F44" s="6"/>
      <c r="G44" s="6"/>
      <c r="H44" s="34">
        <f>SUMIFS('OB History S2'!C:C,'OB History S2'!B:B,A44)</f>
        <v>34</v>
      </c>
      <c r="I44" s="4">
        <f>AVERAGEIFS('OB History S2'!C:C,'OB History S2'!B:B,A44)</f>
        <v>17</v>
      </c>
      <c r="J44" s="35">
        <f t="array" ref="J44">MAX(IF('OB History S2'!B:B=A44, 'OB History S2'!C:C))</f>
        <v>27</v>
      </c>
      <c r="K44" s="34">
        <f>COUNTIFS('OB History S2'!B:B,A44,'OB History S2'!D:D, 1)</f>
        <v>2</v>
      </c>
      <c r="L44" s="2">
        <f>COUNTIFS('OB History S2'!B:B,A44,'OB History S2'!D:D, 0)</f>
        <v>0</v>
      </c>
      <c r="M44" s="88">
        <f>LOOKUP(2, 1/('OB History S2'!$B:$B=A44), 'OB History S2'!$AD:$AD)</f>
        <v>1</v>
      </c>
      <c r="N44" s="34">
        <f>SUMIFS('OB History S2'!F:F,'OB History S2'!B:B,A44)</f>
        <v>6</v>
      </c>
      <c r="O44" s="2">
        <f>SUMIFS('OB History S2'!E:E,'OB History S2'!B:B,A44)-N44</f>
        <v>2</v>
      </c>
      <c r="P44" s="88">
        <f>LOOKUP(2, 1/('OB History S2'!$B:$B=A44), 'OB History S2'!$AB:$AB)</f>
        <v>0.8</v>
      </c>
      <c r="Q44" s="34">
        <f>SUMIFS('OB History S2'!H:H,'OB History S2'!B:B,A44)</f>
        <v>22</v>
      </c>
      <c r="R44" s="2">
        <f>SUMIFS('OB History S2'!G:G,'OB History S2'!B:B,A44)-Q44</f>
        <v>15</v>
      </c>
      <c r="S44" s="88">
        <f>LOOKUP(2, 1/('OB History S2'!$B:$B=A44), 'OB History S2'!$AC:$AC)</f>
        <v>0.60499999999999998</v>
      </c>
      <c r="T44" s="2">
        <f>COUNTIFS('OB History S2'!$B:$B,$A$44,'OB History S2'!K:K, 1)</f>
        <v>0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2</v>
      </c>
      <c r="AH44" s="2">
        <f>COUNTIFS('OB History S2'!$B:$B,$A$44,'OB History S2'!Y:Y, 1)</f>
        <v>0</v>
      </c>
      <c r="AI44" s="2">
        <f>COUNTIFS('OB History S2'!$B:$B,$A$44,'OB History S2'!Z:Z, 1)</f>
        <v>2</v>
      </c>
    </row>
    <row r="45" spans="1:35" x14ac:dyDescent="0.25">
      <c r="A45" s="2" t="s">
        <v>4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150</v>
      </c>
      <c r="I45" s="4">
        <f>AVERAGEIFS('OB History S2'!C:C,'OB History S2'!B:B,A45)</f>
        <v>25</v>
      </c>
      <c r="J45" s="35">
        <f t="array" ref="J45">MAX(IF('OB History S2'!B:B=A45, 'OB History S2'!C:C))</f>
        <v>46</v>
      </c>
      <c r="K45" s="34">
        <f>COUNTIFS('OB History S2'!B:B,A45,'OB History S2'!D:D, 1)</f>
        <v>2</v>
      </c>
      <c r="L45" s="2">
        <f>COUNTIFS('OB History S2'!B:B,A45,'OB History S2'!D:D, 0)</f>
        <v>4</v>
      </c>
      <c r="M45" s="88">
        <f>LOOKUP(2, 1/('OB History S2'!$B:$B=A45), 'OB History S2'!$AD:$AD)</f>
        <v>0.33333333333333331</v>
      </c>
      <c r="N45" s="34">
        <f>SUMIFS('OB History S2'!F:F,'OB History S2'!B:B,A45)</f>
        <v>9</v>
      </c>
      <c r="O45" s="2">
        <f>SUMIFS('OB History S2'!E:E,'OB History S2'!B:B,A45)-N45</f>
        <v>16</v>
      </c>
      <c r="P45" s="88">
        <f>LOOKUP(2, 1/('OB History S2'!$B:$B=A45), 'OB History S2'!$AB:$AB)</f>
        <v>0.30833333333333335</v>
      </c>
      <c r="Q45" s="34">
        <f>SUMIFS('OB History S2'!H:H,'OB History S2'!B:B,A45)</f>
        <v>45</v>
      </c>
      <c r="R45" s="2">
        <f>SUMIFS('OB History S2'!G:G,'OB History S2'!B:B,A45)-Q45</f>
        <v>58</v>
      </c>
      <c r="S45" s="88">
        <f>LOOKUP(2, 1/('OB History S2'!$B:$B=A45), 'OB History S2'!$AC:$AC)</f>
        <v>0.40333333333333332</v>
      </c>
      <c r="T45" s="2">
        <f>COUNTIFS('OB History S2'!$B:$B,$A$45,'OB History S2'!K:K, 1)</f>
        <v>1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0</v>
      </c>
      <c r="X45" s="2">
        <f>COUNTIFS('OB History S2'!$B:$B,$A$45,'OB History S2'!O:O, 1)</f>
        <v>1</v>
      </c>
      <c r="Y45" s="2">
        <f>COUNTIFS('OB History S2'!$B:$B,$A$45,'OB History S2'!P:P, 1)</f>
        <v>0</v>
      </c>
      <c r="Z45" s="2">
        <f>COUNTIFS('OB History S2'!$B:$B,$A$45,'OB History S2'!Q:Q, 1)</f>
        <v>1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1</v>
      </c>
      <c r="AH45" s="2">
        <f>COUNTIFS('OB History S2'!$B:$B,$A$45,'OB History S2'!Y:Y, 1)</f>
        <v>1</v>
      </c>
      <c r="AI45" s="2">
        <f>COUNTIFS('OB History S2'!$B:$B,$A$45,'OB History S2'!Z:Z, 1)</f>
        <v>0</v>
      </c>
    </row>
    <row r="46" spans="1:35" x14ac:dyDescent="0.25">
      <c r="A46" s="2" t="s">
        <v>55</v>
      </c>
      <c r="B46" s="2" t="s">
        <v>79</v>
      </c>
      <c r="C46" s="2" t="s">
        <v>79</v>
      </c>
      <c r="D46" s="2"/>
      <c r="E46" s="2"/>
      <c r="F46" s="2"/>
      <c r="G46" s="2"/>
      <c r="H46" s="34">
        <f>SUMIFS('OB History S2'!C:C,'OB History S2'!B:B,A46)</f>
        <v>48</v>
      </c>
      <c r="I46" s="4">
        <f>AVERAGEIFS('OB History S2'!C:C,'OB History S2'!B:B,A46)</f>
        <v>9.6</v>
      </c>
      <c r="J46" s="35">
        <f t="array" ref="J46">MAX(IF('OB History S2'!B:B=A46, 'OB History S2'!C:C))</f>
        <v>20</v>
      </c>
      <c r="K46" s="34">
        <f>COUNTIFS('OB History S2'!B:B,A46,'OB History S2'!D:D, 1)</f>
        <v>3</v>
      </c>
      <c r="L46" s="2">
        <f>COUNTIFS('OB History S2'!B:B,A46,'OB History S2'!D:D, 0)</f>
        <v>2</v>
      </c>
      <c r="M46" s="88">
        <f>LOOKUP(2, 1/('OB History S2'!$B:$B=A46), 'OB History S2'!$AD:$AD)</f>
        <v>0.6</v>
      </c>
      <c r="N46" s="34">
        <f>SUMIFS('OB History S2'!F:F,'OB History S2'!B:B,A46)</f>
        <v>12</v>
      </c>
      <c r="O46" s="2">
        <f>SUMIFS('OB History S2'!E:E,'OB History S2'!B:B,A46)-N46</f>
        <v>7</v>
      </c>
      <c r="P46" s="88">
        <f>LOOKUP(2, 1/('OB History S2'!$B:$B=A46), 'OB History S2'!$AB:$AB)</f>
        <v>0.67999999999999994</v>
      </c>
      <c r="Q46" s="34">
        <f>SUMIFS('OB History S2'!H:H,'OB History S2'!B:B,A46)</f>
        <v>46</v>
      </c>
      <c r="R46" s="2">
        <f>SUMIFS('OB History S2'!G:G,'OB History S2'!B:B,A46)-Q46</f>
        <v>30</v>
      </c>
      <c r="S46" s="88">
        <f>LOOKUP(2, 1/('OB History S2'!$B:$B=A46), 'OB History S2'!$AC:$AC)</f>
        <v>0.62399999999999989</v>
      </c>
      <c r="T46" s="2">
        <f>COUNTIFS('OB History S2'!$B:$B,$A$46,'OB History S2'!K:K, 1)</f>
        <v>1</v>
      </c>
      <c r="U46" s="2">
        <f>COUNTIFS('OB History S2'!$B:$B,$A$46,'OB History S2'!L:L, 1)</f>
        <v>1</v>
      </c>
      <c r="V46" s="2">
        <f>COUNTIFS('OB History S2'!$B:$B,$A$46,'OB History S2'!M:M, 1)</f>
        <v>0</v>
      </c>
      <c r="W46" s="2">
        <f>COUNTIFS('OB History S2'!$B:$B,$A$46,'OB History S2'!N:N, 1)</f>
        <v>2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1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4</v>
      </c>
      <c r="AH46" s="2">
        <f>COUNTIFS('OB History S2'!$B:$B,$A$46,'OB History S2'!Y:Y, 1)</f>
        <v>2</v>
      </c>
      <c r="AI46" s="2">
        <f>COUNTIFS('OB History S2'!$B:$B,$A$46,'OB History S2'!Z:Z, 1)</f>
        <v>1</v>
      </c>
    </row>
  </sheetData>
  <autoFilter ref="A1:AI45" xr:uid="{EEC03B8F-669F-4FC0-BA62-50F3D395660C}">
    <sortState xmlns:xlrd2="http://schemas.microsoft.com/office/spreadsheetml/2017/richdata2" ref="A2:AI46">
      <sortCondition ref="A1:A45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99" activePane="bottomLeft" state="frozen"/>
      <selection pane="bottomLeft" activeCell="AA309" sqref="AA309:AD31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168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168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170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171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162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341</v>
      </c>
      <c r="G5" s="66">
        <f>AVERAGEIFS('BA History'!C:C,'BA History'!B:B,A5)</f>
        <v>12.62962962962963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14</v>
      </c>
      <c r="K5" s="75">
        <f>LOOKUP(2, 1/('BA History'!$B:$B=A5), 'BA History'!$AJ:$AJ)</f>
        <v>0.48148148148148145</v>
      </c>
      <c r="L5" s="34">
        <f>SUMIFS('BA History'!F:F,'BA History'!B:B,A5)</f>
        <v>53</v>
      </c>
      <c r="M5" s="2">
        <f>SUMIFS('BA History'!E:E,'BA History'!B:B,A5)-L5</f>
        <v>59</v>
      </c>
      <c r="N5" s="75">
        <f>LOOKUP(2, 1/('BA History'!$B:$B=A5), 'BA History'!$AH:$AH)</f>
        <v>0.45</v>
      </c>
      <c r="O5" s="34">
        <f>SUMIFS('BA History'!H:H,'BA History'!B:B,A5)</f>
        <v>224</v>
      </c>
      <c r="P5" s="2">
        <f>SUMIFS('BA History'!G:G,'BA History'!B:B,A5)-O5</f>
        <v>239</v>
      </c>
      <c r="Q5" s="89">
        <f>LOOKUP(2, 1/('BA History'!$B:$B=A5), 'BA History'!$AI:$AI)</f>
        <v>0.47</v>
      </c>
      <c r="R5" s="2">
        <f>COUNTIFS('BA History'!$B:$B,$A$5,'BA History'!K:K, 1)</f>
        <v>3</v>
      </c>
      <c r="S5" s="2">
        <f>COUNTIFS('BA History'!$B:$B,$A$5,'BA History'!L:L, 1)</f>
        <v>7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6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761</v>
      </c>
      <c r="G9" s="66">
        <f>AVERAGEIFS('BA History'!C:C,'BA History'!B:B,A9)</f>
        <v>18.560975609756099</v>
      </c>
      <c r="H9" s="35">
        <f t="array" ref="H9">MAX(IF('BA History'!B:B=A9, 'BA History'!C:C))</f>
        <v>40</v>
      </c>
      <c r="I9" s="34">
        <f>COUNTIFS('BA History'!B:B,A9,'BA History'!D:D, 1)</f>
        <v>19</v>
      </c>
      <c r="J9" s="2">
        <f>COUNTIFS('BA History'!B:B,A9,'BA History'!D:D, 0)</f>
        <v>22</v>
      </c>
      <c r="K9" s="75">
        <f>LOOKUP(2, 1/('BA History'!$B:$B=A9), 'BA History'!$AJ:$AJ)</f>
        <v>0.46341463414634149</v>
      </c>
      <c r="L9" s="34">
        <f>SUMIFS('BA History'!F:F,'BA History'!B:B,A9)</f>
        <v>77</v>
      </c>
      <c r="M9" s="2">
        <f>SUMIFS('BA History'!E:E,'BA History'!B:B,A9)-L9</f>
        <v>91</v>
      </c>
      <c r="N9" s="75">
        <f>LOOKUP(2, 1/('BA History'!$B:$B=A9), 'BA History'!$AH:$AH)</f>
        <v>0.44756097560975611</v>
      </c>
      <c r="O9" s="34">
        <f>SUMIFS('BA History'!H:H,'BA History'!B:B,A9)</f>
        <v>319</v>
      </c>
      <c r="P9" s="2">
        <f>SUMIFS('BA History'!G:G,'BA History'!B:B,A9)-O9</f>
        <v>372</v>
      </c>
      <c r="Q9" s="89">
        <f>LOOKUP(2, 1/('BA History'!$B:$B=A9), 'BA History'!$AI:$AI)</f>
        <v>0.45024390243902424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4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9</v>
      </c>
      <c r="AJ9" s="2">
        <f>COUNTIFS('BA History'!$B:$B,$A$9,'BA History'!AC:AC, 1)</f>
        <v>3</v>
      </c>
      <c r="AK9" s="2">
        <f>COUNTIFS('BA History'!$B:$B,$A$9,'BA History'!AD:AD, 1)</f>
        <v>8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692</v>
      </c>
      <c r="G18" s="66">
        <f>AVERAGEIFS('BA History'!C:C,'BA History'!B:B,A18)</f>
        <v>18.210526315789473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18</v>
      </c>
      <c r="K18" s="75">
        <f>LOOKUP(2, 1/('BA History'!$B:$B=A18), 'BA History'!$AJ:$AJ)</f>
        <v>0.52631578947368418</v>
      </c>
      <c r="L18" s="34">
        <f>SUMIFS('BA History'!F:F,'BA History'!B:B,A18)</f>
        <v>78</v>
      </c>
      <c r="M18" s="2">
        <f>SUMIFS('BA History'!E:E,'BA History'!B:B,A18)-L18</f>
        <v>75</v>
      </c>
      <c r="N18" s="75">
        <f>LOOKUP(2, 1/('BA History'!$B:$B=A18), 'BA History'!$AH:$AH)</f>
        <v>0.51526315789473698</v>
      </c>
      <c r="O18" s="34">
        <f>SUMIFS('BA History'!H:H,'BA History'!B:B,A18)</f>
        <v>326</v>
      </c>
      <c r="P18" s="2">
        <f>SUMIFS('BA History'!G:G,'BA History'!B:B,A18)-O18</f>
        <v>316</v>
      </c>
      <c r="Q18" s="89">
        <f>LOOKUP(2, 1/('BA History'!$B:$B=A18), 'BA History'!$AI:$AI)</f>
        <v>0.51842105263157878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1</v>
      </c>
      <c r="AK18" s="2">
        <f>COUNTIFS('BA History'!$B:$B,$A$18,'BA History'!AD:AD, 1)</f>
        <v>9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689</v>
      </c>
      <c r="G20" s="66">
        <f>AVERAGEIFS('BA History'!C:C,'BA History'!B:B,A20)</f>
        <v>16.404761904761905</v>
      </c>
      <c r="H20" s="35">
        <f t="array" ref="H20">MAX(IF('BA History'!B:B=A20, 'BA History'!C:C))</f>
        <v>36</v>
      </c>
      <c r="I20" s="34">
        <f>COUNTIFS('BA History'!B:B,A20,'BA History'!D:D, 1)</f>
        <v>26</v>
      </c>
      <c r="J20" s="2">
        <f>COUNTIFS('BA History'!B:B,A20,'BA History'!D:D, 0)</f>
        <v>16</v>
      </c>
      <c r="K20" s="75">
        <f>LOOKUP(2, 1/('BA History'!$B:$B=A20), 'BA History'!$AJ:$AJ)</f>
        <v>0.61904761904761907</v>
      </c>
      <c r="L20" s="34">
        <f>SUMIFS('BA History'!F:F,'BA History'!B:B,A20)</f>
        <v>91</v>
      </c>
      <c r="M20" s="2">
        <f>SUMIFS('BA History'!E:E,'BA History'!B:B,A20)-L20</f>
        <v>79</v>
      </c>
      <c r="N20" s="75">
        <f>LOOKUP(2, 1/('BA History'!$B:$B=A20), 'BA History'!$AH:$AH)</f>
        <v>0.5261904761904761</v>
      </c>
      <c r="O20" s="34">
        <f>SUMIFS('BA History'!H:H,'BA History'!B:B,A20)</f>
        <v>372</v>
      </c>
      <c r="P20" s="2">
        <f>SUMIFS('BA History'!G:G,'BA History'!B:B,A20)-O20</f>
        <v>333</v>
      </c>
      <c r="Q20" s="89">
        <f>LOOKUP(2, 1/('BA History'!$B:$B=A20), 'BA History'!$AI:$AI)</f>
        <v>0.53523809523809529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10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9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169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159</v>
      </c>
      <c r="C22" s="1"/>
      <c r="D22" s="1"/>
      <c r="E22" s="1"/>
      <c r="F22" s="34">
        <f>SUMIFS('BA History'!C:C,'BA History'!B:B,A22)</f>
        <v>938</v>
      </c>
      <c r="G22" s="66">
        <f>AVERAGEIFS('BA History'!C:C,'BA History'!B:B,A22)</f>
        <v>26.8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17</v>
      </c>
      <c r="K22" s="75">
        <f>LOOKUP(2, 1/('BA History'!$B:$B=A22), 'BA History'!$AJ:$AJ)</f>
        <v>0.51428571428571423</v>
      </c>
      <c r="L22" s="34">
        <f>SUMIFS('BA History'!F:F,'BA History'!B:B,A22)</f>
        <v>70</v>
      </c>
      <c r="M22" s="2">
        <f>SUMIFS('BA History'!E:E,'BA History'!B:B,A22)-L22</f>
        <v>71</v>
      </c>
      <c r="N22" s="75">
        <f>LOOKUP(2, 1/('BA History'!$B:$B=A22), 'BA History'!$AH:$AH)</f>
        <v>0.4885714285714286</v>
      </c>
      <c r="O22" s="34">
        <f>SUMIFS('BA History'!H:H,'BA History'!B:B,A22)</f>
        <v>285</v>
      </c>
      <c r="P22" s="2">
        <f>SUMIFS('BA History'!G:G,'BA History'!B:B,A22)-O22</f>
        <v>295</v>
      </c>
      <c r="Q22" s="89">
        <f>LOOKUP(2, 1/('BA History'!$B:$B=A22), 'BA History'!$AI:$AI)</f>
        <v>0.49342857142857161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4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284</v>
      </c>
      <c r="G24" s="66">
        <f>AVERAGEIFS('BA History'!C:C,'BA History'!B:B,A24)</f>
        <v>16.705882352941178</v>
      </c>
      <c r="H24" s="35">
        <f t="array" ref="H24">MAX(IF('BA History'!B:B=A24, 'BA History'!C:C))</f>
        <v>28</v>
      </c>
      <c r="I24" s="34">
        <f>COUNTIFS('BA History'!B:B,A24,'BA History'!D:D, 1)</f>
        <v>11</v>
      </c>
      <c r="J24" s="2">
        <f>COUNTIFS('BA History'!B:B,A24,'BA History'!D:D, 0)</f>
        <v>6</v>
      </c>
      <c r="K24" s="75">
        <f>LOOKUP(2, 1/('BA History'!$B:$B=A24), 'BA History'!$AJ:$AJ)</f>
        <v>0.6470588235294118</v>
      </c>
      <c r="L24" s="34">
        <f>SUMIFS('BA History'!F:F,'BA History'!B:B,A24)</f>
        <v>43</v>
      </c>
      <c r="M24" s="2">
        <f>SUMIFS('BA History'!E:E,'BA History'!B:B,A24)-L24</f>
        <v>27</v>
      </c>
      <c r="N24" s="75">
        <f>LOOKUP(2, 1/('BA History'!$B:$B=A24), 'BA History'!$AH:$AH)</f>
        <v>0.64411764705882346</v>
      </c>
      <c r="O24" s="34">
        <f>SUMIFS('BA History'!H:H,'BA History'!B:B,A24)</f>
        <v>162</v>
      </c>
      <c r="P24" s="2">
        <f>SUMIFS('BA History'!G:G,'BA History'!B:B,A24)-O24</f>
        <v>122</v>
      </c>
      <c r="Q24" s="89">
        <f>LOOKUP(2, 1/('BA History'!$B:$B=A24), 'BA History'!$AI:$AI)</f>
        <v>0.59470588235294131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7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159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159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162</v>
      </c>
      <c r="B32" s="1" t="s">
        <v>79</v>
      </c>
      <c r="C32" s="1"/>
      <c r="D32" s="1"/>
      <c r="E32" s="1"/>
      <c r="F32" s="34">
        <f>SUMIFS('BA History'!C:C,'BA History'!B:B,A32)</f>
        <v>31</v>
      </c>
      <c r="G32" s="66">
        <f>AVERAGEIFS('BA History'!C:C,'BA History'!B:B,A32)</f>
        <v>5.166666666666667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2</v>
      </c>
      <c r="K32" s="75">
        <f>LOOKUP(2, 1/('BA History'!$B:$B=A32), 'BA History'!$AJ:$AJ)</f>
        <v>0.66666666666666663</v>
      </c>
      <c r="L32" s="34">
        <f>SUMIFS('BA History'!F:F,'BA History'!B:B,A32)</f>
        <v>15</v>
      </c>
      <c r="M32" s="2">
        <f>SUMIFS('BA History'!E:E,'BA History'!B:B,A32)-L32</f>
        <v>9</v>
      </c>
      <c r="N32" s="75">
        <f>LOOKUP(2, 1/('BA History'!$B:$B=A32), 'BA History'!$AH:$AH)</f>
        <v>0.65</v>
      </c>
      <c r="O32" s="34">
        <f>SUMIFS('BA History'!H:H,'BA History'!B:B,A32)</f>
        <v>54</v>
      </c>
      <c r="P32" s="2">
        <f>SUMIFS('BA History'!G:G,'BA History'!B:B,A32)-O32</f>
        <v>47</v>
      </c>
      <c r="Q32" s="89">
        <f>LOOKUP(2, 1/('BA History'!$B:$B=A32), 'BA History'!$AI:$AI)</f>
        <v>0.54999999999999993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159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1297</v>
      </c>
      <c r="G38" s="66">
        <f>AVERAGEIFS('BA History'!C:C,'BA History'!B:B,A38)</f>
        <v>23.581818181818182</v>
      </c>
      <c r="H38" s="35">
        <f t="array" ref="H38">MAX(IF('BA History'!B:B=A38, 'BA History'!C:C))</f>
        <v>42</v>
      </c>
      <c r="I38" s="34">
        <f>COUNTIFS('BA History'!B:B,A38,'BA History'!D:D, 1)</f>
        <v>31</v>
      </c>
      <c r="J38" s="2">
        <f>COUNTIFS('BA History'!B:B,A38,'BA History'!D:D, 0)</f>
        <v>24</v>
      </c>
      <c r="K38" s="75">
        <f>LOOKUP(2, 1/('BA History'!$B:$B=A38), 'BA History'!$AJ:$AJ)</f>
        <v>0.5636363636363636</v>
      </c>
      <c r="L38" s="34">
        <f>SUMIFS('BA History'!F:F,'BA History'!B:B,A38)</f>
        <v>119</v>
      </c>
      <c r="M38" s="2">
        <f>SUMIFS('BA History'!E:E,'BA History'!B:B,A38)-L38</f>
        <v>102</v>
      </c>
      <c r="N38" s="75">
        <f>LOOKUP(2, 1/('BA History'!$B:$B=A38), 'BA History'!$AH:$AH)</f>
        <v>0.54309090909090918</v>
      </c>
      <c r="O38" s="34">
        <f>SUMIFS('BA History'!H:H,'BA History'!B:B,A38)</f>
        <v>468</v>
      </c>
      <c r="P38" s="2">
        <f>SUMIFS('BA History'!G:G,'BA History'!B:B,A38)-O38</f>
        <v>444</v>
      </c>
      <c r="Q38" s="89">
        <f>LOOKUP(2, 1/('BA History'!$B:$B=A38), 'BA History'!$AI:$AI)</f>
        <v>0.51436363636363625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9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159</v>
      </c>
      <c r="C39" s="1"/>
      <c r="D39" s="1"/>
      <c r="E39" s="1"/>
      <c r="F39" s="34">
        <f>SUMIFS('BA History'!C:C,'BA History'!B:B,A39)</f>
        <v>533</v>
      </c>
      <c r="G39" s="66">
        <f>AVERAGEIFS('BA History'!C:C,'BA History'!B:B,A39)</f>
        <v>19.74074074074074</v>
      </c>
      <c r="H39" s="35">
        <f t="array" ref="H39">MAX(IF('BA History'!B:B=A39, 'BA History'!C:C))</f>
        <v>37</v>
      </c>
      <c r="I39" s="34">
        <f>COUNTIFS('BA History'!B:B,A39,'BA History'!D:D, 1)</f>
        <v>18</v>
      </c>
      <c r="J39" s="2">
        <f>COUNTIFS('BA History'!B:B,A39,'BA History'!D:D, 0)</f>
        <v>9</v>
      </c>
      <c r="K39" s="75">
        <f>LOOKUP(2, 1/('BA History'!$B:$B=A39), 'BA History'!$AJ:$AJ)</f>
        <v>0.66666666666666663</v>
      </c>
      <c r="L39" s="34">
        <f>SUMIFS('BA History'!F:F,'BA History'!B:B,A39)</f>
        <v>62</v>
      </c>
      <c r="M39" s="2">
        <f>SUMIFS('BA History'!E:E,'BA History'!B:B,A39)-L39</f>
        <v>45</v>
      </c>
      <c r="N39" s="75">
        <f>LOOKUP(2, 1/('BA History'!$B:$B=A39), 'BA History'!$AH:$AH)</f>
        <v>0.58777777777777773</v>
      </c>
      <c r="O39" s="34">
        <f>SUMIFS('BA History'!H:H,'BA History'!B:B,A39)</f>
        <v>241</v>
      </c>
      <c r="P39" s="2">
        <f>SUMIFS('BA History'!G:G,'BA History'!B:B,A39)-O39</f>
        <v>209</v>
      </c>
      <c r="Q39" s="89">
        <f>LOOKUP(2, 1/('BA History'!$B:$B=A39), 'BA History'!$AI:$AI)</f>
        <v>0.54444444444444451</v>
      </c>
      <c r="R39" s="2">
        <f>COUNTIFS('BA History'!$B:$B,$A$39,'BA History'!K:K, 1)</f>
        <v>1</v>
      </c>
      <c r="S39" s="2">
        <f>COUNTIFS('BA History'!$B:$B,$A$39,'BA History'!L:L, 1)</f>
        <v>6</v>
      </c>
      <c r="T39" s="2">
        <f>COUNTIFS('BA History'!$B:$B,$A$39,'BA History'!M:M, 1)</f>
        <v>4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128</v>
      </c>
      <c r="G41" s="66">
        <f>AVERAGEIFS('BA History'!C:C,'BA History'!B:B,A41)</f>
        <v>12.8</v>
      </c>
      <c r="H41" s="35">
        <f t="array" ref="H41">MAX(IF('BA History'!B:B=A41, 'BA History'!C:C))</f>
        <v>22</v>
      </c>
      <c r="I41" s="34">
        <f>COUNTIFS('BA History'!B:B,A41,'BA History'!D:D, 1)</f>
        <v>6</v>
      </c>
      <c r="J41" s="2">
        <f>COUNTIFS('BA History'!B:B,A41,'BA History'!D:D, 0)</f>
        <v>4</v>
      </c>
      <c r="K41" s="75">
        <f>LOOKUP(2, 1/('BA History'!$B:$B=A41), 'BA History'!$AJ:$AJ)</f>
        <v>0.6</v>
      </c>
      <c r="L41" s="34">
        <f>SUMIFS('BA History'!F:F,'BA History'!B:B,A41)</f>
        <v>19</v>
      </c>
      <c r="M41" s="2">
        <f>SUMIFS('BA History'!E:E,'BA History'!B:B,A41)-L41</f>
        <v>20</v>
      </c>
      <c r="N41" s="75">
        <f>LOOKUP(2, 1/('BA History'!$B:$B=A41), 'BA History'!$AH:$AH)</f>
        <v>0.45499999999999996</v>
      </c>
      <c r="O41" s="34">
        <f>SUMIFS('BA History'!H:H,'BA History'!B:B,A41)</f>
        <v>83</v>
      </c>
      <c r="P41" s="2">
        <f>SUMIFS('BA History'!G:G,'BA History'!B:B,A41)-O41</f>
        <v>80</v>
      </c>
      <c r="Q41" s="89">
        <f>LOOKUP(2, 1/('BA History'!$B:$B=A41), 'BA History'!$AI:$AI)</f>
        <v>0.50700000000000001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1096</v>
      </c>
      <c r="G43" s="66">
        <f>AVERAGEIFS('BA History'!C:C,'BA History'!B:B,A43)</f>
        <v>18.576271186440678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34</v>
      </c>
      <c r="K43" s="75">
        <f>LOOKUP(2, 1/('BA History'!$B:$B=A43), 'BA History'!$AJ:$AJ)</f>
        <v>0.42372881355932202</v>
      </c>
      <c r="L43" s="34">
        <f>SUMIFS('BA History'!F:F,'BA History'!B:B,A43)</f>
        <v>117</v>
      </c>
      <c r="M43" s="2">
        <f>SUMIFS('BA History'!E:E,'BA History'!B:B,A43)-L43</f>
        <v>127</v>
      </c>
      <c r="N43" s="75">
        <f>LOOKUP(2, 1/('BA History'!$B:$B=A43), 'BA History'!$AH:$AH)</f>
        <v>0.48559322033898289</v>
      </c>
      <c r="O43" s="34">
        <f>SUMIFS('BA History'!H:H,'BA History'!B:B,A43)</f>
        <v>490</v>
      </c>
      <c r="P43" s="2">
        <f>SUMIFS('BA History'!G:G,'BA History'!B:B,A43)-O43</f>
        <v>517</v>
      </c>
      <c r="Q43" s="89">
        <f>LOOKUP(2, 1/('BA History'!$B:$B=A43), 'BA History'!$AI:$AI)</f>
        <v>0.48372881355932212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13</v>
      </c>
      <c r="U43" s="2">
        <f>COUNTIFS('BA History'!$B:$B,$A$43,'BA History'!N:N, 1)</f>
        <v>14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/>
      <c r="D44" s="2"/>
      <c r="E44" s="2"/>
      <c r="F44" s="34">
        <f>SUMIFS('BA History'!C:C,'BA History'!B:B,A44)</f>
        <v>19</v>
      </c>
      <c r="G44" s="66">
        <f>AVERAGEIFS('BA History'!C:C,'BA History'!B:B,A44)</f>
        <v>6.333333333333333</v>
      </c>
      <c r="H44" s="35">
        <f t="array" ref="H44">MAX(IF('BA History'!B:B=A44, 'BA History'!C:C))</f>
        <v>8</v>
      </c>
      <c r="I44" s="34">
        <f>COUNTIFS('BA History'!B:B,A44,'BA History'!D:D, 1)</f>
        <v>2</v>
      </c>
      <c r="J44" s="2">
        <f>COUNTIFS('BA History'!B:B,A44,'BA History'!D:D, 0)</f>
        <v>1</v>
      </c>
      <c r="K44" s="75">
        <f>LOOKUP(2, 1/('BA History'!$B:$B=A44), 'BA History'!$AJ:$AJ)</f>
        <v>0.66666666666666663</v>
      </c>
      <c r="L44" s="34">
        <f>SUMIFS('BA History'!F:F,'BA History'!B:B,A44)</f>
        <v>6</v>
      </c>
      <c r="M44" s="2">
        <f>SUMIFS('BA History'!E:E,'BA History'!B:B,A44)-L44</f>
        <v>6</v>
      </c>
      <c r="N44" s="75">
        <f>LOOKUP(2, 1/('BA History'!$B:$B=A44), 'BA History'!$AH:$AH)</f>
        <v>0.45</v>
      </c>
      <c r="O44" s="34">
        <f>SUMIFS('BA History'!H:H,'BA History'!B:B,A44)</f>
        <v>25</v>
      </c>
      <c r="P44" s="2">
        <f>SUMIFS('BA History'!G:G,'BA History'!B:B,A44)-O44</f>
        <v>24</v>
      </c>
      <c r="Q44" s="89">
        <f>LOOKUP(2, 1/('BA History'!$B:$B=A44), 'BA History'!$AI:$AI)</f>
        <v>0.47666666666666663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1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295</v>
      </c>
      <c r="G45" s="66">
        <f>AVERAGEIFS('BA History'!C:C,'BA History'!B:B,A45)</f>
        <v>12.291666666666666</v>
      </c>
      <c r="H45" s="35">
        <f t="array" ref="H45">MAX(IF('BA History'!B:B=A45, 'BA History'!C:C))</f>
        <v>33</v>
      </c>
      <c r="I45" s="34">
        <f>COUNTIFS('BA History'!B:B,A45,'BA History'!D:D, 1)</f>
        <v>12</v>
      </c>
      <c r="J45" s="2">
        <f>COUNTIFS('BA History'!B:B,A45,'BA History'!D:D, 0)</f>
        <v>12</v>
      </c>
      <c r="K45" s="75">
        <f>LOOKUP(2, 1/('BA History'!$B:$B=A45), 'BA History'!$AJ:$AJ)</f>
        <v>0.5</v>
      </c>
      <c r="L45" s="34">
        <f>SUMIFS('BA History'!F:F,'BA History'!B:B,A45)</f>
        <v>51</v>
      </c>
      <c r="M45" s="2">
        <f>SUMIFS('BA History'!E:E,'BA History'!B:B,A45)-L45</f>
        <v>45</v>
      </c>
      <c r="N45" s="75">
        <f>LOOKUP(2, 1/('BA History'!$B:$B=A45), 'BA History'!$AH:$AH)</f>
        <v>0.55833333333333335</v>
      </c>
      <c r="O45" s="34">
        <f>SUMIFS('BA History'!H:H,'BA History'!B:B,A45)</f>
        <v>202</v>
      </c>
      <c r="P45" s="2">
        <f>SUMIFS('BA History'!G:G,'BA History'!B:B,A45)-O45</f>
        <v>191</v>
      </c>
      <c r="Q45" s="89">
        <f>LOOKUP(2, 1/('BA History'!$B:$B=A45), 'BA History'!$AI:$AI)</f>
        <v>0.53416666666666657</v>
      </c>
      <c r="R45" s="2">
        <f>COUNTIFS('BA History'!$B:$B,$A$45,'BA History'!K:K, 1)</f>
        <v>3</v>
      </c>
      <c r="S45" s="2">
        <f>COUNTIFS('BA History'!$B:$B,$A$45,'BA History'!L:L, 1)</f>
        <v>4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8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695</v>
      </c>
      <c r="G46" s="66">
        <f>AVERAGEIFS('BA History'!C:C,'BA History'!B:B,A46)</f>
        <v>19.857142857142858</v>
      </c>
      <c r="H46" s="35">
        <f t="array" ref="H46">MAX(IF('BA History'!B:B=A46, 'BA History'!C:C))</f>
        <v>32</v>
      </c>
      <c r="I46" s="34">
        <f>COUNTIFS('BA History'!B:B,A46,'BA History'!D:D, 1)</f>
        <v>19</v>
      </c>
      <c r="J46" s="2">
        <f>COUNTIFS('BA History'!B:B,A46,'BA History'!D:D, 0)</f>
        <v>16</v>
      </c>
      <c r="K46" s="75">
        <f>LOOKUP(2, 1/('BA History'!$B:$B=A46), 'BA History'!$AJ:$AJ)</f>
        <v>0.54285714285714282</v>
      </c>
      <c r="L46" s="34">
        <f>SUMIFS('BA History'!F:F,'BA History'!B:B,A46)</f>
        <v>73</v>
      </c>
      <c r="M46" s="2">
        <f>SUMIFS('BA History'!E:E,'BA History'!B:B,A46)-L46</f>
        <v>67</v>
      </c>
      <c r="N46" s="75">
        <f>LOOKUP(2, 1/('BA History'!$B:$B=A46), 'BA History'!$AH:$AH)</f>
        <v>0.52342857142857147</v>
      </c>
      <c r="O46" s="34">
        <f>SUMIFS('BA History'!H:H,'BA History'!B:B,A46)</f>
        <v>287</v>
      </c>
      <c r="P46" s="2">
        <f>SUMIFS('BA History'!G:G,'BA History'!B:B,A46)-O46</f>
        <v>287</v>
      </c>
      <c r="Q46" s="89">
        <f>LOOKUP(2, 1/('BA History'!$B:$B=A46), 'BA History'!$AI:$AI)</f>
        <v>0.49285714285714288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6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9</v>
      </c>
      <c r="AH46" s="2">
        <f>COUNTIFS('BA History'!$B:$B,$A$46,'BA History'!AA:AA, 1)</f>
        <v>1</v>
      </c>
      <c r="AI46" s="2">
        <f>COUNTIFS('BA History'!$B:$B,$A$46,'BA History'!AB:AB, 1)</f>
        <v>9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1</v>
      </c>
      <c r="AM46" s="2">
        <f>COUNTIFS('BA History'!$B:$B,$A$46,'BA History'!AF:AF, 1)</f>
        <v>3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159</v>
      </c>
      <c r="C50" s="1"/>
      <c r="D50" s="1"/>
      <c r="E50" s="1">
        <v>1</v>
      </c>
      <c r="F50" s="34">
        <f>SUMIFS('BA History'!C:C,'BA History'!B:B,A50)</f>
        <v>1314</v>
      </c>
      <c r="G50" s="66">
        <f>AVERAGEIFS('BA History'!C:C,'BA History'!B:B,A50)</f>
        <v>21.9</v>
      </c>
      <c r="H50" s="35">
        <f t="array" ref="H50">MAX(IF('BA History'!B:B=A50, 'BA History'!C:C))</f>
        <v>37</v>
      </c>
      <c r="I50" s="34">
        <f>COUNTIFS('BA History'!B:B,A50,'BA History'!D:D, 1)</f>
        <v>35</v>
      </c>
      <c r="J50" s="2">
        <f>COUNTIFS('BA History'!B:B,A50,'BA History'!D:D, 0)</f>
        <v>25</v>
      </c>
      <c r="K50" s="75">
        <f>LOOKUP(2, 1/('BA History'!$B:$B=A50), 'BA History'!$AJ:$AJ)</f>
        <v>0.58333333333333337</v>
      </c>
      <c r="L50" s="34">
        <f>SUMIFS('BA History'!F:F,'BA History'!B:B,A50)</f>
        <v>127</v>
      </c>
      <c r="M50" s="2">
        <f>SUMIFS('BA History'!E:E,'BA History'!B:B,A50)-L50</f>
        <v>113</v>
      </c>
      <c r="N50" s="75">
        <f>LOOKUP(2, 1/('BA History'!$B:$B=A50), 'BA History'!$AH:$AH)</f>
        <v>0.52216666666666667</v>
      </c>
      <c r="O50" s="34">
        <f>SUMIFS('BA History'!H:H,'BA History'!B:B,A50)</f>
        <v>518</v>
      </c>
      <c r="P50" s="2">
        <f>SUMIFS('BA History'!G:G,'BA History'!B:B,A50)-O50</f>
        <v>475</v>
      </c>
      <c r="Q50" s="89">
        <f>LOOKUP(2, 1/('BA History'!$B:$B=A50), 'BA History'!$AI:$AI)</f>
        <v>0.51883333333333337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17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9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661</v>
      </c>
      <c r="G52" s="66">
        <f>AVERAGEIFS('BA History'!C:C,'BA History'!B:B,A52)</f>
        <v>17.864864864864863</v>
      </c>
      <c r="H52" s="35">
        <f t="array" ref="H52">MAX(IF('BA History'!B:B=A52, 'BA History'!C:C))</f>
        <v>36</v>
      </c>
      <c r="I52" s="34">
        <f>COUNTIFS('BA History'!B:B,A52,'BA History'!D:D, 1)</f>
        <v>20</v>
      </c>
      <c r="J52" s="2">
        <f>COUNTIFS('BA History'!B:B,A52,'BA History'!D:D, 0)</f>
        <v>17</v>
      </c>
      <c r="K52" s="75">
        <f>LOOKUP(2, 1/('BA History'!$B:$B=A52), 'BA History'!$AJ:$AJ)</f>
        <v>0.54054054054054057</v>
      </c>
      <c r="L52" s="34">
        <f>SUMIFS('BA History'!F:F,'BA History'!B:B,A52)</f>
        <v>81</v>
      </c>
      <c r="M52" s="2">
        <f>SUMIFS('BA History'!E:E,'BA History'!B:B,A52)-L52</f>
        <v>66</v>
      </c>
      <c r="N52" s="75">
        <f>LOOKUP(2, 1/('BA History'!$B:$B=A52), 'BA History'!$AH:$AH)</f>
        <v>0.57027027027027022</v>
      </c>
      <c r="O52" s="34">
        <f>SUMIFS('BA History'!H:H,'BA History'!B:B,A52)</f>
        <v>309</v>
      </c>
      <c r="P52" s="2">
        <f>SUMIFS('BA History'!G:G,'BA History'!B:B,A52)-O52</f>
        <v>284</v>
      </c>
      <c r="Q52" s="89">
        <f>LOOKUP(2, 1/('BA History'!$B:$B=A52), 'BA History'!$AI:$AI)</f>
        <v>0.53108108108108121</v>
      </c>
      <c r="R52" s="2">
        <f>COUNTIFS('BA History'!$B:$B,$A$52,'BA History'!K:K, 1)</f>
        <v>2</v>
      </c>
      <c r="S52" s="2">
        <f>COUNTIFS('BA History'!$B:$B,$A$52,'BA History'!L:L, 1)</f>
        <v>5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2</v>
      </c>
      <c r="W52" s="2">
        <f>COUNTIFS('BA History'!$B:$B,$A$52,'BA History'!P:P, 1)</f>
        <v>1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8</v>
      </c>
      <c r="AG52" s="2">
        <f>COUNTIFS('BA History'!$B:$B,$A$52,'BA History'!Z:Z, 1)</f>
        <v>8</v>
      </c>
      <c r="AH52" s="2">
        <f>COUNTIFS('BA History'!$B:$B,$A$52,'BA History'!AA:AA, 1)</f>
        <v>0</v>
      </c>
      <c r="AI52" s="2">
        <f>COUNTIFS('BA History'!$B:$B,$A$52,'BA History'!AB:AB, 1)</f>
        <v>11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4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159</v>
      </c>
      <c r="C55" s="1">
        <v>1</v>
      </c>
      <c r="D55" s="1"/>
      <c r="E55" s="1"/>
      <c r="F55" s="34">
        <f>SUMIFS('BA History'!C:C,'BA History'!B:B,A55)</f>
        <v>801</v>
      </c>
      <c r="G55" s="66">
        <f>AVERAGEIFS('BA History'!C:C,'BA History'!B:B,A55)</f>
        <v>25.03125</v>
      </c>
      <c r="H55" s="35">
        <f t="array" ref="H55">MAX(IF('BA History'!B:B=A55, 'BA History'!C:C))</f>
        <v>41</v>
      </c>
      <c r="I55" s="34">
        <f>COUNTIFS('BA History'!B:B,A55,'BA History'!D:D, 1)</f>
        <v>11</v>
      </c>
      <c r="J55" s="2">
        <f>COUNTIFS('BA History'!B:B,A55,'BA History'!D:D, 0)</f>
        <v>21</v>
      </c>
      <c r="K55" s="75">
        <f>LOOKUP(2, 1/('BA History'!$B:$B=A55), 'BA History'!$AJ:$AJ)</f>
        <v>0.34375</v>
      </c>
      <c r="L55" s="34">
        <f>SUMIFS('BA History'!F:F,'BA History'!B:B,A55)</f>
        <v>58</v>
      </c>
      <c r="M55" s="2">
        <f>SUMIFS('BA History'!E:E,'BA History'!B:B,A55)-L55</f>
        <v>75</v>
      </c>
      <c r="N55" s="75">
        <f>LOOKUP(2, 1/('BA History'!$B:$B=A55), 'BA History'!$AH:$AH)</f>
        <v>0.43593749999999998</v>
      </c>
      <c r="O55" s="34">
        <f>SUMIFS('BA History'!H:H,'BA History'!B:B,A55)</f>
        <v>259</v>
      </c>
      <c r="P55" s="2">
        <f>SUMIFS('BA History'!G:G,'BA History'!B:B,A55)-O55</f>
        <v>293</v>
      </c>
      <c r="Q55" s="89">
        <f>LOOKUP(2, 1/('BA History'!$B:$B=A55), 'BA History'!$AI:$AI)</f>
        <v>0.46406249999999999</v>
      </c>
      <c r="R55" s="2">
        <f>COUNTIFS('BA History'!$B:$B,$A$55,'BA History'!K:K, 1)</f>
        <v>2</v>
      </c>
      <c r="S55" s="2">
        <f>COUNTIFS('BA History'!$B:$B,$A$55,'BA History'!L:L, 1)</f>
        <v>7</v>
      </c>
      <c r="T55" s="2">
        <f>COUNTIFS('BA History'!$B:$B,$A$55,'BA History'!M:M, 1)</f>
        <v>5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8</v>
      </c>
      <c r="AJ55" s="2">
        <f>COUNTIFS('BA History'!$B:$B,$A$55,'BA History'!AC:AC, 1)</f>
        <v>6</v>
      </c>
      <c r="AK55" s="2">
        <f>COUNTIFS('BA History'!$B:$B,$A$55,'BA History'!AD:AD, 1)</f>
        <v>5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673</v>
      </c>
      <c r="G56" s="66">
        <f>AVERAGEIFS('BA History'!C:C,'BA History'!B:B,A56)</f>
        <v>16.023809523809526</v>
      </c>
      <c r="H56" s="35">
        <f t="array" ref="H56">MAX(IF('BA History'!B:B=A56, 'BA History'!C:C))</f>
        <v>35</v>
      </c>
      <c r="I56" s="34">
        <f>COUNTIFS('BA History'!B:B,A56,'BA History'!D:D, 1)</f>
        <v>24</v>
      </c>
      <c r="J56" s="2">
        <f>COUNTIFS('BA History'!B:B,A56,'BA History'!D:D, 0)</f>
        <v>18</v>
      </c>
      <c r="K56" s="75">
        <f>LOOKUP(2, 1/('BA History'!$B:$B=A56), 'BA History'!$AJ:$AJ)</f>
        <v>0.5714285714285714</v>
      </c>
      <c r="L56" s="34">
        <f>SUMIFS('BA History'!F:F,'BA History'!B:B,A56)</f>
        <v>89</v>
      </c>
      <c r="M56" s="2">
        <f>SUMIFS('BA History'!E:E,'BA History'!B:B,A56)-L56</f>
        <v>80</v>
      </c>
      <c r="N56" s="75">
        <f>LOOKUP(2, 1/('BA History'!$B:$B=A56), 'BA History'!$AH:$AH)</f>
        <v>0.52023809523809528</v>
      </c>
      <c r="O56" s="34">
        <f>SUMIFS('BA History'!H:H,'BA History'!B:B,A56)</f>
        <v>363</v>
      </c>
      <c r="P56" s="2">
        <f>SUMIFS('BA History'!G:G,'BA History'!B:B,A56)-O56</f>
        <v>332</v>
      </c>
      <c r="Q56" s="89">
        <f>LOOKUP(2, 1/('BA History'!$B:$B=A56), 'BA History'!$AI:$AI)</f>
        <v>0.51857142857142846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11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9</v>
      </c>
      <c r="AH56" s="2">
        <f>COUNTIFS('BA History'!$B:$B,$A$56,'BA History'!AA:AA, 1)</f>
        <v>1</v>
      </c>
      <c r="AI56" s="2">
        <f>COUNTIFS('BA History'!$B:$B,$A$56,'BA History'!AB:AB, 1)</f>
        <v>8</v>
      </c>
      <c r="AJ56" s="2">
        <f>COUNTIFS('BA History'!$B:$B,$A$56,'BA History'!AC:AC, 1)</f>
        <v>5</v>
      </c>
      <c r="AK56" s="2">
        <f>COUNTIFS('BA History'!$B:$B,$A$56,'BA History'!AD:AD, 1)</f>
        <v>9</v>
      </c>
      <c r="AL56" s="2">
        <f>COUNTIFS('BA History'!$B:$B,$A$56,'BA History'!AE:AE, 1)</f>
        <v>0</v>
      </c>
      <c r="AM56" s="2">
        <f>COUNTIFS('BA History'!$B:$B,$A$56,'BA History'!AF:AF, 1)</f>
        <v>6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37"/>
  <sheetViews>
    <sheetView workbookViewId="0">
      <pane xSplit="2" ySplit="1" topLeftCell="C913" activePane="bottomRight" state="frozen"/>
      <selection pane="topRight" activeCell="C1" sqref="C1"/>
      <selection pane="bottomLeft" activeCell="A2" sqref="A2"/>
      <selection pane="bottomRight" activeCell="C938" sqref="C93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162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162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162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167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162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167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162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167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162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8" sqref="F3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123</v>
      </c>
      <c r="G4" s="66">
        <f>AVERAGEIFS('BA History S2'!C:C,'BA History S2'!B:B,A4)</f>
        <v>12.3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7</v>
      </c>
      <c r="K4" s="75">
        <f>LOOKUP(2, 1/('BA History S2'!$B:$B=A4), 'BA History S2'!$AJ:$AJ)</f>
        <v>0.3</v>
      </c>
      <c r="L4" s="34">
        <f>SUMIFS('BA History S2'!F:F,'BA History S2'!B:B,A4)</f>
        <v>18</v>
      </c>
      <c r="M4" s="2">
        <f>SUMIFS('BA History S2'!E:E,'BA History S2'!B:B,A4)-L4</f>
        <v>25</v>
      </c>
      <c r="N4" s="75">
        <f>LOOKUP(2, 1/('BA History S2'!$B:$B=A4), 'BA History S2'!$AH:$AH)</f>
        <v>0.40499999999999997</v>
      </c>
      <c r="O4" s="34">
        <f>SUMIFS('BA History S2'!H:H,'BA History S2'!B:B,A4)</f>
        <v>88</v>
      </c>
      <c r="P4" s="2">
        <f>SUMIFS('BA History S2'!G:G,'BA History S2'!B:B,A4)-O4</f>
        <v>100</v>
      </c>
      <c r="Q4" s="89">
        <f>LOOKUP(2, 1/('BA History S2'!$B:$B=A4), 'BA History S2'!$AI:$AI)</f>
        <v>0.4549999999999999</v>
      </c>
      <c r="R4" s="2">
        <f>COUNTIFS('BA History S2'!$B:$B,$A$4,'BA History S2'!K:K, 1)</f>
        <v>2</v>
      </c>
      <c r="S4" s="2">
        <f>COUNTIFS('BA History S2'!$B:$B,$A$4,'BA History S2'!L:L, 1)</f>
        <v>4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3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231</v>
      </c>
      <c r="G6" s="66">
        <f>AVERAGEIFS('BA History S2'!C:C,'BA History S2'!B:B,A6)</f>
        <v>17.76923076923077</v>
      </c>
      <c r="H6" s="35">
        <f t="array" ref="H6">MAX(IF('BA History S2'!B:B=A6, 'BA History S2'!C:C))</f>
        <v>40</v>
      </c>
      <c r="I6" s="34">
        <f>COUNTIFS('BA History S2'!B:B,A6,'BA History S2'!D:D, 1)</f>
        <v>6</v>
      </c>
      <c r="J6" s="2">
        <f>COUNTIFS('BA History S2'!B:B,A6,'BA History S2'!D:D, 0)</f>
        <v>7</v>
      </c>
      <c r="K6" s="75">
        <f>LOOKUP(2, 1/('BA History S2'!$B:$B=A6), 'BA History S2'!$AJ:$AJ)</f>
        <v>0.46153846153846156</v>
      </c>
      <c r="L6" s="34">
        <f>SUMIFS('BA History S2'!F:F,'BA History S2'!B:B,A6)</f>
        <v>24</v>
      </c>
      <c r="M6" s="2">
        <f>SUMIFS('BA History S2'!E:E,'BA History S2'!B:B,A6)-L6</f>
        <v>28</v>
      </c>
      <c r="N6" s="75">
        <f>LOOKUP(2, 1/('BA History S2'!$B:$B=A6), 'BA History S2'!$AH:$AH)</f>
        <v>0.44999999999999996</v>
      </c>
      <c r="O6" s="34">
        <f>SUMIFS('BA History S2'!H:H,'BA History S2'!B:B,A6)</f>
        <v>98</v>
      </c>
      <c r="P6" s="2">
        <f>SUMIFS('BA History S2'!G:G,'BA History S2'!B:B,A6)-O6</f>
        <v>116</v>
      </c>
      <c r="Q6" s="89">
        <f>LOOKUP(2, 1/('BA History S2'!$B:$B=A6), 'BA History S2'!$AI:$AI)</f>
        <v>0.44230769230769229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3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6</v>
      </c>
      <c r="AJ6" s="2">
        <f>COUNTIFS('BA History S2'!$B:$B,$A$6,'BA History S2'!AC:AC, 1)</f>
        <v>0</v>
      </c>
      <c r="AK6" s="2">
        <f>COUNTIFS('BA History S2'!$B:$B,$A$6,'BA History S2'!AD:AD, 1)</f>
        <v>2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80</v>
      </c>
      <c r="G9" s="66">
        <f>AVERAGEIFS('BA History S2'!C:C,'BA History S2'!B:B,A9)</f>
        <v>16</v>
      </c>
      <c r="H9" s="35">
        <f t="array" ref="H9">MAX(IF('BA History S2'!B:B=A9, 'BA History S2'!C:C))</f>
        <v>21</v>
      </c>
      <c r="I9" s="34">
        <f>COUNTIFS('BA History S2'!B:B,A9,'BA History S2'!D:D, 1)</f>
        <v>2</v>
      </c>
      <c r="J9" s="2">
        <f>COUNTIFS('BA History S2'!B:B,A9,'BA History S2'!D:D, 0)</f>
        <v>3</v>
      </c>
      <c r="K9" s="75">
        <f>LOOKUP(2, 1/('BA History S2'!$B:$B=A9), 'BA History S2'!$AJ:$AJ)</f>
        <v>0.4</v>
      </c>
      <c r="L9" s="34">
        <f>SUMIFS('BA History S2'!F:F,'BA History S2'!B:B,A9)</f>
        <v>8</v>
      </c>
      <c r="M9" s="2">
        <f>SUMIFS('BA History S2'!E:E,'BA History S2'!B:B,A9)-L9</f>
        <v>13</v>
      </c>
      <c r="N9" s="75">
        <f>LOOKUP(2, 1/('BA History S2'!$B:$B=A9), 'BA History S2'!$AH:$AH)</f>
        <v>0.33999999999999997</v>
      </c>
      <c r="O9" s="34">
        <f>SUMIFS('BA History S2'!H:H,'BA History S2'!B:B,A9)</f>
        <v>38</v>
      </c>
      <c r="P9" s="2">
        <f>SUMIFS('BA History S2'!G:G,'BA History S2'!B:B,A9)-O9</f>
        <v>49</v>
      </c>
      <c r="Q9" s="89">
        <f>LOOKUP(2, 1/('BA History S2'!$B:$B=A9), 'BA History S2'!$AI:$AI)</f>
        <v>0.40199999999999997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3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2</v>
      </c>
      <c r="AJ9" s="2">
        <f>COUNTIFS('BA History S2'!$B:$B,$A$9,'BA History S2'!AC:AC, 1)</f>
        <v>0</v>
      </c>
      <c r="AK9" s="2">
        <f>COUNTIFS('BA History S2'!$B:$B,$A$9,'BA History S2'!AD:AD, 1)</f>
        <v>1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242</v>
      </c>
      <c r="G11" s="66">
        <f>AVERAGEIFS('BA History S2'!C:C,'BA History S2'!B:B,A11)</f>
        <v>16.133333333333333</v>
      </c>
      <c r="H11" s="35">
        <f t="array" ref="H11">MAX(IF('BA History S2'!B:B=A11, 'BA History S2'!C:C))</f>
        <v>28</v>
      </c>
      <c r="I11" s="34">
        <f>COUNTIFS('BA History S2'!B:B,A11,'BA History S2'!D:D, 1)</f>
        <v>9</v>
      </c>
      <c r="J11" s="2">
        <f>COUNTIFS('BA History S2'!B:B,A11,'BA History S2'!D:D, 0)</f>
        <v>6</v>
      </c>
      <c r="K11" s="75">
        <f>LOOKUP(2, 1/('BA History S2'!$B:$B=A11), 'BA History S2'!$AJ:$AJ)</f>
        <v>0.6</v>
      </c>
      <c r="L11" s="34">
        <f>SUMIFS('BA History S2'!F:F,'BA History S2'!B:B,A11)</f>
        <v>33</v>
      </c>
      <c r="M11" s="2">
        <f>SUMIFS('BA History S2'!E:E,'BA History S2'!B:B,A11)-L11</f>
        <v>28</v>
      </c>
      <c r="N11" s="75">
        <f>LOOKUP(2, 1/('BA History S2'!$B:$B=A11), 'BA History S2'!$AH:$AH)</f>
        <v>0.54666666666666663</v>
      </c>
      <c r="O11" s="34">
        <f>SUMIFS('BA History S2'!H:H,'BA History S2'!B:B,A11)</f>
        <v>133</v>
      </c>
      <c r="P11" s="2">
        <f>SUMIFS('BA History S2'!G:G,'BA History S2'!B:B,A11)-O11</f>
        <v>120</v>
      </c>
      <c r="Q11" s="89">
        <f>LOOKUP(2, 1/('BA History S2'!$B:$B=A11), 'BA History S2'!$AI:$AI)</f>
        <v>0.54399999999999993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5</v>
      </c>
      <c r="U11" s="2">
        <f>COUNTIFS('BA History S2'!$B:$B,$A$11,'BA History S2'!N:N, 1)</f>
        <v>5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2</v>
      </c>
      <c r="AG11" s="2">
        <f>COUNTIFS('BA History S2'!$B:$B,$A$11,'BA History S2'!Z:Z, 1)</f>
        <v>3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2</v>
      </c>
      <c r="AL11" s="2">
        <f>COUNTIFS('BA History S2'!$B:$B,$A$11,'BA History S2'!AE:AE, 1)</f>
        <v>0</v>
      </c>
      <c r="AM11" s="2">
        <f>COUNTIFS('BA History S2'!$B:$B,$A$11,'BA History S2'!AF:AF, 1)</f>
        <v>4</v>
      </c>
    </row>
    <row r="12" spans="1:39" x14ac:dyDescent="0.25">
      <c r="A12" s="2" t="s">
        <v>169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159</v>
      </c>
      <c r="F13" s="34">
        <f>SUMIFS('BA History S2'!C:C,'BA History S2'!B:B,A13)</f>
        <v>310</v>
      </c>
      <c r="G13" s="66">
        <f>AVERAGEIFS('BA History S2'!C:C,'BA History S2'!B:B,A13)</f>
        <v>25.833333333333332</v>
      </c>
      <c r="H13" s="35">
        <f t="array" ref="H13">MAX(IF('BA History S2'!B:B=A13, 'BA History S2'!C:C))</f>
        <v>49</v>
      </c>
      <c r="I13" s="34">
        <f>COUNTIFS('BA History S2'!B:B,A13,'BA History S2'!D:D, 1)</f>
        <v>7</v>
      </c>
      <c r="J13" s="2">
        <f>COUNTIFS('BA History S2'!B:B,A13,'BA History S2'!D:D, 0)</f>
        <v>5</v>
      </c>
      <c r="K13" s="75">
        <f>LOOKUP(2, 1/('BA History S2'!$B:$B=A13), 'BA History S2'!$AJ:$AJ)</f>
        <v>0.58333333333333337</v>
      </c>
      <c r="L13" s="34">
        <f>SUMIFS('BA History S2'!F:F,'BA History S2'!B:B,A13)</f>
        <v>27</v>
      </c>
      <c r="M13" s="2">
        <f>SUMIFS('BA History S2'!E:E,'BA History S2'!B:B,A13)-L13</f>
        <v>21</v>
      </c>
      <c r="N13" s="75">
        <f>LOOKUP(2, 1/('BA History S2'!$B:$B=A13), 'BA History S2'!$AH:$AH)</f>
        <v>0.57500000000000007</v>
      </c>
      <c r="O13" s="34">
        <f>SUMIFS('BA History S2'!H:H,'BA History S2'!B:B,A13)</f>
        <v>105</v>
      </c>
      <c r="P13" s="2">
        <f>SUMIFS('BA History S2'!G:G,'BA History S2'!B:B,A13)-O13</f>
        <v>93</v>
      </c>
      <c r="Q13" s="89">
        <f>LOOKUP(2, 1/('BA History S2'!$B:$B=A13), 'BA History S2'!$AI:$AI)</f>
        <v>0.55666666666666653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2</v>
      </c>
      <c r="U13" s="2">
        <f>COUNTIFS('BA History S2'!$B:$B,$A$13,'BA History S2'!N:N, 1)</f>
        <v>2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2</v>
      </c>
      <c r="AG13" s="2">
        <f>COUNTIFS('BA History S2'!$B:$B,$A$13,'BA History S2'!Z:Z, 1)</f>
        <v>3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3</v>
      </c>
      <c r="AL13" s="2">
        <f>COUNTIFS('BA History S2'!$B:$B,$A$13,'BA History S2'!AE:AE, 1)</f>
        <v>0</v>
      </c>
      <c r="AM13" s="2">
        <f>COUNTIFS('BA History S2'!$B:$B,$A$13,'BA History S2'!AF:AF, 1)</f>
        <v>3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204</v>
      </c>
      <c r="G14" s="66">
        <f>AVERAGEIFS('BA History S2'!C:C,'BA History S2'!B:B,A14)</f>
        <v>18.545454545454547</v>
      </c>
      <c r="H14" s="35">
        <f t="array" ref="H14">MAX(IF('BA History S2'!B:B=A14, 'BA History S2'!C:C))</f>
        <v>28</v>
      </c>
      <c r="I14" s="34">
        <f>COUNTIFS('BA History S2'!B:B,A14,'BA History S2'!D:D, 1)</f>
        <v>9</v>
      </c>
      <c r="J14" s="2">
        <f>COUNTIFS('BA History S2'!B:B,A14,'BA History S2'!D:D, 0)</f>
        <v>2</v>
      </c>
      <c r="K14" s="75">
        <f>LOOKUP(2, 1/('BA History S2'!$B:$B=A14), 'BA History S2'!$AJ:$AJ)</f>
        <v>0.81818181818181823</v>
      </c>
      <c r="L14" s="34">
        <f>SUMIFS('BA History S2'!F:F,'BA History S2'!B:B,A14)</f>
        <v>30</v>
      </c>
      <c r="M14" s="2">
        <f>SUMIFS('BA History S2'!E:E,'BA History S2'!B:B,A14)-L14</f>
        <v>12</v>
      </c>
      <c r="N14" s="75">
        <f>LOOKUP(2, 1/('BA History S2'!$B:$B=A14), 'BA History S2'!$AH:$AH)</f>
        <v>0.74090909090909096</v>
      </c>
      <c r="O14" s="34">
        <f>SUMIFS('BA History S2'!H:H,'BA History S2'!B:B,A14)</f>
        <v>104</v>
      </c>
      <c r="P14" s="2">
        <f>SUMIFS('BA History S2'!G:G,'BA History S2'!B:B,A14)-O14</f>
        <v>65</v>
      </c>
      <c r="Q14" s="89">
        <f>LOOKUP(2, 1/('BA History S2'!$B:$B=A14), 'BA History S2'!$AI:$AI)</f>
        <v>0.64363636363636367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1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6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x14ac:dyDescent="0.25">
      <c r="A15" s="2" t="s">
        <v>46</v>
      </c>
      <c r="B15" s="1" t="s">
        <v>159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162</v>
      </c>
      <c r="B19" s="2" t="s">
        <v>79</v>
      </c>
      <c r="C19" s="2"/>
      <c r="D19" s="2"/>
      <c r="E19" s="2"/>
      <c r="F19" s="34">
        <f>SUMIFS('BA History S2'!C:C,'BA History S2'!B:B,A19)</f>
        <v>31</v>
      </c>
      <c r="G19" s="66">
        <f>AVERAGEIFS('BA History S2'!C:C,'BA History S2'!B:B,A19)</f>
        <v>5.166666666666667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2</v>
      </c>
      <c r="K19" s="75">
        <f>LOOKUP(2, 1/('BA History S2'!$B:$B=A19), 'BA History S2'!$AJ:$AJ)</f>
        <v>0.66666666666666663</v>
      </c>
      <c r="L19" s="34">
        <f>SUMIFS('BA History S2'!F:F,'BA History S2'!B:B,A19)</f>
        <v>15</v>
      </c>
      <c r="M19" s="2">
        <f>SUMIFS('BA History S2'!E:E,'BA History S2'!B:B,A19)-L19</f>
        <v>9</v>
      </c>
      <c r="N19" s="75">
        <f>LOOKUP(2, 1/('BA History S2'!$B:$B=A19), 'BA History S2'!$AH:$AH)</f>
        <v>0.65</v>
      </c>
      <c r="O19" s="34">
        <f>SUMIFS('BA History S2'!H:H,'BA History S2'!B:B,A19)</f>
        <v>54</v>
      </c>
      <c r="P19" s="2">
        <f>SUMIFS('BA History S2'!G:G,'BA History S2'!B:B,A19)-O19</f>
        <v>47</v>
      </c>
      <c r="Q19" s="89">
        <f>LOOKUP(2, 1/('BA History S2'!$B:$B=A19), 'BA History S2'!$AI:$AI)</f>
        <v>0.54999999999999993</v>
      </c>
      <c r="R19" s="2">
        <f>COUNTIFS('BA History S2'!$B:$B,$A$19,'BA History S2'!K:K, 1)</f>
        <v>1</v>
      </c>
      <c r="S19" s="2">
        <f>COUNTIFS('BA History S2'!$B:$B,$A$19,'BA History S2'!L:L, 1)</f>
        <v>1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2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159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164</v>
      </c>
      <c r="G22" s="66">
        <f>AVERAGEIFS('BA History S2'!C:C,'BA History S2'!B:B,A22)</f>
        <v>20.5</v>
      </c>
      <c r="H22" s="35">
        <f t="array" ref="H22">MAX(IF('BA History S2'!B:B=A22, 'BA History S2'!C:C))</f>
        <v>42</v>
      </c>
      <c r="I22" s="34">
        <f>COUNTIFS('BA History S2'!B:B,A22,'BA History S2'!D:D, 1)</f>
        <v>5</v>
      </c>
      <c r="J22" s="2">
        <f>COUNTIFS('BA History S2'!B:B,A22,'BA History S2'!D:D, 0)</f>
        <v>3</v>
      </c>
      <c r="K22" s="75">
        <f>LOOKUP(2, 1/('BA History S2'!$B:$B=A22), 'BA History S2'!$AJ:$AJ)</f>
        <v>0.625</v>
      </c>
      <c r="L22" s="34">
        <f>SUMIFS('BA History S2'!F:F,'BA History S2'!B:B,A22)</f>
        <v>17</v>
      </c>
      <c r="M22" s="2">
        <f>SUMIFS('BA History S2'!E:E,'BA History S2'!B:B,A22)-L22</f>
        <v>12</v>
      </c>
      <c r="N22" s="75">
        <f>LOOKUP(2, 1/('BA History S2'!$B:$B=A22), 'BA History S2'!$AH:$AH)</f>
        <v>0.60624999999999996</v>
      </c>
      <c r="O22" s="34">
        <f>SUMIFS('BA History S2'!H:H,'BA History S2'!B:B,A22)</f>
        <v>61</v>
      </c>
      <c r="P22" s="2">
        <f>SUMIFS('BA History S2'!G:G,'BA History S2'!B:B,A22)-O22</f>
        <v>53</v>
      </c>
      <c r="Q22" s="89">
        <f>LOOKUP(2, 1/('BA History S2'!$B:$B=A22), 'BA History S2'!$AI:$AI)</f>
        <v>0.53499999999999992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1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159</v>
      </c>
      <c r="F23" s="34">
        <f>SUMIFS('BA History S2'!C:C,'BA History S2'!B:B,A23)</f>
        <v>196</v>
      </c>
      <c r="G23" s="66">
        <f>AVERAGEIFS('BA History S2'!C:C,'BA History S2'!B:B,A23)</f>
        <v>17.818181818181817</v>
      </c>
      <c r="H23" s="35">
        <f t="array" ref="H23">MAX(IF('BA History S2'!B:B=A23, 'BA History S2'!C:C))</f>
        <v>37</v>
      </c>
      <c r="I23" s="34">
        <f>COUNTIFS('BA History S2'!B:B,A23,'BA History S2'!D:D, 1)</f>
        <v>5</v>
      </c>
      <c r="J23" s="2">
        <f>COUNTIFS('BA History S2'!B:B,A23,'BA History S2'!D:D, 0)</f>
        <v>6</v>
      </c>
      <c r="K23" s="75">
        <f>LOOKUP(2, 1/('BA History S2'!$B:$B=A23), 'BA History S2'!$AJ:$AJ)</f>
        <v>0.45454545454545453</v>
      </c>
      <c r="L23" s="34">
        <f>SUMIFS('BA History S2'!F:F,'BA History S2'!B:B,A23)</f>
        <v>22</v>
      </c>
      <c r="M23" s="2">
        <f>SUMIFS('BA History S2'!E:E,'BA History S2'!B:B,A23)-L23</f>
        <v>24</v>
      </c>
      <c r="N23" s="75">
        <f>LOOKUP(2, 1/('BA History S2'!$B:$B=A23), 'BA History S2'!$AH:$AH)</f>
        <v>0.47727272727272735</v>
      </c>
      <c r="O23" s="34">
        <f>SUMIFS('BA History S2'!H:H,'BA History S2'!B:B,A23)</f>
        <v>92</v>
      </c>
      <c r="P23" s="2">
        <f>SUMIFS('BA History S2'!G:G,'BA History S2'!B:B,A23)-O23</f>
        <v>96</v>
      </c>
      <c r="Q23" s="89">
        <f>LOOKUP(2, 1/('BA History S2'!$B:$B=A23), 'BA History S2'!$AI:$AI)</f>
        <v>0.49363636363636371</v>
      </c>
      <c r="R23" s="2">
        <f>COUNTIFS('BA History S2'!$B:$B,$A$23,'BA History S2'!K:K, 1)</f>
        <v>0</v>
      </c>
      <c r="S23" s="2">
        <f>COUNTIFS('BA History S2'!$B:$B,$A$23,'BA History S2'!L:L, 1)</f>
        <v>3</v>
      </c>
      <c r="T23" s="2">
        <f>COUNTIFS('BA History S2'!$B:$B,$A$23,'BA History S2'!M:M, 1)</f>
        <v>3</v>
      </c>
      <c r="U23" s="2">
        <f>COUNTIFS('BA History S2'!$B:$B,$A$23,'BA History S2'!N:N, 1)</f>
        <v>5</v>
      </c>
      <c r="V23" s="2">
        <f>COUNTIFS('BA History S2'!$B:$B,$A$23,'BA History S2'!O:O, 1)</f>
        <v>1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2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5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46</v>
      </c>
      <c r="G24" s="66">
        <f>AVERAGEIFS('BA History S2'!C:C,'BA History S2'!B:B,A24)</f>
        <v>11.5</v>
      </c>
      <c r="H24" s="35">
        <f t="array" ref="H24">MAX(IF('BA History S2'!B:B=A24, 'BA History S2'!C:C))</f>
        <v>19</v>
      </c>
      <c r="I24" s="34">
        <f>COUNTIFS('BA History S2'!B:B,A24,'BA History S2'!D:D, 1)</f>
        <v>3</v>
      </c>
      <c r="J24" s="2">
        <f>COUNTIFS('BA History S2'!B:B,A24,'BA History S2'!D:D, 0)</f>
        <v>1</v>
      </c>
      <c r="K24" s="75">
        <f>LOOKUP(2, 1/('BA History S2'!$B:$B=A24), 'BA History S2'!$AJ:$AJ)</f>
        <v>0.75</v>
      </c>
      <c r="L24" s="34">
        <f>SUMIFS('BA History S2'!F:F,'BA History S2'!B:B,A24)</f>
        <v>9</v>
      </c>
      <c r="M24" s="2">
        <f>SUMIFS('BA History S2'!E:E,'BA History S2'!B:B,A24)-L24</f>
        <v>8</v>
      </c>
      <c r="N24" s="75">
        <f>LOOKUP(2, 1/('BA History S2'!$B:$B=A24), 'BA History S2'!$AH:$AH)</f>
        <v>0.48750000000000004</v>
      </c>
      <c r="O24" s="34">
        <f>SUMIFS('BA History S2'!H:H,'BA History S2'!B:B,A24)</f>
        <v>38</v>
      </c>
      <c r="P24" s="2">
        <f>SUMIFS('BA History S2'!G:G,'BA History S2'!B:B,A24)-O24</f>
        <v>34</v>
      </c>
      <c r="Q24" s="89">
        <f>LOOKUP(2, 1/('BA History S2'!$B:$B=A24), 'BA History S2'!$AI:$AI)</f>
        <v>0.51500000000000001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2</v>
      </c>
      <c r="AL24" s="2">
        <f>COUNTIFS('BA History S2'!$B:$B,$A$24,'BA History S2'!AE:AE, 1)</f>
        <v>0</v>
      </c>
      <c r="AM24" s="2">
        <f>COUNTIFS('BA History S2'!$B:$B,$A$24,'BA History S2'!AF:AF, 1)</f>
        <v>2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282</v>
      </c>
      <c r="G25" s="66">
        <f>AVERAGEIFS('BA History S2'!C:C,'BA History S2'!B:B,A25)</f>
        <v>20.142857142857142</v>
      </c>
      <c r="H25" s="35">
        <f t="array" ref="H25">MAX(IF('BA History S2'!B:B=A25, 'BA History S2'!C:C))</f>
        <v>37</v>
      </c>
      <c r="I25" s="34">
        <f>COUNTIFS('BA History S2'!B:B,A25,'BA History S2'!D:D, 1)</f>
        <v>6</v>
      </c>
      <c r="J25" s="2">
        <f>COUNTIFS('BA History S2'!B:B,A25,'BA History S2'!D:D, 0)</f>
        <v>8</v>
      </c>
      <c r="K25" s="75">
        <f>LOOKUP(2, 1/('BA History S2'!$B:$B=A25), 'BA History S2'!$AJ:$AJ)</f>
        <v>0.42857142857142855</v>
      </c>
      <c r="L25" s="34">
        <f>SUMIFS('BA History S2'!F:F,'BA History S2'!B:B,A25)</f>
        <v>28</v>
      </c>
      <c r="M25" s="2">
        <f>SUMIFS('BA History S2'!E:E,'BA History S2'!B:B,A25)-L25</f>
        <v>31</v>
      </c>
      <c r="N25" s="75">
        <f>LOOKUP(2, 1/('BA History S2'!$B:$B=A25), 'BA History S2'!$AH:$AH)</f>
        <v>0.47500000000000003</v>
      </c>
      <c r="O25" s="34">
        <f>SUMIFS('BA History S2'!H:H,'BA History S2'!B:B,A25)</f>
        <v>123</v>
      </c>
      <c r="P25" s="2">
        <f>SUMIFS('BA History S2'!G:G,'BA History S2'!B:B,A25)-O25</f>
        <v>126</v>
      </c>
      <c r="Q25" s="89">
        <f>LOOKUP(2, 1/('BA History S2'!$B:$B=A25), 'BA History S2'!$AI:$AI)</f>
        <v>0.48785714285714293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3</v>
      </c>
      <c r="U25" s="2">
        <f>COUNTIFS('BA History S2'!$B:$B,$A$25,'BA History S2'!N:N, 1)</f>
        <v>3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1</v>
      </c>
      <c r="AG25" s="2">
        <f>COUNTIFS('BA History S2'!$B:$B,$A$25,'BA History S2'!Z:Z, 1)</f>
        <v>4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167</v>
      </c>
      <c r="B26" s="2" t="s">
        <v>79</v>
      </c>
      <c r="C26" s="2"/>
      <c r="D26" s="2"/>
      <c r="E26" s="2"/>
      <c r="F26" s="34">
        <f>SUMIFS('BA History S2'!C:C,'BA History S2'!B:B,A26)</f>
        <v>19</v>
      </c>
      <c r="G26" s="66">
        <f>AVERAGEIFS('BA History S2'!C:C,'BA History S2'!B:B,A26)</f>
        <v>6.333333333333333</v>
      </c>
      <c r="H26" s="35">
        <f t="array" ref="H26">MAX(IF('BA History S2'!B:B=A26, 'BA History S2'!C:C))</f>
        <v>8</v>
      </c>
      <c r="I26" s="34">
        <f>COUNTIFS('BA History S2'!B:B,A26,'BA History S2'!D:D, 1)</f>
        <v>2</v>
      </c>
      <c r="J26" s="2">
        <f>COUNTIFS('BA History S2'!B:B,A26,'BA History S2'!D:D, 0)</f>
        <v>1</v>
      </c>
      <c r="K26" s="75">
        <f>LOOKUP(2, 1/('BA History S2'!$B:$B=A26), 'BA History S2'!$AJ:$AJ)</f>
        <v>0.66666666666666663</v>
      </c>
      <c r="L26" s="34">
        <f>SUMIFS('BA History S2'!F:F,'BA History S2'!B:B,A26)</f>
        <v>6</v>
      </c>
      <c r="M26" s="2">
        <f>SUMIFS('BA History S2'!E:E,'BA History S2'!B:B,A26)-L26</f>
        <v>6</v>
      </c>
      <c r="N26" s="75">
        <f>LOOKUP(2, 1/('BA History S2'!$B:$B=A26), 'BA History S2'!$AH:$AH)</f>
        <v>0.45</v>
      </c>
      <c r="O26" s="34">
        <f>SUMIFS('BA History S2'!H:H,'BA History S2'!B:B,A26)</f>
        <v>25</v>
      </c>
      <c r="P26" s="2">
        <f>SUMIFS('BA History S2'!G:G,'BA History S2'!B:B,A26)-O26</f>
        <v>24</v>
      </c>
      <c r="Q26" s="89">
        <f>LOOKUP(2, 1/('BA History S2'!$B:$B=A26), 'BA History S2'!$AI:$AI)</f>
        <v>0.47666666666666663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101</v>
      </c>
      <c r="G27" s="66">
        <f>AVERAGEIFS('BA History S2'!C:C,'BA History S2'!B:B,A27)</f>
        <v>14.428571428571429</v>
      </c>
      <c r="H27" s="35">
        <f t="array" ref="H27">MAX(IF('BA History S2'!B:B=A27, 'BA History S2'!C:C))</f>
        <v>24</v>
      </c>
      <c r="I27" s="34">
        <f>COUNTIFS('BA History S2'!B:B,A27,'BA History S2'!D:D, 1)</f>
        <v>2</v>
      </c>
      <c r="J27" s="2">
        <f>COUNTIFS('BA History S2'!B:B,A27,'BA History S2'!D:D, 0)</f>
        <v>5</v>
      </c>
      <c r="K27" s="75">
        <f>LOOKUP(2, 1/('BA History S2'!$B:$B=A27), 'BA History S2'!$AJ:$AJ)</f>
        <v>0.2857142857142857</v>
      </c>
      <c r="L27" s="34">
        <f>SUMIFS('BA History S2'!F:F,'BA History S2'!B:B,A27)</f>
        <v>14</v>
      </c>
      <c r="M27" s="2">
        <f>SUMIFS('BA History S2'!E:E,'BA History S2'!B:B,A27)-L27</f>
        <v>16</v>
      </c>
      <c r="N27" s="75">
        <f>LOOKUP(2, 1/('BA History S2'!$B:$B=A27), 'BA History S2'!$AH:$AH)</f>
        <v>0.49285714285714283</v>
      </c>
      <c r="O27" s="34">
        <f>SUMIFS('BA History S2'!H:H,'BA History S2'!B:B,A27)</f>
        <v>64</v>
      </c>
      <c r="P27" s="2">
        <f>SUMIFS('BA History S2'!G:G,'BA History S2'!B:B,A27)-O27</f>
        <v>62</v>
      </c>
      <c r="Q27" s="89">
        <f>LOOKUP(2, 1/('BA History S2'!$B:$B=A27), 'BA History S2'!$AI:$AI)</f>
        <v>0.53428571428571436</v>
      </c>
      <c r="R27" s="2">
        <f>COUNTIFS('BA History S2'!$B:$B,$A$27,'BA History S2'!K:K, 1)</f>
        <v>0</v>
      </c>
      <c r="S27" s="2">
        <f>COUNTIFS('BA History S2'!$B:$B,$A$27,'BA History S2'!L:L, 1)</f>
        <v>2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1</v>
      </c>
      <c r="W27" s="2">
        <f>COUNTIFS('BA History S2'!$B:$B,$A$27,'BA History S2'!P:P, 1)</f>
        <v>1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2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156</v>
      </c>
      <c r="G28" s="66">
        <f>AVERAGEIFS('BA History S2'!C:C,'BA History S2'!B:B,A28)</f>
        <v>17.333333333333332</v>
      </c>
      <c r="H28" s="35">
        <f t="array" ref="H28">MAX(IF('BA History S2'!B:B=A28, 'BA History S2'!C:C))</f>
        <v>26</v>
      </c>
      <c r="I28" s="34">
        <f>COUNTIFS('BA History S2'!B:B,A28,'BA History S2'!D:D, 1)</f>
        <v>7</v>
      </c>
      <c r="J28" s="2">
        <f>COUNTIFS('BA History S2'!B:B,A28,'BA History S2'!D:D, 0)</f>
        <v>2</v>
      </c>
      <c r="K28" s="75">
        <f>LOOKUP(2, 1/('BA History S2'!$B:$B=A28), 'BA History S2'!$AJ:$AJ)</f>
        <v>0.77777777777777779</v>
      </c>
      <c r="L28" s="34">
        <f>SUMIFS('BA History S2'!F:F,'BA History S2'!B:B,A28)</f>
        <v>22</v>
      </c>
      <c r="M28" s="2">
        <f>SUMIFS('BA History S2'!E:E,'BA History S2'!B:B,A28)-L28</f>
        <v>14</v>
      </c>
      <c r="N28" s="75">
        <f>LOOKUP(2, 1/('BA History S2'!$B:$B=A28), 'BA History S2'!$AH:$AH)</f>
        <v>0.60555555555555551</v>
      </c>
      <c r="O28" s="34">
        <f>SUMIFS('BA History S2'!H:H,'BA History S2'!B:B,A28)</f>
        <v>77</v>
      </c>
      <c r="P28" s="2">
        <f>SUMIFS('BA History S2'!G:G,'BA History S2'!B:B,A28)-O28</f>
        <v>66</v>
      </c>
      <c r="Q28" s="89">
        <f>LOOKUP(2, 1/('BA History S2'!$B:$B=A28), 'BA History S2'!$AI:$AI)</f>
        <v>0.52555555555555555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3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1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3</v>
      </c>
      <c r="AJ28" s="2">
        <f>COUNTIFS('BA History S2'!$B:$B,$A$28,'BA History S2'!AC:AC, 1)</f>
        <v>2</v>
      </c>
      <c r="AK28" s="2">
        <f>COUNTIFS('BA History S2'!$B:$B,$A$28,'BA History S2'!AD:AD, 1)</f>
        <v>3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6</v>
      </c>
      <c r="B29" s="1" t="s">
        <v>159</v>
      </c>
      <c r="E29" s="1">
        <v>1</v>
      </c>
      <c r="F29" s="34">
        <f>SUMIFS('BA History S2'!C:C,'BA History S2'!B:B,A29)</f>
        <v>290</v>
      </c>
      <c r="G29" s="66">
        <f>AVERAGEIFS('BA History S2'!C:C,'BA History S2'!B:B,A29)</f>
        <v>20.714285714285715</v>
      </c>
      <c r="H29" s="35">
        <f t="array" ref="H29">MAX(IF('BA History S2'!B:B=A29, 'BA History S2'!C:C))</f>
        <v>31</v>
      </c>
      <c r="I29" s="34">
        <f>COUNTIFS('BA History S2'!B:B,A29,'BA History S2'!D:D, 1)</f>
        <v>6</v>
      </c>
      <c r="J29" s="2">
        <f>COUNTIFS('BA History S2'!B:B,A29,'BA History S2'!D:D, 0)</f>
        <v>8</v>
      </c>
      <c r="K29" s="75">
        <f>LOOKUP(2, 1/('BA History S2'!$B:$B=A29), 'BA History S2'!$AJ:$AJ)</f>
        <v>0.42857142857142855</v>
      </c>
      <c r="L29" s="34">
        <f>SUMIFS('BA History S2'!F:F,'BA History S2'!B:B,A29)</f>
        <v>25</v>
      </c>
      <c r="M29" s="2">
        <f>SUMIFS('BA History S2'!E:E,'BA History S2'!B:B,A29)-L29</f>
        <v>30</v>
      </c>
      <c r="N29" s="75">
        <f>LOOKUP(2, 1/('BA History S2'!$B:$B=A29), 'BA History S2'!$AH:$AH)</f>
        <v>0.43928571428571433</v>
      </c>
      <c r="O29" s="34">
        <f>SUMIFS('BA History S2'!H:H,'BA History S2'!B:B,A29)</f>
        <v>109</v>
      </c>
      <c r="P29" s="2">
        <f>SUMIFS('BA History S2'!G:G,'BA History S2'!B:B,A29)-O29</f>
        <v>115</v>
      </c>
      <c r="Q29" s="89">
        <f>LOOKUP(2, 1/('BA History S2'!$B:$B=A29), 'BA History S2'!$AI:$AI)</f>
        <v>0.47714285714285715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3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3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300</v>
      </c>
      <c r="G30" s="66">
        <f>AVERAGEIFS('BA History S2'!C:C,'BA History S2'!B:B,A30)</f>
        <v>20</v>
      </c>
      <c r="H30" s="35">
        <f t="array" ref="H30">MAX(IF('BA History S2'!B:B=A30, 'BA History S2'!C:C))</f>
        <v>36</v>
      </c>
      <c r="I30" s="34">
        <f>COUNTIFS('BA History S2'!B:B,A30,'BA History S2'!D:D, 1)</f>
        <v>9</v>
      </c>
      <c r="J30" s="2">
        <f>COUNTIFS('BA History S2'!B:B,A30,'BA History S2'!D:D, 0)</f>
        <v>6</v>
      </c>
      <c r="K30" s="75">
        <f>LOOKUP(2, 1/('BA History S2'!$B:$B=A30), 'BA History S2'!$AJ:$AJ)</f>
        <v>0.6</v>
      </c>
      <c r="L30" s="34">
        <f>SUMIFS('BA History S2'!F:F,'BA History S2'!B:B,A30)</f>
        <v>36</v>
      </c>
      <c r="M30" s="2">
        <f>SUMIFS('BA History S2'!E:E,'BA History S2'!B:B,A30)-L30</f>
        <v>25</v>
      </c>
      <c r="N30" s="75">
        <f>LOOKUP(2, 1/('BA History S2'!$B:$B=A30), 'BA History S2'!$AH:$AH)</f>
        <v>0.62666666666666671</v>
      </c>
      <c r="O30" s="34">
        <f>SUMIFS('BA History S2'!H:H,'BA History S2'!B:B,A30)</f>
        <v>136</v>
      </c>
      <c r="P30" s="2">
        <f>SUMIFS('BA History S2'!G:G,'BA History S2'!B:B,A30)-O30</f>
        <v>114</v>
      </c>
      <c r="Q30" s="89">
        <f>LOOKUP(2, 1/('BA History S2'!$B:$B=A30), 'BA History S2'!$AI:$AI)</f>
        <v>0.57866666666666666</v>
      </c>
      <c r="R30" s="2">
        <f>COUNTIFS('BA History S2'!$B:$B,$A$30,'BA History S2'!K:K, 1)</f>
        <v>0</v>
      </c>
      <c r="S30" s="2">
        <f>COUNTIFS('BA History S2'!$B:$B,$A$30,'BA History S2'!L:L, 1)</f>
        <v>4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1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5</v>
      </c>
      <c r="AH30" s="2">
        <f>COUNTIFS('BA History S2'!$B:$B,$A$30,'BA History S2'!AA:AA, 1)</f>
        <v>0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4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159</v>
      </c>
      <c r="C33" s="1">
        <v>1</v>
      </c>
      <c r="F33" s="34">
        <f>SUMIFS('BA History S2'!C:C,'BA History S2'!B:B,A33)</f>
        <v>254</v>
      </c>
      <c r="G33" s="66">
        <f>AVERAGEIFS('BA History S2'!C:C,'BA History S2'!B:B,A33)</f>
        <v>28.222222222222221</v>
      </c>
      <c r="H33" s="35">
        <f t="array" ref="H33">MAX(IF('BA History S2'!B:B=A33, 'BA History S2'!C:C))</f>
        <v>38</v>
      </c>
      <c r="I33" s="34">
        <f>COUNTIFS('BA History S2'!B:B,A33,'BA History S2'!D:D, 1)</f>
        <v>6</v>
      </c>
      <c r="J33" s="2">
        <f>COUNTIFS('BA History S2'!B:B,A33,'BA History S2'!D:D, 0)</f>
        <v>3</v>
      </c>
      <c r="K33" s="75">
        <f>LOOKUP(2, 1/('BA History S2'!$B:$B=A33), 'BA History S2'!$AJ:$AJ)</f>
        <v>0.66666666666666663</v>
      </c>
      <c r="L33" s="34">
        <f>SUMIFS('BA History S2'!F:F,'BA History S2'!B:B,A33)</f>
        <v>22</v>
      </c>
      <c r="M33" s="2">
        <f>SUMIFS('BA History S2'!E:E,'BA History S2'!B:B,A33)-L33</f>
        <v>17</v>
      </c>
      <c r="N33" s="75">
        <f>LOOKUP(2, 1/('BA History S2'!$B:$B=A33), 'BA History S2'!$AH:$AH)</f>
        <v>0.57777777777777783</v>
      </c>
      <c r="O33" s="34">
        <f>SUMIFS('BA History S2'!H:H,'BA History S2'!B:B,A33)</f>
        <v>91</v>
      </c>
      <c r="P33" s="2">
        <f>SUMIFS('BA History S2'!G:G,'BA History S2'!B:B,A33)-O33</f>
        <v>79</v>
      </c>
      <c r="Q33" s="89">
        <f>LOOKUP(2, 1/('BA History S2'!$B:$B=A33), 'BA History S2'!$AI:$AI)</f>
        <v>0.54222222222222216</v>
      </c>
      <c r="R33" s="2">
        <f>COUNTIFS('BA History S2'!$B:$B,$A$33,'BA History S2'!K:K, 1)</f>
        <v>1</v>
      </c>
      <c r="S33" s="2">
        <f>COUNTIFS('BA History S2'!$B:$B,$A$33,'BA History S2'!L:L, 1)</f>
        <v>3</v>
      </c>
      <c r="T33" s="2">
        <f>COUNTIFS('BA History S2'!$B:$B,$A$33,'BA History S2'!M:M, 1)</f>
        <v>2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5</v>
      </c>
      <c r="AJ33" s="2">
        <f>COUNTIFS('BA History S2'!$B:$B,$A$33,'BA History S2'!AC:AC, 1)</f>
        <v>3</v>
      </c>
      <c r="AK33" s="2">
        <f>COUNTIFS('BA History S2'!$B:$B,$A$33,'BA History S2'!AD:AD, 1)</f>
        <v>2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214</v>
      </c>
      <c r="G34" s="66">
        <f>AVERAGEIFS('BA History S2'!C:C,'BA History S2'!B:B,A34)</f>
        <v>14.266666666666667</v>
      </c>
      <c r="H34" s="35">
        <f t="array" ref="H34">MAX(IF('BA History S2'!B:B=A34, 'BA History S2'!C:C))</f>
        <v>22</v>
      </c>
      <c r="I34" s="34">
        <f>COUNTIFS('BA History S2'!B:B,A34,'BA History S2'!D:D, 1)</f>
        <v>8</v>
      </c>
      <c r="J34" s="2">
        <f>COUNTIFS('BA History S2'!B:B,A34,'BA History S2'!D:D, 0)</f>
        <v>7</v>
      </c>
      <c r="K34" s="75">
        <f>LOOKUP(2, 1/('BA History S2'!$B:$B=A34), 'BA History S2'!$AJ:$AJ)</f>
        <v>0.53333333333333333</v>
      </c>
      <c r="L34" s="34">
        <f>SUMIFS('BA History S2'!F:F,'BA History S2'!B:B,A34)</f>
        <v>28</v>
      </c>
      <c r="M34" s="2">
        <f>SUMIFS('BA History S2'!E:E,'BA History S2'!B:B,A34)-L34</f>
        <v>30</v>
      </c>
      <c r="N34" s="75">
        <f>LOOKUP(2, 1/('BA History S2'!$B:$B=A34), 'BA History S2'!$AH:$AH)</f>
        <v>0.45666666666666667</v>
      </c>
      <c r="O34" s="34">
        <f>SUMIFS('BA History S2'!H:H,'BA History S2'!B:B,A34)</f>
        <v>115</v>
      </c>
      <c r="P34" s="2">
        <f>SUMIFS('BA History S2'!G:G,'BA History S2'!B:B,A34)-O34</f>
        <v>119</v>
      </c>
      <c r="Q34" s="89">
        <f>LOOKUP(2, 1/('BA History S2'!$B:$B=A34), 'BA History S2'!$AI:$AI)</f>
        <v>0.47866666666666668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4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2</v>
      </c>
      <c r="AH34" s="2">
        <f>COUNTIFS('BA History S2'!$B:$B,$A$34,'BA History S2'!AA:AA, 1)</f>
        <v>0</v>
      </c>
      <c r="AI34" s="2">
        <f>COUNTIFS('BA History S2'!$B:$B,$A$34,'BA History S2'!AB:AB, 1)</f>
        <v>4</v>
      </c>
      <c r="AJ34" s="2">
        <f>COUNTIFS('BA History S2'!$B:$B,$A$34,'BA History S2'!AC:AC, 1)</f>
        <v>2</v>
      </c>
      <c r="AK34" s="2">
        <f>COUNTIFS('BA History S2'!$B:$B,$A$34,'BA History S2'!AD:AD, 1)</f>
        <v>4</v>
      </c>
      <c r="AL34" s="2">
        <f>COUNTIFS('BA History S2'!$B:$B,$A$34,'BA History S2'!AE:AE, 1)</f>
        <v>0</v>
      </c>
      <c r="AM34" s="2">
        <f>COUNTIFS('BA History S2'!$B:$B,$A$34,'BA History S2'!AF:AF, 1)</f>
        <v>2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33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AG221" sqref="AG221:AJ23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162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162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162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166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162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167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162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167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162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83"/>
  <sheetViews>
    <sheetView workbookViewId="0">
      <selection activeCell="AA159" sqref="AA159:AD1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S33" sqref="S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60</v>
      </c>
      <c r="C4" s="2" t="s">
        <v>79</v>
      </c>
      <c r="D4" s="34">
        <f>SUMIFS('Tourney History'!C:C,'Tourney History'!B:B,A4)</f>
        <v>73</v>
      </c>
      <c r="E4" s="4">
        <f>AVERAGEIFS('Tourney History'!C:C,'Tourney History'!B:B,A4)</f>
        <v>14.6</v>
      </c>
      <c r="F4" s="35">
        <f t="array" ref="F4">MAX(IF('Tourney History'!B:B=A4, 'Tourney History'!C:C))</f>
        <v>32</v>
      </c>
      <c r="G4" s="34">
        <f>COUNTIFS('Tourney History'!B:B,A4,'Tourney History'!D:D, 1)</f>
        <v>3</v>
      </c>
      <c r="H4" s="2">
        <f>COUNTIFS('Tourney History'!B:B,A4,'Tourney History'!D:D, 0)</f>
        <v>2</v>
      </c>
      <c r="I4" s="88">
        <f>LOOKUP(2, 1/('Tourney History'!$B:$B=A4), 'Tourney History'!$AD:$AD)</f>
        <v>0.6</v>
      </c>
      <c r="J4" s="34">
        <f>SUMIFS('Tourney History'!F:F,'Tourney History'!B:B,A4)</f>
        <v>10</v>
      </c>
      <c r="K4" s="2">
        <f>SUMIFS('Tourney History'!E:E,'Tourney History'!B:B,A4)-J4</f>
        <v>10</v>
      </c>
      <c r="L4" s="88">
        <f>LOOKUP(2, 1/('Tourney History'!$B:$B=A4), 'Tourney History'!$AB:$AB)</f>
        <v>0.47000000000000003</v>
      </c>
      <c r="M4" s="34">
        <f>SUMIFS('Tourney History'!H:H,'Tourney History'!B:B,A4)</f>
        <v>42</v>
      </c>
      <c r="N4" s="2">
        <f>SUMIFS('Tourney History'!G:G,'Tourney History'!B:B,A4)-M4</f>
        <v>37</v>
      </c>
      <c r="O4" s="88">
        <f>LOOKUP(2, 1/('Tourney History'!$B:$B=A4), 'Tourney History'!$AC:$AC)</f>
        <v>0.52200000000000002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2</v>
      </c>
      <c r="T4" s="2">
        <f>COUNTIFS('Tourney History'!$B:$B,$A$4,'Tourney History'!O:O, 1)</f>
        <v>1</v>
      </c>
      <c r="U4" s="2">
        <f>COUNTIFS('Tourney History'!$B:$B,$A$4,'Tourney History'!P:P, 1)</f>
        <v>1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102</v>
      </c>
      <c r="E7" s="4">
        <f>AVERAGEIFS('Tourney History'!C:C,'Tourney History'!B:B,A7)</f>
        <v>25.5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3</v>
      </c>
      <c r="I7" s="88">
        <f>LOOKUP(2, 1/('Tourney History'!$B:$B=A7), 'Tourney History'!$AD:$AD)</f>
        <v>0.25</v>
      </c>
      <c r="J7" s="34">
        <f>SUMIFS('Tourney History'!F:F,'Tourney History'!B:B,A7)</f>
        <v>8</v>
      </c>
      <c r="K7" s="2">
        <f>SUMIFS('Tourney History'!E:E,'Tourney History'!B:B,A7)-J7</f>
        <v>11</v>
      </c>
      <c r="L7" s="88">
        <f>LOOKUP(2, 1/('Tourney History'!$B:$B=A7), 'Tourney History'!$AB:$AB)</f>
        <v>0.41249999999999998</v>
      </c>
      <c r="M7" s="34">
        <f>SUMIFS('Tourney History'!H:H,'Tourney History'!B:B,A7)</f>
        <v>40</v>
      </c>
      <c r="N7" s="2">
        <f>SUMIFS('Tourney History'!G:G,'Tourney History'!B:B,A7)-M7</f>
        <v>43</v>
      </c>
      <c r="O7" s="88">
        <f>LOOKUP(2, 1/('Tourney History'!$B:$B=A7), 'Tourney History'!$AC:$AC)</f>
        <v>0.48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156</v>
      </c>
      <c r="C14" s="2" t="s">
        <v>79</v>
      </c>
      <c r="D14" s="34">
        <f>SUMIFS('Tourney History'!C:C,'Tourney History'!B:B,A14)</f>
        <v>104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7</v>
      </c>
      <c r="H14" s="2">
        <f>COUNTIFS('Tourney History'!B:B,A14,'Tourney History'!D:D, 0)</f>
        <v>1</v>
      </c>
      <c r="I14" s="88">
        <f>LOOKUP(2, 1/('Tourney History'!$B:$B=A14), 'Tourney History'!$AD:$AD)</f>
        <v>0.875</v>
      </c>
      <c r="J14" s="34">
        <f>SUMIFS('Tourney History'!F:F,'Tourney History'!B:B,A14)</f>
        <v>22</v>
      </c>
      <c r="K14" s="2">
        <f>SUMIFS('Tourney History'!E:E,'Tourney History'!B:B,A14)-J14</f>
        <v>12</v>
      </c>
      <c r="L14" s="88">
        <f>LOOKUP(2, 1/('Tourney History'!$B:$B=A14), 'Tourney History'!$AB:$AB)</f>
        <v>0.66249999999999998</v>
      </c>
      <c r="M14" s="34">
        <f>SUMIFS('Tourney History'!H:H,'Tourney History'!B:B,A14)</f>
        <v>82</v>
      </c>
      <c r="N14" s="2">
        <f>SUMIFS('Tourney History'!G:G,'Tourney History'!B:B,A14)-M14</f>
        <v>59</v>
      </c>
      <c r="O14" s="88">
        <f>LOOKUP(2, 1/('Tourney History'!$B:$B=A14), 'Tourney History'!$AC:$AC)</f>
        <v>0.59499999999999997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2</v>
      </c>
      <c r="T14" s="2">
        <f>COUNTIFS('Tourney History'!$B:$B,$A$14,'Tourney History'!O:O, 1)</f>
        <v>3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157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159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133</v>
      </c>
      <c r="E17" s="4">
        <f>AVERAGEIFS('Tourney History'!C:C,'Tourney History'!B:B,A17)</f>
        <v>22.166666666666668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3</v>
      </c>
      <c r="I17" s="88">
        <f>LOOKUP(2, 1/('Tourney History'!$B:$B=A17), 'Tourney History'!$AD:$AD)</f>
        <v>0.5</v>
      </c>
      <c r="J17" s="34">
        <f>SUMIFS('Tourney History'!F:F,'Tourney History'!B:B,A17)</f>
        <v>14</v>
      </c>
      <c r="K17" s="2">
        <f>SUMIFS('Tourney History'!E:E,'Tourney History'!B:B,A17)-J17</f>
        <v>14</v>
      </c>
      <c r="L17" s="88">
        <f>LOOKUP(2, 1/('Tourney History'!$B:$B=A17), 'Tourney History'!$AB:$AB)</f>
        <v>0.5</v>
      </c>
      <c r="M17" s="34">
        <f>SUMIFS('Tourney History'!H:H,'Tourney History'!B:B,A17)</f>
        <v>64</v>
      </c>
      <c r="N17" s="2">
        <f>SUMIFS('Tourney History'!G:G,'Tourney History'!B:B,A17)-M17</f>
        <v>62</v>
      </c>
      <c r="O17" s="88">
        <f>LOOKUP(2, 1/('Tourney History'!$B:$B=A17), 'Tourney History'!$AC:$AC)</f>
        <v>0.5066666666666666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3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158</v>
      </c>
      <c r="C22" s="2" t="s">
        <v>160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160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158</v>
      </c>
      <c r="C27" s="6" t="s">
        <v>79</v>
      </c>
      <c r="D27" s="34">
        <f>SUMIFS('Tourney History'!C:C,'Tourney History'!B:B,A27)</f>
        <v>152</v>
      </c>
      <c r="E27" s="4">
        <f>AVERAGEIFS('Tourney History'!C:C,'Tourney History'!B:B,A27)</f>
        <v>30.4</v>
      </c>
      <c r="F27" s="35">
        <f t="array" ref="F27">MAX(IF('Tourney History'!B:B=A27, 'Tourney History'!C:C))</f>
        <v>51</v>
      </c>
      <c r="G27" s="34">
        <f>COUNTIFS('Tourney History'!B:B,A27,'Tourney History'!D:D, 1)</f>
        <v>4</v>
      </c>
      <c r="H27" s="2">
        <f>COUNTIFS('Tourney History'!B:B,A27,'Tourney History'!D:D, 0)</f>
        <v>1</v>
      </c>
      <c r="I27" s="88">
        <f>LOOKUP(2, 1/('Tourney History'!$B:$B=A27), 'Tourney History'!$AD:$AD)</f>
        <v>0.8</v>
      </c>
      <c r="J27" s="34">
        <f>SUMIFS('Tourney History'!F:F,'Tourney History'!B:B,A27)</f>
        <v>13</v>
      </c>
      <c r="K27" s="2">
        <f>SUMIFS('Tourney History'!E:E,'Tourney History'!B:B,A27)-J27</f>
        <v>9</v>
      </c>
      <c r="L27" s="88">
        <f>LOOKUP(2, 1/('Tourney History'!$B:$B=A27), 'Tourney History'!$AB:$AB)</f>
        <v>0.59000000000000008</v>
      </c>
      <c r="M27" s="34">
        <f>SUMIFS('Tourney History'!H:H,'Tourney History'!B:B,A27)</f>
        <v>51</v>
      </c>
      <c r="N27" s="2">
        <f>SUMIFS('Tourney History'!G:G,'Tourney History'!B:B,A27)-M27</f>
        <v>44</v>
      </c>
      <c r="O27" s="88">
        <f>LOOKUP(2, 1/('Tourney History'!$B:$B=A27), 'Tourney History'!$AC:$AC)</f>
        <v>0.53200000000000003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0</v>
      </c>
      <c r="T27" s="2">
        <f>COUNTIFS('Tourney History'!$B:$B,$A$27,'Tourney History'!O:O, 1)</f>
        <v>2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66</v>
      </c>
      <c r="E29" s="4">
        <f>AVERAGEIFS('Tourney History'!C:C,'Tourney History'!B:B,A29)</f>
        <v>22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2</v>
      </c>
      <c r="I29" s="88">
        <f>LOOKUP(2, 1/('Tourney History'!$B:$B=A29), 'Tourney History'!$AD:$AD)</f>
        <v>0.33333333333333331</v>
      </c>
      <c r="J29" s="34">
        <f>SUMIFS('Tourney History'!F:F,'Tourney History'!B:B,A29)</f>
        <v>6</v>
      </c>
      <c r="K29" s="2">
        <f>SUMIFS('Tourney History'!E:E,'Tourney History'!B:B,A29)-J29</f>
        <v>8</v>
      </c>
      <c r="L29" s="88">
        <f>LOOKUP(2, 1/('Tourney History'!$B:$B=A29), 'Tourney History'!$AB:$AB)</f>
        <v>0.41666666666666669</v>
      </c>
      <c r="M29" s="34">
        <f>SUMIFS('Tourney History'!H:H,'Tourney History'!B:B,A29)</f>
        <v>29</v>
      </c>
      <c r="N29" s="2">
        <f>SUMIFS('Tourney History'!G:G,'Tourney History'!B:B,A29)-M29</f>
        <v>32</v>
      </c>
      <c r="O29" s="88">
        <f>LOOKUP(2, 1/('Tourney History'!$B:$B=A29), 'Tourney History'!$AC:$AC)</f>
        <v>0.47000000000000003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249</v>
      </c>
      <c r="E31" s="4">
        <f>AVERAGEIFS('Tourney History'!C:C,'Tourney History'!B:B,A31)</f>
        <v>35.571428571428569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5</v>
      </c>
      <c r="I31" s="88">
        <f>LOOKUP(2, 1/('Tourney History'!$B:$B=A31), 'Tourney History'!$AD:$AD)</f>
        <v>0.2857142857142857</v>
      </c>
      <c r="J31" s="34">
        <f>SUMIFS('Tourney History'!F:F,'Tourney History'!B:B,A31)</f>
        <v>14</v>
      </c>
      <c r="K31" s="2">
        <f>SUMIFS('Tourney History'!E:E,'Tourney History'!B:B,A31)-J31</f>
        <v>17</v>
      </c>
      <c r="L31" s="88">
        <f>LOOKUP(2, 1/('Tourney History'!$B:$B=A31), 'Tourney History'!$AB:$AB)</f>
        <v>0.47142857142857142</v>
      </c>
      <c r="M31" s="34">
        <f>SUMIFS('Tourney History'!H:H,'Tourney History'!B:B,A31)</f>
        <v>66</v>
      </c>
      <c r="N31" s="2">
        <f>SUMIFS('Tourney History'!G:G,'Tourney History'!B:B,A31)-M31</f>
        <v>71</v>
      </c>
      <c r="O31" s="88">
        <f>LOOKUP(2, 1/('Tourney History'!$B:$B=A31), 'Tourney History'!$AC:$AC)</f>
        <v>0.48999999999999994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3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x14ac:dyDescent="0.25">
      <c r="A32" s="2" t="s">
        <v>155</v>
      </c>
      <c r="B32" s="2" t="s">
        <v>79</v>
      </c>
      <c r="C32" s="2" t="s">
        <v>79</v>
      </c>
      <c r="D32" s="34">
        <f>SUMIFS('Tourney History'!C:C,'Tourney History'!B:B,A32)</f>
        <v>43</v>
      </c>
      <c r="E32" s="4">
        <f>AVERAGEIFS('Tourney History'!C:C,'Tourney History'!B:B,A32)</f>
        <v>43</v>
      </c>
      <c r="F32" s="35">
        <f t="array" ref="F32">MAX(IF('Tourney History'!B:B=A32, 'Tourney History'!C:C))</f>
        <v>43</v>
      </c>
      <c r="G32" s="34">
        <f>COUNTIFS('Tourney History'!B:B,A32,'Tourney History'!D:D, 1)</f>
        <v>1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3</v>
      </c>
      <c r="K32" s="2">
        <f>SUMIFS('Tourney History'!E:E,'Tourney History'!B:B,A32)-J32</f>
        <v>2</v>
      </c>
      <c r="L32" s="88">
        <f>LOOKUP(2, 1/('Tourney History'!$B:$B=A32), 'Tourney History'!$AB:$AB)</f>
        <v>0.6</v>
      </c>
      <c r="M32" s="34">
        <f>SUMIFS('Tourney History'!H:H,'Tourney History'!B:B,A32)</f>
        <v>11</v>
      </c>
      <c r="N32" s="2">
        <f>SUMIFS('Tourney History'!G:G,'Tourney History'!B:B,A32)-M32</f>
        <v>8</v>
      </c>
      <c r="O32" s="88">
        <f>LOOKUP(2, 1/('Tourney History'!$B:$B=A32), 'Tourney History'!$AC:$AC)</f>
        <v>0.57999999999999996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0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158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SUMIFS('Tourney History'!C:C,'Tourney History'!B:B,A34)</f>
        <v>267</v>
      </c>
      <c r="E34" s="4">
        <f>AVERAGEIFS('Tourney History'!C:C,'Tourney History'!B:B,A34)</f>
        <v>33.375</v>
      </c>
      <c r="F34" s="35">
        <f t="array" ref="F34">MAX(IF('Tourney History'!B:B=A34, 'Tourney History'!C:C))</f>
        <v>55</v>
      </c>
      <c r="G34" s="34">
        <f>COUNTIFS('Tourney History'!B:B,A34,'Tourney History'!D:D, 1)</f>
        <v>3</v>
      </c>
      <c r="H34" s="2">
        <f>COUNTIFS('Tourney History'!B:B,A34,'Tourney History'!D:D, 0)</f>
        <v>5</v>
      </c>
      <c r="I34" s="88">
        <f>LOOKUP(2, 1/('Tourney History'!$B:$B=A34), 'Tourney History'!$AD:$AD)</f>
        <v>0.375</v>
      </c>
      <c r="J34" s="34">
        <f>SUMIFS('Tourney History'!F:F,'Tourney History'!B:B,A34)</f>
        <v>16</v>
      </c>
      <c r="K34" s="2">
        <f>SUMIFS('Tourney History'!E:E,'Tourney History'!B:B,A34)-J34</f>
        <v>19</v>
      </c>
      <c r="L34" s="88">
        <f>LOOKUP(2, 1/('Tourney History'!$B:$B=A34), 'Tourney History'!$AB:$AB)</f>
        <v>0.45624999999999999</v>
      </c>
      <c r="M34" s="34">
        <f>SUMIFS('Tourney History'!H:H,'Tourney History'!B:B,A34)</f>
        <v>69</v>
      </c>
      <c r="N34" s="2">
        <f>SUMIFS('Tourney History'!G:G,'Tourney History'!B:B,A34)-M34</f>
        <v>76</v>
      </c>
      <c r="O34" s="88">
        <f>LOOKUP(2, 1/('Tourney History'!$B:$B=A34), 'Tourney History'!$AC:$AC)</f>
        <v>0.47625000000000001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3</v>
      </c>
      <c r="T34" s="2">
        <f>COUNTIFS('Tourney History'!$B:$B,$A$34,'Tourney History'!O:O, 1)</f>
        <v>1</v>
      </c>
      <c r="U34" s="2">
        <f>COUNTIFS('Tourney History'!$B:$B,$A$34,'Tourney History'!P:P, 1)</f>
        <v>2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161</v>
      </c>
      <c r="D36" s="34">
        <f>SUMIFS('Tourney History'!C:C,'Tourney History'!B:B,A36)</f>
        <v>312</v>
      </c>
      <c r="E36" s="4">
        <f>AVERAGEIFS('Tourney History'!C:C,'Tourney History'!B:B,A36)</f>
        <v>39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3</v>
      </c>
      <c r="I36" s="88">
        <f>LOOKUP(2, 1/('Tourney History'!$B:$B=A36), 'Tourney History'!$AD:$AD)</f>
        <v>0.625</v>
      </c>
      <c r="J36" s="34">
        <f>SUMIFS('Tourney History'!F:F,'Tourney History'!B:B,A36)</f>
        <v>18</v>
      </c>
      <c r="K36" s="2">
        <f>SUMIFS('Tourney History'!E:E,'Tourney History'!B:B,A36)-J36</f>
        <v>16</v>
      </c>
      <c r="L36" s="88">
        <f>LOOKUP(2, 1/('Tourney History'!$B:$B=A36), 'Tourney History'!$AB:$AB)</f>
        <v>0.53749999999999998</v>
      </c>
      <c r="M36" s="34">
        <f>SUMIFS('Tourney History'!H:H,'Tourney History'!B:B,A36)</f>
        <v>77</v>
      </c>
      <c r="N36" s="2">
        <f>SUMIFS('Tourney History'!G:G,'Tourney History'!B:B,A36)-M36</f>
        <v>70</v>
      </c>
      <c r="O36" s="88">
        <f>LOOKUP(2, 1/('Tourney History'!$B:$B=A36), 'Tourney History'!$AC:$AC)</f>
        <v>0.53125</v>
      </c>
      <c r="P36" s="2">
        <f>COUNTIFS('Tourney History'!$B:$B,$A$36,'Tourney History'!K:K, 1)</f>
        <v>0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4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52</v>
      </c>
      <c r="E37" s="4">
        <f>AVERAGEIFS('Tourney History'!C:C,'Tourney History'!B:B,A37)</f>
        <v>26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23</v>
      </c>
      <c r="N37" s="2">
        <f>SUMIFS('Tourney History'!G:G,'Tourney History'!B:B,A37)-M37</f>
        <v>21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0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159</v>
      </c>
      <c r="C38" s="2" t="s">
        <v>79</v>
      </c>
      <c r="D38" s="34">
        <f>SUMIFS('Tourney History'!C:C,'Tourney History'!B:B,A38)</f>
        <v>107</v>
      </c>
      <c r="E38" s="4">
        <f>AVERAGEIFS('Tourney History'!C:C,'Tourney History'!B:B,A38)</f>
        <v>26.75</v>
      </c>
      <c r="F38" s="35">
        <f t="array" ref="F38">MAX(IF('Tourney History'!B:B=A38, 'Tourney History'!C:C))</f>
        <v>46</v>
      </c>
      <c r="G38" s="34">
        <f>COUNTIFS('Tourney History'!B:B,A38,'Tourney History'!D:D, 1)</f>
        <v>3</v>
      </c>
      <c r="H38" s="2">
        <f>COUNTIFS('Tourney History'!B:B,A38,'Tourney History'!D:D, 0)</f>
        <v>1</v>
      </c>
      <c r="I38" s="88">
        <f>LOOKUP(2, 1/('Tourney History'!$B:$B=A38), 'Tourney History'!$AD:$AD)</f>
        <v>0.75</v>
      </c>
      <c r="J38" s="34">
        <f>SUMIFS('Tourney History'!F:F,'Tourney History'!B:B,A38)</f>
        <v>9</v>
      </c>
      <c r="K38" s="2">
        <f>SUMIFS('Tourney History'!E:E,'Tourney History'!B:B,A38)-J38</f>
        <v>8</v>
      </c>
      <c r="L38" s="88">
        <f>LOOKUP(2, 1/('Tourney History'!$B:$B=A38), 'Tourney History'!$AB:$AB)</f>
        <v>0.48750000000000004</v>
      </c>
      <c r="M38" s="34">
        <f>SUMIFS('Tourney History'!H:H,'Tourney History'!B:B,A38)</f>
        <v>35</v>
      </c>
      <c r="N38" s="2">
        <f>SUMIFS('Tourney History'!G:G,'Tourney History'!B:B,A38)-M38</f>
        <v>33</v>
      </c>
      <c r="O38" s="88">
        <f>LOOKUP(2, 1/('Tourney History'!$B:$B=A38), 'Tourney History'!$AC:$AC)</f>
        <v>0.48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0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2026-04-25T15:28:51Z</dcterms:modified>
</cp:coreProperties>
</file>